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Repos\ApsimX\Tests\Validation\Pinus\"/>
    </mc:Choice>
  </mc:AlternateContent>
  <xr:revisionPtr revIDLastSave="0" documentId="13_ncr:1_{F02B83F0-7645-42BE-A2BD-E05DF7FAC658}" xr6:coauthVersionLast="47" xr6:coauthVersionMax="47" xr10:uidLastSave="{00000000-0000-0000-0000-000000000000}"/>
  <bookViews>
    <workbookView xWindow="-98" yWindow="-98" windowWidth="21795" windowHeight="13875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Observed!$A$1:$BL$1688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<sst xmlns="http://schemas.openxmlformats.org/spreadsheetml/2006/main" count="4907" uniqueCount="142">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</sst>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_-* #,##0_-;\-* #,##0_-;_-* &quot;-&quot;??_-;_-@_-"/>
    <numFmt numFmtId="168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9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4" fontId="6" fillId="0" borderId="0" xfId="0" applyNumberFormat="1" applyFont="1"/>
    <xf numFmtId="164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6" fontId="6" fillId="0" borderId="0" xfId="0" applyNumberFormat="1" applyFont="1"/>
    <xf numFmtId="165" fontId="6" fillId="0" borderId="0" xfId="0" applyNumberFormat="1" applyFont="1"/>
    <xf numFmtId="168" fontId="6" fillId="0" borderId="0" xfId="0" applyNumberFormat="1" applyFont="1"/>
    <xf numFmtId="0" fontId="14" fillId="0" borderId="0" xfId="0" applyFont="1"/>
    <xf numFmtId="164" fontId="8" fillId="0" borderId="0" xfId="0" applyNumberFormat="1" applyFont="1"/>
    <xf numFmtId="43" fontId="6" fillId="0" borderId="0" xfId="0" applyNumberFormat="1" applyFont="1"/>
    <xf numFmtId="167" fontId="8" fillId="0" borderId="0" xfId="4" applyNumberFormat="1" applyFont="1" applyFill="1" applyBorder="1"/>
    <xf numFmtId="167" fontId="7" fillId="0" borderId="0" xfId="4" applyNumberFormat="1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6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vertical="center" wrapText="1"/>
    </xf>
    <xf numFmtId="166" fontId="6" fillId="0" borderId="0" xfId="2" applyNumberFormat="1" applyFont="1"/>
    <xf numFmtId="166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8" fontId="6" fillId="0" borderId="0" xfId="3" applyNumberFormat="1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40"/>
  <sheetViews>
    <sheetView tabSelected="1" topLeftCell="A322" zoomScale="138" workbookViewId="0">
      <selection activeCell="B345" sqref="B345"/>
    </sheetView>
  </sheetViews>
  <sheetFormatPr defaultColWidth="9.33203125" defaultRowHeight="12.75"/>
  <cols>
    <col min="1" max="2" width="22" style="2" customWidth="1"/>
    <col min="3" max="3" width="12.33203125" style="2" customWidth="1"/>
    <col min="4" max="4" width="9.46484375" style="2" bestFit="1" customWidth="1"/>
    <col min="5" max="5" width="9.33203125" style="2" customWidth="1"/>
    <col min="6" max="6" width="9.46484375" style="2" customWidth="1"/>
    <col min="7" max="7" width="9.33203125" style="2" customWidth="1"/>
    <col min="8" max="8" width="9.46484375" style="2" customWidth="1"/>
    <col min="9" max="9" width="9.33203125" style="2" customWidth="1"/>
    <col min="10" max="10" width="9.46484375" style="2" customWidth="1"/>
    <col min="11" max="13" width="9.33203125" style="2" customWidth="1"/>
    <col min="14" max="15" width="23.59765625" style="2" customWidth="1"/>
    <col min="16" max="16" width="10.46484375" style="2" customWidth="1"/>
    <col min="17" max="18" width="9.33203125" style="2" customWidth="1"/>
    <col min="19" max="20" width="10.19921875" style="2" customWidth="1"/>
    <col min="21" max="21" width="10" style="2" customWidth="1"/>
    <col min="22" max="22" width="8.59765625" style="2" customWidth="1"/>
    <col min="23" max="25" width="9.46484375" style="2" customWidth="1"/>
    <col min="26" max="26" width="9.33203125" style="2" customWidth="1"/>
    <col min="27" max="29" width="14.796875" style="2" customWidth="1"/>
    <col min="30" max="30" width="9.33203125" style="2" customWidth="1"/>
    <col min="31" max="31" width="17.33203125" style="2" customWidth="1"/>
    <col min="32" max="32" width="16.19921875" style="2" customWidth="1"/>
    <col min="33" max="34" width="15.59765625" style="2" customWidth="1"/>
    <col min="35" max="35" width="17.19921875" style="2" customWidth="1"/>
    <col min="37" max="42" width="23.59765625" style="2" customWidth="1"/>
    <col min="43" max="58" width="17.59765625" style="2" customWidth="1"/>
    <col min="59" max="61" width="15.59765625" style="2" customWidth="1"/>
    <col min="62" max="64" width="25.46484375" style="2" customWidth="1"/>
    <col min="65" max="65" width="27.796875" style="2" bestFit="1" customWidth="1"/>
    <col min="66" max="66" width="10.33203125" style="2" bestFit="1" customWidth="1"/>
    <col min="67" max="67" width="27.796875" style="2" bestFit="1" customWidth="1"/>
    <col min="68" max="16384" width="9.33203125" style="2"/>
  </cols>
  <sheetData>
    <row r="1" spans="1:75" ht="30.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1"/>
      <c r="O2" s="41"/>
      <c r="P2" s="10"/>
      <c r="Q2" s="10"/>
      <c r="R2" s="10"/>
      <c r="S2" s="10"/>
      <c r="T2" s="10"/>
      <c r="U2" s="10"/>
      <c r="V2" s="8"/>
      <c r="W2" s="19">
        <v>2.009965404448927</v>
      </c>
      <c r="X2" s="57">
        <f>W2/H2</f>
        <v>4.0961186151394482E-3</v>
      </c>
      <c r="Y2" s="6"/>
      <c r="Z2" s="6"/>
      <c r="AA2" s="8"/>
      <c r="AB2" s="8"/>
      <c r="AC2" s="8"/>
      <c r="AD2" s="8"/>
      <c r="AE2" s="8"/>
      <c r="AF2" s="41"/>
      <c r="AG2" s="41"/>
      <c r="AH2" s="41"/>
      <c r="AI2" s="41"/>
      <c r="AK2" s="18"/>
      <c r="AL2" s="18"/>
      <c r="AM2" s="41" t="s">
        <v>118</v>
      </c>
      <c r="AN2" s="18"/>
      <c r="AO2" s="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1"/>
      <c r="O3" s="41"/>
      <c r="P3" s="10"/>
      <c r="Q3" s="10"/>
      <c r="R3" s="10"/>
      <c r="S3" s="10"/>
      <c r="T3" s="10"/>
      <c r="U3" s="10"/>
      <c r="V3" s="8"/>
      <c r="W3" s="19">
        <v>3.0419973100740414</v>
      </c>
      <c r="X3" s="57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1"/>
      <c r="AG3" s="41"/>
      <c r="AH3" s="41"/>
      <c r="AI3" s="41"/>
      <c r="AK3" s="18"/>
      <c r="AL3" s="18"/>
      <c r="AM3" s="41" t="s">
        <v>118</v>
      </c>
      <c r="AN3" s="18"/>
      <c r="AO3" s="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1"/>
      <c r="O4" s="41"/>
      <c r="P4" s="10"/>
      <c r="Q4" s="10"/>
      <c r="R4" s="10"/>
      <c r="S4" s="10"/>
      <c r="T4" s="10"/>
      <c r="U4" s="10"/>
      <c r="V4" s="8"/>
      <c r="W4" s="19">
        <v>3.7046434749614221</v>
      </c>
      <c r="X4" s="57">
        <f t="shared" si="0"/>
        <v>4.0962444437875082E-3</v>
      </c>
      <c r="Y4" s="6"/>
      <c r="Z4" s="6"/>
      <c r="AA4" s="8"/>
      <c r="AB4" s="8"/>
      <c r="AC4" s="8"/>
      <c r="AD4" s="8"/>
      <c r="AE4" s="8"/>
      <c r="AF4" s="41"/>
      <c r="AG4" s="41"/>
      <c r="AH4" s="41"/>
      <c r="AI4" s="41"/>
      <c r="AK4" s="18"/>
      <c r="AL4" s="18"/>
      <c r="AM4" s="41" t="s">
        <v>118</v>
      </c>
      <c r="AN4" s="18"/>
      <c r="AO4" s="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1"/>
      <c r="O5" s="41"/>
      <c r="P5" s="10"/>
      <c r="Q5" s="10"/>
      <c r="R5" s="10"/>
      <c r="S5" s="10"/>
      <c r="T5" s="10"/>
      <c r="U5" s="10"/>
      <c r="V5" s="8"/>
      <c r="W5" s="19">
        <v>3.4439752318098744</v>
      </c>
      <c r="X5" s="57">
        <f t="shared" si="0"/>
        <v>4.0960694954922392E-3</v>
      </c>
      <c r="Y5" s="6"/>
      <c r="Z5" s="6"/>
      <c r="AA5" s="8"/>
      <c r="AB5" s="8"/>
      <c r="AC5" s="8"/>
      <c r="AD5" s="8"/>
      <c r="AE5" s="8"/>
      <c r="AF5" s="41"/>
      <c r="AG5" s="41"/>
      <c r="AH5" s="41"/>
      <c r="AI5" s="41"/>
      <c r="AK5" s="18"/>
      <c r="AL5" s="18"/>
      <c r="AM5" s="41" t="s">
        <v>118</v>
      </c>
      <c r="AN5" s="18"/>
      <c r="AO5" s="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1"/>
      <c r="O6" s="41"/>
      <c r="P6" s="10"/>
      <c r="Q6" s="10"/>
      <c r="R6" s="10"/>
      <c r="S6" s="10"/>
      <c r="T6" s="10"/>
      <c r="U6" s="10"/>
      <c r="V6" s="8"/>
      <c r="W6" s="19">
        <v>3.2559819499880698</v>
      </c>
      <c r="X6" s="57">
        <f t="shared" si="0"/>
        <v>4.0960900113071706E-3</v>
      </c>
      <c r="Y6" s="6"/>
      <c r="Z6" s="6"/>
      <c r="AA6" s="8"/>
      <c r="AB6" s="8"/>
      <c r="AC6" s="8"/>
      <c r="AD6" s="8"/>
      <c r="AE6" s="8"/>
      <c r="AF6" s="41"/>
      <c r="AG6" s="41"/>
      <c r="AH6" s="41"/>
      <c r="AI6" s="41"/>
      <c r="AK6" s="18"/>
      <c r="AL6" s="18"/>
      <c r="AM6" s="41" t="s">
        <v>118</v>
      </c>
      <c r="AN6" s="18"/>
      <c r="AO6" s="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1"/>
      <c r="O7" s="41"/>
      <c r="P7" s="10"/>
      <c r="Q7" s="10"/>
      <c r="R7" s="10"/>
      <c r="S7" s="10"/>
      <c r="T7" s="10"/>
      <c r="U7" s="10"/>
      <c r="V7" s="8"/>
      <c r="W7" s="19">
        <v>4.8140332023003296</v>
      </c>
      <c r="X7" s="57">
        <f t="shared" si="0"/>
        <v>4.0960037456822338E-3</v>
      </c>
      <c r="Y7" s="6"/>
      <c r="Z7" s="6"/>
      <c r="AA7" s="8"/>
      <c r="AB7" s="8"/>
      <c r="AC7" s="8"/>
      <c r="AD7" s="8"/>
      <c r="AE7" s="8"/>
      <c r="AF7" s="41"/>
      <c r="AG7" s="41"/>
      <c r="AH7" s="41"/>
      <c r="AI7" s="41"/>
      <c r="AK7" s="18"/>
      <c r="AL7" s="18"/>
      <c r="AM7" s="41" t="s">
        <v>118</v>
      </c>
      <c r="AN7" s="18"/>
      <c r="AO7" s="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1"/>
      <c r="O8" s="41"/>
      <c r="P8" s="10"/>
      <c r="Q8" s="10"/>
      <c r="R8" s="10"/>
      <c r="S8" s="10"/>
      <c r="T8" s="10"/>
      <c r="U8" s="10"/>
      <c r="V8" s="8"/>
      <c r="W8" s="19">
        <v>4.5197676603342236</v>
      </c>
      <c r="X8" s="57">
        <f t="shared" si="0"/>
        <v>4.0962186517439032E-3</v>
      </c>
      <c r="Y8" s="6"/>
      <c r="Z8" s="6"/>
      <c r="AA8" s="8"/>
      <c r="AB8" s="8"/>
      <c r="AC8" s="8"/>
      <c r="AD8" s="8"/>
      <c r="AE8" s="8"/>
      <c r="AF8" s="41"/>
      <c r="AG8" s="41"/>
      <c r="AH8" s="41"/>
      <c r="AI8" s="41"/>
      <c r="AK8" s="18"/>
      <c r="AL8" s="18"/>
      <c r="AM8" s="41" t="s">
        <v>118</v>
      </c>
      <c r="AN8" s="18"/>
      <c r="AO8" s="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1"/>
      <c r="O9" s="41"/>
      <c r="P9" s="10"/>
      <c r="Q9" s="10"/>
      <c r="R9" s="10"/>
      <c r="S9" s="10"/>
      <c r="T9" s="10"/>
      <c r="U9" s="10"/>
      <c r="V9" s="8"/>
      <c r="W9" s="19">
        <v>4.0239875303143062</v>
      </c>
      <c r="X9" s="57">
        <f t="shared" si="0"/>
        <v>4.0960785121277547E-3</v>
      </c>
      <c r="Y9" s="6"/>
      <c r="Z9" s="6"/>
      <c r="AA9" s="8"/>
      <c r="AB9" s="8"/>
      <c r="AC9" s="8"/>
      <c r="AD9" s="8"/>
      <c r="AE9" s="8"/>
      <c r="AF9" s="41"/>
      <c r="AG9" s="41"/>
      <c r="AH9" s="41"/>
      <c r="AI9" s="41"/>
      <c r="AK9" s="18"/>
      <c r="AL9" s="18"/>
      <c r="AM9" s="41" t="s">
        <v>118</v>
      </c>
      <c r="AN9" s="18"/>
      <c r="AO9" s="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1"/>
      <c r="O10" s="41"/>
      <c r="P10" s="10"/>
      <c r="Q10" s="10"/>
      <c r="R10" s="10"/>
      <c r="S10" s="10"/>
      <c r="T10" s="10"/>
      <c r="U10" s="10"/>
      <c r="V10" s="8"/>
      <c r="W10" s="19">
        <v>3.7354561031042199</v>
      </c>
      <c r="X10" s="57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1"/>
      <c r="AG10" s="41"/>
      <c r="AH10" s="41"/>
      <c r="AI10" s="41"/>
      <c r="AK10" s="18"/>
      <c r="AL10" s="18"/>
      <c r="AM10" s="41" t="s">
        <v>118</v>
      </c>
      <c r="AN10" s="18"/>
      <c r="AO10" s="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1"/>
      <c r="O11" s="41"/>
      <c r="P11" s="10"/>
      <c r="Q11" s="10"/>
      <c r="R11" s="10"/>
      <c r="S11" s="10"/>
      <c r="T11" s="10"/>
      <c r="U11" s="10"/>
      <c r="V11" s="8"/>
      <c r="W11" s="19">
        <v>4.7673957356183116</v>
      </c>
      <c r="X11" s="57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1"/>
      <c r="AG11" s="41"/>
      <c r="AH11" s="41"/>
      <c r="AI11" s="41"/>
      <c r="AK11" s="18"/>
      <c r="AL11" s="18"/>
      <c r="AM11" s="41" t="s">
        <v>118</v>
      </c>
      <c r="AN11" s="18"/>
      <c r="AO11" s="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1"/>
      <c r="O12" s="41"/>
      <c r="P12" s="10"/>
      <c r="Q12" s="10"/>
      <c r="R12" s="10"/>
      <c r="S12" s="10"/>
      <c r="T12" s="10"/>
      <c r="U12" s="10"/>
      <c r="V12" s="8"/>
      <c r="W12" s="19">
        <v>5.0047683137066112</v>
      </c>
      <c r="X12" s="57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1"/>
      <c r="AG12" s="41"/>
      <c r="AH12" s="41"/>
      <c r="AI12" s="41"/>
      <c r="AK12" s="18"/>
      <c r="AL12" s="18"/>
      <c r="AM12" s="41" t="s">
        <v>118</v>
      </c>
      <c r="AN12" s="18"/>
      <c r="AO12" s="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1"/>
      <c r="O13" s="41"/>
      <c r="P13" s="10"/>
      <c r="Q13" s="10"/>
      <c r="R13" s="10"/>
      <c r="S13" s="10"/>
      <c r="T13" s="10"/>
      <c r="U13" s="10"/>
      <c r="V13" s="8"/>
      <c r="W13" s="19">
        <v>4.4923164098070423</v>
      </c>
      <c r="X13" s="57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1"/>
      <c r="AG13" s="41"/>
      <c r="AH13" s="41"/>
      <c r="AI13" s="41"/>
      <c r="AK13" s="18"/>
      <c r="AL13" s="18"/>
      <c r="AM13" s="41" t="s">
        <v>118</v>
      </c>
      <c r="AN13" s="18"/>
      <c r="AO13" s="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1"/>
      <c r="O14" s="41"/>
      <c r="P14" s="10"/>
      <c r="Q14" s="10"/>
      <c r="R14" s="10"/>
      <c r="S14" s="10"/>
      <c r="T14" s="10"/>
      <c r="U14" s="10"/>
      <c r="V14" s="8"/>
      <c r="W14" s="19">
        <v>4.3827091357931796</v>
      </c>
      <c r="X14" s="57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1"/>
      <c r="AG14" s="41"/>
      <c r="AH14" s="41"/>
      <c r="AI14" s="41"/>
      <c r="AK14" s="18"/>
      <c r="AL14" s="18"/>
      <c r="AM14" s="41" t="s">
        <v>118</v>
      </c>
      <c r="AN14" s="18"/>
      <c r="AO14" s="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1"/>
      <c r="O15" s="41"/>
      <c r="P15" s="10"/>
      <c r="Q15" s="10"/>
      <c r="R15" s="10"/>
      <c r="S15" s="10"/>
      <c r="T15" s="10"/>
      <c r="U15" s="10"/>
      <c r="V15" s="8"/>
      <c r="W15" s="19">
        <v>5.0230647534337596</v>
      </c>
      <c r="X15" s="57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1"/>
      <c r="AG15" s="41"/>
      <c r="AH15" s="41"/>
      <c r="AI15" s="41"/>
      <c r="AK15" s="18"/>
      <c r="AL15" s="18"/>
      <c r="AM15" s="41" t="s">
        <v>118</v>
      </c>
      <c r="AN15" s="18"/>
      <c r="AO15" s="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1"/>
      <c r="O16" s="41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7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1"/>
      <c r="AG16" s="41"/>
      <c r="AH16" s="41"/>
      <c r="AI16" s="41"/>
      <c r="AK16" s="18"/>
      <c r="AL16" s="18"/>
      <c r="AM16" s="41" t="s">
        <v>118</v>
      </c>
      <c r="AN16" s="18"/>
      <c r="AO16" s="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1"/>
      <c r="O17" s="41"/>
      <c r="P17" s="10"/>
      <c r="Q17" s="10"/>
      <c r="R17" s="10"/>
      <c r="S17" s="10"/>
      <c r="T17" s="10"/>
      <c r="U17" s="10"/>
      <c r="V17" s="8"/>
      <c r="W17" s="19">
        <v>5.0612065029657822</v>
      </c>
      <c r="X17" s="57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1"/>
      <c r="AG17" s="41"/>
      <c r="AH17" s="41"/>
      <c r="AI17" s="41"/>
      <c r="AK17" s="18"/>
      <c r="AL17" s="18"/>
      <c r="AM17" s="41" t="s">
        <v>118</v>
      </c>
      <c r="AN17" s="18"/>
      <c r="AO17" s="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1"/>
      <c r="O18" s="41"/>
      <c r="P18" s="10"/>
      <c r="Q18" s="10"/>
      <c r="R18" s="10"/>
      <c r="S18" s="10"/>
      <c r="T18" s="10"/>
      <c r="U18" s="10"/>
      <c r="V18" s="8"/>
      <c r="W18" s="19">
        <v>5.0412689200498733</v>
      </c>
      <c r="X18" s="57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1"/>
      <c r="AG18" s="41"/>
      <c r="AH18" s="41"/>
      <c r="AI18" s="41"/>
      <c r="AK18" s="18"/>
      <c r="AL18" s="18"/>
      <c r="AM18" s="41" t="s">
        <v>118</v>
      </c>
      <c r="AN18" s="18"/>
      <c r="AO18" s="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1"/>
      <c r="O19" s="41"/>
      <c r="P19" s="10"/>
      <c r="Q19" s="10"/>
      <c r="R19" s="10"/>
      <c r="S19" s="10"/>
      <c r="T19" s="10"/>
      <c r="U19" s="10"/>
      <c r="V19" s="8"/>
      <c r="W19" s="19">
        <v>3.0629625000000003</v>
      </c>
      <c r="X19" s="57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1"/>
      <c r="AG19" s="41"/>
      <c r="AH19" s="41"/>
      <c r="AI19" s="41"/>
      <c r="AK19" s="18"/>
      <c r="AL19" s="18"/>
      <c r="AM19" s="41" t="s">
        <v>118</v>
      </c>
      <c r="AN19" s="18"/>
      <c r="AO19" s="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1"/>
      <c r="O20" s="41"/>
      <c r="P20" s="10"/>
      <c r="Q20" s="10"/>
      <c r="R20" s="10"/>
      <c r="S20" s="10"/>
      <c r="T20" s="10"/>
      <c r="U20" s="10"/>
      <c r="V20" s="8"/>
      <c r="W20" s="19">
        <v>2.1834745540647873</v>
      </c>
      <c r="X20" s="57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1"/>
      <c r="AG20" s="41"/>
      <c r="AH20" s="41"/>
      <c r="AI20" s="41"/>
      <c r="AK20" s="18"/>
      <c r="AL20" s="18"/>
      <c r="AM20" s="41" t="s">
        <v>118</v>
      </c>
      <c r="AN20" s="18"/>
      <c r="AO20" s="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1"/>
      <c r="O21" s="41"/>
      <c r="P21" s="10"/>
      <c r="Q21" s="10"/>
      <c r="R21" s="10"/>
      <c r="S21" s="10"/>
      <c r="T21" s="10"/>
      <c r="U21" s="10"/>
      <c r="V21" s="8"/>
      <c r="W21" s="19">
        <v>3.1802438509194237</v>
      </c>
      <c r="X21" s="57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1"/>
      <c r="AG21" s="41"/>
      <c r="AH21" s="41"/>
      <c r="AI21" s="41"/>
      <c r="AK21" s="18"/>
      <c r="AL21" s="18"/>
      <c r="AM21" s="41" t="s">
        <v>118</v>
      </c>
      <c r="AN21" s="18"/>
      <c r="AO21" s="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1"/>
      <c r="O22" s="41"/>
      <c r="P22" s="22"/>
      <c r="Q22" s="22"/>
      <c r="R22" s="10"/>
      <c r="S22" s="22"/>
      <c r="T22" s="22"/>
      <c r="U22" s="10"/>
      <c r="V22" s="8"/>
      <c r="W22" s="19">
        <v>3.5101916246132112</v>
      </c>
      <c r="X22" s="57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1"/>
      <c r="AG22" s="41"/>
      <c r="AH22" s="41"/>
      <c r="AI22" s="41"/>
      <c r="AK22" s="18"/>
      <c r="AL22" s="18"/>
      <c r="AM22" s="41" t="s">
        <v>118</v>
      </c>
      <c r="AN22" s="18"/>
      <c r="AO22" s="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1"/>
      <c r="O23" s="41"/>
      <c r="P23" s="10"/>
      <c r="Q23" s="10"/>
      <c r="R23" s="10"/>
      <c r="S23" s="10"/>
      <c r="T23" s="10"/>
      <c r="U23" s="10"/>
      <c r="V23" s="8"/>
      <c r="W23" s="19">
        <v>3.4156984664858911</v>
      </c>
      <c r="X23" s="57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1"/>
      <c r="AG23" s="41"/>
      <c r="AH23" s="41"/>
      <c r="AI23" s="41"/>
      <c r="AK23" s="18"/>
      <c r="AL23" s="18"/>
      <c r="AM23" s="41" t="s">
        <v>118</v>
      </c>
      <c r="AN23" s="18"/>
      <c r="AO23" s="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1"/>
      <c r="O24" s="41"/>
      <c r="P24" s="10"/>
      <c r="Q24" s="10"/>
      <c r="R24" s="10"/>
      <c r="S24" s="10"/>
      <c r="T24" s="10"/>
      <c r="U24" s="10"/>
      <c r="V24" s="8"/>
      <c r="W24" s="19">
        <v>3.2483611796586334</v>
      </c>
      <c r="X24" s="57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1"/>
      <c r="AG24" s="41"/>
      <c r="AH24" s="41"/>
      <c r="AI24" s="41"/>
      <c r="AK24" s="18"/>
      <c r="AL24" s="18"/>
      <c r="AM24" s="41" t="s">
        <v>118</v>
      </c>
      <c r="AN24" s="18"/>
      <c r="AO24" s="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1"/>
      <c r="O25" s="41"/>
      <c r="P25" s="10"/>
      <c r="Q25" s="10"/>
      <c r="R25" s="10"/>
      <c r="S25" s="10"/>
      <c r="T25" s="10"/>
      <c r="U25" s="10"/>
      <c r="V25" s="8"/>
      <c r="W25" s="19">
        <v>4.5484810752014448</v>
      </c>
      <c r="X25" s="57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1"/>
      <c r="AG25" s="41"/>
      <c r="AH25" s="41"/>
      <c r="AI25" s="41"/>
      <c r="AK25" s="18"/>
      <c r="AL25" s="18"/>
      <c r="AM25" s="41" t="s">
        <v>118</v>
      </c>
      <c r="AN25" s="18"/>
      <c r="AO25" s="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1"/>
      <c r="O26" s="41"/>
      <c r="P26" s="10"/>
      <c r="Q26" s="10"/>
      <c r="R26" s="10"/>
      <c r="S26" s="10"/>
      <c r="T26" s="10"/>
      <c r="U26" s="10"/>
      <c r="V26" s="8"/>
      <c r="W26" s="19">
        <v>4.4417639268433167</v>
      </c>
      <c r="X26" s="57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1"/>
      <c r="AG26" s="41"/>
      <c r="AH26" s="41"/>
      <c r="AI26" s="41"/>
      <c r="AK26" s="18"/>
      <c r="AL26" s="18"/>
      <c r="AM26" s="41" t="s">
        <v>118</v>
      </c>
      <c r="AN26" s="18"/>
      <c r="AO26" s="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1"/>
      <c r="O27" s="41"/>
      <c r="P27" s="10"/>
      <c r="Q27" s="10"/>
      <c r="R27" s="10"/>
      <c r="S27" s="10"/>
      <c r="T27" s="10"/>
      <c r="U27" s="10"/>
      <c r="V27" s="8"/>
      <c r="W27" s="19">
        <v>4.0198720397140564</v>
      </c>
      <c r="X27" s="57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1"/>
      <c r="AG27" s="41"/>
      <c r="AH27" s="41"/>
      <c r="AI27" s="41"/>
      <c r="AK27" s="18"/>
      <c r="AL27" s="18"/>
      <c r="AM27" s="41" t="s">
        <v>118</v>
      </c>
      <c r="AN27" s="18"/>
      <c r="AO27" s="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1"/>
      <c r="O28" s="41"/>
      <c r="P28" s="10"/>
      <c r="Q28" s="10"/>
      <c r="R28" s="10"/>
      <c r="S28" s="10"/>
      <c r="T28" s="10"/>
      <c r="U28" s="10"/>
      <c r="V28" s="8"/>
      <c r="W28" s="19">
        <v>3.9498768433167384</v>
      </c>
      <c r="X28" s="57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1"/>
      <c r="AG28" s="41"/>
      <c r="AH28" s="41"/>
      <c r="AI28" s="41"/>
      <c r="AK28" s="18"/>
      <c r="AL28" s="18"/>
      <c r="AM28" s="41" t="s">
        <v>118</v>
      </c>
      <c r="AN28" s="18"/>
      <c r="AO28" s="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1"/>
      <c r="O29" s="41"/>
      <c r="P29" s="10"/>
      <c r="Q29" s="10"/>
      <c r="R29" s="10"/>
      <c r="S29" s="10"/>
      <c r="T29" s="10"/>
      <c r="U29" s="10"/>
      <c r="V29" s="8"/>
      <c r="W29" s="19">
        <v>4.6675935781393152</v>
      </c>
      <c r="X29" s="57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1"/>
      <c r="AG29" s="41"/>
      <c r="AH29" s="41"/>
      <c r="AI29" s="41"/>
      <c r="AK29" s="18"/>
      <c r="AL29" s="18"/>
      <c r="AM29" s="41" t="s">
        <v>118</v>
      </c>
      <c r="AN29" s="18"/>
      <c r="AO29" s="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1"/>
      <c r="O30" s="41"/>
      <c r="P30" s="10"/>
      <c r="Q30" s="10"/>
      <c r="R30" s="10"/>
      <c r="S30" s="10"/>
      <c r="T30" s="10"/>
      <c r="U30" s="10"/>
      <c r="V30" s="8"/>
      <c r="W30" s="19">
        <v>5.0337634911091884</v>
      </c>
      <c r="X30" s="57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1"/>
      <c r="AG30" s="41"/>
      <c r="AH30" s="41"/>
      <c r="AI30" s="41"/>
      <c r="AK30" s="18"/>
      <c r="AL30" s="18"/>
      <c r="AM30" s="41" t="s">
        <v>118</v>
      </c>
      <c r="AN30" s="18"/>
      <c r="AO30" s="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1"/>
      <c r="O31" s="41"/>
      <c r="P31" s="10"/>
      <c r="Q31" s="10"/>
      <c r="R31" s="10"/>
      <c r="S31" s="10"/>
      <c r="T31" s="10"/>
      <c r="U31" s="10"/>
      <c r="V31" s="8"/>
      <c r="W31" s="19">
        <v>4.5635754182784272</v>
      </c>
      <c r="X31" s="57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1"/>
      <c r="AG31" s="41"/>
      <c r="AH31" s="41"/>
      <c r="AI31" s="41"/>
      <c r="AK31" s="18"/>
      <c r="AL31" s="18"/>
      <c r="AM31" s="41" t="s">
        <v>118</v>
      </c>
      <c r="AN31" s="18"/>
      <c r="AO31" s="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1"/>
      <c r="O32" s="41"/>
      <c r="P32" s="10"/>
      <c r="Q32" s="10"/>
      <c r="R32" s="10"/>
      <c r="S32" s="10"/>
      <c r="T32" s="10"/>
      <c r="U32" s="10"/>
      <c r="V32" s="8"/>
      <c r="W32" s="19">
        <v>4.4932803342703291</v>
      </c>
      <c r="X32" s="57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1"/>
      <c r="AG32" s="41"/>
      <c r="AH32" s="41"/>
      <c r="AI32" s="41"/>
      <c r="AK32" s="18"/>
      <c r="AL32" s="18"/>
      <c r="AM32" s="41" t="s">
        <v>118</v>
      </c>
      <c r="AN32" s="18"/>
      <c r="AO32" s="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1"/>
      <c r="O33" s="41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7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1"/>
      <c r="AG33" s="41"/>
      <c r="AH33" s="41"/>
      <c r="AI33" s="41"/>
      <c r="AK33" s="18"/>
      <c r="AL33" s="18"/>
      <c r="AM33" s="41" t="s">
        <v>118</v>
      </c>
      <c r="AN33" s="18"/>
      <c r="AO33" s="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1"/>
      <c r="O34" s="41"/>
      <c r="P34" s="10"/>
      <c r="Q34" s="10"/>
      <c r="R34" s="10"/>
      <c r="S34" s="10"/>
      <c r="T34" s="10"/>
      <c r="U34" s="10"/>
      <c r="V34" s="8"/>
      <c r="W34" s="19">
        <v>5.5653928232482501</v>
      </c>
      <c r="X34" s="57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1"/>
      <c r="AG34" s="41"/>
      <c r="AH34" s="41"/>
      <c r="AI34" s="41"/>
      <c r="AK34" s="18"/>
      <c r="AL34" s="18"/>
      <c r="AM34" s="41" t="s">
        <v>118</v>
      </c>
      <c r="AN34" s="18"/>
      <c r="AO34" s="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1"/>
      <c r="O35" s="41"/>
      <c r="P35" s="10"/>
      <c r="Q35" s="10"/>
      <c r="R35" s="10"/>
      <c r="S35" s="10"/>
      <c r="T35" s="10"/>
      <c r="U35" s="10"/>
      <c r="V35" s="8"/>
      <c r="W35" s="19">
        <v>5.1556749450812527</v>
      </c>
      <c r="X35" s="57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1"/>
      <c r="AG35" s="41"/>
      <c r="AH35" s="41"/>
      <c r="AI35" s="41"/>
      <c r="AK35" s="18"/>
      <c r="AL35" s="18"/>
      <c r="AM35" s="41" t="s">
        <v>118</v>
      </c>
      <c r="AN35" s="18"/>
      <c r="AO35" s="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1"/>
      <c r="O36" s="41"/>
      <c r="P36" s="10"/>
      <c r="Q36" s="10"/>
      <c r="R36" s="10"/>
      <c r="S36" s="10"/>
      <c r="T36" s="10"/>
      <c r="U36" s="10"/>
      <c r="V36" s="8"/>
      <c r="W36" s="19">
        <v>2.1552966527883224</v>
      </c>
      <c r="X36" s="57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1"/>
      <c r="AG36" s="41"/>
      <c r="AH36" s="41"/>
      <c r="AI36" s="41"/>
      <c r="AK36" s="18"/>
      <c r="AL36" s="18"/>
      <c r="AM36" s="41" t="s">
        <v>118</v>
      </c>
      <c r="AN36" s="18"/>
      <c r="AO36" s="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1"/>
      <c r="O37" s="41"/>
      <c r="P37" s="10"/>
      <c r="Q37" s="10"/>
      <c r="R37" s="10"/>
      <c r="S37" s="10"/>
      <c r="T37" s="10"/>
      <c r="U37" s="10"/>
      <c r="V37" s="8"/>
      <c r="W37" s="19">
        <v>3.0183423474306905</v>
      </c>
      <c r="X37" s="57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1"/>
      <c r="AG37" s="41"/>
      <c r="AH37" s="41"/>
      <c r="AI37" s="41"/>
      <c r="AK37" s="18"/>
      <c r="AL37" s="18"/>
      <c r="AM37" s="41" t="s">
        <v>118</v>
      </c>
      <c r="AN37" s="18"/>
      <c r="AO37" s="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1"/>
      <c r="O38" s="41"/>
      <c r="P38" s="10"/>
      <c r="Q38" s="10"/>
      <c r="R38" s="10"/>
      <c r="S38" s="10"/>
      <c r="T38" s="10"/>
      <c r="U38" s="10"/>
      <c r="V38" s="8"/>
      <c r="W38" s="19">
        <v>3.4735233155522969</v>
      </c>
      <c r="X38" s="57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1"/>
      <c r="AG38" s="41"/>
      <c r="AH38" s="41"/>
      <c r="AI38" s="41"/>
      <c r="AK38" s="18"/>
      <c r="AL38" s="18"/>
      <c r="AM38" s="41" t="s">
        <v>118</v>
      </c>
      <c r="AN38" s="18"/>
      <c r="AO38" s="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1"/>
      <c r="O39" s="41"/>
      <c r="P39" s="10"/>
      <c r="Q39" s="10"/>
      <c r="R39" s="10"/>
      <c r="S39" s="10"/>
      <c r="T39" s="10"/>
      <c r="U39" s="10"/>
      <c r="V39" s="8"/>
      <c r="W39" s="19">
        <v>3.3614911261507547</v>
      </c>
      <c r="X39" s="57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1"/>
      <c r="AG39" s="41"/>
      <c r="AH39" s="41"/>
      <c r="AI39" s="41"/>
      <c r="AK39" s="18"/>
      <c r="AL39" s="18"/>
      <c r="AM39" s="41" t="s">
        <v>118</v>
      </c>
      <c r="AN39" s="18"/>
      <c r="AO39" s="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1"/>
      <c r="O40" s="41"/>
      <c r="P40" s="10"/>
      <c r="Q40" s="10"/>
      <c r="R40" s="10"/>
      <c r="S40" s="10"/>
      <c r="T40" s="10"/>
      <c r="U40" s="10"/>
      <c r="V40" s="8"/>
      <c r="W40" s="19">
        <v>3.1856249844094635</v>
      </c>
      <c r="X40" s="57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1"/>
      <c r="AG40" s="41"/>
      <c r="AH40" s="41"/>
      <c r="AI40" s="41"/>
      <c r="AK40" s="18"/>
      <c r="AL40" s="18"/>
      <c r="AM40" s="41" t="s">
        <v>118</v>
      </c>
      <c r="AN40" s="18"/>
      <c r="AO40" s="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1"/>
      <c r="O41" s="41"/>
      <c r="P41" s="10"/>
      <c r="Q41" s="10"/>
      <c r="R41" s="10"/>
      <c r="S41" s="10"/>
      <c r="T41" s="10"/>
      <c r="U41" s="10"/>
      <c r="V41" s="8"/>
      <c r="W41" s="20">
        <v>4.1825801090571186</v>
      </c>
      <c r="X41" s="57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1"/>
      <c r="AG41" s="41"/>
      <c r="AH41" s="41"/>
      <c r="AI41" s="41"/>
      <c r="AK41" s="18"/>
      <c r="AL41" s="18"/>
      <c r="AM41" s="41" t="s">
        <v>118</v>
      </c>
      <c r="AN41" s="18"/>
      <c r="AO41" s="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1"/>
      <c r="O42" s="41"/>
      <c r="P42" s="10"/>
      <c r="Q42" s="10"/>
      <c r="R42" s="10"/>
      <c r="S42" s="10"/>
      <c r="T42" s="10"/>
      <c r="U42" s="10"/>
      <c r="V42" s="8"/>
      <c r="W42" s="20">
        <v>4.9371553746912724</v>
      </c>
      <c r="X42" s="57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1"/>
      <c r="AG42" s="41"/>
      <c r="AH42" s="41"/>
      <c r="AI42" s="41"/>
      <c r="AK42" s="18"/>
      <c r="AL42" s="18"/>
      <c r="AM42" s="41" t="s">
        <v>118</v>
      </c>
      <c r="AN42" s="18"/>
      <c r="AO42" s="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1"/>
      <c r="O43" s="41"/>
      <c r="P43" s="10"/>
      <c r="Q43" s="10"/>
      <c r="R43" s="10"/>
      <c r="S43" s="10"/>
      <c r="T43" s="10"/>
      <c r="U43" s="10"/>
      <c r="V43" s="8"/>
      <c r="W43" s="20">
        <v>4.6849196855482553</v>
      </c>
      <c r="X43" s="57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1"/>
      <c r="AG43" s="41"/>
      <c r="AH43" s="41"/>
      <c r="AI43" s="41"/>
      <c r="AK43" s="18"/>
      <c r="AL43" s="18"/>
      <c r="AM43" s="41" t="s">
        <v>118</v>
      </c>
      <c r="AN43" s="18"/>
      <c r="AO43" s="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1"/>
      <c r="O44" s="41"/>
      <c r="P44" s="10"/>
      <c r="Q44" s="10"/>
      <c r="R44" s="10"/>
      <c r="S44" s="10"/>
      <c r="T44" s="10"/>
      <c r="U44" s="10"/>
      <c r="V44" s="8"/>
      <c r="W44" s="20">
        <v>4.2797872683703524</v>
      </c>
      <c r="X44" s="57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1"/>
      <c r="AG44" s="41"/>
      <c r="AH44" s="41"/>
      <c r="AI44" s="41"/>
      <c r="AK44" s="18"/>
      <c r="AL44" s="18"/>
      <c r="AM44" s="41" t="s">
        <v>118</v>
      </c>
      <c r="AN44" s="18"/>
      <c r="AO44" s="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1"/>
      <c r="O45" s="41"/>
      <c r="P45" s="10"/>
      <c r="Q45" s="10"/>
      <c r="R45" s="10"/>
      <c r="S45" s="10"/>
      <c r="T45" s="10"/>
      <c r="U45" s="10"/>
      <c r="V45" s="8"/>
      <c r="W45" s="20">
        <v>4.8814658059696612</v>
      </c>
      <c r="X45" s="57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1"/>
      <c r="AG45" s="41"/>
      <c r="AH45" s="41"/>
      <c r="AI45" s="41"/>
      <c r="AK45" s="18"/>
      <c r="AL45" s="18"/>
      <c r="AM45" s="41" t="s">
        <v>118</v>
      </c>
      <c r="AN45" s="18"/>
      <c r="AO45" s="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1"/>
      <c r="O46" s="41"/>
      <c r="P46" s="10"/>
      <c r="Q46" s="10"/>
      <c r="R46" s="10"/>
      <c r="S46" s="10"/>
      <c r="T46" s="10"/>
      <c r="U46" s="10"/>
      <c r="V46" s="8"/>
      <c r="W46" s="20">
        <v>5.4321612527539287</v>
      </c>
      <c r="X46" s="57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1"/>
      <c r="AG46" s="41"/>
      <c r="AH46" s="41"/>
      <c r="AI46" s="41"/>
      <c r="AK46" s="18"/>
      <c r="AL46" s="18"/>
      <c r="AM46" s="41" t="s">
        <v>118</v>
      </c>
      <c r="AN46" s="18"/>
      <c r="AO46" s="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1"/>
      <c r="O47" s="41"/>
      <c r="P47" s="10"/>
      <c r="Q47" s="10"/>
      <c r="R47" s="10"/>
      <c r="S47" s="10"/>
      <c r="T47" s="10"/>
      <c r="U47" s="10"/>
      <c r="V47" s="8"/>
      <c r="W47" s="20">
        <v>5.2819442896515207</v>
      </c>
      <c r="X47" s="57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1"/>
      <c r="AG47" s="41"/>
      <c r="AH47" s="41"/>
      <c r="AI47" s="41"/>
      <c r="AK47" s="18"/>
      <c r="AL47" s="18"/>
      <c r="AM47" s="41" t="s">
        <v>118</v>
      </c>
      <c r="AN47" s="18"/>
      <c r="AO47" s="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1"/>
      <c r="O48" s="41"/>
      <c r="P48" s="10"/>
      <c r="Q48" s="10"/>
      <c r="R48" s="10"/>
      <c r="S48" s="10"/>
      <c r="T48" s="10"/>
      <c r="U48" s="10"/>
      <c r="V48" s="8"/>
      <c r="W48" s="20">
        <v>5.1571137831357339</v>
      </c>
      <c r="X48" s="57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1"/>
      <c r="AG48" s="41"/>
      <c r="AH48" s="41"/>
      <c r="AI48" s="41"/>
      <c r="AK48" s="18"/>
      <c r="AL48" s="18"/>
      <c r="AM48" s="41" t="s">
        <v>118</v>
      </c>
      <c r="AN48" s="18"/>
      <c r="AO48" s="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1"/>
      <c r="O49" s="41"/>
      <c r="P49" s="10"/>
      <c r="Q49" s="10"/>
      <c r="R49" s="10"/>
      <c r="S49" s="10"/>
      <c r="T49" s="10"/>
      <c r="U49" s="10"/>
      <c r="V49" s="8"/>
      <c r="W49" s="20">
        <v>5.5549125018851582</v>
      </c>
      <c r="X49" s="57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1"/>
      <c r="AG49" s="41"/>
      <c r="AH49" s="41"/>
      <c r="AI49" s="41"/>
      <c r="AK49" s="18"/>
      <c r="AL49" s="18"/>
      <c r="AM49" s="41" t="s">
        <v>118</v>
      </c>
      <c r="AN49" s="18"/>
      <c r="AO49" s="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1"/>
      <c r="O50" s="41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7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1"/>
      <c r="AG50" s="41"/>
      <c r="AH50" s="41"/>
      <c r="AI50" s="41"/>
      <c r="AK50" s="18"/>
      <c r="AL50" s="18"/>
      <c r="AM50" s="41" t="s">
        <v>118</v>
      </c>
      <c r="AN50" s="18"/>
      <c r="AO50" s="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1"/>
      <c r="O51" s="41"/>
      <c r="P51" s="10"/>
      <c r="Q51" s="10"/>
      <c r="R51" s="10"/>
      <c r="S51" s="10"/>
      <c r="T51" s="10"/>
      <c r="U51" s="10"/>
      <c r="V51" s="8"/>
      <c r="W51" s="20">
        <v>6.1720691215311199</v>
      </c>
      <c r="X51" s="57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1"/>
      <c r="AG51" s="41"/>
      <c r="AH51" s="41"/>
      <c r="AI51" s="41"/>
      <c r="AK51" s="18"/>
      <c r="AL51" s="18"/>
      <c r="AM51" s="41" t="s">
        <v>118</v>
      </c>
      <c r="AN51" s="18"/>
      <c r="AO51" s="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1"/>
      <c r="O52" s="41"/>
      <c r="P52" s="10"/>
      <c r="Q52" s="10"/>
      <c r="R52" s="10"/>
      <c r="S52" s="10"/>
      <c r="T52" s="10"/>
      <c r="U52" s="10"/>
      <c r="V52" s="8"/>
      <c r="W52" s="20">
        <v>5.9325792050918391</v>
      </c>
      <c r="X52" s="57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1"/>
      <c r="AG52" s="41"/>
      <c r="AH52" s="41"/>
      <c r="AI52" s="41"/>
      <c r="AK52" s="18"/>
      <c r="AL52" s="18"/>
      <c r="AM52" s="41" t="s">
        <v>118</v>
      </c>
      <c r="AN52" s="18"/>
      <c r="AO52" s="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1"/>
      <c r="O53" s="41"/>
      <c r="P53" s="10"/>
      <c r="Q53" s="10"/>
      <c r="R53" s="10"/>
      <c r="S53" s="10"/>
      <c r="T53" s="10"/>
      <c r="U53" s="10"/>
      <c r="V53" s="8"/>
      <c r="W53" s="20">
        <v>2.2987390180618346</v>
      </c>
      <c r="X53" s="57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1"/>
      <c r="AG53" s="41"/>
      <c r="AH53" s="41"/>
      <c r="AI53" s="41"/>
      <c r="AK53" s="18"/>
      <c r="AL53" s="18"/>
      <c r="AM53" s="41" t="s">
        <v>118</v>
      </c>
      <c r="AN53" s="18"/>
      <c r="AO53" s="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1"/>
      <c r="O54" s="41"/>
      <c r="P54" s="10"/>
      <c r="Q54" s="10"/>
      <c r="R54" s="10"/>
      <c r="S54" s="10"/>
      <c r="T54" s="10"/>
      <c r="U54" s="10"/>
      <c r="V54" s="8"/>
      <c r="W54" s="20">
        <v>3.4252198981288373</v>
      </c>
      <c r="X54" s="57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1"/>
      <c r="AG54" s="41"/>
      <c r="AH54" s="41"/>
      <c r="AI54" s="41"/>
      <c r="AK54" s="18"/>
      <c r="AL54" s="18"/>
      <c r="AM54" s="41" t="s">
        <v>118</v>
      </c>
      <c r="AN54" s="18"/>
      <c r="AO54" s="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1"/>
      <c r="O55" s="41"/>
      <c r="P55" s="10"/>
      <c r="Q55" s="10"/>
      <c r="R55" s="10"/>
      <c r="S55" s="10"/>
      <c r="T55" s="10"/>
      <c r="U55" s="10"/>
      <c r="V55" s="8"/>
      <c r="W55" s="20">
        <v>4.2770445844052229</v>
      </c>
      <c r="X55" s="57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1"/>
      <c r="AG55" s="41"/>
      <c r="AH55" s="41"/>
      <c r="AI55" s="41"/>
      <c r="AK55" s="18"/>
      <c r="AL55" s="18"/>
      <c r="AM55" s="41" t="s">
        <v>118</v>
      </c>
      <c r="AN55" s="18"/>
      <c r="AO55" s="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1"/>
      <c r="O56" s="41"/>
      <c r="P56" s="10"/>
      <c r="Q56" s="10"/>
      <c r="R56" s="10"/>
      <c r="S56" s="10"/>
      <c r="T56" s="10"/>
      <c r="U56" s="10"/>
      <c r="V56" s="8"/>
      <c r="W56" s="20">
        <v>4.0050136887800987</v>
      </c>
      <c r="X56" s="57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1"/>
      <c r="AG56" s="41"/>
      <c r="AH56" s="41"/>
      <c r="AI56" s="41"/>
      <c r="AK56" s="18"/>
      <c r="AL56" s="18"/>
      <c r="AM56" s="41" t="s">
        <v>118</v>
      </c>
      <c r="AN56" s="18"/>
      <c r="AO56" s="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1"/>
      <c r="O57" s="41"/>
      <c r="P57" s="10"/>
      <c r="Q57" s="10"/>
      <c r="R57" s="10"/>
      <c r="S57" s="10"/>
      <c r="T57" s="10"/>
      <c r="U57" s="10"/>
      <c r="V57" s="8"/>
      <c r="W57" s="20">
        <v>3.7452121232648556</v>
      </c>
      <c r="X57" s="57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1"/>
      <c r="AG57" s="41"/>
      <c r="AH57" s="41"/>
      <c r="AI57" s="41"/>
      <c r="AK57" s="18"/>
      <c r="AL57" s="18"/>
      <c r="AM57" s="41" t="s">
        <v>118</v>
      </c>
      <c r="AN57" s="18"/>
      <c r="AO57" s="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1"/>
      <c r="O58" s="41"/>
      <c r="P58" s="10"/>
      <c r="Q58" s="10"/>
      <c r="R58" s="10"/>
      <c r="S58" s="10"/>
      <c r="T58" s="10"/>
      <c r="U58" s="10"/>
      <c r="V58" s="8"/>
      <c r="W58" s="20">
        <v>5.6084090280267933</v>
      </c>
      <c r="X58" s="57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1"/>
      <c r="AG58" s="41"/>
      <c r="AH58" s="41"/>
      <c r="AI58" s="41"/>
      <c r="AK58" s="18"/>
      <c r="AL58" s="18"/>
      <c r="AM58" s="41" t="s">
        <v>118</v>
      </c>
      <c r="AN58" s="18"/>
      <c r="AO58" s="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1"/>
      <c r="O59" s="41"/>
      <c r="P59" s="10"/>
      <c r="Q59" s="10"/>
      <c r="R59" s="10"/>
      <c r="S59" s="10"/>
      <c r="T59" s="10"/>
      <c r="U59" s="10"/>
      <c r="V59" s="8"/>
      <c r="W59" s="20">
        <v>6.6724563466789819</v>
      </c>
      <c r="X59" s="57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1"/>
      <c r="AG59" s="41"/>
      <c r="AH59" s="41"/>
      <c r="AI59" s="41"/>
      <c r="AK59" s="18"/>
      <c r="AL59" s="18"/>
      <c r="AM59" s="41" t="s">
        <v>118</v>
      </c>
      <c r="AN59" s="18"/>
      <c r="AO59" s="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1"/>
      <c r="O60" s="41"/>
      <c r="P60" s="10"/>
      <c r="Q60" s="10"/>
      <c r="R60" s="10"/>
      <c r="S60" s="10"/>
      <c r="T60" s="10"/>
      <c r="U60" s="10"/>
      <c r="V60" s="8"/>
      <c r="W60" s="20">
        <v>5.963287568280828</v>
      </c>
      <c r="X60" s="57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1"/>
      <c r="AG60" s="41"/>
      <c r="AH60" s="41"/>
      <c r="AI60" s="41"/>
      <c r="AK60" s="18"/>
      <c r="AL60" s="18"/>
      <c r="AM60" s="41" t="s">
        <v>118</v>
      </c>
      <c r="AN60" s="18"/>
      <c r="AO60" s="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1"/>
      <c r="O61" s="41"/>
      <c r="P61" s="10"/>
      <c r="Q61" s="10"/>
      <c r="R61" s="10"/>
      <c r="S61" s="10"/>
      <c r="T61" s="10"/>
      <c r="U61" s="10"/>
      <c r="V61" s="8"/>
      <c r="W61" s="20">
        <v>5.1792499926195168</v>
      </c>
      <c r="X61" s="57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1"/>
      <c r="AG61" s="41"/>
      <c r="AH61" s="41"/>
      <c r="AI61" s="41"/>
      <c r="AK61" s="18"/>
      <c r="AL61" s="18"/>
      <c r="AM61" s="41" t="s">
        <v>118</v>
      </c>
      <c r="AN61" s="18"/>
      <c r="AO61" s="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1"/>
      <c r="O62" s="41"/>
      <c r="P62" s="10"/>
      <c r="Q62" s="10"/>
      <c r="R62" s="10"/>
      <c r="S62" s="10"/>
      <c r="T62" s="10"/>
      <c r="U62" s="10"/>
      <c r="V62" s="8"/>
      <c r="W62" s="20">
        <v>6.1058405232898521</v>
      </c>
      <c r="X62" s="57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1"/>
      <c r="AG62" s="41"/>
      <c r="AH62" s="41"/>
      <c r="AI62" s="41"/>
      <c r="AK62" s="18"/>
      <c r="AL62" s="18"/>
      <c r="AM62" s="41" t="s">
        <v>118</v>
      </c>
      <c r="AN62" s="18"/>
      <c r="AO62" s="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1"/>
      <c r="O63" s="41"/>
      <c r="P63" s="10"/>
      <c r="Q63" s="10"/>
      <c r="R63" s="10"/>
      <c r="S63" s="10"/>
      <c r="T63" s="10"/>
      <c r="U63" s="10"/>
      <c r="V63" s="8"/>
      <c r="W63" s="20">
        <v>6.6079343127739394</v>
      </c>
      <c r="X63" s="57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1"/>
      <c r="AG63" s="41"/>
      <c r="AH63" s="41"/>
      <c r="AI63" s="41"/>
      <c r="AK63" s="18"/>
      <c r="AL63" s="18"/>
      <c r="AM63" s="41" t="s">
        <v>118</v>
      </c>
      <c r="AN63" s="18"/>
      <c r="AO63" s="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1"/>
      <c r="O64" s="41"/>
      <c r="P64" s="10"/>
      <c r="Q64" s="10"/>
      <c r="R64" s="10"/>
      <c r="S64" s="10"/>
      <c r="T64" s="10"/>
      <c r="U64" s="10"/>
      <c r="V64" s="8"/>
      <c r="W64" s="20">
        <v>6.2734183792993878</v>
      </c>
      <c r="X64" s="57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1"/>
      <c r="AG64" s="41"/>
      <c r="AH64" s="41"/>
      <c r="AI64" s="41"/>
      <c r="AK64" s="18"/>
      <c r="AL64" s="18"/>
      <c r="AM64" s="41" t="s">
        <v>118</v>
      </c>
      <c r="AN64" s="18"/>
      <c r="AO64" s="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1"/>
      <c r="O65" s="41"/>
      <c r="P65" s="10"/>
      <c r="Q65" s="10"/>
      <c r="R65" s="10"/>
      <c r="S65" s="10"/>
      <c r="T65" s="10"/>
      <c r="U65" s="10"/>
      <c r="V65" s="8"/>
      <c r="W65" s="20">
        <v>6.0511799035022689</v>
      </c>
      <c r="X65" s="57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1"/>
      <c r="AG65" s="41"/>
      <c r="AH65" s="41"/>
      <c r="AI65" s="41"/>
      <c r="AK65" s="18"/>
      <c r="AL65" s="18"/>
      <c r="AM65" s="41" t="s">
        <v>118</v>
      </c>
      <c r="AN65" s="18"/>
      <c r="AO65" s="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1"/>
      <c r="O66" s="41"/>
      <c r="P66" s="10"/>
      <c r="Q66" s="10"/>
      <c r="R66" s="10"/>
      <c r="S66" s="10"/>
      <c r="T66" s="10"/>
      <c r="U66" s="10"/>
      <c r="V66" s="8"/>
      <c r="W66" s="20">
        <v>6.690730480968254</v>
      </c>
      <c r="X66" s="57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1"/>
      <c r="AG66" s="41"/>
      <c r="AH66" s="41"/>
      <c r="AI66" s="41"/>
      <c r="AK66" s="18"/>
      <c r="AL66" s="18"/>
      <c r="AM66" s="41" t="s">
        <v>118</v>
      </c>
      <c r="AN66" s="18"/>
      <c r="AO66" s="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1"/>
      <c r="O67" s="41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7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1"/>
      <c r="AG67" s="41"/>
      <c r="AH67" s="41"/>
      <c r="AI67" s="41"/>
      <c r="AK67" s="18"/>
      <c r="AL67" s="18"/>
      <c r="AM67" s="41" t="s">
        <v>118</v>
      </c>
      <c r="AN67" s="18"/>
      <c r="AO67" s="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1"/>
      <c r="O68" s="41"/>
      <c r="P68" s="10"/>
      <c r="Q68" s="10"/>
      <c r="R68" s="10"/>
      <c r="S68" s="10"/>
      <c r="T68" s="10"/>
      <c r="U68" s="10"/>
      <c r="V68" s="8"/>
      <c r="W68" s="20">
        <v>7.0205326437870808</v>
      </c>
      <c r="X68" s="57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1"/>
      <c r="AG68" s="41"/>
      <c r="AH68" s="41"/>
      <c r="AI68" s="41"/>
      <c r="AK68" s="18"/>
      <c r="AL68" s="18"/>
      <c r="AM68" s="41" t="s">
        <v>118</v>
      </c>
      <c r="AN68" s="18"/>
      <c r="AO68" s="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1"/>
      <c r="O69" s="41"/>
      <c r="P69" s="10"/>
      <c r="Q69" s="10"/>
      <c r="R69" s="10"/>
      <c r="S69" s="10"/>
      <c r="T69" s="10"/>
      <c r="U69" s="10"/>
      <c r="V69" s="8"/>
      <c r="W69" s="20">
        <v>6.4488463915881269</v>
      </c>
      <c r="X69" s="57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1"/>
      <c r="AG69" s="41"/>
      <c r="AH69" s="41"/>
      <c r="AI69" s="41"/>
      <c r="AK69" s="18"/>
      <c r="AL69" s="18"/>
      <c r="AM69" s="41" t="s">
        <v>118</v>
      </c>
      <c r="AN69" s="18"/>
      <c r="AO69" s="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1"/>
      <c r="O70" s="41"/>
      <c r="P70" s="10"/>
      <c r="Q70" s="10"/>
      <c r="R70" s="10"/>
      <c r="S70" s="10"/>
      <c r="T70" s="10"/>
      <c r="U70" s="10"/>
      <c r="V70" s="8"/>
      <c r="W70" s="20">
        <v>2.2672792575981346</v>
      </c>
      <c r="X70" s="57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1"/>
      <c r="AG70" s="41"/>
      <c r="AH70" s="41"/>
      <c r="AI70" s="41"/>
      <c r="AK70" s="18"/>
      <c r="AL70" s="18"/>
      <c r="AM70" s="41" t="s">
        <v>118</v>
      </c>
      <c r="AN70" s="18"/>
      <c r="AO70" s="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1"/>
      <c r="O71" s="41"/>
      <c r="P71" s="10"/>
      <c r="Q71" s="10"/>
      <c r="R71" s="10"/>
      <c r="S71" s="10"/>
      <c r="T71" s="10"/>
      <c r="U71" s="10"/>
      <c r="V71" s="8"/>
      <c r="W71" s="20">
        <v>3.2109974657696569</v>
      </c>
      <c r="X71" s="57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1"/>
      <c r="AG71" s="41"/>
      <c r="AH71" s="41"/>
      <c r="AI71" s="41"/>
      <c r="AK71" s="18"/>
      <c r="AL71" s="18"/>
      <c r="AM71" s="41" t="s">
        <v>118</v>
      </c>
      <c r="AN71" s="18"/>
      <c r="AO71" s="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1"/>
      <c r="O72" s="41"/>
      <c r="P72" s="10"/>
      <c r="Q72" s="10"/>
      <c r="R72" s="10"/>
      <c r="S72" s="10"/>
      <c r="T72" s="10"/>
      <c r="U72" s="10"/>
      <c r="V72" s="8"/>
      <c r="W72" s="20">
        <v>3.6594942478440826</v>
      </c>
      <c r="X72" s="57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1"/>
      <c r="AG72" s="41"/>
      <c r="AH72" s="41"/>
      <c r="AI72" s="41"/>
      <c r="AK72" s="18"/>
      <c r="AL72" s="18"/>
      <c r="AM72" s="41" t="s">
        <v>118</v>
      </c>
      <c r="AN72" s="18"/>
      <c r="AO72" s="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1"/>
      <c r="O73" s="41"/>
      <c r="P73" s="10"/>
      <c r="Q73" s="10"/>
      <c r="R73" s="10"/>
      <c r="S73" s="10"/>
      <c r="T73" s="10"/>
      <c r="U73" s="10"/>
      <c r="V73" s="8"/>
      <c r="W73" s="20">
        <v>3.5383179274006813</v>
      </c>
      <c r="X73" s="57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1"/>
      <c r="AG73" s="41"/>
      <c r="AH73" s="41"/>
      <c r="AI73" s="41"/>
      <c r="AK73" s="18"/>
      <c r="AL73" s="18"/>
      <c r="AM73" s="41" t="s">
        <v>118</v>
      </c>
      <c r="AN73" s="18"/>
      <c r="AO73" s="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1"/>
      <c r="O74" s="41"/>
      <c r="P74" s="10"/>
      <c r="Q74" s="10"/>
      <c r="R74" s="10"/>
      <c r="S74" s="10"/>
      <c r="T74" s="10"/>
      <c r="U74" s="10"/>
      <c r="V74" s="8"/>
      <c r="W74" s="20">
        <v>3.3796094732811897</v>
      </c>
      <c r="X74" s="57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1"/>
      <c r="AG74" s="41"/>
      <c r="AH74" s="41"/>
      <c r="AI74" s="41"/>
      <c r="AK74" s="18"/>
      <c r="AL74" s="18"/>
      <c r="AM74" s="41" t="s">
        <v>118</v>
      </c>
      <c r="AN74" s="18"/>
      <c r="AO74" s="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1"/>
      <c r="O75" s="41"/>
      <c r="P75" s="10"/>
      <c r="Q75" s="10"/>
      <c r="R75" s="10"/>
      <c r="S75" s="10"/>
      <c r="T75" s="10"/>
      <c r="U75" s="10"/>
      <c r="V75" s="8"/>
      <c r="W75" s="20">
        <v>4.583678827325901</v>
      </c>
      <c r="X75" s="57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1"/>
      <c r="AG75" s="41"/>
      <c r="AH75" s="41"/>
      <c r="AI75" s="41"/>
      <c r="AK75" s="18"/>
      <c r="AL75" s="18"/>
      <c r="AM75" s="41" t="s">
        <v>118</v>
      </c>
      <c r="AN75" s="18"/>
      <c r="AO75" s="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1"/>
      <c r="O76" s="41"/>
      <c r="P76" s="10"/>
      <c r="Q76" s="10"/>
      <c r="R76" s="10"/>
      <c r="S76" s="10"/>
      <c r="T76" s="10"/>
      <c r="U76" s="10"/>
      <c r="V76" s="8"/>
      <c r="W76" s="20">
        <v>5.508745829459035</v>
      </c>
      <c r="X76" s="57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1"/>
      <c r="AG76" s="41"/>
      <c r="AH76" s="41"/>
      <c r="AI76" s="41"/>
      <c r="AK76" s="18"/>
      <c r="AL76" s="18"/>
      <c r="AM76" s="41" t="s">
        <v>118</v>
      </c>
      <c r="AN76" s="18"/>
      <c r="AO76" s="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1"/>
      <c r="O77" s="41"/>
      <c r="P77" s="10"/>
      <c r="Q77" s="10"/>
      <c r="R77" s="10"/>
      <c r="S77" s="10"/>
      <c r="T77" s="10"/>
      <c r="U77" s="10"/>
      <c r="V77" s="8"/>
      <c r="W77" s="20">
        <v>5.1893380006927758</v>
      </c>
      <c r="X77" s="57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1"/>
      <c r="AG77" s="41"/>
      <c r="AH77" s="41"/>
      <c r="AI77" s="41"/>
      <c r="AK77" s="18"/>
      <c r="AL77" s="18"/>
      <c r="AM77" s="41" t="s">
        <v>118</v>
      </c>
      <c r="AN77" s="18"/>
      <c r="AO77" s="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1"/>
      <c r="O78" s="41"/>
      <c r="P78" s="10"/>
      <c r="Q78" s="10"/>
      <c r="R78" s="10"/>
      <c r="S78" s="10"/>
      <c r="T78" s="10"/>
      <c r="U78" s="10"/>
      <c r="V78" s="8"/>
      <c r="W78" s="20">
        <v>4.8762238144724659</v>
      </c>
      <c r="X78" s="57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1"/>
      <c r="AG78" s="41"/>
      <c r="AH78" s="41"/>
      <c r="AI78" s="41"/>
      <c r="AK78" s="18"/>
      <c r="AL78" s="18"/>
      <c r="AM78" s="41" t="s">
        <v>118</v>
      </c>
      <c r="AN78" s="18"/>
      <c r="AO78" s="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1"/>
      <c r="O79" s="41"/>
      <c r="P79" s="10"/>
      <c r="Q79" s="10"/>
      <c r="R79" s="10"/>
      <c r="S79" s="10"/>
      <c r="T79" s="10"/>
      <c r="U79" s="10"/>
      <c r="V79" s="8"/>
      <c r="W79" s="20">
        <v>6.253299057412157</v>
      </c>
      <c r="X79" s="57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1"/>
      <c r="AG79" s="41"/>
      <c r="AH79" s="41"/>
      <c r="AI79" s="41"/>
      <c r="AK79" s="18"/>
      <c r="AL79" s="18"/>
      <c r="AM79" s="41" t="s">
        <v>118</v>
      </c>
      <c r="AN79" s="18"/>
      <c r="AO79" s="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1"/>
      <c r="O80" s="41"/>
      <c r="P80" s="10"/>
      <c r="Q80" s="10"/>
      <c r="R80" s="10"/>
      <c r="S80" s="10"/>
      <c r="T80" s="10"/>
      <c r="U80" s="10"/>
      <c r="V80" s="8"/>
      <c r="W80" s="20">
        <v>7.2280260351145911</v>
      </c>
      <c r="X80" s="57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1"/>
      <c r="AG80" s="41"/>
      <c r="AH80" s="41"/>
      <c r="AI80" s="41"/>
      <c r="AK80" s="18"/>
      <c r="AL80" s="18"/>
      <c r="AM80" s="41" t="s">
        <v>118</v>
      </c>
      <c r="AN80" s="18"/>
      <c r="AO80" s="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1"/>
      <c r="O81" s="41"/>
      <c r="P81" s="10"/>
      <c r="Q81" s="10"/>
      <c r="R81" s="10"/>
      <c r="S81" s="10"/>
      <c r="T81" s="10"/>
      <c r="U81" s="10"/>
      <c r="V81" s="8"/>
      <c r="W81" s="20">
        <v>6.4443034512935355</v>
      </c>
      <c r="X81" s="57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1"/>
      <c r="AG81" s="41"/>
      <c r="AH81" s="41"/>
      <c r="AI81" s="41"/>
      <c r="AK81" s="18"/>
      <c r="AL81" s="18"/>
      <c r="AM81" s="41" t="s">
        <v>118</v>
      </c>
      <c r="AN81" s="18"/>
      <c r="AO81" s="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1"/>
      <c r="O82" s="41"/>
      <c r="P82" s="10"/>
      <c r="Q82" s="10"/>
      <c r="R82" s="10"/>
      <c r="S82" s="10"/>
      <c r="T82" s="10"/>
      <c r="U82" s="10"/>
      <c r="V82" s="8"/>
      <c r="W82" s="20">
        <v>5.8895658991047881</v>
      </c>
      <c r="X82" s="57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1"/>
      <c r="AG82" s="41"/>
      <c r="AH82" s="41"/>
      <c r="AI82" s="41"/>
      <c r="AK82" s="18"/>
      <c r="AL82" s="18"/>
      <c r="AM82" s="41" t="s">
        <v>118</v>
      </c>
      <c r="AN82" s="18"/>
      <c r="AO82" s="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1"/>
      <c r="O83" s="41"/>
      <c r="P83" s="10"/>
      <c r="Q83" s="10"/>
      <c r="R83" s="10"/>
      <c r="S83" s="10"/>
      <c r="T83" s="10"/>
      <c r="U83" s="10"/>
      <c r="V83" s="8"/>
      <c r="W83" s="20">
        <v>6.814786048970797</v>
      </c>
      <c r="X83" s="57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1"/>
      <c r="AG83" s="41"/>
      <c r="AH83" s="41"/>
      <c r="AI83" s="41"/>
      <c r="AK83" s="18"/>
      <c r="AL83" s="18"/>
      <c r="AM83" s="41" t="s">
        <v>118</v>
      </c>
      <c r="AN83" s="18"/>
      <c r="AO83" s="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1"/>
      <c r="O84" s="41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7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1"/>
      <c r="AG84" s="41"/>
      <c r="AH84" s="41"/>
      <c r="AI84" s="41"/>
      <c r="AK84" s="18"/>
      <c r="AL84" s="18"/>
      <c r="AM84" s="41" t="s">
        <v>118</v>
      </c>
      <c r="AN84" s="18"/>
      <c r="AO84" s="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1"/>
      <c r="O85" s="41"/>
      <c r="P85" s="10"/>
      <c r="Q85" s="10"/>
      <c r="R85" s="10"/>
      <c r="S85" s="10"/>
      <c r="T85" s="10"/>
      <c r="U85" s="10"/>
      <c r="V85" s="8"/>
      <c r="W85" s="20">
        <v>7.0242629765355771</v>
      </c>
      <c r="X85" s="57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1"/>
      <c r="AG85" s="41"/>
      <c r="AH85" s="41"/>
      <c r="AI85" s="41"/>
      <c r="AK85" s="18"/>
      <c r="AL85" s="18"/>
      <c r="AM85" s="41" t="s">
        <v>118</v>
      </c>
      <c r="AN85" s="18"/>
      <c r="AO85" s="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1"/>
      <c r="O86" s="41"/>
      <c r="P86" s="10"/>
      <c r="Q86" s="10"/>
      <c r="R86" s="10"/>
      <c r="S86" s="10"/>
      <c r="T86" s="10"/>
      <c r="U86" s="10"/>
      <c r="V86" s="8"/>
      <c r="W86" s="20">
        <v>6.3396306222538321</v>
      </c>
      <c r="X86" s="57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1"/>
      <c r="AG86" s="41"/>
      <c r="AH86" s="41"/>
      <c r="AI86" s="41"/>
      <c r="AK86" s="18"/>
      <c r="AL86" s="18"/>
      <c r="AM86" s="41" t="s">
        <v>118</v>
      </c>
      <c r="AN86" s="18"/>
      <c r="AO86" s="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1" t="s">
        <v>118</v>
      </c>
      <c r="AN87" s="18"/>
      <c r="AO87" s="6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1" t="s">
        <v>118</v>
      </c>
      <c r="AN88" s="18"/>
      <c r="AO88" s="6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1" t="s">
        <v>118</v>
      </c>
      <c r="AN89" s="18"/>
      <c r="AO89" s="6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1" t="s">
        <v>118</v>
      </c>
      <c r="AN90" s="18"/>
      <c r="AO90" s="6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1" t="s">
        <v>118</v>
      </c>
      <c r="AN91" s="18"/>
      <c r="AO91" s="6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1" t="s">
        <v>118</v>
      </c>
      <c r="AN92" s="18"/>
      <c r="AO92" s="6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1" t="s">
        <v>118</v>
      </c>
      <c r="AN93" s="18"/>
      <c r="AO93" s="6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1" t="s">
        <v>118</v>
      </c>
      <c r="AN94" s="18"/>
      <c r="AO94" s="6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1" t="s">
        <v>118</v>
      </c>
      <c r="AN95" s="18"/>
      <c r="AO95" s="6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1" t="s">
        <v>118</v>
      </c>
      <c r="AN96" s="18"/>
      <c r="AO96" s="6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1" t="s">
        <v>118</v>
      </c>
      <c r="AN97" s="18"/>
      <c r="AO97" s="6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1" t="s">
        <v>118</v>
      </c>
      <c r="AN98" s="18"/>
      <c r="AO98" s="6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1" t="s">
        <v>118</v>
      </c>
      <c r="AN99" s="18"/>
      <c r="AO99" s="6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1" t="s">
        <v>118</v>
      </c>
      <c r="AN100" s="18"/>
      <c r="AO100" s="6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6"/>
      <c r="BK100" s="6"/>
      <c r="BL100" s="21" t="s">
        <v>53</v>
      </c>
      <c r="BM100" s="1"/>
      <c r="BN100" s="1"/>
      <c r="BO100" s="15"/>
    </row>
    <row r="101" spans="1:67" ht="14.5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1" t="s">
        <v>118</v>
      </c>
      <c r="AN101" s="18"/>
      <c r="AO101" s="6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6"/>
      <c r="BK101" s="6"/>
      <c r="BL101" s="21" t="s">
        <v>53</v>
      </c>
      <c r="BM101" s="3"/>
      <c r="BN101" s="1"/>
      <c r="BO101" s="15"/>
    </row>
    <row r="102" spans="1:67" ht="14.5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1" t="s">
        <v>118</v>
      </c>
      <c r="AN102" s="18"/>
      <c r="AO102" s="6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1" t="s">
        <v>118</v>
      </c>
      <c r="AN103" s="18"/>
      <c r="AO103" s="6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6"/>
      <c r="BK103" s="6"/>
      <c r="BL103" s="21" t="s">
        <v>53</v>
      </c>
      <c r="BM103" s="3"/>
      <c r="BN103" s="1"/>
      <c r="BO103" s="15"/>
    </row>
    <row r="104" spans="1:67" ht="14.5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1" t="s">
        <v>118</v>
      </c>
      <c r="AN104" s="18"/>
      <c r="AO104" s="6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6"/>
      <c r="BK104" s="6"/>
      <c r="BL104" s="21" t="s">
        <v>53</v>
      </c>
      <c r="BM104" s="3"/>
      <c r="BN104" s="1"/>
      <c r="BO104" s="15"/>
    </row>
    <row r="105" spans="1:67" ht="14.5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1" t="s">
        <v>118</v>
      </c>
      <c r="AN105" s="18"/>
      <c r="AO105" s="6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1" t="s">
        <v>118</v>
      </c>
      <c r="AN106" s="18"/>
      <c r="AO106" s="6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1" t="s">
        <v>118</v>
      </c>
      <c r="AN107" s="18"/>
      <c r="AO107" s="6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1" t="s">
        <v>118</v>
      </c>
      <c r="AN108" s="18"/>
      <c r="AO108" s="6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6"/>
      <c r="BK108" s="6"/>
      <c r="BL108" s="21" t="s">
        <v>53</v>
      </c>
      <c r="BM108" s="3"/>
      <c r="BN108" s="1"/>
      <c r="BO108" s="15"/>
    </row>
    <row r="109" spans="1:67" ht="14.5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1" t="s">
        <v>118</v>
      </c>
      <c r="AN109" s="18"/>
      <c r="AO109" s="6"/>
      <c r="AP109" s="33"/>
      <c r="AQ109" s="33">
        <v>1.0699999999999999E-2</v>
      </c>
      <c r="AR109" s="33"/>
      <c r="AS109" s="33"/>
      <c r="AT109" s="33"/>
      <c r="AU109" s="33"/>
      <c r="AV109" s="33"/>
      <c r="AW109" s="33"/>
      <c r="AX109" s="33"/>
      <c r="AY109" s="33"/>
      <c r="AZ109" s="33"/>
      <c r="BA109" s="33">
        <v>7.8132469999999996</v>
      </c>
      <c r="BB109" s="33"/>
      <c r="BC109" s="33"/>
      <c r="BD109" s="33"/>
      <c r="BE109" s="33"/>
      <c r="BF109" s="33"/>
      <c r="BG109" s="33"/>
      <c r="BH109" s="33"/>
      <c r="BI109" s="33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1" t="s">
        <v>118</v>
      </c>
      <c r="AN110" s="18"/>
      <c r="AO110" s="6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6"/>
      <c r="BK110" s="6"/>
      <c r="BL110" s="21" t="s">
        <v>53</v>
      </c>
      <c r="BM110" s="1"/>
      <c r="BN110" s="1"/>
      <c r="BO110" s="15"/>
    </row>
    <row r="111" spans="1:67" ht="14.5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1" t="s">
        <v>118</v>
      </c>
      <c r="AN111" s="18"/>
      <c r="AO111" s="6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1" t="s">
        <v>118</v>
      </c>
      <c r="AN112" s="18"/>
      <c r="AO112" s="6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6"/>
      <c r="BK112" s="6"/>
      <c r="BL112" s="21" t="s">
        <v>53</v>
      </c>
      <c r="BM112" s="1"/>
      <c r="BN112" s="1"/>
      <c r="BO112" s="15"/>
    </row>
    <row r="113" spans="1:67" ht="14.5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1" t="s">
        <v>118</v>
      </c>
      <c r="AN113" s="18"/>
      <c r="AO113" s="6"/>
      <c r="AP113" s="33"/>
      <c r="AQ113" s="33">
        <v>1.0500000000000001E-2</v>
      </c>
      <c r="AR113" s="33"/>
      <c r="AS113" s="33"/>
      <c r="AT113" s="33"/>
      <c r="AU113" s="33"/>
      <c r="AV113" s="33"/>
      <c r="AW113" s="33"/>
      <c r="AX113" s="33"/>
      <c r="AY113" s="33"/>
      <c r="AZ113" s="33"/>
      <c r="BA113" s="33">
        <v>9.3468375000000012</v>
      </c>
      <c r="BB113" s="33"/>
      <c r="BC113" s="33"/>
      <c r="BD113" s="33"/>
      <c r="BE113" s="33"/>
      <c r="BF113" s="33"/>
      <c r="BG113" s="33"/>
      <c r="BH113" s="33"/>
      <c r="BI113" s="33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1" t="s">
        <v>118</v>
      </c>
      <c r="AN114" s="18"/>
      <c r="AO114" s="6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6"/>
      <c r="BK114" s="6"/>
      <c r="BL114" s="21" t="s">
        <v>53</v>
      </c>
      <c r="BO114" s="15"/>
    </row>
    <row r="115" spans="1:67" ht="14.5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1" t="s">
        <v>118</v>
      </c>
      <c r="AN115" s="18"/>
      <c r="AO115" s="6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6"/>
      <c r="BK115" s="6"/>
      <c r="BL115" s="21" t="s">
        <v>53</v>
      </c>
      <c r="BO115" s="15"/>
    </row>
    <row r="116" spans="1:67" ht="14.5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1" t="s">
        <v>118</v>
      </c>
      <c r="AN116" s="18"/>
      <c r="AO116" s="6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1" t="s">
        <v>118</v>
      </c>
      <c r="AN117" s="18"/>
      <c r="AO117" s="6"/>
      <c r="AP117" s="33"/>
      <c r="AQ117" s="33">
        <v>1.03E-2</v>
      </c>
      <c r="AR117" s="33"/>
      <c r="AS117" s="33"/>
      <c r="AT117" s="33"/>
      <c r="AU117" s="33"/>
      <c r="AV117" s="33"/>
      <c r="AW117" s="33"/>
      <c r="AX117" s="33"/>
      <c r="AY117" s="33"/>
      <c r="AZ117" s="33"/>
      <c r="BA117" s="33">
        <v>10.365508</v>
      </c>
      <c r="BB117" s="33"/>
      <c r="BC117" s="33"/>
      <c r="BD117" s="33"/>
      <c r="BE117" s="33"/>
      <c r="BF117" s="33"/>
      <c r="BG117" s="33"/>
      <c r="BH117" s="33"/>
      <c r="BI117" s="33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1" t="s">
        <v>118</v>
      </c>
      <c r="AN118" s="18"/>
      <c r="AO118" s="6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6"/>
      <c r="BK118" s="6"/>
      <c r="BL118" s="21" t="s">
        <v>53</v>
      </c>
      <c r="BO118" s="15"/>
    </row>
    <row r="119" spans="1:67" ht="14.5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1" t="s">
        <v>118</v>
      </c>
      <c r="AN119" s="18"/>
      <c r="AO119" s="6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6"/>
      <c r="BK119" s="6"/>
      <c r="BL119" s="21" t="s">
        <v>53</v>
      </c>
      <c r="BO119" s="15"/>
    </row>
    <row r="120" spans="1:67" ht="14.5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1" t="s">
        <v>118</v>
      </c>
      <c r="AN120" s="18"/>
      <c r="AO120" s="6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1" t="s">
        <v>118</v>
      </c>
      <c r="AN121" s="18"/>
      <c r="AO121" s="6"/>
      <c r="AP121" s="33"/>
      <c r="AQ121" s="33">
        <v>0.01</v>
      </c>
      <c r="AR121" s="33"/>
      <c r="AS121" s="33"/>
      <c r="AT121" s="33"/>
      <c r="AU121" s="33"/>
      <c r="AV121" s="33"/>
      <c r="AW121" s="33"/>
      <c r="AX121" s="33"/>
      <c r="AY121" s="33"/>
      <c r="AZ121" s="33"/>
      <c r="BA121" s="33">
        <v>11.4872</v>
      </c>
      <c r="BB121" s="33"/>
      <c r="BC121" s="33"/>
      <c r="BD121" s="33"/>
      <c r="BE121" s="33"/>
      <c r="BF121" s="33"/>
      <c r="BG121" s="33"/>
      <c r="BH121" s="33"/>
      <c r="BI121" s="33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1" t="s">
        <v>118</v>
      </c>
      <c r="AN122" s="18"/>
      <c r="AO122" s="6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6"/>
      <c r="BK122" s="6"/>
      <c r="BL122" s="21" t="s">
        <v>53</v>
      </c>
      <c r="BO122" s="15"/>
    </row>
    <row r="123" spans="1:67" ht="14.5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1" t="s">
        <v>118</v>
      </c>
      <c r="AN123" s="18"/>
      <c r="AO123" s="6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1" t="s">
        <v>118</v>
      </c>
      <c r="AN124" s="18"/>
      <c r="AO124" s="6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1" t="s">
        <v>118</v>
      </c>
      <c r="AN125" s="18"/>
      <c r="AO125" s="6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6"/>
      <c r="BK125" s="6"/>
      <c r="BL125" s="21" t="s">
        <v>53</v>
      </c>
      <c r="BO125" s="15"/>
    </row>
    <row r="126" spans="1:67" ht="14.5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1" t="s">
        <v>118</v>
      </c>
      <c r="AN126" s="18"/>
      <c r="AO126" s="6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6"/>
      <c r="BK126" s="6"/>
      <c r="BL126" s="21" t="s">
        <v>53</v>
      </c>
      <c r="BO126" s="15"/>
    </row>
    <row r="127" spans="1:67" ht="14.5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1" t="s">
        <v>118</v>
      </c>
      <c r="AN127" s="18"/>
      <c r="AO127" s="6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1" t="s">
        <v>118</v>
      </c>
      <c r="AN128" s="18"/>
      <c r="AO128" s="6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6"/>
      <c r="BK128" s="6"/>
      <c r="BL128" s="21" t="s">
        <v>53</v>
      </c>
      <c r="BO128" s="15"/>
    </row>
    <row r="129" spans="1:67" ht="14.5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1" t="s">
        <v>118</v>
      </c>
      <c r="AN129" s="18"/>
      <c r="AO129" s="6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6"/>
      <c r="BK129" s="6"/>
      <c r="BL129" s="21" t="s">
        <v>53</v>
      </c>
      <c r="BO129" s="15"/>
    </row>
    <row r="130" spans="1:67" ht="14.5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1" t="s">
        <v>118</v>
      </c>
      <c r="AN130" s="18"/>
      <c r="AO130" s="6"/>
      <c r="AP130" s="33"/>
      <c r="AQ130" s="33">
        <v>1.52E-2</v>
      </c>
      <c r="AR130" s="33"/>
      <c r="AS130" s="33"/>
      <c r="AT130" s="33"/>
      <c r="AU130" s="33"/>
      <c r="AV130" s="33"/>
      <c r="AW130" s="33"/>
      <c r="AX130" s="33"/>
      <c r="AY130" s="33"/>
      <c r="AZ130" s="33"/>
      <c r="BA130" s="33">
        <v>12.16</v>
      </c>
      <c r="BB130" s="33"/>
      <c r="BC130" s="33"/>
      <c r="BD130" s="33"/>
      <c r="BE130" s="33"/>
      <c r="BF130" s="33"/>
      <c r="BG130" s="33"/>
      <c r="BH130" s="33"/>
      <c r="BI130" s="33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1" t="s">
        <v>118</v>
      </c>
      <c r="AN131" s="18"/>
      <c r="AO131" s="6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6"/>
      <c r="BK131" s="6"/>
      <c r="BL131" s="21" t="s">
        <v>53</v>
      </c>
      <c r="BO131" s="15"/>
    </row>
    <row r="132" spans="1:67" ht="14.5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1" t="s">
        <v>118</v>
      </c>
      <c r="AN132" s="18"/>
      <c r="AO132" s="6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1" t="s">
        <v>118</v>
      </c>
      <c r="AN133" s="18"/>
      <c r="AO133" s="6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6"/>
      <c r="BK133" s="6"/>
      <c r="BL133" s="21" t="s">
        <v>53</v>
      </c>
      <c r="BO133" s="15"/>
    </row>
    <row r="134" spans="1:67" ht="14.5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1" t="s">
        <v>118</v>
      </c>
      <c r="AN134" s="18"/>
      <c r="AO134" s="6"/>
      <c r="AP134" s="33"/>
      <c r="AQ134" s="33">
        <v>1.2999999999999999E-2</v>
      </c>
      <c r="AR134" s="33"/>
      <c r="AS134" s="33"/>
      <c r="AT134" s="33"/>
      <c r="AU134" s="33"/>
      <c r="AV134" s="33"/>
      <c r="AW134" s="33"/>
      <c r="AX134" s="33"/>
      <c r="AY134" s="33"/>
      <c r="AZ134" s="33"/>
      <c r="BA134" s="33">
        <v>12.133329</v>
      </c>
      <c r="BB134" s="33"/>
      <c r="BC134" s="33"/>
      <c r="BD134" s="33"/>
      <c r="BE134" s="33"/>
      <c r="BF134" s="33"/>
      <c r="BG134" s="33"/>
      <c r="BH134" s="33"/>
      <c r="BI134" s="33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1" t="s">
        <v>118</v>
      </c>
      <c r="AN135" s="18"/>
      <c r="AO135" s="6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6"/>
      <c r="BK135" s="6"/>
      <c r="BL135" s="21" t="s">
        <v>53</v>
      </c>
      <c r="BO135" s="15"/>
    </row>
    <row r="136" spans="1:67" ht="14.5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1" t="s">
        <v>118</v>
      </c>
      <c r="AN136" s="18"/>
      <c r="AO136" s="6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1" t="s">
        <v>118</v>
      </c>
      <c r="AN137" s="18"/>
      <c r="AO137" s="6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6"/>
      <c r="BK137" s="6"/>
      <c r="BL137" s="21" t="s">
        <v>53</v>
      </c>
      <c r="BO137" s="15"/>
    </row>
    <row r="138" spans="1:67" ht="14.5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1" t="s">
        <v>118</v>
      </c>
      <c r="AN138" s="18"/>
      <c r="AO138" s="6"/>
      <c r="AP138" s="33"/>
      <c r="AQ138" s="33">
        <v>1.0699999999999999E-2</v>
      </c>
      <c r="AR138" s="33"/>
      <c r="AS138" s="33"/>
      <c r="AT138" s="33"/>
      <c r="AU138" s="33"/>
      <c r="AV138" s="33"/>
      <c r="AW138" s="33"/>
      <c r="AX138" s="33"/>
      <c r="AY138" s="33"/>
      <c r="AZ138" s="33"/>
      <c r="BA138" s="33">
        <v>11.651123</v>
      </c>
      <c r="BB138" s="33"/>
      <c r="BC138" s="33"/>
      <c r="BD138" s="33"/>
      <c r="BE138" s="33"/>
      <c r="BF138" s="33"/>
      <c r="BG138" s="33"/>
      <c r="BH138" s="33"/>
      <c r="BI138" s="33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1" t="s">
        <v>118</v>
      </c>
      <c r="AN139" s="18"/>
      <c r="AO139" s="6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6"/>
      <c r="BK139" s="6"/>
      <c r="BL139" s="21" t="s">
        <v>53</v>
      </c>
      <c r="BO139" s="15"/>
    </row>
    <row r="140" spans="1:67" ht="14.5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1" t="s">
        <v>118</v>
      </c>
      <c r="AN140" s="18"/>
      <c r="AO140" s="6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1" t="s">
        <v>118</v>
      </c>
      <c r="AN141" s="18"/>
      <c r="AO141" s="6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1" t="s">
        <v>118</v>
      </c>
      <c r="AN142" s="18"/>
      <c r="AO142" s="6"/>
      <c r="AP142" s="33"/>
      <c r="AQ142" s="33">
        <v>0.01</v>
      </c>
      <c r="AR142" s="33"/>
      <c r="AS142" s="33"/>
      <c r="AT142" s="33"/>
      <c r="AU142" s="33"/>
      <c r="AV142" s="33"/>
      <c r="AW142" s="33"/>
      <c r="AX142" s="33"/>
      <c r="AY142" s="33"/>
      <c r="AZ142" s="33"/>
      <c r="BA142" s="33">
        <v>12.666700000000001</v>
      </c>
      <c r="BB142" s="33"/>
      <c r="BC142" s="33"/>
      <c r="BD142" s="33"/>
      <c r="BE142" s="33"/>
      <c r="BF142" s="33"/>
      <c r="BG142" s="33"/>
      <c r="BH142" s="33"/>
      <c r="BI142" s="33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1" t="s">
        <v>118</v>
      </c>
      <c r="AN143" s="18"/>
      <c r="AO143" s="6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6"/>
      <c r="BK143" s="6"/>
      <c r="BL143" s="21" t="s">
        <v>53</v>
      </c>
      <c r="BO143" s="15"/>
    </row>
    <row r="144" spans="1:67" ht="14.5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1" t="s">
        <v>118</v>
      </c>
      <c r="AN144" s="18"/>
      <c r="AO144" s="6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1" t="s">
        <v>118</v>
      </c>
      <c r="AN145" s="18"/>
      <c r="AO145" s="6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6"/>
      <c r="BK145" s="6"/>
      <c r="BL145" s="21" t="s">
        <v>53</v>
      </c>
      <c r="BO145" s="15"/>
    </row>
    <row r="146" spans="1:67" ht="14.5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1" t="s">
        <v>118</v>
      </c>
      <c r="AN146" s="18"/>
      <c r="AO146" s="6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6"/>
      <c r="BK146" s="6"/>
      <c r="BL146" s="21" t="s">
        <v>53</v>
      </c>
      <c r="BO146" s="15"/>
    </row>
    <row r="147" spans="1:67" ht="14.5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1" t="s">
        <v>118</v>
      </c>
      <c r="AN147" s="18"/>
      <c r="AO147" s="6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1" t="s">
        <v>118</v>
      </c>
      <c r="AN148" s="18"/>
      <c r="AO148" s="6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1" t="s">
        <v>118</v>
      </c>
      <c r="AN149" s="18"/>
      <c r="AO149" s="6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6"/>
      <c r="BK149" s="6"/>
      <c r="BL149" s="21" t="s">
        <v>53</v>
      </c>
      <c r="BO149" s="15"/>
    </row>
    <row r="150" spans="1:67" ht="14.5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1" t="s">
        <v>118</v>
      </c>
      <c r="AN150" s="18"/>
      <c r="AO150" s="6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1" t="s">
        <v>118</v>
      </c>
      <c r="AN151" s="18"/>
      <c r="AO151" s="6"/>
      <c r="AP151" s="33"/>
      <c r="AQ151" s="33">
        <v>1.01E-2</v>
      </c>
      <c r="AR151" s="33"/>
      <c r="AS151" s="33"/>
      <c r="AT151" s="33"/>
      <c r="AU151" s="33"/>
      <c r="AV151" s="33"/>
      <c r="AW151" s="33"/>
      <c r="AX151" s="33"/>
      <c r="AY151" s="33"/>
      <c r="AZ151" s="33"/>
      <c r="BA151" s="33">
        <v>6.942437</v>
      </c>
      <c r="BB151" s="33"/>
      <c r="BC151" s="33"/>
      <c r="BD151" s="33"/>
      <c r="BE151" s="33"/>
      <c r="BF151" s="33"/>
      <c r="BG151" s="33"/>
      <c r="BH151" s="33"/>
      <c r="BI151" s="33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1" t="s">
        <v>118</v>
      </c>
      <c r="AN152" s="18"/>
      <c r="AO152" s="6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1" t="s">
        <v>118</v>
      </c>
      <c r="AN153" s="18"/>
      <c r="AO153" s="6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6"/>
      <c r="BK153" s="6"/>
      <c r="BL153" s="21" t="s">
        <v>53</v>
      </c>
      <c r="BO153" s="15"/>
    </row>
    <row r="154" spans="1:67" ht="14.5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1" t="s">
        <v>118</v>
      </c>
      <c r="AN154" s="18"/>
      <c r="AO154" s="6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6"/>
      <c r="BK154" s="6"/>
      <c r="BL154" s="21" t="s">
        <v>53</v>
      </c>
      <c r="BO154" s="15"/>
    </row>
    <row r="155" spans="1:67" ht="14.5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1" t="s">
        <v>118</v>
      </c>
      <c r="AN155" s="18"/>
      <c r="AO155" s="6"/>
      <c r="AP155" s="33"/>
      <c r="AQ155" s="33">
        <v>8.9999999999999993E-3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>
        <v>8.3091779999999993</v>
      </c>
      <c r="BB155" s="33"/>
      <c r="BC155" s="33"/>
      <c r="BD155" s="33"/>
      <c r="BE155" s="33"/>
      <c r="BF155" s="33"/>
      <c r="BG155" s="33"/>
      <c r="BH155" s="33"/>
      <c r="BI155" s="33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1" t="s">
        <v>118</v>
      </c>
      <c r="AN156" s="18"/>
      <c r="AO156" s="6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1" t="s">
        <v>118</v>
      </c>
      <c r="AN157" s="18"/>
      <c r="AO157" s="6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1" t="s">
        <v>118</v>
      </c>
      <c r="AN158" s="18"/>
      <c r="AO158" s="6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1" t="s">
        <v>118</v>
      </c>
      <c r="AN159" s="18"/>
      <c r="AO159" s="6"/>
      <c r="AP159" s="33"/>
      <c r="AQ159" s="33">
        <v>8.0999999999999996E-3</v>
      </c>
      <c r="AR159" s="33"/>
      <c r="AS159" s="33"/>
      <c r="AT159" s="33"/>
      <c r="AU159" s="33"/>
      <c r="AV159" s="33"/>
      <c r="AW159" s="33"/>
      <c r="AX159" s="33"/>
      <c r="AY159" s="33"/>
      <c r="AZ159" s="33"/>
      <c r="BA159" s="33">
        <v>9.0261539999999982</v>
      </c>
      <c r="BB159" s="33"/>
      <c r="BC159" s="33"/>
      <c r="BD159" s="33"/>
      <c r="BE159" s="33"/>
      <c r="BF159" s="33"/>
      <c r="BG159" s="33"/>
      <c r="BH159" s="33"/>
      <c r="BI159" s="33">
        <f>BJ159/10</f>
        <v>10</v>
      </c>
      <c r="BJ159" s="6">
        <v>100</v>
      </c>
      <c r="BK159" s="6"/>
      <c r="BL159" s="21" t="s">
        <v>53</v>
      </c>
      <c r="BO159" s="15"/>
    </row>
    <row r="160" spans="1:67" ht="14.5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1" t="s">
        <v>118</v>
      </c>
      <c r="AN160" s="18"/>
      <c r="AO160" s="6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1" t="s">
        <v>118</v>
      </c>
      <c r="AN161" s="18"/>
      <c r="AO161" s="6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6"/>
      <c r="BK161" s="6"/>
      <c r="BL161" s="21" t="s">
        <v>53</v>
      </c>
      <c r="BO161" s="15"/>
    </row>
    <row r="162" spans="1:67" ht="14.5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1" t="s">
        <v>118</v>
      </c>
      <c r="AN162" s="18"/>
      <c r="AO162" s="6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6"/>
      <c r="BK162" s="6"/>
      <c r="BL162" s="21" t="s">
        <v>53</v>
      </c>
      <c r="BO162" s="15"/>
    </row>
    <row r="163" spans="1:67" ht="14.5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1" t="s">
        <v>118</v>
      </c>
      <c r="AN163" s="18"/>
      <c r="AO163" s="6"/>
      <c r="AP163" s="33"/>
      <c r="AQ163" s="33">
        <v>7.1999999999999998E-3</v>
      </c>
      <c r="AR163" s="33"/>
      <c r="AS163" s="33"/>
      <c r="AT163" s="33"/>
      <c r="AU163" s="33"/>
      <c r="AV163" s="33"/>
      <c r="AW163" s="33"/>
      <c r="AX163" s="33"/>
      <c r="AY163" s="33"/>
      <c r="AZ163" s="33"/>
      <c r="BA163" s="33">
        <v>9.5757840000000005</v>
      </c>
      <c r="BB163" s="33"/>
      <c r="BC163" s="33"/>
      <c r="BD163" s="33"/>
      <c r="BE163" s="33"/>
      <c r="BF163" s="33"/>
      <c r="BG163" s="33"/>
      <c r="BH163" s="33"/>
      <c r="BI163" s="33">
        <f>BJ163/10</f>
        <v>10</v>
      </c>
      <c r="BJ163" s="6">
        <v>100</v>
      </c>
      <c r="BK163" s="6"/>
      <c r="BL163" s="21" t="s">
        <v>53</v>
      </c>
      <c r="BO163" s="15"/>
    </row>
    <row r="164" spans="1:67" ht="14.5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1" t="s">
        <v>118</v>
      </c>
      <c r="AN164" s="18"/>
      <c r="AO164" s="6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6"/>
      <c r="BK164" s="6"/>
      <c r="BL164" s="21" t="s">
        <v>53</v>
      </c>
      <c r="BO164" s="15"/>
    </row>
    <row r="165" spans="1:67" ht="14.5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1" t="s">
        <v>118</v>
      </c>
      <c r="AN165" s="18"/>
      <c r="AO165" s="6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6"/>
      <c r="BK165" s="6"/>
      <c r="BL165" s="21" t="s">
        <v>53</v>
      </c>
      <c r="BO165" s="15"/>
    </row>
    <row r="166" spans="1:67" ht="14.5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1" t="s">
        <v>118</v>
      </c>
      <c r="AN166" s="18"/>
      <c r="AO166" s="6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6"/>
      <c r="BK166" s="6"/>
      <c r="BL166" s="21" t="s">
        <v>53</v>
      </c>
      <c r="BO166" s="15"/>
    </row>
    <row r="167" spans="1:67" ht="14.5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1" t="s">
        <v>118</v>
      </c>
      <c r="AN167" s="18"/>
      <c r="AO167" s="6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1" t="s">
        <v>118</v>
      </c>
      <c r="AN168" s="18"/>
      <c r="AO168" s="6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1" t="s">
        <v>118</v>
      </c>
      <c r="AN169" s="18"/>
      <c r="AO169" s="6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6"/>
      <c r="BK169" s="6"/>
      <c r="BL169" s="21" t="s">
        <v>53</v>
      </c>
      <c r="BO169" s="15"/>
    </row>
    <row r="170" spans="1:67" ht="14.5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1" t="s">
        <v>118</v>
      </c>
      <c r="AN170" s="18"/>
      <c r="AO170" s="6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1" t="s">
        <v>118</v>
      </c>
      <c r="AN171" s="18"/>
      <c r="AO171" s="6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6"/>
      <c r="BK171" s="6"/>
      <c r="BL171" s="21" t="s">
        <v>53</v>
      </c>
      <c r="BO171" s="15"/>
    </row>
    <row r="172" spans="1:67" ht="14.5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1" t="s">
        <v>118</v>
      </c>
      <c r="AN172" s="18"/>
      <c r="AO172" s="6"/>
      <c r="AP172" s="33"/>
      <c r="AQ172" s="33">
        <v>1.7999999999999999E-2</v>
      </c>
      <c r="AR172" s="33"/>
      <c r="AS172" s="33"/>
      <c r="AT172" s="33"/>
      <c r="AU172" s="33"/>
      <c r="AV172" s="33"/>
      <c r="AW172" s="33"/>
      <c r="AX172" s="33"/>
      <c r="AY172" s="33"/>
      <c r="AZ172" s="33"/>
      <c r="BA172" s="33">
        <v>14.772527999999999</v>
      </c>
      <c r="BB172" s="33"/>
      <c r="BC172" s="33"/>
      <c r="BD172" s="33"/>
      <c r="BE172" s="33"/>
      <c r="BF172" s="33"/>
      <c r="BG172" s="33"/>
      <c r="BH172" s="33"/>
      <c r="BI172" s="33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1" t="s">
        <v>118</v>
      </c>
      <c r="AN173" s="18"/>
      <c r="AO173" s="6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1" t="s">
        <v>118</v>
      </c>
      <c r="AN174" s="18"/>
      <c r="AO174" s="6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6"/>
      <c r="BK174" s="6"/>
      <c r="BL174" s="21" t="s">
        <v>53</v>
      </c>
      <c r="BO174" s="15"/>
    </row>
    <row r="175" spans="1:67" ht="14.5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1" t="s">
        <v>118</v>
      </c>
      <c r="AN175" s="18"/>
      <c r="AO175" s="6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1" t="s">
        <v>118</v>
      </c>
      <c r="AN176" s="18"/>
      <c r="AO176" s="6"/>
      <c r="AP176" s="33"/>
      <c r="AQ176" s="33">
        <v>1.37E-2</v>
      </c>
      <c r="AR176" s="33"/>
      <c r="AS176" s="33"/>
      <c r="AT176" s="33"/>
      <c r="AU176" s="33"/>
      <c r="AV176" s="33"/>
      <c r="AW176" s="33"/>
      <c r="AX176" s="33"/>
      <c r="AY176" s="33"/>
      <c r="AZ176" s="33"/>
      <c r="BA176" s="33">
        <v>15.690473000000001</v>
      </c>
      <c r="BB176" s="33"/>
      <c r="BC176" s="33"/>
      <c r="BD176" s="33"/>
      <c r="BE176" s="33"/>
      <c r="BF176" s="33"/>
      <c r="BG176" s="33"/>
      <c r="BH176" s="33"/>
      <c r="BI176" s="33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1" t="s">
        <v>118</v>
      </c>
      <c r="AN177" s="18"/>
      <c r="AO177" s="6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1" t="s">
        <v>118</v>
      </c>
      <c r="AN178" s="18"/>
      <c r="AO178" s="6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6"/>
      <c r="BK178" s="6"/>
      <c r="BL178" s="21" t="s">
        <v>53</v>
      </c>
      <c r="BO178" s="15"/>
    </row>
    <row r="179" spans="1:67" ht="14.5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1" t="s">
        <v>118</v>
      </c>
      <c r="AN179" s="18"/>
      <c r="AO179" s="6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6"/>
      <c r="BK179" s="6"/>
      <c r="BL179" s="21" t="s">
        <v>53</v>
      </c>
      <c r="BO179" s="15"/>
    </row>
    <row r="180" spans="1:67" ht="14.5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1" t="s">
        <v>118</v>
      </c>
      <c r="AN180" s="18"/>
      <c r="AO180" s="6"/>
      <c r="AP180" s="33"/>
      <c r="AQ180" s="33">
        <v>1.0999999999999999E-2</v>
      </c>
      <c r="AR180" s="33"/>
      <c r="AS180" s="33"/>
      <c r="AT180" s="33"/>
      <c r="AU180" s="33"/>
      <c r="AV180" s="33"/>
      <c r="AW180" s="33"/>
      <c r="AX180" s="33"/>
      <c r="AY180" s="33"/>
      <c r="AZ180" s="33"/>
      <c r="BA180" s="33">
        <v>14.70205</v>
      </c>
      <c r="BB180" s="33"/>
      <c r="BC180" s="33"/>
      <c r="BD180" s="33"/>
      <c r="BE180" s="33"/>
      <c r="BF180" s="33"/>
      <c r="BG180" s="33"/>
      <c r="BH180" s="33"/>
      <c r="BI180" s="33">
        <f>BJ180/10</f>
        <v>18</v>
      </c>
      <c r="BJ180" s="6">
        <v>180</v>
      </c>
      <c r="BK180" s="6"/>
      <c r="BL180" s="21" t="s">
        <v>53</v>
      </c>
      <c r="BO180" s="15"/>
    </row>
    <row r="181" spans="1:67" ht="14.5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1" t="s">
        <v>118</v>
      </c>
      <c r="AN181" s="18"/>
      <c r="AO181" s="6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1" t="s">
        <v>118</v>
      </c>
      <c r="AN182" s="18"/>
      <c r="AO182" s="6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6"/>
      <c r="BK182" s="6"/>
      <c r="BL182" s="21" t="s">
        <v>53</v>
      </c>
      <c r="BO182" s="15"/>
    </row>
    <row r="183" spans="1:67" ht="14.5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1" t="s">
        <v>118</v>
      </c>
      <c r="AN183" s="18"/>
      <c r="AO183" s="6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1" t="s">
        <v>118</v>
      </c>
      <c r="AN184" s="18"/>
      <c r="AO184" s="6"/>
      <c r="AP184" s="33"/>
      <c r="AQ184" s="33">
        <v>0.01</v>
      </c>
      <c r="AR184" s="33"/>
      <c r="AS184" s="33"/>
      <c r="AT184" s="33"/>
      <c r="AU184" s="33"/>
      <c r="AV184" s="33"/>
      <c r="AW184" s="33"/>
      <c r="AX184" s="33"/>
      <c r="AY184" s="33"/>
      <c r="AZ184" s="33"/>
      <c r="BA184" s="33">
        <v>15.521800000000002</v>
      </c>
      <c r="BB184" s="33"/>
      <c r="BC184" s="33"/>
      <c r="BD184" s="33"/>
      <c r="BE184" s="33"/>
      <c r="BF184" s="33"/>
      <c r="BG184" s="33"/>
      <c r="BH184" s="33"/>
      <c r="BI184" s="33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1" t="s">
        <v>118</v>
      </c>
      <c r="AN185" s="18"/>
      <c r="AO185" s="6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6"/>
      <c r="BK185" s="6"/>
      <c r="BL185" s="21" t="s">
        <v>53</v>
      </c>
      <c r="BO185" s="15"/>
    </row>
    <row r="186" spans="1:67" ht="14.5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1" t="s">
        <v>118</v>
      </c>
      <c r="AN186" s="18"/>
      <c r="AO186" s="6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1" t="s">
        <v>118</v>
      </c>
      <c r="AN187" s="18"/>
      <c r="AO187" s="6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6"/>
      <c r="BK187" s="6"/>
      <c r="BL187" s="21" t="s">
        <v>53</v>
      </c>
      <c r="BO187" s="15"/>
    </row>
    <row r="188" spans="1:67" ht="14.5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1" t="s">
        <v>118</v>
      </c>
      <c r="AN188" s="18"/>
      <c r="AO188" s="6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1" t="s">
        <v>118</v>
      </c>
      <c r="AN189" s="18"/>
      <c r="AO189" s="6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6"/>
      <c r="BK189" s="6"/>
      <c r="BL189" s="21" t="s">
        <v>53</v>
      </c>
      <c r="BO189" s="15"/>
    </row>
    <row r="190" spans="1:67" ht="14.5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1" t="s">
        <v>118</v>
      </c>
      <c r="AN190" s="18"/>
      <c r="AO190" s="6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1" t="s">
        <v>118</v>
      </c>
      <c r="AN191" s="18"/>
      <c r="AO191" s="6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1" t="s">
        <v>118</v>
      </c>
      <c r="AN192" s="18"/>
      <c r="AO192" s="6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6"/>
      <c r="BK192" s="6"/>
      <c r="BL192" s="21" t="s">
        <v>53</v>
      </c>
      <c r="BO192" s="15"/>
    </row>
    <row r="193" spans="1:67" ht="14.5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1" t="s">
        <v>118</v>
      </c>
      <c r="AN193" s="18"/>
      <c r="AO193" s="6"/>
      <c r="AP193" s="33"/>
      <c r="AQ193" s="33">
        <v>1.17E-2</v>
      </c>
      <c r="AR193" s="33"/>
      <c r="AS193" s="33"/>
      <c r="AT193" s="33"/>
      <c r="AU193" s="33"/>
      <c r="AV193" s="33"/>
      <c r="AW193" s="33"/>
      <c r="AX193" s="33"/>
      <c r="AY193" s="33"/>
      <c r="AZ193" s="33"/>
      <c r="BA193" s="33">
        <v>9.0330903000000013</v>
      </c>
      <c r="BB193" s="33"/>
      <c r="BC193" s="33"/>
      <c r="BD193" s="33"/>
      <c r="BE193" s="33"/>
      <c r="BF193" s="33"/>
      <c r="BG193" s="33"/>
      <c r="BH193" s="33"/>
      <c r="BI193" s="33">
        <f>BJ193/10</f>
        <v>8.5</v>
      </c>
      <c r="BJ193" s="6">
        <v>85</v>
      </c>
      <c r="BK193" s="6"/>
      <c r="BL193" s="21" t="s">
        <v>53</v>
      </c>
      <c r="BO193" s="15"/>
    </row>
    <row r="194" spans="1:67" ht="14.5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1" t="s">
        <v>118</v>
      </c>
      <c r="AN194" s="18"/>
      <c r="AO194" s="6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6"/>
      <c r="BK194" s="6"/>
      <c r="BL194" s="21" t="s">
        <v>53</v>
      </c>
      <c r="BO194" s="15"/>
    </row>
    <row r="195" spans="1:67" ht="14.5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1" t="s">
        <v>118</v>
      </c>
      <c r="AN195" s="18"/>
      <c r="AO195" s="6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1" t="s">
        <v>118</v>
      </c>
      <c r="AN196" s="18"/>
      <c r="AO196" s="6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6"/>
      <c r="BK196" s="6"/>
      <c r="BL196" s="21" t="s">
        <v>53</v>
      </c>
      <c r="BO196" s="15"/>
    </row>
    <row r="197" spans="1:67" ht="14.5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1" t="s">
        <v>118</v>
      </c>
      <c r="AN197" s="18"/>
      <c r="AO197" s="6"/>
      <c r="AP197" s="33"/>
      <c r="AQ197" s="33">
        <v>1.52E-2</v>
      </c>
      <c r="AR197" s="33"/>
      <c r="AS197" s="33"/>
      <c r="AT197" s="33"/>
      <c r="AU197" s="33"/>
      <c r="AV197" s="33"/>
      <c r="AW197" s="33"/>
      <c r="AX197" s="33"/>
      <c r="AY197" s="33"/>
      <c r="AZ197" s="33"/>
      <c r="BA197" s="33">
        <v>17.100000000000001</v>
      </c>
      <c r="BB197" s="33"/>
      <c r="BC197" s="33"/>
      <c r="BD197" s="33"/>
      <c r="BE197" s="33"/>
      <c r="BF197" s="33"/>
      <c r="BG197" s="33"/>
      <c r="BH197" s="33"/>
      <c r="BI197" s="33">
        <f>BJ197/10</f>
        <v>19</v>
      </c>
      <c r="BJ197" s="6">
        <v>190</v>
      </c>
      <c r="BK197" s="6"/>
      <c r="BL197" s="21" t="s">
        <v>53</v>
      </c>
      <c r="BO197" s="15"/>
    </row>
    <row r="198" spans="1:67" ht="14.5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1" t="s">
        <v>118</v>
      </c>
      <c r="AN198" s="18"/>
      <c r="AO198" s="6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1" t="s">
        <v>118</v>
      </c>
      <c r="AN199" s="18"/>
      <c r="AO199" s="6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6"/>
      <c r="BK199" s="6"/>
      <c r="BL199" s="21" t="s">
        <v>53</v>
      </c>
      <c r="BO199" s="15"/>
    </row>
    <row r="200" spans="1:67" ht="14.5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1" t="s">
        <v>118</v>
      </c>
      <c r="AN200" s="18"/>
      <c r="AO200" s="6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1" t="s">
        <v>118</v>
      </c>
      <c r="AN201" s="18"/>
      <c r="AO201" s="6"/>
      <c r="AP201" s="33"/>
      <c r="AQ201" s="33">
        <v>1.46E-2</v>
      </c>
      <c r="AR201" s="33"/>
      <c r="AS201" s="33"/>
      <c r="AT201" s="33"/>
      <c r="AU201" s="33"/>
      <c r="AV201" s="33"/>
      <c r="AW201" s="33"/>
      <c r="AX201" s="33"/>
      <c r="AY201" s="33"/>
      <c r="AZ201" s="33"/>
      <c r="BA201" s="33">
        <v>19.323538000000003</v>
      </c>
      <c r="BB201" s="33"/>
      <c r="BC201" s="33"/>
      <c r="BD201" s="33"/>
      <c r="BE201" s="33"/>
      <c r="BF201" s="33"/>
      <c r="BG201" s="33"/>
      <c r="BH201" s="33"/>
      <c r="BI201" s="33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1" t="s">
        <v>118</v>
      </c>
      <c r="AN202" s="18"/>
      <c r="AO202" s="6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1" t="s">
        <v>118</v>
      </c>
      <c r="AN203" s="18"/>
      <c r="AO203" s="6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6"/>
      <c r="BK203" s="6"/>
      <c r="BL203" s="21" t="s">
        <v>53</v>
      </c>
      <c r="BO203" s="15"/>
    </row>
    <row r="204" spans="1:67" ht="14.5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1" t="s">
        <v>118</v>
      </c>
      <c r="AN204" s="18"/>
      <c r="AO204" s="6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1" t="s">
        <v>118</v>
      </c>
      <c r="AN205" s="18"/>
      <c r="AO205" s="6"/>
      <c r="AP205" s="33"/>
      <c r="AQ205" s="33">
        <v>1.41E-2</v>
      </c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18">
        <v>45.4</v>
      </c>
      <c r="O206" s="18"/>
      <c r="P206" s="22"/>
      <c r="Q206" s="22"/>
      <c r="R206" s="22"/>
      <c r="S206" s="22"/>
      <c r="T206" s="22"/>
      <c r="U206" s="22"/>
      <c r="V206" s="23"/>
      <c r="W206" s="23"/>
      <c r="X206" s="19"/>
      <c r="Y206" s="23"/>
      <c r="Z206" s="23"/>
      <c r="AA206" s="6"/>
      <c r="AB206" s="6"/>
      <c r="AC206" s="6"/>
      <c r="AD206" s="21"/>
      <c r="AE206" s="6"/>
      <c r="AF206" s="18">
        <v>9.1999999999999993</v>
      </c>
      <c r="AG206" s="18">
        <v>15.5</v>
      </c>
      <c r="AH206" s="18"/>
      <c r="AI206" s="18">
        <v>11.8</v>
      </c>
      <c r="AK206" s="18"/>
      <c r="AL206" s="18"/>
      <c r="AM206" s="41">
        <v>4.54</v>
      </c>
      <c r="AN206" s="18"/>
      <c r="AO206" s="6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6"/>
      <c r="BK206" s="6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18">
        <v>143.1</v>
      </c>
      <c r="O207" s="18"/>
      <c r="P207" s="22"/>
      <c r="Q207" s="22"/>
      <c r="R207" s="22"/>
      <c r="S207" s="22"/>
      <c r="T207" s="22"/>
      <c r="U207" s="22"/>
      <c r="V207" s="23"/>
      <c r="W207" s="23"/>
      <c r="X207" s="19"/>
      <c r="Y207" s="23"/>
      <c r="Z207" s="23"/>
      <c r="AA207" s="6"/>
      <c r="AB207" s="6"/>
      <c r="AC207" s="6"/>
      <c r="AD207" s="21"/>
      <c r="AE207" s="6"/>
      <c r="AF207" s="18">
        <v>15.4</v>
      </c>
      <c r="AG207" s="18">
        <v>22.8</v>
      </c>
      <c r="AH207" s="18"/>
      <c r="AI207" s="18">
        <v>25.6</v>
      </c>
      <c r="AK207" s="18"/>
      <c r="AL207" s="18"/>
      <c r="AM207" s="41">
        <v>9.4144736842105257</v>
      </c>
      <c r="AN207" s="18"/>
      <c r="AO207" s="6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6"/>
      <c r="BK207" s="6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18">
        <v>74.900000000000006</v>
      </c>
      <c r="O208" s="18"/>
      <c r="P208" s="22"/>
      <c r="Q208" s="22"/>
      <c r="R208" s="22"/>
      <c r="S208" s="22"/>
      <c r="T208" s="22"/>
      <c r="U208" s="22"/>
      <c r="V208" s="23"/>
      <c r="W208" s="23"/>
      <c r="X208" s="19"/>
      <c r="Y208" s="23"/>
      <c r="Z208" s="23"/>
      <c r="AA208" s="6"/>
      <c r="AB208" s="6"/>
      <c r="AC208" s="6"/>
      <c r="AD208" s="21"/>
      <c r="AE208" s="6"/>
      <c r="AF208" s="18">
        <v>16</v>
      </c>
      <c r="AG208" s="18">
        <v>24.7</v>
      </c>
      <c r="AH208" s="18"/>
      <c r="AI208" s="18">
        <v>13.2</v>
      </c>
      <c r="AK208" s="18"/>
      <c r="AL208" s="18"/>
      <c r="AM208" s="41">
        <v>4.7405063291139244</v>
      </c>
      <c r="AN208" s="18"/>
      <c r="AO208" s="6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6"/>
      <c r="BK208" s="6"/>
      <c r="BL208" s="21" t="s">
        <v>54</v>
      </c>
      <c r="BO208" s="15"/>
    </row>
    <row r="209" spans="1:67" ht="14.5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18">
        <v>169.3</v>
      </c>
      <c r="O209" s="18"/>
      <c r="P209" s="22"/>
      <c r="Q209" s="22"/>
      <c r="R209" s="22"/>
      <c r="S209" s="22"/>
      <c r="T209" s="22"/>
      <c r="U209" s="22"/>
      <c r="V209" s="23"/>
      <c r="W209" s="23"/>
      <c r="X209" s="19"/>
      <c r="Y209" s="23"/>
      <c r="Z209" s="23"/>
      <c r="AA209" s="6"/>
      <c r="AB209" s="6"/>
      <c r="AC209" s="6"/>
      <c r="AD209" s="21"/>
      <c r="AE209" s="6"/>
      <c r="AF209" s="18">
        <v>21.3</v>
      </c>
      <c r="AG209" s="18">
        <v>33.1</v>
      </c>
      <c r="AH209" s="18"/>
      <c r="AI209" s="18">
        <v>23.6</v>
      </c>
      <c r="AK209" s="18"/>
      <c r="AL209" s="18"/>
      <c r="AM209" s="41">
        <v>8.4649999999999999</v>
      </c>
      <c r="AN209" s="18"/>
      <c r="AO209" s="6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6"/>
      <c r="BK209" s="6"/>
      <c r="BL209" s="21" t="s">
        <v>54</v>
      </c>
      <c r="BO209" s="15"/>
    </row>
    <row r="210" spans="1:67" ht="14.5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18">
        <v>340.2</v>
      </c>
      <c r="O210" s="18"/>
      <c r="P210" s="22"/>
      <c r="Q210" s="22"/>
      <c r="R210" s="22"/>
      <c r="S210" s="22"/>
      <c r="T210" s="22"/>
      <c r="U210" s="22"/>
      <c r="V210" s="23"/>
      <c r="W210" s="23"/>
      <c r="X210" s="19"/>
      <c r="Y210" s="23"/>
      <c r="Z210" s="23"/>
      <c r="AA210" s="6"/>
      <c r="AB210" s="6"/>
      <c r="AC210" s="6"/>
      <c r="AD210" s="21"/>
      <c r="AE210" s="6"/>
      <c r="AF210" s="18">
        <v>29.9</v>
      </c>
      <c r="AG210" s="18">
        <v>40.4</v>
      </c>
      <c r="AH210" s="18"/>
      <c r="AI210" s="18">
        <v>35.299999999999997</v>
      </c>
      <c r="AK210" s="18"/>
      <c r="AL210" s="18"/>
      <c r="AM210" s="41">
        <v>12.15</v>
      </c>
      <c r="AN210" s="18"/>
      <c r="AO210" s="6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6"/>
      <c r="BK210" s="6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18">
        <v>44.2</v>
      </c>
      <c r="O211" s="18"/>
      <c r="P211" s="22"/>
      <c r="Q211" s="22"/>
      <c r="R211" s="22"/>
      <c r="S211" s="22"/>
      <c r="T211" s="22"/>
      <c r="U211" s="22"/>
      <c r="V211" s="23"/>
      <c r="W211" s="23"/>
      <c r="X211" s="19"/>
      <c r="Y211" s="23"/>
      <c r="Z211" s="23"/>
      <c r="AA211" s="6"/>
      <c r="AB211" s="6"/>
      <c r="AC211" s="6"/>
      <c r="AD211" s="21"/>
      <c r="AE211" s="6"/>
      <c r="AF211" s="18">
        <v>9.3000000000000007</v>
      </c>
      <c r="AG211" s="18">
        <v>15.6</v>
      </c>
      <c r="AH211" s="18"/>
      <c r="AI211" s="18">
        <v>11.4</v>
      </c>
      <c r="AK211" s="18"/>
      <c r="AL211" s="18"/>
      <c r="AM211" s="41">
        <v>4.42</v>
      </c>
      <c r="AN211" s="18"/>
      <c r="AO211" s="6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6"/>
      <c r="BK211" s="6"/>
      <c r="BL211" s="21" t="s">
        <v>54</v>
      </c>
      <c r="BO211" s="15"/>
    </row>
    <row r="212" spans="1:67" ht="14.5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18">
        <v>143.30000000000001</v>
      </c>
      <c r="O212" s="18"/>
      <c r="P212" s="22"/>
      <c r="Q212" s="22"/>
      <c r="R212" s="22"/>
      <c r="S212" s="22"/>
      <c r="T212" s="22"/>
      <c r="U212" s="22"/>
      <c r="V212" s="23"/>
      <c r="W212" s="23"/>
      <c r="X212" s="19"/>
      <c r="Y212" s="23"/>
      <c r="Z212" s="23"/>
      <c r="AA212" s="6"/>
      <c r="AB212" s="6"/>
      <c r="AC212" s="6"/>
      <c r="AD212" s="21"/>
      <c r="AE212" s="6"/>
      <c r="AF212" s="18">
        <v>14.9</v>
      </c>
      <c r="AG212" s="18">
        <v>25.7</v>
      </c>
      <c r="AH212" s="18"/>
      <c r="AI212" s="18">
        <v>26.8</v>
      </c>
      <c r="AK212" s="18"/>
      <c r="AL212" s="18"/>
      <c r="AM212" s="41">
        <v>9.4276315789473699</v>
      </c>
      <c r="AN212" s="18"/>
      <c r="AO212" s="6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6"/>
      <c r="BK212" s="6"/>
      <c r="BL212" s="21" t="s">
        <v>54</v>
      </c>
      <c r="BO212" s="15"/>
    </row>
    <row r="213" spans="1:67" ht="14.5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18">
        <v>76.900000000000006</v>
      </c>
      <c r="O213" s="18"/>
      <c r="P213" s="22"/>
      <c r="Q213" s="22"/>
      <c r="R213" s="22"/>
      <c r="S213" s="22"/>
      <c r="T213" s="22"/>
      <c r="U213" s="22"/>
      <c r="V213" s="23"/>
      <c r="W213" s="23"/>
      <c r="X213" s="19"/>
      <c r="Y213" s="23"/>
      <c r="Z213" s="23"/>
      <c r="AA213" s="6"/>
      <c r="AB213" s="6"/>
      <c r="AC213" s="6"/>
      <c r="AD213" s="21"/>
      <c r="AE213" s="6"/>
      <c r="AF213" s="18">
        <v>14.9</v>
      </c>
      <c r="AG213" s="18">
        <v>25.5</v>
      </c>
      <c r="AH213" s="18"/>
      <c r="AI213" s="18">
        <v>14.3</v>
      </c>
      <c r="AK213" s="18"/>
      <c r="AL213" s="18"/>
      <c r="AM213" s="41">
        <v>4.8670886075949369</v>
      </c>
      <c r="AN213" s="18"/>
      <c r="AO213" s="6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6"/>
      <c r="BK213" s="6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18">
        <v>172.3</v>
      </c>
      <c r="O214" s="18"/>
      <c r="P214" s="22"/>
      <c r="Q214" s="22"/>
      <c r="R214" s="22"/>
      <c r="S214" s="22"/>
      <c r="T214" s="22"/>
      <c r="U214" s="22"/>
      <c r="V214" s="23"/>
      <c r="W214" s="23"/>
      <c r="X214" s="19"/>
      <c r="Y214" s="23"/>
      <c r="Z214" s="23"/>
      <c r="AA214" s="6"/>
      <c r="AB214" s="6"/>
      <c r="AC214" s="6"/>
      <c r="AD214" s="21"/>
      <c r="AE214" s="6"/>
      <c r="AF214" s="18">
        <v>20.2</v>
      </c>
      <c r="AG214" s="18">
        <v>33.799999999999997</v>
      </c>
      <c r="AH214" s="18"/>
      <c r="AI214" s="18">
        <v>25.1</v>
      </c>
      <c r="AK214" s="18"/>
      <c r="AL214" s="18"/>
      <c r="AM214" s="41">
        <v>8.6150000000000002</v>
      </c>
      <c r="AN214" s="18"/>
      <c r="AO214" s="6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6"/>
      <c r="BK214" s="6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18">
        <v>328.3</v>
      </c>
      <c r="O215" s="18"/>
      <c r="P215" s="22"/>
      <c r="Q215" s="22"/>
      <c r="R215" s="22"/>
      <c r="S215" s="22"/>
      <c r="T215" s="22"/>
      <c r="U215" s="22"/>
      <c r="V215" s="23"/>
      <c r="W215" s="23"/>
      <c r="X215" s="19"/>
      <c r="Y215" s="23"/>
      <c r="Z215" s="23"/>
      <c r="AA215" s="6"/>
      <c r="AB215" s="6"/>
      <c r="AC215" s="6"/>
      <c r="AD215" s="21"/>
      <c r="AE215" s="6"/>
      <c r="AF215" s="18">
        <v>27.3</v>
      </c>
      <c r="AG215" s="18">
        <v>40.9</v>
      </c>
      <c r="AH215" s="18"/>
      <c r="AI215" s="18">
        <v>36.6</v>
      </c>
      <c r="AK215" s="18"/>
      <c r="AL215" s="18"/>
      <c r="AM215" s="41">
        <v>11.725</v>
      </c>
      <c r="AN215" s="18"/>
      <c r="AO215" s="6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6"/>
      <c r="BK215" s="6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18">
        <v>42.8</v>
      </c>
      <c r="O216" s="18"/>
      <c r="P216" s="22"/>
      <c r="Q216" s="22"/>
      <c r="R216" s="22"/>
      <c r="S216" s="22"/>
      <c r="T216" s="22"/>
      <c r="U216" s="22"/>
      <c r="V216" s="23"/>
      <c r="W216" s="23"/>
      <c r="X216" s="19"/>
      <c r="Y216" s="23"/>
      <c r="Z216" s="23"/>
      <c r="AA216" s="6"/>
      <c r="AB216" s="6"/>
      <c r="AC216" s="6"/>
      <c r="AD216" s="21"/>
      <c r="AE216" s="6"/>
      <c r="AF216" s="18">
        <v>8.9</v>
      </c>
      <c r="AG216" s="18">
        <v>14.2</v>
      </c>
      <c r="AH216" s="18"/>
      <c r="AI216" s="18">
        <v>11.2</v>
      </c>
      <c r="AK216" s="18"/>
      <c r="AL216" s="18"/>
      <c r="AM216" s="41">
        <v>4.2799999999999994</v>
      </c>
      <c r="AN216" s="18"/>
      <c r="AO216" s="6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6"/>
      <c r="BK216" s="6"/>
      <c r="BL216" s="21" t="s">
        <v>54</v>
      </c>
      <c r="BO216" s="15"/>
    </row>
    <row r="217" spans="1:67" ht="14.5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18">
        <v>191.1</v>
      </c>
      <c r="O217" s="18"/>
      <c r="P217" s="22"/>
      <c r="Q217" s="22"/>
      <c r="R217" s="22"/>
      <c r="S217" s="22"/>
      <c r="T217" s="22"/>
      <c r="U217" s="22"/>
      <c r="V217" s="23"/>
      <c r="W217" s="23"/>
      <c r="X217" s="19"/>
      <c r="Y217" s="23"/>
      <c r="Z217" s="23"/>
      <c r="AA217" s="6"/>
      <c r="AB217" s="6"/>
      <c r="AC217" s="6"/>
      <c r="AD217" s="21"/>
      <c r="AE217" s="6"/>
      <c r="AF217" s="18">
        <v>17.399999999999999</v>
      </c>
      <c r="AG217" s="18">
        <v>24</v>
      </c>
      <c r="AH217" s="18"/>
      <c r="AI217" s="18">
        <v>31</v>
      </c>
      <c r="AK217" s="18"/>
      <c r="AL217" s="18"/>
      <c r="AM217" s="41">
        <v>12.572368421052632</v>
      </c>
      <c r="AN217" s="18"/>
      <c r="AO217" s="6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6"/>
      <c r="BK217" s="6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18">
        <v>102.5</v>
      </c>
      <c r="O218" s="18"/>
      <c r="P218" s="22"/>
      <c r="Q218" s="22"/>
      <c r="R218" s="22"/>
      <c r="S218" s="22"/>
      <c r="T218" s="22"/>
      <c r="U218" s="22"/>
      <c r="V218" s="23"/>
      <c r="W218" s="23"/>
      <c r="X218" s="19"/>
      <c r="Y218" s="23"/>
      <c r="Z218" s="23"/>
      <c r="AA218" s="6"/>
      <c r="AB218" s="6"/>
      <c r="AC218" s="6"/>
      <c r="AD218" s="21"/>
      <c r="AE218" s="6"/>
      <c r="AF218" s="18">
        <v>17.8</v>
      </c>
      <c r="AG218" s="18">
        <v>26.2</v>
      </c>
      <c r="AH218" s="18"/>
      <c r="AI218" s="18">
        <v>16.399999999999999</v>
      </c>
      <c r="AK218" s="18"/>
      <c r="AL218" s="18"/>
      <c r="AM218" s="41">
        <v>6.4873417721518987</v>
      </c>
      <c r="AN218" s="18"/>
      <c r="AO218" s="6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6"/>
      <c r="BK218" s="6"/>
      <c r="BL218" s="21" t="s">
        <v>54</v>
      </c>
      <c r="BO218" s="15"/>
    </row>
    <row r="219" spans="1:67" ht="14.5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18">
        <v>220.3</v>
      </c>
      <c r="O219" s="18"/>
      <c r="P219" s="22"/>
      <c r="Q219" s="22"/>
      <c r="R219" s="22"/>
      <c r="S219" s="22"/>
      <c r="T219" s="22"/>
      <c r="U219" s="22"/>
      <c r="V219" s="23"/>
      <c r="W219" s="23"/>
      <c r="X219" s="19"/>
      <c r="Y219" s="23"/>
      <c r="Z219" s="23"/>
      <c r="AA219" s="6"/>
      <c r="AB219" s="6"/>
      <c r="AC219" s="6"/>
      <c r="AD219" s="21"/>
      <c r="AE219" s="6"/>
      <c r="AF219" s="18">
        <v>23.3</v>
      </c>
      <c r="AG219" s="18">
        <v>34.4</v>
      </c>
      <c r="AH219" s="18"/>
      <c r="AI219" s="18">
        <v>28.3</v>
      </c>
      <c r="AK219" s="18"/>
      <c r="AL219" s="18"/>
      <c r="AM219" s="41">
        <v>11.015000000000001</v>
      </c>
      <c r="AN219" s="18"/>
      <c r="AO219" s="6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6"/>
      <c r="BK219" s="6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18">
        <v>438</v>
      </c>
      <c r="O220" s="18"/>
      <c r="P220" s="22"/>
      <c r="Q220" s="22"/>
      <c r="R220" s="22"/>
      <c r="S220" s="22"/>
      <c r="T220" s="22"/>
      <c r="U220" s="22"/>
      <c r="V220" s="23"/>
      <c r="W220" s="23"/>
      <c r="X220" s="19"/>
      <c r="Y220" s="23"/>
      <c r="Z220" s="23"/>
      <c r="AA220" s="6"/>
      <c r="AB220" s="6"/>
      <c r="AC220" s="6"/>
      <c r="AD220" s="21"/>
      <c r="AE220" s="6"/>
      <c r="AF220" s="18">
        <v>31.1</v>
      </c>
      <c r="AG220" s="18">
        <v>42.8</v>
      </c>
      <c r="AH220" s="18"/>
      <c r="AI220" s="18">
        <v>43.7</v>
      </c>
      <c r="AK220" s="18"/>
      <c r="AL220" s="18"/>
      <c r="AM220" s="41">
        <v>15.642857142857142</v>
      </c>
      <c r="AN220" s="18"/>
      <c r="AO220" s="6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6"/>
      <c r="BK220" s="6"/>
      <c r="BL220" s="21" t="s">
        <v>54</v>
      </c>
      <c r="BO220" s="15"/>
    </row>
    <row r="221" spans="1:67">
      <c r="A221" s="6" t="s">
        <v>132</v>
      </c>
      <c r="B221" s="6" t="s">
        <v>139</v>
      </c>
      <c r="C221" s="17">
        <v>30482.42</v>
      </c>
      <c r="D221" s="18">
        <v>10</v>
      </c>
      <c r="E221" s="22">
        <v>73.420260782347043</v>
      </c>
      <c r="F221" s="22">
        <v>732</v>
      </c>
      <c r="G221" s="22"/>
      <c r="H221" s="22"/>
      <c r="I221" s="22"/>
      <c r="J221" s="22"/>
      <c r="K221" s="22"/>
      <c r="L221" s="22"/>
      <c r="M221" s="22"/>
      <c r="N221" s="18">
        <v>48.8</v>
      </c>
      <c r="O221" s="18"/>
      <c r="P221" s="22"/>
      <c r="Q221" s="22"/>
      <c r="R221" s="22"/>
      <c r="S221" s="22"/>
      <c r="T221" s="22"/>
      <c r="U221" s="22"/>
      <c r="V221" s="23"/>
      <c r="W221" s="23"/>
      <c r="X221" s="19"/>
      <c r="Y221" s="23"/>
      <c r="Z221" s="23"/>
      <c r="AA221" s="6"/>
      <c r="AB221" s="6"/>
      <c r="AC221" s="6"/>
      <c r="AD221" s="21"/>
      <c r="AE221" s="6"/>
      <c r="AF221" s="18">
        <v>9.3000000000000007</v>
      </c>
      <c r="AG221" s="18">
        <v>15.5</v>
      </c>
      <c r="AH221" s="18"/>
      <c r="AI221" s="18">
        <v>12.7</v>
      </c>
      <c r="AK221" s="18"/>
      <c r="AL221" s="18"/>
      <c r="AM221" s="41">
        <v>4.88</v>
      </c>
      <c r="AN221" s="18"/>
      <c r="AO221" s="6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6"/>
      <c r="BK221" s="6"/>
      <c r="BL221" s="21" t="s">
        <v>54</v>
      </c>
      <c r="BO221" s="15"/>
    </row>
    <row r="222" spans="1:67" ht="14.55" customHeight="1">
      <c r="A222" s="6" t="s">
        <v>132</v>
      </c>
      <c r="B222" s="6" t="s">
        <v>139</v>
      </c>
      <c r="C222" s="17">
        <v>32382.68144</v>
      </c>
      <c r="D222" s="18">
        <v>15.2</v>
      </c>
      <c r="E222" s="22">
        <v>73.420260782347043</v>
      </c>
      <c r="F222" s="22">
        <v>732</v>
      </c>
      <c r="G222" s="22"/>
      <c r="H222" s="22"/>
      <c r="I222" s="22"/>
      <c r="J222" s="22"/>
      <c r="K222" s="22"/>
      <c r="L222" s="22"/>
      <c r="M222" s="22"/>
      <c r="N222" s="18">
        <v>257.2</v>
      </c>
      <c r="O222" s="18"/>
      <c r="P222" s="22"/>
      <c r="Q222" s="22"/>
      <c r="R222" s="22"/>
      <c r="S222" s="22"/>
      <c r="T222" s="22"/>
      <c r="U222" s="22"/>
      <c r="V222" s="23"/>
      <c r="W222" s="23"/>
      <c r="X222" s="19"/>
      <c r="Y222" s="23"/>
      <c r="Z222" s="23"/>
      <c r="AA222" s="6"/>
      <c r="AB222" s="6"/>
      <c r="AC222" s="6"/>
      <c r="AD222" s="21"/>
      <c r="AE222" s="6"/>
      <c r="AF222" s="18">
        <v>17.5</v>
      </c>
      <c r="AG222" s="18">
        <v>28.1</v>
      </c>
      <c r="AH222" s="18"/>
      <c r="AI222" s="18">
        <v>41.9</v>
      </c>
      <c r="AK222" s="18"/>
      <c r="AL222" s="18"/>
      <c r="AM222" s="41">
        <v>16.921052631578949</v>
      </c>
      <c r="AN222" s="18"/>
      <c r="AO222" s="6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6"/>
      <c r="BK222" s="6"/>
      <c r="BL222" s="21" t="s">
        <v>54</v>
      </c>
      <c r="BO222" s="15"/>
    </row>
    <row r="223" spans="1:67">
      <c r="A223" s="6" t="s">
        <v>132</v>
      </c>
      <c r="B223" s="6" t="s">
        <v>139</v>
      </c>
      <c r="C223" s="17">
        <v>32601.82676</v>
      </c>
      <c r="D223" s="18">
        <v>15.8</v>
      </c>
      <c r="E223" s="22">
        <v>39.518555667001003</v>
      </c>
      <c r="F223" s="22">
        <v>394</v>
      </c>
      <c r="G223" s="22"/>
      <c r="H223" s="22"/>
      <c r="I223" s="22"/>
      <c r="J223" s="22"/>
      <c r="K223" s="22"/>
      <c r="L223" s="22"/>
      <c r="M223" s="22"/>
      <c r="N223" s="18">
        <v>166.5</v>
      </c>
      <c r="O223" s="18"/>
      <c r="P223" s="22"/>
      <c r="Q223" s="22"/>
      <c r="R223" s="22"/>
      <c r="S223" s="22"/>
      <c r="T223" s="22"/>
      <c r="U223" s="22"/>
      <c r="V223" s="23"/>
      <c r="W223" s="23"/>
      <c r="X223" s="19"/>
      <c r="Y223" s="23"/>
      <c r="Z223" s="23"/>
      <c r="AA223" s="6"/>
      <c r="AB223" s="6"/>
      <c r="AC223" s="6"/>
      <c r="AD223" s="21"/>
      <c r="AE223" s="6"/>
      <c r="AF223" s="18">
        <v>17.8</v>
      </c>
      <c r="AG223" s="18">
        <v>29</v>
      </c>
      <c r="AH223" s="18"/>
      <c r="AI223" s="18">
        <v>26.8</v>
      </c>
      <c r="AK223" s="18"/>
      <c r="AL223" s="18"/>
      <c r="AM223" s="41">
        <v>10.537974683544304</v>
      </c>
      <c r="AN223" s="18"/>
      <c r="AO223" s="6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6"/>
      <c r="BK223" s="6"/>
      <c r="BL223" s="21" t="s">
        <v>54</v>
      </c>
      <c r="BO223" s="15"/>
    </row>
    <row r="224" spans="1:67" ht="14.55" customHeight="1">
      <c r="A224" s="6" t="s">
        <v>132</v>
      </c>
      <c r="B224" s="6" t="s">
        <v>139</v>
      </c>
      <c r="C224" s="17">
        <v>34135.843999999997</v>
      </c>
      <c r="D224" s="18">
        <v>20</v>
      </c>
      <c r="E224" s="22">
        <v>39.518555667001003</v>
      </c>
      <c r="F224" s="22">
        <v>394</v>
      </c>
      <c r="G224" s="22"/>
      <c r="H224" s="22"/>
      <c r="I224" s="22"/>
      <c r="J224" s="22"/>
      <c r="K224" s="22"/>
      <c r="L224" s="22"/>
      <c r="M224" s="22"/>
      <c r="N224" s="18">
        <v>276.39999999999998</v>
      </c>
      <c r="O224" s="18"/>
      <c r="P224" s="22"/>
      <c r="Q224" s="22"/>
      <c r="R224" s="22"/>
      <c r="S224" s="22"/>
      <c r="T224" s="22"/>
      <c r="U224" s="22"/>
      <c r="V224" s="23"/>
      <c r="W224" s="23"/>
      <c r="X224" s="19"/>
      <c r="Y224" s="23"/>
      <c r="Z224" s="23"/>
      <c r="AA224" s="6"/>
      <c r="AB224" s="6"/>
      <c r="AC224" s="6"/>
      <c r="AD224" s="21"/>
      <c r="AE224" s="6"/>
      <c r="AF224" s="18">
        <v>22.4</v>
      </c>
      <c r="AG224" s="18">
        <v>33.9</v>
      </c>
      <c r="AH224" s="18"/>
      <c r="AI224" s="18">
        <v>36.700000000000003</v>
      </c>
      <c r="AK224" s="18"/>
      <c r="AL224" s="18"/>
      <c r="AM224" s="41">
        <v>13.819999999999999</v>
      </c>
      <c r="AN224" s="18"/>
      <c r="AO224" s="6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6"/>
      <c r="BK224" s="6"/>
      <c r="BL224" s="21" t="s">
        <v>54</v>
      </c>
      <c r="BO224" s="15"/>
    </row>
    <row r="225" spans="1:67">
      <c r="A225" s="6" t="s">
        <v>132</v>
      </c>
      <c r="B225" s="6" t="s">
        <v>139</v>
      </c>
      <c r="C225" s="17">
        <v>37057.781600000002</v>
      </c>
      <c r="D225" s="18">
        <v>28</v>
      </c>
      <c r="E225" s="22">
        <v>39.518555667001003</v>
      </c>
      <c r="F225" s="22">
        <v>394</v>
      </c>
      <c r="G225" s="22"/>
      <c r="H225" s="22"/>
      <c r="I225" s="22"/>
      <c r="J225" s="22"/>
      <c r="K225" s="22"/>
      <c r="L225" s="22"/>
      <c r="M225" s="22"/>
      <c r="N225" s="18">
        <v>454</v>
      </c>
      <c r="O225" s="18"/>
      <c r="P225" s="22"/>
      <c r="Q225" s="22"/>
      <c r="R225" s="22"/>
      <c r="S225" s="22"/>
      <c r="T225" s="22"/>
      <c r="U225" s="22"/>
      <c r="V225" s="23"/>
      <c r="W225" s="23"/>
      <c r="X225" s="19"/>
      <c r="Y225" s="23"/>
      <c r="Z225" s="23"/>
      <c r="AA225" s="6"/>
      <c r="AB225" s="6"/>
      <c r="AC225" s="6"/>
      <c r="AD225" s="21"/>
      <c r="AE225" s="6"/>
      <c r="AF225" s="18">
        <v>28.8</v>
      </c>
      <c r="AG225" s="18">
        <v>39</v>
      </c>
      <c r="AH225" s="18"/>
      <c r="AI225" s="18">
        <v>48.4</v>
      </c>
      <c r="AK225" s="18"/>
      <c r="AL225" s="18"/>
      <c r="AM225" s="41">
        <v>16.214285714285715</v>
      </c>
      <c r="AN225" s="18"/>
      <c r="AO225" s="6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6"/>
      <c r="BK225" s="6"/>
      <c r="BL225" s="21" t="s">
        <v>54</v>
      </c>
      <c r="BO225" s="15"/>
    </row>
    <row r="226" spans="1:67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18">
        <v>48</v>
      </c>
      <c r="O226" s="18"/>
      <c r="P226" s="22"/>
      <c r="Q226" s="22"/>
      <c r="R226" s="22"/>
      <c r="S226" s="22"/>
      <c r="T226" s="22"/>
      <c r="U226" s="22"/>
      <c r="V226" s="23"/>
      <c r="W226" s="23"/>
      <c r="X226" s="19"/>
      <c r="Y226" s="23"/>
      <c r="Z226" s="23"/>
      <c r="AA226" s="6"/>
      <c r="AB226" s="6"/>
      <c r="AC226" s="6"/>
      <c r="AD226" s="21"/>
      <c r="AE226" s="6"/>
      <c r="AF226" s="18">
        <v>9.4</v>
      </c>
      <c r="AG226" s="18">
        <v>14.6</v>
      </c>
      <c r="AH226" s="18"/>
      <c r="AI226" s="18">
        <v>12.2</v>
      </c>
      <c r="AK226" s="18"/>
      <c r="AL226" s="18"/>
      <c r="AM226" s="41">
        <v>4.8</v>
      </c>
      <c r="AN226" s="18"/>
      <c r="AO226" s="6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6"/>
      <c r="BK226" s="6"/>
      <c r="BL226" s="21" t="s">
        <v>54</v>
      </c>
      <c r="BO226" s="15"/>
    </row>
    <row r="227" spans="1:67" ht="14.5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18">
        <v>251.7</v>
      </c>
      <c r="O227" s="18"/>
      <c r="P227" s="22"/>
      <c r="Q227" s="22"/>
      <c r="R227" s="22"/>
      <c r="S227" s="22"/>
      <c r="T227" s="22"/>
      <c r="U227" s="22"/>
      <c r="V227" s="23"/>
      <c r="W227" s="23"/>
      <c r="X227" s="19"/>
      <c r="Y227" s="23"/>
      <c r="Z227" s="23"/>
      <c r="AA227" s="6"/>
      <c r="AB227" s="6"/>
      <c r="AC227" s="6"/>
      <c r="AD227" s="21"/>
      <c r="AE227" s="6"/>
      <c r="AF227" s="18">
        <v>17.5</v>
      </c>
      <c r="AG227" s="18">
        <v>26.6</v>
      </c>
      <c r="AH227" s="18"/>
      <c r="AI227" s="18">
        <v>40.6</v>
      </c>
      <c r="AK227" s="18"/>
      <c r="AL227" s="18"/>
      <c r="AM227" s="41">
        <v>16.559210526315791</v>
      </c>
      <c r="AN227" s="18"/>
      <c r="AO227" s="6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6"/>
      <c r="BK227" s="6"/>
      <c r="BL227" s="21" t="s">
        <v>54</v>
      </c>
      <c r="BO227" s="15"/>
    </row>
    <row r="228" spans="1:67" ht="14.5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3"/>
      <c r="K228" s="43"/>
      <c r="L228" s="27"/>
      <c r="M228" s="22"/>
      <c r="N228" s="18">
        <v>154.6</v>
      </c>
      <c r="O228" s="18"/>
      <c r="P228" s="22"/>
      <c r="Q228" s="22"/>
      <c r="R228" s="22"/>
      <c r="S228" s="22"/>
      <c r="T228" s="22"/>
      <c r="U228" s="27"/>
      <c r="V228" s="28"/>
      <c r="W228" s="28"/>
      <c r="X228" s="19"/>
      <c r="Y228" s="28"/>
      <c r="Z228" s="28"/>
      <c r="AA228" s="6"/>
      <c r="AB228" s="6"/>
      <c r="AC228" s="6"/>
      <c r="AD228" s="21"/>
      <c r="AE228" s="6"/>
      <c r="AF228" s="26">
        <v>18</v>
      </c>
      <c r="AG228" s="26">
        <v>28.2</v>
      </c>
      <c r="AH228" s="26"/>
      <c r="AI228" s="18">
        <v>24.6</v>
      </c>
      <c r="AK228" s="18"/>
      <c r="AL228" s="18"/>
      <c r="AM228" s="41">
        <v>9.7848101265822773</v>
      </c>
      <c r="AN228" s="18"/>
      <c r="AO228" s="6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6"/>
      <c r="BK228" s="6"/>
      <c r="BL228" s="21" t="s">
        <v>54</v>
      </c>
      <c r="BO228" s="15"/>
    </row>
    <row r="229" spans="1:67" ht="14.5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3"/>
      <c r="K229" s="43"/>
      <c r="L229" s="27"/>
      <c r="M229" s="22"/>
      <c r="N229" s="18">
        <v>311.2</v>
      </c>
      <c r="O229" s="18"/>
      <c r="P229" s="22"/>
      <c r="Q229" s="22"/>
      <c r="R229" s="22"/>
      <c r="S229" s="22"/>
      <c r="T229" s="22"/>
      <c r="U229" s="27"/>
      <c r="V229" s="28"/>
      <c r="W229" s="28"/>
      <c r="X229" s="19"/>
      <c r="Y229" s="28"/>
      <c r="Z229" s="28"/>
      <c r="AA229" s="6"/>
      <c r="AB229" s="6"/>
      <c r="AC229" s="6"/>
      <c r="AD229" s="21"/>
      <c r="AE229" s="6"/>
      <c r="AF229" s="26">
        <v>23.7</v>
      </c>
      <c r="AG229" s="26">
        <v>35.6</v>
      </c>
      <c r="AH229" s="26"/>
      <c r="AI229" s="18">
        <v>39.200000000000003</v>
      </c>
      <c r="AK229" s="18"/>
      <c r="AL229" s="18"/>
      <c r="AM229" s="41">
        <v>15.559999999999999</v>
      </c>
      <c r="AN229" s="18"/>
      <c r="AO229" s="6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6"/>
      <c r="BK229" s="6"/>
      <c r="BL229" s="21" t="s">
        <v>54</v>
      </c>
      <c r="BO229" s="15"/>
    </row>
    <row r="230" spans="1:67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3"/>
      <c r="K230" s="43"/>
      <c r="L230" s="29"/>
      <c r="M230" s="22"/>
      <c r="N230" s="18">
        <v>624.29999999999995</v>
      </c>
      <c r="O230" s="18"/>
      <c r="P230" s="22"/>
      <c r="Q230" s="22"/>
      <c r="R230" s="22"/>
      <c r="S230" s="22"/>
      <c r="T230" s="22"/>
      <c r="U230" s="29"/>
      <c r="V230" s="30"/>
      <c r="W230" s="30"/>
      <c r="X230" s="19"/>
      <c r="Y230" s="30"/>
      <c r="Z230" s="30"/>
      <c r="AA230" s="6"/>
      <c r="AB230" s="6"/>
      <c r="AC230" s="6"/>
      <c r="AD230" s="21"/>
      <c r="AE230" s="6"/>
      <c r="AF230" s="25">
        <v>32.700000000000003</v>
      </c>
      <c r="AG230" s="25">
        <v>43.7</v>
      </c>
      <c r="AH230" s="25"/>
      <c r="AI230" s="18">
        <v>59</v>
      </c>
      <c r="AK230" s="18"/>
      <c r="AL230" s="18"/>
      <c r="AM230" s="41">
        <v>22.296428571428571</v>
      </c>
      <c r="AN230" s="18"/>
      <c r="AO230" s="6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6"/>
      <c r="BK230" s="6"/>
      <c r="BL230" s="21" t="s">
        <v>54</v>
      </c>
      <c r="BO230" s="15"/>
    </row>
    <row r="231" spans="1:67" ht="14.5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3"/>
      <c r="K231" s="43"/>
      <c r="L231" s="27"/>
      <c r="M231" s="22"/>
      <c r="N231" s="18">
        <v>46.8</v>
      </c>
      <c r="O231" s="18"/>
      <c r="P231" s="22"/>
      <c r="Q231" s="22"/>
      <c r="R231" s="22"/>
      <c r="S231" s="22"/>
      <c r="T231" s="22"/>
      <c r="U231" s="27"/>
      <c r="V231" s="28"/>
      <c r="W231" s="28"/>
      <c r="X231" s="19"/>
      <c r="Y231" s="28"/>
      <c r="Z231" s="28"/>
      <c r="AA231" s="6"/>
      <c r="AB231" s="6"/>
      <c r="AC231" s="6"/>
      <c r="AD231" s="21"/>
      <c r="AE231" s="6"/>
      <c r="AF231" s="26">
        <v>9.3000000000000007</v>
      </c>
      <c r="AG231" s="26">
        <v>14.9</v>
      </c>
      <c r="AH231" s="26"/>
      <c r="AI231" s="18">
        <v>12.1</v>
      </c>
      <c r="AK231" s="18"/>
      <c r="AL231" s="18"/>
      <c r="AM231" s="41">
        <v>4.68</v>
      </c>
      <c r="AN231" s="18"/>
      <c r="AO231" s="6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6"/>
      <c r="BK231" s="6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3"/>
      <c r="K232" s="43"/>
      <c r="L232" s="27"/>
      <c r="M232" s="22"/>
      <c r="N232" s="18">
        <v>272.3</v>
      </c>
      <c r="O232" s="18"/>
      <c r="P232" s="22"/>
      <c r="Q232" s="22"/>
      <c r="R232" s="22"/>
      <c r="S232" s="22"/>
      <c r="T232" s="22"/>
      <c r="U232" s="27"/>
      <c r="V232" s="28"/>
      <c r="W232" s="28"/>
      <c r="X232" s="19"/>
      <c r="Y232" s="28"/>
      <c r="Z232" s="28"/>
      <c r="AA232" s="6"/>
      <c r="AB232" s="6"/>
      <c r="AC232" s="6"/>
      <c r="AD232" s="21"/>
      <c r="AE232" s="6"/>
      <c r="AF232" s="26">
        <v>17.600000000000001</v>
      </c>
      <c r="AG232" s="26">
        <v>28.4</v>
      </c>
      <c r="AH232" s="26"/>
      <c r="AI232" s="18">
        <v>44</v>
      </c>
      <c r="AK232" s="18"/>
      <c r="AL232" s="18"/>
      <c r="AM232" s="41">
        <v>17.914473684210527</v>
      </c>
      <c r="AN232" s="18"/>
      <c r="AO232" s="6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6"/>
      <c r="BK232" s="6"/>
      <c r="BL232" s="21" t="s">
        <v>54</v>
      </c>
      <c r="BO232" s="15"/>
    </row>
    <row r="233" spans="1:67" ht="14.5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3"/>
      <c r="K233" s="43"/>
      <c r="L233" s="27"/>
      <c r="M233" s="22"/>
      <c r="N233" s="18">
        <v>178</v>
      </c>
      <c r="O233" s="18"/>
      <c r="P233" s="22"/>
      <c r="Q233" s="22"/>
      <c r="R233" s="22"/>
      <c r="S233" s="22"/>
      <c r="T233" s="22"/>
      <c r="U233" s="27"/>
      <c r="V233" s="28"/>
      <c r="W233" s="28"/>
      <c r="X233" s="19"/>
      <c r="Y233" s="28"/>
      <c r="Z233" s="28"/>
      <c r="AA233" s="6"/>
      <c r="AB233" s="6"/>
      <c r="AC233" s="6"/>
      <c r="AD233" s="21"/>
      <c r="AE233" s="6"/>
      <c r="AF233" s="26">
        <v>18.3</v>
      </c>
      <c r="AG233" s="26">
        <v>30.1</v>
      </c>
      <c r="AH233" s="26"/>
      <c r="AI233" s="18">
        <v>28.3</v>
      </c>
      <c r="AK233" s="18"/>
      <c r="AL233" s="18"/>
      <c r="AM233" s="41">
        <v>11.265822784810126</v>
      </c>
      <c r="AN233" s="18"/>
      <c r="AO233" s="6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6"/>
      <c r="BK233" s="6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1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3"/>
      <c r="K234" s="43"/>
      <c r="L234" s="27"/>
      <c r="M234" s="22"/>
      <c r="N234" s="18">
        <v>309.89999999999998</v>
      </c>
      <c r="O234" s="18"/>
      <c r="P234" s="22"/>
      <c r="Q234" s="22"/>
      <c r="R234" s="22"/>
      <c r="S234" s="27"/>
      <c r="T234" s="27"/>
      <c r="U234" s="27"/>
      <c r="V234" s="28"/>
      <c r="W234" s="28"/>
      <c r="X234" s="19"/>
      <c r="Y234" s="28"/>
      <c r="Z234" s="28"/>
      <c r="AA234" s="6"/>
      <c r="AB234" s="6"/>
      <c r="AC234" s="6"/>
      <c r="AD234" s="21"/>
      <c r="AE234" s="6"/>
      <c r="AF234" s="26">
        <v>22.5</v>
      </c>
      <c r="AG234" s="26">
        <v>37.200000000000003</v>
      </c>
      <c r="AH234" s="26"/>
      <c r="AI234" s="18">
        <v>41.3</v>
      </c>
      <c r="AK234" s="18"/>
      <c r="AL234" s="18"/>
      <c r="AM234" s="41">
        <v>15.494999999999999</v>
      </c>
      <c r="AN234" s="18"/>
      <c r="AO234" s="6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6"/>
      <c r="BK234" s="6"/>
      <c r="BL234" s="21" t="s">
        <v>54</v>
      </c>
      <c r="BO234" s="15"/>
    </row>
    <row r="235" spans="1:67" ht="14.55" customHeight="1">
      <c r="A235" s="6" t="s">
        <v>134</v>
      </c>
      <c r="B235" s="6" t="s">
        <v>141</v>
      </c>
      <c r="C235" s="31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3"/>
      <c r="K235" s="43"/>
      <c r="L235" s="27"/>
      <c r="M235" s="22"/>
      <c r="N235" s="18">
        <v>505.6</v>
      </c>
      <c r="O235" s="18"/>
      <c r="P235" s="22"/>
      <c r="Q235" s="22"/>
      <c r="R235" s="22"/>
      <c r="S235" s="27"/>
      <c r="T235" s="27"/>
      <c r="U235" s="27"/>
      <c r="V235" s="28"/>
      <c r="W235" s="28"/>
      <c r="X235" s="19"/>
      <c r="Y235" s="28"/>
      <c r="Z235" s="28"/>
      <c r="AA235" s="6"/>
      <c r="AB235" s="6"/>
      <c r="AC235" s="6"/>
      <c r="AD235" s="21"/>
      <c r="AE235" s="6"/>
      <c r="AF235" s="26">
        <v>28.5</v>
      </c>
      <c r="AG235" s="26">
        <v>43.2</v>
      </c>
      <c r="AH235" s="26"/>
      <c r="AI235" s="18">
        <v>54.4</v>
      </c>
      <c r="AK235" s="18"/>
      <c r="AL235" s="18"/>
      <c r="AM235" s="41">
        <v>18.057142857142857</v>
      </c>
      <c r="AN235" s="18"/>
      <c r="AO235" s="6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6"/>
      <c r="BK235" s="6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1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3"/>
      <c r="K236" s="43"/>
      <c r="L236" s="27"/>
      <c r="M236" s="22"/>
      <c r="N236" s="18">
        <v>47.4</v>
      </c>
      <c r="O236" s="18"/>
      <c r="P236" s="22"/>
      <c r="Q236" s="22"/>
      <c r="R236" s="22"/>
      <c r="S236" s="27"/>
      <c r="T236" s="27"/>
      <c r="U236" s="27"/>
      <c r="V236" s="28"/>
      <c r="W236" s="28"/>
      <c r="X236" s="19"/>
      <c r="Y236" s="28"/>
      <c r="Z236" s="28"/>
      <c r="AA236" s="6"/>
      <c r="AB236" s="6"/>
      <c r="AC236" s="6"/>
      <c r="AD236" s="21"/>
      <c r="AE236" s="6"/>
      <c r="AF236" s="26">
        <v>9.3000000000000007</v>
      </c>
      <c r="AG236" s="26">
        <v>13.9</v>
      </c>
      <c r="AH236" s="26"/>
      <c r="AI236" s="18">
        <v>12.1</v>
      </c>
      <c r="AK236" s="18"/>
      <c r="AL236" s="18"/>
      <c r="AM236" s="41">
        <v>4.74</v>
      </c>
      <c r="AN236" s="18"/>
      <c r="AO236" s="6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6"/>
      <c r="BK236" s="6"/>
      <c r="BL236" s="21" t="s">
        <v>54</v>
      </c>
      <c r="BO236" s="15"/>
    </row>
    <row r="237" spans="1:67" ht="14.55" customHeight="1">
      <c r="A237" s="6" t="s">
        <v>133</v>
      </c>
      <c r="B237" s="6" t="s">
        <v>140</v>
      </c>
      <c r="C237" s="31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3"/>
      <c r="K237" s="43"/>
      <c r="L237" s="27"/>
      <c r="M237" s="22"/>
      <c r="N237" s="18">
        <v>271.60000000000002</v>
      </c>
      <c r="O237" s="18"/>
      <c r="P237" s="22"/>
      <c r="Q237" s="22"/>
      <c r="R237" s="22"/>
      <c r="S237" s="27"/>
      <c r="T237" s="27"/>
      <c r="U237" s="27"/>
      <c r="V237" s="28"/>
      <c r="W237" s="28"/>
      <c r="X237" s="19"/>
      <c r="Y237" s="28"/>
      <c r="Z237" s="28"/>
      <c r="AA237" s="6"/>
      <c r="AB237" s="6"/>
      <c r="AC237" s="6"/>
      <c r="AD237" s="21"/>
      <c r="AE237" s="6"/>
      <c r="AF237" s="26">
        <v>17.2</v>
      </c>
      <c r="AG237" s="26">
        <v>27</v>
      </c>
      <c r="AH237" s="26"/>
      <c r="AI237" s="18">
        <v>44.5</v>
      </c>
      <c r="AK237" s="18"/>
      <c r="AL237" s="18"/>
      <c r="AM237" s="41">
        <v>17.868421052631582</v>
      </c>
      <c r="AN237" s="18"/>
      <c r="AO237" s="6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6"/>
      <c r="BK237" s="6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1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3"/>
      <c r="K238" s="43"/>
      <c r="L238" s="27"/>
      <c r="M238" s="22"/>
      <c r="N238" s="18">
        <v>171.5</v>
      </c>
      <c r="O238" s="18"/>
      <c r="P238" s="22"/>
      <c r="Q238" s="22"/>
      <c r="R238" s="22"/>
      <c r="S238" s="27"/>
      <c r="T238" s="27"/>
      <c r="U238" s="27"/>
      <c r="V238" s="28"/>
      <c r="W238" s="28"/>
      <c r="X238" s="19"/>
      <c r="Y238" s="28"/>
      <c r="Z238" s="28"/>
      <c r="AA238" s="6"/>
      <c r="AB238" s="6"/>
      <c r="AC238" s="6"/>
      <c r="AD238" s="21"/>
      <c r="AE238" s="6"/>
      <c r="AF238" s="26">
        <v>17.899999999999999</v>
      </c>
      <c r="AG238" s="26">
        <v>28.9</v>
      </c>
      <c r="AH238" s="26"/>
      <c r="AI238" s="18">
        <v>27.6</v>
      </c>
      <c r="AK238" s="18"/>
      <c r="AL238" s="18"/>
      <c r="AM238" s="41">
        <v>10.854430379746836</v>
      </c>
      <c r="AN238" s="18"/>
      <c r="AO238" s="6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6"/>
      <c r="BK238" s="6"/>
      <c r="BL238" s="21" t="s">
        <v>54</v>
      </c>
      <c r="BO238" s="15"/>
    </row>
    <row r="239" spans="1:67" ht="14.55" customHeight="1">
      <c r="A239" s="6" t="s">
        <v>133</v>
      </c>
      <c r="B239" s="6" t="s">
        <v>140</v>
      </c>
      <c r="C239" s="31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3"/>
      <c r="K239" s="43"/>
      <c r="L239" s="27"/>
      <c r="M239" s="22"/>
      <c r="N239" s="18">
        <v>401</v>
      </c>
      <c r="O239" s="18"/>
      <c r="P239" s="22"/>
      <c r="Q239" s="22"/>
      <c r="R239" s="22"/>
      <c r="S239" s="27"/>
      <c r="T239" s="27"/>
      <c r="U239" s="27"/>
      <c r="V239" s="28"/>
      <c r="W239" s="28"/>
      <c r="X239" s="19"/>
      <c r="Y239" s="28"/>
      <c r="Z239" s="28"/>
      <c r="AA239" s="6"/>
      <c r="AB239" s="6"/>
      <c r="AC239" s="6"/>
      <c r="AD239" s="21"/>
      <c r="AE239" s="6"/>
      <c r="AF239" s="26">
        <v>24.1</v>
      </c>
      <c r="AG239" s="26">
        <v>39.5</v>
      </c>
      <c r="AH239" s="26"/>
      <c r="AI239" s="18">
        <v>50.3</v>
      </c>
      <c r="AK239" s="18"/>
      <c r="AL239" s="18"/>
      <c r="AM239" s="41">
        <v>20.05</v>
      </c>
      <c r="AN239" s="18"/>
      <c r="AO239" s="6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6"/>
      <c r="BK239" s="6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1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3"/>
      <c r="K240" s="43"/>
      <c r="L240" s="27"/>
      <c r="M240" s="22"/>
      <c r="N240" s="18">
        <v>776</v>
      </c>
      <c r="O240" s="18"/>
      <c r="P240" s="22"/>
      <c r="Q240" s="22"/>
      <c r="R240" s="22"/>
      <c r="S240" s="27"/>
      <c r="T240" s="27"/>
      <c r="U240" s="27"/>
      <c r="V240" s="28"/>
      <c r="W240" s="28"/>
      <c r="X240" s="19"/>
      <c r="Y240" s="28"/>
      <c r="Z240" s="28"/>
      <c r="AA240" s="6"/>
      <c r="AB240" s="6"/>
      <c r="AC240" s="6"/>
      <c r="AD240" s="21"/>
      <c r="AE240" s="6"/>
      <c r="AF240" s="26">
        <v>33.6</v>
      </c>
      <c r="AG240" s="26">
        <v>47.2</v>
      </c>
      <c r="AH240" s="26"/>
      <c r="AI240" s="18">
        <v>72</v>
      </c>
      <c r="AK240" s="18"/>
      <c r="AL240" s="18"/>
      <c r="AM240" s="41">
        <v>27.714285714285715</v>
      </c>
      <c r="AN240" s="18"/>
      <c r="AO240" s="6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6"/>
      <c r="BK240" s="6"/>
      <c r="BL240" s="21" t="s">
        <v>54</v>
      </c>
      <c r="BO240" s="15"/>
    </row>
    <row r="241" spans="1:67" ht="14.5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2">
        <v>625</v>
      </c>
      <c r="G241" s="22"/>
      <c r="H241" s="44"/>
      <c r="I241" s="27"/>
      <c r="J241" s="44">
        <v>626.1</v>
      </c>
      <c r="K241" s="44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2"/>
      <c r="AG241" s="42"/>
      <c r="AH241" s="42"/>
      <c r="AI241" s="18"/>
      <c r="AK241" s="18"/>
      <c r="AL241" s="18"/>
      <c r="AM241" s="41" t="s">
        <v>118</v>
      </c>
      <c r="AN241" s="18"/>
      <c r="AO241" s="6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2">
        <v>625</v>
      </c>
      <c r="G242" s="22"/>
      <c r="H242" s="44"/>
      <c r="I242" s="27"/>
      <c r="J242" s="44">
        <v>1075.9000000000001</v>
      </c>
      <c r="K242" s="44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2"/>
      <c r="AG242" s="42"/>
      <c r="AH242" s="42"/>
      <c r="AI242" s="18"/>
      <c r="AK242" s="18"/>
      <c r="AL242" s="18"/>
      <c r="AM242" s="41" t="s">
        <v>118</v>
      </c>
      <c r="AN242" s="18"/>
      <c r="AO242" s="6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6"/>
      <c r="BK242" s="6"/>
      <c r="BL242" s="21" t="s">
        <v>55</v>
      </c>
      <c r="BO242" s="15"/>
    </row>
    <row r="243" spans="1:67" ht="14.5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2">
        <v>625</v>
      </c>
      <c r="G243" s="22"/>
      <c r="H243" s="44"/>
      <c r="I243" s="27"/>
      <c r="J243" s="44">
        <v>1401</v>
      </c>
      <c r="K243" s="44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2"/>
      <c r="AG243" s="42"/>
      <c r="AH243" s="42"/>
      <c r="AI243" s="18"/>
      <c r="AK243" s="18"/>
      <c r="AL243" s="18"/>
      <c r="AM243" s="41" t="s">
        <v>118</v>
      </c>
      <c r="AN243" s="18"/>
      <c r="AO243" s="6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6"/>
      <c r="BK243" s="6"/>
      <c r="BL243" s="21" t="s">
        <v>55</v>
      </c>
      <c r="BO243" s="15"/>
    </row>
    <row r="244" spans="1:67" ht="14.5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2">
        <v>625</v>
      </c>
      <c r="G244" s="22"/>
      <c r="H244" s="44"/>
      <c r="I244" s="27"/>
      <c r="J244" s="44">
        <v>1691.4</v>
      </c>
      <c r="K244" s="44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2"/>
      <c r="AG244" s="42"/>
      <c r="AH244" s="42"/>
      <c r="AI244" s="18"/>
      <c r="AK244" s="18"/>
      <c r="AL244" s="18"/>
      <c r="AM244" s="41" t="s">
        <v>118</v>
      </c>
      <c r="AN244" s="18"/>
      <c r="AO244" s="6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2">
        <v>625</v>
      </c>
      <c r="G245" s="22"/>
      <c r="H245" s="44"/>
      <c r="I245" s="27"/>
      <c r="J245" s="44">
        <v>2002.9</v>
      </c>
      <c r="K245" s="44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2"/>
      <c r="AG245" s="42"/>
      <c r="AH245" s="42"/>
      <c r="AI245" s="18"/>
      <c r="AK245" s="18"/>
      <c r="AL245" s="18"/>
      <c r="AM245" s="41" t="s">
        <v>118</v>
      </c>
      <c r="AN245" s="18"/>
      <c r="AO245" s="6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6"/>
      <c r="BK245" s="6"/>
      <c r="BL245" s="21" t="s">
        <v>55</v>
      </c>
      <c r="BO245" s="15"/>
    </row>
    <row r="246" spans="1:67" ht="14.5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2">
        <v>275</v>
      </c>
      <c r="G246" s="22"/>
      <c r="H246" s="45"/>
      <c r="I246" s="27"/>
      <c r="J246" s="45"/>
      <c r="K246" s="45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2"/>
      <c r="AG246" s="42"/>
      <c r="AH246" s="42"/>
      <c r="AI246" s="18"/>
      <c r="AK246" s="18"/>
      <c r="AL246" s="18"/>
      <c r="AM246" s="41" t="s">
        <v>118</v>
      </c>
      <c r="AN246" s="18"/>
      <c r="AO246" s="6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2">
        <v>275</v>
      </c>
      <c r="G247" s="22"/>
      <c r="H247" s="45"/>
      <c r="I247" s="27"/>
      <c r="J247" s="45"/>
      <c r="K247" s="45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2"/>
      <c r="AG247" s="42"/>
      <c r="AH247" s="42"/>
      <c r="AI247" s="18"/>
      <c r="AK247" s="18"/>
      <c r="AL247" s="18"/>
      <c r="AM247" s="41" t="s">
        <v>118</v>
      </c>
      <c r="AN247" s="18"/>
      <c r="AO247" s="6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2">
        <v>275</v>
      </c>
      <c r="G248" s="22"/>
      <c r="H248" s="44">
        <v>930.00000000000011</v>
      </c>
      <c r="I248" s="27"/>
      <c r="J248" s="44">
        <v>1889.9999999999998</v>
      </c>
      <c r="K248" s="44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2"/>
      <c r="AG248" s="42"/>
      <c r="AH248" s="42"/>
      <c r="AI248" s="18"/>
      <c r="AK248" s="18"/>
      <c r="AL248" s="18"/>
      <c r="AM248" s="41" t="s">
        <v>118</v>
      </c>
      <c r="AN248" s="18"/>
      <c r="AO248" s="6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6"/>
      <c r="BK248" s="6"/>
      <c r="BL248" s="21" t="s">
        <v>55</v>
      </c>
      <c r="BO248" s="15"/>
    </row>
    <row r="249" spans="1:67" ht="14.5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2">
        <v>275</v>
      </c>
      <c r="G249" s="22"/>
      <c r="H249" s="22"/>
      <c r="I249" s="27"/>
      <c r="J249" s="43"/>
      <c r="K249" s="43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2"/>
      <c r="AG249" s="42"/>
      <c r="AH249" s="42"/>
      <c r="AI249" s="18"/>
      <c r="AK249" s="18"/>
      <c r="AL249" s="18"/>
      <c r="AM249" s="41" t="s">
        <v>118</v>
      </c>
      <c r="AN249" s="18"/>
      <c r="AO249" s="6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2">
        <v>275</v>
      </c>
      <c r="G250" s="22"/>
      <c r="H250" s="22"/>
      <c r="I250" s="27"/>
      <c r="J250" s="43"/>
      <c r="K250" s="43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2"/>
      <c r="AG250" s="42"/>
      <c r="AH250" s="42"/>
      <c r="AI250" s="18"/>
      <c r="AK250" s="18"/>
      <c r="AL250" s="18"/>
      <c r="AM250" s="41" t="s">
        <v>118</v>
      </c>
      <c r="AN250" s="18"/>
      <c r="AO250" s="6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6"/>
      <c r="BK250" s="6"/>
      <c r="BL250" s="21" t="s">
        <v>55</v>
      </c>
      <c r="BO250" s="15"/>
    </row>
    <row r="251" spans="1:67" ht="14.5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2">
        <v>275</v>
      </c>
      <c r="G251" s="22"/>
      <c r="H251" s="22"/>
      <c r="I251" s="27"/>
      <c r="J251" s="43"/>
      <c r="K251" s="43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2"/>
      <c r="AH251" s="42"/>
      <c r="AI251" s="18"/>
      <c r="AK251" s="18"/>
      <c r="AL251" s="18"/>
      <c r="AM251" s="41" t="s">
        <v>118</v>
      </c>
      <c r="AN251" s="18"/>
      <c r="AO251" s="6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2">
        <v>275</v>
      </c>
      <c r="G252" s="22"/>
      <c r="H252" s="22"/>
      <c r="I252" s="27"/>
      <c r="J252" s="43"/>
      <c r="K252" s="43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2"/>
      <c r="AH252" s="42"/>
      <c r="AI252" s="18"/>
      <c r="AK252" s="18"/>
      <c r="AL252" s="18"/>
      <c r="AM252" s="41" t="s">
        <v>118</v>
      </c>
      <c r="AN252" s="18"/>
      <c r="AO252" s="6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6"/>
      <c r="BK252" s="6"/>
      <c r="BL252" s="21" t="s">
        <v>55</v>
      </c>
      <c r="BO252" s="15"/>
    </row>
    <row r="253" spans="1:67" ht="14.5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2">
        <v>275</v>
      </c>
      <c r="G253" s="22"/>
      <c r="H253" s="22"/>
      <c r="I253" s="27"/>
      <c r="J253" s="43"/>
      <c r="K253" s="43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2"/>
      <c r="AH253" s="42"/>
      <c r="AI253" s="18"/>
      <c r="AK253" s="18"/>
      <c r="AL253" s="18"/>
      <c r="AM253" s="41" t="s">
        <v>118</v>
      </c>
      <c r="AN253" s="18"/>
      <c r="AO253" s="6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2">
        <v>275</v>
      </c>
      <c r="G254" s="22"/>
      <c r="H254" s="22"/>
      <c r="I254" s="27"/>
      <c r="J254" s="43"/>
      <c r="K254" s="43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2"/>
      <c r="AH254" s="42"/>
      <c r="AI254" s="18"/>
      <c r="AK254" s="18"/>
      <c r="AL254" s="18"/>
      <c r="AM254" s="41" t="s">
        <v>118</v>
      </c>
      <c r="AN254" s="18"/>
      <c r="AO254" s="6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6"/>
      <c r="BK254" s="6"/>
      <c r="BL254" s="21" t="s">
        <v>55</v>
      </c>
      <c r="BO254" s="15"/>
    </row>
    <row r="255" spans="1:67" ht="14.5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2">
        <v>275</v>
      </c>
      <c r="G255" s="22"/>
      <c r="H255" s="22"/>
      <c r="I255" s="27"/>
      <c r="J255" s="43"/>
      <c r="K255" s="43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2"/>
      <c r="AH255" s="42"/>
      <c r="AI255" s="18"/>
      <c r="AK255" s="18"/>
      <c r="AL255" s="18"/>
      <c r="AM255" s="41" t="s">
        <v>118</v>
      </c>
      <c r="AN255" s="18"/>
      <c r="AO255" s="6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2">
        <v>599</v>
      </c>
      <c r="G256" s="22"/>
      <c r="H256" s="44"/>
      <c r="I256" s="27"/>
      <c r="J256" s="44">
        <v>623.70000000000005</v>
      </c>
      <c r="K256" s="44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2"/>
      <c r="AG256" s="42"/>
      <c r="AH256" s="42"/>
      <c r="AI256" s="18"/>
      <c r="AK256" s="18"/>
      <c r="AL256" s="18"/>
      <c r="AM256" s="41" t="s">
        <v>118</v>
      </c>
      <c r="AN256" s="18"/>
      <c r="AO256" s="6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6"/>
      <c r="BK256" s="6"/>
      <c r="BL256" s="21" t="s">
        <v>55</v>
      </c>
      <c r="BO256" s="15"/>
    </row>
    <row r="257" spans="1:67" ht="14.5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2">
        <v>599</v>
      </c>
      <c r="G257" s="22"/>
      <c r="H257" s="44"/>
      <c r="I257" s="27"/>
      <c r="J257" s="44">
        <v>1321.4</v>
      </c>
      <c r="K257" s="44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2"/>
      <c r="AG257" s="42"/>
      <c r="AH257" s="42"/>
      <c r="AI257" s="18"/>
      <c r="AK257" s="18"/>
      <c r="AL257" s="18"/>
      <c r="AM257" s="41" t="s">
        <v>118</v>
      </c>
      <c r="AN257" s="18"/>
      <c r="AO257" s="6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6"/>
      <c r="BK257" s="6"/>
      <c r="BL257" s="21" t="s">
        <v>55</v>
      </c>
      <c r="BO257" s="15"/>
    </row>
    <row r="258" spans="1:67" ht="14.5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2">
        <v>558</v>
      </c>
      <c r="G258" s="22"/>
      <c r="H258" s="44"/>
      <c r="I258" s="27"/>
      <c r="J258" s="44">
        <v>1647.8999999999999</v>
      </c>
      <c r="K258" s="44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2"/>
      <c r="AG258" s="42"/>
      <c r="AH258" s="42"/>
      <c r="AI258" s="18"/>
      <c r="AK258" s="18"/>
      <c r="AL258" s="18"/>
      <c r="AM258" s="41" t="s">
        <v>118</v>
      </c>
      <c r="AN258" s="18"/>
      <c r="AO258" s="6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2">
        <v>542</v>
      </c>
      <c r="G259" s="22"/>
      <c r="H259" s="44"/>
      <c r="I259" s="27"/>
      <c r="J259" s="44">
        <v>2077.1</v>
      </c>
      <c r="K259" s="44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2"/>
      <c r="AG259" s="42"/>
      <c r="AH259" s="42"/>
      <c r="AI259" s="18"/>
      <c r="AK259" s="18"/>
      <c r="AL259" s="18"/>
      <c r="AM259" s="41" t="s">
        <v>118</v>
      </c>
      <c r="AN259" s="18"/>
      <c r="AO259" s="6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6"/>
      <c r="BK259" s="6"/>
      <c r="BL259" s="21" t="s">
        <v>55</v>
      </c>
      <c r="BO259" s="15"/>
    </row>
    <row r="260" spans="1:67" ht="14.5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2">
        <v>534</v>
      </c>
      <c r="G260" s="22"/>
      <c r="H260" s="44"/>
      <c r="I260" s="27"/>
      <c r="J260" s="44">
        <v>2539</v>
      </c>
      <c r="K260" s="44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2"/>
      <c r="AG260" s="42"/>
      <c r="AH260" s="42"/>
      <c r="AI260" s="18"/>
      <c r="AK260" s="18"/>
      <c r="AL260" s="18"/>
      <c r="AM260" s="41" t="s">
        <v>118</v>
      </c>
      <c r="AN260" s="18"/>
      <c r="AO260" s="6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2">
        <v>279</v>
      </c>
      <c r="G261" s="22"/>
      <c r="H261" s="45"/>
      <c r="I261" s="27"/>
      <c r="J261" s="45"/>
      <c r="K261" s="45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2"/>
      <c r="AG261" s="42"/>
      <c r="AH261" s="42"/>
      <c r="AI261" s="18"/>
      <c r="AK261" s="18"/>
      <c r="AL261" s="18"/>
      <c r="AM261" s="41" t="s">
        <v>118</v>
      </c>
      <c r="AN261" s="18"/>
      <c r="AO261" s="6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6"/>
      <c r="BK261" s="6"/>
      <c r="BL261" s="21" t="s">
        <v>55</v>
      </c>
      <c r="BO261" s="15"/>
    </row>
    <row r="262" spans="1:67" ht="14.5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2">
        <v>279</v>
      </c>
      <c r="G262" s="22"/>
      <c r="H262" s="45"/>
      <c r="I262" s="27"/>
      <c r="J262" s="43"/>
      <c r="K262" s="43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2"/>
      <c r="AG262" s="42"/>
      <c r="AH262" s="42"/>
      <c r="AI262" s="18"/>
      <c r="AK262" s="18"/>
      <c r="AL262" s="18"/>
      <c r="AM262" s="41" t="s">
        <v>118</v>
      </c>
      <c r="AN262" s="18"/>
      <c r="AO262" s="6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2">
        <v>279</v>
      </c>
      <c r="G263" s="22"/>
      <c r="H263" s="45"/>
      <c r="I263" s="27"/>
      <c r="J263" s="43"/>
      <c r="K263" s="43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2"/>
      <c r="AG263" s="42"/>
      <c r="AH263" s="42"/>
      <c r="AI263" s="18"/>
      <c r="AK263" s="18"/>
      <c r="AL263" s="18"/>
      <c r="AM263" s="41" t="s">
        <v>118</v>
      </c>
      <c r="AN263" s="18"/>
      <c r="AO263" s="6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6"/>
      <c r="BK263" s="6"/>
      <c r="BL263" s="21" t="s">
        <v>55</v>
      </c>
      <c r="BO263" s="15"/>
    </row>
    <row r="264" spans="1:67" ht="14.5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2">
        <v>279</v>
      </c>
      <c r="G264" s="22"/>
      <c r="H264" s="22"/>
      <c r="I264" s="27"/>
      <c r="J264" s="43"/>
      <c r="K264" s="43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2"/>
      <c r="AH264" s="42"/>
      <c r="AI264" s="18"/>
      <c r="AK264" s="18"/>
      <c r="AL264" s="18"/>
      <c r="AM264" s="41" t="s">
        <v>118</v>
      </c>
      <c r="AN264" s="18"/>
      <c r="AO264" s="6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2">
        <v>279</v>
      </c>
      <c r="G265" s="22"/>
      <c r="H265" s="22"/>
      <c r="I265" s="27"/>
      <c r="J265" s="43"/>
      <c r="K265" s="43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2"/>
      <c r="AH265" s="42"/>
      <c r="AI265" s="18"/>
      <c r="AK265" s="18"/>
      <c r="AL265" s="18"/>
      <c r="AM265" s="41" t="s">
        <v>118</v>
      </c>
      <c r="AN265" s="18"/>
      <c r="AO265" s="6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6"/>
      <c r="BK265" s="6"/>
      <c r="BL265" s="21" t="s">
        <v>55</v>
      </c>
      <c r="BO265" s="15"/>
    </row>
    <row r="266" spans="1:67" ht="14.5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2">
        <v>279</v>
      </c>
      <c r="G266" s="22"/>
      <c r="H266" s="22"/>
      <c r="I266" s="27"/>
      <c r="J266" s="43"/>
      <c r="K266" s="43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2"/>
      <c r="AH266" s="42"/>
      <c r="AI266" s="18"/>
      <c r="AK266" s="18"/>
      <c r="AL266" s="18"/>
      <c r="AM266" s="41" t="s">
        <v>118</v>
      </c>
      <c r="AN266" s="18"/>
      <c r="AO266" s="6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2">
        <v>279</v>
      </c>
      <c r="G267" s="22"/>
      <c r="H267" s="22"/>
      <c r="I267" s="27"/>
      <c r="J267" s="43"/>
      <c r="K267" s="43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2"/>
      <c r="AH267" s="42"/>
      <c r="AI267" s="18"/>
      <c r="AK267" s="18"/>
      <c r="AL267" s="18"/>
      <c r="AM267" s="41" t="s">
        <v>118</v>
      </c>
      <c r="AN267" s="18"/>
      <c r="AO267" s="6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2">
        <v>279</v>
      </c>
      <c r="G268" s="22"/>
      <c r="H268" s="22"/>
      <c r="I268" s="27"/>
      <c r="J268" s="43"/>
      <c r="K268" s="43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2"/>
      <c r="AH268" s="42"/>
      <c r="AI268" s="18"/>
      <c r="AK268" s="18"/>
      <c r="AL268" s="18"/>
      <c r="AM268" s="41" t="s">
        <v>118</v>
      </c>
      <c r="AN268" s="18"/>
      <c r="AO268" s="6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6"/>
      <c r="BK268" s="6"/>
      <c r="BL268" s="21" t="s">
        <v>55</v>
      </c>
      <c r="BO268" s="15"/>
    </row>
    <row r="269" spans="1:67" ht="14.5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2">
        <v>279</v>
      </c>
      <c r="G269" s="22"/>
      <c r="H269" s="22"/>
      <c r="I269" s="27"/>
      <c r="J269" s="43"/>
      <c r="K269" s="43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2"/>
      <c r="AH269" s="42"/>
      <c r="AI269" s="18"/>
      <c r="AK269" s="18"/>
      <c r="AL269" s="18"/>
      <c r="AM269" s="41" t="s">
        <v>118</v>
      </c>
      <c r="AN269" s="18"/>
      <c r="AO269" s="6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2">
        <v>279</v>
      </c>
      <c r="G270" s="22"/>
      <c r="H270" s="22"/>
      <c r="I270" s="27"/>
      <c r="J270" s="43"/>
      <c r="K270" s="43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2"/>
      <c r="AH270" s="42"/>
      <c r="AI270" s="18"/>
      <c r="AK270" s="18"/>
      <c r="AL270" s="18"/>
      <c r="AM270" s="41" t="s">
        <v>118</v>
      </c>
      <c r="AN270" s="18"/>
      <c r="AO270" s="6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2">
        <v>703</v>
      </c>
      <c r="G271" s="22"/>
      <c r="H271" s="44"/>
      <c r="I271" s="27"/>
      <c r="J271" s="44">
        <v>556.4</v>
      </c>
      <c r="K271" s="44"/>
      <c r="L271" s="27">
        <v>262.2</v>
      </c>
      <c r="M271" s="44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2"/>
      <c r="AG271" s="42"/>
      <c r="AH271" s="42"/>
      <c r="AI271" s="18"/>
      <c r="AK271" s="18"/>
      <c r="AL271" s="18"/>
      <c r="AM271" s="41" t="s">
        <v>118</v>
      </c>
      <c r="AN271" s="18"/>
      <c r="AO271" s="6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2">
        <v>703</v>
      </c>
      <c r="G272" s="22"/>
      <c r="H272" s="44"/>
      <c r="I272" s="27"/>
      <c r="J272" s="44">
        <v>935.9</v>
      </c>
      <c r="K272" s="44"/>
      <c r="L272" s="27">
        <v>369.5</v>
      </c>
      <c r="M272" s="44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2"/>
      <c r="AG272" s="42"/>
      <c r="AH272" s="42"/>
      <c r="AI272" s="18"/>
      <c r="AK272" s="18"/>
      <c r="AL272" s="18"/>
      <c r="AM272" s="41" t="s">
        <v>118</v>
      </c>
      <c r="AN272" s="18"/>
      <c r="AO272" s="6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6"/>
      <c r="BK272" s="6"/>
      <c r="BL272" s="21" t="s">
        <v>55</v>
      </c>
      <c r="BO272" s="15"/>
    </row>
    <row r="273" spans="1:67" ht="14.5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2">
        <v>703</v>
      </c>
      <c r="G273" s="22"/>
      <c r="H273" s="44"/>
      <c r="I273" s="27"/>
      <c r="J273" s="44">
        <v>1035.5</v>
      </c>
      <c r="K273" s="44"/>
      <c r="L273" s="27">
        <v>527</v>
      </c>
      <c r="M273" s="44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2"/>
      <c r="AG273" s="42"/>
      <c r="AH273" s="42"/>
      <c r="AI273" s="18"/>
      <c r="AK273" s="18"/>
      <c r="AL273" s="18"/>
      <c r="AM273" s="41" t="s">
        <v>118</v>
      </c>
      <c r="AN273" s="18"/>
      <c r="AO273" s="6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6"/>
      <c r="BK273" s="6"/>
      <c r="BL273" s="21" t="s">
        <v>55</v>
      </c>
      <c r="BO273" s="15"/>
    </row>
    <row r="274" spans="1:67" ht="14.5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2">
        <v>703</v>
      </c>
      <c r="G274" s="22"/>
      <c r="H274" s="44"/>
      <c r="I274" s="27"/>
      <c r="J274" s="44">
        <v>1376.1</v>
      </c>
      <c r="K274" s="44"/>
      <c r="L274" s="27">
        <v>686.2</v>
      </c>
      <c r="M274" s="44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2"/>
      <c r="AG274" s="42"/>
      <c r="AH274" s="42"/>
      <c r="AI274" s="18"/>
      <c r="AK274" s="18"/>
      <c r="AL274" s="18"/>
      <c r="AM274" s="41" t="s">
        <v>118</v>
      </c>
      <c r="AN274" s="18"/>
      <c r="AO274" s="6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6"/>
      <c r="BK274" s="6"/>
      <c r="BL274" s="21" t="s">
        <v>55</v>
      </c>
      <c r="BO274" s="15"/>
    </row>
    <row r="275" spans="1:67" ht="14.5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2">
        <v>693</v>
      </c>
      <c r="G275" s="22"/>
      <c r="H275" s="44"/>
      <c r="I275" s="27"/>
      <c r="J275" s="44">
        <v>1709.5</v>
      </c>
      <c r="K275" s="44"/>
      <c r="L275" s="27">
        <v>851.9</v>
      </c>
      <c r="M275" s="44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2"/>
      <c r="AG275" s="42"/>
      <c r="AH275" s="42"/>
      <c r="AI275" s="18"/>
      <c r="AK275" s="18"/>
      <c r="AL275" s="18"/>
      <c r="AM275" s="41" t="s">
        <v>118</v>
      </c>
      <c r="AN275" s="18"/>
      <c r="AO275" s="6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2">
        <v>304</v>
      </c>
      <c r="G276" s="22"/>
      <c r="H276" s="45"/>
      <c r="I276" s="27"/>
      <c r="J276" s="45"/>
      <c r="K276" s="45"/>
      <c r="L276" s="27">
        <v>821.82198357893481</v>
      </c>
      <c r="M276" s="45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2"/>
      <c r="AG276" s="42"/>
      <c r="AH276" s="42"/>
      <c r="AI276" s="18"/>
      <c r="AK276" s="18"/>
      <c r="AL276" s="18"/>
      <c r="AM276" s="41" t="s">
        <v>118</v>
      </c>
      <c r="AN276" s="18"/>
      <c r="AO276" s="6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6"/>
      <c r="BK276" s="6"/>
      <c r="BL276" s="21" t="s">
        <v>55</v>
      </c>
      <c r="BO276" s="15"/>
    </row>
    <row r="277" spans="1:67" ht="14.5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2">
        <v>304</v>
      </c>
      <c r="G277" s="22"/>
      <c r="H277" s="45"/>
      <c r="I277" s="27"/>
      <c r="J277" s="45"/>
      <c r="K277" s="45"/>
      <c r="L277" s="27">
        <v>919.02721091558772</v>
      </c>
      <c r="M277" s="45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2"/>
      <c r="AG277" s="42"/>
      <c r="AH277" s="42"/>
      <c r="AI277" s="18"/>
      <c r="AK277" s="18"/>
      <c r="AL277" s="18"/>
      <c r="AM277" s="41" t="s">
        <v>118</v>
      </c>
      <c r="AN277" s="18"/>
      <c r="AO277" s="6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6"/>
      <c r="BK277" s="6"/>
      <c r="BL277" s="21" t="s">
        <v>55</v>
      </c>
      <c r="BO277" s="15"/>
    </row>
    <row r="278" spans="1:67" ht="14.5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2">
        <v>304</v>
      </c>
      <c r="G278" s="22"/>
      <c r="H278" s="44">
        <v>780</v>
      </c>
      <c r="I278" s="27"/>
      <c r="J278" s="44">
        <v>1800</v>
      </c>
      <c r="K278" s="44"/>
      <c r="L278" s="27">
        <v>1040</v>
      </c>
      <c r="M278" s="44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2"/>
      <c r="AG278" s="42"/>
      <c r="AH278" s="42"/>
      <c r="AI278" s="18"/>
      <c r="AK278" s="18"/>
      <c r="AL278" s="18"/>
      <c r="AM278" s="41" t="s">
        <v>118</v>
      </c>
      <c r="AN278" s="18"/>
      <c r="AO278" s="6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6"/>
      <c r="BK278" s="6"/>
      <c r="BL278" s="21" t="s">
        <v>55</v>
      </c>
      <c r="BO278" s="15"/>
    </row>
    <row r="279" spans="1:67" ht="14.5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2">
        <v>304</v>
      </c>
      <c r="G279" s="22"/>
      <c r="H279" s="22"/>
      <c r="I279" s="27"/>
      <c r="J279" s="43"/>
      <c r="K279" s="43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2"/>
      <c r="AH279" s="42"/>
      <c r="AI279" s="18"/>
      <c r="AK279" s="18"/>
      <c r="AL279" s="18"/>
      <c r="AM279" s="41" t="s">
        <v>118</v>
      </c>
      <c r="AN279" s="18"/>
      <c r="AO279" s="6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6"/>
      <c r="BK279" s="6"/>
      <c r="BL279" s="21" t="s">
        <v>55</v>
      </c>
      <c r="BO279" s="15"/>
    </row>
    <row r="280" spans="1:67" ht="14.5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2">
        <v>304</v>
      </c>
      <c r="G280" s="22"/>
      <c r="H280" s="22"/>
      <c r="I280" s="27"/>
      <c r="J280" s="43"/>
      <c r="K280" s="43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2"/>
      <c r="AH280" s="42"/>
      <c r="AI280" s="18"/>
      <c r="AK280" s="18"/>
      <c r="AL280" s="18"/>
      <c r="AM280" s="41" t="s">
        <v>118</v>
      </c>
      <c r="AN280" s="18"/>
      <c r="AO280" s="6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2">
        <v>304</v>
      </c>
      <c r="G281" s="22"/>
      <c r="H281" s="22"/>
      <c r="I281" s="27"/>
      <c r="J281" s="43"/>
      <c r="K281" s="43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2"/>
      <c r="AH281" s="42"/>
      <c r="AI281" s="18"/>
      <c r="AK281" s="18"/>
      <c r="AL281" s="18"/>
      <c r="AM281" s="41" t="s">
        <v>118</v>
      </c>
      <c r="AN281" s="18"/>
      <c r="AO281" s="6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6"/>
      <c r="BK281" s="6"/>
      <c r="BL281" s="21" t="s">
        <v>55</v>
      </c>
      <c r="BO281" s="15"/>
    </row>
    <row r="282" spans="1:67" ht="14.5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2">
        <v>304</v>
      </c>
      <c r="G282" s="22"/>
      <c r="H282" s="22"/>
      <c r="I282" s="27"/>
      <c r="J282" s="43"/>
      <c r="K282" s="43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2"/>
      <c r="AH282" s="42"/>
      <c r="AI282" s="18"/>
      <c r="AK282" s="18"/>
      <c r="AL282" s="18"/>
      <c r="AM282" s="41" t="s">
        <v>118</v>
      </c>
      <c r="AN282" s="18"/>
      <c r="AO282" s="6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6"/>
      <c r="BK282" s="6"/>
      <c r="BL282" s="21" t="s">
        <v>55</v>
      </c>
      <c r="BO282" s="15"/>
    </row>
    <row r="283" spans="1:67" ht="14.5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2">
        <v>304</v>
      </c>
      <c r="G283" s="22"/>
      <c r="H283" s="22"/>
      <c r="I283" s="27"/>
      <c r="J283" s="43"/>
      <c r="K283" s="43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2"/>
      <c r="AH283" s="42"/>
      <c r="AI283" s="18"/>
      <c r="AK283" s="18"/>
      <c r="AL283" s="18"/>
      <c r="AM283" s="41" t="s">
        <v>118</v>
      </c>
      <c r="AN283" s="18"/>
      <c r="AO283" s="6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6"/>
      <c r="BK283" s="6"/>
      <c r="BL283" s="21" t="s">
        <v>55</v>
      </c>
      <c r="BO283" s="15"/>
    </row>
    <row r="284" spans="1:67" ht="14.5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2">
        <v>304</v>
      </c>
      <c r="G284" s="22"/>
      <c r="H284" s="22"/>
      <c r="I284" s="27"/>
      <c r="J284" s="43"/>
      <c r="K284" s="43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2"/>
      <c r="AH284" s="42"/>
      <c r="AI284" s="18"/>
      <c r="AK284" s="18"/>
      <c r="AL284" s="18"/>
      <c r="AM284" s="41" t="s">
        <v>118</v>
      </c>
      <c r="AN284" s="18"/>
      <c r="AO284" s="6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6"/>
      <c r="BK284" s="6"/>
      <c r="BL284" s="21" t="s">
        <v>55</v>
      </c>
      <c r="BO284" s="15"/>
    </row>
    <row r="285" spans="1:67" ht="14.5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2">
        <v>304</v>
      </c>
      <c r="G285" s="22"/>
      <c r="H285" s="22"/>
      <c r="I285" s="27"/>
      <c r="J285" s="43"/>
      <c r="K285" s="43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2"/>
      <c r="AH285" s="42"/>
      <c r="AI285" s="18"/>
      <c r="AK285" s="18"/>
      <c r="AL285" s="18"/>
      <c r="AM285" s="41" t="s">
        <v>118</v>
      </c>
      <c r="AN285" s="18"/>
      <c r="AO285" s="6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4"/>
      <c r="I286" s="27"/>
      <c r="J286" s="44">
        <v>627.1</v>
      </c>
      <c r="K286" s="44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2"/>
      <c r="AG286" s="42"/>
      <c r="AH286" s="42"/>
      <c r="AI286" s="18"/>
      <c r="AK286" s="18"/>
      <c r="AL286" s="18"/>
      <c r="AM286" s="41" t="s">
        <v>118</v>
      </c>
      <c r="AN286" s="18"/>
      <c r="AO286" s="6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6"/>
      <c r="BK286" s="6"/>
      <c r="BL286" s="21" t="s">
        <v>55</v>
      </c>
      <c r="BO286" s="15"/>
    </row>
    <row r="287" spans="1:67" ht="14.5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4"/>
      <c r="I287" s="27"/>
      <c r="J287" s="44">
        <v>1352</v>
      </c>
      <c r="K287" s="44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2"/>
      <c r="AG287" s="42"/>
      <c r="AH287" s="42"/>
      <c r="AI287" s="18"/>
      <c r="AK287" s="18"/>
      <c r="AL287" s="18"/>
      <c r="AM287" s="41" t="s">
        <v>118</v>
      </c>
      <c r="AN287" s="18"/>
      <c r="AO287" s="6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4"/>
      <c r="I288" s="27"/>
      <c r="J288" s="44">
        <v>1756.8000000000002</v>
      </c>
      <c r="K288" s="44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2"/>
      <c r="AG288" s="42"/>
      <c r="AH288" s="42"/>
      <c r="AI288" s="18"/>
      <c r="AK288" s="18"/>
      <c r="AL288" s="18"/>
      <c r="AM288" s="41" t="s">
        <v>118</v>
      </c>
      <c r="AN288" s="18"/>
      <c r="AO288" s="6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6"/>
      <c r="BK288" s="6"/>
      <c r="BL288" s="21" t="s">
        <v>55</v>
      </c>
      <c r="BO288" s="15"/>
    </row>
    <row r="289" spans="1:67" ht="14.5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4"/>
      <c r="I289" s="27"/>
      <c r="J289" s="44">
        <v>2296.9</v>
      </c>
      <c r="K289" s="44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2"/>
      <c r="AG289" s="42"/>
      <c r="AH289" s="42"/>
      <c r="AI289" s="18"/>
      <c r="AK289" s="18"/>
      <c r="AL289" s="18"/>
      <c r="AM289" s="41" t="s">
        <v>118</v>
      </c>
      <c r="AN289" s="18"/>
      <c r="AO289" s="6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6"/>
      <c r="BK289" s="6"/>
      <c r="BL289" s="21" t="s">
        <v>55</v>
      </c>
      <c r="BO289" s="15"/>
    </row>
    <row r="290" spans="1:67" ht="14.5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4"/>
      <c r="I290" s="27"/>
      <c r="J290" s="44">
        <v>2609.5</v>
      </c>
      <c r="K290" s="44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2"/>
      <c r="AG290" s="42"/>
      <c r="AH290" s="42"/>
      <c r="AI290" s="18"/>
      <c r="AK290" s="18"/>
      <c r="AL290" s="18"/>
      <c r="AM290" s="41" t="s">
        <v>118</v>
      </c>
      <c r="AN290" s="18"/>
      <c r="AO290" s="6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6"/>
      <c r="BK290" s="6"/>
      <c r="BL290" s="21" t="s">
        <v>55</v>
      </c>
      <c r="BO290" s="15"/>
    </row>
    <row r="291" spans="1:67" ht="14.5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5"/>
      <c r="I291" s="27"/>
      <c r="J291" s="45"/>
      <c r="K291" s="45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2"/>
      <c r="AG291" s="42"/>
      <c r="AH291" s="42"/>
      <c r="AI291" s="18"/>
      <c r="AK291" s="18"/>
      <c r="AL291" s="18"/>
      <c r="AM291" s="41" t="s">
        <v>118</v>
      </c>
      <c r="AN291" s="18"/>
      <c r="AO291" s="6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5"/>
      <c r="I292" s="27"/>
      <c r="J292" s="45"/>
      <c r="K292" s="45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2"/>
      <c r="AG292" s="42"/>
      <c r="AH292" s="42"/>
      <c r="AI292" s="18"/>
      <c r="AK292" s="18"/>
      <c r="AL292" s="18"/>
      <c r="AM292" s="41" t="s">
        <v>118</v>
      </c>
      <c r="AN292" s="18"/>
      <c r="AO292" s="6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6"/>
      <c r="BK292" s="6"/>
      <c r="BL292" s="21" t="s">
        <v>55</v>
      </c>
      <c r="BO292" s="15"/>
    </row>
    <row r="293" spans="1:67" ht="14.5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4"/>
      <c r="I293" s="27"/>
      <c r="J293" s="43"/>
      <c r="K293" s="43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2"/>
      <c r="AG293" s="42"/>
      <c r="AH293" s="42"/>
      <c r="AI293" s="18"/>
      <c r="AK293" s="18"/>
      <c r="AL293" s="18"/>
      <c r="AM293" s="41" t="s">
        <v>118</v>
      </c>
      <c r="AN293" s="18"/>
      <c r="AO293" s="6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5"/>
      <c r="I294" s="27"/>
      <c r="J294" s="43"/>
      <c r="K294" s="43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2"/>
      <c r="AH294" s="42"/>
      <c r="AI294" s="18"/>
      <c r="AK294" s="18"/>
      <c r="AL294" s="18"/>
      <c r="AM294" s="41" t="s">
        <v>118</v>
      </c>
      <c r="AN294" s="18"/>
      <c r="AO294" s="6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3"/>
      <c r="K295" s="43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2"/>
      <c r="AH295" s="42"/>
      <c r="AI295" s="18"/>
      <c r="AK295" s="18"/>
      <c r="AL295" s="18"/>
      <c r="AM295" s="41" t="s">
        <v>118</v>
      </c>
      <c r="AN295" s="18"/>
      <c r="AO295" s="6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6"/>
      <c r="BK295" s="6"/>
      <c r="BL295" s="21" t="s">
        <v>55</v>
      </c>
      <c r="BO295" s="15"/>
    </row>
    <row r="296" spans="1:67" ht="14.5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3"/>
      <c r="K296" s="43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2"/>
      <c r="AH296" s="42"/>
      <c r="AI296" s="18"/>
      <c r="AK296" s="18"/>
      <c r="AL296" s="18"/>
      <c r="AM296" s="41" t="s">
        <v>118</v>
      </c>
      <c r="AN296" s="18"/>
      <c r="AO296" s="6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3"/>
      <c r="K297" s="43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2"/>
      <c r="AH297" s="42"/>
      <c r="AI297" s="18"/>
      <c r="AK297" s="18"/>
      <c r="AL297" s="18"/>
      <c r="AM297" s="41" t="s">
        <v>118</v>
      </c>
      <c r="AN297" s="18"/>
      <c r="AO297" s="6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3"/>
      <c r="K298" s="43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2"/>
      <c r="AH298" s="42"/>
      <c r="AI298" s="18"/>
      <c r="AK298" s="18"/>
      <c r="AL298" s="18"/>
      <c r="AM298" s="41" t="s">
        <v>118</v>
      </c>
      <c r="AN298" s="18"/>
      <c r="AO298" s="6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3"/>
      <c r="K299" s="43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2"/>
      <c r="AH299" s="42"/>
      <c r="AI299" s="18"/>
      <c r="AK299" s="18"/>
      <c r="AL299" s="18"/>
      <c r="AM299" s="41" t="s">
        <v>118</v>
      </c>
      <c r="AN299" s="18"/>
      <c r="AO299" s="6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3"/>
      <c r="K300" s="43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2"/>
      <c r="AH300" s="42"/>
      <c r="AI300" s="18"/>
      <c r="AK300" s="18"/>
      <c r="AL300" s="18"/>
      <c r="AM300" s="41" t="s">
        <v>118</v>
      </c>
      <c r="AN300" s="18"/>
      <c r="AO300" s="6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139</v>
      </c>
      <c r="C301" s="17">
        <v>30512</v>
      </c>
      <c r="D301" s="18">
        <v>10.080981879968963</v>
      </c>
      <c r="E301" s="22"/>
      <c r="F301" s="27"/>
      <c r="G301" s="22"/>
      <c r="H301" s="44"/>
      <c r="I301" s="27"/>
      <c r="J301" s="44">
        <v>694.80000000000007</v>
      </c>
      <c r="K301" s="44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2"/>
      <c r="AG301" s="42"/>
      <c r="AH301" s="42"/>
      <c r="AI301" s="18"/>
      <c r="AK301" s="18"/>
      <c r="AL301" s="18"/>
      <c r="AM301" s="41" t="s">
        <v>118</v>
      </c>
      <c r="AN301" s="18"/>
      <c r="AO301" s="6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139</v>
      </c>
      <c r="C302" s="17">
        <v>30878</v>
      </c>
      <c r="D302" s="18">
        <v>11.083056667603032</v>
      </c>
      <c r="E302" s="22"/>
      <c r="F302" s="27"/>
      <c r="G302" s="22"/>
      <c r="H302" s="44"/>
      <c r="I302" s="27"/>
      <c r="J302" s="44">
        <v>1508.3</v>
      </c>
      <c r="K302" s="44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2"/>
      <c r="AG302" s="42"/>
      <c r="AH302" s="42"/>
      <c r="AI302" s="18"/>
      <c r="AK302" s="18"/>
      <c r="AL302" s="18"/>
      <c r="AM302" s="41" t="s">
        <v>118</v>
      </c>
      <c r="AN302" s="18"/>
      <c r="AO302" s="6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139</v>
      </c>
      <c r="C303" s="17">
        <v>31243</v>
      </c>
      <c r="D303" s="18">
        <v>12.082393545981269</v>
      </c>
      <c r="E303" s="22"/>
      <c r="F303" s="27"/>
      <c r="G303" s="22"/>
      <c r="H303" s="44"/>
      <c r="I303" s="27"/>
      <c r="J303" s="44">
        <v>1933.5</v>
      </c>
      <c r="K303" s="44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2"/>
      <c r="AG303" s="42"/>
      <c r="AH303" s="42"/>
      <c r="AI303" s="18"/>
      <c r="AK303" s="18"/>
      <c r="AL303" s="18"/>
      <c r="AM303" s="41" t="s">
        <v>118</v>
      </c>
      <c r="AN303" s="18"/>
      <c r="AO303" s="6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139</v>
      </c>
      <c r="C304" s="17">
        <v>31608</v>
      </c>
      <c r="D304" s="18">
        <v>13.081730424359506</v>
      </c>
      <c r="E304" s="22"/>
      <c r="F304" s="27"/>
      <c r="G304" s="22"/>
      <c r="H304" s="44"/>
      <c r="I304" s="27"/>
      <c r="J304" s="44">
        <v>2439.5</v>
      </c>
      <c r="K304" s="44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2"/>
      <c r="AG304" s="42"/>
      <c r="AH304" s="42"/>
      <c r="AI304" s="18"/>
      <c r="AK304" s="18"/>
      <c r="AL304" s="18"/>
      <c r="AM304" s="41" t="s">
        <v>118</v>
      </c>
      <c r="AN304" s="18"/>
      <c r="AO304" s="6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139</v>
      </c>
      <c r="C305" s="17">
        <v>31973</v>
      </c>
      <c r="D305" s="18">
        <v>14.081067302737743</v>
      </c>
      <c r="E305" s="22"/>
      <c r="F305" s="27"/>
      <c r="G305" s="22"/>
      <c r="H305" s="44"/>
      <c r="I305" s="27"/>
      <c r="J305" s="44">
        <v>2720.4</v>
      </c>
      <c r="K305" s="44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2"/>
      <c r="AG305" s="42"/>
      <c r="AH305" s="42"/>
      <c r="AI305" s="18"/>
      <c r="AK305" s="18"/>
      <c r="AL305" s="18"/>
      <c r="AM305" s="41" t="s">
        <v>118</v>
      </c>
      <c r="AN305" s="18"/>
      <c r="AO305" s="6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139</v>
      </c>
      <c r="C306" s="17">
        <v>33465</v>
      </c>
      <c r="D306" s="18">
        <v>18.166027912437279</v>
      </c>
      <c r="E306" s="22"/>
      <c r="F306" s="27"/>
      <c r="G306" s="22"/>
      <c r="H306" s="45"/>
      <c r="I306" s="27"/>
      <c r="J306" s="45"/>
      <c r="K306" s="45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2"/>
      <c r="AG306" s="42"/>
      <c r="AH306" s="42"/>
      <c r="AI306" s="18"/>
      <c r="AK306" s="18"/>
      <c r="AL306" s="18"/>
      <c r="AM306" s="41" t="s">
        <v>118</v>
      </c>
      <c r="AN306" s="18"/>
      <c r="AO306" s="6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139</v>
      </c>
      <c r="C307" s="17">
        <v>33831</v>
      </c>
      <c r="D307" s="18">
        <v>19.168102700071348</v>
      </c>
      <c r="E307" s="22"/>
      <c r="F307" s="27"/>
      <c r="G307" s="22"/>
      <c r="H307" s="45"/>
      <c r="I307" s="27"/>
      <c r="J307" s="43"/>
      <c r="K307" s="43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2"/>
      <c r="AG307" s="42"/>
      <c r="AH307" s="42"/>
      <c r="AI307" s="18"/>
      <c r="AK307" s="18"/>
      <c r="AL307" s="18"/>
      <c r="AM307" s="41" t="s">
        <v>118</v>
      </c>
      <c r="AN307" s="18"/>
      <c r="AO307" s="6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6"/>
      <c r="BK307" s="6"/>
      <c r="BL307" s="21" t="s">
        <v>55</v>
      </c>
      <c r="BO307" s="15"/>
    </row>
    <row r="308" spans="1:67" ht="14.55" customHeight="1">
      <c r="A308" s="6" t="s">
        <v>132</v>
      </c>
      <c r="B308" s="6" t="s">
        <v>139</v>
      </c>
      <c r="C308" s="17">
        <v>34135</v>
      </c>
      <c r="D308" s="18">
        <v>20.000427113843909</v>
      </c>
      <c r="E308" s="22"/>
      <c r="F308" s="27"/>
      <c r="G308" s="22"/>
      <c r="H308" s="45"/>
      <c r="I308" s="27"/>
      <c r="J308" s="43"/>
      <c r="K308" s="43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2"/>
      <c r="AG308" s="42"/>
      <c r="AH308" s="42"/>
      <c r="AI308" s="18"/>
      <c r="AK308" s="18"/>
      <c r="AL308" s="18"/>
      <c r="AM308" s="41" t="s">
        <v>118</v>
      </c>
      <c r="AN308" s="18"/>
      <c r="AO308" s="6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3"/>
      <c r="K309" s="43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2"/>
      <c r="AH309" s="42"/>
      <c r="AI309" s="18"/>
      <c r="AK309" s="18"/>
      <c r="AL309" s="18"/>
      <c r="AM309" s="41" t="s">
        <v>118</v>
      </c>
      <c r="AN309" s="18"/>
      <c r="AO309" s="6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3"/>
      <c r="K310" s="43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2"/>
      <c r="AH310" s="42"/>
      <c r="AI310" s="18"/>
      <c r="AK310" s="18"/>
      <c r="AL310" s="18"/>
      <c r="AM310" s="41" t="s">
        <v>118</v>
      </c>
      <c r="AN310" s="18"/>
      <c r="AO310" s="6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3"/>
      <c r="K311" s="43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2"/>
      <c r="AH311" s="42"/>
      <c r="AI311" s="18"/>
      <c r="AK311" s="18"/>
      <c r="AL311" s="18"/>
      <c r="AM311" s="41" t="s">
        <v>118</v>
      </c>
      <c r="AN311" s="18"/>
      <c r="AO311" s="6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6"/>
      <c r="BK311" s="6"/>
      <c r="BL311" s="21" t="s">
        <v>55</v>
      </c>
      <c r="BO311" s="15"/>
    </row>
    <row r="312" spans="1:67" ht="14.5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3"/>
      <c r="K312" s="43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2"/>
      <c r="AH312" s="42"/>
      <c r="AI312" s="18"/>
      <c r="AK312" s="18"/>
      <c r="AL312" s="18"/>
      <c r="AM312" s="41" t="s">
        <v>118</v>
      </c>
      <c r="AN312" s="18"/>
      <c r="AO312" s="6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6"/>
      <c r="BK312" s="6"/>
      <c r="BL312" s="21" t="s">
        <v>55</v>
      </c>
      <c r="BO312" s="15"/>
    </row>
    <row r="313" spans="1:67" ht="14.5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3"/>
      <c r="K313" s="43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2"/>
      <c r="AH313" s="42"/>
      <c r="AI313" s="18"/>
      <c r="AK313" s="18"/>
      <c r="AL313" s="18"/>
      <c r="AM313" s="41" t="s">
        <v>118</v>
      </c>
      <c r="AN313" s="18"/>
      <c r="AO313" s="6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6"/>
      <c r="BK313" s="6"/>
      <c r="BL313" s="21" t="s">
        <v>55</v>
      </c>
      <c r="BO313" s="15"/>
    </row>
    <row r="314" spans="1:67" ht="14.5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3"/>
      <c r="K314" s="43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2"/>
      <c r="AH314" s="42"/>
      <c r="AI314" s="18"/>
      <c r="AK314" s="18"/>
      <c r="AL314" s="18"/>
      <c r="AM314" s="41" t="s">
        <v>118</v>
      </c>
      <c r="AN314" s="18"/>
      <c r="AO314" s="6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3"/>
      <c r="K315" s="43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2"/>
      <c r="AH315" s="42"/>
      <c r="AI315" s="18"/>
      <c r="AK315" s="18"/>
      <c r="AL315" s="18"/>
      <c r="AM315" s="41" t="s">
        <v>118</v>
      </c>
      <c r="AN315" s="18"/>
      <c r="AO315" s="6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2">
        <v>795</v>
      </c>
      <c r="G316" s="22"/>
      <c r="H316" s="44"/>
      <c r="I316" s="27"/>
      <c r="J316" s="44">
        <v>595.9</v>
      </c>
      <c r="K316" s="44"/>
      <c r="L316" s="44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2"/>
      <c r="AG316" s="42"/>
      <c r="AH316" s="42"/>
      <c r="AI316" s="18"/>
      <c r="AK316" s="18"/>
      <c r="AL316" s="18"/>
      <c r="AM316" s="41" t="s">
        <v>118</v>
      </c>
      <c r="AN316" s="18"/>
      <c r="AO316" s="6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2">
        <v>795</v>
      </c>
      <c r="G317" s="22"/>
      <c r="H317" s="44"/>
      <c r="I317" s="27"/>
      <c r="J317" s="44">
        <v>1037.3</v>
      </c>
      <c r="K317" s="44"/>
      <c r="L317" s="44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2"/>
      <c r="AG317" s="42"/>
      <c r="AH317" s="42"/>
      <c r="AI317" s="18"/>
      <c r="AK317" s="18"/>
      <c r="AL317" s="18"/>
      <c r="AM317" s="41" t="s">
        <v>118</v>
      </c>
      <c r="AN317" s="18"/>
      <c r="AO317" s="6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2">
        <v>795</v>
      </c>
      <c r="G318" s="22"/>
      <c r="H318" s="44"/>
      <c r="I318" s="27"/>
      <c r="J318" s="44">
        <v>1343.3</v>
      </c>
      <c r="K318" s="44"/>
      <c r="L318" s="44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2"/>
      <c r="AG318" s="42"/>
      <c r="AH318" s="42"/>
      <c r="AI318" s="18"/>
      <c r="AK318" s="18"/>
      <c r="AL318" s="18"/>
      <c r="AM318" s="41" t="s">
        <v>118</v>
      </c>
      <c r="AN318" s="18"/>
      <c r="AO318" s="6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2">
        <v>795</v>
      </c>
      <c r="G319" s="22"/>
      <c r="H319" s="44"/>
      <c r="I319" s="27"/>
      <c r="J319" s="44">
        <v>1843.4999999999998</v>
      </c>
      <c r="K319" s="44"/>
      <c r="L319" s="44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2"/>
      <c r="AG319" s="42"/>
      <c r="AH319" s="42"/>
      <c r="AI319" s="18"/>
      <c r="AK319" s="18"/>
      <c r="AL319" s="18"/>
      <c r="AM319" s="41" t="s">
        <v>118</v>
      </c>
      <c r="AN319" s="18"/>
      <c r="AO319" s="6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6"/>
      <c r="BK319" s="6"/>
      <c r="BL319" s="21" t="s">
        <v>55</v>
      </c>
      <c r="BO319" s="15"/>
    </row>
    <row r="320" spans="1:67" ht="14.5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2">
        <v>775</v>
      </c>
      <c r="G320" s="22"/>
      <c r="H320" s="44"/>
      <c r="I320" s="27"/>
      <c r="J320" s="44">
        <v>2173.5</v>
      </c>
      <c r="K320" s="44"/>
      <c r="L320" s="44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2"/>
      <c r="AG320" s="42"/>
      <c r="AH320" s="42"/>
      <c r="AI320" s="18"/>
      <c r="AK320" s="18"/>
      <c r="AL320" s="18"/>
      <c r="AM320" s="41" t="s">
        <v>118</v>
      </c>
      <c r="AN320" s="18"/>
      <c r="AO320" s="6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2">
        <v>412</v>
      </c>
      <c r="G321" s="22"/>
      <c r="H321" s="45"/>
      <c r="I321" s="27"/>
      <c r="J321" s="45"/>
      <c r="K321" s="45"/>
      <c r="L321" s="45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2"/>
      <c r="AG321" s="42"/>
      <c r="AH321" s="42"/>
      <c r="AI321" s="18"/>
      <c r="AK321" s="18"/>
      <c r="AL321" s="18"/>
      <c r="AM321" s="41" t="s">
        <v>118</v>
      </c>
      <c r="AN321" s="18"/>
      <c r="AO321" s="6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2">
        <v>412</v>
      </c>
      <c r="G322" s="22"/>
      <c r="H322" s="45"/>
      <c r="I322" s="27"/>
      <c r="J322" s="45"/>
      <c r="K322" s="45"/>
      <c r="L322" s="45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2"/>
      <c r="AG322" s="42"/>
      <c r="AH322" s="42"/>
      <c r="AI322" s="18"/>
      <c r="AK322" s="18"/>
      <c r="AL322" s="18"/>
      <c r="AM322" s="41" t="s">
        <v>118</v>
      </c>
      <c r="AN322" s="18"/>
      <c r="AO322" s="6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2">
        <v>412</v>
      </c>
      <c r="G323" s="22"/>
      <c r="H323" s="44">
        <v>1330</v>
      </c>
      <c r="I323" s="27"/>
      <c r="J323" s="44">
        <v>2470</v>
      </c>
      <c r="K323" s="44"/>
      <c r="L323" s="44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2"/>
      <c r="AG323" s="42"/>
      <c r="AH323" s="42"/>
      <c r="AI323" s="18"/>
      <c r="AK323" s="18"/>
      <c r="AL323" s="18"/>
      <c r="AM323" s="41" t="s">
        <v>118</v>
      </c>
      <c r="AN323" s="18"/>
      <c r="AO323" s="6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6"/>
      <c r="BK323" s="6"/>
      <c r="BL323" s="21" t="s">
        <v>55</v>
      </c>
      <c r="BO323" s="15"/>
    </row>
    <row r="324" spans="1:67" ht="14.5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2">
        <v>412</v>
      </c>
      <c r="G324" s="22"/>
      <c r="H324" s="45"/>
      <c r="I324" s="27"/>
      <c r="J324" s="43"/>
      <c r="K324" s="43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2"/>
      <c r="AG324" s="42"/>
      <c r="AH324" s="42"/>
      <c r="AI324" s="18"/>
      <c r="AK324" s="18"/>
      <c r="AL324" s="18"/>
      <c r="AM324" s="41" t="s">
        <v>118</v>
      </c>
      <c r="AN324" s="18"/>
      <c r="AO324" s="6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2">
        <v>412</v>
      </c>
      <c r="G325" s="22"/>
      <c r="H325" s="22"/>
      <c r="I325" s="27"/>
      <c r="J325" s="43"/>
      <c r="K325" s="43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2"/>
      <c r="AG325" s="42"/>
      <c r="AH325" s="42"/>
      <c r="AI325" s="18"/>
      <c r="AK325" s="18"/>
      <c r="AL325" s="18"/>
      <c r="AM325" s="41" t="s">
        <v>118</v>
      </c>
      <c r="AN325" s="18"/>
      <c r="AO325" s="6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2">
        <v>412</v>
      </c>
      <c r="G326" s="22"/>
      <c r="H326" s="22"/>
      <c r="I326" s="27"/>
      <c r="J326" s="43"/>
      <c r="K326" s="43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2"/>
      <c r="AH326" s="42"/>
      <c r="AI326" s="18"/>
      <c r="AK326" s="18"/>
      <c r="AL326" s="18"/>
      <c r="AM326" s="41" t="s">
        <v>118</v>
      </c>
      <c r="AN326" s="18"/>
      <c r="AO326" s="6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6"/>
      <c r="BK326" s="6"/>
      <c r="BL326" s="21" t="s">
        <v>55</v>
      </c>
      <c r="BO326" s="15"/>
    </row>
    <row r="327" spans="1:67" ht="14.5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2">
        <v>412</v>
      </c>
      <c r="G327" s="22"/>
      <c r="H327" s="22"/>
      <c r="I327" s="27"/>
      <c r="J327" s="43"/>
      <c r="K327" s="43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2"/>
      <c r="AH327" s="42"/>
      <c r="AI327" s="18"/>
      <c r="AK327" s="18"/>
      <c r="AL327" s="18"/>
      <c r="AM327" s="41" t="s">
        <v>118</v>
      </c>
      <c r="AN327" s="18"/>
      <c r="AO327" s="6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2">
        <v>412</v>
      </c>
      <c r="G328" s="22"/>
      <c r="H328" s="22"/>
      <c r="I328" s="27"/>
      <c r="J328" s="43"/>
      <c r="K328" s="43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2"/>
      <c r="AH328" s="42"/>
      <c r="AI328" s="18"/>
      <c r="AK328" s="18"/>
      <c r="AL328" s="18"/>
      <c r="AM328" s="41" t="s">
        <v>118</v>
      </c>
      <c r="AN328" s="18"/>
      <c r="AO328" s="6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2">
        <v>412</v>
      </c>
      <c r="G329" s="22"/>
      <c r="H329" s="22"/>
      <c r="I329" s="27"/>
      <c r="J329" s="43"/>
      <c r="K329" s="43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2"/>
      <c r="AH329" s="42"/>
      <c r="AI329" s="18"/>
      <c r="AK329" s="18"/>
      <c r="AL329" s="18"/>
      <c r="AM329" s="41" t="s">
        <v>118</v>
      </c>
      <c r="AN329" s="18"/>
      <c r="AO329" s="6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2">
        <v>412</v>
      </c>
      <c r="G330" s="22"/>
      <c r="H330" s="22"/>
      <c r="I330" s="27"/>
      <c r="J330" s="43"/>
      <c r="K330" s="43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2"/>
      <c r="AH330" s="42"/>
      <c r="AI330" s="18"/>
      <c r="AK330" s="18"/>
      <c r="AL330" s="18"/>
      <c r="AM330" s="41" t="s">
        <v>118</v>
      </c>
      <c r="AN330" s="18"/>
      <c r="AO330" s="6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6"/>
      <c r="BK330" s="6"/>
      <c r="BL330" s="21" t="s">
        <v>55</v>
      </c>
      <c r="BO330" s="15"/>
    </row>
    <row r="331" spans="1:67" ht="14.5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4"/>
      <c r="I331" s="27"/>
      <c r="J331" s="44">
        <v>637.4</v>
      </c>
      <c r="K331" s="44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2"/>
      <c r="AG331" s="42"/>
      <c r="AH331" s="42"/>
      <c r="AI331" s="18"/>
      <c r="AK331" s="18"/>
      <c r="AL331" s="18"/>
      <c r="AM331" s="41" t="s">
        <v>118</v>
      </c>
      <c r="AN331" s="18"/>
      <c r="AO331" s="6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6"/>
      <c r="BK331" s="6"/>
      <c r="BL331" s="21" t="s">
        <v>55</v>
      </c>
      <c r="BO331" s="15"/>
    </row>
    <row r="332" spans="1:67" ht="14.5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4"/>
      <c r="I332" s="27"/>
      <c r="J332" s="44">
        <v>1142.5999999999999</v>
      </c>
      <c r="K332" s="44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2"/>
      <c r="AG332" s="42"/>
      <c r="AH332" s="42"/>
      <c r="AI332" s="18"/>
      <c r="AK332" s="18"/>
      <c r="AL332" s="18"/>
      <c r="AM332" s="41" t="s">
        <v>118</v>
      </c>
      <c r="AN332" s="18"/>
      <c r="AO332" s="6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4"/>
      <c r="I333" s="27"/>
      <c r="J333" s="44">
        <v>1462.1000000000001</v>
      </c>
      <c r="K333" s="44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2"/>
      <c r="AG333" s="42"/>
      <c r="AH333" s="42"/>
      <c r="AI333" s="18"/>
      <c r="AK333" s="18"/>
      <c r="AL333" s="18"/>
      <c r="AM333" s="41" t="s">
        <v>118</v>
      </c>
      <c r="AN333" s="18"/>
      <c r="AO333" s="6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4"/>
      <c r="I334" s="27"/>
      <c r="J334" s="44">
        <v>1969.2</v>
      </c>
      <c r="K334" s="44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2"/>
      <c r="AG334" s="42"/>
      <c r="AH334" s="42"/>
      <c r="AI334" s="18"/>
      <c r="AK334" s="18"/>
      <c r="AL334" s="18"/>
      <c r="AM334" s="41" t="s">
        <v>118</v>
      </c>
      <c r="AN334" s="18"/>
      <c r="AO334" s="6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4"/>
      <c r="I335" s="27"/>
      <c r="J335" s="44">
        <v>2300.9</v>
      </c>
      <c r="K335" s="44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2"/>
      <c r="AG335" s="42"/>
      <c r="AH335" s="42"/>
      <c r="AI335" s="18"/>
      <c r="AK335" s="18"/>
      <c r="AL335" s="18"/>
      <c r="AM335" s="41" t="s">
        <v>118</v>
      </c>
      <c r="AN335" s="18"/>
      <c r="AO335" s="6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5"/>
      <c r="I336" s="27"/>
      <c r="J336" s="45"/>
      <c r="K336" s="45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2"/>
      <c r="AG336" s="42"/>
      <c r="AH336" s="42"/>
      <c r="AI336" s="18"/>
      <c r="AK336" s="18"/>
      <c r="AL336" s="18"/>
      <c r="AM336" s="41" t="s">
        <v>118</v>
      </c>
      <c r="AN336" s="18"/>
      <c r="AO336" s="6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5"/>
      <c r="I337" s="27"/>
      <c r="J337" s="43"/>
      <c r="K337" s="43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2"/>
      <c r="AG337" s="42"/>
      <c r="AH337" s="42"/>
      <c r="AI337" s="18"/>
      <c r="AK337" s="18"/>
      <c r="AL337" s="18"/>
      <c r="AM337" s="41" t="s">
        <v>118</v>
      </c>
      <c r="AN337" s="18"/>
      <c r="AO337" s="6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6"/>
      <c r="BK337" s="6"/>
      <c r="BL337" s="21" t="s">
        <v>55</v>
      </c>
      <c r="BO337" s="15"/>
    </row>
    <row r="338" spans="1:67" ht="14.5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3"/>
      <c r="K338" s="43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2"/>
      <c r="AG338" s="42"/>
      <c r="AH338" s="42"/>
      <c r="AI338" s="18"/>
      <c r="AK338" s="18"/>
      <c r="AL338" s="18"/>
      <c r="AM338" s="41" t="s">
        <v>118</v>
      </c>
      <c r="AN338" s="18"/>
      <c r="AO338" s="6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3"/>
      <c r="K339" s="43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2"/>
      <c r="AH339" s="42"/>
      <c r="AI339" s="18"/>
      <c r="AK339" s="18"/>
      <c r="AL339" s="18"/>
      <c r="AM339" s="41" t="s">
        <v>118</v>
      </c>
      <c r="AN339" s="18"/>
      <c r="AO339" s="6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6"/>
      <c r="BK339" s="6"/>
      <c r="BL339" s="21" t="s">
        <v>55</v>
      </c>
      <c r="BO339" s="15"/>
    </row>
    <row r="340" spans="1:67" ht="14.5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3"/>
      <c r="K340" s="43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2"/>
      <c r="AH340" s="42"/>
      <c r="AI340" s="18"/>
      <c r="AK340" s="18"/>
      <c r="AL340" s="18"/>
      <c r="AM340" s="41" t="s">
        <v>118</v>
      </c>
      <c r="AN340" s="18"/>
      <c r="AO340" s="6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3"/>
      <c r="K341" s="43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2"/>
      <c r="AH341" s="42"/>
      <c r="AI341" s="18"/>
      <c r="AK341" s="18"/>
      <c r="AL341" s="18"/>
      <c r="AM341" s="41" t="s">
        <v>118</v>
      </c>
      <c r="AN341" s="18"/>
      <c r="AO341" s="6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3"/>
      <c r="K342" s="43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2"/>
      <c r="AH342" s="42"/>
      <c r="AI342" s="18"/>
      <c r="AK342" s="18"/>
      <c r="AL342" s="18"/>
      <c r="AM342" s="41" t="s">
        <v>118</v>
      </c>
      <c r="AN342" s="18"/>
      <c r="AO342" s="6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3"/>
      <c r="K343" s="43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2"/>
      <c r="AH343" s="42"/>
      <c r="AI343" s="18"/>
      <c r="AK343" s="18"/>
      <c r="AL343" s="18"/>
      <c r="AM343" s="41" t="s">
        <v>118</v>
      </c>
      <c r="AN343" s="18"/>
      <c r="AO343" s="6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3"/>
      <c r="K344" s="43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2"/>
      <c r="AH344" s="42"/>
      <c r="AI344" s="18"/>
      <c r="AK344" s="18"/>
      <c r="AL344" s="18"/>
      <c r="AM344" s="41" t="s">
        <v>118</v>
      </c>
      <c r="AN344" s="18"/>
      <c r="AO344" s="6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6"/>
      <c r="BK344" s="6"/>
      <c r="BL344" s="21" t="s">
        <v>55</v>
      </c>
      <c r="BO344" s="15"/>
    </row>
    <row r="345" spans="1:67" ht="14.5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3"/>
      <c r="K345" s="43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2"/>
      <c r="AH345" s="42"/>
      <c r="AI345" s="18"/>
      <c r="AK345" s="18"/>
      <c r="AL345" s="18"/>
      <c r="AM345" s="41" t="s">
        <v>118</v>
      </c>
      <c r="AN345" s="18"/>
      <c r="AO345" s="6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6"/>
      <c r="BK345" s="6"/>
      <c r="BL345" s="21" t="s">
        <v>55</v>
      </c>
      <c r="BO345" s="15"/>
    </row>
    <row r="346" spans="1:67">
      <c r="A346" s="6" t="s">
        <v>56</v>
      </c>
      <c r="B346" s="6"/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3">
        <v>623.70000000000005</v>
      </c>
      <c r="K346" s="43"/>
      <c r="L346" s="46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2"/>
      <c r="AG346" s="42"/>
      <c r="AH346" s="42"/>
      <c r="AI346" s="18"/>
      <c r="AK346" s="18"/>
      <c r="AL346" s="18"/>
      <c r="AM346" s="41" t="s">
        <v>118</v>
      </c>
      <c r="AN346" s="18"/>
      <c r="AO346" s="6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6"/>
      <c r="BK346" s="6"/>
      <c r="BL346" s="21" t="s">
        <v>55</v>
      </c>
      <c r="BO346" s="15"/>
    </row>
    <row r="347" spans="1:67">
      <c r="A347" s="6" t="s">
        <v>56</v>
      </c>
      <c r="B347" s="6"/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3">
        <v>1321.4</v>
      </c>
      <c r="K347" s="43"/>
      <c r="L347" s="46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2"/>
      <c r="AG347" s="42"/>
      <c r="AH347" s="42"/>
      <c r="AI347" s="18"/>
      <c r="AK347" s="18"/>
      <c r="AL347" s="18"/>
      <c r="AM347" s="41" t="s">
        <v>118</v>
      </c>
      <c r="AN347" s="18"/>
      <c r="AO347" s="6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6"/>
      <c r="BK347" s="6"/>
      <c r="BL347" s="21" t="s">
        <v>55</v>
      </c>
      <c r="BO347" s="15"/>
    </row>
    <row r="348" spans="1:67" ht="14.55" customHeight="1">
      <c r="A348" s="6" t="s">
        <v>56</v>
      </c>
      <c r="B348" s="6"/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3">
        <v>1647.8999999999999</v>
      </c>
      <c r="K348" s="43"/>
      <c r="L348" s="46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2"/>
      <c r="AG348" s="42"/>
      <c r="AH348" s="42"/>
      <c r="AI348" s="18"/>
      <c r="AK348" s="18"/>
      <c r="AL348" s="18"/>
      <c r="AM348" s="41" t="s">
        <v>118</v>
      </c>
      <c r="AN348" s="18"/>
      <c r="AO348" s="6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6"/>
      <c r="BK348" s="6"/>
      <c r="BL348" s="21" t="s">
        <v>55</v>
      </c>
      <c r="BO348" s="15"/>
    </row>
    <row r="349" spans="1:67" ht="14.55" customHeight="1">
      <c r="A349" s="6" t="s">
        <v>56</v>
      </c>
      <c r="B349" s="6"/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3">
        <v>2077.1</v>
      </c>
      <c r="K349" s="43"/>
      <c r="L349" s="46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2"/>
      <c r="AG349" s="42"/>
      <c r="AH349" s="42"/>
      <c r="AI349" s="18"/>
      <c r="AK349" s="18"/>
      <c r="AL349" s="18"/>
      <c r="AM349" s="41" t="s">
        <v>118</v>
      </c>
      <c r="AN349" s="18"/>
      <c r="AO349" s="6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6"/>
      <c r="BK349" s="6"/>
      <c r="BL349" s="21" t="s">
        <v>55</v>
      </c>
      <c r="BO349" s="15"/>
    </row>
    <row r="350" spans="1:67" ht="14.55" customHeight="1">
      <c r="A350" s="6" t="s">
        <v>56</v>
      </c>
      <c r="B350" s="6"/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3">
        <v>2539</v>
      </c>
      <c r="K350" s="43"/>
      <c r="L350" s="46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2"/>
      <c r="AG350" s="42"/>
      <c r="AH350" s="42"/>
      <c r="AI350" s="18"/>
      <c r="AK350" s="18"/>
      <c r="AL350" s="18"/>
      <c r="AM350" s="41" t="s">
        <v>118</v>
      </c>
      <c r="AN350" s="18"/>
      <c r="AO350" s="6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6"/>
      <c r="BK350" s="6"/>
      <c r="BL350" s="21" t="s">
        <v>55</v>
      </c>
      <c r="BO350" s="15"/>
    </row>
    <row r="351" spans="1:67" ht="14.55" customHeight="1">
      <c r="A351" s="6" t="s">
        <v>56</v>
      </c>
      <c r="B351" s="6"/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3"/>
      <c r="K351" s="43"/>
      <c r="L351" s="45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2"/>
      <c r="AG351" s="42"/>
      <c r="AH351" s="42"/>
      <c r="AI351" s="18"/>
      <c r="AK351" s="18"/>
      <c r="AL351" s="18"/>
      <c r="AM351" s="41" t="s">
        <v>118</v>
      </c>
      <c r="AN351" s="18"/>
      <c r="AO351" s="6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6"/>
      <c r="BK351" s="6"/>
      <c r="BL351" s="21" t="s">
        <v>55</v>
      </c>
      <c r="BO351" s="15"/>
    </row>
    <row r="352" spans="1:67">
      <c r="A352" s="6" t="s">
        <v>56</v>
      </c>
      <c r="B352" s="6"/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3"/>
      <c r="K352" s="43"/>
      <c r="L352" s="45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2"/>
      <c r="AG352" s="42"/>
      <c r="AH352" s="42"/>
      <c r="AI352" s="18"/>
      <c r="AK352" s="18"/>
      <c r="AL352" s="18"/>
      <c r="AM352" s="41" t="s">
        <v>118</v>
      </c>
      <c r="AN352" s="18"/>
      <c r="AO352" s="6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6"/>
      <c r="BK352" s="6"/>
      <c r="BL352" s="21" t="s">
        <v>55</v>
      </c>
      <c r="BO352" s="15"/>
    </row>
    <row r="353" spans="1:67">
      <c r="A353" s="6" t="s">
        <v>56</v>
      </c>
      <c r="B353" s="6"/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3"/>
      <c r="K353" s="43"/>
      <c r="L353" s="45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2"/>
      <c r="AG353" s="42"/>
      <c r="AH353" s="42"/>
      <c r="AI353" s="18"/>
      <c r="AK353" s="18"/>
      <c r="AL353" s="18"/>
      <c r="AM353" s="41" t="s">
        <v>118</v>
      </c>
      <c r="AN353" s="18"/>
      <c r="AO353" s="6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6"/>
      <c r="BK353" s="6"/>
      <c r="BL353" s="21" t="s">
        <v>55</v>
      </c>
      <c r="BO353" s="15"/>
    </row>
    <row r="354" spans="1:67">
      <c r="A354" s="6" t="s">
        <v>56</v>
      </c>
      <c r="B354" s="6"/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3"/>
      <c r="K354" s="43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2"/>
      <c r="AH354" s="42"/>
      <c r="AI354" s="18"/>
      <c r="AK354" s="18"/>
      <c r="AL354" s="18"/>
      <c r="AM354" s="41" t="s">
        <v>118</v>
      </c>
      <c r="AN354" s="18"/>
      <c r="AO354" s="6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6"/>
      <c r="BK354" s="6"/>
      <c r="BL354" s="21" t="s">
        <v>55</v>
      </c>
      <c r="BO354" s="15"/>
    </row>
    <row r="355" spans="1:67" ht="14.55" customHeight="1">
      <c r="A355" s="6" t="s">
        <v>56</v>
      </c>
      <c r="B355" s="6"/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3"/>
      <c r="K355" s="43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2"/>
      <c r="AH355" s="42"/>
      <c r="AI355" s="18"/>
      <c r="AK355" s="18"/>
      <c r="AL355" s="18"/>
      <c r="AM355" s="41" t="s">
        <v>118</v>
      </c>
      <c r="AN355" s="18"/>
      <c r="AO355" s="6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6"/>
      <c r="BK355" s="6"/>
      <c r="BL355" s="21" t="s">
        <v>55</v>
      </c>
      <c r="BO355" s="15"/>
    </row>
    <row r="356" spans="1:67" ht="14.55" customHeight="1">
      <c r="A356" s="6" t="s">
        <v>56</v>
      </c>
      <c r="B356" s="6"/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3"/>
      <c r="K356" s="43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2"/>
      <c r="AH356" s="42"/>
      <c r="AI356" s="18"/>
      <c r="AK356" s="18"/>
      <c r="AL356" s="18"/>
      <c r="AM356" s="41" t="s">
        <v>118</v>
      </c>
      <c r="AN356" s="18"/>
      <c r="AO356" s="6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6"/>
      <c r="BK356" s="6"/>
      <c r="BL356" s="21" t="s">
        <v>55</v>
      </c>
      <c r="BO356" s="15"/>
    </row>
    <row r="357" spans="1:67">
      <c r="A357" s="6" t="s">
        <v>56</v>
      </c>
      <c r="B357" s="6"/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3"/>
      <c r="K357" s="43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2"/>
      <c r="AH357" s="42"/>
      <c r="AI357" s="18"/>
      <c r="AK357" s="18"/>
      <c r="AL357" s="18"/>
      <c r="AM357" s="41" t="s">
        <v>118</v>
      </c>
      <c r="AN357" s="18"/>
      <c r="AO357" s="6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6"/>
      <c r="BK357" s="6"/>
      <c r="BL357" s="21" t="s">
        <v>55</v>
      </c>
      <c r="BO357" s="15"/>
    </row>
    <row r="358" spans="1:67" ht="14.55" customHeight="1">
      <c r="A358" s="6" t="s">
        <v>56</v>
      </c>
      <c r="B358" s="6"/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3"/>
      <c r="K358" s="43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2"/>
      <c r="AH358" s="42"/>
      <c r="AI358" s="18"/>
      <c r="AK358" s="18"/>
      <c r="AL358" s="18"/>
      <c r="AM358" s="41" t="s">
        <v>118</v>
      </c>
      <c r="AN358" s="18"/>
      <c r="AO358" s="6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6"/>
      <c r="BK358" s="6"/>
      <c r="BL358" s="21" t="s">
        <v>55</v>
      </c>
      <c r="BO358" s="15"/>
    </row>
    <row r="359" spans="1:67">
      <c r="A359" s="6" t="s">
        <v>56</v>
      </c>
      <c r="B359" s="6"/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3"/>
      <c r="K359" s="43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2"/>
      <c r="AH359" s="42"/>
      <c r="AI359" s="18"/>
      <c r="AK359" s="18"/>
      <c r="AL359" s="18"/>
      <c r="AM359" s="41" t="s">
        <v>118</v>
      </c>
      <c r="AN359" s="18"/>
      <c r="AO359" s="6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6"/>
      <c r="BK359" s="6"/>
      <c r="BL359" s="21" t="s">
        <v>55</v>
      </c>
      <c r="BO359" s="15"/>
    </row>
    <row r="360" spans="1:67" ht="14.55" customHeight="1">
      <c r="A360" s="6" t="s">
        <v>56</v>
      </c>
      <c r="B360" s="6"/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3"/>
      <c r="K360" s="43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2"/>
      <c r="AH360" s="42"/>
      <c r="AI360" s="18"/>
      <c r="AK360" s="18"/>
      <c r="AL360" s="18"/>
      <c r="AM360" s="41" t="s">
        <v>118</v>
      </c>
      <c r="AN360" s="18"/>
      <c r="AO360" s="6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6"/>
      <c r="BK360" s="6"/>
      <c r="BL360" s="21" t="s">
        <v>55</v>
      </c>
      <c r="BO360" s="15"/>
    </row>
    <row r="361" spans="1:67" ht="14.55" customHeight="1">
      <c r="A361" s="6" t="s">
        <v>129</v>
      </c>
      <c r="B361" s="6"/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1" t="s">
        <v>118</v>
      </c>
      <c r="AN361" s="18"/>
      <c r="AO361" s="6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6"/>
      <c r="BK361" s="6">
        <v>6.0999999999999995E-3</v>
      </c>
      <c r="BL361" s="21" t="s">
        <v>57</v>
      </c>
      <c r="BO361" s="15"/>
    </row>
    <row r="362" spans="1:67" ht="14.55" customHeight="1">
      <c r="A362" s="6" t="s">
        <v>129</v>
      </c>
      <c r="B362" s="6"/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1" t="s">
        <v>118</v>
      </c>
      <c r="AN362" s="18"/>
      <c r="AO362" s="6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/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1" t="s">
        <v>118</v>
      </c>
      <c r="AN363" s="18"/>
      <c r="AO363" s="6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/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1" t="s">
        <v>118</v>
      </c>
      <c r="AN364" s="18"/>
      <c r="AO364" s="6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/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1" t="s">
        <v>118</v>
      </c>
      <c r="AN365" s="18"/>
      <c r="AO365" s="6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6"/>
      <c r="BK365" s="6">
        <v>6.5000000000000006E-3</v>
      </c>
      <c r="BL365" s="21" t="s">
        <v>57</v>
      </c>
      <c r="BO365" s="15"/>
    </row>
    <row r="366" spans="1:67" ht="14.55" customHeight="1">
      <c r="A366" s="6" t="s">
        <v>130</v>
      </c>
      <c r="B366" s="6"/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1" t="s">
        <v>118</v>
      </c>
      <c r="AN366" s="18"/>
      <c r="AO366" s="6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/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1" t="s">
        <v>118</v>
      </c>
      <c r="AN367" s="18"/>
      <c r="AO367" s="6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6"/>
      <c r="BK367" s="6">
        <v>4.4000000000000003E-3</v>
      </c>
      <c r="BL367" s="21" t="s">
        <v>57</v>
      </c>
      <c r="BO367" s="15"/>
    </row>
    <row r="368" spans="1:67" ht="14.55" customHeight="1">
      <c r="A368" s="6" t="s">
        <v>130</v>
      </c>
      <c r="B368" s="6"/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1" t="s">
        <v>118</v>
      </c>
      <c r="AN368" s="18"/>
      <c r="AO368" s="6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/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1" t="s">
        <v>118</v>
      </c>
      <c r="AN369" s="18"/>
      <c r="AO369" s="6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6"/>
      <c r="BK369" s="6">
        <v>5.6000000000000008E-3</v>
      </c>
      <c r="BL369" s="21" t="s">
        <v>57</v>
      </c>
      <c r="BO369" s="15"/>
    </row>
    <row r="370" spans="1:67" ht="14.55" customHeight="1">
      <c r="A370" s="6" t="s">
        <v>131</v>
      </c>
      <c r="B370" s="6"/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1" t="s">
        <v>118</v>
      </c>
      <c r="AN370" s="18"/>
      <c r="AO370" s="6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6"/>
      <c r="BK370" s="6">
        <v>4.1999999999999997E-3</v>
      </c>
      <c r="BL370" s="21" t="s">
        <v>57</v>
      </c>
      <c r="BO370" s="15"/>
    </row>
    <row r="371" spans="1:67" ht="14.55" customHeight="1">
      <c r="A371" s="6" t="s">
        <v>131</v>
      </c>
      <c r="B371" s="6"/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1" t="s">
        <v>118</v>
      </c>
      <c r="AN371" s="18"/>
      <c r="AO371" s="6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6"/>
      <c r="BK371" s="6">
        <v>3.9000000000000003E-3</v>
      </c>
      <c r="BL371" s="21" t="s">
        <v>57</v>
      </c>
      <c r="BO371" s="15"/>
    </row>
    <row r="372" spans="1:67" ht="14.55" customHeight="1">
      <c r="A372" s="6" t="s">
        <v>131</v>
      </c>
      <c r="B372" s="6"/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1" t="s">
        <v>118</v>
      </c>
      <c r="AN372" s="18"/>
      <c r="AO372" s="6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/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1" t="s">
        <v>118</v>
      </c>
      <c r="AN373" s="18"/>
      <c r="AO373" s="6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6"/>
      <c r="BK373" s="6"/>
      <c r="BL373" s="6"/>
      <c r="BO373" s="15"/>
    </row>
    <row r="374" spans="1:67" ht="14.55" customHeight="1">
      <c r="A374" s="6" t="s">
        <v>132</v>
      </c>
      <c r="B374" s="6"/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1" t="s">
        <v>118</v>
      </c>
      <c r="AN374" s="18"/>
      <c r="AO374" s="6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6"/>
      <c r="BK374" s="6"/>
      <c r="BL374" s="6"/>
      <c r="BO374" s="15"/>
    </row>
    <row r="375" spans="1:67" ht="14.55" customHeight="1">
      <c r="A375" s="6" t="s">
        <v>132</v>
      </c>
      <c r="B375" s="6"/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1" t="s">
        <v>118</v>
      </c>
      <c r="AN375" s="18"/>
      <c r="AO375" s="6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6"/>
      <c r="BK375" s="6"/>
      <c r="BL375" s="6"/>
      <c r="BO375" s="15"/>
    </row>
    <row r="376" spans="1:67" ht="14.55" customHeight="1">
      <c r="A376" s="6" t="s">
        <v>132</v>
      </c>
      <c r="B376" s="6"/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1" t="s">
        <v>118</v>
      </c>
      <c r="AN376" s="18"/>
      <c r="AO376" s="6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6"/>
      <c r="BK376" s="6"/>
      <c r="BL376" s="6"/>
      <c r="BO376" s="15"/>
    </row>
    <row r="377" spans="1:67" ht="14.55" customHeight="1">
      <c r="A377" s="6" t="s">
        <v>132</v>
      </c>
      <c r="B377" s="6"/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1" t="s">
        <v>118</v>
      </c>
      <c r="AN377" s="18"/>
      <c r="AO377" s="6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6"/>
      <c r="BK377" s="6"/>
      <c r="BL377" s="6"/>
      <c r="BO377" s="15"/>
    </row>
    <row r="378" spans="1:67">
      <c r="A378" s="6" t="s">
        <v>132</v>
      </c>
      <c r="B378" s="6"/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1" t="s">
        <v>118</v>
      </c>
      <c r="AN378" s="18"/>
      <c r="AO378" s="6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6"/>
      <c r="BK378" s="6"/>
      <c r="BL378" s="6"/>
      <c r="BO378" s="15"/>
    </row>
    <row r="379" spans="1:67" ht="14.55" customHeight="1">
      <c r="A379" s="6" t="s">
        <v>132</v>
      </c>
      <c r="B379" s="6"/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1" t="s">
        <v>118</v>
      </c>
      <c r="AN379" s="18"/>
      <c r="AO379" s="6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6"/>
      <c r="BK379" s="6"/>
      <c r="BL379" s="6"/>
      <c r="BO379" s="15"/>
    </row>
    <row r="380" spans="1:67">
      <c r="A380" s="6" t="s">
        <v>132</v>
      </c>
      <c r="B380" s="6"/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1" t="s">
        <v>118</v>
      </c>
      <c r="AN380" s="18"/>
      <c r="AO380" s="6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6"/>
      <c r="BK380" s="6"/>
      <c r="BL380" s="6"/>
      <c r="BO380" s="15"/>
    </row>
    <row r="381" spans="1:67" ht="14.55" customHeight="1">
      <c r="A381" s="6" t="s">
        <v>133</v>
      </c>
      <c r="B381" s="6"/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1" t="s">
        <v>118</v>
      </c>
      <c r="AN381" s="18"/>
      <c r="AO381" s="6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6"/>
      <c r="BK381" s="6">
        <v>9.7999999999999997E-3</v>
      </c>
      <c r="BL381" s="6" t="s">
        <v>57</v>
      </c>
      <c r="BO381" s="15"/>
    </row>
    <row r="382" spans="1:67" ht="14.55" customHeight="1">
      <c r="A382" s="6" t="s">
        <v>133</v>
      </c>
      <c r="B382" s="6"/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1" t="s">
        <v>118</v>
      </c>
      <c r="AN382" s="18"/>
      <c r="AO382" s="6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6"/>
      <c r="BK382" s="6">
        <v>7.8000000000000005E-3</v>
      </c>
      <c r="BL382" s="6" t="s">
        <v>57</v>
      </c>
      <c r="BO382" s="15"/>
    </row>
    <row r="383" spans="1:67" ht="14.55" customHeight="1">
      <c r="A383" s="6" t="s">
        <v>133</v>
      </c>
      <c r="B383" s="6"/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1" t="s">
        <v>118</v>
      </c>
      <c r="AN383" s="18"/>
      <c r="AO383" s="6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/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1" t="s">
        <v>118</v>
      </c>
      <c r="AN384" s="18"/>
      <c r="AO384" s="6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6"/>
      <c r="BK384" s="6">
        <v>5.1999999999999998E-3</v>
      </c>
      <c r="BL384" s="6" t="s">
        <v>57</v>
      </c>
      <c r="BO384" s="15"/>
    </row>
    <row r="385" spans="1:67" ht="14.55" customHeight="1">
      <c r="A385" s="6" t="s">
        <v>134</v>
      </c>
      <c r="B385" s="6"/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1" t="s">
        <v>118</v>
      </c>
      <c r="AN385" s="18"/>
      <c r="AO385" s="6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6"/>
      <c r="BK385" s="6">
        <v>9.8999999999999991E-3</v>
      </c>
      <c r="BL385" s="6" t="s">
        <v>57</v>
      </c>
      <c r="BO385" s="15"/>
    </row>
    <row r="386" spans="1:67" ht="14.55" customHeight="1">
      <c r="A386" s="6" t="s">
        <v>134</v>
      </c>
      <c r="B386" s="6"/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1" t="s">
        <v>118</v>
      </c>
      <c r="AN386" s="18"/>
      <c r="AO386" s="6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/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1" t="s">
        <v>118</v>
      </c>
      <c r="AN387" s="18"/>
      <c r="AO387" s="6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6">
        <v>6.3E-3</v>
      </c>
      <c r="BL387" s="6" t="s">
        <v>57</v>
      </c>
      <c r="BO387" s="15"/>
    </row>
    <row r="388" spans="1:67" ht="14.55" customHeight="1">
      <c r="A388" s="6" t="s">
        <v>134</v>
      </c>
      <c r="B388" s="6"/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1" t="s">
        <v>118</v>
      </c>
      <c r="AN388" s="18"/>
      <c r="AO388" s="6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/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1" t="s">
        <v>118</v>
      </c>
      <c r="AN389" s="18"/>
      <c r="AO389" s="6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6"/>
      <c r="BK389" s="6"/>
      <c r="BL389" s="6" t="s">
        <v>58</v>
      </c>
      <c r="BO389" s="15"/>
    </row>
    <row r="390" spans="1:67" ht="14.55" customHeight="1">
      <c r="A390" s="6" t="s">
        <v>129</v>
      </c>
      <c r="B390" s="6"/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1" t="s">
        <v>118</v>
      </c>
      <c r="AN390" s="18"/>
      <c r="AO390" s="6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6"/>
      <c r="BK390" s="6"/>
      <c r="BL390" s="6" t="s">
        <v>58</v>
      </c>
      <c r="BO390" s="15"/>
    </row>
    <row r="391" spans="1:67" ht="14.55" customHeight="1">
      <c r="A391" s="6" t="s">
        <v>129</v>
      </c>
      <c r="B391" s="6"/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1" t="s">
        <v>118</v>
      </c>
      <c r="AN391" s="18"/>
      <c r="AO391" s="6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6"/>
      <c r="BK391" s="6"/>
      <c r="BL391" s="6" t="s">
        <v>58</v>
      </c>
      <c r="BO391" s="15"/>
    </row>
    <row r="392" spans="1:67">
      <c r="A392" s="6" t="s">
        <v>129</v>
      </c>
      <c r="B392" s="6"/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1" t="s">
        <v>118</v>
      </c>
      <c r="AN392" s="18"/>
      <c r="AO392" s="6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6"/>
      <c r="BK392" s="6"/>
      <c r="BL392" s="6" t="s">
        <v>58</v>
      </c>
      <c r="BO392" s="15"/>
    </row>
    <row r="393" spans="1:67" ht="14.55" customHeight="1">
      <c r="A393" s="6" t="s">
        <v>129</v>
      </c>
      <c r="B393" s="6"/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1" t="s">
        <v>118</v>
      </c>
      <c r="AN393" s="18"/>
      <c r="AO393" s="6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6"/>
      <c r="BK393" s="6"/>
      <c r="BL393" s="6" t="s">
        <v>58</v>
      </c>
      <c r="BO393" s="15"/>
    </row>
    <row r="394" spans="1:67">
      <c r="A394" s="6" t="s">
        <v>129</v>
      </c>
      <c r="B394" s="6"/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1" t="s">
        <v>118</v>
      </c>
      <c r="AN394" s="18"/>
      <c r="AO394" s="6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6"/>
      <c r="BK394" s="6"/>
      <c r="BL394" s="6" t="s">
        <v>58</v>
      </c>
      <c r="BO394" s="15"/>
    </row>
    <row r="395" spans="1:67">
      <c r="A395" s="6" t="s">
        <v>129</v>
      </c>
      <c r="B395" s="6"/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1" t="s">
        <v>118</v>
      </c>
      <c r="AN395" s="18"/>
      <c r="AO395" s="6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6"/>
      <c r="BK395" s="6"/>
      <c r="BL395" s="6" t="s">
        <v>58</v>
      </c>
      <c r="BO395" s="15"/>
    </row>
    <row r="396" spans="1:67" ht="14.55" customHeight="1">
      <c r="A396" s="6" t="s">
        <v>129</v>
      </c>
      <c r="B396" s="6"/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1" t="s">
        <v>118</v>
      </c>
      <c r="AN396" s="18"/>
      <c r="AO396" s="6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6"/>
      <c r="BK396" s="6"/>
      <c r="BL396" s="6" t="s">
        <v>58</v>
      </c>
      <c r="BO396" s="15"/>
    </row>
    <row r="397" spans="1:67" ht="14.55" customHeight="1">
      <c r="A397" s="6" t="s">
        <v>129</v>
      </c>
      <c r="B397" s="6"/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1" t="s">
        <v>118</v>
      </c>
      <c r="AN397" s="18"/>
      <c r="AO397" s="6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6"/>
      <c r="BK397" s="6"/>
      <c r="BL397" s="6" t="s">
        <v>58</v>
      </c>
      <c r="BO397" s="15"/>
    </row>
    <row r="398" spans="1:67" ht="14.55" customHeight="1">
      <c r="A398" s="6" t="s">
        <v>129</v>
      </c>
      <c r="B398" s="6"/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1" t="s">
        <v>118</v>
      </c>
      <c r="AN398" s="18"/>
      <c r="AO398" s="6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6"/>
      <c r="BK398" s="6"/>
      <c r="BL398" s="6" t="s">
        <v>58</v>
      </c>
      <c r="BO398" s="15"/>
    </row>
    <row r="399" spans="1:67">
      <c r="A399" s="6" t="s">
        <v>129</v>
      </c>
      <c r="B399" s="6"/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1" t="s">
        <v>118</v>
      </c>
      <c r="AN399" s="18"/>
      <c r="AO399" s="6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6"/>
      <c r="BK399" s="6"/>
      <c r="BL399" s="6" t="s">
        <v>58</v>
      </c>
      <c r="BO399" s="15"/>
    </row>
    <row r="400" spans="1:67" ht="14.55" customHeight="1">
      <c r="A400" s="6" t="s">
        <v>129</v>
      </c>
      <c r="B400" s="6"/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1" t="s">
        <v>118</v>
      </c>
      <c r="AN400" s="18"/>
      <c r="AO400" s="6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6"/>
      <c r="BK400" s="6"/>
      <c r="BL400" s="6" t="s">
        <v>58</v>
      </c>
      <c r="BO400" s="15"/>
    </row>
    <row r="401" spans="1:67">
      <c r="A401" s="6" t="s">
        <v>129</v>
      </c>
      <c r="B401" s="6"/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1" t="s">
        <v>118</v>
      </c>
      <c r="AN401" s="18"/>
      <c r="AO401" s="6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6"/>
      <c r="BK401" s="6"/>
      <c r="BL401" s="6" t="s">
        <v>58</v>
      </c>
      <c r="BO401" s="15"/>
    </row>
    <row r="402" spans="1:67">
      <c r="A402" s="6" t="s">
        <v>129</v>
      </c>
      <c r="B402" s="6"/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1" t="s">
        <v>118</v>
      </c>
      <c r="AN402" s="18"/>
      <c r="AO402" s="6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6"/>
      <c r="BK402" s="6"/>
      <c r="BL402" s="6" t="s">
        <v>58</v>
      </c>
      <c r="BO402" s="15"/>
    </row>
    <row r="403" spans="1:67" ht="14.55" customHeight="1">
      <c r="A403" s="6" t="s">
        <v>129</v>
      </c>
      <c r="B403" s="6"/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1" t="s">
        <v>118</v>
      </c>
      <c r="AN403" s="18"/>
      <c r="AO403" s="6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6"/>
      <c r="BK403" s="6"/>
      <c r="BL403" s="6" t="s">
        <v>58</v>
      </c>
      <c r="BO403" s="15"/>
    </row>
    <row r="404" spans="1:67" ht="14.55" customHeight="1">
      <c r="A404" s="6" t="s">
        <v>129</v>
      </c>
      <c r="B404" s="6"/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1" t="s">
        <v>118</v>
      </c>
      <c r="AN404" s="18"/>
      <c r="AO404" s="6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6"/>
      <c r="BK404" s="6"/>
      <c r="BL404" s="6" t="s">
        <v>58</v>
      </c>
      <c r="BO404" s="15"/>
    </row>
    <row r="405" spans="1:67">
      <c r="A405" s="6" t="s">
        <v>129</v>
      </c>
      <c r="B405" s="6"/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1" t="s">
        <v>118</v>
      </c>
      <c r="AN405" s="18"/>
      <c r="AO405" s="6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6"/>
      <c r="BK405" s="6"/>
      <c r="BL405" s="6" t="s">
        <v>58</v>
      </c>
      <c r="BO405" s="15"/>
    </row>
    <row r="406" spans="1:67" ht="14.55" customHeight="1">
      <c r="A406" s="6" t="s">
        <v>129</v>
      </c>
      <c r="B406" s="6"/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1" t="s">
        <v>118</v>
      </c>
      <c r="AN406" s="18"/>
      <c r="AO406" s="6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6"/>
      <c r="BK406" s="6"/>
      <c r="BL406" s="6" t="s">
        <v>58</v>
      </c>
      <c r="BO406" s="15"/>
    </row>
    <row r="407" spans="1:67">
      <c r="A407" s="6" t="s">
        <v>129</v>
      </c>
      <c r="B407" s="6"/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1" t="s">
        <v>118</v>
      </c>
      <c r="AN407" s="18"/>
      <c r="AO407" s="6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6"/>
      <c r="BK407" s="6"/>
      <c r="BL407" s="6" t="s">
        <v>58</v>
      </c>
      <c r="BO407" s="15"/>
    </row>
    <row r="408" spans="1:67" ht="14.55" customHeight="1">
      <c r="A408" s="6" t="s">
        <v>129</v>
      </c>
      <c r="B408" s="6"/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1" t="s">
        <v>118</v>
      </c>
      <c r="AN408" s="18"/>
      <c r="AO408" s="6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6"/>
      <c r="BK408" s="6"/>
      <c r="BL408" s="6" t="s">
        <v>58</v>
      </c>
      <c r="BO408" s="15"/>
    </row>
    <row r="409" spans="1:67">
      <c r="A409" s="6" t="s">
        <v>129</v>
      </c>
      <c r="B409" s="6"/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1" t="s">
        <v>118</v>
      </c>
      <c r="AN409" s="18"/>
      <c r="AO409" s="6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6"/>
      <c r="BK409" s="6"/>
      <c r="BL409" s="6" t="s">
        <v>58</v>
      </c>
      <c r="BO409" s="15"/>
    </row>
    <row r="410" spans="1:67">
      <c r="A410" s="6" t="s">
        <v>129</v>
      </c>
      <c r="B410" s="6"/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1" t="s">
        <v>118</v>
      </c>
      <c r="AN410" s="18"/>
      <c r="AO410" s="6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6"/>
      <c r="BK410" s="6"/>
      <c r="BL410" s="6" t="s">
        <v>58</v>
      </c>
      <c r="BO410" s="15"/>
    </row>
    <row r="411" spans="1:67" ht="14.55" customHeight="1">
      <c r="A411" s="6" t="s">
        <v>129</v>
      </c>
      <c r="B411" s="6"/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1" t="s">
        <v>118</v>
      </c>
      <c r="AN411" s="18"/>
      <c r="AO411" s="6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6"/>
      <c r="BK411" s="6"/>
      <c r="BL411" s="6" t="s">
        <v>58</v>
      </c>
      <c r="BO411" s="15"/>
    </row>
    <row r="412" spans="1:67" ht="14.55" customHeight="1">
      <c r="A412" s="6" t="s">
        <v>129</v>
      </c>
      <c r="B412" s="6"/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1" t="s">
        <v>118</v>
      </c>
      <c r="AN412" s="18"/>
      <c r="AO412" s="6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6"/>
      <c r="BK412" s="6"/>
      <c r="BL412" s="6" t="s">
        <v>58</v>
      </c>
      <c r="BO412" s="15"/>
    </row>
    <row r="413" spans="1:67">
      <c r="A413" s="6" t="s">
        <v>129</v>
      </c>
      <c r="B413" s="6"/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1" t="s">
        <v>118</v>
      </c>
      <c r="AN413" s="18"/>
      <c r="AO413" s="6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6"/>
      <c r="BK413" s="6"/>
      <c r="BL413" s="6" t="s">
        <v>58</v>
      </c>
      <c r="BO413" s="15"/>
    </row>
    <row r="414" spans="1:67" ht="14.55" customHeight="1">
      <c r="A414" s="6" t="s">
        <v>129</v>
      </c>
      <c r="B414" s="6"/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1" t="s">
        <v>118</v>
      </c>
      <c r="AN414" s="18"/>
      <c r="AO414" s="6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6"/>
      <c r="BK414" s="6"/>
      <c r="BL414" s="6" t="s">
        <v>58</v>
      </c>
      <c r="BO414" s="15"/>
    </row>
    <row r="415" spans="1:67" ht="14.55" customHeight="1">
      <c r="A415" s="6" t="s">
        <v>129</v>
      </c>
      <c r="B415" s="6"/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1" t="s">
        <v>118</v>
      </c>
      <c r="AN415" s="18"/>
      <c r="AO415" s="6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6"/>
      <c r="BK415" s="6"/>
      <c r="BL415" s="6" t="s">
        <v>58</v>
      </c>
      <c r="BO415" s="15"/>
    </row>
    <row r="416" spans="1:67">
      <c r="A416" s="6" t="s">
        <v>129</v>
      </c>
      <c r="B416" s="6"/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1" t="s">
        <v>118</v>
      </c>
      <c r="AN416" s="18"/>
      <c r="AO416" s="6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6"/>
      <c r="BK416" s="6"/>
      <c r="BL416" s="6" t="s">
        <v>58</v>
      </c>
      <c r="BO416" s="15"/>
    </row>
    <row r="417" spans="1:67">
      <c r="A417" s="6" t="s">
        <v>129</v>
      </c>
      <c r="B417" s="6"/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1" t="s">
        <v>118</v>
      </c>
      <c r="AN417" s="18"/>
      <c r="AO417" s="6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6"/>
      <c r="BK417" s="6"/>
      <c r="BL417" s="6" t="s">
        <v>58</v>
      </c>
      <c r="BO417" s="15"/>
    </row>
    <row r="418" spans="1:67" ht="14.55" customHeight="1">
      <c r="A418" s="6" t="s">
        <v>129</v>
      </c>
      <c r="B418" s="6"/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1" t="s">
        <v>118</v>
      </c>
      <c r="AN418" s="18"/>
      <c r="AO418" s="6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6"/>
      <c r="BK418" s="6"/>
      <c r="BL418" s="6" t="s">
        <v>58</v>
      </c>
      <c r="BO418" s="15"/>
    </row>
    <row r="419" spans="1:67" ht="14.55" customHeight="1">
      <c r="A419" s="6" t="s">
        <v>129</v>
      </c>
      <c r="B419" s="6"/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1" t="s">
        <v>118</v>
      </c>
      <c r="AN419" s="18"/>
      <c r="AO419" s="6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6"/>
      <c r="BK419" s="6"/>
      <c r="BL419" s="6" t="s">
        <v>58</v>
      </c>
      <c r="BO419" s="15"/>
    </row>
    <row r="420" spans="1:67">
      <c r="A420" s="6" t="s">
        <v>129</v>
      </c>
      <c r="B420" s="6"/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1" t="s">
        <v>118</v>
      </c>
      <c r="AN420" s="18"/>
      <c r="AO420" s="6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6"/>
      <c r="BK420" s="6"/>
      <c r="BL420" s="6" t="s">
        <v>58</v>
      </c>
      <c r="BO420" s="15"/>
    </row>
    <row r="421" spans="1:67">
      <c r="A421" s="6" t="s">
        <v>129</v>
      </c>
      <c r="B421" s="6"/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1" t="s">
        <v>118</v>
      </c>
      <c r="AN421" s="18"/>
      <c r="AO421" s="6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6"/>
      <c r="BK421" s="6"/>
      <c r="BL421" s="6" t="s">
        <v>58</v>
      </c>
      <c r="BO421" s="15"/>
    </row>
    <row r="422" spans="1:67" ht="14.55" customHeight="1">
      <c r="A422" s="6" t="s">
        <v>129</v>
      </c>
      <c r="B422" s="6"/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1" t="s">
        <v>118</v>
      </c>
      <c r="AN422" s="18"/>
      <c r="AO422" s="6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6"/>
      <c r="BK422" s="6"/>
      <c r="BL422" s="6" t="s">
        <v>58</v>
      </c>
      <c r="BO422" s="15"/>
    </row>
    <row r="423" spans="1:67" ht="14.55" customHeight="1">
      <c r="A423" s="6" t="s">
        <v>129</v>
      </c>
      <c r="B423" s="6"/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1" t="s">
        <v>118</v>
      </c>
      <c r="AN423" s="18"/>
      <c r="AO423" s="6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6"/>
      <c r="BK423" s="6"/>
      <c r="BL423" s="6" t="s">
        <v>58</v>
      </c>
      <c r="BO423" s="15"/>
    </row>
    <row r="424" spans="1:67">
      <c r="A424" s="6" t="s">
        <v>129</v>
      </c>
      <c r="B424" s="6"/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1" t="s">
        <v>118</v>
      </c>
      <c r="AN424" s="18"/>
      <c r="AO424" s="6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6"/>
      <c r="BK424" s="6"/>
      <c r="BL424" s="6" t="s">
        <v>58</v>
      </c>
      <c r="BO424" s="15"/>
    </row>
    <row r="425" spans="1:67">
      <c r="A425" s="6" t="s">
        <v>129</v>
      </c>
      <c r="B425" s="6"/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1" t="s">
        <v>118</v>
      </c>
      <c r="AN425" s="18"/>
      <c r="AO425" s="6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6"/>
      <c r="BK425" s="6"/>
      <c r="BL425" s="6" t="s">
        <v>58</v>
      </c>
      <c r="BO425" s="15"/>
    </row>
    <row r="426" spans="1:67" ht="14.55" customHeight="1">
      <c r="A426" s="6" t="s">
        <v>129</v>
      </c>
      <c r="B426" s="6"/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1" t="s">
        <v>118</v>
      </c>
      <c r="AN426" s="18"/>
      <c r="AO426" s="6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6"/>
      <c r="BK426" s="6"/>
      <c r="BL426" s="6" t="s">
        <v>58</v>
      </c>
      <c r="BO426" s="15"/>
    </row>
    <row r="427" spans="1:67">
      <c r="A427" s="6" t="s">
        <v>129</v>
      </c>
      <c r="B427" s="6"/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1" t="s">
        <v>118</v>
      </c>
      <c r="AN427" s="18"/>
      <c r="AO427" s="6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6"/>
      <c r="BK427" s="6"/>
      <c r="BL427" s="6" t="s">
        <v>58</v>
      </c>
      <c r="BO427" s="15"/>
    </row>
    <row r="428" spans="1:67">
      <c r="A428" s="6" t="s">
        <v>129</v>
      </c>
      <c r="B428" s="6"/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1" t="s">
        <v>118</v>
      </c>
      <c r="AN428" s="18"/>
      <c r="AO428" s="6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6"/>
      <c r="BK428" s="6"/>
      <c r="BL428" s="6" t="s">
        <v>58</v>
      </c>
      <c r="BO428" s="15"/>
    </row>
    <row r="429" spans="1:67" ht="14.55" customHeight="1">
      <c r="A429" s="6" t="s">
        <v>129</v>
      </c>
      <c r="B429" s="6"/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1" t="s">
        <v>118</v>
      </c>
      <c r="AN429" s="18"/>
      <c r="AO429" s="6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6"/>
      <c r="BK429" s="6"/>
      <c r="BL429" s="6" t="s">
        <v>58</v>
      </c>
      <c r="BO429" s="15"/>
    </row>
    <row r="430" spans="1:67" ht="14.55" customHeight="1">
      <c r="A430" s="6" t="s">
        <v>129</v>
      </c>
      <c r="B430" s="6"/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1" t="s">
        <v>118</v>
      </c>
      <c r="AN430" s="18"/>
      <c r="AO430" s="6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6"/>
      <c r="BK430" s="6"/>
      <c r="BL430" s="6" t="s">
        <v>58</v>
      </c>
      <c r="BO430" s="15"/>
    </row>
    <row r="431" spans="1:67" ht="14.55" customHeight="1">
      <c r="A431" s="6" t="s">
        <v>129</v>
      </c>
      <c r="B431" s="6"/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1" t="s">
        <v>118</v>
      </c>
      <c r="AN431" s="18"/>
      <c r="AO431" s="6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6"/>
      <c r="BK431" s="6"/>
      <c r="BL431" s="6" t="s">
        <v>58</v>
      </c>
      <c r="BO431" s="15"/>
    </row>
    <row r="432" spans="1:67" ht="14.55" customHeight="1">
      <c r="A432" s="6" t="s">
        <v>129</v>
      </c>
      <c r="B432" s="6"/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1" t="s">
        <v>118</v>
      </c>
      <c r="AN432" s="18"/>
      <c r="AO432" s="6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6"/>
      <c r="BK432" s="6"/>
      <c r="BL432" s="6" t="s">
        <v>58</v>
      </c>
      <c r="BO432" s="15"/>
    </row>
    <row r="433" spans="1:67">
      <c r="A433" s="6" t="s">
        <v>129</v>
      </c>
      <c r="B433" s="6"/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1" t="s">
        <v>118</v>
      </c>
      <c r="AN433" s="18"/>
      <c r="AO433" s="6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6"/>
      <c r="BK433" s="6"/>
      <c r="BL433" s="6" t="s">
        <v>58</v>
      </c>
      <c r="BO433" s="15"/>
    </row>
    <row r="434" spans="1:67" ht="14.55" customHeight="1">
      <c r="A434" s="6" t="s">
        <v>129</v>
      </c>
      <c r="B434" s="6"/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1" t="s">
        <v>118</v>
      </c>
      <c r="AN434" s="18"/>
      <c r="AO434" s="6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6"/>
      <c r="BK434" s="6"/>
      <c r="BL434" s="6" t="s">
        <v>58</v>
      </c>
      <c r="BO434" s="15"/>
    </row>
    <row r="435" spans="1:67">
      <c r="A435" s="6" t="s">
        <v>129</v>
      </c>
      <c r="B435" s="6"/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1" t="s">
        <v>118</v>
      </c>
      <c r="AN435" s="18"/>
      <c r="AO435" s="6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6"/>
      <c r="BK435" s="6"/>
      <c r="BL435" s="6" t="s">
        <v>58</v>
      </c>
      <c r="BO435" s="15"/>
    </row>
    <row r="436" spans="1:67" ht="14.55" customHeight="1">
      <c r="A436" s="6" t="s">
        <v>129</v>
      </c>
      <c r="B436" s="6"/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1" t="s">
        <v>118</v>
      </c>
      <c r="AN436" s="18"/>
      <c r="AO436" s="6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6"/>
      <c r="BK436" s="6"/>
      <c r="BL436" s="6" t="s">
        <v>58</v>
      </c>
      <c r="BO436" s="15"/>
    </row>
    <row r="437" spans="1:67">
      <c r="A437" s="6" t="s">
        <v>129</v>
      </c>
      <c r="B437" s="6"/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1" t="s">
        <v>118</v>
      </c>
      <c r="AN437" s="18"/>
      <c r="AO437" s="6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6"/>
      <c r="BK437" s="6"/>
      <c r="BL437" s="6" t="s">
        <v>58</v>
      </c>
      <c r="BO437" s="15"/>
    </row>
    <row r="438" spans="1:67" ht="14.55" customHeight="1">
      <c r="A438" s="6" t="s">
        <v>129</v>
      </c>
      <c r="B438" s="6"/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1" t="s">
        <v>118</v>
      </c>
      <c r="AN438" s="18"/>
      <c r="AO438" s="6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6"/>
      <c r="BK438" s="6"/>
      <c r="BL438" s="6" t="s">
        <v>58</v>
      </c>
      <c r="BO438" s="15"/>
    </row>
    <row r="439" spans="1:67">
      <c r="A439" s="6" t="s">
        <v>129</v>
      </c>
      <c r="B439" s="6"/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1" t="s">
        <v>118</v>
      </c>
      <c r="AN439" s="18"/>
      <c r="AO439" s="6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6"/>
      <c r="BK439" s="6"/>
      <c r="BL439" s="6" t="s">
        <v>58</v>
      </c>
      <c r="BO439" s="15"/>
    </row>
    <row r="440" spans="1:67">
      <c r="A440" s="6" t="s">
        <v>129</v>
      </c>
      <c r="B440" s="6"/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1" t="s">
        <v>118</v>
      </c>
      <c r="AN440" s="18"/>
      <c r="AO440" s="6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6"/>
      <c r="BK440" s="6"/>
      <c r="BL440" s="6" t="s">
        <v>58</v>
      </c>
      <c r="BO440" s="15"/>
    </row>
    <row r="441" spans="1:67">
      <c r="A441" s="6" t="s">
        <v>129</v>
      </c>
      <c r="B441" s="6"/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1" t="s">
        <v>118</v>
      </c>
      <c r="AN441" s="18"/>
      <c r="AO441" s="6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6"/>
      <c r="BK441" s="6"/>
      <c r="BL441" s="6" t="s">
        <v>58</v>
      </c>
      <c r="BO441" s="15"/>
    </row>
    <row r="442" spans="1:67" ht="14.55" customHeight="1">
      <c r="A442" s="6" t="s">
        <v>129</v>
      </c>
      <c r="B442" s="6"/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1" t="s">
        <v>118</v>
      </c>
      <c r="AN442" s="18"/>
      <c r="AO442" s="6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6"/>
      <c r="BK442" s="6"/>
      <c r="BL442" s="6" t="s">
        <v>58</v>
      </c>
      <c r="BO442" s="15"/>
    </row>
    <row r="443" spans="1:67" ht="14.55" customHeight="1">
      <c r="A443" s="6" t="s">
        <v>129</v>
      </c>
      <c r="B443" s="6"/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1" t="s">
        <v>118</v>
      </c>
      <c r="AN443" s="18"/>
      <c r="AO443" s="6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6"/>
      <c r="BK443" s="6"/>
      <c r="BL443" s="6" t="s">
        <v>58</v>
      </c>
      <c r="BO443" s="15"/>
    </row>
    <row r="444" spans="1:67" ht="14.55" customHeight="1">
      <c r="A444" s="6" t="s">
        <v>129</v>
      </c>
      <c r="B444" s="6"/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1" t="s">
        <v>118</v>
      </c>
      <c r="AN444" s="18"/>
      <c r="AO444" s="6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6"/>
      <c r="BK444" s="6"/>
      <c r="BL444" s="6" t="s">
        <v>58</v>
      </c>
      <c r="BO444" s="15"/>
    </row>
    <row r="445" spans="1:67" ht="14.55" customHeight="1">
      <c r="A445" s="6" t="s">
        <v>129</v>
      </c>
      <c r="B445" s="6"/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1" t="s">
        <v>118</v>
      </c>
      <c r="AN445" s="18"/>
      <c r="AO445" s="6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6"/>
      <c r="BK445" s="6"/>
      <c r="BL445" s="6" t="s">
        <v>58</v>
      </c>
      <c r="BO445" s="15"/>
    </row>
    <row r="446" spans="1:67">
      <c r="A446" s="6" t="s">
        <v>129</v>
      </c>
      <c r="B446" s="6"/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1" t="s">
        <v>118</v>
      </c>
      <c r="AN446" s="18"/>
      <c r="AO446" s="6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6"/>
      <c r="BK446" s="6"/>
      <c r="BL446" s="6" t="s">
        <v>58</v>
      </c>
      <c r="BO446" s="15"/>
    </row>
    <row r="447" spans="1:67" ht="14.55" customHeight="1">
      <c r="A447" s="6" t="s">
        <v>129</v>
      </c>
      <c r="B447" s="6"/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1" t="s">
        <v>118</v>
      </c>
      <c r="AN447" s="18"/>
      <c r="AO447" s="6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6"/>
      <c r="BK447" s="6"/>
      <c r="BL447" s="6" t="s">
        <v>58</v>
      </c>
      <c r="BO447" s="15"/>
    </row>
    <row r="448" spans="1:67">
      <c r="A448" s="6" t="s">
        <v>129</v>
      </c>
      <c r="B448" s="6"/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1" t="s">
        <v>118</v>
      </c>
      <c r="AN448" s="18"/>
      <c r="AO448" s="6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6"/>
      <c r="BK448" s="6"/>
      <c r="BL448" s="6" t="s">
        <v>58</v>
      </c>
      <c r="BO448" s="15"/>
    </row>
    <row r="449" spans="1:67" ht="14.55" customHeight="1">
      <c r="A449" s="6" t="s">
        <v>129</v>
      </c>
      <c r="B449" s="6"/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1" t="s">
        <v>118</v>
      </c>
      <c r="AN449" s="18"/>
      <c r="AO449" s="6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6"/>
      <c r="BK449" s="6"/>
      <c r="BL449" s="6" t="s">
        <v>58</v>
      </c>
      <c r="BO449" s="15"/>
    </row>
    <row r="450" spans="1:67">
      <c r="A450" s="6" t="s">
        <v>129</v>
      </c>
      <c r="B450" s="6"/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1" t="s">
        <v>118</v>
      </c>
      <c r="AN450" s="18"/>
      <c r="AO450" s="6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6"/>
      <c r="BK450" s="6"/>
      <c r="BL450" s="6" t="s">
        <v>58</v>
      </c>
      <c r="BO450" s="15"/>
    </row>
    <row r="451" spans="1:67" ht="14.55" customHeight="1">
      <c r="A451" s="6" t="s">
        <v>129</v>
      </c>
      <c r="B451" s="6"/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1" t="s">
        <v>118</v>
      </c>
      <c r="AN451" s="18"/>
      <c r="AO451" s="6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6"/>
      <c r="BK451" s="6"/>
      <c r="BL451" s="6" t="s">
        <v>58</v>
      </c>
      <c r="BO451" s="15"/>
    </row>
    <row r="452" spans="1:67" ht="14.55" customHeight="1">
      <c r="A452" s="6" t="s">
        <v>129</v>
      </c>
      <c r="B452" s="6"/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1" t="s">
        <v>118</v>
      </c>
      <c r="AN452" s="18"/>
      <c r="AO452" s="6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6"/>
      <c r="BK452" s="6"/>
      <c r="BL452" s="6" t="s">
        <v>58</v>
      </c>
      <c r="BO452" s="15"/>
    </row>
    <row r="453" spans="1:67">
      <c r="A453" s="6" t="s">
        <v>129</v>
      </c>
      <c r="B453" s="6"/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1" t="s">
        <v>118</v>
      </c>
      <c r="AN453" s="18"/>
      <c r="AO453" s="6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6"/>
      <c r="BK453" s="6"/>
      <c r="BL453" s="6" t="s">
        <v>58</v>
      </c>
      <c r="BO453" s="15"/>
    </row>
    <row r="454" spans="1:67" ht="14.55" customHeight="1">
      <c r="A454" s="6" t="s">
        <v>129</v>
      </c>
      <c r="B454" s="6"/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1" t="s">
        <v>118</v>
      </c>
      <c r="AN454" s="18"/>
      <c r="AO454" s="6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6"/>
      <c r="BK454" s="6"/>
      <c r="BL454" s="6" t="s">
        <v>58</v>
      </c>
      <c r="BO454" s="15"/>
    </row>
    <row r="455" spans="1:67" ht="14.55" customHeight="1">
      <c r="A455" s="6" t="s">
        <v>129</v>
      </c>
      <c r="B455" s="6"/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1" t="s">
        <v>118</v>
      </c>
      <c r="AN455" s="18"/>
      <c r="AO455" s="6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6"/>
      <c r="BK455" s="6"/>
      <c r="BL455" s="6" t="s">
        <v>58</v>
      </c>
      <c r="BO455" s="15"/>
    </row>
    <row r="456" spans="1:67" ht="14.55" customHeight="1">
      <c r="A456" s="6" t="s">
        <v>129</v>
      </c>
      <c r="B456" s="6"/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1" t="s">
        <v>118</v>
      </c>
      <c r="AN456" s="18"/>
      <c r="AO456" s="6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6"/>
      <c r="BK456" s="6"/>
      <c r="BL456" s="6" t="s">
        <v>58</v>
      </c>
      <c r="BO456" s="15"/>
    </row>
    <row r="457" spans="1:67">
      <c r="A457" s="6" t="s">
        <v>129</v>
      </c>
      <c r="B457" s="6"/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1" t="s">
        <v>118</v>
      </c>
      <c r="AN457" s="18"/>
      <c r="AO457" s="6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6"/>
      <c r="BK457" s="6"/>
      <c r="BL457" s="6" t="s">
        <v>58</v>
      </c>
      <c r="BO457" s="15"/>
    </row>
    <row r="458" spans="1:67">
      <c r="A458" s="6" t="s">
        <v>129</v>
      </c>
      <c r="B458" s="6"/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1" t="s">
        <v>118</v>
      </c>
      <c r="AN458" s="18"/>
      <c r="AO458" s="6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6"/>
      <c r="BK458" s="6"/>
      <c r="BL458" s="6" t="s">
        <v>58</v>
      </c>
      <c r="BO458" s="15"/>
    </row>
    <row r="459" spans="1:67">
      <c r="A459" s="6" t="s">
        <v>129</v>
      </c>
      <c r="B459" s="6"/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1" t="s">
        <v>118</v>
      </c>
      <c r="AN459" s="18"/>
      <c r="AO459" s="6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6"/>
      <c r="BK459" s="6"/>
      <c r="BL459" s="6" t="s">
        <v>58</v>
      </c>
      <c r="BO459" s="15"/>
    </row>
    <row r="460" spans="1:67">
      <c r="A460" s="6" t="s">
        <v>129</v>
      </c>
      <c r="B460" s="6"/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1" t="s">
        <v>118</v>
      </c>
      <c r="AN460" s="18"/>
      <c r="AO460" s="6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6"/>
      <c r="BK460" s="6"/>
      <c r="BL460" s="6" t="s">
        <v>58</v>
      </c>
      <c r="BO460" s="15"/>
    </row>
    <row r="461" spans="1:67" ht="14.55" customHeight="1">
      <c r="A461" s="6" t="s">
        <v>129</v>
      </c>
      <c r="B461" s="6"/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1" t="s">
        <v>118</v>
      </c>
      <c r="AN461" s="18"/>
      <c r="AO461" s="6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6"/>
      <c r="BK461" s="6"/>
      <c r="BL461" s="6" t="s">
        <v>58</v>
      </c>
      <c r="BO461" s="15"/>
    </row>
    <row r="462" spans="1:67">
      <c r="A462" s="6" t="s">
        <v>129</v>
      </c>
      <c r="B462" s="6"/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1" t="s">
        <v>118</v>
      </c>
      <c r="AN462" s="18"/>
      <c r="AO462" s="6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6"/>
      <c r="BK462" s="6"/>
      <c r="BL462" s="6" t="s">
        <v>58</v>
      </c>
      <c r="BO462" s="15"/>
    </row>
    <row r="463" spans="1:67">
      <c r="A463" s="6" t="s">
        <v>129</v>
      </c>
      <c r="B463" s="6"/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1" t="s">
        <v>118</v>
      </c>
      <c r="AN463" s="18"/>
      <c r="AO463" s="6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6"/>
      <c r="BK463" s="6"/>
      <c r="BL463" s="6" t="s">
        <v>58</v>
      </c>
      <c r="BO463" s="15"/>
    </row>
    <row r="464" spans="1:67" ht="14.55" customHeight="1">
      <c r="A464" s="6" t="s">
        <v>129</v>
      </c>
      <c r="B464" s="6"/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1" t="s">
        <v>118</v>
      </c>
      <c r="AN464" s="18"/>
      <c r="AO464" s="6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6"/>
      <c r="BK464" s="6"/>
      <c r="BL464" s="6" t="s">
        <v>58</v>
      </c>
      <c r="BO464" s="15"/>
    </row>
    <row r="465" spans="1:67">
      <c r="A465" s="6" t="s">
        <v>129</v>
      </c>
      <c r="B465" s="6"/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1" t="s">
        <v>118</v>
      </c>
      <c r="AN465" s="18"/>
      <c r="AO465" s="6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6"/>
      <c r="BK465" s="6"/>
      <c r="BL465" s="6" t="s">
        <v>58</v>
      </c>
      <c r="BO465" s="15"/>
    </row>
    <row r="466" spans="1:67">
      <c r="A466" s="6" t="s">
        <v>129</v>
      </c>
      <c r="B466" s="6"/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1" t="s">
        <v>118</v>
      </c>
      <c r="AN466" s="18"/>
      <c r="AO466" s="6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6"/>
      <c r="BK466" s="6"/>
      <c r="BL466" s="6" t="s">
        <v>58</v>
      </c>
      <c r="BO466" s="15"/>
    </row>
    <row r="467" spans="1:67" ht="14.55" customHeight="1">
      <c r="A467" s="6" t="s">
        <v>129</v>
      </c>
      <c r="B467" s="6"/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1" t="s">
        <v>118</v>
      </c>
      <c r="AN467" s="18"/>
      <c r="AO467" s="6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6"/>
      <c r="BK467" s="6"/>
      <c r="BL467" s="6" t="s">
        <v>58</v>
      </c>
      <c r="BO467" s="15"/>
    </row>
    <row r="468" spans="1:67" ht="14.55" customHeight="1">
      <c r="A468" s="6" t="s">
        <v>129</v>
      </c>
      <c r="B468" s="6"/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1" t="s">
        <v>118</v>
      </c>
      <c r="AN468" s="18"/>
      <c r="AO468" s="6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6"/>
      <c r="BK468" s="6"/>
      <c r="BL468" s="6" t="s">
        <v>58</v>
      </c>
      <c r="BO468" s="15"/>
    </row>
    <row r="469" spans="1:67">
      <c r="A469" s="6" t="s">
        <v>129</v>
      </c>
      <c r="B469" s="6"/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1" t="s">
        <v>118</v>
      </c>
      <c r="AN469" s="18"/>
      <c r="AO469" s="6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6"/>
      <c r="BK469" s="6"/>
      <c r="BL469" s="6" t="s">
        <v>58</v>
      </c>
      <c r="BO469" s="15"/>
    </row>
    <row r="470" spans="1:67" ht="14.55" customHeight="1">
      <c r="A470" s="6" t="s">
        <v>129</v>
      </c>
      <c r="B470" s="6"/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1" t="s">
        <v>118</v>
      </c>
      <c r="AN470" s="18"/>
      <c r="AO470" s="6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6"/>
      <c r="BK470" s="6"/>
      <c r="BL470" s="6" t="s">
        <v>58</v>
      </c>
      <c r="BO470" s="15"/>
    </row>
    <row r="471" spans="1:67" ht="14.55" customHeight="1">
      <c r="A471" s="6" t="s">
        <v>129</v>
      </c>
      <c r="B471" s="6"/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1" t="s">
        <v>118</v>
      </c>
      <c r="AN471" s="18"/>
      <c r="AO471" s="6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6"/>
      <c r="BK471" s="6"/>
      <c r="BL471" s="6" t="s">
        <v>58</v>
      </c>
      <c r="BO471" s="15"/>
    </row>
    <row r="472" spans="1:67" ht="14.55" customHeight="1">
      <c r="A472" s="6" t="s">
        <v>129</v>
      </c>
      <c r="B472" s="6"/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1" t="s">
        <v>118</v>
      </c>
      <c r="AN472" s="18"/>
      <c r="AO472" s="6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6"/>
      <c r="BK472" s="6"/>
      <c r="BL472" s="6" t="s">
        <v>58</v>
      </c>
      <c r="BO472" s="15"/>
    </row>
    <row r="473" spans="1:67">
      <c r="A473" s="6" t="s">
        <v>129</v>
      </c>
      <c r="B473" s="6"/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1" t="s">
        <v>118</v>
      </c>
      <c r="AN473" s="18"/>
      <c r="AO473" s="6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6"/>
      <c r="BK473" s="6"/>
      <c r="BL473" s="6" t="s">
        <v>58</v>
      </c>
      <c r="BO473" s="15"/>
    </row>
    <row r="474" spans="1:67" ht="14.55" customHeight="1">
      <c r="A474" s="6" t="s">
        <v>129</v>
      </c>
      <c r="B474" s="6"/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1" t="s">
        <v>118</v>
      </c>
      <c r="AN474" s="18"/>
      <c r="AO474" s="6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6"/>
      <c r="BK474" s="6"/>
      <c r="BL474" s="6" t="s">
        <v>58</v>
      </c>
      <c r="BO474" s="15"/>
    </row>
    <row r="475" spans="1:67" ht="14.55" customHeight="1">
      <c r="A475" s="6" t="s">
        <v>129</v>
      </c>
      <c r="B475" s="6"/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1" t="s">
        <v>118</v>
      </c>
      <c r="AN475" s="18"/>
      <c r="AO475" s="6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6"/>
      <c r="BK475" s="6"/>
      <c r="BL475" s="6" t="s">
        <v>58</v>
      </c>
      <c r="BO475" s="15"/>
    </row>
    <row r="476" spans="1:67">
      <c r="A476" s="6" t="s">
        <v>129</v>
      </c>
      <c r="B476" s="6"/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1" t="s">
        <v>118</v>
      </c>
      <c r="AN476" s="18"/>
      <c r="AO476" s="6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6"/>
      <c r="BK476" s="6"/>
      <c r="BL476" s="6" t="s">
        <v>58</v>
      </c>
      <c r="BO476" s="15"/>
    </row>
    <row r="477" spans="1:67">
      <c r="A477" s="6" t="s">
        <v>129</v>
      </c>
      <c r="B477" s="6"/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1" t="s">
        <v>118</v>
      </c>
      <c r="AN477" s="18"/>
      <c r="AO477" s="6"/>
      <c r="AP477" s="33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33"/>
      <c r="BH477" s="33"/>
      <c r="BI477" s="33"/>
      <c r="BJ477" s="6"/>
      <c r="BK477" s="6"/>
      <c r="BL477" s="6" t="s">
        <v>58</v>
      </c>
      <c r="BO477" s="15"/>
    </row>
    <row r="478" spans="1:67" ht="14.55" customHeight="1">
      <c r="A478" s="6" t="s">
        <v>129</v>
      </c>
      <c r="B478" s="6"/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1" t="s">
        <v>118</v>
      </c>
      <c r="AN478" s="18"/>
      <c r="AO478" s="6"/>
      <c r="AP478" s="33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33"/>
      <c r="BH478" s="33"/>
      <c r="BI478" s="33"/>
      <c r="BJ478" s="6"/>
      <c r="BK478" s="6"/>
      <c r="BL478" s="6" t="s">
        <v>58</v>
      </c>
      <c r="BO478" s="15"/>
    </row>
    <row r="479" spans="1:67">
      <c r="A479" s="6" t="s">
        <v>129</v>
      </c>
      <c r="B479" s="6"/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1" t="s">
        <v>118</v>
      </c>
      <c r="AN479" s="18"/>
      <c r="AO479" s="6"/>
      <c r="AP479" s="33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33"/>
      <c r="BH479" s="33"/>
      <c r="BI479" s="33"/>
      <c r="BJ479" s="6"/>
      <c r="BK479" s="6"/>
      <c r="BL479" s="6" t="s">
        <v>58</v>
      </c>
      <c r="BO479" s="15"/>
    </row>
    <row r="480" spans="1:67" ht="14.55" customHeight="1">
      <c r="A480" s="6" t="s">
        <v>129</v>
      </c>
      <c r="B480" s="6"/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1" t="s">
        <v>118</v>
      </c>
      <c r="AN480" s="18"/>
      <c r="AO480" s="6"/>
      <c r="AP480" s="33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33"/>
      <c r="BH480" s="33"/>
      <c r="BI480" s="33"/>
      <c r="BJ480" s="6"/>
      <c r="BK480" s="6"/>
      <c r="BL480" s="6" t="s">
        <v>58</v>
      </c>
      <c r="BO480" s="15"/>
    </row>
    <row r="481" spans="1:67">
      <c r="A481" s="6" t="s">
        <v>129</v>
      </c>
      <c r="B481" s="6"/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1" t="s">
        <v>118</v>
      </c>
      <c r="AN481" s="18"/>
      <c r="AO481" s="6"/>
      <c r="AP481" s="33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33"/>
      <c r="BH481" s="33"/>
      <c r="BI481" s="33"/>
      <c r="BJ481" s="6"/>
      <c r="BK481" s="6"/>
      <c r="BL481" s="6" t="s">
        <v>58</v>
      </c>
      <c r="BO481" s="15"/>
    </row>
    <row r="482" spans="1:67">
      <c r="A482" s="6" t="s">
        <v>129</v>
      </c>
      <c r="B482" s="6"/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1" t="s">
        <v>118</v>
      </c>
      <c r="AN482" s="18"/>
      <c r="AO482" s="6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6"/>
      <c r="BK482" s="6"/>
      <c r="BL482" s="6" t="s">
        <v>58</v>
      </c>
      <c r="BO482" s="15"/>
    </row>
    <row r="483" spans="1:67" ht="14.55" customHeight="1">
      <c r="A483" s="6" t="s">
        <v>129</v>
      </c>
      <c r="B483" s="6"/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1" t="s">
        <v>118</v>
      </c>
      <c r="AN483" s="18"/>
      <c r="AO483" s="6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6"/>
      <c r="BK483" s="6"/>
      <c r="BL483" s="6" t="s">
        <v>58</v>
      </c>
      <c r="BO483" s="15"/>
    </row>
    <row r="484" spans="1:67" ht="14.55" customHeight="1">
      <c r="A484" s="6" t="s">
        <v>129</v>
      </c>
      <c r="B484" s="6"/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1" t="s">
        <v>118</v>
      </c>
      <c r="AN484" s="18"/>
      <c r="AO484" s="6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6"/>
      <c r="BK484" s="6"/>
      <c r="BL484" s="6" t="s">
        <v>58</v>
      </c>
      <c r="BO484" s="15"/>
    </row>
    <row r="485" spans="1:67" ht="14.55" customHeight="1">
      <c r="A485" s="6" t="s">
        <v>129</v>
      </c>
      <c r="B485" s="6"/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1" t="s">
        <v>118</v>
      </c>
      <c r="AN485" s="18"/>
      <c r="AO485" s="6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6"/>
      <c r="BK485" s="6"/>
      <c r="BL485" s="6" t="s">
        <v>58</v>
      </c>
      <c r="BO485" s="15"/>
    </row>
    <row r="486" spans="1:67">
      <c r="A486" s="6" t="s">
        <v>129</v>
      </c>
      <c r="B486" s="6"/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1" t="s">
        <v>118</v>
      </c>
      <c r="AN486" s="18"/>
      <c r="AO486" s="6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6"/>
      <c r="BK486" s="6"/>
      <c r="BL486" s="6" t="s">
        <v>58</v>
      </c>
      <c r="BO486" s="15"/>
    </row>
    <row r="487" spans="1:67" ht="14.55" customHeight="1">
      <c r="A487" s="6" t="s">
        <v>129</v>
      </c>
      <c r="B487" s="6"/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1" t="s">
        <v>118</v>
      </c>
      <c r="AN487" s="18"/>
      <c r="AO487" s="6"/>
      <c r="AP487" s="33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33"/>
      <c r="BH487" s="33"/>
      <c r="BI487" s="33"/>
      <c r="BJ487" s="6"/>
      <c r="BK487" s="6"/>
      <c r="BL487" s="6" t="s">
        <v>58</v>
      </c>
      <c r="BO487" s="15"/>
    </row>
    <row r="488" spans="1:67">
      <c r="A488" s="6" t="s">
        <v>129</v>
      </c>
      <c r="B488" s="6"/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1" t="s">
        <v>118</v>
      </c>
      <c r="AN488" s="18"/>
      <c r="AO488" s="6"/>
      <c r="AP488" s="33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33"/>
      <c r="BH488" s="33"/>
      <c r="BI488" s="33"/>
      <c r="BJ488" s="6"/>
      <c r="BK488" s="6"/>
      <c r="BL488" s="6" t="s">
        <v>58</v>
      </c>
      <c r="BO488" s="15"/>
    </row>
    <row r="489" spans="1:67" ht="14.55" customHeight="1">
      <c r="A489" s="6" t="s">
        <v>129</v>
      </c>
      <c r="B489" s="6"/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1" t="s">
        <v>118</v>
      </c>
      <c r="AN489" s="18"/>
      <c r="AO489" s="6"/>
      <c r="AP489" s="33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33"/>
      <c r="BH489" s="33"/>
      <c r="BI489" s="33"/>
      <c r="BJ489" s="6"/>
      <c r="BK489" s="6"/>
      <c r="BL489" s="6" t="s">
        <v>58</v>
      </c>
      <c r="BO489" s="15"/>
    </row>
    <row r="490" spans="1:67" ht="14.55" customHeight="1">
      <c r="A490" s="6" t="s">
        <v>129</v>
      </c>
      <c r="B490" s="6"/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1" t="s">
        <v>118</v>
      </c>
      <c r="AN490" s="18"/>
      <c r="AO490" s="6"/>
      <c r="AP490" s="33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33"/>
      <c r="BH490" s="33"/>
      <c r="BI490" s="33"/>
      <c r="BJ490" s="6"/>
      <c r="BK490" s="6"/>
      <c r="BL490" s="6" t="s">
        <v>58</v>
      </c>
      <c r="BO490" s="15"/>
    </row>
    <row r="491" spans="1:67">
      <c r="A491" s="6" t="s">
        <v>129</v>
      </c>
      <c r="B491" s="6"/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1" t="s">
        <v>118</v>
      </c>
      <c r="AN491" s="18"/>
      <c r="AO491" s="6"/>
      <c r="AP491" s="33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33"/>
      <c r="BH491" s="33"/>
      <c r="BI491" s="33"/>
      <c r="BJ491" s="6"/>
      <c r="BK491" s="6"/>
      <c r="BL491" s="6" t="s">
        <v>58</v>
      </c>
      <c r="BO491" s="15"/>
    </row>
    <row r="492" spans="1:67" ht="14.55" customHeight="1">
      <c r="A492" s="6" t="s">
        <v>129</v>
      </c>
      <c r="B492" s="6"/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1" t="s">
        <v>118</v>
      </c>
      <c r="AN492" s="18"/>
      <c r="AO492" s="6"/>
      <c r="AP492" s="33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33"/>
      <c r="BH492" s="33"/>
      <c r="BI492" s="33"/>
      <c r="BJ492" s="6"/>
      <c r="BK492" s="6"/>
      <c r="BL492" s="6" t="s">
        <v>58</v>
      </c>
      <c r="BO492" s="15"/>
    </row>
    <row r="493" spans="1:67">
      <c r="A493" s="6" t="s">
        <v>130</v>
      </c>
      <c r="B493" s="6"/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1" t="s">
        <v>118</v>
      </c>
      <c r="AN493" s="18"/>
      <c r="AO493" s="6"/>
      <c r="AP493" s="33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33"/>
      <c r="BH493" s="33"/>
      <c r="BI493" s="33"/>
      <c r="BJ493" s="6"/>
      <c r="BK493" s="6"/>
      <c r="BL493" s="6" t="s">
        <v>59</v>
      </c>
      <c r="BO493" s="15"/>
    </row>
    <row r="494" spans="1:67" ht="14.55" customHeight="1">
      <c r="A494" s="6" t="s">
        <v>130</v>
      </c>
      <c r="B494" s="6"/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1" t="s">
        <v>118</v>
      </c>
      <c r="AN494" s="18"/>
      <c r="AO494" s="6"/>
      <c r="AP494" s="33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33"/>
      <c r="BH494" s="33"/>
      <c r="BI494" s="33"/>
      <c r="BJ494" s="6"/>
      <c r="BK494" s="6"/>
      <c r="BL494" s="6" t="s">
        <v>59</v>
      </c>
      <c r="BO494" s="15"/>
    </row>
    <row r="495" spans="1:67">
      <c r="A495" s="6" t="s">
        <v>130</v>
      </c>
      <c r="B495" s="6"/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1" t="s">
        <v>118</v>
      </c>
      <c r="AN495" s="18"/>
      <c r="AO495" s="6"/>
      <c r="AP495" s="33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33"/>
      <c r="BH495" s="33"/>
      <c r="BI495" s="33"/>
      <c r="BJ495" s="6"/>
      <c r="BK495" s="6"/>
      <c r="BL495" s="6" t="s">
        <v>59</v>
      </c>
      <c r="BO495" s="15"/>
    </row>
    <row r="496" spans="1:67">
      <c r="A496" s="6" t="s">
        <v>130</v>
      </c>
      <c r="B496" s="6"/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1" t="s">
        <v>118</v>
      </c>
      <c r="AN496" s="18"/>
      <c r="AO496" s="6"/>
      <c r="AP496" s="33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33"/>
      <c r="BH496" s="33"/>
      <c r="BI496" s="33"/>
      <c r="BJ496" s="6"/>
      <c r="BK496" s="6"/>
      <c r="BL496" s="6" t="s">
        <v>59</v>
      </c>
      <c r="BO496" s="15"/>
    </row>
    <row r="497" spans="1:67">
      <c r="A497" s="6" t="s">
        <v>130</v>
      </c>
      <c r="B497" s="6"/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1" t="s">
        <v>118</v>
      </c>
      <c r="AN497" s="18"/>
      <c r="AO497" s="6"/>
      <c r="AP497" s="33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33"/>
      <c r="BH497" s="33"/>
      <c r="BI497" s="33"/>
      <c r="BJ497" s="6"/>
      <c r="BK497" s="6"/>
      <c r="BL497" s="6" t="s">
        <v>59</v>
      </c>
      <c r="BO497" s="15"/>
    </row>
    <row r="498" spans="1:67" ht="14.55" customHeight="1">
      <c r="A498" s="6" t="s">
        <v>130</v>
      </c>
      <c r="B498" s="6"/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1" t="s">
        <v>118</v>
      </c>
      <c r="AN498" s="18"/>
      <c r="AO498" s="6"/>
      <c r="AP498" s="33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33"/>
      <c r="BH498" s="33"/>
      <c r="BI498" s="33"/>
      <c r="BJ498" s="6"/>
      <c r="BK498" s="6"/>
      <c r="BL498" s="6" t="s">
        <v>59</v>
      </c>
      <c r="BO498" s="15"/>
    </row>
    <row r="499" spans="1:67" ht="14.55" customHeight="1">
      <c r="A499" s="6" t="s">
        <v>130</v>
      </c>
      <c r="B499" s="6"/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1" t="s">
        <v>118</v>
      </c>
      <c r="AN499" s="18"/>
      <c r="AO499" s="6"/>
      <c r="AP499" s="33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33"/>
      <c r="BH499" s="33"/>
      <c r="BI499" s="33"/>
      <c r="BJ499" s="6"/>
      <c r="BK499" s="6"/>
      <c r="BL499" s="6" t="s">
        <v>59</v>
      </c>
      <c r="BO499" s="15"/>
    </row>
    <row r="500" spans="1:67" ht="14.55" customHeight="1">
      <c r="A500" s="6" t="s">
        <v>130</v>
      </c>
      <c r="B500" s="6"/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1" t="s">
        <v>118</v>
      </c>
      <c r="AN500" s="18"/>
      <c r="AO500" s="6"/>
      <c r="AP500" s="33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33"/>
      <c r="BH500" s="33"/>
      <c r="BI500" s="33"/>
      <c r="BJ500" s="6"/>
      <c r="BK500" s="6"/>
      <c r="BL500" s="6" t="s">
        <v>59</v>
      </c>
      <c r="BO500" s="15"/>
    </row>
    <row r="501" spans="1:67" ht="14.55" customHeight="1">
      <c r="A501" s="6" t="s">
        <v>130</v>
      </c>
      <c r="B501" s="6"/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1" t="s">
        <v>118</v>
      </c>
      <c r="AN501" s="18"/>
      <c r="AO501" s="6"/>
      <c r="AP501" s="33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33"/>
      <c r="BH501" s="33"/>
      <c r="BI501" s="33"/>
      <c r="BJ501" s="6"/>
      <c r="BK501" s="6"/>
      <c r="BL501" s="6" t="s">
        <v>59</v>
      </c>
      <c r="BO501" s="15"/>
    </row>
    <row r="502" spans="1:67">
      <c r="A502" s="6" t="s">
        <v>130</v>
      </c>
      <c r="B502" s="6"/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1" t="s">
        <v>118</v>
      </c>
      <c r="AN502" s="18"/>
      <c r="AO502" s="6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6"/>
      <c r="BK502" s="6"/>
      <c r="BL502" s="6" t="s">
        <v>59</v>
      </c>
      <c r="BO502" s="15"/>
    </row>
    <row r="503" spans="1:67">
      <c r="A503" s="6" t="s">
        <v>130</v>
      </c>
      <c r="B503" s="6"/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1" t="s">
        <v>118</v>
      </c>
      <c r="AN503" s="18"/>
      <c r="AO503" s="6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6"/>
      <c r="BK503" s="6"/>
      <c r="BL503" s="6" t="s">
        <v>59</v>
      </c>
      <c r="BO503" s="15"/>
    </row>
    <row r="504" spans="1:67" ht="14.55" customHeight="1">
      <c r="A504" s="6" t="s">
        <v>130</v>
      </c>
      <c r="B504" s="6"/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1" t="s">
        <v>118</v>
      </c>
      <c r="AN504" s="18"/>
      <c r="AO504" s="6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6"/>
      <c r="BK504" s="6"/>
      <c r="BL504" s="6" t="s">
        <v>59</v>
      </c>
      <c r="BO504" s="15"/>
    </row>
    <row r="505" spans="1:67">
      <c r="A505" s="6" t="s">
        <v>130</v>
      </c>
      <c r="B505" s="6"/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1" t="s">
        <v>118</v>
      </c>
      <c r="AN505" s="18"/>
      <c r="AO505" s="6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6"/>
      <c r="BK505" s="6"/>
      <c r="BL505" s="6" t="s">
        <v>59</v>
      </c>
      <c r="BO505" s="15"/>
    </row>
    <row r="506" spans="1:67" ht="14.55" customHeight="1">
      <c r="A506" s="6" t="s">
        <v>130</v>
      </c>
      <c r="B506" s="6"/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1" t="s">
        <v>118</v>
      </c>
      <c r="AN506" s="18"/>
      <c r="AO506" s="6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6"/>
      <c r="BK506" s="6"/>
      <c r="BL506" s="6" t="s">
        <v>59</v>
      </c>
      <c r="BO506" s="15"/>
    </row>
    <row r="507" spans="1:67">
      <c r="A507" s="6" t="s">
        <v>130</v>
      </c>
      <c r="B507" s="6"/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1" t="s">
        <v>118</v>
      </c>
      <c r="AN507" s="18"/>
      <c r="AO507" s="6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6"/>
      <c r="BK507" s="6"/>
      <c r="BL507" s="6" t="s">
        <v>59</v>
      </c>
      <c r="BO507" s="15"/>
    </row>
    <row r="508" spans="1:67">
      <c r="A508" s="6" t="s">
        <v>130</v>
      </c>
      <c r="B508" s="6"/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1" t="s">
        <v>118</v>
      </c>
      <c r="AN508" s="18"/>
      <c r="AO508" s="6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6"/>
      <c r="BK508" s="6"/>
      <c r="BL508" s="6" t="s">
        <v>59</v>
      </c>
      <c r="BO508" s="15"/>
    </row>
    <row r="509" spans="1:67" ht="14.55" customHeight="1">
      <c r="A509" s="6" t="s">
        <v>130</v>
      </c>
      <c r="B509" s="6"/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1" t="s">
        <v>118</v>
      </c>
      <c r="AN509" s="18"/>
      <c r="AO509" s="6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6"/>
      <c r="BK509" s="6"/>
      <c r="BL509" s="6" t="s">
        <v>59</v>
      </c>
      <c r="BO509" s="15"/>
    </row>
    <row r="510" spans="1:67">
      <c r="A510" s="6" t="s">
        <v>130</v>
      </c>
      <c r="B510" s="6"/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1" t="s">
        <v>118</v>
      </c>
      <c r="AN510" s="18"/>
      <c r="AO510" s="6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6"/>
      <c r="BK510" s="6"/>
      <c r="BL510" s="6" t="s">
        <v>59</v>
      </c>
      <c r="BO510" s="15"/>
    </row>
    <row r="511" spans="1:67" ht="14.55" customHeight="1">
      <c r="A511" s="6" t="s">
        <v>130</v>
      </c>
      <c r="B511" s="6"/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1" t="s">
        <v>118</v>
      </c>
      <c r="AN511" s="18"/>
      <c r="AO511" s="6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6"/>
      <c r="BK511" s="6"/>
      <c r="BL511" s="6" t="s">
        <v>59</v>
      </c>
      <c r="BO511" s="15"/>
    </row>
    <row r="512" spans="1:67">
      <c r="A512" s="6" t="s">
        <v>130</v>
      </c>
      <c r="B512" s="6"/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1" t="s">
        <v>118</v>
      </c>
      <c r="AN512" s="18"/>
      <c r="AO512" s="6"/>
      <c r="AP512" s="33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33"/>
      <c r="BH512" s="33"/>
      <c r="BI512" s="33"/>
      <c r="BJ512" s="6"/>
      <c r="BK512" s="6"/>
      <c r="BL512" s="6" t="s">
        <v>59</v>
      </c>
      <c r="BO512" s="15"/>
    </row>
    <row r="513" spans="1:67" ht="14.55" customHeight="1">
      <c r="A513" s="6" t="s">
        <v>130</v>
      </c>
      <c r="B513" s="6"/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1" t="s">
        <v>118</v>
      </c>
      <c r="AN513" s="18"/>
      <c r="AO513" s="6"/>
      <c r="AP513" s="33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33"/>
      <c r="BH513" s="33"/>
      <c r="BI513" s="33"/>
      <c r="BJ513" s="6"/>
      <c r="BK513" s="6"/>
      <c r="BL513" s="6" t="s">
        <v>59</v>
      </c>
      <c r="BO513" s="15"/>
    </row>
    <row r="514" spans="1:67" ht="14.55" customHeight="1">
      <c r="A514" s="6" t="s">
        <v>130</v>
      </c>
      <c r="B514" s="6"/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1" t="s">
        <v>118</v>
      </c>
      <c r="AN514" s="18"/>
      <c r="AO514" s="6"/>
      <c r="AP514" s="33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33"/>
      <c r="BH514" s="33"/>
      <c r="BI514" s="33"/>
      <c r="BJ514" s="6"/>
      <c r="BK514" s="6"/>
      <c r="BL514" s="6" t="s">
        <v>59</v>
      </c>
      <c r="BO514" s="15"/>
    </row>
    <row r="515" spans="1:67">
      <c r="A515" s="6" t="s">
        <v>130</v>
      </c>
      <c r="B515" s="6"/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1" t="s">
        <v>118</v>
      </c>
      <c r="AN515" s="18"/>
      <c r="AO515" s="6"/>
      <c r="AP515" s="33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33"/>
      <c r="BH515" s="33"/>
      <c r="BI515" s="33"/>
      <c r="BJ515" s="6"/>
      <c r="BK515" s="6"/>
      <c r="BL515" s="6" t="s">
        <v>59</v>
      </c>
      <c r="BO515" s="15"/>
    </row>
    <row r="516" spans="1:67">
      <c r="A516" s="6" t="s">
        <v>130</v>
      </c>
      <c r="B516" s="6"/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1" t="s">
        <v>118</v>
      </c>
      <c r="AN516" s="18"/>
      <c r="AO516" s="6"/>
      <c r="AP516" s="33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33"/>
      <c r="BH516" s="33"/>
      <c r="BI516" s="33"/>
      <c r="BJ516" s="6"/>
      <c r="BK516" s="6"/>
      <c r="BL516" s="6" t="s">
        <v>59</v>
      </c>
      <c r="BO516" s="15"/>
    </row>
    <row r="517" spans="1:67">
      <c r="A517" s="6" t="s">
        <v>130</v>
      </c>
      <c r="B517" s="6"/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1" t="s">
        <v>118</v>
      </c>
      <c r="AN517" s="18"/>
      <c r="AO517" s="6"/>
      <c r="AP517" s="33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33"/>
      <c r="BH517" s="33"/>
      <c r="BI517" s="33"/>
      <c r="BJ517" s="6"/>
      <c r="BK517" s="6"/>
      <c r="BL517" s="6" t="s">
        <v>59</v>
      </c>
      <c r="BO517" s="15"/>
    </row>
    <row r="518" spans="1:67">
      <c r="A518" s="6" t="s">
        <v>130</v>
      </c>
      <c r="B518" s="6"/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1" t="s">
        <v>118</v>
      </c>
      <c r="AN518" s="18"/>
      <c r="AO518" s="6"/>
      <c r="AP518" s="33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33"/>
      <c r="BH518" s="33"/>
      <c r="BI518" s="33"/>
      <c r="BJ518" s="6"/>
      <c r="BK518" s="6"/>
      <c r="BL518" s="6" t="s">
        <v>59</v>
      </c>
      <c r="BO518" s="15"/>
    </row>
    <row r="519" spans="1:67">
      <c r="A519" s="6" t="s">
        <v>130</v>
      </c>
      <c r="B519" s="6"/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1" t="s">
        <v>118</v>
      </c>
      <c r="AN519" s="18"/>
      <c r="AO519" s="6"/>
      <c r="AP519" s="33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33"/>
      <c r="BH519" s="33"/>
      <c r="BI519" s="33"/>
      <c r="BJ519" s="6"/>
      <c r="BK519" s="6"/>
      <c r="BL519" s="6" t="s">
        <v>59</v>
      </c>
      <c r="BO519" s="15"/>
    </row>
    <row r="520" spans="1:67" ht="14.55" customHeight="1">
      <c r="A520" s="6" t="s">
        <v>130</v>
      </c>
      <c r="B520" s="6"/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1" t="s">
        <v>118</v>
      </c>
      <c r="AN520" s="18"/>
      <c r="AO520" s="6"/>
      <c r="AP520" s="33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33"/>
      <c r="BH520" s="33"/>
      <c r="BI520" s="33"/>
      <c r="BJ520" s="6"/>
      <c r="BK520" s="6"/>
      <c r="BL520" s="6" t="s">
        <v>59</v>
      </c>
      <c r="BO520" s="15"/>
    </row>
    <row r="521" spans="1:67" ht="14.55" customHeight="1">
      <c r="A521" s="6" t="s">
        <v>130</v>
      </c>
      <c r="B521" s="6"/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1" t="s">
        <v>118</v>
      </c>
      <c r="AN521" s="18"/>
      <c r="AO521" s="6"/>
      <c r="AP521" s="33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33"/>
      <c r="BH521" s="33"/>
      <c r="BI521" s="33"/>
      <c r="BJ521" s="6"/>
      <c r="BK521" s="6"/>
      <c r="BL521" s="6" t="s">
        <v>59</v>
      </c>
      <c r="BO521" s="15"/>
    </row>
    <row r="522" spans="1:67">
      <c r="A522" s="6" t="s">
        <v>130</v>
      </c>
      <c r="B522" s="6"/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1" t="s">
        <v>118</v>
      </c>
      <c r="AN522" s="18"/>
      <c r="AO522" s="6"/>
      <c r="AP522" s="33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33"/>
      <c r="BH522" s="33"/>
      <c r="BI522" s="33"/>
      <c r="BJ522" s="6"/>
      <c r="BK522" s="6"/>
      <c r="BL522" s="6" t="s">
        <v>59</v>
      </c>
      <c r="BO522" s="15"/>
    </row>
    <row r="523" spans="1:67" ht="14.55" customHeight="1">
      <c r="A523" s="6" t="s">
        <v>130</v>
      </c>
      <c r="B523" s="6"/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1" t="s">
        <v>118</v>
      </c>
      <c r="AN523" s="18"/>
      <c r="AO523" s="6"/>
      <c r="AP523" s="33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33"/>
      <c r="BH523" s="33"/>
      <c r="BI523" s="33"/>
      <c r="BJ523" s="6"/>
      <c r="BK523" s="6"/>
      <c r="BL523" s="6" t="s">
        <v>59</v>
      </c>
      <c r="BO523" s="15"/>
    </row>
    <row r="524" spans="1:67">
      <c r="A524" s="6" t="s">
        <v>130</v>
      </c>
      <c r="B524" s="6"/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1" t="s">
        <v>118</v>
      </c>
      <c r="AN524" s="18"/>
      <c r="AO524" s="6"/>
      <c r="AP524" s="33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33"/>
      <c r="BH524" s="33"/>
      <c r="BI524" s="33"/>
      <c r="BJ524" s="6"/>
      <c r="BK524" s="6"/>
      <c r="BL524" s="6" t="s">
        <v>59</v>
      </c>
      <c r="BO524" s="15"/>
    </row>
    <row r="525" spans="1:67" ht="14.55" customHeight="1">
      <c r="A525" s="6" t="s">
        <v>130</v>
      </c>
      <c r="B525" s="6"/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1" t="s">
        <v>118</v>
      </c>
      <c r="AN525" s="18"/>
      <c r="AO525" s="6"/>
      <c r="AP525" s="33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33"/>
      <c r="BH525" s="33"/>
      <c r="BI525" s="33"/>
      <c r="BJ525" s="6"/>
      <c r="BK525" s="6"/>
      <c r="BL525" s="6" t="s">
        <v>59</v>
      </c>
      <c r="BO525" s="15"/>
    </row>
    <row r="526" spans="1:67">
      <c r="A526" s="6" t="s">
        <v>130</v>
      </c>
      <c r="B526" s="6"/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1" t="s">
        <v>118</v>
      </c>
      <c r="AN526" s="18"/>
      <c r="AO526" s="6"/>
      <c r="AP526" s="33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33"/>
      <c r="BH526" s="33"/>
      <c r="BI526" s="33"/>
      <c r="BJ526" s="6"/>
      <c r="BK526" s="6"/>
      <c r="BL526" s="6" t="s">
        <v>59</v>
      </c>
      <c r="BO526" s="15"/>
    </row>
    <row r="527" spans="1:67" ht="14.55" customHeight="1">
      <c r="A527" s="6" t="s">
        <v>130</v>
      </c>
      <c r="B527" s="6"/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1" t="s">
        <v>118</v>
      </c>
      <c r="AN527" s="18"/>
      <c r="AO527" s="6"/>
      <c r="AP527" s="33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33"/>
      <c r="BH527" s="33"/>
      <c r="BI527" s="33"/>
      <c r="BJ527" s="6"/>
      <c r="BK527" s="6"/>
      <c r="BL527" s="6" t="s">
        <v>59</v>
      </c>
      <c r="BO527" s="15"/>
    </row>
    <row r="528" spans="1:67" ht="14.55" customHeight="1">
      <c r="A528" s="6" t="s">
        <v>130</v>
      </c>
      <c r="B528" s="6"/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1" t="s">
        <v>118</v>
      </c>
      <c r="AN528" s="18"/>
      <c r="AO528" s="6"/>
      <c r="AP528" s="33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33"/>
      <c r="BH528" s="33"/>
      <c r="BI528" s="33"/>
      <c r="BJ528" s="6"/>
      <c r="BK528" s="6"/>
      <c r="BL528" s="6" t="s">
        <v>59</v>
      </c>
      <c r="BO528" s="15"/>
    </row>
    <row r="529" spans="1:67">
      <c r="A529" s="6" t="s">
        <v>130</v>
      </c>
      <c r="B529" s="6"/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1" t="s">
        <v>118</v>
      </c>
      <c r="AN529" s="18"/>
      <c r="AO529" s="6"/>
      <c r="AP529" s="33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33"/>
      <c r="BH529" s="33"/>
      <c r="BI529" s="33"/>
      <c r="BJ529" s="6"/>
      <c r="BK529" s="6"/>
      <c r="BL529" s="6" t="s">
        <v>59</v>
      </c>
      <c r="BO529" s="15"/>
    </row>
    <row r="530" spans="1:67" ht="14.55" customHeight="1">
      <c r="A530" s="6" t="s">
        <v>130</v>
      </c>
      <c r="B530" s="6"/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1" t="s">
        <v>118</v>
      </c>
      <c r="AN530" s="18"/>
      <c r="AO530" s="6"/>
      <c r="AP530" s="33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33"/>
      <c r="BH530" s="33"/>
      <c r="BI530" s="33"/>
      <c r="BJ530" s="6"/>
      <c r="BK530" s="6"/>
      <c r="BL530" s="6" t="s">
        <v>59</v>
      </c>
      <c r="BO530" s="15"/>
    </row>
    <row r="531" spans="1:67">
      <c r="A531" s="6" t="s">
        <v>130</v>
      </c>
      <c r="B531" s="6"/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1" t="s">
        <v>118</v>
      </c>
      <c r="AN531" s="18"/>
      <c r="AO531" s="6"/>
      <c r="AP531" s="33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33"/>
      <c r="BH531" s="33"/>
      <c r="BI531" s="33"/>
      <c r="BJ531" s="6"/>
      <c r="BK531" s="6"/>
      <c r="BL531" s="6" t="s">
        <v>59</v>
      </c>
      <c r="BO531" s="15"/>
    </row>
    <row r="532" spans="1:67">
      <c r="A532" s="6" t="s">
        <v>130</v>
      </c>
      <c r="B532" s="6"/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1" t="s">
        <v>118</v>
      </c>
      <c r="AN532" s="18"/>
      <c r="AO532" s="6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6"/>
      <c r="BK532" s="6"/>
      <c r="BL532" s="6" t="s">
        <v>59</v>
      </c>
      <c r="BO532" s="15"/>
    </row>
    <row r="533" spans="1:67" ht="14.55" customHeight="1">
      <c r="A533" s="6" t="s">
        <v>130</v>
      </c>
      <c r="B533" s="6"/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1" t="s">
        <v>118</v>
      </c>
      <c r="AN533" s="18"/>
      <c r="AO533" s="6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6"/>
      <c r="BK533" s="6"/>
      <c r="BL533" s="6" t="s">
        <v>59</v>
      </c>
      <c r="BO533" s="15"/>
    </row>
    <row r="534" spans="1:67">
      <c r="A534" s="6" t="s">
        <v>130</v>
      </c>
      <c r="B534" s="6"/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1" t="s">
        <v>118</v>
      </c>
      <c r="AN534" s="18"/>
      <c r="AO534" s="6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6"/>
      <c r="BK534" s="6"/>
      <c r="BL534" s="6" t="s">
        <v>59</v>
      </c>
      <c r="BO534" s="15"/>
    </row>
    <row r="535" spans="1:67" ht="14.55" customHeight="1">
      <c r="A535" s="6" t="s">
        <v>130</v>
      </c>
      <c r="B535" s="6"/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1" t="s">
        <v>118</v>
      </c>
      <c r="AN535" s="18"/>
      <c r="AO535" s="6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6"/>
      <c r="BK535" s="6"/>
      <c r="BL535" s="6" t="s">
        <v>59</v>
      </c>
      <c r="BO535" s="15"/>
    </row>
    <row r="536" spans="1:67">
      <c r="A536" s="6" t="s">
        <v>130</v>
      </c>
      <c r="B536" s="6"/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1" t="s">
        <v>118</v>
      </c>
      <c r="AN536" s="18"/>
      <c r="AO536" s="6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6"/>
      <c r="BK536" s="6"/>
      <c r="BL536" s="6" t="s">
        <v>59</v>
      </c>
      <c r="BO536" s="15"/>
    </row>
    <row r="537" spans="1:67">
      <c r="A537" s="6" t="s">
        <v>130</v>
      </c>
      <c r="B537" s="6"/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1" t="s">
        <v>118</v>
      </c>
      <c r="AN537" s="18"/>
      <c r="AO537" s="6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6"/>
      <c r="BK537" s="6"/>
      <c r="BL537" s="6" t="s">
        <v>59</v>
      </c>
      <c r="BO537" s="15"/>
    </row>
    <row r="538" spans="1:67">
      <c r="A538" s="6" t="s">
        <v>130</v>
      </c>
      <c r="B538" s="6"/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1" t="s">
        <v>118</v>
      </c>
      <c r="AN538" s="18"/>
      <c r="AO538" s="6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6"/>
      <c r="BK538" s="6"/>
      <c r="BL538" s="6" t="s">
        <v>59</v>
      </c>
      <c r="BO538" s="15"/>
    </row>
    <row r="539" spans="1:67" ht="14.55" customHeight="1">
      <c r="A539" s="6" t="s">
        <v>130</v>
      </c>
      <c r="B539" s="6"/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1" t="s">
        <v>118</v>
      </c>
      <c r="AN539" s="18"/>
      <c r="AO539" s="6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6"/>
      <c r="BK539" s="6"/>
      <c r="BL539" s="6" t="s">
        <v>59</v>
      </c>
      <c r="BO539" s="15"/>
    </row>
    <row r="540" spans="1:67" ht="14.55" customHeight="1">
      <c r="A540" s="6" t="s">
        <v>130</v>
      </c>
      <c r="B540" s="6"/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1" t="s">
        <v>118</v>
      </c>
      <c r="AN540" s="18"/>
      <c r="AO540" s="6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6"/>
      <c r="BK540" s="6"/>
      <c r="BL540" s="6" t="s">
        <v>59</v>
      </c>
      <c r="BO540" s="15"/>
    </row>
    <row r="541" spans="1:67">
      <c r="A541" s="6" t="s">
        <v>130</v>
      </c>
      <c r="B541" s="6"/>
      <c r="C541" s="34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1" t="s">
        <v>118</v>
      </c>
      <c r="AN541" s="18"/>
      <c r="AO541" s="6"/>
      <c r="AP541" s="3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33"/>
      <c r="BH541" s="33"/>
      <c r="BI541" s="33"/>
      <c r="BJ541" s="6"/>
      <c r="BK541" s="6"/>
      <c r="BL541" s="6" t="s">
        <v>59</v>
      </c>
      <c r="BO541" s="15"/>
    </row>
    <row r="542" spans="1:67" ht="14.55" customHeight="1">
      <c r="A542" s="6" t="s">
        <v>130</v>
      </c>
      <c r="B542" s="6"/>
      <c r="C542" s="34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1" t="s">
        <v>118</v>
      </c>
      <c r="AN542" s="18"/>
      <c r="AO542" s="6"/>
      <c r="AP542" s="3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33"/>
      <c r="BH542" s="33"/>
      <c r="BI542" s="33"/>
      <c r="BJ542" s="6"/>
      <c r="BK542" s="6"/>
      <c r="BL542" s="6" t="s">
        <v>59</v>
      </c>
      <c r="BO542" s="15"/>
    </row>
    <row r="543" spans="1:67" ht="14.55" customHeight="1">
      <c r="A543" s="6" t="s">
        <v>130</v>
      </c>
      <c r="B543" s="6"/>
      <c r="C543" s="34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1" t="s">
        <v>118</v>
      </c>
      <c r="AN543" s="18"/>
      <c r="AO543" s="6"/>
      <c r="AP543" s="3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33"/>
      <c r="BH543" s="33"/>
      <c r="BI543" s="33"/>
      <c r="BJ543" s="6"/>
      <c r="BK543" s="6"/>
      <c r="BL543" s="6" t="s">
        <v>59</v>
      </c>
      <c r="BO543" s="15"/>
    </row>
    <row r="544" spans="1:67" ht="14.55" customHeight="1">
      <c r="A544" s="6" t="s">
        <v>130</v>
      </c>
      <c r="B544" s="6"/>
      <c r="C544" s="34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1" t="s">
        <v>118</v>
      </c>
      <c r="AN544" s="18"/>
      <c r="AO544" s="6"/>
      <c r="AP544" s="3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33"/>
      <c r="BH544" s="33"/>
      <c r="BI544" s="33"/>
      <c r="BJ544" s="6"/>
      <c r="BK544" s="6"/>
      <c r="BL544" s="6" t="s">
        <v>59</v>
      </c>
      <c r="BO544" s="15"/>
    </row>
    <row r="545" spans="1:67" ht="14.55" customHeight="1">
      <c r="A545" s="6" t="s">
        <v>130</v>
      </c>
      <c r="B545" s="6"/>
      <c r="C545" s="34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1" t="s">
        <v>118</v>
      </c>
      <c r="AN545" s="18"/>
      <c r="AO545" s="6"/>
      <c r="AP545" s="3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33"/>
      <c r="BH545" s="33"/>
      <c r="BI545" s="33"/>
      <c r="BJ545" s="6"/>
      <c r="BK545" s="6"/>
      <c r="BL545" s="6" t="s">
        <v>59</v>
      </c>
      <c r="BO545" s="15"/>
    </row>
    <row r="546" spans="1:67" ht="14.55" customHeight="1">
      <c r="A546" s="6" t="s">
        <v>130</v>
      </c>
      <c r="B546" s="6"/>
      <c r="C546" s="34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1" t="s">
        <v>118</v>
      </c>
      <c r="AN546" s="18"/>
      <c r="AO546" s="6"/>
      <c r="AP546" s="3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33"/>
      <c r="BH546" s="33"/>
      <c r="BI546" s="33"/>
      <c r="BJ546" s="6"/>
      <c r="BK546" s="6"/>
      <c r="BL546" s="6" t="s">
        <v>59</v>
      </c>
      <c r="BO546" s="15"/>
    </row>
    <row r="547" spans="1:67" ht="14.55" customHeight="1">
      <c r="A547" s="6" t="s">
        <v>130</v>
      </c>
      <c r="B547" s="6"/>
      <c r="C547" s="34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1" t="s">
        <v>118</v>
      </c>
      <c r="AN547" s="18"/>
      <c r="AO547" s="6"/>
      <c r="AP547" s="3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33"/>
      <c r="BH547" s="33"/>
      <c r="BI547" s="33"/>
      <c r="BJ547" s="6"/>
      <c r="BK547" s="6"/>
      <c r="BL547" s="6" t="s">
        <v>59</v>
      </c>
      <c r="BO547" s="15"/>
    </row>
    <row r="548" spans="1:67" ht="14.55" customHeight="1">
      <c r="A548" s="6" t="s">
        <v>130</v>
      </c>
      <c r="B548" s="6"/>
      <c r="C548" s="34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1" t="s">
        <v>118</v>
      </c>
      <c r="AN548" s="18"/>
      <c r="AO548" s="6"/>
      <c r="AP548" s="3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33"/>
      <c r="BH548" s="33"/>
      <c r="BI548" s="33"/>
      <c r="BJ548" s="6"/>
      <c r="BK548" s="6"/>
      <c r="BL548" s="6" t="s">
        <v>59</v>
      </c>
      <c r="BO548" s="15"/>
    </row>
    <row r="549" spans="1:67" ht="14.55" customHeight="1">
      <c r="A549" s="6" t="s">
        <v>130</v>
      </c>
      <c r="B549" s="6"/>
      <c r="C549" s="34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1" t="s">
        <v>118</v>
      </c>
      <c r="AN549" s="18"/>
      <c r="AO549" s="6"/>
      <c r="AP549" s="3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33"/>
      <c r="BH549" s="33"/>
      <c r="BI549" s="33"/>
      <c r="BJ549" s="6"/>
      <c r="BK549" s="6"/>
      <c r="BL549" s="6" t="s">
        <v>59</v>
      </c>
      <c r="BO549" s="15"/>
    </row>
    <row r="550" spans="1:67" ht="14.55" customHeight="1">
      <c r="A550" s="6" t="s">
        <v>130</v>
      </c>
      <c r="B550" s="6"/>
      <c r="C550" s="34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1" t="s">
        <v>118</v>
      </c>
      <c r="AN550" s="18"/>
      <c r="AO550" s="6"/>
      <c r="AP550" s="3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33"/>
      <c r="BH550" s="33"/>
      <c r="BI550" s="33"/>
      <c r="BJ550" s="6"/>
      <c r="BK550" s="6"/>
      <c r="BL550" s="6" t="s">
        <v>59</v>
      </c>
      <c r="BO550" s="15"/>
    </row>
    <row r="551" spans="1:67" ht="14.55" customHeight="1">
      <c r="A551" s="6" t="s">
        <v>130</v>
      </c>
      <c r="B551" s="6"/>
      <c r="C551" s="34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1" t="s">
        <v>118</v>
      </c>
      <c r="AN551" s="18"/>
      <c r="AO551" s="6"/>
      <c r="AP551" s="3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33"/>
      <c r="BH551" s="33"/>
      <c r="BI551" s="33"/>
      <c r="BJ551" s="6"/>
      <c r="BK551" s="6"/>
      <c r="BL551" s="6" t="s">
        <v>59</v>
      </c>
      <c r="BO551" s="15"/>
    </row>
    <row r="552" spans="1:67" ht="14.55" customHeight="1">
      <c r="A552" s="6" t="s">
        <v>130</v>
      </c>
      <c r="B552" s="6"/>
      <c r="C552" s="34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1" t="s">
        <v>118</v>
      </c>
      <c r="AN552" s="18"/>
      <c r="AO552" s="6"/>
      <c r="AP552" s="3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33"/>
      <c r="BH552" s="33"/>
      <c r="BI552" s="33"/>
      <c r="BJ552" s="6"/>
      <c r="BK552" s="6"/>
      <c r="BL552" s="6" t="s">
        <v>59</v>
      </c>
      <c r="BO552" s="15"/>
    </row>
    <row r="553" spans="1:67" ht="14.55" customHeight="1">
      <c r="A553" s="6" t="s">
        <v>130</v>
      </c>
      <c r="B553" s="6"/>
      <c r="C553" s="34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1" t="s">
        <v>118</v>
      </c>
      <c r="AN553" s="18"/>
      <c r="AO553" s="6"/>
      <c r="AP553" s="3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33"/>
      <c r="BH553" s="33"/>
      <c r="BI553" s="33"/>
      <c r="BJ553" s="6"/>
      <c r="BK553" s="6"/>
      <c r="BL553" s="6" t="s">
        <v>59</v>
      </c>
      <c r="BO553" s="15"/>
    </row>
    <row r="554" spans="1:67" ht="14.55" customHeight="1">
      <c r="A554" s="6" t="s">
        <v>130</v>
      </c>
      <c r="B554" s="6"/>
      <c r="C554" s="34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1" t="s">
        <v>118</v>
      </c>
      <c r="AN554" s="18"/>
      <c r="AO554" s="6"/>
      <c r="AP554" s="3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33"/>
      <c r="BH554" s="33"/>
      <c r="BI554" s="33"/>
      <c r="BJ554" s="6"/>
      <c r="BK554" s="6"/>
      <c r="BL554" s="6" t="s">
        <v>59</v>
      </c>
      <c r="BO554" s="15"/>
    </row>
    <row r="555" spans="1:67" ht="14.55" customHeight="1">
      <c r="A555" s="6" t="s">
        <v>130</v>
      </c>
      <c r="B555" s="6"/>
      <c r="C555" s="34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1" t="s">
        <v>118</v>
      </c>
      <c r="AN555" s="18"/>
      <c r="AO555" s="6"/>
      <c r="AP555" s="3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33"/>
      <c r="BH555" s="33"/>
      <c r="BI555" s="33"/>
      <c r="BJ555" s="6"/>
      <c r="BK555" s="6"/>
      <c r="BL555" s="6" t="s">
        <v>59</v>
      </c>
      <c r="BO555" s="15"/>
    </row>
    <row r="556" spans="1:67">
      <c r="A556" s="6" t="s">
        <v>130</v>
      </c>
      <c r="B556" s="6"/>
      <c r="C556" s="34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1" t="s">
        <v>118</v>
      </c>
      <c r="AN556" s="18"/>
      <c r="AO556" s="6"/>
      <c r="AP556" s="3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33"/>
      <c r="BH556" s="33"/>
      <c r="BI556" s="33"/>
      <c r="BJ556" s="6"/>
      <c r="BK556" s="6"/>
      <c r="BL556" s="6" t="s">
        <v>59</v>
      </c>
      <c r="BO556" s="15"/>
    </row>
    <row r="557" spans="1:67" ht="14.55" customHeight="1">
      <c r="A557" s="6" t="s">
        <v>130</v>
      </c>
      <c r="B557" s="6"/>
      <c r="C557" s="34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1" t="s">
        <v>118</v>
      </c>
      <c r="AN557" s="18"/>
      <c r="AO557" s="6"/>
      <c r="AP557" s="3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33"/>
      <c r="BH557" s="33"/>
      <c r="BI557" s="33"/>
      <c r="BJ557" s="6"/>
      <c r="BK557" s="6"/>
      <c r="BL557" s="6" t="s">
        <v>59</v>
      </c>
      <c r="BO557" s="15"/>
    </row>
    <row r="558" spans="1:67" ht="14.55" customHeight="1">
      <c r="A558" s="6" t="s">
        <v>130</v>
      </c>
      <c r="B558" s="6"/>
      <c r="C558" s="34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1" t="s">
        <v>118</v>
      </c>
      <c r="AN558" s="18"/>
      <c r="AO558" s="6"/>
      <c r="AP558" s="3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33"/>
      <c r="BH558" s="33"/>
      <c r="BI558" s="33"/>
      <c r="BJ558" s="6"/>
      <c r="BK558" s="6"/>
      <c r="BL558" s="6" t="s">
        <v>59</v>
      </c>
      <c r="BO558" s="15"/>
    </row>
    <row r="559" spans="1:67" ht="14.55" customHeight="1">
      <c r="A559" s="6" t="s">
        <v>130</v>
      </c>
      <c r="B559" s="6"/>
      <c r="C559" s="34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1" t="s">
        <v>118</v>
      </c>
      <c r="AN559" s="18"/>
      <c r="AO559" s="6"/>
      <c r="AP559" s="3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33"/>
      <c r="BH559" s="33"/>
      <c r="BI559" s="33"/>
      <c r="BJ559" s="6"/>
      <c r="BK559" s="6"/>
      <c r="BL559" s="6" t="s">
        <v>59</v>
      </c>
      <c r="BO559" s="15"/>
    </row>
    <row r="560" spans="1:67">
      <c r="A560" s="6" t="s">
        <v>130</v>
      </c>
      <c r="B560" s="6"/>
      <c r="C560" s="34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1" t="s">
        <v>118</v>
      </c>
      <c r="AN560" s="18"/>
      <c r="AO560" s="6"/>
      <c r="AP560" s="3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33"/>
      <c r="BH560" s="33"/>
      <c r="BI560" s="33"/>
      <c r="BJ560" s="6"/>
      <c r="BK560" s="6"/>
      <c r="BL560" s="6" t="s">
        <v>59</v>
      </c>
      <c r="BO560" s="15"/>
    </row>
    <row r="561" spans="1:67" ht="14.55" customHeight="1">
      <c r="A561" s="6" t="s">
        <v>130</v>
      </c>
      <c r="B561" s="6"/>
      <c r="C561" s="34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1" t="s">
        <v>118</v>
      </c>
      <c r="AN561" s="18"/>
      <c r="AO561" s="6"/>
      <c r="AP561" s="3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33"/>
      <c r="BH561" s="33"/>
      <c r="BI561" s="33"/>
      <c r="BJ561" s="6"/>
      <c r="BK561" s="6"/>
      <c r="BL561" s="6" t="s">
        <v>59</v>
      </c>
      <c r="BO561" s="15"/>
    </row>
    <row r="562" spans="1:67" ht="14.55" customHeight="1">
      <c r="A562" s="6" t="s">
        <v>130</v>
      </c>
      <c r="B562" s="6"/>
      <c r="C562" s="34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1" t="s">
        <v>118</v>
      </c>
      <c r="AN562" s="18"/>
      <c r="AO562" s="6"/>
      <c r="AP562" s="3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33"/>
      <c r="BH562" s="33"/>
      <c r="BI562" s="33"/>
      <c r="BJ562" s="6"/>
      <c r="BK562" s="6"/>
      <c r="BL562" s="6" t="s">
        <v>59</v>
      </c>
      <c r="BO562" s="15"/>
    </row>
    <row r="563" spans="1:67" ht="14.55" customHeight="1">
      <c r="A563" s="6" t="s">
        <v>130</v>
      </c>
      <c r="B563" s="6"/>
      <c r="C563" s="34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1" t="s">
        <v>118</v>
      </c>
      <c r="AN563" s="18"/>
      <c r="AO563" s="6"/>
      <c r="AP563" s="3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33"/>
      <c r="BH563" s="33"/>
      <c r="BI563" s="33"/>
      <c r="BJ563" s="6"/>
      <c r="BK563" s="6"/>
      <c r="BL563" s="6" t="s">
        <v>59</v>
      </c>
      <c r="BO563" s="15"/>
    </row>
    <row r="564" spans="1:67" ht="14.55" customHeight="1">
      <c r="A564" s="6" t="s">
        <v>130</v>
      </c>
      <c r="B564" s="6"/>
      <c r="C564" s="34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1" t="s">
        <v>118</v>
      </c>
      <c r="AN564" s="18"/>
      <c r="AO564" s="6"/>
      <c r="AP564" s="3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33"/>
      <c r="BH564" s="33"/>
      <c r="BI564" s="33"/>
      <c r="BJ564" s="6"/>
      <c r="BK564" s="6"/>
      <c r="BL564" s="6" t="s">
        <v>59</v>
      </c>
      <c r="BO564" s="15"/>
    </row>
    <row r="565" spans="1:67">
      <c r="A565" s="6" t="s">
        <v>130</v>
      </c>
      <c r="B565" s="6"/>
      <c r="C565" s="34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1" t="s">
        <v>118</v>
      </c>
      <c r="AN565" s="18"/>
      <c r="AO565" s="6"/>
      <c r="AP565" s="3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33"/>
      <c r="BH565" s="33"/>
      <c r="BI565" s="33"/>
      <c r="BJ565" s="6"/>
      <c r="BK565" s="6"/>
      <c r="BL565" s="6" t="s">
        <v>59</v>
      </c>
      <c r="BO565" s="15"/>
    </row>
    <row r="566" spans="1:67" ht="14.55" customHeight="1">
      <c r="A566" s="6" t="s">
        <v>130</v>
      </c>
      <c r="B566" s="6"/>
      <c r="C566" s="34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1" t="s">
        <v>118</v>
      </c>
      <c r="AN566" s="18"/>
      <c r="AO566" s="6"/>
      <c r="AP566" s="3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33"/>
      <c r="BH566" s="33"/>
      <c r="BI566" s="33"/>
      <c r="BJ566" s="6"/>
      <c r="BK566" s="6"/>
      <c r="BL566" s="6" t="s">
        <v>59</v>
      </c>
      <c r="BO566" s="15"/>
    </row>
    <row r="567" spans="1:67" ht="14.55" customHeight="1">
      <c r="A567" s="6" t="s">
        <v>130</v>
      </c>
      <c r="B567" s="6"/>
      <c r="C567" s="34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1" t="s">
        <v>118</v>
      </c>
      <c r="AN567" s="18"/>
      <c r="AO567" s="6"/>
      <c r="AP567" s="3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33"/>
      <c r="BH567" s="33"/>
      <c r="BI567" s="33"/>
      <c r="BJ567" s="6"/>
      <c r="BK567" s="6"/>
      <c r="BL567" s="6" t="s">
        <v>59</v>
      </c>
      <c r="BO567" s="15"/>
    </row>
    <row r="568" spans="1:67" ht="14.55" customHeight="1">
      <c r="A568" s="6" t="s">
        <v>130</v>
      </c>
      <c r="B568" s="6"/>
      <c r="C568" s="34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1" t="s">
        <v>118</v>
      </c>
      <c r="AN568" s="18"/>
      <c r="AO568" s="6"/>
      <c r="AP568" s="3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33"/>
      <c r="BH568" s="33"/>
      <c r="BI568" s="33"/>
      <c r="BJ568" s="6"/>
      <c r="BK568" s="6"/>
      <c r="BL568" s="6" t="s">
        <v>59</v>
      </c>
      <c r="BO568" s="15"/>
    </row>
    <row r="569" spans="1:67" ht="14.55" customHeight="1">
      <c r="A569" s="6" t="s">
        <v>130</v>
      </c>
      <c r="B569" s="6"/>
      <c r="C569" s="34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1" t="s">
        <v>118</v>
      </c>
      <c r="AN569" s="18"/>
      <c r="AO569" s="6"/>
      <c r="AP569" s="3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33"/>
      <c r="BH569" s="33"/>
      <c r="BI569" s="33"/>
      <c r="BJ569" s="6"/>
      <c r="BK569" s="6"/>
      <c r="BL569" s="6" t="s">
        <v>59</v>
      </c>
      <c r="BO569" s="15"/>
    </row>
    <row r="570" spans="1:67">
      <c r="A570" s="6" t="s">
        <v>130</v>
      </c>
      <c r="B570" s="6"/>
      <c r="C570" s="34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1" t="s">
        <v>118</v>
      </c>
      <c r="AN570" s="18"/>
      <c r="AO570" s="6"/>
      <c r="AP570" s="3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33"/>
      <c r="BH570" s="33"/>
      <c r="BI570" s="33"/>
      <c r="BJ570" s="6"/>
      <c r="BK570" s="6"/>
      <c r="BL570" s="6" t="s">
        <v>59</v>
      </c>
      <c r="BO570" s="15"/>
    </row>
    <row r="571" spans="1:67" ht="14.55" customHeight="1">
      <c r="A571" s="6" t="s">
        <v>130</v>
      </c>
      <c r="B571" s="6"/>
      <c r="C571" s="34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1" t="s">
        <v>118</v>
      </c>
      <c r="AN571" s="18"/>
      <c r="AO571" s="6"/>
      <c r="AP571" s="3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33"/>
      <c r="BH571" s="33"/>
      <c r="BI571" s="33"/>
      <c r="BJ571" s="6"/>
      <c r="BK571" s="6"/>
      <c r="BL571" s="6" t="s">
        <v>59</v>
      </c>
      <c r="BO571" s="15"/>
    </row>
    <row r="572" spans="1:67">
      <c r="A572" s="6" t="s">
        <v>130</v>
      </c>
      <c r="B572" s="6"/>
      <c r="C572" s="34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1" t="s">
        <v>118</v>
      </c>
      <c r="AN572" s="18"/>
      <c r="AO572" s="6"/>
      <c r="AP572" s="3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33"/>
      <c r="BH572" s="33"/>
      <c r="BI572" s="33"/>
      <c r="BJ572" s="6"/>
      <c r="BK572" s="6"/>
      <c r="BL572" s="6" t="s">
        <v>59</v>
      </c>
      <c r="BO572" s="15"/>
    </row>
    <row r="573" spans="1:67" ht="14.55" customHeight="1">
      <c r="A573" s="6" t="s">
        <v>130</v>
      </c>
      <c r="B573" s="6"/>
      <c r="C573" s="34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1" t="s">
        <v>118</v>
      </c>
      <c r="AN573" s="18"/>
      <c r="AO573" s="6"/>
      <c r="AP573" s="3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33"/>
      <c r="BH573" s="33"/>
      <c r="BI573" s="33"/>
      <c r="BJ573" s="6"/>
      <c r="BK573" s="6"/>
      <c r="BL573" s="6" t="s">
        <v>59</v>
      </c>
      <c r="BO573" s="15"/>
    </row>
    <row r="574" spans="1:67" ht="14.55" customHeight="1">
      <c r="A574" s="6" t="s">
        <v>130</v>
      </c>
      <c r="B574" s="6"/>
      <c r="C574" s="34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1" t="s">
        <v>118</v>
      </c>
      <c r="AN574" s="18"/>
      <c r="AO574" s="6"/>
      <c r="AP574" s="3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33"/>
      <c r="BH574" s="33"/>
      <c r="BI574" s="33"/>
      <c r="BJ574" s="6"/>
      <c r="BK574" s="6"/>
      <c r="BL574" s="6" t="s">
        <v>59</v>
      </c>
      <c r="BO574" s="15"/>
    </row>
    <row r="575" spans="1:67" ht="14.55" customHeight="1">
      <c r="A575" s="6" t="s">
        <v>130</v>
      </c>
      <c r="B575" s="6"/>
      <c r="C575" s="34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1" t="s">
        <v>118</v>
      </c>
      <c r="AN575" s="18"/>
      <c r="AO575" s="6"/>
      <c r="AP575" s="3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33"/>
      <c r="BH575" s="33"/>
      <c r="BI575" s="33"/>
      <c r="BJ575" s="6"/>
      <c r="BK575" s="6"/>
      <c r="BL575" s="6" t="s">
        <v>59</v>
      </c>
      <c r="BO575" s="15"/>
    </row>
    <row r="576" spans="1:67">
      <c r="A576" s="6" t="s">
        <v>130</v>
      </c>
      <c r="B576" s="6"/>
      <c r="C576" s="34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1" t="s">
        <v>118</v>
      </c>
      <c r="AN576" s="18"/>
      <c r="AO576" s="6"/>
      <c r="AP576" s="3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33"/>
      <c r="BH576" s="33"/>
      <c r="BI576" s="33"/>
      <c r="BJ576" s="6"/>
      <c r="BK576" s="6"/>
      <c r="BL576" s="6" t="s">
        <v>59</v>
      </c>
      <c r="BO576" s="15"/>
    </row>
    <row r="577" spans="1:67" ht="14.55" customHeight="1">
      <c r="A577" s="6" t="s">
        <v>130</v>
      </c>
      <c r="B577" s="6"/>
      <c r="C577" s="34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1" t="s">
        <v>118</v>
      </c>
      <c r="AN577" s="18"/>
      <c r="AO577" s="6"/>
      <c r="AP577" s="3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33"/>
      <c r="BH577" s="33"/>
      <c r="BI577" s="33"/>
      <c r="BJ577" s="6"/>
      <c r="BK577" s="6"/>
      <c r="BL577" s="6" t="s">
        <v>59</v>
      </c>
      <c r="BO577" s="15"/>
    </row>
    <row r="578" spans="1:67">
      <c r="A578" s="6" t="s">
        <v>130</v>
      </c>
      <c r="B578" s="6"/>
      <c r="C578" s="34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1" t="s">
        <v>118</v>
      </c>
      <c r="AN578" s="18"/>
      <c r="AO578" s="6"/>
      <c r="AP578" s="3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33"/>
      <c r="BH578" s="33"/>
      <c r="BI578" s="33"/>
      <c r="BJ578" s="6"/>
      <c r="BK578" s="6"/>
      <c r="BL578" s="6" t="s">
        <v>59</v>
      </c>
      <c r="BO578" s="15"/>
    </row>
    <row r="579" spans="1:67">
      <c r="A579" s="6" t="s">
        <v>130</v>
      </c>
      <c r="B579" s="6"/>
      <c r="C579" s="34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1" t="s">
        <v>118</v>
      </c>
      <c r="AN579" s="18"/>
      <c r="AO579" s="6"/>
      <c r="AP579" s="3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33"/>
      <c r="BH579" s="33"/>
      <c r="BI579" s="33"/>
      <c r="BJ579" s="6"/>
      <c r="BK579" s="6"/>
      <c r="BL579" s="6" t="s">
        <v>59</v>
      </c>
      <c r="BO579" s="15"/>
    </row>
    <row r="580" spans="1:67" ht="14.55" customHeight="1">
      <c r="A580" s="6" t="s">
        <v>130</v>
      </c>
      <c r="B580" s="6"/>
      <c r="C580" s="34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1" t="s">
        <v>118</v>
      </c>
      <c r="AN580" s="18"/>
      <c r="AO580" s="6"/>
      <c r="AP580" s="3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33"/>
      <c r="BH580" s="33"/>
      <c r="BI580" s="33"/>
      <c r="BJ580" s="6"/>
      <c r="BK580" s="6"/>
      <c r="BL580" s="6" t="s">
        <v>59</v>
      </c>
      <c r="BO580" s="15"/>
    </row>
    <row r="581" spans="1:67">
      <c r="A581" s="6" t="s">
        <v>130</v>
      </c>
      <c r="B581" s="6"/>
      <c r="C581" s="34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1" t="s">
        <v>118</v>
      </c>
      <c r="AN581" s="18"/>
      <c r="AO581" s="6"/>
      <c r="AP581" s="3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33"/>
      <c r="BH581" s="33"/>
      <c r="BI581" s="33"/>
      <c r="BJ581" s="6"/>
      <c r="BK581" s="6"/>
      <c r="BL581" s="6" t="s">
        <v>59</v>
      </c>
      <c r="BO581" s="15"/>
    </row>
    <row r="582" spans="1:67">
      <c r="A582" s="6" t="s">
        <v>130</v>
      </c>
      <c r="B582" s="6"/>
      <c r="C582" s="34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1" t="s">
        <v>118</v>
      </c>
      <c r="AN582" s="18"/>
      <c r="AO582" s="6"/>
      <c r="AP582" s="3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33"/>
      <c r="BH582" s="33"/>
      <c r="BI582" s="33"/>
      <c r="BJ582" s="6"/>
      <c r="BK582" s="6"/>
      <c r="BL582" s="6" t="s">
        <v>59</v>
      </c>
      <c r="BO582" s="15"/>
    </row>
    <row r="583" spans="1:67">
      <c r="A583" s="6" t="s">
        <v>132</v>
      </c>
      <c r="B583" s="6"/>
      <c r="C583" s="34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1" t="s">
        <v>118</v>
      </c>
      <c r="AN583" s="18"/>
      <c r="AO583" s="6"/>
      <c r="AP583" s="3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33"/>
      <c r="BH583" s="33"/>
      <c r="BI583" s="33"/>
      <c r="BJ583" s="6"/>
      <c r="BK583" s="6"/>
      <c r="BL583" s="6" t="s">
        <v>59</v>
      </c>
      <c r="BO583" s="15"/>
    </row>
    <row r="584" spans="1:67">
      <c r="A584" s="6" t="s">
        <v>132</v>
      </c>
      <c r="B584" s="6"/>
      <c r="C584" s="34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1" t="s">
        <v>118</v>
      </c>
      <c r="AN584" s="18"/>
      <c r="AO584" s="6"/>
      <c r="AP584" s="3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33"/>
      <c r="BH584" s="33"/>
      <c r="BI584" s="33"/>
      <c r="BJ584" s="6"/>
      <c r="BK584" s="6"/>
      <c r="BL584" s="6" t="s">
        <v>59</v>
      </c>
      <c r="BO584" s="15"/>
    </row>
    <row r="585" spans="1:67">
      <c r="A585" s="6" t="s">
        <v>132</v>
      </c>
      <c r="B585" s="6"/>
      <c r="C585" s="34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1" t="s">
        <v>118</v>
      </c>
      <c r="AN585" s="18"/>
      <c r="AO585" s="6"/>
      <c r="AP585" s="3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33"/>
      <c r="BH585" s="33"/>
      <c r="BI585" s="33"/>
      <c r="BJ585" s="6"/>
      <c r="BK585" s="6"/>
      <c r="BL585" s="6" t="s">
        <v>59</v>
      </c>
      <c r="BO585" s="15"/>
    </row>
    <row r="586" spans="1:67">
      <c r="A586" s="6" t="s">
        <v>132</v>
      </c>
      <c r="B586" s="6"/>
      <c r="C586" s="34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1" t="s">
        <v>118</v>
      </c>
      <c r="AN586" s="18"/>
      <c r="AO586" s="6"/>
      <c r="AP586" s="3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33"/>
      <c r="BH586" s="33"/>
      <c r="BI586" s="33"/>
      <c r="BJ586" s="6"/>
      <c r="BK586" s="6"/>
      <c r="BL586" s="6" t="s">
        <v>59</v>
      </c>
      <c r="BO586" s="15"/>
    </row>
    <row r="587" spans="1:67">
      <c r="A587" s="6" t="s">
        <v>132</v>
      </c>
      <c r="B587" s="6"/>
      <c r="C587" s="34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1" t="s">
        <v>118</v>
      </c>
      <c r="AN587" s="18"/>
      <c r="AO587" s="6"/>
      <c r="AP587" s="3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33"/>
      <c r="BH587" s="33"/>
      <c r="BI587" s="33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/>
      <c r="C588" s="34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1" t="s">
        <v>118</v>
      </c>
      <c r="AN588" s="18"/>
      <c r="AO588" s="6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/>
      <c r="C589" s="34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1" t="s">
        <v>118</v>
      </c>
      <c r="AN589" s="18"/>
      <c r="AO589" s="6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/>
      <c r="C590" s="34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1" t="s">
        <v>118</v>
      </c>
      <c r="AN590" s="18"/>
      <c r="AO590" s="6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/>
      <c r="C591" s="34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1" t="s">
        <v>118</v>
      </c>
      <c r="AN591" s="18"/>
      <c r="AO591" s="6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/>
      <c r="C592" s="34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1" t="s">
        <v>118</v>
      </c>
      <c r="AN592" s="18"/>
      <c r="AO592" s="6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/>
      <c r="C593" s="34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1" t="s">
        <v>118</v>
      </c>
      <c r="AN593" s="18"/>
      <c r="AO593" s="6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/>
      <c r="C594" s="34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1" t="s">
        <v>118</v>
      </c>
      <c r="AN594" s="18"/>
      <c r="AO594" s="6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6"/>
      <c r="BK594" s="6"/>
      <c r="BL594" s="6" t="s">
        <v>59</v>
      </c>
      <c r="BO594" s="15"/>
    </row>
    <row r="595" spans="1:67">
      <c r="A595" s="6" t="s">
        <v>132</v>
      </c>
      <c r="B595" s="6"/>
      <c r="C595" s="34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1" t="s">
        <v>118</v>
      </c>
      <c r="AN595" s="18"/>
      <c r="AO595" s="6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6"/>
      <c r="BK595" s="6"/>
      <c r="BL595" s="6" t="s">
        <v>59</v>
      </c>
      <c r="BO595" s="15"/>
    </row>
    <row r="596" spans="1:67">
      <c r="A596" s="6" t="s">
        <v>132</v>
      </c>
      <c r="B596" s="6"/>
      <c r="C596" s="34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1" t="s">
        <v>118</v>
      </c>
      <c r="AN596" s="18"/>
      <c r="AO596" s="6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6"/>
      <c r="BK596" s="6"/>
      <c r="BL596" s="6" t="s">
        <v>59</v>
      </c>
      <c r="BO596" s="15"/>
    </row>
    <row r="597" spans="1:67">
      <c r="A597" s="6" t="s">
        <v>132</v>
      </c>
      <c r="B597" s="6"/>
      <c r="C597" s="34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1" t="s">
        <v>118</v>
      </c>
      <c r="AN597" s="18"/>
      <c r="AO597" s="6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6"/>
      <c r="BK597" s="6"/>
      <c r="BL597" s="6" t="s">
        <v>59</v>
      </c>
      <c r="BO597" s="15"/>
    </row>
    <row r="598" spans="1:67">
      <c r="A598" s="6" t="s">
        <v>132</v>
      </c>
      <c r="B598" s="6"/>
      <c r="C598" s="34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1" t="s">
        <v>118</v>
      </c>
      <c r="AN598" s="18"/>
      <c r="AO598" s="6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6"/>
      <c r="BK598" s="6"/>
      <c r="BL598" s="6" t="s">
        <v>59</v>
      </c>
      <c r="BO598" s="15"/>
    </row>
    <row r="599" spans="1:67">
      <c r="A599" s="6" t="s">
        <v>132</v>
      </c>
      <c r="B599" s="6"/>
      <c r="C599" s="34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1" t="s">
        <v>118</v>
      </c>
      <c r="AN599" s="18"/>
      <c r="AO599" s="6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6"/>
      <c r="BK599" s="6"/>
      <c r="BL599" s="6" t="s">
        <v>59</v>
      </c>
      <c r="BO599" s="15"/>
    </row>
    <row r="600" spans="1:67">
      <c r="A600" s="6" t="s">
        <v>132</v>
      </c>
      <c r="B600" s="6"/>
      <c r="C600" s="34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1" t="s">
        <v>118</v>
      </c>
      <c r="AN600" s="18"/>
      <c r="AO600" s="6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6"/>
      <c r="BK600" s="6"/>
      <c r="BL600" s="6" t="s">
        <v>59</v>
      </c>
      <c r="BO600" s="15"/>
    </row>
    <row r="601" spans="1:67">
      <c r="A601" s="6" t="s">
        <v>132</v>
      </c>
      <c r="B601" s="6"/>
      <c r="C601" s="34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1" t="s">
        <v>118</v>
      </c>
      <c r="AN601" s="18"/>
      <c r="AO601" s="6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6"/>
      <c r="BK601" s="6"/>
      <c r="BL601" s="6" t="s">
        <v>59</v>
      </c>
      <c r="BO601" s="15"/>
    </row>
    <row r="602" spans="1:67">
      <c r="A602" s="6" t="s">
        <v>132</v>
      </c>
      <c r="B602" s="6"/>
      <c r="C602" s="34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1" t="s">
        <v>118</v>
      </c>
      <c r="AN602" s="18"/>
      <c r="AO602" s="6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/>
      <c r="C603" s="34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1" t="s">
        <v>118</v>
      </c>
      <c r="AN603" s="18"/>
      <c r="AO603" s="6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/>
      <c r="C604" s="34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1" t="s">
        <v>118</v>
      </c>
      <c r="AN604" s="18"/>
      <c r="AO604" s="6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/>
      <c r="C605" s="34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1" t="s">
        <v>118</v>
      </c>
      <c r="AN605" s="18"/>
      <c r="AO605" s="6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6"/>
      <c r="BK605" s="6"/>
      <c r="BL605" s="6" t="s">
        <v>59</v>
      </c>
      <c r="BO605" s="15"/>
    </row>
    <row r="606" spans="1:67">
      <c r="A606" s="6" t="s">
        <v>132</v>
      </c>
      <c r="B606" s="6"/>
      <c r="C606" s="34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1" t="s">
        <v>118</v>
      </c>
      <c r="AN606" s="18"/>
      <c r="AO606" s="6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/>
      <c r="C607" s="34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1" t="s">
        <v>118</v>
      </c>
      <c r="AN607" s="18"/>
      <c r="AO607" s="6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6"/>
      <c r="BK607" s="6"/>
      <c r="BL607" s="6" t="s">
        <v>59</v>
      </c>
      <c r="BO607" s="15"/>
    </row>
    <row r="608" spans="1:67">
      <c r="A608" s="6" t="s">
        <v>132</v>
      </c>
      <c r="B608" s="6"/>
      <c r="C608" s="34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1" t="s">
        <v>118</v>
      </c>
      <c r="AN608" s="18"/>
      <c r="AO608" s="6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6"/>
      <c r="BK608" s="6"/>
      <c r="BL608" s="6" t="s">
        <v>59</v>
      </c>
      <c r="BO608" s="15"/>
    </row>
    <row r="609" spans="1:67">
      <c r="A609" s="6" t="s">
        <v>132</v>
      </c>
      <c r="B609" s="6"/>
      <c r="C609" s="34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1" t="s">
        <v>118</v>
      </c>
      <c r="AN609" s="18"/>
      <c r="AO609" s="6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/>
      <c r="C610" s="34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1" t="s">
        <v>118</v>
      </c>
      <c r="AN610" s="18"/>
      <c r="AO610" s="6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6"/>
      <c r="BK610" s="6"/>
      <c r="BL610" s="6" t="s">
        <v>59</v>
      </c>
      <c r="BO610" s="15"/>
    </row>
    <row r="611" spans="1:67">
      <c r="A611" s="6" t="s">
        <v>132</v>
      </c>
      <c r="B611" s="6"/>
      <c r="C611" s="34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1" t="s">
        <v>118</v>
      </c>
      <c r="AN611" s="18"/>
      <c r="AO611" s="6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6"/>
      <c r="BK611" s="6"/>
      <c r="BL611" s="6" t="s">
        <v>59</v>
      </c>
      <c r="BO611" s="15"/>
    </row>
    <row r="612" spans="1:67">
      <c r="A612" s="6" t="s">
        <v>132</v>
      </c>
      <c r="B612" s="6"/>
      <c r="C612" s="34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1" t="s">
        <v>118</v>
      </c>
      <c r="AN612" s="18"/>
      <c r="AO612" s="6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/>
      <c r="C613" s="34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1" t="s">
        <v>118</v>
      </c>
      <c r="AN613" s="18"/>
      <c r="AO613" s="6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6"/>
      <c r="BK613" s="6"/>
      <c r="BL613" s="6" t="s">
        <v>59</v>
      </c>
      <c r="BO613" s="15"/>
    </row>
    <row r="614" spans="1:67">
      <c r="A614" s="6" t="s">
        <v>132</v>
      </c>
      <c r="B614" s="6"/>
      <c r="C614" s="34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1" t="s">
        <v>118</v>
      </c>
      <c r="AN614" s="18"/>
      <c r="AO614" s="6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6"/>
      <c r="BK614" s="6"/>
      <c r="BL614" s="6" t="s">
        <v>59</v>
      </c>
      <c r="BO614" s="15"/>
    </row>
    <row r="615" spans="1:67">
      <c r="A615" s="6" t="s">
        <v>132</v>
      </c>
      <c r="B615" s="6"/>
      <c r="C615" s="34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1" t="s">
        <v>118</v>
      </c>
      <c r="AN615" s="18"/>
      <c r="AO615" s="6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/>
      <c r="C616" s="34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1" t="s">
        <v>118</v>
      </c>
      <c r="AN616" s="18"/>
      <c r="AO616" s="6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6"/>
      <c r="BK616" s="6"/>
      <c r="BL616" s="6" t="s">
        <v>59</v>
      </c>
      <c r="BO616" s="15"/>
    </row>
    <row r="617" spans="1:67">
      <c r="A617" s="6" t="s">
        <v>132</v>
      </c>
      <c r="B617" s="6"/>
      <c r="C617" s="34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1" t="s">
        <v>118</v>
      </c>
      <c r="AN617" s="18"/>
      <c r="AO617" s="6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/>
      <c r="C618" s="34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1" t="s">
        <v>118</v>
      </c>
      <c r="AN618" s="18"/>
      <c r="AO618" s="6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/>
      <c r="C619" s="34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1" t="s">
        <v>118</v>
      </c>
      <c r="AN619" s="18"/>
      <c r="AO619" s="6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6"/>
      <c r="BK619" s="6"/>
      <c r="BL619" s="6" t="s">
        <v>59</v>
      </c>
      <c r="BO619" s="15"/>
    </row>
    <row r="620" spans="1:67">
      <c r="A620" s="6" t="s">
        <v>132</v>
      </c>
      <c r="B620" s="6"/>
      <c r="C620" s="34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1" t="s">
        <v>118</v>
      </c>
      <c r="AN620" s="18"/>
      <c r="AO620" s="6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/>
      <c r="C621" s="34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1" t="s">
        <v>118</v>
      </c>
      <c r="AN621" s="18"/>
      <c r="AO621" s="6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/>
      <c r="C622" s="34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1" t="s">
        <v>118</v>
      </c>
      <c r="AN622" s="18"/>
      <c r="AO622" s="6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6"/>
      <c r="BK622" s="6"/>
      <c r="BL622" s="6" t="s">
        <v>59</v>
      </c>
      <c r="BO622" s="15"/>
    </row>
    <row r="623" spans="1:67">
      <c r="A623" s="6" t="s">
        <v>132</v>
      </c>
      <c r="B623" s="6"/>
      <c r="C623" s="34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1" t="s">
        <v>118</v>
      </c>
      <c r="AN623" s="18"/>
      <c r="AO623" s="6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6"/>
      <c r="BK623" s="6"/>
      <c r="BL623" s="6" t="s">
        <v>59</v>
      </c>
      <c r="BO623" s="15"/>
    </row>
    <row r="624" spans="1:67">
      <c r="A624" s="6" t="s">
        <v>132</v>
      </c>
      <c r="B624" s="6"/>
      <c r="C624" s="34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1" t="s">
        <v>118</v>
      </c>
      <c r="AN624" s="18"/>
      <c r="AO624" s="6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/>
      <c r="C625" s="34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1" t="s">
        <v>118</v>
      </c>
      <c r="AN625" s="18"/>
      <c r="AO625" s="6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6"/>
      <c r="BK625" s="6"/>
      <c r="BL625" s="6" t="s">
        <v>59</v>
      </c>
      <c r="BO625" s="15"/>
    </row>
    <row r="626" spans="1:67">
      <c r="A626" s="6" t="s">
        <v>132</v>
      </c>
      <c r="B626" s="6"/>
      <c r="C626" s="34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1" t="s">
        <v>118</v>
      </c>
      <c r="AN626" s="18"/>
      <c r="AO626" s="6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6"/>
      <c r="BK626" s="6"/>
      <c r="BL626" s="6" t="s">
        <v>59</v>
      </c>
      <c r="BO626" s="15"/>
    </row>
    <row r="627" spans="1:67">
      <c r="A627" s="6" t="s">
        <v>132</v>
      </c>
      <c r="B627" s="6"/>
      <c r="C627" s="34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1" t="s">
        <v>118</v>
      </c>
      <c r="AN627" s="18"/>
      <c r="AO627" s="6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/>
      <c r="C628" s="34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1" t="s">
        <v>118</v>
      </c>
      <c r="AN628" s="18"/>
      <c r="AO628" s="6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6"/>
      <c r="BK628" s="6"/>
      <c r="BL628" s="6" t="s">
        <v>59</v>
      </c>
      <c r="BO628" s="15"/>
    </row>
    <row r="629" spans="1:67">
      <c r="A629" s="6" t="s">
        <v>132</v>
      </c>
      <c r="B629" s="6"/>
      <c r="C629" s="34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1" t="s">
        <v>118</v>
      </c>
      <c r="AN629" s="18"/>
      <c r="AO629" s="6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6"/>
      <c r="BK629" s="6"/>
      <c r="BL629" s="6" t="s">
        <v>59</v>
      </c>
      <c r="BO629" s="15"/>
    </row>
    <row r="630" spans="1:67">
      <c r="A630" s="6" t="s">
        <v>132</v>
      </c>
      <c r="B630" s="6"/>
      <c r="C630" s="34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1" t="s">
        <v>118</v>
      </c>
      <c r="AN630" s="18"/>
      <c r="AO630" s="6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/>
      <c r="C631" s="34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1" t="s">
        <v>118</v>
      </c>
      <c r="AN631" s="18"/>
      <c r="AO631" s="6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6"/>
      <c r="BK631" s="6"/>
      <c r="BL631" s="6" t="s">
        <v>59</v>
      </c>
      <c r="BO631" s="15"/>
    </row>
    <row r="632" spans="1:67">
      <c r="A632" s="6" t="s">
        <v>132</v>
      </c>
      <c r="B632" s="6"/>
      <c r="C632" s="34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1" t="s">
        <v>118</v>
      </c>
      <c r="AN632" s="18"/>
      <c r="AO632" s="6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6"/>
      <c r="BK632" s="6"/>
      <c r="BL632" s="6" t="s">
        <v>59</v>
      </c>
      <c r="BO632" s="15"/>
    </row>
    <row r="633" spans="1:67">
      <c r="A633" s="6" t="s">
        <v>132</v>
      </c>
      <c r="B633" s="6"/>
      <c r="C633" s="34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1" t="s">
        <v>118</v>
      </c>
      <c r="AN633" s="18"/>
      <c r="AO633" s="6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/>
      <c r="C634" s="34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1" t="s">
        <v>118</v>
      </c>
      <c r="AN634" s="18"/>
      <c r="AO634" s="6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/>
      <c r="C635" s="34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1" t="s">
        <v>118</v>
      </c>
      <c r="AN635" s="18"/>
      <c r="AO635" s="6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/>
      <c r="C636" s="34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1" t="s">
        <v>118</v>
      </c>
      <c r="AN636" s="18"/>
      <c r="AO636" s="6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/>
      <c r="C637" s="34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1" t="s">
        <v>118</v>
      </c>
      <c r="AN637" s="18"/>
      <c r="AO637" s="6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6"/>
      <c r="BK637" s="6"/>
      <c r="BL637" s="6" t="s">
        <v>59</v>
      </c>
      <c r="BO637" s="15"/>
    </row>
    <row r="638" spans="1:67">
      <c r="A638" s="6" t="s">
        <v>132</v>
      </c>
      <c r="B638" s="6"/>
      <c r="C638" s="34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1" t="s">
        <v>118</v>
      </c>
      <c r="AN638" s="18"/>
      <c r="AO638" s="6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6"/>
      <c r="BK638" s="6"/>
      <c r="BL638" s="6" t="s">
        <v>59</v>
      </c>
      <c r="BO638" s="15"/>
    </row>
    <row r="639" spans="1:67">
      <c r="A639" s="6" t="s">
        <v>132</v>
      </c>
      <c r="B639" s="6"/>
      <c r="C639" s="34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1" t="s">
        <v>118</v>
      </c>
      <c r="AN639" s="18"/>
      <c r="AO639" s="6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/>
      <c r="C640" s="34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1" t="s">
        <v>118</v>
      </c>
      <c r="AN640" s="18"/>
      <c r="AO640" s="6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6"/>
      <c r="BK640" s="6"/>
      <c r="BL640" s="6" t="s">
        <v>59</v>
      </c>
      <c r="BO640" s="15"/>
    </row>
    <row r="641" spans="1:67">
      <c r="A641" s="6" t="s">
        <v>132</v>
      </c>
      <c r="B641" s="6"/>
      <c r="C641" s="34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1" t="s">
        <v>118</v>
      </c>
      <c r="AN641" s="18"/>
      <c r="AO641" s="6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6"/>
      <c r="BK641" s="6"/>
      <c r="BL641" s="6" t="s">
        <v>59</v>
      </c>
      <c r="BO641" s="15"/>
    </row>
    <row r="642" spans="1:67">
      <c r="A642" s="6" t="s">
        <v>132</v>
      </c>
      <c r="B642" s="6"/>
      <c r="C642" s="34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1" t="s">
        <v>118</v>
      </c>
      <c r="AN642" s="18"/>
      <c r="AO642" s="6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/>
      <c r="C643" s="34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1" t="s">
        <v>118</v>
      </c>
      <c r="AN643" s="18"/>
      <c r="AO643" s="6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6"/>
      <c r="BK643" s="6"/>
      <c r="BL643" s="6" t="s">
        <v>59</v>
      </c>
      <c r="BO643" s="15"/>
    </row>
    <row r="644" spans="1:67">
      <c r="A644" s="6" t="s">
        <v>132</v>
      </c>
      <c r="B644" s="6"/>
      <c r="C644" s="34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1" t="s">
        <v>118</v>
      </c>
      <c r="AN644" s="18"/>
      <c r="AO644" s="6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6"/>
      <c r="BK644" s="6"/>
      <c r="BL644" s="6" t="s">
        <v>59</v>
      </c>
      <c r="BO644" s="15"/>
    </row>
    <row r="645" spans="1:67">
      <c r="A645" s="6" t="s">
        <v>132</v>
      </c>
      <c r="B645" s="6"/>
      <c r="C645" s="34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1" t="s">
        <v>118</v>
      </c>
      <c r="AN645" s="18"/>
      <c r="AO645" s="6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/>
      <c r="C646" s="34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1" t="s">
        <v>118</v>
      </c>
      <c r="AN646" s="18"/>
      <c r="AO646" s="6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6"/>
      <c r="BK646" s="6"/>
      <c r="BL646" s="6" t="s">
        <v>59</v>
      </c>
      <c r="BO646" s="15"/>
    </row>
    <row r="647" spans="1:67">
      <c r="A647" s="6" t="s">
        <v>132</v>
      </c>
      <c r="B647" s="6"/>
      <c r="C647" s="34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1" t="s">
        <v>118</v>
      </c>
      <c r="AN647" s="18"/>
      <c r="AO647" s="6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6"/>
      <c r="BK647" s="6"/>
      <c r="BL647" s="6" t="s">
        <v>59</v>
      </c>
      <c r="BO647" s="15"/>
    </row>
    <row r="648" spans="1:67">
      <c r="A648" s="6" t="s">
        <v>132</v>
      </c>
      <c r="B648" s="6"/>
      <c r="C648" s="34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1" t="s">
        <v>118</v>
      </c>
      <c r="AN648" s="18"/>
      <c r="AO648" s="6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/>
      <c r="C649" s="34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1" t="s">
        <v>118</v>
      </c>
      <c r="AN649" s="18"/>
      <c r="AO649" s="6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/>
      <c r="C650" s="34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1" t="s">
        <v>118</v>
      </c>
      <c r="AN650" s="18"/>
      <c r="AO650" s="6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/>
      <c r="C651" s="34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1" t="s">
        <v>118</v>
      </c>
      <c r="AN651" s="18"/>
      <c r="AO651" s="6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/>
      <c r="C652" s="34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1" t="s">
        <v>118</v>
      </c>
      <c r="AN652" s="18"/>
      <c r="AO652" s="6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6"/>
      <c r="BK652" s="6"/>
      <c r="BL652" s="6" t="s">
        <v>59</v>
      </c>
      <c r="BO652" s="15"/>
    </row>
    <row r="653" spans="1:67">
      <c r="A653" s="6" t="s">
        <v>132</v>
      </c>
      <c r="B653" s="6"/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1" t="s">
        <v>118</v>
      </c>
      <c r="AN653" s="18"/>
      <c r="AO653" s="6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6"/>
      <c r="BK653" s="6"/>
      <c r="BL653" s="6" t="s">
        <v>59</v>
      </c>
      <c r="BO653" s="15"/>
    </row>
    <row r="654" spans="1:67">
      <c r="A654" s="6" t="s">
        <v>132</v>
      </c>
      <c r="B654" s="6"/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1" t="s">
        <v>118</v>
      </c>
      <c r="AN654" s="18"/>
      <c r="AO654" s="6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6"/>
      <c r="BK654" s="6"/>
      <c r="BL654" s="6" t="s">
        <v>59</v>
      </c>
      <c r="BO654" s="15"/>
    </row>
    <row r="655" spans="1:67">
      <c r="A655" s="6" t="s">
        <v>132</v>
      </c>
      <c r="B655" s="6"/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1" t="s">
        <v>118</v>
      </c>
      <c r="AN655" s="18"/>
      <c r="AO655" s="6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6"/>
      <c r="BK655" s="6"/>
      <c r="BL655" s="6" t="s">
        <v>59</v>
      </c>
      <c r="BO655" s="15"/>
    </row>
    <row r="656" spans="1:67">
      <c r="A656" s="6" t="s">
        <v>132</v>
      </c>
      <c r="B656" s="6"/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1" t="s">
        <v>118</v>
      </c>
      <c r="AN656" s="18"/>
      <c r="AO656" s="6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/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1" t="s">
        <v>118</v>
      </c>
      <c r="AN657" s="18"/>
      <c r="AO657" s="6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6"/>
      <c r="BK657" s="6"/>
      <c r="BL657" s="6" t="s">
        <v>59</v>
      </c>
      <c r="BO657" s="15"/>
    </row>
    <row r="658" spans="1:67">
      <c r="A658" s="6" t="s">
        <v>132</v>
      </c>
      <c r="B658" s="6"/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1" t="s">
        <v>118</v>
      </c>
      <c r="AN658" s="18"/>
      <c r="AO658" s="6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6"/>
      <c r="BK658" s="6"/>
      <c r="BL658" s="6" t="s">
        <v>59</v>
      </c>
      <c r="BO658" s="15"/>
    </row>
    <row r="659" spans="1:67">
      <c r="A659" s="6" t="s">
        <v>132</v>
      </c>
      <c r="B659" s="6"/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1" t="s">
        <v>118</v>
      </c>
      <c r="AN659" s="18"/>
      <c r="AO659" s="6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6"/>
      <c r="BK659" s="6"/>
      <c r="BL659" s="6" t="s">
        <v>59</v>
      </c>
      <c r="BO659" s="15"/>
    </row>
    <row r="660" spans="1:67">
      <c r="A660" s="6" t="s">
        <v>132</v>
      </c>
      <c r="B660" s="6"/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1" t="s">
        <v>118</v>
      </c>
      <c r="AN660" s="18"/>
      <c r="AO660" s="6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/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1" t="s">
        <v>118</v>
      </c>
      <c r="AN661" s="18"/>
      <c r="AO661" s="6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6"/>
      <c r="BK661" s="6"/>
      <c r="BL661" s="6" t="s">
        <v>59</v>
      </c>
      <c r="BO661" s="15"/>
    </row>
    <row r="662" spans="1:67">
      <c r="A662" s="6" t="s">
        <v>132</v>
      </c>
      <c r="B662" s="6"/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1" t="s">
        <v>118</v>
      </c>
      <c r="AN662" s="18"/>
      <c r="AO662" s="6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6"/>
      <c r="BK662" s="6"/>
      <c r="BL662" s="6" t="s">
        <v>59</v>
      </c>
      <c r="BO662" s="15"/>
    </row>
    <row r="663" spans="1:67">
      <c r="A663" s="6" t="s">
        <v>132</v>
      </c>
      <c r="B663" s="6"/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1" t="s">
        <v>118</v>
      </c>
      <c r="AN663" s="18"/>
      <c r="AO663" s="6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6"/>
      <c r="BK663" s="6"/>
      <c r="BL663" s="6" t="s">
        <v>59</v>
      </c>
      <c r="BO663" s="15"/>
    </row>
    <row r="664" spans="1:67">
      <c r="A664" s="6" t="s">
        <v>132</v>
      </c>
      <c r="B664" s="6"/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1" t="s">
        <v>118</v>
      </c>
      <c r="AN664" s="18"/>
      <c r="AO664" s="6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6"/>
      <c r="BK664" s="6"/>
      <c r="BL664" s="6" t="s">
        <v>59</v>
      </c>
      <c r="BO664" s="15"/>
    </row>
    <row r="665" spans="1:67">
      <c r="A665" s="6" t="s">
        <v>132</v>
      </c>
      <c r="B665" s="6"/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1" t="s">
        <v>118</v>
      </c>
      <c r="AN665" s="18"/>
      <c r="AO665" s="6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/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1" t="s">
        <v>118</v>
      </c>
      <c r="AN666" s="18"/>
      <c r="AO666" s="6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6"/>
      <c r="BK666" s="6"/>
      <c r="BL666" s="6" t="s">
        <v>59</v>
      </c>
      <c r="BO666" s="15"/>
    </row>
    <row r="667" spans="1:67">
      <c r="A667" s="6" t="s">
        <v>132</v>
      </c>
      <c r="B667" s="6"/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1" t="s">
        <v>118</v>
      </c>
      <c r="AN667" s="18"/>
      <c r="AO667" s="6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6"/>
      <c r="BK667" s="6"/>
      <c r="BL667" s="6" t="s">
        <v>59</v>
      </c>
      <c r="BO667" s="15"/>
    </row>
    <row r="668" spans="1:67">
      <c r="A668" s="6" t="s">
        <v>132</v>
      </c>
      <c r="B668" s="6"/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1" t="s">
        <v>118</v>
      </c>
      <c r="AN668" s="18"/>
      <c r="AO668" s="6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6"/>
      <c r="BK668" s="6"/>
      <c r="BL668" s="6" t="s">
        <v>59</v>
      </c>
      <c r="BO668" s="15"/>
    </row>
    <row r="669" spans="1:67">
      <c r="A669" s="6" t="s">
        <v>132</v>
      </c>
      <c r="B669" s="6"/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1" t="s">
        <v>118</v>
      </c>
      <c r="AN669" s="18"/>
      <c r="AO669" s="6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6"/>
      <c r="BK669" s="6"/>
      <c r="BL669" s="6" t="s">
        <v>59</v>
      </c>
      <c r="BO669" s="15"/>
    </row>
    <row r="670" spans="1:67">
      <c r="A670" s="6" t="s">
        <v>132</v>
      </c>
      <c r="B670" s="6"/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1" t="s">
        <v>118</v>
      </c>
      <c r="AN670" s="18"/>
      <c r="AO670" s="6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/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1" t="s">
        <v>118</v>
      </c>
      <c r="AN671" s="18"/>
      <c r="AO671" s="6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6"/>
      <c r="BK671" s="6"/>
      <c r="BL671" s="6" t="s">
        <v>59</v>
      </c>
      <c r="BO671" s="15"/>
    </row>
    <row r="672" spans="1:67">
      <c r="A672" s="6" t="s">
        <v>132</v>
      </c>
      <c r="B672" s="6"/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1" t="s">
        <v>118</v>
      </c>
      <c r="AN672" s="18"/>
      <c r="AO672" s="6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/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1" t="s">
        <v>118</v>
      </c>
      <c r="AN673" s="18"/>
      <c r="AO673" s="6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6"/>
      <c r="BK673" s="6"/>
      <c r="BL673" s="6" t="s">
        <v>59</v>
      </c>
      <c r="BO673" s="15"/>
    </row>
    <row r="674" spans="1:67">
      <c r="A674" s="6" t="s">
        <v>132</v>
      </c>
      <c r="B674" s="6"/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1" t="s">
        <v>118</v>
      </c>
      <c r="AN674" s="18"/>
      <c r="AO674" s="6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6"/>
      <c r="BK674" s="6"/>
      <c r="BL674" s="6" t="s">
        <v>59</v>
      </c>
      <c r="BO674" s="15"/>
    </row>
    <row r="675" spans="1:67">
      <c r="A675" s="6" t="s">
        <v>132</v>
      </c>
      <c r="B675" s="6"/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1" t="s">
        <v>118</v>
      </c>
      <c r="AN675" s="18"/>
      <c r="AO675" s="6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6"/>
      <c r="BK675" s="6"/>
      <c r="BL675" s="6" t="s">
        <v>59</v>
      </c>
      <c r="BO675" s="15"/>
    </row>
    <row r="676" spans="1:67">
      <c r="A676" s="6" t="s">
        <v>132</v>
      </c>
      <c r="B676" s="6"/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1" t="s">
        <v>118</v>
      </c>
      <c r="AN676" s="18"/>
      <c r="AO676" s="6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/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1" t="s">
        <v>118</v>
      </c>
      <c r="AN677" s="18"/>
      <c r="AO677" s="6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6"/>
      <c r="BK677" s="6"/>
      <c r="BL677" s="6" t="s">
        <v>59</v>
      </c>
      <c r="BO677" s="15"/>
    </row>
    <row r="678" spans="1:67">
      <c r="A678" s="6" t="s">
        <v>132</v>
      </c>
      <c r="B678" s="6"/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1" t="s">
        <v>118</v>
      </c>
      <c r="AN678" s="18"/>
      <c r="AO678" s="6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/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1" t="s">
        <v>118</v>
      </c>
      <c r="AN679" s="18"/>
      <c r="AO679" s="6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/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1" t="s">
        <v>118</v>
      </c>
      <c r="AN680" s="18"/>
      <c r="AO680" s="6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6"/>
      <c r="BK680" s="6"/>
      <c r="BL680" s="6" t="s">
        <v>59</v>
      </c>
      <c r="BO680" s="15"/>
    </row>
    <row r="681" spans="1:67">
      <c r="A681" s="6" t="s">
        <v>132</v>
      </c>
      <c r="B681" s="6"/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1" t="s">
        <v>118</v>
      </c>
      <c r="AN681" s="18"/>
      <c r="AO681" s="6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/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1" t="s">
        <v>118</v>
      </c>
      <c r="AN682" s="18"/>
      <c r="AO682" s="6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/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1" t="s">
        <v>118</v>
      </c>
      <c r="AN683" s="18"/>
      <c r="AO683" s="6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/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1" t="s">
        <v>118</v>
      </c>
      <c r="AN684" s="18"/>
      <c r="AO684" s="6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/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1" t="s">
        <v>118</v>
      </c>
      <c r="AN685" s="18"/>
      <c r="AO685" s="6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/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1" t="s">
        <v>118</v>
      </c>
      <c r="AN686" s="18"/>
      <c r="AO686" s="6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/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1" t="s">
        <v>118</v>
      </c>
      <c r="AN687" s="18"/>
      <c r="AO687" s="6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/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1" t="s">
        <v>118</v>
      </c>
      <c r="AN688" s="18"/>
      <c r="AO688" s="6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/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1" t="s">
        <v>118</v>
      </c>
      <c r="AN689" s="18"/>
      <c r="AO689" s="6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/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1" t="s">
        <v>118</v>
      </c>
      <c r="AN690" s="18"/>
      <c r="AO690" s="6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/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1" t="s">
        <v>118</v>
      </c>
      <c r="AN691" s="18"/>
      <c r="AO691" s="6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/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1" t="s">
        <v>118</v>
      </c>
      <c r="AN692" s="18"/>
      <c r="AO692" s="6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/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1" t="s">
        <v>118</v>
      </c>
      <c r="AN693" s="18"/>
      <c r="AO693" s="6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6"/>
      <c r="BK693" s="6"/>
      <c r="BL693" s="6" t="s">
        <v>60</v>
      </c>
      <c r="BO693" s="15"/>
    </row>
    <row r="694" spans="1:67">
      <c r="A694" s="6" t="s">
        <v>129</v>
      </c>
      <c r="B694" s="6"/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1" t="s">
        <v>118</v>
      </c>
      <c r="AN694" s="18"/>
      <c r="AO694" s="6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/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1" t="s">
        <v>118</v>
      </c>
      <c r="AN695" s="18"/>
      <c r="AO695" s="6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/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1" t="s">
        <v>118</v>
      </c>
      <c r="AN696" s="18"/>
      <c r="AO696" s="6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/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1" t="s">
        <v>118</v>
      </c>
      <c r="AN697" s="18"/>
      <c r="AO697" s="6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/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1" t="s">
        <v>118</v>
      </c>
      <c r="AN698" s="18"/>
      <c r="AO698" s="6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/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1" t="s">
        <v>118</v>
      </c>
      <c r="AN699" s="18"/>
      <c r="AO699" s="6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/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1" t="s">
        <v>118</v>
      </c>
      <c r="AN700" s="18"/>
      <c r="AO700" s="6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6"/>
      <c r="BK700" s="6"/>
      <c r="BL700" s="6" t="s">
        <v>60</v>
      </c>
      <c r="BO700" s="15"/>
    </row>
    <row r="701" spans="1:67">
      <c r="A701" s="6" t="s">
        <v>129</v>
      </c>
      <c r="B701" s="6"/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1" t="s">
        <v>118</v>
      </c>
      <c r="AN701" s="18"/>
      <c r="AO701" s="6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6"/>
      <c r="BK701" s="6"/>
      <c r="BL701" s="6" t="s">
        <v>60</v>
      </c>
      <c r="BO701" s="15"/>
    </row>
    <row r="702" spans="1:67">
      <c r="A702" s="6" t="s">
        <v>129</v>
      </c>
      <c r="B702" s="6"/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1" t="s">
        <v>118</v>
      </c>
      <c r="AN702" s="18"/>
      <c r="AO702" s="6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6"/>
      <c r="BK702" s="6"/>
      <c r="BL702" s="6" t="s">
        <v>60</v>
      </c>
      <c r="BO702" s="15"/>
    </row>
    <row r="703" spans="1:67">
      <c r="A703" s="6" t="s">
        <v>129</v>
      </c>
      <c r="B703" s="6"/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1" t="s">
        <v>118</v>
      </c>
      <c r="AN703" s="18"/>
      <c r="AO703" s="6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/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1" t="s">
        <v>118</v>
      </c>
      <c r="AN704" s="18"/>
      <c r="AO704" s="6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/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1" t="s">
        <v>118</v>
      </c>
      <c r="AN705" s="18"/>
      <c r="AO705" s="6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/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1" t="s">
        <v>118</v>
      </c>
      <c r="AN706" s="18"/>
      <c r="AO706" s="6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/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1" t="s">
        <v>118</v>
      </c>
      <c r="AN707" s="18"/>
      <c r="AO707" s="6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/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1" t="s">
        <v>118</v>
      </c>
      <c r="AN708" s="18"/>
      <c r="AO708" s="6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6"/>
      <c r="BK708" s="6"/>
      <c r="BL708" s="6" t="s">
        <v>60</v>
      </c>
      <c r="BO708" s="15"/>
    </row>
    <row r="709" spans="1:67">
      <c r="A709" s="6" t="s">
        <v>129</v>
      </c>
      <c r="B709" s="6"/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1" t="s">
        <v>118</v>
      </c>
      <c r="AN709" s="18"/>
      <c r="AO709" s="6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6"/>
      <c r="BK709" s="6"/>
      <c r="BL709" s="6" t="s">
        <v>60</v>
      </c>
      <c r="BO709" s="15"/>
    </row>
    <row r="710" spans="1:67">
      <c r="A710" s="6" t="s">
        <v>129</v>
      </c>
      <c r="B710" s="6"/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1" t="s">
        <v>118</v>
      </c>
      <c r="AN710" s="18"/>
      <c r="AO710" s="6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6"/>
      <c r="BK710" s="6"/>
      <c r="BL710" s="6" t="s">
        <v>60</v>
      </c>
      <c r="BO710" s="15"/>
    </row>
    <row r="711" spans="1:67">
      <c r="A711" s="6" t="s">
        <v>129</v>
      </c>
      <c r="B711" s="6"/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1" t="s">
        <v>118</v>
      </c>
      <c r="AN711" s="18"/>
      <c r="AO711" s="6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6"/>
      <c r="BK711" s="6"/>
      <c r="BL711" s="6" t="s">
        <v>60</v>
      </c>
      <c r="BO711" s="15"/>
    </row>
    <row r="712" spans="1:67">
      <c r="A712" s="6" t="s">
        <v>129</v>
      </c>
      <c r="B712" s="6"/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1" t="s">
        <v>118</v>
      </c>
      <c r="AN712" s="18"/>
      <c r="AO712" s="6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6"/>
      <c r="BK712" s="6"/>
      <c r="BL712" s="6" t="s">
        <v>60</v>
      </c>
      <c r="BO712" s="15"/>
    </row>
    <row r="713" spans="1:67">
      <c r="A713" s="6" t="s">
        <v>129</v>
      </c>
      <c r="B713" s="6"/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1" t="s">
        <v>118</v>
      </c>
      <c r="AN713" s="18"/>
      <c r="AO713" s="6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6"/>
      <c r="BK713" s="6"/>
      <c r="BL713" s="6" t="s">
        <v>60</v>
      </c>
      <c r="BO713" s="15"/>
    </row>
    <row r="714" spans="1:67">
      <c r="A714" s="6" t="s">
        <v>129</v>
      </c>
      <c r="B714" s="6"/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1" t="s">
        <v>118</v>
      </c>
      <c r="AN714" s="18"/>
      <c r="AO714" s="6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6"/>
      <c r="BK714" s="6"/>
      <c r="BL714" s="6" t="s">
        <v>60</v>
      </c>
      <c r="BO714" s="15"/>
    </row>
    <row r="715" spans="1:67">
      <c r="A715" s="6" t="s">
        <v>129</v>
      </c>
      <c r="B715" s="6"/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1" t="s">
        <v>118</v>
      </c>
      <c r="AN715" s="18"/>
      <c r="AO715" s="6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6"/>
      <c r="BK715" s="6"/>
      <c r="BL715" s="6" t="s">
        <v>60</v>
      </c>
      <c r="BO715" s="15"/>
    </row>
    <row r="716" spans="1:67">
      <c r="A716" s="6" t="s">
        <v>129</v>
      </c>
      <c r="B716" s="6"/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1" t="s">
        <v>118</v>
      </c>
      <c r="AN716" s="18"/>
      <c r="AO716" s="6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6"/>
      <c r="BK716" s="6"/>
      <c r="BL716" s="6" t="s">
        <v>60</v>
      </c>
      <c r="BO716" s="15"/>
    </row>
    <row r="717" spans="1:67">
      <c r="A717" s="6" t="s">
        <v>129</v>
      </c>
      <c r="B717" s="6"/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1" t="s">
        <v>118</v>
      </c>
      <c r="AN717" s="18"/>
      <c r="AO717" s="6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6"/>
      <c r="BK717" s="6"/>
      <c r="BL717" s="6" t="s">
        <v>60</v>
      </c>
      <c r="BO717" s="15"/>
    </row>
    <row r="718" spans="1:67">
      <c r="A718" s="6" t="s">
        <v>129</v>
      </c>
      <c r="B718" s="6"/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1" t="s">
        <v>118</v>
      </c>
      <c r="AN718" s="18"/>
      <c r="AO718" s="6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6"/>
      <c r="BK718" s="6"/>
      <c r="BL718" s="6" t="s">
        <v>60</v>
      </c>
      <c r="BO718" s="15"/>
    </row>
    <row r="719" spans="1:67">
      <c r="A719" s="6" t="s">
        <v>129</v>
      </c>
      <c r="B719" s="6"/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1" t="s">
        <v>118</v>
      </c>
      <c r="AN719" s="18"/>
      <c r="AO719" s="6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6"/>
      <c r="BK719" s="6"/>
      <c r="BL719" s="6" t="s">
        <v>60</v>
      </c>
      <c r="BO719" s="15"/>
    </row>
    <row r="720" spans="1:67">
      <c r="A720" s="6" t="s">
        <v>129</v>
      </c>
      <c r="B720" s="6"/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1" t="s">
        <v>118</v>
      </c>
      <c r="AN720" s="18"/>
      <c r="AO720" s="6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6"/>
      <c r="BK720" s="6"/>
      <c r="BL720" s="6" t="s">
        <v>60</v>
      </c>
      <c r="BO720" s="15"/>
    </row>
    <row r="721" spans="1:67">
      <c r="A721" s="6" t="s">
        <v>129</v>
      </c>
      <c r="B721" s="6"/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1" t="s">
        <v>118</v>
      </c>
      <c r="AN721" s="18"/>
      <c r="AO721" s="6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6"/>
      <c r="BK721" s="6"/>
      <c r="BL721" s="6" t="s">
        <v>60</v>
      </c>
      <c r="BO721" s="15"/>
    </row>
    <row r="722" spans="1:67">
      <c r="A722" s="6" t="s">
        <v>129</v>
      </c>
      <c r="B722" s="6"/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1" t="s">
        <v>118</v>
      </c>
      <c r="AN722" s="18"/>
      <c r="AO722" s="6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6"/>
      <c r="BK722" s="6"/>
      <c r="BL722" s="6" t="s">
        <v>60</v>
      </c>
      <c r="BO722" s="15"/>
    </row>
    <row r="723" spans="1:67">
      <c r="A723" s="6" t="s">
        <v>129</v>
      </c>
      <c r="B723" s="6"/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1" t="s">
        <v>118</v>
      </c>
      <c r="AN723" s="18"/>
      <c r="AO723" s="6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6"/>
      <c r="BK723" s="6"/>
      <c r="BL723" s="6" t="s">
        <v>60</v>
      </c>
      <c r="BO723" s="15"/>
    </row>
    <row r="724" spans="1:67">
      <c r="A724" s="6" t="s">
        <v>129</v>
      </c>
      <c r="B724" s="6"/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1" t="s">
        <v>118</v>
      </c>
      <c r="AN724" s="18"/>
      <c r="AO724" s="6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6"/>
      <c r="BK724" s="6"/>
      <c r="BL724" s="6" t="s">
        <v>60</v>
      </c>
      <c r="BO724" s="15"/>
    </row>
    <row r="725" spans="1:67">
      <c r="A725" s="6" t="s">
        <v>129</v>
      </c>
      <c r="B725" s="6"/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1" t="s">
        <v>118</v>
      </c>
      <c r="AN725" s="18"/>
      <c r="AO725" s="6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6"/>
      <c r="BK725" s="6"/>
      <c r="BL725" s="6" t="s">
        <v>60</v>
      </c>
      <c r="BO725" s="15"/>
    </row>
    <row r="726" spans="1:67">
      <c r="A726" s="6" t="s">
        <v>129</v>
      </c>
      <c r="B726" s="6"/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1" t="s">
        <v>118</v>
      </c>
      <c r="AN726" s="18"/>
      <c r="AO726" s="6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6"/>
      <c r="BK726" s="6"/>
      <c r="BL726" s="6" t="s">
        <v>60</v>
      </c>
      <c r="BO726" s="15"/>
    </row>
    <row r="727" spans="1:67">
      <c r="A727" s="6" t="s">
        <v>129</v>
      </c>
      <c r="B727" s="6"/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1" t="s">
        <v>118</v>
      </c>
      <c r="AN727" s="18"/>
      <c r="AO727" s="6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6"/>
      <c r="BK727" s="6"/>
      <c r="BL727" s="6" t="s">
        <v>60</v>
      </c>
      <c r="BO727" s="15"/>
    </row>
    <row r="728" spans="1:67">
      <c r="A728" s="6" t="s">
        <v>130</v>
      </c>
      <c r="B728" s="6"/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1" t="s">
        <v>118</v>
      </c>
      <c r="AN728" s="18"/>
      <c r="AO728" s="6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6"/>
      <c r="BK728" s="6"/>
      <c r="BL728" s="6" t="s">
        <v>60</v>
      </c>
      <c r="BO728" s="15"/>
    </row>
    <row r="729" spans="1:67">
      <c r="A729" s="6" t="s">
        <v>130</v>
      </c>
      <c r="B729" s="6"/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1" t="s">
        <v>118</v>
      </c>
      <c r="AN729" s="18"/>
      <c r="AO729" s="6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6"/>
      <c r="BK729" s="6"/>
      <c r="BL729" s="6" t="s">
        <v>60</v>
      </c>
      <c r="BO729" s="15"/>
    </row>
    <row r="730" spans="1:67">
      <c r="A730" s="6" t="s">
        <v>130</v>
      </c>
      <c r="B730" s="6"/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1" t="s">
        <v>118</v>
      </c>
      <c r="AN730" s="18"/>
      <c r="AO730" s="6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6"/>
      <c r="BK730" s="6"/>
      <c r="BL730" s="6" t="s">
        <v>60</v>
      </c>
      <c r="BO730" s="15"/>
    </row>
    <row r="731" spans="1:67">
      <c r="A731" s="6" t="s">
        <v>130</v>
      </c>
      <c r="B731" s="6"/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1" t="s">
        <v>118</v>
      </c>
      <c r="AN731" s="18"/>
      <c r="AO731" s="6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/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1" t="s">
        <v>118</v>
      </c>
      <c r="AN732" s="18"/>
      <c r="AO732" s="6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/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1" t="s">
        <v>118</v>
      </c>
      <c r="AN733" s="18"/>
      <c r="AO733" s="6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6"/>
      <c r="BK733" s="6"/>
      <c r="BL733" s="6" t="s">
        <v>60</v>
      </c>
      <c r="BO733" s="15"/>
    </row>
    <row r="734" spans="1:67">
      <c r="A734" s="6" t="s">
        <v>130</v>
      </c>
      <c r="B734" s="6"/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1" t="s">
        <v>118</v>
      </c>
      <c r="AN734" s="18"/>
      <c r="AO734" s="6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/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1" t="s">
        <v>118</v>
      </c>
      <c r="AN735" s="18"/>
      <c r="AO735" s="6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/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1" t="s">
        <v>118</v>
      </c>
      <c r="AN736" s="18"/>
      <c r="AO736" s="6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6"/>
      <c r="BK736" s="6"/>
      <c r="BL736" s="6" t="s">
        <v>60</v>
      </c>
      <c r="BO736" s="15"/>
    </row>
    <row r="737" spans="1:67">
      <c r="A737" s="6" t="s">
        <v>130</v>
      </c>
      <c r="B737" s="6"/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1" t="s">
        <v>118</v>
      </c>
      <c r="AN737" s="18"/>
      <c r="AO737" s="6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6"/>
      <c r="BK737" s="6"/>
      <c r="BL737" s="6" t="s">
        <v>60</v>
      </c>
      <c r="BO737" s="15"/>
    </row>
    <row r="738" spans="1:67">
      <c r="A738" s="6" t="s">
        <v>130</v>
      </c>
      <c r="B738" s="6"/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1" t="s">
        <v>118</v>
      </c>
      <c r="AN738" s="18"/>
      <c r="AO738" s="6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6"/>
      <c r="BK738" s="6"/>
      <c r="BL738" s="6" t="s">
        <v>60</v>
      </c>
      <c r="BO738" s="15"/>
    </row>
    <row r="739" spans="1:67">
      <c r="A739" s="6" t="s">
        <v>130</v>
      </c>
      <c r="B739" s="6"/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1" t="s">
        <v>118</v>
      </c>
      <c r="AN739" s="18"/>
      <c r="AO739" s="6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6"/>
      <c r="BK739" s="6"/>
      <c r="BL739" s="6" t="s">
        <v>60</v>
      </c>
      <c r="BO739" s="15"/>
    </row>
    <row r="740" spans="1:67">
      <c r="A740" s="6" t="s">
        <v>130</v>
      </c>
      <c r="B740" s="6"/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1" t="s">
        <v>118</v>
      </c>
      <c r="AN740" s="18"/>
      <c r="AO740" s="6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/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1" t="s">
        <v>118</v>
      </c>
      <c r="AN741" s="18"/>
      <c r="AO741" s="6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6"/>
      <c r="BK741" s="6"/>
      <c r="BL741" s="6" t="s">
        <v>60</v>
      </c>
      <c r="BO741" s="15"/>
    </row>
    <row r="742" spans="1:67">
      <c r="A742" s="6" t="s">
        <v>130</v>
      </c>
      <c r="B742" s="6"/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1" t="s">
        <v>118</v>
      </c>
      <c r="AN742" s="18"/>
      <c r="AO742" s="6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6"/>
      <c r="BK742" s="6"/>
      <c r="BL742" s="6" t="s">
        <v>60</v>
      </c>
      <c r="BO742" s="15"/>
    </row>
    <row r="743" spans="1:67">
      <c r="A743" s="6" t="s">
        <v>130</v>
      </c>
      <c r="B743" s="6"/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1" t="s">
        <v>118</v>
      </c>
      <c r="AN743" s="18"/>
      <c r="AO743" s="6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6"/>
      <c r="BK743" s="6"/>
      <c r="BL743" s="6" t="s">
        <v>60</v>
      </c>
      <c r="BO743" s="15"/>
    </row>
    <row r="744" spans="1:67">
      <c r="A744" s="6" t="s">
        <v>130</v>
      </c>
      <c r="B744" s="6"/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1" t="s">
        <v>118</v>
      </c>
      <c r="AN744" s="18"/>
      <c r="AO744" s="6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6"/>
      <c r="BK744" s="6"/>
      <c r="BL744" s="6" t="s">
        <v>60</v>
      </c>
      <c r="BO744" s="15"/>
    </row>
    <row r="745" spans="1:67">
      <c r="A745" s="6" t="s">
        <v>130</v>
      </c>
      <c r="B745" s="6"/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1" t="s">
        <v>118</v>
      </c>
      <c r="AN745" s="18"/>
      <c r="AO745" s="6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6"/>
      <c r="BK745" s="6"/>
      <c r="BL745" s="6" t="s">
        <v>60</v>
      </c>
      <c r="BO745" s="15"/>
    </row>
    <row r="746" spans="1:67">
      <c r="A746" s="6" t="s">
        <v>130</v>
      </c>
      <c r="B746" s="6"/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1" t="s">
        <v>118</v>
      </c>
      <c r="AN746" s="18"/>
      <c r="AO746" s="6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6"/>
      <c r="BK746" s="6"/>
      <c r="BL746" s="6" t="s">
        <v>60</v>
      </c>
      <c r="BO746" s="15"/>
    </row>
    <row r="747" spans="1:67">
      <c r="A747" s="6" t="s">
        <v>130</v>
      </c>
      <c r="B747" s="6"/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1" t="s">
        <v>118</v>
      </c>
      <c r="AN747" s="18"/>
      <c r="AO747" s="6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6"/>
      <c r="BK747" s="6"/>
      <c r="BL747" s="6" t="s">
        <v>60</v>
      </c>
      <c r="BO747" s="15"/>
    </row>
    <row r="748" spans="1:67">
      <c r="A748" s="6" t="s">
        <v>130</v>
      </c>
      <c r="B748" s="6"/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1" t="s">
        <v>118</v>
      </c>
      <c r="AN748" s="18"/>
      <c r="AO748" s="6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6"/>
      <c r="BK748" s="6"/>
      <c r="BL748" s="6" t="s">
        <v>60</v>
      </c>
      <c r="BO748" s="15"/>
    </row>
    <row r="749" spans="1:67">
      <c r="A749" s="6" t="s">
        <v>130</v>
      </c>
      <c r="B749" s="6"/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1" t="s">
        <v>118</v>
      </c>
      <c r="AN749" s="18"/>
      <c r="AO749" s="6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/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1" t="s">
        <v>118</v>
      </c>
      <c r="AN750" s="18"/>
      <c r="AO750" s="6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6"/>
      <c r="BK750" s="6"/>
      <c r="BL750" s="6" t="s">
        <v>60</v>
      </c>
      <c r="BO750" s="15"/>
    </row>
    <row r="751" spans="1:67">
      <c r="A751" s="6" t="s">
        <v>130</v>
      </c>
      <c r="B751" s="6"/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1" t="s">
        <v>118</v>
      </c>
      <c r="AN751" s="18"/>
      <c r="AO751" s="6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6"/>
      <c r="BK751" s="6"/>
      <c r="BL751" s="6" t="s">
        <v>60</v>
      </c>
      <c r="BO751" s="15"/>
    </row>
    <row r="752" spans="1:67">
      <c r="A752" s="6" t="s">
        <v>130</v>
      </c>
      <c r="B752" s="6"/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1" t="s">
        <v>118</v>
      </c>
      <c r="AN752" s="18"/>
      <c r="AO752" s="6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6"/>
      <c r="BK752" s="6"/>
      <c r="BL752" s="6" t="s">
        <v>60</v>
      </c>
      <c r="BO752" s="15"/>
    </row>
    <row r="753" spans="1:67">
      <c r="A753" s="6" t="s">
        <v>130</v>
      </c>
      <c r="B753" s="6"/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1" t="s">
        <v>118</v>
      </c>
      <c r="AN753" s="18"/>
      <c r="AO753" s="6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6"/>
      <c r="BK753" s="6"/>
      <c r="BL753" s="6" t="s">
        <v>60</v>
      </c>
      <c r="BO753" s="15"/>
    </row>
    <row r="754" spans="1:67">
      <c r="A754" s="6" t="s">
        <v>130</v>
      </c>
      <c r="B754" s="6"/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1" t="s">
        <v>118</v>
      </c>
      <c r="AN754" s="18"/>
      <c r="AO754" s="6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6"/>
      <c r="BK754" s="6"/>
      <c r="BL754" s="6" t="s">
        <v>60</v>
      </c>
      <c r="BO754" s="15"/>
    </row>
    <row r="755" spans="1:67">
      <c r="A755" s="6" t="s">
        <v>130</v>
      </c>
      <c r="B755" s="6"/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1" t="s">
        <v>118</v>
      </c>
      <c r="AN755" s="18"/>
      <c r="AO755" s="6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6"/>
      <c r="BK755" s="6"/>
      <c r="BL755" s="6" t="s">
        <v>60</v>
      </c>
      <c r="BO755" s="15"/>
    </row>
    <row r="756" spans="1:67">
      <c r="A756" s="6" t="s">
        <v>130</v>
      </c>
      <c r="B756" s="6"/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1" t="s">
        <v>118</v>
      </c>
      <c r="AN756" s="18"/>
      <c r="AO756" s="6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6"/>
      <c r="BK756" s="6"/>
      <c r="BL756" s="6" t="s">
        <v>60</v>
      </c>
      <c r="BO756" s="15"/>
    </row>
    <row r="757" spans="1:67">
      <c r="A757" s="6" t="s">
        <v>130</v>
      </c>
      <c r="B757" s="6"/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1" t="s">
        <v>118</v>
      </c>
      <c r="AN757" s="18"/>
      <c r="AO757" s="6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/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1" t="s">
        <v>118</v>
      </c>
      <c r="AN758" s="18"/>
      <c r="AO758" s="6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6"/>
      <c r="BK758" s="6"/>
      <c r="BL758" s="6" t="s">
        <v>60</v>
      </c>
      <c r="BO758" s="15"/>
    </row>
    <row r="759" spans="1:67">
      <c r="A759" s="6" t="s">
        <v>130</v>
      </c>
      <c r="B759" s="6"/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1" t="s">
        <v>118</v>
      </c>
      <c r="AN759" s="18"/>
      <c r="AO759" s="6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6"/>
      <c r="BK759" s="6"/>
      <c r="BL759" s="6" t="s">
        <v>60</v>
      </c>
      <c r="BO759" s="15"/>
    </row>
    <row r="760" spans="1:67">
      <c r="A760" s="6" t="s">
        <v>130</v>
      </c>
      <c r="B760" s="6"/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1" t="s">
        <v>118</v>
      </c>
      <c r="AN760" s="18"/>
      <c r="AO760" s="6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6"/>
      <c r="BK760" s="6"/>
      <c r="BL760" s="6" t="s">
        <v>60</v>
      </c>
      <c r="BO760" s="15"/>
    </row>
    <row r="761" spans="1:67">
      <c r="A761" s="6" t="s">
        <v>130</v>
      </c>
      <c r="B761" s="6"/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1" t="s">
        <v>118</v>
      </c>
      <c r="AN761" s="18"/>
      <c r="AO761" s="6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6"/>
      <c r="BK761" s="6"/>
      <c r="BL761" s="6" t="s">
        <v>60</v>
      </c>
      <c r="BO761" s="15"/>
    </row>
    <row r="762" spans="1:67">
      <c r="A762" s="6" t="s">
        <v>130</v>
      </c>
      <c r="B762" s="6"/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1" t="s">
        <v>118</v>
      </c>
      <c r="AN762" s="18"/>
      <c r="AO762" s="6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6"/>
      <c r="BK762" s="6"/>
      <c r="BL762" s="6" t="s">
        <v>60</v>
      </c>
      <c r="BO762" s="15"/>
    </row>
    <row r="763" spans="1:67">
      <c r="A763" s="6" t="s">
        <v>130</v>
      </c>
      <c r="B763" s="6"/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1" t="s">
        <v>118</v>
      </c>
      <c r="AN763" s="18"/>
      <c r="AO763" s="6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6"/>
      <c r="BK763" s="6"/>
      <c r="BL763" s="6" t="s">
        <v>60</v>
      </c>
      <c r="BO763" s="15"/>
    </row>
    <row r="764" spans="1:67">
      <c r="A764" s="6" t="s">
        <v>130</v>
      </c>
      <c r="B764" s="6"/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1" t="s">
        <v>118</v>
      </c>
      <c r="AN764" s="18"/>
      <c r="AO764" s="6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6"/>
      <c r="BK764" s="6"/>
      <c r="BL764" s="6" t="s">
        <v>60</v>
      </c>
      <c r="BO764" s="15"/>
    </row>
    <row r="765" spans="1:67">
      <c r="A765" s="6" t="s">
        <v>131</v>
      </c>
      <c r="B765" s="6"/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1" t="s">
        <v>118</v>
      </c>
      <c r="AN765" s="18"/>
      <c r="AO765" s="6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6"/>
      <c r="BK765" s="6"/>
      <c r="BL765" s="6" t="s">
        <v>60</v>
      </c>
      <c r="BO765" s="15"/>
    </row>
    <row r="766" spans="1:67">
      <c r="A766" s="6" t="s">
        <v>131</v>
      </c>
      <c r="B766" s="6"/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1" t="s">
        <v>118</v>
      </c>
      <c r="AN766" s="18"/>
      <c r="AO766" s="6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6"/>
      <c r="BK766" s="6"/>
      <c r="BL766" s="6" t="s">
        <v>60</v>
      </c>
      <c r="BO766" s="15"/>
    </row>
    <row r="767" spans="1:67">
      <c r="A767" s="6" t="s">
        <v>131</v>
      </c>
      <c r="B767" s="6"/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1" t="s">
        <v>118</v>
      </c>
      <c r="AN767" s="18"/>
      <c r="AO767" s="6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6"/>
      <c r="BK767" s="6"/>
      <c r="BL767" s="6" t="s">
        <v>60</v>
      </c>
      <c r="BO767" s="15"/>
    </row>
    <row r="768" spans="1:67">
      <c r="A768" s="6" t="s">
        <v>131</v>
      </c>
      <c r="B768" s="6"/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1" t="s">
        <v>118</v>
      </c>
      <c r="AN768" s="18"/>
      <c r="AO768" s="6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/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1" t="s">
        <v>118</v>
      </c>
      <c r="AN769" s="18"/>
      <c r="AO769" s="6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6"/>
      <c r="BK769" s="6"/>
      <c r="BL769" s="6" t="s">
        <v>60</v>
      </c>
      <c r="BO769" s="15"/>
    </row>
    <row r="770" spans="1:67">
      <c r="A770" s="6" t="s">
        <v>131</v>
      </c>
      <c r="B770" s="6"/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1" t="s">
        <v>118</v>
      </c>
      <c r="AN770" s="18"/>
      <c r="AO770" s="6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6"/>
      <c r="BK770" s="6"/>
      <c r="BL770" s="6" t="s">
        <v>60</v>
      </c>
      <c r="BO770" s="15"/>
    </row>
    <row r="771" spans="1:67">
      <c r="A771" s="6" t="s">
        <v>131</v>
      </c>
      <c r="B771" s="6"/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1" t="s">
        <v>118</v>
      </c>
      <c r="AN771" s="18"/>
      <c r="AO771" s="6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6"/>
      <c r="BK771" s="6"/>
      <c r="BL771" s="6" t="s">
        <v>60</v>
      </c>
      <c r="BO771" s="15"/>
    </row>
    <row r="772" spans="1:67">
      <c r="A772" s="6" t="s">
        <v>131</v>
      </c>
      <c r="B772" s="6"/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1" t="s">
        <v>118</v>
      </c>
      <c r="AN772" s="18"/>
      <c r="AO772" s="6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/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1" t="s">
        <v>118</v>
      </c>
      <c r="AN773" s="18"/>
      <c r="AO773" s="6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/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1" t="s">
        <v>118</v>
      </c>
      <c r="AN774" s="18"/>
      <c r="AO774" s="6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6"/>
      <c r="BK774" s="6"/>
      <c r="BL774" s="6" t="s">
        <v>60</v>
      </c>
      <c r="BO774" s="15"/>
    </row>
    <row r="775" spans="1:67">
      <c r="A775" s="6" t="s">
        <v>131</v>
      </c>
      <c r="B775" s="6"/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1" t="s">
        <v>118</v>
      </c>
      <c r="AN775" s="18"/>
      <c r="AO775" s="6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6"/>
      <c r="BK775" s="6"/>
      <c r="BL775" s="6" t="s">
        <v>60</v>
      </c>
      <c r="BO775" s="15"/>
    </row>
    <row r="776" spans="1:67">
      <c r="A776" s="6" t="s">
        <v>131</v>
      </c>
      <c r="B776" s="6"/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1" t="s">
        <v>118</v>
      </c>
      <c r="AN776" s="18"/>
      <c r="AO776" s="6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/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1" t="s">
        <v>118</v>
      </c>
      <c r="AN777" s="18"/>
      <c r="AO777" s="6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/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1" t="s">
        <v>118</v>
      </c>
      <c r="AN778" s="18"/>
      <c r="AO778" s="6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6"/>
      <c r="BK778" s="6"/>
      <c r="BL778" s="6" t="s">
        <v>60</v>
      </c>
      <c r="BO778" s="15"/>
    </row>
    <row r="779" spans="1:67">
      <c r="A779" s="6" t="s">
        <v>131</v>
      </c>
      <c r="B779" s="6"/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1" t="s">
        <v>118</v>
      </c>
      <c r="AN779" s="18"/>
      <c r="AO779" s="6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6"/>
      <c r="BK779" s="6"/>
      <c r="BL779" s="6" t="s">
        <v>60</v>
      </c>
      <c r="BO779" s="15"/>
    </row>
    <row r="780" spans="1:67">
      <c r="A780" s="6" t="s">
        <v>131</v>
      </c>
      <c r="B780" s="6"/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1" t="s">
        <v>118</v>
      </c>
      <c r="AN780" s="18"/>
      <c r="AO780" s="6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6"/>
      <c r="BK780" s="6"/>
      <c r="BL780" s="6" t="s">
        <v>60</v>
      </c>
      <c r="BO780" s="15"/>
    </row>
    <row r="781" spans="1:67">
      <c r="A781" s="6" t="s">
        <v>131</v>
      </c>
      <c r="B781" s="6"/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1" t="s">
        <v>118</v>
      </c>
      <c r="AN781" s="18"/>
      <c r="AO781" s="6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/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1" t="s">
        <v>118</v>
      </c>
      <c r="AN782" s="18"/>
      <c r="AO782" s="6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6"/>
      <c r="BK782" s="6"/>
      <c r="BL782" s="6" t="s">
        <v>60</v>
      </c>
      <c r="BO782" s="15"/>
    </row>
    <row r="783" spans="1:67">
      <c r="A783" s="6" t="s">
        <v>131</v>
      </c>
      <c r="B783" s="6"/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1" t="s">
        <v>118</v>
      </c>
      <c r="AN783" s="18"/>
      <c r="AO783" s="6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6"/>
      <c r="BK783" s="6"/>
      <c r="BL783" s="6" t="s">
        <v>60</v>
      </c>
      <c r="BO783" s="15"/>
    </row>
    <row r="784" spans="1:67">
      <c r="A784" s="6" t="s">
        <v>131</v>
      </c>
      <c r="B784" s="6"/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1" t="s">
        <v>118</v>
      </c>
      <c r="AN784" s="18"/>
      <c r="AO784" s="6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6"/>
      <c r="BK784" s="6"/>
      <c r="BL784" s="6" t="s">
        <v>60</v>
      </c>
      <c r="BO784" s="15"/>
    </row>
    <row r="785" spans="1:67">
      <c r="A785" s="6" t="s">
        <v>131</v>
      </c>
      <c r="B785" s="6"/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1" t="s">
        <v>118</v>
      </c>
      <c r="AN785" s="18"/>
      <c r="AO785" s="6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6"/>
      <c r="BK785" s="6"/>
      <c r="BL785" s="6" t="s">
        <v>60</v>
      </c>
      <c r="BO785" s="15"/>
    </row>
    <row r="786" spans="1:67">
      <c r="A786" s="6" t="s">
        <v>131</v>
      </c>
      <c r="B786" s="6"/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1" t="s">
        <v>118</v>
      </c>
      <c r="AN786" s="18"/>
      <c r="AO786" s="6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6"/>
      <c r="BK786" s="6"/>
      <c r="BL786" s="6" t="s">
        <v>60</v>
      </c>
      <c r="BO786" s="15"/>
    </row>
    <row r="787" spans="1:67">
      <c r="A787" s="6" t="s">
        <v>131</v>
      </c>
      <c r="B787" s="6"/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1" t="s">
        <v>118</v>
      </c>
      <c r="AN787" s="18"/>
      <c r="AO787" s="6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6"/>
      <c r="BK787" s="6"/>
      <c r="BL787" s="6" t="s">
        <v>60</v>
      </c>
      <c r="BO787" s="15"/>
    </row>
    <row r="788" spans="1:67">
      <c r="A788" s="6" t="s">
        <v>131</v>
      </c>
      <c r="B788" s="6"/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1" t="s">
        <v>118</v>
      </c>
      <c r="AN788" s="18"/>
      <c r="AO788" s="6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6"/>
      <c r="BK788" s="6"/>
      <c r="BL788" s="6" t="s">
        <v>60</v>
      </c>
      <c r="BO788" s="15"/>
    </row>
    <row r="789" spans="1:67">
      <c r="A789" s="6" t="s">
        <v>131</v>
      </c>
      <c r="B789" s="6"/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1" t="s">
        <v>118</v>
      </c>
      <c r="AN789" s="18"/>
      <c r="AO789" s="6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6"/>
      <c r="BK789" s="6"/>
      <c r="BL789" s="6" t="s">
        <v>60</v>
      </c>
      <c r="BO789" s="15"/>
    </row>
    <row r="790" spans="1:67">
      <c r="A790" s="6" t="s">
        <v>131</v>
      </c>
      <c r="B790" s="6"/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1" t="s">
        <v>118</v>
      </c>
      <c r="AN790" s="18"/>
      <c r="AO790" s="6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6"/>
      <c r="BK790" s="6"/>
      <c r="BL790" s="6" t="s">
        <v>60</v>
      </c>
      <c r="BO790" s="15"/>
    </row>
    <row r="791" spans="1:67">
      <c r="A791" s="6" t="s">
        <v>131</v>
      </c>
      <c r="B791" s="6"/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1" t="s">
        <v>118</v>
      </c>
      <c r="AN791" s="18"/>
      <c r="AO791" s="6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6"/>
      <c r="BK791" s="6"/>
      <c r="BL791" s="6" t="s">
        <v>60</v>
      </c>
      <c r="BO791" s="15"/>
    </row>
    <row r="792" spans="1:67">
      <c r="A792" s="6" t="s">
        <v>131</v>
      </c>
      <c r="B792" s="6"/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1" t="s">
        <v>118</v>
      </c>
      <c r="AN792" s="18"/>
      <c r="AO792" s="6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/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1" t="s">
        <v>118</v>
      </c>
      <c r="AN793" s="18"/>
      <c r="AO793" s="6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6"/>
      <c r="BK793" s="6"/>
      <c r="BL793" s="6" t="s">
        <v>60</v>
      </c>
      <c r="BO793" s="15"/>
    </row>
    <row r="794" spans="1:67">
      <c r="A794" s="6" t="s">
        <v>131</v>
      </c>
      <c r="B794" s="6"/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1" t="s">
        <v>118</v>
      </c>
      <c r="AN794" s="18"/>
      <c r="AO794" s="6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6"/>
      <c r="BK794" s="6"/>
      <c r="BL794" s="6" t="s">
        <v>60</v>
      </c>
      <c r="BO794" s="15"/>
    </row>
    <row r="795" spans="1:67">
      <c r="A795" s="6" t="s">
        <v>131</v>
      </c>
      <c r="B795" s="6"/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1" t="s">
        <v>118</v>
      </c>
      <c r="AN795" s="18"/>
      <c r="AO795" s="6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6"/>
      <c r="BK795" s="6"/>
      <c r="BL795" s="6" t="s">
        <v>60</v>
      </c>
      <c r="BO795" s="15"/>
    </row>
    <row r="796" spans="1:67">
      <c r="A796" s="6" t="s">
        <v>131</v>
      </c>
      <c r="B796" s="6"/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1" t="s">
        <v>118</v>
      </c>
      <c r="AN796" s="18"/>
      <c r="AO796" s="6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6"/>
      <c r="BK796" s="6"/>
      <c r="BL796" s="6" t="s">
        <v>60</v>
      </c>
      <c r="BO796" s="15"/>
    </row>
    <row r="797" spans="1:67">
      <c r="A797" s="6" t="s">
        <v>131</v>
      </c>
      <c r="B797" s="6"/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1" t="s">
        <v>118</v>
      </c>
      <c r="AN797" s="18"/>
      <c r="AO797" s="6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6"/>
      <c r="BK797" s="6"/>
      <c r="BL797" s="6" t="s">
        <v>60</v>
      </c>
      <c r="BO797" s="15"/>
    </row>
    <row r="798" spans="1:67">
      <c r="A798" s="6" t="s">
        <v>131</v>
      </c>
      <c r="B798" s="6"/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1" t="s">
        <v>118</v>
      </c>
      <c r="AN798" s="18"/>
      <c r="AO798" s="6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6"/>
      <c r="BK798" s="6"/>
      <c r="BL798" s="6" t="s">
        <v>60</v>
      </c>
      <c r="BO798" s="15"/>
    </row>
    <row r="799" spans="1:67">
      <c r="A799" s="6" t="s">
        <v>131</v>
      </c>
      <c r="B799" s="6"/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1" t="s">
        <v>118</v>
      </c>
      <c r="AN799" s="18"/>
      <c r="AO799" s="6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6"/>
      <c r="BK799" s="6"/>
      <c r="BL799" s="6" t="s">
        <v>60</v>
      </c>
      <c r="BO799" s="15"/>
    </row>
    <row r="800" spans="1:67">
      <c r="A800" s="6" t="s">
        <v>131</v>
      </c>
      <c r="B800" s="6"/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1" t="s">
        <v>118</v>
      </c>
      <c r="AN800" s="18"/>
      <c r="AO800" s="6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6"/>
      <c r="BK800" s="6"/>
      <c r="BL800" s="6" t="s">
        <v>60</v>
      </c>
      <c r="BO800" s="15"/>
    </row>
    <row r="801" spans="1:67">
      <c r="A801" s="6" t="s">
        <v>131</v>
      </c>
      <c r="B801" s="6"/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1" t="s">
        <v>118</v>
      </c>
      <c r="AN801" s="18"/>
      <c r="AO801" s="6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/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1" t="s">
        <v>118</v>
      </c>
      <c r="AN802" s="18"/>
      <c r="AO802" s="6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6"/>
      <c r="BK802" s="6"/>
      <c r="BL802" s="6" t="s">
        <v>60</v>
      </c>
      <c r="BO802" s="15"/>
    </row>
    <row r="803" spans="1:67">
      <c r="A803" s="6" t="s">
        <v>132</v>
      </c>
      <c r="B803" s="6"/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1" t="s">
        <v>118</v>
      </c>
      <c r="AN803" s="18"/>
      <c r="AO803" s="6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6"/>
      <c r="BK803" s="6"/>
      <c r="BL803" s="6" t="s">
        <v>60</v>
      </c>
      <c r="BO803" s="15"/>
    </row>
    <row r="804" spans="1:67">
      <c r="A804" s="6" t="s">
        <v>132</v>
      </c>
      <c r="B804" s="6"/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1" t="s">
        <v>118</v>
      </c>
      <c r="AN804" s="18"/>
      <c r="AO804" s="6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6"/>
      <c r="BK804" s="6"/>
      <c r="BL804" s="6" t="s">
        <v>60</v>
      </c>
      <c r="BO804" s="15"/>
    </row>
    <row r="805" spans="1:67">
      <c r="A805" s="6" t="s">
        <v>132</v>
      </c>
      <c r="B805" s="6"/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1" t="s">
        <v>118</v>
      </c>
      <c r="AN805" s="18"/>
      <c r="AO805" s="6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6"/>
      <c r="BK805" s="6"/>
      <c r="BL805" s="6" t="s">
        <v>60</v>
      </c>
      <c r="BO805" s="15"/>
    </row>
    <row r="806" spans="1:67">
      <c r="A806" s="6" t="s">
        <v>132</v>
      </c>
      <c r="B806" s="6"/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1" t="s">
        <v>118</v>
      </c>
      <c r="AN806" s="18"/>
      <c r="AO806" s="6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6"/>
      <c r="BK806" s="6"/>
      <c r="BL806" s="6" t="s">
        <v>60</v>
      </c>
      <c r="BO806" s="15"/>
    </row>
    <row r="807" spans="1:67">
      <c r="A807" s="6" t="s">
        <v>132</v>
      </c>
      <c r="B807" s="6"/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1" t="s">
        <v>118</v>
      </c>
      <c r="AN807" s="18"/>
      <c r="AO807" s="6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6"/>
      <c r="BK807" s="6"/>
      <c r="BL807" s="6" t="s">
        <v>60</v>
      </c>
      <c r="BO807" s="15"/>
    </row>
    <row r="808" spans="1:67">
      <c r="A808" s="6" t="s">
        <v>132</v>
      </c>
      <c r="B808" s="6"/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1" t="s">
        <v>118</v>
      </c>
      <c r="AN808" s="18"/>
      <c r="AO808" s="6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6"/>
      <c r="BK808" s="6"/>
      <c r="BL808" s="6" t="s">
        <v>60</v>
      </c>
      <c r="BO808" s="15"/>
    </row>
    <row r="809" spans="1:67">
      <c r="A809" s="6" t="s">
        <v>132</v>
      </c>
      <c r="B809" s="6"/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1" t="s">
        <v>118</v>
      </c>
      <c r="AN809" s="18"/>
      <c r="AO809" s="6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6"/>
      <c r="BK809" s="6"/>
      <c r="BL809" s="6" t="s">
        <v>60</v>
      </c>
      <c r="BO809" s="15"/>
    </row>
    <row r="810" spans="1:67">
      <c r="A810" s="6" t="s">
        <v>132</v>
      </c>
      <c r="B810" s="6"/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1" t="s">
        <v>118</v>
      </c>
      <c r="AN810" s="18"/>
      <c r="AO810" s="6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6"/>
      <c r="BK810" s="6"/>
      <c r="BL810" s="6" t="s">
        <v>60</v>
      </c>
      <c r="BO810" s="15"/>
    </row>
    <row r="811" spans="1:67">
      <c r="A811" s="6" t="s">
        <v>132</v>
      </c>
      <c r="B811" s="6"/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1" t="s">
        <v>118</v>
      </c>
      <c r="AN811" s="18"/>
      <c r="AO811" s="6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6"/>
      <c r="BK811" s="6"/>
      <c r="BL811" s="6" t="s">
        <v>60</v>
      </c>
      <c r="BO811" s="15"/>
    </row>
    <row r="812" spans="1:67">
      <c r="A812" s="6" t="s">
        <v>132</v>
      </c>
      <c r="B812" s="6"/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1" t="s">
        <v>118</v>
      </c>
      <c r="AN812" s="18"/>
      <c r="AO812" s="6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/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1" t="s">
        <v>118</v>
      </c>
      <c r="AN813" s="18"/>
      <c r="AO813" s="6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6"/>
      <c r="BK813" s="6"/>
      <c r="BL813" s="6" t="s">
        <v>60</v>
      </c>
      <c r="BO813" s="15"/>
    </row>
    <row r="814" spans="1:67">
      <c r="A814" s="6" t="s">
        <v>132</v>
      </c>
      <c r="B814" s="6"/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1" t="s">
        <v>118</v>
      </c>
      <c r="AN814" s="18"/>
      <c r="AO814" s="6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6"/>
      <c r="BK814" s="6"/>
      <c r="BL814" s="6" t="s">
        <v>60</v>
      </c>
      <c r="BO814" s="15"/>
    </row>
    <row r="815" spans="1:67">
      <c r="A815" s="6" t="s">
        <v>132</v>
      </c>
      <c r="B815" s="6"/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1" t="s">
        <v>118</v>
      </c>
      <c r="AN815" s="18"/>
      <c r="AO815" s="6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6"/>
      <c r="BK815" s="6"/>
      <c r="BL815" s="6" t="s">
        <v>60</v>
      </c>
      <c r="BO815" s="15"/>
    </row>
    <row r="816" spans="1:67">
      <c r="A816" s="6" t="s">
        <v>132</v>
      </c>
      <c r="B816" s="6"/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1" t="s">
        <v>118</v>
      </c>
      <c r="AN816" s="18"/>
      <c r="AO816" s="6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/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1" t="s">
        <v>118</v>
      </c>
      <c r="AN817" s="18"/>
      <c r="AO817" s="6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/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1" t="s">
        <v>118</v>
      </c>
      <c r="AN818" s="18"/>
      <c r="AO818" s="6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6"/>
      <c r="BK818" s="6"/>
      <c r="BL818" s="6" t="s">
        <v>60</v>
      </c>
      <c r="BO818" s="15"/>
    </row>
    <row r="819" spans="1:67">
      <c r="A819" s="6" t="s">
        <v>132</v>
      </c>
      <c r="B819" s="6"/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1" t="s">
        <v>118</v>
      </c>
      <c r="AN819" s="18"/>
      <c r="AO819" s="6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6"/>
      <c r="BK819" s="6"/>
      <c r="BL819" s="6" t="s">
        <v>60</v>
      </c>
      <c r="BO819" s="15"/>
    </row>
    <row r="820" spans="1:67">
      <c r="A820" s="6" t="s">
        <v>132</v>
      </c>
      <c r="B820" s="6"/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1" t="s">
        <v>118</v>
      </c>
      <c r="AN820" s="18"/>
      <c r="AO820" s="6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/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1" t="s">
        <v>118</v>
      </c>
      <c r="AN821" s="18"/>
      <c r="AO821" s="6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/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1" t="s">
        <v>118</v>
      </c>
      <c r="AN822" s="18"/>
      <c r="AO822" s="6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6"/>
      <c r="BK822" s="6"/>
      <c r="BL822" s="6" t="s">
        <v>60</v>
      </c>
      <c r="BO822" s="15"/>
    </row>
    <row r="823" spans="1:67">
      <c r="A823" s="6" t="s">
        <v>132</v>
      </c>
      <c r="B823" s="6"/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1" t="s">
        <v>118</v>
      </c>
      <c r="AN823" s="18"/>
      <c r="AO823" s="6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6"/>
      <c r="BK823" s="6"/>
      <c r="BL823" s="6" t="s">
        <v>60</v>
      </c>
      <c r="BO823" s="15"/>
    </row>
    <row r="824" spans="1:67">
      <c r="A824" s="6" t="s">
        <v>132</v>
      </c>
      <c r="B824" s="6"/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1" t="s">
        <v>118</v>
      </c>
      <c r="AN824" s="18"/>
      <c r="AO824" s="6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6"/>
      <c r="BK824" s="6"/>
      <c r="BL824" s="6" t="s">
        <v>60</v>
      </c>
      <c r="BO824" s="15"/>
    </row>
    <row r="825" spans="1:67">
      <c r="A825" s="6" t="s">
        <v>132</v>
      </c>
      <c r="B825" s="6"/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1" t="s">
        <v>118</v>
      </c>
      <c r="AN825" s="18"/>
      <c r="AO825" s="6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/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1" t="s">
        <v>118</v>
      </c>
      <c r="AN826" s="18"/>
      <c r="AO826" s="6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6"/>
      <c r="BK826" s="6"/>
      <c r="BL826" s="6" t="s">
        <v>60</v>
      </c>
      <c r="BO826" s="15"/>
    </row>
    <row r="827" spans="1:67">
      <c r="A827" s="6" t="s">
        <v>132</v>
      </c>
      <c r="B827" s="6"/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1" t="s">
        <v>118</v>
      </c>
      <c r="AN827" s="18"/>
      <c r="AO827" s="6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6"/>
      <c r="BK827" s="6"/>
      <c r="BL827" s="6" t="s">
        <v>60</v>
      </c>
      <c r="BO827" s="15"/>
    </row>
    <row r="828" spans="1:67">
      <c r="A828" s="6" t="s">
        <v>132</v>
      </c>
      <c r="B828" s="6"/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1" t="s">
        <v>118</v>
      </c>
      <c r="AN828" s="18"/>
      <c r="AO828" s="6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6"/>
      <c r="BK828" s="6"/>
      <c r="BL828" s="6" t="s">
        <v>60</v>
      </c>
      <c r="BO828" s="15"/>
    </row>
    <row r="829" spans="1:67">
      <c r="A829" s="6" t="s">
        <v>132</v>
      </c>
      <c r="B829" s="6"/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1" t="s">
        <v>118</v>
      </c>
      <c r="AN829" s="18"/>
      <c r="AO829" s="6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6"/>
      <c r="BK829" s="6"/>
      <c r="BL829" s="6" t="s">
        <v>60</v>
      </c>
      <c r="BO829" s="15"/>
    </row>
    <row r="830" spans="1:67">
      <c r="A830" s="6" t="s">
        <v>132</v>
      </c>
      <c r="B830" s="6"/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1" t="s">
        <v>118</v>
      </c>
      <c r="AN830" s="18"/>
      <c r="AO830" s="6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6"/>
      <c r="BK830" s="6"/>
      <c r="BL830" s="6" t="s">
        <v>60</v>
      </c>
      <c r="BO830" s="15"/>
    </row>
    <row r="831" spans="1:67">
      <c r="A831" s="6" t="s">
        <v>132</v>
      </c>
      <c r="B831" s="6"/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1" t="s">
        <v>118</v>
      </c>
      <c r="AN831" s="18"/>
      <c r="AO831" s="6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6"/>
      <c r="BK831" s="6"/>
      <c r="BL831" s="6" t="s">
        <v>60</v>
      </c>
      <c r="BO831" s="15"/>
    </row>
    <row r="832" spans="1:67">
      <c r="A832" s="6" t="s">
        <v>132</v>
      </c>
      <c r="B832" s="6"/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1" t="s">
        <v>118</v>
      </c>
      <c r="AN832" s="18"/>
      <c r="AO832" s="6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6"/>
      <c r="BK832" s="6"/>
      <c r="BL832" s="6" t="s">
        <v>60</v>
      </c>
      <c r="BO832" s="15"/>
    </row>
    <row r="833" spans="1:67">
      <c r="A833" s="6" t="s">
        <v>132</v>
      </c>
      <c r="B833" s="6"/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1" t="s">
        <v>118</v>
      </c>
      <c r="AN833" s="18"/>
      <c r="AO833" s="6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6"/>
      <c r="BK833" s="6"/>
      <c r="BL833" s="6" t="s">
        <v>60</v>
      </c>
      <c r="BO833" s="15"/>
    </row>
    <row r="834" spans="1:67">
      <c r="A834" s="6" t="s">
        <v>132</v>
      </c>
      <c r="B834" s="6"/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1" t="s">
        <v>118</v>
      </c>
      <c r="AN834" s="18"/>
      <c r="AO834" s="6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6"/>
      <c r="BK834" s="6"/>
      <c r="BL834" s="6" t="s">
        <v>60</v>
      </c>
      <c r="BO834" s="15"/>
    </row>
    <row r="835" spans="1:67">
      <c r="A835" s="6" t="s">
        <v>132</v>
      </c>
      <c r="B835" s="6"/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1" t="s">
        <v>118</v>
      </c>
      <c r="AN835" s="18"/>
      <c r="AO835" s="6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/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1" t="s">
        <v>118</v>
      </c>
      <c r="AN836" s="18"/>
      <c r="AO836" s="6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6"/>
      <c r="BK836" s="6"/>
      <c r="BL836" s="6" t="s">
        <v>60</v>
      </c>
      <c r="BO836" s="15"/>
    </row>
    <row r="837" spans="1:67">
      <c r="A837" s="6" t="s">
        <v>132</v>
      </c>
      <c r="B837" s="6"/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1" t="s">
        <v>118</v>
      </c>
      <c r="AN837" s="18"/>
      <c r="AO837" s="6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6"/>
      <c r="BK837" s="6"/>
      <c r="BL837" s="6" t="s">
        <v>60</v>
      </c>
      <c r="BO837" s="15"/>
    </row>
    <row r="838" spans="1:67">
      <c r="A838" s="6" t="s">
        <v>132</v>
      </c>
      <c r="B838" s="6"/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1" t="s">
        <v>118</v>
      </c>
      <c r="AN838" s="18"/>
      <c r="AO838" s="6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6"/>
      <c r="BK838" s="6"/>
      <c r="BL838" s="6" t="s">
        <v>60</v>
      </c>
      <c r="BO838" s="15"/>
    </row>
    <row r="839" spans="1:67">
      <c r="A839" s="6" t="s">
        <v>133</v>
      </c>
      <c r="B839" s="6"/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1" t="s">
        <v>118</v>
      </c>
      <c r="AN839" s="18"/>
      <c r="AO839" s="6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6"/>
      <c r="BK839" s="6"/>
      <c r="BL839" s="6" t="s">
        <v>60</v>
      </c>
      <c r="BO839" s="15"/>
    </row>
    <row r="840" spans="1:67">
      <c r="A840" s="6" t="s">
        <v>133</v>
      </c>
      <c r="B840" s="6"/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1" t="s">
        <v>118</v>
      </c>
      <c r="AN840" s="18"/>
      <c r="AO840" s="6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6"/>
      <c r="BK840" s="6"/>
      <c r="BL840" s="6" t="s">
        <v>60</v>
      </c>
      <c r="BO840" s="15"/>
    </row>
    <row r="841" spans="1:67">
      <c r="A841" s="6" t="s">
        <v>133</v>
      </c>
      <c r="B841" s="6"/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1" t="s">
        <v>118</v>
      </c>
      <c r="AN841" s="18"/>
      <c r="AO841" s="6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6"/>
      <c r="BK841" s="6"/>
      <c r="BL841" s="6" t="s">
        <v>60</v>
      </c>
      <c r="BO841" s="15"/>
    </row>
    <row r="842" spans="1:67">
      <c r="A842" s="6" t="s">
        <v>133</v>
      </c>
      <c r="B842" s="6"/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1" t="s">
        <v>118</v>
      </c>
      <c r="AN842" s="18"/>
      <c r="AO842" s="6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6"/>
      <c r="BK842" s="6"/>
      <c r="BL842" s="6" t="s">
        <v>60</v>
      </c>
      <c r="BO842" s="15"/>
    </row>
    <row r="843" spans="1:67">
      <c r="A843" s="6" t="s">
        <v>133</v>
      </c>
      <c r="B843" s="6"/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1" t="s">
        <v>118</v>
      </c>
      <c r="AN843" s="18"/>
      <c r="AO843" s="6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6"/>
      <c r="BK843" s="6"/>
      <c r="BL843" s="6" t="s">
        <v>60</v>
      </c>
      <c r="BO843" s="15"/>
    </row>
    <row r="844" spans="1:67">
      <c r="A844" s="6" t="s">
        <v>133</v>
      </c>
      <c r="B844" s="6"/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1" t="s">
        <v>118</v>
      </c>
      <c r="AN844" s="18"/>
      <c r="AO844" s="6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6"/>
      <c r="BK844" s="6"/>
      <c r="BL844" s="6" t="s">
        <v>60</v>
      </c>
      <c r="BO844" s="15"/>
    </row>
    <row r="845" spans="1:67">
      <c r="A845" s="6" t="s">
        <v>133</v>
      </c>
      <c r="B845" s="6"/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1" t="s">
        <v>118</v>
      </c>
      <c r="AN845" s="18"/>
      <c r="AO845" s="6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6"/>
      <c r="BK845" s="6"/>
      <c r="BL845" s="6" t="s">
        <v>60</v>
      </c>
      <c r="BO845" s="15"/>
    </row>
    <row r="846" spans="1:67">
      <c r="A846" s="6" t="s">
        <v>133</v>
      </c>
      <c r="B846" s="6"/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1" t="s">
        <v>118</v>
      </c>
      <c r="AN846" s="18"/>
      <c r="AO846" s="6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6"/>
      <c r="BK846" s="6"/>
      <c r="BL846" s="6" t="s">
        <v>60</v>
      </c>
      <c r="BO846" s="15"/>
    </row>
    <row r="847" spans="1:67">
      <c r="A847" s="6" t="s">
        <v>133</v>
      </c>
      <c r="B847" s="6"/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1" t="s">
        <v>118</v>
      </c>
      <c r="AN847" s="18"/>
      <c r="AO847" s="6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/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1" t="s">
        <v>118</v>
      </c>
      <c r="AN848" s="18"/>
      <c r="AO848" s="6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6"/>
      <c r="BK848" s="6"/>
      <c r="BL848" s="6" t="s">
        <v>60</v>
      </c>
      <c r="BO848" s="15"/>
    </row>
    <row r="849" spans="1:67">
      <c r="A849" s="6" t="s">
        <v>133</v>
      </c>
      <c r="B849" s="6"/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1" t="s">
        <v>118</v>
      </c>
      <c r="AN849" s="18"/>
      <c r="AO849" s="6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6"/>
      <c r="BK849" s="6"/>
      <c r="BL849" s="6" t="s">
        <v>60</v>
      </c>
      <c r="BO849" s="15"/>
    </row>
    <row r="850" spans="1:67">
      <c r="A850" s="6" t="s">
        <v>133</v>
      </c>
      <c r="B850" s="6"/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1" t="s">
        <v>118</v>
      </c>
      <c r="AN850" s="18"/>
      <c r="AO850" s="6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6"/>
      <c r="BK850" s="6"/>
      <c r="BL850" s="6" t="s">
        <v>60</v>
      </c>
      <c r="BO850" s="15"/>
    </row>
    <row r="851" spans="1:67">
      <c r="A851" s="6" t="s">
        <v>133</v>
      </c>
      <c r="B851" s="6"/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1" t="s">
        <v>118</v>
      </c>
      <c r="AN851" s="18"/>
      <c r="AO851" s="6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6"/>
      <c r="BK851" s="6"/>
      <c r="BL851" s="6" t="s">
        <v>60</v>
      </c>
      <c r="BO851" s="15"/>
    </row>
    <row r="852" spans="1:67">
      <c r="A852" s="6" t="s">
        <v>133</v>
      </c>
      <c r="B852" s="6"/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1" t="s">
        <v>118</v>
      </c>
      <c r="AN852" s="18"/>
      <c r="AO852" s="6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6"/>
      <c r="BK852" s="6"/>
      <c r="BL852" s="6" t="s">
        <v>60</v>
      </c>
      <c r="BO852" s="15"/>
    </row>
    <row r="853" spans="1:67">
      <c r="A853" s="6" t="s">
        <v>133</v>
      </c>
      <c r="B853" s="6"/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1" t="s">
        <v>118</v>
      </c>
      <c r="AN853" s="18"/>
      <c r="AO853" s="6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6"/>
      <c r="BK853" s="6"/>
      <c r="BL853" s="6" t="s">
        <v>60</v>
      </c>
      <c r="BO853" s="15"/>
    </row>
    <row r="854" spans="1:67">
      <c r="A854" s="6" t="s">
        <v>133</v>
      </c>
      <c r="B854" s="6"/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1" t="s">
        <v>118</v>
      </c>
      <c r="AN854" s="18"/>
      <c r="AO854" s="6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6"/>
      <c r="BK854" s="6"/>
      <c r="BL854" s="6" t="s">
        <v>60</v>
      </c>
      <c r="BO854" s="15"/>
    </row>
    <row r="855" spans="1:67">
      <c r="A855" s="6" t="s">
        <v>133</v>
      </c>
      <c r="B855" s="6"/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1" t="s">
        <v>118</v>
      </c>
      <c r="AN855" s="18"/>
      <c r="AO855" s="6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6"/>
      <c r="BK855" s="6"/>
      <c r="BL855" s="6" t="s">
        <v>60</v>
      </c>
      <c r="BO855" s="15"/>
    </row>
    <row r="856" spans="1:67">
      <c r="A856" s="6" t="s">
        <v>133</v>
      </c>
      <c r="B856" s="6"/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1" t="s">
        <v>118</v>
      </c>
      <c r="AN856" s="18"/>
      <c r="AO856" s="6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6"/>
      <c r="BK856" s="6"/>
      <c r="BL856" s="6" t="s">
        <v>60</v>
      </c>
      <c r="BO856" s="15"/>
    </row>
    <row r="857" spans="1:67">
      <c r="A857" s="6" t="s">
        <v>133</v>
      </c>
      <c r="B857" s="6"/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1" t="s">
        <v>118</v>
      </c>
      <c r="AN857" s="18"/>
      <c r="AO857" s="6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/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1" t="s">
        <v>118</v>
      </c>
      <c r="AN858" s="18"/>
      <c r="AO858" s="6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6"/>
      <c r="BK858" s="6"/>
      <c r="BL858" s="6" t="s">
        <v>60</v>
      </c>
      <c r="BO858" s="15"/>
    </row>
    <row r="859" spans="1:67">
      <c r="A859" s="6" t="s">
        <v>133</v>
      </c>
      <c r="B859" s="6"/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1" t="s">
        <v>118</v>
      </c>
      <c r="AN859" s="18"/>
      <c r="AO859" s="6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6"/>
      <c r="BK859" s="6"/>
      <c r="BL859" s="6" t="s">
        <v>60</v>
      </c>
      <c r="BO859" s="15"/>
    </row>
    <row r="860" spans="1:67">
      <c r="A860" s="6" t="s">
        <v>133</v>
      </c>
      <c r="B860" s="6"/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1" t="s">
        <v>118</v>
      </c>
      <c r="AN860" s="18"/>
      <c r="AO860" s="6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6"/>
      <c r="BK860" s="6"/>
      <c r="BL860" s="6" t="s">
        <v>60</v>
      </c>
      <c r="BO860" s="15"/>
    </row>
    <row r="861" spans="1:67">
      <c r="A861" s="6" t="s">
        <v>133</v>
      </c>
      <c r="B861" s="6"/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1" t="s">
        <v>118</v>
      </c>
      <c r="AN861" s="18"/>
      <c r="AO861" s="6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6"/>
      <c r="BK861" s="6"/>
      <c r="BL861" s="6" t="s">
        <v>60</v>
      </c>
      <c r="BO861" s="15"/>
    </row>
    <row r="862" spans="1:67">
      <c r="A862" s="6" t="s">
        <v>133</v>
      </c>
      <c r="B862" s="6"/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1" t="s">
        <v>118</v>
      </c>
      <c r="AN862" s="18"/>
      <c r="AO862" s="6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/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1" t="s">
        <v>118</v>
      </c>
      <c r="AN863" s="18"/>
      <c r="AO863" s="6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/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1" t="s">
        <v>118</v>
      </c>
      <c r="AN864" s="18"/>
      <c r="AO864" s="6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6"/>
      <c r="BK864" s="6"/>
      <c r="BL864" s="6" t="s">
        <v>60</v>
      </c>
      <c r="BO864" s="15"/>
    </row>
    <row r="865" spans="1:67">
      <c r="A865" s="6" t="s">
        <v>133</v>
      </c>
      <c r="B865" s="6"/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1" t="s">
        <v>118</v>
      </c>
      <c r="AN865" s="18"/>
      <c r="AO865" s="6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/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1" t="s">
        <v>118</v>
      </c>
      <c r="AN866" s="18"/>
      <c r="AO866" s="6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/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1" t="s">
        <v>118</v>
      </c>
      <c r="AN867" s="18"/>
      <c r="AO867" s="6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6"/>
      <c r="BK867" s="6"/>
      <c r="BL867" s="6" t="s">
        <v>60</v>
      </c>
      <c r="BO867" s="15"/>
    </row>
    <row r="868" spans="1:67">
      <c r="A868" s="6" t="s">
        <v>133</v>
      </c>
      <c r="B868" s="6"/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1" t="s">
        <v>118</v>
      </c>
      <c r="AN868" s="18"/>
      <c r="AO868" s="6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6"/>
      <c r="BK868" s="6"/>
      <c r="BL868" s="6" t="s">
        <v>60</v>
      </c>
      <c r="BO868" s="15"/>
    </row>
    <row r="869" spans="1:67">
      <c r="A869" s="6" t="s">
        <v>133</v>
      </c>
      <c r="B869" s="6"/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1" t="s">
        <v>118</v>
      </c>
      <c r="AN869" s="18"/>
      <c r="AO869" s="6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/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1" t="s">
        <v>118</v>
      </c>
      <c r="AN870" s="18"/>
      <c r="AO870" s="6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6"/>
      <c r="BK870" s="6"/>
      <c r="BL870" s="6" t="s">
        <v>60</v>
      </c>
      <c r="BO870" s="15"/>
    </row>
    <row r="871" spans="1:67">
      <c r="A871" s="6" t="s">
        <v>133</v>
      </c>
      <c r="B871" s="6"/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1" t="s">
        <v>118</v>
      </c>
      <c r="AN871" s="18"/>
      <c r="AO871" s="6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6"/>
      <c r="BK871" s="6"/>
      <c r="BL871" s="6" t="s">
        <v>60</v>
      </c>
      <c r="BO871" s="15"/>
    </row>
    <row r="872" spans="1:67">
      <c r="A872" s="6" t="s">
        <v>133</v>
      </c>
      <c r="B872" s="6"/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1" t="s">
        <v>118</v>
      </c>
      <c r="AN872" s="18"/>
      <c r="AO872" s="6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6"/>
      <c r="BK872" s="6"/>
      <c r="BL872" s="6" t="s">
        <v>60</v>
      </c>
      <c r="BO872" s="15"/>
    </row>
    <row r="873" spans="1:67">
      <c r="A873" s="6" t="s">
        <v>133</v>
      </c>
      <c r="B873" s="6"/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1" t="s">
        <v>118</v>
      </c>
      <c r="AN873" s="18"/>
      <c r="AO873" s="6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6"/>
      <c r="BK873" s="6"/>
      <c r="BL873" s="6" t="s">
        <v>60</v>
      </c>
      <c r="BO873" s="15"/>
    </row>
    <row r="874" spans="1:67">
      <c r="A874" s="6" t="s">
        <v>133</v>
      </c>
      <c r="B874" s="6"/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1" t="s">
        <v>118</v>
      </c>
      <c r="AN874" s="18"/>
      <c r="AO874" s="6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6"/>
      <c r="BK874" s="6"/>
      <c r="BL874" s="6" t="s">
        <v>60</v>
      </c>
      <c r="BO874" s="15"/>
    </row>
    <row r="875" spans="1:67">
      <c r="A875" s="6" t="s">
        <v>133</v>
      </c>
      <c r="B875" s="6"/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1" t="s">
        <v>118</v>
      </c>
      <c r="AN875" s="18"/>
      <c r="AO875" s="6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6"/>
      <c r="BK875" s="6"/>
      <c r="BL875" s="6" t="s">
        <v>60</v>
      </c>
      <c r="BO875" s="15"/>
    </row>
    <row r="876" spans="1:67">
      <c r="A876" s="6" t="s">
        <v>56</v>
      </c>
      <c r="B876" s="6"/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1" t="s">
        <v>118</v>
      </c>
      <c r="AN876" s="18"/>
      <c r="AO876" s="6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6"/>
      <c r="BK876" s="6"/>
      <c r="BL876" s="6" t="s">
        <v>60</v>
      </c>
      <c r="BO876" s="15"/>
    </row>
    <row r="877" spans="1:67">
      <c r="A877" s="6" t="s">
        <v>56</v>
      </c>
      <c r="B877" s="6"/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1" t="s">
        <v>118</v>
      </c>
      <c r="AN877" s="18"/>
      <c r="AO877" s="6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6"/>
      <c r="BK877" s="6"/>
      <c r="BL877" s="6" t="s">
        <v>60</v>
      </c>
      <c r="BO877" s="15"/>
    </row>
    <row r="878" spans="1:67">
      <c r="A878" s="6" t="s">
        <v>56</v>
      </c>
      <c r="B878" s="6"/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1" t="s">
        <v>118</v>
      </c>
      <c r="AN878" s="18"/>
      <c r="AO878" s="6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6"/>
      <c r="BK878" s="6"/>
      <c r="BL878" s="6" t="s">
        <v>60</v>
      </c>
      <c r="BO878" s="15"/>
    </row>
    <row r="879" spans="1:67">
      <c r="A879" s="6" t="s">
        <v>56</v>
      </c>
      <c r="B879" s="6"/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1" t="s">
        <v>118</v>
      </c>
      <c r="AN879" s="18"/>
      <c r="AO879" s="6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6"/>
      <c r="BK879" s="6"/>
      <c r="BL879" s="6" t="s">
        <v>60</v>
      </c>
      <c r="BO879" s="15"/>
    </row>
    <row r="880" spans="1:67">
      <c r="A880" s="6" t="s">
        <v>56</v>
      </c>
      <c r="B880" s="6"/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1" t="s">
        <v>118</v>
      </c>
      <c r="AN880" s="18"/>
      <c r="AO880" s="6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6"/>
      <c r="BK880" s="6"/>
      <c r="BL880" s="6" t="s">
        <v>60</v>
      </c>
      <c r="BO880" s="15"/>
    </row>
    <row r="881" spans="1:67">
      <c r="A881" s="6" t="s">
        <v>56</v>
      </c>
      <c r="B881" s="6"/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1" t="s">
        <v>118</v>
      </c>
      <c r="AN881" s="18"/>
      <c r="AO881" s="6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6"/>
      <c r="BK881" s="6"/>
      <c r="BL881" s="6" t="s">
        <v>60</v>
      </c>
      <c r="BO881" s="15"/>
    </row>
    <row r="882" spans="1:67">
      <c r="A882" s="6" t="s">
        <v>56</v>
      </c>
      <c r="B882" s="6"/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1" t="s">
        <v>118</v>
      </c>
      <c r="AN882" s="18"/>
      <c r="AO882" s="6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6"/>
      <c r="BK882" s="6"/>
      <c r="BL882" s="6" t="s">
        <v>60</v>
      </c>
      <c r="BO882" s="15"/>
    </row>
    <row r="883" spans="1:67">
      <c r="A883" s="6" t="s">
        <v>56</v>
      </c>
      <c r="B883" s="6"/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1" t="s">
        <v>118</v>
      </c>
      <c r="AN883" s="18"/>
      <c r="AO883" s="6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/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1" t="s">
        <v>118</v>
      </c>
      <c r="AN884" s="18"/>
      <c r="AO884" s="6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/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1" t="s">
        <v>118</v>
      </c>
      <c r="AN885" s="18"/>
      <c r="AO885" s="6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6"/>
      <c r="BK885" s="6"/>
      <c r="BL885" s="6" t="s">
        <v>60</v>
      </c>
      <c r="BO885" s="15"/>
    </row>
    <row r="886" spans="1:67">
      <c r="A886" s="6" t="s">
        <v>56</v>
      </c>
      <c r="B886" s="6"/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1" t="s">
        <v>118</v>
      </c>
      <c r="AN886" s="18"/>
      <c r="AO886" s="6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6"/>
      <c r="BK886" s="6"/>
      <c r="BL886" s="6" t="s">
        <v>60</v>
      </c>
      <c r="BO886" s="15"/>
    </row>
    <row r="887" spans="1:67">
      <c r="A887" s="6" t="s">
        <v>56</v>
      </c>
      <c r="B887" s="6"/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1" t="s">
        <v>118</v>
      </c>
      <c r="AN887" s="18"/>
      <c r="AO887" s="6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6"/>
      <c r="BK887" s="6"/>
      <c r="BL887" s="6" t="s">
        <v>60</v>
      </c>
      <c r="BO887" s="15"/>
    </row>
    <row r="888" spans="1:67">
      <c r="A888" s="6" t="s">
        <v>56</v>
      </c>
      <c r="B888" s="6"/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1" t="s">
        <v>118</v>
      </c>
      <c r="AN888" s="18"/>
      <c r="AO888" s="6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/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1" t="s">
        <v>118</v>
      </c>
      <c r="AN889" s="18"/>
      <c r="AO889" s="6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/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1" t="s">
        <v>118</v>
      </c>
      <c r="AN890" s="18"/>
      <c r="AO890" s="6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6"/>
      <c r="BK890" s="6"/>
      <c r="BL890" s="6" t="s">
        <v>60</v>
      </c>
      <c r="BO890" s="15"/>
    </row>
    <row r="891" spans="1:67">
      <c r="A891" s="6" t="s">
        <v>56</v>
      </c>
      <c r="B891" s="6"/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1" t="s">
        <v>118</v>
      </c>
      <c r="AN891" s="18"/>
      <c r="AO891" s="6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6"/>
      <c r="BK891" s="6"/>
      <c r="BL891" s="6" t="s">
        <v>60</v>
      </c>
      <c r="BO891" s="15"/>
    </row>
    <row r="892" spans="1:67">
      <c r="A892" s="6" t="s">
        <v>56</v>
      </c>
      <c r="B892" s="6"/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1" t="s">
        <v>118</v>
      </c>
      <c r="AN892" s="18"/>
      <c r="AO892" s="6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6"/>
      <c r="BK892" s="6"/>
      <c r="BL892" s="6" t="s">
        <v>60</v>
      </c>
      <c r="BO892" s="15"/>
    </row>
    <row r="893" spans="1:67">
      <c r="A893" s="6" t="s">
        <v>56</v>
      </c>
      <c r="B893" s="6"/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1" t="s">
        <v>118</v>
      </c>
      <c r="AN893" s="18"/>
      <c r="AO893" s="6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6"/>
      <c r="BK893" s="6"/>
      <c r="BL893" s="6" t="s">
        <v>60</v>
      </c>
      <c r="BO893" s="15"/>
    </row>
    <row r="894" spans="1:67">
      <c r="A894" s="6" t="s">
        <v>56</v>
      </c>
      <c r="B894" s="6"/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1" t="s">
        <v>118</v>
      </c>
      <c r="AN894" s="18"/>
      <c r="AO894" s="6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/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1" t="s">
        <v>118</v>
      </c>
      <c r="AN895" s="18"/>
      <c r="AO895" s="6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/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1" t="s">
        <v>118</v>
      </c>
      <c r="AN896" s="18"/>
      <c r="AO896" s="6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6"/>
      <c r="BK896" s="6"/>
      <c r="BL896" s="6" t="s">
        <v>60</v>
      </c>
      <c r="BO896" s="15"/>
    </row>
    <row r="897" spans="1:67">
      <c r="A897" s="6" t="s">
        <v>56</v>
      </c>
      <c r="B897" s="6"/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1" t="s">
        <v>118</v>
      </c>
      <c r="AN897" s="18"/>
      <c r="AO897" s="6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6"/>
      <c r="BK897" s="6"/>
      <c r="BL897" s="6" t="s">
        <v>60</v>
      </c>
      <c r="BO897" s="15"/>
    </row>
    <row r="898" spans="1:67">
      <c r="A898" s="6" t="s">
        <v>56</v>
      </c>
      <c r="B898" s="6"/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1" t="s">
        <v>118</v>
      </c>
      <c r="AN898" s="18"/>
      <c r="AO898" s="6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6"/>
      <c r="BK898" s="6"/>
      <c r="BL898" s="6" t="s">
        <v>60</v>
      </c>
      <c r="BO898" s="15"/>
    </row>
    <row r="899" spans="1:67">
      <c r="A899" s="6" t="s">
        <v>56</v>
      </c>
      <c r="B899" s="6"/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1" t="s">
        <v>118</v>
      </c>
      <c r="AN899" s="18"/>
      <c r="AO899" s="6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6"/>
      <c r="BK899" s="6"/>
      <c r="BL899" s="6" t="s">
        <v>60</v>
      </c>
      <c r="BO899" s="15"/>
    </row>
    <row r="900" spans="1:67">
      <c r="A900" s="6" t="s">
        <v>56</v>
      </c>
      <c r="B900" s="6"/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1" t="s">
        <v>118</v>
      </c>
      <c r="AN900" s="18"/>
      <c r="AO900" s="6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/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1" t="s">
        <v>118</v>
      </c>
      <c r="AN901" s="18"/>
      <c r="AO901" s="6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/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1" t="s">
        <v>118</v>
      </c>
      <c r="AN902" s="18"/>
      <c r="AO902" s="6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6"/>
      <c r="BK902" s="6"/>
      <c r="BL902" s="6" t="s">
        <v>60</v>
      </c>
      <c r="BO902" s="15"/>
    </row>
    <row r="903" spans="1:67">
      <c r="A903" s="6" t="s">
        <v>56</v>
      </c>
      <c r="B903" s="6"/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1" t="s">
        <v>118</v>
      </c>
      <c r="AN903" s="18"/>
      <c r="AO903" s="6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/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1" t="s">
        <v>118</v>
      </c>
      <c r="AN904" s="18"/>
      <c r="AO904" s="6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/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1" t="s">
        <v>118</v>
      </c>
      <c r="AN905" s="18"/>
      <c r="AO905" s="6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6"/>
      <c r="BK905" s="6"/>
      <c r="BL905" s="6" t="s">
        <v>60</v>
      </c>
      <c r="BO905" s="15"/>
    </row>
    <row r="906" spans="1:67">
      <c r="A906" s="6" t="s">
        <v>56</v>
      </c>
      <c r="B906" s="6"/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1" t="s">
        <v>118</v>
      </c>
      <c r="AN906" s="18"/>
      <c r="AO906" s="6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6"/>
      <c r="BK906" s="6"/>
      <c r="BL906" s="6" t="s">
        <v>60</v>
      </c>
      <c r="BO906" s="15"/>
    </row>
    <row r="907" spans="1:67">
      <c r="A907" s="6" t="s">
        <v>56</v>
      </c>
      <c r="B907" s="6"/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1" t="s">
        <v>118</v>
      </c>
      <c r="AN907" s="18"/>
      <c r="AO907" s="6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6"/>
      <c r="BK907" s="6"/>
      <c r="BL907" s="6" t="s">
        <v>60</v>
      </c>
      <c r="BO907" s="15"/>
    </row>
    <row r="908" spans="1:67">
      <c r="A908" s="6" t="s">
        <v>56</v>
      </c>
      <c r="B908" s="6"/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1" t="s">
        <v>118</v>
      </c>
      <c r="AN908" s="18"/>
      <c r="AO908" s="6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/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1" t="s">
        <v>118</v>
      </c>
      <c r="AN909" s="18"/>
      <c r="AO909" s="6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/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1" t="s">
        <v>118</v>
      </c>
      <c r="AN910" s="18"/>
      <c r="AO910" s="6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6"/>
      <c r="BK910" s="6"/>
      <c r="BL910" s="6" t="s">
        <v>60</v>
      </c>
      <c r="BO910" s="15"/>
    </row>
    <row r="911" spans="1:67">
      <c r="A911" s="6" t="s">
        <v>56</v>
      </c>
      <c r="B911" s="6"/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1" t="s">
        <v>118</v>
      </c>
      <c r="AN911" s="18"/>
      <c r="AO911" s="6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/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1" t="s">
        <v>118</v>
      </c>
      <c r="AN912" s="18"/>
      <c r="AO912" s="6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1" t="s">
        <v>118</v>
      </c>
      <c r="AN913" s="18"/>
      <c r="AO913" s="2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1" t="s">
        <v>118</v>
      </c>
      <c r="AN914" s="18"/>
      <c r="AO914" s="23"/>
      <c r="AP914" s="33"/>
      <c r="AQ914" s="33">
        <v>1.1777777777777778E-2</v>
      </c>
      <c r="AR914" s="33"/>
      <c r="AS914" s="33"/>
      <c r="AT914" s="33"/>
      <c r="AU914" s="33"/>
      <c r="AV914" s="33"/>
      <c r="AW914" s="33"/>
      <c r="AX914" s="33">
        <v>2.3860000000000001</v>
      </c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5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1" t="s">
        <v>118</v>
      </c>
      <c r="AN915" s="18"/>
      <c r="AO915" s="23"/>
      <c r="AP915" s="33"/>
      <c r="AQ915" s="33">
        <v>1.4416666666666666E-2</v>
      </c>
      <c r="AR915" s="33"/>
      <c r="AS915" s="33"/>
      <c r="AT915" s="33"/>
      <c r="AU915" s="33"/>
      <c r="AV915" s="33"/>
      <c r="AW915" s="33"/>
      <c r="AX915" s="33">
        <v>5.777000000000001</v>
      </c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5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1" t="s">
        <v>118</v>
      </c>
      <c r="AN916" s="18"/>
      <c r="AO916" s="23"/>
      <c r="AP916" s="33"/>
      <c r="AQ916" s="33">
        <v>1.5025000000000002E-2</v>
      </c>
      <c r="AR916" s="33"/>
      <c r="AS916" s="33"/>
      <c r="AT916" s="33"/>
      <c r="AU916" s="33"/>
      <c r="AV916" s="33"/>
      <c r="AW916" s="33"/>
      <c r="AX916" s="33">
        <v>17.087</v>
      </c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5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1"/>
      <c r="AN917" s="18"/>
      <c r="AO917" s="23">
        <v>317</v>
      </c>
      <c r="AP917" s="33"/>
      <c r="AQ917" s="33">
        <v>1.5256E-2</v>
      </c>
      <c r="AR917" s="33"/>
      <c r="AS917" s="33"/>
      <c r="AT917" s="33"/>
      <c r="AU917" s="33"/>
      <c r="AV917" s="33"/>
      <c r="AW917" s="33"/>
      <c r="AX917" s="33">
        <v>28.094999999999999</v>
      </c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1"/>
      <c r="AN918" s="18"/>
      <c r="AO918" s="23">
        <v>289</v>
      </c>
      <c r="AP918" s="33"/>
      <c r="AQ918" s="33">
        <v>1.4523809523809526E-2</v>
      </c>
      <c r="AR918" s="33"/>
      <c r="AS918" s="33"/>
      <c r="AT918" s="33"/>
      <c r="AU918" s="33"/>
      <c r="AV918" s="33"/>
      <c r="AW918" s="33"/>
      <c r="AX918" s="33">
        <v>36.758000000000003</v>
      </c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5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1" t="s">
        <v>118</v>
      </c>
      <c r="AN919" s="18"/>
      <c r="AO919" s="23">
        <v>289</v>
      </c>
      <c r="AP919" s="33"/>
      <c r="AQ919" s="33">
        <v>1.5277777777777777E-2</v>
      </c>
      <c r="AR919" s="33"/>
      <c r="AS919" s="33"/>
      <c r="AT919" s="33"/>
      <c r="AU919" s="33"/>
      <c r="AV919" s="33"/>
      <c r="AW919" s="33"/>
      <c r="AX919" s="33">
        <v>8.995000000000001</v>
      </c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1" t="s">
        <v>118</v>
      </c>
      <c r="AN920" s="18"/>
      <c r="AO920" s="23">
        <v>296</v>
      </c>
      <c r="AP920" s="33"/>
      <c r="AQ920" s="33">
        <v>1.497916666666667E-2</v>
      </c>
      <c r="AR920" s="33"/>
      <c r="AS920" s="33"/>
      <c r="AT920" s="33"/>
      <c r="AU920" s="33"/>
      <c r="AV920" s="33"/>
      <c r="AW920" s="33"/>
      <c r="AX920" s="33">
        <v>15.559000000000001</v>
      </c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5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1" t="s">
        <v>118</v>
      </c>
      <c r="AN921" s="18"/>
      <c r="AO921" s="23">
        <v>307</v>
      </c>
      <c r="AP921" s="33"/>
      <c r="AQ921" s="33">
        <v>1.4918604651162794E-2</v>
      </c>
      <c r="AR921" s="33"/>
      <c r="AS921" s="33"/>
      <c r="AT921" s="33"/>
      <c r="AU921" s="33"/>
      <c r="AV921" s="33"/>
      <c r="AW921" s="33"/>
      <c r="AX921" s="33">
        <v>23.824000000000002</v>
      </c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5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1" t="s">
        <v>118</v>
      </c>
      <c r="AN922" s="18"/>
      <c r="AO922" s="23">
        <v>344</v>
      </c>
      <c r="AP922" s="33"/>
      <c r="AQ922" s="33">
        <v>1.4675213675213678E-2</v>
      </c>
      <c r="AR922" s="33"/>
      <c r="AS922" s="33"/>
      <c r="AT922" s="33"/>
      <c r="AU922" s="33"/>
      <c r="AV922" s="33"/>
      <c r="AW922" s="33"/>
      <c r="AX922" s="33">
        <v>28.786000000000001</v>
      </c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1" t="s">
        <v>118</v>
      </c>
      <c r="AN923" s="18"/>
      <c r="AO923" s="23">
        <v>342</v>
      </c>
      <c r="AP923" s="33"/>
      <c r="AQ923" s="33">
        <v>1.482456140350877E-2</v>
      </c>
      <c r="AR923" s="33"/>
      <c r="AS923" s="33"/>
      <c r="AT923" s="33"/>
      <c r="AU923" s="33"/>
      <c r="AV923" s="33"/>
      <c r="AW923" s="33"/>
      <c r="AX923" s="33">
        <v>32.752000000000002</v>
      </c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5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1" t="s">
        <v>118</v>
      </c>
      <c r="AN924" s="18"/>
      <c r="AO924" s="23">
        <v>342</v>
      </c>
      <c r="AP924" s="33"/>
      <c r="AQ924" s="33">
        <v>1.4710526315789476E-2</v>
      </c>
      <c r="AR924" s="33"/>
      <c r="AS924" s="33"/>
      <c r="AT924" s="33"/>
      <c r="AU924" s="33"/>
      <c r="AV924" s="33"/>
      <c r="AW924" s="33"/>
      <c r="AX924" s="33">
        <v>10.88</v>
      </c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5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1" t="s">
        <v>118</v>
      </c>
      <c r="AN925" s="18"/>
      <c r="AO925" s="23">
        <v>349</v>
      </c>
      <c r="AP925" s="33"/>
      <c r="AQ925" s="33">
        <v>1.4863636363636364E-2</v>
      </c>
      <c r="AR925" s="33"/>
      <c r="AS925" s="33"/>
      <c r="AT925" s="33"/>
      <c r="AU925" s="33"/>
      <c r="AV925" s="33"/>
      <c r="AW925" s="33"/>
      <c r="AX925" s="33">
        <v>16.393000000000001</v>
      </c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5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1" t="s">
        <v>118</v>
      </c>
      <c r="AN926" s="18"/>
      <c r="AO926" s="23">
        <v>361</v>
      </c>
      <c r="AP926" s="33"/>
      <c r="AQ926" s="33">
        <v>1.4985714285714286E-2</v>
      </c>
      <c r="AR926" s="33"/>
      <c r="AS926" s="33"/>
      <c r="AT926" s="33"/>
      <c r="AU926" s="33"/>
      <c r="AV926" s="33"/>
      <c r="AW926" s="33"/>
      <c r="AX926" s="33">
        <v>21.397000000000002</v>
      </c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1" t="s">
        <v>118</v>
      </c>
      <c r="AN927" s="18"/>
      <c r="AO927" s="2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1" t="s">
        <v>118</v>
      </c>
      <c r="AN928" s="18"/>
      <c r="AO928" s="2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1" t="s">
        <v>118</v>
      </c>
      <c r="AN929" s="18"/>
      <c r="AO929" s="2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1" t="s">
        <v>118</v>
      </c>
      <c r="AN930" s="18"/>
      <c r="AO930" s="2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1" t="s">
        <v>118</v>
      </c>
      <c r="AN931" s="18"/>
      <c r="AO931" s="2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1" t="s">
        <v>118</v>
      </c>
      <c r="AN932" s="18"/>
      <c r="AO932" s="2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1" t="s">
        <v>118</v>
      </c>
      <c r="AN933" s="18"/>
      <c r="AO933" s="2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1" t="s">
        <v>118</v>
      </c>
      <c r="AN934" s="18"/>
      <c r="AO934" s="2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1" t="s">
        <v>118</v>
      </c>
      <c r="AN935" s="18"/>
      <c r="AO935" s="2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1" t="s">
        <v>118</v>
      </c>
      <c r="AN936" s="18"/>
      <c r="AO936" s="2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1" t="s">
        <v>118</v>
      </c>
      <c r="AN937" s="18"/>
      <c r="AO937" s="2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5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1" t="s">
        <v>118</v>
      </c>
      <c r="AN938" s="18"/>
      <c r="AO938" s="23"/>
      <c r="AP938" s="33"/>
      <c r="AQ938" s="33">
        <v>1.4392592592592592E-2</v>
      </c>
      <c r="AR938" s="33"/>
      <c r="AS938" s="33"/>
      <c r="AT938" s="33"/>
      <c r="AU938" s="33"/>
      <c r="AV938" s="33"/>
      <c r="AW938" s="33"/>
      <c r="AX938" s="33">
        <v>56.06</v>
      </c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1" t="s">
        <v>118</v>
      </c>
      <c r="AN939" s="18"/>
      <c r="AO939" s="6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1" t="s">
        <v>118</v>
      </c>
      <c r="AN940" s="18"/>
      <c r="AO940" s="6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1" t="s">
        <v>118</v>
      </c>
      <c r="AN941" s="18"/>
      <c r="AO941" s="6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1" t="s">
        <v>118</v>
      </c>
      <c r="AN942" s="18"/>
      <c r="AO942" s="6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1" t="s">
        <v>118</v>
      </c>
      <c r="AN943" s="18"/>
      <c r="AO943" s="6">
        <v>490</v>
      </c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1" t="s">
        <v>118</v>
      </c>
      <c r="AN944" s="18"/>
      <c r="AO944" s="6">
        <v>500</v>
      </c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1" t="s">
        <v>118</v>
      </c>
      <c r="AN945" s="18"/>
      <c r="AO945" s="6">
        <v>530</v>
      </c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1" t="s">
        <v>118</v>
      </c>
      <c r="AN946" s="18"/>
      <c r="AO946" s="6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1" t="s">
        <v>118</v>
      </c>
      <c r="AN947" s="18"/>
      <c r="AO947" s="6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1" t="s">
        <v>118</v>
      </c>
      <c r="AN948" s="18"/>
      <c r="AO948" s="6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1" t="s">
        <v>118</v>
      </c>
      <c r="AN949" s="18"/>
      <c r="AO949" s="6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1" t="s">
        <v>118</v>
      </c>
      <c r="AN950" s="18"/>
      <c r="AO950" s="6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1" t="s">
        <v>118</v>
      </c>
      <c r="AN951" s="18"/>
      <c r="AO951" s="6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1" t="s">
        <v>118</v>
      </c>
      <c r="AN952" s="18"/>
      <c r="AO952" s="6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1" t="s">
        <v>118</v>
      </c>
      <c r="AN953" s="18"/>
      <c r="AO953" s="6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1" t="s">
        <v>118</v>
      </c>
      <c r="AN954" s="18"/>
      <c r="AO954" s="6">
        <v>500</v>
      </c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1" t="s">
        <v>118</v>
      </c>
      <c r="AN955" s="18"/>
      <c r="AO955" s="6">
        <v>490</v>
      </c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1" t="s">
        <v>118</v>
      </c>
      <c r="AN956" s="18"/>
      <c r="AO956" s="6">
        <v>540</v>
      </c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1" t="s">
        <v>118</v>
      </c>
      <c r="AN957" s="18"/>
      <c r="AO957" s="6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1" t="s">
        <v>118</v>
      </c>
      <c r="AN958" s="18"/>
      <c r="AO958" s="6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1" t="s">
        <v>118</v>
      </c>
      <c r="AN959" s="18"/>
      <c r="AO959" s="6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1" t="s">
        <v>118</v>
      </c>
      <c r="AN960" s="18"/>
      <c r="AO960" s="6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1" t="s">
        <v>118</v>
      </c>
      <c r="AN961" s="18"/>
      <c r="AO961" s="6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1" t="s">
        <v>118</v>
      </c>
      <c r="AN962" s="18"/>
      <c r="AO962" s="6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1" t="s">
        <v>118</v>
      </c>
      <c r="AN963" s="18"/>
      <c r="AO963" s="6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1" t="s">
        <v>118</v>
      </c>
      <c r="AN964" s="18"/>
      <c r="AO964" s="6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1" t="s">
        <v>118</v>
      </c>
      <c r="AN965" s="18"/>
      <c r="AO965" s="6">
        <v>450</v>
      </c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1" t="s">
        <v>118</v>
      </c>
      <c r="AN966" s="18"/>
      <c r="AO966" s="6">
        <v>460</v>
      </c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1" t="s">
        <v>118</v>
      </c>
      <c r="AN967" s="18"/>
      <c r="AO967" s="6">
        <v>490</v>
      </c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1" t="s">
        <v>118</v>
      </c>
      <c r="AN968" s="18"/>
      <c r="AO968" s="6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1" t="s">
        <v>118</v>
      </c>
      <c r="AN969" s="18"/>
      <c r="AO969" s="6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1" t="s">
        <v>118</v>
      </c>
      <c r="AN970" s="18"/>
      <c r="AO970" s="6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1" t="s">
        <v>118</v>
      </c>
      <c r="AN971" s="18"/>
      <c r="AO971" s="6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1" t="s">
        <v>118</v>
      </c>
      <c r="AN972" s="18"/>
      <c r="AO972" s="6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1" t="s">
        <v>118</v>
      </c>
      <c r="AN973" s="18"/>
      <c r="AO973" s="6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1" t="s">
        <v>118</v>
      </c>
      <c r="AN974" s="18"/>
      <c r="AO974" s="6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1" t="s">
        <v>118</v>
      </c>
      <c r="AN975" s="18"/>
      <c r="AO975" s="6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1" t="s">
        <v>118</v>
      </c>
      <c r="AN976" s="18"/>
      <c r="AO976" s="6">
        <v>450</v>
      </c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1" t="s">
        <v>118</v>
      </c>
      <c r="AN977" s="18"/>
      <c r="AO977" s="6">
        <v>460</v>
      </c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1" t="s">
        <v>118</v>
      </c>
      <c r="AN978" s="18"/>
      <c r="AO978" s="6">
        <v>510</v>
      </c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1" t="s">
        <v>118</v>
      </c>
      <c r="AN979" s="18"/>
      <c r="AO979" s="6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1" t="s">
        <v>118</v>
      </c>
      <c r="AN980" s="18"/>
      <c r="AO980" s="6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1" t="s">
        <v>118</v>
      </c>
      <c r="AN981" s="18"/>
      <c r="AO981" s="6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1" t="s">
        <v>118</v>
      </c>
      <c r="AN982" s="18"/>
      <c r="AO982" s="6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1" t="s">
        <v>118</v>
      </c>
      <c r="AN983" s="18"/>
      <c r="AO983" s="6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1" t="s">
        <v>118</v>
      </c>
      <c r="AN984" s="18"/>
      <c r="AO984" s="6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1" t="s">
        <v>118</v>
      </c>
      <c r="AN985" s="18"/>
      <c r="AO985" s="6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1" t="s">
        <v>118</v>
      </c>
      <c r="AN986" s="18"/>
      <c r="AO986" s="6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1"/>
      <c r="AN987" s="18"/>
      <c r="AO987" s="6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1"/>
      <c r="AN988" s="18"/>
      <c r="AO988" s="6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1"/>
      <c r="AN989" s="18"/>
      <c r="AO989" s="6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1"/>
      <c r="AN990" s="18"/>
      <c r="AO990" s="6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1"/>
      <c r="AN991" s="18"/>
      <c r="AO991" s="6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33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1"/>
      <c r="AN992" s="18"/>
      <c r="AO992" s="6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33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1"/>
      <c r="AN993" s="18"/>
      <c r="AO993" s="6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33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1"/>
      <c r="AN994" s="18"/>
      <c r="AO994" s="6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33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1" t="s">
        <v>118</v>
      </c>
      <c r="AN995" s="18"/>
      <c r="AO995" s="6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33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1" t="s">
        <v>118</v>
      </c>
      <c r="AN996" s="18"/>
      <c r="AO996" s="6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33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1" t="s">
        <v>118</v>
      </c>
      <c r="AN997" s="18"/>
      <c r="AO997" s="6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33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1" t="s">
        <v>118</v>
      </c>
      <c r="AN998" s="18"/>
      <c r="AO998" s="6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33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1" t="s">
        <v>118</v>
      </c>
      <c r="AN999" s="18"/>
      <c r="AO999" s="6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33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1" t="s">
        <v>118</v>
      </c>
      <c r="AN1000" s="18"/>
      <c r="AO1000" s="6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33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1" t="s">
        <v>118</v>
      </c>
      <c r="AN1001" s="18"/>
      <c r="AO1001" s="6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33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1" t="s">
        <v>118</v>
      </c>
      <c r="AN1002" s="18"/>
      <c r="AO1002" s="6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33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1"/>
      <c r="AN1003" s="18">
        <v>13.2</v>
      </c>
      <c r="AO1003" s="6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33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1"/>
      <c r="AN1004" s="18">
        <v>17.100000000000001</v>
      </c>
      <c r="AO1004" s="6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33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1"/>
      <c r="AN1005" s="18">
        <v>20</v>
      </c>
      <c r="AO1005" s="6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33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1"/>
      <c r="AN1006" s="18">
        <v>18.899999999999999</v>
      </c>
      <c r="AO1006" s="6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33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1"/>
      <c r="AN1007" s="18">
        <v>11.3</v>
      </c>
      <c r="AO1007" s="6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33"/>
      <c r="BH1007" s="33"/>
      <c r="BI1007" s="33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1"/>
      <c r="AN1008" s="18">
        <v>18.8</v>
      </c>
      <c r="AO1008" s="6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33"/>
      <c r="BH1008" s="33"/>
      <c r="BI1008" s="33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1"/>
      <c r="AN1009" s="18">
        <v>16.899999999999999</v>
      </c>
      <c r="AO1009" s="6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33"/>
      <c r="BH1009" s="33"/>
      <c r="BI1009" s="33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1"/>
      <c r="AN1010" s="18">
        <v>16.3</v>
      </c>
      <c r="AO1010" s="6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33"/>
      <c r="BH1010" s="33"/>
      <c r="BI1010" s="33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1"/>
      <c r="AN1011" s="18">
        <v>10.6</v>
      </c>
      <c r="AO1011" s="6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33"/>
      <c r="BH1011" s="33"/>
      <c r="BI1011" s="33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1"/>
      <c r="AN1012" s="18">
        <v>14.2</v>
      </c>
      <c r="AO1012" s="6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33"/>
      <c r="BH1012" s="33"/>
      <c r="BI1012" s="33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1"/>
      <c r="AN1013" s="18">
        <v>14.6</v>
      </c>
      <c r="AO1013" s="6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33"/>
      <c r="BH1013" s="33"/>
      <c r="BI1013" s="33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1"/>
      <c r="AN1014" s="18">
        <v>13.5</v>
      </c>
      <c r="AO1014" s="6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33"/>
      <c r="BH1014" s="33"/>
      <c r="BI1014" s="33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1"/>
      <c r="AN1015" s="18">
        <v>18.600000000000001</v>
      </c>
      <c r="AO1015" s="6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33"/>
      <c r="BH1015" s="33"/>
      <c r="BI1015" s="33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1"/>
      <c r="AN1016" s="18">
        <v>22.7</v>
      </c>
      <c r="AO1016" s="6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33"/>
      <c r="BH1016" s="33"/>
      <c r="BI1016" s="33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1"/>
      <c r="AN1017" s="18">
        <v>25.4</v>
      </c>
      <c r="AO1017" s="6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33"/>
      <c r="BH1017" s="33"/>
      <c r="BI1017" s="33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1"/>
      <c r="AN1018" s="18">
        <v>25.1</v>
      </c>
      <c r="AO1018" s="6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33"/>
      <c r="BH1018" s="33"/>
      <c r="BI1018" s="33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1"/>
      <c r="AN1019" s="18">
        <v>16.8</v>
      </c>
      <c r="AO1019" s="6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33"/>
      <c r="BH1019" s="33"/>
      <c r="BI1019" s="33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1"/>
      <c r="AN1020" s="18">
        <v>24.9</v>
      </c>
      <c r="AO1020" s="6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33"/>
      <c r="BH1020" s="33"/>
      <c r="BI1020" s="33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1"/>
      <c r="AN1021" s="18">
        <v>22</v>
      </c>
      <c r="AO1021" s="6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33"/>
      <c r="BH1021" s="33"/>
      <c r="BI1021" s="33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1"/>
      <c r="AN1022" s="18">
        <v>22.1</v>
      </c>
      <c r="AO1022" s="6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33"/>
      <c r="BH1022" s="33"/>
      <c r="BI1022" s="33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1"/>
      <c r="AN1023" s="18">
        <v>14.1</v>
      </c>
      <c r="AO1023" s="6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33"/>
      <c r="BH1023" s="33"/>
      <c r="BI1023" s="33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1"/>
      <c r="AN1024" s="18">
        <v>19.2</v>
      </c>
      <c r="AO1024" s="6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33"/>
      <c r="BH1024" s="33"/>
      <c r="BI1024" s="33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1"/>
      <c r="AN1025" s="18">
        <v>18.8</v>
      </c>
      <c r="AO1025" s="6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33"/>
      <c r="BH1025" s="33"/>
      <c r="BI1025" s="33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1"/>
      <c r="AN1026" s="18">
        <v>17.7</v>
      </c>
      <c r="AO1026" s="6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33"/>
      <c r="BH1026" s="33"/>
      <c r="BI1026" s="33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1" t="s">
        <v>118</v>
      </c>
      <c r="AN1027" s="18"/>
      <c r="AO1027" s="6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33"/>
      <c r="BH1027" s="33"/>
      <c r="BI1027" s="33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1">
        <v>6.5058823529411764</v>
      </c>
      <c r="AN1028" s="18"/>
      <c r="AO1028" s="6"/>
      <c r="AP1028" s="33"/>
      <c r="AQ1028" s="33">
        <v>9.0000000000000011E-3</v>
      </c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33"/>
      <c r="BH1028" s="33"/>
      <c r="BI1028" s="33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3"/>
      <c r="AQ1029" s="33">
        <v>7.4999999999999997E-3</v>
      </c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33"/>
      <c r="BH1029" s="33"/>
      <c r="BI1029" s="33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3"/>
      <c r="AQ1030" s="33">
        <v>7.3000000000000001E-3</v>
      </c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33"/>
      <c r="BH1030" s="33"/>
      <c r="BI1030" s="33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3"/>
      <c r="AQ1031" s="33">
        <v>7.4000000000000003E-3</v>
      </c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33"/>
      <c r="BH1031" s="33"/>
      <c r="BI1031" s="33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3"/>
      <c r="AQ1032" s="33">
        <v>6.8000000000000005E-3</v>
      </c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33"/>
      <c r="BH1032" s="33"/>
      <c r="BI1032" s="33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3"/>
      <c r="AQ1033" s="33">
        <v>6.8999999999999999E-3</v>
      </c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33"/>
      <c r="BH1033" s="33"/>
      <c r="BI1033" s="33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3"/>
      <c r="AQ1034" s="33">
        <v>7.4000000000000003E-3</v>
      </c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33"/>
      <c r="BH1034" s="33"/>
      <c r="BI1034" s="33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3"/>
      <c r="AQ1035" s="33">
        <v>8.199999999999999E-3</v>
      </c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33"/>
      <c r="BH1035" s="33"/>
      <c r="BI1035" s="33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3">
        <v>1.9838187702265375E-3</v>
      </c>
      <c r="AQ1036" s="33">
        <v>6.6022099447513817E-3</v>
      </c>
      <c r="AR1036" s="33">
        <v>1.9838187702265375E-3</v>
      </c>
      <c r="AS1036" s="33"/>
      <c r="AT1036" s="33"/>
      <c r="AU1036" s="33">
        <v>5.3125873474331496E-4</v>
      </c>
      <c r="AV1036" s="33"/>
      <c r="AW1036" s="33"/>
      <c r="AX1036" s="33">
        <v>12.965</v>
      </c>
      <c r="AY1036" s="33"/>
      <c r="AZ1036" s="33"/>
      <c r="BA1036" s="33"/>
      <c r="BB1036" s="33"/>
      <c r="BC1036" s="33"/>
      <c r="BD1036" s="33"/>
      <c r="BE1036" s="33"/>
      <c r="BF1036" s="33"/>
      <c r="BG1036" s="33"/>
      <c r="BH1036" s="33"/>
      <c r="BI1036" s="33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7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33"/>
      <c r="BH1037" s="33"/>
      <c r="BI1037" s="33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7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3"/>
      <c r="AQ1038" s="33">
        <v>7.0999999999999995E-3</v>
      </c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33"/>
      <c r="BH1038" s="33"/>
      <c r="BI1038" s="33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3"/>
      <c r="AQ1039" s="33">
        <v>7.7000000000000002E-3</v>
      </c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33"/>
      <c r="BH1039" s="33"/>
      <c r="BI1039" s="33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3">
        <v>1.4114984155726574E-3</v>
      </c>
      <c r="AQ1040" s="33">
        <v>7.1999999999999998E-3</v>
      </c>
      <c r="AR1040" s="33">
        <v>1.4114984155726574E-3</v>
      </c>
      <c r="AS1040" s="33"/>
      <c r="AT1040" s="33"/>
      <c r="AU1040" s="33">
        <v>5.5065051592642449E-4</v>
      </c>
      <c r="AV1040" s="33"/>
      <c r="AW1040" s="33"/>
      <c r="AX1040" s="33">
        <v>11.751000000000001</v>
      </c>
      <c r="AY1040" s="33"/>
      <c r="AZ1040" s="33"/>
      <c r="BA1040" s="33"/>
      <c r="BB1040" s="33"/>
      <c r="BC1040" s="33"/>
      <c r="BD1040" s="33"/>
      <c r="BE1040" s="33"/>
      <c r="BF1040" s="33"/>
      <c r="BG1040" s="33"/>
      <c r="BH1040" s="33"/>
      <c r="BI1040" s="33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3"/>
      <c r="AQ1041" s="33">
        <v>6.0000000000000001E-3</v>
      </c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33"/>
      <c r="BH1041" s="33"/>
      <c r="BI1041" s="33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3"/>
      <c r="AQ1042" s="33">
        <v>8.199999999999999E-3</v>
      </c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33"/>
      <c r="BH1042" s="33"/>
      <c r="BI1042" s="33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3"/>
      <c r="AQ1043" s="33">
        <v>7.0999999999999995E-3</v>
      </c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33"/>
      <c r="BH1043" s="33"/>
      <c r="BI1043" s="33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3"/>
      <c r="AQ1044" s="33">
        <v>5.7999999999999996E-3</v>
      </c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33"/>
      <c r="BH1044" s="33"/>
      <c r="BI1044" s="33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3">
        <v>1.7984779299847794E-3</v>
      </c>
      <c r="AQ1045" s="33">
        <v>6.0000000000000001E-3</v>
      </c>
      <c r="AR1045" s="33">
        <v>1.7984779299847794E-3</v>
      </c>
      <c r="AS1045" s="33"/>
      <c r="AT1045" s="33"/>
      <c r="AU1045" s="33">
        <v>4.7499638676109265E-4</v>
      </c>
      <c r="AV1045" s="33"/>
      <c r="AW1045" s="33"/>
      <c r="AX1045" s="33">
        <v>15.704000000000001</v>
      </c>
      <c r="AY1045" s="33"/>
      <c r="AZ1045" s="33"/>
      <c r="BA1045" s="33"/>
      <c r="BB1045" s="33"/>
      <c r="BC1045" s="33"/>
      <c r="BD1045" s="33"/>
      <c r="BE1045" s="33"/>
      <c r="BF1045" s="33"/>
      <c r="BG1045" s="33"/>
      <c r="BH1045" s="33"/>
      <c r="BI1045" s="33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33"/>
      <c r="BH1046" s="33"/>
      <c r="BI1046" s="33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3"/>
      <c r="AQ1047" s="33">
        <v>1.01E-2</v>
      </c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33"/>
      <c r="BH1047" s="33"/>
      <c r="BI1047" s="33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3"/>
      <c r="AQ1048" s="33">
        <v>9.3999999999999986E-3</v>
      </c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33"/>
      <c r="BH1048" s="33"/>
      <c r="BI1048" s="33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3"/>
      <c r="AQ1049" s="33">
        <v>0.01</v>
      </c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33"/>
      <c r="BH1049" s="33"/>
      <c r="BI1049" s="33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3"/>
      <c r="AQ1050" s="33">
        <v>9.7999999999999997E-3</v>
      </c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33"/>
      <c r="BH1050" s="33"/>
      <c r="BI1050" s="33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3"/>
      <c r="AQ1051" s="33">
        <v>1.0500000000000001E-2</v>
      </c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33"/>
      <c r="BH1051" s="33"/>
      <c r="BI1051" s="33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3"/>
      <c r="AQ1052" s="33">
        <v>1.1000000000000001E-2</v>
      </c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33"/>
      <c r="BH1052" s="33"/>
      <c r="BI1052" s="33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3"/>
      <c r="AQ1053" s="33">
        <v>9.300000000000001E-3</v>
      </c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33"/>
      <c r="BH1053" s="33"/>
      <c r="BI1053" s="33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3"/>
      <c r="AQ1054" s="33">
        <v>1.11E-2</v>
      </c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33"/>
      <c r="BH1054" s="33"/>
      <c r="BI1054" s="33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3">
        <v>2.1467631684760759E-3</v>
      </c>
      <c r="AQ1055" s="54">
        <v>8.355450236966825E-3</v>
      </c>
      <c r="AR1055" s="33">
        <v>2.1467631684760759E-3</v>
      </c>
      <c r="AS1055" s="33"/>
      <c r="AT1055" s="33"/>
      <c r="AU1055" s="33">
        <v>7.7277466440766338E-4</v>
      </c>
      <c r="AV1055" s="33"/>
      <c r="AW1055" s="33"/>
      <c r="AX1055" s="33">
        <v>26.013000000000005</v>
      </c>
      <c r="AY1055" s="33"/>
      <c r="AZ1055" s="33"/>
      <c r="BA1055" s="33"/>
      <c r="BB1055" s="33"/>
      <c r="BC1055" s="33"/>
      <c r="BD1055" s="33"/>
      <c r="BE1055" s="33"/>
      <c r="BF1055" s="33"/>
      <c r="BG1055" s="33"/>
      <c r="BH1055" s="33"/>
      <c r="BI1055" s="33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33"/>
      <c r="BH1056" s="33"/>
      <c r="BI1056" s="33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3"/>
      <c r="AQ1057" s="33">
        <v>1.09E-2</v>
      </c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33"/>
      <c r="BH1057" s="33"/>
      <c r="BI1057" s="33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3"/>
      <c r="AQ1058" s="33">
        <v>1.1399999999999999E-2</v>
      </c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33"/>
      <c r="BH1058" s="33"/>
      <c r="BI1058" s="33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3">
        <v>2.6965232763700646E-3</v>
      </c>
      <c r="AQ1059" s="33">
        <v>9.3999999999999986E-3</v>
      </c>
      <c r="AR1059" s="33">
        <v>2.6965232763700646E-3</v>
      </c>
      <c r="AS1059" s="33"/>
      <c r="AT1059" s="33"/>
      <c r="AU1059" s="33">
        <v>7.416769420468557E-4</v>
      </c>
      <c r="AV1059" s="33"/>
      <c r="AW1059" s="33"/>
      <c r="AX1059" s="33">
        <v>35.235999999999997</v>
      </c>
      <c r="AY1059" s="33"/>
      <c r="AZ1059" s="33"/>
      <c r="BA1059" s="33"/>
      <c r="BB1059" s="33"/>
      <c r="BC1059" s="33"/>
      <c r="BD1059" s="33"/>
      <c r="BE1059" s="33"/>
      <c r="BF1059" s="33"/>
      <c r="BG1059" s="33"/>
      <c r="BH1059" s="33"/>
      <c r="BI1059" s="33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3"/>
      <c r="AQ1060" s="33">
        <v>9.8999999999999991E-3</v>
      </c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33"/>
      <c r="BH1060" s="33"/>
      <c r="BI1060" s="33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3"/>
      <c r="AQ1061" s="33">
        <v>8.5000000000000006E-3</v>
      </c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33"/>
      <c r="BH1061" s="33"/>
      <c r="BI1061" s="33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3"/>
      <c r="AQ1062" s="33">
        <v>8.1000000000000013E-3</v>
      </c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33"/>
      <c r="BH1062" s="33"/>
      <c r="BI1062" s="33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3"/>
      <c r="AQ1063" s="33">
        <v>6.0999999999999995E-3</v>
      </c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33"/>
      <c r="BH1063" s="33"/>
      <c r="BI1063" s="33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3">
        <v>2.1926803013993541E-3</v>
      </c>
      <c r="AQ1064" s="33">
        <v>6.9999999999999993E-3</v>
      </c>
      <c r="AR1064" s="33">
        <v>2.1926803013993541E-3</v>
      </c>
      <c r="AS1064" s="33"/>
      <c r="AT1064" s="33"/>
      <c r="AU1064" s="33">
        <v>4.6956674885523068E-4</v>
      </c>
      <c r="AV1064" s="33"/>
      <c r="AW1064" s="33"/>
      <c r="AX1064" s="33">
        <v>30.543000000000003</v>
      </c>
      <c r="AY1064" s="33"/>
      <c r="AZ1064" s="33"/>
      <c r="BA1064" s="33"/>
      <c r="BB1064" s="33"/>
      <c r="BC1064" s="33"/>
      <c r="BD1064" s="33"/>
      <c r="BE1064" s="33"/>
      <c r="BF1064" s="33"/>
      <c r="BG1064" s="33"/>
      <c r="BH1064" s="33"/>
      <c r="BI1064" s="33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33"/>
      <c r="BH1065" s="33"/>
      <c r="BI1065" s="33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1" t="s">
        <v>118</v>
      </c>
      <c r="AN1066" s="18"/>
      <c r="AO1066" s="22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33"/>
      <c r="BH1066" s="33"/>
      <c r="BI1066" s="33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1" t="s">
        <v>118</v>
      </c>
      <c r="AN1067" s="18"/>
      <c r="AO1067" s="22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33"/>
      <c r="BH1067" s="33"/>
      <c r="BI1067" s="33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1" t="s">
        <v>118</v>
      </c>
      <c r="AN1068" s="18"/>
      <c r="AO1068" s="22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33"/>
      <c r="BH1068" s="33"/>
      <c r="BI1068" s="33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1" t="s">
        <v>118</v>
      </c>
      <c r="AN1069" s="18"/>
      <c r="AO1069" s="22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33"/>
      <c r="BH1069" s="33"/>
      <c r="BI1069" s="33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1" t="s">
        <v>118</v>
      </c>
      <c r="AN1070" s="18"/>
      <c r="AO1070" s="22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33"/>
      <c r="BH1070" s="33"/>
      <c r="BI1070" s="33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1" t="s">
        <v>118</v>
      </c>
      <c r="AN1071" s="18"/>
      <c r="AO1071" s="22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33"/>
      <c r="BH1071" s="33"/>
      <c r="BI1071" s="33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1" t="s">
        <v>118</v>
      </c>
      <c r="AN1072" s="18"/>
      <c r="AO1072" s="22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33"/>
      <c r="BH1072" s="33"/>
      <c r="BI1072" s="33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33"/>
      <c r="BH1073" s="33"/>
      <c r="BI1073" s="33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33"/>
      <c r="BH1074" s="33"/>
      <c r="BI1074" s="33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33"/>
      <c r="BH1075" s="33"/>
      <c r="BI1075" s="33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33"/>
      <c r="BH1076" s="33"/>
      <c r="BI1076" s="33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33"/>
      <c r="BH1077" s="33"/>
      <c r="BI1077" s="33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33"/>
      <c r="BH1078" s="33"/>
      <c r="BI1078" s="33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33"/>
      <c r="BH1079" s="33"/>
      <c r="BI1079" s="33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33"/>
      <c r="BH1080" s="33"/>
      <c r="BI1080" s="33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33"/>
      <c r="BH1081" s="33"/>
      <c r="BI1081" s="33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33"/>
      <c r="BH1082" s="33"/>
      <c r="BI1082" s="33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33"/>
      <c r="BH1083" s="33"/>
      <c r="BI1083" s="33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33"/>
      <c r="BH1084" s="33"/>
      <c r="BI1084" s="33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1">
        <v>0.16922715526773022</v>
      </c>
      <c r="AN1085" s="18"/>
      <c r="AO1085" s="22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33"/>
      <c r="BH1085" s="33"/>
      <c r="BI1085" s="33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33"/>
      <c r="BH1086" s="33"/>
      <c r="BI1086" s="33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1">
        <v>3.3185829755172964</v>
      </c>
      <c r="AN1087" s="18"/>
      <c r="AO1087" s="22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33"/>
      <c r="BH1087" s="33"/>
      <c r="BI1087" s="33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33"/>
      <c r="BH1088" s="33"/>
      <c r="BI1088" s="33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1">
        <v>3.2582171318045408</v>
      </c>
      <c r="AN1089" s="18"/>
      <c r="AO1089" s="22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33"/>
      <c r="BH1089" s="33"/>
      <c r="BI1089" s="33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33"/>
      <c r="BH1090" s="33"/>
      <c r="BI1090" s="33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1">
        <v>7.1083097355867952</v>
      </c>
      <c r="AN1091" s="18"/>
      <c r="AO1091" s="22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33"/>
      <c r="BH1091" s="33"/>
      <c r="BI1091" s="33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33"/>
      <c r="BH1092" s="33"/>
      <c r="BI1092" s="33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1">
        <v>0.69519494384055369</v>
      </c>
      <c r="AN1093" s="18"/>
      <c r="AO1093" s="22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33"/>
      <c r="BH1093" s="33"/>
      <c r="BI1093" s="33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1">
        <v>4.1201917307333336</v>
      </c>
      <c r="AN1094" s="18"/>
      <c r="AO1094" s="22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33"/>
      <c r="BH1094" s="33"/>
      <c r="BI1094" s="33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1">
        <v>3.7425249708935833</v>
      </c>
      <c r="AN1095" s="18"/>
      <c r="AO1095" s="22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33"/>
      <c r="BH1095" s="33"/>
      <c r="BI1095" s="33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1">
        <v>7.0858801446561666</v>
      </c>
      <c r="AN1096" s="18"/>
      <c r="AO1096" s="22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33"/>
      <c r="BH1096" s="33"/>
      <c r="BI1096" s="33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1" t="s">
        <v>118</v>
      </c>
      <c r="AN1097" s="18"/>
      <c r="AO1097" s="22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33"/>
      <c r="BH1097" s="33"/>
      <c r="BI1097" s="33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33"/>
      <c r="BH1098" s="33"/>
      <c r="BI1098" s="33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1" t="s">
        <v>118</v>
      </c>
      <c r="AN1099" s="18"/>
      <c r="AO1099" s="22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33"/>
      <c r="BH1099" s="33"/>
      <c r="BI1099" s="33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33"/>
      <c r="BH1100" s="33"/>
      <c r="BI1100" s="33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1" t="s">
        <v>118</v>
      </c>
      <c r="AN1101" s="18"/>
      <c r="AO1101" s="22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33"/>
      <c r="BH1101" s="33"/>
      <c r="BI1101" s="33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33"/>
      <c r="BH1102" s="33"/>
      <c r="BI1102" s="33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1" t="s">
        <v>118</v>
      </c>
      <c r="AN1103" s="18"/>
      <c r="AO1103" s="22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33"/>
      <c r="BH1103" s="33"/>
      <c r="BI1103" s="33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33"/>
      <c r="BH1104" s="33"/>
      <c r="BI1104" s="33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1" t="s">
        <v>118</v>
      </c>
      <c r="AN1105" s="18"/>
      <c r="AO1105" s="22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33"/>
      <c r="BH1105" s="33"/>
      <c r="BI1105" s="33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1" t="s">
        <v>118</v>
      </c>
      <c r="AN1106" s="18"/>
      <c r="AO1106" s="22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33"/>
      <c r="BH1106" s="33"/>
      <c r="BI1106" s="33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1" t="s">
        <v>118</v>
      </c>
      <c r="AN1107" s="18"/>
      <c r="AO1107" s="22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33"/>
      <c r="BH1107" s="33"/>
      <c r="BI1107" s="33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1" t="s">
        <v>118</v>
      </c>
      <c r="AN1108" s="18"/>
      <c r="AO1108" s="22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33"/>
      <c r="BH1108" s="33"/>
      <c r="BI1108" s="33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1">
        <v>1.0428755953369675</v>
      </c>
      <c r="AN1109" s="18"/>
      <c r="AO1109" s="22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33"/>
      <c r="BH1109" s="33"/>
      <c r="BI1109" s="33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33"/>
      <c r="BH1110" s="33"/>
      <c r="BI1110" s="33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1">
        <v>8.1310031189856424</v>
      </c>
      <c r="AN1111" s="18"/>
      <c r="AO1111" s="22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33"/>
      <c r="BH1111" s="33"/>
      <c r="BI1111" s="33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33"/>
      <c r="BH1112" s="33"/>
      <c r="BI1112" s="33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1">
        <v>7.2955837775266161</v>
      </c>
      <c r="AN1113" s="18"/>
      <c r="AO1113" s="22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33"/>
      <c r="BH1113" s="33"/>
      <c r="BI1113" s="33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33"/>
      <c r="BH1114" s="33"/>
      <c r="BI1114" s="33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1">
        <v>13.062051796132689</v>
      </c>
      <c r="AN1115" s="18"/>
      <c r="AO1115" s="22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33"/>
      <c r="BH1115" s="33"/>
      <c r="BI1115" s="33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33"/>
      <c r="BH1116" s="33"/>
      <c r="BI1116" s="33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1">
        <v>2.3381951490445063</v>
      </c>
      <c r="AN1117" s="18"/>
      <c r="AO1117" s="22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33"/>
      <c r="BH1117" s="33"/>
      <c r="BI1117" s="33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1">
        <v>7.7568825712619445</v>
      </c>
      <c r="AN1118" s="18"/>
      <c r="AO1118" s="22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33"/>
      <c r="BH1118" s="33"/>
      <c r="BI1118" s="33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1">
        <v>7.700822763332007</v>
      </c>
      <c r="AN1119" s="18"/>
      <c r="AO1119" s="22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33"/>
      <c r="BH1119" s="33"/>
      <c r="BI1119" s="33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1">
        <v>11.949014029540374</v>
      </c>
      <c r="AN1120" s="18"/>
      <c r="AO1120" s="22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33"/>
      <c r="BH1120" s="33"/>
      <c r="BI1120" s="33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1" t="s">
        <v>118</v>
      </c>
      <c r="AN1121" s="18"/>
      <c r="AO1121" s="22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33"/>
      <c r="BH1121" s="33"/>
      <c r="BI1121" s="33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1" t="s">
        <v>118</v>
      </c>
      <c r="AN1122" s="18"/>
      <c r="AO1122" s="22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33"/>
      <c r="BH1122" s="33"/>
      <c r="BI1122" s="33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1" t="s">
        <v>118</v>
      </c>
      <c r="AN1123" s="18"/>
      <c r="AO1123" s="22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33"/>
      <c r="BH1123" s="33"/>
      <c r="BI1123" s="33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1" t="s">
        <v>118</v>
      </c>
      <c r="AN1124" s="18"/>
      <c r="AO1124" s="22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33"/>
      <c r="BH1124" s="33"/>
      <c r="BI1124" s="33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1" t="s">
        <v>118</v>
      </c>
      <c r="AN1125" s="18"/>
      <c r="AO1125" s="22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33"/>
      <c r="BH1125" s="33"/>
      <c r="BI1125" s="33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1" t="s">
        <v>118</v>
      </c>
      <c r="AN1126" s="18"/>
      <c r="AO1126" s="22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33"/>
      <c r="BH1126" s="33"/>
      <c r="BI1126" s="33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1" t="s">
        <v>118</v>
      </c>
      <c r="AN1127" s="18"/>
      <c r="AO1127" s="22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33"/>
      <c r="BH1127" s="33"/>
      <c r="BI1127" s="33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1" t="s">
        <v>118</v>
      </c>
      <c r="AN1128" s="18"/>
      <c r="AO1128" s="22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33"/>
      <c r="BH1128" s="33"/>
      <c r="BI1128" s="33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1" t="s">
        <v>118</v>
      </c>
      <c r="AN1129" s="18"/>
      <c r="AO1129" s="22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33"/>
      <c r="BH1129" s="33"/>
      <c r="BI1129" s="33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33"/>
      <c r="BH1130" s="33"/>
      <c r="BI1130" s="33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1" t="s">
        <v>118</v>
      </c>
      <c r="AN1131" s="18"/>
      <c r="AO1131" s="22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33"/>
      <c r="BH1131" s="33"/>
      <c r="BI1131" s="33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33"/>
      <c r="BH1132" s="33"/>
      <c r="BI1132" s="33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1" t="s">
        <v>118</v>
      </c>
      <c r="AN1133" s="18"/>
      <c r="AO1133" s="22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33"/>
      <c r="BH1133" s="33"/>
      <c r="BI1133" s="33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33"/>
      <c r="BH1134" s="33"/>
      <c r="BI1134" s="33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1" t="s">
        <v>118</v>
      </c>
      <c r="AN1135" s="18"/>
      <c r="AO1135" s="22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33"/>
      <c r="BH1135" s="33"/>
      <c r="BI1135" s="33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33"/>
      <c r="BH1136" s="33"/>
      <c r="BI1136" s="33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1" t="s">
        <v>118</v>
      </c>
      <c r="AN1137" s="18"/>
      <c r="AO1137" s="22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33"/>
      <c r="BH1137" s="33"/>
      <c r="BI1137" s="33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1" t="s">
        <v>118</v>
      </c>
      <c r="AN1138" s="18"/>
      <c r="AO1138" s="22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33"/>
      <c r="BH1138" s="33"/>
      <c r="BI1138" s="33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1" t="s">
        <v>118</v>
      </c>
      <c r="AN1139" s="18"/>
      <c r="AO1139" s="22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33"/>
      <c r="BH1139" s="33"/>
      <c r="BI1139" s="33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1" t="s">
        <v>118</v>
      </c>
      <c r="AN1140" s="18"/>
      <c r="AO1140" s="22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33"/>
      <c r="BH1140" s="33"/>
      <c r="BI1140" s="33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1" t="s">
        <v>118</v>
      </c>
      <c r="AN1141" s="18"/>
      <c r="AO1141" s="22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33"/>
      <c r="BH1141" s="33"/>
      <c r="BI1141" s="33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1" t="s">
        <v>118</v>
      </c>
      <c r="AN1142" s="18"/>
      <c r="AO1142" s="22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33"/>
      <c r="BH1142" s="33"/>
      <c r="BI1142" s="33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1" t="s">
        <v>118</v>
      </c>
      <c r="AN1143" s="18"/>
      <c r="AO1143" s="22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33"/>
      <c r="BH1143" s="33"/>
      <c r="BI1143" s="33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1" t="s">
        <v>118</v>
      </c>
      <c r="AN1144" s="18"/>
      <c r="AO1144" s="22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33"/>
      <c r="BH1144" s="33"/>
      <c r="BI1144" s="33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1" t="s">
        <v>118</v>
      </c>
      <c r="AN1145" s="18"/>
      <c r="AO1145" s="22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33"/>
      <c r="BH1145" s="33"/>
      <c r="BI1145" s="33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1" t="s">
        <v>118</v>
      </c>
      <c r="AN1146" s="18"/>
      <c r="AO1146" s="22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33"/>
      <c r="BH1146" s="33"/>
      <c r="BI1146" s="33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1" t="s">
        <v>118</v>
      </c>
      <c r="AN1147" s="18"/>
      <c r="AO1147" s="22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33"/>
      <c r="BH1147" s="33"/>
      <c r="BI1147" s="33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1" t="s">
        <v>118</v>
      </c>
      <c r="AN1148" s="18"/>
      <c r="AO1148" s="22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33"/>
      <c r="BH1148" s="33"/>
      <c r="BI1148" s="33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1" t="s">
        <v>118</v>
      </c>
      <c r="AN1149" s="18"/>
      <c r="AO1149" s="22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33"/>
      <c r="BH1149" s="33"/>
      <c r="BI1149" s="33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1" t="s">
        <v>118</v>
      </c>
      <c r="AN1150" s="18"/>
      <c r="AO1150" s="22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33"/>
      <c r="BH1150" s="33"/>
      <c r="BI1150" s="33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1" t="s">
        <v>118</v>
      </c>
      <c r="AN1151" s="18"/>
      <c r="AO1151" s="22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33"/>
      <c r="BH1151" s="33"/>
      <c r="BI1151" s="33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1" t="s">
        <v>118</v>
      </c>
      <c r="AN1152" s="18"/>
      <c r="AO1152" s="22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33"/>
      <c r="BH1152" s="33"/>
      <c r="BI1152" s="33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1" t="s">
        <v>118</v>
      </c>
      <c r="AN1153" s="18"/>
      <c r="AO1153" s="22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33"/>
      <c r="BH1153" s="33"/>
      <c r="BI1153" s="33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1" t="s">
        <v>118</v>
      </c>
      <c r="AN1154" s="18"/>
      <c r="AO1154" s="22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33"/>
      <c r="BH1154" s="33"/>
      <c r="BI1154" s="33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1" t="s">
        <v>118</v>
      </c>
      <c r="AN1155" s="18"/>
      <c r="AO1155" s="22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33"/>
      <c r="BH1155" s="33"/>
      <c r="BI1155" s="33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1" t="s">
        <v>118</v>
      </c>
      <c r="AN1156" s="18"/>
      <c r="AO1156" s="22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33"/>
      <c r="BH1156" s="33"/>
      <c r="BI1156" s="33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1">
        <v>3.0919675448381492</v>
      </c>
      <c r="AN1157" s="18"/>
      <c r="AO1157" s="22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33"/>
      <c r="BH1157" s="33"/>
      <c r="BI1157" s="33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1">
        <v>13.50670940900261</v>
      </c>
      <c r="AN1158" s="18"/>
      <c r="AO1158" s="22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33"/>
      <c r="BH1158" s="33"/>
      <c r="BI1158" s="33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1">
        <v>11.238277171189129</v>
      </c>
      <c r="AN1159" s="18"/>
      <c r="AO1159" s="22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33"/>
      <c r="BH1159" s="33"/>
      <c r="BI1159" s="33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1">
        <v>16.870546945281397</v>
      </c>
      <c r="AN1160" s="18"/>
      <c r="AO1160" s="22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33"/>
      <c r="BH1160" s="33"/>
      <c r="BI1160" s="33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1" t="s">
        <v>118</v>
      </c>
      <c r="AN1161" s="18"/>
      <c r="AO1161" s="22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33"/>
      <c r="BH1161" s="33"/>
      <c r="BI1161" s="33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1" t="s">
        <v>118</v>
      </c>
      <c r="AN1162" s="18"/>
      <c r="AO1162" s="22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33"/>
      <c r="BH1162" s="33"/>
      <c r="BI1162" s="33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1" t="s">
        <v>118</v>
      </c>
      <c r="AN1163" s="18"/>
      <c r="AO1163" s="22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33"/>
      <c r="BH1163" s="33"/>
      <c r="BI1163" s="33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1" t="s">
        <v>118</v>
      </c>
      <c r="AN1164" s="18"/>
      <c r="AO1164" s="22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33"/>
      <c r="BH1164" s="33"/>
      <c r="BI1164" s="33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1" t="s">
        <v>118</v>
      </c>
      <c r="AN1165" s="18"/>
      <c r="AO1165" s="22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33"/>
      <c r="BH1165" s="33"/>
      <c r="BI1165" s="33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1" t="s">
        <v>118</v>
      </c>
      <c r="AN1166" s="18"/>
      <c r="AO1166" s="22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33"/>
      <c r="BH1166" s="33"/>
      <c r="BI1166" s="33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1" t="s">
        <v>118</v>
      </c>
      <c r="AN1167" s="18"/>
      <c r="AO1167" s="22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33"/>
      <c r="BH1167" s="33"/>
      <c r="BI1167" s="33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1" t="s">
        <v>118</v>
      </c>
      <c r="AN1168" s="18"/>
      <c r="AO1168" s="22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33"/>
      <c r="BH1168" s="33"/>
      <c r="BI1168" s="33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1" t="s">
        <v>118</v>
      </c>
      <c r="AN1169" s="18"/>
      <c r="AO1169" s="22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33"/>
      <c r="BH1169" s="33"/>
      <c r="BI1169" s="33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1" t="s">
        <v>118</v>
      </c>
      <c r="AN1170" s="18"/>
      <c r="AO1170" s="22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33"/>
      <c r="BH1170" s="33"/>
      <c r="BI1170" s="33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1" t="s">
        <v>118</v>
      </c>
      <c r="AN1171" s="18"/>
      <c r="AO1171" s="22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33"/>
      <c r="BH1171" s="33"/>
      <c r="BI1171" s="33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1" t="s">
        <v>118</v>
      </c>
      <c r="AN1172" s="18"/>
      <c r="AO1172" s="22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33"/>
      <c r="BH1172" s="33"/>
      <c r="BI1172" s="33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1">
        <v>3.8250022908063337</v>
      </c>
      <c r="AN1173" s="18"/>
      <c r="AO1173" s="22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33"/>
      <c r="BH1173" s="33"/>
      <c r="BI1173" s="33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1">
        <v>14.786097469285231</v>
      </c>
      <c r="AN1174" s="18"/>
      <c r="AO1174" s="22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33"/>
      <c r="BH1174" s="33"/>
      <c r="BI1174" s="33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1">
        <v>12.317027651672337</v>
      </c>
      <c r="AN1175" s="18"/>
      <c r="AO1175" s="22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33"/>
      <c r="BH1175" s="33"/>
      <c r="BI1175" s="33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1">
        <v>17.599080433012894</v>
      </c>
      <c r="AN1176" s="18"/>
      <c r="AO1176" s="22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33"/>
      <c r="BH1176" s="33"/>
      <c r="BI1176" s="33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1" t="s">
        <v>118</v>
      </c>
      <c r="AN1177" s="18"/>
      <c r="AO1177" s="22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33"/>
      <c r="BH1177" s="33"/>
      <c r="BI1177" s="33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1" t="s">
        <v>118</v>
      </c>
      <c r="AN1178" s="18"/>
      <c r="AO1178" s="22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33"/>
      <c r="BH1178" s="33"/>
      <c r="BI1178" s="33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1" t="s">
        <v>118</v>
      </c>
      <c r="AN1179" s="18"/>
      <c r="AO1179" s="22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33"/>
      <c r="BH1179" s="33"/>
      <c r="BI1179" s="33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1" t="s">
        <v>118</v>
      </c>
      <c r="AN1180" s="18"/>
      <c r="AO1180" s="22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33"/>
      <c r="BH1180" s="33"/>
      <c r="BI1180" s="33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1" t="s">
        <v>118</v>
      </c>
      <c r="AN1181" s="18"/>
      <c r="AO1181" s="22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33"/>
      <c r="BH1181" s="33"/>
      <c r="BI1181" s="33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1" t="s">
        <v>118</v>
      </c>
      <c r="AN1182" s="18"/>
      <c r="AO1182" s="22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33"/>
      <c r="BH1182" s="33"/>
      <c r="BI1182" s="33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1" t="s">
        <v>118</v>
      </c>
      <c r="AN1183" s="18"/>
      <c r="AO1183" s="22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33"/>
      <c r="BH1183" s="33"/>
      <c r="BI1183" s="33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1" t="s">
        <v>118</v>
      </c>
      <c r="AN1184" s="18"/>
      <c r="AO1184" s="22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33"/>
      <c r="BH1184" s="33"/>
      <c r="BI1184" s="33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1" t="s">
        <v>118</v>
      </c>
      <c r="AN1185" s="18"/>
      <c r="AO1185" s="22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33"/>
      <c r="BH1185" s="33"/>
      <c r="BI1185" s="33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1" t="s">
        <v>118</v>
      </c>
      <c r="AN1186" s="18"/>
      <c r="AO1186" s="22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33"/>
      <c r="BH1186" s="33"/>
      <c r="BI1186" s="33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1" t="s">
        <v>118</v>
      </c>
      <c r="AN1187" s="18"/>
      <c r="AO1187" s="22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33"/>
      <c r="BH1187" s="33"/>
      <c r="BI1187" s="33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1" t="s">
        <v>118</v>
      </c>
      <c r="AN1188" s="18"/>
      <c r="AO1188" s="22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33"/>
      <c r="BH1188" s="33"/>
      <c r="BI1188" s="33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1">
        <v>4.2344235693486771</v>
      </c>
      <c r="AN1189" s="18"/>
      <c r="AO1189" s="22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33"/>
      <c r="BH1189" s="33"/>
      <c r="BI1189" s="33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1">
        <v>14.990538387628003</v>
      </c>
      <c r="AN1190" s="18"/>
      <c r="AO1190" s="22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33"/>
      <c r="BH1190" s="33"/>
      <c r="BI1190" s="33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1">
        <v>12.674027451351634</v>
      </c>
      <c r="AN1191" s="18"/>
      <c r="AO1191" s="22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33"/>
      <c r="BH1191" s="33"/>
      <c r="BI1191" s="33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1">
        <v>18.088670717507874</v>
      </c>
      <c r="AN1192" s="18"/>
      <c r="AO1192" s="22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33"/>
      <c r="BH1192" s="33"/>
      <c r="BI1192" s="33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1">
        <v>4.5217067802225461</v>
      </c>
      <c r="AN1193" s="18"/>
      <c r="AO1193" s="22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33"/>
      <c r="BH1193" s="33"/>
      <c r="BI1193" s="33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1">
        <v>8.9923014335270572</v>
      </c>
      <c r="AN1194" s="18"/>
      <c r="AO1194" s="22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33"/>
      <c r="BH1194" s="33"/>
      <c r="BI1194" s="33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1">
        <v>9.1085751650358677</v>
      </c>
      <c r="AN1195" s="18"/>
      <c r="AO1195" s="22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33"/>
      <c r="BH1195" s="33"/>
      <c r="BI1195" s="33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1">
        <v>11.953689752212041</v>
      </c>
      <c r="AN1196" s="18"/>
      <c r="AO1196" s="22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33"/>
      <c r="BH1196" s="33"/>
      <c r="BI1196" s="33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1" t="s">
        <v>118</v>
      </c>
      <c r="AN1197" s="18"/>
      <c r="AO1197" s="22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33"/>
      <c r="BH1197" s="33"/>
      <c r="BI1197" s="33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1" t="s">
        <v>118</v>
      </c>
      <c r="AN1198" s="18"/>
      <c r="AO1198" s="22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33"/>
      <c r="BH1198" s="33"/>
      <c r="BI1198" s="33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1" t="s">
        <v>118</v>
      </c>
      <c r="AN1199" s="18"/>
      <c r="AO1199" s="22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33"/>
      <c r="BH1199" s="33"/>
      <c r="BI1199" s="33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1" t="s">
        <v>118</v>
      </c>
      <c r="AN1200" s="18"/>
      <c r="AO1200" s="22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33"/>
      <c r="BH1200" s="33"/>
      <c r="BI1200" s="33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1" t="s">
        <v>118</v>
      </c>
      <c r="AN1201" s="18"/>
      <c r="AO1201" s="22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33"/>
      <c r="BH1201" s="33"/>
      <c r="BI1201" s="33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1" t="s">
        <v>118</v>
      </c>
      <c r="AN1202" s="18"/>
      <c r="AO1202" s="22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33"/>
      <c r="BH1202" s="33"/>
      <c r="BI1202" s="33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1" t="s">
        <v>118</v>
      </c>
      <c r="AN1203" s="18"/>
      <c r="AO1203" s="22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33"/>
      <c r="BH1203" s="33"/>
      <c r="BI1203" s="33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1" t="s">
        <v>118</v>
      </c>
      <c r="AN1204" s="18"/>
      <c r="AO1204" s="22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33"/>
      <c r="BH1204" s="33"/>
      <c r="BI1204" s="33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1" t="s">
        <v>118</v>
      </c>
      <c r="AN1205" s="18"/>
      <c r="AO1205" s="22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33"/>
      <c r="BH1205" s="33"/>
      <c r="BI1205" s="33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1" t="s">
        <v>118</v>
      </c>
      <c r="AN1206" s="18"/>
      <c r="AO1206" s="22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33"/>
      <c r="BH1206" s="33"/>
      <c r="BI1206" s="33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1" t="s">
        <v>118</v>
      </c>
      <c r="AN1207" s="18"/>
      <c r="AO1207" s="22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33"/>
      <c r="BH1207" s="33"/>
      <c r="BI1207" s="33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1" t="s">
        <v>118</v>
      </c>
      <c r="AN1208" s="18"/>
      <c r="AO1208" s="22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33"/>
      <c r="BH1208" s="33"/>
      <c r="BI1208" s="33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1" t="s">
        <v>118</v>
      </c>
      <c r="AN1209" s="18"/>
      <c r="AO1209" s="22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33"/>
      <c r="BH1209" s="33"/>
      <c r="BI1209" s="33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1" t="s">
        <v>118</v>
      </c>
      <c r="AN1210" s="18"/>
      <c r="AO1210" s="22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33"/>
      <c r="BH1210" s="33"/>
      <c r="BI1210" s="33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1" t="s">
        <v>118</v>
      </c>
      <c r="AN1211" s="18"/>
      <c r="AO1211" s="22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33"/>
      <c r="BH1211" s="33"/>
      <c r="BI1211" s="33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1" t="s">
        <v>118</v>
      </c>
      <c r="AN1212" s="18"/>
      <c r="AO1212" s="22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33"/>
      <c r="BH1212" s="33"/>
      <c r="BI1212" s="33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1">
        <v>5.0097572907641501</v>
      </c>
      <c r="AN1213" s="18"/>
      <c r="AO1213" s="22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33"/>
      <c r="BH1213" s="33"/>
      <c r="BI1213" s="33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1">
        <v>15.40049051962702</v>
      </c>
      <c r="AN1214" s="18"/>
      <c r="AO1214" s="22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33"/>
      <c r="BH1214" s="33"/>
      <c r="BI1214" s="33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1">
        <v>13.393564492470732</v>
      </c>
      <c r="AN1215" s="18"/>
      <c r="AO1215" s="22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33"/>
      <c r="BH1215" s="33"/>
      <c r="BI1215" s="33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1">
        <v>17.899989964207265</v>
      </c>
      <c r="AN1216" s="18"/>
      <c r="AO1216" s="22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33"/>
      <c r="BH1216" s="33"/>
      <c r="BI1216" s="33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1" t="s">
        <v>118</v>
      </c>
      <c r="AN1217" s="18"/>
      <c r="AO1217" s="22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33"/>
      <c r="BH1217" s="33"/>
      <c r="BI1217" s="33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1" t="s">
        <v>118</v>
      </c>
      <c r="AN1218" s="18"/>
      <c r="AO1218" s="22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33"/>
      <c r="BH1218" s="33"/>
      <c r="BI1218" s="33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1" t="s">
        <v>118</v>
      </c>
      <c r="AN1219" s="18"/>
      <c r="AO1219" s="22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33"/>
      <c r="BH1219" s="33"/>
      <c r="BI1219" s="33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1" t="s">
        <v>118</v>
      </c>
      <c r="AN1220" s="18"/>
      <c r="AO1220" s="22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33"/>
      <c r="BH1220" s="33"/>
      <c r="BI1220" s="33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1" t="s">
        <v>118</v>
      </c>
      <c r="AN1221" s="18"/>
      <c r="AO1221" s="22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33"/>
      <c r="BH1221" s="33"/>
      <c r="BI1221" s="33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1" t="s">
        <v>118</v>
      </c>
      <c r="AN1222" s="18"/>
      <c r="AO1222" s="22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33"/>
      <c r="BH1222" s="33"/>
      <c r="BI1222" s="33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1" t="s">
        <v>118</v>
      </c>
      <c r="AN1223" s="18"/>
      <c r="AO1223" s="22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33"/>
      <c r="BH1223" s="33"/>
      <c r="BI1223" s="33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1" t="s">
        <v>118</v>
      </c>
      <c r="AN1224" s="18"/>
      <c r="AO1224" s="22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33"/>
      <c r="BH1224" s="33"/>
      <c r="BI1224" s="33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1" t="s">
        <v>118</v>
      </c>
      <c r="AN1225" s="18"/>
      <c r="AO1225" s="22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33"/>
      <c r="BH1225" s="33"/>
      <c r="BI1225" s="33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1" t="s">
        <v>118</v>
      </c>
      <c r="AN1226" s="18"/>
      <c r="AO1226" s="22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33"/>
      <c r="BH1226" s="33"/>
      <c r="BI1226" s="33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1" t="s">
        <v>118</v>
      </c>
      <c r="AN1227" s="18"/>
      <c r="AO1227" s="22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33"/>
      <c r="BH1227" s="33"/>
      <c r="BI1227" s="33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1" t="s">
        <v>118</v>
      </c>
      <c r="AN1228" s="18"/>
      <c r="AO1228" s="22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33"/>
      <c r="BH1228" s="33"/>
      <c r="BI1228" s="33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1">
        <v>5.0500191367201541</v>
      </c>
      <c r="AN1229" s="18"/>
      <c r="AO1229" s="22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33"/>
      <c r="BH1229" s="33"/>
      <c r="BI1229" s="33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1">
        <v>17.190604400064636</v>
      </c>
      <c r="AN1230" s="18"/>
      <c r="AO1230" s="22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33"/>
      <c r="BH1230" s="33"/>
      <c r="BI1230" s="33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1">
        <v>13.995419100686632</v>
      </c>
      <c r="AN1231" s="18"/>
      <c r="AO1231" s="22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33"/>
      <c r="BH1231" s="33"/>
      <c r="BI1231" s="33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1">
        <v>18.914070407595563</v>
      </c>
      <c r="AN1232" s="18"/>
      <c r="AO1232" s="22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33"/>
      <c r="BH1232" s="33"/>
      <c r="BI1232" s="33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1">
        <v>6.6522571127104646</v>
      </c>
      <c r="AN1233" s="18"/>
      <c r="AO1233" s="22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33"/>
      <c r="BH1233" s="33"/>
      <c r="BI1233" s="33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1">
        <v>12.274900128121047</v>
      </c>
      <c r="AN1234" s="18"/>
      <c r="AO1234" s="22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33"/>
      <c r="BH1234" s="33"/>
      <c r="BI1234" s="33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1">
        <v>13.023996456516057</v>
      </c>
      <c r="AN1235" s="18"/>
      <c r="AO1235" s="22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33"/>
      <c r="BH1235" s="33"/>
      <c r="BI1235" s="33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1">
        <v>15.260646145978727</v>
      </c>
      <c r="AN1236" s="18"/>
      <c r="AO1236" s="22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33"/>
      <c r="BH1236" s="33"/>
      <c r="BI1236" s="33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1" t="s">
        <v>118</v>
      </c>
      <c r="AN1237" s="18"/>
      <c r="AO1237" s="22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33"/>
      <c r="BH1237" s="33"/>
      <c r="BI1237" s="33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1" t="s">
        <v>118</v>
      </c>
      <c r="AN1238" s="18"/>
      <c r="AO1238" s="22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33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1" t="s">
        <v>118</v>
      </c>
      <c r="AN1239" s="18"/>
      <c r="AO1239" s="22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33"/>
      <c r="BH1239" s="33"/>
      <c r="BI1239" s="33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1" t="s">
        <v>118</v>
      </c>
      <c r="AN1240" s="18"/>
      <c r="AO1240" s="22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33"/>
      <c r="BH1240" s="33"/>
      <c r="BI1240" s="33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1" t="s">
        <v>118</v>
      </c>
      <c r="AN1241" s="18"/>
      <c r="AO1241" s="22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33"/>
      <c r="BH1241" s="33"/>
      <c r="BI1241" s="33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1" t="s">
        <v>118</v>
      </c>
      <c r="AN1242" s="18"/>
      <c r="AO1242" s="22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33"/>
      <c r="BH1242" s="33"/>
      <c r="BI1242" s="33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1" t="s">
        <v>118</v>
      </c>
      <c r="AN1243" s="18"/>
      <c r="AO1243" s="22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33"/>
      <c r="BH1243" s="33"/>
      <c r="BI1243" s="33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1" t="s">
        <v>118</v>
      </c>
      <c r="AN1244" s="18"/>
      <c r="AO1244" s="22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33"/>
      <c r="BH1244" s="33"/>
      <c r="BI1244" s="33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1">
        <v>5.0257522648693023</v>
      </c>
      <c r="AN1245" s="18"/>
      <c r="AO1245" s="22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33"/>
      <c r="BH1245" s="33"/>
      <c r="BI1245" s="33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1">
        <v>16.078556453660649</v>
      </c>
      <c r="AN1246" s="18"/>
      <c r="AO1246" s="22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33"/>
      <c r="BH1246" s="33"/>
      <c r="BI1246" s="33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1">
        <v>12.937082502395675</v>
      </c>
      <c r="AN1247" s="18"/>
      <c r="AO1247" s="22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33"/>
      <c r="BH1247" s="33"/>
      <c r="BI1247" s="33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1">
        <v>17.604701608644845</v>
      </c>
      <c r="AN1248" s="18"/>
      <c r="AO1248" s="22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33"/>
      <c r="BH1248" s="33"/>
      <c r="BI1248" s="33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1">
        <v>6.6583769999483158</v>
      </c>
      <c r="AN1249" s="18"/>
      <c r="AO1249" s="22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33"/>
      <c r="BH1249" s="33"/>
      <c r="BI1249" s="33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1">
        <v>11.954384136012736</v>
      </c>
      <c r="AN1250" s="18"/>
      <c r="AO1250" s="22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33"/>
      <c r="BH1250" s="33"/>
      <c r="BI1250" s="33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1">
        <v>12.708505715528387</v>
      </c>
      <c r="AN1251" s="18"/>
      <c r="AO1251" s="22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33"/>
      <c r="BH1251" s="33"/>
      <c r="BI1251" s="33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1">
        <v>14.325792542616512</v>
      </c>
      <c r="AN1252" s="18"/>
      <c r="AO1252" s="22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33"/>
      <c r="BH1252" s="33"/>
      <c r="BI1252" s="33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1" t="s">
        <v>118</v>
      </c>
      <c r="AN1253" s="18"/>
      <c r="AO1253" s="22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33"/>
      <c r="BH1253" s="33"/>
      <c r="BI1253" s="33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1" t="s">
        <v>118</v>
      </c>
      <c r="AN1254" s="18"/>
      <c r="AO1254" s="22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33"/>
      <c r="BH1254" s="33"/>
      <c r="BI1254" s="33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1" t="s">
        <v>118</v>
      </c>
      <c r="AN1255" s="18"/>
      <c r="AO1255" s="22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33"/>
      <c r="BH1255" s="33"/>
      <c r="BI1255" s="33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1" t="s">
        <v>118</v>
      </c>
      <c r="AN1256" s="18"/>
      <c r="AO1256" s="22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33"/>
      <c r="BH1256" s="33"/>
      <c r="BI1256" s="33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1" t="s">
        <v>118</v>
      </c>
      <c r="AN1257" s="18"/>
      <c r="AO1257" s="22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33"/>
      <c r="BH1257" s="33"/>
      <c r="BI1257" s="33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1" t="s">
        <v>118</v>
      </c>
      <c r="AN1258" s="18"/>
      <c r="AO1258" s="22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33"/>
      <c r="BH1258" s="33"/>
      <c r="BI1258" s="33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1" t="s">
        <v>118</v>
      </c>
      <c r="AN1259" s="18"/>
      <c r="AO1259" s="22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33"/>
      <c r="BH1259" s="33"/>
      <c r="BI1259" s="33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1" t="s">
        <v>118</v>
      </c>
      <c r="AN1260" s="18"/>
      <c r="AO1260" s="22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33"/>
      <c r="BH1260" s="33"/>
      <c r="BI1260" s="33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1">
        <v>5.3060031401889987</v>
      </c>
      <c r="AN1261" s="18"/>
      <c r="AO1261" s="22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33"/>
      <c r="BH1261" s="33"/>
      <c r="BI1261" s="33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1">
        <v>16.142265216289555</v>
      </c>
      <c r="AN1262" s="18"/>
      <c r="AO1262" s="22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33"/>
      <c r="BH1262" s="33"/>
      <c r="BI1262" s="33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1">
        <v>13.657138624049338</v>
      </c>
      <c r="AN1263" s="18"/>
      <c r="AO1263" s="22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33"/>
      <c r="BH1263" s="33"/>
      <c r="BI1263" s="33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1">
        <v>17.862448340056527</v>
      </c>
      <c r="AN1264" s="18"/>
      <c r="AO1264" s="22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33"/>
      <c r="BH1264" s="33"/>
      <c r="BI1264" s="33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1">
        <v>7.0809936636511805</v>
      </c>
      <c r="AN1265" s="18"/>
      <c r="AO1265" s="22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33"/>
      <c r="BH1265" s="33"/>
      <c r="BI1265" s="33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1">
        <v>12.355441028258092</v>
      </c>
      <c r="AN1266" s="18"/>
      <c r="AO1266" s="22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33"/>
      <c r="BH1266" s="33"/>
      <c r="BI1266" s="33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1">
        <v>13.033234612367506</v>
      </c>
      <c r="AN1267" s="18"/>
      <c r="AO1267" s="22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33"/>
      <c r="BH1267" s="33"/>
      <c r="BI1267" s="33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1">
        <v>14.928154565465759</v>
      </c>
      <c r="AN1268" s="18"/>
      <c r="AO1268" s="22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33"/>
      <c r="BH1268" s="33"/>
      <c r="BI1268" s="33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1" t="s">
        <v>118</v>
      </c>
      <c r="AN1269" s="18"/>
      <c r="AO1269" s="22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33"/>
      <c r="BH1269" s="33"/>
      <c r="BI1269" s="33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1" t="s">
        <v>118</v>
      </c>
      <c r="AN1270" s="18"/>
      <c r="AO1270" s="22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33"/>
      <c r="BH1270" s="33"/>
      <c r="BI1270" s="33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1" t="s">
        <v>118</v>
      </c>
      <c r="AN1271" s="18"/>
      <c r="AO1271" s="22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33"/>
      <c r="BH1271" s="33"/>
      <c r="BI1271" s="33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1" t="s">
        <v>118</v>
      </c>
      <c r="AN1272" s="18"/>
      <c r="AO1272" s="22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33"/>
      <c r="BH1272" s="33"/>
      <c r="BI1272" s="33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1" t="s">
        <v>118</v>
      </c>
      <c r="AN1273" s="18"/>
      <c r="AO1273" s="22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33"/>
      <c r="BH1273" s="33"/>
      <c r="BI1273" s="33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1" t="s">
        <v>118</v>
      </c>
      <c r="AN1274" s="18"/>
      <c r="AO1274" s="22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33"/>
      <c r="BH1274" s="33"/>
      <c r="BI1274" s="33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1" t="s">
        <v>118</v>
      </c>
      <c r="AN1275" s="18"/>
      <c r="AO1275" s="22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33"/>
      <c r="BH1275" s="33"/>
      <c r="BI1275" s="33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1" t="s">
        <v>118</v>
      </c>
      <c r="AN1276" s="18"/>
      <c r="AO1276" s="22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33"/>
      <c r="BH1276" s="33"/>
      <c r="BI1276" s="33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1" t="s">
        <v>118</v>
      </c>
      <c r="AN1277" s="18"/>
      <c r="AO1277" s="22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33"/>
      <c r="BH1277" s="33"/>
      <c r="BI1277" s="33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1" t="s">
        <v>118</v>
      </c>
      <c r="AN1278" s="18"/>
      <c r="AO1278" s="22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33"/>
      <c r="BH1278" s="33"/>
      <c r="BI1278" s="33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1" t="s">
        <v>118</v>
      </c>
      <c r="AN1279" s="18"/>
      <c r="AO1279" s="22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33"/>
      <c r="BH1279" s="33"/>
      <c r="BI1279" s="33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1" t="s">
        <v>118</v>
      </c>
      <c r="AN1280" s="18"/>
      <c r="AO1280" s="22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33"/>
      <c r="BH1280" s="33"/>
      <c r="BI1280" s="33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1" t="s">
        <v>118</v>
      </c>
      <c r="AN1281" s="18"/>
      <c r="AO1281" s="22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33"/>
      <c r="BH1281" s="33"/>
      <c r="BI1281" s="33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1" t="s">
        <v>118</v>
      </c>
      <c r="AN1282" s="18"/>
      <c r="AO1282" s="22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33"/>
      <c r="BH1282" s="33"/>
      <c r="BI1282" s="33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1" t="s">
        <v>118</v>
      </c>
      <c r="AN1283" s="18"/>
      <c r="AO1283" s="22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33"/>
      <c r="BH1283" s="33"/>
      <c r="BI1283" s="33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1" t="s">
        <v>118</v>
      </c>
      <c r="AN1284" s="18"/>
      <c r="AO1284" s="22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33"/>
      <c r="BH1284" s="33"/>
      <c r="BI1284" s="33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1">
        <v>5.6166788615799694</v>
      </c>
      <c r="AN1285" s="18"/>
      <c r="AO1285" s="22"/>
      <c r="AP1285" s="33"/>
      <c r="AQ1285" s="33">
        <v>1.0999999999999999E-2</v>
      </c>
      <c r="AR1285" s="33"/>
      <c r="AS1285" s="33">
        <v>2.3999999999999998E-3</v>
      </c>
      <c r="AT1285" s="33">
        <v>7.2999999999999996E-4</v>
      </c>
      <c r="AU1285" s="33"/>
      <c r="AV1285" s="33"/>
      <c r="AW1285" s="33"/>
      <c r="AX1285" s="33" t="e">
        <v>#REF!</v>
      </c>
      <c r="AY1285" s="33"/>
      <c r="AZ1285" s="33"/>
      <c r="BA1285" s="33">
        <v>5.8</v>
      </c>
      <c r="BB1285" s="33">
        <v>3</v>
      </c>
      <c r="BC1285" s="33"/>
      <c r="BD1285" s="33">
        <v>3.1</v>
      </c>
      <c r="BE1285" s="33">
        <v>1.6</v>
      </c>
      <c r="BF1285" s="33">
        <v>4.6999999999999993</v>
      </c>
      <c r="BG1285" s="33"/>
      <c r="BH1285" s="33"/>
      <c r="BI1285" s="33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1">
        <v>15.466127068456194</v>
      </c>
      <c r="AN1286" s="18"/>
      <c r="AO1286" s="22"/>
      <c r="AP1286" s="33"/>
      <c r="AQ1286" s="33">
        <v>1.41E-2</v>
      </c>
      <c r="AR1286" s="33"/>
      <c r="AS1286" s="33">
        <v>2.5999999999999999E-3</v>
      </c>
      <c r="AT1286" s="33">
        <v>8.0000000000000004E-4</v>
      </c>
      <c r="AU1286" s="33"/>
      <c r="AV1286" s="33"/>
      <c r="AW1286" s="33"/>
      <c r="AX1286" s="33" t="e">
        <v>#REF!</v>
      </c>
      <c r="AY1286" s="33"/>
      <c r="AZ1286" s="33"/>
      <c r="BA1286" s="33">
        <v>13.700000000000001</v>
      </c>
      <c r="BB1286" s="33">
        <v>7</v>
      </c>
      <c r="BC1286" s="33"/>
      <c r="BD1286" s="33">
        <v>7</v>
      </c>
      <c r="BE1286" s="33">
        <v>3</v>
      </c>
      <c r="BF1286" s="33">
        <v>10</v>
      </c>
      <c r="BG1286" s="33"/>
      <c r="BH1286" s="33"/>
      <c r="BI1286" s="33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1">
        <v>13.065516860432972</v>
      </c>
      <c r="AN1287" s="18"/>
      <c r="AO1287" s="22"/>
      <c r="AP1287" s="33"/>
      <c r="AQ1287" s="33">
        <v>1.1300000000000001E-2</v>
      </c>
      <c r="AR1287" s="33"/>
      <c r="AS1287" s="33">
        <v>2.5000000000000001E-3</v>
      </c>
      <c r="AT1287" s="33">
        <v>6.3000000000000003E-4</v>
      </c>
      <c r="AU1287" s="33"/>
      <c r="AV1287" s="33"/>
      <c r="AW1287" s="33"/>
      <c r="AX1287" s="33" t="e">
        <v>#REF!</v>
      </c>
      <c r="AY1287" s="33"/>
      <c r="AZ1287" s="33"/>
      <c r="BA1287" s="33">
        <v>11.899999999999999</v>
      </c>
      <c r="BB1287" s="33">
        <v>6.6000000000000005</v>
      </c>
      <c r="BC1287" s="33"/>
      <c r="BD1287" s="33">
        <v>6.3</v>
      </c>
      <c r="BE1287" s="33">
        <v>3</v>
      </c>
      <c r="BF1287" s="33">
        <v>9.2999999999999989</v>
      </c>
      <c r="BG1287" s="33"/>
      <c r="BH1287" s="33"/>
      <c r="BI1287" s="33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1">
        <v>17.804227860621225</v>
      </c>
      <c r="AN1288" s="18"/>
      <c r="AO1288" s="22"/>
      <c r="AP1288" s="33"/>
      <c r="AQ1288" s="33">
        <v>1.6E-2</v>
      </c>
      <c r="AR1288" s="33"/>
      <c r="AS1288" s="33">
        <v>2.5999999999999999E-3</v>
      </c>
      <c r="AT1288" s="33">
        <v>8.3000000000000001E-4</v>
      </c>
      <c r="AU1288" s="33"/>
      <c r="AV1288" s="33"/>
      <c r="AW1288" s="33"/>
      <c r="AX1288" s="33" t="e">
        <v>#REF!</v>
      </c>
      <c r="AY1288" s="33"/>
      <c r="AZ1288" s="33"/>
      <c r="BA1288" s="33">
        <v>18.3</v>
      </c>
      <c r="BB1288" s="33">
        <v>8.2999999999999989</v>
      </c>
      <c r="BC1288" s="33"/>
      <c r="BD1288" s="33">
        <v>9.5</v>
      </c>
      <c r="BE1288" s="33">
        <v>3.5</v>
      </c>
      <c r="BF1288" s="33">
        <v>12.999999999999998</v>
      </c>
      <c r="BG1288" s="33"/>
      <c r="BH1288" s="33"/>
      <c r="BI1288" s="33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1">
        <v>7.633102858651263</v>
      </c>
      <c r="AN1289" s="18"/>
      <c r="AO1289" s="22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33"/>
      <c r="BH1289" s="33"/>
      <c r="BI1289" s="33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1">
        <v>12.998306612182711</v>
      </c>
      <c r="AN1290" s="18"/>
      <c r="AO1290" s="22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33"/>
      <c r="BH1290" s="33"/>
      <c r="BI1290" s="33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1">
        <v>13.96605648727752</v>
      </c>
      <c r="AN1291" s="18"/>
      <c r="AO1291" s="22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33"/>
      <c r="BH1291" s="33"/>
      <c r="BI1291" s="33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1">
        <v>15.727741988523977</v>
      </c>
      <c r="AN1292" s="18"/>
      <c r="AO1292" s="22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33"/>
      <c r="BH1292" s="33"/>
      <c r="BI1292" s="33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1" t="s">
        <v>118</v>
      </c>
      <c r="AN1293" s="18"/>
      <c r="AO1293" s="22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33"/>
      <c r="BH1293" s="33"/>
      <c r="BI1293" s="33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1" t="s">
        <v>118</v>
      </c>
      <c r="AN1294" s="18"/>
      <c r="AO1294" s="22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33"/>
      <c r="BH1294" s="33"/>
      <c r="BI1294" s="33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1" t="s">
        <v>118</v>
      </c>
      <c r="AN1295" s="18"/>
      <c r="AO1295" s="22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33"/>
      <c r="BH1295" s="33"/>
      <c r="BI1295" s="33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1" t="s">
        <v>118</v>
      </c>
      <c r="AN1296" s="18"/>
      <c r="AO1296" s="22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33"/>
      <c r="BH1296" s="33"/>
      <c r="BI1296" s="33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1" t="s">
        <v>118</v>
      </c>
      <c r="AN1297" s="18"/>
      <c r="AO1297" s="22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33"/>
      <c r="BH1297" s="33"/>
      <c r="BI1297" s="33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1" t="s">
        <v>118</v>
      </c>
      <c r="AN1298" s="18"/>
      <c r="AO1298" s="22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33"/>
      <c r="BH1298" s="33"/>
      <c r="BI1298" s="33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3"/>
      <c r="AQ1299" s="33"/>
      <c r="AR1299" s="33"/>
      <c r="AS1299" s="33"/>
      <c r="AT1299" s="33"/>
      <c r="AU1299" s="33"/>
      <c r="AV1299" s="33"/>
      <c r="AW1299" s="33"/>
      <c r="AX1299" s="33">
        <v>29</v>
      </c>
      <c r="AY1299" s="33"/>
      <c r="AZ1299" s="33"/>
      <c r="BA1299" s="33"/>
      <c r="BB1299" s="33"/>
      <c r="BC1299" s="33"/>
      <c r="BD1299" s="33"/>
      <c r="BE1299" s="33"/>
      <c r="BF1299" s="33"/>
      <c r="BG1299" s="33"/>
      <c r="BH1299" s="33"/>
      <c r="BI1299" s="33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33"/>
      <c r="BH1300" s="33"/>
      <c r="BI1300" s="33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33"/>
      <c r="BH1301" s="33"/>
      <c r="BI1301" s="33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3"/>
      <c r="AQ1302" s="33">
        <v>8.6999999999999994E-3</v>
      </c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33"/>
      <c r="BH1302" s="33"/>
      <c r="BI1302" s="33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3"/>
      <c r="AQ1303" s="33">
        <v>5.6999999999999993E-3</v>
      </c>
      <c r="AR1303" s="33"/>
      <c r="AS1303" s="33"/>
      <c r="AT1303" s="33"/>
      <c r="AU1303" s="33"/>
      <c r="AV1303" s="33"/>
      <c r="AW1303" s="33"/>
      <c r="AX1303" s="33">
        <v>5.4600000000000009</v>
      </c>
      <c r="AY1303" s="33"/>
      <c r="AZ1303" s="33"/>
      <c r="BA1303" s="33"/>
      <c r="BB1303" s="33"/>
      <c r="BC1303" s="33"/>
      <c r="BD1303" s="33"/>
      <c r="BE1303" s="33"/>
      <c r="BF1303" s="33"/>
      <c r="BG1303" s="33"/>
      <c r="BH1303" s="33"/>
      <c r="BI1303" s="33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3"/>
      <c r="AQ1304" s="33">
        <v>8.8000000000000005E-3</v>
      </c>
      <c r="AR1304" s="33"/>
      <c r="AS1304" s="33"/>
      <c r="AT1304" s="33"/>
      <c r="AU1304" s="33"/>
      <c r="AV1304" s="33"/>
      <c r="AW1304" s="33"/>
      <c r="AX1304" s="33">
        <v>3.9299999999999997</v>
      </c>
      <c r="AY1304" s="33"/>
      <c r="AZ1304" s="33"/>
      <c r="BA1304" s="33"/>
      <c r="BB1304" s="33"/>
      <c r="BC1304" s="33"/>
      <c r="BD1304" s="33"/>
      <c r="BE1304" s="33"/>
      <c r="BF1304" s="33"/>
      <c r="BG1304" s="33"/>
      <c r="BH1304" s="33"/>
      <c r="BI1304" s="33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3"/>
      <c r="AQ1305" s="33">
        <v>9.1000000000000004E-3</v>
      </c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33"/>
      <c r="BH1305" s="33"/>
      <c r="BI1305" s="33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3"/>
      <c r="AQ1306" s="33">
        <v>8.199999999999999E-3</v>
      </c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33"/>
      <c r="BH1306" s="33"/>
      <c r="BI1306" s="33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3"/>
      <c r="AQ1307" s="33">
        <v>7.8000000000000005E-3</v>
      </c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33"/>
      <c r="BH1307" s="33"/>
      <c r="BI1307" s="33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33"/>
      <c r="BH1308" s="33"/>
      <c r="BI1308" s="33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50"/>
      <c r="AL1309" s="50"/>
      <c r="AM1309" s="50"/>
      <c r="AN1309" s="50"/>
      <c r="AO1309" s="6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33"/>
      <c r="BH1309" s="33"/>
      <c r="BI1309" s="33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50"/>
      <c r="AL1310" s="50"/>
      <c r="AM1310" s="50"/>
      <c r="AN1310" s="50"/>
      <c r="AO1310" s="6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33"/>
      <c r="BH1310" s="33"/>
      <c r="BI1310" s="33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1"/>
      <c r="AL1311" s="51"/>
      <c r="AM1311" s="51"/>
      <c r="AN1311" s="51"/>
      <c r="AO1311" s="6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33"/>
      <c r="BH1311" s="33"/>
      <c r="BI1311" s="33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33"/>
      <c r="BH1312" s="33"/>
      <c r="BI1312" s="33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33"/>
      <c r="BH1313" s="33"/>
      <c r="BI1313" s="33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33"/>
      <c r="BH1314" s="33"/>
      <c r="BI1314" s="33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33"/>
      <c r="BH1315" s="33"/>
      <c r="BI1315" s="33"/>
      <c r="BJ1315" s="6"/>
      <c r="BK1315" s="6"/>
      <c r="BL1315" s="22" t="s">
        <v>95</v>
      </c>
      <c r="BO1315" s="15"/>
    </row>
    <row r="1316" spans="1:67">
      <c r="A1316" s="36" t="s">
        <v>99</v>
      </c>
      <c r="B1316" s="36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33"/>
      <c r="BH1316" s="33"/>
      <c r="BI1316" s="33"/>
      <c r="BJ1316" s="6"/>
      <c r="BK1316" s="6"/>
      <c r="BL1316" s="22" t="s">
        <v>95</v>
      </c>
      <c r="BO1316" s="15"/>
    </row>
    <row r="1317" spans="1:67">
      <c r="A1317" s="36" t="s">
        <v>99</v>
      </c>
      <c r="B1317" s="36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33"/>
      <c r="BH1317" s="33"/>
      <c r="BI1317" s="33"/>
      <c r="BJ1317" s="6"/>
      <c r="BK1317" s="6"/>
      <c r="BL1317" s="22" t="s">
        <v>95</v>
      </c>
      <c r="BO1317" s="15"/>
    </row>
    <row r="1318" spans="1:67">
      <c r="A1318" s="36" t="s">
        <v>99</v>
      </c>
      <c r="B1318" s="36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33"/>
      <c r="BH1318" s="33"/>
      <c r="BI1318" s="33"/>
      <c r="BJ1318" s="6"/>
      <c r="BK1318" s="6"/>
      <c r="BL1318" s="22" t="s">
        <v>95</v>
      </c>
      <c r="BO1318" s="15"/>
    </row>
    <row r="1319" spans="1:67">
      <c r="A1319" s="36" t="s">
        <v>99</v>
      </c>
      <c r="B1319" s="36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33"/>
      <c r="BH1319" s="33"/>
      <c r="BI1319" s="33"/>
      <c r="BJ1319" s="6"/>
      <c r="BK1319" s="6"/>
      <c r="BL1319" s="22" t="s">
        <v>95</v>
      </c>
      <c r="BO1319" s="15"/>
    </row>
    <row r="1320" spans="1:67">
      <c r="A1320" s="36" t="s">
        <v>99</v>
      </c>
      <c r="B1320" s="36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33"/>
      <c r="BH1320" s="33"/>
      <c r="BI1320" s="33"/>
      <c r="BJ1320" s="6"/>
      <c r="BK1320" s="6"/>
      <c r="BL1320" s="22" t="s">
        <v>95</v>
      </c>
      <c r="BO1320" s="15"/>
    </row>
    <row r="1321" spans="1:67">
      <c r="A1321" s="36" t="s">
        <v>99</v>
      </c>
      <c r="B1321" s="36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33"/>
      <c r="BH1321" s="33"/>
      <c r="BI1321" s="33"/>
      <c r="BJ1321" s="6"/>
      <c r="BK1321" s="6"/>
      <c r="BL1321" s="22" t="s">
        <v>95</v>
      </c>
      <c r="BO1321" s="15"/>
    </row>
    <row r="1322" spans="1:67">
      <c r="A1322" s="36" t="s">
        <v>100</v>
      </c>
      <c r="B1322" s="36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33"/>
      <c r="BH1322" s="33"/>
      <c r="BI1322" s="33"/>
      <c r="BJ1322" s="6"/>
      <c r="BK1322" s="6"/>
      <c r="BL1322" s="22" t="s">
        <v>101</v>
      </c>
      <c r="BO1322" s="15"/>
    </row>
    <row r="1323" spans="1:67">
      <c r="A1323" s="36" t="s">
        <v>100</v>
      </c>
      <c r="B1323" s="36"/>
      <c r="C1323" s="17">
        <v>17729</v>
      </c>
      <c r="D1323" s="37">
        <v>12</v>
      </c>
      <c r="E1323" s="38">
        <v>88.928571428571431</v>
      </c>
      <c r="F1323" s="39">
        <v>1245</v>
      </c>
      <c r="G1323" s="22"/>
      <c r="H1323" s="22"/>
      <c r="I1323" s="22"/>
      <c r="J1323" s="22"/>
      <c r="K1323" s="22"/>
      <c r="L1323" s="22"/>
      <c r="M1323" s="22"/>
      <c r="N1323" s="37">
        <v>62.1</v>
      </c>
      <c r="O1323" s="37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7">
        <v>20.09</v>
      </c>
      <c r="AK1323" s="18"/>
      <c r="AL1323" s="18"/>
      <c r="AM1323" s="18">
        <v>5.1749999999999998</v>
      </c>
      <c r="AN1323" s="18"/>
      <c r="AO1323" s="6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33"/>
      <c r="BH1323" s="33"/>
      <c r="BI1323" s="33"/>
      <c r="BJ1323" s="6"/>
      <c r="BK1323" s="6"/>
      <c r="BL1323" s="22" t="s">
        <v>101</v>
      </c>
      <c r="BO1323" s="15"/>
    </row>
    <row r="1324" spans="1:67">
      <c r="A1324" s="36" t="s">
        <v>100</v>
      </c>
      <c r="B1324" s="36"/>
      <c r="C1324" s="17">
        <v>18459.5</v>
      </c>
      <c r="D1324" s="37">
        <v>14</v>
      </c>
      <c r="E1324" s="38">
        <v>86.285714285714292</v>
      </c>
      <c r="F1324" s="39">
        <v>1208</v>
      </c>
      <c r="G1324" s="22"/>
      <c r="H1324" s="22"/>
      <c r="I1324" s="22"/>
      <c r="J1324" s="22"/>
      <c r="K1324" s="22"/>
      <c r="L1324" s="22"/>
      <c r="M1324" s="22"/>
      <c r="N1324" s="37">
        <v>101.7</v>
      </c>
      <c r="O1324" s="37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7">
        <v>25.37</v>
      </c>
      <c r="AK1324" s="18"/>
      <c r="AL1324" s="18"/>
      <c r="AM1324" s="18">
        <v>7.2642857142857142</v>
      </c>
      <c r="AN1324" s="18"/>
      <c r="AO1324" s="6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33"/>
      <c r="BH1324" s="33"/>
      <c r="BI1324" s="33"/>
      <c r="BJ1324" s="6"/>
      <c r="BK1324" s="6"/>
      <c r="BL1324" s="22" t="s">
        <v>101</v>
      </c>
      <c r="BO1324" s="15"/>
    </row>
    <row r="1325" spans="1:67">
      <c r="A1325" s="36" t="s">
        <v>100</v>
      </c>
      <c r="B1325" s="36"/>
      <c r="C1325" s="17">
        <v>19190</v>
      </c>
      <c r="D1325" s="37">
        <v>16</v>
      </c>
      <c r="E1325" s="38">
        <v>71.5</v>
      </c>
      <c r="F1325" s="39">
        <v>1001</v>
      </c>
      <c r="G1325" s="22"/>
      <c r="H1325" s="22"/>
      <c r="I1325" s="22"/>
      <c r="J1325" s="22"/>
      <c r="K1325" s="22"/>
      <c r="L1325" s="22"/>
      <c r="M1325" s="22"/>
      <c r="N1325" s="37">
        <v>117.5</v>
      </c>
      <c r="O1325" s="37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7">
        <v>25.11</v>
      </c>
      <c r="AK1325" s="18"/>
      <c r="AL1325" s="18"/>
      <c r="AM1325" s="18">
        <v>7.34375</v>
      </c>
      <c r="AN1325" s="18"/>
      <c r="AO1325" s="6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33"/>
      <c r="BH1325" s="33"/>
      <c r="BI1325" s="33"/>
      <c r="BJ1325" s="6"/>
      <c r="BK1325" s="6"/>
      <c r="BL1325" s="22" t="s">
        <v>101</v>
      </c>
      <c r="BO1325" s="15"/>
    </row>
    <row r="1326" spans="1:67">
      <c r="A1326" s="36" t="s">
        <v>100</v>
      </c>
      <c r="B1326" s="36"/>
      <c r="C1326" s="17">
        <v>19920.5</v>
      </c>
      <c r="D1326" s="37">
        <v>18</v>
      </c>
      <c r="E1326" s="38">
        <v>71.5</v>
      </c>
      <c r="F1326" s="39">
        <v>1001</v>
      </c>
      <c r="G1326" s="22"/>
      <c r="H1326" s="22"/>
      <c r="I1326" s="22"/>
      <c r="J1326" s="22"/>
      <c r="K1326" s="22"/>
      <c r="L1326" s="22"/>
      <c r="M1326" s="22"/>
      <c r="N1326" s="37">
        <v>147.4</v>
      </c>
      <c r="O1326" s="37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7">
        <v>29.13</v>
      </c>
      <c r="AK1326" s="18"/>
      <c r="AL1326" s="18"/>
      <c r="AM1326" s="18">
        <v>8.18888888888889</v>
      </c>
      <c r="AN1326" s="18"/>
      <c r="AO1326" s="6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33"/>
      <c r="BH1326" s="33"/>
      <c r="BI1326" s="33"/>
      <c r="BJ1326" s="6"/>
      <c r="BK1326" s="6"/>
      <c r="BL1326" s="22" t="s">
        <v>101</v>
      </c>
      <c r="BO1326" s="15"/>
    </row>
    <row r="1327" spans="1:67">
      <c r="A1327" s="36" t="s">
        <v>100</v>
      </c>
      <c r="B1327" s="36"/>
      <c r="C1327" s="17">
        <v>21746.75</v>
      </c>
      <c r="D1327" s="37">
        <v>23</v>
      </c>
      <c r="E1327" s="38">
        <v>70.071428571428569</v>
      </c>
      <c r="F1327" s="39">
        <v>981</v>
      </c>
      <c r="G1327" s="22"/>
      <c r="H1327" s="22"/>
      <c r="I1327" s="22"/>
      <c r="J1327" s="22"/>
      <c r="K1327" s="22"/>
      <c r="L1327" s="22"/>
      <c r="M1327" s="22"/>
      <c r="N1327" s="37">
        <v>207.7</v>
      </c>
      <c r="O1327" s="37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7">
        <v>36.11</v>
      </c>
      <c r="AK1327" s="18"/>
      <c r="AL1327" s="18"/>
      <c r="AM1327" s="18">
        <v>9.0304347826086957</v>
      </c>
      <c r="AN1327" s="18"/>
      <c r="AO1327" s="6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33"/>
      <c r="BH1327" s="33"/>
      <c r="BI1327" s="33"/>
      <c r="BJ1327" s="6"/>
      <c r="BK1327" s="6"/>
      <c r="BL1327" s="22" t="s">
        <v>101</v>
      </c>
      <c r="BO1327" s="15"/>
    </row>
    <row r="1328" spans="1:67">
      <c r="A1328" s="36" t="s">
        <v>100</v>
      </c>
      <c r="B1328" s="36"/>
      <c r="C1328" s="17">
        <v>23573</v>
      </c>
      <c r="D1328" s="37">
        <v>28</v>
      </c>
      <c r="E1328" s="38">
        <v>68.642857142857139</v>
      </c>
      <c r="F1328" s="39">
        <v>961</v>
      </c>
      <c r="G1328" s="22"/>
      <c r="H1328" s="22"/>
      <c r="I1328" s="22"/>
      <c r="J1328" s="22"/>
      <c r="K1328" s="22"/>
      <c r="L1328" s="22"/>
      <c r="M1328" s="22"/>
      <c r="N1328" s="37">
        <v>260.60000000000002</v>
      </c>
      <c r="O1328" s="37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7">
        <v>42.58</v>
      </c>
      <c r="AK1328" s="18"/>
      <c r="AL1328" s="18"/>
      <c r="AM1328" s="18">
        <v>9.3071428571428587</v>
      </c>
      <c r="AN1328" s="18"/>
      <c r="AO1328" s="6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33"/>
      <c r="BH1328" s="33"/>
      <c r="BI1328" s="33"/>
      <c r="BJ1328" s="6"/>
      <c r="BK1328" s="6"/>
      <c r="BL1328" s="22" t="s">
        <v>101</v>
      </c>
      <c r="BO1328" s="15"/>
    </row>
    <row r="1329" spans="1:67">
      <c r="A1329" s="36" t="s">
        <v>100</v>
      </c>
      <c r="B1329" s="36"/>
      <c r="C1329" s="17">
        <v>25034</v>
      </c>
      <c r="D1329" s="37">
        <v>32</v>
      </c>
      <c r="E1329" s="38">
        <v>68.642857142857139</v>
      </c>
      <c r="F1329" s="39">
        <v>961</v>
      </c>
      <c r="G1329" s="22"/>
      <c r="H1329" s="22"/>
      <c r="I1329" s="22"/>
      <c r="J1329" s="22"/>
      <c r="K1329" s="22"/>
      <c r="L1329" s="22"/>
      <c r="M1329" s="22"/>
      <c r="N1329" s="37"/>
      <c r="O1329" s="37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7">
        <v>47.52</v>
      </c>
      <c r="AK1329" s="18"/>
      <c r="AL1329" s="18"/>
      <c r="AM1329" s="18"/>
      <c r="AN1329" s="18"/>
      <c r="AO1329" s="6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33"/>
      <c r="BH1329" s="33"/>
      <c r="BI1329" s="33"/>
      <c r="BJ1329" s="6"/>
      <c r="BK1329" s="6"/>
      <c r="BL1329" s="22" t="s">
        <v>101</v>
      </c>
      <c r="BO1329" s="15"/>
    </row>
    <row r="1330" spans="1:67">
      <c r="A1330" s="36" t="s">
        <v>100</v>
      </c>
      <c r="B1330" s="36"/>
      <c r="C1330" s="17">
        <v>25399.25</v>
      </c>
      <c r="D1330" s="37">
        <v>33</v>
      </c>
      <c r="E1330" s="38">
        <v>68.642857142857139</v>
      </c>
      <c r="F1330" s="39">
        <v>961</v>
      </c>
      <c r="G1330" s="22"/>
      <c r="H1330" s="22"/>
      <c r="I1330" s="22"/>
      <c r="J1330" s="22"/>
      <c r="K1330" s="22"/>
      <c r="L1330" s="22"/>
      <c r="M1330" s="22"/>
      <c r="N1330" s="37">
        <v>337.6</v>
      </c>
      <c r="O1330" s="37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7">
        <v>49.17</v>
      </c>
      <c r="AK1330" s="18"/>
      <c r="AL1330" s="18"/>
      <c r="AM1330" s="18">
        <v>10.23030303030303</v>
      </c>
      <c r="AN1330" s="18"/>
      <c r="AO1330" s="6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33"/>
      <c r="BH1330" s="33"/>
      <c r="BI1330" s="33"/>
      <c r="BJ1330" s="6"/>
      <c r="BK1330" s="6"/>
      <c r="BL1330" s="22" t="s">
        <v>101</v>
      </c>
      <c r="BO1330" s="15"/>
    </row>
    <row r="1331" spans="1:67">
      <c r="A1331" s="36" t="s">
        <v>100</v>
      </c>
      <c r="B1331" s="36"/>
      <c r="C1331" s="17">
        <v>26129.75</v>
      </c>
      <c r="D1331" s="37">
        <v>35</v>
      </c>
      <c r="E1331" s="38">
        <v>67.428571428571431</v>
      </c>
      <c r="F1331" s="39">
        <v>944</v>
      </c>
      <c r="G1331" s="22"/>
      <c r="H1331" s="22"/>
      <c r="I1331" s="22"/>
      <c r="J1331" s="22"/>
      <c r="K1331" s="22"/>
      <c r="L1331" s="22"/>
      <c r="M1331" s="22"/>
      <c r="N1331" s="37"/>
      <c r="O1331" s="37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7">
        <v>51.29</v>
      </c>
      <c r="AK1331" s="18"/>
      <c r="AL1331" s="18"/>
      <c r="AM1331" s="18"/>
      <c r="AN1331" s="18"/>
      <c r="AO1331" s="6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33"/>
      <c r="BH1331" s="33"/>
      <c r="BI1331" s="33"/>
      <c r="BJ1331" s="6"/>
      <c r="BK1331" s="6"/>
      <c r="BL1331" s="22" t="s">
        <v>101</v>
      </c>
      <c r="BO1331" s="15"/>
    </row>
    <row r="1332" spans="1:67">
      <c r="A1332" s="36" t="s">
        <v>100</v>
      </c>
      <c r="B1332" s="36"/>
      <c r="C1332" s="17">
        <v>27225.5</v>
      </c>
      <c r="D1332" s="37">
        <v>38</v>
      </c>
      <c r="E1332" s="38">
        <v>64.428571428571431</v>
      </c>
      <c r="F1332" s="39">
        <v>902</v>
      </c>
      <c r="G1332" s="22"/>
      <c r="H1332" s="22"/>
      <c r="I1332" s="22"/>
      <c r="J1332" s="22"/>
      <c r="K1332" s="22"/>
      <c r="L1332" s="22"/>
      <c r="M1332" s="22"/>
      <c r="N1332" s="37"/>
      <c r="O1332" s="37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7">
        <v>54.35</v>
      </c>
      <c r="AK1332" s="18"/>
      <c r="AL1332" s="18"/>
      <c r="AM1332" s="18"/>
      <c r="AN1332" s="18"/>
      <c r="AO1332" s="6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33"/>
      <c r="BH1332" s="33"/>
      <c r="BI1332" s="33"/>
      <c r="BJ1332" s="6"/>
      <c r="BK1332" s="6"/>
      <c r="BL1332" s="22" t="s">
        <v>101</v>
      </c>
      <c r="BO1332" s="15"/>
    </row>
    <row r="1333" spans="1:67">
      <c r="A1333" s="36" t="s">
        <v>100</v>
      </c>
      <c r="B1333" s="36"/>
      <c r="C1333" s="17">
        <v>28686.5</v>
      </c>
      <c r="D1333" s="37">
        <v>42</v>
      </c>
      <c r="E1333" s="38">
        <v>60.428571428571431</v>
      </c>
      <c r="F1333" s="39">
        <v>846</v>
      </c>
      <c r="G1333" s="22"/>
      <c r="H1333" s="22"/>
      <c r="I1333" s="22"/>
      <c r="J1333" s="22"/>
      <c r="K1333" s="22"/>
      <c r="L1333" s="22"/>
      <c r="M1333" s="22"/>
      <c r="N1333" s="37">
        <v>459</v>
      </c>
      <c r="O1333" s="37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7">
        <v>57.31</v>
      </c>
      <c r="AK1333" s="18"/>
      <c r="AL1333" s="18"/>
      <c r="AM1333" s="18">
        <v>10.928571428571429</v>
      </c>
      <c r="AN1333" s="18"/>
      <c r="AO1333" s="6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33"/>
      <c r="BH1333" s="33"/>
      <c r="BI1333" s="33"/>
      <c r="BJ1333" s="6"/>
      <c r="BK1333" s="6"/>
      <c r="BL1333" s="22" t="s">
        <v>101</v>
      </c>
      <c r="BO1333" s="15"/>
    </row>
    <row r="1334" spans="1:67">
      <c r="A1334" s="36" t="s">
        <v>100</v>
      </c>
      <c r="B1334" s="36"/>
      <c r="C1334" s="17">
        <v>30147.5</v>
      </c>
      <c r="D1334" s="37">
        <v>46</v>
      </c>
      <c r="E1334" s="38">
        <v>53.714285714285715</v>
      </c>
      <c r="F1334" s="39">
        <v>752</v>
      </c>
      <c r="G1334" s="22"/>
      <c r="H1334" s="22"/>
      <c r="I1334" s="22"/>
      <c r="J1334" s="22"/>
      <c r="K1334" s="22"/>
      <c r="L1334" s="22"/>
      <c r="M1334" s="22"/>
      <c r="N1334" s="37"/>
      <c r="O1334" s="37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7">
        <v>57.26</v>
      </c>
      <c r="AK1334" s="18"/>
      <c r="AL1334" s="18"/>
      <c r="AM1334" s="18"/>
      <c r="AN1334" s="18"/>
      <c r="AO1334" s="6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33"/>
      <c r="BH1334" s="33"/>
      <c r="BI1334" s="33"/>
      <c r="BJ1334" s="6"/>
      <c r="BK1334" s="6"/>
      <c r="BL1334" s="22" t="s">
        <v>101</v>
      </c>
      <c r="BO1334" s="15"/>
    </row>
    <row r="1335" spans="1:67">
      <c r="A1335" s="36" t="s">
        <v>100</v>
      </c>
      <c r="B1335" s="36"/>
      <c r="C1335" s="17">
        <v>31608.5</v>
      </c>
      <c r="D1335" s="37">
        <v>50</v>
      </c>
      <c r="E1335" s="38">
        <v>49.642857142857146</v>
      </c>
      <c r="F1335" s="39">
        <v>695</v>
      </c>
      <c r="G1335" s="22"/>
      <c r="H1335" s="22"/>
      <c r="I1335" s="22"/>
      <c r="J1335" s="22"/>
      <c r="K1335" s="22"/>
      <c r="L1335" s="22"/>
      <c r="M1335" s="22"/>
      <c r="N1335" s="37">
        <v>498.2</v>
      </c>
      <c r="O1335" s="37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7">
        <v>58.6</v>
      </c>
      <c r="AK1335" s="18"/>
      <c r="AL1335" s="18"/>
      <c r="AM1335" s="18"/>
      <c r="AN1335" s="18"/>
      <c r="AO1335" s="6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33"/>
      <c r="BH1335" s="33"/>
      <c r="BI1335" s="33"/>
      <c r="BJ1335" s="6"/>
      <c r="BK1335" s="6"/>
      <c r="BL1335" s="22" t="s">
        <v>101</v>
      </c>
      <c r="BO1335" s="15"/>
    </row>
    <row r="1336" spans="1:67">
      <c r="A1336" s="36" t="s">
        <v>100</v>
      </c>
      <c r="B1336" s="36"/>
      <c r="C1336" s="17">
        <v>32339</v>
      </c>
      <c r="D1336" s="37">
        <v>52</v>
      </c>
      <c r="E1336" s="38">
        <v>49.642857142857146</v>
      </c>
      <c r="F1336" s="39">
        <v>695</v>
      </c>
      <c r="G1336" s="22"/>
      <c r="H1336" s="22"/>
      <c r="I1336" s="22"/>
      <c r="J1336" s="22"/>
      <c r="K1336" s="22"/>
      <c r="L1336" s="22"/>
      <c r="M1336" s="22"/>
      <c r="N1336" s="37"/>
      <c r="O1336" s="37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7">
        <v>61.89</v>
      </c>
      <c r="AK1336" s="18"/>
      <c r="AL1336" s="18"/>
      <c r="AM1336" s="18"/>
      <c r="AN1336" s="18"/>
      <c r="AO1336" s="6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33"/>
      <c r="BH1336" s="33"/>
      <c r="BI1336" s="33"/>
      <c r="BJ1336" s="6"/>
      <c r="BK1336" s="6"/>
      <c r="BL1336" s="22" t="s">
        <v>101</v>
      </c>
      <c r="BO1336" s="15"/>
    </row>
    <row r="1337" spans="1:67">
      <c r="A1337" s="36" t="s">
        <v>100</v>
      </c>
      <c r="B1337" s="36"/>
      <c r="C1337" s="17">
        <v>33069.5</v>
      </c>
      <c r="D1337" s="37">
        <v>54</v>
      </c>
      <c r="E1337" s="38">
        <v>47</v>
      </c>
      <c r="F1337" s="39">
        <v>658</v>
      </c>
      <c r="G1337" s="22"/>
      <c r="H1337" s="22"/>
      <c r="I1337" s="22"/>
      <c r="J1337" s="22"/>
      <c r="K1337" s="22"/>
      <c r="L1337" s="22"/>
      <c r="M1337" s="22"/>
      <c r="N1337" s="37"/>
      <c r="O1337" s="37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7">
        <v>62.61</v>
      </c>
      <c r="AK1337" s="18"/>
      <c r="AL1337" s="18"/>
      <c r="AM1337" s="18"/>
      <c r="AN1337" s="18"/>
      <c r="AO1337" s="6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33"/>
      <c r="BH1337" s="33"/>
      <c r="BI1337" s="33"/>
      <c r="BJ1337" s="6"/>
      <c r="BK1337" s="6"/>
      <c r="BL1337" s="22" t="s">
        <v>101</v>
      </c>
      <c r="BO1337" s="15"/>
    </row>
    <row r="1338" spans="1:67">
      <c r="A1338" s="36" t="s">
        <v>100</v>
      </c>
      <c r="B1338" s="36"/>
      <c r="C1338" s="17">
        <v>33800</v>
      </c>
      <c r="D1338" s="37">
        <v>56</v>
      </c>
      <c r="E1338" s="38">
        <v>44.285714285714285</v>
      </c>
      <c r="F1338" s="39">
        <v>620</v>
      </c>
      <c r="G1338" s="22"/>
      <c r="H1338" s="22"/>
      <c r="I1338" s="22"/>
      <c r="J1338" s="22"/>
      <c r="K1338" s="22"/>
      <c r="L1338" s="22"/>
      <c r="M1338" s="22"/>
      <c r="N1338" s="37">
        <v>569.29999999999995</v>
      </c>
      <c r="O1338" s="37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7">
        <v>63.27</v>
      </c>
      <c r="AK1338" s="18"/>
      <c r="AL1338" s="18"/>
      <c r="AM1338" s="18">
        <v>10.166071428571428</v>
      </c>
      <c r="AN1338" s="18"/>
      <c r="AO1338" s="6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33"/>
      <c r="BH1338" s="33"/>
      <c r="BI1338" s="33"/>
      <c r="BJ1338" s="6"/>
      <c r="BK1338" s="6"/>
      <c r="BL1338" s="22" t="s">
        <v>101</v>
      </c>
      <c r="BO1338" s="15"/>
    </row>
    <row r="1339" spans="1:67">
      <c r="A1339" s="36" t="s">
        <v>102</v>
      </c>
      <c r="B1339" s="36"/>
      <c r="C1339" s="17">
        <v>13346</v>
      </c>
      <c r="D1339" s="37">
        <v>0</v>
      </c>
      <c r="E1339" s="6">
        <v>100</v>
      </c>
      <c r="F1339" s="40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33"/>
      <c r="BH1339" s="33"/>
      <c r="BI1339" s="33"/>
      <c r="BJ1339" s="6"/>
      <c r="BK1339" s="6"/>
      <c r="BL1339" s="22" t="s">
        <v>101</v>
      </c>
      <c r="BO1339" s="15"/>
    </row>
    <row r="1340" spans="1:67">
      <c r="A1340" s="36" t="s">
        <v>102</v>
      </c>
      <c r="B1340" s="36"/>
      <c r="C1340" s="17">
        <v>17729</v>
      </c>
      <c r="D1340" s="37">
        <v>12</v>
      </c>
      <c r="E1340" s="38">
        <v>97.571428571428569</v>
      </c>
      <c r="F1340" s="39">
        <v>1366</v>
      </c>
      <c r="G1340" s="22"/>
      <c r="H1340" s="22"/>
      <c r="I1340" s="22"/>
      <c r="J1340" s="22"/>
      <c r="K1340" s="22"/>
      <c r="L1340" s="22"/>
      <c r="M1340" s="22"/>
      <c r="N1340" s="37">
        <v>294.8</v>
      </c>
      <c r="O1340" s="37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7">
        <v>46.05</v>
      </c>
      <c r="AK1340" s="18"/>
      <c r="AL1340" s="18"/>
      <c r="AM1340" s="18">
        <v>24.566666666666666</v>
      </c>
      <c r="AN1340" s="18"/>
      <c r="AO1340" s="6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33"/>
      <c r="BH1340" s="33"/>
      <c r="BI1340" s="33"/>
      <c r="BJ1340" s="6"/>
      <c r="BK1340" s="6"/>
      <c r="BL1340" s="22" t="s">
        <v>101</v>
      </c>
      <c r="BO1340" s="15"/>
    </row>
    <row r="1341" spans="1:67">
      <c r="A1341" s="36" t="s">
        <v>102</v>
      </c>
      <c r="B1341" s="36"/>
      <c r="C1341" s="17">
        <v>18459.5</v>
      </c>
      <c r="D1341" s="37">
        <v>14</v>
      </c>
      <c r="E1341" s="38">
        <v>97.571428571428569</v>
      </c>
      <c r="F1341" s="39">
        <v>1366</v>
      </c>
      <c r="G1341" s="22"/>
      <c r="H1341" s="22"/>
      <c r="I1341" s="22"/>
      <c r="J1341" s="22"/>
      <c r="K1341" s="22"/>
      <c r="L1341" s="22"/>
      <c r="M1341" s="22"/>
      <c r="N1341" s="37">
        <v>389.4</v>
      </c>
      <c r="O1341" s="37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7">
        <v>52.46</v>
      </c>
      <c r="AK1341" s="18"/>
      <c r="AL1341" s="18"/>
      <c r="AM1341" s="18">
        <v>27.814285714285713</v>
      </c>
      <c r="AN1341" s="18"/>
      <c r="AO1341" s="6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33"/>
      <c r="BH1341" s="33"/>
      <c r="BI1341" s="33"/>
      <c r="BJ1341" s="6"/>
      <c r="BK1341" s="6"/>
      <c r="BL1341" s="22" t="s">
        <v>101</v>
      </c>
      <c r="BO1341" s="15"/>
    </row>
    <row r="1342" spans="1:67">
      <c r="A1342" s="36" t="s">
        <v>102</v>
      </c>
      <c r="B1342" s="36"/>
      <c r="C1342" s="17">
        <v>19190</v>
      </c>
      <c r="D1342" s="37">
        <v>16</v>
      </c>
      <c r="E1342" s="38">
        <v>68.285714285714292</v>
      </c>
      <c r="F1342" s="39">
        <v>956</v>
      </c>
      <c r="G1342" s="22"/>
      <c r="H1342" s="22"/>
      <c r="I1342" s="22"/>
      <c r="J1342" s="22"/>
      <c r="K1342" s="22"/>
      <c r="L1342" s="22"/>
      <c r="M1342" s="22"/>
      <c r="N1342" s="37">
        <v>394</v>
      </c>
      <c r="O1342" s="37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7">
        <v>45.91</v>
      </c>
      <c r="AK1342" s="18"/>
      <c r="AL1342" s="18"/>
      <c r="AM1342" s="18">
        <v>24.625</v>
      </c>
      <c r="AN1342" s="18"/>
      <c r="AO1342" s="6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33"/>
      <c r="BH1342" s="33"/>
      <c r="BI1342" s="33"/>
      <c r="BJ1342" s="6"/>
      <c r="BK1342" s="6"/>
      <c r="BL1342" s="22" t="s">
        <v>101</v>
      </c>
      <c r="BO1342" s="15"/>
    </row>
    <row r="1343" spans="1:67">
      <c r="A1343" s="36" t="s">
        <v>102</v>
      </c>
      <c r="B1343" s="36"/>
      <c r="C1343" s="17">
        <v>20285.75</v>
      </c>
      <c r="D1343" s="37">
        <v>19</v>
      </c>
      <c r="E1343" s="38">
        <v>67.428571428571431</v>
      </c>
      <c r="F1343" s="39">
        <v>944</v>
      </c>
      <c r="G1343" s="22"/>
      <c r="H1343" s="22"/>
      <c r="I1343" s="22"/>
      <c r="J1343" s="22"/>
      <c r="K1343" s="22"/>
      <c r="L1343" s="22"/>
      <c r="M1343" s="22"/>
      <c r="N1343" s="37">
        <v>493</v>
      </c>
      <c r="O1343" s="37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7">
        <v>51.4</v>
      </c>
      <c r="AK1343" s="18"/>
      <c r="AL1343" s="18"/>
      <c r="AM1343" s="18">
        <v>25.94736842105263</v>
      </c>
      <c r="AN1343" s="18"/>
      <c r="AO1343" s="6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33"/>
      <c r="BH1343" s="33"/>
      <c r="BI1343" s="33"/>
      <c r="BJ1343" s="6"/>
      <c r="BK1343" s="6"/>
      <c r="BL1343" s="22" t="s">
        <v>101</v>
      </c>
      <c r="BO1343" s="15"/>
    </row>
    <row r="1344" spans="1:67">
      <c r="A1344" s="36" t="s">
        <v>102</v>
      </c>
      <c r="B1344" s="36"/>
      <c r="C1344" s="17">
        <v>21016.25</v>
      </c>
      <c r="D1344" s="37">
        <v>21</v>
      </c>
      <c r="E1344" s="38">
        <v>35.142857142857146</v>
      </c>
      <c r="F1344" s="39">
        <v>492</v>
      </c>
      <c r="G1344" s="22"/>
      <c r="H1344" s="22"/>
      <c r="I1344" s="22"/>
      <c r="J1344" s="22"/>
      <c r="K1344" s="22"/>
      <c r="L1344" s="22"/>
      <c r="M1344" s="22"/>
      <c r="N1344" s="37">
        <v>349.4</v>
      </c>
      <c r="O1344" s="37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7">
        <v>34.18</v>
      </c>
      <c r="AK1344" s="18"/>
      <c r="AL1344" s="18"/>
      <c r="AM1344" s="18">
        <v>16.638095238095236</v>
      </c>
      <c r="AN1344" s="18"/>
      <c r="AO1344" s="6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33"/>
      <c r="BH1344" s="33"/>
      <c r="BI1344" s="33"/>
      <c r="BJ1344" s="6"/>
      <c r="BK1344" s="6"/>
      <c r="BL1344" s="22" t="s">
        <v>101</v>
      </c>
      <c r="BO1344" s="15"/>
    </row>
    <row r="1345" spans="1:67">
      <c r="A1345" s="36" t="s">
        <v>102</v>
      </c>
      <c r="B1345" s="36"/>
      <c r="C1345" s="17">
        <v>21746.75</v>
      </c>
      <c r="D1345" s="37">
        <v>23</v>
      </c>
      <c r="E1345" s="38">
        <v>34.214285714285715</v>
      </c>
      <c r="F1345" s="39">
        <v>479</v>
      </c>
      <c r="G1345" s="22"/>
      <c r="H1345" s="22"/>
      <c r="I1345" s="22"/>
      <c r="J1345" s="22"/>
      <c r="K1345" s="22"/>
      <c r="L1345" s="22"/>
      <c r="M1345" s="22"/>
      <c r="N1345" s="37"/>
      <c r="O1345" s="37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7">
        <v>37.119999999999997</v>
      </c>
      <c r="AK1345" s="18"/>
      <c r="AL1345" s="18"/>
      <c r="AM1345" s="18"/>
      <c r="AN1345" s="18"/>
      <c r="AO1345" s="6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33"/>
      <c r="BH1345" s="33"/>
      <c r="BI1345" s="33"/>
      <c r="BJ1345" s="6"/>
      <c r="BK1345" s="6"/>
      <c r="BL1345" s="22" t="s">
        <v>101</v>
      </c>
      <c r="BO1345" s="15"/>
    </row>
    <row r="1346" spans="1:67">
      <c r="A1346" s="36" t="s">
        <v>102</v>
      </c>
      <c r="B1346" s="36"/>
      <c r="C1346" s="17">
        <v>22477.25</v>
      </c>
      <c r="D1346" s="37">
        <v>25</v>
      </c>
      <c r="E1346" s="38">
        <v>34.214285714285715</v>
      </c>
      <c r="F1346" s="39">
        <v>479</v>
      </c>
      <c r="G1346" s="22"/>
      <c r="H1346" s="22"/>
      <c r="I1346" s="22"/>
      <c r="J1346" s="22"/>
      <c r="K1346" s="22"/>
      <c r="L1346" s="22"/>
      <c r="M1346" s="22"/>
      <c r="N1346" s="37">
        <v>434.1</v>
      </c>
      <c r="O1346" s="37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7">
        <v>40.840000000000003</v>
      </c>
      <c r="AK1346" s="18"/>
      <c r="AL1346" s="18"/>
      <c r="AM1346" s="18">
        <v>17.364000000000001</v>
      </c>
      <c r="AN1346" s="18"/>
      <c r="AO1346" s="6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33"/>
      <c r="BH1346" s="33"/>
      <c r="BI1346" s="33"/>
      <c r="BJ1346" s="6"/>
      <c r="BK1346" s="6"/>
      <c r="BL1346" s="22" t="s">
        <v>101</v>
      </c>
      <c r="BO1346" s="15"/>
    </row>
    <row r="1347" spans="1:67">
      <c r="A1347" s="36" t="s">
        <v>102</v>
      </c>
      <c r="B1347" s="36"/>
      <c r="C1347" s="17">
        <v>23573</v>
      </c>
      <c r="D1347" s="37">
        <v>28</v>
      </c>
      <c r="E1347" s="38">
        <v>22.785714285714285</v>
      </c>
      <c r="F1347" s="39">
        <v>319</v>
      </c>
      <c r="G1347" s="22"/>
      <c r="H1347" s="22"/>
      <c r="I1347" s="22"/>
      <c r="J1347" s="22"/>
      <c r="K1347" s="22"/>
      <c r="L1347" s="22"/>
      <c r="M1347" s="22"/>
      <c r="N1347" s="37"/>
      <c r="O1347" s="37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7">
        <v>34.18</v>
      </c>
      <c r="AK1347" s="18"/>
      <c r="AL1347" s="18"/>
      <c r="AM1347" s="18"/>
      <c r="AN1347" s="18"/>
      <c r="AO1347" s="6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33"/>
      <c r="BH1347" s="33"/>
      <c r="BI1347" s="33"/>
      <c r="BJ1347" s="6"/>
      <c r="BK1347" s="6"/>
      <c r="BL1347" s="22" t="s">
        <v>101</v>
      </c>
      <c r="BO1347" s="15"/>
    </row>
    <row r="1348" spans="1:67">
      <c r="A1348" s="36" t="s">
        <v>102</v>
      </c>
      <c r="B1348" s="36"/>
      <c r="C1348" s="17">
        <v>24303.5</v>
      </c>
      <c r="D1348" s="37">
        <v>30</v>
      </c>
      <c r="E1348" s="38">
        <v>21.857142857142858</v>
      </c>
      <c r="F1348" s="39">
        <v>306</v>
      </c>
      <c r="G1348" s="22"/>
      <c r="H1348" s="22"/>
      <c r="I1348" s="22"/>
      <c r="J1348" s="22"/>
      <c r="K1348" s="22"/>
      <c r="L1348" s="22"/>
      <c r="M1348" s="22"/>
      <c r="N1348" s="37"/>
      <c r="O1348" s="37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7">
        <v>36.729999999999997</v>
      </c>
      <c r="AK1348" s="18"/>
      <c r="AL1348" s="18"/>
      <c r="AM1348" s="18"/>
      <c r="AN1348" s="18"/>
      <c r="AO1348" s="6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33"/>
      <c r="BH1348" s="33"/>
      <c r="BI1348" s="33"/>
      <c r="BJ1348" s="6"/>
      <c r="BK1348" s="6"/>
      <c r="BL1348" s="22" t="s">
        <v>101</v>
      </c>
      <c r="BO1348" s="15"/>
    </row>
    <row r="1349" spans="1:67">
      <c r="A1349" s="36" t="s">
        <v>102</v>
      </c>
      <c r="B1349" s="36"/>
      <c r="C1349" s="17">
        <v>24668.75</v>
      </c>
      <c r="D1349" s="37">
        <v>31</v>
      </c>
      <c r="E1349" s="38">
        <v>21.857142857142858</v>
      </c>
      <c r="F1349" s="39">
        <v>306</v>
      </c>
      <c r="G1349" s="22"/>
      <c r="H1349" s="22"/>
      <c r="I1349" s="22"/>
      <c r="J1349" s="22"/>
      <c r="K1349" s="22"/>
      <c r="L1349" s="22"/>
      <c r="M1349" s="22"/>
      <c r="N1349" s="37">
        <v>409.1</v>
      </c>
      <c r="O1349" s="37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7">
        <v>38.25</v>
      </c>
      <c r="AK1349" s="18"/>
      <c r="AL1349" s="18"/>
      <c r="AM1349" s="18">
        <v>13.196774193548388</v>
      </c>
      <c r="AN1349" s="18"/>
      <c r="AO1349" s="6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33"/>
      <c r="BH1349" s="33"/>
      <c r="BI1349" s="33"/>
      <c r="BJ1349" s="6"/>
      <c r="BK1349" s="6"/>
      <c r="BL1349" s="22" t="s">
        <v>101</v>
      </c>
      <c r="BO1349" s="15"/>
    </row>
    <row r="1350" spans="1:67">
      <c r="A1350" s="36" t="s">
        <v>102</v>
      </c>
      <c r="B1350" s="36"/>
      <c r="C1350" s="17">
        <v>25399.25</v>
      </c>
      <c r="D1350" s="37">
        <v>33</v>
      </c>
      <c r="E1350" s="38">
        <v>15.214285714285714</v>
      </c>
      <c r="F1350" s="39">
        <v>213</v>
      </c>
      <c r="G1350" s="22"/>
      <c r="H1350" s="22"/>
      <c r="I1350" s="22"/>
      <c r="J1350" s="22"/>
      <c r="K1350" s="22"/>
      <c r="L1350" s="22"/>
      <c r="M1350" s="22"/>
      <c r="N1350" s="37"/>
      <c r="O1350" s="37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7">
        <v>31.06</v>
      </c>
      <c r="AK1350" s="18"/>
      <c r="AL1350" s="18"/>
      <c r="AM1350" s="18"/>
      <c r="AN1350" s="18"/>
      <c r="AO1350" s="6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33"/>
      <c r="BH1350" s="33"/>
      <c r="BI1350" s="33"/>
      <c r="BJ1350" s="6"/>
      <c r="BK1350" s="6"/>
      <c r="BL1350" s="22" t="s">
        <v>101</v>
      </c>
      <c r="BO1350" s="15"/>
    </row>
    <row r="1351" spans="1:67">
      <c r="A1351" s="36" t="s">
        <v>102</v>
      </c>
      <c r="B1351" s="36"/>
      <c r="C1351" s="17">
        <v>26129.75</v>
      </c>
      <c r="D1351" s="37">
        <v>35</v>
      </c>
      <c r="E1351" s="38">
        <v>15.214285714285714</v>
      </c>
      <c r="F1351" s="39">
        <v>213</v>
      </c>
      <c r="G1351" s="22"/>
      <c r="H1351" s="22"/>
      <c r="I1351" s="22"/>
      <c r="J1351" s="22"/>
      <c r="K1351" s="22"/>
      <c r="L1351" s="22"/>
      <c r="M1351" s="22"/>
      <c r="N1351" s="37"/>
      <c r="O1351" s="37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7">
        <v>34.5</v>
      </c>
      <c r="AK1351" s="18"/>
      <c r="AL1351" s="18"/>
      <c r="AM1351" s="18"/>
      <c r="AN1351" s="18"/>
      <c r="AO1351" s="6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33"/>
      <c r="BH1351" s="33"/>
      <c r="BI1351" s="33"/>
      <c r="BJ1351" s="6"/>
      <c r="BK1351" s="6"/>
      <c r="BL1351" s="22" t="s">
        <v>101</v>
      </c>
      <c r="BO1351" s="15"/>
    </row>
    <row r="1352" spans="1:67">
      <c r="A1352" s="36" t="s">
        <v>102</v>
      </c>
      <c r="B1352" s="36"/>
      <c r="C1352" s="17">
        <v>26860.25</v>
      </c>
      <c r="D1352" s="37">
        <v>37</v>
      </c>
      <c r="E1352" s="38">
        <v>15.214285714285714</v>
      </c>
      <c r="F1352" s="39">
        <v>213</v>
      </c>
      <c r="G1352" s="22"/>
      <c r="H1352" s="22"/>
      <c r="I1352" s="22"/>
      <c r="J1352" s="22"/>
      <c r="K1352" s="22"/>
      <c r="L1352" s="22"/>
      <c r="M1352" s="22"/>
      <c r="N1352" s="37">
        <v>432.9</v>
      </c>
      <c r="O1352" s="37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7">
        <v>38.479999999999997</v>
      </c>
      <c r="AK1352" s="18"/>
      <c r="AL1352" s="18"/>
      <c r="AM1352" s="18">
        <v>11.7</v>
      </c>
      <c r="AN1352" s="18"/>
      <c r="AO1352" s="6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33"/>
      <c r="BH1352" s="33"/>
      <c r="BI1352" s="33"/>
      <c r="BJ1352" s="6"/>
      <c r="BK1352" s="6"/>
      <c r="BL1352" s="22" t="s">
        <v>101</v>
      </c>
      <c r="BO1352" s="15"/>
    </row>
    <row r="1353" spans="1:67">
      <c r="A1353" s="36" t="s">
        <v>102</v>
      </c>
      <c r="B1353" s="36"/>
      <c r="C1353" s="17">
        <v>27956</v>
      </c>
      <c r="D1353" s="37">
        <v>40</v>
      </c>
      <c r="E1353" s="38">
        <v>10.428571428571429</v>
      </c>
      <c r="F1353" s="39">
        <v>146</v>
      </c>
      <c r="G1353" s="22"/>
      <c r="H1353" s="22"/>
      <c r="I1353" s="22"/>
      <c r="J1353" s="22"/>
      <c r="K1353" s="22"/>
      <c r="L1353" s="22"/>
      <c r="M1353" s="22"/>
      <c r="N1353" s="37">
        <v>349.1</v>
      </c>
      <c r="O1353" s="37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7">
        <v>30.13</v>
      </c>
      <c r="AK1353" s="18"/>
      <c r="AL1353" s="18"/>
      <c r="AM1353" s="18">
        <v>8.7275000000000009</v>
      </c>
      <c r="AN1353" s="18"/>
      <c r="AO1353" s="6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33"/>
      <c r="BH1353" s="33"/>
      <c r="BI1353" s="33"/>
      <c r="BJ1353" s="6"/>
      <c r="BK1353" s="6"/>
      <c r="BL1353" s="22" t="s">
        <v>101</v>
      </c>
      <c r="BO1353" s="15"/>
    </row>
    <row r="1354" spans="1:67">
      <c r="A1354" s="36" t="s">
        <v>102</v>
      </c>
      <c r="B1354" s="36"/>
      <c r="C1354" s="17">
        <v>29051.75</v>
      </c>
      <c r="D1354" s="37">
        <v>43</v>
      </c>
      <c r="E1354" s="38">
        <v>10.428571428571429</v>
      </c>
      <c r="F1354" s="39">
        <v>146</v>
      </c>
      <c r="G1354" s="22"/>
      <c r="H1354" s="22"/>
      <c r="I1354" s="22"/>
      <c r="J1354" s="22"/>
      <c r="K1354" s="22"/>
      <c r="L1354" s="22"/>
      <c r="M1354" s="22"/>
      <c r="N1354" s="37">
        <v>395.5</v>
      </c>
      <c r="O1354" s="37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7">
        <v>33.35</v>
      </c>
      <c r="AK1354" s="18"/>
      <c r="AL1354" s="18"/>
      <c r="AM1354" s="18">
        <v>9.1976744186046506</v>
      </c>
      <c r="AN1354" s="18"/>
      <c r="AO1354" s="6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33"/>
      <c r="BH1354" s="33"/>
      <c r="BI1354" s="33"/>
      <c r="BJ1354" s="6"/>
      <c r="BK1354" s="6"/>
      <c r="BL1354" s="22" t="s">
        <v>101</v>
      </c>
      <c r="BO1354" s="15"/>
    </row>
    <row r="1355" spans="1:67">
      <c r="A1355" s="36" t="s">
        <v>102</v>
      </c>
      <c r="B1355" s="36"/>
      <c r="C1355" s="17">
        <v>29782.25</v>
      </c>
      <c r="D1355" s="37">
        <v>45</v>
      </c>
      <c r="E1355" s="38">
        <v>6.6428571428571432</v>
      </c>
      <c r="F1355" s="39">
        <v>93</v>
      </c>
      <c r="G1355" s="22"/>
      <c r="H1355" s="22"/>
      <c r="I1355" s="22"/>
      <c r="J1355" s="22"/>
      <c r="K1355" s="22"/>
      <c r="L1355" s="22"/>
      <c r="M1355" s="22"/>
      <c r="N1355" s="37"/>
      <c r="O1355" s="37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7">
        <v>24.99</v>
      </c>
      <c r="AK1355" s="18"/>
      <c r="AL1355" s="18"/>
      <c r="AM1355" s="18"/>
      <c r="AN1355" s="18"/>
      <c r="AO1355" s="6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33"/>
      <c r="BH1355" s="33"/>
      <c r="BI1355" s="33"/>
      <c r="BJ1355" s="6"/>
      <c r="BK1355" s="6"/>
      <c r="BL1355" s="22" t="s">
        <v>101</v>
      </c>
      <c r="BO1355" s="15"/>
    </row>
    <row r="1356" spans="1:67">
      <c r="A1356" s="36" t="s">
        <v>102</v>
      </c>
      <c r="B1356" s="36"/>
      <c r="C1356" s="17">
        <v>30512.75</v>
      </c>
      <c r="D1356" s="37">
        <v>47</v>
      </c>
      <c r="E1356" s="38">
        <v>6.6428571428571432</v>
      </c>
      <c r="F1356" s="39">
        <v>93</v>
      </c>
      <c r="G1356" s="22"/>
      <c r="H1356" s="22"/>
      <c r="I1356" s="22"/>
      <c r="J1356" s="22"/>
      <c r="K1356" s="22"/>
      <c r="L1356" s="22"/>
      <c r="M1356" s="22"/>
      <c r="N1356" s="37">
        <v>326.2</v>
      </c>
      <c r="O1356" s="37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7">
        <v>26.44</v>
      </c>
      <c r="AK1356" s="18"/>
      <c r="AL1356" s="18"/>
      <c r="AM1356" s="18">
        <v>6.9404255319148938</v>
      </c>
      <c r="AN1356" s="18"/>
      <c r="AO1356" s="6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33"/>
      <c r="BH1356" s="33"/>
      <c r="BI1356" s="33"/>
      <c r="BJ1356" s="6"/>
      <c r="BK1356" s="6"/>
      <c r="BL1356" s="22" t="s">
        <v>101</v>
      </c>
      <c r="BO1356" s="15"/>
    </row>
    <row r="1357" spans="1:67">
      <c r="A1357" s="36" t="s">
        <v>102</v>
      </c>
      <c r="B1357" s="36"/>
      <c r="C1357" s="17">
        <v>31608.5</v>
      </c>
      <c r="D1357" s="37">
        <v>50</v>
      </c>
      <c r="E1357" s="38">
        <v>6.6428571428571432</v>
      </c>
      <c r="F1357" s="39">
        <v>93</v>
      </c>
      <c r="G1357" s="22"/>
      <c r="H1357" s="22"/>
      <c r="I1357" s="22"/>
      <c r="J1357" s="22"/>
      <c r="K1357" s="22"/>
      <c r="L1357" s="22"/>
      <c r="M1357" s="22"/>
      <c r="N1357" s="37">
        <v>357.5</v>
      </c>
      <c r="O1357" s="37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7">
        <v>29.04</v>
      </c>
      <c r="AK1357" s="18"/>
      <c r="AL1357" s="18"/>
      <c r="AM1357" s="18">
        <v>7.15</v>
      </c>
      <c r="AN1357" s="18"/>
      <c r="AO1357" s="6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33"/>
      <c r="BH1357" s="33"/>
      <c r="BI1357" s="33"/>
      <c r="BJ1357" s="6"/>
      <c r="BK1357" s="6"/>
      <c r="BL1357" s="22" t="s">
        <v>101</v>
      </c>
      <c r="BO1357" s="15"/>
    </row>
    <row r="1358" spans="1:67">
      <c r="A1358" s="36" t="s">
        <v>102</v>
      </c>
      <c r="B1358" s="36"/>
      <c r="C1358" s="17">
        <v>32339</v>
      </c>
      <c r="D1358" s="37">
        <v>52</v>
      </c>
      <c r="E1358" s="38">
        <v>6.6428571428571432</v>
      </c>
      <c r="F1358" s="39">
        <v>93</v>
      </c>
      <c r="G1358" s="22"/>
      <c r="H1358" s="22"/>
      <c r="I1358" s="22"/>
      <c r="J1358" s="22"/>
      <c r="K1358" s="22"/>
      <c r="L1358" s="22"/>
      <c r="M1358" s="22"/>
      <c r="N1358" s="37"/>
      <c r="O1358" s="37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7">
        <v>30.91</v>
      </c>
      <c r="AK1358" s="18"/>
      <c r="AL1358" s="18"/>
      <c r="AM1358" s="18"/>
      <c r="AN1358" s="18"/>
      <c r="AO1358" s="6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33"/>
      <c r="BH1358" s="33"/>
      <c r="BI1358" s="33"/>
      <c r="BJ1358" s="6"/>
      <c r="BK1358" s="6"/>
      <c r="BL1358" s="22" t="s">
        <v>101</v>
      </c>
      <c r="BO1358" s="15"/>
    </row>
    <row r="1359" spans="1:67">
      <c r="A1359" s="36" t="s">
        <v>102</v>
      </c>
      <c r="B1359" s="36"/>
      <c r="C1359" s="17">
        <v>33069.5</v>
      </c>
      <c r="D1359" s="37">
        <v>54</v>
      </c>
      <c r="E1359" s="38">
        <v>6.6428571428571432</v>
      </c>
      <c r="F1359" s="39">
        <v>93</v>
      </c>
      <c r="G1359" s="22"/>
      <c r="H1359" s="22"/>
      <c r="I1359" s="22"/>
      <c r="J1359" s="22"/>
      <c r="K1359" s="22"/>
      <c r="L1359" s="22"/>
      <c r="M1359" s="22"/>
      <c r="N1359" s="37"/>
      <c r="O1359" s="37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7">
        <v>32.24</v>
      </c>
      <c r="AK1359" s="18"/>
      <c r="AL1359" s="18"/>
      <c r="AM1359" s="18"/>
      <c r="AN1359" s="18"/>
      <c r="AO1359" s="6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33"/>
      <c r="BH1359" s="33"/>
      <c r="BI1359" s="33"/>
      <c r="BJ1359" s="6"/>
      <c r="BK1359" s="6"/>
      <c r="BL1359" s="22" t="s">
        <v>101</v>
      </c>
      <c r="BO1359" s="15"/>
    </row>
    <row r="1360" spans="1:67">
      <c r="A1360" s="36" t="s">
        <v>102</v>
      </c>
      <c r="B1360" s="36"/>
      <c r="C1360" s="17">
        <v>33434.75</v>
      </c>
      <c r="D1360" s="37">
        <v>55</v>
      </c>
      <c r="E1360" s="38">
        <v>6.6428571428571432</v>
      </c>
      <c r="F1360" s="39">
        <v>93</v>
      </c>
      <c r="G1360" s="22"/>
      <c r="H1360" s="22"/>
      <c r="I1360" s="22"/>
      <c r="J1360" s="22"/>
      <c r="K1360" s="22"/>
      <c r="L1360" s="22"/>
      <c r="M1360" s="22"/>
      <c r="N1360" s="37"/>
      <c r="O1360" s="37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7">
        <v>32.78</v>
      </c>
      <c r="AK1360" s="18"/>
      <c r="AL1360" s="18"/>
      <c r="AM1360" s="18"/>
      <c r="AN1360" s="18"/>
      <c r="AO1360" s="6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33"/>
      <c r="BH1360" s="33"/>
      <c r="BI1360" s="33"/>
      <c r="BJ1360" s="6"/>
      <c r="BK1360" s="6"/>
      <c r="BL1360" s="22" t="s">
        <v>101</v>
      </c>
      <c r="BO1360" s="15"/>
    </row>
    <row r="1361" spans="1:67">
      <c r="A1361" s="36" t="s">
        <v>102</v>
      </c>
      <c r="B1361" s="36"/>
      <c r="C1361" s="17">
        <v>33800</v>
      </c>
      <c r="D1361" s="37">
        <v>56</v>
      </c>
      <c r="E1361" s="38">
        <v>6.6428571428571432</v>
      </c>
      <c r="F1361" s="39">
        <v>93</v>
      </c>
      <c r="G1361" s="22"/>
      <c r="H1361" s="22"/>
      <c r="I1361" s="22"/>
      <c r="J1361" s="22"/>
      <c r="K1361" s="22"/>
      <c r="L1361" s="22"/>
      <c r="M1361" s="22"/>
      <c r="N1361" s="37">
        <v>417.2</v>
      </c>
      <c r="O1361" s="37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7">
        <v>33.54</v>
      </c>
      <c r="AK1361" s="18"/>
      <c r="AL1361" s="18"/>
      <c r="AM1361" s="18">
        <v>7.45</v>
      </c>
      <c r="AN1361" s="18"/>
      <c r="AO1361" s="6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33"/>
      <c r="BH1361" s="33"/>
      <c r="BI1361" s="33"/>
      <c r="BJ1361" s="6"/>
      <c r="BK1361" s="6"/>
      <c r="BL1361" s="22" t="s">
        <v>101</v>
      </c>
      <c r="BO1361" s="15"/>
    </row>
    <row r="1362" spans="1:67">
      <c r="A1362" s="36" t="s">
        <v>102</v>
      </c>
      <c r="B1362" s="36"/>
      <c r="C1362" s="17">
        <v>34530.5</v>
      </c>
      <c r="D1362" s="37">
        <v>58</v>
      </c>
      <c r="E1362" s="38">
        <v>3.7857142857142856</v>
      </c>
      <c r="F1362" s="39">
        <v>53</v>
      </c>
      <c r="G1362" s="22"/>
      <c r="H1362" s="22"/>
      <c r="I1362" s="22"/>
      <c r="J1362" s="22"/>
      <c r="K1362" s="22"/>
      <c r="L1362" s="22"/>
      <c r="M1362" s="22"/>
      <c r="N1362" s="37"/>
      <c r="O1362" s="37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7">
        <v>22.16</v>
      </c>
      <c r="AK1362" s="18"/>
      <c r="AL1362" s="18"/>
      <c r="AM1362" s="18"/>
      <c r="AN1362" s="18"/>
      <c r="AO1362" s="6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33"/>
      <c r="BH1362" s="33"/>
      <c r="BI1362" s="33"/>
      <c r="BJ1362" s="6"/>
      <c r="BK1362" s="6"/>
      <c r="BL1362" s="22" t="s">
        <v>101</v>
      </c>
      <c r="BO1362" s="15"/>
    </row>
    <row r="1363" spans="1:67">
      <c r="A1363" s="36" t="s">
        <v>102</v>
      </c>
      <c r="B1363" s="36"/>
      <c r="C1363" s="17">
        <v>34895.75</v>
      </c>
      <c r="D1363" s="37">
        <v>59</v>
      </c>
      <c r="E1363" s="38">
        <v>3.7857142857142856</v>
      </c>
      <c r="F1363" s="39">
        <v>53</v>
      </c>
      <c r="G1363" s="22"/>
      <c r="H1363" s="22"/>
      <c r="I1363" s="22"/>
      <c r="J1363" s="22"/>
      <c r="K1363" s="22"/>
      <c r="L1363" s="22"/>
      <c r="M1363" s="22"/>
      <c r="N1363" s="37">
        <v>295.8</v>
      </c>
      <c r="O1363" s="37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7">
        <v>22.66</v>
      </c>
      <c r="AK1363" s="18"/>
      <c r="AL1363" s="18"/>
      <c r="AM1363" s="18">
        <v>5.0135593220338981</v>
      </c>
      <c r="AN1363" s="18"/>
      <c r="AO1363" s="6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33"/>
      <c r="BH1363" s="33"/>
      <c r="BI1363" s="33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33"/>
      <c r="BH1364" s="33"/>
      <c r="BI1364" s="33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33"/>
      <c r="BH1365" s="33"/>
      <c r="BI1365" s="33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33"/>
      <c r="BH1366" s="33"/>
      <c r="BI1366" s="33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33"/>
      <c r="BH1367" s="33"/>
      <c r="BI1367" s="33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33"/>
      <c r="BH1368" s="33"/>
      <c r="BI1368" s="33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33"/>
      <c r="BH1369" s="33"/>
      <c r="BI1369" s="33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33"/>
      <c r="BH1370" s="33"/>
      <c r="BI1370" s="33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33"/>
      <c r="BH1371" s="33"/>
      <c r="BI1371" s="33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33"/>
      <c r="BH1372" s="33"/>
      <c r="BI1372" s="33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33"/>
      <c r="BH1373" s="33"/>
      <c r="BI1373" s="33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33"/>
      <c r="BH1374" s="33"/>
      <c r="BI1374" s="33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33"/>
      <c r="BH1375" s="33"/>
      <c r="BI1375" s="33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33"/>
      <c r="BH1376" s="33"/>
      <c r="BI1376" s="33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33"/>
      <c r="BH1377" s="33"/>
      <c r="BI1377" s="33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33"/>
      <c r="BH1378" s="33"/>
      <c r="BI1378" s="33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33"/>
      <c r="BH1379" s="33"/>
      <c r="BI1379" s="33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33"/>
      <c r="BH1380" s="33"/>
      <c r="BI1380" s="33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33"/>
      <c r="BH1381" s="33"/>
      <c r="BI1381" s="33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33"/>
      <c r="BH1382" s="33"/>
      <c r="BI1382" s="33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33"/>
      <c r="BH1383" s="33"/>
      <c r="BI1383" s="33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33"/>
      <c r="BH1384" s="33"/>
      <c r="BI1384" s="33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33"/>
      <c r="BH1385" s="33"/>
      <c r="BI1385" s="33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33"/>
      <c r="BH1386" s="33"/>
      <c r="BI1386" s="33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33"/>
      <c r="BH1387" s="33"/>
      <c r="BI1387" s="33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33"/>
      <c r="BH1388" s="33"/>
      <c r="BI1388" s="33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33"/>
      <c r="BH1389" s="33"/>
      <c r="BI1389" s="33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33"/>
      <c r="BH1390" s="33"/>
      <c r="BI1390" s="33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33"/>
      <c r="BH1391" s="33"/>
      <c r="BI1391" s="33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33"/>
      <c r="BH1392" s="33"/>
      <c r="BI1392" s="33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33"/>
      <c r="BH1393" s="33"/>
      <c r="BI1393" s="33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33"/>
      <c r="BH1394" s="33"/>
      <c r="BI1394" s="33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33"/>
      <c r="BH1395" s="33"/>
      <c r="BI1395" s="33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33"/>
      <c r="BH1396" s="33"/>
      <c r="BI1396" s="33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33"/>
      <c r="BH1397" s="33"/>
      <c r="BI1397" s="33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33"/>
      <c r="BH1398" s="33"/>
      <c r="BI1398" s="33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33"/>
      <c r="BH1399" s="33"/>
      <c r="BI1399" s="33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33"/>
      <c r="BH1400" s="33"/>
      <c r="BI1400" s="33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33"/>
      <c r="BH1401" s="33"/>
      <c r="BI1401" s="33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33"/>
      <c r="BH1402" s="33"/>
      <c r="BI1402" s="33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33"/>
      <c r="BH1403" s="33"/>
      <c r="BI1403" s="33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33"/>
      <c r="BH1404" s="33"/>
      <c r="BI1404" s="33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33"/>
      <c r="BH1405" s="33"/>
      <c r="BI1405" s="33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33"/>
      <c r="BH1406" s="33"/>
      <c r="BI1406" s="33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33"/>
      <c r="BH1407" s="33"/>
      <c r="BI1407" s="33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33"/>
      <c r="BH1408" s="33"/>
      <c r="BI1408" s="33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33"/>
      <c r="BH1409" s="33"/>
      <c r="BI1409" s="33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33"/>
      <c r="BH1410" s="33"/>
      <c r="BI1410" s="33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33"/>
      <c r="BH1411" s="33"/>
      <c r="BI1411" s="33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33"/>
      <c r="BH1412" s="33"/>
      <c r="BI1412" s="33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33"/>
      <c r="BH1413" s="33"/>
      <c r="BI1413" s="33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33"/>
      <c r="BH1414" s="33"/>
      <c r="BI1414" s="33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33"/>
      <c r="BH1415" s="33"/>
      <c r="BI1415" s="33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33"/>
      <c r="BH1416" s="33"/>
      <c r="BI1416" s="33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33"/>
      <c r="BH1417" s="33"/>
      <c r="BI1417" s="33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33"/>
      <c r="BH1418" s="33"/>
      <c r="BI1418" s="33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33"/>
      <c r="BH1419" s="33"/>
      <c r="BI1419" s="33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33"/>
      <c r="BH1420" s="33"/>
      <c r="BI1420" s="33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33"/>
      <c r="BH1421" s="33"/>
      <c r="BI1421" s="33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33"/>
      <c r="BH1422" s="33"/>
      <c r="BI1422" s="33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33"/>
      <c r="BH1423" s="33"/>
      <c r="BI1423" s="33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33"/>
      <c r="BH1424" s="33"/>
      <c r="BI1424" s="33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33"/>
      <c r="BH1425" s="33"/>
      <c r="BI1425" s="33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33"/>
      <c r="BH1426" s="33"/>
      <c r="BI1426" s="33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33"/>
      <c r="BH1427" s="33"/>
      <c r="BI1427" s="33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33"/>
      <c r="BH1428" s="33"/>
      <c r="BI1428" s="33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33"/>
      <c r="BH1429" s="33"/>
      <c r="BI1429" s="33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33"/>
      <c r="BH1430" s="33"/>
      <c r="BI1430" s="33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33"/>
      <c r="BH1431" s="33"/>
      <c r="BI1431" s="33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33"/>
      <c r="BH1432" s="33"/>
      <c r="BI1432" s="33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33"/>
      <c r="BH1433" s="33"/>
      <c r="BI1433" s="33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33"/>
      <c r="BH1434" s="33"/>
      <c r="BI1434" s="33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33"/>
      <c r="BH1435" s="33"/>
      <c r="BI1435" s="33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33"/>
      <c r="BH1436" s="33"/>
      <c r="BI1436" s="33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33"/>
      <c r="BH1437" s="33"/>
      <c r="BI1437" s="33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33"/>
      <c r="BH1438" s="33"/>
      <c r="BI1438" s="33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33"/>
      <c r="BH1439" s="33"/>
      <c r="BI1439" s="33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33"/>
      <c r="BH1440" s="33"/>
      <c r="BI1440" s="33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33"/>
      <c r="BH1441" s="33"/>
      <c r="BI1441" s="33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33"/>
      <c r="BH1442" s="33"/>
      <c r="BI1442" s="33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33"/>
      <c r="BH1443" s="33"/>
      <c r="BI1443" s="33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33"/>
      <c r="BH1444" s="33"/>
      <c r="BI1444" s="33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33"/>
      <c r="BH1445" s="33"/>
      <c r="BI1445" s="33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33"/>
      <c r="BH1446" s="33"/>
      <c r="BI1446" s="33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33"/>
      <c r="BH1447" s="33"/>
      <c r="BI1447" s="33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33"/>
      <c r="BH1448" s="33"/>
      <c r="BI1448" s="33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33"/>
      <c r="BH1449" s="33"/>
      <c r="BI1449" s="33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33"/>
      <c r="BH1450" s="33"/>
      <c r="BI1450" s="33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33"/>
      <c r="BH1451" s="33"/>
      <c r="BI1451" s="33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33"/>
      <c r="BH1452" s="33"/>
      <c r="BI1452" s="33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33"/>
      <c r="BH1453" s="33"/>
      <c r="BI1453" s="33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33"/>
      <c r="BH1454" s="33"/>
      <c r="BI1454" s="33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33"/>
      <c r="BH1455" s="33"/>
      <c r="BI1455" s="33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33"/>
      <c r="BH1456" s="33"/>
      <c r="BI1456" s="33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33"/>
      <c r="BH1457" s="33"/>
      <c r="BI1457" s="33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33"/>
      <c r="BH1458" s="33"/>
      <c r="BI1458" s="33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33"/>
      <c r="BH1459" s="33"/>
      <c r="BI1459" s="33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33"/>
      <c r="BH1460" s="33"/>
      <c r="BI1460" s="33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33"/>
      <c r="BH1461" s="33"/>
      <c r="BI1461" s="33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33"/>
      <c r="BH1462" s="33"/>
      <c r="BI1462" s="33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33"/>
      <c r="BH1463" s="33"/>
      <c r="BI1463" s="33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33"/>
      <c r="BH1464" s="33"/>
      <c r="BI1464" s="33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33"/>
      <c r="BH1465" s="33"/>
      <c r="BI1465" s="33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33"/>
      <c r="BH1466" s="33"/>
      <c r="BI1466" s="33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33"/>
      <c r="BH1467" s="33"/>
      <c r="BI1467" s="33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33"/>
      <c r="BH1468" s="33"/>
      <c r="BI1468" s="33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33"/>
      <c r="BH1469" s="33"/>
      <c r="BI1469" s="33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33"/>
      <c r="BH1470" s="33"/>
      <c r="BI1470" s="33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33"/>
      <c r="BH1471" s="33"/>
      <c r="BI1471" s="33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33"/>
      <c r="BH1472" s="33"/>
      <c r="BI1472" s="33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33"/>
      <c r="BH1473" s="33"/>
      <c r="BI1473" s="33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33"/>
      <c r="BH1474" s="33"/>
      <c r="BI1474" s="33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33"/>
      <c r="BH1475" s="33"/>
      <c r="BI1475" s="33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33"/>
      <c r="BH1476" s="33"/>
      <c r="BI1476" s="33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33"/>
      <c r="BH1477" s="33"/>
      <c r="BI1477" s="33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33"/>
      <c r="BH1478" s="33"/>
      <c r="BI1478" s="33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33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33"/>
      <c r="BH1480" s="33"/>
      <c r="BI1480" s="33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33"/>
      <c r="BH1481" s="33"/>
      <c r="BI1481" s="33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33"/>
      <c r="BH1482" s="33"/>
      <c r="BI1482" s="33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33"/>
      <c r="BH1483" s="33"/>
      <c r="BI1483" s="33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33"/>
      <c r="BH1484" s="33"/>
      <c r="BI1484" s="33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33"/>
      <c r="BH1485" s="33"/>
      <c r="BI1485" s="33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33"/>
      <c r="BH1486" s="33"/>
      <c r="BI1486" s="33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33"/>
      <c r="BH1487" s="33"/>
      <c r="BI1487" s="33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33"/>
      <c r="BH1488" s="33"/>
      <c r="BI1488" s="33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33"/>
      <c r="BH1489" s="33"/>
      <c r="BI1489" s="33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33"/>
      <c r="BH1490" s="33"/>
      <c r="BI1490" s="33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33"/>
      <c r="BH1491" s="33"/>
      <c r="BI1491" s="33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33"/>
      <c r="BH1492" s="33"/>
      <c r="BI1492" s="33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33"/>
      <c r="BH1493" s="33"/>
      <c r="BI1493" s="33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33"/>
      <c r="BH1494" s="33"/>
      <c r="BI1494" s="33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33"/>
      <c r="BH1495" s="33"/>
      <c r="BI1495" s="33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33"/>
      <c r="BH1496" s="33"/>
      <c r="BI1496" s="33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33"/>
      <c r="BH1497" s="33"/>
      <c r="BI1497" s="33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33"/>
      <c r="BH1498" s="33"/>
      <c r="BI1498" s="33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33"/>
      <c r="BH1499" s="33"/>
      <c r="BI1499" s="33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33"/>
      <c r="BH1500" s="33"/>
      <c r="BI1500" s="33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33"/>
      <c r="BH1501" s="33"/>
      <c r="BI1501" s="33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33"/>
      <c r="BH1502" s="33"/>
      <c r="BI1502" s="33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33"/>
      <c r="BH1503" s="33"/>
      <c r="BI1503" s="33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33"/>
      <c r="BH1504" s="33"/>
      <c r="BI1504" s="33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33"/>
      <c r="BH1505" s="33"/>
      <c r="BI1505" s="33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33"/>
      <c r="BH1506" s="33"/>
      <c r="BI1506" s="33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33"/>
      <c r="BH1507" s="33"/>
      <c r="BI1507" s="33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33"/>
      <c r="BH1508" s="33"/>
      <c r="BI1508" s="33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33"/>
      <c r="BH1509" s="33"/>
      <c r="BI1509" s="33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33"/>
      <c r="BH1510" s="33"/>
      <c r="BI1510" s="33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33"/>
      <c r="BH1511" s="33"/>
      <c r="BI1511" s="33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33"/>
      <c r="BH1512" s="33"/>
      <c r="BI1512" s="33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33"/>
      <c r="BH1513" s="33"/>
      <c r="BI1513" s="33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33"/>
      <c r="BH1514" s="33"/>
      <c r="BI1514" s="33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33"/>
      <c r="BH1515" s="33"/>
      <c r="BI1515" s="33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33"/>
      <c r="BH1516" s="33"/>
      <c r="BI1516" s="33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33"/>
      <c r="BH1517" s="33"/>
      <c r="BI1517" s="33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33"/>
      <c r="BH1518" s="33"/>
      <c r="BI1518" s="33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33"/>
      <c r="BH1519" s="33"/>
      <c r="BI1519" s="33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33"/>
      <c r="BH1520" s="33"/>
      <c r="BI1520" s="33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33"/>
      <c r="BH1521" s="33"/>
      <c r="BI1521" s="33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33"/>
      <c r="BH1522" s="33"/>
      <c r="BI1522" s="33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33"/>
      <c r="BH1523" s="33"/>
      <c r="BI1523" s="33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33"/>
      <c r="BH1524" s="33"/>
      <c r="BI1524" s="33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33"/>
      <c r="BH1525" s="33"/>
      <c r="BI1525" s="33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33"/>
      <c r="BH1526" s="33"/>
      <c r="BI1526" s="33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33"/>
      <c r="BH1527" s="33"/>
      <c r="BI1527" s="33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33"/>
      <c r="BH1528" s="33"/>
      <c r="BI1528" s="33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33"/>
      <c r="BH1529" s="33"/>
      <c r="BI1529" s="33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33"/>
      <c r="BH1530" s="33"/>
      <c r="BI1530" s="33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33"/>
      <c r="BH1531" s="33"/>
      <c r="BI1531" s="33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33"/>
      <c r="BH1532" s="33"/>
      <c r="BI1532" s="33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33"/>
      <c r="BH1533" s="33"/>
      <c r="BI1533" s="33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33"/>
      <c r="BH1534" s="33"/>
      <c r="BI1534" s="33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33"/>
      <c r="BH1535" s="33"/>
      <c r="BI1535" s="33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33"/>
      <c r="BH1536" s="33"/>
      <c r="BI1536" s="33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33"/>
      <c r="BH1537" s="33"/>
      <c r="BI1537" s="33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33"/>
      <c r="BH1538" s="33"/>
      <c r="BI1538" s="33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3"/>
      <c r="AQ1539" s="33">
        <v>1.1333333333333332E-2</v>
      </c>
      <c r="AR1539" s="33">
        <v>2.1782608695652171E-3</v>
      </c>
      <c r="AS1539" s="33"/>
      <c r="AT1539" s="33"/>
      <c r="AU1539" s="33">
        <v>4.5733788395904441E-4</v>
      </c>
      <c r="AV1539" s="33"/>
      <c r="AW1539" s="33"/>
      <c r="AX1539" s="33">
        <v>30.1</v>
      </c>
      <c r="AY1539" s="33"/>
      <c r="AZ1539" s="33"/>
      <c r="BA1539" s="33">
        <v>13.6</v>
      </c>
      <c r="BB1539" s="33">
        <v>5.01</v>
      </c>
      <c r="BC1539" s="33">
        <v>0.08</v>
      </c>
      <c r="BD1539" s="33">
        <v>5.86</v>
      </c>
      <c r="BE1539" s="33">
        <v>4.8600000000000003</v>
      </c>
      <c r="BF1539" s="33">
        <v>10.72</v>
      </c>
      <c r="BG1539" s="33"/>
      <c r="BH1539" s="33"/>
      <c r="BI1539" s="33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33"/>
      <c r="BH1540" s="33"/>
      <c r="BI1540" s="33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33"/>
      <c r="BH1541" s="33"/>
      <c r="BI1541" s="33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3"/>
      <c r="AQ1542" s="33">
        <v>1.2483221476510068E-2</v>
      </c>
      <c r="AR1542" s="33">
        <v>2.5944881889763778E-3</v>
      </c>
      <c r="AS1542" s="33"/>
      <c r="AT1542" s="33"/>
      <c r="AU1542" s="33">
        <v>5.6090651558073654E-4</v>
      </c>
      <c r="AV1542" s="33"/>
      <c r="AW1542" s="33"/>
      <c r="AX1542" s="33">
        <v>38.1</v>
      </c>
      <c r="AY1542" s="33"/>
      <c r="AZ1542" s="33"/>
      <c r="BA1542" s="33">
        <v>18.600000000000001</v>
      </c>
      <c r="BB1542" s="33">
        <v>6.59</v>
      </c>
      <c r="BC1542" s="33">
        <v>1.04</v>
      </c>
      <c r="BD1542" s="33">
        <v>5.83</v>
      </c>
      <c r="BE1542" s="33">
        <v>6.05</v>
      </c>
      <c r="BF1542" s="33">
        <v>11.879999999999999</v>
      </c>
      <c r="BG1542" s="33"/>
      <c r="BH1542" s="33"/>
      <c r="BI1542" s="33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33"/>
      <c r="BH1543" s="33"/>
      <c r="BI1543" s="33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33"/>
      <c r="BH1544" s="33"/>
      <c r="BI1544" s="33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33"/>
      <c r="BH1545" s="33"/>
      <c r="BI1545" s="33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33"/>
      <c r="BH1546" s="33"/>
      <c r="BI1546" s="33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33"/>
      <c r="BH1547" s="33"/>
      <c r="BI1547" s="33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33"/>
      <c r="BH1548" s="33"/>
      <c r="BI1548" s="33"/>
      <c r="BJ1548" s="6"/>
      <c r="BK1548" s="6">
        <v>12.256301879882813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33"/>
      <c r="BH1549" s="33"/>
      <c r="BI1549" s="33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33"/>
      <c r="BH1550" s="33"/>
      <c r="BI1550" s="33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33"/>
      <c r="BH1551" s="33"/>
      <c r="BI1551" s="33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33"/>
      <c r="BH1552" s="33"/>
      <c r="BI1552" s="33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33"/>
      <c r="BH1553" s="33"/>
      <c r="BI1553" s="33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33"/>
      <c r="BH1554" s="33"/>
      <c r="BI1554" s="33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33"/>
      <c r="BH1555" s="33"/>
      <c r="BI1555" s="33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33"/>
      <c r="BH1556" s="33"/>
      <c r="BI1556" s="33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33"/>
      <c r="BH1557" s="33"/>
      <c r="BI1557" s="33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33"/>
      <c r="BH1558" s="33"/>
      <c r="BI1558" s="33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33"/>
      <c r="BH1559" s="33"/>
      <c r="BI1559" s="33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33"/>
      <c r="BH1560" s="33"/>
      <c r="BI1560" s="33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33"/>
      <c r="BH1561" s="33"/>
      <c r="BI1561" s="33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33"/>
      <c r="BH1562" s="33"/>
      <c r="BI1562" s="33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33"/>
      <c r="BH1563" s="33"/>
      <c r="BI1563" s="33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33"/>
      <c r="BH1564" s="33"/>
      <c r="BI1564" s="33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33"/>
      <c r="BH1565" s="33"/>
      <c r="BI1565" s="33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33"/>
      <c r="BH1566" s="33"/>
      <c r="BI1566" s="33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33"/>
      <c r="BH1567" s="33"/>
      <c r="BI1567" s="33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/>
      <c r="BG1568" s="33"/>
      <c r="BH1568" s="33"/>
      <c r="BI1568" s="33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/>
      <c r="BG1569" s="33"/>
      <c r="BH1569" s="33"/>
      <c r="BI1569" s="33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/>
      <c r="BG1570" s="33"/>
      <c r="BH1570" s="33"/>
      <c r="BI1570" s="33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/>
      <c r="BG1571" s="33"/>
      <c r="BH1571" s="33"/>
      <c r="BI1571" s="33">
        <f t="shared" si="2"/>
        <v>23.935794067382812</v>
      </c>
      <c r="BJ1571" s="6">
        <v>239.35794067382813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/>
      <c r="BG1572" s="33"/>
      <c r="BH1572" s="33"/>
      <c r="BI1572" s="33">
        <f t="shared" si="2"/>
        <v>25.805081176757813</v>
      </c>
      <c r="BJ1572" s="6">
        <v>258.05081176757813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/>
      <c r="BG1573" s="33"/>
      <c r="BH1573" s="33"/>
      <c r="BI1573" s="33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/>
      <c r="BG1574" s="33"/>
      <c r="BH1574" s="33"/>
      <c r="BI1574" s="33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/>
      <c r="BG1575" s="33"/>
      <c r="BH1575" s="33"/>
      <c r="BI1575" s="33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/>
      <c r="BG1576" s="33"/>
      <c r="BH1576" s="33"/>
      <c r="BI1576" s="33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/>
      <c r="BG1577" s="33"/>
      <c r="BH1577" s="33"/>
      <c r="BI1577" s="33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/>
      <c r="BG1578" s="33"/>
      <c r="BH1578" s="33"/>
      <c r="BI1578" s="33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/>
      <c r="BG1579" s="33"/>
      <c r="BH1579" s="33"/>
      <c r="BI1579" s="33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/>
      <c r="BG1580" s="33"/>
      <c r="BH1580" s="33"/>
      <c r="BI1580" s="33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/>
      <c r="BG1581" s="33"/>
      <c r="BH1581" s="33"/>
      <c r="BI1581" s="33">
        <f t="shared" si="2"/>
        <v>10.221524047851563</v>
      </c>
      <c r="BJ1581" s="6">
        <v>102.21524047851563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/>
      <c r="BG1582" s="33"/>
      <c r="BH1582" s="33"/>
      <c r="BI1582" s="33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/>
      <c r="BG1583" s="33"/>
      <c r="BH1583" s="33"/>
      <c r="BI1583" s="33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/>
      <c r="BG1584" s="33"/>
      <c r="BH1584" s="33"/>
      <c r="BI1584" s="33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/>
      <c r="BG1585" s="33"/>
      <c r="BH1585" s="33"/>
      <c r="BI1585" s="33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/>
      <c r="BG1586" s="33"/>
      <c r="BH1586" s="33"/>
      <c r="BI1586" s="33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/>
      <c r="BG1587" s="33"/>
      <c r="BH1587" s="33"/>
      <c r="BI1587" s="33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/>
      <c r="BG1588" s="33"/>
      <c r="BH1588" s="33"/>
      <c r="BI1588" s="33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/>
      <c r="BG1589" s="33"/>
      <c r="BH1589" s="33"/>
      <c r="BI1589" s="33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/>
      <c r="BG1590" s="33"/>
      <c r="BH1590" s="33"/>
      <c r="BI1590" s="33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/>
      <c r="BG1591" s="33"/>
      <c r="BH1591" s="33"/>
      <c r="BI1591" s="33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/>
      <c r="BG1592" s="33"/>
      <c r="BH1592" s="33"/>
      <c r="BI1592" s="33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/>
      <c r="BA1593" s="33">
        <v>1.61</v>
      </c>
      <c r="BB1593" s="33">
        <v>0.56000000000000005</v>
      </c>
      <c r="BC1593" s="33"/>
      <c r="BD1593" s="33"/>
      <c r="BE1593" s="33"/>
      <c r="BF1593" s="33">
        <v>0.59</v>
      </c>
      <c r="BG1593" s="33">
        <v>0.2</v>
      </c>
      <c r="BH1593" s="33">
        <v>0.66</v>
      </c>
      <c r="BI1593" s="33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2"/>
      <c r="AK1594" s="18"/>
      <c r="AL1594" s="18"/>
      <c r="AM1594" s="18"/>
      <c r="AN1594" s="18"/>
      <c r="AO1594" s="6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/>
      <c r="AZ1594" s="33">
        <v>4</v>
      </c>
      <c r="BA1594" s="33"/>
      <c r="BB1594" s="33"/>
      <c r="BC1594" s="33"/>
      <c r="BD1594" s="33"/>
      <c r="BE1594" s="33"/>
      <c r="BF1594" s="33"/>
      <c r="BG1594" s="33"/>
      <c r="BH1594" s="33"/>
      <c r="BI1594" s="33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2"/>
      <c r="AK1595" s="18"/>
      <c r="AL1595" s="18"/>
      <c r="AM1595" s="18"/>
      <c r="AN1595" s="18"/>
      <c r="AO1595" s="6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/>
      <c r="AZ1595" s="33">
        <v>7</v>
      </c>
      <c r="BA1595" s="33"/>
      <c r="BB1595" s="33"/>
      <c r="BC1595" s="33"/>
      <c r="BD1595" s="33"/>
      <c r="BE1595" s="33"/>
      <c r="BF1595" s="33"/>
      <c r="BG1595" s="33"/>
      <c r="BH1595" s="33"/>
      <c r="BI1595" s="33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2"/>
      <c r="AK1596" s="18"/>
      <c r="AL1596" s="18"/>
      <c r="AM1596" s="18"/>
      <c r="AN1596" s="18"/>
      <c r="AO1596" s="6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/>
      <c r="AZ1596" s="33">
        <v>9</v>
      </c>
      <c r="BA1596" s="33"/>
      <c r="BB1596" s="33"/>
      <c r="BC1596" s="33"/>
      <c r="BD1596" s="33"/>
      <c r="BE1596" s="33"/>
      <c r="BF1596" s="33"/>
      <c r="BG1596" s="33"/>
      <c r="BH1596" s="33"/>
      <c r="BI1596" s="33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2"/>
      <c r="AK1597" s="18"/>
      <c r="AL1597" s="18"/>
      <c r="AM1597" s="18"/>
      <c r="AN1597" s="18"/>
      <c r="AO1597" s="6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/>
      <c r="AZ1597" s="33">
        <v>11</v>
      </c>
      <c r="BA1597" s="33"/>
      <c r="BB1597" s="33"/>
      <c r="BC1597" s="33"/>
      <c r="BD1597" s="33"/>
      <c r="BE1597" s="33"/>
      <c r="BF1597" s="33"/>
      <c r="BG1597" s="33"/>
      <c r="BH1597" s="33"/>
      <c r="BI1597" s="33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2"/>
      <c r="AK1598" s="18"/>
      <c r="AL1598" s="18"/>
      <c r="AM1598" s="18"/>
      <c r="AN1598" s="18"/>
      <c r="AO1598" s="6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/>
      <c r="AZ1598" s="33">
        <v>13</v>
      </c>
      <c r="BA1598" s="33"/>
      <c r="BB1598" s="33"/>
      <c r="BC1598" s="33"/>
      <c r="BD1598" s="33"/>
      <c r="BE1598" s="33"/>
      <c r="BF1598" s="33"/>
      <c r="BG1598" s="33"/>
      <c r="BH1598" s="33"/>
      <c r="BI1598" s="33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2"/>
      <c r="AK1599" s="18"/>
      <c r="AL1599" s="18"/>
      <c r="AM1599" s="18"/>
      <c r="AN1599" s="18"/>
      <c r="AO1599" s="6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/>
      <c r="AZ1599" s="33">
        <v>15</v>
      </c>
      <c r="BA1599" s="33"/>
      <c r="BB1599" s="33"/>
      <c r="BC1599" s="33"/>
      <c r="BD1599" s="33"/>
      <c r="BE1599" s="33"/>
      <c r="BF1599" s="33"/>
      <c r="BG1599" s="33"/>
      <c r="BH1599" s="33"/>
      <c r="BI1599" s="33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2"/>
      <c r="AK1600" s="18"/>
      <c r="AL1600" s="18"/>
      <c r="AM1600" s="18"/>
      <c r="AN1600" s="18"/>
      <c r="AO1600" s="6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/>
      <c r="AZ1600" s="33">
        <v>16</v>
      </c>
      <c r="BA1600" s="33"/>
      <c r="BB1600" s="33"/>
      <c r="BC1600" s="33"/>
      <c r="BD1600" s="33"/>
      <c r="BE1600" s="33"/>
      <c r="BF1600" s="33"/>
      <c r="BG1600" s="33"/>
      <c r="BH1600" s="33"/>
      <c r="BI1600" s="33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2"/>
      <c r="AK1601" s="18"/>
      <c r="AL1601" s="18"/>
      <c r="AM1601" s="18"/>
      <c r="AN1601" s="18"/>
      <c r="AO1601" s="6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/>
      <c r="AZ1601" s="33">
        <v>17</v>
      </c>
      <c r="BA1601" s="33"/>
      <c r="BB1601" s="33"/>
      <c r="BC1601" s="33"/>
      <c r="BD1601" s="33"/>
      <c r="BE1601" s="33"/>
      <c r="BF1601" s="33"/>
      <c r="BG1601" s="33"/>
      <c r="BH1601" s="33"/>
      <c r="BI1601" s="33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2"/>
      <c r="AK1602" s="18"/>
      <c r="AL1602" s="18"/>
      <c r="AM1602" s="18"/>
      <c r="AN1602" s="18"/>
      <c r="AO1602" s="6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/>
      <c r="AZ1602" s="33">
        <v>18</v>
      </c>
      <c r="BA1602" s="33"/>
      <c r="BB1602" s="33"/>
      <c r="BC1602" s="33"/>
      <c r="BD1602" s="33"/>
      <c r="BE1602" s="33"/>
      <c r="BF1602" s="33"/>
      <c r="BG1602" s="33"/>
      <c r="BH1602" s="33"/>
      <c r="BI1602" s="33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2">
        <v>19</v>
      </c>
      <c r="AK1603" s="18"/>
      <c r="AL1603" s="18"/>
      <c r="AM1603" s="18"/>
      <c r="AN1603" s="18"/>
      <c r="AO1603" s="6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/>
      <c r="AZ1603" s="33">
        <v>19</v>
      </c>
      <c r="BA1603" s="33"/>
      <c r="BB1603" s="33"/>
      <c r="BC1603" s="33"/>
      <c r="BD1603" s="33"/>
      <c r="BE1603" s="33"/>
      <c r="BF1603" s="33"/>
      <c r="BG1603" s="33"/>
      <c r="BH1603" s="33"/>
      <c r="BI1603" s="33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2">
        <v>20</v>
      </c>
      <c r="AK1604" s="18"/>
      <c r="AL1604" s="18"/>
      <c r="AM1604" s="18"/>
      <c r="AN1604" s="18"/>
      <c r="AO1604" s="6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/>
      <c r="AZ1604" s="33">
        <v>20</v>
      </c>
      <c r="BA1604" s="33"/>
      <c r="BB1604" s="33"/>
      <c r="BC1604" s="33"/>
      <c r="BD1604" s="33"/>
      <c r="BE1604" s="33"/>
      <c r="BF1604" s="33"/>
      <c r="BG1604" s="33"/>
      <c r="BH1604" s="33"/>
      <c r="BI1604" s="33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2">
        <v>21</v>
      </c>
      <c r="AK1605" s="18"/>
      <c r="AL1605" s="18"/>
      <c r="AM1605" s="18"/>
      <c r="AN1605" s="18"/>
      <c r="AO1605" s="6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/>
      <c r="AZ1605" s="33">
        <v>21</v>
      </c>
      <c r="BA1605" s="33"/>
      <c r="BB1605" s="33"/>
      <c r="BC1605" s="33"/>
      <c r="BD1605" s="33"/>
      <c r="BE1605" s="33"/>
      <c r="BF1605" s="33"/>
      <c r="BG1605" s="33"/>
      <c r="BH1605" s="33"/>
      <c r="BI1605" s="33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2">
        <v>22</v>
      </c>
      <c r="AK1606" s="18"/>
      <c r="AL1606" s="18"/>
      <c r="AM1606" s="18"/>
      <c r="AN1606" s="18"/>
      <c r="AO1606" s="6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/>
      <c r="AZ1606" s="33">
        <v>22</v>
      </c>
      <c r="BA1606" s="33"/>
      <c r="BB1606" s="33"/>
      <c r="BC1606" s="33"/>
      <c r="BD1606" s="33"/>
      <c r="BE1606" s="33"/>
      <c r="BF1606" s="33"/>
      <c r="BG1606" s="33"/>
      <c r="BH1606" s="33"/>
      <c r="BI1606" s="33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2">
        <v>23</v>
      </c>
      <c r="AK1607" s="18"/>
      <c r="AL1607" s="18"/>
      <c r="AM1607" s="18"/>
      <c r="AN1607" s="18"/>
      <c r="AO1607" s="6"/>
      <c r="AP1607" s="33"/>
      <c r="AQ1607" s="33"/>
      <c r="AR1607" s="33"/>
      <c r="AS1607" s="33"/>
      <c r="AT1607" s="33"/>
      <c r="AU1607" s="33"/>
      <c r="AV1607" s="33"/>
      <c r="AW1607" s="33"/>
      <c r="AX1607" s="33" t="e">
        <v>#REF!</v>
      </c>
      <c r="AY1607" s="33">
        <v>3.29</v>
      </c>
      <c r="AZ1607" s="33">
        <v>23</v>
      </c>
      <c r="BA1607" s="33">
        <v>7.92</v>
      </c>
      <c r="BB1607" s="33">
        <v>3.77</v>
      </c>
      <c r="BC1607" s="33"/>
      <c r="BD1607" s="33"/>
      <c r="BE1607" s="33"/>
      <c r="BF1607" s="33">
        <v>4.21</v>
      </c>
      <c r="BG1607" s="33">
        <v>2.52</v>
      </c>
      <c r="BH1607" s="33">
        <v>0.77</v>
      </c>
      <c r="BI1607" s="33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33"/>
      <c r="BH1608" s="33"/>
      <c r="BI1608" s="33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2"/>
      <c r="AK1609" s="18"/>
      <c r="AL1609" s="18"/>
      <c r="AM1609" s="18"/>
      <c r="AN1609" s="18"/>
      <c r="AO1609" s="6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/>
      <c r="AZ1609" s="33">
        <v>6</v>
      </c>
      <c r="BA1609" s="33"/>
      <c r="BB1609" s="33"/>
      <c r="BC1609" s="33"/>
      <c r="BD1609" s="33"/>
      <c r="BE1609" s="33"/>
      <c r="BF1609" s="33"/>
      <c r="BG1609" s="33"/>
      <c r="BH1609" s="33"/>
      <c r="BI1609" s="33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2"/>
      <c r="AK1610" s="18"/>
      <c r="AL1610" s="18"/>
      <c r="AM1610" s="18"/>
      <c r="AN1610" s="18"/>
      <c r="AO1610" s="6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/>
      <c r="AZ1610" s="33">
        <v>9</v>
      </c>
      <c r="BA1610" s="33"/>
      <c r="BB1610" s="33"/>
      <c r="BC1610" s="33"/>
      <c r="BD1610" s="33"/>
      <c r="BE1610" s="33"/>
      <c r="BF1610" s="33"/>
      <c r="BG1610" s="33"/>
      <c r="BH1610" s="33"/>
      <c r="BI1610" s="33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2"/>
      <c r="AK1611" s="18"/>
      <c r="AL1611" s="18"/>
      <c r="AM1611" s="18"/>
      <c r="AN1611" s="18"/>
      <c r="AO1611" s="6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/>
      <c r="AZ1611" s="33">
        <v>12</v>
      </c>
      <c r="BA1611" s="33"/>
      <c r="BB1611" s="33"/>
      <c r="BC1611" s="33"/>
      <c r="BD1611" s="33"/>
      <c r="BE1611" s="33"/>
      <c r="BF1611" s="33"/>
      <c r="BG1611" s="33"/>
      <c r="BH1611" s="33"/>
      <c r="BI1611" s="33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2"/>
      <c r="AK1612" s="18"/>
      <c r="AL1612" s="18"/>
      <c r="AM1612" s="18"/>
      <c r="AN1612" s="18"/>
      <c r="AO1612" s="6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/>
      <c r="AZ1612" s="33">
        <v>16</v>
      </c>
      <c r="BA1612" s="33"/>
      <c r="BB1612" s="33"/>
      <c r="BC1612" s="33"/>
      <c r="BD1612" s="33"/>
      <c r="BE1612" s="33"/>
      <c r="BF1612" s="33"/>
      <c r="BG1612" s="33"/>
      <c r="BH1612" s="33"/>
      <c r="BI1612" s="33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2"/>
      <c r="AK1613" s="18"/>
      <c r="AL1613" s="18"/>
      <c r="AM1613" s="18"/>
      <c r="AN1613" s="18"/>
      <c r="AO1613" s="6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/>
      <c r="AZ1613" s="33">
        <v>20</v>
      </c>
      <c r="BA1613" s="33"/>
      <c r="BB1613" s="33"/>
      <c r="BC1613" s="33"/>
      <c r="BD1613" s="33"/>
      <c r="BE1613" s="33"/>
      <c r="BF1613" s="33"/>
      <c r="BG1613" s="33"/>
      <c r="BH1613" s="33"/>
      <c r="BI1613" s="33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2"/>
      <c r="AK1614" s="18"/>
      <c r="AL1614" s="18"/>
      <c r="AM1614" s="18"/>
      <c r="AN1614" s="18"/>
      <c r="AO1614" s="6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/>
      <c r="AZ1614" s="33">
        <v>24</v>
      </c>
      <c r="BA1614" s="33"/>
      <c r="BB1614" s="33"/>
      <c r="BC1614" s="33"/>
      <c r="BD1614" s="33"/>
      <c r="BE1614" s="33"/>
      <c r="BF1614" s="33"/>
      <c r="BG1614" s="33"/>
      <c r="BH1614" s="33"/>
      <c r="BI1614" s="33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2"/>
      <c r="AK1615" s="18"/>
      <c r="AL1615" s="18"/>
      <c r="AM1615" s="18"/>
      <c r="AN1615" s="18"/>
      <c r="AO1615" s="6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/>
      <c r="AZ1615" s="33">
        <v>28</v>
      </c>
      <c r="BA1615" s="33"/>
      <c r="BB1615" s="33"/>
      <c r="BC1615" s="33"/>
      <c r="BD1615" s="33"/>
      <c r="BE1615" s="33"/>
      <c r="BF1615" s="33"/>
      <c r="BG1615" s="33"/>
      <c r="BH1615" s="33"/>
      <c r="BI1615" s="33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2"/>
      <c r="AK1616" s="18"/>
      <c r="AL1616" s="18"/>
      <c r="AM1616" s="18"/>
      <c r="AN1616" s="18"/>
      <c r="AO1616" s="6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/>
      <c r="AZ1616" s="33">
        <v>31</v>
      </c>
      <c r="BA1616" s="33"/>
      <c r="BB1616" s="33"/>
      <c r="BC1616" s="33"/>
      <c r="BD1616" s="33"/>
      <c r="BE1616" s="33"/>
      <c r="BF1616" s="33"/>
      <c r="BG1616" s="33"/>
      <c r="BH1616" s="33"/>
      <c r="BI1616" s="33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2"/>
      <c r="AK1617" s="18"/>
      <c r="AL1617" s="18"/>
      <c r="AM1617" s="18"/>
      <c r="AN1617" s="18"/>
      <c r="AO1617" s="6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/>
      <c r="AZ1617" s="33">
        <v>33</v>
      </c>
      <c r="BA1617" s="33"/>
      <c r="BB1617" s="33"/>
      <c r="BC1617" s="33"/>
      <c r="BD1617" s="33"/>
      <c r="BE1617" s="33"/>
      <c r="BF1617" s="33"/>
      <c r="BG1617" s="33"/>
      <c r="BH1617" s="33"/>
      <c r="BI1617" s="33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2">
        <v>33</v>
      </c>
      <c r="AK1618" s="18"/>
      <c r="AL1618" s="18"/>
      <c r="AM1618" s="18"/>
      <c r="AN1618" s="18"/>
      <c r="AO1618" s="6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/>
      <c r="AZ1618" s="33">
        <v>36</v>
      </c>
      <c r="BA1618" s="33"/>
      <c r="BB1618" s="33"/>
      <c r="BC1618" s="33"/>
      <c r="BD1618" s="33"/>
      <c r="BE1618" s="33"/>
      <c r="BF1618" s="33"/>
      <c r="BG1618" s="33"/>
      <c r="BH1618" s="33"/>
      <c r="BI1618" s="33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2">
        <v>35</v>
      </c>
      <c r="AK1619" s="18"/>
      <c r="AL1619" s="18"/>
      <c r="AM1619" s="18"/>
      <c r="AN1619" s="18"/>
      <c r="AO1619" s="6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/>
      <c r="AZ1619" s="33">
        <v>38</v>
      </c>
      <c r="BA1619" s="33"/>
      <c r="BB1619" s="33"/>
      <c r="BC1619" s="33"/>
      <c r="BD1619" s="33"/>
      <c r="BE1619" s="33"/>
      <c r="BF1619" s="33"/>
      <c r="BG1619" s="33"/>
      <c r="BH1619" s="33"/>
      <c r="BI1619" s="33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2">
        <v>37</v>
      </c>
      <c r="AK1620" s="18"/>
      <c r="AL1620" s="18"/>
      <c r="AM1620" s="18"/>
      <c r="AN1620" s="18"/>
      <c r="AO1620" s="6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/>
      <c r="AZ1620" s="33">
        <v>40</v>
      </c>
      <c r="BA1620" s="33"/>
      <c r="BB1620" s="33"/>
      <c r="BC1620" s="33"/>
      <c r="BD1620" s="33"/>
      <c r="BE1620" s="33"/>
      <c r="BF1620" s="33"/>
      <c r="BG1620" s="33"/>
      <c r="BH1620" s="33"/>
      <c r="BI1620" s="33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2">
        <v>38</v>
      </c>
      <c r="AK1621" s="18"/>
      <c r="AL1621" s="18"/>
      <c r="AM1621" s="18"/>
      <c r="AN1621" s="18"/>
      <c r="AO1621" s="6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/>
      <c r="AZ1621" s="33">
        <v>43</v>
      </c>
      <c r="BA1621" s="33"/>
      <c r="BB1621" s="33"/>
      <c r="BC1621" s="33"/>
      <c r="BD1621" s="33"/>
      <c r="BE1621" s="33"/>
      <c r="BF1621" s="33"/>
      <c r="BG1621" s="33"/>
      <c r="BH1621" s="33"/>
      <c r="BI1621" s="33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2">
        <v>39</v>
      </c>
      <c r="AK1622" s="18"/>
      <c r="AL1622" s="18"/>
      <c r="AM1622" s="18"/>
      <c r="AN1622" s="18"/>
      <c r="AO1622" s="6"/>
      <c r="AP1622" s="33"/>
      <c r="AQ1622" s="33"/>
      <c r="AR1622" s="33"/>
      <c r="AS1622" s="33"/>
      <c r="AT1622" s="33"/>
      <c r="AU1622" s="33"/>
      <c r="AV1622" s="33"/>
      <c r="AW1622" s="33"/>
      <c r="AX1622" s="33" t="e">
        <v>#REF!</v>
      </c>
      <c r="AY1622" s="33">
        <v>12.14</v>
      </c>
      <c r="AZ1622" s="33">
        <v>45</v>
      </c>
      <c r="BA1622" s="33">
        <v>8.43</v>
      </c>
      <c r="BB1622" s="33">
        <v>5.01</v>
      </c>
      <c r="BC1622" s="33"/>
      <c r="BD1622" s="33"/>
      <c r="BE1622" s="33"/>
      <c r="BF1622" s="33">
        <v>14.35</v>
      </c>
      <c r="BG1622" s="33">
        <v>11.35</v>
      </c>
      <c r="BH1622" s="33">
        <v>0.79</v>
      </c>
      <c r="BI1622" s="33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33"/>
      <c r="BH1623" s="33"/>
      <c r="BI1623" s="33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/>
      <c r="AZ1624" s="33">
        <v>5.5</v>
      </c>
      <c r="BA1624" s="33"/>
      <c r="BB1624" s="33"/>
      <c r="BC1624" s="33"/>
      <c r="BD1624" s="33"/>
      <c r="BE1624" s="33"/>
      <c r="BF1624" s="33"/>
      <c r="BG1624" s="33"/>
      <c r="BH1624" s="33"/>
      <c r="BI1624" s="33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/>
      <c r="AZ1625" s="33">
        <v>8.5</v>
      </c>
      <c r="BA1625" s="33"/>
      <c r="BB1625" s="33"/>
      <c r="BC1625" s="33"/>
      <c r="BD1625" s="33"/>
      <c r="BE1625" s="33"/>
      <c r="BF1625" s="33"/>
      <c r="BG1625" s="33"/>
      <c r="BH1625" s="33"/>
      <c r="BI1625" s="33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/>
      <c r="AZ1626" s="33">
        <v>11</v>
      </c>
      <c r="BA1626" s="33"/>
      <c r="BB1626" s="33"/>
      <c r="BC1626" s="33"/>
      <c r="BD1626" s="33"/>
      <c r="BE1626" s="33"/>
      <c r="BF1626" s="33"/>
      <c r="BG1626" s="33"/>
      <c r="BH1626" s="33"/>
      <c r="BI1626" s="33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/>
      <c r="AZ1627" s="33">
        <v>14</v>
      </c>
      <c r="BA1627" s="33"/>
      <c r="BB1627" s="33"/>
      <c r="BC1627" s="33"/>
      <c r="BD1627" s="33"/>
      <c r="BE1627" s="33"/>
      <c r="BF1627" s="33"/>
      <c r="BG1627" s="33"/>
      <c r="BH1627" s="33"/>
      <c r="BI1627" s="33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/>
      <c r="AZ1628" s="33">
        <v>18</v>
      </c>
      <c r="BA1628" s="33"/>
      <c r="BB1628" s="33"/>
      <c r="BC1628" s="33"/>
      <c r="BD1628" s="33"/>
      <c r="BE1628" s="33"/>
      <c r="BF1628" s="33"/>
      <c r="BG1628" s="33"/>
      <c r="BH1628" s="33"/>
      <c r="BI1628" s="33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/>
      <c r="AZ1629" s="33">
        <v>22</v>
      </c>
      <c r="BA1629" s="33"/>
      <c r="BB1629" s="33"/>
      <c r="BC1629" s="33"/>
      <c r="BD1629" s="33"/>
      <c r="BE1629" s="33"/>
      <c r="BF1629" s="33"/>
      <c r="BG1629" s="33"/>
      <c r="BH1629" s="33"/>
      <c r="BI1629" s="33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/>
      <c r="AZ1630" s="33">
        <v>26</v>
      </c>
      <c r="BA1630" s="33"/>
      <c r="BB1630" s="33"/>
      <c r="BC1630" s="33"/>
      <c r="BD1630" s="33"/>
      <c r="BE1630" s="33"/>
      <c r="BF1630" s="33"/>
      <c r="BG1630" s="33"/>
      <c r="BH1630" s="33"/>
      <c r="BI1630" s="33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/>
      <c r="AZ1631" s="33">
        <v>30</v>
      </c>
      <c r="BA1631" s="33"/>
      <c r="BB1631" s="33"/>
      <c r="BC1631" s="33"/>
      <c r="BD1631" s="33"/>
      <c r="BE1631" s="33"/>
      <c r="BF1631" s="33"/>
      <c r="BG1631" s="33"/>
      <c r="BH1631" s="33"/>
      <c r="BI1631" s="33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/>
      <c r="AZ1632" s="33">
        <v>35</v>
      </c>
      <c r="BA1632" s="33"/>
      <c r="BB1632" s="33"/>
      <c r="BC1632" s="33"/>
      <c r="BD1632" s="33"/>
      <c r="BE1632" s="33"/>
      <c r="BF1632" s="33"/>
      <c r="BG1632" s="33"/>
      <c r="BH1632" s="33"/>
      <c r="BI1632" s="33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/>
      <c r="AZ1633" s="33">
        <v>38</v>
      </c>
      <c r="BA1633" s="33"/>
      <c r="BB1633" s="33"/>
      <c r="BC1633" s="33"/>
      <c r="BD1633" s="33"/>
      <c r="BE1633" s="33"/>
      <c r="BF1633" s="33"/>
      <c r="BG1633" s="33"/>
      <c r="BH1633" s="33"/>
      <c r="BI1633" s="33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/>
      <c r="AZ1634" s="33">
        <v>40</v>
      </c>
      <c r="BA1634" s="33"/>
      <c r="BB1634" s="33"/>
      <c r="BC1634" s="33"/>
      <c r="BD1634" s="33"/>
      <c r="BE1634" s="33"/>
      <c r="BF1634" s="33"/>
      <c r="BG1634" s="33"/>
      <c r="BH1634" s="33"/>
      <c r="BI1634" s="33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/>
      <c r="AZ1635" s="33">
        <v>45</v>
      </c>
      <c r="BA1635" s="33"/>
      <c r="BB1635" s="33"/>
      <c r="BC1635" s="33"/>
      <c r="BD1635" s="33"/>
      <c r="BE1635" s="33"/>
      <c r="BF1635" s="33"/>
      <c r="BG1635" s="33"/>
      <c r="BH1635" s="33"/>
      <c r="BI1635" s="33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/>
      <c r="AZ1636" s="33">
        <v>50</v>
      </c>
      <c r="BA1636" s="33"/>
      <c r="BB1636" s="33"/>
      <c r="BC1636" s="33"/>
      <c r="BD1636" s="33"/>
      <c r="BE1636" s="33"/>
      <c r="BF1636" s="33"/>
      <c r="BG1636" s="33"/>
      <c r="BH1636" s="33"/>
      <c r="BI1636" s="33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3"/>
      <c r="AQ1637" s="33"/>
      <c r="AR1637" s="33"/>
      <c r="AS1637" s="33"/>
      <c r="AT1637" s="33"/>
      <c r="AU1637" s="33"/>
      <c r="AV1637" s="33"/>
      <c r="AW1637" s="33"/>
      <c r="AX1637" s="33" t="e">
        <v>#REF!</v>
      </c>
      <c r="AY1637" s="33">
        <v>12.71</v>
      </c>
      <c r="AZ1637" s="33">
        <v>52</v>
      </c>
      <c r="BA1637" s="33">
        <v>12.73</v>
      </c>
      <c r="BB1637" s="33">
        <v>6.49</v>
      </c>
      <c r="BC1637" s="33"/>
      <c r="BD1637" s="33"/>
      <c r="BE1637" s="33"/>
      <c r="BF1637" s="33">
        <v>16.16</v>
      </c>
      <c r="BG1637" s="33">
        <v>11.72</v>
      </c>
      <c r="BH1637" s="33">
        <v>0.99</v>
      </c>
      <c r="BI1637" s="33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33"/>
      <c r="BH1638" s="33"/>
      <c r="BI1638" s="33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2"/>
      <c r="AK1639" s="18"/>
      <c r="AL1639" s="18"/>
      <c r="AM1639" s="18"/>
      <c r="AN1639" s="18"/>
      <c r="AO1639" s="6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/>
      <c r="AZ1639" s="33">
        <v>5</v>
      </c>
      <c r="BA1639" s="33"/>
      <c r="BB1639" s="33"/>
      <c r="BC1639" s="33"/>
      <c r="BD1639" s="33"/>
      <c r="BE1639" s="33"/>
      <c r="BF1639" s="33"/>
      <c r="BG1639" s="33"/>
      <c r="BH1639" s="33"/>
      <c r="BI1639" s="33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2"/>
      <c r="AK1640" s="18"/>
      <c r="AL1640" s="18"/>
      <c r="AM1640" s="18"/>
      <c r="AN1640" s="18"/>
      <c r="AO1640" s="6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/>
      <c r="AZ1640" s="33">
        <v>6.5</v>
      </c>
      <c r="BA1640" s="33"/>
      <c r="BB1640" s="33"/>
      <c r="BC1640" s="33"/>
      <c r="BD1640" s="33"/>
      <c r="BE1640" s="33"/>
      <c r="BF1640" s="33"/>
      <c r="BG1640" s="33"/>
      <c r="BH1640" s="33"/>
      <c r="BI1640" s="33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2"/>
      <c r="AK1641" s="18"/>
      <c r="AL1641" s="18"/>
      <c r="AM1641" s="18"/>
      <c r="AN1641" s="18"/>
      <c r="AO1641" s="6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/>
      <c r="AZ1641" s="33">
        <v>8</v>
      </c>
      <c r="BA1641" s="33"/>
      <c r="BB1641" s="33"/>
      <c r="BC1641" s="33"/>
      <c r="BD1641" s="33"/>
      <c r="BE1641" s="33"/>
      <c r="BF1641" s="33"/>
      <c r="BG1641" s="33"/>
      <c r="BH1641" s="33"/>
      <c r="BI1641" s="33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2"/>
      <c r="AK1642" s="18"/>
      <c r="AL1642" s="18"/>
      <c r="AM1642" s="18"/>
      <c r="AN1642" s="18"/>
      <c r="AO1642" s="6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/>
      <c r="AZ1642" s="33">
        <v>9.5</v>
      </c>
      <c r="BA1642" s="33"/>
      <c r="BB1642" s="33"/>
      <c r="BC1642" s="33"/>
      <c r="BD1642" s="33"/>
      <c r="BE1642" s="33"/>
      <c r="BF1642" s="33"/>
      <c r="BG1642" s="33"/>
      <c r="BH1642" s="33"/>
      <c r="BI1642" s="33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2"/>
      <c r="AK1643" s="18"/>
      <c r="AL1643" s="18"/>
      <c r="AM1643" s="18"/>
      <c r="AN1643" s="18"/>
      <c r="AO1643" s="6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/>
      <c r="AZ1643" s="33">
        <v>11</v>
      </c>
      <c r="BA1643" s="33"/>
      <c r="BB1643" s="33"/>
      <c r="BC1643" s="33"/>
      <c r="BD1643" s="33"/>
      <c r="BE1643" s="33"/>
      <c r="BF1643" s="33"/>
      <c r="BG1643" s="33"/>
      <c r="BH1643" s="33"/>
      <c r="BI1643" s="33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2"/>
      <c r="AK1644" s="18"/>
      <c r="AL1644" s="18"/>
      <c r="AM1644" s="18"/>
      <c r="AN1644" s="18"/>
      <c r="AO1644" s="6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/>
      <c r="AZ1644" s="33">
        <v>12.5</v>
      </c>
      <c r="BA1644" s="33"/>
      <c r="BB1644" s="33"/>
      <c r="BC1644" s="33"/>
      <c r="BD1644" s="33"/>
      <c r="BE1644" s="33"/>
      <c r="BF1644" s="33"/>
      <c r="BG1644" s="33"/>
      <c r="BH1644" s="33"/>
      <c r="BI1644" s="33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2"/>
      <c r="AK1645" s="18"/>
      <c r="AL1645" s="18"/>
      <c r="AM1645" s="18"/>
      <c r="AN1645" s="18"/>
      <c r="AO1645" s="6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/>
      <c r="AZ1645" s="33">
        <v>13.5</v>
      </c>
      <c r="BA1645" s="33"/>
      <c r="BB1645" s="33"/>
      <c r="BC1645" s="33"/>
      <c r="BD1645" s="33"/>
      <c r="BE1645" s="33"/>
      <c r="BF1645" s="33"/>
      <c r="BG1645" s="33"/>
      <c r="BH1645" s="33"/>
      <c r="BI1645" s="33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2"/>
      <c r="AK1646" s="18"/>
      <c r="AL1646" s="18"/>
      <c r="AM1646" s="18"/>
      <c r="AN1646" s="18"/>
      <c r="AO1646" s="6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/>
      <c r="AZ1646" s="33">
        <v>14.5</v>
      </c>
      <c r="BA1646" s="33"/>
      <c r="BB1646" s="33"/>
      <c r="BC1646" s="33"/>
      <c r="BD1646" s="33"/>
      <c r="BE1646" s="33"/>
      <c r="BF1646" s="33"/>
      <c r="BG1646" s="33"/>
      <c r="BH1646" s="33"/>
      <c r="BI1646" s="33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2"/>
      <c r="AK1647" s="18"/>
      <c r="AL1647" s="18"/>
      <c r="AM1647" s="18"/>
      <c r="AN1647" s="18"/>
      <c r="AO1647" s="6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/>
      <c r="AZ1647" s="33">
        <v>15.5</v>
      </c>
      <c r="BA1647" s="33"/>
      <c r="BB1647" s="33"/>
      <c r="BC1647" s="33"/>
      <c r="BD1647" s="33"/>
      <c r="BE1647" s="33"/>
      <c r="BF1647" s="33"/>
      <c r="BG1647" s="33"/>
      <c r="BH1647" s="33"/>
      <c r="BI1647" s="33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2">
        <v>23</v>
      </c>
      <c r="AK1648" s="18"/>
      <c r="AL1648" s="18"/>
      <c r="AM1648" s="18"/>
      <c r="AN1648" s="18"/>
      <c r="AO1648" s="6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/>
      <c r="AZ1648" s="33">
        <v>16.5</v>
      </c>
      <c r="BA1648" s="33"/>
      <c r="BB1648" s="33"/>
      <c r="BC1648" s="33"/>
      <c r="BD1648" s="33"/>
      <c r="BE1648" s="33"/>
      <c r="BF1648" s="33"/>
      <c r="BG1648" s="33"/>
      <c r="BH1648" s="33"/>
      <c r="BI1648" s="33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2">
        <v>24</v>
      </c>
      <c r="AK1649" s="18"/>
      <c r="AL1649" s="18"/>
      <c r="AM1649" s="18"/>
      <c r="AN1649" s="18"/>
      <c r="AO1649" s="6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/>
      <c r="AZ1649" s="33">
        <v>17.5</v>
      </c>
      <c r="BA1649" s="33"/>
      <c r="BB1649" s="33"/>
      <c r="BC1649" s="33"/>
      <c r="BD1649" s="33"/>
      <c r="BE1649" s="33"/>
      <c r="BF1649" s="33"/>
      <c r="BG1649" s="33"/>
      <c r="BH1649" s="33"/>
      <c r="BI1649" s="33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2">
        <v>25</v>
      </c>
      <c r="AK1650" s="18"/>
      <c r="AL1650" s="18"/>
      <c r="AM1650" s="18"/>
      <c r="AN1650" s="18"/>
      <c r="AO1650" s="6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/>
      <c r="AZ1650" s="33">
        <v>18.5</v>
      </c>
      <c r="BA1650" s="33"/>
      <c r="BB1650" s="33"/>
      <c r="BC1650" s="33"/>
      <c r="BD1650" s="33"/>
      <c r="BE1650" s="33"/>
      <c r="BF1650" s="33"/>
      <c r="BG1650" s="33"/>
      <c r="BH1650" s="33"/>
      <c r="BI1650" s="33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2">
        <v>26</v>
      </c>
      <c r="AK1651" s="18"/>
      <c r="AL1651" s="18"/>
      <c r="AM1651" s="18"/>
      <c r="AN1651" s="18"/>
      <c r="AO1651" s="6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/>
      <c r="AZ1651" s="33">
        <v>20</v>
      </c>
      <c r="BA1651" s="33"/>
      <c r="BB1651" s="33"/>
      <c r="BC1651" s="33"/>
      <c r="BD1651" s="33"/>
      <c r="BE1651" s="33"/>
      <c r="BF1651" s="33"/>
      <c r="BG1651" s="33"/>
      <c r="BH1651" s="33"/>
      <c r="BI1651" s="33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2">
        <v>27</v>
      </c>
      <c r="AK1652" s="18"/>
      <c r="AL1652" s="18"/>
      <c r="AM1652" s="18"/>
      <c r="AN1652" s="18"/>
      <c r="AO1652" s="6"/>
      <c r="AP1652" s="33"/>
      <c r="AQ1652" s="33"/>
      <c r="AR1652" s="33"/>
      <c r="AS1652" s="33"/>
      <c r="AT1652" s="33"/>
      <c r="AU1652" s="33"/>
      <c r="AV1652" s="33"/>
      <c r="AW1652" s="33"/>
      <c r="AX1652" s="33">
        <f>BA1652+BB1652+BF1652</f>
        <v>19.18</v>
      </c>
      <c r="AY1652" s="33">
        <v>5.1499999999999995</v>
      </c>
      <c r="AZ1652" s="33">
        <v>21</v>
      </c>
      <c r="BA1652" s="33">
        <v>6.29</v>
      </c>
      <c r="BB1652" s="33">
        <v>3.73</v>
      </c>
      <c r="BC1652" s="33"/>
      <c r="BD1652" s="33"/>
      <c r="BE1652" s="33"/>
      <c r="BF1652" s="33">
        <v>9.16</v>
      </c>
      <c r="BG1652" s="33">
        <v>4.2699999999999996</v>
      </c>
      <c r="BH1652" s="33">
        <v>0.88</v>
      </c>
      <c r="BI1652" s="33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1" t="s">
        <v>118</v>
      </c>
      <c r="AN1653" s="18"/>
      <c r="AO1653" s="22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33"/>
      <c r="BH1653" s="33"/>
      <c r="BI1653" s="33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1" t="s">
        <v>118</v>
      </c>
      <c r="AN1654" s="18"/>
      <c r="AO1654" s="22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33"/>
      <c r="BH1654" s="33"/>
      <c r="BI1654" s="33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1" t="s">
        <v>118</v>
      </c>
      <c r="AN1655" s="18"/>
      <c r="AO1655" s="22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33"/>
      <c r="BH1655" s="33"/>
      <c r="BI1655" s="33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1" t="s">
        <v>118</v>
      </c>
      <c r="AN1656" s="18"/>
      <c r="AO1656" s="22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33"/>
      <c r="BH1656" s="33"/>
      <c r="BI1656" s="33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1" t="s">
        <v>118</v>
      </c>
      <c r="AN1657" s="18"/>
      <c r="AO1657" s="22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33"/>
      <c r="BH1657" s="33"/>
      <c r="BI1657" s="33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1" t="s">
        <v>118</v>
      </c>
      <c r="AN1658" s="18"/>
      <c r="AO1658" s="22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33"/>
      <c r="BH1658" s="33"/>
      <c r="BI1658" s="33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1" t="s">
        <v>118</v>
      </c>
      <c r="AN1659" s="18"/>
      <c r="AO1659" s="22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33"/>
      <c r="BH1659" s="33"/>
      <c r="BI1659" s="33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1" t="s">
        <v>118</v>
      </c>
      <c r="AN1660" s="18"/>
      <c r="AO1660" s="22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33"/>
      <c r="BH1660" s="33"/>
      <c r="BI1660" s="33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1" t="s">
        <v>118</v>
      </c>
      <c r="AN1661" s="18"/>
      <c r="AO1661" s="22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33"/>
      <c r="BH1661" s="33"/>
      <c r="BI1661" s="33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1" t="s">
        <v>118</v>
      </c>
      <c r="AN1662" s="18"/>
      <c r="AO1662" s="22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33"/>
      <c r="BH1662" s="33"/>
      <c r="BI1662" s="33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1" t="s">
        <v>118</v>
      </c>
      <c r="AN1663" s="18"/>
      <c r="AO1663" s="22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33"/>
      <c r="BH1663" s="33"/>
      <c r="BI1663" s="33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1" t="s">
        <v>118</v>
      </c>
      <c r="AN1664" s="18"/>
      <c r="AO1664" s="22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33"/>
      <c r="BH1664" s="33"/>
      <c r="BI1664" s="33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1">
        <v>6.5035983965608191</v>
      </c>
      <c r="AN1665" s="18"/>
      <c r="AO1665" s="22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33"/>
      <c r="BH1665" s="33"/>
      <c r="BI1665" s="33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1">
        <v>13.534181396631745</v>
      </c>
      <c r="AN1666" s="18"/>
      <c r="AO1666" s="22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33"/>
      <c r="BH1666" s="33"/>
      <c r="BI1666" s="33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1">
        <v>11.674906988457751</v>
      </c>
      <c r="AN1667" s="18"/>
      <c r="AO1667" s="22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33"/>
      <c r="BH1667" s="33"/>
      <c r="BI1667" s="33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1">
        <v>15.569901400685142</v>
      </c>
      <c r="AN1668" s="18"/>
      <c r="AO1668" s="22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33"/>
      <c r="BH1668" s="33"/>
      <c r="BI1668" s="33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1">
        <v>8.1278768958289564</v>
      </c>
      <c r="AN1669" s="18"/>
      <c r="AO1669" s="22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33"/>
      <c r="BH1669" s="33"/>
      <c r="BI1669" s="33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1">
        <v>10.889976787656822</v>
      </c>
      <c r="AN1670" s="18"/>
      <c r="AO1670" s="22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33"/>
      <c r="BH1670" s="33"/>
      <c r="BI1670" s="33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1">
        <v>13.866538656677687</v>
      </c>
      <c r="AN1671" s="18"/>
      <c r="AO1671" s="22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33"/>
      <c r="BH1671" s="33"/>
      <c r="BI1671" s="33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1">
        <v>12.746899011702718</v>
      </c>
      <c r="AN1672" s="18"/>
      <c r="AO1672" s="22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33"/>
      <c r="BH1672" s="33"/>
      <c r="BI1672" s="33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1">
        <v>7.1810943439604014</v>
      </c>
      <c r="AN1673" s="18"/>
      <c r="AO1673" s="22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33"/>
      <c r="BH1673" s="33"/>
      <c r="BI1673" s="33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1">
        <v>12.764040302497358</v>
      </c>
      <c r="AN1674" s="18"/>
      <c r="AO1674" s="22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33"/>
      <c r="BH1674" s="33"/>
      <c r="BI1674" s="33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1">
        <v>11.140912981445689</v>
      </c>
      <c r="AN1675" s="18"/>
      <c r="AO1675" s="22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33"/>
      <c r="BH1675" s="33"/>
      <c r="BI1675" s="33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1">
        <v>14.721935710445585</v>
      </c>
      <c r="AN1676" s="18"/>
      <c r="AO1676" s="22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33"/>
      <c r="BH1676" s="33"/>
      <c r="BI1676" s="33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1">
        <v>7.8207844658886527</v>
      </c>
      <c r="AN1677" s="18"/>
      <c r="AO1677" s="22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33"/>
      <c r="BH1677" s="33"/>
      <c r="BI1677" s="33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1">
        <v>10.239013965252036</v>
      </c>
      <c r="AN1678" s="18"/>
      <c r="AO1678" s="22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33"/>
      <c r="BH1678" s="33"/>
      <c r="BI1678" s="33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1">
        <v>14.380314500112393</v>
      </c>
      <c r="AN1679" s="18"/>
      <c r="AO1679" s="22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33"/>
      <c r="BH1679" s="33"/>
      <c r="BI1679" s="33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1">
        <v>12.445691739916336</v>
      </c>
      <c r="AN1680" s="18"/>
      <c r="AO1680" s="22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33"/>
      <c r="BH1680" s="33"/>
      <c r="BI1680" s="33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3"/>
      <c r="AQ1681" s="33">
        <v>9.9000000000000008E-3</v>
      </c>
      <c r="AR1681" s="33">
        <v>2.3999999999999998E-3</v>
      </c>
      <c r="AS1681" s="33">
        <v>2.3999999999999998E-3</v>
      </c>
      <c r="AT1681" s="33"/>
      <c r="AU1681" s="33"/>
      <c r="AV1681" s="33"/>
      <c r="AW1681" s="33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3"/>
      <c r="AQ1682" s="33">
        <v>1.11E-2</v>
      </c>
      <c r="AR1682" s="33">
        <v>2.7000000000000001E-3</v>
      </c>
      <c r="AS1682" s="33">
        <v>2.3999999999999998E-3</v>
      </c>
      <c r="AT1682" s="33"/>
      <c r="AU1682" s="33"/>
      <c r="AV1682" s="33"/>
      <c r="AW1682" s="33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3"/>
      <c r="AQ1683" s="33">
        <v>1.09E-2</v>
      </c>
      <c r="AR1683" s="33">
        <v>2.5999999999999999E-3</v>
      </c>
      <c r="AS1683" s="33">
        <v>2.5999999999999999E-3</v>
      </c>
      <c r="AT1683" s="33"/>
      <c r="AU1683" s="33"/>
      <c r="AV1683" s="33"/>
      <c r="AW1683" s="33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3"/>
      <c r="AQ1684" s="33">
        <v>1.09E-2</v>
      </c>
      <c r="AR1684" s="33">
        <v>2.7000000000000001E-3</v>
      </c>
      <c r="AS1684" s="33">
        <v>2.3999999999999998E-3</v>
      </c>
      <c r="AT1684" s="33"/>
      <c r="AU1684" s="33"/>
      <c r="AV1684" s="33"/>
      <c r="AW1684" s="33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3"/>
      <c r="AQ1685" s="33">
        <v>1.0199999999999999E-2</v>
      </c>
      <c r="AR1685" s="33">
        <v>2.5999999999999999E-3</v>
      </c>
      <c r="AS1685" s="33">
        <v>2.2000000000000001E-3</v>
      </c>
      <c r="AT1685" s="33"/>
      <c r="AU1685" s="33"/>
      <c r="AV1685" s="33"/>
      <c r="AW1685" s="33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3"/>
      <c r="AQ1686" s="33">
        <v>1.03E-2</v>
      </c>
      <c r="AR1686" s="33">
        <v>2.7000000000000001E-3</v>
      </c>
      <c r="AS1686" s="33">
        <v>2.1000000000000003E-3</v>
      </c>
      <c r="AT1686" s="33"/>
      <c r="AU1686" s="33"/>
      <c r="AV1686" s="33"/>
      <c r="AW1686" s="33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3"/>
      <c r="AQ1687" s="33">
        <v>9.8000000000000014E-3</v>
      </c>
      <c r="AR1687" s="33">
        <v>2.8999999999999998E-3</v>
      </c>
      <c r="AS1687" s="33">
        <v>2.1000000000000003E-3</v>
      </c>
      <c r="AT1687" s="33"/>
      <c r="AU1687" s="33"/>
      <c r="AV1687" s="33"/>
      <c r="AW1687" s="33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3"/>
      <c r="AQ1688" s="33">
        <v>1.12E-2</v>
      </c>
      <c r="AR1688" s="33">
        <v>2.5999999999999999E-3</v>
      </c>
      <c r="AS1688" s="33">
        <v>2.1000000000000003E-3</v>
      </c>
      <c r="AT1688" s="33"/>
      <c r="AU1688" s="33"/>
      <c r="AV1688" s="33"/>
      <c r="AW1688" s="33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C1689" s="55">
        <v>30368</v>
      </c>
      <c r="D1689" s="56">
        <v>9.6837782340862422</v>
      </c>
      <c r="F1689">
        <v>625.20840280093364</v>
      </c>
      <c r="X1689" s="19"/>
      <c r="AF1689" s="2"/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C1690" s="55">
        <v>30788</v>
      </c>
      <c r="D1690" s="56">
        <v>10.833675564681725</v>
      </c>
      <c r="F1690">
        <v>625.20840280093364</v>
      </c>
      <c r="X1690" s="19"/>
      <c r="AF1690" s="2"/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C1691" s="55">
        <v>30921</v>
      </c>
      <c r="D1691" s="56">
        <v>11.197809719370294</v>
      </c>
      <c r="F1691">
        <v>625.20840280093364</v>
      </c>
      <c r="X1691" s="19"/>
      <c r="AF1691" s="2"/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C1692" s="55">
        <v>31091</v>
      </c>
      <c r="D1692" s="56">
        <v>11.663244353182751</v>
      </c>
      <c r="F1692">
        <v>625.20840280093364</v>
      </c>
      <c r="X1692" s="19"/>
      <c r="AF1692" s="2"/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C1693" s="55">
        <v>31126</v>
      </c>
      <c r="D1693" s="56">
        <v>11.759069130732374</v>
      </c>
      <c r="F1693">
        <v>625.20840280093364</v>
      </c>
      <c r="X1693" s="19"/>
      <c r="AF1693" s="2"/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C1694" s="55">
        <v>31201</v>
      </c>
      <c r="D1694" s="56">
        <v>11.964407939767282</v>
      </c>
      <c r="F1694">
        <v>625.20840280093364</v>
      </c>
      <c r="X1694" s="19"/>
      <c r="AF1694" s="2"/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C1695" s="55">
        <v>31338</v>
      </c>
      <c r="D1695" s="56">
        <v>12.33949349760438</v>
      </c>
      <c r="F1695">
        <v>625.20840280093364</v>
      </c>
      <c r="X1695" s="19"/>
      <c r="AF1695" s="2"/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C1696" s="55">
        <v>31447</v>
      </c>
      <c r="D1696" s="56">
        <v>12.63791923340178</v>
      </c>
      <c r="F1696">
        <v>625.20840280093364</v>
      </c>
      <c r="X1696" s="19"/>
      <c r="AF1696" s="2"/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C1697" s="55">
        <v>31517</v>
      </c>
      <c r="D1697" s="56">
        <v>12.829568788501026</v>
      </c>
      <c r="F1697">
        <v>625.20840280093364</v>
      </c>
      <c r="X1697" s="19"/>
      <c r="AF1697" s="2"/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C1698" s="55">
        <v>31583</v>
      </c>
      <c r="D1698" s="56">
        <v>13.010266940451745</v>
      </c>
      <c r="F1698">
        <v>625.20840280093364</v>
      </c>
      <c r="X1698" s="19"/>
      <c r="AF1698" s="2"/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C1699" s="55">
        <v>31705</v>
      </c>
      <c r="D1699" s="56">
        <v>13.344284736481862</v>
      </c>
      <c r="F1699">
        <v>625.20840280093364</v>
      </c>
      <c r="X1699" s="19"/>
      <c r="AF1699" s="2"/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C1700" s="55">
        <v>31795</v>
      </c>
      <c r="D1700" s="56">
        <v>13.59069130732375</v>
      </c>
      <c r="F1700">
        <v>608.53617872624204</v>
      </c>
      <c r="X1700" s="19"/>
      <c r="AF1700" s="2"/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C1701" s="55">
        <v>31880</v>
      </c>
      <c r="D1701" s="56">
        <v>13.82340862422998</v>
      </c>
      <c r="F1701">
        <v>625.20840280093364</v>
      </c>
      <c r="X1701" s="19"/>
      <c r="AF1701" s="2"/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C1702" s="55">
        <v>31944</v>
      </c>
      <c r="D1702" s="56">
        <v>13.998631074606434</v>
      </c>
      <c r="F1702">
        <v>625.20840280093364</v>
      </c>
      <c r="X1702" s="19"/>
      <c r="AF1702" s="2"/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C1703" s="55">
        <v>32072</v>
      </c>
      <c r="D1703" s="56">
        <v>14.349075975359343</v>
      </c>
      <c r="F1703">
        <v>608.53617872624204</v>
      </c>
      <c r="X1703" s="19"/>
      <c r="AF1703" s="2"/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C1704" s="55">
        <v>32152</v>
      </c>
      <c r="D1704" s="56">
        <v>14.568104038329912</v>
      </c>
      <c r="F1704">
        <v>608.53617872624204</v>
      </c>
      <c r="X1704" s="19"/>
      <c r="AF1704" s="2"/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C1705" s="55">
        <v>32248</v>
      </c>
      <c r="D1705" s="56">
        <v>14.830937713894592</v>
      </c>
      <c r="F1705">
        <v>608.53617872624204</v>
      </c>
      <c r="X1705" s="19"/>
      <c r="AF1705" s="2"/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C1706" s="55">
        <v>32309</v>
      </c>
      <c r="D1706" s="56">
        <v>14.997946611909651</v>
      </c>
      <c r="F1706">
        <v>608.53617872624204</v>
      </c>
      <c r="X1706" s="19"/>
      <c r="AF1706" s="2"/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C1707" s="55">
        <v>32426</v>
      </c>
      <c r="D1707" s="56">
        <v>15.318275154004107</v>
      </c>
      <c r="F1707">
        <v>275.09169723241081</v>
      </c>
      <c r="X1707" s="19"/>
      <c r="AF1707" s="2"/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C1708" s="55">
        <v>32477</v>
      </c>
      <c r="D1708" s="56">
        <v>15.457905544147843</v>
      </c>
      <c r="F1708">
        <v>275.09169723241081</v>
      </c>
      <c r="X1708" s="19"/>
      <c r="AF1708" s="2"/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C1709" s="55">
        <v>32567</v>
      </c>
      <c r="D1709" s="56">
        <v>15.704312114989733</v>
      </c>
      <c r="F1709">
        <v>275.09169723241081</v>
      </c>
      <c r="X1709" s="19"/>
      <c r="AF1709" s="2"/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C1710" s="55">
        <v>32659</v>
      </c>
      <c r="D1710" s="56">
        <v>15.956194387405887</v>
      </c>
      <c r="F1710">
        <v>275.09169723241081</v>
      </c>
      <c r="X1710" s="19"/>
      <c r="AF1710" s="2"/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C1711" s="55">
        <v>32689</v>
      </c>
      <c r="D1711" s="56">
        <v>16.038329911019851</v>
      </c>
      <c r="F1711">
        <v>275.09169723241081</v>
      </c>
      <c r="X1711" s="19"/>
      <c r="AF1711" s="2"/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C1712" s="55">
        <v>32751</v>
      </c>
      <c r="D1712" s="56">
        <v>16.208076659822041</v>
      </c>
      <c r="F1712">
        <v>275.09169723241081</v>
      </c>
      <c r="X1712" s="19"/>
      <c r="AF1712" s="2"/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C1713" s="55">
        <v>32843</v>
      </c>
      <c r="D1713" s="56">
        <v>16.459958932238195</v>
      </c>
      <c r="F1713">
        <v>275.09169723241081</v>
      </c>
      <c r="X1713" s="19"/>
      <c r="AF1713" s="2"/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C1714" s="55">
        <v>32933</v>
      </c>
      <c r="D1714" s="56">
        <v>16.706365503080082</v>
      </c>
      <c r="F1714">
        <v>275.09169723241081</v>
      </c>
      <c r="X1714" s="19"/>
      <c r="AF1714" s="2"/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C1715" s="55">
        <v>33025</v>
      </c>
      <c r="D1715" s="56">
        <v>16.958247775496236</v>
      </c>
      <c r="F1715">
        <v>275.09169723241081</v>
      </c>
      <c r="X1715" s="19"/>
      <c r="AF1715" s="2"/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C1716" s="55">
        <v>33119</v>
      </c>
      <c r="D1716" s="56">
        <v>17.215605749486652</v>
      </c>
      <c r="F1716">
        <v>275.09169723241081</v>
      </c>
      <c r="X1716" s="19"/>
      <c r="AF1716" s="2"/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C1717" s="55">
        <v>34408</v>
      </c>
      <c r="D1717" s="56">
        <v>20.744695414099933</v>
      </c>
      <c r="F1717">
        <v>275.09169723241081</v>
      </c>
      <c r="X1717" s="19"/>
      <c r="AF1717" s="2"/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C1718" s="55">
        <v>34530</v>
      </c>
      <c r="D1718" s="56">
        <v>21.078713210130047</v>
      </c>
      <c r="F1718">
        <v>275.09169723241081</v>
      </c>
      <c r="X1718" s="19"/>
      <c r="AF1718" s="2"/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C1719" s="55">
        <v>34919</v>
      </c>
      <c r="D1719" s="56">
        <v>22.143737166324435</v>
      </c>
      <c r="F1719">
        <v>275.09169723241081</v>
      </c>
      <c r="X1719" s="19"/>
      <c r="AF1719" s="2"/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C1720" s="55">
        <v>35299</v>
      </c>
      <c r="D1720" s="56">
        <v>23.184120465434635</v>
      </c>
      <c r="F1720">
        <v>275.09169723241081</v>
      </c>
      <c r="X1720" s="19"/>
      <c r="AF1720" s="2"/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C1721" s="55">
        <v>35681</v>
      </c>
      <c r="D1721" s="56">
        <v>24.229979466119097</v>
      </c>
      <c r="F1721">
        <v>275.09169723241081</v>
      </c>
      <c r="X1721" s="19"/>
      <c r="AF1721" s="2"/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C1722" s="55">
        <v>36035</v>
      </c>
      <c r="D1722" s="56">
        <v>25.199178644763862</v>
      </c>
      <c r="F1722">
        <v>275.09169723241081</v>
      </c>
      <c r="X1722" s="19"/>
      <c r="AF1722" s="2"/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C1723" s="55">
        <v>36409</v>
      </c>
      <c r="D1723" s="56">
        <v>26.223134839151268</v>
      </c>
      <c r="F1723">
        <v>275.09169723241081</v>
      </c>
      <c r="X1723" s="19"/>
      <c r="AF1723" s="2"/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C1724" s="55">
        <v>36774</v>
      </c>
      <c r="D1724" s="56">
        <v>27.222450376454482</v>
      </c>
      <c r="F1724">
        <v>275.09169723241081</v>
      </c>
      <c r="X1724" s="19"/>
      <c r="AF1724" s="2"/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C1725" s="55">
        <v>30368</v>
      </c>
      <c r="D1725" s="56">
        <v>9.6837782340862422</v>
      </c>
      <c r="F1725">
        <v>599.24478739123299</v>
      </c>
      <c r="X1725" s="19"/>
      <c r="AF1725" s="2"/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C1726" s="55">
        <v>30788</v>
      </c>
      <c r="D1726" s="56">
        <v>10.833675564681725</v>
      </c>
      <c r="F1726">
        <v>599.24478739123299</v>
      </c>
      <c r="X1726" s="19"/>
      <c r="AF1726" s="2"/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C1727" s="55">
        <v>30921</v>
      </c>
      <c r="D1727" s="56">
        <v>11.197809719370294</v>
      </c>
      <c r="F1727">
        <v>599.24478739123299</v>
      </c>
      <c r="X1727" s="19"/>
      <c r="AF1727" s="2"/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C1728" s="55">
        <v>31091</v>
      </c>
      <c r="D1728" s="56">
        <v>11.663244353182751</v>
      </c>
      <c r="F1728">
        <v>599.24478739123299</v>
      </c>
      <c r="X1728" s="19"/>
      <c r="AF1728" s="2"/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C1729" s="55">
        <v>31126</v>
      </c>
      <c r="D1729" s="56">
        <v>11.759069130732374</v>
      </c>
      <c r="F1729">
        <v>591.03595468724347</v>
      </c>
      <c r="X1729" s="19"/>
      <c r="AF1729" s="2"/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C1730" s="55">
        <v>31201</v>
      </c>
      <c r="D1730" s="56">
        <v>11.964407939767282</v>
      </c>
      <c r="F1730">
        <v>558.20062387128553</v>
      </c>
      <c r="X1730" s="19"/>
      <c r="AF1730" s="2"/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C1731" s="55">
        <v>31338</v>
      </c>
      <c r="D1731" s="56">
        <v>12.33949349760438</v>
      </c>
      <c r="F1731">
        <v>549.99179116729601</v>
      </c>
      <c r="X1731" s="19"/>
      <c r="AF1731" s="2"/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C1732" s="55">
        <v>31447</v>
      </c>
      <c r="D1732" s="56">
        <v>12.63791923340178</v>
      </c>
      <c r="F1732">
        <v>549.99179116729601</v>
      </c>
      <c r="X1732" s="19"/>
      <c r="AF1732" s="2"/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C1733" s="55">
        <v>31517</v>
      </c>
      <c r="D1733" s="56">
        <v>12.829568788501026</v>
      </c>
      <c r="F1733">
        <v>549.99179116729601</v>
      </c>
      <c r="X1733" s="19"/>
      <c r="AF1733" s="2"/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C1734" s="55">
        <v>31583</v>
      </c>
      <c r="D1734" s="56">
        <v>13.010266940451745</v>
      </c>
      <c r="F1734">
        <v>541.7829584633065</v>
      </c>
      <c r="X1734" s="19"/>
      <c r="AF1734" s="2"/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C1735" s="55">
        <v>31705</v>
      </c>
      <c r="D1735" s="56">
        <v>13.344284736481862</v>
      </c>
      <c r="F1735">
        <v>533.57412575931698</v>
      </c>
      <c r="X1735" s="19"/>
      <c r="AF1735" s="2"/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C1736" s="55">
        <v>31795</v>
      </c>
      <c r="D1736" s="56">
        <v>13.59069130732375</v>
      </c>
      <c r="F1736">
        <v>533.57412575931698</v>
      </c>
      <c r="X1736" s="19"/>
      <c r="AF1736" s="2"/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C1737" s="55">
        <v>31880</v>
      </c>
      <c r="D1737" s="56">
        <v>13.82340862422998</v>
      </c>
      <c r="F1737">
        <v>533.57412575931698</v>
      </c>
      <c r="X1737" s="19"/>
      <c r="AF1737" s="2"/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C1738" s="55">
        <v>31944</v>
      </c>
      <c r="D1738" s="56">
        <v>13.998631074606434</v>
      </c>
      <c r="F1738">
        <v>533.57412575931698</v>
      </c>
      <c r="X1738" s="19"/>
      <c r="AF1738" s="2"/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C1739" s="55">
        <v>32072</v>
      </c>
      <c r="D1739" s="56">
        <v>14.349075975359343</v>
      </c>
      <c r="F1739">
        <v>525.36529305532758</v>
      </c>
      <c r="X1739" s="19"/>
      <c r="AF1739" s="2"/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C1740" s="55">
        <v>32152</v>
      </c>
      <c r="D1740" s="56">
        <v>14.568104038329912</v>
      </c>
      <c r="F1740">
        <v>517.15646035133807</v>
      </c>
      <c r="X1740" s="19"/>
      <c r="AF1740" s="2"/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C1741" s="55">
        <v>32248</v>
      </c>
      <c r="D1741" s="56">
        <v>14.830937713894592</v>
      </c>
      <c r="F1741">
        <v>517.15646035133807</v>
      </c>
      <c r="X1741" s="19"/>
      <c r="AF1741" s="2"/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C1742" s="55">
        <v>32309</v>
      </c>
      <c r="D1742" s="56">
        <v>14.997946611909651</v>
      </c>
      <c r="F1742">
        <v>517.15646035133807</v>
      </c>
      <c r="X1742" s="19"/>
      <c r="AF1742" s="2"/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C1743" s="55">
        <v>32426</v>
      </c>
      <c r="D1743" s="56">
        <v>15.318275154004107</v>
      </c>
      <c r="F1743">
        <v>279.10031193564276</v>
      </c>
      <c r="X1743" s="19"/>
      <c r="AF1743" s="2"/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C1744" s="55">
        <v>32477</v>
      </c>
      <c r="D1744" s="56">
        <v>15.457905544147843</v>
      </c>
      <c r="F1744">
        <v>279.10031193564276</v>
      </c>
      <c r="X1744" s="19"/>
      <c r="AF1744" s="2"/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C1745" s="55">
        <v>32567</v>
      </c>
      <c r="D1745" s="56">
        <v>15.704312114989733</v>
      </c>
      <c r="F1745">
        <v>279.10031193564276</v>
      </c>
      <c r="X1745" s="19"/>
      <c r="AF1745" s="2"/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C1746" s="55">
        <v>32659</v>
      </c>
      <c r="D1746" s="56">
        <v>15.956194387405887</v>
      </c>
      <c r="F1746">
        <v>279.10031193564276</v>
      </c>
      <c r="X1746" s="19"/>
      <c r="AF1746" s="2"/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C1747" s="55">
        <v>32689</v>
      </c>
      <c r="D1747" s="56">
        <v>16.038329911019851</v>
      </c>
      <c r="F1747">
        <v>279.10031193564276</v>
      </c>
      <c r="X1747" s="19"/>
      <c r="AF1747" s="2"/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C1748" s="55">
        <v>32751</v>
      </c>
      <c r="D1748" s="56">
        <v>16.208076659822041</v>
      </c>
      <c r="F1748">
        <v>279.10031193564276</v>
      </c>
      <c r="X1748" s="19"/>
      <c r="AF1748" s="2"/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C1749" s="55">
        <v>32843</v>
      </c>
      <c r="D1749" s="56">
        <v>16.459958932238195</v>
      </c>
      <c r="F1749">
        <v>279.10031193564276</v>
      </c>
      <c r="X1749" s="19"/>
      <c r="AF1749" s="2"/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C1750" s="55">
        <v>32933</v>
      </c>
      <c r="D1750" s="56">
        <v>16.706365503080082</v>
      </c>
      <c r="F1750">
        <v>279.10031193564276</v>
      </c>
      <c r="X1750" s="19"/>
      <c r="AF1750" s="2"/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C1751" s="55">
        <v>33025</v>
      </c>
      <c r="D1751" s="56">
        <v>16.958247775496236</v>
      </c>
      <c r="F1751">
        <v>279.10031193564276</v>
      </c>
      <c r="X1751" s="19"/>
      <c r="AF1751" s="2"/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C1752" s="55">
        <v>33119</v>
      </c>
      <c r="D1752" s="56">
        <v>17.215605749486652</v>
      </c>
      <c r="F1752">
        <v>279.10031193564276</v>
      </c>
      <c r="X1752" s="19"/>
      <c r="AF1752" s="2"/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C1753" s="55">
        <v>34408</v>
      </c>
      <c r="D1753" s="56">
        <v>20.744695414099933</v>
      </c>
      <c r="F1753">
        <v>279.10031193564276</v>
      </c>
      <c r="X1753" s="19"/>
      <c r="AF1753" s="2"/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C1754" s="55">
        <v>34530</v>
      </c>
      <c r="D1754" s="56">
        <v>21.078713210130047</v>
      </c>
      <c r="F1754">
        <v>279.10031193564276</v>
      </c>
      <c r="X1754" s="19"/>
      <c r="AF1754" s="2"/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C1755" s="55">
        <v>34919</v>
      </c>
      <c r="D1755" s="56">
        <v>22.143737166324435</v>
      </c>
      <c r="F1755">
        <v>279.10031193564276</v>
      </c>
      <c r="X1755" s="19"/>
      <c r="AF1755" s="2"/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C1756" s="55">
        <v>35299</v>
      </c>
      <c r="D1756" s="56">
        <v>23.184120465434635</v>
      </c>
      <c r="F1756">
        <v>279.10031193564276</v>
      </c>
      <c r="X1756" s="19"/>
      <c r="AF1756" s="2"/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C1757" s="55">
        <v>35681</v>
      </c>
      <c r="D1757" s="56">
        <v>24.229979466119097</v>
      </c>
      <c r="F1757">
        <v>279.10031193564276</v>
      </c>
      <c r="X1757" s="19"/>
      <c r="AF1757" s="2"/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C1758" s="55">
        <v>36035</v>
      </c>
      <c r="D1758" s="56">
        <v>25.199178644763862</v>
      </c>
      <c r="F1758">
        <v>279.10031193564276</v>
      </c>
      <c r="X1758" s="19"/>
      <c r="AF1758" s="2"/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C1759" s="55">
        <v>36409</v>
      </c>
      <c r="D1759" s="56">
        <v>26.223134839151268</v>
      </c>
      <c r="F1759">
        <v>279.10031193564276</v>
      </c>
      <c r="X1759" s="19"/>
      <c r="AF1759" s="2"/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C1760" s="55">
        <v>36774</v>
      </c>
      <c r="D1760" s="56">
        <v>27.222450376454482</v>
      </c>
      <c r="F1760">
        <v>279.10031193564276</v>
      </c>
      <c r="X1760" s="19"/>
      <c r="AF1760" s="2"/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C1761" s="55">
        <v>30368</v>
      </c>
      <c r="D1761" s="56">
        <v>9.6837782340862422</v>
      </c>
      <c r="F1761">
        <v>731.77596397410639</v>
      </c>
      <c r="X1761" s="19"/>
      <c r="AF1761" s="2"/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C1762" s="55">
        <v>30788</v>
      </c>
      <c r="D1762" s="56">
        <v>10.833675564681725</v>
      </c>
      <c r="F1762">
        <v>731.77596397410639</v>
      </c>
      <c r="X1762" s="19"/>
      <c r="AF1762" s="2"/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C1763" s="55">
        <v>30921</v>
      </c>
      <c r="D1763" s="56">
        <v>11.197809719370294</v>
      </c>
      <c r="F1763">
        <v>731.77596397410639</v>
      </c>
      <c r="X1763" s="19"/>
      <c r="AF1763" s="2"/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C1764" s="55">
        <v>31091</v>
      </c>
      <c r="D1764" s="56">
        <v>11.663244353182751</v>
      </c>
      <c r="F1764">
        <v>731.77596397410639</v>
      </c>
      <c r="X1764" s="19"/>
      <c r="AF1764" s="2"/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C1765" s="55">
        <v>31126</v>
      </c>
      <c r="D1765" s="56">
        <v>11.759069130732374</v>
      </c>
      <c r="F1765">
        <v>731.77596397410639</v>
      </c>
      <c r="X1765" s="19"/>
      <c r="AF1765" s="2"/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C1766" s="55">
        <v>31201</v>
      </c>
      <c r="D1766" s="56">
        <v>11.964407939767282</v>
      </c>
      <c r="F1766">
        <v>731.77596397410639</v>
      </c>
      <c r="X1766" s="19"/>
      <c r="AF1766" s="2"/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C1767" s="55">
        <v>31338</v>
      </c>
      <c r="D1767" s="56">
        <v>12.33949349760438</v>
      </c>
      <c r="F1767">
        <v>731.77596397410639</v>
      </c>
      <c r="X1767" s="19"/>
      <c r="AF1767" s="2"/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C1768" s="55">
        <v>31447</v>
      </c>
      <c r="D1768" s="56">
        <v>12.63791923340178</v>
      </c>
      <c r="F1768">
        <v>731.77596397410639</v>
      </c>
      <c r="X1768" s="19"/>
      <c r="AF1768" s="2"/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C1769" s="55">
        <v>31517</v>
      </c>
      <c r="D1769" s="56">
        <v>12.829568788501026</v>
      </c>
      <c r="F1769">
        <v>731.77596397410639</v>
      </c>
      <c r="X1769" s="19"/>
      <c r="AF1769" s="2"/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C1770" s="55">
        <v>31583</v>
      </c>
      <c r="D1770" s="56">
        <v>13.010266940451745</v>
      </c>
      <c r="F1770">
        <v>731.77596397410639</v>
      </c>
      <c r="X1770" s="19"/>
      <c r="AF1770" s="2"/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C1771" s="55">
        <v>31705</v>
      </c>
      <c r="D1771" s="56">
        <v>13.344284736481862</v>
      </c>
      <c r="F1771">
        <v>731.77596397410639</v>
      </c>
      <c r="X1771" s="19"/>
      <c r="AF1771" s="2"/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C1772" s="55">
        <v>31795</v>
      </c>
      <c r="D1772" s="56">
        <v>13.59069130732375</v>
      </c>
      <c r="F1772">
        <v>731.77596397410639</v>
      </c>
      <c r="X1772" s="19"/>
      <c r="AF1772" s="2"/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C1773" s="55">
        <v>31880</v>
      </c>
      <c r="D1773" s="56">
        <v>13.82340862422998</v>
      </c>
      <c r="F1773">
        <v>731.77596397410639</v>
      </c>
      <c r="X1773" s="19"/>
      <c r="AF1773" s="2"/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C1774" s="55">
        <v>31944</v>
      </c>
      <c r="D1774" s="56">
        <v>13.998631074606434</v>
      </c>
      <c r="F1774">
        <v>731.77596397410639</v>
      </c>
      <c r="X1774" s="19"/>
      <c r="AF1774" s="2"/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C1775" s="55">
        <v>32072</v>
      </c>
      <c r="D1775" s="56">
        <v>14.349075975359343</v>
      </c>
      <c r="F1775">
        <v>731.77596397410639</v>
      </c>
      <c r="X1775" s="19"/>
      <c r="AF1775" s="2"/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C1776" s="55">
        <v>32152</v>
      </c>
      <c r="D1776" s="56">
        <v>14.568104038329912</v>
      </c>
      <c r="F1776">
        <v>731.77596397410639</v>
      </c>
      <c r="X1776" s="19"/>
      <c r="AF1776" s="2"/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C1777" s="55">
        <v>32248</v>
      </c>
      <c r="D1777" s="56">
        <v>14.830937713894592</v>
      </c>
      <c r="F1777">
        <v>731.77596397410639</v>
      </c>
      <c r="X1777" s="19"/>
      <c r="AF1777" s="2"/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C1778" s="55">
        <v>32309</v>
      </c>
      <c r="D1778" s="56">
        <v>14.997946611909651</v>
      </c>
      <c r="F1778">
        <v>731.77596397410639</v>
      </c>
      <c r="X1778" s="19"/>
      <c r="AF1778" s="2"/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C1779" s="55">
        <v>32426</v>
      </c>
      <c r="D1779" s="56">
        <v>15.318275154004107</v>
      </c>
      <c r="F1779">
        <v>384.65146824279952</v>
      </c>
      <c r="X1779" s="19"/>
      <c r="AF1779" s="2"/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C1780" s="55">
        <v>32477</v>
      </c>
      <c r="D1780" s="56">
        <v>15.457905544147843</v>
      </c>
      <c r="F1780">
        <v>394.03321137067263</v>
      </c>
      <c r="X1780" s="19"/>
      <c r="AF1780" s="2"/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C1781" s="55">
        <v>32567</v>
      </c>
      <c r="D1781" s="56">
        <v>15.704312114989733</v>
      </c>
      <c r="F1781">
        <v>394.03321137067263</v>
      </c>
      <c r="X1781" s="19"/>
      <c r="AF1781" s="2"/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C1782" s="55">
        <v>32659</v>
      </c>
      <c r="D1782" s="56">
        <v>15.956194387405887</v>
      </c>
      <c r="F1782">
        <v>394.03321137067263</v>
      </c>
      <c r="X1782" s="19"/>
      <c r="AF1782" s="2"/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C1783" s="55">
        <v>32689</v>
      </c>
      <c r="D1783" s="56">
        <v>16.038329911019851</v>
      </c>
      <c r="F1783">
        <v>394.03321137067263</v>
      </c>
      <c r="X1783" s="19"/>
      <c r="AF1783" s="2"/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C1784" s="55">
        <v>32751</v>
      </c>
      <c r="D1784" s="56">
        <v>16.208076659822041</v>
      </c>
      <c r="F1784">
        <v>394.03321137067263</v>
      </c>
      <c r="X1784" s="19"/>
      <c r="AF1784" s="2"/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C1785" s="55">
        <v>32843</v>
      </c>
      <c r="D1785" s="56">
        <v>16.459958932238195</v>
      </c>
      <c r="F1785">
        <v>394.03321137067263</v>
      </c>
      <c r="X1785" s="19"/>
      <c r="AF1785" s="2"/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C1786" s="55">
        <v>32933</v>
      </c>
      <c r="D1786" s="56">
        <v>16.706365503080082</v>
      </c>
      <c r="F1786">
        <v>394.03321137067263</v>
      </c>
      <c r="X1786" s="19"/>
      <c r="AF1786" s="2"/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C1787" s="55">
        <v>33025</v>
      </c>
      <c r="D1787" s="56">
        <v>16.958247775496236</v>
      </c>
      <c r="F1787">
        <v>394.03321137067263</v>
      </c>
      <c r="X1787" s="19"/>
      <c r="AF1787" s="2"/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C1788" s="55">
        <v>33119</v>
      </c>
      <c r="D1788" s="56">
        <v>17.215605749486652</v>
      </c>
      <c r="F1788">
        <v>394.03321137067263</v>
      </c>
      <c r="X1788" s="19"/>
      <c r="AF1788" s="2"/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C1789" s="55">
        <v>34408</v>
      </c>
      <c r="D1789" s="56">
        <v>20.744695414099933</v>
      </c>
      <c r="F1789">
        <v>394.03321137067263</v>
      </c>
      <c r="X1789" s="19"/>
      <c r="AF1789" s="2"/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C1790" s="55">
        <v>34530</v>
      </c>
      <c r="D1790" s="56">
        <v>21.078713210130047</v>
      </c>
      <c r="F1790">
        <v>394.03321137067263</v>
      </c>
      <c r="X1790" s="19"/>
      <c r="AF1790" s="2"/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C1791" s="55">
        <v>34919</v>
      </c>
      <c r="D1791" s="56">
        <v>22.143737166324435</v>
      </c>
      <c r="F1791">
        <v>394.03321137067263</v>
      </c>
      <c r="X1791" s="19"/>
      <c r="AF1791" s="2"/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C1792" s="55">
        <v>35299</v>
      </c>
      <c r="D1792" s="56">
        <v>23.184120465434635</v>
      </c>
      <c r="F1792">
        <v>394.03321137067263</v>
      </c>
      <c r="X1792" s="19"/>
      <c r="AF1792" s="2"/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C1793" s="55">
        <v>35681</v>
      </c>
      <c r="D1793" s="56">
        <v>24.229979466119097</v>
      </c>
      <c r="F1793">
        <v>394.03321137067263</v>
      </c>
      <c r="X1793" s="19"/>
      <c r="AF1793" s="2"/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C1794" s="55">
        <v>36035</v>
      </c>
      <c r="D1794" s="56">
        <v>25.199178644763862</v>
      </c>
      <c r="F1794">
        <v>394.03321137067263</v>
      </c>
      <c r="X1794" s="19"/>
      <c r="AF1794" s="2"/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C1795" s="55">
        <v>36409</v>
      </c>
      <c r="D1795" s="56">
        <v>26.223134839151268</v>
      </c>
      <c r="F1795">
        <v>394.03321137067263</v>
      </c>
      <c r="X1795" s="19"/>
      <c r="AF1795" s="2"/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C1796" s="55">
        <v>36774</v>
      </c>
      <c r="D1796" s="56">
        <v>27.222450376454482</v>
      </c>
      <c r="F1796">
        <v>394.03321137067263</v>
      </c>
      <c r="X1796" s="19"/>
      <c r="AF1796" s="2"/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C1797" s="55">
        <v>30368</v>
      </c>
      <c r="D1797" s="56">
        <v>9.6837782340862422</v>
      </c>
      <c r="F1797">
        <v>693.1530008453085</v>
      </c>
      <c r="X1797" s="19"/>
      <c r="AF1797" s="2"/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C1798" s="55">
        <v>30788</v>
      </c>
      <c r="D1798" s="56">
        <v>10.833675564681725</v>
      </c>
      <c r="F1798">
        <v>693.1530008453085</v>
      </c>
      <c r="X1798" s="19"/>
      <c r="AF1798" s="2"/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C1799" s="55">
        <v>30921</v>
      </c>
      <c r="D1799" s="56">
        <v>11.197809719370294</v>
      </c>
      <c r="F1799">
        <v>693.1530008453085</v>
      </c>
      <c r="X1799" s="19"/>
      <c r="AF1799" s="2"/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C1800" s="55">
        <v>31091</v>
      </c>
      <c r="D1800" s="56">
        <v>11.663244353182751</v>
      </c>
      <c r="F1800">
        <v>693.1530008453085</v>
      </c>
      <c r="X1800" s="19"/>
      <c r="AF1800" s="2"/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C1801" s="55">
        <v>31126</v>
      </c>
      <c r="D1801" s="56">
        <v>11.759069130732374</v>
      </c>
      <c r="F1801">
        <v>693.1530008453085</v>
      </c>
      <c r="X1801" s="19"/>
      <c r="AF1801" s="2"/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C1802" s="55">
        <v>31201</v>
      </c>
      <c r="D1802" s="56">
        <v>11.964407939767282</v>
      </c>
      <c r="F1802">
        <v>693.1530008453085</v>
      </c>
      <c r="X1802" s="19"/>
      <c r="AF1802" s="2"/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C1803" s="55">
        <v>31338</v>
      </c>
      <c r="D1803" s="56">
        <v>12.33949349760438</v>
      </c>
      <c r="F1803">
        <v>693.1530008453085</v>
      </c>
      <c r="X1803" s="19"/>
      <c r="AF1803" s="2"/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C1804" s="55">
        <v>31447</v>
      </c>
      <c r="D1804" s="56">
        <v>12.63791923340178</v>
      </c>
      <c r="F1804">
        <v>693.1530008453085</v>
      </c>
      <c r="X1804" s="19"/>
      <c r="AF1804" s="2"/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C1805" s="55">
        <v>31517</v>
      </c>
      <c r="D1805" s="56">
        <v>12.829568788501026</v>
      </c>
      <c r="F1805">
        <v>693.1530008453085</v>
      </c>
      <c r="X1805" s="19"/>
      <c r="AF1805" s="2"/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C1806" s="55">
        <v>31583</v>
      </c>
      <c r="D1806" s="56">
        <v>13.010266940451745</v>
      </c>
      <c r="F1806">
        <v>693.1530008453085</v>
      </c>
      <c r="X1806" s="19"/>
      <c r="AF1806" s="2"/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C1807" s="55">
        <v>31705</v>
      </c>
      <c r="D1807" s="56">
        <v>13.344284736481862</v>
      </c>
      <c r="F1807">
        <v>693.1530008453085</v>
      </c>
      <c r="X1807" s="19"/>
      <c r="AF1807" s="2"/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C1808" s="55">
        <v>31795</v>
      </c>
      <c r="D1808" s="56">
        <v>13.59069130732375</v>
      </c>
      <c r="F1808">
        <v>693.1530008453085</v>
      </c>
      <c r="X1808" s="19"/>
      <c r="AF1808" s="2"/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C1809" s="55">
        <v>31880</v>
      </c>
      <c r="D1809" s="56">
        <v>13.82340862422998</v>
      </c>
      <c r="F1809">
        <v>693.1530008453085</v>
      </c>
      <c r="X1809" s="19"/>
      <c r="AF1809" s="2"/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C1810" s="55">
        <v>31944</v>
      </c>
      <c r="D1810" s="56">
        <v>13.998631074606434</v>
      </c>
      <c r="F1810">
        <v>693.1530008453085</v>
      </c>
      <c r="X1810" s="19"/>
      <c r="AF1810" s="2"/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C1811" s="55">
        <v>32072</v>
      </c>
      <c r="D1811" s="56">
        <v>14.349075975359343</v>
      </c>
      <c r="F1811">
        <v>693.1530008453085</v>
      </c>
      <c r="X1811" s="19"/>
      <c r="AF1811" s="2"/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C1812" s="55">
        <v>32152</v>
      </c>
      <c r="D1812" s="56">
        <v>14.568104038329912</v>
      </c>
      <c r="F1812">
        <v>693.1530008453085</v>
      </c>
      <c r="X1812" s="19"/>
      <c r="AF1812" s="2"/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C1813" s="55">
        <v>32248</v>
      </c>
      <c r="D1813" s="56">
        <v>14.830937713894592</v>
      </c>
      <c r="F1813">
        <v>693.1530008453085</v>
      </c>
      <c r="X1813" s="19"/>
      <c r="AF1813" s="2"/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C1814" s="55">
        <v>32309</v>
      </c>
      <c r="D1814" s="56">
        <v>14.997946611909651</v>
      </c>
      <c r="F1814">
        <v>693.1530008453085</v>
      </c>
      <c r="X1814" s="19"/>
      <c r="AF1814" s="2"/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C1815" s="55">
        <v>32426</v>
      </c>
      <c r="D1815" s="56">
        <v>15.318275154004107</v>
      </c>
      <c r="F1815">
        <v>397.29501267962803</v>
      </c>
      <c r="X1815" s="19"/>
      <c r="AF1815" s="2"/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C1816" s="55">
        <v>32477</v>
      </c>
      <c r="D1816" s="56">
        <v>15.457905544147843</v>
      </c>
      <c r="F1816">
        <v>397.29501267962803</v>
      </c>
      <c r="X1816" s="19"/>
      <c r="AF1816" s="2"/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C1817" s="55">
        <v>32567</v>
      </c>
      <c r="D1817" s="56">
        <v>15.704312114989733</v>
      </c>
      <c r="F1817">
        <v>397.29501267962803</v>
      </c>
      <c r="X1817" s="19"/>
      <c r="AF1817" s="2"/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C1818" s="55">
        <v>32659</v>
      </c>
      <c r="D1818" s="56">
        <v>15.956194387405887</v>
      </c>
      <c r="F1818">
        <v>388.84192730346575</v>
      </c>
      <c r="X1818" s="19"/>
      <c r="AF1818" s="2"/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C1819" s="55">
        <v>32689</v>
      </c>
      <c r="D1819" s="56">
        <v>16.038329911019851</v>
      </c>
      <c r="F1819">
        <v>388.84192730346575</v>
      </c>
      <c r="X1819" s="19"/>
      <c r="AF1819" s="2"/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C1820" s="55">
        <v>32751</v>
      </c>
      <c r="D1820" s="56">
        <v>16.208076659822041</v>
      </c>
      <c r="F1820">
        <v>388.84192730346575</v>
      </c>
      <c r="X1820" s="19"/>
      <c r="AF1820" s="2"/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C1821" s="55">
        <v>32843</v>
      </c>
      <c r="D1821" s="56">
        <v>16.459958932238195</v>
      </c>
      <c r="F1821">
        <v>388.84192730346575</v>
      </c>
      <c r="X1821" s="19"/>
      <c r="AF1821" s="2"/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C1822" s="55">
        <v>32933</v>
      </c>
      <c r="D1822" s="56">
        <v>16.706365503080082</v>
      </c>
      <c r="F1822">
        <v>388.84192730346575</v>
      </c>
      <c r="X1822" s="19"/>
      <c r="AF1822" s="2"/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C1823" s="55">
        <v>33025</v>
      </c>
      <c r="D1823" s="56">
        <v>16.958247775496236</v>
      </c>
      <c r="F1823">
        <v>388.84192730346575</v>
      </c>
      <c r="X1823" s="19"/>
      <c r="AF1823" s="2"/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C1824" s="55">
        <v>33119</v>
      </c>
      <c r="D1824" s="56">
        <v>17.215605749486652</v>
      </c>
      <c r="F1824">
        <v>388.84192730346575</v>
      </c>
      <c r="X1824" s="19"/>
      <c r="AF1824" s="2"/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C1825" s="55">
        <v>34408</v>
      </c>
      <c r="D1825" s="56">
        <v>20.744695414099933</v>
      </c>
      <c r="F1825">
        <v>380.38884192730347</v>
      </c>
      <c r="X1825" s="19"/>
      <c r="AF1825" s="2"/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C1826" s="55">
        <v>34530</v>
      </c>
      <c r="D1826" s="56">
        <v>21.078713210130047</v>
      </c>
      <c r="F1826">
        <v>380.38884192730347</v>
      </c>
      <c r="X1826" s="19"/>
      <c r="AF1826" s="2"/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C1827" s="55">
        <v>34919</v>
      </c>
      <c r="D1827" s="56">
        <v>22.143737166324435</v>
      </c>
      <c r="F1827">
        <v>380.38884192730347</v>
      </c>
      <c r="X1827" s="19"/>
      <c r="AF1827" s="2"/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C1828" s="55">
        <v>35299</v>
      </c>
      <c r="D1828" s="56">
        <v>23.184120465434635</v>
      </c>
      <c r="F1828">
        <v>380.38884192730347</v>
      </c>
      <c r="X1828" s="19"/>
      <c r="AF1828" s="2"/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C1829" s="55">
        <v>35681</v>
      </c>
      <c r="D1829" s="56">
        <v>24.229979466119097</v>
      </c>
      <c r="F1829">
        <v>380.38884192730347</v>
      </c>
      <c r="X1829" s="19"/>
      <c r="AF1829" s="2"/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C1830" s="55">
        <v>36035</v>
      </c>
      <c r="D1830" s="56">
        <v>25.199178644763862</v>
      </c>
      <c r="F1830">
        <v>380.38884192730347</v>
      </c>
      <c r="X1830" s="19"/>
      <c r="AF1830" s="2"/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C1831" s="55">
        <v>36409</v>
      </c>
      <c r="D1831" s="56">
        <v>26.223134839151268</v>
      </c>
      <c r="F1831">
        <v>380.38884192730347</v>
      </c>
      <c r="X1831" s="19"/>
      <c r="AF1831" s="2"/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C1832" s="55">
        <v>36774</v>
      </c>
      <c r="D1832" s="56">
        <v>27.222450376454482</v>
      </c>
      <c r="F1832">
        <v>380.38884192730347</v>
      </c>
      <c r="X1832" s="19"/>
      <c r="AF1832" s="2"/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C1833" s="55">
        <v>30368</v>
      </c>
      <c r="D1833" s="56">
        <v>9.6837782340862422</v>
      </c>
      <c r="F1833">
        <v>702.95430796998198</v>
      </c>
      <c r="X1833" s="19"/>
      <c r="AF1833" s="2"/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C1834" s="55">
        <v>30788</v>
      </c>
      <c r="D1834" s="56">
        <v>10.833675564681725</v>
      </c>
      <c r="F1834">
        <v>702.95430796998198</v>
      </c>
      <c r="X1834" s="19"/>
      <c r="AF1834" s="2"/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C1835" s="55">
        <v>30921</v>
      </c>
      <c r="D1835" s="56">
        <v>11.197809719370294</v>
      </c>
      <c r="F1835">
        <v>702.95430796998198</v>
      </c>
      <c r="X1835" s="19"/>
      <c r="AF1835" s="2"/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C1836" s="55">
        <v>31091</v>
      </c>
      <c r="D1836" s="56">
        <v>11.663244353182751</v>
      </c>
      <c r="F1836">
        <v>702.95430796998198</v>
      </c>
      <c r="X1836" s="19"/>
      <c r="AF1836" s="2"/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C1837" s="55">
        <v>31126</v>
      </c>
      <c r="D1837" s="56">
        <v>11.759069130732374</v>
      </c>
      <c r="F1837">
        <v>702.95430796998198</v>
      </c>
      <c r="X1837" s="19"/>
      <c r="AF1837" s="2"/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C1838" s="55">
        <v>31201</v>
      </c>
      <c r="D1838" s="56">
        <v>11.964407939767282</v>
      </c>
      <c r="F1838">
        <v>702.95430796998198</v>
      </c>
      <c r="X1838" s="19"/>
      <c r="AF1838" s="2"/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C1839" s="55">
        <v>31338</v>
      </c>
      <c r="D1839" s="56">
        <v>12.33949349760438</v>
      </c>
      <c r="F1839">
        <v>702.95430796998198</v>
      </c>
      <c r="X1839" s="19"/>
      <c r="AF1839" s="2"/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C1840" s="55">
        <v>31447</v>
      </c>
      <c r="D1840" s="56">
        <v>12.63791923340178</v>
      </c>
      <c r="F1840">
        <v>702.95430796998198</v>
      </c>
      <c r="X1840" s="19"/>
      <c r="AF1840" s="2"/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C1841" s="55">
        <v>31517</v>
      </c>
      <c r="D1841" s="56">
        <v>12.829568788501026</v>
      </c>
      <c r="F1841">
        <v>702.95430796998198</v>
      </c>
      <c r="X1841" s="19"/>
      <c r="AF1841" s="2"/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C1842" s="55">
        <v>31583</v>
      </c>
      <c r="D1842" s="56">
        <v>13.010266940451745</v>
      </c>
      <c r="F1842">
        <v>702.95430796998198</v>
      </c>
      <c r="X1842" s="19"/>
      <c r="AF1842" s="2"/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C1843" s="55">
        <v>31705</v>
      </c>
      <c r="D1843" s="56">
        <v>13.344284736481862</v>
      </c>
      <c r="F1843">
        <v>702.95430796998198</v>
      </c>
      <c r="X1843" s="19"/>
      <c r="AF1843" s="2"/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C1844" s="55">
        <v>31795</v>
      </c>
      <c r="D1844" s="56">
        <v>13.59069130732375</v>
      </c>
      <c r="F1844">
        <v>702.95430796998198</v>
      </c>
      <c r="X1844" s="19"/>
      <c r="AF1844" s="2"/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C1845" s="55">
        <v>31880</v>
      </c>
      <c r="D1845" s="56">
        <v>13.82340862422998</v>
      </c>
      <c r="F1845">
        <v>702.95430796998198</v>
      </c>
      <c r="X1845" s="19"/>
      <c r="AF1845" s="2"/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C1846" s="55">
        <v>31944</v>
      </c>
      <c r="D1846" s="56">
        <v>13.998631074606434</v>
      </c>
      <c r="F1846">
        <v>693.45492542984709</v>
      </c>
      <c r="X1846" s="19"/>
      <c r="AF1846" s="2"/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C1847" s="55">
        <v>32072</v>
      </c>
      <c r="D1847" s="56">
        <v>14.349075975359343</v>
      </c>
      <c r="F1847">
        <v>683.95554288971221</v>
      </c>
      <c r="X1847" s="19"/>
      <c r="AF1847" s="2"/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C1848" s="55">
        <v>32152</v>
      </c>
      <c r="D1848" s="56">
        <v>14.568104038329912</v>
      </c>
      <c r="F1848">
        <v>683.95554288971221</v>
      </c>
      <c r="X1848" s="19"/>
      <c r="AF1848" s="2"/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C1849" s="55">
        <v>32248</v>
      </c>
      <c r="D1849" s="56">
        <v>14.830937713894592</v>
      </c>
      <c r="F1849">
        <v>683.95554288971221</v>
      </c>
      <c r="X1849" s="19"/>
      <c r="AF1849" s="2"/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C1850" s="55">
        <v>32309</v>
      </c>
      <c r="D1850" s="56">
        <v>14.997946611909651</v>
      </c>
      <c r="F1850">
        <v>683.95554288971221</v>
      </c>
      <c r="X1850" s="19"/>
      <c r="AF1850" s="2"/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C1851" s="55">
        <v>32426</v>
      </c>
      <c r="D1851" s="56">
        <v>15.318275154004107</v>
      </c>
      <c r="F1851">
        <v>303.98024128431649</v>
      </c>
      <c r="X1851" s="19"/>
      <c r="AF1851" s="2"/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C1852" s="55">
        <v>32477</v>
      </c>
      <c r="D1852" s="56">
        <v>15.457905544147843</v>
      </c>
      <c r="F1852">
        <v>303.98024128431649</v>
      </c>
      <c r="X1852" s="19"/>
      <c r="AF1852" s="2"/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C1853" s="55">
        <v>32567</v>
      </c>
      <c r="D1853" s="56">
        <v>15.704312114989733</v>
      </c>
      <c r="F1853">
        <v>303.98024128431649</v>
      </c>
      <c r="X1853" s="19"/>
      <c r="AF1853" s="2"/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C1854" s="55">
        <v>32659</v>
      </c>
      <c r="D1854" s="56">
        <v>15.956194387405887</v>
      </c>
      <c r="F1854">
        <v>303.98024128431649</v>
      </c>
      <c r="X1854" s="19"/>
      <c r="AF1854" s="2"/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C1855" s="55">
        <v>32689</v>
      </c>
      <c r="D1855" s="56">
        <v>16.038329911019851</v>
      </c>
      <c r="F1855">
        <v>303.98024128431649</v>
      </c>
      <c r="X1855" s="19"/>
      <c r="AF1855" s="2"/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C1856" s="55">
        <v>32751</v>
      </c>
      <c r="D1856" s="56">
        <v>16.208076659822041</v>
      </c>
      <c r="F1856">
        <v>303.98024128431649</v>
      </c>
      <c r="X1856" s="19"/>
      <c r="AF1856" s="2"/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C1857" s="55">
        <v>32843</v>
      </c>
      <c r="D1857" s="56">
        <v>16.459958932238195</v>
      </c>
      <c r="F1857">
        <v>303.98024128431649</v>
      </c>
      <c r="X1857" s="19"/>
      <c r="AF1857" s="2"/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C1858" s="55">
        <v>32933</v>
      </c>
      <c r="D1858" s="56">
        <v>16.706365503080082</v>
      </c>
      <c r="F1858">
        <v>303.98024128431649</v>
      </c>
      <c r="X1858" s="19"/>
      <c r="AF1858" s="2"/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C1859" s="55">
        <v>33025</v>
      </c>
      <c r="D1859" s="56">
        <v>16.958247775496236</v>
      </c>
      <c r="F1859">
        <v>303.98024128431649</v>
      </c>
      <c r="X1859" s="19"/>
      <c r="AF1859" s="2"/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C1860" s="55">
        <v>33119</v>
      </c>
      <c r="D1860" s="56">
        <v>17.215605749486652</v>
      </c>
      <c r="F1860">
        <v>303.98024128431649</v>
      </c>
      <c r="X1860" s="19"/>
      <c r="AF1860" s="2"/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C1861" s="55">
        <v>34408</v>
      </c>
      <c r="D1861" s="56">
        <v>20.744695414099933</v>
      </c>
      <c r="F1861">
        <v>303.98024128431649</v>
      </c>
      <c r="X1861" s="19"/>
      <c r="AF1861" s="2"/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C1862" s="55">
        <v>34530</v>
      </c>
      <c r="D1862" s="56">
        <v>21.078713210130047</v>
      </c>
      <c r="F1862">
        <v>303.98024128431649</v>
      </c>
      <c r="X1862" s="19"/>
      <c r="AF1862" s="2"/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C1863" s="55">
        <v>34919</v>
      </c>
      <c r="D1863" s="56">
        <v>22.143737166324435</v>
      </c>
      <c r="F1863">
        <v>303.98024128431649</v>
      </c>
      <c r="X1863" s="19"/>
      <c r="AF1863" s="2"/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C1864" s="55">
        <v>35299</v>
      </c>
      <c r="D1864" s="56">
        <v>23.184120465434635</v>
      </c>
      <c r="F1864">
        <v>303.98024128431649</v>
      </c>
      <c r="X1864" s="19"/>
      <c r="AF1864" s="2"/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C1865" s="55">
        <v>35681</v>
      </c>
      <c r="D1865" s="56">
        <v>24.229979466119097</v>
      </c>
      <c r="F1865">
        <v>303.98024128431649</v>
      </c>
      <c r="X1865" s="19"/>
      <c r="AF1865" s="2"/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C1866" s="55">
        <v>36035</v>
      </c>
      <c r="D1866" s="56">
        <v>25.199178644763862</v>
      </c>
      <c r="F1866">
        <v>303.98024128431649</v>
      </c>
      <c r="X1866" s="19"/>
      <c r="AF1866" s="2"/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C1867" s="55">
        <v>36409</v>
      </c>
      <c r="D1867" s="56">
        <v>26.223134839151268</v>
      </c>
      <c r="F1867">
        <v>303.98024128431649</v>
      </c>
      <c r="X1867" s="19"/>
      <c r="AF1867" s="2"/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C1868" s="55">
        <v>36774</v>
      </c>
      <c r="D1868" s="56">
        <v>27.222450376454482</v>
      </c>
      <c r="F1868">
        <v>303.98024128431649</v>
      </c>
      <c r="X1868" s="19"/>
      <c r="AF1868" s="2"/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C1869" s="55">
        <v>30368</v>
      </c>
      <c r="D1869" s="56">
        <v>9.6837782340862422</v>
      </c>
      <c r="F1869">
        <v>794.63858305409281</v>
      </c>
      <c r="X1869" s="19"/>
      <c r="AF1869" s="2"/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C1870" s="55">
        <v>30788</v>
      </c>
      <c r="D1870" s="56">
        <v>10.833675564681725</v>
      </c>
      <c r="F1870">
        <v>794.63858305409281</v>
      </c>
      <c r="X1870" s="19"/>
      <c r="AF1870" s="2"/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C1871" s="55">
        <v>30921</v>
      </c>
      <c r="D1871" s="56">
        <v>11.197809719370294</v>
      </c>
      <c r="F1871">
        <v>794.63858305409281</v>
      </c>
      <c r="X1871" s="19"/>
      <c r="AF1871" s="2"/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C1872" s="55">
        <v>31091</v>
      </c>
      <c r="D1872" s="56">
        <v>11.663244353182751</v>
      </c>
      <c r="F1872">
        <v>794.63858305409281</v>
      </c>
      <c r="X1872" s="19"/>
      <c r="AF1872" s="2"/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C1873" s="55">
        <v>31126</v>
      </c>
      <c r="D1873" s="56">
        <v>11.759069130732374</v>
      </c>
      <c r="F1873">
        <v>794.63858305409281</v>
      </c>
      <c r="X1873" s="19"/>
      <c r="AF1873" s="2"/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C1874" s="55">
        <v>31201</v>
      </c>
      <c r="D1874" s="56">
        <v>11.964407939767282</v>
      </c>
      <c r="F1874">
        <v>794.63858305409281</v>
      </c>
      <c r="X1874" s="19"/>
      <c r="AF1874" s="2"/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C1875" s="55">
        <v>31338</v>
      </c>
      <c r="D1875" s="56">
        <v>12.33949349760438</v>
      </c>
      <c r="F1875">
        <v>794.63858305409281</v>
      </c>
      <c r="X1875" s="19"/>
      <c r="AF1875" s="2"/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C1876" s="55">
        <v>31447</v>
      </c>
      <c r="D1876" s="56">
        <v>12.63791923340178</v>
      </c>
      <c r="F1876">
        <v>794.63858305409281</v>
      </c>
      <c r="X1876" s="19"/>
      <c r="AF1876" s="2"/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C1877" s="55">
        <v>31517</v>
      </c>
      <c r="D1877" s="56">
        <v>12.829568788501026</v>
      </c>
      <c r="F1877">
        <v>794.63858305409281</v>
      </c>
      <c r="X1877" s="19"/>
      <c r="AF1877" s="2"/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C1878" s="55">
        <v>31583</v>
      </c>
      <c r="D1878" s="56">
        <v>13.010266940451745</v>
      </c>
      <c r="F1878">
        <v>794.63858305409281</v>
      </c>
      <c r="X1878" s="19"/>
      <c r="AF1878" s="2"/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C1879" s="55">
        <v>31705</v>
      </c>
      <c r="D1879" s="56">
        <v>13.344284736481862</v>
      </c>
      <c r="F1879">
        <v>794.63858305409281</v>
      </c>
      <c r="X1879" s="19"/>
      <c r="AF1879" s="2"/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C1880" s="55">
        <v>31795</v>
      </c>
      <c r="D1880" s="56">
        <v>13.59069130732375</v>
      </c>
      <c r="F1880">
        <v>794.63858305409281</v>
      </c>
      <c r="X1880" s="19"/>
      <c r="AF1880" s="2"/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C1881" s="55">
        <v>31880</v>
      </c>
      <c r="D1881" s="56">
        <v>13.82340862422998</v>
      </c>
      <c r="F1881">
        <v>775.49066539013882</v>
      </c>
      <c r="X1881" s="19"/>
      <c r="AF1881" s="2"/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C1882" s="55">
        <v>31944</v>
      </c>
      <c r="D1882" s="56">
        <v>13.998631074606434</v>
      </c>
      <c r="F1882">
        <v>775.49066539013882</v>
      </c>
      <c r="X1882" s="19"/>
      <c r="AF1882" s="2"/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C1883" s="55">
        <v>32072</v>
      </c>
      <c r="D1883" s="56">
        <v>14.349075975359343</v>
      </c>
      <c r="F1883">
        <v>775.49066539013882</v>
      </c>
      <c r="X1883" s="19"/>
      <c r="AF1883" s="2"/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C1884" s="55">
        <v>32152</v>
      </c>
      <c r="D1884" s="56">
        <v>14.568104038329912</v>
      </c>
      <c r="F1884">
        <v>775.49066539013882</v>
      </c>
      <c r="X1884" s="19"/>
      <c r="AF1884" s="2"/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C1885" s="55">
        <v>32248</v>
      </c>
      <c r="D1885" s="56">
        <v>14.830937713894592</v>
      </c>
      <c r="F1885">
        <v>775.49066539013882</v>
      </c>
      <c r="X1885" s="19"/>
      <c r="AF1885" s="2"/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C1886" s="55">
        <v>32309</v>
      </c>
      <c r="D1886" s="56">
        <v>14.997946611909651</v>
      </c>
      <c r="F1886">
        <v>775.49066539013882</v>
      </c>
      <c r="X1886" s="19"/>
      <c r="AF1886" s="2"/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C1887" s="55">
        <v>32426</v>
      </c>
      <c r="D1887" s="56">
        <v>15.318275154004107</v>
      </c>
      <c r="F1887">
        <v>421.25418860698898</v>
      </c>
      <c r="X1887" s="19"/>
      <c r="AF1887" s="2"/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C1888" s="55">
        <v>32477</v>
      </c>
      <c r="D1888" s="56">
        <v>15.457905544147843</v>
      </c>
      <c r="F1888">
        <v>421.25418860698898</v>
      </c>
      <c r="X1888" s="19"/>
      <c r="AF1888" s="2"/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C1889" s="55">
        <v>32567</v>
      </c>
      <c r="D1889" s="56">
        <v>15.704312114989733</v>
      </c>
      <c r="F1889">
        <v>421.25418860698898</v>
      </c>
      <c r="X1889" s="19"/>
      <c r="AF1889" s="2"/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C1890" s="55">
        <v>32659</v>
      </c>
      <c r="D1890" s="56">
        <v>15.956194387405887</v>
      </c>
      <c r="F1890">
        <v>421.25418860698898</v>
      </c>
      <c r="X1890" s="19"/>
      <c r="AF1890" s="2"/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C1891" s="55">
        <v>32689</v>
      </c>
      <c r="D1891" s="56">
        <v>16.038329911019851</v>
      </c>
      <c r="F1891">
        <v>421.25418860698898</v>
      </c>
      <c r="X1891" s="19"/>
      <c r="AF1891" s="2"/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C1892" s="55">
        <v>32751</v>
      </c>
      <c r="D1892" s="56">
        <v>16.208076659822041</v>
      </c>
      <c r="F1892">
        <v>411.68022977501198</v>
      </c>
      <c r="X1892" s="19"/>
      <c r="AF1892" s="2"/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C1893" s="55">
        <v>32843</v>
      </c>
      <c r="D1893" s="56">
        <v>16.459958932238195</v>
      </c>
      <c r="F1893">
        <v>411.68022977501198</v>
      </c>
      <c r="X1893" s="19"/>
      <c r="AF1893" s="2"/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C1894" s="55">
        <v>32933</v>
      </c>
      <c r="D1894" s="56">
        <v>16.706365503080082</v>
      </c>
      <c r="F1894">
        <v>411.68022977501198</v>
      </c>
      <c r="X1894" s="19"/>
      <c r="AF1894" s="2"/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C1895" s="55">
        <v>33025</v>
      </c>
      <c r="D1895" s="56">
        <v>16.958247775496236</v>
      </c>
      <c r="F1895">
        <v>411.68022977501198</v>
      </c>
      <c r="X1895" s="19"/>
      <c r="AF1895" s="2"/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C1896" s="55">
        <v>33119</v>
      </c>
      <c r="D1896" s="56">
        <v>17.215605749486652</v>
      </c>
      <c r="F1896">
        <v>411.68022977501198</v>
      </c>
      <c r="X1896" s="19"/>
      <c r="AF1896" s="2"/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C1897" s="55">
        <v>34408</v>
      </c>
      <c r="D1897" s="56">
        <v>20.744695414099933</v>
      </c>
      <c r="F1897">
        <v>411.68022977501198</v>
      </c>
      <c r="X1897" s="19"/>
      <c r="AF1897" s="2"/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C1898" s="55">
        <v>34530</v>
      </c>
      <c r="D1898" s="56">
        <v>21.078713210130047</v>
      </c>
      <c r="F1898">
        <v>411.68022977501198</v>
      </c>
      <c r="X1898" s="19"/>
      <c r="AF1898" s="2"/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C1899" s="55">
        <v>34919</v>
      </c>
      <c r="D1899" s="56">
        <v>22.143737166324435</v>
      </c>
      <c r="F1899">
        <v>411.68022977501198</v>
      </c>
      <c r="X1899" s="19"/>
      <c r="AF1899" s="2"/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C1900" s="55">
        <v>35299</v>
      </c>
      <c r="D1900" s="56">
        <v>23.184120465434635</v>
      </c>
      <c r="F1900">
        <v>411.68022977501198</v>
      </c>
      <c r="X1900" s="19"/>
      <c r="AF1900" s="2"/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C1901" s="55">
        <v>35681</v>
      </c>
      <c r="D1901" s="56">
        <v>24.229979466119097</v>
      </c>
      <c r="F1901">
        <v>411.68022977501198</v>
      </c>
      <c r="X1901" s="19"/>
      <c r="AF1901" s="2"/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C1902" s="55">
        <v>36035</v>
      </c>
      <c r="D1902" s="56">
        <v>25.199178644763862</v>
      </c>
      <c r="F1902">
        <v>411.68022977501198</v>
      </c>
      <c r="X1902" s="19"/>
      <c r="AF1902" s="2"/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C1903" s="55">
        <v>36409</v>
      </c>
      <c r="D1903" s="56">
        <v>26.223134839151268</v>
      </c>
      <c r="F1903">
        <v>411.68022977501198</v>
      </c>
      <c r="X1903" s="19"/>
      <c r="AF1903" s="2"/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C1904" s="55">
        <v>36774</v>
      </c>
      <c r="D1904" s="56">
        <v>27.222450376454482</v>
      </c>
      <c r="F1904">
        <v>411.68022977501198</v>
      </c>
      <c r="X1904" s="19"/>
      <c r="AF1904" s="2"/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C1905" s="55">
        <v>30368</v>
      </c>
      <c r="D1905" s="56">
        <v>9.6837782340862422</v>
      </c>
      <c r="F1905">
        <v>861.65629487793205</v>
      </c>
      <c r="X1905" s="19"/>
      <c r="AF1905" s="2"/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C1906" s="55">
        <v>30788</v>
      </c>
      <c r="D1906" s="56">
        <v>10.833675564681725</v>
      </c>
      <c r="F1906">
        <v>861.65629487793205</v>
      </c>
      <c r="X1906" s="19"/>
      <c r="AF1906" s="2"/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C1907" s="55">
        <v>30921</v>
      </c>
      <c r="D1907" s="56">
        <v>11.197809719370294</v>
      </c>
      <c r="F1907">
        <v>861.65629487793205</v>
      </c>
      <c r="X1907" s="19"/>
      <c r="AF1907" s="2"/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C1908" s="55">
        <v>31091</v>
      </c>
      <c r="D1908" s="56">
        <v>11.663244353182751</v>
      </c>
      <c r="F1908">
        <v>861.65629487793205</v>
      </c>
      <c r="X1908" s="19"/>
      <c r="AF1908" s="2"/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C1909" s="55">
        <v>31126</v>
      </c>
      <c r="D1909" s="56">
        <v>11.759069130732374</v>
      </c>
      <c r="F1909">
        <v>861.65629487793205</v>
      </c>
      <c r="X1909" s="19"/>
      <c r="AF1909" s="2"/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C1910" s="55">
        <v>31201</v>
      </c>
      <c r="D1910" s="56">
        <v>11.964407939767282</v>
      </c>
      <c r="F1910">
        <v>861.65629487793205</v>
      </c>
      <c r="X1910" s="19"/>
      <c r="AF1910" s="2"/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C1911" s="55">
        <v>31338</v>
      </c>
      <c r="D1911" s="56">
        <v>12.33949349760438</v>
      </c>
      <c r="F1911">
        <v>861.65629487793205</v>
      </c>
      <c r="X1911" s="19"/>
      <c r="AF1911" s="2"/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C1912" s="55">
        <v>31447</v>
      </c>
      <c r="D1912" s="56">
        <v>12.63791923340178</v>
      </c>
      <c r="F1912">
        <v>861.65629487793205</v>
      </c>
      <c r="X1912" s="19"/>
      <c r="AF1912" s="2"/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C1913" s="55">
        <v>31517</v>
      </c>
      <c r="D1913" s="56">
        <v>12.829568788501026</v>
      </c>
      <c r="F1913">
        <v>861.65629487793205</v>
      </c>
      <c r="X1913" s="19"/>
      <c r="AF1913" s="2"/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C1914" s="55">
        <v>31583</v>
      </c>
      <c r="D1914" s="56">
        <v>13.010266940451745</v>
      </c>
      <c r="F1914">
        <v>861.65629487793205</v>
      </c>
      <c r="X1914" s="19"/>
      <c r="AF1914" s="2"/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C1915" s="55">
        <v>31705</v>
      </c>
      <c r="D1915" s="56">
        <v>13.344284736481862</v>
      </c>
      <c r="F1915">
        <v>861.65629487793205</v>
      </c>
      <c r="X1915" s="19"/>
      <c r="AF1915" s="2"/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C1916" s="55">
        <v>31795</v>
      </c>
      <c r="D1916" s="56">
        <v>13.59069130732375</v>
      </c>
      <c r="F1916">
        <v>861.65629487793205</v>
      </c>
      <c r="X1916" s="19"/>
      <c r="AF1916" s="2"/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C1917" s="55">
        <v>31880</v>
      </c>
      <c r="D1917" s="56">
        <v>13.82340862422998</v>
      </c>
      <c r="F1917">
        <v>852.082336045955</v>
      </c>
      <c r="X1917" s="19"/>
      <c r="AF1917" s="2"/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C1918" s="55">
        <v>31944</v>
      </c>
      <c r="D1918" s="56">
        <v>13.998631074606434</v>
      </c>
      <c r="F1918">
        <v>852.082336045955</v>
      </c>
      <c r="X1918" s="19"/>
      <c r="AF1918" s="2"/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C1919" s="55">
        <v>32072</v>
      </c>
      <c r="D1919" s="56">
        <v>14.349075975359343</v>
      </c>
      <c r="F1919">
        <v>852.082336045955</v>
      </c>
      <c r="X1919" s="19"/>
      <c r="AF1919" s="2"/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C1920" s="55">
        <v>32152</v>
      </c>
      <c r="D1920" s="56">
        <v>14.568104038329912</v>
      </c>
      <c r="F1920">
        <v>852.082336045955</v>
      </c>
      <c r="X1920" s="19"/>
      <c r="AF1920" s="2"/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C1921" s="55">
        <v>32248</v>
      </c>
      <c r="D1921" s="56">
        <v>14.830937713894592</v>
      </c>
      <c r="F1921">
        <v>852.082336045955</v>
      </c>
      <c r="X1921" s="19"/>
      <c r="AF1921" s="2"/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C1922" s="55">
        <v>32309</v>
      </c>
      <c r="D1922" s="56">
        <v>14.997946611909651</v>
      </c>
      <c r="F1922">
        <v>842.50837721397795</v>
      </c>
      <c r="X1922" s="19"/>
      <c r="AF1922" s="2"/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C1923" s="55">
        <v>32426</v>
      </c>
      <c r="D1923" s="56">
        <v>15.318275154004107</v>
      </c>
      <c r="F1923">
        <v>545.71565342269025</v>
      </c>
      <c r="X1923" s="19"/>
      <c r="AF1923" s="2"/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C1924" s="55">
        <v>32477</v>
      </c>
      <c r="D1924" s="56">
        <v>15.457905544147843</v>
      </c>
      <c r="F1924">
        <v>545.71565342269025</v>
      </c>
      <c r="X1924" s="19"/>
      <c r="AF1924" s="2"/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C1925" s="55">
        <v>32567</v>
      </c>
      <c r="D1925" s="56">
        <v>15.704312114989733</v>
      </c>
      <c r="F1925">
        <v>536.1416945907132</v>
      </c>
      <c r="X1925" s="19"/>
      <c r="AF1925" s="2"/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C1926" s="55">
        <v>32659</v>
      </c>
      <c r="D1926" s="56">
        <v>15.956194387405887</v>
      </c>
      <c r="F1926">
        <v>545.71565342269025</v>
      </c>
      <c r="X1926" s="19"/>
      <c r="AF1926" s="2"/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C1927" s="55">
        <v>32689</v>
      </c>
      <c r="D1927" s="56">
        <v>16.038329911019851</v>
      </c>
      <c r="F1927">
        <v>440.40210627094302</v>
      </c>
      <c r="X1927" s="19"/>
      <c r="AF1927" s="2"/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C1928" s="55">
        <v>32751</v>
      </c>
      <c r="D1928" s="56">
        <v>16.208076659822041</v>
      </c>
      <c r="F1928">
        <v>440.40210627094302</v>
      </c>
      <c r="X1928" s="19"/>
      <c r="AF1928" s="2"/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C1929" s="55">
        <v>32843</v>
      </c>
      <c r="D1929" s="56">
        <v>16.459958932238195</v>
      </c>
      <c r="F1929">
        <v>440.40210627094302</v>
      </c>
      <c r="X1929" s="19"/>
      <c r="AF1929" s="2"/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C1930" s="55">
        <v>32933</v>
      </c>
      <c r="D1930" s="56">
        <v>16.706365503080082</v>
      </c>
      <c r="F1930">
        <v>545.71565342269025</v>
      </c>
      <c r="X1930" s="19"/>
      <c r="AF1930" s="2"/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C1931" s="55">
        <v>33025</v>
      </c>
      <c r="D1931" s="56">
        <v>16.958247775496236</v>
      </c>
      <c r="F1931">
        <v>440.40210627094302</v>
      </c>
      <c r="X1931" s="19"/>
      <c r="AF1931" s="2"/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C1932" s="55">
        <v>33119</v>
      </c>
      <c r="D1932" s="56">
        <v>17.215605749486652</v>
      </c>
      <c r="F1932">
        <v>440.40210627094302</v>
      </c>
      <c r="X1932" s="19"/>
      <c r="AF1932" s="2"/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C1933" s="55">
        <v>34408</v>
      </c>
      <c r="D1933" s="56">
        <v>20.744695414099933</v>
      </c>
      <c r="F1933">
        <v>440.40210627094302</v>
      </c>
      <c r="X1933" s="19"/>
      <c r="AF1933" s="2"/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C1934" s="55">
        <v>34530</v>
      </c>
      <c r="D1934" s="56">
        <v>21.078713210130047</v>
      </c>
      <c r="F1934">
        <v>440.40210627094302</v>
      </c>
      <c r="X1934" s="19"/>
      <c r="AF1934" s="2"/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C1935" s="55">
        <v>34919</v>
      </c>
      <c r="D1935" s="56">
        <v>22.143737166324435</v>
      </c>
      <c r="F1935">
        <v>440.40210627094302</v>
      </c>
      <c r="X1935" s="19"/>
      <c r="AF1935" s="2"/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C1936" s="55">
        <v>35299</v>
      </c>
      <c r="D1936" s="56">
        <v>23.184120465434635</v>
      </c>
      <c r="F1936">
        <v>440.40210627094302</v>
      </c>
      <c r="X1936" s="19"/>
      <c r="AF1936" s="2"/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C1937" s="55">
        <v>35681</v>
      </c>
      <c r="D1937" s="56">
        <v>24.229979466119097</v>
      </c>
      <c r="F1937">
        <v>440.40210627094302</v>
      </c>
      <c r="X1937" s="19"/>
      <c r="AF1937" s="2"/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C1938" s="55">
        <v>36035</v>
      </c>
      <c r="D1938" s="56">
        <v>25.199178644763862</v>
      </c>
      <c r="F1938">
        <v>440.40210627094302</v>
      </c>
      <c r="X1938" s="19"/>
      <c r="AF1938" s="2"/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C1939" s="55">
        <v>36409</v>
      </c>
      <c r="D1939" s="56">
        <v>26.223134839151268</v>
      </c>
      <c r="F1939">
        <v>440.40210627094302</v>
      </c>
      <c r="X1939" s="19"/>
      <c r="AF1939" s="2"/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C1940" s="55">
        <v>36774</v>
      </c>
      <c r="D1940" s="56">
        <v>27.222450376454482</v>
      </c>
      <c r="F1940">
        <v>440.40210627094302</v>
      </c>
      <c r="X1940" s="19"/>
      <c r="AF1940" s="2"/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</sheetData>
  <autoFilter ref="A1:BL1688" xr:uid="{00000000-0001-0000-0600-000000000000}">
    <sortState xmlns:xlrd2="http://schemas.microsoft.com/office/spreadsheetml/2017/richdata2" ref="A1065:BL1680">
      <sortCondition ref="C2:C1680"/>
      <sortCondition ref="A2:A1680" customList="IMPACLF0H0,IMPACLF1H0,IMPACLF0H1,IMPACLF1H1,IMPACSF0H0,IMPACSF1H0,IMPACSF0H1,IMPACSF1H1"/>
    </sortState>
  </autoFilter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06aa6554-6be2-4691-9424-7e87462ea1cf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Huth, Neil (A&amp;F, Forest Hill)</cp:lastModifiedBy>
  <cp:revision/>
  <dcterms:created xsi:type="dcterms:W3CDTF">1996-10-14T23:33:28Z</dcterms:created>
  <dcterms:modified xsi:type="dcterms:W3CDTF">2026-10-07T06:32:14Z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