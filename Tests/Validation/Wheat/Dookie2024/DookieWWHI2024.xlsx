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Repos\ApsimX\Tests\Validation\Wheat\Dookie2024\"/>
    </mc:Choice>
  </mc:AlternateContent>
  <xr:revisionPtr revIDLastSave="0" documentId="13_ncr:1_{586DBC38-5F45-46A6-8EDD-8E321BD9C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1" r:id="rId1"/>
    <sheet name="WorkedForInput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D12" i="2"/>
  <c r="C12" i="2"/>
  <c r="B12" i="2"/>
  <c r="A12" i="2"/>
  <c r="D11" i="2"/>
  <c r="C11" i="2"/>
  <c r="B11" i="2"/>
</calcChain>
</file>

<file path=xl/sharedStrings.xml><?xml version="1.0" encoding="utf-8"?>
<sst xmlns="http://schemas.openxmlformats.org/spreadsheetml/2006/main" count="511" uniqueCount="43">
  <si>
    <t>Wheat.Height</t>
  </si>
  <si>
    <t>Wheat.Phenology.HaunStage</t>
  </si>
  <si>
    <t>Wheat.Phenology.Stage</t>
  </si>
  <si>
    <t>Wheat.Leaf.CoverTotal</t>
  </si>
  <si>
    <t>Wheat.Leaf.Height</t>
  </si>
  <si>
    <t>Wheat.Leaf.Live.Wt</t>
  </si>
  <si>
    <t>Wheat.Leaf.Dead.Wt</t>
  </si>
  <si>
    <t>Wheat.Stem.Wt</t>
  </si>
  <si>
    <t>Wheat.Spike.Wt</t>
  </si>
  <si>
    <t>Wheat.AboveGround.Wt</t>
  </si>
  <si>
    <t>Wheat.Ear.Wt</t>
  </si>
  <si>
    <t>Wheat.Grain.Wt</t>
  </si>
  <si>
    <t>Wheat.Grain.Size</t>
  </si>
  <si>
    <t>Wheat.Grain.Number</t>
  </si>
  <si>
    <t>SimulationName</t>
  </si>
  <si>
    <t>Clock.Today</t>
  </si>
  <si>
    <t>DookieWWHI2024CvGregorySow14-May</t>
  </si>
  <si>
    <t>DookieWWHI2024CvIllaboSow17-Apr</t>
  </si>
  <si>
    <t>DookieWWHI2024CvJanzSow14-May</t>
  </si>
  <si>
    <t>DookieWWHI2024CvKittyhawkSow17-Apr</t>
  </si>
  <si>
    <t>DookieWWHI2024CvMaceSow14-May</t>
  </si>
  <si>
    <t>DookieWWHI2024CvMeeringSow14-May</t>
  </si>
  <si>
    <t>DookieWWHI2024CvMowhawkSow17-Apr</t>
  </si>
  <si>
    <t>DookieWWHI2024CvOspreySow17-Apr</t>
  </si>
  <si>
    <t>DookieWWHI2024CvRosellaSow17-Apr</t>
  </si>
  <si>
    <t>DookieWWHI2024CvScepterSow14-May</t>
  </si>
  <si>
    <t>DookieWWHI2024CvSunmasterSow14-May</t>
  </si>
  <si>
    <t>DookieWWHI2024CvWedgetailSow17-Apr</t>
  </si>
  <si>
    <t>DookieWWHI2024CvWhistlerSow17-Apr</t>
  </si>
  <si>
    <t>DookieWWHI2024CvWyalkatchemSow14-May</t>
  </si>
  <si>
    <t>DookieWWHI2024CvWylahSow17-Apr</t>
  </si>
  <si>
    <t>DookieWWHI2024CvYitpiSow14-May</t>
  </si>
  <si>
    <t>HarvestRipe</t>
  </si>
  <si>
    <t>Wheat.Phenology.CurrentStageName</t>
  </si>
  <si>
    <t>Row Labels</t>
  </si>
  <si>
    <t>Column Labels</t>
  </si>
  <si>
    <t>Max of Clock.Today</t>
  </si>
  <si>
    <t>Stage</t>
  </si>
  <si>
    <t>ParameterName</t>
  </si>
  <si>
    <t>[Wheat].Phenology.Emerging.DateToProgress</t>
  </si>
  <si>
    <t>[Wheat].Phenology.StemElongating.DateToProgress</t>
  </si>
  <si>
    <t>[Wheat].Phenology.Flowering.DateToProgress</t>
  </si>
  <si>
    <t>Spectral.NDVI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</si>
</sst>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\-mm\-yyyy"/>
    <numFmt numFmtId="166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166" fontId="0" fillId="2" borderId="0" xfId="0" applyNumberFormat="1" applyFill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dd\-mmm\-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ar Teixeira" refreshedDate="45978.383902546295" createdVersion="8" refreshedVersion="8" minRefreshableVersion="3" recordCount="452" xr:uid="{39519BE4-816E-4CCA-BCF6-622C7B2CCBFD}">
  <cacheSource type="worksheet">
    <worksheetSource ref="A1:R453" sheet="Observed"/>
  </cacheSource>
  <cacheFields count="18">
    <cacheField name="SimulationName" numFmtId="0">
      <sharedItems count="16">
        <s v="DookieWWHI2024CvGregorySow14-May"/>
        <s v="DookieWWHI2024CvIllaboSow17-Apr"/>
        <s v="DookieWWHI2024CvJanzSow14-May"/>
        <s v="DookieWWHI2024CvKittyhawkSow17-Apr"/>
        <s v="DookieWWHI2024CvMaceSow14-May"/>
        <s v="DookieWWHI2024CvMeeringSow14-May"/>
        <s v="DookieWWHI2024CvMowhawkSow17-Apr"/>
        <s v="DookieWWHI2024CvOspreySow17-Apr"/>
        <s v="DookieWWHI2024CvRosellaSow17-Apr"/>
        <s v="DookieWWHI2024CvScepterSow14-May"/>
        <s v="DookieWWHI2024CvSunmasterSow14-May"/>
        <s v="DookieWWHI2024CvWedgetailSow17-Apr"/>
        <s v="DookieWWHI2024CvWhistlerSow17-Apr"/>
        <s v="DookieWWHI2024CvWyalkatchemSow14-May"/>
        <s v="DookieWWHI2024CvWylahSow17-Apr"/>
        <s v="DookieWWHI2024CvYitpiSow14-May"/>
      </sharedItems>
    </cacheField>
    <cacheField name="Clock.Today" numFmtId="164">
      <sharedItems containsSemiMixedTypes="0" containsNonDate="0" containsDate="1" containsString="0" minDate="2024-04-27T00:00:00" maxDate="2024-11-15T00:00:00"/>
    </cacheField>
    <cacheField name="Wheat.Height" numFmtId="0">
      <sharedItems containsNonDate="0" containsString="0" containsBlank="1"/>
    </cacheField>
    <cacheField name="NDVIModel.Script.NDVI" numFmtId="0">
      <sharedItems containsString="0" containsBlank="1" containsNumber="1" minValue="0.105" maxValue="0.87250000000000005"/>
    </cacheField>
    <cacheField name="Wheat.Phenology.HaunStage" numFmtId="0">
      <sharedItems containsString="0" containsBlank="1" containsNumber="1" minValue="3.0166666666666671" maxValue="13.5"/>
    </cacheField>
    <cacheField name="Wheat.Phenology.Stage" numFmtId="0">
      <sharedItems containsString="0" containsBlank="1" containsNumber="1" containsInteger="1" minValue="3" maxValue="8" count="4">
        <m/>
        <n v="3"/>
        <n v="6"/>
        <n v="8"/>
      </sharedItems>
    </cacheField>
    <cacheField name="Wheat.Leaf.CoverTotal" numFmtId="0">
      <sharedItems containsString="0" containsBlank="1" containsNumber="1" minValue="0.91700000000000004" maxValue="0.98724999999999996"/>
    </cacheField>
    <cacheField name="Wheat.Leaf.Height" numFmtId="0">
      <sharedItems containsString="0" containsBlank="1" containsNumber="1" minValue="567.5" maxValue="975"/>
    </cacheField>
    <cacheField name="Wheat.Leaf.Live.Wt" numFmtId="0">
      <sharedItems containsString="0" containsBlank="1" containsNumber="1" minValue="146.55554279904209" maxValue="281.04966425554591"/>
    </cacheField>
    <cacheField name="Wheat.Leaf.Dead.Wt" numFmtId="0">
      <sharedItems containsString="0" containsBlank="1" containsNumber="1" minValue="14.955904796970231" maxValue="117.810961436271"/>
    </cacheField>
    <cacheField name="Wheat.Stem.Wt" numFmtId="0">
      <sharedItems containsString="0" containsBlank="1" containsNumber="1" minValue="260.37725295098141" maxValue="664.83794664099696"/>
    </cacheField>
    <cacheField name="Wheat.Spike.Wt" numFmtId="0">
      <sharedItems containsString="0" containsBlank="1" containsNumber="1" minValue="22.59565709409236" maxValue="166.57609140308941"/>
    </cacheField>
    <cacheField name="Wheat.AboveGround.Wt" numFmtId="0">
      <sharedItems containsString="0" containsBlank="1" containsNumber="1" minValue="484.74631440902209" maxValue="1188.7408899523191"/>
    </cacheField>
    <cacheField name="Wheat.Ear.Wt" numFmtId="0">
      <sharedItems containsString="0" containsBlank="1" containsNumber="1" minValue="22.59565709409236" maxValue="758.12785812777497"/>
    </cacheField>
    <cacheField name="Wheat.Grain.Wt" numFmtId="0">
      <sharedItems containsString="0" containsBlank="1" containsNumber="1" minValue="403.82499999999999" maxValue="614.55500000000006"/>
    </cacheField>
    <cacheField name="Wheat.Grain.Size" numFmtId="0">
      <sharedItems containsString="0" containsBlank="1" containsNumber="1" minValue="3.4264042656772097E-2" maxValue="4.5656364363389809E-2"/>
    </cacheField>
    <cacheField name="Wheat.Grain.Number" numFmtId="0">
      <sharedItems containsString="0" containsBlank="1" containsNumber="1" minValue="10935.137211216001" maxValue="15511.158321299799"/>
    </cacheField>
    <cacheField name="Wheat.Phenology.CurrentStage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x v="0"/>
    <d v="2024-05-31T00:00:00"/>
    <m/>
    <n v="0.17"/>
    <m/>
    <x v="0"/>
    <m/>
    <m/>
    <m/>
    <m/>
    <m/>
    <m/>
    <m/>
    <m/>
    <m/>
    <m/>
    <m/>
    <m/>
  </r>
  <r>
    <x v="0"/>
    <d v="2024-06-17T00:00:00"/>
    <m/>
    <n v="0.16"/>
    <m/>
    <x v="0"/>
    <m/>
    <m/>
    <m/>
    <m/>
    <m/>
    <m/>
    <m/>
    <m/>
    <m/>
    <m/>
    <m/>
    <m/>
  </r>
  <r>
    <x v="0"/>
    <d v="2024-07-01T00:00:00"/>
    <m/>
    <n v="0.24249999999999999"/>
    <m/>
    <x v="0"/>
    <m/>
    <m/>
    <m/>
    <m/>
    <m/>
    <m/>
    <m/>
    <m/>
    <m/>
    <m/>
    <m/>
    <m/>
  </r>
  <r>
    <x v="0"/>
    <d v="2024-07-14T00:00:00"/>
    <m/>
    <n v="0.34250000000000003"/>
    <m/>
    <x v="0"/>
    <m/>
    <m/>
    <m/>
    <m/>
    <m/>
    <m/>
    <m/>
    <m/>
    <m/>
    <m/>
    <m/>
    <m/>
  </r>
  <r>
    <x v="0"/>
    <d v="2024-07-29T00:00:00"/>
    <m/>
    <n v="0.47"/>
    <m/>
    <x v="0"/>
    <m/>
    <m/>
    <m/>
    <m/>
    <m/>
    <m/>
    <m/>
    <m/>
    <m/>
    <m/>
    <m/>
    <m/>
  </r>
  <r>
    <x v="0"/>
    <d v="2024-08-09T00:00:00"/>
    <m/>
    <n v="0.54749999999999999"/>
    <m/>
    <x v="0"/>
    <m/>
    <m/>
    <m/>
    <m/>
    <m/>
    <m/>
    <m/>
    <m/>
    <m/>
    <m/>
    <m/>
    <m/>
  </r>
  <r>
    <x v="0"/>
    <d v="2024-08-22T00:00:00"/>
    <m/>
    <n v="0.67749999999999999"/>
    <m/>
    <x v="0"/>
    <m/>
    <m/>
    <m/>
    <m/>
    <m/>
    <m/>
    <m/>
    <m/>
    <m/>
    <m/>
    <m/>
    <m/>
  </r>
  <r>
    <x v="0"/>
    <d v="2024-09-13T00:00:00"/>
    <m/>
    <n v="0.83499999999999996"/>
    <m/>
    <x v="0"/>
    <m/>
    <m/>
    <m/>
    <m/>
    <m/>
    <m/>
    <m/>
    <m/>
    <m/>
    <m/>
    <m/>
    <m/>
  </r>
  <r>
    <x v="0"/>
    <d v="2024-09-24T00:00:00"/>
    <m/>
    <n v="0.79249999999999998"/>
    <m/>
    <x v="0"/>
    <m/>
    <m/>
    <m/>
    <m/>
    <m/>
    <m/>
    <m/>
    <m/>
    <m/>
    <m/>
    <m/>
    <m/>
  </r>
  <r>
    <x v="0"/>
    <d v="2024-10-06T00:00:00"/>
    <m/>
    <n v="0.71"/>
    <m/>
    <x v="0"/>
    <m/>
    <m/>
    <m/>
    <m/>
    <m/>
    <m/>
    <m/>
    <m/>
    <m/>
    <m/>
    <m/>
    <m/>
  </r>
  <r>
    <x v="0"/>
    <d v="2024-10-17T00:00:00"/>
    <m/>
    <n v="0.57750000000000001"/>
    <m/>
    <x v="0"/>
    <m/>
    <m/>
    <m/>
    <m/>
    <m/>
    <m/>
    <m/>
    <m/>
    <m/>
    <m/>
    <m/>
    <m/>
  </r>
  <r>
    <x v="0"/>
    <d v="2024-10-29T00:00:00"/>
    <m/>
    <n v="0.38500000000000001"/>
    <m/>
    <x v="0"/>
    <m/>
    <m/>
    <m/>
    <m/>
    <m/>
    <m/>
    <m/>
    <m/>
    <m/>
    <m/>
    <m/>
    <m/>
  </r>
  <r>
    <x v="0"/>
    <d v="2024-11-13T00:00:00"/>
    <m/>
    <n v="0.1125"/>
    <m/>
    <x v="0"/>
    <m/>
    <m/>
    <m/>
    <m/>
    <m/>
    <m/>
    <m/>
    <m/>
    <m/>
    <m/>
    <m/>
    <m/>
  </r>
  <r>
    <x v="1"/>
    <d v="2024-05-31T00:00:00"/>
    <m/>
    <n v="0.28499999999999998"/>
    <m/>
    <x v="0"/>
    <m/>
    <m/>
    <m/>
    <m/>
    <m/>
    <m/>
    <m/>
    <m/>
    <m/>
    <m/>
    <m/>
    <m/>
  </r>
  <r>
    <x v="1"/>
    <d v="2024-06-17T00:00:00"/>
    <m/>
    <n v="0.375"/>
    <m/>
    <x v="0"/>
    <m/>
    <m/>
    <m/>
    <m/>
    <m/>
    <m/>
    <m/>
    <m/>
    <m/>
    <m/>
    <m/>
    <m/>
  </r>
  <r>
    <x v="1"/>
    <d v="2024-07-01T00:00:00"/>
    <m/>
    <n v="0.5"/>
    <m/>
    <x v="0"/>
    <m/>
    <m/>
    <m/>
    <m/>
    <m/>
    <m/>
    <m/>
    <m/>
    <m/>
    <m/>
    <m/>
    <m/>
  </r>
  <r>
    <x v="1"/>
    <d v="2024-07-14T00:00:00"/>
    <m/>
    <n v="0.61"/>
    <m/>
    <x v="0"/>
    <m/>
    <m/>
    <m/>
    <m/>
    <m/>
    <m/>
    <m/>
    <m/>
    <m/>
    <m/>
    <m/>
    <m/>
  </r>
  <r>
    <x v="1"/>
    <d v="2024-07-29T00:00:00"/>
    <m/>
    <n v="0.67249999999999999"/>
    <m/>
    <x v="0"/>
    <m/>
    <m/>
    <m/>
    <m/>
    <m/>
    <m/>
    <m/>
    <m/>
    <m/>
    <m/>
    <m/>
    <m/>
  </r>
  <r>
    <x v="1"/>
    <d v="2024-08-09T00:00:00"/>
    <m/>
    <n v="0.69"/>
    <m/>
    <x v="0"/>
    <m/>
    <m/>
    <m/>
    <m/>
    <m/>
    <m/>
    <m/>
    <m/>
    <m/>
    <m/>
    <m/>
    <m/>
  </r>
  <r>
    <x v="1"/>
    <d v="2024-08-22T00:00:00"/>
    <m/>
    <n v="0.74"/>
    <m/>
    <x v="0"/>
    <m/>
    <m/>
    <m/>
    <m/>
    <m/>
    <m/>
    <m/>
    <m/>
    <m/>
    <m/>
    <m/>
    <m/>
  </r>
  <r>
    <x v="1"/>
    <d v="2024-09-13T00:00:00"/>
    <m/>
    <n v="0.83499999999999996"/>
    <m/>
    <x v="0"/>
    <m/>
    <m/>
    <m/>
    <m/>
    <m/>
    <m/>
    <m/>
    <m/>
    <m/>
    <m/>
    <m/>
    <m/>
  </r>
  <r>
    <x v="1"/>
    <d v="2024-09-24T00:00:00"/>
    <m/>
    <n v="0.77749999999999997"/>
    <m/>
    <x v="0"/>
    <m/>
    <m/>
    <m/>
    <m/>
    <m/>
    <m/>
    <m/>
    <m/>
    <m/>
    <m/>
    <m/>
    <m/>
  </r>
  <r>
    <x v="1"/>
    <d v="2024-10-06T00:00:00"/>
    <m/>
    <n v="0.72750000000000004"/>
    <m/>
    <x v="0"/>
    <m/>
    <m/>
    <m/>
    <m/>
    <m/>
    <m/>
    <m/>
    <m/>
    <m/>
    <m/>
    <m/>
    <m/>
  </r>
  <r>
    <x v="1"/>
    <d v="2024-10-17T00:00:00"/>
    <m/>
    <n v="0.5575"/>
    <m/>
    <x v="0"/>
    <m/>
    <m/>
    <m/>
    <m/>
    <m/>
    <m/>
    <m/>
    <m/>
    <m/>
    <m/>
    <m/>
    <m/>
  </r>
  <r>
    <x v="1"/>
    <d v="2024-10-29T00:00:00"/>
    <m/>
    <n v="0.34749999999999998"/>
    <m/>
    <x v="0"/>
    <m/>
    <m/>
    <m/>
    <m/>
    <m/>
    <m/>
    <m/>
    <m/>
    <m/>
    <m/>
    <m/>
    <m/>
  </r>
  <r>
    <x v="1"/>
    <d v="2024-11-13T00:00:00"/>
    <m/>
    <n v="0.12"/>
    <m/>
    <x v="0"/>
    <m/>
    <m/>
    <m/>
    <m/>
    <m/>
    <m/>
    <m/>
    <m/>
    <m/>
    <m/>
    <m/>
    <m/>
  </r>
  <r>
    <x v="2"/>
    <d v="2024-05-31T00:00:00"/>
    <m/>
    <n v="0.1825"/>
    <m/>
    <x v="0"/>
    <m/>
    <m/>
    <m/>
    <m/>
    <m/>
    <m/>
    <m/>
    <m/>
    <m/>
    <m/>
    <m/>
    <m/>
  </r>
  <r>
    <x v="2"/>
    <d v="2024-06-17T00:00:00"/>
    <m/>
    <n v="0.19"/>
    <m/>
    <x v="0"/>
    <m/>
    <m/>
    <m/>
    <m/>
    <m/>
    <m/>
    <m/>
    <m/>
    <m/>
    <m/>
    <m/>
    <m/>
  </r>
  <r>
    <x v="2"/>
    <d v="2024-07-01T00:00:00"/>
    <m/>
    <n v="0.27500000000000002"/>
    <m/>
    <x v="0"/>
    <m/>
    <m/>
    <m/>
    <m/>
    <m/>
    <m/>
    <m/>
    <m/>
    <m/>
    <m/>
    <m/>
    <m/>
  </r>
  <r>
    <x v="2"/>
    <d v="2024-07-14T00:00:00"/>
    <m/>
    <n v="0.39250000000000002"/>
    <m/>
    <x v="0"/>
    <m/>
    <m/>
    <m/>
    <m/>
    <m/>
    <m/>
    <m/>
    <m/>
    <m/>
    <m/>
    <m/>
    <m/>
  </r>
  <r>
    <x v="2"/>
    <d v="2024-07-29T00:00:00"/>
    <m/>
    <n v="0.54749999999999999"/>
    <m/>
    <x v="0"/>
    <m/>
    <m/>
    <m/>
    <m/>
    <m/>
    <m/>
    <m/>
    <m/>
    <m/>
    <m/>
    <m/>
    <m/>
  </r>
  <r>
    <x v="2"/>
    <d v="2024-08-09T00:00:00"/>
    <m/>
    <n v="0.61499999999999999"/>
    <m/>
    <x v="0"/>
    <m/>
    <m/>
    <m/>
    <m/>
    <m/>
    <m/>
    <m/>
    <m/>
    <m/>
    <m/>
    <m/>
    <m/>
  </r>
  <r>
    <x v="2"/>
    <d v="2024-08-22T00:00:00"/>
    <m/>
    <n v="0.6925"/>
    <m/>
    <x v="0"/>
    <m/>
    <m/>
    <m/>
    <m/>
    <m/>
    <m/>
    <m/>
    <m/>
    <m/>
    <m/>
    <m/>
    <m/>
  </r>
  <r>
    <x v="2"/>
    <d v="2024-09-13T00:00:00"/>
    <m/>
    <n v="0.83749999999999991"/>
    <m/>
    <x v="0"/>
    <m/>
    <m/>
    <m/>
    <m/>
    <m/>
    <m/>
    <m/>
    <m/>
    <m/>
    <m/>
    <m/>
    <m/>
  </r>
  <r>
    <x v="2"/>
    <d v="2024-09-24T00:00:00"/>
    <m/>
    <n v="0.78249999999999997"/>
    <m/>
    <x v="0"/>
    <m/>
    <m/>
    <m/>
    <m/>
    <m/>
    <m/>
    <m/>
    <m/>
    <m/>
    <m/>
    <m/>
    <m/>
  </r>
  <r>
    <x v="2"/>
    <d v="2024-10-06T00:00:00"/>
    <m/>
    <n v="0.70499999999999996"/>
    <m/>
    <x v="0"/>
    <m/>
    <m/>
    <m/>
    <m/>
    <m/>
    <m/>
    <m/>
    <m/>
    <m/>
    <m/>
    <m/>
    <m/>
  </r>
  <r>
    <x v="2"/>
    <d v="2024-10-17T00:00:00"/>
    <m/>
    <n v="0.50249999999999995"/>
    <m/>
    <x v="0"/>
    <m/>
    <m/>
    <m/>
    <m/>
    <m/>
    <m/>
    <m/>
    <m/>
    <m/>
    <m/>
    <m/>
    <m/>
  </r>
  <r>
    <x v="2"/>
    <d v="2024-10-29T00:00:00"/>
    <m/>
    <n v="0.3075"/>
    <m/>
    <x v="0"/>
    <m/>
    <m/>
    <m/>
    <m/>
    <m/>
    <m/>
    <m/>
    <m/>
    <m/>
    <m/>
    <m/>
    <m/>
  </r>
  <r>
    <x v="2"/>
    <d v="2024-11-13T00:00:00"/>
    <m/>
    <n v="0.11"/>
    <m/>
    <x v="0"/>
    <m/>
    <m/>
    <m/>
    <m/>
    <m/>
    <m/>
    <m/>
    <m/>
    <m/>
    <m/>
    <m/>
    <m/>
  </r>
  <r>
    <x v="3"/>
    <d v="2024-05-31T00:00:00"/>
    <m/>
    <n v="0.33250000000000002"/>
    <m/>
    <x v="0"/>
    <m/>
    <m/>
    <m/>
    <m/>
    <m/>
    <m/>
    <m/>
    <m/>
    <m/>
    <m/>
    <m/>
    <m/>
  </r>
  <r>
    <x v="3"/>
    <d v="2024-06-17T00:00:00"/>
    <m/>
    <n v="0.42749999999999999"/>
    <m/>
    <x v="0"/>
    <m/>
    <m/>
    <m/>
    <m/>
    <m/>
    <m/>
    <m/>
    <m/>
    <m/>
    <m/>
    <m/>
    <m/>
  </r>
  <r>
    <x v="3"/>
    <d v="2024-07-01T00:00:00"/>
    <m/>
    <n v="0.57250000000000001"/>
    <m/>
    <x v="0"/>
    <m/>
    <m/>
    <m/>
    <m/>
    <m/>
    <m/>
    <m/>
    <m/>
    <m/>
    <m/>
    <m/>
    <m/>
  </r>
  <r>
    <x v="3"/>
    <d v="2024-07-14T00:00:00"/>
    <m/>
    <n v="0.64500000000000002"/>
    <m/>
    <x v="0"/>
    <m/>
    <m/>
    <m/>
    <m/>
    <m/>
    <m/>
    <m/>
    <m/>
    <m/>
    <m/>
    <m/>
    <m/>
  </r>
  <r>
    <x v="3"/>
    <d v="2024-07-29T00:00:00"/>
    <m/>
    <n v="0.71250000000000002"/>
    <m/>
    <x v="0"/>
    <m/>
    <m/>
    <m/>
    <m/>
    <m/>
    <m/>
    <m/>
    <m/>
    <m/>
    <m/>
    <m/>
    <m/>
  </r>
  <r>
    <x v="3"/>
    <d v="2024-08-09T00:00:00"/>
    <m/>
    <n v="0.71750000000000003"/>
    <m/>
    <x v="0"/>
    <m/>
    <m/>
    <m/>
    <m/>
    <m/>
    <m/>
    <m/>
    <m/>
    <m/>
    <m/>
    <m/>
    <m/>
  </r>
  <r>
    <x v="3"/>
    <d v="2024-08-22T00:00:00"/>
    <m/>
    <n v="0.68500000000000005"/>
    <m/>
    <x v="0"/>
    <m/>
    <m/>
    <m/>
    <m/>
    <m/>
    <m/>
    <m/>
    <m/>
    <m/>
    <m/>
    <m/>
    <m/>
  </r>
  <r>
    <x v="3"/>
    <d v="2024-09-13T00:00:00"/>
    <m/>
    <n v="0.84499999999999997"/>
    <m/>
    <x v="0"/>
    <m/>
    <m/>
    <m/>
    <m/>
    <m/>
    <m/>
    <m/>
    <m/>
    <m/>
    <m/>
    <m/>
    <m/>
  </r>
  <r>
    <x v="3"/>
    <d v="2024-09-24T00:00:00"/>
    <m/>
    <n v="0.8"/>
    <m/>
    <x v="0"/>
    <m/>
    <m/>
    <m/>
    <m/>
    <m/>
    <m/>
    <m/>
    <m/>
    <m/>
    <m/>
    <m/>
    <m/>
  </r>
  <r>
    <x v="3"/>
    <d v="2024-10-06T00:00:00"/>
    <m/>
    <n v="0.745"/>
    <m/>
    <x v="0"/>
    <m/>
    <m/>
    <m/>
    <m/>
    <m/>
    <m/>
    <m/>
    <m/>
    <m/>
    <m/>
    <m/>
    <m/>
  </r>
  <r>
    <x v="3"/>
    <d v="2024-10-17T00:00:00"/>
    <m/>
    <n v="0.61"/>
    <m/>
    <x v="0"/>
    <m/>
    <m/>
    <m/>
    <m/>
    <m/>
    <m/>
    <m/>
    <m/>
    <m/>
    <m/>
    <m/>
    <m/>
  </r>
  <r>
    <x v="3"/>
    <d v="2024-10-29T00:00:00"/>
    <m/>
    <n v="0.46"/>
    <m/>
    <x v="0"/>
    <m/>
    <m/>
    <m/>
    <m/>
    <m/>
    <m/>
    <m/>
    <m/>
    <m/>
    <m/>
    <m/>
    <m/>
  </r>
  <r>
    <x v="3"/>
    <d v="2024-11-13T00:00:00"/>
    <m/>
    <n v="0.12"/>
    <m/>
    <x v="0"/>
    <m/>
    <m/>
    <m/>
    <m/>
    <m/>
    <m/>
    <m/>
    <m/>
    <m/>
    <m/>
    <m/>
    <m/>
  </r>
  <r>
    <x v="4"/>
    <d v="2024-05-31T00:00:00"/>
    <m/>
    <n v="0.16500000000000001"/>
    <m/>
    <x v="0"/>
    <m/>
    <m/>
    <m/>
    <m/>
    <m/>
    <m/>
    <m/>
    <m/>
    <m/>
    <m/>
    <m/>
    <m/>
  </r>
  <r>
    <x v="4"/>
    <d v="2024-06-17T00:00:00"/>
    <m/>
    <n v="0.16500000000000001"/>
    <m/>
    <x v="0"/>
    <m/>
    <m/>
    <m/>
    <m/>
    <m/>
    <m/>
    <m/>
    <m/>
    <m/>
    <m/>
    <m/>
    <m/>
  </r>
  <r>
    <x v="4"/>
    <d v="2024-07-01T00:00:00"/>
    <m/>
    <n v="0.26750000000000002"/>
    <m/>
    <x v="0"/>
    <m/>
    <m/>
    <m/>
    <m/>
    <m/>
    <m/>
    <m/>
    <m/>
    <m/>
    <m/>
    <m/>
    <m/>
  </r>
  <r>
    <x v="4"/>
    <d v="2024-07-14T00:00:00"/>
    <m/>
    <n v="0.35499999999999998"/>
    <m/>
    <x v="0"/>
    <m/>
    <m/>
    <m/>
    <m/>
    <m/>
    <m/>
    <m/>
    <m/>
    <m/>
    <m/>
    <m/>
    <m/>
  </r>
  <r>
    <x v="4"/>
    <d v="2024-07-29T00:00:00"/>
    <m/>
    <n v="0.51750000000000007"/>
    <m/>
    <x v="0"/>
    <m/>
    <m/>
    <m/>
    <m/>
    <m/>
    <m/>
    <m/>
    <m/>
    <m/>
    <m/>
    <m/>
    <m/>
  </r>
  <r>
    <x v="4"/>
    <d v="2024-08-09T00:00:00"/>
    <m/>
    <n v="0.56000000000000005"/>
    <m/>
    <x v="0"/>
    <m/>
    <m/>
    <m/>
    <m/>
    <m/>
    <m/>
    <m/>
    <m/>
    <m/>
    <m/>
    <m/>
    <m/>
  </r>
  <r>
    <x v="4"/>
    <d v="2024-08-22T00:00:00"/>
    <m/>
    <n v="0.66"/>
    <m/>
    <x v="0"/>
    <m/>
    <m/>
    <m/>
    <m/>
    <m/>
    <m/>
    <m/>
    <m/>
    <m/>
    <m/>
    <m/>
    <m/>
  </r>
  <r>
    <x v="4"/>
    <d v="2024-09-13T00:00:00"/>
    <m/>
    <n v="0.80249999999999999"/>
    <m/>
    <x v="0"/>
    <m/>
    <m/>
    <m/>
    <m/>
    <m/>
    <m/>
    <m/>
    <m/>
    <m/>
    <m/>
    <m/>
    <m/>
  </r>
  <r>
    <x v="4"/>
    <d v="2024-09-24T00:00:00"/>
    <m/>
    <n v="0.71249999999999991"/>
    <m/>
    <x v="0"/>
    <m/>
    <m/>
    <m/>
    <m/>
    <m/>
    <m/>
    <m/>
    <m/>
    <m/>
    <m/>
    <m/>
    <m/>
  </r>
  <r>
    <x v="4"/>
    <d v="2024-10-06T00:00:00"/>
    <m/>
    <n v="0.66500000000000004"/>
    <m/>
    <x v="0"/>
    <m/>
    <m/>
    <m/>
    <m/>
    <m/>
    <m/>
    <m/>
    <m/>
    <m/>
    <m/>
    <m/>
    <m/>
  </r>
  <r>
    <x v="4"/>
    <d v="2024-10-17T00:00:00"/>
    <m/>
    <n v="0.435"/>
    <m/>
    <x v="0"/>
    <m/>
    <m/>
    <m/>
    <m/>
    <m/>
    <m/>
    <m/>
    <m/>
    <m/>
    <m/>
    <m/>
    <m/>
  </r>
  <r>
    <x v="4"/>
    <d v="2024-10-29T00:00:00"/>
    <m/>
    <n v="0.2525"/>
    <m/>
    <x v="0"/>
    <m/>
    <m/>
    <m/>
    <m/>
    <m/>
    <m/>
    <m/>
    <m/>
    <m/>
    <m/>
    <m/>
    <m/>
  </r>
  <r>
    <x v="4"/>
    <d v="2024-11-13T00:00:00"/>
    <m/>
    <n v="0.11749999999999999"/>
    <m/>
    <x v="0"/>
    <m/>
    <m/>
    <m/>
    <m/>
    <m/>
    <m/>
    <m/>
    <m/>
    <m/>
    <m/>
    <m/>
    <m/>
  </r>
  <r>
    <x v="5"/>
    <d v="2024-05-31T00:00:00"/>
    <m/>
    <n v="0.17749999999999999"/>
    <m/>
    <x v="0"/>
    <m/>
    <m/>
    <m/>
    <m/>
    <m/>
    <m/>
    <m/>
    <m/>
    <m/>
    <m/>
    <m/>
    <m/>
  </r>
  <r>
    <x v="5"/>
    <d v="2024-06-17T00:00:00"/>
    <m/>
    <n v="0.17249999999999999"/>
    <m/>
    <x v="0"/>
    <m/>
    <m/>
    <m/>
    <m/>
    <m/>
    <m/>
    <m/>
    <m/>
    <m/>
    <m/>
    <m/>
    <m/>
  </r>
  <r>
    <x v="5"/>
    <d v="2024-07-01T00:00:00"/>
    <m/>
    <n v="0.2525"/>
    <m/>
    <x v="0"/>
    <m/>
    <m/>
    <m/>
    <m/>
    <m/>
    <m/>
    <m/>
    <m/>
    <m/>
    <m/>
    <m/>
    <m/>
  </r>
  <r>
    <x v="5"/>
    <d v="2024-07-14T00:00:00"/>
    <m/>
    <n v="0.38750000000000001"/>
    <m/>
    <x v="0"/>
    <m/>
    <m/>
    <m/>
    <m/>
    <m/>
    <m/>
    <m/>
    <m/>
    <m/>
    <m/>
    <m/>
    <m/>
  </r>
  <r>
    <x v="5"/>
    <d v="2024-07-29T00:00:00"/>
    <m/>
    <n v="0.54249999999999998"/>
    <m/>
    <x v="0"/>
    <m/>
    <m/>
    <m/>
    <m/>
    <m/>
    <m/>
    <m/>
    <m/>
    <m/>
    <m/>
    <m/>
    <m/>
  </r>
  <r>
    <x v="5"/>
    <d v="2024-08-09T00:00:00"/>
    <m/>
    <n v="0.61250000000000004"/>
    <m/>
    <x v="0"/>
    <m/>
    <m/>
    <m/>
    <m/>
    <m/>
    <m/>
    <m/>
    <m/>
    <m/>
    <m/>
    <m/>
    <m/>
  </r>
  <r>
    <x v="5"/>
    <d v="2024-08-22T00:00:00"/>
    <m/>
    <n v="0.72"/>
    <m/>
    <x v="0"/>
    <m/>
    <m/>
    <m/>
    <m/>
    <m/>
    <m/>
    <m/>
    <m/>
    <m/>
    <m/>
    <m/>
    <m/>
  </r>
  <r>
    <x v="5"/>
    <d v="2024-09-13T00:00:00"/>
    <m/>
    <n v="0.83749999999999991"/>
    <m/>
    <x v="0"/>
    <m/>
    <m/>
    <m/>
    <m/>
    <m/>
    <m/>
    <m/>
    <m/>
    <m/>
    <m/>
    <m/>
    <m/>
  </r>
  <r>
    <x v="5"/>
    <d v="2024-09-24T00:00:00"/>
    <m/>
    <n v="0.8"/>
    <m/>
    <x v="0"/>
    <m/>
    <m/>
    <m/>
    <m/>
    <m/>
    <m/>
    <m/>
    <m/>
    <m/>
    <m/>
    <m/>
    <m/>
  </r>
  <r>
    <x v="5"/>
    <d v="2024-10-06T00:00:00"/>
    <m/>
    <n v="0.73"/>
    <m/>
    <x v="0"/>
    <m/>
    <m/>
    <m/>
    <m/>
    <m/>
    <m/>
    <m/>
    <m/>
    <m/>
    <m/>
    <m/>
    <m/>
  </r>
  <r>
    <x v="5"/>
    <d v="2024-10-17T00:00:00"/>
    <m/>
    <n v="0.59750000000000003"/>
    <m/>
    <x v="0"/>
    <m/>
    <m/>
    <m/>
    <m/>
    <m/>
    <m/>
    <m/>
    <m/>
    <m/>
    <m/>
    <m/>
    <m/>
  </r>
  <r>
    <x v="5"/>
    <d v="2024-10-29T00:00:00"/>
    <m/>
    <n v="0.41"/>
    <m/>
    <x v="0"/>
    <m/>
    <m/>
    <m/>
    <m/>
    <m/>
    <m/>
    <m/>
    <m/>
    <m/>
    <m/>
    <m/>
    <m/>
  </r>
  <r>
    <x v="5"/>
    <d v="2024-11-13T00:00:00"/>
    <m/>
    <n v="0.125"/>
    <m/>
    <x v="0"/>
    <m/>
    <m/>
    <m/>
    <m/>
    <m/>
    <m/>
    <m/>
    <m/>
    <m/>
    <m/>
    <m/>
    <m/>
  </r>
  <r>
    <x v="6"/>
    <d v="2024-05-31T00:00:00"/>
    <m/>
    <n v="0.26750000000000002"/>
    <m/>
    <x v="0"/>
    <m/>
    <m/>
    <m/>
    <m/>
    <m/>
    <m/>
    <m/>
    <m/>
    <m/>
    <m/>
    <m/>
    <m/>
  </r>
  <r>
    <x v="6"/>
    <d v="2024-06-17T00:00:00"/>
    <m/>
    <n v="0.29749999999999999"/>
    <m/>
    <x v="0"/>
    <m/>
    <m/>
    <m/>
    <m/>
    <m/>
    <m/>
    <m/>
    <m/>
    <m/>
    <m/>
    <m/>
    <m/>
  </r>
  <r>
    <x v="6"/>
    <d v="2024-07-01T00:00:00"/>
    <m/>
    <n v="0.44"/>
    <m/>
    <x v="0"/>
    <m/>
    <m/>
    <m/>
    <m/>
    <m/>
    <m/>
    <m/>
    <m/>
    <m/>
    <m/>
    <m/>
    <m/>
  </r>
  <r>
    <x v="6"/>
    <d v="2024-07-14T00:00:00"/>
    <m/>
    <n v="0.51"/>
    <m/>
    <x v="0"/>
    <m/>
    <m/>
    <m/>
    <m/>
    <m/>
    <m/>
    <m/>
    <m/>
    <m/>
    <m/>
    <m/>
    <m/>
  </r>
  <r>
    <x v="6"/>
    <d v="2024-07-29T00:00:00"/>
    <m/>
    <n v="0.59250000000000003"/>
    <m/>
    <x v="0"/>
    <m/>
    <m/>
    <m/>
    <m/>
    <m/>
    <m/>
    <m/>
    <m/>
    <m/>
    <m/>
    <m/>
    <m/>
  </r>
  <r>
    <x v="6"/>
    <d v="2024-08-09T00:00:00"/>
    <m/>
    <n v="0.63749999999999996"/>
    <m/>
    <x v="0"/>
    <m/>
    <m/>
    <m/>
    <m/>
    <m/>
    <m/>
    <m/>
    <m/>
    <m/>
    <m/>
    <m/>
    <m/>
  </r>
  <r>
    <x v="6"/>
    <d v="2024-08-22T00:00:00"/>
    <m/>
    <n v="0.66249999999999998"/>
    <m/>
    <x v="0"/>
    <m/>
    <m/>
    <m/>
    <m/>
    <m/>
    <m/>
    <m/>
    <m/>
    <m/>
    <m/>
    <m/>
    <m/>
  </r>
  <r>
    <x v="6"/>
    <d v="2024-09-13T00:00:00"/>
    <m/>
    <n v="0.81"/>
    <m/>
    <x v="0"/>
    <m/>
    <m/>
    <m/>
    <m/>
    <m/>
    <m/>
    <m/>
    <m/>
    <m/>
    <m/>
    <m/>
    <m/>
  </r>
  <r>
    <x v="6"/>
    <d v="2024-09-24T00:00:00"/>
    <m/>
    <n v="0.75249999999999995"/>
    <m/>
    <x v="0"/>
    <m/>
    <m/>
    <m/>
    <m/>
    <m/>
    <m/>
    <m/>
    <m/>
    <m/>
    <m/>
    <m/>
    <m/>
  </r>
  <r>
    <x v="6"/>
    <d v="2024-10-06T00:00:00"/>
    <m/>
    <n v="0.67999999999999994"/>
    <m/>
    <x v="0"/>
    <m/>
    <m/>
    <m/>
    <m/>
    <m/>
    <m/>
    <m/>
    <m/>
    <m/>
    <m/>
    <m/>
    <m/>
  </r>
  <r>
    <x v="6"/>
    <d v="2024-10-17T00:00:00"/>
    <m/>
    <n v="0.46250000000000002"/>
    <m/>
    <x v="0"/>
    <m/>
    <m/>
    <m/>
    <m/>
    <m/>
    <m/>
    <m/>
    <m/>
    <m/>
    <m/>
    <m/>
    <m/>
  </r>
  <r>
    <x v="6"/>
    <d v="2024-10-29T00:00:00"/>
    <m/>
    <n v="0.26"/>
    <m/>
    <x v="0"/>
    <m/>
    <m/>
    <m/>
    <m/>
    <m/>
    <m/>
    <m/>
    <m/>
    <m/>
    <m/>
    <m/>
    <m/>
  </r>
  <r>
    <x v="6"/>
    <d v="2024-11-13T00:00:00"/>
    <m/>
    <n v="0.11749999999999999"/>
    <m/>
    <x v="0"/>
    <m/>
    <m/>
    <m/>
    <m/>
    <m/>
    <m/>
    <m/>
    <m/>
    <m/>
    <m/>
    <m/>
    <m/>
  </r>
  <r>
    <x v="7"/>
    <d v="2024-05-31T00:00:00"/>
    <m/>
    <n v="0.27750000000000002"/>
    <m/>
    <x v="0"/>
    <m/>
    <m/>
    <m/>
    <m/>
    <m/>
    <m/>
    <m/>
    <m/>
    <m/>
    <m/>
    <m/>
    <m/>
  </r>
  <r>
    <x v="7"/>
    <d v="2024-06-17T00:00:00"/>
    <m/>
    <n v="0.34250000000000003"/>
    <m/>
    <x v="0"/>
    <m/>
    <m/>
    <m/>
    <m/>
    <m/>
    <m/>
    <m/>
    <m/>
    <m/>
    <m/>
    <m/>
    <m/>
  </r>
  <r>
    <x v="7"/>
    <d v="2024-07-01T00:00:00"/>
    <m/>
    <n v="0.49"/>
    <m/>
    <x v="0"/>
    <m/>
    <m/>
    <m/>
    <m/>
    <m/>
    <m/>
    <m/>
    <m/>
    <m/>
    <m/>
    <m/>
    <m/>
  </r>
  <r>
    <x v="7"/>
    <d v="2024-07-14T00:00:00"/>
    <m/>
    <n v="0.59000000000000008"/>
    <m/>
    <x v="0"/>
    <m/>
    <m/>
    <m/>
    <m/>
    <m/>
    <m/>
    <m/>
    <m/>
    <m/>
    <m/>
    <m/>
    <m/>
  </r>
  <r>
    <x v="7"/>
    <d v="2024-07-29T00:00:00"/>
    <m/>
    <n v="0.67500000000000004"/>
    <m/>
    <x v="0"/>
    <m/>
    <m/>
    <m/>
    <m/>
    <m/>
    <m/>
    <m/>
    <m/>
    <m/>
    <m/>
    <m/>
    <m/>
  </r>
  <r>
    <x v="7"/>
    <d v="2024-08-09T00:00:00"/>
    <m/>
    <n v="0.71249999999999991"/>
    <m/>
    <x v="0"/>
    <m/>
    <m/>
    <m/>
    <m/>
    <m/>
    <m/>
    <m/>
    <m/>
    <m/>
    <m/>
    <m/>
    <m/>
  </r>
  <r>
    <x v="7"/>
    <d v="2024-08-22T00:00:00"/>
    <m/>
    <n v="0.74"/>
    <m/>
    <x v="0"/>
    <m/>
    <m/>
    <m/>
    <m/>
    <m/>
    <m/>
    <m/>
    <m/>
    <m/>
    <m/>
    <m/>
    <m/>
  </r>
  <r>
    <x v="7"/>
    <d v="2024-09-13T00:00:00"/>
    <m/>
    <n v="0.84250000000000003"/>
    <m/>
    <x v="0"/>
    <m/>
    <m/>
    <m/>
    <m/>
    <m/>
    <m/>
    <m/>
    <m/>
    <m/>
    <m/>
    <m/>
    <m/>
  </r>
  <r>
    <x v="7"/>
    <d v="2024-09-24T00:00:00"/>
    <m/>
    <n v="0.78"/>
    <m/>
    <x v="0"/>
    <m/>
    <m/>
    <m/>
    <m/>
    <m/>
    <m/>
    <m/>
    <m/>
    <m/>
    <m/>
    <m/>
    <m/>
  </r>
  <r>
    <x v="7"/>
    <d v="2024-10-06T00:00:00"/>
    <m/>
    <n v="0.69750000000000001"/>
    <m/>
    <x v="0"/>
    <m/>
    <m/>
    <m/>
    <m/>
    <m/>
    <m/>
    <m/>
    <m/>
    <m/>
    <m/>
    <m/>
    <m/>
  </r>
  <r>
    <x v="7"/>
    <d v="2024-10-17T00:00:00"/>
    <m/>
    <n v="0.54749999999999999"/>
    <m/>
    <x v="0"/>
    <m/>
    <m/>
    <m/>
    <m/>
    <m/>
    <m/>
    <m/>
    <m/>
    <m/>
    <m/>
    <m/>
    <m/>
  </r>
  <r>
    <x v="7"/>
    <d v="2024-10-29T00:00:00"/>
    <m/>
    <n v="0.32"/>
    <m/>
    <x v="0"/>
    <m/>
    <m/>
    <m/>
    <m/>
    <m/>
    <m/>
    <m/>
    <m/>
    <m/>
    <m/>
    <m/>
    <m/>
  </r>
  <r>
    <x v="7"/>
    <d v="2024-11-13T00:00:00"/>
    <m/>
    <n v="0.125"/>
    <m/>
    <x v="0"/>
    <m/>
    <m/>
    <m/>
    <m/>
    <m/>
    <m/>
    <m/>
    <m/>
    <m/>
    <m/>
    <m/>
    <m/>
  </r>
  <r>
    <x v="8"/>
    <d v="2024-05-31T00:00:00"/>
    <m/>
    <n v="0.28249999999999997"/>
    <m/>
    <x v="0"/>
    <m/>
    <m/>
    <m/>
    <m/>
    <m/>
    <m/>
    <m/>
    <m/>
    <m/>
    <m/>
    <m/>
    <m/>
  </r>
  <r>
    <x v="8"/>
    <d v="2024-06-17T00:00:00"/>
    <m/>
    <n v="0.33"/>
    <m/>
    <x v="0"/>
    <m/>
    <m/>
    <m/>
    <m/>
    <m/>
    <m/>
    <m/>
    <m/>
    <m/>
    <m/>
    <m/>
    <m/>
  </r>
  <r>
    <x v="8"/>
    <d v="2024-07-01T00:00:00"/>
    <m/>
    <n v="0.5"/>
    <m/>
    <x v="0"/>
    <m/>
    <m/>
    <m/>
    <m/>
    <m/>
    <m/>
    <m/>
    <m/>
    <m/>
    <m/>
    <m/>
    <m/>
  </r>
  <r>
    <x v="8"/>
    <d v="2024-07-14T00:00:00"/>
    <m/>
    <n v="0.57999999999999996"/>
    <m/>
    <x v="0"/>
    <m/>
    <m/>
    <m/>
    <m/>
    <m/>
    <m/>
    <m/>
    <m/>
    <m/>
    <m/>
    <m/>
    <m/>
  </r>
  <r>
    <x v="8"/>
    <d v="2024-07-29T00:00:00"/>
    <m/>
    <n v="0.66250000000000009"/>
    <m/>
    <x v="0"/>
    <m/>
    <m/>
    <m/>
    <m/>
    <m/>
    <m/>
    <m/>
    <m/>
    <m/>
    <m/>
    <m/>
    <m/>
  </r>
  <r>
    <x v="8"/>
    <d v="2024-08-09T00:00:00"/>
    <m/>
    <n v="0.6925"/>
    <m/>
    <x v="0"/>
    <m/>
    <m/>
    <m/>
    <m/>
    <m/>
    <m/>
    <m/>
    <m/>
    <m/>
    <m/>
    <m/>
    <m/>
  </r>
  <r>
    <x v="8"/>
    <d v="2024-08-22T00:00:00"/>
    <m/>
    <n v="0.69499999999999995"/>
    <m/>
    <x v="0"/>
    <m/>
    <m/>
    <m/>
    <m/>
    <m/>
    <m/>
    <m/>
    <m/>
    <m/>
    <m/>
    <m/>
    <m/>
  </r>
  <r>
    <x v="8"/>
    <d v="2024-09-13T00:00:00"/>
    <m/>
    <n v="0.82499999999999996"/>
    <m/>
    <x v="0"/>
    <m/>
    <m/>
    <m/>
    <m/>
    <m/>
    <m/>
    <m/>
    <m/>
    <m/>
    <m/>
    <m/>
    <m/>
  </r>
  <r>
    <x v="8"/>
    <d v="2024-09-24T00:00:00"/>
    <m/>
    <n v="0.78249999999999997"/>
    <m/>
    <x v="0"/>
    <m/>
    <m/>
    <m/>
    <m/>
    <m/>
    <m/>
    <m/>
    <m/>
    <m/>
    <m/>
    <m/>
    <m/>
  </r>
  <r>
    <x v="8"/>
    <d v="2024-10-06T00:00:00"/>
    <m/>
    <n v="0.73249999999999993"/>
    <m/>
    <x v="0"/>
    <m/>
    <m/>
    <m/>
    <m/>
    <m/>
    <m/>
    <m/>
    <m/>
    <m/>
    <m/>
    <m/>
    <m/>
  </r>
  <r>
    <x v="8"/>
    <d v="2024-10-17T00:00:00"/>
    <m/>
    <n v="0.5625"/>
    <m/>
    <x v="0"/>
    <m/>
    <m/>
    <m/>
    <m/>
    <m/>
    <m/>
    <m/>
    <m/>
    <m/>
    <m/>
    <m/>
    <m/>
  </r>
  <r>
    <x v="8"/>
    <d v="2024-10-29T00:00:00"/>
    <m/>
    <n v="0.3725"/>
    <m/>
    <x v="0"/>
    <m/>
    <m/>
    <m/>
    <m/>
    <m/>
    <m/>
    <m/>
    <m/>
    <m/>
    <m/>
    <m/>
    <m/>
  </r>
  <r>
    <x v="8"/>
    <d v="2024-11-13T00:00:00"/>
    <m/>
    <n v="0.125"/>
    <m/>
    <x v="0"/>
    <m/>
    <m/>
    <m/>
    <m/>
    <m/>
    <m/>
    <m/>
    <m/>
    <m/>
    <m/>
    <m/>
    <m/>
  </r>
  <r>
    <x v="9"/>
    <d v="2024-05-31T00:00:00"/>
    <m/>
    <n v="0.17499999999999999"/>
    <m/>
    <x v="0"/>
    <m/>
    <m/>
    <m/>
    <m/>
    <m/>
    <m/>
    <m/>
    <m/>
    <m/>
    <m/>
    <m/>
    <m/>
  </r>
  <r>
    <x v="9"/>
    <d v="2024-06-17T00:00:00"/>
    <m/>
    <n v="0.185"/>
    <m/>
    <x v="0"/>
    <m/>
    <m/>
    <m/>
    <m/>
    <m/>
    <m/>
    <m/>
    <m/>
    <m/>
    <m/>
    <m/>
    <m/>
  </r>
  <r>
    <x v="9"/>
    <d v="2024-07-01T00:00:00"/>
    <m/>
    <n v="0.26750000000000002"/>
    <m/>
    <x v="0"/>
    <m/>
    <m/>
    <m/>
    <m/>
    <m/>
    <m/>
    <m/>
    <m/>
    <m/>
    <m/>
    <m/>
    <m/>
  </r>
  <r>
    <x v="9"/>
    <d v="2024-07-14T00:00:00"/>
    <m/>
    <n v="0.3775"/>
    <m/>
    <x v="0"/>
    <m/>
    <m/>
    <m/>
    <m/>
    <m/>
    <m/>
    <m/>
    <m/>
    <m/>
    <m/>
    <m/>
    <m/>
  </r>
  <r>
    <x v="9"/>
    <d v="2024-07-29T00:00:00"/>
    <m/>
    <n v="0.4975"/>
    <m/>
    <x v="0"/>
    <m/>
    <m/>
    <m/>
    <m/>
    <m/>
    <m/>
    <m/>
    <m/>
    <m/>
    <m/>
    <m/>
    <m/>
  </r>
  <r>
    <x v="9"/>
    <d v="2024-08-09T00:00:00"/>
    <m/>
    <n v="0.57250000000000001"/>
    <m/>
    <x v="0"/>
    <m/>
    <m/>
    <m/>
    <m/>
    <m/>
    <m/>
    <m/>
    <m/>
    <m/>
    <m/>
    <m/>
    <m/>
  </r>
  <r>
    <x v="9"/>
    <d v="2024-08-22T00:00:00"/>
    <m/>
    <n v="0.63500000000000001"/>
    <m/>
    <x v="0"/>
    <m/>
    <m/>
    <m/>
    <m/>
    <m/>
    <m/>
    <m/>
    <m/>
    <m/>
    <m/>
    <m/>
    <m/>
  </r>
  <r>
    <x v="9"/>
    <d v="2024-09-13T00:00:00"/>
    <m/>
    <n v="0.8075"/>
    <m/>
    <x v="0"/>
    <m/>
    <m/>
    <m/>
    <m/>
    <m/>
    <m/>
    <m/>
    <m/>
    <m/>
    <m/>
    <m/>
    <m/>
  </r>
  <r>
    <x v="9"/>
    <d v="2024-09-24T00:00:00"/>
    <m/>
    <n v="0.73"/>
    <m/>
    <x v="0"/>
    <m/>
    <m/>
    <m/>
    <m/>
    <m/>
    <m/>
    <m/>
    <m/>
    <m/>
    <m/>
    <m/>
    <m/>
  </r>
  <r>
    <x v="9"/>
    <d v="2024-10-06T00:00:00"/>
    <m/>
    <n v="0.66999999999999993"/>
    <m/>
    <x v="0"/>
    <m/>
    <m/>
    <m/>
    <m/>
    <m/>
    <m/>
    <m/>
    <m/>
    <m/>
    <m/>
    <m/>
    <m/>
  </r>
  <r>
    <x v="9"/>
    <d v="2024-10-17T00:00:00"/>
    <m/>
    <n v="0.4425"/>
    <m/>
    <x v="0"/>
    <m/>
    <m/>
    <m/>
    <m/>
    <m/>
    <m/>
    <m/>
    <m/>
    <m/>
    <m/>
    <m/>
    <m/>
  </r>
  <r>
    <x v="9"/>
    <d v="2024-10-29T00:00:00"/>
    <m/>
    <n v="0.28499999999999998"/>
    <m/>
    <x v="0"/>
    <m/>
    <m/>
    <m/>
    <m/>
    <m/>
    <m/>
    <m/>
    <m/>
    <m/>
    <m/>
    <m/>
    <m/>
  </r>
  <r>
    <x v="9"/>
    <d v="2024-11-13T00:00:00"/>
    <m/>
    <n v="0.105"/>
    <m/>
    <x v="0"/>
    <m/>
    <m/>
    <m/>
    <m/>
    <m/>
    <m/>
    <m/>
    <m/>
    <m/>
    <m/>
    <m/>
    <m/>
  </r>
  <r>
    <x v="10"/>
    <d v="2024-05-31T00:00:00"/>
    <m/>
    <n v="0.17"/>
    <m/>
    <x v="0"/>
    <m/>
    <m/>
    <m/>
    <m/>
    <m/>
    <m/>
    <m/>
    <m/>
    <m/>
    <m/>
    <m/>
    <m/>
  </r>
  <r>
    <x v="10"/>
    <d v="2024-06-17T00:00:00"/>
    <m/>
    <n v="0.17"/>
    <m/>
    <x v="0"/>
    <m/>
    <m/>
    <m/>
    <m/>
    <m/>
    <m/>
    <m/>
    <m/>
    <m/>
    <m/>
    <m/>
    <m/>
  </r>
  <r>
    <x v="10"/>
    <d v="2024-07-01T00:00:00"/>
    <m/>
    <n v="0.23250000000000001"/>
    <m/>
    <x v="0"/>
    <m/>
    <m/>
    <m/>
    <m/>
    <m/>
    <m/>
    <m/>
    <m/>
    <m/>
    <m/>
    <m/>
    <m/>
  </r>
  <r>
    <x v="10"/>
    <d v="2024-07-14T00:00:00"/>
    <m/>
    <n v="0.33750000000000002"/>
    <m/>
    <x v="0"/>
    <m/>
    <m/>
    <m/>
    <m/>
    <m/>
    <m/>
    <m/>
    <m/>
    <m/>
    <m/>
    <m/>
    <m/>
  </r>
  <r>
    <x v="10"/>
    <d v="2024-07-29T00:00:00"/>
    <m/>
    <n v="0.4975"/>
    <m/>
    <x v="0"/>
    <m/>
    <m/>
    <m/>
    <m/>
    <m/>
    <m/>
    <m/>
    <m/>
    <m/>
    <m/>
    <m/>
    <m/>
  </r>
  <r>
    <x v="10"/>
    <d v="2024-08-09T00:00:00"/>
    <m/>
    <n v="0.55499999999999994"/>
    <m/>
    <x v="0"/>
    <m/>
    <m/>
    <m/>
    <m/>
    <m/>
    <m/>
    <m/>
    <m/>
    <m/>
    <m/>
    <m/>
    <m/>
  </r>
  <r>
    <x v="10"/>
    <d v="2024-08-22T00:00:00"/>
    <m/>
    <n v="0.69750000000000001"/>
    <m/>
    <x v="0"/>
    <m/>
    <m/>
    <m/>
    <m/>
    <m/>
    <m/>
    <m/>
    <m/>
    <m/>
    <m/>
    <m/>
    <m/>
  </r>
  <r>
    <x v="10"/>
    <d v="2024-09-13T00:00:00"/>
    <m/>
    <n v="0.82250000000000001"/>
    <m/>
    <x v="0"/>
    <m/>
    <m/>
    <m/>
    <m/>
    <m/>
    <m/>
    <m/>
    <m/>
    <m/>
    <m/>
    <m/>
    <m/>
  </r>
  <r>
    <x v="10"/>
    <d v="2024-09-24T00:00:00"/>
    <m/>
    <n v="0.76749999999999996"/>
    <m/>
    <x v="0"/>
    <m/>
    <m/>
    <m/>
    <m/>
    <m/>
    <m/>
    <m/>
    <m/>
    <m/>
    <m/>
    <m/>
    <m/>
  </r>
  <r>
    <x v="10"/>
    <d v="2024-10-06T00:00:00"/>
    <m/>
    <n v="0.73250000000000004"/>
    <m/>
    <x v="0"/>
    <m/>
    <m/>
    <m/>
    <m/>
    <m/>
    <m/>
    <m/>
    <m/>
    <m/>
    <m/>
    <m/>
    <m/>
  </r>
  <r>
    <x v="10"/>
    <d v="2024-10-17T00:00:00"/>
    <m/>
    <n v="0.57250000000000001"/>
    <m/>
    <x v="0"/>
    <m/>
    <m/>
    <m/>
    <m/>
    <m/>
    <m/>
    <m/>
    <m/>
    <m/>
    <m/>
    <m/>
    <m/>
  </r>
  <r>
    <x v="10"/>
    <d v="2024-10-29T00:00:00"/>
    <m/>
    <n v="0.375"/>
    <m/>
    <x v="0"/>
    <m/>
    <m/>
    <m/>
    <m/>
    <m/>
    <m/>
    <m/>
    <m/>
    <m/>
    <m/>
    <m/>
    <m/>
  </r>
  <r>
    <x v="10"/>
    <d v="2024-11-13T00:00:00"/>
    <m/>
    <n v="0.125"/>
    <m/>
    <x v="0"/>
    <m/>
    <m/>
    <m/>
    <m/>
    <m/>
    <m/>
    <m/>
    <m/>
    <m/>
    <m/>
    <m/>
    <m/>
  </r>
  <r>
    <x v="11"/>
    <d v="2024-05-31T00:00:00"/>
    <m/>
    <n v="0.26500000000000001"/>
    <m/>
    <x v="0"/>
    <m/>
    <m/>
    <m/>
    <m/>
    <m/>
    <m/>
    <m/>
    <m/>
    <m/>
    <m/>
    <m/>
    <m/>
  </r>
  <r>
    <x v="11"/>
    <d v="2024-06-17T00:00:00"/>
    <m/>
    <n v="0.36"/>
    <m/>
    <x v="0"/>
    <m/>
    <m/>
    <m/>
    <m/>
    <m/>
    <m/>
    <m/>
    <m/>
    <m/>
    <m/>
    <m/>
    <m/>
  </r>
  <r>
    <x v="11"/>
    <d v="2024-07-01T00:00:00"/>
    <m/>
    <n v="0.51749999999999996"/>
    <m/>
    <x v="0"/>
    <m/>
    <m/>
    <m/>
    <m/>
    <m/>
    <m/>
    <m/>
    <m/>
    <m/>
    <m/>
    <m/>
    <m/>
  </r>
  <r>
    <x v="11"/>
    <d v="2024-07-14T00:00:00"/>
    <m/>
    <n v="0.57000000000000006"/>
    <m/>
    <x v="0"/>
    <m/>
    <m/>
    <m/>
    <m/>
    <m/>
    <m/>
    <m/>
    <m/>
    <m/>
    <m/>
    <m/>
    <m/>
  </r>
  <r>
    <x v="11"/>
    <d v="2024-07-29T00:00:00"/>
    <m/>
    <n v="0.65749999999999997"/>
    <m/>
    <x v="0"/>
    <m/>
    <m/>
    <m/>
    <m/>
    <m/>
    <m/>
    <m/>
    <m/>
    <m/>
    <m/>
    <m/>
    <m/>
  </r>
  <r>
    <x v="11"/>
    <d v="2024-08-09T00:00:00"/>
    <m/>
    <n v="0.67500000000000004"/>
    <m/>
    <x v="0"/>
    <m/>
    <m/>
    <m/>
    <m/>
    <m/>
    <m/>
    <m/>
    <m/>
    <m/>
    <m/>
    <m/>
    <m/>
  </r>
  <r>
    <x v="11"/>
    <d v="2024-08-22T00:00:00"/>
    <m/>
    <n v="0.64749999999999996"/>
    <m/>
    <x v="0"/>
    <m/>
    <m/>
    <m/>
    <m/>
    <m/>
    <m/>
    <m/>
    <m/>
    <m/>
    <m/>
    <m/>
    <m/>
  </r>
  <r>
    <x v="11"/>
    <d v="2024-09-13T00:00:00"/>
    <m/>
    <n v="0.83499999999999996"/>
    <m/>
    <x v="0"/>
    <m/>
    <m/>
    <m/>
    <m/>
    <m/>
    <m/>
    <m/>
    <m/>
    <m/>
    <m/>
    <m/>
    <m/>
  </r>
  <r>
    <x v="11"/>
    <d v="2024-09-24T00:00:00"/>
    <m/>
    <n v="0.77249999999999996"/>
    <m/>
    <x v="0"/>
    <m/>
    <m/>
    <m/>
    <m/>
    <m/>
    <m/>
    <m/>
    <m/>
    <m/>
    <m/>
    <m/>
    <m/>
  </r>
  <r>
    <x v="11"/>
    <d v="2024-10-06T00:00:00"/>
    <m/>
    <n v="0.6925"/>
    <m/>
    <x v="0"/>
    <m/>
    <m/>
    <m/>
    <m/>
    <m/>
    <m/>
    <m/>
    <m/>
    <m/>
    <m/>
    <m/>
    <m/>
  </r>
  <r>
    <x v="11"/>
    <d v="2024-10-17T00:00:00"/>
    <m/>
    <n v="0.52"/>
    <m/>
    <x v="0"/>
    <m/>
    <m/>
    <m/>
    <m/>
    <m/>
    <m/>
    <m/>
    <m/>
    <m/>
    <m/>
    <m/>
    <m/>
  </r>
  <r>
    <x v="11"/>
    <d v="2024-10-29T00:00:00"/>
    <m/>
    <n v="0.36749999999999999"/>
    <m/>
    <x v="0"/>
    <m/>
    <m/>
    <m/>
    <m/>
    <m/>
    <m/>
    <m/>
    <m/>
    <m/>
    <m/>
    <m/>
    <m/>
  </r>
  <r>
    <x v="11"/>
    <d v="2024-11-13T00:00:00"/>
    <m/>
    <n v="0.105"/>
    <m/>
    <x v="0"/>
    <m/>
    <m/>
    <m/>
    <m/>
    <m/>
    <m/>
    <m/>
    <m/>
    <m/>
    <m/>
    <m/>
    <m/>
  </r>
  <r>
    <x v="12"/>
    <d v="2024-05-31T00:00:00"/>
    <m/>
    <n v="0.26750000000000002"/>
    <m/>
    <x v="0"/>
    <m/>
    <m/>
    <m/>
    <m/>
    <m/>
    <m/>
    <m/>
    <m/>
    <m/>
    <m/>
    <m/>
    <m/>
  </r>
  <r>
    <x v="12"/>
    <d v="2024-06-17T00:00:00"/>
    <m/>
    <n v="0.34"/>
    <m/>
    <x v="0"/>
    <m/>
    <m/>
    <m/>
    <m/>
    <m/>
    <m/>
    <m/>
    <m/>
    <m/>
    <m/>
    <m/>
    <m/>
  </r>
  <r>
    <x v="12"/>
    <d v="2024-07-01T00:00:00"/>
    <m/>
    <n v="0.47499999999999998"/>
    <m/>
    <x v="0"/>
    <m/>
    <m/>
    <m/>
    <m/>
    <m/>
    <m/>
    <m/>
    <m/>
    <m/>
    <m/>
    <m/>
    <m/>
  </r>
  <r>
    <x v="12"/>
    <d v="2024-07-14T00:00:00"/>
    <m/>
    <n v="0.54749999999999999"/>
    <m/>
    <x v="0"/>
    <m/>
    <m/>
    <m/>
    <m/>
    <m/>
    <m/>
    <m/>
    <m/>
    <m/>
    <m/>
    <m/>
    <m/>
  </r>
  <r>
    <x v="12"/>
    <d v="2024-07-29T00:00:00"/>
    <m/>
    <n v="0.63"/>
    <m/>
    <x v="0"/>
    <m/>
    <m/>
    <m/>
    <m/>
    <m/>
    <m/>
    <m/>
    <m/>
    <m/>
    <m/>
    <m/>
    <m/>
  </r>
  <r>
    <x v="12"/>
    <d v="2024-08-09T00:00:00"/>
    <m/>
    <n v="0.66"/>
    <m/>
    <x v="0"/>
    <m/>
    <m/>
    <m/>
    <m/>
    <m/>
    <m/>
    <m/>
    <m/>
    <m/>
    <m/>
    <m/>
    <m/>
  </r>
  <r>
    <x v="12"/>
    <d v="2024-08-22T00:00:00"/>
    <m/>
    <n v="0.74"/>
    <m/>
    <x v="0"/>
    <m/>
    <m/>
    <m/>
    <m/>
    <m/>
    <m/>
    <m/>
    <m/>
    <m/>
    <m/>
    <m/>
    <m/>
  </r>
  <r>
    <x v="12"/>
    <d v="2024-09-13T00:00:00"/>
    <m/>
    <n v="0.84"/>
    <m/>
    <x v="0"/>
    <m/>
    <m/>
    <m/>
    <m/>
    <m/>
    <m/>
    <m/>
    <m/>
    <m/>
    <m/>
    <m/>
    <m/>
  </r>
  <r>
    <x v="12"/>
    <d v="2024-09-24T00:00:00"/>
    <m/>
    <n v="0.76750000000000007"/>
    <m/>
    <x v="0"/>
    <m/>
    <m/>
    <m/>
    <m/>
    <m/>
    <m/>
    <m/>
    <m/>
    <m/>
    <m/>
    <m/>
    <m/>
  </r>
  <r>
    <x v="12"/>
    <d v="2024-10-06T00:00:00"/>
    <m/>
    <n v="0.71499999999999997"/>
    <m/>
    <x v="0"/>
    <m/>
    <m/>
    <m/>
    <m/>
    <m/>
    <m/>
    <m/>
    <m/>
    <m/>
    <m/>
    <m/>
    <m/>
  </r>
  <r>
    <x v="12"/>
    <d v="2024-10-17T00:00:00"/>
    <m/>
    <n v="0.53500000000000003"/>
    <m/>
    <x v="0"/>
    <m/>
    <m/>
    <m/>
    <m/>
    <m/>
    <m/>
    <m/>
    <m/>
    <m/>
    <m/>
    <m/>
    <m/>
  </r>
  <r>
    <x v="12"/>
    <d v="2024-10-29T00:00:00"/>
    <m/>
    <n v="0.28749999999999998"/>
    <m/>
    <x v="0"/>
    <m/>
    <m/>
    <m/>
    <m/>
    <m/>
    <m/>
    <m/>
    <m/>
    <m/>
    <m/>
    <m/>
    <m/>
  </r>
  <r>
    <x v="12"/>
    <d v="2024-11-13T00:00:00"/>
    <m/>
    <n v="0.115"/>
    <m/>
    <x v="0"/>
    <m/>
    <m/>
    <m/>
    <m/>
    <m/>
    <m/>
    <m/>
    <m/>
    <m/>
    <m/>
    <m/>
    <m/>
  </r>
  <r>
    <x v="13"/>
    <d v="2024-05-31T00:00:00"/>
    <m/>
    <n v="0.17"/>
    <m/>
    <x v="0"/>
    <m/>
    <m/>
    <m/>
    <m/>
    <m/>
    <m/>
    <m/>
    <m/>
    <m/>
    <m/>
    <m/>
    <m/>
  </r>
  <r>
    <x v="13"/>
    <d v="2024-06-17T00:00:00"/>
    <m/>
    <n v="0.17249999999999999"/>
    <m/>
    <x v="0"/>
    <m/>
    <m/>
    <m/>
    <m/>
    <m/>
    <m/>
    <m/>
    <m/>
    <m/>
    <m/>
    <m/>
    <m/>
  </r>
  <r>
    <x v="13"/>
    <d v="2024-07-01T00:00:00"/>
    <m/>
    <n v="0.26750000000000002"/>
    <m/>
    <x v="0"/>
    <m/>
    <m/>
    <m/>
    <m/>
    <m/>
    <m/>
    <m/>
    <m/>
    <m/>
    <m/>
    <m/>
    <m/>
  </r>
  <r>
    <x v="13"/>
    <d v="2024-07-14T00:00:00"/>
    <m/>
    <n v="0.36249999999999999"/>
    <m/>
    <x v="0"/>
    <m/>
    <m/>
    <m/>
    <m/>
    <m/>
    <m/>
    <m/>
    <m/>
    <m/>
    <m/>
    <m/>
    <m/>
  </r>
  <r>
    <x v="13"/>
    <d v="2024-07-29T00:00:00"/>
    <m/>
    <n v="0.53749999999999998"/>
    <m/>
    <x v="0"/>
    <m/>
    <m/>
    <m/>
    <m/>
    <m/>
    <m/>
    <m/>
    <m/>
    <m/>
    <m/>
    <m/>
    <m/>
  </r>
  <r>
    <x v="13"/>
    <d v="2024-08-09T00:00:00"/>
    <m/>
    <n v="0.57000000000000006"/>
    <m/>
    <x v="0"/>
    <m/>
    <m/>
    <m/>
    <m/>
    <m/>
    <m/>
    <m/>
    <m/>
    <m/>
    <m/>
    <m/>
    <m/>
  </r>
  <r>
    <x v="13"/>
    <d v="2024-08-22T00:00:00"/>
    <m/>
    <n v="0.70499999999999996"/>
    <m/>
    <x v="0"/>
    <m/>
    <m/>
    <m/>
    <m/>
    <m/>
    <m/>
    <m/>
    <m/>
    <m/>
    <m/>
    <m/>
    <m/>
  </r>
  <r>
    <x v="13"/>
    <d v="2024-09-13T00:00:00"/>
    <m/>
    <n v="0.82000000000000006"/>
    <m/>
    <x v="0"/>
    <m/>
    <m/>
    <m/>
    <m/>
    <m/>
    <m/>
    <m/>
    <m/>
    <m/>
    <m/>
    <m/>
    <m/>
  </r>
  <r>
    <x v="13"/>
    <d v="2024-09-24T00:00:00"/>
    <m/>
    <n v="0.73750000000000004"/>
    <m/>
    <x v="0"/>
    <m/>
    <m/>
    <m/>
    <m/>
    <m/>
    <m/>
    <m/>
    <m/>
    <m/>
    <m/>
    <m/>
    <m/>
  </r>
  <r>
    <x v="13"/>
    <d v="2024-10-06T00:00:00"/>
    <m/>
    <n v="0.67"/>
    <m/>
    <x v="0"/>
    <m/>
    <m/>
    <m/>
    <m/>
    <m/>
    <m/>
    <m/>
    <m/>
    <m/>
    <m/>
    <m/>
    <m/>
  </r>
  <r>
    <x v="13"/>
    <d v="2024-10-17T00:00:00"/>
    <m/>
    <n v="0.48249999999999998"/>
    <m/>
    <x v="0"/>
    <m/>
    <m/>
    <m/>
    <m/>
    <m/>
    <m/>
    <m/>
    <m/>
    <m/>
    <m/>
    <m/>
    <m/>
  </r>
  <r>
    <x v="13"/>
    <d v="2024-10-29T00:00:00"/>
    <m/>
    <n v="0.30249999999999999"/>
    <m/>
    <x v="0"/>
    <m/>
    <m/>
    <m/>
    <m/>
    <m/>
    <m/>
    <m/>
    <m/>
    <m/>
    <m/>
    <m/>
    <m/>
  </r>
  <r>
    <x v="13"/>
    <d v="2024-11-13T00:00:00"/>
    <m/>
    <n v="0.1225"/>
    <m/>
    <x v="0"/>
    <m/>
    <m/>
    <m/>
    <m/>
    <m/>
    <m/>
    <m/>
    <m/>
    <m/>
    <m/>
    <m/>
    <m/>
  </r>
  <r>
    <x v="14"/>
    <d v="2024-05-31T00:00:00"/>
    <m/>
    <n v="0.27250000000000002"/>
    <m/>
    <x v="0"/>
    <m/>
    <m/>
    <m/>
    <m/>
    <m/>
    <m/>
    <m/>
    <m/>
    <m/>
    <m/>
    <m/>
    <m/>
  </r>
  <r>
    <x v="14"/>
    <d v="2024-06-17T00:00:00"/>
    <m/>
    <n v="0.3175"/>
    <m/>
    <x v="0"/>
    <m/>
    <m/>
    <m/>
    <m/>
    <m/>
    <m/>
    <m/>
    <m/>
    <m/>
    <m/>
    <m/>
    <m/>
  </r>
  <r>
    <x v="14"/>
    <d v="2024-07-01T00:00:00"/>
    <m/>
    <n v="0.46"/>
    <m/>
    <x v="0"/>
    <m/>
    <m/>
    <m/>
    <m/>
    <m/>
    <m/>
    <m/>
    <m/>
    <m/>
    <m/>
    <m/>
    <m/>
  </r>
  <r>
    <x v="14"/>
    <d v="2024-07-14T00:00:00"/>
    <m/>
    <n v="0.5675"/>
    <m/>
    <x v="0"/>
    <m/>
    <m/>
    <m/>
    <m/>
    <m/>
    <m/>
    <m/>
    <m/>
    <m/>
    <m/>
    <m/>
    <m/>
  </r>
  <r>
    <x v="14"/>
    <d v="2024-07-29T00:00:00"/>
    <m/>
    <n v="0.66749999999999998"/>
    <m/>
    <x v="0"/>
    <m/>
    <m/>
    <m/>
    <m/>
    <m/>
    <m/>
    <m/>
    <m/>
    <m/>
    <m/>
    <m/>
    <m/>
  </r>
  <r>
    <x v="14"/>
    <d v="2024-08-09T00:00:00"/>
    <m/>
    <n v="0.6925"/>
    <m/>
    <x v="0"/>
    <m/>
    <m/>
    <m/>
    <m/>
    <m/>
    <m/>
    <m/>
    <m/>
    <m/>
    <m/>
    <m/>
    <m/>
  </r>
  <r>
    <x v="14"/>
    <d v="2024-08-22T00:00:00"/>
    <m/>
    <n v="0.75250000000000006"/>
    <m/>
    <x v="0"/>
    <m/>
    <m/>
    <m/>
    <m/>
    <m/>
    <m/>
    <m/>
    <m/>
    <m/>
    <m/>
    <m/>
    <m/>
  </r>
  <r>
    <x v="14"/>
    <d v="2024-09-13T00:00:00"/>
    <m/>
    <n v="0.85499999999999998"/>
    <m/>
    <x v="0"/>
    <m/>
    <m/>
    <m/>
    <m/>
    <m/>
    <m/>
    <m/>
    <m/>
    <m/>
    <m/>
    <m/>
    <m/>
  </r>
  <r>
    <x v="14"/>
    <d v="2024-09-24T00:00:00"/>
    <m/>
    <n v="0.81"/>
    <m/>
    <x v="0"/>
    <m/>
    <m/>
    <m/>
    <m/>
    <m/>
    <m/>
    <m/>
    <m/>
    <m/>
    <m/>
    <m/>
    <m/>
  </r>
  <r>
    <x v="14"/>
    <d v="2024-10-06T00:00:00"/>
    <m/>
    <n v="0.72499999999999998"/>
    <m/>
    <x v="0"/>
    <m/>
    <m/>
    <m/>
    <m/>
    <m/>
    <m/>
    <m/>
    <m/>
    <m/>
    <m/>
    <m/>
    <m/>
  </r>
  <r>
    <x v="14"/>
    <d v="2024-10-17T00:00:00"/>
    <m/>
    <n v="0.61250000000000004"/>
    <m/>
    <x v="0"/>
    <m/>
    <m/>
    <m/>
    <m/>
    <m/>
    <m/>
    <m/>
    <m/>
    <m/>
    <m/>
    <m/>
    <m/>
  </r>
  <r>
    <x v="14"/>
    <d v="2024-10-29T00:00:00"/>
    <m/>
    <n v="0.42"/>
    <m/>
    <x v="0"/>
    <m/>
    <m/>
    <m/>
    <m/>
    <m/>
    <m/>
    <m/>
    <m/>
    <m/>
    <m/>
    <m/>
    <m/>
  </r>
  <r>
    <x v="14"/>
    <d v="2024-11-13T00:00:00"/>
    <m/>
    <n v="0.115"/>
    <m/>
    <x v="0"/>
    <m/>
    <m/>
    <m/>
    <m/>
    <m/>
    <m/>
    <m/>
    <m/>
    <m/>
    <m/>
    <m/>
    <m/>
  </r>
  <r>
    <x v="15"/>
    <d v="2024-05-31T00:00:00"/>
    <m/>
    <n v="0.17749999999999999"/>
    <m/>
    <x v="0"/>
    <m/>
    <m/>
    <m/>
    <m/>
    <m/>
    <m/>
    <m/>
    <m/>
    <m/>
    <m/>
    <m/>
    <m/>
  </r>
  <r>
    <x v="15"/>
    <d v="2024-06-17T00:00:00"/>
    <m/>
    <n v="0.17499999999999999"/>
    <m/>
    <x v="0"/>
    <m/>
    <m/>
    <m/>
    <m/>
    <m/>
    <m/>
    <m/>
    <m/>
    <m/>
    <m/>
    <m/>
    <m/>
  </r>
  <r>
    <x v="15"/>
    <d v="2024-07-01T00:00:00"/>
    <m/>
    <n v="0.2525"/>
    <m/>
    <x v="0"/>
    <m/>
    <m/>
    <m/>
    <m/>
    <m/>
    <m/>
    <m/>
    <m/>
    <m/>
    <m/>
    <m/>
    <m/>
  </r>
  <r>
    <x v="15"/>
    <d v="2024-07-14T00:00:00"/>
    <m/>
    <n v="0.35499999999999998"/>
    <m/>
    <x v="0"/>
    <m/>
    <m/>
    <m/>
    <m/>
    <m/>
    <m/>
    <m/>
    <m/>
    <m/>
    <m/>
    <m/>
    <m/>
  </r>
  <r>
    <x v="15"/>
    <d v="2024-07-29T00:00:00"/>
    <m/>
    <n v="0.5"/>
    <m/>
    <x v="0"/>
    <m/>
    <m/>
    <m/>
    <m/>
    <m/>
    <m/>
    <m/>
    <m/>
    <m/>
    <m/>
    <m/>
    <m/>
  </r>
  <r>
    <x v="15"/>
    <d v="2024-08-09T00:00:00"/>
    <m/>
    <n v="0.56000000000000005"/>
    <m/>
    <x v="0"/>
    <m/>
    <m/>
    <m/>
    <m/>
    <m/>
    <m/>
    <m/>
    <m/>
    <m/>
    <m/>
    <m/>
    <m/>
  </r>
  <r>
    <x v="15"/>
    <d v="2024-08-22T00:00:00"/>
    <m/>
    <n v="0.62749999999999995"/>
    <m/>
    <x v="0"/>
    <m/>
    <m/>
    <m/>
    <m/>
    <m/>
    <m/>
    <m/>
    <m/>
    <m/>
    <m/>
    <m/>
    <m/>
  </r>
  <r>
    <x v="15"/>
    <d v="2024-09-13T00:00:00"/>
    <m/>
    <n v="0.82000000000000006"/>
    <m/>
    <x v="0"/>
    <m/>
    <m/>
    <m/>
    <m/>
    <m/>
    <m/>
    <m/>
    <m/>
    <m/>
    <m/>
    <m/>
    <m/>
  </r>
  <r>
    <x v="15"/>
    <d v="2024-09-24T00:00:00"/>
    <m/>
    <n v="0.73"/>
    <m/>
    <x v="0"/>
    <m/>
    <m/>
    <m/>
    <m/>
    <m/>
    <m/>
    <m/>
    <m/>
    <m/>
    <m/>
    <m/>
    <m/>
  </r>
  <r>
    <x v="15"/>
    <d v="2024-10-06T00:00:00"/>
    <m/>
    <n v="0.69500000000000006"/>
    <m/>
    <x v="0"/>
    <m/>
    <m/>
    <m/>
    <m/>
    <m/>
    <m/>
    <m/>
    <m/>
    <m/>
    <m/>
    <m/>
    <m/>
  </r>
  <r>
    <x v="15"/>
    <d v="2024-10-17T00:00:00"/>
    <m/>
    <n v="0.54249999999999998"/>
    <m/>
    <x v="0"/>
    <m/>
    <m/>
    <m/>
    <m/>
    <m/>
    <m/>
    <m/>
    <m/>
    <m/>
    <m/>
    <m/>
    <m/>
  </r>
  <r>
    <x v="15"/>
    <d v="2024-10-29T00:00:00"/>
    <m/>
    <n v="0.38"/>
    <m/>
    <x v="0"/>
    <m/>
    <m/>
    <m/>
    <m/>
    <m/>
    <m/>
    <m/>
    <m/>
    <m/>
    <m/>
    <m/>
    <m/>
  </r>
  <r>
    <x v="15"/>
    <d v="2024-11-13T00:00:00"/>
    <m/>
    <n v="0.115"/>
    <m/>
    <x v="0"/>
    <m/>
    <m/>
    <m/>
    <m/>
    <m/>
    <m/>
    <m/>
    <m/>
    <m/>
    <m/>
    <m/>
    <m/>
  </r>
  <r>
    <x v="0"/>
    <d v="2024-06-24T00:00:00"/>
    <m/>
    <m/>
    <n v="3.0166666666666671"/>
    <x v="0"/>
    <m/>
    <m/>
    <m/>
    <m/>
    <m/>
    <m/>
    <m/>
    <m/>
    <m/>
    <m/>
    <m/>
    <m/>
  </r>
  <r>
    <x v="0"/>
    <d v="2024-07-04T00:00:00"/>
    <m/>
    <m/>
    <n v="3.8416666666666668"/>
    <x v="0"/>
    <m/>
    <m/>
    <m/>
    <m/>
    <m/>
    <m/>
    <m/>
    <m/>
    <m/>
    <m/>
    <m/>
    <m/>
  </r>
  <r>
    <x v="0"/>
    <d v="2024-07-15T00:00:00"/>
    <m/>
    <m/>
    <n v="4.8666666666666671"/>
    <x v="0"/>
    <m/>
    <m/>
    <m/>
    <m/>
    <m/>
    <m/>
    <m/>
    <m/>
    <m/>
    <m/>
    <m/>
    <m/>
  </r>
  <r>
    <x v="0"/>
    <d v="2024-07-26T00:00:00"/>
    <m/>
    <m/>
    <n v="5.9583333333333339"/>
    <x v="0"/>
    <m/>
    <m/>
    <m/>
    <m/>
    <m/>
    <m/>
    <m/>
    <m/>
    <m/>
    <m/>
    <m/>
    <m/>
  </r>
  <r>
    <x v="0"/>
    <d v="2024-08-09T00:00:00"/>
    <m/>
    <m/>
    <n v="6.9833333333333334"/>
    <x v="0"/>
    <m/>
    <m/>
    <m/>
    <m/>
    <m/>
    <m/>
    <m/>
    <m/>
    <m/>
    <m/>
    <m/>
    <m/>
  </r>
  <r>
    <x v="0"/>
    <d v="2024-08-19T00:00:00"/>
    <m/>
    <m/>
    <n v="8.0749999999999993"/>
    <x v="0"/>
    <m/>
    <m/>
    <m/>
    <m/>
    <m/>
    <m/>
    <m/>
    <m/>
    <m/>
    <m/>
    <m/>
    <m/>
  </r>
  <r>
    <x v="0"/>
    <d v="2024-08-31T00:00:00"/>
    <m/>
    <m/>
    <n v="9.5"/>
    <x v="0"/>
    <m/>
    <m/>
    <m/>
    <m/>
    <m/>
    <m/>
    <m/>
    <m/>
    <m/>
    <m/>
    <m/>
    <m/>
  </r>
  <r>
    <x v="0"/>
    <d v="2024-09-14T00:00:00"/>
    <m/>
    <m/>
    <n v="10.41666666666667"/>
    <x v="0"/>
    <m/>
    <m/>
    <m/>
    <m/>
    <m/>
    <m/>
    <m/>
    <m/>
    <m/>
    <m/>
    <m/>
    <m/>
  </r>
  <r>
    <x v="1"/>
    <d v="2024-05-24T00:00:00"/>
    <m/>
    <m/>
    <n v="4.1416666666666666"/>
    <x v="0"/>
    <m/>
    <m/>
    <m/>
    <m/>
    <m/>
    <m/>
    <m/>
    <m/>
    <m/>
    <m/>
    <m/>
    <m/>
  </r>
  <r>
    <x v="1"/>
    <d v="2024-06-03T00:00:00"/>
    <m/>
    <m/>
    <n v="5.0666666666666664"/>
    <x v="0"/>
    <m/>
    <m/>
    <m/>
    <m/>
    <m/>
    <m/>
    <m/>
    <m/>
    <m/>
    <m/>
    <m/>
    <m/>
  </r>
  <r>
    <x v="1"/>
    <d v="2024-06-14T00:00:00"/>
    <m/>
    <m/>
    <n v="6.1916666666666664"/>
    <x v="0"/>
    <m/>
    <m/>
    <m/>
    <m/>
    <m/>
    <m/>
    <m/>
    <m/>
    <m/>
    <m/>
    <m/>
    <m/>
  </r>
  <r>
    <x v="1"/>
    <d v="2024-06-25T00:00:00"/>
    <m/>
    <m/>
    <n v="6.8416666666666668"/>
    <x v="0"/>
    <m/>
    <m/>
    <m/>
    <m/>
    <m/>
    <m/>
    <m/>
    <m/>
    <m/>
    <m/>
    <m/>
    <m/>
  </r>
  <r>
    <x v="1"/>
    <d v="2024-07-10T00:00:00"/>
    <m/>
    <m/>
    <n v="7.75"/>
    <x v="0"/>
    <m/>
    <m/>
    <m/>
    <m/>
    <m/>
    <m/>
    <m/>
    <m/>
    <m/>
    <m/>
    <m/>
    <m/>
  </r>
  <r>
    <x v="1"/>
    <d v="2024-07-23T00:00:00"/>
    <m/>
    <m/>
    <n v="8.7083333333333339"/>
    <x v="0"/>
    <m/>
    <m/>
    <m/>
    <m/>
    <m/>
    <m/>
    <m/>
    <m/>
    <m/>
    <m/>
    <m/>
    <m/>
  </r>
  <r>
    <x v="1"/>
    <d v="2024-08-08T00:00:00"/>
    <m/>
    <m/>
    <n v="10.050000000000001"/>
    <x v="0"/>
    <m/>
    <m/>
    <m/>
    <m/>
    <m/>
    <m/>
    <m/>
    <m/>
    <m/>
    <m/>
    <m/>
    <m/>
  </r>
  <r>
    <x v="1"/>
    <d v="2024-08-18T00:00:00"/>
    <m/>
    <m/>
    <n v="11.06666666666667"/>
    <x v="0"/>
    <m/>
    <m/>
    <m/>
    <m/>
    <m/>
    <m/>
    <m/>
    <m/>
    <m/>
    <m/>
    <m/>
    <m/>
  </r>
  <r>
    <x v="1"/>
    <d v="2024-08-28T00:00:00"/>
    <m/>
    <m/>
    <n v="12.09166666666667"/>
    <x v="0"/>
    <m/>
    <m/>
    <m/>
    <m/>
    <m/>
    <m/>
    <m/>
    <m/>
    <m/>
    <m/>
    <m/>
    <m/>
  </r>
  <r>
    <x v="1"/>
    <d v="2024-09-14T00:00:00"/>
    <m/>
    <m/>
    <n v="12.83333333333333"/>
    <x v="0"/>
    <m/>
    <m/>
    <m/>
    <m/>
    <m/>
    <m/>
    <m/>
    <m/>
    <m/>
    <m/>
    <m/>
    <m/>
  </r>
  <r>
    <x v="2"/>
    <d v="2024-06-24T00:00:00"/>
    <m/>
    <m/>
    <n v="3.15"/>
    <x v="0"/>
    <m/>
    <m/>
    <m/>
    <m/>
    <m/>
    <m/>
    <m/>
    <m/>
    <m/>
    <m/>
    <m/>
    <m/>
  </r>
  <r>
    <x v="2"/>
    <d v="2024-07-04T00:00:00"/>
    <m/>
    <m/>
    <n v="4.0999999999999996"/>
    <x v="0"/>
    <m/>
    <m/>
    <m/>
    <m/>
    <m/>
    <m/>
    <m/>
    <m/>
    <m/>
    <m/>
    <m/>
    <m/>
  </r>
  <r>
    <x v="2"/>
    <d v="2024-07-15T00:00:00"/>
    <m/>
    <m/>
    <n v="5.1083333333333334"/>
    <x v="0"/>
    <m/>
    <m/>
    <m/>
    <m/>
    <m/>
    <m/>
    <m/>
    <m/>
    <m/>
    <m/>
    <m/>
    <m/>
  </r>
  <r>
    <x v="2"/>
    <d v="2024-07-26T00:00:00"/>
    <m/>
    <m/>
    <n v="6.1416666666666666"/>
    <x v="0"/>
    <m/>
    <m/>
    <m/>
    <m/>
    <m/>
    <m/>
    <m/>
    <m/>
    <m/>
    <m/>
    <m/>
    <m/>
  </r>
  <r>
    <x v="2"/>
    <d v="2024-08-09T00:00:00"/>
    <m/>
    <m/>
    <n v="7.4249999999999998"/>
    <x v="0"/>
    <m/>
    <m/>
    <m/>
    <m/>
    <m/>
    <m/>
    <m/>
    <m/>
    <m/>
    <m/>
    <m/>
    <m/>
  </r>
  <r>
    <x v="2"/>
    <d v="2024-08-19T00:00:00"/>
    <m/>
    <m/>
    <n v="8.4416666666666664"/>
    <x v="0"/>
    <m/>
    <m/>
    <m/>
    <m/>
    <m/>
    <m/>
    <m/>
    <m/>
    <m/>
    <m/>
    <m/>
    <m/>
  </r>
  <r>
    <x v="2"/>
    <d v="2024-08-31T00:00:00"/>
    <m/>
    <m/>
    <n v="9.8833333333333329"/>
    <x v="0"/>
    <m/>
    <m/>
    <m/>
    <m/>
    <m/>
    <m/>
    <m/>
    <m/>
    <m/>
    <m/>
    <m/>
    <m/>
  </r>
  <r>
    <x v="2"/>
    <d v="2024-09-14T00:00:00"/>
    <m/>
    <m/>
    <n v="10.5"/>
    <x v="0"/>
    <m/>
    <m/>
    <m/>
    <m/>
    <m/>
    <m/>
    <m/>
    <m/>
    <m/>
    <m/>
    <m/>
    <m/>
  </r>
  <r>
    <x v="3"/>
    <d v="2024-05-24T00:00:00"/>
    <m/>
    <m/>
    <n v="4.1666666666666661"/>
    <x v="0"/>
    <m/>
    <m/>
    <m/>
    <m/>
    <m/>
    <m/>
    <m/>
    <m/>
    <m/>
    <m/>
    <m/>
    <m/>
  </r>
  <r>
    <x v="3"/>
    <d v="2024-06-03T00:00:00"/>
    <m/>
    <m/>
    <n v="5.1583333333333341"/>
    <x v="0"/>
    <m/>
    <m/>
    <m/>
    <m/>
    <m/>
    <m/>
    <m/>
    <m/>
    <m/>
    <m/>
    <m/>
    <m/>
  </r>
  <r>
    <x v="3"/>
    <d v="2024-06-14T00:00:00"/>
    <m/>
    <m/>
    <n v="6.3416666666666668"/>
    <x v="0"/>
    <m/>
    <m/>
    <m/>
    <m/>
    <m/>
    <m/>
    <m/>
    <m/>
    <m/>
    <m/>
    <m/>
    <m/>
  </r>
  <r>
    <x v="3"/>
    <d v="2024-06-25T00:00:00"/>
    <m/>
    <m/>
    <n v="6.9666666666666668"/>
    <x v="0"/>
    <m/>
    <m/>
    <m/>
    <m/>
    <m/>
    <m/>
    <m/>
    <m/>
    <m/>
    <m/>
    <m/>
    <m/>
  </r>
  <r>
    <x v="3"/>
    <d v="2024-07-10T00:00:00"/>
    <m/>
    <m/>
    <n v="7.9333333333333336"/>
    <x v="0"/>
    <m/>
    <m/>
    <m/>
    <m/>
    <m/>
    <m/>
    <m/>
    <m/>
    <m/>
    <m/>
    <m/>
    <m/>
  </r>
  <r>
    <x v="3"/>
    <d v="2024-07-23T00:00:00"/>
    <m/>
    <m/>
    <n v="8.6999999999999993"/>
    <x v="0"/>
    <m/>
    <m/>
    <m/>
    <m/>
    <m/>
    <m/>
    <m/>
    <m/>
    <m/>
    <m/>
    <m/>
    <m/>
  </r>
  <r>
    <x v="3"/>
    <d v="2024-08-08T00:00:00"/>
    <m/>
    <m/>
    <n v="9.8500000000000014"/>
    <x v="0"/>
    <m/>
    <m/>
    <m/>
    <m/>
    <m/>
    <m/>
    <m/>
    <m/>
    <m/>
    <m/>
    <m/>
    <m/>
  </r>
  <r>
    <x v="3"/>
    <d v="2024-08-18T00:00:00"/>
    <m/>
    <m/>
    <n v="10.68333333333333"/>
    <x v="0"/>
    <m/>
    <m/>
    <m/>
    <m/>
    <m/>
    <m/>
    <m/>
    <m/>
    <m/>
    <m/>
    <m/>
    <m/>
  </r>
  <r>
    <x v="3"/>
    <d v="2024-08-28T00:00:00"/>
    <m/>
    <m/>
    <n v="11.824999999999999"/>
    <x v="0"/>
    <m/>
    <m/>
    <m/>
    <m/>
    <m/>
    <m/>
    <m/>
    <m/>
    <m/>
    <m/>
    <m/>
    <m/>
  </r>
  <r>
    <x v="3"/>
    <d v="2024-09-14T00:00:00"/>
    <m/>
    <m/>
    <n v="13.06666666666667"/>
    <x v="0"/>
    <m/>
    <m/>
    <m/>
    <m/>
    <m/>
    <m/>
    <m/>
    <m/>
    <m/>
    <m/>
    <m/>
    <m/>
  </r>
  <r>
    <x v="3"/>
    <d v="2024-09-24T00:00:00"/>
    <m/>
    <m/>
    <n v="13.25"/>
    <x v="0"/>
    <m/>
    <m/>
    <m/>
    <m/>
    <m/>
    <m/>
    <m/>
    <m/>
    <m/>
    <m/>
    <m/>
    <m/>
  </r>
  <r>
    <x v="4"/>
    <d v="2024-06-24T00:00:00"/>
    <m/>
    <m/>
    <n v="3.05"/>
    <x v="0"/>
    <m/>
    <m/>
    <m/>
    <m/>
    <m/>
    <m/>
    <m/>
    <m/>
    <m/>
    <m/>
    <m/>
    <m/>
  </r>
  <r>
    <x v="4"/>
    <d v="2024-07-04T00:00:00"/>
    <m/>
    <m/>
    <n v="4.05"/>
    <x v="0"/>
    <m/>
    <m/>
    <m/>
    <m/>
    <m/>
    <m/>
    <m/>
    <m/>
    <m/>
    <m/>
    <m/>
    <m/>
  </r>
  <r>
    <x v="4"/>
    <d v="2024-07-15T00:00:00"/>
    <m/>
    <m/>
    <n v="5.041666666666667"/>
    <x v="0"/>
    <m/>
    <m/>
    <m/>
    <m/>
    <m/>
    <m/>
    <m/>
    <m/>
    <m/>
    <m/>
    <m/>
    <m/>
  </r>
  <r>
    <x v="4"/>
    <d v="2024-07-26T00:00:00"/>
    <m/>
    <m/>
    <n v="6.0666666666666664"/>
    <x v="0"/>
    <m/>
    <m/>
    <m/>
    <m/>
    <m/>
    <m/>
    <m/>
    <m/>
    <m/>
    <m/>
    <m/>
    <m/>
  </r>
  <r>
    <x v="4"/>
    <d v="2024-08-09T00:00:00"/>
    <m/>
    <m/>
    <n v="7.0250000000000004"/>
    <x v="0"/>
    <m/>
    <m/>
    <m/>
    <m/>
    <m/>
    <m/>
    <m/>
    <m/>
    <m/>
    <m/>
    <m/>
    <m/>
  </r>
  <r>
    <x v="4"/>
    <d v="2024-08-19T00:00:00"/>
    <m/>
    <m/>
    <n v="8.1833333333333336"/>
    <x v="0"/>
    <m/>
    <m/>
    <m/>
    <m/>
    <m/>
    <m/>
    <m/>
    <m/>
    <m/>
    <m/>
    <m/>
    <m/>
  </r>
  <r>
    <x v="4"/>
    <d v="2024-08-31T00:00:00"/>
    <m/>
    <m/>
    <n v="9.3666666666666671"/>
    <x v="0"/>
    <m/>
    <m/>
    <m/>
    <m/>
    <m/>
    <m/>
    <m/>
    <m/>
    <m/>
    <m/>
    <m/>
    <m/>
  </r>
  <r>
    <x v="4"/>
    <d v="2024-09-14T00:00:00"/>
    <m/>
    <m/>
    <n v="9.8333333333333321"/>
    <x v="0"/>
    <m/>
    <m/>
    <m/>
    <m/>
    <m/>
    <m/>
    <m/>
    <m/>
    <m/>
    <m/>
    <m/>
    <m/>
  </r>
  <r>
    <x v="5"/>
    <d v="2024-06-24T00:00:00"/>
    <m/>
    <m/>
    <n v="3.15"/>
    <x v="0"/>
    <m/>
    <m/>
    <m/>
    <m/>
    <m/>
    <m/>
    <m/>
    <m/>
    <m/>
    <m/>
    <m/>
    <m/>
  </r>
  <r>
    <x v="5"/>
    <d v="2024-07-04T00:00:00"/>
    <m/>
    <m/>
    <n v="4.1416666666666666"/>
    <x v="0"/>
    <m/>
    <m/>
    <m/>
    <m/>
    <m/>
    <m/>
    <m/>
    <m/>
    <m/>
    <m/>
    <m/>
    <m/>
  </r>
  <r>
    <x v="5"/>
    <d v="2024-07-15T00:00:00"/>
    <m/>
    <m/>
    <n v="5.166666666666667"/>
    <x v="0"/>
    <m/>
    <m/>
    <m/>
    <m/>
    <m/>
    <m/>
    <m/>
    <m/>
    <m/>
    <m/>
    <m/>
    <m/>
  </r>
  <r>
    <x v="5"/>
    <d v="2024-07-26T00:00:00"/>
    <m/>
    <m/>
    <n v="6.2250000000000014"/>
    <x v="0"/>
    <m/>
    <m/>
    <m/>
    <m/>
    <m/>
    <m/>
    <m/>
    <m/>
    <m/>
    <m/>
    <m/>
    <m/>
  </r>
  <r>
    <x v="5"/>
    <d v="2024-08-09T00:00:00"/>
    <m/>
    <m/>
    <n v="7.3416666666666668"/>
    <x v="0"/>
    <m/>
    <m/>
    <m/>
    <m/>
    <m/>
    <m/>
    <m/>
    <m/>
    <m/>
    <m/>
    <m/>
    <m/>
  </r>
  <r>
    <x v="5"/>
    <d v="2024-08-19T00:00:00"/>
    <m/>
    <m/>
    <n v="8.4083333333333332"/>
    <x v="0"/>
    <m/>
    <m/>
    <m/>
    <m/>
    <m/>
    <m/>
    <m/>
    <m/>
    <m/>
    <m/>
    <m/>
    <m/>
  </r>
  <r>
    <x v="5"/>
    <d v="2024-08-31T00:00:00"/>
    <m/>
    <m/>
    <n v="9.8666666666666671"/>
    <x v="0"/>
    <m/>
    <m/>
    <m/>
    <m/>
    <m/>
    <m/>
    <m/>
    <m/>
    <m/>
    <m/>
    <m/>
    <m/>
  </r>
  <r>
    <x v="5"/>
    <d v="2024-09-14T00:00:00"/>
    <m/>
    <m/>
    <n v="10.91666666666667"/>
    <x v="0"/>
    <m/>
    <m/>
    <m/>
    <m/>
    <m/>
    <m/>
    <m/>
    <m/>
    <m/>
    <m/>
    <m/>
    <m/>
  </r>
  <r>
    <x v="6"/>
    <d v="2024-05-24T00:00:00"/>
    <m/>
    <m/>
    <n v="4.1416666666666666"/>
    <x v="0"/>
    <m/>
    <m/>
    <m/>
    <m/>
    <m/>
    <m/>
    <m/>
    <m/>
    <m/>
    <m/>
    <m/>
    <m/>
  </r>
  <r>
    <x v="6"/>
    <d v="2024-06-03T00:00:00"/>
    <m/>
    <m/>
    <n v="5.2249999999999996"/>
    <x v="0"/>
    <m/>
    <m/>
    <m/>
    <m/>
    <m/>
    <m/>
    <m/>
    <m/>
    <m/>
    <m/>
    <m/>
    <m/>
  </r>
  <r>
    <x v="6"/>
    <d v="2024-06-14T00:00:00"/>
    <m/>
    <m/>
    <n v="6.1916666666666664"/>
    <x v="0"/>
    <m/>
    <m/>
    <m/>
    <m/>
    <m/>
    <m/>
    <m/>
    <m/>
    <m/>
    <m/>
    <m/>
    <m/>
  </r>
  <r>
    <x v="6"/>
    <d v="2024-06-25T00:00:00"/>
    <m/>
    <m/>
    <n v="6.9333333333333336"/>
    <x v="0"/>
    <m/>
    <m/>
    <m/>
    <m/>
    <m/>
    <m/>
    <m/>
    <m/>
    <m/>
    <m/>
    <m/>
    <m/>
  </r>
  <r>
    <x v="6"/>
    <d v="2024-07-10T00:00:00"/>
    <m/>
    <m/>
    <n v="7.958333333333333"/>
    <x v="0"/>
    <m/>
    <m/>
    <m/>
    <m/>
    <m/>
    <m/>
    <m/>
    <m/>
    <m/>
    <m/>
    <m/>
    <m/>
  </r>
  <r>
    <x v="6"/>
    <d v="2024-07-23T00:00:00"/>
    <m/>
    <m/>
    <n v="8.9666666666666668"/>
    <x v="0"/>
    <m/>
    <m/>
    <m/>
    <m/>
    <m/>
    <m/>
    <m/>
    <m/>
    <m/>
    <m/>
    <m/>
    <m/>
  </r>
  <r>
    <x v="6"/>
    <d v="2024-08-08T00:00:00"/>
    <m/>
    <m/>
    <n v="10.266666666666669"/>
    <x v="0"/>
    <m/>
    <m/>
    <m/>
    <m/>
    <m/>
    <m/>
    <m/>
    <m/>
    <m/>
    <m/>
    <m/>
    <m/>
  </r>
  <r>
    <x v="6"/>
    <d v="2024-08-18T00:00:00"/>
    <m/>
    <m/>
    <n v="11.275"/>
    <x v="0"/>
    <m/>
    <m/>
    <m/>
    <m/>
    <m/>
    <m/>
    <m/>
    <m/>
    <m/>
    <m/>
    <m/>
    <m/>
  </r>
  <r>
    <x v="6"/>
    <d v="2024-08-28T00:00:00"/>
    <m/>
    <m/>
    <n v="12.358333333333331"/>
    <x v="0"/>
    <m/>
    <m/>
    <m/>
    <m/>
    <m/>
    <m/>
    <m/>
    <m/>
    <m/>
    <m/>
    <m/>
    <m/>
  </r>
  <r>
    <x v="6"/>
    <d v="2024-09-14T00:00:00"/>
    <m/>
    <m/>
    <n v="12.91666666666667"/>
    <x v="0"/>
    <m/>
    <m/>
    <m/>
    <m/>
    <m/>
    <m/>
    <m/>
    <m/>
    <m/>
    <m/>
    <m/>
    <m/>
  </r>
  <r>
    <x v="7"/>
    <d v="2024-05-24T00:00:00"/>
    <m/>
    <m/>
    <n v="3.958333333333333"/>
    <x v="0"/>
    <m/>
    <m/>
    <m/>
    <m/>
    <m/>
    <m/>
    <m/>
    <m/>
    <m/>
    <m/>
    <m/>
    <m/>
  </r>
  <r>
    <x v="7"/>
    <d v="2024-06-03T00:00:00"/>
    <m/>
    <m/>
    <n v="5.083333333333333"/>
    <x v="0"/>
    <m/>
    <m/>
    <m/>
    <m/>
    <m/>
    <m/>
    <m/>
    <m/>
    <m/>
    <m/>
    <m/>
    <m/>
  </r>
  <r>
    <x v="7"/>
    <d v="2024-06-14T00:00:00"/>
    <m/>
    <m/>
    <n v="6.166666666666667"/>
    <x v="0"/>
    <m/>
    <m/>
    <m/>
    <m/>
    <m/>
    <m/>
    <m/>
    <m/>
    <m/>
    <m/>
    <m/>
    <m/>
  </r>
  <r>
    <x v="7"/>
    <d v="2024-06-25T00:00:00"/>
    <m/>
    <m/>
    <n v="6.8333333333333339"/>
    <x v="0"/>
    <m/>
    <m/>
    <m/>
    <m/>
    <m/>
    <m/>
    <m/>
    <m/>
    <m/>
    <m/>
    <m/>
    <m/>
  </r>
  <r>
    <x v="7"/>
    <d v="2024-07-10T00:00:00"/>
    <m/>
    <m/>
    <n v="7.8666666666666663"/>
    <x v="0"/>
    <m/>
    <m/>
    <m/>
    <m/>
    <m/>
    <m/>
    <m/>
    <m/>
    <m/>
    <m/>
    <m/>
    <m/>
  </r>
  <r>
    <x v="7"/>
    <d v="2024-07-23T00:00:00"/>
    <m/>
    <m/>
    <n v="8.8083333333333336"/>
    <x v="0"/>
    <m/>
    <m/>
    <m/>
    <m/>
    <m/>
    <m/>
    <m/>
    <m/>
    <m/>
    <m/>
    <m/>
    <m/>
  </r>
  <r>
    <x v="7"/>
    <d v="2024-08-08T00:00:00"/>
    <m/>
    <m/>
    <n v="9.9916666666666671"/>
    <x v="0"/>
    <m/>
    <m/>
    <m/>
    <m/>
    <m/>
    <m/>
    <m/>
    <m/>
    <m/>
    <m/>
    <m/>
    <m/>
  </r>
  <r>
    <x v="7"/>
    <d v="2024-08-18T00:00:00"/>
    <m/>
    <m/>
    <n v="11.04166666666667"/>
    <x v="0"/>
    <m/>
    <m/>
    <m/>
    <m/>
    <m/>
    <m/>
    <m/>
    <m/>
    <m/>
    <m/>
    <m/>
    <m/>
  </r>
  <r>
    <x v="7"/>
    <d v="2024-08-28T00:00:00"/>
    <m/>
    <m/>
    <n v="12.391666666666669"/>
    <x v="0"/>
    <m/>
    <m/>
    <m/>
    <m/>
    <m/>
    <m/>
    <m/>
    <m/>
    <m/>
    <m/>
    <m/>
    <m/>
  </r>
  <r>
    <x v="7"/>
    <d v="2024-09-14T00:00:00"/>
    <m/>
    <m/>
    <n v="13.5"/>
    <x v="0"/>
    <m/>
    <m/>
    <m/>
    <m/>
    <m/>
    <m/>
    <m/>
    <m/>
    <m/>
    <m/>
    <m/>
    <m/>
  </r>
  <r>
    <x v="8"/>
    <d v="2024-05-24T00:00:00"/>
    <m/>
    <m/>
    <n v="4.0999999999999996"/>
    <x v="0"/>
    <m/>
    <m/>
    <m/>
    <m/>
    <m/>
    <m/>
    <m/>
    <m/>
    <m/>
    <m/>
    <m/>
    <m/>
  </r>
  <r>
    <x v="8"/>
    <d v="2024-06-03T00:00:00"/>
    <m/>
    <m/>
    <n v="5.1583333333333332"/>
    <x v="0"/>
    <m/>
    <m/>
    <m/>
    <m/>
    <m/>
    <m/>
    <m/>
    <m/>
    <m/>
    <m/>
    <m/>
    <m/>
  </r>
  <r>
    <x v="8"/>
    <d v="2024-06-14T00:00:00"/>
    <m/>
    <m/>
    <n v="6.1749999999999989"/>
    <x v="0"/>
    <m/>
    <m/>
    <m/>
    <m/>
    <m/>
    <m/>
    <m/>
    <m/>
    <m/>
    <m/>
    <m/>
    <m/>
  </r>
  <r>
    <x v="8"/>
    <d v="2024-06-25T00:00:00"/>
    <m/>
    <m/>
    <n v="6.7583333333333329"/>
    <x v="0"/>
    <m/>
    <m/>
    <m/>
    <m/>
    <m/>
    <m/>
    <m/>
    <m/>
    <m/>
    <m/>
    <m/>
    <m/>
  </r>
  <r>
    <x v="8"/>
    <d v="2024-07-10T00:00:00"/>
    <m/>
    <m/>
    <n v="7.7583333333333329"/>
    <x v="0"/>
    <m/>
    <m/>
    <m/>
    <m/>
    <m/>
    <m/>
    <m/>
    <m/>
    <m/>
    <m/>
    <m/>
    <m/>
  </r>
  <r>
    <x v="8"/>
    <d v="2024-07-23T00:00:00"/>
    <m/>
    <m/>
    <n v="8.6750000000000007"/>
    <x v="0"/>
    <m/>
    <m/>
    <m/>
    <m/>
    <m/>
    <m/>
    <m/>
    <m/>
    <m/>
    <m/>
    <m/>
    <m/>
  </r>
  <r>
    <x v="8"/>
    <d v="2024-08-08T00:00:00"/>
    <m/>
    <m/>
    <n v="9.7833333333333332"/>
    <x v="0"/>
    <m/>
    <m/>
    <m/>
    <m/>
    <m/>
    <m/>
    <m/>
    <m/>
    <m/>
    <m/>
    <m/>
    <m/>
  </r>
  <r>
    <x v="8"/>
    <d v="2024-08-18T00:00:00"/>
    <m/>
    <m/>
    <n v="10.69166666666667"/>
    <x v="0"/>
    <m/>
    <m/>
    <m/>
    <m/>
    <m/>
    <m/>
    <m/>
    <m/>
    <m/>
    <m/>
    <m/>
    <m/>
  </r>
  <r>
    <x v="8"/>
    <d v="2024-08-28T00:00:00"/>
    <m/>
    <m/>
    <n v="11.824999999999999"/>
    <x v="0"/>
    <m/>
    <m/>
    <m/>
    <m/>
    <m/>
    <m/>
    <m/>
    <m/>
    <m/>
    <m/>
    <m/>
    <m/>
  </r>
  <r>
    <x v="8"/>
    <d v="2024-09-14T00:00:00"/>
    <m/>
    <m/>
    <n v="13"/>
    <x v="0"/>
    <m/>
    <m/>
    <m/>
    <m/>
    <m/>
    <m/>
    <m/>
    <m/>
    <m/>
    <m/>
    <m/>
    <m/>
  </r>
  <r>
    <x v="9"/>
    <d v="2024-06-24T00:00:00"/>
    <m/>
    <m/>
    <n v="3.1"/>
    <x v="0"/>
    <m/>
    <m/>
    <m/>
    <m/>
    <m/>
    <m/>
    <m/>
    <m/>
    <m/>
    <m/>
    <m/>
    <m/>
  </r>
  <r>
    <x v="9"/>
    <d v="2024-07-04T00:00:00"/>
    <m/>
    <m/>
    <n v="4"/>
    <x v="0"/>
    <m/>
    <m/>
    <m/>
    <m/>
    <m/>
    <m/>
    <m/>
    <m/>
    <m/>
    <m/>
    <m/>
    <m/>
  </r>
  <r>
    <x v="9"/>
    <d v="2024-07-15T00:00:00"/>
    <m/>
    <m/>
    <n v="4.9749999999999996"/>
    <x v="0"/>
    <m/>
    <m/>
    <m/>
    <m/>
    <m/>
    <m/>
    <m/>
    <m/>
    <m/>
    <m/>
    <m/>
    <m/>
  </r>
  <r>
    <x v="9"/>
    <d v="2024-07-26T00:00:00"/>
    <m/>
    <m/>
    <n v="5.9416666666666664"/>
    <x v="0"/>
    <m/>
    <m/>
    <m/>
    <m/>
    <m/>
    <m/>
    <m/>
    <m/>
    <m/>
    <m/>
    <m/>
    <m/>
  </r>
  <r>
    <x v="9"/>
    <d v="2024-08-09T00:00:00"/>
    <m/>
    <m/>
    <n v="6.8500000000000014"/>
    <x v="0"/>
    <m/>
    <m/>
    <m/>
    <m/>
    <m/>
    <m/>
    <m/>
    <m/>
    <m/>
    <m/>
    <m/>
    <m/>
  </r>
  <r>
    <x v="9"/>
    <d v="2024-08-19T00:00:00"/>
    <m/>
    <m/>
    <n v="7.9"/>
    <x v="0"/>
    <m/>
    <m/>
    <m/>
    <m/>
    <m/>
    <m/>
    <m/>
    <m/>
    <m/>
    <m/>
    <m/>
    <m/>
  </r>
  <r>
    <x v="9"/>
    <d v="2024-08-31T00:00:00"/>
    <m/>
    <m/>
    <n v="9.15"/>
    <x v="0"/>
    <m/>
    <m/>
    <m/>
    <m/>
    <m/>
    <m/>
    <m/>
    <m/>
    <m/>
    <m/>
    <m/>
    <m/>
  </r>
  <r>
    <x v="9"/>
    <d v="2024-09-14T00:00:00"/>
    <m/>
    <m/>
    <n v="9.75"/>
    <x v="0"/>
    <m/>
    <m/>
    <m/>
    <m/>
    <m/>
    <m/>
    <m/>
    <m/>
    <m/>
    <m/>
    <m/>
    <m/>
  </r>
  <r>
    <x v="10"/>
    <d v="2024-06-24T00:00:00"/>
    <m/>
    <m/>
    <n v="3.1416666666666671"/>
    <x v="0"/>
    <m/>
    <m/>
    <m/>
    <m/>
    <m/>
    <m/>
    <m/>
    <m/>
    <m/>
    <m/>
    <m/>
    <m/>
  </r>
  <r>
    <x v="10"/>
    <d v="2024-07-04T00:00:00"/>
    <m/>
    <m/>
    <n v="3.9416666666666669"/>
    <x v="0"/>
    <m/>
    <m/>
    <m/>
    <m/>
    <m/>
    <m/>
    <m/>
    <m/>
    <m/>
    <m/>
    <m/>
    <m/>
  </r>
  <r>
    <x v="10"/>
    <d v="2024-07-15T00:00:00"/>
    <m/>
    <m/>
    <n v="4.7750000000000004"/>
    <x v="0"/>
    <m/>
    <m/>
    <m/>
    <m/>
    <m/>
    <m/>
    <m/>
    <m/>
    <m/>
    <m/>
    <m/>
    <m/>
  </r>
  <r>
    <x v="10"/>
    <d v="2024-07-26T00:00:00"/>
    <m/>
    <m/>
    <n v="5.7250000000000014"/>
    <x v="0"/>
    <m/>
    <m/>
    <m/>
    <m/>
    <m/>
    <m/>
    <m/>
    <m/>
    <m/>
    <m/>
    <m/>
    <m/>
  </r>
  <r>
    <x v="10"/>
    <d v="2024-08-09T00:00:00"/>
    <m/>
    <m/>
    <n v="6.7333333333333334"/>
    <x v="0"/>
    <m/>
    <m/>
    <m/>
    <m/>
    <m/>
    <m/>
    <m/>
    <m/>
    <m/>
    <m/>
    <m/>
    <m/>
  </r>
  <r>
    <x v="10"/>
    <d v="2024-08-19T00:00:00"/>
    <m/>
    <m/>
    <n v="7.7249999999999996"/>
    <x v="0"/>
    <m/>
    <m/>
    <m/>
    <m/>
    <m/>
    <m/>
    <m/>
    <m/>
    <m/>
    <m/>
    <m/>
    <m/>
  </r>
  <r>
    <x v="10"/>
    <d v="2024-08-31T00:00:00"/>
    <m/>
    <m/>
    <n v="9.0666666666666664"/>
    <x v="0"/>
    <m/>
    <m/>
    <m/>
    <m/>
    <m/>
    <m/>
    <m/>
    <m/>
    <m/>
    <m/>
    <m/>
    <m/>
  </r>
  <r>
    <x v="10"/>
    <d v="2024-09-14T00:00:00"/>
    <m/>
    <m/>
    <n v="10.050000000000001"/>
    <x v="0"/>
    <m/>
    <m/>
    <m/>
    <m/>
    <m/>
    <m/>
    <m/>
    <m/>
    <m/>
    <m/>
    <m/>
    <m/>
  </r>
  <r>
    <x v="10"/>
    <d v="2024-09-24T00:00:00"/>
    <m/>
    <m/>
    <n v="10.08333333333333"/>
    <x v="0"/>
    <m/>
    <m/>
    <m/>
    <m/>
    <m/>
    <m/>
    <m/>
    <m/>
    <m/>
    <m/>
    <m/>
    <m/>
  </r>
  <r>
    <x v="11"/>
    <d v="2024-05-24T00:00:00"/>
    <m/>
    <m/>
    <n v="3.941666666666666"/>
    <x v="0"/>
    <m/>
    <m/>
    <m/>
    <m/>
    <m/>
    <m/>
    <m/>
    <m/>
    <m/>
    <m/>
    <m/>
    <m/>
  </r>
  <r>
    <x v="11"/>
    <d v="2024-06-03T00:00:00"/>
    <m/>
    <m/>
    <n v="4.9249999999999998"/>
    <x v="0"/>
    <m/>
    <m/>
    <m/>
    <m/>
    <m/>
    <m/>
    <m/>
    <m/>
    <m/>
    <m/>
    <m/>
    <m/>
  </r>
  <r>
    <x v="11"/>
    <d v="2024-06-14T00:00:00"/>
    <m/>
    <m/>
    <n v="6.1"/>
    <x v="0"/>
    <m/>
    <m/>
    <m/>
    <m/>
    <m/>
    <m/>
    <m/>
    <m/>
    <m/>
    <m/>
    <m/>
    <m/>
  </r>
  <r>
    <x v="11"/>
    <d v="2024-06-25T00:00:00"/>
    <m/>
    <m/>
    <n v="6.5583333333333336"/>
    <x v="0"/>
    <m/>
    <m/>
    <m/>
    <m/>
    <m/>
    <m/>
    <m/>
    <m/>
    <m/>
    <m/>
    <m/>
    <m/>
  </r>
  <r>
    <x v="11"/>
    <d v="2024-07-10T00:00:00"/>
    <m/>
    <m/>
    <n v="7.4249999999999998"/>
    <x v="0"/>
    <m/>
    <m/>
    <m/>
    <m/>
    <m/>
    <m/>
    <m/>
    <m/>
    <m/>
    <m/>
    <m/>
    <m/>
  </r>
  <r>
    <x v="11"/>
    <d v="2024-07-23T00:00:00"/>
    <m/>
    <m/>
    <n v="8.3083333333333336"/>
    <x v="0"/>
    <m/>
    <m/>
    <m/>
    <m/>
    <m/>
    <m/>
    <m/>
    <m/>
    <m/>
    <m/>
    <m/>
    <m/>
  </r>
  <r>
    <x v="11"/>
    <d v="2024-08-08T00:00:00"/>
    <m/>
    <m/>
    <n v="9.3333333333333339"/>
    <x v="0"/>
    <m/>
    <m/>
    <m/>
    <m/>
    <m/>
    <m/>
    <m/>
    <m/>
    <m/>
    <m/>
    <m/>
    <m/>
  </r>
  <r>
    <x v="11"/>
    <d v="2024-08-18T00:00:00"/>
    <m/>
    <m/>
    <n v="10.21666666666667"/>
    <x v="0"/>
    <m/>
    <m/>
    <m/>
    <m/>
    <m/>
    <m/>
    <m/>
    <m/>
    <m/>
    <m/>
    <m/>
    <m/>
  </r>
  <r>
    <x v="11"/>
    <d v="2024-08-28T00:00:00"/>
    <m/>
    <m/>
    <n v="11.324999999999999"/>
    <x v="0"/>
    <m/>
    <m/>
    <m/>
    <m/>
    <m/>
    <m/>
    <m/>
    <m/>
    <m/>
    <m/>
    <m/>
    <m/>
  </r>
  <r>
    <x v="11"/>
    <d v="2024-09-14T00:00:00"/>
    <m/>
    <m/>
    <n v="12.33333333333333"/>
    <x v="0"/>
    <m/>
    <m/>
    <m/>
    <m/>
    <m/>
    <m/>
    <m/>
    <m/>
    <m/>
    <m/>
    <m/>
    <m/>
  </r>
  <r>
    <x v="12"/>
    <d v="2024-05-24T00:00:00"/>
    <m/>
    <m/>
    <n v="4.1333333333333329"/>
    <x v="0"/>
    <m/>
    <m/>
    <m/>
    <m/>
    <m/>
    <m/>
    <m/>
    <m/>
    <m/>
    <m/>
    <m/>
    <m/>
  </r>
  <r>
    <x v="12"/>
    <d v="2024-06-03T00:00:00"/>
    <m/>
    <m/>
    <n v="5.1999999999999993"/>
    <x v="0"/>
    <m/>
    <m/>
    <m/>
    <m/>
    <m/>
    <m/>
    <m/>
    <m/>
    <m/>
    <m/>
    <m/>
    <m/>
  </r>
  <r>
    <x v="12"/>
    <d v="2024-06-14T00:00:00"/>
    <m/>
    <m/>
    <n v="6.3083333333333336"/>
    <x v="0"/>
    <m/>
    <m/>
    <m/>
    <m/>
    <m/>
    <m/>
    <m/>
    <m/>
    <m/>
    <m/>
    <m/>
    <m/>
  </r>
  <r>
    <x v="12"/>
    <d v="2024-06-25T00:00:00"/>
    <m/>
    <m/>
    <n v="6.9666666666666668"/>
    <x v="0"/>
    <m/>
    <m/>
    <m/>
    <m/>
    <m/>
    <m/>
    <m/>
    <m/>
    <m/>
    <m/>
    <m/>
    <m/>
  </r>
  <r>
    <x v="12"/>
    <d v="2024-07-10T00:00:00"/>
    <m/>
    <m/>
    <n v="7.9666666666666659"/>
    <x v="0"/>
    <m/>
    <m/>
    <m/>
    <m/>
    <m/>
    <m/>
    <m/>
    <m/>
    <m/>
    <m/>
    <m/>
    <m/>
  </r>
  <r>
    <x v="12"/>
    <d v="2024-07-23T00:00:00"/>
    <m/>
    <m/>
    <n v="8.8666666666666671"/>
    <x v="0"/>
    <m/>
    <m/>
    <m/>
    <m/>
    <m/>
    <m/>
    <m/>
    <m/>
    <m/>
    <m/>
    <m/>
    <m/>
  </r>
  <r>
    <x v="12"/>
    <d v="2024-08-08T00:00:00"/>
    <m/>
    <m/>
    <n v="10.116666666666671"/>
    <x v="0"/>
    <m/>
    <m/>
    <m/>
    <m/>
    <m/>
    <m/>
    <m/>
    <m/>
    <m/>
    <m/>
    <m/>
    <m/>
  </r>
  <r>
    <x v="12"/>
    <d v="2024-08-18T00:00:00"/>
    <m/>
    <m/>
    <n v="10.983333333333331"/>
    <x v="0"/>
    <m/>
    <m/>
    <m/>
    <m/>
    <m/>
    <m/>
    <m/>
    <m/>
    <m/>
    <m/>
    <m/>
    <m/>
  </r>
  <r>
    <x v="12"/>
    <d v="2024-08-28T00:00:00"/>
    <m/>
    <m/>
    <n v="11.94166666666667"/>
    <x v="0"/>
    <m/>
    <m/>
    <m/>
    <m/>
    <m/>
    <m/>
    <m/>
    <m/>
    <m/>
    <m/>
    <m/>
    <m/>
  </r>
  <r>
    <x v="12"/>
    <d v="2024-09-14T00:00:00"/>
    <m/>
    <m/>
    <n v="12.41666666666667"/>
    <x v="0"/>
    <m/>
    <m/>
    <m/>
    <m/>
    <m/>
    <m/>
    <m/>
    <m/>
    <m/>
    <m/>
    <m/>
    <m/>
  </r>
  <r>
    <x v="13"/>
    <d v="2024-06-24T00:00:00"/>
    <m/>
    <m/>
    <n v="3.083333333333333"/>
    <x v="0"/>
    <m/>
    <m/>
    <m/>
    <m/>
    <m/>
    <m/>
    <m/>
    <m/>
    <m/>
    <m/>
    <m/>
    <m/>
  </r>
  <r>
    <x v="13"/>
    <d v="2024-07-04T00:00:00"/>
    <m/>
    <m/>
    <n v="3.9333333333333331"/>
    <x v="0"/>
    <m/>
    <m/>
    <m/>
    <m/>
    <m/>
    <m/>
    <m/>
    <m/>
    <m/>
    <m/>
    <m/>
    <m/>
  </r>
  <r>
    <x v="13"/>
    <d v="2024-07-15T00:00:00"/>
    <m/>
    <m/>
    <n v="4.9416666666666664"/>
    <x v="0"/>
    <m/>
    <m/>
    <m/>
    <m/>
    <m/>
    <m/>
    <m/>
    <m/>
    <m/>
    <m/>
    <m/>
    <m/>
  </r>
  <r>
    <x v="13"/>
    <d v="2024-07-26T00:00:00"/>
    <m/>
    <m/>
    <n v="5.9583333333333339"/>
    <x v="0"/>
    <m/>
    <m/>
    <m/>
    <m/>
    <m/>
    <m/>
    <m/>
    <m/>
    <m/>
    <m/>
    <m/>
    <m/>
  </r>
  <r>
    <x v="13"/>
    <d v="2024-08-09T00:00:00"/>
    <m/>
    <m/>
    <n v="6.8000000000000007"/>
    <x v="0"/>
    <m/>
    <m/>
    <m/>
    <m/>
    <m/>
    <m/>
    <m/>
    <m/>
    <m/>
    <m/>
    <m/>
    <m/>
  </r>
  <r>
    <x v="13"/>
    <d v="2024-08-19T00:00:00"/>
    <m/>
    <m/>
    <n v="7.708333333333333"/>
    <x v="0"/>
    <m/>
    <m/>
    <m/>
    <m/>
    <m/>
    <m/>
    <m/>
    <m/>
    <m/>
    <m/>
    <m/>
    <m/>
  </r>
  <r>
    <x v="13"/>
    <d v="2024-08-31T00:00:00"/>
    <m/>
    <m/>
    <n v="8.9749999999999996"/>
    <x v="0"/>
    <m/>
    <m/>
    <m/>
    <m/>
    <m/>
    <m/>
    <m/>
    <m/>
    <m/>
    <m/>
    <m/>
    <m/>
  </r>
  <r>
    <x v="13"/>
    <d v="2024-09-14T00:00:00"/>
    <m/>
    <m/>
    <n v="9.8000000000000007"/>
    <x v="0"/>
    <m/>
    <m/>
    <m/>
    <m/>
    <m/>
    <m/>
    <m/>
    <m/>
    <m/>
    <m/>
    <m/>
    <m/>
  </r>
  <r>
    <x v="13"/>
    <d v="2024-09-24T00:00:00"/>
    <m/>
    <m/>
    <n v="10"/>
    <x v="0"/>
    <m/>
    <m/>
    <m/>
    <m/>
    <m/>
    <m/>
    <m/>
    <m/>
    <m/>
    <m/>
    <m/>
    <m/>
  </r>
  <r>
    <x v="14"/>
    <d v="2024-05-24T00:00:00"/>
    <m/>
    <m/>
    <n v="4.1166666666666663"/>
    <x v="0"/>
    <m/>
    <m/>
    <m/>
    <m/>
    <m/>
    <m/>
    <m/>
    <m/>
    <m/>
    <m/>
    <m/>
    <m/>
  </r>
  <r>
    <x v="14"/>
    <d v="2024-06-03T00:00:00"/>
    <m/>
    <m/>
    <n v="5.2"/>
    <x v="0"/>
    <m/>
    <m/>
    <m/>
    <m/>
    <m/>
    <m/>
    <m/>
    <m/>
    <m/>
    <m/>
    <m/>
    <m/>
  </r>
  <r>
    <x v="14"/>
    <d v="2024-06-14T00:00:00"/>
    <m/>
    <m/>
    <n v="6.1416666666666666"/>
    <x v="0"/>
    <m/>
    <m/>
    <m/>
    <m/>
    <m/>
    <m/>
    <m/>
    <m/>
    <m/>
    <m/>
    <m/>
    <m/>
  </r>
  <r>
    <x v="14"/>
    <d v="2024-06-25T00:00:00"/>
    <m/>
    <m/>
    <n v="6.75"/>
    <x v="0"/>
    <m/>
    <m/>
    <m/>
    <m/>
    <m/>
    <m/>
    <m/>
    <m/>
    <m/>
    <m/>
    <m/>
    <m/>
  </r>
  <r>
    <x v="14"/>
    <d v="2024-07-10T00:00:00"/>
    <m/>
    <m/>
    <n v="7.7416666666666671"/>
    <x v="0"/>
    <m/>
    <m/>
    <m/>
    <m/>
    <m/>
    <m/>
    <m/>
    <m/>
    <m/>
    <m/>
    <m/>
    <m/>
  </r>
  <r>
    <x v="14"/>
    <d v="2024-07-23T00:00:00"/>
    <m/>
    <m/>
    <n v="8.6083333333333343"/>
    <x v="0"/>
    <m/>
    <m/>
    <m/>
    <m/>
    <m/>
    <m/>
    <m/>
    <m/>
    <m/>
    <m/>
    <m/>
    <m/>
  </r>
  <r>
    <x v="14"/>
    <d v="2024-08-08T00:00:00"/>
    <m/>
    <m/>
    <n v="9.7666666666666657"/>
    <x v="0"/>
    <m/>
    <m/>
    <m/>
    <m/>
    <m/>
    <m/>
    <m/>
    <m/>
    <m/>
    <m/>
    <m/>
    <m/>
  </r>
  <r>
    <x v="14"/>
    <d v="2024-08-18T00:00:00"/>
    <m/>
    <m/>
    <n v="10.733333333333331"/>
    <x v="0"/>
    <m/>
    <m/>
    <m/>
    <m/>
    <m/>
    <m/>
    <m/>
    <m/>
    <m/>
    <m/>
    <m/>
    <m/>
  </r>
  <r>
    <x v="14"/>
    <d v="2024-08-28T00:00:00"/>
    <m/>
    <m/>
    <n v="12.008333333333329"/>
    <x v="0"/>
    <m/>
    <m/>
    <m/>
    <m/>
    <m/>
    <m/>
    <m/>
    <m/>
    <m/>
    <m/>
    <m/>
    <m/>
  </r>
  <r>
    <x v="14"/>
    <d v="2024-09-14T00:00:00"/>
    <m/>
    <m/>
    <n v="13.45833333333333"/>
    <x v="0"/>
    <m/>
    <m/>
    <m/>
    <m/>
    <m/>
    <m/>
    <m/>
    <m/>
    <m/>
    <m/>
    <m/>
    <m/>
  </r>
  <r>
    <x v="14"/>
    <d v="2024-09-24T00:00:00"/>
    <m/>
    <m/>
    <n v="13.41666666666667"/>
    <x v="0"/>
    <m/>
    <m/>
    <m/>
    <m/>
    <m/>
    <m/>
    <m/>
    <m/>
    <m/>
    <m/>
    <m/>
    <m/>
  </r>
  <r>
    <x v="15"/>
    <d v="2024-06-24T00:00:00"/>
    <m/>
    <m/>
    <n v="3.2166666666666668"/>
    <x v="0"/>
    <m/>
    <m/>
    <m/>
    <m/>
    <m/>
    <m/>
    <m/>
    <m/>
    <m/>
    <m/>
    <m/>
    <m/>
  </r>
  <r>
    <x v="15"/>
    <d v="2024-07-04T00:00:00"/>
    <m/>
    <m/>
    <n v="4.0916666666666668"/>
    <x v="0"/>
    <m/>
    <m/>
    <m/>
    <m/>
    <m/>
    <m/>
    <m/>
    <m/>
    <m/>
    <m/>
    <m/>
    <m/>
  </r>
  <r>
    <x v="15"/>
    <d v="2024-07-15T00:00:00"/>
    <m/>
    <m/>
    <n v="5.0250000000000004"/>
    <x v="0"/>
    <m/>
    <m/>
    <m/>
    <m/>
    <m/>
    <m/>
    <m/>
    <m/>
    <m/>
    <m/>
    <m/>
    <m/>
  </r>
  <r>
    <x v="15"/>
    <d v="2024-07-26T00:00:00"/>
    <m/>
    <m/>
    <n v="5.9416666666666664"/>
    <x v="0"/>
    <m/>
    <m/>
    <m/>
    <m/>
    <m/>
    <m/>
    <m/>
    <m/>
    <m/>
    <m/>
    <m/>
    <m/>
  </r>
  <r>
    <x v="15"/>
    <d v="2024-08-09T00:00:00"/>
    <m/>
    <m/>
    <n v="6.8916666666666666"/>
    <x v="0"/>
    <m/>
    <m/>
    <m/>
    <m/>
    <m/>
    <m/>
    <m/>
    <m/>
    <m/>
    <m/>
    <m/>
    <m/>
  </r>
  <r>
    <x v="15"/>
    <d v="2024-08-19T00:00:00"/>
    <m/>
    <m/>
    <n v="7.875"/>
    <x v="0"/>
    <m/>
    <m/>
    <m/>
    <m/>
    <m/>
    <m/>
    <m/>
    <m/>
    <m/>
    <m/>
    <m/>
    <m/>
  </r>
  <r>
    <x v="15"/>
    <d v="2024-08-31T00:00:00"/>
    <m/>
    <m/>
    <n v="9.0749999999999993"/>
    <x v="0"/>
    <m/>
    <m/>
    <m/>
    <m/>
    <m/>
    <m/>
    <m/>
    <m/>
    <m/>
    <m/>
    <m/>
    <m/>
  </r>
  <r>
    <x v="15"/>
    <d v="2024-09-14T00:00:00"/>
    <m/>
    <m/>
    <n v="9.9166666666666661"/>
    <x v="0"/>
    <m/>
    <m/>
    <m/>
    <m/>
    <m/>
    <m/>
    <m/>
    <m/>
    <m/>
    <m/>
    <m/>
    <m/>
  </r>
  <r>
    <x v="0"/>
    <d v="2024-05-26T00:00:00"/>
    <m/>
    <m/>
    <m/>
    <x v="1"/>
    <m/>
    <m/>
    <m/>
    <m/>
    <m/>
    <m/>
    <m/>
    <m/>
    <m/>
    <m/>
    <m/>
    <m/>
  </r>
  <r>
    <x v="1"/>
    <d v="2024-04-27T00:00:00"/>
    <m/>
    <m/>
    <m/>
    <x v="1"/>
    <m/>
    <m/>
    <m/>
    <m/>
    <m/>
    <m/>
    <m/>
    <m/>
    <m/>
    <m/>
    <m/>
    <m/>
  </r>
  <r>
    <x v="2"/>
    <d v="2024-05-27T00:00:00"/>
    <m/>
    <m/>
    <m/>
    <x v="1"/>
    <m/>
    <m/>
    <m/>
    <m/>
    <m/>
    <m/>
    <m/>
    <m/>
    <m/>
    <m/>
    <m/>
    <m/>
  </r>
  <r>
    <x v="3"/>
    <d v="2024-04-27T00:00:00"/>
    <m/>
    <m/>
    <m/>
    <x v="1"/>
    <m/>
    <m/>
    <m/>
    <m/>
    <m/>
    <m/>
    <m/>
    <m/>
    <m/>
    <m/>
    <m/>
    <m/>
  </r>
  <r>
    <x v="4"/>
    <d v="2024-05-27T00:00:00"/>
    <m/>
    <m/>
    <m/>
    <x v="1"/>
    <m/>
    <m/>
    <m/>
    <m/>
    <m/>
    <m/>
    <m/>
    <m/>
    <m/>
    <m/>
    <m/>
    <m/>
  </r>
  <r>
    <x v="5"/>
    <d v="2024-05-25T00:00:00"/>
    <m/>
    <m/>
    <m/>
    <x v="1"/>
    <m/>
    <m/>
    <m/>
    <m/>
    <m/>
    <m/>
    <m/>
    <m/>
    <m/>
    <m/>
    <m/>
    <m/>
  </r>
  <r>
    <x v="6"/>
    <d v="2024-04-28T00:00:00"/>
    <m/>
    <m/>
    <m/>
    <x v="1"/>
    <m/>
    <m/>
    <m/>
    <m/>
    <m/>
    <m/>
    <m/>
    <m/>
    <m/>
    <m/>
    <m/>
    <m/>
  </r>
  <r>
    <x v="7"/>
    <d v="2024-05-04T00:00:00"/>
    <m/>
    <m/>
    <m/>
    <x v="1"/>
    <m/>
    <m/>
    <m/>
    <m/>
    <m/>
    <m/>
    <m/>
    <m/>
    <m/>
    <m/>
    <m/>
    <m/>
  </r>
  <r>
    <x v="8"/>
    <d v="2024-05-02T00:00:00"/>
    <m/>
    <m/>
    <m/>
    <x v="1"/>
    <m/>
    <m/>
    <m/>
    <m/>
    <m/>
    <m/>
    <m/>
    <m/>
    <m/>
    <m/>
    <m/>
    <m/>
  </r>
  <r>
    <x v="9"/>
    <d v="2024-05-27T00:00:00"/>
    <m/>
    <m/>
    <m/>
    <x v="1"/>
    <m/>
    <m/>
    <m/>
    <m/>
    <m/>
    <m/>
    <m/>
    <m/>
    <m/>
    <m/>
    <m/>
    <m/>
  </r>
  <r>
    <x v="10"/>
    <d v="2024-05-27T00:00:00"/>
    <m/>
    <m/>
    <m/>
    <x v="1"/>
    <m/>
    <m/>
    <m/>
    <m/>
    <m/>
    <m/>
    <m/>
    <m/>
    <m/>
    <m/>
    <m/>
    <m/>
  </r>
  <r>
    <x v="11"/>
    <d v="2024-04-28T00:00:00"/>
    <m/>
    <m/>
    <m/>
    <x v="1"/>
    <m/>
    <m/>
    <m/>
    <m/>
    <m/>
    <m/>
    <m/>
    <m/>
    <m/>
    <m/>
    <m/>
    <m/>
  </r>
  <r>
    <x v="12"/>
    <d v="2024-05-01T00:00:00"/>
    <m/>
    <m/>
    <m/>
    <x v="1"/>
    <m/>
    <m/>
    <m/>
    <m/>
    <m/>
    <m/>
    <m/>
    <m/>
    <m/>
    <m/>
    <m/>
    <m/>
  </r>
  <r>
    <x v="13"/>
    <d v="2024-05-26T00:00:00"/>
    <m/>
    <m/>
    <m/>
    <x v="1"/>
    <m/>
    <m/>
    <m/>
    <m/>
    <m/>
    <m/>
    <m/>
    <m/>
    <m/>
    <m/>
    <m/>
    <m/>
  </r>
  <r>
    <x v="14"/>
    <d v="2024-05-02T00:00:00"/>
    <m/>
    <m/>
    <m/>
    <x v="1"/>
    <m/>
    <m/>
    <m/>
    <m/>
    <m/>
    <m/>
    <m/>
    <m/>
    <m/>
    <m/>
    <m/>
    <m/>
  </r>
  <r>
    <x v="15"/>
    <d v="2024-05-26T00:00:00"/>
    <m/>
    <m/>
    <m/>
    <x v="1"/>
    <m/>
    <m/>
    <m/>
    <m/>
    <m/>
    <m/>
    <m/>
    <m/>
    <m/>
    <m/>
    <m/>
    <m/>
  </r>
  <r>
    <x v="0"/>
    <d v="2024-09-12T00:00:00"/>
    <m/>
    <m/>
    <m/>
    <x v="2"/>
    <m/>
    <m/>
    <m/>
    <m/>
    <m/>
    <m/>
    <m/>
    <m/>
    <m/>
    <m/>
    <m/>
    <m/>
  </r>
  <r>
    <x v="1"/>
    <d v="2024-09-08T00:00:00"/>
    <m/>
    <m/>
    <m/>
    <x v="2"/>
    <m/>
    <m/>
    <m/>
    <m/>
    <m/>
    <m/>
    <m/>
    <m/>
    <m/>
    <m/>
    <m/>
    <m/>
  </r>
  <r>
    <x v="2"/>
    <d v="2024-09-10T00:00:00"/>
    <m/>
    <m/>
    <m/>
    <x v="2"/>
    <m/>
    <m/>
    <m/>
    <m/>
    <m/>
    <m/>
    <m/>
    <m/>
    <m/>
    <m/>
    <m/>
    <m/>
  </r>
  <r>
    <x v="3"/>
    <d v="2024-09-12T00:00:00"/>
    <m/>
    <m/>
    <m/>
    <x v="2"/>
    <m/>
    <m/>
    <m/>
    <m/>
    <m/>
    <m/>
    <m/>
    <m/>
    <m/>
    <m/>
    <m/>
    <m/>
  </r>
  <r>
    <x v="4"/>
    <d v="2024-09-06T00:00:00"/>
    <m/>
    <m/>
    <m/>
    <x v="2"/>
    <m/>
    <m/>
    <m/>
    <m/>
    <m/>
    <m/>
    <m/>
    <m/>
    <m/>
    <m/>
    <m/>
    <m/>
  </r>
  <r>
    <x v="5"/>
    <d v="2024-09-14T00:00:00"/>
    <m/>
    <m/>
    <m/>
    <x v="2"/>
    <m/>
    <m/>
    <m/>
    <m/>
    <m/>
    <m/>
    <m/>
    <m/>
    <m/>
    <m/>
    <m/>
    <m/>
  </r>
  <r>
    <x v="6"/>
    <d v="2024-09-03T00:00:00"/>
    <m/>
    <m/>
    <m/>
    <x v="2"/>
    <m/>
    <m/>
    <m/>
    <m/>
    <m/>
    <m/>
    <m/>
    <m/>
    <m/>
    <m/>
    <m/>
    <m/>
  </r>
  <r>
    <x v="7"/>
    <d v="2024-09-10T00:00:00"/>
    <m/>
    <m/>
    <m/>
    <x v="2"/>
    <m/>
    <m/>
    <m/>
    <m/>
    <m/>
    <m/>
    <m/>
    <m/>
    <m/>
    <m/>
    <m/>
    <m/>
  </r>
  <r>
    <x v="8"/>
    <d v="2024-09-13T00:00:00"/>
    <m/>
    <m/>
    <m/>
    <x v="2"/>
    <m/>
    <m/>
    <m/>
    <m/>
    <m/>
    <m/>
    <m/>
    <m/>
    <m/>
    <m/>
    <m/>
    <m/>
  </r>
  <r>
    <x v="9"/>
    <d v="2024-09-07T00:00:00"/>
    <m/>
    <m/>
    <m/>
    <x v="2"/>
    <m/>
    <m/>
    <m/>
    <m/>
    <m/>
    <m/>
    <m/>
    <m/>
    <m/>
    <m/>
    <m/>
    <m/>
  </r>
  <r>
    <x v="10"/>
    <d v="2024-09-11T00:00:00"/>
    <m/>
    <m/>
    <m/>
    <x v="2"/>
    <m/>
    <m/>
    <m/>
    <m/>
    <m/>
    <m/>
    <m/>
    <m/>
    <m/>
    <m/>
    <m/>
    <m/>
  </r>
  <r>
    <x v="11"/>
    <d v="2024-09-09T00:00:00"/>
    <m/>
    <m/>
    <m/>
    <x v="2"/>
    <m/>
    <m/>
    <m/>
    <m/>
    <m/>
    <m/>
    <m/>
    <m/>
    <m/>
    <m/>
    <m/>
    <m/>
  </r>
  <r>
    <x v="12"/>
    <d v="2024-09-04T00:00:00"/>
    <m/>
    <m/>
    <m/>
    <x v="2"/>
    <m/>
    <m/>
    <m/>
    <m/>
    <m/>
    <m/>
    <m/>
    <m/>
    <m/>
    <m/>
    <m/>
    <m/>
  </r>
  <r>
    <x v="13"/>
    <d v="2024-09-11T00:00:00"/>
    <m/>
    <m/>
    <m/>
    <x v="2"/>
    <m/>
    <m/>
    <m/>
    <m/>
    <m/>
    <m/>
    <m/>
    <m/>
    <m/>
    <m/>
    <m/>
    <m/>
  </r>
  <r>
    <x v="14"/>
    <d v="2024-09-11T00:00:00"/>
    <m/>
    <m/>
    <m/>
    <x v="2"/>
    <m/>
    <m/>
    <m/>
    <m/>
    <m/>
    <m/>
    <m/>
    <m/>
    <m/>
    <m/>
    <m/>
    <m/>
  </r>
  <r>
    <x v="15"/>
    <d v="2024-09-11T00:00:00"/>
    <m/>
    <m/>
    <m/>
    <x v="2"/>
    <m/>
    <m/>
    <m/>
    <m/>
    <m/>
    <m/>
    <m/>
    <m/>
    <m/>
    <m/>
    <m/>
    <m/>
  </r>
  <r>
    <x v="0"/>
    <d v="2024-10-03T00:00:00"/>
    <m/>
    <m/>
    <m/>
    <x v="3"/>
    <m/>
    <m/>
    <m/>
    <m/>
    <m/>
    <m/>
    <m/>
    <m/>
    <m/>
    <m/>
    <m/>
    <m/>
  </r>
  <r>
    <x v="1"/>
    <d v="2024-09-30T00:00:00"/>
    <m/>
    <m/>
    <m/>
    <x v="3"/>
    <m/>
    <m/>
    <m/>
    <m/>
    <m/>
    <m/>
    <m/>
    <m/>
    <m/>
    <m/>
    <m/>
    <m/>
  </r>
  <r>
    <x v="2"/>
    <d v="2024-10-01T00:00:00"/>
    <m/>
    <m/>
    <m/>
    <x v="3"/>
    <m/>
    <m/>
    <m/>
    <m/>
    <m/>
    <m/>
    <m/>
    <m/>
    <m/>
    <m/>
    <m/>
    <m/>
  </r>
  <r>
    <x v="3"/>
    <d v="2024-10-03T00:00:00"/>
    <m/>
    <m/>
    <m/>
    <x v="3"/>
    <m/>
    <m/>
    <m/>
    <m/>
    <m/>
    <m/>
    <m/>
    <m/>
    <m/>
    <m/>
    <m/>
    <m/>
  </r>
  <r>
    <x v="4"/>
    <d v="2024-09-25T00:00:00"/>
    <m/>
    <m/>
    <m/>
    <x v="3"/>
    <m/>
    <m/>
    <m/>
    <m/>
    <m/>
    <m/>
    <m/>
    <m/>
    <m/>
    <m/>
    <m/>
    <m/>
  </r>
  <r>
    <x v="5"/>
    <d v="2024-10-02T00:00:00"/>
    <m/>
    <m/>
    <m/>
    <x v="3"/>
    <m/>
    <m/>
    <m/>
    <m/>
    <m/>
    <m/>
    <m/>
    <m/>
    <m/>
    <m/>
    <m/>
    <m/>
  </r>
  <r>
    <x v="6"/>
    <d v="2024-09-25T00:00:00"/>
    <m/>
    <m/>
    <m/>
    <x v="3"/>
    <m/>
    <m/>
    <m/>
    <m/>
    <m/>
    <m/>
    <m/>
    <m/>
    <m/>
    <m/>
    <m/>
    <m/>
  </r>
  <r>
    <x v="7"/>
    <d v="2024-10-01T00:00:00"/>
    <m/>
    <m/>
    <m/>
    <x v="3"/>
    <m/>
    <m/>
    <m/>
    <m/>
    <m/>
    <m/>
    <m/>
    <m/>
    <m/>
    <m/>
    <m/>
    <m/>
  </r>
  <r>
    <x v="8"/>
    <d v="2024-10-02T00:00:00"/>
    <m/>
    <m/>
    <m/>
    <x v="3"/>
    <m/>
    <m/>
    <m/>
    <m/>
    <m/>
    <m/>
    <m/>
    <m/>
    <m/>
    <m/>
    <m/>
    <m/>
  </r>
  <r>
    <x v="9"/>
    <d v="2024-09-26T00:00:00"/>
    <m/>
    <m/>
    <m/>
    <x v="3"/>
    <m/>
    <m/>
    <m/>
    <m/>
    <m/>
    <m/>
    <m/>
    <m/>
    <m/>
    <m/>
    <m/>
    <m/>
  </r>
  <r>
    <x v="10"/>
    <d v="2024-10-02T00:00:00"/>
    <m/>
    <m/>
    <m/>
    <x v="3"/>
    <m/>
    <m/>
    <m/>
    <m/>
    <m/>
    <m/>
    <m/>
    <m/>
    <m/>
    <m/>
    <m/>
    <m/>
  </r>
  <r>
    <x v="11"/>
    <d v="2024-10-01T00:00:00"/>
    <m/>
    <m/>
    <m/>
    <x v="3"/>
    <m/>
    <m/>
    <m/>
    <m/>
    <m/>
    <m/>
    <m/>
    <m/>
    <m/>
    <m/>
    <m/>
    <m/>
  </r>
  <r>
    <x v="12"/>
    <d v="2024-09-25T00:00:00"/>
    <m/>
    <m/>
    <m/>
    <x v="3"/>
    <m/>
    <m/>
    <m/>
    <m/>
    <m/>
    <m/>
    <m/>
    <m/>
    <m/>
    <m/>
    <m/>
    <m/>
  </r>
  <r>
    <x v="13"/>
    <d v="2024-10-01T00:00:00"/>
    <m/>
    <m/>
    <m/>
    <x v="3"/>
    <m/>
    <m/>
    <m/>
    <m/>
    <m/>
    <m/>
    <m/>
    <m/>
    <m/>
    <m/>
    <m/>
    <m/>
  </r>
  <r>
    <x v="14"/>
    <d v="2024-10-02T00:00:00"/>
    <m/>
    <m/>
    <m/>
    <x v="3"/>
    <m/>
    <m/>
    <m/>
    <m/>
    <m/>
    <m/>
    <m/>
    <m/>
    <m/>
    <m/>
    <m/>
    <m/>
  </r>
  <r>
    <x v="15"/>
    <d v="2024-10-02T00:00:00"/>
    <m/>
    <m/>
    <m/>
    <x v="3"/>
    <m/>
    <m/>
    <m/>
    <m/>
    <m/>
    <m/>
    <m/>
    <m/>
    <m/>
    <m/>
    <m/>
    <m/>
  </r>
  <r>
    <x v="0"/>
    <d v="2024-09-12T00:00:00"/>
    <m/>
    <n v="0.86"/>
    <m/>
    <x v="0"/>
    <n v="0.98150000000000004"/>
    <n v="682.5"/>
    <n v="202.52126745255109"/>
    <n v="20.04049611623115"/>
    <n v="296.48390706657369"/>
    <n v="25.490666200450729"/>
    <n v="544.53633683580665"/>
    <n v="25.490666200450729"/>
    <m/>
    <m/>
    <m/>
    <m/>
  </r>
  <r>
    <x v="1"/>
    <d v="2024-09-10T00:00:00"/>
    <m/>
    <n v="0.86499999999999999"/>
    <m/>
    <x v="0"/>
    <n v="0.98099999999999998"/>
    <n v="615"/>
    <n v="281.04966425554591"/>
    <n v="28.160809623230929"/>
    <n v="381.62686438315302"/>
    <n v="54.595464549415837"/>
    <n v="745.43280281134571"/>
    <n v="54.595464549415837"/>
    <m/>
    <m/>
    <m/>
    <m/>
  </r>
  <r>
    <x v="2"/>
    <d v="2024-09-11T00:00:00"/>
    <m/>
    <n v="0.85499999999999998"/>
    <m/>
    <x v="0"/>
    <n v="0.97399999999999998"/>
    <n v="610"/>
    <n v="180.7609958026799"/>
    <n v="33.816756486062623"/>
    <n v="289.73946902206399"/>
    <n v="47.850542432158313"/>
    <n v="552.16776374296478"/>
    <n v="47.850542432158313"/>
    <m/>
    <m/>
    <m/>
    <m/>
  </r>
  <r>
    <x v="3"/>
    <d v="2024-09-13T00:00:00"/>
    <m/>
    <n v="0.84"/>
    <m/>
    <x v="0"/>
    <n v="0.97950000000000004"/>
    <n v="627.5"/>
    <n v="207.10895807007441"/>
    <n v="86.045728211767241"/>
    <n v="341.2705721954016"/>
    <n v="38.489227700605653"/>
    <n v="672.91448617784886"/>
    <n v="38.489227700605653"/>
    <m/>
    <m/>
    <m/>
    <m/>
  </r>
  <r>
    <x v="4"/>
    <d v="2024-09-09T00:00:00"/>
    <m/>
    <n v="0.82750000000000001"/>
    <m/>
    <x v="0"/>
    <n v="0.92900000000000005"/>
    <n v="640"/>
    <n v="162.41552638369561"/>
    <n v="16.710155524751158"/>
    <n v="260.37725295098141"/>
    <n v="45.243379549593968"/>
    <n v="484.74631440902209"/>
    <n v="45.243379549593968"/>
    <m/>
    <m/>
    <m/>
    <m/>
  </r>
  <r>
    <x v="5"/>
    <d v="2024-09-13T00:00:00"/>
    <m/>
    <n v="0.83499999999999996"/>
    <m/>
    <x v="0"/>
    <n v="0.97324999999999995"/>
    <n v="567.5"/>
    <n v="199.0275366558933"/>
    <n v="23.552523844114429"/>
    <n v="289.91993427844369"/>
    <n v="31.275991535149721"/>
    <n v="543.77598631360115"/>
    <n v="31.275991535149721"/>
    <m/>
    <m/>
    <m/>
    <m/>
  </r>
  <r>
    <x v="6"/>
    <d v="2024-09-05T00:00:00"/>
    <m/>
    <n v="0.82499999999999996"/>
    <m/>
    <x v="0"/>
    <n v="0.98199999999999998"/>
    <n v="625"/>
    <n v="201.22531144017481"/>
    <n v="42.17841430801527"/>
    <n v="366.59077584862962"/>
    <n v="33.024158674813172"/>
    <n v="643.01866027163271"/>
    <n v="33.024158674813172"/>
    <m/>
    <m/>
    <m/>
    <m/>
  </r>
  <r>
    <x v="7"/>
    <d v="2024-09-12T00:00:00"/>
    <m/>
    <n v="0.85749999999999993"/>
    <m/>
    <x v="0"/>
    <n v="0.98724999999999996"/>
    <n v="680"/>
    <n v="178.61967923895179"/>
    <n v="47.985011232121963"/>
    <n v="340.28168288315209"/>
    <n v="50.322414393181241"/>
    <n v="617.20878774740709"/>
    <n v="50.322414393181241"/>
    <m/>
    <m/>
    <m/>
    <m/>
  </r>
  <r>
    <x v="8"/>
    <d v="2024-09-12T00:00:00"/>
    <m/>
    <n v="0.85749999999999993"/>
    <m/>
    <x v="0"/>
    <n v="0.98499999999999999"/>
    <n v="655"/>
    <n v="214.08793565560251"/>
    <n v="70.209630332921265"/>
    <n v="365.51516977692057"/>
    <n v="46.660261043259311"/>
    <n v="696.47299680870367"/>
    <n v="46.660261043259311"/>
    <m/>
    <m/>
    <m/>
    <m/>
  </r>
  <r>
    <x v="9"/>
    <d v="2024-09-09T00:00:00"/>
    <m/>
    <n v="0.81499999999999995"/>
    <m/>
    <x v="0"/>
    <n v="0.91700000000000004"/>
    <n v="620"/>
    <n v="174.40729003919671"/>
    <n v="19.239681281464641"/>
    <n v="304.77583951327529"/>
    <n v="46.638825786774142"/>
    <n v="545.06163662071094"/>
    <n v="46.638825786774142"/>
    <m/>
    <m/>
    <m/>
    <m/>
  </r>
  <r>
    <x v="10"/>
    <d v="2024-09-12T00:00:00"/>
    <m/>
    <n v="0.84499999999999997"/>
    <m/>
    <x v="0"/>
    <n v="0.98199999999999998"/>
    <n v="637.5"/>
    <n v="199.81145072810409"/>
    <n v="31.445374083643021"/>
    <n v="336.93742585709151"/>
    <n v="22.59565709409236"/>
    <n v="590.78990776293097"/>
    <n v="22.59565709409236"/>
    <m/>
    <m/>
    <m/>
    <m/>
  </r>
  <r>
    <x v="11"/>
    <d v="2024-09-10T00:00:00"/>
    <m/>
    <n v="0.85"/>
    <m/>
    <x v="0"/>
    <n v="0.98324999999999996"/>
    <n v="627.5"/>
    <n v="233.30390396853161"/>
    <n v="54.604999525596106"/>
    <n v="292.70706092192239"/>
    <n v="30.276819679847101"/>
    <n v="610.89278409589724"/>
    <n v="30.276819679847101"/>
    <m/>
    <m/>
    <m/>
    <m/>
  </r>
  <r>
    <x v="12"/>
    <d v="2024-09-05T00:00:00"/>
    <m/>
    <n v="0.85"/>
    <m/>
    <x v="0"/>
    <n v="0.97899999999999998"/>
    <n v="627.5"/>
    <n v="236.73554182378271"/>
    <n v="35.440858877822819"/>
    <n v="387.95078111228997"/>
    <n v="37.442923298242931"/>
    <n v="697.57010511213855"/>
    <n v="37.442923298242931"/>
    <m/>
    <m/>
    <m/>
    <m/>
  </r>
  <r>
    <x v="13"/>
    <d v="2024-09-11T00:00:00"/>
    <m/>
    <n v="0.83499999999999996"/>
    <m/>
    <x v="0"/>
    <n v="0.96024999999999994"/>
    <n v="577.5"/>
    <n v="207.906861411714"/>
    <n v="45.820231258962451"/>
    <n v="324.70817120490551"/>
    <n v="46.879238151178633"/>
    <n v="625.31450202676058"/>
    <n v="46.879238151178633"/>
    <m/>
    <m/>
    <m/>
    <m/>
  </r>
  <r>
    <x v="14"/>
    <d v="2024-09-11T00:00:00"/>
    <m/>
    <n v="0.87250000000000005"/>
    <m/>
    <x v="0"/>
    <n v="0.98399999999999999"/>
    <n v="607.5"/>
    <n v="237.050206908978"/>
    <n v="56.044106406817697"/>
    <n v="323.29308251086599"/>
    <n v="33.037881119998332"/>
    <n v="649.42527694666001"/>
    <n v="33.037881119998332"/>
    <m/>
    <m/>
    <m/>
    <m/>
  </r>
  <r>
    <x v="15"/>
    <d v="2024-09-12T00:00:00"/>
    <m/>
    <n v="0.82750000000000001"/>
    <m/>
    <x v="0"/>
    <n v="0.97424999999999995"/>
    <n v="652.5"/>
    <n v="179.76557106197609"/>
    <n v="42.993382149113792"/>
    <n v="295.81128315090251"/>
    <n v="27.437421259435212"/>
    <n v="546.0076576214276"/>
    <n v="27.437421259435212"/>
    <m/>
    <m/>
    <m/>
    <m/>
  </r>
  <r>
    <x v="0"/>
    <d v="2024-10-03T00:00:00"/>
    <m/>
    <n v="0.76249999999999996"/>
    <m/>
    <x v="0"/>
    <n v="0.94074999999999998"/>
    <n v="950"/>
    <n v="150.65088023054389"/>
    <n v="34.065994050534542"/>
    <n v="526.19733295786534"/>
    <m/>
    <n v="857.52986332803118"/>
    <n v="146.61565608908731"/>
    <m/>
    <m/>
    <m/>
    <m/>
  </r>
  <r>
    <x v="1"/>
    <d v="2024-10-01T00:00:00"/>
    <m/>
    <n v="0.76500000000000001"/>
    <m/>
    <x v="0"/>
    <n v="0.95524999999999993"/>
    <n v="842.5"/>
    <n v="195.0364920834449"/>
    <n v="65.537057945804747"/>
    <n v="553.47767357731777"/>
    <m/>
    <n v="991.64003505722701"/>
    <n v="177.58881145065951"/>
    <m/>
    <m/>
    <m/>
    <m/>
  </r>
  <r>
    <x v="2"/>
    <d v="2024-10-01T00:00:00"/>
    <m/>
    <n v="0.77500000000000002"/>
    <m/>
    <x v="0"/>
    <n v="0.92649999999999999"/>
    <n v="835"/>
    <n v="152.33414036957211"/>
    <n v="36.646347121755007"/>
    <n v="430.89114665792732"/>
    <m/>
    <n v="756.74364054052421"/>
    <n v="136.87200639126979"/>
    <m/>
    <m/>
    <m/>
    <m/>
  </r>
  <r>
    <x v="3"/>
    <d v="2024-10-02T00:00:00"/>
    <m/>
    <n v="0.76750000000000007"/>
    <m/>
    <x v="0"/>
    <n v="0.95850000000000002"/>
    <n v="915"/>
    <n v="175.12900740823019"/>
    <n v="86.883398027734373"/>
    <n v="498.35116166591808"/>
    <m/>
    <n v="910.48461673124666"/>
    <n v="150.12104962936399"/>
    <m/>
    <m/>
    <m/>
    <m/>
  </r>
  <r>
    <x v="4"/>
    <d v="2024-09-25T00:00:00"/>
    <m/>
    <n v="0.77500000000000002"/>
    <m/>
    <x v="0"/>
    <n v="0.93100000000000005"/>
    <n v="847.5"/>
    <n v="162.68088142710121"/>
    <n v="54.207952131845367"/>
    <n v="563.48254617872499"/>
    <m/>
    <n v="936.24592271283007"/>
    <n v="155.87454297515859"/>
    <m/>
    <m/>
    <m/>
    <m/>
  </r>
  <r>
    <x v="5"/>
    <d v="2024-10-03T00:00:00"/>
    <m/>
    <n v="0.77500000000000002"/>
    <m/>
    <x v="0"/>
    <n v="0.96449999999999991"/>
    <n v="865"/>
    <n v="172.84752174735999"/>
    <n v="47.122960195683163"/>
    <n v="523.02571188253603"/>
    <m/>
    <n v="892.43078195003716"/>
    <n v="149.43458812445789"/>
    <m/>
    <m/>
    <m/>
    <m/>
  </r>
  <r>
    <x v="6"/>
    <d v="2024-09-25T00:00:00"/>
    <m/>
    <n v="0.79"/>
    <m/>
    <x v="0"/>
    <n v="0.95574999999999999"/>
    <n v="880"/>
    <n v="185.37638575602421"/>
    <n v="79.78141493761062"/>
    <n v="664.83794664099696"/>
    <m/>
    <n v="1102.120682612448"/>
    <n v="172.12493527781609"/>
    <m/>
    <m/>
    <m/>
    <m/>
  </r>
  <r>
    <x v="7"/>
    <d v="2024-09-30T00:00:00"/>
    <m/>
    <n v="0.73750000000000004"/>
    <m/>
    <x v="0"/>
    <n v="0.97024999999999995"/>
    <n v="975"/>
    <n v="146.55554279904209"/>
    <n v="59.796588905429381"/>
    <n v="492.93571323436692"/>
    <m/>
    <n v="837.05605501404852"/>
    <n v="137.76821007521019"/>
    <m/>
    <m/>
    <m/>
    <m/>
  </r>
  <r>
    <x v="8"/>
    <d v="2024-10-02T00:00:00"/>
    <m/>
    <n v="0.75"/>
    <m/>
    <x v="0"/>
    <n v="0.96399999999999997"/>
    <n v="947.5"/>
    <n v="199.97879210501779"/>
    <n v="96.013232903131396"/>
    <n v="636.94417946681915"/>
    <m/>
    <n v="1102.9406040602701"/>
    <n v="170.00439958530151"/>
    <m/>
    <m/>
    <m/>
    <m/>
  </r>
  <r>
    <x v="9"/>
    <d v="2024-09-26T00:00:00"/>
    <m/>
    <n v="0.74750000000000005"/>
    <m/>
    <x v="0"/>
    <n v="0.96850000000000003"/>
    <n v="830"/>
    <n v="156.4922452588649"/>
    <n v="51.830545678781192"/>
    <n v="507.55345140921332"/>
    <m/>
    <n v="869.4922808649485"/>
    <n v="153.6160385180892"/>
    <m/>
    <m/>
    <m/>
    <m/>
  </r>
  <r>
    <x v="10"/>
    <d v="2024-10-02T00:00:00"/>
    <m/>
    <n v="0.76"/>
    <m/>
    <x v="0"/>
    <n v="0.93974999999999997"/>
    <n v="917.5"/>
    <n v="208.89824665614961"/>
    <n v="14.955904796970231"/>
    <n v="637.63584292970449"/>
    <m/>
    <n v="1016.41478295196"/>
    <n v="154.9247885691353"/>
    <m/>
    <m/>
    <m/>
    <m/>
  </r>
  <r>
    <x v="11"/>
    <d v="2024-10-01T00:00:00"/>
    <m/>
    <n v="0.58025000000000004"/>
    <m/>
    <x v="0"/>
    <n v="0.94025000000000003"/>
    <n v="855"/>
    <n v="189.7558056412777"/>
    <n v="59.959973209466312"/>
    <n v="547.90105044876668"/>
    <m/>
    <n v="961.31262339421619"/>
    <n v="163.69579409470529"/>
    <m/>
    <m/>
    <m/>
    <m/>
  </r>
  <r>
    <x v="12"/>
    <d v="2024-09-25T00:00:00"/>
    <m/>
    <n v="0.79500000000000004"/>
    <m/>
    <x v="0"/>
    <n v="0.95550000000000002"/>
    <n v="897.5"/>
    <n v="171.03443158211871"/>
    <n v="81.576165836581097"/>
    <n v="628.39551110034733"/>
    <m/>
    <n v="1069.631823693428"/>
    <n v="188.62571517438059"/>
    <m/>
    <m/>
    <m/>
    <m/>
  </r>
  <r>
    <x v="13"/>
    <d v="2024-10-02T00:00:00"/>
    <m/>
    <n v="0.71499999999999997"/>
    <m/>
    <x v="0"/>
    <n v="0.93149999999999999"/>
    <n v="752.5"/>
    <n v="181.1682839506326"/>
    <n v="64.558893607475284"/>
    <n v="544.37858978550889"/>
    <m/>
    <n v="965.76290731983147"/>
    <n v="175.65713997621461"/>
    <m/>
    <m/>
    <m/>
    <m/>
  </r>
  <r>
    <x v="14"/>
    <d v="2024-10-02T00:00:00"/>
    <m/>
    <n v="0.76"/>
    <m/>
    <x v="0"/>
    <n v="0.96624999999999994"/>
    <n v="937.5"/>
    <n v="187.15547304988371"/>
    <n v="85.318797976227202"/>
    <n v="534.81659479520931"/>
    <m/>
    <n v="958.65911741701416"/>
    <n v="151.36825159569401"/>
    <m/>
    <m/>
    <m/>
    <m/>
  </r>
  <r>
    <x v="15"/>
    <d v="2024-10-03T00:00:00"/>
    <m/>
    <n v="0.73750000000000004"/>
    <m/>
    <x v="0"/>
    <n v="0.94899999999999995"/>
    <n v="917.5"/>
    <n v="166.64088232556969"/>
    <n v="81.958415177192734"/>
    <n v="586.89043905796166"/>
    <m/>
    <n v="999.62628247135126"/>
    <n v="164.13654591062729"/>
    <m/>
    <m/>
    <m/>
    <m/>
  </r>
  <r>
    <x v="0"/>
    <d v="2024-11-14T00:00:00"/>
    <m/>
    <m/>
    <m/>
    <x v="0"/>
    <m/>
    <m/>
    <m/>
    <n v="84.812786905148954"/>
    <n v="314.39617913944801"/>
    <n v="125.4410017900279"/>
    <n v="986.57996783462477"/>
    <n v="587.37100179002789"/>
    <n v="461.93"/>
    <n v="3.8621339298652371E-2"/>
    <n v="12002.55036365683"/>
    <s v="HarvestRipe"/>
  </r>
  <r>
    <x v="1"/>
    <d v="2024-11-14T00:00:00"/>
    <m/>
    <m/>
    <m/>
    <x v="0"/>
    <m/>
    <m/>
    <m/>
    <n v="110.8658524383514"/>
    <n v="323.77513191190508"/>
    <n v="166.57609140308941"/>
    <n v="1138.6270757533459"/>
    <n v="703.98609140308929"/>
    <n v="537.41"/>
    <n v="3.9866827988769032E-2"/>
    <n v="13485.63188980552"/>
    <s v="HarvestRipe"/>
  </r>
  <r>
    <x v="2"/>
    <d v="2024-11-14T00:00:00"/>
    <m/>
    <m/>
    <m/>
    <x v="0"/>
    <m/>
    <m/>
    <m/>
    <n v="93.184339550457651"/>
    <n v="304.50964162027299"/>
    <n v="135.79915469500389"/>
    <n v="979.37313586573464"/>
    <n v="581.67915469500394"/>
    <n v="445.88"/>
    <n v="3.8319289560264112E-2"/>
    <n v="11655.876441090521"/>
    <s v="HarvestRipe"/>
  </r>
  <r>
    <x v="3"/>
    <d v="2024-11-14T00:00:00"/>
    <m/>
    <m/>
    <m/>
    <x v="0"/>
    <m/>
    <m/>
    <m/>
    <n v="117.810961436271"/>
    <n v="380.69987728442669"/>
    <n v="156.6750512316215"/>
    <n v="1188.7408899523191"/>
    <n v="690.23005123162147"/>
    <n v="533.55500000000006"/>
    <n v="4.2290480764494362E-2"/>
    <n v="12732.169357077581"/>
    <s v="HarvestRipe"/>
  </r>
  <r>
    <x v="4"/>
    <d v="2024-11-14T00:00:00"/>
    <m/>
    <m/>
    <m/>
    <x v="0"/>
    <m/>
    <m/>
    <m/>
    <n v="82.323109990212814"/>
    <n v="334.25248031698328"/>
    <n v="152.04893823726749"/>
    <n v="1110.7495285444641"/>
    <n v="694.17393823726741"/>
    <n v="542.125"/>
    <n v="3.9570796924811337E-2"/>
    <n v="13701.513209410199"/>
    <s v="HarvestRipe"/>
  </r>
  <r>
    <x v="5"/>
    <d v="2024-11-14T00:00:00"/>
    <m/>
    <m/>
    <m/>
    <x v="0"/>
    <m/>
    <m/>
    <m/>
    <n v="101.50551314905761"/>
    <n v="335.62930483675638"/>
    <n v="142.6370302789858"/>
    <n v="1056.3618482648001"/>
    <n v="619.22703027898581"/>
    <n v="476.59"/>
    <n v="3.4264042656772097E-2"/>
    <n v="13870.70875727802"/>
    <s v="HarvestRipe"/>
  </r>
  <r>
    <x v="6"/>
    <d v="2024-11-14T00:00:00"/>
    <m/>
    <m/>
    <m/>
    <x v="0"/>
    <m/>
    <m/>
    <m/>
    <n v="88.613314795858287"/>
    <n v="337.03364909284699"/>
    <n v="143.57285812777491"/>
    <n v="1183.7748220164799"/>
    <n v="758.12785812777497"/>
    <n v="614.55500000000006"/>
    <n v="4.1078357896464877E-2"/>
    <n v="14971.51746134088"/>
    <s v="HarvestRipe"/>
  </r>
  <r>
    <x v="7"/>
    <d v="2024-11-14T00:00:00"/>
    <m/>
    <m/>
    <m/>
    <x v="0"/>
    <m/>
    <m/>
    <m/>
    <n v="107.81315080888589"/>
    <n v="377.35028807751729"/>
    <n v="155.3175456689836"/>
    <n v="1106.040984555387"/>
    <n v="620.87754566898354"/>
    <n v="465.56"/>
    <n v="3.6711959598558927E-2"/>
    <n v="12783.13564877307"/>
    <s v="HarvestRipe"/>
  </r>
  <r>
    <x v="8"/>
    <d v="2024-11-14T00:00:00"/>
    <m/>
    <m/>
    <m/>
    <x v="0"/>
    <m/>
    <m/>
    <m/>
    <n v="115.1394823630547"/>
    <n v="363.35733179396851"/>
    <n v="141.27999045155329"/>
    <n v="1136.646804608577"/>
    <n v="658.14999045155332"/>
    <n v="516.87"/>
    <n v="3.7949922727711777E-2"/>
    <n v="13617.049746292791"/>
    <s v="HarvestRipe"/>
  </r>
  <r>
    <x v="9"/>
    <d v="2024-11-14T00:00:00"/>
    <m/>
    <m/>
    <m/>
    <x v="0"/>
    <m/>
    <m/>
    <m/>
    <n v="74.671483444952727"/>
    <n v="281.18689410062183"/>
    <n v="120.5614480742542"/>
    <n v="970.10982561982883"/>
    <n v="614.2514480742542"/>
    <n v="493.69"/>
    <n v="4.5656364363389809E-2"/>
    <n v="10974.692766303449"/>
    <s v="HarvestRipe"/>
  </r>
  <r>
    <x v="10"/>
    <d v="2024-11-14T00:00:00"/>
    <m/>
    <m/>
    <m/>
    <x v="0"/>
    <m/>
    <m/>
    <m/>
    <n v="83.299368084683366"/>
    <n v="314.3994371549075"/>
    <n v="123.9078241231925"/>
    <n v="1044.0416293627829"/>
    <n v="646.3428241231926"/>
    <n v="522.43500000000006"/>
    <n v="3.8957733265720093E-2"/>
    <n v="13467.507898776599"/>
    <s v="HarvestRipe"/>
  </r>
  <r>
    <x v="11"/>
    <d v="2024-11-14T00:00:00"/>
    <m/>
    <m/>
    <m/>
    <x v="0"/>
    <m/>
    <m/>
    <m/>
    <n v="96.684565806515607"/>
    <n v="320.80400359373448"/>
    <n v="150.91241196817319"/>
    <n v="1065.1609813684231"/>
    <n v="647.67241196817315"/>
    <n v="496.76"/>
    <n v="3.7971680582237329E-2"/>
    <n v="13068.22098336198"/>
    <s v="HarvestRipe"/>
  </r>
  <r>
    <x v="12"/>
    <d v="2024-11-14T00:00:00"/>
    <m/>
    <m/>
    <m/>
    <x v="0"/>
    <m/>
    <m/>
    <m/>
    <n v="113.4921792652508"/>
    <n v="339.52923561600522"/>
    <n v="154.77551899334259"/>
    <n v="1164.016933874598"/>
    <n v="710.99551899334256"/>
    <n v="556.22"/>
    <n v="3.6170430933567463E-2"/>
    <n v="15511.158321299799"/>
    <s v="HarvestRipe"/>
  </r>
  <r>
    <x v="13"/>
    <d v="2024-11-14T00:00:00"/>
    <m/>
    <m/>
    <m/>
    <x v="0"/>
    <m/>
    <m/>
    <m/>
    <n v="86.278130213068081"/>
    <n v="295.97775211870379"/>
    <n v="154.0739530935335"/>
    <n v="1019.049835425305"/>
    <n v="636.79395309353345"/>
    <n v="482.72"/>
    <n v="4.3646511322332882E-2"/>
    <n v="11147.43704788128"/>
    <s v="HarvestRipe"/>
  </r>
  <r>
    <x v="14"/>
    <d v="2024-11-14T00:00:00"/>
    <m/>
    <m/>
    <m/>
    <x v="0"/>
    <m/>
    <m/>
    <m/>
    <n v="90.65280788255609"/>
    <n v="323.87211485781472"/>
    <n v="134.3229737677141"/>
    <n v="952.67289650808493"/>
    <n v="538.14797376771401"/>
    <n v="403.82499999999999"/>
    <n v="3.698969183735519E-2"/>
    <n v="10935.137211216001"/>
    <s v="HarvestRipe"/>
  </r>
  <r>
    <x v="15"/>
    <d v="2024-11-14T00:00:00"/>
    <m/>
    <m/>
    <m/>
    <x v="0"/>
    <m/>
    <m/>
    <m/>
    <n v="106.4474698280012"/>
    <n v="347.65362804253442"/>
    <n v="133.86509727596089"/>
    <n v="1063.5461951464961"/>
    <n v="609.44509727596085"/>
    <n v="475.58"/>
    <n v="4.3106588060283862E-2"/>
    <n v="11167.35229024922"/>
    <s v="HarvestRi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76445-AE18-40FE-A054-14B5979AAFDE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0:I27" firstHeaderRow="1" firstDataRow="2" firstDataCol="1"/>
  <pivotFields count="18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numFmtId="164" showAll="0"/>
    <pivotField showAll="0"/>
    <pivotField showAll="0"/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5"/>
  </colFields>
  <colItems count="3">
    <i>
      <x/>
    </i>
    <i>
      <x v="1"/>
    </i>
    <i>
      <x v="2"/>
    </i>
  </colItems>
  <dataFields count="1">
    <dataField name="Max of Clock.Today" fld="1" subtotal="max" baseField="0" baseItem="0" numFmtId="165"/>
  </dataFields>
  <formats count="5"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dataOnly="0" labelOnly="1" fieldPosition="0">
        <references count="1">
          <reference field="0" count="1">
            <x v="0"/>
          </reference>
        </references>
      </pivotArea>
    </format>
    <format dxfId="2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1">
            <x v="7"/>
          </reference>
        </references>
      </pivotArea>
    </format>
    <format dxfId="0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3"/>
  <sheetViews>
    <sheetView tabSelected="1" workbookViewId="0">
      <selection activeCell="D2" sqref="D2"/>
    </sheetView>
  </sheetViews>
  <sheetFormatPr defaultRowHeight="15" x14ac:dyDescent="0.25"/>
  <cols>
    <col min="1" max="1" width="40.85546875" bestFit="1" customWidth="1"/>
    <col min="2" max="2" width="17.85546875" bestFit="1" customWidth="1"/>
    <col min="4" max="4" width="21.5703125" bestFit="1" customWidth="1"/>
  </cols>
  <sheetData>
    <row r="1" spans="1:18" x14ac:dyDescent="0.25">
      <c r="A1" s="1" t="s">
        <v>14</v>
      </c>
      <c r="B1" s="1" t="s">
        <v>15</v>
      </c>
      <c r="C1" s="1" t="s">
        <v>0</v>
      </c>
      <c r="D1" s="1" t="s">
        <v>42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t="s">
        <v>33</v>
      </c>
    </row>
    <row r="2" spans="1:18" x14ac:dyDescent="0.25">
      <c r="A2" s="1" t="s">
        <v>16</v>
      </c>
      <c r="B2" s="2">
        <v>45443</v>
      </c>
      <c r="D2">
        <v>0.17</v>
      </c>
    </row>
    <row r="3" spans="1:18" x14ac:dyDescent="0.25">
      <c r="A3" s="1" t="s">
        <v>16</v>
      </c>
      <c r="B3" s="2">
        <v>45460</v>
      </c>
      <c r="D3">
        <v>0.16</v>
      </c>
    </row>
    <row r="4" spans="1:18" x14ac:dyDescent="0.25">
      <c r="A4" s="1" t="s">
        <v>16</v>
      </c>
      <c r="B4" s="2">
        <v>45474</v>
      </c>
      <c r="D4">
        <v>0.24249999999999999</v>
      </c>
    </row>
    <row r="5" spans="1:18" x14ac:dyDescent="0.25">
      <c r="A5" s="1" t="s">
        <v>16</v>
      </c>
      <c r="B5" s="2">
        <v>45487</v>
      </c>
      <c r="D5">
        <v>0.34250000000000003</v>
      </c>
    </row>
    <row r="6" spans="1:18" x14ac:dyDescent="0.25">
      <c r="A6" s="1" t="s">
        <v>16</v>
      </c>
      <c r="B6" s="2">
        <v>45502</v>
      </c>
      <c r="D6">
        <v>0.47</v>
      </c>
    </row>
    <row r="7" spans="1:18" x14ac:dyDescent="0.25">
      <c r="A7" s="1" t="s">
        <v>16</v>
      </c>
      <c r="B7" s="2">
        <v>45513</v>
      </c>
      <c r="D7">
        <v>0.54749999999999999</v>
      </c>
    </row>
    <row r="8" spans="1:18" x14ac:dyDescent="0.25">
      <c r="A8" s="1" t="s">
        <v>16</v>
      </c>
      <c r="B8" s="2">
        <v>45526</v>
      </c>
      <c r="D8">
        <v>0.67749999999999999</v>
      </c>
    </row>
    <row r="9" spans="1:18" x14ac:dyDescent="0.25">
      <c r="A9" s="1" t="s">
        <v>16</v>
      </c>
      <c r="B9" s="2">
        <v>45548</v>
      </c>
      <c r="D9">
        <v>0.83499999999999996</v>
      </c>
    </row>
    <row r="10" spans="1:18" x14ac:dyDescent="0.25">
      <c r="A10" s="1" t="s">
        <v>16</v>
      </c>
      <c r="B10" s="2">
        <v>45559</v>
      </c>
      <c r="D10">
        <v>0.79249999999999998</v>
      </c>
    </row>
    <row r="11" spans="1:18" x14ac:dyDescent="0.25">
      <c r="A11" s="1" t="s">
        <v>16</v>
      </c>
      <c r="B11" s="2">
        <v>45571</v>
      </c>
      <c r="D11">
        <v>0.71</v>
      </c>
    </row>
    <row r="12" spans="1:18" x14ac:dyDescent="0.25">
      <c r="A12" s="1" t="s">
        <v>16</v>
      </c>
      <c r="B12" s="2">
        <v>45582</v>
      </c>
      <c r="D12">
        <v>0.57750000000000001</v>
      </c>
    </row>
    <row r="13" spans="1:18" x14ac:dyDescent="0.25">
      <c r="A13" s="1" t="s">
        <v>16</v>
      </c>
      <c r="B13" s="2">
        <v>45594</v>
      </c>
      <c r="D13">
        <v>0.38500000000000001</v>
      </c>
    </row>
    <row r="14" spans="1:18" x14ac:dyDescent="0.25">
      <c r="A14" s="1" t="s">
        <v>16</v>
      </c>
      <c r="B14" s="2">
        <v>45609</v>
      </c>
      <c r="D14">
        <v>0.1125</v>
      </c>
    </row>
    <row r="15" spans="1:18" x14ac:dyDescent="0.25">
      <c r="A15" s="1" t="s">
        <v>17</v>
      </c>
      <c r="B15" s="2">
        <v>45443</v>
      </c>
      <c r="D15">
        <v>0.28499999999999998</v>
      </c>
    </row>
    <row r="16" spans="1:18" x14ac:dyDescent="0.25">
      <c r="A16" s="1" t="s">
        <v>17</v>
      </c>
      <c r="B16" s="2">
        <v>45460</v>
      </c>
      <c r="D16">
        <v>0.375</v>
      </c>
    </row>
    <row r="17" spans="1:4" x14ac:dyDescent="0.25">
      <c r="A17" s="1" t="s">
        <v>17</v>
      </c>
      <c r="B17" s="2">
        <v>45474</v>
      </c>
      <c r="D17">
        <v>0.5</v>
      </c>
    </row>
    <row r="18" spans="1:4" x14ac:dyDescent="0.25">
      <c r="A18" s="1" t="s">
        <v>17</v>
      </c>
      <c r="B18" s="2">
        <v>45487</v>
      </c>
      <c r="D18">
        <v>0.61</v>
      </c>
    </row>
    <row r="19" spans="1:4" x14ac:dyDescent="0.25">
      <c r="A19" s="1" t="s">
        <v>17</v>
      </c>
      <c r="B19" s="2">
        <v>45502</v>
      </c>
      <c r="D19">
        <v>0.67249999999999999</v>
      </c>
    </row>
    <row r="20" spans="1:4" x14ac:dyDescent="0.25">
      <c r="A20" s="1" t="s">
        <v>17</v>
      </c>
      <c r="B20" s="2">
        <v>45513</v>
      </c>
      <c r="D20">
        <v>0.69</v>
      </c>
    </row>
    <row r="21" spans="1:4" x14ac:dyDescent="0.25">
      <c r="A21" s="1" t="s">
        <v>17</v>
      </c>
      <c r="B21" s="2">
        <v>45526</v>
      </c>
      <c r="D21">
        <v>0.74</v>
      </c>
    </row>
    <row r="22" spans="1:4" x14ac:dyDescent="0.25">
      <c r="A22" s="1" t="s">
        <v>17</v>
      </c>
      <c r="B22" s="2">
        <v>45548</v>
      </c>
      <c r="D22">
        <v>0.83499999999999996</v>
      </c>
    </row>
    <row r="23" spans="1:4" x14ac:dyDescent="0.25">
      <c r="A23" s="1" t="s">
        <v>17</v>
      </c>
      <c r="B23" s="2">
        <v>45559</v>
      </c>
      <c r="D23">
        <v>0.77749999999999997</v>
      </c>
    </row>
    <row r="24" spans="1:4" x14ac:dyDescent="0.25">
      <c r="A24" s="1" t="s">
        <v>17</v>
      </c>
      <c r="B24" s="2">
        <v>45571</v>
      </c>
      <c r="D24">
        <v>0.72750000000000004</v>
      </c>
    </row>
    <row r="25" spans="1:4" x14ac:dyDescent="0.25">
      <c r="A25" s="1" t="s">
        <v>17</v>
      </c>
      <c r="B25" s="2">
        <v>45582</v>
      </c>
      <c r="D25">
        <v>0.5575</v>
      </c>
    </row>
    <row r="26" spans="1:4" x14ac:dyDescent="0.25">
      <c r="A26" s="1" t="s">
        <v>17</v>
      </c>
      <c r="B26" s="2">
        <v>45594</v>
      </c>
      <c r="D26">
        <v>0.34749999999999998</v>
      </c>
    </row>
    <row r="27" spans="1:4" x14ac:dyDescent="0.25">
      <c r="A27" s="1" t="s">
        <v>17</v>
      </c>
      <c r="B27" s="2">
        <v>45609</v>
      </c>
      <c r="D27">
        <v>0.12</v>
      </c>
    </row>
    <row r="28" spans="1:4" x14ac:dyDescent="0.25">
      <c r="A28" s="1" t="s">
        <v>18</v>
      </c>
      <c r="B28" s="2">
        <v>45443</v>
      </c>
      <c r="D28">
        <v>0.1825</v>
      </c>
    </row>
    <row r="29" spans="1:4" x14ac:dyDescent="0.25">
      <c r="A29" s="1" t="s">
        <v>18</v>
      </c>
      <c r="B29" s="2">
        <v>45460</v>
      </c>
      <c r="D29">
        <v>0.19</v>
      </c>
    </row>
    <row r="30" spans="1:4" x14ac:dyDescent="0.25">
      <c r="A30" s="1" t="s">
        <v>18</v>
      </c>
      <c r="B30" s="2">
        <v>45474</v>
      </c>
      <c r="D30">
        <v>0.27500000000000002</v>
      </c>
    </row>
    <row r="31" spans="1:4" x14ac:dyDescent="0.25">
      <c r="A31" s="1" t="s">
        <v>18</v>
      </c>
      <c r="B31" s="2">
        <v>45487</v>
      </c>
      <c r="D31">
        <v>0.39250000000000002</v>
      </c>
    </row>
    <row r="32" spans="1:4" x14ac:dyDescent="0.25">
      <c r="A32" s="1" t="s">
        <v>18</v>
      </c>
      <c r="B32" s="2">
        <v>45502</v>
      </c>
      <c r="D32">
        <v>0.54749999999999999</v>
      </c>
    </row>
    <row r="33" spans="1:4" x14ac:dyDescent="0.25">
      <c r="A33" s="1" t="s">
        <v>18</v>
      </c>
      <c r="B33" s="2">
        <v>45513</v>
      </c>
      <c r="D33">
        <v>0.61499999999999999</v>
      </c>
    </row>
    <row r="34" spans="1:4" x14ac:dyDescent="0.25">
      <c r="A34" s="1" t="s">
        <v>18</v>
      </c>
      <c r="B34" s="2">
        <v>45526</v>
      </c>
      <c r="D34">
        <v>0.6925</v>
      </c>
    </row>
    <row r="35" spans="1:4" x14ac:dyDescent="0.25">
      <c r="A35" s="1" t="s">
        <v>18</v>
      </c>
      <c r="B35" s="2">
        <v>45548</v>
      </c>
      <c r="D35">
        <v>0.83749999999999991</v>
      </c>
    </row>
    <row r="36" spans="1:4" x14ac:dyDescent="0.25">
      <c r="A36" s="1" t="s">
        <v>18</v>
      </c>
      <c r="B36" s="2">
        <v>45559</v>
      </c>
      <c r="D36">
        <v>0.78249999999999997</v>
      </c>
    </row>
    <row r="37" spans="1:4" x14ac:dyDescent="0.25">
      <c r="A37" s="1" t="s">
        <v>18</v>
      </c>
      <c r="B37" s="2">
        <v>45571</v>
      </c>
      <c r="D37">
        <v>0.70499999999999996</v>
      </c>
    </row>
    <row r="38" spans="1:4" x14ac:dyDescent="0.25">
      <c r="A38" s="1" t="s">
        <v>18</v>
      </c>
      <c r="B38" s="2">
        <v>45582</v>
      </c>
      <c r="D38">
        <v>0.50249999999999995</v>
      </c>
    </row>
    <row r="39" spans="1:4" x14ac:dyDescent="0.25">
      <c r="A39" s="1" t="s">
        <v>18</v>
      </c>
      <c r="B39" s="2">
        <v>45594</v>
      </c>
      <c r="D39">
        <v>0.3075</v>
      </c>
    </row>
    <row r="40" spans="1:4" x14ac:dyDescent="0.25">
      <c r="A40" s="1" t="s">
        <v>18</v>
      </c>
      <c r="B40" s="2">
        <v>45609</v>
      </c>
      <c r="D40">
        <v>0.11</v>
      </c>
    </row>
    <row r="41" spans="1:4" x14ac:dyDescent="0.25">
      <c r="A41" s="1" t="s">
        <v>19</v>
      </c>
      <c r="B41" s="2">
        <v>45443</v>
      </c>
      <c r="D41">
        <v>0.33250000000000002</v>
      </c>
    </row>
    <row r="42" spans="1:4" x14ac:dyDescent="0.25">
      <c r="A42" s="1" t="s">
        <v>19</v>
      </c>
      <c r="B42" s="2">
        <v>45460</v>
      </c>
      <c r="D42">
        <v>0.42749999999999999</v>
      </c>
    </row>
    <row r="43" spans="1:4" x14ac:dyDescent="0.25">
      <c r="A43" s="1" t="s">
        <v>19</v>
      </c>
      <c r="B43" s="2">
        <v>45474</v>
      </c>
      <c r="D43">
        <v>0.57250000000000001</v>
      </c>
    </row>
    <row r="44" spans="1:4" x14ac:dyDescent="0.25">
      <c r="A44" s="1" t="s">
        <v>19</v>
      </c>
      <c r="B44" s="2">
        <v>45487</v>
      </c>
      <c r="D44">
        <v>0.64500000000000002</v>
      </c>
    </row>
    <row r="45" spans="1:4" x14ac:dyDescent="0.25">
      <c r="A45" s="1" t="s">
        <v>19</v>
      </c>
      <c r="B45" s="2">
        <v>45502</v>
      </c>
      <c r="D45">
        <v>0.71250000000000002</v>
      </c>
    </row>
    <row r="46" spans="1:4" x14ac:dyDescent="0.25">
      <c r="A46" s="1" t="s">
        <v>19</v>
      </c>
      <c r="B46" s="2">
        <v>45513</v>
      </c>
      <c r="D46">
        <v>0.71750000000000003</v>
      </c>
    </row>
    <row r="47" spans="1:4" x14ac:dyDescent="0.25">
      <c r="A47" s="1" t="s">
        <v>19</v>
      </c>
      <c r="B47" s="2">
        <v>45526</v>
      </c>
      <c r="D47">
        <v>0.68500000000000005</v>
      </c>
    </row>
    <row r="48" spans="1:4" x14ac:dyDescent="0.25">
      <c r="A48" s="1" t="s">
        <v>19</v>
      </c>
      <c r="B48" s="2">
        <v>45548</v>
      </c>
      <c r="D48">
        <v>0.84499999999999997</v>
      </c>
    </row>
    <row r="49" spans="1:4" x14ac:dyDescent="0.25">
      <c r="A49" s="1" t="s">
        <v>19</v>
      </c>
      <c r="B49" s="2">
        <v>45559</v>
      </c>
      <c r="D49">
        <v>0.8</v>
      </c>
    </row>
    <row r="50" spans="1:4" x14ac:dyDescent="0.25">
      <c r="A50" s="1" t="s">
        <v>19</v>
      </c>
      <c r="B50" s="2">
        <v>45571</v>
      </c>
      <c r="D50">
        <v>0.745</v>
      </c>
    </row>
    <row r="51" spans="1:4" x14ac:dyDescent="0.25">
      <c r="A51" s="1" t="s">
        <v>19</v>
      </c>
      <c r="B51" s="2">
        <v>45582</v>
      </c>
      <c r="D51">
        <v>0.61</v>
      </c>
    </row>
    <row r="52" spans="1:4" x14ac:dyDescent="0.25">
      <c r="A52" s="1" t="s">
        <v>19</v>
      </c>
      <c r="B52" s="2">
        <v>45594</v>
      </c>
      <c r="D52">
        <v>0.46</v>
      </c>
    </row>
    <row r="53" spans="1:4" x14ac:dyDescent="0.25">
      <c r="A53" s="1" t="s">
        <v>19</v>
      </c>
      <c r="B53" s="2">
        <v>45609</v>
      </c>
      <c r="D53">
        <v>0.12</v>
      </c>
    </row>
    <row r="54" spans="1:4" x14ac:dyDescent="0.25">
      <c r="A54" s="1" t="s">
        <v>20</v>
      </c>
      <c r="B54" s="2">
        <v>45443</v>
      </c>
      <c r="D54">
        <v>0.16500000000000001</v>
      </c>
    </row>
    <row r="55" spans="1:4" x14ac:dyDescent="0.25">
      <c r="A55" s="1" t="s">
        <v>20</v>
      </c>
      <c r="B55" s="2">
        <v>45460</v>
      </c>
      <c r="D55">
        <v>0.16500000000000001</v>
      </c>
    </row>
    <row r="56" spans="1:4" x14ac:dyDescent="0.25">
      <c r="A56" s="1" t="s">
        <v>20</v>
      </c>
      <c r="B56" s="2">
        <v>45474</v>
      </c>
      <c r="D56">
        <v>0.26750000000000002</v>
      </c>
    </row>
    <row r="57" spans="1:4" x14ac:dyDescent="0.25">
      <c r="A57" s="1" t="s">
        <v>20</v>
      </c>
      <c r="B57" s="2">
        <v>45487</v>
      </c>
      <c r="D57">
        <v>0.35499999999999998</v>
      </c>
    </row>
    <row r="58" spans="1:4" x14ac:dyDescent="0.25">
      <c r="A58" s="1" t="s">
        <v>20</v>
      </c>
      <c r="B58" s="2">
        <v>45502</v>
      </c>
      <c r="D58">
        <v>0.51750000000000007</v>
      </c>
    </row>
    <row r="59" spans="1:4" x14ac:dyDescent="0.25">
      <c r="A59" s="1" t="s">
        <v>20</v>
      </c>
      <c r="B59" s="2">
        <v>45513</v>
      </c>
      <c r="D59">
        <v>0.56000000000000005</v>
      </c>
    </row>
    <row r="60" spans="1:4" x14ac:dyDescent="0.25">
      <c r="A60" s="1" t="s">
        <v>20</v>
      </c>
      <c r="B60" s="2">
        <v>45526</v>
      </c>
      <c r="D60">
        <v>0.66</v>
      </c>
    </row>
    <row r="61" spans="1:4" x14ac:dyDescent="0.25">
      <c r="A61" s="1" t="s">
        <v>20</v>
      </c>
      <c r="B61" s="2">
        <v>45548</v>
      </c>
      <c r="D61">
        <v>0.80249999999999999</v>
      </c>
    </row>
    <row r="62" spans="1:4" x14ac:dyDescent="0.25">
      <c r="A62" s="1" t="s">
        <v>20</v>
      </c>
      <c r="B62" s="2">
        <v>45559</v>
      </c>
      <c r="D62">
        <v>0.71249999999999991</v>
      </c>
    </row>
    <row r="63" spans="1:4" x14ac:dyDescent="0.25">
      <c r="A63" s="1" t="s">
        <v>20</v>
      </c>
      <c r="B63" s="2">
        <v>45571</v>
      </c>
      <c r="D63">
        <v>0.66500000000000004</v>
      </c>
    </row>
    <row r="64" spans="1:4" x14ac:dyDescent="0.25">
      <c r="A64" s="1" t="s">
        <v>20</v>
      </c>
      <c r="B64" s="2">
        <v>45582</v>
      </c>
      <c r="D64">
        <v>0.435</v>
      </c>
    </row>
    <row r="65" spans="1:4" x14ac:dyDescent="0.25">
      <c r="A65" s="1" t="s">
        <v>20</v>
      </c>
      <c r="B65" s="2">
        <v>45594</v>
      </c>
      <c r="D65">
        <v>0.2525</v>
      </c>
    </row>
    <row r="66" spans="1:4" x14ac:dyDescent="0.25">
      <c r="A66" s="1" t="s">
        <v>20</v>
      </c>
      <c r="B66" s="2">
        <v>45609</v>
      </c>
      <c r="D66">
        <v>0.11749999999999999</v>
      </c>
    </row>
    <row r="67" spans="1:4" x14ac:dyDescent="0.25">
      <c r="A67" s="1" t="s">
        <v>21</v>
      </c>
      <c r="B67" s="2">
        <v>45443</v>
      </c>
      <c r="D67">
        <v>0.17749999999999999</v>
      </c>
    </row>
    <row r="68" spans="1:4" x14ac:dyDescent="0.25">
      <c r="A68" s="1" t="s">
        <v>21</v>
      </c>
      <c r="B68" s="2">
        <v>45460</v>
      </c>
      <c r="D68">
        <v>0.17249999999999999</v>
      </c>
    </row>
    <row r="69" spans="1:4" x14ac:dyDescent="0.25">
      <c r="A69" s="1" t="s">
        <v>21</v>
      </c>
      <c r="B69" s="2">
        <v>45474</v>
      </c>
      <c r="D69">
        <v>0.2525</v>
      </c>
    </row>
    <row r="70" spans="1:4" x14ac:dyDescent="0.25">
      <c r="A70" s="1" t="s">
        <v>21</v>
      </c>
      <c r="B70" s="2">
        <v>45487</v>
      </c>
      <c r="D70">
        <v>0.38750000000000001</v>
      </c>
    </row>
    <row r="71" spans="1:4" x14ac:dyDescent="0.25">
      <c r="A71" s="1" t="s">
        <v>21</v>
      </c>
      <c r="B71" s="2">
        <v>45502</v>
      </c>
      <c r="D71">
        <v>0.54249999999999998</v>
      </c>
    </row>
    <row r="72" spans="1:4" x14ac:dyDescent="0.25">
      <c r="A72" s="1" t="s">
        <v>21</v>
      </c>
      <c r="B72" s="2">
        <v>45513</v>
      </c>
      <c r="D72">
        <v>0.61250000000000004</v>
      </c>
    </row>
    <row r="73" spans="1:4" x14ac:dyDescent="0.25">
      <c r="A73" s="1" t="s">
        <v>21</v>
      </c>
      <c r="B73" s="2">
        <v>45526</v>
      </c>
      <c r="D73">
        <v>0.72</v>
      </c>
    </row>
    <row r="74" spans="1:4" x14ac:dyDescent="0.25">
      <c r="A74" s="1" t="s">
        <v>21</v>
      </c>
      <c r="B74" s="2">
        <v>45548</v>
      </c>
      <c r="D74">
        <v>0.83749999999999991</v>
      </c>
    </row>
    <row r="75" spans="1:4" x14ac:dyDescent="0.25">
      <c r="A75" s="1" t="s">
        <v>21</v>
      </c>
      <c r="B75" s="2">
        <v>45559</v>
      </c>
      <c r="D75">
        <v>0.8</v>
      </c>
    </row>
    <row r="76" spans="1:4" x14ac:dyDescent="0.25">
      <c r="A76" s="1" t="s">
        <v>21</v>
      </c>
      <c r="B76" s="2">
        <v>45571</v>
      </c>
      <c r="D76">
        <v>0.73</v>
      </c>
    </row>
    <row r="77" spans="1:4" x14ac:dyDescent="0.25">
      <c r="A77" s="1" t="s">
        <v>21</v>
      </c>
      <c r="B77" s="2">
        <v>45582</v>
      </c>
      <c r="D77">
        <v>0.59750000000000003</v>
      </c>
    </row>
    <row r="78" spans="1:4" x14ac:dyDescent="0.25">
      <c r="A78" s="1" t="s">
        <v>21</v>
      </c>
      <c r="B78" s="2">
        <v>45594</v>
      </c>
      <c r="D78">
        <v>0.41</v>
      </c>
    </row>
    <row r="79" spans="1:4" x14ac:dyDescent="0.25">
      <c r="A79" s="1" t="s">
        <v>21</v>
      </c>
      <c r="B79" s="2">
        <v>45609</v>
      </c>
      <c r="D79">
        <v>0.125</v>
      </c>
    </row>
    <row r="80" spans="1:4" x14ac:dyDescent="0.25">
      <c r="A80" s="1" t="s">
        <v>22</v>
      </c>
      <c r="B80" s="2">
        <v>45443</v>
      </c>
      <c r="D80">
        <v>0.26750000000000002</v>
      </c>
    </row>
    <row r="81" spans="1:4" x14ac:dyDescent="0.25">
      <c r="A81" s="1" t="s">
        <v>22</v>
      </c>
      <c r="B81" s="2">
        <v>45460</v>
      </c>
      <c r="D81">
        <v>0.29749999999999999</v>
      </c>
    </row>
    <row r="82" spans="1:4" x14ac:dyDescent="0.25">
      <c r="A82" s="1" t="s">
        <v>22</v>
      </c>
      <c r="B82" s="2">
        <v>45474</v>
      </c>
      <c r="D82">
        <v>0.44</v>
      </c>
    </row>
    <row r="83" spans="1:4" x14ac:dyDescent="0.25">
      <c r="A83" s="1" t="s">
        <v>22</v>
      </c>
      <c r="B83" s="2">
        <v>45487</v>
      </c>
      <c r="D83">
        <v>0.51</v>
      </c>
    </row>
    <row r="84" spans="1:4" x14ac:dyDescent="0.25">
      <c r="A84" s="1" t="s">
        <v>22</v>
      </c>
      <c r="B84" s="2">
        <v>45502</v>
      </c>
      <c r="D84">
        <v>0.59250000000000003</v>
      </c>
    </row>
    <row r="85" spans="1:4" x14ac:dyDescent="0.25">
      <c r="A85" s="1" t="s">
        <v>22</v>
      </c>
      <c r="B85" s="2">
        <v>45513</v>
      </c>
      <c r="D85">
        <v>0.63749999999999996</v>
      </c>
    </row>
    <row r="86" spans="1:4" x14ac:dyDescent="0.25">
      <c r="A86" s="1" t="s">
        <v>22</v>
      </c>
      <c r="B86" s="2">
        <v>45526</v>
      </c>
      <c r="D86">
        <v>0.66249999999999998</v>
      </c>
    </row>
    <row r="87" spans="1:4" x14ac:dyDescent="0.25">
      <c r="A87" s="1" t="s">
        <v>22</v>
      </c>
      <c r="B87" s="2">
        <v>45548</v>
      </c>
      <c r="D87">
        <v>0.81</v>
      </c>
    </row>
    <row r="88" spans="1:4" x14ac:dyDescent="0.25">
      <c r="A88" s="1" t="s">
        <v>22</v>
      </c>
      <c r="B88" s="2">
        <v>45559</v>
      </c>
      <c r="D88">
        <v>0.75249999999999995</v>
      </c>
    </row>
    <row r="89" spans="1:4" x14ac:dyDescent="0.25">
      <c r="A89" s="1" t="s">
        <v>22</v>
      </c>
      <c r="B89" s="2">
        <v>45571</v>
      </c>
      <c r="D89">
        <v>0.67999999999999994</v>
      </c>
    </row>
    <row r="90" spans="1:4" x14ac:dyDescent="0.25">
      <c r="A90" s="1" t="s">
        <v>22</v>
      </c>
      <c r="B90" s="2">
        <v>45582</v>
      </c>
      <c r="D90">
        <v>0.46250000000000002</v>
      </c>
    </row>
    <row r="91" spans="1:4" x14ac:dyDescent="0.25">
      <c r="A91" s="1" t="s">
        <v>22</v>
      </c>
      <c r="B91" s="2">
        <v>45594</v>
      </c>
      <c r="D91">
        <v>0.26</v>
      </c>
    </row>
    <row r="92" spans="1:4" x14ac:dyDescent="0.25">
      <c r="A92" s="1" t="s">
        <v>22</v>
      </c>
      <c r="B92" s="2">
        <v>45609</v>
      </c>
      <c r="D92">
        <v>0.11749999999999999</v>
      </c>
    </row>
    <row r="93" spans="1:4" x14ac:dyDescent="0.25">
      <c r="A93" s="1" t="s">
        <v>23</v>
      </c>
      <c r="B93" s="2">
        <v>45443</v>
      </c>
      <c r="D93">
        <v>0.27750000000000002</v>
      </c>
    </row>
    <row r="94" spans="1:4" x14ac:dyDescent="0.25">
      <c r="A94" s="1" t="s">
        <v>23</v>
      </c>
      <c r="B94" s="2">
        <v>45460</v>
      </c>
      <c r="D94">
        <v>0.34250000000000003</v>
      </c>
    </row>
    <row r="95" spans="1:4" x14ac:dyDescent="0.25">
      <c r="A95" s="1" t="s">
        <v>23</v>
      </c>
      <c r="B95" s="2">
        <v>45474</v>
      </c>
      <c r="D95">
        <v>0.49</v>
      </c>
    </row>
    <row r="96" spans="1:4" x14ac:dyDescent="0.25">
      <c r="A96" s="1" t="s">
        <v>23</v>
      </c>
      <c r="B96" s="2">
        <v>45487</v>
      </c>
      <c r="D96">
        <v>0.59000000000000008</v>
      </c>
    </row>
    <row r="97" spans="1:4" x14ac:dyDescent="0.25">
      <c r="A97" s="1" t="s">
        <v>23</v>
      </c>
      <c r="B97" s="2">
        <v>45502</v>
      </c>
      <c r="D97">
        <v>0.67500000000000004</v>
      </c>
    </row>
    <row r="98" spans="1:4" x14ac:dyDescent="0.25">
      <c r="A98" s="1" t="s">
        <v>23</v>
      </c>
      <c r="B98" s="2">
        <v>45513</v>
      </c>
      <c r="D98">
        <v>0.71249999999999991</v>
      </c>
    </row>
    <row r="99" spans="1:4" x14ac:dyDescent="0.25">
      <c r="A99" s="1" t="s">
        <v>23</v>
      </c>
      <c r="B99" s="2">
        <v>45526</v>
      </c>
      <c r="D99">
        <v>0.74</v>
      </c>
    </row>
    <row r="100" spans="1:4" x14ac:dyDescent="0.25">
      <c r="A100" s="1" t="s">
        <v>23</v>
      </c>
      <c r="B100" s="2">
        <v>45548</v>
      </c>
      <c r="D100">
        <v>0.84250000000000003</v>
      </c>
    </row>
    <row r="101" spans="1:4" x14ac:dyDescent="0.25">
      <c r="A101" s="1" t="s">
        <v>23</v>
      </c>
      <c r="B101" s="2">
        <v>45559</v>
      </c>
      <c r="D101">
        <v>0.78</v>
      </c>
    </row>
    <row r="102" spans="1:4" x14ac:dyDescent="0.25">
      <c r="A102" s="1" t="s">
        <v>23</v>
      </c>
      <c r="B102" s="2">
        <v>45571</v>
      </c>
      <c r="D102">
        <v>0.69750000000000001</v>
      </c>
    </row>
    <row r="103" spans="1:4" x14ac:dyDescent="0.25">
      <c r="A103" s="1" t="s">
        <v>23</v>
      </c>
      <c r="B103" s="2">
        <v>45582</v>
      </c>
      <c r="D103">
        <v>0.54749999999999999</v>
      </c>
    </row>
    <row r="104" spans="1:4" x14ac:dyDescent="0.25">
      <c r="A104" s="1" t="s">
        <v>23</v>
      </c>
      <c r="B104" s="2">
        <v>45594</v>
      </c>
      <c r="D104">
        <v>0.32</v>
      </c>
    </row>
    <row r="105" spans="1:4" x14ac:dyDescent="0.25">
      <c r="A105" s="1" t="s">
        <v>23</v>
      </c>
      <c r="B105" s="2">
        <v>45609</v>
      </c>
      <c r="D105">
        <v>0.125</v>
      </c>
    </row>
    <row r="106" spans="1:4" x14ac:dyDescent="0.25">
      <c r="A106" s="1" t="s">
        <v>24</v>
      </c>
      <c r="B106" s="2">
        <v>45443</v>
      </c>
      <c r="D106">
        <v>0.28249999999999997</v>
      </c>
    </row>
    <row r="107" spans="1:4" x14ac:dyDescent="0.25">
      <c r="A107" s="1" t="s">
        <v>24</v>
      </c>
      <c r="B107" s="2">
        <v>45460</v>
      </c>
      <c r="D107">
        <v>0.33</v>
      </c>
    </row>
    <row r="108" spans="1:4" x14ac:dyDescent="0.25">
      <c r="A108" s="1" t="s">
        <v>24</v>
      </c>
      <c r="B108" s="2">
        <v>45474</v>
      </c>
      <c r="D108">
        <v>0.5</v>
      </c>
    </row>
    <row r="109" spans="1:4" x14ac:dyDescent="0.25">
      <c r="A109" s="1" t="s">
        <v>24</v>
      </c>
      <c r="B109" s="2">
        <v>45487</v>
      </c>
      <c r="D109">
        <v>0.57999999999999996</v>
      </c>
    </row>
    <row r="110" spans="1:4" x14ac:dyDescent="0.25">
      <c r="A110" s="1" t="s">
        <v>24</v>
      </c>
      <c r="B110" s="2">
        <v>45502</v>
      </c>
      <c r="D110">
        <v>0.66250000000000009</v>
      </c>
    </row>
    <row r="111" spans="1:4" x14ac:dyDescent="0.25">
      <c r="A111" s="1" t="s">
        <v>24</v>
      </c>
      <c r="B111" s="2">
        <v>45513</v>
      </c>
      <c r="D111">
        <v>0.6925</v>
      </c>
    </row>
    <row r="112" spans="1:4" x14ac:dyDescent="0.25">
      <c r="A112" s="1" t="s">
        <v>24</v>
      </c>
      <c r="B112" s="2">
        <v>45526</v>
      </c>
      <c r="D112">
        <v>0.69499999999999995</v>
      </c>
    </row>
    <row r="113" spans="1:4" x14ac:dyDescent="0.25">
      <c r="A113" s="1" t="s">
        <v>24</v>
      </c>
      <c r="B113" s="2">
        <v>45548</v>
      </c>
      <c r="D113">
        <v>0.82499999999999996</v>
      </c>
    </row>
    <row r="114" spans="1:4" x14ac:dyDescent="0.25">
      <c r="A114" s="1" t="s">
        <v>24</v>
      </c>
      <c r="B114" s="2">
        <v>45559</v>
      </c>
      <c r="D114">
        <v>0.78249999999999997</v>
      </c>
    </row>
    <row r="115" spans="1:4" x14ac:dyDescent="0.25">
      <c r="A115" s="1" t="s">
        <v>24</v>
      </c>
      <c r="B115" s="2">
        <v>45571</v>
      </c>
      <c r="D115">
        <v>0.73249999999999993</v>
      </c>
    </row>
    <row r="116" spans="1:4" x14ac:dyDescent="0.25">
      <c r="A116" s="1" t="s">
        <v>24</v>
      </c>
      <c r="B116" s="2">
        <v>45582</v>
      </c>
      <c r="D116">
        <v>0.5625</v>
      </c>
    </row>
    <row r="117" spans="1:4" x14ac:dyDescent="0.25">
      <c r="A117" s="1" t="s">
        <v>24</v>
      </c>
      <c r="B117" s="2">
        <v>45594</v>
      </c>
      <c r="D117">
        <v>0.3725</v>
      </c>
    </row>
    <row r="118" spans="1:4" x14ac:dyDescent="0.25">
      <c r="A118" s="1" t="s">
        <v>24</v>
      </c>
      <c r="B118" s="2">
        <v>45609</v>
      </c>
      <c r="D118">
        <v>0.125</v>
      </c>
    </row>
    <row r="119" spans="1:4" x14ac:dyDescent="0.25">
      <c r="A119" s="1" t="s">
        <v>25</v>
      </c>
      <c r="B119" s="2">
        <v>45443</v>
      </c>
      <c r="D119">
        <v>0.17499999999999999</v>
      </c>
    </row>
    <row r="120" spans="1:4" x14ac:dyDescent="0.25">
      <c r="A120" s="1" t="s">
        <v>25</v>
      </c>
      <c r="B120" s="2">
        <v>45460</v>
      </c>
      <c r="D120">
        <v>0.185</v>
      </c>
    </row>
    <row r="121" spans="1:4" x14ac:dyDescent="0.25">
      <c r="A121" s="1" t="s">
        <v>25</v>
      </c>
      <c r="B121" s="2">
        <v>45474</v>
      </c>
      <c r="D121">
        <v>0.26750000000000002</v>
      </c>
    </row>
    <row r="122" spans="1:4" x14ac:dyDescent="0.25">
      <c r="A122" s="1" t="s">
        <v>25</v>
      </c>
      <c r="B122" s="2">
        <v>45487</v>
      </c>
      <c r="D122">
        <v>0.3775</v>
      </c>
    </row>
    <row r="123" spans="1:4" x14ac:dyDescent="0.25">
      <c r="A123" s="1" t="s">
        <v>25</v>
      </c>
      <c r="B123" s="2">
        <v>45502</v>
      </c>
      <c r="D123">
        <v>0.4975</v>
      </c>
    </row>
    <row r="124" spans="1:4" x14ac:dyDescent="0.25">
      <c r="A124" s="1" t="s">
        <v>25</v>
      </c>
      <c r="B124" s="2">
        <v>45513</v>
      </c>
      <c r="D124">
        <v>0.57250000000000001</v>
      </c>
    </row>
    <row r="125" spans="1:4" x14ac:dyDescent="0.25">
      <c r="A125" s="1" t="s">
        <v>25</v>
      </c>
      <c r="B125" s="2">
        <v>45526</v>
      </c>
      <c r="D125">
        <v>0.63500000000000001</v>
      </c>
    </row>
    <row r="126" spans="1:4" x14ac:dyDescent="0.25">
      <c r="A126" s="1" t="s">
        <v>25</v>
      </c>
      <c r="B126" s="2">
        <v>45548</v>
      </c>
      <c r="D126">
        <v>0.8075</v>
      </c>
    </row>
    <row r="127" spans="1:4" x14ac:dyDescent="0.25">
      <c r="A127" s="1" t="s">
        <v>25</v>
      </c>
      <c r="B127" s="2">
        <v>45559</v>
      </c>
      <c r="D127">
        <v>0.73</v>
      </c>
    </row>
    <row r="128" spans="1:4" x14ac:dyDescent="0.25">
      <c r="A128" s="1" t="s">
        <v>25</v>
      </c>
      <c r="B128" s="2">
        <v>45571</v>
      </c>
      <c r="D128">
        <v>0.66999999999999993</v>
      </c>
    </row>
    <row r="129" spans="1:4" x14ac:dyDescent="0.25">
      <c r="A129" s="1" t="s">
        <v>25</v>
      </c>
      <c r="B129" s="2">
        <v>45582</v>
      </c>
      <c r="D129">
        <v>0.4425</v>
      </c>
    </row>
    <row r="130" spans="1:4" x14ac:dyDescent="0.25">
      <c r="A130" s="1" t="s">
        <v>25</v>
      </c>
      <c r="B130" s="2">
        <v>45594</v>
      </c>
      <c r="D130">
        <v>0.28499999999999998</v>
      </c>
    </row>
    <row r="131" spans="1:4" x14ac:dyDescent="0.25">
      <c r="A131" s="1" t="s">
        <v>25</v>
      </c>
      <c r="B131" s="2">
        <v>45609</v>
      </c>
      <c r="D131">
        <v>0.105</v>
      </c>
    </row>
    <row r="132" spans="1:4" x14ac:dyDescent="0.25">
      <c r="A132" s="1" t="s">
        <v>26</v>
      </c>
      <c r="B132" s="2">
        <v>45443</v>
      </c>
      <c r="D132">
        <v>0.17</v>
      </c>
    </row>
    <row r="133" spans="1:4" x14ac:dyDescent="0.25">
      <c r="A133" s="1" t="s">
        <v>26</v>
      </c>
      <c r="B133" s="2">
        <v>45460</v>
      </c>
      <c r="D133">
        <v>0.17</v>
      </c>
    </row>
    <row r="134" spans="1:4" x14ac:dyDescent="0.25">
      <c r="A134" s="1" t="s">
        <v>26</v>
      </c>
      <c r="B134" s="2">
        <v>45474</v>
      </c>
      <c r="D134">
        <v>0.23250000000000001</v>
      </c>
    </row>
    <row r="135" spans="1:4" x14ac:dyDescent="0.25">
      <c r="A135" s="1" t="s">
        <v>26</v>
      </c>
      <c r="B135" s="2">
        <v>45487</v>
      </c>
      <c r="D135">
        <v>0.33750000000000002</v>
      </c>
    </row>
    <row r="136" spans="1:4" x14ac:dyDescent="0.25">
      <c r="A136" s="1" t="s">
        <v>26</v>
      </c>
      <c r="B136" s="2">
        <v>45502</v>
      </c>
      <c r="D136">
        <v>0.4975</v>
      </c>
    </row>
    <row r="137" spans="1:4" x14ac:dyDescent="0.25">
      <c r="A137" s="1" t="s">
        <v>26</v>
      </c>
      <c r="B137" s="2">
        <v>45513</v>
      </c>
      <c r="D137">
        <v>0.55499999999999994</v>
      </c>
    </row>
    <row r="138" spans="1:4" x14ac:dyDescent="0.25">
      <c r="A138" s="1" t="s">
        <v>26</v>
      </c>
      <c r="B138" s="2">
        <v>45526</v>
      </c>
      <c r="D138">
        <v>0.69750000000000001</v>
      </c>
    </row>
    <row r="139" spans="1:4" x14ac:dyDescent="0.25">
      <c r="A139" s="1" t="s">
        <v>26</v>
      </c>
      <c r="B139" s="2">
        <v>45548</v>
      </c>
      <c r="D139">
        <v>0.82250000000000001</v>
      </c>
    </row>
    <row r="140" spans="1:4" x14ac:dyDescent="0.25">
      <c r="A140" s="1" t="s">
        <v>26</v>
      </c>
      <c r="B140" s="2">
        <v>45559</v>
      </c>
      <c r="D140">
        <v>0.76749999999999996</v>
      </c>
    </row>
    <row r="141" spans="1:4" x14ac:dyDescent="0.25">
      <c r="A141" s="1" t="s">
        <v>26</v>
      </c>
      <c r="B141" s="2">
        <v>45571</v>
      </c>
      <c r="D141">
        <v>0.73250000000000004</v>
      </c>
    </row>
    <row r="142" spans="1:4" x14ac:dyDescent="0.25">
      <c r="A142" s="1" t="s">
        <v>26</v>
      </c>
      <c r="B142" s="2">
        <v>45582</v>
      </c>
      <c r="D142">
        <v>0.57250000000000001</v>
      </c>
    </row>
    <row r="143" spans="1:4" x14ac:dyDescent="0.25">
      <c r="A143" s="1" t="s">
        <v>26</v>
      </c>
      <c r="B143" s="2">
        <v>45594</v>
      </c>
      <c r="D143">
        <v>0.375</v>
      </c>
    </row>
    <row r="144" spans="1:4" x14ac:dyDescent="0.25">
      <c r="A144" s="1" t="s">
        <v>26</v>
      </c>
      <c r="B144" s="2">
        <v>45609</v>
      </c>
      <c r="D144">
        <v>0.125</v>
      </c>
    </row>
    <row r="145" spans="1:4" x14ac:dyDescent="0.25">
      <c r="A145" s="1" t="s">
        <v>27</v>
      </c>
      <c r="B145" s="2">
        <v>45443</v>
      </c>
      <c r="D145">
        <v>0.26500000000000001</v>
      </c>
    </row>
    <row r="146" spans="1:4" x14ac:dyDescent="0.25">
      <c r="A146" s="1" t="s">
        <v>27</v>
      </c>
      <c r="B146" s="2">
        <v>45460</v>
      </c>
      <c r="D146">
        <v>0.36</v>
      </c>
    </row>
    <row r="147" spans="1:4" x14ac:dyDescent="0.25">
      <c r="A147" s="1" t="s">
        <v>27</v>
      </c>
      <c r="B147" s="2">
        <v>45474</v>
      </c>
      <c r="D147">
        <v>0.51749999999999996</v>
      </c>
    </row>
    <row r="148" spans="1:4" x14ac:dyDescent="0.25">
      <c r="A148" s="1" t="s">
        <v>27</v>
      </c>
      <c r="B148" s="2">
        <v>45487</v>
      </c>
      <c r="D148">
        <v>0.57000000000000006</v>
      </c>
    </row>
    <row r="149" spans="1:4" x14ac:dyDescent="0.25">
      <c r="A149" s="1" t="s">
        <v>27</v>
      </c>
      <c r="B149" s="2">
        <v>45502</v>
      </c>
      <c r="D149">
        <v>0.65749999999999997</v>
      </c>
    </row>
    <row r="150" spans="1:4" x14ac:dyDescent="0.25">
      <c r="A150" s="1" t="s">
        <v>27</v>
      </c>
      <c r="B150" s="2">
        <v>45513</v>
      </c>
      <c r="D150">
        <v>0.67500000000000004</v>
      </c>
    </row>
    <row r="151" spans="1:4" x14ac:dyDescent="0.25">
      <c r="A151" s="1" t="s">
        <v>27</v>
      </c>
      <c r="B151" s="2">
        <v>45526</v>
      </c>
      <c r="D151">
        <v>0.64749999999999996</v>
      </c>
    </row>
    <row r="152" spans="1:4" x14ac:dyDescent="0.25">
      <c r="A152" s="1" t="s">
        <v>27</v>
      </c>
      <c r="B152" s="2">
        <v>45548</v>
      </c>
      <c r="D152">
        <v>0.83499999999999996</v>
      </c>
    </row>
    <row r="153" spans="1:4" x14ac:dyDescent="0.25">
      <c r="A153" s="1" t="s">
        <v>27</v>
      </c>
      <c r="B153" s="2">
        <v>45559</v>
      </c>
      <c r="D153">
        <v>0.77249999999999996</v>
      </c>
    </row>
    <row r="154" spans="1:4" x14ac:dyDescent="0.25">
      <c r="A154" s="1" t="s">
        <v>27</v>
      </c>
      <c r="B154" s="2">
        <v>45571</v>
      </c>
      <c r="D154">
        <v>0.6925</v>
      </c>
    </row>
    <row r="155" spans="1:4" x14ac:dyDescent="0.25">
      <c r="A155" s="1" t="s">
        <v>27</v>
      </c>
      <c r="B155" s="2">
        <v>45582</v>
      </c>
      <c r="D155">
        <v>0.52</v>
      </c>
    </row>
    <row r="156" spans="1:4" x14ac:dyDescent="0.25">
      <c r="A156" s="1" t="s">
        <v>27</v>
      </c>
      <c r="B156" s="2">
        <v>45594</v>
      </c>
      <c r="D156">
        <v>0.36749999999999999</v>
      </c>
    </row>
    <row r="157" spans="1:4" x14ac:dyDescent="0.25">
      <c r="A157" s="1" t="s">
        <v>27</v>
      </c>
      <c r="B157" s="2">
        <v>45609</v>
      </c>
      <c r="D157">
        <v>0.105</v>
      </c>
    </row>
    <row r="158" spans="1:4" x14ac:dyDescent="0.25">
      <c r="A158" s="1" t="s">
        <v>28</v>
      </c>
      <c r="B158" s="2">
        <v>45443</v>
      </c>
      <c r="D158">
        <v>0.26750000000000002</v>
      </c>
    </row>
    <row r="159" spans="1:4" x14ac:dyDescent="0.25">
      <c r="A159" s="1" t="s">
        <v>28</v>
      </c>
      <c r="B159" s="2">
        <v>45460</v>
      </c>
      <c r="D159">
        <v>0.34</v>
      </c>
    </row>
    <row r="160" spans="1:4" x14ac:dyDescent="0.25">
      <c r="A160" s="1" t="s">
        <v>28</v>
      </c>
      <c r="B160" s="2">
        <v>45474</v>
      </c>
      <c r="D160">
        <v>0.47499999999999998</v>
      </c>
    </row>
    <row r="161" spans="1:4" x14ac:dyDescent="0.25">
      <c r="A161" s="1" t="s">
        <v>28</v>
      </c>
      <c r="B161" s="2">
        <v>45487</v>
      </c>
      <c r="D161">
        <v>0.54749999999999999</v>
      </c>
    </row>
    <row r="162" spans="1:4" x14ac:dyDescent="0.25">
      <c r="A162" s="1" t="s">
        <v>28</v>
      </c>
      <c r="B162" s="2">
        <v>45502</v>
      </c>
      <c r="D162">
        <v>0.63</v>
      </c>
    </row>
    <row r="163" spans="1:4" x14ac:dyDescent="0.25">
      <c r="A163" s="1" t="s">
        <v>28</v>
      </c>
      <c r="B163" s="2">
        <v>45513</v>
      </c>
      <c r="D163">
        <v>0.66</v>
      </c>
    </row>
    <row r="164" spans="1:4" x14ac:dyDescent="0.25">
      <c r="A164" s="1" t="s">
        <v>28</v>
      </c>
      <c r="B164" s="2">
        <v>45526</v>
      </c>
      <c r="D164">
        <v>0.74</v>
      </c>
    </row>
    <row r="165" spans="1:4" x14ac:dyDescent="0.25">
      <c r="A165" s="1" t="s">
        <v>28</v>
      </c>
      <c r="B165" s="2">
        <v>45548</v>
      </c>
      <c r="D165">
        <v>0.84</v>
      </c>
    </row>
    <row r="166" spans="1:4" x14ac:dyDescent="0.25">
      <c r="A166" s="1" t="s">
        <v>28</v>
      </c>
      <c r="B166" s="2">
        <v>45559</v>
      </c>
      <c r="D166">
        <v>0.76750000000000007</v>
      </c>
    </row>
    <row r="167" spans="1:4" x14ac:dyDescent="0.25">
      <c r="A167" s="1" t="s">
        <v>28</v>
      </c>
      <c r="B167" s="2">
        <v>45571</v>
      </c>
      <c r="D167">
        <v>0.71499999999999997</v>
      </c>
    </row>
    <row r="168" spans="1:4" x14ac:dyDescent="0.25">
      <c r="A168" s="1" t="s">
        <v>28</v>
      </c>
      <c r="B168" s="2">
        <v>45582</v>
      </c>
      <c r="D168">
        <v>0.53500000000000003</v>
      </c>
    </row>
    <row r="169" spans="1:4" x14ac:dyDescent="0.25">
      <c r="A169" s="1" t="s">
        <v>28</v>
      </c>
      <c r="B169" s="2">
        <v>45594</v>
      </c>
      <c r="D169">
        <v>0.28749999999999998</v>
      </c>
    </row>
    <row r="170" spans="1:4" x14ac:dyDescent="0.25">
      <c r="A170" s="1" t="s">
        <v>28</v>
      </c>
      <c r="B170" s="2">
        <v>45609</v>
      </c>
      <c r="D170">
        <v>0.115</v>
      </c>
    </row>
    <row r="171" spans="1:4" x14ac:dyDescent="0.25">
      <c r="A171" s="1" t="s">
        <v>29</v>
      </c>
      <c r="B171" s="2">
        <v>45443</v>
      </c>
      <c r="D171">
        <v>0.17</v>
      </c>
    </row>
    <row r="172" spans="1:4" x14ac:dyDescent="0.25">
      <c r="A172" s="1" t="s">
        <v>29</v>
      </c>
      <c r="B172" s="2">
        <v>45460</v>
      </c>
      <c r="D172">
        <v>0.17249999999999999</v>
      </c>
    </row>
    <row r="173" spans="1:4" x14ac:dyDescent="0.25">
      <c r="A173" s="1" t="s">
        <v>29</v>
      </c>
      <c r="B173" s="2">
        <v>45474</v>
      </c>
      <c r="D173">
        <v>0.26750000000000002</v>
      </c>
    </row>
    <row r="174" spans="1:4" x14ac:dyDescent="0.25">
      <c r="A174" s="1" t="s">
        <v>29</v>
      </c>
      <c r="B174" s="2">
        <v>45487</v>
      </c>
      <c r="D174">
        <v>0.36249999999999999</v>
      </c>
    </row>
    <row r="175" spans="1:4" x14ac:dyDescent="0.25">
      <c r="A175" s="1" t="s">
        <v>29</v>
      </c>
      <c r="B175" s="2">
        <v>45502</v>
      </c>
      <c r="D175">
        <v>0.53749999999999998</v>
      </c>
    </row>
    <row r="176" spans="1:4" x14ac:dyDescent="0.25">
      <c r="A176" s="1" t="s">
        <v>29</v>
      </c>
      <c r="B176" s="2">
        <v>45513</v>
      </c>
      <c r="D176">
        <v>0.57000000000000006</v>
      </c>
    </row>
    <row r="177" spans="1:4" x14ac:dyDescent="0.25">
      <c r="A177" s="1" t="s">
        <v>29</v>
      </c>
      <c r="B177" s="2">
        <v>45526</v>
      </c>
      <c r="D177">
        <v>0.70499999999999996</v>
      </c>
    </row>
    <row r="178" spans="1:4" x14ac:dyDescent="0.25">
      <c r="A178" s="1" t="s">
        <v>29</v>
      </c>
      <c r="B178" s="2">
        <v>45548</v>
      </c>
      <c r="D178">
        <v>0.82000000000000006</v>
      </c>
    </row>
    <row r="179" spans="1:4" x14ac:dyDescent="0.25">
      <c r="A179" s="1" t="s">
        <v>29</v>
      </c>
      <c r="B179" s="2">
        <v>45559</v>
      </c>
      <c r="D179">
        <v>0.73750000000000004</v>
      </c>
    </row>
    <row r="180" spans="1:4" x14ac:dyDescent="0.25">
      <c r="A180" s="1" t="s">
        <v>29</v>
      </c>
      <c r="B180" s="2">
        <v>45571</v>
      </c>
      <c r="D180">
        <v>0.67</v>
      </c>
    </row>
    <row r="181" spans="1:4" x14ac:dyDescent="0.25">
      <c r="A181" s="1" t="s">
        <v>29</v>
      </c>
      <c r="B181" s="2">
        <v>45582</v>
      </c>
      <c r="D181">
        <v>0.48249999999999998</v>
      </c>
    </row>
    <row r="182" spans="1:4" x14ac:dyDescent="0.25">
      <c r="A182" s="1" t="s">
        <v>29</v>
      </c>
      <c r="B182" s="2">
        <v>45594</v>
      </c>
      <c r="D182">
        <v>0.30249999999999999</v>
      </c>
    </row>
    <row r="183" spans="1:4" x14ac:dyDescent="0.25">
      <c r="A183" s="1" t="s">
        <v>29</v>
      </c>
      <c r="B183" s="2">
        <v>45609</v>
      </c>
      <c r="D183">
        <v>0.1225</v>
      </c>
    </row>
    <row r="184" spans="1:4" x14ac:dyDescent="0.25">
      <c r="A184" s="1" t="s">
        <v>30</v>
      </c>
      <c r="B184" s="2">
        <v>45443</v>
      </c>
      <c r="D184">
        <v>0.27250000000000002</v>
      </c>
    </row>
    <row r="185" spans="1:4" x14ac:dyDescent="0.25">
      <c r="A185" s="1" t="s">
        <v>30</v>
      </c>
      <c r="B185" s="2">
        <v>45460</v>
      </c>
      <c r="D185">
        <v>0.3175</v>
      </c>
    </row>
    <row r="186" spans="1:4" x14ac:dyDescent="0.25">
      <c r="A186" s="1" t="s">
        <v>30</v>
      </c>
      <c r="B186" s="2">
        <v>45474</v>
      </c>
      <c r="D186">
        <v>0.46</v>
      </c>
    </row>
    <row r="187" spans="1:4" x14ac:dyDescent="0.25">
      <c r="A187" s="1" t="s">
        <v>30</v>
      </c>
      <c r="B187" s="2">
        <v>45487</v>
      </c>
      <c r="D187">
        <v>0.5675</v>
      </c>
    </row>
    <row r="188" spans="1:4" x14ac:dyDescent="0.25">
      <c r="A188" s="1" t="s">
        <v>30</v>
      </c>
      <c r="B188" s="2">
        <v>45502</v>
      </c>
      <c r="D188">
        <v>0.66749999999999998</v>
      </c>
    </row>
    <row r="189" spans="1:4" x14ac:dyDescent="0.25">
      <c r="A189" s="1" t="s">
        <v>30</v>
      </c>
      <c r="B189" s="2">
        <v>45513</v>
      </c>
      <c r="D189">
        <v>0.6925</v>
      </c>
    </row>
    <row r="190" spans="1:4" x14ac:dyDescent="0.25">
      <c r="A190" s="1" t="s">
        <v>30</v>
      </c>
      <c r="B190" s="2">
        <v>45526</v>
      </c>
      <c r="D190">
        <v>0.75250000000000006</v>
      </c>
    </row>
    <row r="191" spans="1:4" x14ac:dyDescent="0.25">
      <c r="A191" s="1" t="s">
        <v>30</v>
      </c>
      <c r="B191" s="2">
        <v>45548</v>
      </c>
      <c r="D191">
        <v>0.85499999999999998</v>
      </c>
    </row>
    <row r="192" spans="1:4" x14ac:dyDescent="0.25">
      <c r="A192" s="1" t="s">
        <v>30</v>
      </c>
      <c r="B192" s="2">
        <v>45559</v>
      </c>
      <c r="D192">
        <v>0.81</v>
      </c>
    </row>
    <row r="193" spans="1:4" x14ac:dyDescent="0.25">
      <c r="A193" s="1" t="s">
        <v>30</v>
      </c>
      <c r="B193" s="2">
        <v>45571</v>
      </c>
      <c r="D193">
        <v>0.72499999999999998</v>
      </c>
    </row>
    <row r="194" spans="1:4" x14ac:dyDescent="0.25">
      <c r="A194" s="1" t="s">
        <v>30</v>
      </c>
      <c r="B194" s="2">
        <v>45582</v>
      </c>
      <c r="D194">
        <v>0.61250000000000004</v>
      </c>
    </row>
    <row r="195" spans="1:4" x14ac:dyDescent="0.25">
      <c r="A195" s="1" t="s">
        <v>30</v>
      </c>
      <c r="B195" s="2">
        <v>45594</v>
      </c>
      <c r="D195">
        <v>0.42</v>
      </c>
    </row>
    <row r="196" spans="1:4" x14ac:dyDescent="0.25">
      <c r="A196" s="1" t="s">
        <v>30</v>
      </c>
      <c r="B196" s="2">
        <v>45609</v>
      </c>
      <c r="D196">
        <v>0.115</v>
      </c>
    </row>
    <row r="197" spans="1:4" x14ac:dyDescent="0.25">
      <c r="A197" s="1" t="s">
        <v>31</v>
      </c>
      <c r="B197" s="2">
        <v>45443</v>
      </c>
      <c r="D197">
        <v>0.17749999999999999</v>
      </c>
    </row>
    <row r="198" spans="1:4" x14ac:dyDescent="0.25">
      <c r="A198" s="1" t="s">
        <v>31</v>
      </c>
      <c r="B198" s="2">
        <v>45460</v>
      </c>
      <c r="D198">
        <v>0.17499999999999999</v>
      </c>
    </row>
    <row r="199" spans="1:4" x14ac:dyDescent="0.25">
      <c r="A199" s="1" t="s">
        <v>31</v>
      </c>
      <c r="B199" s="2">
        <v>45474</v>
      </c>
      <c r="D199">
        <v>0.2525</v>
      </c>
    </row>
    <row r="200" spans="1:4" x14ac:dyDescent="0.25">
      <c r="A200" s="1" t="s">
        <v>31</v>
      </c>
      <c r="B200" s="2">
        <v>45487</v>
      </c>
      <c r="D200">
        <v>0.35499999999999998</v>
      </c>
    </row>
    <row r="201" spans="1:4" x14ac:dyDescent="0.25">
      <c r="A201" s="1" t="s">
        <v>31</v>
      </c>
      <c r="B201" s="2">
        <v>45502</v>
      </c>
      <c r="D201">
        <v>0.5</v>
      </c>
    </row>
    <row r="202" spans="1:4" x14ac:dyDescent="0.25">
      <c r="A202" s="1" t="s">
        <v>31</v>
      </c>
      <c r="B202" s="2">
        <v>45513</v>
      </c>
      <c r="D202">
        <v>0.56000000000000005</v>
      </c>
    </row>
    <row r="203" spans="1:4" x14ac:dyDescent="0.25">
      <c r="A203" s="1" t="s">
        <v>31</v>
      </c>
      <c r="B203" s="2">
        <v>45526</v>
      </c>
      <c r="D203">
        <v>0.62749999999999995</v>
      </c>
    </row>
    <row r="204" spans="1:4" x14ac:dyDescent="0.25">
      <c r="A204" s="1" t="s">
        <v>31</v>
      </c>
      <c r="B204" s="2">
        <v>45548</v>
      </c>
      <c r="D204">
        <v>0.82000000000000006</v>
      </c>
    </row>
    <row r="205" spans="1:4" x14ac:dyDescent="0.25">
      <c r="A205" s="1" t="s">
        <v>31</v>
      </c>
      <c r="B205" s="2">
        <v>45559</v>
      </c>
      <c r="D205">
        <v>0.73</v>
      </c>
    </row>
    <row r="206" spans="1:4" x14ac:dyDescent="0.25">
      <c r="A206" s="1" t="s">
        <v>31</v>
      </c>
      <c r="B206" s="2">
        <v>45571</v>
      </c>
      <c r="D206">
        <v>0.69500000000000006</v>
      </c>
    </row>
    <row r="207" spans="1:4" x14ac:dyDescent="0.25">
      <c r="A207" s="1" t="s">
        <v>31</v>
      </c>
      <c r="B207" s="2">
        <v>45582</v>
      </c>
      <c r="D207">
        <v>0.54249999999999998</v>
      </c>
    </row>
    <row r="208" spans="1:4" x14ac:dyDescent="0.25">
      <c r="A208" s="1" t="s">
        <v>31</v>
      </c>
      <c r="B208" s="2">
        <v>45594</v>
      </c>
      <c r="D208">
        <v>0.38</v>
      </c>
    </row>
    <row r="209" spans="1:5" x14ac:dyDescent="0.25">
      <c r="A209" s="1" t="s">
        <v>31</v>
      </c>
      <c r="B209" s="2">
        <v>45609</v>
      </c>
      <c r="D209">
        <v>0.115</v>
      </c>
    </row>
    <row r="210" spans="1:5" x14ac:dyDescent="0.25">
      <c r="A210" s="1" t="s">
        <v>16</v>
      </c>
      <c r="B210" s="2">
        <v>45467</v>
      </c>
      <c r="E210">
        <v>3.0166666666666671</v>
      </c>
    </row>
    <row r="211" spans="1:5" x14ac:dyDescent="0.25">
      <c r="A211" s="1" t="s">
        <v>16</v>
      </c>
      <c r="B211" s="2">
        <v>45477</v>
      </c>
      <c r="E211">
        <v>3.8416666666666668</v>
      </c>
    </row>
    <row r="212" spans="1:5" x14ac:dyDescent="0.25">
      <c r="A212" s="1" t="s">
        <v>16</v>
      </c>
      <c r="B212" s="2">
        <v>45488</v>
      </c>
      <c r="E212">
        <v>4.8666666666666671</v>
      </c>
    </row>
    <row r="213" spans="1:5" x14ac:dyDescent="0.25">
      <c r="A213" s="1" t="s">
        <v>16</v>
      </c>
      <c r="B213" s="2">
        <v>45499</v>
      </c>
      <c r="E213">
        <v>5.9583333333333339</v>
      </c>
    </row>
    <row r="214" spans="1:5" x14ac:dyDescent="0.25">
      <c r="A214" s="1" t="s">
        <v>16</v>
      </c>
      <c r="B214" s="2">
        <v>45513</v>
      </c>
      <c r="E214">
        <v>6.9833333333333334</v>
      </c>
    </row>
    <row r="215" spans="1:5" x14ac:dyDescent="0.25">
      <c r="A215" s="1" t="s">
        <v>16</v>
      </c>
      <c r="B215" s="2">
        <v>45523</v>
      </c>
      <c r="E215">
        <v>8.0749999999999993</v>
      </c>
    </row>
    <row r="216" spans="1:5" x14ac:dyDescent="0.25">
      <c r="A216" s="1" t="s">
        <v>16</v>
      </c>
      <c r="B216" s="2">
        <v>45535</v>
      </c>
      <c r="E216">
        <v>9.5</v>
      </c>
    </row>
    <row r="217" spans="1:5" x14ac:dyDescent="0.25">
      <c r="A217" s="1" t="s">
        <v>16</v>
      </c>
      <c r="B217" s="2">
        <v>45549</v>
      </c>
      <c r="E217">
        <v>10.41666666666667</v>
      </c>
    </row>
    <row r="218" spans="1:5" x14ac:dyDescent="0.25">
      <c r="A218" s="1" t="s">
        <v>17</v>
      </c>
      <c r="B218" s="2">
        <v>45436</v>
      </c>
      <c r="E218">
        <v>4.1416666666666666</v>
      </c>
    </row>
    <row r="219" spans="1:5" x14ac:dyDescent="0.25">
      <c r="A219" s="1" t="s">
        <v>17</v>
      </c>
      <c r="B219" s="2">
        <v>45446</v>
      </c>
      <c r="E219">
        <v>5.0666666666666664</v>
      </c>
    </row>
    <row r="220" spans="1:5" x14ac:dyDescent="0.25">
      <c r="A220" s="1" t="s">
        <v>17</v>
      </c>
      <c r="B220" s="2">
        <v>45457</v>
      </c>
      <c r="E220">
        <v>6.1916666666666664</v>
      </c>
    </row>
    <row r="221" spans="1:5" x14ac:dyDescent="0.25">
      <c r="A221" s="1" t="s">
        <v>17</v>
      </c>
      <c r="B221" s="2">
        <v>45468</v>
      </c>
      <c r="E221">
        <v>6.8416666666666668</v>
      </c>
    </row>
    <row r="222" spans="1:5" x14ac:dyDescent="0.25">
      <c r="A222" s="1" t="s">
        <v>17</v>
      </c>
      <c r="B222" s="2">
        <v>45483</v>
      </c>
      <c r="E222">
        <v>7.75</v>
      </c>
    </row>
    <row r="223" spans="1:5" x14ac:dyDescent="0.25">
      <c r="A223" s="1" t="s">
        <v>17</v>
      </c>
      <c r="B223" s="2">
        <v>45496</v>
      </c>
      <c r="E223">
        <v>8.7083333333333339</v>
      </c>
    </row>
    <row r="224" spans="1:5" x14ac:dyDescent="0.25">
      <c r="A224" s="1" t="s">
        <v>17</v>
      </c>
      <c r="B224" s="2">
        <v>45512</v>
      </c>
      <c r="E224">
        <v>10.050000000000001</v>
      </c>
    </row>
    <row r="225" spans="1:5" x14ac:dyDescent="0.25">
      <c r="A225" s="1" t="s">
        <v>17</v>
      </c>
      <c r="B225" s="2">
        <v>45522</v>
      </c>
      <c r="E225">
        <v>11.06666666666667</v>
      </c>
    </row>
    <row r="226" spans="1:5" x14ac:dyDescent="0.25">
      <c r="A226" s="1" t="s">
        <v>17</v>
      </c>
      <c r="B226" s="2">
        <v>45532</v>
      </c>
      <c r="E226">
        <v>12.09166666666667</v>
      </c>
    </row>
    <row r="227" spans="1:5" x14ac:dyDescent="0.25">
      <c r="A227" s="1" t="s">
        <v>17</v>
      </c>
      <c r="B227" s="2">
        <v>45549</v>
      </c>
      <c r="E227">
        <v>12.83333333333333</v>
      </c>
    </row>
    <row r="228" spans="1:5" x14ac:dyDescent="0.25">
      <c r="A228" s="1" t="s">
        <v>18</v>
      </c>
      <c r="B228" s="2">
        <v>45467</v>
      </c>
      <c r="E228">
        <v>3.15</v>
      </c>
    </row>
    <row r="229" spans="1:5" x14ac:dyDescent="0.25">
      <c r="A229" s="1" t="s">
        <v>18</v>
      </c>
      <c r="B229" s="2">
        <v>45477</v>
      </c>
      <c r="E229">
        <v>4.0999999999999996</v>
      </c>
    </row>
    <row r="230" spans="1:5" x14ac:dyDescent="0.25">
      <c r="A230" s="1" t="s">
        <v>18</v>
      </c>
      <c r="B230" s="2">
        <v>45488</v>
      </c>
      <c r="E230">
        <v>5.1083333333333334</v>
      </c>
    </row>
    <row r="231" spans="1:5" x14ac:dyDescent="0.25">
      <c r="A231" s="1" t="s">
        <v>18</v>
      </c>
      <c r="B231" s="2">
        <v>45499</v>
      </c>
      <c r="E231">
        <v>6.1416666666666666</v>
      </c>
    </row>
    <row r="232" spans="1:5" x14ac:dyDescent="0.25">
      <c r="A232" s="1" t="s">
        <v>18</v>
      </c>
      <c r="B232" s="2">
        <v>45513</v>
      </c>
      <c r="E232">
        <v>7.4249999999999998</v>
      </c>
    </row>
    <row r="233" spans="1:5" x14ac:dyDescent="0.25">
      <c r="A233" s="1" t="s">
        <v>18</v>
      </c>
      <c r="B233" s="2">
        <v>45523</v>
      </c>
      <c r="E233">
        <v>8.4416666666666664</v>
      </c>
    </row>
    <row r="234" spans="1:5" x14ac:dyDescent="0.25">
      <c r="A234" s="1" t="s">
        <v>18</v>
      </c>
      <c r="B234" s="2">
        <v>45535</v>
      </c>
      <c r="E234">
        <v>9.8833333333333329</v>
      </c>
    </row>
    <row r="235" spans="1:5" x14ac:dyDescent="0.25">
      <c r="A235" s="1" t="s">
        <v>18</v>
      </c>
      <c r="B235" s="2">
        <v>45549</v>
      </c>
      <c r="E235">
        <v>10.5</v>
      </c>
    </row>
    <row r="236" spans="1:5" x14ac:dyDescent="0.25">
      <c r="A236" s="1" t="s">
        <v>19</v>
      </c>
      <c r="B236" s="2">
        <v>45436</v>
      </c>
      <c r="E236">
        <v>4.1666666666666661</v>
      </c>
    </row>
    <row r="237" spans="1:5" x14ac:dyDescent="0.25">
      <c r="A237" s="1" t="s">
        <v>19</v>
      </c>
      <c r="B237" s="2">
        <v>45446</v>
      </c>
      <c r="E237">
        <v>5.1583333333333341</v>
      </c>
    </row>
    <row r="238" spans="1:5" x14ac:dyDescent="0.25">
      <c r="A238" s="1" t="s">
        <v>19</v>
      </c>
      <c r="B238" s="2">
        <v>45457</v>
      </c>
      <c r="E238">
        <v>6.3416666666666668</v>
      </c>
    </row>
    <row r="239" spans="1:5" x14ac:dyDescent="0.25">
      <c r="A239" s="1" t="s">
        <v>19</v>
      </c>
      <c r="B239" s="2">
        <v>45468</v>
      </c>
      <c r="E239">
        <v>6.9666666666666668</v>
      </c>
    </row>
    <row r="240" spans="1:5" x14ac:dyDescent="0.25">
      <c r="A240" s="1" t="s">
        <v>19</v>
      </c>
      <c r="B240" s="2">
        <v>45483</v>
      </c>
      <c r="E240">
        <v>7.9333333333333336</v>
      </c>
    </row>
    <row r="241" spans="1:5" x14ac:dyDescent="0.25">
      <c r="A241" s="1" t="s">
        <v>19</v>
      </c>
      <c r="B241" s="2">
        <v>45496</v>
      </c>
      <c r="E241">
        <v>8.6999999999999993</v>
      </c>
    </row>
    <row r="242" spans="1:5" x14ac:dyDescent="0.25">
      <c r="A242" s="1" t="s">
        <v>19</v>
      </c>
      <c r="B242" s="2">
        <v>45512</v>
      </c>
      <c r="E242">
        <v>9.8500000000000014</v>
      </c>
    </row>
    <row r="243" spans="1:5" x14ac:dyDescent="0.25">
      <c r="A243" s="1" t="s">
        <v>19</v>
      </c>
      <c r="B243" s="2">
        <v>45522</v>
      </c>
      <c r="E243">
        <v>10.68333333333333</v>
      </c>
    </row>
    <row r="244" spans="1:5" x14ac:dyDescent="0.25">
      <c r="A244" s="1" t="s">
        <v>19</v>
      </c>
      <c r="B244" s="2">
        <v>45532</v>
      </c>
      <c r="E244">
        <v>11.824999999999999</v>
      </c>
    </row>
    <row r="245" spans="1:5" x14ac:dyDescent="0.25">
      <c r="A245" s="1" t="s">
        <v>19</v>
      </c>
      <c r="B245" s="2">
        <v>45549</v>
      </c>
      <c r="E245">
        <v>13.06666666666667</v>
      </c>
    </row>
    <row r="246" spans="1:5" x14ac:dyDescent="0.25">
      <c r="A246" s="1" t="s">
        <v>19</v>
      </c>
      <c r="B246" s="2">
        <v>45559</v>
      </c>
      <c r="E246">
        <v>13.25</v>
      </c>
    </row>
    <row r="247" spans="1:5" x14ac:dyDescent="0.25">
      <c r="A247" s="1" t="s">
        <v>20</v>
      </c>
      <c r="B247" s="2">
        <v>45467</v>
      </c>
      <c r="E247">
        <v>3.05</v>
      </c>
    </row>
    <row r="248" spans="1:5" x14ac:dyDescent="0.25">
      <c r="A248" s="1" t="s">
        <v>20</v>
      </c>
      <c r="B248" s="2">
        <v>45477</v>
      </c>
      <c r="E248">
        <v>4.05</v>
      </c>
    </row>
    <row r="249" spans="1:5" x14ac:dyDescent="0.25">
      <c r="A249" s="1" t="s">
        <v>20</v>
      </c>
      <c r="B249" s="2">
        <v>45488</v>
      </c>
      <c r="E249">
        <v>5.041666666666667</v>
      </c>
    </row>
    <row r="250" spans="1:5" x14ac:dyDescent="0.25">
      <c r="A250" s="1" t="s">
        <v>20</v>
      </c>
      <c r="B250" s="2">
        <v>45499</v>
      </c>
      <c r="E250">
        <v>6.0666666666666664</v>
      </c>
    </row>
    <row r="251" spans="1:5" x14ac:dyDescent="0.25">
      <c r="A251" s="1" t="s">
        <v>20</v>
      </c>
      <c r="B251" s="2">
        <v>45513</v>
      </c>
      <c r="E251">
        <v>7.0250000000000004</v>
      </c>
    </row>
    <row r="252" spans="1:5" x14ac:dyDescent="0.25">
      <c r="A252" s="1" t="s">
        <v>20</v>
      </c>
      <c r="B252" s="2">
        <v>45523</v>
      </c>
      <c r="E252">
        <v>8.1833333333333336</v>
      </c>
    </row>
    <row r="253" spans="1:5" x14ac:dyDescent="0.25">
      <c r="A253" s="1" t="s">
        <v>20</v>
      </c>
      <c r="B253" s="2">
        <v>45535</v>
      </c>
      <c r="E253">
        <v>9.3666666666666671</v>
      </c>
    </row>
    <row r="254" spans="1:5" x14ac:dyDescent="0.25">
      <c r="A254" s="1" t="s">
        <v>20</v>
      </c>
      <c r="B254" s="2">
        <v>45549</v>
      </c>
      <c r="E254">
        <v>9.8333333333333321</v>
      </c>
    </row>
    <row r="255" spans="1:5" x14ac:dyDescent="0.25">
      <c r="A255" s="1" t="s">
        <v>21</v>
      </c>
      <c r="B255" s="2">
        <v>45467</v>
      </c>
      <c r="E255">
        <v>3.15</v>
      </c>
    </row>
    <row r="256" spans="1:5" x14ac:dyDescent="0.25">
      <c r="A256" s="1" t="s">
        <v>21</v>
      </c>
      <c r="B256" s="2">
        <v>45477</v>
      </c>
      <c r="E256">
        <v>4.1416666666666666</v>
      </c>
    </row>
    <row r="257" spans="1:5" x14ac:dyDescent="0.25">
      <c r="A257" s="1" t="s">
        <v>21</v>
      </c>
      <c r="B257" s="2">
        <v>45488</v>
      </c>
      <c r="E257">
        <v>5.166666666666667</v>
      </c>
    </row>
    <row r="258" spans="1:5" x14ac:dyDescent="0.25">
      <c r="A258" s="1" t="s">
        <v>21</v>
      </c>
      <c r="B258" s="2">
        <v>45499</v>
      </c>
      <c r="E258">
        <v>6.2250000000000014</v>
      </c>
    </row>
    <row r="259" spans="1:5" x14ac:dyDescent="0.25">
      <c r="A259" s="1" t="s">
        <v>21</v>
      </c>
      <c r="B259" s="2">
        <v>45513</v>
      </c>
      <c r="E259">
        <v>7.3416666666666668</v>
      </c>
    </row>
    <row r="260" spans="1:5" x14ac:dyDescent="0.25">
      <c r="A260" s="1" t="s">
        <v>21</v>
      </c>
      <c r="B260" s="2">
        <v>45523</v>
      </c>
      <c r="E260">
        <v>8.4083333333333332</v>
      </c>
    </row>
    <row r="261" spans="1:5" x14ac:dyDescent="0.25">
      <c r="A261" s="1" t="s">
        <v>21</v>
      </c>
      <c r="B261" s="2">
        <v>45535</v>
      </c>
      <c r="E261">
        <v>9.8666666666666671</v>
      </c>
    </row>
    <row r="262" spans="1:5" x14ac:dyDescent="0.25">
      <c r="A262" s="1" t="s">
        <v>21</v>
      </c>
      <c r="B262" s="2">
        <v>45549</v>
      </c>
      <c r="E262">
        <v>10.91666666666667</v>
      </c>
    </row>
    <row r="263" spans="1:5" x14ac:dyDescent="0.25">
      <c r="A263" s="1" t="s">
        <v>22</v>
      </c>
      <c r="B263" s="2">
        <v>45436</v>
      </c>
      <c r="E263">
        <v>4.1416666666666666</v>
      </c>
    </row>
    <row r="264" spans="1:5" x14ac:dyDescent="0.25">
      <c r="A264" s="1" t="s">
        <v>22</v>
      </c>
      <c r="B264" s="2">
        <v>45446</v>
      </c>
      <c r="E264">
        <v>5.2249999999999996</v>
      </c>
    </row>
    <row r="265" spans="1:5" x14ac:dyDescent="0.25">
      <c r="A265" s="1" t="s">
        <v>22</v>
      </c>
      <c r="B265" s="2">
        <v>45457</v>
      </c>
      <c r="E265">
        <v>6.1916666666666664</v>
      </c>
    </row>
    <row r="266" spans="1:5" x14ac:dyDescent="0.25">
      <c r="A266" s="1" t="s">
        <v>22</v>
      </c>
      <c r="B266" s="2">
        <v>45468</v>
      </c>
      <c r="E266">
        <v>6.9333333333333336</v>
      </c>
    </row>
    <row r="267" spans="1:5" x14ac:dyDescent="0.25">
      <c r="A267" s="1" t="s">
        <v>22</v>
      </c>
      <c r="B267" s="2">
        <v>45483</v>
      </c>
      <c r="E267">
        <v>7.958333333333333</v>
      </c>
    </row>
    <row r="268" spans="1:5" x14ac:dyDescent="0.25">
      <c r="A268" s="1" t="s">
        <v>22</v>
      </c>
      <c r="B268" s="2">
        <v>45496</v>
      </c>
      <c r="E268">
        <v>8.9666666666666668</v>
      </c>
    </row>
    <row r="269" spans="1:5" x14ac:dyDescent="0.25">
      <c r="A269" s="1" t="s">
        <v>22</v>
      </c>
      <c r="B269" s="2">
        <v>45512</v>
      </c>
      <c r="E269">
        <v>10.266666666666669</v>
      </c>
    </row>
    <row r="270" spans="1:5" x14ac:dyDescent="0.25">
      <c r="A270" s="1" t="s">
        <v>22</v>
      </c>
      <c r="B270" s="2">
        <v>45522</v>
      </c>
      <c r="E270">
        <v>11.275</v>
      </c>
    </row>
    <row r="271" spans="1:5" x14ac:dyDescent="0.25">
      <c r="A271" s="1" t="s">
        <v>22</v>
      </c>
      <c r="B271" s="2">
        <v>45532</v>
      </c>
      <c r="E271">
        <v>12.358333333333331</v>
      </c>
    </row>
    <row r="272" spans="1:5" x14ac:dyDescent="0.25">
      <c r="A272" s="1" t="s">
        <v>22</v>
      </c>
      <c r="B272" s="2">
        <v>45549</v>
      </c>
      <c r="E272">
        <v>12.91666666666667</v>
      </c>
    </row>
    <row r="273" spans="1:5" x14ac:dyDescent="0.25">
      <c r="A273" s="1" t="s">
        <v>23</v>
      </c>
      <c r="B273" s="2">
        <v>45436</v>
      </c>
      <c r="E273">
        <v>3.958333333333333</v>
      </c>
    </row>
    <row r="274" spans="1:5" x14ac:dyDescent="0.25">
      <c r="A274" s="1" t="s">
        <v>23</v>
      </c>
      <c r="B274" s="2">
        <v>45446</v>
      </c>
      <c r="E274">
        <v>5.083333333333333</v>
      </c>
    </row>
    <row r="275" spans="1:5" x14ac:dyDescent="0.25">
      <c r="A275" s="1" t="s">
        <v>23</v>
      </c>
      <c r="B275" s="2">
        <v>45457</v>
      </c>
      <c r="E275">
        <v>6.166666666666667</v>
      </c>
    </row>
    <row r="276" spans="1:5" x14ac:dyDescent="0.25">
      <c r="A276" s="1" t="s">
        <v>23</v>
      </c>
      <c r="B276" s="2">
        <v>45468</v>
      </c>
      <c r="E276">
        <v>6.8333333333333339</v>
      </c>
    </row>
    <row r="277" spans="1:5" x14ac:dyDescent="0.25">
      <c r="A277" s="1" t="s">
        <v>23</v>
      </c>
      <c r="B277" s="2">
        <v>45483</v>
      </c>
      <c r="E277">
        <v>7.8666666666666663</v>
      </c>
    </row>
    <row r="278" spans="1:5" x14ac:dyDescent="0.25">
      <c r="A278" s="1" t="s">
        <v>23</v>
      </c>
      <c r="B278" s="2">
        <v>45496</v>
      </c>
      <c r="E278">
        <v>8.8083333333333336</v>
      </c>
    </row>
    <row r="279" spans="1:5" x14ac:dyDescent="0.25">
      <c r="A279" s="1" t="s">
        <v>23</v>
      </c>
      <c r="B279" s="2">
        <v>45512</v>
      </c>
      <c r="E279">
        <v>9.9916666666666671</v>
      </c>
    </row>
    <row r="280" spans="1:5" x14ac:dyDescent="0.25">
      <c r="A280" s="1" t="s">
        <v>23</v>
      </c>
      <c r="B280" s="2">
        <v>45522</v>
      </c>
      <c r="E280">
        <v>11.04166666666667</v>
      </c>
    </row>
    <row r="281" spans="1:5" x14ac:dyDescent="0.25">
      <c r="A281" s="1" t="s">
        <v>23</v>
      </c>
      <c r="B281" s="2">
        <v>45532</v>
      </c>
      <c r="E281">
        <v>12.391666666666669</v>
      </c>
    </row>
    <row r="282" spans="1:5" x14ac:dyDescent="0.25">
      <c r="A282" s="1" t="s">
        <v>23</v>
      </c>
      <c r="B282" s="2">
        <v>45549</v>
      </c>
      <c r="E282">
        <v>13.5</v>
      </c>
    </row>
    <row r="283" spans="1:5" x14ac:dyDescent="0.25">
      <c r="A283" s="1" t="s">
        <v>24</v>
      </c>
      <c r="B283" s="2">
        <v>45436</v>
      </c>
      <c r="E283">
        <v>4.0999999999999996</v>
      </c>
    </row>
    <row r="284" spans="1:5" x14ac:dyDescent="0.25">
      <c r="A284" s="1" t="s">
        <v>24</v>
      </c>
      <c r="B284" s="2">
        <v>45446</v>
      </c>
      <c r="E284">
        <v>5.1583333333333332</v>
      </c>
    </row>
    <row r="285" spans="1:5" x14ac:dyDescent="0.25">
      <c r="A285" s="1" t="s">
        <v>24</v>
      </c>
      <c r="B285" s="2">
        <v>45457</v>
      </c>
      <c r="E285">
        <v>6.1749999999999989</v>
      </c>
    </row>
    <row r="286" spans="1:5" x14ac:dyDescent="0.25">
      <c r="A286" s="1" t="s">
        <v>24</v>
      </c>
      <c r="B286" s="2">
        <v>45468</v>
      </c>
      <c r="E286">
        <v>6.7583333333333329</v>
      </c>
    </row>
    <row r="287" spans="1:5" x14ac:dyDescent="0.25">
      <c r="A287" s="1" t="s">
        <v>24</v>
      </c>
      <c r="B287" s="2">
        <v>45483</v>
      </c>
      <c r="E287">
        <v>7.7583333333333329</v>
      </c>
    </row>
    <row r="288" spans="1:5" x14ac:dyDescent="0.25">
      <c r="A288" s="1" t="s">
        <v>24</v>
      </c>
      <c r="B288" s="2">
        <v>45496</v>
      </c>
      <c r="E288">
        <v>8.6750000000000007</v>
      </c>
    </row>
    <row r="289" spans="1:5" x14ac:dyDescent="0.25">
      <c r="A289" s="1" t="s">
        <v>24</v>
      </c>
      <c r="B289" s="2">
        <v>45512</v>
      </c>
      <c r="E289">
        <v>9.7833333333333332</v>
      </c>
    </row>
    <row r="290" spans="1:5" x14ac:dyDescent="0.25">
      <c r="A290" s="1" t="s">
        <v>24</v>
      </c>
      <c r="B290" s="2">
        <v>45522</v>
      </c>
      <c r="E290">
        <v>10.69166666666667</v>
      </c>
    </row>
    <row r="291" spans="1:5" x14ac:dyDescent="0.25">
      <c r="A291" s="1" t="s">
        <v>24</v>
      </c>
      <c r="B291" s="2">
        <v>45532</v>
      </c>
      <c r="E291">
        <v>11.824999999999999</v>
      </c>
    </row>
    <row r="292" spans="1:5" x14ac:dyDescent="0.25">
      <c r="A292" s="1" t="s">
        <v>24</v>
      </c>
      <c r="B292" s="2">
        <v>45549</v>
      </c>
      <c r="E292">
        <v>13</v>
      </c>
    </row>
    <row r="293" spans="1:5" x14ac:dyDescent="0.25">
      <c r="A293" s="1" t="s">
        <v>25</v>
      </c>
      <c r="B293" s="2">
        <v>45467</v>
      </c>
      <c r="E293">
        <v>3.1</v>
      </c>
    </row>
    <row r="294" spans="1:5" x14ac:dyDescent="0.25">
      <c r="A294" s="1" t="s">
        <v>25</v>
      </c>
      <c r="B294" s="2">
        <v>45477</v>
      </c>
      <c r="E294">
        <v>4</v>
      </c>
    </row>
    <row r="295" spans="1:5" x14ac:dyDescent="0.25">
      <c r="A295" s="1" t="s">
        <v>25</v>
      </c>
      <c r="B295" s="2">
        <v>45488</v>
      </c>
      <c r="E295">
        <v>4.9749999999999996</v>
      </c>
    </row>
    <row r="296" spans="1:5" x14ac:dyDescent="0.25">
      <c r="A296" s="1" t="s">
        <v>25</v>
      </c>
      <c r="B296" s="2">
        <v>45499</v>
      </c>
      <c r="E296">
        <v>5.9416666666666664</v>
      </c>
    </row>
    <row r="297" spans="1:5" x14ac:dyDescent="0.25">
      <c r="A297" s="1" t="s">
        <v>25</v>
      </c>
      <c r="B297" s="2">
        <v>45513</v>
      </c>
      <c r="E297">
        <v>6.8500000000000014</v>
      </c>
    </row>
    <row r="298" spans="1:5" x14ac:dyDescent="0.25">
      <c r="A298" s="1" t="s">
        <v>25</v>
      </c>
      <c r="B298" s="2">
        <v>45523</v>
      </c>
      <c r="E298">
        <v>7.9</v>
      </c>
    </row>
    <row r="299" spans="1:5" x14ac:dyDescent="0.25">
      <c r="A299" s="1" t="s">
        <v>25</v>
      </c>
      <c r="B299" s="2">
        <v>45535</v>
      </c>
      <c r="E299">
        <v>9.15</v>
      </c>
    </row>
    <row r="300" spans="1:5" x14ac:dyDescent="0.25">
      <c r="A300" s="1" t="s">
        <v>25</v>
      </c>
      <c r="B300" s="2">
        <v>45549</v>
      </c>
      <c r="E300">
        <v>9.75</v>
      </c>
    </row>
    <row r="301" spans="1:5" x14ac:dyDescent="0.25">
      <c r="A301" s="1" t="s">
        <v>26</v>
      </c>
      <c r="B301" s="2">
        <v>45467</v>
      </c>
      <c r="E301">
        <v>3.1416666666666671</v>
      </c>
    </row>
    <row r="302" spans="1:5" x14ac:dyDescent="0.25">
      <c r="A302" s="1" t="s">
        <v>26</v>
      </c>
      <c r="B302" s="2">
        <v>45477</v>
      </c>
      <c r="E302">
        <v>3.9416666666666669</v>
      </c>
    </row>
    <row r="303" spans="1:5" x14ac:dyDescent="0.25">
      <c r="A303" s="1" t="s">
        <v>26</v>
      </c>
      <c r="B303" s="2">
        <v>45488</v>
      </c>
      <c r="E303">
        <v>4.7750000000000004</v>
      </c>
    </row>
    <row r="304" spans="1:5" x14ac:dyDescent="0.25">
      <c r="A304" s="1" t="s">
        <v>26</v>
      </c>
      <c r="B304" s="2">
        <v>45499</v>
      </c>
      <c r="E304">
        <v>5.7250000000000014</v>
      </c>
    </row>
    <row r="305" spans="1:5" x14ac:dyDescent="0.25">
      <c r="A305" s="1" t="s">
        <v>26</v>
      </c>
      <c r="B305" s="2">
        <v>45513</v>
      </c>
      <c r="E305">
        <v>6.7333333333333334</v>
      </c>
    </row>
    <row r="306" spans="1:5" x14ac:dyDescent="0.25">
      <c r="A306" s="1" t="s">
        <v>26</v>
      </c>
      <c r="B306" s="2">
        <v>45523</v>
      </c>
      <c r="E306">
        <v>7.7249999999999996</v>
      </c>
    </row>
    <row r="307" spans="1:5" x14ac:dyDescent="0.25">
      <c r="A307" s="1" t="s">
        <v>26</v>
      </c>
      <c r="B307" s="2">
        <v>45535</v>
      </c>
      <c r="E307">
        <v>9.0666666666666664</v>
      </c>
    </row>
    <row r="308" spans="1:5" x14ac:dyDescent="0.25">
      <c r="A308" s="1" t="s">
        <v>26</v>
      </c>
      <c r="B308" s="2">
        <v>45549</v>
      </c>
      <c r="E308">
        <v>10.050000000000001</v>
      </c>
    </row>
    <row r="309" spans="1:5" x14ac:dyDescent="0.25">
      <c r="A309" s="1" t="s">
        <v>26</v>
      </c>
      <c r="B309" s="2">
        <v>45559</v>
      </c>
      <c r="E309">
        <v>10.08333333333333</v>
      </c>
    </row>
    <row r="310" spans="1:5" x14ac:dyDescent="0.25">
      <c r="A310" s="1" t="s">
        <v>27</v>
      </c>
      <c r="B310" s="2">
        <v>45436</v>
      </c>
      <c r="E310">
        <v>3.941666666666666</v>
      </c>
    </row>
    <row r="311" spans="1:5" x14ac:dyDescent="0.25">
      <c r="A311" s="1" t="s">
        <v>27</v>
      </c>
      <c r="B311" s="2">
        <v>45446</v>
      </c>
      <c r="E311">
        <v>4.9249999999999998</v>
      </c>
    </row>
    <row r="312" spans="1:5" x14ac:dyDescent="0.25">
      <c r="A312" s="1" t="s">
        <v>27</v>
      </c>
      <c r="B312" s="2">
        <v>45457</v>
      </c>
      <c r="E312">
        <v>6.1</v>
      </c>
    </row>
    <row r="313" spans="1:5" x14ac:dyDescent="0.25">
      <c r="A313" s="1" t="s">
        <v>27</v>
      </c>
      <c r="B313" s="2">
        <v>45468</v>
      </c>
      <c r="E313">
        <v>6.5583333333333336</v>
      </c>
    </row>
    <row r="314" spans="1:5" x14ac:dyDescent="0.25">
      <c r="A314" s="1" t="s">
        <v>27</v>
      </c>
      <c r="B314" s="2">
        <v>45483</v>
      </c>
      <c r="E314">
        <v>7.4249999999999998</v>
      </c>
    </row>
    <row r="315" spans="1:5" x14ac:dyDescent="0.25">
      <c r="A315" s="1" t="s">
        <v>27</v>
      </c>
      <c r="B315" s="2">
        <v>45496</v>
      </c>
      <c r="E315">
        <v>8.3083333333333336</v>
      </c>
    </row>
    <row r="316" spans="1:5" x14ac:dyDescent="0.25">
      <c r="A316" s="1" t="s">
        <v>27</v>
      </c>
      <c r="B316" s="2">
        <v>45512</v>
      </c>
      <c r="E316">
        <v>9.3333333333333339</v>
      </c>
    </row>
    <row r="317" spans="1:5" x14ac:dyDescent="0.25">
      <c r="A317" s="1" t="s">
        <v>27</v>
      </c>
      <c r="B317" s="2">
        <v>45522</v>
      </c>
      <c r="E317">
        <v>10.21666666666667</v>
      </c>
    </row>
    <row r="318" spans="1:5" x14ac:dyDescent="0.25">
      <c r="A318" s="1" t="s">
        <v>27</v>
      </c>
      <c r="B318" s="2">
        <v>45532</v>
      </c>
      <c r="E318">
        <v>11.324999999999999</v>
      </c>
    </row>
    <row r="319" spans="1:5" x14ac:dyDescent="0.25">
      <c r="A319" s="1" t="s">
        <v>27</v>
      </c>
      <c r="B319" s="2">
        <v>45549</v>
      </c>
      <c r="E319">
        <v>12.33333333333333</v>
      </c>
    </row>
    <row r="320" spans="1:5" x14ac:dyDescent="0.25">
      <c r="A320" s="1" t="s">
        <v>28</v>
      </c>
      <c r="B320" s="2">
        <v>45436</v>
      </c>
      <c r="E320">
        <v>4.1333333333333329</v>
      </c>
    </row>
    <row r="321" spans="1:5" x14ac:dyDescent="0.25">
      <c r="A321" s="1" t="s">
        <v>28</v>
      </c>
      <c r="B321" s="2">
        <v>45446</v>
      </c>
      <c r="E321">
        <v>5.1999999999999993</v>
      </c>
    </row>
    <row r="322" spans="1:5" x14ac:dyDescent="0.25">
      <c r="A322" s="1" t="s">
        <v>28</v>
      </c>
      <c r="B322" s="2">
        <v>45457</v>
      </c>
      <c r="E322">
        <v>6.3083333333333336</v>
      </c>
    </row>
    <row r="323" spans="1:5" x14ac:dyDescent="0.25">
      <c r="A323" s="1" t="s">
        <v>28</v>
      </c>
      <c r="B323" s="2">
        <v>45468</v>
      </c>
      <c r="E323">
        <v>6.9666666666666668</v>
      </c>
    </row>
    <row r="324" spans="1:5" x14ac:dyDescent="0.25">
      <c r="A324" s="1" t="s">
        <v>28</v>
      </c>
      <c r="B324" s="2">
        <v>45483</v>
      </c>
      <c r="E324">
        <v>7.9666666666666659</v>
      </c>
    </row>
    <row r="325" spans="1:5" x14ac:dyDescent="0.25">
      <c r="A325" s="1" t="s">
        <v>28</v>
      </c>
      <c r="B325" s="2">
        <v>45496</v>
      </c>
      <c r="E325">
        <v>8.8666666666666671</v>
      </c>
    </row>
    <row r="326" spans="1:5" x14ac:dyDescent="0.25">
      <c r="A326" s="1" t="s">
        <v>28</v>
      </c>
      <c r="B326" s="2">
        <v>45512</v>
      </c>
      <c r="E326">
        <v>10.116666666666671</v>
      </c>
    </row>
    <row r="327" spans="1:5" x14ac:dyDescent="0.25">
      <c r="A327" s="1" t="s">
        <v>28</v>
      </c>
      <c r="B327" s="2">
        <v>45522</v>
      </c>
      <c r="E327">
        <v>10.983333333333331</v>
      </c>
    </row>
    <row r="328" spans="1:5" x14ac:dyDescent="0.25">
      <c r="A328" s="1" t="s">
        <v>28</v>
      </c>
      <c r="B328" s="2">
        <v>45532</v>
      </c>
      <c r="E328">
        <v>11.94166666666667</v>
      </c>
    </row>
    <row r="329" spans="1:5" x14ac:dyDescent="0.25">
      <c r="A329" s="1" t="s">
        <v>28</v>
      </c>
      <c r="B329" s="2">
        <v>45549</v>
      </c>
      <c r="E329">
        <v>12.41666666666667</v>
      </c>
    </row>
    <row r="330" spans="1:5" x14ac:dyDescent="0.25">
      <c r="A330" s="1" t="s">
        <v>29</v>
      </c>
      <c r="B330" s="2">
        <v>45467</v>
      </c>
      <c r="E330">
        <v>3.083333333333333</v>
      </c>
    </row>
    <row r="331" spans="1:5" x14ac:dyDescent="0.25">
      <c r="A331" s="1" t="s">
        <v>29</v>
      </c>
      <c r="B331" s="2">
        <v>45477</v>
      </c>
      <c r="E331">
        <v>3.9333333333333331</v>
      </c>
    </row>
    <row r="332" spans="1:5" x14ac:dyDescent="0.25">
      <c r="A332" s="1" t="s">
        <v>29</v>
      </c>
      <c r="B332" s="2">
        <v>45488</v>
      </c>
      <c r="E332">
        <v>4.9416666666666664</v>
      </c>
    </row>
    <row r="333" spans="1:5" x14ac:dyDescent="0.25">
      <c r="A333" s="1" t="s">
        <v>29</v>
      </c>
      <c r="B333" s="2">
        <v>45499</v>
      </c>
      <c r="E333">
        <v>5.9583333333333339</v>
      </c>
    </row>
    <row r="334" spans="1:5" x14ac:dyDescent="0.25">
      <c r="A334" s="1" t="s">
        <v>29</v>
      </c>
      <c r="B334" s="2">
        <v>45513</v>
      </c>
      <c r="E334">
        <v>6.8000000000000007</v>
      </c>
    </row>
    <row r="335" spans="1:5" x14ac:dyDescent="0.25">
      <c r="A335" s="1" t="s">
        <v>29</v>
      </c>
      <c r="B335" s="2">
        <v>45523</v>
      </c>
      <c r="E335">
        <v>7.708333333333333</v>
      </c>
    </row>
    <row r="336" spans="1:5" x14ac:dyDescent="0.25">
      <c r="A336" s="1" t="s">
        <v>29</v>
      </c>
      <c r="B336" s="2">
        <v>45535</v>
      </c>
      <c r="E336">
        <v>8.9749999999999996</v>
      </c>
    </row>
    <row r="337" spans="1:5" x14ac:dyDescent="0.25">
      <c r="A337" s="1" t="s">
        <v>29</v>
      </c>
      <c r="B337" s="2">
        <v>45549</v>
      </c>
      <c r="E337">
        <v>9.8000000000000007</v>
      </c>
    </row>
    <row r="338" spans="1:5" x14ac:dyDescent="0.25">
      <c r="A338" s="1" t="s">
        <v>29</v>
      </c>
      <c r="B338" s="2">
        <v>45559</v>
      </c>
      <c r="E338">
        <v>10</v>
      </c>
    </row>
    <row r="339" spans="1:5" x14ac:dyDescent="0.25">
      <c r="A339" s="1" t="s">
        <v>30</v>
      </c>
      <c r="B339" s="2">
        <v>45436</v>
      </c>
      <c r="E339">
        <v>4.1166666666666663</v>
      </c>
    </row>
    <row r="340" spans="1:5" x14ac:dyDescent="0.25">
      <c r="A340" s="1" t="s">
        <v>30</v>
      </c>
      <c r="B340" s="2">
        <v>45446</v>
      </c>
      <c r="E340">
        <v>5.2</v>
      </c>
    </row>
    <row r="341" spans="1:5" x14ac:dyDescent="0.25">
      <c r="A341" s="1" t="s">
        <v>30</v>
      </c>
      <c r="B341" s="2">
        <v>45457</v>
      </c>
      <c r="E341">
        <v>6.1416666666666666</v>
      </c>
    </row>
    <row r="342" spans="1:5" x14ac:dyDescent="0.25">
      <c r="A342" s="1" t="s">
        <v>30</v>
      </c>
      <c r="B342" s="2">
        <v>45468</v>
      </c>
      <c r="E342">
        <v>6.75</v>
      </c>
    </row>
    <row r="343" spans="1:5" x14ac:dyDescent="0.25">
      <c r="A343" s="1" t="s">
        <v>30</v>
      </c>
      <c r="B343" s="2">
        <v>45483</v>
      </c>
      <c r="E343">
        <v>7.7416666666666671</v>
      </c>
    </row>
    <row r="344" spans="1:5" x14ac:dyDescent="0.25">
      <c r="A344" s="1" t="s">
        <v>30</v>
      </c>
      <c r="B344" s="2">
        <v>45496</v>
      </c>
      <c r="E344">
        <v>8.6083333333333343</v>
      </c>
    </row>
    <row r="345" spans="1:5" x14ac:dyDescent="0.25">
      <c r="A345" s="1" t="s">
        <v>30</v>
      </c>
      <c r="B345" s="2">
        <v>45512</v>
      </c>
      <c r="E345">
        <v>9.7666666666666657</v>
      </c>
    </row>
    <row r="346" spans="1:5" x14ac:dyDescent="0.25">
      <c r="A346" s="1" t="s">
        <v>30</v>
      </c>
      <c r="B346" s="2">
        <v>45522</v>
      </c>
      <c r="E346">
        <v>10.733333333333331</v>
      </c>
    </row>
    <row r="347" spans="1:5" x14ac:dyDescent="0.25">
      <c r="A347" s="1" t="s">
        <v>30</v>
      </c>
      <c r="B347" s="2">
        <v>45532</v>
      </c>
      <c r="E347">
        <v>12.008333333333329</v>
      </c>
    </row>
    <row r="348" spans="1:5" x14ac:dyDescent="0.25">
      <c r="A348" s="1" t="s">
        <v>30</v>
      </c>
      <c r="B348" s="2">
        <v>45549</v>
      </c>
      <c r="E348">
        <v>13.45833333333333</v>
      </c>
    </row>
    <row r="349" spans="1:5" x14ac:dyDescent="0.25">
      <c r="A349" s="1" t="s">
        <v>30</v>
      </c>
      <c r="B349" s="2">
        <v>45559</v>
      </c>
      <c r="E349">
        <v>13.41666666666667</v>
      </c>
    </row>
    <row r="350" spans="1:5" x14ac:dyDescent="0.25">
      <c r="A350" s="1" t="s">
        <v>31</v>
      </c>
      <c r="B350" s="2">
        <v>45467</v>
      </c>
      <c r="E350">
        <v>3.2166666666666668</v>
      </c>
    </row>
    <row r="351" spans="1:5" x14ac:dyDescent="0.25">
      <c r="A351" s="1" t="s">
        <v>31</v>
      </c>
      <c r="B351" s="2">
        <v>45477</v>
      </c>
      <c r="E351">
        <v>4.0916666666666668</v>
      </c>
    </row>
    <row r="352" spans="1:5" x14ac:dyDescent="0.25">
      <c r="A352" s="1" t="s">
        <v>31</v>
      </c>
      <c r="B352" s="2">
        <v>45488</v>
      </c>
      <c r="E352">
        <v>5.0250000000000004</v>
      </c>
    </row>
    <row r="353" spans="1:6" x14ac:dyDescent="0.25">
      <c r="A353" s="1" t="s">
        <v>31</v>
      </c>
      <c r="B353" s="2">
        <v>45499</v>
      </c>
      <c r="E353">
        <v>5.9416666666666664</v>
      </c>
    </row>
    <row r="354" spans="1:6" x14ac:dyDescent="0.25">
      <c r="A354" s="1" t="s">
        <v>31</v>
      </c>
      <c r="B354" s="2">
        <v>45513</v>
      </c>
      <c r="E354">
        <v>6.8916666666666666</v>
      </c>
    </row>
    <row r="355" spans="1:6" x14ac:dyDescent="0.25">
      <c r="A355" s="1" t="s">
        <v>31</v>
      </c>
      <c r="B355" s="2">
        <v>45523</v>
      </c>
      <c r="E355">
        <v>7.875</v>
      </c>
    </row>
    <row r="356" spans="1:6" x14ac:dyDescent="0.25">
      <c r="A356" s="1" t="s">
        <v>31</v>
      </c>
      <c r="B356" s="2">
        <v>45535</v>
      </c>
      <c r="E356">
        <v>9.0749999999999993</v>
      </c>
    </row>
    <row r="357" spans="1:6" x14ac:dyDescent="0.25">
      <c r="A357" s="1" t="s">
        <v>31</v>
      </c>
      <c r="B357" s="2">
        <v>45549</v>
      </c>
      <c r="E357">
        <v>9.9166666666666661</v>
      </c>
    </row>
    <row r="358" spans="1:6" x14ac:dyDescent="0.25">
      <c r="A358" s="1" t="s">
        <v>16</v>
      </c>
      <c r="B358" s="2">
        <v>45438</v>
      </c>
      <c r="F358">
        <v>3</v>
      </c>
    </row>
    <row r="359" spans="1:6" x14ac:dyDescent="0.25">
      <c r="A359" s="1" t="s">
        <v>17</v>
      </c>
      <c r="B359" s="2">
        <v>45409</v>
      </c>
      <c r="F359">
        <v>3</v>
      </c>
    </row>
    <row r="360" spans="1:6" x14ac:dyDescent="0.25">
      <c r="A360" s="1" t="s">
        <v>18</v>
      </c>
      <c r="B360" s="2">
        <v>45439</v>
      </c>
      <c r="F360">
        <v>3</v>
      </c>
    </row>
    <row r="361" spans="1:6" x14ac:dyDescent="0.25">
      <c r="A361" s="1" t="s">
        <v>19</v>
      </c>
      <c r="B361" s="2">
        <v>45409</v>
      </c>
      <c r="F361">
        <v>3</v>
      </c>
    </row>
    <row r="362" spans="1:6" x14ac:dyDescent="0.25">
      <c r="A362" s="1" t="s">
        <v>20</v>
      </c>
      <c r="B362" s="2">
        <v>45439</v>
      </c>
      <c r="F362">
        <v>3</v>
      </c>
    </row>
    <row r="363" spans="1:6" x14ac:dyDescent="0.25">
      <c r="A363" s="1" t="s">
        <v>21</v>
      </c>
      <c r="B363" s="2">
        <v>45437</v>
      </c>
      <c r="F363">
        <v>3</v>
      </c>
    </row>
    <row r="364" spans="1:6" x14ac:dyDescent="0.25">
      <c r="A364" s="1" t="s">
        <v>22</v>
      </c>
      <c r="B364" s="2">
        <v>45410</v>
      </c>
      <c r="F364">
        <v>3</v>
      </c>
    </row>
    <row r="365" spans="1:6" x14ac:dyDescent="0.25">
      <c r="A365" s="1" t="s">
        <v>23</v>
      </c>
      <c r="B365" s="2">
        <v>45416</v>
      </c>
      <c r="F365">
        <v>3</v>
      </c>
    </row>
    <row r="366" spans="1:6" x14ac:dyDescent="0.25">
      <c r="A366" s="1" t="s">
        <v>24</v>
      </c>
      <c r="B366" s="2">
        <v>45414</v>
      </c>
      <c r="F366">
        <v>3</v>
      </c>
    </row>
    <row r="367" spans="1:6" x14ac:dyDescent="0.25">
      <c r="A367" s="1" t="s">
        <v>25</v>
      </c>
      <c r="B367" s="2">
        <v>45439</v>
      </c>
      <c r="F367">
        <v>3</v>
      </c>
    </row>
    <row r="368" spans="1:6" x14ac:dyDescent="0.25">
      <c r="A368" s="1" t="s">
        <v>26</v>
      </c>
      <c r="B368" s="2">
        <v>45439</v>
      </c>
      <c r="F368">
        <v>3</v>
      </c>
    </row>
    <row r="369" spans="1:6" x14ac:dyDescent="0.25">
      <c r="A369" s="1" t="s">
        <v>27</v>
      </c>
      <c r="B369" s="2">
        <v>45410</v>
      </c>
      <c r="F369">
        <v>3</v>
      </c>
    </row>
    <row r="370" spans="1:6" x14ac:dyDescent="0.25">
      <c r="A370" s="1" t="s">
        <v>28</v>
      </c>
      <c r="B370" s="2">
        <v>45413</v>
      </c>
      <c r="F370">
        <v>3</v>
      </c>
    </row>
    <row r="371" spans="1:6" x14ac:dyDescent="0.25">
      <c r="A371" s="1" t="s">
        <v>29</v>
      </c>
      <c r="B371" s="2">
        <v>45438</v>
      </c>
      <c r="F371">
        <v>3</v>
      </c>
    </row>
    <row r="372" spans="1:6" x14ac:dyDescent="0.25">
      <c r="A372" s="1" t="s">
        <v>30</v>
      </c>
      <c r="B372" s="2">
        <v>45414</v>
      </c>
      <c r="F372">
        <v>3</v>
      </c>
    </row>
    <row r="373" spans="1:6" x14ac:dyDescent="0.25">
      <c r="A373" s="1" t="s">
        <v>31</v>
      </c>
      <c r="B373" s="2">
        <v>45438</v>
      </c>
      <c r="F373">
        <v>3</v>
      </c>
    </row>
    <row r="374" spans="1:6" x14ac:dyDescent="0.25">
      <c r="A374" s="1" t="s">
        <v>16</v>
      </c>
      <c r="B374" s="2">
        <v>45547</v>
      </c>
      <c r="F374">
        <v>6</v>
      </c>
    </row>
    <row r="375" spans="1:6" x14ac:dyDescent="0.25">
      <c r="A375" s="1" t="s">
        <v>17</v>
      </c>
      <c r="B375" s="2">
        <v>45543</v>
      </c>
      <c r="F375">
        <v>6</v>
      </c>
    </row>
    <row r="376" spans="1:6" x14ac:dyDescent="0.25">
      <c r="A376" s="1" t="s">
        <v>18</v>
      </c>
      <c r="B376" s="2">
        <v>45545</v>
      </c>
      <c r="F376">
        <v>6</v>
      </c>
    </row>
    <row r="377" spans="1:6" x14ac:dyDescent="0.25">
      <c r="A377" s="1" t="s">
        <v>19</v>
      </c>
      <c r="B377" s="2">
        <v>45547</v>
      </c>
      <c r="F377">
        <v>6</v>
      </c>
    </row>
    <row r="378" spans="1:6" x14ac:dyDescent="0.25">
      <c r="A378" s="1" t="s">
        <v>20</v>
      </c>
      <c r="B378" s="2">
        <v>45541</v>
      </c>
      <c r="F378">
        <v>6</v>
      </c>
    </row>
    <row r="379" spans="1:6" x14ac:dyDescent="0.25">
      <c r="A379" s="1" t="s">
        <v>21</v>
      </c>
      <c r="B379" s="2">
        <v>45549</v>
      </c>
      <c r="F379">
        <v>6</v>
      </c>
    </row>
    <row r="380" spans="1:6" x14ac:dyDescent="0.25">
      <c r="A380" s="1" t="s">
        <v>22</v>
      </c>
      <c r="B380" s="2">
        <v>45538</v>
      </c>
      <c r="F380">
        <v>6</v>
      </c>
    </row>
    <row r="381" spans="1:6" x14ac:dyDescent="0.25">
      <c r="A381" s="1" t="s">
        <v>23</v>
      </c>
      <c r="B381" s="2">
        <v>45545</v>
      </c>
      <c r="F381">
        <v>6</v>
      </c>
    </row>
    <row r="382" spans="1:6" x14ac:dyDescent="0.25">
      <c r="A382" s="1" t="s">
        <v>24</v>
      </c>
      <c r="B382" s="2">
        <v>45548</v>
      </c>
      <c r="F382">
        <v>6</v>
      </c>
    </row>
    <row r="383" spans="1:6" x14ac:dyDescent="0.25">
      <c r="A383" s="1" t="s">
        <v>25</v>
      </c>
      <c r="B383" s="2">
        <v>45542</v>
      </c>
      <c r="F383">
        <v>6</v>
      </c>
    </row>
    <row r="384" spans="1:6" x14ac:dyDescent="0.25">
      <c r="A384" s="1" t="s">
        <v>26</v>
      </c>
      <c r="B384" s="2">
        <v>45546</v>
      </c>
      <c r="F384">
        <v>6</v>
      </c>
    </row>
    <row r="385" spans="1:6" x14ac:dyDescent="0.25">
      <c r="A385" s="1" t="s">
        <v>27</v>
      </c>
      <c r="B385" s="2">
        <v>45544</v>
      </c>
      <c r="F385">
        <v>6</v>
      </c>
    </row>
    <row r="386" spans="1:6" x14ac:dyDescent="0.25">
      <c r="A386" s="1" t="s">
        <v>28</v>
      </c>
      <c r="B386" s="2">
        <v>45539</v>
      </c>
      <c r="F386">
        <v>6</v>
      </c>
    </row>
    <row r="387" spans="1:6" x14ac:dyDescent="0.25">
      <c r="A387" s="1" t="s">
        <v>29</v>
      </c>
      <c r="B387" s="2">
        <v>45546</v>
      </c>
      <c r="F387">
        <v>6</v>
      </c>
    </row>
    <row r="388" spans="1:6" x14ac:dyDescent="0.25">
      <c r="A388" s="1" t="s">
        <v>30</v>
      </c>
      <c r="B388" s="2">
        <v>45546</v>
      </c>
      <c r="F388">
        <v>6</v>
      </c>
    </row>
    <row r="389" spans="1:6" x14ac:dyDescent="0.25">
      <c r="A389" s="1" t="s">
        <v>31</v>
      </c>
      <c r="B389" s="2">
        <v>45546</v>
      </c>
      <c r="F389">
        <v>6</v>
      </c>
    </row>
    <row r="390" spans="1:6" x14ac:dyDescent="0.25">
      <c r="A390" s="1" t="s">
        <v>16</v>
      </c>
      <c r="B390" s="2">
        <v>45568</v>
      </c>
      <c r="F390">
        <v>8</v>
      </c>
    </row>
    <row r="391" spans="1:6" x14ac:dyDescent="0.25">
      <c r="A391" s="1" t="s">
        <v>17</v>
      </c>
      <c r="B391" s="2">
        <v>45565</v>
      </c>
      <c r="F391">
        <v>8</v>
      </c>
    </row>
    <row r="392" spans="1:6" x14ac:dyDescent="0.25">
      <c r="A392" s="1" t="s">
        <v>18</v>
      </c>
      <c r="B392" s="2">
        <v>45566</v>
      </c>
      <c r="F392">
        <v>8</v>
      </c>
    </row>
    <row r="393" spans="1:6" x14ac:dyDescent="0.25">
      <c r="A393" s="1" t="s">
        <v>19</v>
      </c>
      <c r="B393" s="2">
        <v>45568</v>
      </c>
      <c r="F393">
        <v>8</v>
      </c>
    </row>
    <row r="394" spans="1:6" x14ac:dyDescent="0.25">
      <c r="A394" s="1" t="s">
        <v>20</v>
      </c>
      <c r="B394" s="2">
        <v>45560</v>
      </c>
      <c r="F394">
        <v>8</v>
      </c>
    </row>
    <row r="395" spans="1:6" x14ac:dyDescent="0.25">
      <c r="A395" s="1" t="s">
        <v>21</v>
      </c>
      <c r="B395" s="2">
        <v>45567</v>
      </c>
      <c r="F395">
        <v>8</v>
      </c>
    </row>
    <row r="396" spans="1:6" x14ac:dyDescent="0.25">
      <c r="A396" s="1" t="s">
        <v>22</v>
      </c>
      <c r="B396" s="2">
        <v>45560</v>
      </c>
      <c r="F396">
        <v>8</v>
      </c>
    </row>
    <row r="397" spans="1:6" x14ac:dyDescent="0.25">
      <c r="A397" s="1" t="s">
        <v>23</v>
      </c>
      <c r="B397" s="2">
        <v>45566</v>
      </c>
      <c r="F397">
        <v>8</v>
      </c>
    </row>
    <row r="398" spans="1:6" x14ac:dyDescent="0.25">
      <c r="A398" s="1" t="s">
        <v>24</v>
      </c>
      <c r="B398" s="2">
        <v>45567</v>
      </c>
      <c r="F398">
        <v>8</v>
      </c>
    </row>
    <row r="399" spans="1:6" x14ac:dyDescent="0.25">
      <c r="A399" s="1" t="s">
        <v>25</v>
      </c>
      <c r="B399" s="2">
        <v>45561</v>
      </c>
      <c r="F399">
        <v>8</v>
      </c>
    </row>
    <row r="400" spans="1:6" x14ac:dyDescent="0.25">
      <c r="A400" s="1" t="s">
        <v>26</v>
      </c>
      <c r="B400" s="2">
        <v>45567</v>
      </c>
      <c r="F400">
        <v>8</v>
      </c>
    </row>
    <row r="401" spans="1:14" x14ac:dyDescent="0.25">
      <c r="A401" s="1" t="s">
        <v>27</v>
      </c>
      <c r="B401" s="2">
        <v>45566</v>
      </c>
      <c r="F401">
        <v>8</v>
      </c>
    </row>
    <row r="402" spans="1:14" x14ac:dyDescent="0.25">
      <c r="A402" s="1" t="s">
        <v>28</v>
      </c>
      <c r="B402" s="2">
        <v>45560</v>
      </c>
      <c r="F402">
        <v>8</v>
      </c>
    </row>
    <row r="403" spans="1:14" x14ac:dyDescent="0.25">
      <c r="A403" s="1" t="s">
        <v>29</v>
      </c>
      <c r="B403" s="2">
        <v>45566</v>
      </c>
      <c r="F403">
        <v>8</v>
      </c>
    </row>
    <row r="404" spans="1:14" x14ac:dyDescent="0.25">
      <c r="A404" s="1" t="s">
        <v>30</v>
      </c>
      <c r="B404" s="2">
        <v>45567</v>
      </c>
      <c r="F404">
        <v>8</v>
      </c>
    </row>
    <row r="405" spans="1:14" x14ac:dyDescent="0.25">
      <c r="A405" s="1" t="s">
        <v>31</v>
      </c>
      <c r="B405" s="2">
        <v>45567</v>
      </c>
      <c r="F405">
        <v>8</v>
      </c>
    </row>
    <row r="406" spans="1:14" x14ac:dyDescent="0.25">
      <c r="A406" s="1" t="s">
        <v>16</v>
      </c>
      <c r="B406" s="2">
        <v>45547</v>
      </c>
      <c r="D406">
        <v>0.86</v>
      </c>
      <c r="G406">
        <v>0.98150000000000004</v>
      </c>
      <c r="H406">
        <v>682.5</v>
      </c>
      <c r="I406">
        <v>202.52126745255109</v>
      </c>
      <c r="J406">
        <v>20.04049611623115</v>
      </c>
      <c r="K406">
        <v>296.48390706657369</v>
      </c>
      <c r="L406">
        <v>25.490666200450729</v>
      </c>
      <c r="M406">
        <v>544.53633683580665</v>
      </c>
      <c r="N406">
        <v>25.490666200450729</v>
      </c>
    </row>
    <row r="407" spans="1:14" x14ac:dyDescent="0.25">
      <c r="A407" s="1" t="s">
        <v>17</v>
      </c>
      <c r="B407" s="2">
        <v>45545</v>
      </c>
      <c r="D407">
        <v>0.86499999999999999</v>
      </c>
      <c r="G407">
        <v>0.98099999999999998</v>
      </c>
      <c r="H407">
        <v>615</v>
      </c>
      <c r="I407">
        <v>281.04966425554591</v>
      </c>
      <c r="J407">
        <v>28.160809623230929</v>
      </c>
      <c r="K407">
        <v>381.62686438315302</v>
      </c>
      <c r="L407">
        <v>54.595464549415837</v>
      </c>
      <c r="M407">
        <v>745.43280281134571</v>
      </c>
      <c r="N407">
        <v>54.595464549415837</v>
      </c>
    </row>
    <row r="408" spans="1:14" x14ac:dyDescent="0.25">
      <c r="A408" s="1" t="s">
        <v>18</v>
      </c>
      <c r="B408" s="2">
        <v>45546</v>
      </c>
      <c r="D408">
        <v>0.85499999999999998</v>
      </c>
      <c r="G408">
        <v>0.97399999999999998</v>
      </c>
      <c r="H408">
        <v>610</v>
      </c>
      <c r="I408">
        <v>180.7609958026799</v>
      </c>
      <c r="J408">
        <v>33.816756486062623</v>
      </c>
      <c r="K408">
        <v>289.73946902206399</v>
      </c>
      <c r="L408">
        <v>47.850542432158313</v>
      </c>
      <c r="M408">
        <v>552.16776374296478</v>
      </c>
      <c r="N408">
        <v>47.850542432158313</v>
      </c>
    </row>
    <row r="409" spans="1:14" x14ac:dyDescent="0.25">
      <c r="A409" s="1" t="s">
        <v>19</v>
      </c>
      <c r="B409" s="2">
        <v>45548</v>
      </c>
      <c r="D409">
        <v>0.84</v>
      </c>
      <c r="G409">
        <v>0.97950000000000004</v>
      </c>
      <c r="H409">
        <v>627.5</v>
      </c>
      <c r="I409">
        <v>207.10895807007441</v>
      </c>
      <c r="J409">
        <v>86.045728211767241</v>
      </c>
      <c r="K409">
        <v>341.2705721954016</v>
      </c>
      <c r="L409">
        <v>38.489227700605653</v>
      </c>
      <c r="M409">
        <v>672.91448617784886</v>
      </c>
      <c r="N409">
        <v>38.489227700605653</v>
      </c>
    </row>
    <row r="410" spans="1:14" x14ac:dyDescent="0.25">
      <c r="A410" s="1" t="s">
        <v>20</v>
      </c>
      <c r="B410" s="2">
        <v>45544</v>
      </c>
      <c r="D410">
        <v>0.82750000000000001</v>
      </c>
      <c r="G410">
        <v>0.92900000000000005</v>
      </c>
      <c r="H410">
        <v>640</v>
      </c>
      <c r="I410">
        <v>162.41552638369561</v>
      </c>
      <c r="J410">
        <v>16.710155524751158</v>
      </c>
      <c r="K410">
        <v>260.37725295098141</v>
      </c>
      <c r="L410">
        <v>45.243379549593968</v>
      </c>
      <c r="M410">
        <v>484.74631440902209</v>
      </c>
      <c r="N410">
        <v>45.243379549593968</v>
      </c>
    </row>
    <row r="411" spans="1:14" x14ac:dyDescent="0.25">
      <c r="A411" s="1" t="s">
        <v>21</v>
      </c>
      <c r="B411" s="2">
        <v>45548</v>
      </c>
      <c r="D411">
        <v>0.83499999999999996</v>
      </c>
      <c r="G411">
        <v>0.97324999999999995</v>
      </c>
      <c r="H411">
        <v>567.5</v>
      </c>
      <c r="I411">
        <v>199.0275366558933</v>
      </c>
      <c r="J411">
        <v>23.552523844114429</v>
      </c>
      <c r="K411">
        <v>289.91993427844369</v>
      </c>
      <c r="L411">
        <v>31.275991535149721</v>
      </c>
      <c r="M411">
        <v>543.77598631360115</v>
      </c>
      <c r="N411">
        <v>31.275991535149721</v>
      </c>
    </row>
    <row r="412" spans="1:14" x14ac:dyDescent="0.25">
      <c r="A412" s="1" t="s">
        <v>22</v>
      </c>
      <c r="B412" s="2">
        <v>45540</v>
      </c>
      <c r="D412">
        <v>0.82499999999999996</v>
      </c>
      <c r="G412">
        <v>0.98199999999999998</v>
      </c>
      <c r="H412">
        <v>625</v>
      </c>
      <c r="I412">
        <v>201.22531144017481</v>
      </c>
      <c r="J412">
        <v>42.17841430801527</v>
      </c>
      <c r="K412">
        <v>366.59077584862962</v>
      </c>
      <c r="L412">
        <v>33.024158674813172</v>
      </c>
      <c r="M412">
        <v>643.01866027163271</v>
      </c>
      <c r="N412">
        <v>33.024158674813172</v>
      </c>
    </row>
    <row r="413" spans="1:14" x14ac:dyDescent="0.25">
      <c r="A413" s="1" t="s">
        <v>23</v>
      </c>
      <c r="B413" s="2">
        <v>45547</v>
      </c>
      <c r="D413">
        <v>0.85749999999999993</v>
      </c>
      <c r="G413">
        <v>0.98724999999999996</v>
      </c>
      <c r="H413">
        <v>680</v>
      </c>
      <c r="I413">
        <v>178.61967923895179</v>
      </c>
      <c r="J413">
        <v>47.985011232121963</v>
      </c>
      <c r="K413">
        <v>340.28168288315209</v>
      </c>
      <c r="L413">
        <v>50.322414393181241</v>
      </c>
      <c r="M413">
        <v>617.20878774740709</v>
      </c>
      <c r="N413">
        <v>50.322414393181241</v>
      </c>
    </row>
    <row r="414" spans="1:14" x14ac:dyDescent="0.25">
      <c r="A414" s="1" t="s">
        <v>24</v>
      </c>
      <c r="B414" s="2">
        <v>45547</v>
      </c>
      <c r="D414">
        <v>0.85749999999999993</v>
      </c>
      <c r="G414">
        <v>0.98499999999999999</v>
      </c>
      <c r="H414">
        <v>655</v>
      </c>
      <c r="I414">
        <v>214.08793565560251</v>
      </c>
      <c r="J414">
        <v>70.209630332921265</v>
      </c>
      <c r="K414">
        <v>365.51516977692057</v>
      </c>
      <c r="L414">
        <v>46.660261043259311</v>
      </c>
      <c r="M414">
        <v>696.47299680870367</v>
      </c>
      <c r="N414">
        <v>46.660261043259311</v>
      </c>
    </row>
    <row r="415" spans="1:14" x14ac:dyDescent="0.25">
      <c r="A415" s="1" t="s">
        <v>25</v>
      </c>
      <c r="B415" s="2">
        <v>45544</v>
      </c>
      <c r="D415">
        <v>0.81499999999999995</v>
      </c>
      <c r="G415">
        <v>0.91700000000000004</v>
      </c>
      <c r="H415">
        <v>620</v>
      </c>
      <c r="I415">
        <v>174.40729003919671</v>
      </c>
      <c r="J415">
        <v>19.239681281464641</v>
      </c>
      <c r="K415">
        <v>304.77583951327529</v>
      </c>
      <c r="L415">
        <v>46.638825786774142</v>
      </c>
      <c r="M415">
        <v>545.06163662071094</v>
      </c>
      <c r="N415">
        <v>46.638825786774142</v>
      </c>
    </row>
    <row r="416" spans="1:14" x14ac:dyDescent="0.25">
      <c r="A416" s="1" t="s">
        <v>26</v>
      </c>
      <c r="B416" s="2">
        <v>45547</v>
      </c>
      <c r="D416">
        <v>0.84499999999999997</v>
      </c>
      <c r="G416">
        <v>0.98199999999999998</v>
      </c>
      <c r="H416">
        <v>637.5</v>
      </c>
      <c r="I416">
        <v>199.81145072810409</v>
      </c>
      <c r="J416">
        <v>31.445374083643021</v>
      </c>
      <c r="K416">
        <v>336.93742585709151</v>
      </c>
      <c r="L416">
        <v>22.59565709409236</v>
      </c>
      <c r="M416">
        <v>590.78990776293097</v>
      </c>
      <c r="N416">
        <v>22.59565709409236</v>
      </c>
    </row>
    <row r="417" spans="1:14" x14ac:dyDescent="0.25">
      <c r="A417" s="1" t="s">
        <v>27</v>
      </c>
      <c r="B417" s="2">
        <v>45545</v>
      </c>
      <c r="D417">
        <v>0.85</v>
      </c>
      <c r="G417">
        <v>0.98324999999999996</v>
      </c>
      <c r="H417">
        <v>627.5</v>
      </c>
      <c r="I417">
        <v>233.30390396853161</v>
      </c>
      <c r="J417">
        <v>54.604999525596106</v>
      </c>
      <c r="K417">
        <v>292.70706092192239</v>
      </c>
      <c r="L417">
        <v>30.276819679847101</v>
      </c>
      <c r="M417">
        <v>610.89278409589724</v>
      </c>
      <c r="N417">
        <v>30.276819679847101</v>
      </c>
    </row>
    <row r="418" spans="1:14" x14ac:dyDescent="0.25">
      <c r="A418" s="1" t="s">
        <v>28</v>
      </c>
      <c r="B418" s="2">
        <v>45540</v>
      </c>
      <c r="D418">
        <v>0.85</v>
      </c>
      <c r="G418">
        <v>0.97899999999999998</v>
      </c>
      <c r="H418">
        <v>627.5</v>
      </c>
      <c r="I418">
        <v>236.73554182378271</v>
      </c>
      <c r="J418">
        <v>35.440858877822819</v>
      </c>
      <c r="K418">
        <v>387.95078111228997</v>
      </c>
      <c r="L418">
        <v>37.442923298242931</v>
      </c>
      <c r="M418">
        <v>697.57010511213855</v>
      </c>
      <c r="N418">
        <v>37.442923298242931</v>
      </c>
    </row>
    <row r="419" spans="1:14" x14ac:dyDescent="0.25">
      <c r="A419" s="1" t="s">
        <v>29</v>
      </c>
      <c r="B419" s="2">
        <v>45546</v>
      </c>
      <c r="D419">
        <v>0.83499999999999996</v>
      </c>
      <c r="G419">
        <v>0.96024999999999994</v>
      </c>
      <c r="H419">
        <v>577.5</v>
      </c>
      <c r="I419">
        <v>207.906861411714</v>
      </c>
      <c r="J419">
        <v>45.820231258962451</v>
      </c>
      <c r="K419">
        <v>324.70817120490551</v>
      </c>
      <c r="L419">
        <v>46.879238151178633</v>
      </c>
      <c r="M419">
        <v>625.31450202676058</v>
      </c>
      <c r="N419">
        <v>46.879238151178633</v>
      </c>
    </row>
    <row r="420" spans="1:14" x14ac:dyDescent="0.25">
      <c r="A420" s="1" t="s">
        <v>30</v>
      </c>
      <c r="B420" s="2">
        <v>45546</v>
      </c>
      <c r="D420">
        <v>0.87250000000000005</v>
      </c>
      <c r="G420">
        <v>0.98399999999999999</v>
      </c>
      <c r="H420">
        <v>607.5</v>
      </c>
      <c r="I420">
        <v>237.050206908978</v>
      </c>
      <c r="J420">
        <v>56.044106406817697</v>
      </c>
      <c r="K420">
        <v>323.29308251086599</v>
      </c>
      <c r="L420">
        <v>33.037881119998332</v>
      </c>
      <c r="M420">
        <v>649.42527694666001</v>
      </c>
      <c r="N420">
        <v>33.037881119998332</v>
      </c>
    </row>
    <row r="421" spans="1:14" x14ac:dyDescent="0.25">
      <c r="A421" s="1" t="s">
        <v>31</v>
      </c>
      <c r="B421" s="2">
        <v>45547</v>
      </c>
      <c r="D421">
        <v>0.82750000000000001</v>
      </c>
      <c r="G421">
        <v>0.97424999999999995</v>
      </c>
      <c r="H421">
        <v>652.5</v>
      </c>
      <c r="I421">
        <v>179.76557106197609</v>
      </c>
      <c r="J421">
        <v>42.993382149113792</v>
      </c>
      <c r="K421">
        <v>295.81128315090251</v>
      </c>
      <c r="L421">
        <v>27.437421259435212</v>
      </c>
      <c r="M421">
        <v>546.0076576214276</v>
      </c>
      <c r="N421">
        <v>27.437421259435212</v>
      </c>
    </row>
    <row r="422" spans="1:14" x14ac:dyDescent="0.25">
      <c r="A422" s="1" t="s">
        <v>16</v>
      </c>
      <c r="B422" s="2">
        <v>45568</v>
      </c>
      <c r="D422">
        <v>0.76249999999999996</v>
      </c>
      <c r="G422">
        <v>0.94074999999999998</v>
      </c>
      <c r="H422">
        <v>950</v>
      </c>
      <c r="I422">
        <v>150.65088023054389</v>
      </c>
      <c r="J422">
        <v>34.065994050534542</v>
      </c>
      <c r="K422">
        <v>526.19733295786534</v>
      </c>
      <c r="M422">
        <v>857.52986332803118</v>
      </c>
      <c r="N422">
        <v>146.61565608908731</v>
      </c>
    </row>
    <row r="423" spans="1:14" x14ac:dyDescent="0.25">
      <c r="A423" s="1" t="s">
        <v>17</v>
      </c>
      <c r="B423" s="2">
        <v>45566</v>
      </c>
      <c r="D423">
        <v>0.76500000000000001</v>
      </c>
      <c r="G423">
        <v>0.95524999999999993</v>
      </c>
      <c r="H423">
        <v>842.5</v>
      </c>
      <c r="I423">
        <v>195.0364920834449</v>
      </c>
      <c r="J423">
        <v>65.537057945804747</v>
      </c>
      <c r="K423">
        <v>553.47767357731777</v>
      </c>
      <c r="M423">
        <v>991.64003505722701</v>
      </c>
      <c r="N423">
        <v>177.58881145065951</v>
      </c>
    </row>
    <row r="424" spans="1:14" x14ac:dyDescent="0.25">
      <c r="A424" s="1" t="s">
        <v>18</v>
      </c>
      <c r="B424" s="2">
        <v>45566</v>
      </c>
      <c r="D424">
        <v>0.77500000000000002</v>
      </c>
      <c r="G424">
        <v>0.92649999999999999</v>
      </c>
      <c r="H424">
        <v>835</v>
      </c>
      <c r="I424">
        <v>152.33414036957211</v>
      </c>
      <c r="J424">
        <v>36.646347121755007</v>
      </c>
      <c r="K424">
        <v>430.89114665792732</v>
      </c>
      <c r="M424">
        <v>756.74364054052421</v>
      </c>
      <c r="N424">
        <v>136.87200639126979</v>
      </c>
    </row>
    <row r="425" spans="1:14" x14ac:dyDescent="0.25">
      <c r="A425" s="1" t="s">
        <v>19</v>
      </c>
      <c r="B425" s="2">
        <v>45567</v>
      </c>
      <c r="D425">
        <v>0.76750000000000007</v>
      </c>
      <c r="G425">
        <v>0.95850000000000002</v>
      </c>
      <c r="H425">
        <v>915</v>
      </c>
      <c r="I425">
        <v>175.12900740823019</v>
      </c>
      <c r="J425">
        <v>86.883398027734373</v>
      </c>
      <c r="K425">
        <v>498.35116166591808</v>
      </c>
      <c r="M425">
        <v>910.48461673124666</v>
      </c>
      <c r="N425">
        <v>150.12104962936399</v>
      </c>
    </row>
    <row r="426" spans="1:14" x14ac:dyDescent="0.25">
      <c r="A426" s="1" t="s">
        <v>20</v>
      </c>
      <c r="B426" s="2">
        <v>45560</v>
      </c>
      <c r="D426">
        <v>0.77500000000000002</v>
      </c>
      <c r="G426">
        <v>0.93100000000000005</v>
      </c>
      <c r="H426">
        <v>847.5</v>
      </c>
      <c r="I426">
        <v>162.68088142710121</v>
      </c>
      <c r="J426">
        <v>54.207952131845367</v>
      </c>
      <c r="K426">
        <v>563.48254617872499</v>
      </c>
      <c r="M426">
        <v>936.24592271283007</v>
      </c>
      <c r="N426">
        <v>155.87454297515859</v>
      </c>
    </row>
    <row r="427" spans="1:14" x14ac:dyDescent="0.25">
      <c r="A427" s="1" t="s">
        <v>21</v>
      </c>
      <c r="B427" s="2">
        <v>45568</v>
      </c>
      <c r="D427">
        <v>0.77500000000000002</v>
      </c>
      <c r="G427">
        <v>0.96449999999999991</v>
      </c>
      <c r="H427">
        <v>865</v>
      </c>
      <c r="I427">
        <v>172.84752174735999</v>
      </c>
      <c r="J427">
        <v>47.122960195683163</v>
      </c>
      <c r="K427">
        <v>523.02571188253603</v>
      </c>
      <c r="M427">
        <v>892.43078195003716</v>
      </c>
      <c r="N427">
        <v>149.43458812445789</v>
      </c>
    </row>
    <row r="428" spans="1:14" x14ac:dyDescent="0.25">
      <c r="A428" s="1" t="s">
        <v>22</v>
      </c>
      <c r="B428" s="2">
        <v>45560</v>
      </c>
      <c r="D428">
        <v>0.79</v>
      </c>
      <c r="G428">
        <v>0.95574999999999999</v>
      </c>
      <c r="H428">
        <v>880</v>
      </c>
      <c r="I428">
        <v>185.37638575602421</v>
      </c>
      <c r="J428">
        <v>79.78141493761062</v>
      </c>
      <c r="K428">
        <v>664.83794664099696</v>
      </c>
      <c r="M428">
        <v>1102.120682612448</v>
      </c>
      <c r="N428">
        <v>172.12493527781609</v>
      </c>
    </row>
    <row r="429" spans="1:14" x14ac:dyDescent="0.25">
      <c r="A429" s="1" t="s">
        <v>23</v>
      </c>
      <c r="B429" s="2">
        <v>45565</v>
      </c>
      <c r="D429">
        <v>0.73750000000000004</v>
      </c>
      <c r="G429">
        <v>0.97024999999999995</v>
      </c>
      <c r="H429">
        <v>975</v>
      </c>
      <c r="I429">
        <v>146.55554279904209</v>
      </c>
      <c r="J429">
        <v>59.796588905429381</v>
      </c>
      <c r="K429">
        <v>492.93571323436692</v>
      </c>
      <c r="M429">
        <v>837.05605501404852</v>
      </c>
      <c r="N429">
        <v>137.76821007521019</v>
      </c>
    </row>
    <row r="430" spans="1:14" x14ac:dyDescent="0.25">
      <c r="A430" s="1" t="s">
        <v>24</v>
      </c>
      <c r="B430" s="2">
        <v>45567</v>
      </c>
      <c r="D430">
        <v>0.75</v>
      </c>
      <c r="G430">
        <v>0.96399999999999997</v>
      </c>
      <c r="H430">
        <v>947.5</v>
      </c>
      <c r="I430">
        <v>199.97879210501779</v>
      </c>
      <c r="J430">
        <v>96.013232903131396</v>
      </c>
      <c r="K430">
        <v>636.94417946681915</v>
      </c>
      <c r="M430">
        <v>1102.9406040602701</v>
      </c>
      <c r="N430">
        <v>170.00439958530151</v>
      </c>
    </row>
    <row r="431" spans="1:14" x14ac:dyDescent="0.25">
      <c r="A431" s="1" t="s">
        <v>25</v>
      </c>
      <c r="B431" s="2">
        <v>45561</v>
      </c>
      <c r="D431">
        <v>0.74750000000000005</v>
      </c>
      <c r="G431">
        <v>0.96850000000000003</v>
      </c>
      <c r="H431">
        <v>830</v>
      </c>
      <c r="I431">
        <v>156.4922452588649</v>
      </c>
      <c r="J431">
        <v>51.830545678781192</v>
      </c>
      <c r="K431">
        <v>507.55345140921332</v>
      </c>
      <c r="M431">
        <v>869.4922808649485</v>
      </c>
      <c r="N431">
        <v>153.6160385180892</v>
      </c>
    </row>
    <row r="432" spans="1:14" x14ac:dyDescent="0.25">
      <c r="A432" s="1" t="s">
        <v>26</v>
      </c>
      <c r="B432" s="2">
        <v>45567</v>
      </c>
      <c r="D432">
        <v>0.76</v>
      </c>
      <c r="G432">
        <v>0.93974999999999997</v>
      </c>
      <c r="H432">
        <v>917.5</v>
      </c>
      <c r="I432">
        <v>208.89824665614961</v>
      </c>
      <c r="J432">
        <v>14.955904796970231</v>
      </c>
      <c r="K432">
        <v>637.63584292970449</v>
      </c>
      <c r="M432">
        <v>1016.41478295196</v>
      </c>
      <c r="N432">
        <v>154.9247885691353</v>
      </c>
    </row>
    <row r="433" spans="1:18" x14ac:dyDescent="0.25">
      <c r="A433" s="1" t="s">
        <v>27</v>
      </c>
      <c r="B433" s="2">
        <v>45566</v>
      </c>
      <c r="D433">
        <v>0.58025000000000004</v>
      </c>
      <c r="G433">
        <v>0.94025000000000003</v>
      </c>
      <c r="H433">
        <v>855</v>
      </c>
      <c r="I433">
        <v>189.7558056412777</v>
      </c>
      <c r="J433">
        <v>59.959973209466312</v>
      </c>
      <c r="K433">
        <v>547.90105044876668</v>
      </c>
      <c r="M433">
        <v>961.31262339421619</v>
      </c>
      <c r="N433">
        <v>163.69579409470529</v>
      </c>
    </row>
    <row r="434" spans="1:18" x14ac:dyDescent="0.25">
      <c r="A434" s="1" t="s">
        <v>28</v>
      </c>
      <c r="B434" s="2">
        <v>45560</v>
      </c>
      <c r="D434">
        <v>0.79500000000000004</v>
      </c>
      <c r="G434">
        <v>0.95550000000000002</v>
      </c>
      <c r="H434">
        <v>897.5</v>
      </c>
      <c r="I434">
        <v>171.03443158211871</v>
      </c>
      <c r="J434">
        <v>81.576165836581097</v>
      </c>
      <c r="K434">
        <v>628.39551110034733</v>
      </c>
      <c r="M434">
        <v>1069.631823693428</v>
      </c>
      <c r="N434">
        <v>188.62571517438059</v>
      </c>
    </row>
    <row r="435" spans="1:18" x14ac:dyDescent="0.25">
      <c r="A435" s="1" t="s">
        <v>29</v>
      </c>
      <c r="B435" s="2">
        <v>45567</v>
      </c>
      <c r="D435">
        <v>0.71499999999999997</v>
      </c>
      <c r="G435">
        <v>0.93149999999999999</v>
      </c>
      <c r="H435">
        <v>752.5</v>
      </c>
      <c r="I435">
        <v>181.1682839506326</v>
      </c>
      <c r="J435">
        <v>64.558893607475284</v>
      </c>
      <c r="K435">
        <v>544.37858978550889</v>
      </c>
      <c r="M435">
        <v>965.76290731983147</v>
      </c>
      <c r="N435">
        <v>175.65713997621461</v>
      </c>
    </row>
    <row r="436" spans="1:18" x14ac:dyDescent="0.25">
      <c r="A436" s="1" t="s">
        <v>30</v>
      </c>
      <c r="B436" s="2">
        <v>45567</v>
      </c>
      <c r="D436">
        <v>0.76</v>
      </c>
      <c r="G436">
        <v>0.96624999999999994</v>
      </c>
      <c r="H436">
        <v>937.5</v>
      </c>
      <c r="I436">
        <v>187.15547304988371</v>
      </c>
      <c r="J436">
        <v>85.318797976227202</v>
      </c>
      <c r="K436">
        <v>534.81659479520931</v>
      </c>
      <c r="M436">
        <v>958.65911741701416</v>
      </c>
      <c r="N436">
        <v>151.36825159569401</v>
      </c>
    </row>
    <row r="437" spans="1:18" x14ac:dyDescent="0.25">
      <c r="A437" s="1" t="s">
        <v>31</v>
      </c>
      <c r="B437" s="2">
        <v>45568</v>
      </c>
      <c r="D437">
        <v>0.73750000000000004</v>
      </c>
      <c r="G437">
        <v>0.94899999999999995</v>
      </c>
      <c r="H437">
        <v>917.5</v>
      </c>
      <c r="I437">
        <v>166.64088232556969</v>
      </c>
      <c r="J437">
        <v>81.958415177192734</v>
      </c>
      <c r="K437">
        <v>586.89043905796166</v>
      </c>
      <c r="M437">
        <v>999.62628247135126</v>
      </c>
      <c r="N437">
        <v>164.13654591062729</v>
      </c>
    </row>
    <row r="438" spans="1:18" x14ac:dyDescent="0.25">
      <c r="A438" s="1" t="s">
        <v>16</v>
      </c>
      <c r="B438" s="2">
        <v>45610</v>
      </c>
      <c r="J438">
        <v>84.812786905148954</v>
      </c>
      <c r="K438">
        <v>314.39617913944801</v>
      </c>
      <c r="L438">
        <v>125.4410017900279</v>
      </c>
      <c r="M438">
        <v>986.57996783462477</v>
      </c>
      <c r="N438">
        <v>587.37100179002789</v>
      </c>
      <c r="O438">
        <v>461.93</v>
      </c>
      <c r="P438">
        <v>3.8621339298652371E-2</v>
      </c>
      <c r="Q438">
        <v>12002.55036365683</v>
      </c>
      <c r="R438" t="s">
        <v>32</v>
      </c>
    </row>
    <row r="439" spans="1:18" x14ac:dyDescent="0.25">
      <c r="A439" s="1" t="s">
        <v>17</v>
      </c>
      <c r="B439" s="2">
        <v>45610</v>
      </c>
      <c r="J439">
        <v>110.8658524383514</v>
      </c>
      <c r="K439">
        <v>323.77513191190508</v>
      </c>
      <c r="L439">
        <v>166.57609140308941</v>
      </c>
      <c r="M439">
        <v>1138.6270757533459</v>
      </c>
      <c r="N439">
        <v>703.98609140308929</v>
      </c>
      <c r="O439">
        <v>537.41</v>
      </c>
      <c r="P439">
        <v>3.9866827988769032E-2</v>
      </c>
      <c r="Q439">
        <v>13485.63188980552</v>
      </c>
      <c r="R439" t="s">
        <v>32</v>
      </c>
    </row>
    <row r="440" spans="1:18" x14ac:dyDescent="0.25">
      <c r="A440" s="1" t="s">
        <v>18</v>
      </c>
      <c r="B440" s="2">
        <v>45610</v>
      </c>
      <c r="J440">
        <v>93.184339550457651</v>
      </c>
      <c r="K440">
        <v>304.50964162027299</v>
      </c>
      <c r="L440">
        <v>135.79915469500389</v>
      </c>
      <c r="M440">
        <v>979.37313586573464</v>
      </c>
      <c r="N440">
        <v>581.67915469500394</v>
      </c>
      <c r="O440">
        <v>445.88</v>
      </c>
      <c r="P440">
        <v>3.8319289560264112E-2</v>
      </c>
      <c r="Q440">
        <v>11655.876441090521</v>
      </c>
      <c r="R440" t="s">
        <v>32</v>
      </c>
    </row>
    <row r="441" spans="1:18" x14ac:dyDescent="0.25">
      <c r="A441" s="1" t="s">
        <v>19</v>
      </c>
      <c r="B441" s="2">
        <v>45610</v>
      </c>
      <c r="J441">
        <v>117.810961436271</v>
      </c>
      <c r="K441">
        <v>380.69987728442669</v>
      </c>
      <c r="L441">
        <v>156.6750512316215</v>
      </c>
      <c r="M441">
        <v>1188.7408899523191</v>
      </c>
      <c r="N441">
        <v>690.23005123162147</v>
      </c>
      <c r="O441">
        <v>533.55500000000006</v>
      </c>
      <c r="P441">
        <v>4.2290480764494362E-2</v>
      </c>
      <c r="Q441">
        <v>12732.169357077581</v>
      </c>
      <c r="R441" t="s">
        <v>32</v>
      </c>
    </row>
    <row r="442" spans="1:18" x14ac:dyDescent="0.25">
      <c r="A442" s="1" t="s">
        <v>20</v>
      </c>
      <c r="B442" s="2">
        <v>45610</v>
      </c>
      <c r="J442">
        <v>82.323109990212814</v>
      </c>
      <c r="K442">
        <v>334.25248031698328</v>
      </c>
      <c r="L442">
        <v>152.04893823726749</v>
      </c>
      <c r="M442">
        <v>1110.7495285444641</v>
      </c>
      <c r="N442">
        <v>694.17393823726741</v>
      </c>
      <c r="O442">
        <v>542.125</v>
      </c>
      <c r="P442">
        <v>3.9570796924811337E-2</v>
      </c>
      <c r="Q442">
        <v>13701.513209410199</v>
      </c>
      <c r="R442" t="s">
        <v>32</v>
      </c>
    </row>
    <row r="443" spans="1:18" x14ac:dyDescent="0.25">
      <c r="A443" s="1" t="s">
        <v>21</v>
      </c>
      <c r="B443" s="2">
        <v>45610</v>
      </c>
      <c r="J443">
        <v>101.50551314905761</v>
      </c>
      <c r="K443">
        <v>335.62930483675638</v>
      </c>
      <c r="L443">
        <v>142.6370302789858</v>
      </c>
      <c r="M443">
        <v>1056.3618482648001</v>
      </c>
      <c r="N443">
        <v>619.22703027898581</v>
      </c>
      <c r="O443">
        <v>476.59</v>
      </c>
      <c r="P443">
        <v>3.4264042656772097E-2</v>
      </c>
      <c r="Q443">
        <v>13870.70875727802</v>
      </c>
      <c r="R443" t="s">
        <v>32</v>
      </c>
    </row>
    <row r="444" spans="1:18" x14ac:dyDescent="0.25">
      <c r="A444" s="1" t="s">
        <v>22</v>
      </c>
      <c r="B444" s="2">
        <v>45610</v>
      </c>
      <c r="J444">
        <v>88.613314795858287</v>
      </c>
      <c r="K444">
        <v>337.03364909284699</v>
      </c>
      <c r="L444">
        <v>143.57285812777491</v>
      </c>
      <c r="M444">
        <v>1183.7748220164799</v>
      </c>
      <c r="N444">
        <v>758.12785812777497</v>
      </c>
      <c r="O444">
        <v>614.55500000000006</v>
      </c>
      <c r="P444">
        <v>4.1078357896464877E-2</v>
      </c>
      <c r="Q444">
        <v>14971.51746134088</v>
      </c>
      <c r="R444" t="s">
        <v>32</v>
      </c>
    </row>
    <row r="445" spans="1:18" x14ac:dyDescent="0.25">
      <c r="A445" s="1" t="s">
        <v>23</v>
      </c>
      <c r="B445" s="2">
        <v>45610</v>
      </c>
      <c r="J445">
        <v>107.81315080888589</v>
      </c>
      <c r="K445">
        <v>377.35028807751729</v>
      </c>
      <c r="L445">
        <v>155.3175456689836</v>
      </c>
      <c r="M445">
        <v>1106.040984555387</v>
      </c>
      <c r="N445">
        <v>620.87754566898354</v>
      </c>
      <c r="O445">
        <v>465.56</v>
      </c>
      <c r="P445">
        <v>3.6711959598558927E-2</v>
      </c>
      <c r="Q445">
        <v>12783.13564877307</v>
      </c>
      <c r="R445" t="s">
        <v>32</v>
      </c>
    </row>
    <row r="446" spans="1:18" x14ac:dyDescent="0.25">
      <c r="A446" s="1" t="s">
        <v>24</v>
      </c>
      <c r="B446" s="2">
        <v>45610</v>
      </c>
      <c r="J446">
        <v>115.1394823630547</v>
      </c>
      <c r="K446">
        <v>363.35733179396851</v>
      </c>
      <c r="L446">
        <v>141.27999045155329</v>
      </c>
      <c r="M446">
        <v>1136.646804608577</v>
      </c>
      <c r="N446">
        <v>658.14999045155332</v>
      </c>
      <c r="O446">
        <v>516.87</v>
      </c>
      <c r="P446">
        <v>3.7949922727711777E-2</v>
      </c>
      <c r="Q446">
        <v>13617.049746292791</v>
      </c>
      <c r="R446" t="s">
        <v>32</v>
      </c>
    </row>
    <row r="447" spans="1:18" x14ac:dyDescent="0.25">
      <c r="A447" s="1" t="s">
        <v>25</v>
      </c>
      <c r="B447" s="2">
        <v>45610</v>
      </c>
      <c r="J447">
        <v>74.671483444952727</v>
      </c>
      <c r="K447">
        <v>281.18689410062183</v>
      </c>
      <c r="L447">
        <v>120.5614480742542</v>
      </c>
      <c r="M447">
        <v>970.10982561982883</v>
      </c>
      <c r="N447">
        <v>614.2514480742542</v>
      </c>
      <c r="O447">
        <v>493.69</v>
      </c>
      <c r="P447">
        <v>4.5656364363389809E-2</v>
      </c>
      <c r="Q447">
        <v>10974.692766303449</v>
      </c>
      <c r="R447" t="s">
        <v>32</v>
      </c>
    </row>
    <row r="448" spans="1:18" x14ac:dyDescent="0.25">
      <c r="A448" s="1" t="s">
        <v>26</v>
      </c>
      <c r="B448" s="2">
        <v>45610</v>
      </c>
      <c r="J448">
        <v>83.299368084683366</v>
      </c>
      <c r="K448">
        <v>314.3994371549075</v>
      </c>
      <c r="L448">
        <v>123.9078241231925</v>
      </c>
      <c r="M448">
        <v>1044.0416293627829</v>
      </c>
      <c r="N448">
        <v>646.3428241231926</v>
      </c>
      <c r="O448">
        <v>522.43500000000006</v>
      </c>
      <c r="P448">
        <v>3.8957733265720093E-2</v>
      </c>
      <c r="Q448">
        <v>13467.507898776599</v>
      </c>
      <c r="R448" t="s">
        <v>32</v>
      </c>
    </row>
    <row r="449" spans="1:18" x14ac:dyDescent="0.25">
      <c r="A449" s="1" t="s">
        <v>27</v>
      </c>
      <c r="B449" s="2">
        <v>45610</v>
      </c>
      <c r="J449">
        <v>96.684565806515607</v>
      </c>
      <c r="K449">
        <v>320.80400359373448</v>
      </c>
      <c r="L449">
        <v>150.91241196817319</v>
      </c>
      <c r="M449">
        <v>1065.1609813684231</v>
      </c>
      <c r="N449">
        <v>647.67241196817315</v>
      </c>
      <c r="O449">
        <v>496.76</v>
      </c>
      <c r="P449">
        <v>3.7971680582237329E-2</v>
      </c>
      <c r="Q449">
        <v>13068.22098336198</v>
      </c>
      <c r="R449" t="s">
        <v>32</v>
      </c>
    </row>
    <row r="450" spans="1:18" x14ac:dyDescent="0.25">
      <c r="A450" s="1" t="s">
        <v>28</v>
      </c>
      <c r="B450" s="2">
        <v>45610</v>
      </c>
      <c r="J450">
        <v>113.4921792652508</v>
      </c>
      <c r="K450">
        <v>339.52923561600522</v>
      </c>
      <c r="L450">
        <v>154.77551899334259</v>
      </c>
      <c r="M450">
        <v>1164.016933874598</v>
      </c>
      <c r="N450">
        <v>710.99551899334256</v>
      </c>
      <c r="O450">
        <v>556.22</v>
      </c>
      <c r="P450">
        <v>3.6170430933567463E-2</v>
      </c>
      <c r="Q450">
        <v>15511.158321299799</v>
      </c>
      <c r="R450" t="s">
        <v>32</v>
      </c>
    </row>
    <row r="451" spans="1:18" x14ac:dyDescent="0.25">
      <c r="A451" s="1" t="s">
        <v>29</v>
      </c>
      <c r="B451" s="2">
        <v>45610</v>
      </c>
      <c r="J451">
        <v>86.278130213068081</v>
      </c>
      <c r="K451">
        <v>295.97775211870379</v>
      </c>
      <c r="L451">
        <v>154.0739530935335</v>
      </c>
      <c r="M451">
        <v>1019.049835425305</v>
      </c>
      <c r="N451">
        <v>636.79395309353345</v>
      </c>
      <c r="O451">
        <v>482.72</v>
      </c>
      <c r="P451">
        <v>4.3646511322332882E-2</v>
      </c>
      <c r="Q451">
        <v>11147.43704788128</v>
      </c>
      <c r="R451" t="s">
        <v>32</v>
      </c>
    </row>
    <row r="452" spans="1:18" x14ac:dyDescent="0.25">
      <c r="A452" s="1" t="s">
        <v>30</v>
      </c>
      <c r="B452" s="2">
        <v>45610</v>
      </c>
      <c r="J452">
        <v>90.65280788255609</v>
      </c>
      <c r="K452">
        <v>323.87211485781472</v>
      </c>
      <c r="L452">
        <v>134.3229737677141</v>
      </c>
      <c r="M452">
        <v>952.67289650808493</v>
      </c>
      <c r="N452">
        <v>538.14797376771401</v>
      </c>
      <c r="O452">
        <v>403.82499999999999</v>
      </c>
      <c r="P452">
        <v>3.698969183735519E-2</v>
      </c>
      <c r="Q452">
        <v>10935.137211216001</v>
      </c>
      <c r="R452" t="s">
        <v>32</v>
      </c>
    </row>
    <row r="453" spans="1:18" x14ac:dyDescent="0.25">
      <c r="A453" s="1" t="s">
        <v>31</v>
      </c>
      <c r="B453" s="2">
        <v>45610</v>
      </c>
      <c r="J453">
        <v>106.4474698280012</v>
      </c>
      <c r="K453">
        <v>347.65362804253442</v>
      </c>
      <c r="L453">
        <v>133.86509727596089</v>
      </c>
      <c r="M453">
        <v>1063.5461951464961</v>
      </c>
      <c r="N453">
        <v>609.44509727596085</v>
      </c>
      <c r="O453">
        <v>475.58</v>
      </c>
      <c r="P453">
        <v>4.3106588060283862E-2</v>
      </c>
      <c r="Q453">
        <v>11167.35229024922</v>
      </c>
      <c r="R45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C66D-0339-446B-A2C9-D9EFC4FCE9EC}">
  <dimension ref="A1:I27"/>
  <sheetViews>
    <sheetView zoomScale="80" zoomScaleNormal="80" workbookViewId="0">
      <selection activeCell="B4" sqref="B4"/>
    </sheetView>
  </sheetViews>
  <sheetFormatPr defaultRowHeight="15" x14ac:dyDescent="0.25"/>
  <cols>
    <col min="1" max="1" width="40.42578125" bestFit="1" customWidth="1"/>
    <col min="2" max="2" width="46.140625" bestFit="1" customWidth="1"/>
    <col min="3" max="3" width="46.42578125" bestFit="1" customWidth="1"/>
    <col min="4" max="4" width="41.42578125" bestFit="1" customWidth="1"/>
    <col min="6" max="6" width="40.42578125" bestFit="1" customWidth="1"/>
    <col min="7" max="7" width="15.5703125" bestFit="1" customWidth="1"/>
    <col min="8" max="9" width="11.140625" bestFit="1" customWidth="1"/>
    <col min="10" max="11" width="10.7109375" bestFit="1" customWidth="1"/>
  </cols>
  <sheetData>
    <row r="1" spans="1:9" x14ac:dyDescent="0.25">
      <c r="F1" t="s">
        <v>37</v>
      </c>
      <c r="G1" t="s">
        <v>38</v>
      </c>
      <c r="H1" s="6"/>
      <c r="I1" s="6"/>
    </row>
    <row r="2" spans="1:9" x14ac:dyDescent="0.25">
      <c r="F2">
        <v>3</v>
      </c>
      <c r="G2" t="s">
        <v>39</v>
      </c>
    </row>
    <row r="3" spans="1:9" x14ac:dyDescent="0.25">
      <c r="F3">
        <v>6</v>
      </c>
      <c r="G3" t="s">
        <v>40</v>
      </c>
    </row>
    <row r="4" spans="1:9" x14ac:dyDescent="0.25">
      <c r="F4">
        <v>8</v>
      </c>
      <c r="G4" t="s">
        <v>41</v>
      </c>
    </row>
    <row r="10" spans="1:9" x14ac:dyDescent="0.25">
      <c r="F10" s="3" t="s">
        <v>36</v>
      </c>
      <c r="G10" s="3" t="s">
        <v>35</v>
      </c>
    </row>
    <row r="11" spans="1:9" x14ac:dyDescent="0.25">
      <c r="A11" s="9" t="s">
        <v>14</v>
      </c>
      <c r="B11" s="9" t="str">
        <f>VLOOKUP(G11,$F$1:$G$4,2,FALSE)</f>
        <v>[Wheat].Phenology.Emerging.DateToProgress</v>
      </c>
      <c r="C11" s="9" t="str">
        <f>VLOOKUP(H11,$F$1:$G$4,2,FALSE)</f>
        <v>[Wheat].Phenology.StemElongating.DateToProgress</v>
      </c>
      <c r="D11" s="9" t="str">
        <f>VLOOKUP(I11,$F$1:$G$4,2,FALSE)</f>
        <v>[Wheat].Phenology.Flowering.DateToProgress</v>
      </c>
      <c r="F11" s="3" t="s">
        <v>34</v>
      </c>
      <c r="G11">
        <v>3</v>
      </c>
      <c r="H11">
        <v>6</v>
      </c>
      <c r="I11">
        <v>8</v>
      </c>
    </row>
    <row r="12" spans="1:9" x14ac:dyDescent="0.25">
      <c r="A12" s="10" t="str">
        <f>F12</f>
        <v>DookieWWHI2024CvGregorySow14-May</v>
      </c>
      <c r="B12" s="11">
        <f t="shared" ref="B12:D12" si="0">G12</f>
        <v>45438</v>
      </c>
      <c r="C12" s="11">
        <f t="shared" si="0"/>
        <v>45547</v>
      </c>
      <c r="D12" s="11">
        <f t="shared" si="0"/>
        <v>45568</v>
      </c>
      <c r="F12" s="5" t="s">
        <v>16</v>
      </c>
      <c r="G12" s="7">
        <v>45438</v>
      </c>
      <c r="H12" s="7">
        <v>45547</v>
      </c>
      <c r="I12" s="7">
        <v>45568</v>
      </c>
    </row>
    <row r="13" spans="1:9" x14ac:dyDescent="0.25">
      <c r="A13" s="10" t="str">
        <f t="shared" ref="A13:A27" si="1">F13</f>
        <v>DookieWWHI2024CvIllaboSow17-Apr</v>
      </c>
      <c r="B13" s="11">
        <f t="shared" ref="B13:B27" si="2">G13</f>
        <v>45409</v>
      </c>
      <c r="C13" s="11">
        <f t="shared" ref="C13:C27" si="3">H13</f>
        <v>45543</v>
      </c>
      <c r="D13" s="11">
        <f t="shared" ref="D13:D27" si="4">I13</f>
        <v>45565</v>
      </c>
      <c r="F13" s="4" t="s">
        <v>17</v>
      </c>
      <c r="G13" s="8">
        <v>45409</v>
      </c>
      <c r="H13" s="8">
        <v>45543</v>
      </c>
      <c r="I13" s="8">
        <v>45565</v>
      </c>
    </row>
    <row r="14" spans="1:9" x14ac:dyDescent="0.25">
      <c r="A14" s="10" t="str">
        <f t="shared" si="1"/>
        <v>DookieWWHI2024CvJanzSow14-May</v>
      </c>
      <c r="B14" s="11">
        <f t="shared" si="2"/>
        <v>45439</v>
      </c>
      <c r="C14" s="11">
        <f t="shared" si="3"/>
        <v>45545</v>
      </c>
      <c r="D14" s="11">
        <f t="shared" si="4"/>
        <v>45566</v>
      </c>
      <c r="F14" s="4" t="s">
        <v>18</v>
      </c>
      <c r="G14" s="8">
        <v>45439</v>
      </c>
      <c r="H14" s="8">
        <v>45545</v>
      </c>
      <c r="I14" s="8">
        <v>45566</v>
      </c>
    </row>
    <row r="15" spans="1:9" x14ac:dyDescent="0.25">
      <c r="A15" s="10" t="str">
        <f t="shared" si="1"/>
        <v>DookieWWHI2024CvKittyhawkSow17-Apr</v>
      </c>
      <c r="B15" s="11">
        <f t="shared" si="2"/>
        <v>45409</v>
      </c>
      <c r="C15" s="11">
        <f t="shared" si="3"/>
        <v>45547</v>
      </c>
      <c r="D15" s="11">
        <f t="shared" si="4"/>
        <v>45568</v>
      </c>
      <c r="F15" s="4" t="s">
        <v>19</v>
      </c>
      <c r="G15" s="8">
        <v>45409</v>
      </c>
      <c r="H15" s="8">
        <v>45547</v>
      </c>
      <c r="I15" s="8">
        <v>45568</v>
      </c>
    </row>
    <row r="16" spans="1:9" x14ac:dyDescent="0.25">
      <c r="A16" s="10" t="str">
        <f t="shared" si="1"/>
        <v>DookieWWHI2024CvMaceSow14-May</v>
      </c>
      <c r="B16" s="11">
        <f t="shared" si="2"/>
        <v>45439</v>
      </c>
      <c r="C16" s="11">
        <f t="shared" si="3"/>
        <v>45541</v>
      </c>
      <c r="D16" s="11">
        <f t="shared" si="4"/>
        <v>45560</v>
      </c>
      <c r="F16" s="4" t="s">
        <v>20</v>
      </c>
      <c r="G16" s="8">
        <v>45439</v>
      </c>
      <c r="H16" s="8">
        <v>45541</v>
      </c>
      <c r="I16" s="8">
        <v>45560</v>
      </c>
    </row>
    <row r="17" spans="1:9" x14ac:dyDescent="0.25">
      <c r="A17" s="10" t="str">
        <f t="shared" si="1"/>
        <v>DookieWWHI2024CvMeeringSow14-May</v>
      </c>
      <c r="B17" s="11">
        <f t="shared" si="2"/>
        <v>45437</v>
      </c>
      <c r="C17" s="11">
        <f t="shared" si="3"/>
        <v>45549</v>
      </c>
      <c r="D17" s="11">
        <f t="shared" si="4"/>
        <v>45567</v>
      </c>
      <c r="F17" s="4" t="s">
        <v>21</v>
      </c>
      <c r="G17" s="8">
        <v>45437</v>
      </c>
      <c r="H17" s="8">
        <v>45549</v>
      </c>
      <c r="I17" s="8">
        <v>45567</v>
      </c>
    </row>
    <row r="18" spans="1:9" x14ac:dyDescent="0.25">
      <c r="A18" s="10" t="str">
        <f t="shared" si="1"/>
        <v>DookieWWHI2024CvMowhawkSow17-Apr</v>
      </c>
      <c r="B18" s="11">
        <f t="shared" si="2"/>
        <v>45410</v>
      </c>
      <c r="C18" s="11">
        <f t="shared" si="3"/>
        <v>45538</v>
      </c>
      <c r="D18" s="11">
        <f t="shared" si="4"/>
        <v>45560</v>
      </c>
      <c r="F18" s="4" t="s">
        <v>22</v>
      </c>
      <c r="G18" s="8">
        <v>45410</v>
      </c>
      <c r="H18" s="8">
        <v>45538</v>
      </c>
      <c r="I18" s="8">
        <v>45560</v>
      </c>
    </row>
    <row r="19" spans="1:9" x14ac:dyDescent="0.25">
      <c r="A19" s="10" t="str">
        <f t="shared" si="1"/>
        <v>DookieWWHI2024CvOspreySow17-Apr</v>
      </c>
      <c r="B19" s="11">
        <f t="shared" si="2"/>
        <v>45416</v>
      </c>
      <c r="C19" s="11">
        <f t="shared" si="3"/>
        <v>45545</v>
      </c>
      <c r="D19" s="11">
        <f t="shared" si="4"/>
        <v>45566</v>
      </c>
      <c r="F19" s="5" t="s">
        <v>23</v>
      </c>
      <c r="G19" s="7">
        <v>45416</v>
      </c>
      <c r="H19" s="7">
        <v>45545</v>
      </c>
      <c r="I19" s="7">
        <v>45566</v>
      </c>
    </row>
    <row r="20" spans="1:9" x14ac:dyDescent="0.25">
      <c r="A20" s="10" t="str">
        <f t="shared" si="1"/>
        <v>DookieWWHI2024CvRosellaSow17-Apr</v>
      </c>
      <c r="B20" s="11">
        <f t="shared" si="2"/>
        <v>45414</v>
      </c>
      <c r="C20" s="11">
        <f t="shared" si="3"/>
        <v>45548</v>
      </c>
      <c r="D20" s="11">
        <f t="shared" si="4"/>
        <v>45567</v>
      </c>
      <c r="F20" s="4" t="s">
        <v>24</v>
      </c>
      <c r="G20" s="8">
        <v>45414</v>
      </c>
      <c r="H20" s="8">
        <v>45548</v>
      </c>
      <c r="I20" s="8">
        <v>45567</v>
      </c>
    </row>
    <row r="21" spans="1:9" x14ac:dyDescent="0.25">
      <c r="A21" s="10" t="str">
        <f t="shared" si="1"/>
        <v>DookieWWHI2024CvScepterSow14-May</v>
      </c>
      <c r="B21" s="11">
        <f t="shared" si="2"/>
        <v>45439</v>
      </c>
      <c r="C21" s="11">
        <f t="shared" si="3"/>
        <v>45542</v>
      </c>
      <c r="D21" s="11">
        <f t="shared" si="4"/>
        <v>45561</v>
      </c>
      <c r="F21" s="4" t="s">
        <v>25</v>
      </c>
      <c r="G21" s="8">
        <v>45439</v>
      </c>
      <c r="H21" s="8">
        <v>45542</v>
      </c>
      <c r="I21" s="8">
        <v>45561</v>
      </c>
    </row>
    <row r="22" spans="1:9" x14ac:dyDescent="0.25">
      <c r="A22" s="10" t="str">
        <f t="shared" si="1"/>
        <v>DookieWWHI2024CvSunmasterSow14-May</v>
      </c>
      <c r="B22" s="11">
        <f t="shared" si="2"/>
        <v>45439</v>
      </c>
      <c r="C22" s="11">
        <f t="shared" si="3"/>
        <v>45546</v>
      </c>
      <c r="D22" s="11">
        <f t="shared" si="4"/>
        <v>45567</v>
      </c>
      <c r="F22" s="4" t="s">
        <v>26</v>
      </c>
      <c r="G22" s="8">
        <v>45439</v>
      </c>
      <c r="H22" s="8">
        <v>45546</v>
      </c>
      <c r="I22" s="8">
        <v>45567</v>
      </c>
    </row>
    <row r="23" spans="1:9" x14ac:dyDescent="0.25">
      <c r="A23" s="10" t="str">
        <f t="shared" si="1"/>
        <v>DookieWWHI2024CvWedgetailSow17-Apr</v>
      </c>
      <c r="B23" s="11">
        <f t="shared" si="2"/>
        <v>45410</v>
      </c>
      <c r="C23" s="11">
        <f t="shared" si="3"/>
        <v>45544</v>
      </c>
      <c r="D23" s="11">
        <f t="shared" si="4"/>
        <v>45566</v>
      </c>
      <c r="F23" s="4" t="s">
        <v>27</v>
      </c>
      <c r="G23" s="8">
        <v>45410</v>
      </c>
      <c r="H23" s="8">
        <v>45544</v>
      </c>
      <c r="I23" s="8">
        <v>45566</v>
      </c>
    </row>
    <row r="24" spans="1:9" x14ac:dyDescent="0.25">
      <c r="A24" s="10" t="str">
        <f t="shared" si="1"/>
        <v>DookieWWHI2024CvWhistlerSow17-Apr</v>
      </c>
      <c r="B24" s="11">
        <f t="shared" si="2"/>
        <v>45413</v>
      </c>
      <c r="C24" s="11">
        <f t="shared" si="3"/>
        <v>45539</v>
      </c>
      <c r="D24" s="11">
        <f t="shared" si="4"/>
        <v>45560</v>
      </c>
      <c r="F24" s="4" t="s">
        <v>28</v>
      </c>
      <c r="G24" s="8">
        <v>45413</v>
      </c>
      <c r="H24" s="8">
        <v>45539</v>
      </c>
      <c r="I24" s="8">
        <v>45560</v>
      </c>
    </row>
    <row r="25" spans="1:9" x14ac:dyDescent="0.25">
      <c r="A25" s="10" t="str">
        <f t="shared" si="1"/>
        <v>DookieWWHI2024CvWyalkatchemSow14-May</v>
      </c>
      <c r="B25" s="11">
        <f t="shared" si="2"/>
        <v>45438</v>
      </c>
      <c r="C25" s="11">
        <f t="shared" si="3"/>
        <v>45546</v>
      </c>
      <c r="D25" s="11">
        <f t="shared" si="4"/>
        <v>45566</v>
      </c>
      <c r="F25" s="4" t="s">
        <v>29</v>
      </c>
      <c r="G25" s="8">
        <v>45438</v>
      </c>
      <c r="H25" s="8">
        <v>45546</v>
      </c>
      <c r="I25" s="8">
        <v>45566</v>
      </c>
    </row>
    <row r="26" spans="1:9" x14ac:dyDescent="0.25">
      <c r="A26" s="10" t="str">
        <f t="shared" si="1"/>
        <v>DookieWWHI2024CvWylahSow17-Apr</v>
      </c>
      <c r="B26" s="11">
        <f t="shared" si="2"/>
        <v>45414</v>
      </c>
      <c r="C26" s="11">
        <f t="shared" si="3"/>
        <v>45546</v>
      </c>
      <c r="D26" s="11">
        <f t="shared" si="4"/>
        <v>45567</v>
      </c>
      <c r="F26" s="4" t="s">
        <v>30</v>
      </c>
      <c r="G26" s="8">
        <v>45414</v>
      </c>
      <c r="H26" s="8">
        <v>45546</v>
      </c>
      <c r="I26" s="8">
        <v>45567</v>
      </c>
    </row>
    <row r="27" spans="1:9" x14ac:dyDescent="0.25">
      <c r="A27" s="10" t="str">
        <f t="shared" si="1"/>
        <v>DookieWWHI2024CvYitpiSow14-May</v>
      </c>
      <c r="B27" s="11">
        <f t="shared" si="2"/>
        <v>45438</v>
      </c>
      <c r="C27" s="11">
        <f t="shared" si="3"/>
        <v>45546</v>
      </c>
      <c r="D27" s="11">
        <f t="shared" si="4"/>
        <v>45567</v>
      </c>
      <c r="F27" s="4" t="s">
        <v>31</v>
      </c>
      <c r="G27" s="8">
        <v>45438</v>
      </c>
      <c r="H27" s="8">
        <v>45546</v>
      </c>
      <c r="I27" s="8">
        <v>45567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WorkedForInput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Teixeira</dc:creator>
  <cp:lastModifiedBy>Hamish Brown</cp:lastModifiedBy>
  <dcterms:created xsi:type="dcterms:W3CDTF">2025-03-17T04:03:04Z</dcterms:created>
  <dcterms:modified xsi:type="dcterms:W3CDTF">2025-11-24T20:45:37Z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2025-10-29T20:33:23Z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39867f0e-556e-43d3-b214-24a12f4747a1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