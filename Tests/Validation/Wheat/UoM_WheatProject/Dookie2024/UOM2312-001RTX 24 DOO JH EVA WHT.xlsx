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pivotTables/pivotTable2.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4.xml" ContentType="application/vnd.openxmlformats-officedocument.spreadsheetml.comments+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omments5.xml" ContentType="application/vnd.openxmlformats-officedocument.spreadsheetml.comments+xml"/>
  <Override PartName="/xl/threadedComments/threadedComment4.xml" ContentType="application/vnd.ms-excel.threadedcomments+xml"/>
  <Override PartName="/xl/pivotTables/pivotTable11.xml" ContentType="application/vnd.openxmlformats-officedocument.spreadsheetml.pivotTable+xml"/>
  <Override PartName="/xl/comments6.xml" ContentType="application/vnd.openxmlformats-officedocument.spreadsheetml.comments+xml"/>
  <Override PartName="/xl/threadedComments/threadedComment5.xml" ContentType="application/vnd.ms-excel.threaded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omments7.xml" ContentType="application/vnd.openxmlformats-officedocument.spreadsheetml.comments+xml"/>
  <Override PartName="/xl/threadedComments/threadedComment6.xml" ContentType="application/vnd.ms-excel.threadedcomments+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5.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6.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7.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8.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9.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0.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1.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2.xml" ContentType="application/vnd.openxmlformats-officedocument.themeOverrid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3.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4.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5.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6.xml" ContentType="application/vnd.openxmlformats-officedocument.themeOverride+xml"/>
  <Override PartName="/xl/comments8.xml" ContentType="application/vnd.openxmlformats-officedocument.spreadsheetml.comments+xml"/>
  <Override PartName="/xl/threadedComments/threadedComment7.xml" ContentType="application/vnd.ms-excel.threadedcomments+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comments9.xml" ContentType="application/vnd.openxmlformats-officedocument.spreadsheetml.comments+xml"/>
  <Override PartName="/xl/threadedComments/threadedComment8.xml" ContentType="application/vnd.ms-excel.threadedcomments+xml"/>
  <Override PartName="/xl/pivotTables/pivotTable2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unimelbcloud.sharepoint.com/teams/GRDCWheatYieldPhysiology/Shared Documents/General/Experiments/Dookie trial 2024/"/>
    </mc:Choice>
  </mc:AlternateContent>
  <xr:revisionPtr revIDLastSave="8155" documentId="13_ncr:1_{A4CC14D1-B9C1-477B-B0A1-B45E1B1993C3}" xr6:coauthVersionLast="47" xr6:coauthVersionMax="47" xr10:uidLastSave="{A4954F5E-8C7C-47EB-A2F3-C8ACD62819CC}"/>
  <bookViews>
    <workbookView xWindow="28680" yWindow="-120" windowWidth="29040" windowHeight="15840" tabRatio="907" firstSheet="13" activeTab="21" xr2:uid="{663DA247-34AD-46E8-8C66-8FA926966295}"/>
  </bookViews>
  <sheets>
    <sheet name="Site" sheetId="1" r:id="rId1"/>
    <sheet name="Experiment" sheetId="2" r:id="rId2"/>
    <sheet name="Design" sheetId="8" r:id="rId3"/>
    <sheet name="Harvest order" sheetId="31" r:id="rId4"/>
    <sheet name="Seed" sheetId="13" r:id="rId5"/>
    <sheet name="Plan" sheetId="12" r:id="rId6"/>
    <sheet name="Diary" sheetId="4" r:id="rId7"/>
    <sheet name="Measurements" sheetId="5" r:id="rId8"/>
    <sheet name="Emergence" sheetId="14" r:id="rId9"/>
    <sheet name="Population" sheetId="15" r:id="rId10"/>
    <sheet name="Haun stage" sheetId="16" r:id="rId11"/>
    <sheet name="Leaf measurement" sheetId="19" r:id="rId12"/>
    <sheet name="Bare soil NDVI" sheetId="17" r:id="rId13"/>
    <sheet name="NDVI &amp; height" sheetId="18" r:id="rId14"/>
    <sheet name="Leaf angle measurements" sheetId="24" r:id="rId15"/>
    <sheet name="PCDS 6.0 harvest" sheetId="21" r:id="rId16"/>
    <sheet name="PCDS 6.0" sheetId="20" r:id="rId17"/>
    <sheet name="PCDS 8.0" sheetId="22" r:id="rId18"/>
    <sheet name="PCDS 8.0 harvest" sheetId="23" r:id="rId19"/>
    <sheet name="JRH play" sheetId="29" r:id="rId20"/>
    <sheet name="Extinction curves" sheetId="28" r:id="rId21"/>
    <sheet name="Sterility measurement (frost)" sheetId="25" r:id="rId22"/>
    <sheet name="PCDS 10.0 harvest" sheetId="26" r:id="rId23"/>
    <sheet name="Machine harvest" sheetId="27" r:id="rId24"/>
    <sheet name="Sheet2" sheetId="32" r:id="rId25"/>
  </sheets>
  <definedNames>
    <definedName name="_xlnm._FilterDatabase" localSheetId="10" hidden="1">'Haun stage'!$A$1:$N$353</definedName>
    <definedName name="_xlnm._FilterDatabase" localSheetId="15" hidden="1">'PCDS 6.0 harvest'!$A$1:$BN$33</definedName>
    <definedName name="_xlnm._FilterDatabase" localSheetId="9" hidden="1">Population!$A$1:$R$33</definedName>
    <definedName name="_xlnm.Print_Area" localSheetId="8">Emergence!$I$1:$J$33</definedName>
    <definedName name="_xlnm.Print_Titles" localSheetId="8">Emergence!$1:$1</definedName>
  </definedNames>
  <calcPr calcId="191028"/>
  <pivotCaches>
    <pivotCache cacheId="0" r:id="rId26"/>
    <pivotCache cacheId="1" r:id="rId27"/>
    <pivotCache cacheId="2" r:id="rId28"/>
    <pivotCache cacheId="3" r:id="rId29"/>
    <pivotCache cacheId="4" r:id="rId30"/>
    <pivotCache cacheId="5" r:id="rId31"/>
    <pivotCache cacheId="6" r:id="rId32"/>
    <pivotCache cacheId="7" r:id="rId33"/>
    <pivotCache cacheId="8" r:id="rId34"/>
    <pivotCache cacheId="9" r:id="rId35"/>
    <pivotCache cacheId="10" r:id="rId3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2" i="21" l="1"/>
  <c r="BR2" i="21"/>
  <c r="BQ2" i="21"/>
  <c r="BP2" i="21"/>
  <c r="BO2" i="21"/>
  <c r="AR2" i="26" l="1"/>
  <c r="AO2" i="26"/>
  <c r="AR33" i="26"/>
  <c r="AR32" i="26"/>
  <c r="AR31" i="26"/>
  <c r="AR30" i="26"/>
  <c r="AR29" i="26"/>
  <c r="AR28" i="26"/>
  <c r="AR27" i="26"/>
  <c r="AR26" i="26"/>
  <c r="AR25" i="26"/>
  <c r="AR24" i="26"/>
  <c r="AR23" i="26"/>
  <c r="AR22" i="26"/>
  <c r="AR21" i="26"/>
  <c r="AR20" i="26"/>
  <c r="AR19" i="26"/>
  <c r="AR18" i="26"/>
  <c r="AR17" i="26"/>
  <c r="AR16" i="26"/>
  <c r="AR15" i="26"/>
  <c r="AR14" i="26"/>
  <c r="AR13" i="26"/>
  <c r="AR12" i="26"/>
  <c r="AR11" i="26"/>
  <c r="AR10" i="26"/>
  <c r="AR9" i="26"/>
  <c r="AR8" i="26"/>
  <c r="AR7" i="26"/>
  <c r="AR6" i="26"/>
  <c r="AR5" i="26"/>
  <c r="AR4" i="26"/>
  <c r="AR3" i="2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N177" i="16"/>
  <c r="N178" i="16"/>
  <c r="N179" i="16"/>
  <c r="N180" i="16"/>
  <c r="N181" i="16"/>
  <c r="N182" i="16"/>
  <c r="N183" i="16"/>
  <c r="N184" i="16"/>
  <c r="N185" i="16"/>
  <c r="N186" i="16"/>
  <c r="N187" i="16"/>
  <c r="N188" i="16"/>
  <c r="N189" i="16"/>
  <c r="N190" i="16"/>
  <c r="N191" i="16"/>
  <c r="N192" i="16"/>
  <c r="N193" i="16"/>
  <c r="N194" i="16"/>
  <c r="N195" i="16"/>
  <c r="N196" i="16"/>
  <c r="N197" i="16"/>
  <c r="N198" i="16"/>
  <c r="N199" i="16"/>
  <c r="N200" i="16"/>
  <c r="N201" i="16"/>
  <c r="N202" i="16"/>
  <c r="N203" i="16"/>
  <c r="N204" i="16"/>
  <c r="N205" i="16"/>
  <c r="N206" i="16"/>
  <c r="N207" i="16"/>
  <c r="N208" i="16"/>
  <c r="N209" i="16"/>
  <c r="N210" i="16"/>
  <c r="N211" i="16"/>
  <c r="N212" i="16"/>
  <c r="N213" i="16"/>
  <c r="N214" i="16"/>
  <c r="N215" i="16"/>
  <c r="N216" i="16"/>
  <c r="N217" i="16"/>
  <c r="N218" i="16"/>
  <c r="N219" i="16"/>
  <c r="N220" i="16"/>
  <c r="N221" i="16"/>
  <c r="N222" i="16"/>
  <c r="N223" i="16"/>
  <c r="N224" i="16"/>
  <c r="N225" i="16"/>
  <c r="N226" i="16"/>
  <c r="N227" i="16"/>
  <c r="N228" i="16"/>
  <c r="N229" i="16"/>
  <c r="N230" i="16"/>
  <c r="N231" i="16"/>
  <c r="N232" i="16"/>
  <c r="N233" i="16"/>
  <c r="N234" i="16"/>
  <c r="N235" i="16"/>
  <c r="N236" i="16"/>
  <c r="N237" i="16"/>
  <c r="N238" i="16"/>
  <c r="N239" i="16"/>
  <c r="N240" i="16"/>
  <c r="N241" i="16"/>
  <c r="N242" i="16"/>
  <c r="N243" i="16"/>
  <c r="N244" i="16"/>
  <c r="N245" i="16"/>
  <c r="N246" i="16"/>
  <c r="N247" i="16"/>
  <c r="N248" i="16"/>
  <c r="N249" i="16"/>
  <c r="N250" i="16"/>
  <c r="N251" i="16"/>
  <c r="N252" i="16"/>
  <c r="N253" i="16"/>
  <c r="N254" i="16"/>
  <c r="N255" i="16"/>
  <c r="N256" i="16"/>
  <c r="N257" i="16"/>
  <c r="N258" i="16"/>
  <c r="N259" i="16"/>
  <c r="N260" i="16"/>
  <c r="N261" i="16"/>
  <c r="N262" i="16"/>
  <c r="N263" i="16"/>
  <c r="N264" i="16"/>
  <c r="N287" i="16"/>
  <c r="N278" i="16"/>
  <c r="N273" i="16"/>
  <c r="I2" i="32"/>
  <c r="I3" i="32"/>
  <c r="I4" i="32"/>
  <c r="I5" i="32"/>
  <c r="I6" i="32"/>
  <c r="I7" i="32"/>
  <c r="I8" i="32"/>
  <c r="I9" i="32"/>
  <c r="I10" i="32"/>
  <c r="I11" i="32"/>
  <c r="I12" i="32"/>
  <c r="I13" i="32"/>
  <c r="I14" i="32"/>
  <c r="I15" i="32"/>
  <c r="I16" i="32"/>
  <c r="I17" i="32"/>
  <c r="I18" i="32"/>
  <c r="I19" i="32"/>
  <c r="I20" i="32"/>
  <c r="I21" i="32"/>
  <c r="I22" i="32"/>
  <c r="I23" i="32"/>
  <c r="I24" i="32"/>
  <c r="I25" i="32"/>
  <c r="I26" i="32"/>
  <c r="I27" i="32"/>
  <c r="I28" i="32"/>
  <c r="I29" i="32"/>
  <c r="I30" i="32"/>
  <c r="I31" i="32"/>
  <c r="I32" i="32"/>
  <c r="I33" i="32"/>
  <c r="V13" i="12"/>
  <c r="K6" i="27"/>
  <c r="M6" i="27"/>
  <c r="K10" i="27"/>
  <c r="M10" i="27"/>
  <c r="K14" i="27"/>
  <c r="M14" i="27"/>
  <c r="K18" i="27"/>
  <c r="M18" i="27"/>
  <c r="K22" i="27"/>
  <c r="M22" i="27"/>
  <c r="K26" i="27"/>
  <c r="M26" i="27"/>
  <c r="K30" i="27"/>
  <c r="M30" i="27"/>
  <c r="K3" i="27"/>
  <c r="M3" i="27"/>
  <c r="K7" i="27"/>
  <c r="M7" i="27"/>
  <c r="K11" i="27"/>
  <c r="M11" i="27"/>
  <c r="K15" i="27"/>
  <c r="M15" i="27"/>
  <c r="K19" i="27"/>
  <c r="M19" i="27"/>
  <c r="K23" i="27"/>
  <c r="M23" i="27"/>
  <c r="K27" i="27"/>
  <c r="M27" i="27"/>
  <c r="K31" i="27"/>
  <c r="M31" i="27"/>
  <c r="K4" i="27"/>
  <c r="M4" i="27"/>
  <c r="K8" i="27"/>
  <c r="M8" i="27"/>
  <c r="K12" i="27"/>
  <c r="M12" i="27"/>
  <c r="K16" i="27"/>
  <c r="M16" i="27"/>
  <c r="K20" i="27"/>
  <c r="M20" i="27"/>
  <c r="K24" i="27"/>
  <c r="M24" i="27"/>
  <c r="K28" i="27"/>
  <c r="M28" i="27"/>
  <c r="K32" i="27"/>
  <c r="M32" i="27"/>
  <c r="K5" i="27"/>
  <c r="M5" i="27"/>
  <c r="K9" i="27"/>
  <c r="M9" i="27"/>
  <c r="K13" i="27"/>
  <c r="M13" i="27"/>
  <c r="K17" i="27"/>
  <c r="M17" i="27"/>
  <c r="K21" i="27"/>
  <c r="M21" i="27"/>
  <c r="K25" i="27"/>
  <c r="M25" i="27"/>
  <c r="K29" i="27"/>
  <c r="M29" i="27"/>
  <c r="K33" i="27"/>
  <c r="M33" i="27"/>
  <c r="K2" i="27"/>
  <c r="M2" i="27"/>
  <c r="AP3" i="26"/>
  <c r="AP4" i="26"/>
  <c r="AP5" i="26"/>
  <c r="AP6" i="26"/>
  <c r="AP7" i="26"/>
  <c r="AP8" i="26"/>
  <c r="AP9" i="26"/>
  <c r="AP10" i="26"/>
  <c r="AP11" i="26"/>
  <c r="AP12" i="26"/>
  <c r="AP13" i="26"/>
  <c r="AP14" i="26"/>
  <c r="AP15" i="26"/>
  <c r="AP16" i="26"/>
  <c r="AP17" i="26"/>
  <c r="AP18" i="26"/>
  <c r="AP19" i="26"/>
  <c r="AP20" i="26"/>
  <c r="AP21" i="26"/>
  <c r="AP22" i="26"/>
  <c r="AP23" i="26"/>
  <c r="AP24" i="26"/>
  <c r="AP25" i="26"/>
  <c r="AP26" i="26"/>
  <c r="AP27" i="26"/>
  <c r="AP28" i="26"/>
  <c r="AP29" i="26"/>
  <c r="AP30" i="26"/>
  <c r="AP31" i="26"/>
  <c r="AP32" i="26"/>
  <c r="AP33" i="26"/>
  <c r="AP2" i="26"/>
  <c r="Z4" i="26"/>
  <c r="AE4" i="26" s="1"/>
  <c r="U3" i="29"/>
  <c r="U4" i="29"/>
  <c r="U5" i="29"/>
  <c r="U6" i="29"/>
  <c r="U7" i="29"/>
  <c r="U8" i="29"/>
  <c r="U9" i="29"/>
  <c r="U2" i="29"/>
  <c r="AO3" i="26"/>
  <c r="AO4" i="26"/>
  <c r="AO5" i="26"/>
  <c r="AO6" i="26"/>
  <c r="AO7" i="26"/>
  <c r="AO8" i="26"/>
  <c r="AO9" i="26"/>
  <c r="AO10" i="26"/>
  <c r="AO11" i="26"/>
  <c r="AO12" i="26"/>
  <c r="AO13" i="26"/>
  <c r="AO14" i="26"/>
  <c r="AO15" i="26"/>
  <c r="AO16" i="26"/>
  <c r="AO17" i="26"/>
  <c r="AO18" i="26"/>
  <c r="AO19" i="26"/>
  <c r="AO20" i="26"/>
  <c r="AO21" i="26"/>
  <c r="AO22" i="26"/>
  <c r="AO23" i="26"/>
  <c r="AO24" i="26"/>
  <c r="AO25" i="26"/>
  <c r="AO26" i="26"/>
  <c r="AO27" i="26"/>
  <c r="AO28" i="26"/>
  <c r="AO29" i="26"/>
  <c r="AO30" i="26"/>
  <c r="AO31" i="26"/>
  <c r="AO32" i="26"/>
  <c r="AO33" i="26"/>
  <c r="BL4" i="26"/>
  <c r="BL5" i="26"/>
  <c r="BL6" i="26"/>
  <c r="BL7" i="26"/>
  <c r="BL8" i="26"/>
  <c r="BL9" i="26"/>
  <c r="BL10" i="26"/>
  <c r="BL3" i="26"/>
  <c r="AB2" i="26"/>
  <c r="AM2" i="26"/>
  <c r="AM3" i="26"/>
  <c r="AS3" i="26" s="1"/>
  <c r="AM4" i="26"/>
  <c r="AS4" i="26" s="1"/>
  <c r="AM5" i="26"/>
  <c r="AS5" i="26" s="1"/>
  <c r="AM6" i="26"/>
  <c r="AQ6" i="26" s="1"/>
  <c r="AM7" i="26"/>
  <c r="AS7" i="26" s="1"/>
  <c r="AM8" i="26"/>
  <c r="AS8" i="26" s="1"/>
  <c r="AM9" i="26"/>
  <c r="AS9" i="26" s="1"/>
  <c r="AM10" i="26"/>
  <c r="AS10" i="26" s="1"/>
  <c r="AM11" i="26"/>
  <c r="AS11" i="26" s="1"/>
  <c r="AM12" i="26"/>
  <c r="AS12" i="26" s="1"/>
  <c r="AM13" i="26"/>
  <c r="AM14" i="26"/>
  <c r="AM15" i="26"/>
  <c r="AS15" i="26" s="1"/>
  <c r="AM16" i="26"/>
  <c r="AS16" i="26" s="1"/>
  <c r="AM17" i="26"/>
  <c r="AS17" i="26" s="1"/>
  <c r="AM18" i="26"/>
  <c r="AS18" i="26" s="1"/>
  <c r="AM19" i="26"/>
  <c r="AQ19" i="26" s="1"/>
  <c r="AM20" i="26"/>
  <c r="AS20" i="26" s="1"/>
  <c r="AM21" i="26"/>
  <c r="AS21" i="26" s="1"/>
  <c r="AM22" i="26"/>
  <c r="AS22" i="26" s="1"/>
  <c r="AM23" i="26"/>
  <c r="AS23" i="26" s="1"/>
  <c r="AM24" i="26"/>
  <c r="AS24" i="26" s="1"/>
  <c r="AM25" i="26"/>
  <c r="AM26" i="26"/>
  <c r="AM27" i="26"/>
  <c r="AS27" i="26" s="1"/>
  <c r="AM28" i="26"/>
  <c r="AS28" i="26" s="1"/>
  <c r="AM29" i="26"/>
  <c r="AS29" i="26" s="1"/>
  <c r="AM30" i="26"/>
  <c r="AM31" i="26"/>
  <c r="AS31" i="26" s="1"/>
  <c r="AM32" i="26"/>
  <c r="AS32" i="26" s="1"/>
  <c r="AM33" i="26"/>
  <c r="AM4" i="25"/>
  <c r="AM5" i="25"/>
  <c r="AM6" i="25"/>
  <c r="AM7" i="25"/>
  <c r="AM8" i="25"/>
  <c r="AM9" i="25"/>
  <c r="AM10" i="25"/>
  <c r="AM11" i="25"/>
  <c r="AM12" i="25"/>
  <c r="AM13" i="25"/>
  <c r="AM14" i="25"/>
  <c r="AM15" i="25"/>
  <c r="AM16" i="25"/>
  <c r="AM17" i="25"/>
  <c r="AM18" i="25"/>
  <c r="AM19" i="25"/>
  <c r="AM20" i="25"/>
  <c r="AM21" i="25"/>
  <c r="AM22" i="25"/>
  <c r="AM23" i="25"/>
  <c r="AM24" i="25"/>
  <c r="AM25" i="25"/>
  <c r="AM26" i="25"/>
  <c r="AM27" i="25"/>
  <c r="AM28" i="25"/>
  <c r="AM29" i="25"/>
  <c r="AM30" i="25"/>
  <c r="AM31" i="25"/>
  <c r="AM32" i="25"/>
  <c r="AM33" i="25"/>
  <c r="AL4" i="25"/>
  <c r="AL5" i="25"/>
  <c r="AL6" i="25"/>
  <c r="AL7" i="25"/>
  <c r="AL8" i="25"/>
  <c r="AL9" i="25"/>
  <c r="AL10" i="25"/>
  <c r="AL11" i="25"/>
  <c r="AL12" i="25"/>
  <c r="AL13" i="25"/>
  <c r="AL14" i="25"/>
  <c r="AL15" i="25"/>
  <c r="AL16" i="25"/>
  <c r="AL17" i="25"/>
  <c r="AL18" i="25"/>
  <c r="AL19" i="25"/>
  <c r="AL20" i="25"/>
  <c r="AL21" i="25"/>
  <c r="AL22" i="25"/>
  <c r="AL23" i="25"/>
  <c r="AL24" i="25"/>
  <c r="AL25" i="25"/>
  <c r="AL26" i="25"/>
  <c r="AL27" i="25"/>
  <c r="AL28" i="25"/>
  <c r="AL29" i="25"/>
  <c r="AL30" i="25"/>
  <c r="AL31" i="25"/>
  <c r="AL32" i="25"/>
  <c r="AL33" i="25"/>
  <c r="AJ4" i="25"/>
  <c r="AJ5" i="25"/>
  <c r="AJ6" i="25"/>
  <c r="AJ7" i="25"/>
  <c r="AJ8" i="25"/>
  <c r="AJ9" i="25"/>
  <c r="AJ10" i="25"/>
  <c r="AJ11" i="25"/>
  <c r="AJ12" i="25"/>
  <c r="AJ13" i="25"/>
  <c r="AJ14" i="25"/>
  <c r="AJ15" i="25"/>
  <c r="AJ16" i="25"/>
  <c r="AJ17" i="25"/>
  <c r="AJ18" i="25"/>
  <c r="AJ19" i="25"/>
  <c r="AJ20" i="25"/>
  <c r="AJ21" i="25"/>
  <c r="AJ22" i="25"/>
  <c r="AJ23" i="25"/>
  <c r="AJ24" i="25"/>
  <c r="AJ25" i="25"/>
  <c r="AJ26" i="25"/>
  <c r="AJ27" i="25"/>
  <c r="AJ28" i="25"/>
  <c r="AJ29" i="25"/>
  <c r="AJ30" i="25"/>
  <c r="AJ31" i="25"/>
  <c r="AJ32" i="25"/>
  <c r="AJ33" i="25"/>
  <c r="AH4" i="25"/>
  <c r="AH5" i="25"/>
  <c r="AH6" i="25"/>
  <c r="AH7" i="25"/>
  <c r="AH8" i="25"/>
  <c r="AH9" i="25"/>
  <c r="AH10" i="25"/>
  <c r="AH11" i="25"/>
  <c r="AH12" i="25"/>
  <c r="AH13" i="25"/>
  <c r="AH14" i="25"/>
  <c r="AH15" i="25"/>
  <c r="AH16" i="25"/>
  <c r="AH17" i="25"/>
  <c r="AH18" i="25"/>
  <c r="AH19" i="25"/>
  <c r="AH20" i="25"/>
  <c r="AH21" i="25"/>
  <c r="AH22" i="25"/>
  <c r="AH23" i="25"/>
  <c r="AH24" i="25"/>
  <c r="AH25" i="25"/>
  <c r="AH26" i="25"/>
  <c r="AH27" i="25"/>
  <c r="AH28" i="25"/>
  <c r="AH29" i="25"/>
  <c r="AH30" i="25"/>
  <c r="AH31" i="25"/>
  <c r="AH32" i="25"/>
  <c r="AH33" i="25"/>
  <c r="AF3" i="25"/>
  <c r="AF4" i="25"/>
  <c r="AF5" i="25"/>
  <c r="AF6" i="25"/>
  <c r="AF7" i="25"/>
  <c r="AF8" i="25"/>
  <c r="AF9" i="25"/>
  <c r="AF10" i="25"/>
  <c r="AF11" i="25"/>
  <c r="AF12" i="25"/>
  <c r="AF13" i="25"/>
  <c r="AF14" i="25"/>
  <c r="AF15" i="25"/>
  <c r="AF16" i="25"/>
  <c r="AF17" i="25"/>
  <c r="AF18" i="25"/>
  <c r="AF19" i="25"/>
  <c r="AF20" i="25"/>
  <c r="AF21" i="25"/>
  <c r="AF22" i="25"/>
  <c r="AF23" i="25"/>
  <c r="AF24" i="25"/>
  <c r="AF25" i="25"/>
  <c r="AF26" i="25"/>
  <c r="AF27" i="25"/>
  <c r="AF28" i="25"/>
  <c r="AF29" i="25"/>
  <c r="AF30" i="25"/>
  <c r="AF31" i="25"/>
  <c r="AF32" i="25"/>
  <c r="AF33" i="25"/>
  <c r="AD4" i="25"/>
  <c r="AN4" i="25" s="1"/>
  <c r="AD5" i="25"/>
  <c r="AD6" i="25"/>
  <c r="AD7" i="25"/>
  <c r="AD8" i="25"/>
  <c r="AD9" i="25"/>
  <c r="AD10" i="25"/>
  <c r="AN10" i="25" s="1"/>
  <c r="AD11" i="25"/>
  <c r="AN11" i="25" s="1"/>
  <c r="AD12" i="25"/>
  <c r="AN12" i="25" s="1"/>
  <c r="AD13" i="25"/>
  <c r="AN13" i="25" s="1"/>
  <c r="AD14" i="25"/>
  <c r="AN14" i="25" s="1"/>
  <c r="AD15" i="25"/>
  <c r="AD16" i="25"/>
  <c r="AN16" i="25" s="1"/>
  <c r="AD17" i="25"/>
  <c r="AD18" i="25"/>
  <c r="AD19" i="25"/>
  <c r="AD20" i="25"/>
  <c r="AD21" i="25"/>
  <c r="AD22" i="25"/>
  <c r="AN22" i="25" s="1"/>
  <c r="AD23" i="25"/>
  <c r="AN23" i="25" s="1"/>
  <c r="AD24" i="25"/>
  <c r="AN24" i="25" s="1"/>
  <c r="AD25" i="25"/>
  <c r="AN25" i="25" s="1"/>
  <c r="AD26" i="25"/>
  <c r="AN26" i="25" s="1"/>
  <c r="AD27" i="25"/>
  <c r="AD28" i="25"/>
  <c r="AN28" i="25" s="1"/>
  <c r="AD29" i="25"/>
  <c r="AD30" i="25"/>
  <c r="AD31" i="25"/>
  <c r="AD32" i="25"/>
  <c r="AD33" i="25"/>
  <c r="Y4" i="29"/>
  <c r="AA4" i="29"/>
  <c r="Y7" i="29"/>
  <c r="Z7" i="29"/>
  <c r="X3" i="29"/>
  <c r="Y3" i="29"/>
  <c r="AA3" i="29"/>
  <c r="X4" i="29"/>
  <c r="X5" i="29"/>
  <c r="Y5" i="29"/>
  <c r="X6" i="29"/>
  <c r="Y6" i="29"/>
  <c r="AA6" i="29"/>
  <c r="X7" i="29"/>
  <c r="X8" i="29"/>
  <c r="Y8" i="29"/>
  <c r="AA8" i="29"/>
  <c r="X9" i="29"/>
  <c r="Y9" i="29"/>
  <c r="X2" i="29"/>
  <c r="Y2" i="29"/>
  <c r="O33" i="26"/>
  <c r="O3" i="26"/>
  <c r="O4" i="26"/>
  <c r="O5" i="26"/>
  <c r="O6" i="26"/>
  <c r="O7" i="26"/>
  <c r="O8" i="26"/>
  <c r="O9" i="26"/>
  <c r="O10" i="26"/>
  <c r="O11" i="26"/>
  <c r="O12" i="26"/>
  <c r="O13" i="26"/>
  <c r="O14" i="26"/>
  <c r="O15" i="26"/>
  <c r="O16" i="26"/>
  <c r="O17" i="26"/>
  <c r="O18" i="26"/>
  <c r="O19" i="26"/>
  <c r="O20" i="26"/>
  <c r="O21" i="26"/>
  <c r="O22" i="26"/>
  <c r="O23" i="26"/>
  <c r="O24" i="26"/>
  <c r="O25" i="26"/>
  <c r="O26" i="26"/>
  <c r="O27" i="26"/>
  <c r="O28" i="26"/>
  <c r="O29" i="26"/>
  <c r="O30" i="26"/>
  <c r="O31" i="26"/>
  <c r="O32" i="26"/>
  <c r="O2" i="26"/>
  <c r="T3" i="29"/>
  <c r="T4" i="29"/>
  <c r="T5" i="29"/>
  <c r="T6" i="29"/>
  <c r="T7" i="29"/>
  <c r="T8" i="29"/>
  <c r="T9" i="29"/>
  <c r="T2" i="29"/>
  <c r="Q8" i="29"/>
  <c r="P3" i="29"/>
  <c r="P4" i="29"/>
  <c r="P5" i="29"/>
  <c r="P6" i="29"/>
  <c r="P7" i="29"/>
  <c r="P8" i="29"/>
  <c r="P9" i="29"/>
  <c r="Q9" i="29"/>
  <c r="P2" i="29"/>
  <c r="M9" i="29"/>
  <c r="L3" i="29"/>
  <c r="Q3" i="29"/>
  <c r="L4" i="29"/>
  <c r="L5" i="29"/>
  <c r="Q5" i="29"/>
  <c r="L6" i="29"/>
  <c r="Q6" i="29"/>
  <c r="L7" i="29"/>
  <c r="M7" i="29"/>
  <c r="L8" i="29"/>
  <c r="L9" i="29"/>
  <c r="L2" i="29"/>
  <c r="G3" i="29"/>
  <c r="G4" i="29"/>
  <c r="M4" i="29"/>
  <c r="G5" i="29"/>
  <c r="G6" i="29"/>
  <c r="G7" i="29"/>
  <c r="G8" i="29"/>
  <c r="G9" i="29"/>
  <c r="G2" i="29"/>
  <c r="AM3" i="25"/>
  <c r="AL3" i="25"/>
  <c r="AJ3" i="25"/>
  <c r="AH3" i="25"/>
  <c r="AD3" i="25"/>
  <c r="AN3" i="25" s="1"/>
  <c r="AM2" i="25"/>
  <c r="AJ2" i="25"/>
  <c r="AG2" i="25"/>
  <c r="AF2" i="25"/>
  <c r="AB33" i="26"/>
  <c r="Z33" i="26"/>
  <c r="AG33" i="26" s="1"/>
  <c r="AB32" i="26"/>
  <c r="Z32" i="26"/>
  <c r="AB31" i="26"/>
  <c r="Z31" i="26"/>
  <c r="AE31" i="26" s="1"/>
  <c r="AJ31" i="26" s="1"/>
  <c r="AB30" i="26"/>
  <c r="Z30" i="26"/>
  <c r="AF30" i="26" s="1"/>
  <c r="AK30" i="26" s="1"/>
  <c r="AB29" i="26"/>
  <c r="AN29" i="26" s="1"/>
  <c r="Z29" i="26"/>
  <c r="AC29" i="26" s="1"/>
  <c r="AB28" i="26"/>
  <c r="AN28" i="26" s="1"/>
  <c r="Z28" i="26"/>
  <c r="AD28" i="26" s="1"/>
  <c r="AI28" i="26" s="1"/>
  <c r="AB27" i="26"/>
  <c r="Z27" i="26"/>
  <c r="AF27" i="26" s="1"/>
  <c r="AB26" i="26"/>
  <c r="Z26" i="26"/>
  <c r="AB25" i="26"/>
  <c r="Z25" i="26"/>
  <c r="AF25" i="26" s="1"/>
  <c r="AB24" i="26"/>
  <c r="Z24" i="26"/>
  <c r="AG24" i="26" s="1"/>
  <c r="AL24" i="26" s="1"/>
  <c r="AB23" i="26"/>
  <c r="Z23" i="26"/>
  <c r="AG23" i="26" s="1"/>
  <c r="AB22" i="26"/>
  <c r="AN22" i="26" s="1"/>
  <c r="Z22" i="26"/>
  <c r="AG22" i="26" s="1"/>
  <c r="AB21" i="26"/>
  <c r="Z21" i="26"/>
  <c r="AG21" i="26" s="1"/>
  <c r="AB20" i="26"/>
  <c r="Z20" i="26"/>
  <c r="AB19" i="26"/>
  <c r="Z19" i="26"/>
  <c r="AA19" i="26" s="1"/>
  <c r="AB18" i="26"/>
  <c r="Z18" i="26"/>
  <c r="AG18" i="26" s="1"/>
  <c r="AL18" i="26" s="1"/>
  <c r="AB17" i="26"/>
  <c r="AN17" i="26" s="1"/>
  <c r="Z17" i="26"/>
  <c r="AG17" i="26" s="1"/>
  <c r="AB16" i="26"/>
  <c r="Z16" i="26"/>
  <c r="AE16" i="26" s="1"/>
  <c r="AB15" i="26"/>
  <c r="AN15" i="26" s="1"/>
  <c r="Z15" i="26"/>
  <c r="AF15" i="26" s="1"/>
  <c r="AB14" i="26"/>
  <c r="Z14" i="26"/>
  <c r="AF14" i="26" s="1"/>
  <c r="AB13" i="26"/>
  <c r="Z13" i="26"/>
  <c r="AG13" i="26" s="1"/>
  <c r="AL13" i="26" s="1"/>
  <c r="AB12" i="26"/>
  <c r="Z12" i="26"/>
  <c r="AC12" i="26" s="1"/>
  <c r="AH12" i="26" s="1"/>
  <c r="AB11" i="26"/>
  <c r="Z11" i="26"/>
  <c r="AF11" i="26" s="1"/>
  <c r="AB10" i="26"/>
  <c r="Z10" i="26"/>
  <c r="AE10" i="26" s="1"/>
  <c r="AJ10" i="26" s="1"/>
  <c r="AB9" i="26"/>
  <c r="Z9" i="26"/>
  <c r="AG9" i="26" s="1"/>
  <c r="AB8" i="26"/>
  <c r="AN8" i="26" s="1"/>
  <c r="Z8" i="26"/>
  <c r="AG8" i="26" s="1"/>
  <c r="AB7" i="26"/>
  <c r="Z7" i="26"/>
  <c r="AF7" i="26" s="1"/>
  <c r="AK7" i="26" s="1"/>
  <c r="AB6" i="26"/>
  <c r="Z6" i="26"/>
  <c r="AC6" i="26" s="1"/>
  <c r="AB5" i="26"/>
  <c r="AN5" i="26" s="1"/>
  <c r="Z5" i="26"/>
  <c r="AG5" i="26" s="1"/>
  <c r="AB4" i="26"/>
  <c r="AN4" i="26" s="1"/>
  <c r="AB3" i="26"/>
  <c r="AN3" i="26" s="1"/>
  <c r="Z3" i="26"/>
  <c r="AG3" i="26" s="1"/>
  <c r="AL3" i="26" s="1"/>
  <c r="Z2" i="26"/>
  <c r="AA2" i="26" s="1"/>
  <c r="Y5" i="24"/>
  <c r="U5" i="24"/>
  <c r="Q5" i="24"/>
  <c r="M5" i="24"/>
  <c r="Y6" i="24"/>
  <c r="U6" i="24"/>
  <c r="Q6" i="24"/>
  <c r="M6" i="24"/>
  <c r="U13" i="24"/>
  <c r="Q13" i="24"/>
  <c r="M13" i="24"/>
  <c r="U14" i="24"/>
  <c r="Q14" i="24"/>
  <c r="M14" i="24"/>
  <c r="U21" i="24"/>
  <c r="Q21" i="24"/>
  <c r="M21" i="24"/>
  <c r="U22" i="24"/>
  <c r="Q22" i="24"/>
  <c r="M22" i="24"/>
  <c r="Y29" i="24"/>
  <c r="U29" i="24"/>
  <c r="Q29" i="24"/>
  <c r="M29" i="24"/>
  <c r="U30" i="24"/>
  <c r="Q30" i="24"/>
  <c r="M30" i="24"/>
  <c r="U31" i="24"/>
  <c r="Q31" i="24"/>
  <c r="M31" i="24"/>
  <c r="U28" i="24"/>
  <c r="Q28" i="24"/>
  <c r="M28" i="24"/>
  <c r="Y23" i="24"/>
  <c r="U23" i="24"/>
  <c r="Q23" i="24"/>
  <c r="M23" i="24"/>
  <c r="Y20" i="24"/>
  <c r="U20" i="24"/>
  <c r="Q20" i="24"/>
  <c r="M20" i="24"/>
  <c r="Y15" i="24"/>
  <c r="U15" i="24"/>
  <c r="Q15" i="24"/>
  <c r="M15" i="24"/>
  <c r="Y12" i="24"/>
  <c r="U12" i="24"/>
  <c r="Q12" i="24"/>
  <c r="M12" i="24"/>
  <c r="Y7" i="24"/>
  <c r="U7" i="24"/>
  <c r="Q7" i="24"/>
  <c r="M7" i="24"/>
  <c r="U4" i="24"/>
  <c r="Q4" i="24"/>
  <c r="M4" i="24"/>
  <c r="U3" i="24"/>
  <c r="Q3" i="24"/>
  <c r="M3" i="24"/>
  <c r="U8" i="24"/>
  <c r="Q8" i="24"/>
  <c r="M8" i="24"/>
  <c r="Y11" i="24"/>
  <c r="U11" i="24"/>
  <c r="Q11" i="24"/>
  <c r="M11" i="24"/>
  <c r="Y16" i="24"/>
  <c r="U16" i="24"/>
  <c r="Q16" i="24"/>
  <c r="M16" i="24"/>
  <c r="Y19" i="24"/>
  <c r="U19" i="24"/>
  <c r="Q19" i="24"/>
  <c r="M19" i="24"/>
  <c r="U24" i="24"/>
  <c r="Q24" i="24"/>
  <c r="U27" i="24"/>
  <c r="Q27" i="24"/>
  <c r="M27" i="24"/>
  <c r="Y32" i="24"/>
  <c r="U32" i="24"/>
  <c r="Q32" i="24"/>
  <c r="M32" i="24"/>
  <c r="Y33" i="24"/>
  <c r="U33" i="24"/>
  <c r="Q33" i="24"/>
  <c r="M33" i="24"/>
  <c r="U26" i="24"/>
  <c r="Q26" i="24"/>
  <c r="M26" i="24"/>
  <c r="Y25" i="24"/>
  <c r="U25" i="24"/>
  <c r="Q25" i="24"/>
  <c r="M25" i="24"/>
  <c r="U18" i="24"/>
  <c r="Q18" i="24"/>
  <c r="M18" i="24"/>
  <c r="Y17" i="24"/>
  <c r="U17" i="24"/>
  <c r="Q17" i="24"/>
  <c r="M17" i="24"/>
  <c r="U10" i="24"/>
  <c r="Q10" i="24"/>
  <c r="M10" i="24"/>
  <c r="Y9" i="24"/>
  <c r="U9" i="24"/>
  <c r="Q9" i="24"/>
  <c r="M9" i="24"/>
  <c r="Y2" i="24"/>
  <c r="U2" i="24"/>
  <c r="Q2" i="24"/>
  <c r="M2" i="24"/>
  <c r="BD10" i="23"/>
  <c r="BD18" i="23"/>
  <c r="BD26" i="23"/>
  <c r="BD27" i="23"/>
  <c r="BD19" i="23"/>
  <c r="BD11" i="23"/>
  <c r="BD3" i="23"/>
  <c r="BD4" i="23"/>
  <c r="BD12" i="23"/>
  <c r="BD20" i="23"/>
  <c r="BD28" i="23"/>
  <c r="BD29" i="23"/>
  <c r="BD21" i="23"/>
  <c r="BD13" i="23"/>
  <c r="BD5" i="23"/>
  <c r="BD6" i="23"/>
  <c r="BD14" i="23"/>
  <c r="BD22" i="23"/>
  <c r="BD30" i="23"/>
  <c r="BD31" i="23"/>
  <c r="BD23" i="23"/>
  <c r="BD15" i="23"/>
  <c r="BD7" i="23"/>
  <c r="BD8" i="23"/>
  <c r="BD16" i="23"/>
  <c r="BD24" i="23"/>
  <c r="BD32" i="23"/>
  <c r="BD33" i="23"/>
  <c r="BD25" i="23"/>
  <c r="BD17" i="23"/>
  <c r="BD9" i="23"/>
  <c r="BD2" i="23"/>
  <c r="BT15" i="23"/>
  <c r="BT11" i="23"/>
  <c r="BT3" i="23"/>
  <c r="BT2" i="23"/>
  <c r="BS2" i="23"/>
  <c r="BR2" i="23"/>
  <c r="BQ2" i="23"/>
  <c r="BP2" i="23"/>
  <c r="BA20" i="23"/>
  <c r="BK20" i="23" s="1"/>
  <c r="BE10" i="23"/>
  <c r="BF10" i="23" s="1"/>
  <c r="BG10" i="23" s="1"/>
  <c r="BE18" i="23"/>
  <c r="BF18" i="23" s="1"/>
  <c r="BG18" i="23" s="1"/>
  <c r="BE26" i="23"/>
  <c r="BF26" i="23" s="1"/>
  <c r="BG26" i="23" s="1"/>
  <c r="BE27" i="23"/>
  <c r="BF27" i="23" s="1"/>
  <c r="BG27" i="23" s="1"/>
  <c r="BE19" i="23"/>
  <c r="BF19" i="23" s="1"/>
  <c r="BG19" i="23" s="1"/>
  <c r="BE11" i="23"/>
  <c r="BF11" i="23" s="1"/>
  <c r="BG11" i="23" s="1"/>
  <c r="BE3" i="23"/>
  <c r="BF3" i="23" s="1"/>
  <c r="BG3" i="23" s="1"/>
  <c r="BE4" i="23"/>
  <c r="BF4" i="23" s="1"/>
  <c r="BG4" i="23" s="1"/>
  <c r="BE12" i="23"/>
  <c r="BF12" i="23" s="1"/>
  <c r="BG12" i="23" s="1"/>
  <c r="BE20" i="23"/>
  <c r="BF20" i="23" s="1"/>
  <c r="BG20" i="23" s="1"/>
  <c r="BE28" i="23"/>
  <c r="BF28" i="23" s="1"/>
  <c r="BG28" i="23" s="1"/>
  <c r="BE29" i="23"/>
  <c r="BF29" i="23" s="1"/>
  <c r="BG29" i="23" s="1"/>
  <c r="BE21" i="23"/>
  <c r="BF21" i="23" s="1"/>
  <c r="BG21" i="23" s="1"/>
  <c r="BE13" i="23"/>
  <c r="BF13" i="23" s="1"/>
  <c r="BG13" i="23" s="1"/>
  <c r="BE5" i="23"/>
  <c r="BF5" i="23" s="1"/>
  <c r="BG5" i="23" s="1"/>
  <c r="BE6" i="23"/>
  <c r="BF6" i="23" s="1"/>
  <c r="BG6" i="23" s="1"/>
  <c r="BE14" i="23"/>
  <c r="BF14" i="23" s="1"/>
  <c r="BG14" i="23" s="1"/>
  <c r="BE22" i="23"/>
  <c r="BF22" i="23" s="1"/>
  <c r="BG22" i="23" s="1"/>
  <c r="BE30" i="23"/>
  <c r="BF30" i="23" s="1"/>
  <c r="BG30" i="23" s="1"/>
  <c r="BE31" i="23"/>
  <c r="BF31" i="23" s="1"/>
  <c r="BG31" i="23" s="1"/>
  <c r="BE23" i="23"/>
  <c r="BF23" i="23" s="1"/>
  <c r="BG23" i="23" s="1"/>
  <c r="BE15" i="23"/>
  <c r="BF15" i="23" s="1"/>
  <c r="BG15" i="23" s="1"/>
  <c r="BE7" i="23"/>
  <c r="BF7" i="23" s="1"/>
  <c r="BG7" i="23" s="1"/>
  <c r="BE8" i="23"/>
  <c r="BF8" i="23" s="1"/>
  <c r="BG8" i="23" s="1"/>
  <c r="BE16" i="23"/>
  <c r="BF16" i="23" s="1"/>
  <c r="BG16" i="23" s="1"/>
  <c r="BE24" i="23"/>
  <c r="BF24" i="23" s="1"/>
  <c r="BG24" i="23" s="1"/>
  <c r="BE32" i="23"/>
  <c r="BF32" i="23" s="1"/>
  <c r="BG32" i="23" s="1"/>
  <c r="BE33" i="23"/>
  <c r="BF33" i="23" s="1"/>
  <c r="BG33" i="23" s="1"/>
  <c r="BE25" i="23"/>
  <c r="BF25" i="23" s="1"/>
  <c r="BG25" i="23" s="1"/>
  <c r="BE17" i="23"/>
  <c r="BF17" i="23" s="1"/>
  <c r="BG17" i="23" s="1"/>
  <c r="BE9" i="23"/>
  <c r="BF9" i="23" s="1"/>
  <c r="BG9" i="23" s="1"/>
  <c r="BE2" i="23"/>
  <c r="BF2" i="23" s="1"/>
  <c r="BG2" i="23" s="1"/>
  <c r="BA10" i="23"/>
  <c r="BJ10" i="23" s="1"/>
  <c r="BA18" i="23"/>
  <c r="BH18" i="23" s="1"/>
  <c r="BA26" i="23"/>
  <c r="BJ26" i="23" s="1"/>
  <c r="BA27" i="23"/>
  <c r="BJ27" i="23" s="1"/>
  <c r="BA19" i="23"/>
  <c r="BJ19" i="23" s="1"/>
  <c r="BA11" i="23"/>
  <c r="BK11" i="23" s="1"/>
  <c r="BA3" i="23"/>
  <c r="BK3" i="23" s="1"/>
  <c r="BA4" i="23"/>
  <c r="BJ4" i="23" s="1"/>
  <c r="BA12" i="23"/>
  <c r="BH12" i="23" s="1"/>
  <c r="BA28" i="23"/>
  <c r="BH28" i="23" s="1"/>
  <c r="BA29" i="23"/>
  <c r="BK29" i="23" s="1"/>
  <c r="BA21" i="23"/>
  <c r="BJ21" i="23" s="1"/>
  <c r="BA13" i="23"/>
  <c r="BJ13" i="23" s="1"/>
  <c r="BA5" i="23"/>
  <c r="BH5" i="23" s="1"/>
  <c r="BA6" i="23"/>
  <c r="BJ6" i="23" s="1"/>
  <c r="BA14" i="23"/>
  <c r="BJ14" i="23" s="1"/>
  <c r="BA22" i="23"/>
  <c r="BJ22" i="23" s="1"/>
  <c r="BA30" i="23"/>
  <c r="BK30" i="23" s="1"/>
  <c r="BA31" i="23"/>
  <c r="BK31" i="23" s="1"/>
  <c r="BA23" i="23"/>
  <c r="BJ23" i="23" s="1"/>
  <c r="BA15" i="23"/>
  <c r="BH15" i="23" s="1"/>
  <c r="BA7" i="23"/>
  <c r="BH7" i="23" s="1"/>
  <c r="BA8" i="23"/>
  <c r="BK8" i="23" s="1"/>
  <c r="BA16" i="23"/>
  <c r="BJ16" i="23" s="1"/>
  <c r="BA24" i="23"/>
  <c r="BJ24" i="23" s="1"/>
  <c r="BA32" i="23"/>
  <c r="BH32" i="23" s="1"/>
  <c r="BA33" i="23"/>
  <c r="BJ33" i="23" s="1"/>
  <c r="BA25" i="23"/>
  <c r="BJ25" i="23" s="1"/>
  <c r="BA17" i="23"/>
  <c r="BJ17" i="23" s="1"/>
  <c r="BA9" i="23"/>
  <c r="BK9" i="23" s="1"/>
  <c r="BA2" i="23"/>
  <c r="BI2" i="23" s="1"/>
  <c r="BB20" i="23"/>
  <c r="BC20" i="23" s="1"/>
  <c r="BB10" i="23"/>
  <c r="BC10" i="23" s="1"/>
  <c r="BB18" i="23"/>
  <c r="BC18" i="23" s="1"/>
  <c r="BB26" i="23"/>
  <c r="BC26" i="23" s="1"/>
  <c r="BB27" i="23"/>
  <c r="BC27" i="23" s="1"/>
  <c r="BB19" i="23"/>
  <c r="BC19" i="23" s="1"/>
  <c r="BB11" i="23"/>
  <c r="BC11" i="23" s="1"/>
  <c r="BB3" i="23"/>
  <c r="BC3" i="23" s="1"/>
  <c r="BB4" i="23"/>
  <c r="BC4" i="23" s="1"/>
  <c r="BB12" i="23"/>
  <c r="BC12" i="23" s="1"/>
  <c r="BB28" i="23"/>
  <c r="BC28" i="23" s="1"/>
  <c r="BB29" i="23"/>
  <c r="BC29" i="23" s="1"/>
  <c r="BB21" i="23"/>
  <c r="BC21" i="23" s="1"/>
  <c r="BB13" i="23"/>
  <c r="BC13" i="23" s="1"/>
  <c r="BB5" i="23"/>
  <c r="BC5" i="23" s="1"/>
  <c r="BB6" i="23"/>
  <c r="BC6" i="23" s="1"/>
  <c r="BB14" i="23"/>
  <c r="BC14" i="23" s="1"/>
  <c r="BB22" i="23"/>
  <c r="BC22" i="23" s="1"/>
  <c r="BB30" i="23"/>
  <c r="BC30" i="23" s="1"/>
  <c r="BB31" i="23"/>
  <c r="BC31" i="23" s="1"/>
  <c r="BB23" i="23"/>
  <c r="BC23" i="23" s="1"/>
  <c r="BB15" i="23"/>
  <c r="BC15" i="23" s="1"/>
  <c r="BB7" i="23"/>
  <c r="BC7" i="23" s="1"/>
  <c r="BB8" i="23"/>
  <c r="BC8" i="23" s="1"/>
  <c r="BB16" i="23"/>
  <c r="BC16" i="23" s="1"/>
  <c r="BB24" i="23"/>
  <c r="BC24" i="23" s="1"/>
  <c r="BB32" i="23"/>
  <c r="BC32" i="23" s="1"/>
  <c r="BB33" i="23"/>
  <c r="BC33" i="23" s="1"/>
  <c r="BB25" i="23"/>
  <c r="BC25" i="23" s="1"/>
  <c r="BB17" i="23"/>
  <c r="BC17" i="23" s="1"/>
  <c r="BB9" i="23"/>
  <c r="BC9" i="23" s="1"/>
  <c r="BB2" i="23"/>
  <c r="BC2" i="23" s="1"/>
  <c r="M283" i="22"/>
  <c r="M276" i="22"/>
  <c r="M269" i="22"/>
  <c r="M258" i="22"/>
  <c r="M251" i="22"/>
  <c r="M244" i="22"/>
  <c r="M237" i="22"/>
  <c r="M226" i="22"/>
  <c r="M224" i="22"/>
  <c r="M222" i="22"/>
  <c r="M219" i="22"/>
  <c r="M215" i="22"/>
  <c r="M212" i="22"/>
  <c r="M211" i="22"/>
  <c r="M206" i="22"/>
  <c r="M205" i="22"/>
  <c r="M202" i="22"/>
  <c r="M201" i="22"/>
  <c r="M199" i="22"/>
  <c r="M194" i="22"/>
  <c r="M192" i="22"/>
  <c r="M190" i="22"/>
  <c r="M187" i="22"/>
  <c r="M183" i="22"/>
  <c r="M180" i="22"/>
  <c r="M179" i="22"/>
  <c r="M174" i="22"/>
  <c r="M173" i="22"/>
  <c r="M170" i="22"/>
  <c r="M169" i="22"/>
  <c r="M167" i="22"/>
  <c r="M162" i="22"/>
  <c r="M160" i="22"/>
  <c r="M158" i="22"/>
  <c r="M156" i="22"/>
  <c r="M155" i="22"/>
  <c r="M154" i="22"/>
  <c r="M153" i="22"/>
  <c r="M151" i="22"/>
  <c r="M149" i="22"/>
  <c r="M148" i="22"/>
  <c r="M147" i="22"/>
  <c r="M144" i="22"/>
  <c r="M142" i="22"/>
  <c r="M141" i="22"/>
  <c r="M140" i="22"/>
  <c r="M138" i="22"/>
  <c r="M137" i="22"/>
  <c r="M135" i="22"/>
  <c r="M133" i="22"/>
  <c r="M131" i="22"/>
  <c r="M130" i="22"/>
  <c r="M128" i="22"/>
  <c r="S10" i="23"/>
  <c r="S18" i="23"/>
  <c r="S26" i="23"/>
  <c r="S27" i="23"/>
  <c r="S19" i="23"/>
  <c r="S11" i="23"/>
  <c r="S3" i="23"/>
  <c r="S4" i="23"/>
  <c r="S12" i="23"/>
  <c r="S20" i="23"/>
  <c r="S28" i="23"/>
  <c r="S29" i="23"/>
  <c r="S21" i="23"/>
  <c r="S13" i="23"/>
  <c r="S5" i="23"/>
  <c r="S6" i="23"/>
  <c r="S14" i="23"/>
  <c r="S22" i="23"/>
  <c r="S30" i="23"/>
  <c r="S31" i="23"/>
  <c r="S23" i="23"/>
  <c r="S15" i="23"/>
  <c r="S7" i="23"/>
  <c r="S8" i="23"/>
  <c r="S16" i="23"/>
  <c r="S24" i="23"/>
  <c r="S32" i="23"/>
  <c r="S33" i="23"/>
  <c r="S25" i="23"/>
  <c r="S17" i="23"/>
  <c r="S9" i="23"/>
  <c r="S2" i="23"/>
  <c r="R10" i="23"/>
  <c r="R18" i="23"/>
  <c r="R26" i="23"/>
  <c r="R27" i="23"/>
  <c r="R19" i="23"/>
  <c r="R11" i="23"/>
  <c r="R3" i="23"/>
  <c r="R4" i="23"/>
  <c r="R12" i="23"/>
  <c r="R20" i="23"/>
  <c r="R28" i="23"/>
  <c r="R29" i="23"/>
  <c r="R21" i="23"/>
  <c r="R13" i="23"/>
  <c r="R5" i="23"/>
  <c r="R6" i="23"/>
  <c r="R14" i="23"/>
  <c r="R22" i="23"/>
  <c r="R30" i="23"/>
  <c r="R31" i="23"/>
  <c r="R23" i="23"/>
  <c r="R15" i="23"/>
  <c r="R7" i="23"/>
  <c r="R8" i="23"/>
  <c r="R16" i="23"/>
  <c r="R24" i="23"/>
  <c r="R32" i="23"/>
  <c r="R33" i="23"/>
  <c r="R25" i="23"/>
  <c r="R17" i="23"/>
  <c r="R9" i="23"/>
  <c r="R2" i="23"/>
  <c r="Q10" i="23"/>
  <c r="Q18" i="23"/>
  <c r="Q26" i="23"/>
  <c r="Q27" i="23"/>
  <c r="Q19" i="23"/>
  <c r="Q11" i="23"/>
  <c r="Q3" i="23"/>
  <c r="Q4" i="23"/>
  <c r="Q12" i="23"/>
  <c r="Q20" i="23"/>
  <c r="Q28" i="23"/>
  <c r="Q29" i="23"/>
  <c r="Q21" i="23"/>
  <c r="Q13" i="23"/>
  <c r="Q5" i="23"/>
  <c r="Q6" i="23"/>
  <c r="Q14" i="23"/>
  <c r="Q22" i="23"/>
  <c r="Q30" i="23"/>
  <c r="Q31" i="23"/>
  <c r="Q23" i="23"/>
  <c r="Q15" i="23"/>
  <c r="Q7" i="23"/>
  <c r="Q8" i="23"/>
  <c r="Q16" i="23"/>
  <c r="Q24" i="23"/>
  <c r="Q32" i="23"/>
  <c r="Q33" i="23"/>
  <c r="Q25" i="23"/>
  <c r="Q17" i="23"/>
  <c r="Q9" i="23"/>
  <c r="Q2" i="23"/>
  <c r="P20" i="23"/>
  <c r="P28" i="23"/>
  <c r="P29" i="23"/>
  <c r="P21" i="23"/>
  <c r="P13" i="23"/>
  <c r="P5" i="23"/>
  <c r="P6" i="23"/>
  <c r="P14" i="23"/>
  <c r="P22" i="23"/>
  <c r="P30" i="23"/>
  <c r="P31" i="23"/>
  <c r="P23" i="23"/>
  <c r="P15" i="23"/>
  <c r="P7" i="23"/>
  <c r="P8" i="23"/>
  <c r="P16" i="23"/>
  <c r="P24" i="23"/>
  <c r="P32" i="23"/>
  <c r="P33" i="23"/>
  <c r="P25" i="23"/>
  <c r="P17" i="23"/>
  <c r="P9" i="23"/>
  <c r="P10" i="23"/>
  <c r="P18" i="23"/>
  <c r="P26" i="23"/>
  <c r="P27" i="23"/>
  <c r="P19" i="23"/>
  <c r="P2" i="23"/>
  <c r="M8" i="29"/>
  <c r="M6" i="29"/>
  <c r="Q4" i="29"/>
  <c r="Q2" i="29"/>
  <c r="Q7" i="29"/>
  <c r="M5" i="29"/>
  <c r="AN19" i="26"/>
  <c r="AG26" i="26"/>
  <c r="Z4" i="29"/>
  <c r="Z3" i="29"/>
  <c r="Z2" i="29"/>
  <c r="AA2" i="29"/>
  <c r="Z9" i="29"/>
  <c r="AA9" i="29"/>
  <c r="AA5" i="29"/>
  <c r="Z5" i="29"/>
  <c r="Z6" i="29"/>
  <c r="AA7" i="29"/>
  <c r="Z8" i="29"/>
  <c r="AG11" i="26"/>
  <c r="AQ32" i="26"/>
  <c r="AQ9" i="26"/>
  <c r="M3" i="29"/>
  <c r="M2" i="29"/>
  <c r="AG20" i="26"/>
  <c r="AL20" i="26" s="1"/>
  <c r="AG32" i="26"/>
  <c r="AE6" i="26"/>
  <c r="AF10" i="26"/>
  <c r="AK10" i="26" s="1"/>
  <c r="AD14" i="26"/>
  <c r="AE19" i="26"/>
  <c r="AJ19" i="26" s="1"/>
  <c r="AD19" i="26"/>
  <c r="AI19" i="26" s="1"/>
  <c r="AC19" i="26"/>
  <c r="AF20" i="26"/>
  <c r="AE20" i="26"/>
  <c r="AJ20" i="26" s="1"/>
  <c r="AD20" i="26"/>
  <c r="AI20" i="26" s="1"/>
  <c r="AC20" i="26"/>
  <c r="AH20" i="26" s="1"/>
  <c r="AA20" i="26"/>
  <c r="AA22" i="26"/>
  <c r="AA25" i="26"/>
  <c r="AF26" i="26"/>
  <c r="AE26" i="26"/>
  <c r="AJ26" i="26" s="1"/>
  <c r="AD26" i="26"/>
  <c r="AC26" i="26"/>
  <c r="AA26" i="26"/>
  <c r="AF28" i="26"/>
  <c r="AE28" i="26"/>
  <c r="AC31" i="26"/>
  <c r="AH31" i="26" s="1"/>
  <c r="AF32" i="26"/>
  <c r="AE32" i="26"/>
  <c r="AD32" i="26"/>
  <c r="AC32" i="26"/>
  <c r="AA32" i="26"/>
  <c r="AQ30" i="26"/>
  <c r="P11" i="23"/>
  <c r="P3" i="23"/>
  <c r="BA2" i="21"/>
  <c r="BI2" i="21" s="1"/>
  <c r="BA18" i="21"/>
  <c r="BG18" i="21" s="1"/>
  <c r="BA26" i="21"/>
  <c r="BG26" i="21" s="1"/>
  <c r="BA27" i="21"/>
  <c r="BG27" i="21" s="1"/>
  <c r="BA19" i="21"/>
  <c r="BH19" i="21" s="1"/>
  <c r="BA11" i="21"/>
  <c r="BG11" i="21" s="1"/>
  <c r="BA3" i="21"/>
  <c r="BG3" i="21" s="1"/>
  <c r="BA4" i="21"/>
  <c r="BH4" i="21" s="1"/>
  <c r="BA12" i="21"/>
  <c r="BG12" i="21" s="1"/>
  <c r="BA20" i="21"/>
  <c r="BG20" i="21" s="1"/>
  <c r="BA28" i="21"/>
  <c r="BI28" i="21" s="1"/>
  <c r="BA29" i="21"/>
  <c r="BG29" i="21" s="1"/>
  <c r="BA21" i="21"/>
  <c r="BH21" i="21" s="1"/>
  <c r="BA13" i="21"/>
  <c r="BG13" i="21" s="1"/>
  <c r="BA5" i="21"/>
  <c r="BG5" i="21" s="1"/>
  <c r="BA6" i="21"/>
  <c r="BI6" i="21" s="1"/>
  <c r="BA14" i="21"/>
  <c r="BG14" i="21" s="1"/>
  <c r="BA22" i="21"/>
  <c r="BJ22" i="21" s="1"/>
  <c r="BA30" i="21"/>
  <c r="BH30" i="21" s="1"/>
  <c r="BA31" i="21"/>
  <c r="BG31" i="21" s="1"/>
  <c r="BA23" i="21"/>
  <c r="BG23" i="21" s="1"/>
  <c r="BA15" i="21"/>
  <c r="BH15" i="21" s="1"/>
  <c r="BA7" i="21"/>
  <c r="BG7" i="21" s="1"/>
  <c r="BA8" i="21"/>
  <c r="BJ8" i="21" s="1"/>
  <c r="BA16" i="21"/>
  <c r="BH16" i="21" s="1"/>
  <c r="BA24" i="21"/>
  <c r="BG24" i="21" s="1"/>
  <c r="BA32" i="21"/>
  <c r="BI32" i="21" s="1"/>
  <c r="BA33" i="21"/>
  <c r="BJ33" i="21" s="1"/>
  <c r="BA25" i="21"/>
  <c r="BG25" i="21" s="1"/>
  <c r="BA17" i="21"/>
  <c r="BG17" i="21" s="1"/>
  <c r="BA9" i="21"/>
  <c r="BJ9" i="21" s="1"/>
  <c r="BA10" i="21"/>
  <c r="BJ10" i="21" s="1"/>
  <c r="P4" i="23"/>
  <c r="P12" i="23"/>
  <c r="S20" i="21"/>
  <c r="S28" i="21"/>
  <c r="S29" i="21"/>
  <c r="S21" i="21"/>
  <c r="S13" i="21"/>
  <c r="S5" i="21"/>
  <c r="S6" i="21"/>
  <c r="S14" i="21"/>
  <c r="S22" i="21"/>
  <c r="S30" i="21"/>
  <c r="S31" i="21"/>
  <c r="S23" i="21"/>
  <c r="S15" i="21"/>
  <c r="S7" i="21"/>
  <c r="S8" i="21"/>
  <c r="S16" i="21"/>
  <c r="S24" i="21"/>
  <c r="S32" i="21"/>
  <c r="R20" i="21"/>
  <c r="R28" i="21"/>
  <c r="R29" i="21"/>
  <c r="R21" i="21"/>
  <c r="R13" i="21"/>
  <c r="R5" i="21"/>
  <c r="R6" i="21"/>
  <c r="R14" i="21"/>
  <c r="R22" i="21"/>
  <c r="R30" i="21"/>
  <c r="R31" i="21"/>
  <c r="R23" i="21"/>
  <c r="R15" i="21"/>
  <c r="R7" i="21"/>
  <c r="R8" i="21"/>
  <c r="R16" i="21"/>
  <c r="R24" i="21"/>
  <c r="R32" i="21"/>
  <c r="Q20" i="21"/>
  <c r="Q28" i="21"/>
  <c r="Q29" i="21"/>
  <c r="Q21" i="21"/>
  <c r="Q13" i="21"/>
  <c r="Q5" i="21"/>
  <c r="Q6" i="21"/>
  <c r="Q14" i="21"/>
  <c r="Q22" i="21"/>
  <c r="Q30" i="21"/>
  <c r="Q31" i="21"/>
  <c r="Q23" i="21"/>
  <c r="Q15" i="21"/>
  <c r="Q7" i="21"/>
  <c r="Q8" i="21"/>
  <c r="Q16" i="21"/>
  <c r="Q24" i="21"/>
  <c r="Q32" i="21"/>
  <c r="P20" i="21"/>
  <c r="P28" i="21"/>
  <c r="P29" i="21"/>
  <c r="P21" i="21"/>
  <c r="P13" i="21"/>
  <c r="P5" i="21"/>
  <c r="P6" i="21"/>
  <c r="P14" i="21"/>
  <c r="P22" i="21"/>
  <c r="P30" i="21"/>
  <c r="P31" i="21"/>
  <c r="P23" i="21"/>
  <c r="P15" i="21"/>
  <c r="P7" i="21"/>
  <c r="P8" i="21"/>
  <c r="P16" i="21"/>
  <c r="P24" i="21"/>
  <c r="P32" i="21"/>
  <c r="S2" i="21"/>
  <c r="R2" i="21"/>
  <c r="Q2" i="21"/>
  <c r="P2" i="21"/>
  <c r="M98" i="22"/>
  <c r="M99" i="22"/>
  <c r="M100" i="22"/>
  <c r="M101" i="22"/>
  <c r="M103" i="22"/>
  <c r="M105" i="22"/>
  <c r="M106" i="22"/>
  <c r="M108" i="22"/>
  <c r="M109" i="22"/>
  <c r="M110" i="22"/>
  <c r="M112" i="22"/>
  <c r="M113" i="22"/>
  <c r="M115" i="22"/>
  <c r="M116" i="22"/>
  <c r="M117" i="22"/>
  <c r="M119" i="22"/>
  <c r="M120" i="22"/>
  <c r="M121" i="22"/>
  <c r="M122" i="22"/>
  <c r="M123" i="22"/>
  <c r="M124" i="22"/>
  <c r="M125" i="22"/>
  <c r="M126" i="22"/>
  <c r="R97" i="19"/>
  <c r="N97" i="19"/>
  <c r="R96" i="19"/>
  <c r="N96" i="19"/>
  <c r="R95" i="19"/>
  <c r="N95" i="19"/>
  <c r="R94" i="19"/>
  <c r="N94" i="19"/>
  <c r="R89" i="19"/>
  <c r="N89" i="19"/>
  <c r="R88" i="19"/>
  <c r="N88" i="19"/>
  <c r="R87" i="19"/>
  <c r="N87" i="19"/>
  <c r="R86" i="19"/>
  <c r="N86" i="19"/>
  <c r="R81" i="19"/>
  <c r="N81" i="19"/>
  <c r="R80" i="19"/>
  <c r="N80" i="19"/>
  <c r="R79" i="19"/>
  <c r="N79" i="19"/>
  <c r="R78" i="19"/>
  <c r="N78" i="19"/>
  <c r="R73" i="19"/>
  <c r="N73" i="19"/>
  <c r="R72" i="19"/>
  <c r="N72" i="19"/>
  <c r="R71" i="19"/>
  <c r="N71" i="19"/>
  <c r="R70" i="19"/>
  <c r="N70" i="19"/>
  <c r="N288" i="16"/>
  <c r="N289" i="16"/>
  <c r="N279" i="16"/>
  <c r="N281" i="16"/>
  <c r="N270" i="16"/>
  <c r="N272" i="16"/>
  <c r="N349" i="16"/>
  <c r="N339" i="16"/>
  <c r="N332" i="16"/>
  <c r="N322" i="16"/>
  <c r="BD10" i="21"/>
  <c r="BE10" i="21" s="1"/>
  <c r="BF10" i="21" s="1"/>
  <c r="BD18" i="21"/>
  <c r="BE18" i="21" s="1"/>
  <c r="BF18" i="21" s="1"/>
  <c r="BD26" i="21"/>
  <c r="BE26" i="21" s="1"/>
  <c r="BF26" i="21" s="1"/>
  <c r="BD27" i="21"/>
  <c r="BE27" i="21" s="1"/>
  <c r="BF27" i="21" s="1"/>
  <c r="BD19" i="21"/>
  <c r="BE19" i="21" s="1"/>
  <c r="BF19" i="21" s="1"/>
  <c r="BD11" i="21"/>
  <c r="BE11" i="21" s="1"/>
  <c r="BF11" i="21" s="1"/>
  <c r="BD3" i="21"/>
  <c r="BE3" i="21" s="1"/>
  <c r="BF3" i="21" s="1"/>
  <c r="BD4" i="21"/>
  <c r="BE4" i="21" s="1"/>
  <c r="BF4" i="21" s="1"/>
  <c r="BD12" i="21"/>
  <c r="BE12" i="21" s="1"/>
  <c r="BF12" i="21" s="1"/>
  <c r="BD20" i="21"/>
  <c r="BE20" i="21" s="1"/>
  <c r="BF20" i="21" s="1"/>
  <c r="BD28" i="21"/>
  <c r="BE28" i="21" s="1"/>
  <c r="BF28" i="21" s="1"/>
  <c r="BD29" i="21"/>
  <c r="BE29" i="21" s="1"/>
  <c r="BF29" i="21" s="1"/>
  <c r="BD21" i="21"/>
  <c r="BE21" i="21" s="1"/>
  <c r="BF21" i="21" s="1"/>
  <c r="BD13" i="21"/>
  <c r="BE13" i="21" s="1"/>
  <c r="BF13" i="21" s="1"/>
  <c r="BD5" i="21"/>
  <c r="BE5" i="21" s="1"/>
  <c r="BF5" i="21" s="1"/>
  <c r="BD6" i="21"/>
  <c r="BE6" i="21" s="1"/>
  <c r="BF6" i="21" s="1"/>
  <c r="BD14" i="21"/>
  <c r="BE14" i="21" s="1"/>
  <c r="BF14" i="21" s="1"/>
  <c r="BD22" i="21"/>
  <c r="BE22" i="21" s="1"/>
  <c r="BF22" i="21" s="1"/>
  <c r="BD30" i="21"/>
  <c r="BE30" i="21" s="1"/>
  <c r="BF30" i="21" s="1"/>
  <c r="BD31" i="21"/>
  <c r="BE31" i="21" s="1"/>
  <c r="BF31" i="21" s="1"/>
  <c r="BD23" i="21"/>
  <c r="BE23" i="21" s="1"/>
  <c r="BF23" i="21" s="1"/>
  <c r="BD15" i="21"/>
  <c r="BE15" i="21" s="1"/>
  <c r="BF15" i="21" s="1"/>
  <c r="BD7" i="21"/>
  <c r="BE7" i="21" s="1"/>
  <c r="BF7" i="21" s="1"/>
  <c r="BD8" i="21"/>
  <c r="BE8" i="21" s="1"/>
  <c r="BF8" i="21" s="1"/>
  <c r="BD16" i="21"/>
  <c r="BE16" i="21" s="1"/>
  <c r="BF16" i="21" s="1"/>
  <c r="BD24" i="21"/>
  <c r="BE24" i="21" s="1"/>
  <c r="BF24" i="21" s="1"/>
  <c r="BD32" i="21"/>
  <c r="BE32" i="21" s="1"/>
  <c r="BF32" i="21" s="1"/>
  <c r="BD33" i="21"/>
  <c r="BE33" i="21" s="1"/>
  <c r="BF33" i="21" s="1"/>
  <c r="BD25" i="21"/>
  <c r="BE25" i="21" s="1"/>
  <c r="BF25" i="21" s="1"/>
  <c r="BD17" i="21"/>
  <c r="BE17" i="21" s="1"/>
  <c r="BF17" i="21" s="1"/>
  <c r="BD9" i="21"/>
  <c r="BE9" i="21" s="1"/>
  <c r="BF9" i="21" s="1"/>
  <c r="BD2" i="21"/>
  <c r="BT9" i="23"/>
  <c r="BS9" i="23"/>
  <c r="BR9" i="23"/>
  <c r="BQ9" i="23"/>
  <c r="BP9" i="23"/>
  <c r="I9" i="23"/>
  <c r="BT17" i="23"/>
  <c r="BS17" i="23"/>
  <c r="BR17" i="23"/>
  <c r="BQ17" i="23"/>
  <c r="BP17" i="23"/>
  <c r="I17" i="23"/>
  <c r="BT25" i="23"/>
  <c r="BS25" i="23"/>
  <c r="BR25" i="23"/>
  <c r="BQ25" i="23"/>
  <c r="BP25" i="23"/>
  <c r="I25" i="23"/>
  <c r="BT33" i="23"/>
  <c r="BS33" i="23"/>
  <c r="BR33" i="23"/>
  <c r="BQ33" i="23"/>
  <c r="BP33" i="23"/>
  <c r="I33" i="23"/>
  <c r="BT32" i="23"/>
  <c r="BS32" i="23"/>
  <c r="BR32" i="23"/>
  <c r="BQ32" i="23"/>
  <c r="BP32" i="23"/>
  <c r="I32" i="23"/>
  <c r="BT24" i="23"/>
  <c r="BS24" i="23"/>
  <c r="BR24" i="23"/>
  <c r="BQ24" i="23"/>
  <c r="BP24" i="23"/>
  <c r="I24" i="23"/>
  <c r="BT16" i="23"/>
  <c r="BS16" i="23"/>
  <c r="BR16" i="23"/>
  <c r="BQ16" i="23"/>
  <c r="BP16" i="23"/>
  <c r="I16" i="23"/>
  <c r="BT8" i="23"/>
  <c r="BS8" i="23"/>
  <c r="BR8" i="23"/>
  <c r="BQ8" i="23"/>
  <c r="BP8" i="23"/>
  <c r="I8" i="23"/>
  <c r="BT7" i="23"/>
  <c r="BS7" i="23"/>
  <c r="BR7" i="23"/>
  <c r="BQ7" i="23"/>
  <c r="BP7" i="23"/>
  <c r="I7" i="23"/>
  <c r="BS15" i="23"/>
  <c r="BR15" i="23"/>
  <c r="BQ15" i="23"/>
  <c r="BP15" i="23"/>
  <c r="I15" i="23"/>
  <c r="BT23" i="23"/>
  <c r="BS23" i="23"/>
  <c r="BR23" i="23"/>
  <c r="BQ23" i="23"/>
  <c r="BP23" i="23"/>
  <c r="I23" i="23"/>
  <c r="BT31" i="23"/>
  <c r="BS31" i="23"/>
  <c r="BR31" i="23"/>
  <c r="BQ31" i="23"/>
  <c r="BP31" i="23"/>
  <c r="I31" i="23"/>
  <c r="BT30" i="23"/>
  <c r="BS30" i="23"/>
  <c r="BR30" i="23"/>
  <c r="BQ30" i="23"/>
  <c r="BP30" i="23"/>
  <c r="I30" i="23"/>
  <c r="BT22" i="23"/>
  <c r="BS22" i="23"/>
  <c r="BR22" i="23"/>
  <c r="BQ22" i="23"/>
  <c r="BP22" i="23"/>
  <c r="I22" i="23"/>
  <c r="BT14" i="23"/>
  <c r="BS14" i="23"/>
  <c r="BR14" i="23"/>
  <c r="BQ14" i="23"/>
  <c r="BP14" i="23"/>
  <c r="I14" i="23"/>
  <c r="BT6" i="23"/>
  <c r="BS6" i="23"/>
  <c r="BR6" i="23"/>
  <c r="BQ6" i="23"/>
  <c r="BP6" i="23"/>
  <c r="I6" i="23"/>
  <c r="BT5" i="23"/>
  <c r="BS5" i="23"/>
  <c r="BR5" i="23"/>
  <c r="BQ5" i="23"/>
  <c r="BP5" i="23"/>
  <c r="I5" i="23"/>
  <c r="BT13" i="23"/>
  <c r="BS13" i="23"/>
  <c r="BR13" i="23"/>
  <c r="BQ13" i="23"/>
  <c r="BP13" i="23"/>
  <c r="I13" i="23"/>
  <c r="BT21" i="23"/>
  <c r="BS21" i="23"/>
  <c r="BR21" i="23"/>
  <c r="BQ21" i="23"/>
  <c r="BP21" i="23"/>
  <c r="I21" i="23"/>
  <c r="BT29" i="23"/>
  <c r="BS29" i="23"/>
  <c r="BR29" i="23"/>
  <c r="BQ29" i="23"/>
  <c r="BP29" i="23"/>
  <c r="I29" i="23"/>
  <c r="BT28" i="23"/>
  <c r="BS28" i="23"/>
  <c r="BR28" i="23"/>
  <c r="BQ28" i="23"/>
  <c r="BP28" i="23"/>
  <c r="I28" i="23"/>
  <c r="BT20" i="23"/>
  <c r="BS20" i="23"/>
  <c r="BR20" i="23"/>
  <c r="BQ20" i="23"/>
  <c r="BP20" i="23"/>
  <c r="I20" i="23"/>
  <c r="BT12" i="23"/>
  <c r="BS12" i="23"/>
  <c r="BR12" i="23"/>
  <c r="BQ12" i="23"/>
  <c r="BP12" i="23"/>
  <c r="I12" i="23"/>
  <c r="BT4" i="23"/>
  <c r="BS4" i="23"/>
  <c r="BR4" i="23"/>
  <c r="BQ4" i="23"/>
  <c r="BP4" i="23"/>
  <c r="I4" i="23"/>
  <c r="BS3" i="23"/>
  <c r="BR3" i="23"/>
  <c r="BQ3" i="23"/>
  <c r="BP3" i="23"/>
  <c r="I3" i="23"/>
  <c r="BS11" i="23"/>
  <c r="BR11" i="23"/>
  <c r="BQ11" i="23"/>
  <c r="BP11" i="23"/>
  <c r="I11" i="23"/>
  <c r="BT19" i="23"/>
  <c r="BS19" i="23"/>
  <c r="BR19" i="23"/>
  <c r="BQ19" i="23"/>
  <c r="BP19" i="23"/>
  <c r="I19" i="23"/>
  <c r="BT27" i="23"/>
  <c r="BS27" i="23"/>
  <c r="BR27" i="23"/>
  <c r="BQ27" i="23"/>
  <c r="BP27" i="23"/>
  <c r="I27" i="23"/>
  <c r="BT26" i="23"/>
  <c r="BS26" i="23"/>
  <c r="BR26" i="23"/>
  <c r="BQ26" i="23"/>
  <c r="BP26" i="23"/>
  <c r="I26" i="23"/>
  <c r="BT18" i="23"/>
  <c r="BS18" i="23"/>
  <c r="BR18" i="23"/>
  <c r="BQ18" i="23"/>
  <c r="BP18" i="23"/>
  <c r="I18" i="23"/>
  <c r="BT10" i="23"/>
  <c r="BS10" i="23"/>
  <c r="BR10" i="23"/>
  <c r="BQ10" i="23"/>
  <c r="BP10" i="23"/>
  <c r="I10" i="23"/>
  <c r="I2" i="23"/>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M52" i="22"/>
  <c r="M53" i="22"/>
  <c r="M54" i="22"/>
  <c r="M55" i="22"/>
  <c r="M56" i="22"/>
  <c r="M57" i="22"/>
  <c r="M58" i="22"/>
  <c r="M59" i="22"/>
  <c r="M60" i="22"/>
  <c r="M61" i="22"/>
  <c r="M62" i="22"/>
  <c r="M63" i="22"/>
  <c r="M64" i="22"/>
  <c r="M65" i="22"/>
  <c r="M3" i="22"/>
  <c r="M4" i="22"/>
  <c r="M5" i="22"/>
  <c r="M6" i="22"/>
  <c r="M7" i="22"/>
  <c r="M8" i="22"/>
  <c r="M9" i="22"/>
  <c r="M10" i="22"/>
  <c r="M11" i="22"/>
  <c r="M12" i="22"/>
  <c r="M13" i="22"/>
  <c r="M14" i="22"/>
  <c r="M15" i="22"/>
  <c r="M16" i="22"/>
  <c r="M17" i="22"/>
  <c r="M18" i="22"/>
  <c r="M72" i="22"/>
  <c r="M79" i="22"/>
  <c r="M86" i="22"/>
  <c r="M97" i="22"/>
  <c r="M2" i="22"/>
  <c r="AQ32" i="21"/>
  <c r="BS32" i="21"/>
  <c r="BR32" i="21"/>
  <c r="BQ32" i="21"/>
  <c r="BP32" i="21"/>
  <c r="BO32" i="21"/>
  <c r="AQ20" i="21"/>
  <c r="BS20" i="21"/>
  <c r="BR20" i="21"/>
  <c r="BQ20" i="21"/>
  <c r="BP20" i="21"/>
  <c r="BO20" i="21"/>
  <c r="AQ14" i="21"/>
  <c r="BS14" i="21"/>
  <c r="BR14" i="21"/>
  <c r="BQ14" i="21"/>
  <c r="BP14" i="21"/>
  <c r="BO14" i="21"/>
  <c r="AQ2" i="21"/>
  <c r="M283" i="20"/>
  <c r="M258" i="20"/>
  <c r="M269" i="20"/>
  <c r="M276" i="20"/>
  <c r="BH22" i="21"/>
  <c r="BG22" i="21"/>
  <c r="BI22" i="21"/>
  <c r="BJ14" i="21"/>
  <c r="BI14" i="21"/>
  <c r="BH14" i="21"/>
  <c r="BH6" i="21"/>
  <c r="BG6" i="21"/>
  <c r="BJ6" i="21"/>
  <c r="BI20" i="21"/>
  <c r="BJ12" i="21"/>
  <c r="BI12" i="21"/>
  <c r="BH12" i="21"/>
  <c r="BH26" i="21"/>
  <c r="BL26" i="21" s="1"/>
  <c r="BJ26" i="21"/>
  <c r="BN26" i="21" s="1"/>
  <c r="BI26" i="21"/>
  <c r="BJ18" i="21"/>
  <c r="BI18" i="21"/>
  <c r="BM18" i="21" s="1"/>
  <c r="BH18" i="21"/>
  <c r="BL18" i="21" s="1"/>
  <c r="R93" i="19"/>
  <c r="N93" i="19"/>
  <c r="R92" i="19"/>
  <c r="N92" i="19"/>
  <c r="R91" i="19"/>
  <c r="N91" i="19"/>
  <c r="R90" i="19"/>
  <c r="N90" i="19"/>
  <c r="R85" i="19"/>
  <c r="N85" i="19"/>
  <c r="R84" i="19"/>
  <c r="N84" i="19"/>
  <c r="R83" i="19"/>
  <c r="N83" i="19"/>
  <c r="R82" i="19"/>
  <c r="N82" i="19"/>
  <c r="R77" i="19"/>
  <c r="N77" i="19"/>
  <c r="R76" i="19"/>
  <c r="N76" i="19"/>
  <c r="R75" i="19"/>
  <c r="N75" i="19"/>
  <c r="R74" i="19"/>
  <c r="N74" i="19"/>
  <c r="R69" i="19"/>
  <c r="N69" i="19"/>
  <c r="R68" i="19"/>
  <c r="N68" i="19"/>
  <c r="R67" i="19"/>
  <c r="N67" i="19"/>
  <c r="R66" i="19"/>
  <c r="N66" i="19"/>
  <c r="R65" i="19"/>
  <c r="N65" i="19"/>
  <c r="R64" i="19"/>
  <c r="N64" i="19"/>
  <c r="R63" i="19"/>
  <c r="N63" i="19"/>
  <c r="R62" i="19"/>
  <c r="N62" i="19"/>
  <c r="R57" i="19"/>
  <c r="N57" i="19"/>
  <c r="R56" i="19"/>
  <c r="N56" i="19"/>
  <c r="R55" i="19"/>
  <c r="N55" i="19"/>
  <c r="R54" i="19"/>
  <c r="N54" i="19"/>
  <c r="R49" i="19"/>
  <c r="N49" i="19"/>
  <c r="R48" i="19"/>
  <c r="N48" i="19"/>
  <c r="R47" i="19"/>
  <c r="N47" i="19"/>
  <c r="R46" i="19"/>
  <c r="N46" i="19"/>
  <c r="R41" i="19"/>
  <c r="N41" i="19"/>
  <c r="R40" i="19"/>
  <c r="N40" i="19"/>
  <c r="R39" i="19"/>
  <c r="N39" i="19"/>
  <c r="R38" i="19"/>
  <c r="N38" i="19"/>
  <c r="N317" i="16"/>
  <c r="N316" i="16"/>
  <c r="N315" i="16"/>
  <c r="N314" i="16"/>
  <c r="N309" i="16"/>
  <c r="N308" i="16"/>
  <c r="N307" i="16"/>
  <c r="N306" i="16"/>
  <c r="N301" i="16"/>
  <c r="N300" i="16"/>
  <c r="N299" i="16"/>
  <c r="N298" i="16"/>
  <c r="N293" i="16"/>
  <c r="N292" i="16"/>
  <c r="N291" i="16"/>
  <c r="N290" i="16"/>
  <c r="M251" i="20"/>
  <c r="M244" i="20"/>
  <c r="M237" i="20"/>
  <c r="M226" i="20"/>
  <c r="S18" i="21"/>
  <c r="S26" i="21"/>
  <c r="S27" i="21"/>
  <c r="S19" i="21"/>
  <c r="S11" i="21"/>
  <c r="S3" i="21"/>
  <c r="S4" i="21"/>
  <c r="S12" i="21"/>
  <c r="S33" i="21"/>
  <c r="S25" i="21"/>
  <c r="S17" i="21"/>
  <c r="S9" i="21"/>
  <c r="R18" i="21"/>
  <c r="R26" i="21"/>
  <c r="R27" i="21"/>
  <c r="R19" i="21"/>
  <c r="R11" i="21"/>
  <c r="R3" i="21"/>
  <c r="R4" i="21"/>
  <c r="R12" i="21"/>
  <c r="R33" i="21"/>
  <c r="R25" i="21"/>
  <c r="R17" i="21"/>
  <c r="R9" i="21"/>
  <c r="Q18" i="21"/>
  <c r="Q26" i="21"/>
  <c r="Q27" i="21"/>
  <c r="Q19" i="21"/>
  <c r="Q11" i="21"/>
  <c r="Q3" i="21"/>
  <c r="Q4" i="21"/>
  <c r="Q12" i="21"/>
  <c r="Q33" i="21"/>
  <c r="Q25" i="21"/>
  <c r="Q17" i="21"/>
  <c r="Q9" i="21"/>
  <c r="Q10" i="21"/>
  <c r="R10" i="21"/>
  <c r="S10" i="21"/>
  <c r="P18" i="21"/>
  <c r="P26" i="21"/>
  <c r="P27" i="21"/>
  <c r="P19" i="21"/>
  <c r="P11" i="21"/>
  <c r="P3" i="21"/>
  <c r="P4" i="21"/>
  <c r="P12" i="21"/>
  <c r="P33" i="21"/>
  <c r="P25" i="21"/>
  <c r="P17" i="21"/>
  <c r="P9" i="21"/>
  <c r="P10" i="21"/>
  <c r="BS9" i="21"/>
  <c r="BR9" i="21"/>
  <c r="BQ9" i="21"/>
  <c r="BP9" i="21"/>
  <c r="BO9" i="21"/>
  <c r="AQ9" i="21"/>
  <c r="BS10" i="21"/>
  <c r="BS18" i="21"/>
  <c r="BS26" i="21"/>
  <c r="BS27" i="21"/>
  <c r="BS19" i="21"/>
  <c r="BS11" i="21"/>
  <c r="BS3" i="21"/>
  <c r="BS4" i="21"/>
  <c r="BS12" i="21"/>
  <c r="BS28" i="21"/>
  <c r="BS29" i="21"/>
  <c r="BS21" i="21"/>
  <c r="BS13" i="21"/>
  <c r="BS5" i="21"/>
  <c r="BS6" i="21"/>
  <c r="BS22" i="21"/>
  <c r="BS30" i="21"/>
  <c r="BS31" i="21"/>
  <c r="BS23" i="21"/>
  <c r="BS15" i="21"/>
  <c r="BS7" i="21"/>
  <c r="BS8" i="21"/>
  <c r="BS16" i="21"/>
  <c r="BS24" i="21"/>
  <c r="BS33" i="21"/>
  <c r="BS25" i="21"/>
  <c r="BS17" i="21"/>
  <c r="BR10" i="21"/>
  <c r="BR18" i="21"/>
  <c r="BR26" i="21"/>
  <c r="BR27" i="21"/>
  <c r="BR19" i="21"/>
  <c r="BR11" i="21"/>
  <c r="BR3" i="21"/>
  <c r="BR4" i="21"/>
  <c r="BR12" i="21"/>
  <c r="BR28" i="21"/>
  <c r="BR29" i="21"/>
  <c r="BR21" i="21"/>
  <c r="BR13" i="21"/>
  <c r="BR5" i="21"/>
  <c r="BR6" i="21"/>
  <c r="BR22" i="21"/>
  <c r="BR30" i="21"/>
  <c r="BR31" i="21"/>
  <c r="BR23" i="21"/>
  <c r="BR15" i="21"/>
  <c r="BR7" i="21"/>
  <c r="BR8" i="21"/>
  <c r="BR16" i="21"/>
  <c r="BR24" i="21"/>
  <c r="BR33" i="21"/>
  <c r="BR25" i="21"/>
  <c r="BR17" i="21"/>
  <c r="BQ10" i="21"/>
  <c r="BQ18" i="21"/>
  <c r="BQ26" i="21"/>
  <c r="BQ27" i="21"/>
  <c r="BQ19" i="21"/>
  <c r="BQ11" i="21"/>
  <c r="BQ3" i="21"/>
  <c r="BQ4" i="21"/>
  <c r="BQ12" i="21"/>
  <c r="BQ28" i="21"/>
  <c r="BQ29" i="21"/>
  <c r="BQ21" i="21"/>
  <c r="BQ13" i="21"/>
  <c r="BQ5" i="21"/>
  <c r="BQ6" i="21"/>
  <c r="BQ22" i="21"/>
  <c r="BQ30" i="21"/>
  <c r="BQ31" i="21"/>
  <c r="BQ23" i="21"/>
  <c r="BQ15" i="21"/>
  <c r="BQ7" i="21"/>
  <c r="BQ8" i="21"/>
  <c r="BQ16" i="21"/>
  <c r="BQ24" i="21"/>
  <c r="BQ33" i="21"/>
  <c r="BQ25" i="21"/>
  <c r="BQ17" i="21"/>
  <c r="BP10" i="21"/>
  <c r="BP18" i="21"/>
  <c r="BP26" i="21"/>
  <c r="BP27" i="21"/>
  <c r="BP19" i="21"/>
  <c r="BP11" i="21"/>
  <c r="BP3" i="21"/>
  <c r="BP4" i="21"/>
  <c r="BP12" i="21"/>
  <c r="BP28" i="21"/>
  <c r="BP29" i="21"/>
  <c r="BP21" i="21"/>
  <c r="BP13" i="21"/>
  <c r="BP5" i="21"/>
  <c r="BP6" i="21"/>
  <c r="BP22" i="21"/>
  <c r="BP30" i="21"/>
  <c r="BP31" i="21"/>
  <c r="BP23" i="21"/>
  <c r="BP15" i="21"/>
  <c r="BP7" i="21"/>
  <c r="BP8" i="21"/>
  <c r="BP16" i="21"/>
  <c r="BP24" i="21"/>
  <c r="BP33" i="21"/>
  <c r="BP25" i="21"/>
  <c r="BP17" i="21"/>
  <c r="BO10" i="21"/>
  <c r="BO18" i="21"/>
  <c r="BO26" i="21"/>
  <c r="BO27" i="21"/>
  <c r="BO19" i="21"/>
  <c r="BO11" i="21"/>
  <c r="BO3" i="21"/>
  <c r="BO4" i="21"/>
  <c r="BO12" i="21"/>
  <c r="BO28" i="21"/>
  <c r="BO29" i="21"/>
  <c r="BO21" i="21"/>
  <c r="BO13" i="21"/>
  <c r="BO5" i="21"/>
  <c r="BO6" i="21"/>
  <c r="BO22" i="21"/>
  <c r="BO30" i="21"/>
  <c r="BO31" i="21"/>
  <c r="BO23" i="21"/>
  <c r="BO15" i="21"/>
  <c r="BO7" i="21"/>
  <c r="BO8" i="21"/>
  <c r="BO16" i="21"/>
  <c r="BO24" i="21"/>
  <c r="BO33" i="21"/>
  <c r="BO25" i="21"/>
  <c r="BO17" i="21"/>
  <c r="AQ33" i="21"/>
  <c r="AQ25" i="21"/>
  <c r="AQ17" i="21"/>
  <c r="AQ15" i="21"/>
  <c r="AQ21" i="21"/>
  <c r="AQ27" i="21"/>
  <c r="AQ19" i="21"/>
  <c r="AQ11" i="21"/>
  <c r="AQ3" i="21"/>
  <c r="AQ4" i="21"/>
  <c r="AQ12" i="21"/>
  <c r="AQ28" i="21"/>
  <c r="AQ29" i="21"/>
  <c r="AQ13" i="21"/>
  <c r="AQ5" i="21"/>
  <c r="AQ6" i="21"/>
  <c r="AQ22" i="21"/>
  <c r="AQ30" i="21"/>
  <c r="AQ31" i="21"/>
  <c r="AQ23" i="21"/>
  <c r="AQ7" i="21"/>
  <c r="AQ8" i="21"/>
  <c r="AQ16" i="21"/>
  <c r="AQ24" i="21"/>
  <c r="AQ10" i="21"/>
  <c r="M205" i="20"/>
  <c r="M212" i="20"/>
  <c r="M219" i="20"/>
  <c r="M194" i="20"/>
  <c r="M192" i="20"/>
  <c r="M187" i="20"/>
  <c r="M188" i="20"/>
  <c r="M185" i="20"/>
  <c r="M180" i="20"/>
  <c r="M179" i="20"/>
  <c r="M176" i="20"/>
  <c r="M174" i="20"/>
  <c r="M173" i="20"/>
  <c r="M162" i="20"/>
  <c r="M165" i="20"/>
  <c r="M167" i="20"/>
  <c r="M190" i="20"/>
  <c r="M183" i="20"/>
  <c r="M169" i="20"/>
  <c r="M155" i="20"/>
  <c r="M133" i="20"/>
  <c r="M135" i="20"/>
  <c r="M137" i="20"/>
  <c r="M138" i="20"/>
  <c r="M140" i="20"/>
  <c r="M141" i="20"/>
  <c r="M142" i="20"/>
  <c r="M144" i="20"/>
  <c r="M147" i="20"/>
  <c r="M148" i="20"/>
  <c r="M149" i="20"/>
  <c r="M151" i="20"/>
  <c r="M153" i="20"/>
  <c r="M154" i="20"/>
  <c r="M156" i="20"/>
  <c r="M158" i="20"/>
  <c r="M131" i="20"/>
  <c r="M130" i="20"/>
  <c r="BC10" i="21"/>
  <c r="BC18" i="21"/>
  <c r="BC26" i="21"/>
  <c r="BC27" i="21"/>
  <c r="BC19" i="21"/>
  <c r="BC11" i="21"/>
  <c r="BC3" i="21"/>
  <c r="BC4" i="21"/>
  <c r="BC12" i="21"/>
  <c r="BC20" i="21"/>
  <c r="BC28" i="21"/>
  <c r="BC29" i="21"/>
  <c r="BC21" i="21"/>
  <c r="BC13" i="21"/>
  <c r="BC5" i="21"/>
  <c r="BC6" i="21"/>
  <c r="BC14" i="21"/>
  <c r="BC22" i="21"/>
  <c r="BC30" i="21"/>
  <c r="BC31" i="21"/>
  <c r="BC23" i="21"/>
  <c r="BC15" i="21"/>
  <c r="BC7" i="21"/>
  <c r="BC8" i="21"/>
  <c r="BC16" i="21"/>
  <c r="BC24" i="21"/>
  <c r="BC32" i="21"/>
  <c r="BC33" i="21"/>
  <c r="BC25" i="21"/>
  <c r="BC17" i="21"/>
  <c r="BC9" i="21"/>
  <c r="BC2" i="21"/>
  <c r="BB10" i="21"/>
  <c r="BB18" i="21"/>
  <c r="BB26" i="21"/>
  <c r="BB27" i="21"/>
  <c r="BB19" i="21"/>
  <c r="BB11" i="21"/>
  <c r="BB3" i="21"/>
  <c r="BB4" i="21"/>
  <c r="BB12" i="21"/>
  <c r="BB20" i="21"/>
  <c r="BB28" i="21"/>
  <c r="BB29" i="21"/>
  <c r="BB21" i="21"/>
  <c r="BB13" i="21"/>
  <c r="BB5" i="21"/>
  <c r="BB6" i="21"/>
  <c r="BB14" i="21"/>
  <c r="BB22" i="21"/>
  <c r="BB30" i="21"/>
  <c r="BB31" i="21"/>
  <c r="BB23" i="21"/>
  <c r="BB15" i="21"/>
  <c r="BB7" i="21"/>
  <c r="BB8" i="21"/>
  <c r="BB16" i="21"/>
  <c r="BB24" i="21"/>
  <c r="BB32" i="21"/>
  <c r="BB33" i="21"/>
  <c r="BB25" i="21"/>
  <c r="BB17" i="21"/>
  <c r="BB9" i="21"/>
  <c r="BB2" i="21"/>
  <c r="I3" i="21"/>
  <c r="I4" i="21"/>
  <c r="I5" i="21"/>
  <c r="I6" i="21"/>
  <c r="I7" i="21"/>
  <c r="I8" i="21"/>
  <c r="I9" i="21"/>
  <c r="I17" i="21"/>
  <c r="I16" i="21"/>
  <c r="I15" i="21"/>
  <c r="I14" i="21"/>
  <c r="I13" i="21"/>
  <c r="I12" i="21"/>
  <c r="I11" i="21"/>
  <c r="I10" i="21"/>
  <c r="I18" i="21"/>
  <c r="I19" i="21"/>
  <c r="I20" i="21"/>
  <c r="I21" i="21"/>
  <c r="I22" i="21"/>
  <c r="I23" i="21"/>
  <c r="I24" i="21"/>
  <c r="I25" i="21"/>
  <c r="I33" i="21"/>
  <c r="I32" i="21"/>
  <c r="I31" i="21"/>
  <c r="I30" i="21"/>
  <c r="I29" i="21"/>
  <c r="I28" i="21"/>
  <c r="I27" i="21"/>
  <c r="I26" i="21"/>
  <c r="I2" i="21"/>
  <c r="M66" i="20"/>
  <c r="M67" i="20"/>
  <c r="M68" i="20"/>
  <c r="M69" i="20"/>
  <c r="M70" i="20"/>
  <c r="M71" i="20"/>
  <c r="M72" i="20"/>
  <c r="M73" i="20"/>
  <c r="M74" i="20"/>
  <c r="M75" i="20"/>
  <c r="M76" i="20"/>
  <c r="M77" i="20"/>
  <c r="M78" i="20"/>
  <c r="M79" i="20"/>
  <c r="M80" i="20"/>
  <c r="M81" i="20"/>
  <c r="M82" i="20"/>
  <c r="M83" i="20"/>
  <c r="M84" i="20"/>
  <c r="M85" i="20"/>
  <c r="M86" i="20"/>
  <c r="M87" i="20"/>
  <c r="M88" i="20"/>
  <c r="M89" i="20"/>
  <c r="M90" i="20"/>
  <c r="M91" i="20"/>
  <c r="M92" i="20"/>
  <c r="M93" i="20"/>
  <c r="M94" i="20"/>
  <c r="M95" i="20"/>
  <c r="M96" i="20"/>
  <c r="M97" i="20"/>
  <c r="M98" i="20"/>
  <c r="M99" i="20"/>
  <c r="M100" i="20"/>
  <c r="M101" i="20"/>
  <c r="M102" i="20"/>
  <c r="M103" i="20"/>
  <c r="M104" i="20"/>
  <c r="M105" i="20"/>
  <c r="M106" i="20"/>
  <c r="M107" i="20"/>
  <c r="M108" i="20"/>
  <c r="M109" i="20"/>
  <c r="M110" i="20"/>
  <c r="M111" i="20"/>
  <c r="M112" i="20"/>
  <c r="M113" i="20"/>
  <c r="M114" i="20"/>
  <c r="M115" i="20"/>
  <c r="M116" i="20"/>
  <c r="M117" i="20"/>
  <c r="M118" i="20"/>
  <c r="M119" i="20"/>
  <c r="M120" i="20"/>
  <c r="M121" i="20"/>
  <c r="M122" i="20"/>
  <c r="M123" i="20"/>
  <c r="M124" i="20"/>
  <c r="M125" i="20"/>
  <c r="M126" i="20"/>
  <c r="M127" i="20"/>
  <c r="M128" i="20"/>
  <c r="M129" i="20"/>
  <c r="AQ18" i="21"/>
  <c r="AQ26" i="21"/>
  <c r="M65" i="20"/>
  <c r="M64" i="20"/>
  <c r="M63" i="20"/>
  <c r="M62" i="20"/>
  <c r="M61" i="20"/>
  <c r="M60" i="20"/>
  <c r="M59" i="20"/>
  <c r="M58" i="20"/>
  <c r="M57" i="20"/>
  <c r="M56" i="20"/>
  <c r="M55" i="20"/>
  <c r="M54" i="20"/>
  <c r="M53" i="20"/>
  <c r="M52" i="20"/>
  <c r="M51" i="20"/>
  <c r="M50" i="20"/>
  <c r="M49" i="20"/>
  <c r="M48" i="20"/>
  <c r="M47" i="20"/>
  <c r="M46" i="20"/>
  <c r="M45" i="20"/>
  <c r="M44" i="20"/>
  <c r="M43" i="20"/>
  <c r="M42" i="20"/>
  <c r="M41" i="20"/>
  <c r="M40" i="20"/>
  <c r="M39" i="20"/>
  <c r="M38" i="20"/>
  <c r="M37" i="20"/>
  <c r="M36" i="20"/>
  <c r="M35" i="20"/>
  <c r="M34" i="20"/>
  <c r="M10" i="20"/>
  <c r="M17" i="20"/>
  <c r="M18" i="20"/>
  <c r="M33" i="20"/>
  <c r="M32" i="20"/>
  <c r="M19" i="20"/>
  <c r="M16" i="20"/>
  <c r="M3" i="20"/>
  <c r="M4" i="20"/>
  <c r="M15" i="20"/>
  <c r="M20" i="20"/>
  <c r="M31" i="20"/>
  <c r="M30" i="20"/>
  <c r="M21" i="20"/>
  <c r="M14" i="20"/>
  <c r="M5" i="20"/>
  <c r="M6" i="20"/>
  <c r="M13" i="20"/>
  <c r="M22" i="20"/>
  <c r="M29" i="20"/>
  <c r="M28" i="20"/>
  <c r="M23" i="20"/>
  <c r="M12" i="20"/>
  <c r="M7" i="20"/>
  <c r="M8" i="20"/>
  <c r="M11" i="20"/>
  <c r="M24" i="20"/>
  <c r="M27" i="20"/>
  <c r="M26" i="20"/>
  <c r="M25" i="20"/>
  <c r="M9" i="20"/>
  <c r="M2" i="20"/>
  <c r="N285" i="16"/>
  <c r="N284" i="16"/>
  <c r="N283" i="16"/>
  <c r="N282" i="16"/>
  <c r="N277" i="16"/>
  <c r="N276" i="16"/>
  <c r="N275" i="16"/>
  <c r="N274" i="16"/>
  <c r="N269" i="16"/>
  <c r="N268" i="16"/>
  <c r="N267" i="16"/>
  <c r="N266" i="16"/>
  <c r="R33" i="19"/>
  <c r="N33" i="19"/>
  <c r="R32" i="19"/>
  <c r="N32" i="19"/>
  <c r="R31" i="19"/>
  <c r="N31" i="19"/>
  <c r="R30" i="19"/>
  <c r="N30" i="19"/>
  <c r="R25" i="19"/>
  <c r="N25" i="19"/>
  <c r="R24" i="19"/>
  <c r="N24" i="19"/>
  <c r="R23" i="19"/>
  <c r="N23" i="19"/>
  <c r="R22" i="19"/>
  <c r="N22" i="19"/>
  <c r="R17" i="19"/>
  <c r="N17" i="19"/>
  <c r="R16" i="19"/>
  <c r="N16" i="19"/>
  <c r="R15" i="19"/>
  <c r="N15" i="19"/>
  <c r="R14" i="19"/>
  <c r="N14" i="19"/>
  <c r="R9" i="19"/>
  <c r="N9" i="19"/>
  <c r="R8" i="19"/>
  <c r="N8" i="19"/>
  <c r="R7" i="19"/>
  <c r="N7" i="19"/>
  <c r="R6" i="19"/>
  <c r="N6" i="19"/>
  <c r="R61" i="19"/>
  <c r="R60" i="19"/>
  <c r="R59" i="19"/>
  <c r="R58" i="19"/>
  <c r="R53" i="19"/>
  <c r="R52" i="19"/>
  <c r="R51" i="19"/>
  <c r="R50" i="19"/>
  <c r="R45" i="19"/>
  <c r="R44" i="19"/>
  <c r="R43" i="19"/>
  <c r="R42" i="19"/>
  <c r="R37" i="19"/>
  <c r="R36" i="19"/>
  <c r="R35" i="19"/>
  <c r="R34" i="19"/>
  <c r="N61" i="19"/>
  <c r="N60" i="19"/>
  <c r="N59" i="19"/>
  <c r="N58" i="19"/>
  <c r="N53" i="19"/>
  <c r="N52" i="19"/>
  <c r="N51" i="19"/>
  <c r="N50" i="19"/>
  <c r="N45" i="19"/>
  <c r="N44" i="19"/>
  <c r="N43" i="19"/>
  <c r="N42" i="19"/>
  <c r="N37" i="19"/>
  <c r="N36" i="19"/>
  <c r="N35" i="19"/>
  <c r="N34" i="19"/>
  <c r="R29" i="19"/>
  <c r="R28" i="19"/>
  <c r="R27" i="19"/>
  <c r="R26" i="19"/>
  <c r="R21" i="19"/>
  <c r="R20" i="19"/>
  <c r="R19" i="19"/>
  <c r="R18" i="19"/>
  <c r="R13" i="19"/>
  <c r="R12" i="19"/>
  <c r="R11" i="19"/>
  <c r="R10" i="19"/>
  <c r="R5" i="19"/>
  <c r="R4" i="19"/>
  <c r="R3" i="19"/>
  <c r="R2" i="19"/>
  <c r="N29" i="19"/>
  <c r="N28" i="19"/>
  <c r="N27" i="19"/>
  <c r="N26" i="19"/>
  <c r="N21" i="19"/>
  <c r="N20" i="19"/>
  <c r="N19" i="19"/>
  <c r="N18" i="19"/>
  <c r="N13" i="19"/>
  <c r="N12" i="19"/>
  <c r="N11" i="19"/>
  <c r="N10" i="19"/>
  <c r="N5" i="19"/>
  <c r="N4" i="19"/>
  <c r="N3" i="19"/>
  <c r="N2" i="19"/>
  <c r="P2" i="15"/>
  <c r="R2" i="15" s="1"/>
  <c r="P30" i="15"/>
  <c r="R30" i="15" s="1"/>
  <c r="P31" i="15"/>
  <c r="R31" i="15" s="1"/>
  <c r="P32" i="15"/>
  <c r="R32" i="15" s="1"/>
  <c r="P33" i="15"/>
  <c r="R33" i="15" s="1"/>
  <c r="P22" i="15"/>
  <c r="R22" i="15" s="1"/>
  <c r="P23" i="15"/>
  <c r="R23" i="15" s="1"/>
  <c r="P24" i="15"/>
  <c r="R24" i="15" s="1"/>
  <c r="P25" i="15"/>
  <c r="R25" i="15" s="1"/>
  <c r="P14" i="15"/>
  <c r="R14" i="15" s="1"/>
  <c r="P15" i="15"/>
  <c r="R15" i="15" s="1"/>
  <c r="P16" i="15"/>
  <c r="R16" i="15" s="1"/>
  <c r="P17" i="15"/>
  <c r="R17" i="15" s="1"/>
  <c r="P6" i="15"/>
  <c r="R6" i="15" s="1"/>
  <c r="P7" i="15"/>
  <c r="R7" i="15" s="1"/>
  <c r="P8" i="15"/>
  <c r="R8" i="15" s="1"/>
  <c r="P9" i="15"/>
  <c r="R9" i="15" s="1"/>
  <c r="BE2" i="21"/>
  <c r="BF2" i="21" s="1"/>
  <c r="N3" i="16"/>
  <c r="N2" i="16"/>
  <c r="P3" i="15"/>
  <c r="R3" i="15" s="1"/>
  <c r="P4" i="15"/>
  <c r="R4" i="15" s="1"/>
  <c r="P5" i="15"/>
  <c r="R5" i="15" s="1"/>
  <c r="P10" i="15"/>
  <c r="R10" i="15" s="1"/>
  <c r="P11" i="15"/>
  <c r="R11" i="15" s="1"/>
  <c r="P12" i="15"/>
  <c r="R12" i="15" s="1"/>
  <c r="P13" i="15"/>
  <c r="R13" i="15" s="1"/>
  <c r="P18" i="15"/>
  <c r="R18" i="15" s="1"/>
  <c r="P19" i="15"/>
  <c r="R19" i="15" s="1"/>
  <c r="P20" i="15"/>
  <c r="R20" i="15" s="1"/>
  <c r="P21" i="15"/>
  <c r="R21" i="15" s="1"/>
  <c r="P26" i="15"/>
  <c r="R26" i="15" s="1"/>
  <c r="P27" i="15"/>
  <c r="R27" i="15" s="1"/>
  <c r="P28" i="15"/>
  <c r="R28" i="15" s="1"/>
  <c r="P29" i="15"/>
  <c r="R29" i="15" s="1"/>
  <c r="F7" i="12"/>
  <c r="H7" i="12"/>
  <c r="J7" i="12"/>
  <c r="L7" i="12"/>
  <c r="N7" i="12"/>
  <c r="P7" i="12"/>
  <c r="R7" i="12"/>
  <c r="F8" i="12"/>
  <c r="H8" i="12"/>
  <c r="J8" i="12"/>
  <c r="L8" i="12"/>
  <c r="N8" i="12"/>
  <c r="P8" i="12"/>
  <c r="R8" i="12"/>
  <c r="F9" i="12"/>
  <c r="H9" i="12"/>
  <c r="J9" i="12"/>
  <c r="L9" i="12"/>
  <c r="N9" i="12"/>
  <c r="P9" i="12"/>
  <c r="R9" i="12"/>
  <c r="R6" i="12"/>
  <c r="P6" i="12"/>
  <c r="N6" i="12"/>
  <c r="L6" i="12"/>
  <c r="J6" i="12"/>
  <c r="H6" i="12"/>
  <c r="F6" i="12"/>
  <c r="D7" i="12"/>
  <c r="D8" i="12"/>
  <c r="D9" i="12"/>
  <c r="D6" i="12"/>
  <c r="E7" i="13"/>
  <c r="H7" i="13"/>
  <c r="E6" i="13"/>
  <c r="I6" i="13"/>
  <c r="H6" i="13"/>
  <c r="I7" i="13"/>
  <c r="H5" i="13"/>
  <c r="E5" i="13"/>
  <c r="I5" i="13"/>
  <c r="H4" i="13"/>
  <c r="E4" i="13"/>
  <c r="H3" i="13"/>
  <c r="E3" i="13"/>
  <c r="H2" i="13"/>
  <c r="E2" i="13"/>
  <c r="I2" i="13"/>
  <c r="I4" i="13"/>
  <c r="I3" i="13"/>
  <c r="AN29" i="25" l="1"/>
  <c r="AN17" i="25"/>
  <c r="AN5" i="25"/>
  <c r="AN33" i="25"/>
  <c r="AN21" i="25"/>
  <c r="AN9" i="25"/>
  <c r="AN8" i="25"/>
  <c r="AN31" i="25"/>
  <c r="AN19" i="25"/>
  <c r="AN7" i="25"/>
  <c r="AN32" i="25"/>
  <c r="AN20" i="25"/>
  <c r="AN30" i="25"/>
  <c r="AN18" i="25"/>
  <c r="AN6" i="25"/>
  <c r="AN2" i="25"/>
  <c r="AN27" i="25"/>
  <c r="AN15" i="25"/>
  <c r="AD33" i="26"/>
  <c r="AI33" i="26" s="1"/>
  <c r="AC27" i="26"/>
  <c r="AC21" i="26"/>
  <c r="AF19" i="26"/>
  <c r="AK19" i="26" s="1"/>
  <c r="AE9" i="26"/>
  <c r="AA9" i="26"/>
  <c r="AC9" i="26"/>
  <c r="AA27" i="26"/>
  <c r="AD9" i="26"/>
  <c r="AE33" i="26"/>
  <c r="AJ33" i="26" s="1"/>
  <c r="AD27" i="26"/>
  <c r="AI27" i="26" s="1"/>
  <c r="AD21" i="26"/>
  <c r="AI21" i="26" s="1"/>
  <c r="AF16" i="26"/>
  <c r="AF9" i="26"/>
  <c r="AL33" i="26"/>
  <c r="AA33" i="26"/>
  <c r="AC33" i="26"/>
  <c r="AF33" i="26"/>
  <c r="AE27" i="26"/>
  <c r="AJ27" i="26" s="1"/>
  <c r="AE21" i="26"/>
  <c r="AA15" i="26"/>
  <c r="AG27" i="26"/>
  <c r="AL27" i="26" s="1"/>
  <c r="AA21" i="26"/>
  <c r="AF21" i="26"/>
  <c r="AK21" i="26" s="1"/>
  <c r="AC15" i="26"/>
  <c r="AC2" i="26"/>
  <c r="AH2" i="26" s="1"/>
  <c r="AG15" i="26"/>
  <c r="AN6" i="26"/>
  <c r="AD15" i="26"/>
  <c r="AD2" i="26"/>
  <c r="AI2" i="26" s="1"/>
  <c r="AE15" i="26"/>
  <c r="AE2" i="26"/>
  <c r="AJ2" i="26" s="1"/>
  <c r="AG25" i="26"/>
  <c r="AL25" i="26" s="1"/>
  <c r="AG19" i="26"/>
  <c r="AL19" i="26" s="1"/>
  <c r="AI15" i="26"/>
  <c r="AI9" i="26"/>
  <c r="AC22" i="26"/>
  <c r="AD22" i="26"/>
  <c r="AI22" i="26" s="1"/>
  <c r="AH32" i="26"/>
  <c r="AE22" i="26"/>
  <c r="AJ15" i="26"/>
  <c r="AJ9" i="26"/>
  <c r="AL32" i="26"/>
  <c r="AL21" i="26"/>
  <c r="AN33" i="26"/>
  <c r="AI32" i="26"/>
  <c r="AF22" i="26"/>
  <c r="AK22" i="26" s="1"/>
  <c r="AK15" i="26"/>
  <c r="AK9" i="26"/>
  <c r="AL9" i="26"/>
  <c r="AN27" i="26"/>
  <c r="AH27" i="26"/>
  <c r="AJ32" i="26"/>
  <c r="AK27" i="26"/>
  <c r="AI14" i="26"/>
  <c r="AG28" i="26"/>
  <c r="AL28" i="26" s="1"/>
  <c r="AQ24" i="26"/>
  <c r="AK33" i="26"/>
  <c r="AH9" i="26"/>
  <c r="AL15" i="26"/>
  <c r="AH16" i="26"/>
  <c r="AK20" i="26"/>
  <c r="AK32" i="26"/>
  <c r="AH21" i="26"/>
  <c r="AE11" i="26"/>
  <c r="AJ11" i="26" s="1"/>
  <c r="AA5" i="26"/>
  <c r="AG10" i="26"/>
  <c r="AL10" i="26" s="1"/>
  <c r="AL26" i="26"/>
  <c r="AH15" i="26"/>
  <c r="AH26" i="26"/>
  <c r="AA16" i="26"/>
  <c r="AA10" i="26"/>
  <c r="AC5" i="26"/>
  <c r="AH5" i="26" s="1"/>
  <c r="AG16" i="26"/>
  <c r="AL16" i="26" s="1"/>
  <c r="AA28" i="26"/>
  <c r="AI26" i="26"/>
  <c r="AJ21" i="26"/>
  <c r="AC16" i="26"/>
  <c r="AC10" i="26"/>
  <c r="AH10" i="26" s="1"/>
  <c r="AA4" i="26"/>
  <c r="AL8" i="26"/>
  <c r="AD16" i="26"/>
  <c r="AC4" i="26"/>
  <c r="AH4" i="26" s="1"/>
  <c r="AC28" i="26"/>
  <c r="AH28" i="26" s="1"/>
  <c r="AD10" i="26"/>
  <c r="AI10" i="26" s="1"/>
  <c r="AH33" i="26"/>
  <c r="AK26" i="26"/>
  <c r="AD4" i="26"/>
  <c r="AI4" i="26" s="1"/>
  <c r="AD5" i="26"/>
  <c r="AQ31" i="26"/>
  <c r="AN7" i="26"/>
  <c r="AN30" i="26"/>
  <c r="AK28" i="26"/>
  <c r="AC25" i="26"/>
  <c r="AH25" i="26" s="1"/>
  <c r="AC13" i="26"/>
  <c r="AH13" i="26" s="1"/>
  <c r="AE5" i="26"/>
  <c r="AJ5" i="26" s="1"/>
  <c r="AL22" i="26"/>
  <c r="AN31" i="26"/>
  <c r="AK14" i="26"/>
  <c r="AS19" i="26"/>
  <c r="AD25" i="26"/>
  <c r="AI25" i="26" s="1"/>
  <c r="AD12" i="26"/>
  <c r="AI12" i="26" s="1"/>
  <c r="AF5" i="26"/>
  <c r="AA13" i="26"/>
  <c r="AE25" i="26"/>
  <c r="AJ25" i="26" s="1"/>
  <c r="AI16" i="26"/>
  <c r="AE12" i="26"/>
  <c r="AJ12" i="26" s="1"/>
  <c r="AN32" i="26"/>
  <c r="AJ16" i="26"/>
  <c r="AA11" i="26"/>
  <c r="AQ7" i="26"/>
  <c r="AN2" i="26"/>
  <c r="AQ29" i="26"/>
  <c r="AQ17" i="26"/>
  <c r="AQ5" i="26"/>
  <c r="AK16" i="26"/>
  <c r="AC11" i="26"/>
  <c r="AQ28" i="26"/>
  <c r="AQ16" i="26"/>
  <c r="AQ4" i="26"/>
  <c r="AQ20" i="26"/>
  <c r="AA31" i="26"/>
  <c r="AH22" i="26"/>
  <c r="AD11" i="26"/>
  <c r="AI11" i="26" s="1"/>
  <c r="AG31" i="26"/>
  <c r="AL31" i="26" s="1"/>
  <c r="AN16" i="26"/>
  <c r="AQ27" i="26"/>
  <c r="AQ15" i="26"/>
  <c r="AQ3" i="26"/>
  <c r="AQ21" i="26"/>
  <c r="AQ8" i="26"/>
  <c r="AF31" i="26"/>
  <c r="AK31" i="26" s="1"/>
  <c r="AJ22" i="26"/>
  <c r="AD6" i="26"/>
  <c r="AI6" i="26" s="1"/>
  <c r="AG12" i="26"/>
  <c r="AL12" i="26" s="1"/>
  <c r="AN20" i="26"/>
  <c r="AL17" i="26"/>
  <c r="AL23" i="26"/>
  <c r="AH29" i="26"/>
  <c r="AS30" i="26"/>
  <c r="AD31" i="26"/>
  <c r="AI31" i="26" s="1"/>
  <c r="AK25" i="26"/>
  <c r="AE18" i="26"/>
  <c r="AJ18" i="26" s="1"/>
  <c r="AA14" i="26"/>
  <c r="AN18" i="26"/>
  <c r="AF12" i="26"/>
  <c r="AK12" i="26" s="1"/>
  <c r="AF6" i="26"/>
  <c r="AK6" i="26" s="1"/>
  <c r="AN10" i="26"/>
  <c r="AF18" i="26"/>
  <c r="AK18" i="26" s="1"/>
  <c r="AC14" i="26"/>
  <c r="AH14" i="26" s="1"/>
  <c r="AH11" i="26"/>
  <c r="AL11" i="26"/>
  <c r="AD29" i="26"/>
  <c r="AI29" i="26" s="1"/>
  <c r="AQ22" i="26"/>
  <c r="AE14" i="26"/>
  <c r="AJ14" i="26" s="1"/>
  <c r="AG14" i="26"/>
  <c r="AL14" i="26" s="1"/>
  <c r="AE29" i="26"/>
  <c r="AJ29" i="26" s="1"/>
  <c r="AK11" i="26"/>
  <c r="AA8" i="26"/>
  <c r="AK5" i="26"/>
  <c r="AG6" i="26"/>
  <c r="AL6" i="26" s="1"/>
  <c r="AC8" i="26"/>
  <c r="AH8" i="26" s="1"/>
  <c r="AS6" i="26"/>
  <c r="AA24" i="26"/>
  <c r="AQ18" i="26"/>
  <c r="AN9" i="26"/>
  <c r="AN23" i="26"/>
  <c r="AN26" i="26"/>
  <c r="AN14" i="26"/>
  <c r="AQ10" i="26"/>
  <c r="AA12" i="26"/>
  <c r="AA6" i="26"/>
  <c r="AN12" i="26"/>
  <c r="AN25" i="26"/>
  <c r="AN13" i="26"/>
  <c r="AG4" i="26"/>
  <c r="AL4" i="26" s="1"/>
  <c r="AI5" i="26"/>
  <c r="AH19" i="26"/>
  <c r="AL5" i="26"/>
  <c r="AN21" i="26"/>
  <c r="AN24" i="26"/>
  <c r="AQ12" i="26"/>
  <c r="AJ4" i="26"/>
  <c r="AD24" i="26"/>
  <c r="AI24" i="26" s="1"/>
  <c r="AD17" i="26"/>
  <c r="AI17" i="26" s="1"/>
  <c r="AF13" i="26"/>
  <c r="AK13" i="26" s="1"/>
  <c r="AD8" i="26"/>
  <c r="AI8" i="26" s="1"/>
  <c r="AF4" i="26"/>
  <c r="AK4" i="26" s="1"/>
  <c r="AS2" i="26"/>
  <c r="AS14" i="26"/>
  <c r="AS26" i="26"/>
  <c r="AJ6" i="26"/>
  <c r="AD13" i="26"/>
  <c r="AI13" i="26" s="1"/>
  <c r="AC24" i="26"/>
  <c r="AH24" i="26" s="1"/>
  <c r="AC17" i="26"/>
  <c r="AH17" i="26" s="1"/>
  <c r="AE13" i="26"/>
  <c r="AJ13" i="26" s="1"/>
  <c r="AF2" i="26"/>
  <c r="AK2" i="26" s="1"/>
  <c r="AG2" i="26"/>
  <c r="AL2" i="26" s="1"/>
  <c r="AJ28" i="26"/>
  <c r="AA30" i="26"/>
  <c r="AE24" i="26"/>
  <c r="AJ24" i="26" s="1"/>
  <c r="AE17" i="26"/>
  <c r="AJ17" i="26" s="1"/>
  <c r="AE8" i="26"/>
  <c r="AJ8" i="26" s="1"/>
  <c r="AA3" i="26"/>
  <c r="AQ33" i="26"/>
  <c r="AQ11" i="26"/>
  <c r="AQ23" i="26"/>
  <c r="AH6" i="26"/>
  <c r="AF29" i="26"/>
  <c r="AK29" i="26" s="1"/>
  <c r="AS25" i="26"/>
  <c r="AQ13" i="26"/>
  <c r="AC30" i="26"/>
  <c r="AH30" i="26" s="1"/>
  <c r="AF24" i="26"/>
  <c r="AK24" i="26" s="1"/>
  <c r="AF17" i="26"/>
  <c r="AK17" i="26" s="1"/>
  <c r="AQ14" i="26"/>
  <c r="AF8" i="26"/>
  <c r="AK8" i="26" s="1"/>
  <c r="AC3" i="26"/>
  <c r="AH3" i="26" s="1"/>
  <c r="AQ25" i="26"/>
  <c r="AS33" i="26"/>
  <c r="AQ26" i="26"/>
  <c r="AD30" i="26"/>
  <c r="AI30" i="26" s="1"/>
  <c r="AA23" i="26"/>
  <c r="AA7" i="26"/>
  <c r="AD3" i="26"/>
  <c r="AI3" i="26" s="1"/>
  <c r="AG30" i="26"/>
  <c r="AL30" i="26" s="1"/>
  <c r="AS13" i="26"/>
  <c r="AE30" i="26"/>
  <c r="AJ30" i="26" s="1"/>
  <c r="AC23" i="26"/>
  <c r="AH23" i="26" s="1"/>
  <c r="AC7" i="26"/>
  <c r="AH7" i="26" s="1"/>
  <c r="AE3" i="26"/>
  <c r="AJ3" i="26" s="1"/>
  <c r="AN11" i="26"/>
  <c r="AG7" i="26"/>
  <c r="AL7" i="26" s="1"/>
  <c r="AQ2" i="26"/>
  <c r="AD23" i="26"/>
  <c r="AI23" i="26" s="1"/>
  <c r="AA18" i="26"/>
  <c r="AD7" i="26"/>
  <c r="AI7" i="26" s="1"/>
  <c r="AF3" i="26"/>
  <c r="AK3" i="26" s="1"/>
  <c r="AA29" i="26"/>
  <c r="AE23" i="26"/>
  <c r="AJ23" i="26" s="1"/>
  <c r="AC18" i="26"/>
  <c r="AH18" i="26" s="1"/>
  <c r="AE7" i="26"/>
  <c r="AJ7" i="26" s="1"/>
  <c r="AG29" i="26"/>
  <c r="AL29" i="26" s="1"/>
  <c r="AA17" i="26"/>
  <c r="AF23" i="26"/>
  <c r="AK23" i="26" s="1"/>
  <c r="AD18" i="26"/>
  <c r="AI18" i="26" s="1"/>
  <c r="BK19" i="23"/>
  <c r="BH20" i="23"/>
  <c r="BI20" i="23"/>
  <c r="BJ20" i="23"/>
  <c r="BN20" i="23" s="1"/>
  <c r="BH8" i="23"/>
  <c r="BH23" i="23"/>
  <c r="BI28" i="23"/>
  <c r="BM28" i="23" s="1"/>
  <c r="BI19" i="23"/>
  <c r="BM19" i="23" s="1"/>
  <c r="BJ8" i="23"/>
  <c r="BN8" i="23" s="1"/>
  <c r="BK28" i="23"/>
  <c r="BH29" i="23"/>
  <c r="BL29" i="23" s="1"/>
  <c r="BJ5" i="23"/>
  <c r="BN5" i="23" s="1"/>
  <c r="BH4" i="23"/>
  <c r="BL4" i="23" s="1"/>
  <c r="BJ29" i="23"/>
  <c r="BN29" i="23" s="1"/>
  <c r="BJ32" i="23"/>
  <c r="BN32" i="23" s="1"/>
  <c r="BJ2" i="23"/>
  <c r="BN2" i="23" s="1"/>
  <c r="BJ18" i="23"/>
  <c r="BN18" i="23" s="1"/>
  <c r="BI17" i="23"/>
  <c r="BM17" i="23" s="1"/>
  <c r="BK17" i="23"/>
  <c r="BO17" i="23" s="1"/>
  <c r="BI7" i="23"/>
  <c r="BM7" i="23" s="1"/>
  <c r="BK7" i="23"/>
  <c r="BO7" i="23" s="1"/>
  <c r="BI23" i="23"/>
  <c r="BM23" i="23" s="1"/>
  <c r="BK23" i="23"/>
  <c r="BO23" i="23" s="1"/>
  <c r="BO11" i="23"/>
  <c r="BI22" i="23"/>
  <c r="BM22" i="23" s="1"/>
  <c r="BK22" i="23"/>
  <c r="BO22" i="23" s="1"/>
  <c r="BI4" i="23"/>
  <c r="BM4" i="23" s="1"/>
  <c r="BK4" i="23"/>
  <c r="BO4" i="23" s="1"/>
  <c r="BN25" i="23"/>
  <c r="BL7" i="23"/>
  <c r="BN23" i="23"/>
  <c r="BL23" i="23"/>
  <c r="BL12" i="23"/>
  <c r="BL15" i="23"/>
  <c r="BO28" i="23"/>
  <c r="BL28" i="23"/>
  <c r="BO31" i="23"/>
  <c r="BO9" i="23"/>
  <c r="BO30" i="23"/>
  <c r="BO3" i="23"/>
  <c r="BN14" i="23"/>
  <c r="BO20" i="23"/>
  <c r="BL20" i="23"/>
  <c r="BM20" i="23"/>
  <c r="BN33" i="23"/>
  <c r="BN6" i="23"/>
  <c r="BN27" i="23"/>
  <c r="BN4" i="23"/>
  <c r="BL32" i="23"/>
  <c r="BL5" i="23"/>
  <c r="BN26" i="23"/>
  <c r="BN16" i="23"/>
  <c r="BN21" i="23"/>
  <c r="BN10" i="23"/>
  <c r="BN24" i="23"/>
  <c r="BN13" i="23"/>
  <c r="BL18" i="23"/>
  <c r="BN19" i="23"/>
  <c r="BO19" i="23"/>
  <c r="BO8" i="23"/>
  <c r="BL8" i="23"/>
  <c r="BO29" i="23"/>
  <c r="BM2" i="23"/>
  <c r="BH2" i="23"/>
  <c r="BL2" i="23" s="1"/>
  <c r="BH31" i="23"/>
  <c r="BL31" i="23" s="1"/>
  <c r="BH3" i="23"/>
  <c r="BL3" i="23" s="1"/>
  <c r="BI25" i="23"/>
  <c r="BM25" i="23" s="1"/>
  <c r="BI14" i="23"/>
  <c r="BM14" i="23" s="1"/>
  <c r="BI27" i="23"/>
  <c r="BM27" i="23" s="1"/>
  <c r="BJ7" i="23"/>
  <c r="BN7" i="23" s="1"/>
  <c r="BJ28" i="23"/>
  <c r="BN28" i="23" s="1"/>
  <c r="BK25" i="23"/>
  <c r="BO25" i="23" s="1"/>
  <c r="BK14" i="23"/>
  <c r="BO14" i="23" s="1"/>
  <c r="BK27" i="23"/>
  <c r="BO27" i="23" s="1"/>
  <c r="BH9" i="23"/>
  <c r="BL9" i="23" s="1"/>
  <c r="BH30" i="23"/>
  <c r="BL30" i="23" s="1"/>
  <c r="BH11" i="23"/>
  <c r="BL11" i="23" s="1"/>
  <c r="BI33" i="23"/>
  <c r="BM33" i="23" s="1"/>
  <c r="BI6" i="23"/>
  <c r="BM6" i="23" s="1"/>
  <c r="BI26" i="23"/>
  <c r="BM26" i="23" s="1"/>
  <c r="BJ15" i="23"/>
  <c r="BN15" i="23" s="1"/>
  <c r="BJ12" i="23"/>
  <c r="BN12" i="23" s="1"/>
  <c r="BK33" i="23"/>
  <c r="BO33" i="23" s="1"/>
  <c r="BK6" i="23"/>
  <c r="BO6" i="23" s="1"/>
  <c r="BK26" i="23"/>
  <c r="BO26" i="23" s="1"/>
  <c r="BN17" i="23"/>
  <c r="BN22" i="23"/>
  <c r="BH17" i="23"/>
  <c r="BL17" i="23" s="1"/>
  <c r="BH22" i="23"/>
  <c r="BL22" i="23" s="1"/>
  <c r="BH19" i="23"/>
  <c r="BL19" i="23" s="1"/>
  <c r="BI32" i="23"/>
  <c r="BM32" i="23" s="1"/>
  <c r="BI5" i="23"/>
  <c r="BM5" i="23" s="1"/>
  <c r="BI18" i="23"/>
  <c r="BM18" i="23" s="1"/>
  <c r="BK32" i="23"/>
  <c r="BO32" i="23" s="1"/>
  <c r="BK5" i="23"/>
  <c r="BO5" i="23" s="1"/>
  <c r="BK18" i="23"/>
  <c r="BO18" i="23" s="1"/>
  <c r="BH25" i="23"/>
  <c r="BL25" i="23" s="1"/>
  <c r="BH14" i="23"/>
  <c r="BL14" i="23" s="1"/>
  <c r="BH27" i="23"/>
  <c r="BL27" i="23" s="1"/>
  <c r="BI24" i="23"/>
  <c r="BM24" i="23" s="1"/>
  <c r="BI13" i="23"/>
  <c r="BM13" i="23" s="1"/>
  <c r="BI10" i="23"/>
  <c r="BM10" i="23" s="1"/>
  <c r="BJ31" i="23"/>
  <c r="BN31" i="23" s="1"/>
  <c r="BJ3" i="23"/>
  <c r="BN3" i="23" s="1"/>
  <c r="BK24" i="23"/>
  <c r="BO24" i="23" s="1"/>
  <c r="BK13" i="23"/>
  <c r="BO13" i="23" s="1"/>
  <c r="BK10" i="23"/>
  <c r="BO10" i="23" s="1"/>
  <c r="BH33" i="23"/>
  <c r="BL33" i="23" s="1"/>
  <c r="BH6" i="23"/>
  <c r="BL6" i="23" s="1"/>
  <c r="BH26" i="23"/>
  <c r="BL26" i="23" s="1"/>
  <c r="BI16" i="23"/>
  <c r="BM16" i="23" s="1"/>
  <c r="BI21" i="23"/>
  <c r="BM21" i="23" s="1"/>
  <c r="BJ9" i="23"/>
  <c r="BN9" i="23" s="1"/>
  <c r="BJ30" i="23"/>
  <c r="BN30" i="23" s="1"/>
  <c r="BJ11" i="23"/>
  <c r="BN11" i="23" s="1"/>
  <c r="BK16" i="23"/>
  <c r="BO16" i="23" s="1"/>
  <c r="BK21" i="23"/>
  <c r="BO21" i="23" s="1"/>
  <c r="BI8" i="23"/>
  <c r="BM8" i="23" s="1"/>
  <c r="BI29" i="23"/>
  <c r="BM29" i="23" s="1"/>
  <c r="BH24" i="23"/>
  <c r="BL24" i="23" s="1"/>
  <c r="BH13" i="23"/>
  <c r="BL13" i="23" s="1"/>
  <c r="BH10" i="23"/>
  <c r="BL10" i="23" s="1"/>
  <c r="BH16" i="23"/>
  <c r="BL16" i="23" s="1"/>
  <c r="BH21" i="23"/>
  <c r="BL21" i="23" s="1"/>
  <c r="BK2" i="23"/>
  <c r="BO2" i="23" s="1"/>
  <c r="BI15" i="23"/>
  <c r="BM15" i="23" s="1"/>
  <c r="BI12" i="23"/>
  <c r="BM12" i="23" s="1"/>
  <c r="BK15" i="23"/>
  <c r="BO15" i="23" s="1"/>
  <c r="BK12" i="23"/>
  <c r="BO12" i="23" s="1"/>
  <c r="BI31" i="23"/>
  <c r="BM31" i="23" s="1"/>
  <c r="BI3" i="23"/>
  <c r="BM3" i="23" s="1"/>
  <c r="BI9" i="23"/>
  <c r="BM9" i="23" s="1"/>
  <c r="BI30" i="23"/>
  <c r="BM30" i="23" s="1"/>
  <c r="BI11" i="23"/>
  <c r="BM11" i="23" s="1"/>
  <c r="BN14" i="21"/>
  <c r="BI16" i="21"/>
  <c r="BM16" i="21" s="1"/>
  <c r="BG16" i="21"/>
  <c r="BK16" i="21" s="1"/>
  <c r="BJ16" i="21"/>
  <c r="BN16" i="21" s="1"/>
  <c r="BJ20" i="21"/>
  <c r="BJ2" i="21"/>
  <c r="BN2" i="21" s="1"/>
  <c r="BN22" i="21"/>
  <c r="BG2" i="21"/>
  <c r="BK2" i="21" s="1"/>
  <c r="BJ28" i="21"/>
  <c r="BN28" i="21" s="1"/>
  <c r="BH2" i="21"/>
  <c r="BL2" i="21" s="1"/>
  <c r="BH28" i="21"/>
  <c r="BL28" i="21" s="1"/>
  <c r="BG28" i="21"/>
  <c r="BK28" i="21" s="1"/>
  <c r="BL22" i="21"/>
  <c r="BN12" i="21"/>
  <c r="BL16" i="21"/>
  <c r="BK13" i="21"/>
  <c r="BL19" i="21"/>
  <c r="BH13" i="21"/>
  <c r="BL13" i="21" s="1"/>
  <c r="BN8" i="21"/>
  <c r="BL21" i="21"/>
  <c r="BK27" i="21"/>
  <c r="BN6" i="21"/>
  <c r="BK7" i="21"/>
  <c r="BK29" i="21"/>
  <c r="BK26" i="21"/>
  <c r="BL14" i="21"/>
  <c r="BG10" i="21"/>
  <c r="BK10" i="21" s="1"/>
  <c r="BM14" i="21"/>
  <c r="BM26" i="21"/>
  <c r="BH10" i="21"/>
  <c r="BL10" i="21" s="1"/>
  <c r="BN18" i="21"/>
  <c r="BK17" i="21"/>
  <c r="BJ25" i="21"/>
  <c r="BN25" i="21" s="1"/>
  <c r="BM22" i="21"/>
  <c r="BK25" i="21"/>
  <c r="BI25" i="21"/>
  <c r="BM25" i="21" s="1"/>
  <c r="BK14" i="21"/>
  <c r="BH24" i="21"/>
  <c r="BH7" i="21"/>
  <c r="BL7" i="21" s="1"/>
  <c r="BM20" i="21"/>
  <c r="BK11" i="21"/>
  <c r="BH31" i="21"/>
  <c r="BL6" i="21"/>
  <c r="BK6" i="21"/>
  <c r="BL15" i="21"/>
  <c r="BK18" i="21"/>
  <c r="BK23" i="21"/>
  <c r="BM2" i="21"/>
  <c r="BN10" i="21"/>
  <c r="BK31" i="21"/>
  <c r="BN20" i="21"/>
  <c r="BN9" i="21"/>
  <c r="BL30" i="21"/>
  <c r="BK20" i="21"/>
  <c r="BL12" i="21"/>
  <c r="BK12" i="21"/>
  <c r="BM12" i="21"/>
  <c r="BN33" i="21"/>
  <c r="BL4" i="21"/>
  <c r="BL24" i="21"/>
  <c r="BM28" i="21"/>
  <c r="BM32" i="21"/>
  <c r="BM6" i="21"/>
  <c r="BK3" i="21"/>
  <c r="BK24" i="21"/>
  <c r="BK5" i="21"/>
  <c r="BL31" i="21"/>
  <c r="BI9" i="21"/>
  <c r="BM9" i="21" s="1"/>
  <c r="BI33" i="21"/>
  <c r="BM33" i="21" s="1"/>
  <c r="BI8" i="21"/>
  <c r="BM8" i="21" s="1"/>
  <c r="BG15" i="21"/>
  <c r="BK15" i="21" s="1"/>
  <c r="BG30" i="21"/>
  <c r="BK30" i="21" s="1"/>
  <c r="BG21" i="21"/>
  <c r="BK21" i="21" s="1"/>
  <c r="BG4" i="21"/>
  <c r="BK4" i="21" s="1"/>
  <c r="BG19" i="21"/>
  <c r="BK19" i="21" s="1"/>
  <c r="BH9" i="21"/>
  <c r="BL9" i="21" s="1"/>
  <c r="BH33" i="21"/>
  <c r="BL33" i="21" s="1"/>
  <c r="BJ23" i="21"/>
  <c r="BN23" i="21" s="1"/>
  <c r="BJ5" i="21"/>
  <c r="BN5" i="21" s="1"/>
  <c r="BJ29" i="21"/>
  <c r="BN29" i="21" s="1"/>
  <c r="BJ3" i="21"/>
  <c r="BN3" i="21" s="1"/>
  <c r="BJ27" i="21"/>
  <c r="BN27" i="21" s="1"/>
  <c r="BG9" i="21"/>
  <c r="BK9" i="21" s="1"/>
  <c r="BG33" i="21"/>
  <c r="BK33" i="21" s="1"/>
  <c r="BH8" i="21"/>
  <c r="BL8" i="21" s="1"/>
  <c r="BI23" i="21"/>
  <c r="BM23" i="21" s="1"/>
  <c r="BI5" i="21"/>
  <c r="BM5" i="21" s="1"/>
  <c r="BI29" i="21"/>
  <c r="BM29" i="21" s="1"/>
  <c r="BI3" i="21"/>
  <c r="BM3" i="21" s="1"/>
  <c r="BI27" i="21"/>
  <c r="BM27" i="21" s="1"/>
  <c r="BJ17" i="21"/>
  <c r="BN17" i="21" s="1"/>
  <c r="BH23" i="21"/>
  <c r="BL23" i="21" s="1"/>
  <c r="BH5" i="21"/>
  <c r="BL5" i="21" s="1"/>
  <c r="BH29" i="21"/>
  <c r="BL29" i="21" s="1"/>
  <c r="BH3" i="21"/>
  <c r="BL3" i="21" s="1"/>
  <c r="BH27" i="21"/>
  <c r="BL27" i="21" s="1"/>
  <c r="BI17" i="21"/>
  <c r="BM17" i="21" s="1"/>
  <c r="BJ32" i="21"/>
  <c r="BN32" i="21" s="1"/>
  <c r="BG8" i="21"/>
  <c r="BK8" i="21" s="1"/>
  <c r="BH17" i="21"/>
  <c r="BL17" i="21" s="1"/>
  <c r="BJ24" i="21"/>
  <c r="BN24" i="21" s="1"/>
  <c r="BJ7" i="21"/>
  <c r="BN7" i="21" s="1"/>
  <c r="BJ31" i="21"/>
  <c r="BN31" i="21" s="1"/>
  <c r="BJ13" i="21"/>
  <c r="BN13" i="21" s="1"/>
  <c r="BJ11" i="21"/>
  <c r="BN11" i="21" s="1"/>
  <c r="BI24" i="21"/>
  <c r="BM24" i="21" s="1"/>
  <c r="BI7" i="21"/>
  <c r="BM7" i="21" s="1"/>
  <c r="BI31" i="21"/>
  <c r="BM31" i="21" s="1"/>
  <c r="BI13" i="21"/>
  <c r="BM13" i="21" s="1"/>
  <c r="BH20" i="21"/>
  <c r="BL20" i="21" s="1"/>
  <c r="BI11" i="21"/>
  <c r="BM11" i="21" s="1"/>
  <c r="BH32" i="21"/>
  <c r="BL32" i="21" s="1"/>
  <c r="BG32" i="21"/>
  <c r="BK32" i="21" s="1"/>
  <c r="BH11" i="21"/>
  <c r="BL11" i="21" s="1"/>
  <c r="BK22" i="21"/>
  <c r="BI10" i="21"/>
  <c r="BM10" i="21" s="1"/>
  <c r="BH25" i="21"/>
  <c r="BL25" i="21" s="1"/>
  <c r="BJ15" i="21"/>
  <c r="BN15" i="21" s="1"/>
  <c r="BJ30" i="21"/>
  <c r="BN30" i="21" s="1"/>
  <c r="BJ21" i="21"/>
  <c r="BN21" i="21" s="1"/>
  <c r="BJ4" i="21"/>
  <c r="BN4" i="21" s="1"/>
  <c r="BJ19" i="21"/>
  <c r="BN19" i="21" s="1"/>
  <c r="BI15" i="21"/>
  <c r="BM15" i="21" s="1"/>
  <c r="BI30" i="21"/>
  <c r="BM30" i="21" s="1"/>
  <c r="BI21" i="21"/>
  <c r="BM21" i="21" s="1"/>
  <c r="BI4" i="21"/>
  <c r="BM4" i="21" s="1"/>
  <c r="BI19" i="21"/>
  <c r="BM19"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tc={60D9927B-F564-429A-9332-BE8927573F76}</author>
  </authors>
  <commentList>
    <comment ref="D77" authorId="0" shapeId="0" xr:uid="{60D9927B-F564-429A-9332-BE8927573F7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@Juan Wang don’t forget to fill out the details here!
Reply:
    Sure James. The width of the harvestable plot length is 1.0 m not 1.2 m?
Reply:
    You are @Juan Wang ! Width of plots 1.0 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tc={208CD9F0-7262-4C57-B670-F13D6094BB0C}</author>
  </authors>
  <commentList>
    <comment ref="J1" authorId="0" shapeId="0" xr:uid="{208CD9F0-7262-4C57-B670-F13D6094BB0C}">
      <text>
        <t>[Threaded comment]
Your version of Excel allows you to read this threaded comment; however, any edits to it will get removed if the file is opened in a newer version of Excel. Learn more: https://go.microsoft.com/fwlink/?linkid=870924
Comment:
    Plant No for 1 meter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tc={F11E9ED9-431B-40D1-89FF-FD395BF3D541}</author>
    <author>Andre Pasquale</author>
    <author>tc={41BDB638-1300-417F-978C-0820075C07DF}</author>
    <author>tc={FFF60C80-08BF-4A2F-8B57-003B846376E4}</author>
    <author>tc={5D8AE121-15CF-46E4-9DC1-CE77B1236918}</author>
    <author>tc={1FEE4F73-FABC-487B-8826-5EA5F7871E90}</author>
    <author>tc={522B8006-B382-46FE-9AA2-4A4D4D895D8A}</author>
    <author>tc={24024D64-C8A3-4E70-931D-7D993240BD73}</author>
    <author>tc={31058384-7088-4A53-99A6-0AA762D83885}</author>
    <author>tc={55A84934-0537-4E21-881A-DE245B2D2F69}</author>
    <author>tc={B1C71FCC-B182-4F40-A451-7245719539BB}</author>
    <author>tc={E96B968A-EECB-4854-B81A-9643ED6767EC}</author>
    <author>tc={5B278B25-982C-4632-AAAB-1523EEEE4B36}</author>
    <author>tc={1DC84760-2C82-4EBD-AAC7-2B81BC36CAC1}</author>
    <author>tc={9B95EE06-A4D0-4D50-AFCC-4157A9950B02}</author>
    <author>tc={1D752A0C-BC65-42DC-9BAD-CF4DA7191F20}</author>
    <author>tc={40846155-8D2C-4DE0-8895-8A6623735024}</author>
    <author>tc={2912F48A-9762-475E-8E38-F09062997444}</author>
    <author>tc={E44B6DC6-EDE0-44F1-9D4D-76CC7E8460F2}</author>
    <author>tc={43EDF61D-A0CC-4788-96F2-697058B9E487}</author>
    <author>tc={CEBCD3FC-13E1-41B6-8DC8-A4FCD93FD36E}</author>
    <author>tc={D5F19189-2165-4CA8-A7BC-555FF0FD65E4}</author>
    <author>tc={0DEE41D3-0E36-4C63-AE11-C0432F9A8750}</author>
    <author>tc={80AA049D-B367-4B21-82BE-38B3D4DC48C5}</author>
    <author>tc={F9C55156-BB0C-4504-9490-F99702615B9E}</author>
    <author>tc={7455FBBB-8A88-42C3-8BDB-5D5CA8D19D73}</author>
    <author>tc={D165E8F1-2195-4228-90F4-50F1543D4361}</author>
  </authors>
  <commentList>
    <comment ref="L60" authorId="0" shapeId="0" xr:uid="{F11E9ED9-431B-40D1-89FF-FD395BF3D541}">
      <text>
        <t>[Threaded comment]
Your version of Excel allows you to read this threaded comment; however, any edits to it will get removed if the file is opened in a newer version of Excel. Learn more: https://go.microsoft.com/fwlink/?linkid=870924
Comment:
    Herbivore damage. Replaced plant measurement taken 6/4/2024</t>
      </text>
    </comment>
    <comment ref="M71" authorId="1" shapeId="0" xr:uid="{75C68310-9746-485C-B95A-E48ADBFA1B46}">
      <text>
        <r>
          <rPr>
            <sz val="11"/>
            <color theme="1"/>
            <rFont val="Calibri"/>
            <family val="2"/>
            <scheme val="minor"/>
          </rPr>
          <t>Andre Pasquale:
Slug damage</t>
        </r>
      </text>
    </comment>
    <comment ref="L85" authorId="2" shapeId="0" xr:uid="{41BDB638-1300-417F-978C-0820075C07DF}">
      <text>
        <t>[Threaded comment]
Your version of Excel allows you to read this threaded comment; however, any edits to it will get removed if the file is opened in a newer version of Excel. Learn more: https://go.microsoft.com/fwlink/?linkid=870924
Comment:
    6.2 (18/06/24)</t>
      </text>
    </comment>
    <comment ref="M85" authorId="3" shapeId="0" xr:uid="{FFF60C80-08BF-4A2F-8B57-003B846376E4}">
      <text>
        <t>[Threaded comment]
Your version of Excel allows you to read this threaded comment; however, any edits to it will get removed if the file is opened in a newer version of Excel. Learn more: https://go.microsoft.com/fwlink/?linkid=870924
Comment:
    6.2 (18/06/24)</t>
      </text>
    </comment>
    <comment ref="N85" authorId="1" shapeId="0" xr:uid="{A300FEDD-711F-42A4-BF51-67FDC14A8124}">
      <text>
        <r>
          <rPr>
            <sz val="11"/>
            <color theme="1"/>
            <rFont val="Calibri"/>
            <family val="2"/>
            <scheme val="minor"/>
          </rPr>
          <t>Andre Pasquale:
Double check. Seems high given the previous count.</t>
        </r>
      </text>
    </comment>
    <comment ref="K134" authorId="1" shapeId="0" xr:uid="{2B906B0B-B020-4785-9A0B-31E2CA5C0065}">
      <text>
        <r>
          <rPr>
            <sz val="11"/>
            <color theme="1"/>
            <rFont val="Calibri"/>
            <family val="2"/>
            <scheme val="minor"/>
          </rPr>
          <t>Andre Pasquale:
3 Tillers</t>
        </r>
      </text>
    </comment>
    <comment ref="L134" authorId="1" shapeId="0" xr:uid="{832719AB-6A9A-4521-8901-4B7D8CDCBA76}">
      <text>
        <r>
          <rPr>
            <sz val="11"/>
            <color theme="1"/>
            <rFont val="Calibri"/>
            <family val="2"/>
            <scheme val="minor"/>
          </rPr>
          <t>Andre Pasquale:
4 Tillers</t>
        </r>
      </text>
    </comment>
    <comment ref="M134" authorId="1" shapeId="0" xr:uid="{3D8A94B9-7094-4314-96D9-6DED08EF575B}">
      <text>
        <r>
          <rPr>
            <sz val="11"/>
            <color theme="1"/>
            <rFont val="Calibri"/>
            <family val="2"/>
            <scheme val="minor"/>
          </rPr>
          <t>Andre Pasquale:
4 Tillers</t>
        </r>
      </text>
    </comment>
    <comment ref="K135" authorId="1" shapeId="0" xr:uid="{CC495E61-B5D3-4126-A9B6-27AB1D5C79F9}">
      <text>
        <r>
          <rPr>
            <sz val="11"/>
            <color theme="1"/>
            <rFont val="Calibri"/>
            <family val="2"/>
            <scheme val="minor"/>
          </rPr>
          <t>Andre Pasquale:
3 Tillers</t>
        </r>
      </text>
    </comment>
    <comment ref="L135" authorId="1" shapeId="0" xr:uid="{058E327D-DBB7-4557-A3B0-ADAC786D681A}">
      <text>
        <r>
          <rPr>
            <sz val="11"/>
            <color theme="1"/>
            <rFont val="Calibri"/>
            <family val="2"/>
            <scheme val="minor"/>
          </rPr>
          <t>Andre Pasquale:
4 Tillers</t>
        </r>
      </text>
    </comment>
    <comment ref="M135" authorId="1" shapeId="0" xr:uid="{20B34EC8-64AE-425E-BA8A-1E8F2E987651}">
      <text>
        <r>
          <rPr>
            <sz val="11"/>
            <color theme="1"/>
            <rFont val="Calibri"/>
            <family val="2"/>
            <scheme val="minor"/>
          </rPr>
          <t>Andre Pasquale:
3 Tillers</t>
        </r>
      </text>
    </comment>
    <comment ref="K136" authorId="1" shapeId="0" xr:uid="{5695DAA9-B92F-4079-AEF4-C237B54F9922}">
      <text>
        <r>
          <rPr>
            <sz val="11"/>
            <color theme="1"/>
            <rFont val="Calibri"/>
            <family val="2"/>
            <scheme val="minor"/>
          </rPr>
          <t>Andre Pasquale:
3 Tillers</t>
        </r>
      </text>
    </comment>
    <comment ref="L136" authorId="1" shapeId="0" xr:uid="{76F70867-B74D-48D6-8D83-1E09CDB4C77A}">
      <text>
        <r>
          <rPr>
            <sz val="11"/>
            <color theme="1"/>
            <rFont val="Calibri"/>
            <family val="2"/>
            <scheme val="minor"/>
          </rPr>
          <t>Andre Pasquale:
4 Tillers</t>
        </r>
      </text>
    </comment>
    <comment ref="M136" authorId="1" shapeId="0" xr:uid="{286E43A5-5A5A-42D5-A3EF-AC7E57DDF451}">
      <text>
        <r>
          <rPr>
            <sz val="11"/>
            <color theme="1"/>
            <rFont val="Calibri"/>
            <family val="2"/>
            <scheme val="minor"/>
          </rPr>
          <t>Andre Pasquale:
3 Tillers</t>
        </r>
      </text>
    </comment>
    <comment ref="K137" authorId="1" shapeId="0" xr:uid="{3ABAAB1F-F855-408C-AEEF-8A6C0F0ACF4B}">
      <text>
        <r>
          <rPr>
            <sz val="11"/>
            <color theme="1"/>
            <rFont val="Calibri"/>
            <family val="2"/>
            <scheme val="minor"/>
          </rPr>
          <t>Andre Pasquale:
3 Tillers</t>
        </r>
      </text>
    </comment>
    <comment ref="L137" authorId="1" shapeId="0" xr:uid="{5B15064C-87A0-4015-984D-B79DCF9BEF7C}">
      <text>
        <r>
          <rPr>
            <sz val="11"/>
            <color theme="1"/>
            <rFont val="Calibri"/>
            <family val="2"/>
            <scheme val="minor"/>
          </rPr>
          <t>Andre Pasquale:
4 Tillers</t>
        </r>
      </text>
    </comment>
    <comment ref="M137" authorId="1" shapeId="0" xr:uid="{69EC3261-521F-474C-84EB-74BA1C6EEBBE}">
      <text>
        <r>
          <rPr>
            <sz val="11"/>
            <color theme="1"/>
            <rFont val="Calibri"/>
            <family val="2"/>
            <scheme val="minor"/>
          </rPr>
          <t>Andre Pasquale:
3 Tillers</t>
        </r>
      </text>
    </comment>
    <comment ref="K142" authorId="1" shapeId="0" xr:uid="{01EE3DD3-5262-4CAD-A0DA-A8263D064EEA}">
      <text>
        <r>
          <rPr>
            <sz val="11"/>
            <color theme="1"/>
            <rFont val="Calibri"/>
            <family val="2"/>
            <scheme val="minor"/>
          </rPr>
          <t>Andre Pasquale:
4 Tillers</t>
        </r>
      </text>
    </comment>
    <comment ref="L142" authorId="1" shapeId="0" xr:uid="{4AD3DC4A-FB5A-4415-AB3B-B141ADF4C61F}">
      <text>
        <r>
          <rPr>
            <sz val="11"/>
            <color theme="1"/>
            <rFont val="Calibri"/>
            <family val="2"/>
            <scheme val="minor"/>
          </rPr>
          <t>Andre Pasquale:
4 Tillers</t>
        </r>
      </text>
    </comment>
    <comment ref="M142" authorId="1" shapeId="0" xr:uid="{D649F98C-8C72-4596-9200-FE98280A86C0}">
      <text>
        <r>
          <rPr>
            <sz val="11"/>
            <color theme="1"/>
            <rFont val="Calibri"/>
            <family val="2"/>
            <scheme val="minor"/>
          </rPr>
          <t>Andre Pasquale:
4 Tillers</t>
        </r>
      </text>
    </comment>
    <comment ref="K143" authorId="1" shapeId="0" xr:uid="{33D4E685-846C-4927-BE43-B851D85A23CC}">
      <text>
        <r>
          <rPr>
            <sz val="11"/>
            <color theme="1"/>
            <rFont val="Calibri"/>
            <family val="2"/>
            <scheme val="minor"/>
          </rPr>
          <t>Andre Pasquale:
3 Tillers</t>
        </r>
      </text>
    </comment>
    <comment ref="L143" authorId="1" shapeId="0" xr:uid="{54A28A08-7070-4AE2-A465-C5B8A1724474}">
      <text>
        <r>
          <rPr>
            <sz val="11"/>
            <color theme="1"/>
            <rFont val="Calibri"/>
            <family val="2"/>
            <scheme val="minor"/>
          </rPr>
          <t>Andre Pasquale:
3 Tillers</t>
        </r>
      </text>
    </comment>
    <comment ref="M143" authorId="1" shapeId="0" xr:uid="{BB9357DB-F91C-4E14-BBEF-77BB1E649DB4}">
      <text>
        <r>
          <rPr>
            <sz val="11"/>
            <color theme="1"/>
            <rFont val="Calibri"/>
            <family val="2"/>
            <scheme val="minor"/>
          </rPr>
          <t>Andre Pasquale:
3 Tillers</t>
        </r>
      </text>
    </comment>
    <comment ref="K144" authorId="1" shapeId="0" xr:uid="{11868BDA-794F-4CED-A036-0DB523904F92}">
      <text>
        <r>
          <rPr>
            <sz val="11"/>
            <color theme="1"/>
            <rFont val="Calibri"/>
            <family val="2"/>
            <scheme val="minor"/>
          </rPr>
          <t>Andre Pasquale:
4 Tillers</t>
        </r>
      </text>
    </comment>
    <comment ref="L144" authorId="1" shapeId="0" xr:uid="{E2F2E77B-3C38-4BB8-8797-C7C911C96CBD}">
      <text>
        <r>
          <rPr>
            <sz val="11"/>
            <color theme="1"/>
            <rFont val="Calibri"/>
            <family val="2"/>
            <scheme val="minor"/>
          </rPr>
          <t>Andre Pasquale:
3 Tillers</t>
        </r>
      </text>
    </comment>
    <comment ref="M144" authorId="1" shapeId="0" xr:uid="{EF00A51A-338C-4970-B8BD-E539620C4F70}">
      <text>
        <r>
          <rPr>
            <sz val="11"/>
            <color theme="1"/>
            <rFont val="Calibri"/>
            <family val="2"/>
            <scheme val="minor"/>
          </rPr>
          <t>Andre Pasquale:
4 Tillers</t>
        </r>
      </text>
    </comment>
    <comment ref="K145" authorId="1" shapeId="0" xr:uid="{855180A4-83C3-453C-95A9-0FD497331544}">
      <text>
        <r>
          <rPr>
            <sz val="11"/>
            <color theme="1"/>
            <rFont val="Calibri"/>
            <family val="2"/>
            <scheme val="minor"/>
          </rPr>
          <t>Andre Pasquale:
4 Tillers</t>
        </r>
      </text>
    </comment>
    <comment ref="L145" authorId="1" shapeId="0" xr:uid="{3F638197-2F82-414F-AFED-6D35F939E729}">
      <text>
        <r>
          <rPr>
            <sz val="11"/>
            <color theme="1"/>
            <rFont val="Calibri"/>
            <family val="2"/>
            <scheme val="minor"/>
          </rPr>
          <t>Andre Pasquale:
3 Tillers</t>
        </r>
      </text>
    </comment>
    <comment ref="M145" authorId="1" shapeId="0" xr:uid="{C410AECA-D677-4CDB-921D-B0F79E191FB5}">
      <text>
        <r>
          <rPr>
            <sz val="11"/>
            <color theme="1"/>
            <rFont val="Calibri"/>
            <family val="2"/>
            <scheme val="minor"/>
          </rPr>
          <t>Andre Pasquale:
4 Tillers</t>
        </r>
      </text>
    </comment>
    <comment ref="K150" authorId="1" shapeId="0" xr:uid="{0F005BDC-9133-4AEF-BF3D-4AD6C71AA297}">
      <text>
        <r>
          <rPr>
            <sz val="11"/>
            <color theme="1"/>
            <rFont val="Calibri"/>
            <family val="2"/>
            <scheme val="minor"/>
          </rPr>
          <t>Andre Pasquale:
3 Tillers</t>
        </r>
      </text>
    </comment>
    <comment ref="L150" authorId="1" shapeId="0" xr:uid="{B8C04E12-EE16-4FE6-8004-54FC3EC4EFCC}">
      <text>
        <r>
          <rPr>
            <sz val="11"/>
            <color theme="1"/>
            <rFont val="Calibri"/>
            <family val="2"/>
            <scheme val="minor"/>
          </rPr>
          <t>Andre Pasquale:
4 Tillers</t>
        </r>
      </text>
    </comment>
    <comment ref="M150" authorId="4" shapeId="0" xr:uid="{5D8AE121-15CF-46E4-9DC1-CE77B1236918}">
      <text>
        <t>[Threaded comment]
Your version of Excel allows you to read this threaded comment; however, any edits to it will get removed if the file is opened in a newer version of Excel. Learn more: https://go.microsoft.com/fwlink/?linkid=870924
Comment:
    Replaced. Herbivory.
Reply:
    3 Tillers</t>
      </text>
    </comment>
    <comment ref="K151" authorId="1" shapeId="0" xr:uid="{DE6D74AC-F8FE-4677-89E7-7770551A1D41}">
      <text>
        <r>
          <rPr>
            <sz val="11"/>
            <color theme="1"/>
            <rFont val="Calibri"/>
            <family val="2"/>
            <scheme val="minor"/>
          </rPr>
          <t>Andre Pasquale:
4 Tillers</t>
        </r>
      </text>
    </comment>
    <comment ref="L151" authorId="1" shapeId="0" xr:uid="{4A283980-282B-4473-8BB2-6BE414C678BC}">
      <text>
        <r>
          <rPr>
            <sz val="11"/>
            <color theme="1"/>
            <rFont val="Calibri"/>
            <family val="2"/>
            <scheme val="minor"/>
          </rPr>
          <t>Andre Pasquale:
4 Tillers</t>
        </r>
      </text>
    </comment>
    <comment ref="M151" authorId="1" shapeId="0" xr:uid="{C691D497-06B3-49A2-B7CA-78B1E237938B}">
      <text>
        <r>
          <rPr>
            <sz val="11"/>
            <color theme="1"/>
            <rFont val="Calibri"/>
            <family val="2"/>
            <scheme val="minor"/>
          </rPr>
          <t>Andre Pasquale:
4 Tillers</t>
        </r>
      </text>
    </comment>
    <comment ref="K152" authorId="1" shapeId="0" xr:uid="{6CD389A5-999B-4545-AC5F-F557F5F43B43}">
      <text>
        <r>
          <rPr>
            <sz val="11"/>
            <color theme="1"/>
            <rFont val="Calibri"/>
            <family val="2"/>
            <scheme val="minor"/>
          </rPr>
          <t>Andre Pasquale:
3 Tillers</t>
        </r>
      </text>
    </comment>
    <comment ref="L152" authorId="1" shapeId="0" xr:uid="{99C05865-2225-40BB-A07D-7D1C36D95EF4}">
      <text>
        <r>
          <rPr>
            <sz val="11"/>
            <color theme="1"/>
            <rFont val="Calibri"/>
            <family val="2"/>
            <scheme val="minor"/>
          </rPr>
          <t>Andre Pasquale:
1 Tiller</t>
        </r>
      </text>
    </comment>
    <comment ref="M152" authorId="1" shapeId="0" xr:uid="{8474CA75-1431-4E40-8BA3-CE4EFACE8B3E}">
      <text>
        <r>
          <rPr>
            <sz val="11"/>
            <color theme="1"/>
            <rFont val="Calibri"/>
            <family val="2"/>
            <scheme val="minor"/>
          </rPr>
          <t>Andre Pasquale:
3 Tillers</t>
        </r>
      </text>
    </comment>
    <comment ref="K153" authorId="1" shapeId="0" xr:uid="{54B5DE3B-6645-41A5-BFCC-1C3482D93F3A}">
      <text>
        <r>
          <rPr>
            <sz val="11"/>
            <color theme="1"/>
            <rFont val="Calibri"/>
            <family val="2"/>
            <scheme val="minor"/>
          </rPr>
          <t>Andre Pasquale:
4 Tillers</t>
        </r>
      </text>
    </comment>
    <comment ref="L153" authorId="1" shapeId="0" xr:uid="{A0C9D814-69EF-4C91-A8F1-F04932E2B792}">
      <text>
        <r>
          <rPr>
            <sz val="11"/>
            <color theme="1"/>
            <rFont val="Calibri"/>
            <family val="2"/>
            <scheme val="minor"/>
          </rPr>
          <t>Andre Pasquale:
4 Tillers</t>
        </r>
      </text>
    </comment>
    <comment ref="M153" authorId="1" shapeId="0" xr:uid="{4113FF5F-654E-4882-9DC0-AF2283FECB30}">
      <text>
        <r>
          <rPr>
            <sz val="11"/>
            <color theme="1"/>
            <rFont val="Calibri"/>
            <family val="2"/>
            <scheme val="minor"/>
          </rPr>
          <t>Andre Pasquale:
4 Tillers</t>
        </r>
      </text>
    </comment>
    <comment ref="K158" authorId="1" shapeId="0" xr:uid="{6F6DE9E4-E297-417A-9483-9ED8641703A3}">
      <text>
        <r>
          <rPr>
            <sz val="11"/>
            <color theme="1"/>
            <rFont val="Calibri"/>
            <family val="2"/>
            <scheme val="minor"/>
          </rPr>
          <t>Andre Pasquale:
3 Tillers</t>
        </r>
      </text>
    </comment>
    <comment ref="L158" authorId="1" shapeId="0" xr:uid="{92FFB42B-25A3-417A-B70F-197FD41CAC34}">
      <text>
        <r>
          <rPr>
            <sz val="11"/>
            <color theme="1"/>
            <rFont val="Calibri"/>
            <family val="2"/>
            <scheme val="minor"/>
          </rPr>
          <t>Andre Pasquale:
3 Tillers</t>
        </r>
      </text>
    </comment>
    <comment ref="M158" authorId="1" shapeId="0" xr:uid="{3DBA34FD-63F1-4294-AA83-45E23BA70EAA}">
      <text>
        <r>
          <rPr>
            <sz val="11"/>
            <color theme="1"/>
            <rFont val="Calibri"/>
            <family val="2"/>
            <scheme val="minor"/>
          </rPr>
          <t>Andre Pasquale:
3 Tillers</t>
        </r>
      </text>
    </comment>
    <comment ref="K159" authorId="1" shapeId="0" xr:uid="{D52F58D6-E04C-401D-A37E-9E77FB5B258E}">
      <text>
        <r>
          <rPr>
            <sz val="11"/>
            <color theme="1"/>
            <rFont val="Calibri"/>
            <family val="2"/>
            <scheme val="minor"/>
          </rPr>
          <t>Andre Pasquale:
3 Tillers</t>
        </r>
      </text>
    </comment>
    <comment ref="L159" authorId="1" shapeId="0" xr:uid="{59CCA1DE-FF5A-4A9F-A75D-BA22EA0EF93E}">
      <text>
        <r>
          <rPr>
            <sz val="11"/>
            <color theme="1"/>
            <rFont val="Calibri"/>
            <family val="2"/>
            <scheme val="minor"/>
          </rPr>
          <t>Andre Pasquale:
4 Tillers</t>
        </r>
      </text>
    </comment>
    <comment ref="M159" authorId="1" shapeId="0" xr:uid="{8939DFB6-BDA0-456E-B9AC-5480A1439984}">
      <text>
        <r>
          <rPr>
            <sz val="11"/>
            <color theme="1"/>
            <rFont val="Calibri"/>
            <family val="2"/>
            <scheme val="minor"/>
          </rPr>
          <t>Andre Pasquale:
4 Tillers</t>
        </r>
      </text>
    </comment>
    <comment ref="K160" authorId="1" shapeId="0" xr:uid="{B777E56A-8DFD-4A12-BE8E-D0E2F26E93AB}">
      <text>
        <r>
          <rPr>
            <sz val="11"/>
            <color theme="1"/>
            <rFont val="Calibri"/>
            <family val="2"/>
            <scheme val="minor"/>
          </rPr>
          <t>Andre Pasquale:
3 Tillers</t>
        </r>
      </text>
    </comment>
    <comment ref="L160" authorId="1" shapeId="0" xr:uid="{E85628EC-BA84-447B-983A-47DA513128A6}">
      <text>
        <r>
          <rPr>
            <sz val="11"/>
            <color theme="1"/>
            <rFont val="Calibri"/>
            <family val="2"/>
            <scheme val="minor"/>
          </rPr>
          <t>Andre Pasquale:
4 Tillers</t>
        </r>
      </text>
    </comment>
    <comment ref="M160" authorId="1" shapeId="0" xr:uid="{73E337C6-6677-4689-8770-77F1DA9A86EF}">
      <text>
        <r>
          <rPr>
            <sz val="11"/>
            <color theme="1"/>
            <rFont val="Calibri"/>
            <family val="2"/>
            <scheme val="minor"/>
          </rPr>
          <t>Andre Pasquale:
4 Tillers</t>
        </r>
      </text>
    </comment>
    <comment ref="K161" authorId="5" shapeId="0" xr:uid="{1FEE4F73-FABC-487B-8826-5EA5F7871E90}">
      <text>
        <t>[Threaded comment]
Your version of Excel allows you to read this threaded comment; however, any edits to it will get removed if the file is opened in a newer version of Excel. Learn more: https://go.microsoft.com/fwlink/?linkid=870924
Comment:
    Replaced (main stem broken)
Reply:
    4 tillers</t>
      </text>
    </comment>
    <comment ref="L161" authorId="1" shapeId="0" xr:uid="{211BFFC1-D2F0-4B31-9987-11A9B6717BC5}">
      <text>
        <r>
          <rPr>
            <sz val="11"/>
            <color theme="1"/>
            <rFont val="Calibri"/>
            <family val="2"/>
            <scheme val="minor"/>
          </rPr>
          <t>Andre Pasquale:
4 Tillers</t>
        </r>
      </text>
    </comment>
    <comment ref="M161" authorId="1" shapeId="0" xr:uid="{9DD58EFE-2211-4E39-BA0E-2A71E1C27324}">
      <text>
        <r>
          <rPr>
            <sz val="11"/>
            <color theme="1"/>
            <rFont val="Calibri"/>
            <family val="2"/>
            <scheme val="minor"/>
          </rPr>
          <t>Andre Pasquale:
4 Tillers</t>
        </r>
      </text>
    </comment>
    <comment ref="L184" authorId="1" shapeId="0" xr:uid="{528803DD-8768-4C07-84B3-D5DE2A4155E3}">
      <text>
        <r>
          <rPr>
            <sz val="11"/>
            <color theme="1"/>
            <rFont val="Calibri"/>
            <family val="2"/>
            <scheme val="minor"/>
          </rPr>
          <t>Andre Pasquale:
Herbicide damage</t>
        </r>
      </text>
    </comment>
    <comment ref="M184" authorId="1" shapeId="0" xr:uid="{E4E1E3AC-AC4B-4EED-A2F6-7A65CCA6EBDA}">
      <text>
        <r>
          <rPr>
            <sz val="11"/>
            <color theme="1"/>
            <rFont val="Calibri"/>
            <family val="2"/>
            <scheme val="minor"/>
          </rPr>
          <t>Andre Pasquale:
Herbicide damage</t>
        </r>
      </text>
    </comment>
    <comment ref="K230" authorId="1" shapeId="0" xr:uid="{498FD330-DDD0-44C6-B7EC-E361A2C53813}">
      <text>
        <r>
          <rPr>
            <sz val="11"/>
            <color theme="1"/>
            <rFont val="Calibri"/>
            <family val="2"/>
            <scheme val="minor"/>
          </rPr>
          <t>Andre Pasquale:
Flag leaf</t>
        </r>
      </text>
    </comment>
    <comment ref="K231" authorId="1" shapeId="0" xr:uid="{69CB3658-24BA-4C42-AF97-AF0836A303BD}">
      <text>
        <r>
          <rPr>
            <sz val="11"/>
            <color theme="1"/>
            <rFont val="Calibri"/>
            <family val="2"/>
            <scheme val="minor"/>
          </rPr>
          <t>Andre Pasquale:
Flag leaf</t>
        </r>
      </text>
    </comment>
    <comment ref="L231" authorId="1" shapeId="0" xr:uid="{0E9DEABE-B47C-4BA9-AC99-56E6F210876B}">
      <text>
        <r>
          <rPr>
            <sz val="11"/>
            <color theme="1"/>
            <rFont val="Calibri"/>
            <family val="2"/>
            <scheme val="minor"/>
          </rPr>
          <t>Andre Pasquale:
Flag leaf</t>
        </r>
      </text>
    </comment>
    <comment ref="K232" authorId="1" shapeId="0" xr:uid="{32EA1113-CA0C-4F74-8C9E-61C4AD971D23}">
      <text>
        <r>
          <rPr>
            <sz val="11"/>
            <color theme="1"/>
            <rFont val="Calibri"/>
            <family val="2"/>
            <scheme val="minor"/>
          </rPr>
          <t>Andre Pasquale:
Flag leaf</t>
        </r>
      </text>
    </comment>
    <comment ref="L232" authorId="1" shapeId="0" xr:uid="{B4325FD7-E340-4D9B-B9F8-C64BB0D639BC}">
      <text>
        <r>
          <rPr>
            <sz val="11"/>
            <color theme="1"/>
            <rFont val="Calibri"/>
            <family val="2"/>
            <scheme val="minor"/>
          </rPr>
          <t>Andre Pasquale:
Flag leaf</t>
        </r>
      </text>
    </comment>
    <comment ref="M232" authorId="1" shapeId="0" xr:uid="{828A425C-1460-49F5-A587-7B0E13C2152C}">
      <text>
        <r>
          <rPr>
            <sz val="11"/>
            <color theme="1"/>
            <rFont val="Calibri"/>
            <family val="2"/>
            <scheme val="minor"/>
          </rPr>
          <t>Andre Pasquale:
Flag leaf</t>
        </r>
      </text>
    </comment>
    <comment ref="K233" authorId="1" shapeId="0" xr:uid="{CFCFBFE9-5211-4717-883C-7FD30F063C12}">
      <text>
        <r>
          <rPr>
            <sz val="11"/>
            <color theme="1"/>
            <rFont val="Calibri"/>
            <family val="2"/>
            <scheme val="minor"/>
          </rPr>
          <t>Andre Pasquale:
Flag leaf</t>
        </r>
      </text>
    </comment>
    <comment ref="L233" authorId="1" shapeId="0" xr:uid="{4A1B17DC-9C3A-425E-94D7-21831B130D16}">
      <text>
        <r>
          <rPr>
            <sz val="11"/>
            <color theme="1"/>
            <rFont val="Calibri"/>
            <family val="2"/>
            <scheme val="minor"/>
          </rPr>
          <t>Andre Pasquale:
Flag leaf</t>
        </r>
      </text>
    </comment>
    <comment ref="M233" authorId="1" shapeId="0" xr:uid="{59DBA393-79F0-4B6B-A120-1A75C211EA01}">
      <text>
        <r>
          <rPr>
            <sz val="11"/>
            <color theme="1"/>
            <rFont val="Calibri"/>
            <family val="2"/>
            <scheme val="minor"/>
          </rPr>
          <t>Andre Pasquale:
Flag leaf</t>
        </r>
      </text>
    </comment>
    <comment ref="L238" authorId="1" shapeId="0" xr:uid="{68AE15A5-8BC7-433D-8DE5-CE675F99DC12}">
      <text>
        <r>
          <rPr>
            <sz val="11"/>
            <color theme="1"/>
            <rFont val="Calibri"/>
            <family val="2"/>
            <scheme val="minor"/>
          </rPr>
          <t>Andre Pasquale:
Flag leaf</t>
        </r>
      </text>
    </comment>
    <comment ref="K239" authorId="1" shapeId="0" xr:uid="{8B6EBF27-45C9-4714-A6CB-7E1A0B748632}">
      <text>
        <r>
          <rPr>
            <sz val="11"/>
            <color theme="1"/>
            <rFont val="Calibri"/>
            <family val="2"/>
            <scheme val="minor"/>
          </rPr>
          <t>Andre Pasquale:
Flag leaf</t>
        </r>
      </text>
    </comment>
    <comment ref="L239" authorId="1" shapeId="0" xr:uid="{853090E1-3451-4314-87CD-7BA1344C1BDC}">
      <text>
        <r>
          <rPr>
            <sz val="11"/>
            <color theme="1"/>
            <rFont val="Calibri"/>
            <family val="2"/>
            <scheme val="minor"/>
          </rPr>
          <t>Andre Pasquale:
Flag leaf</t>
        </r>
      </text>
    </comment>
    <comment ref="M239" authorId="1" shapeId="0" xr:uid="{04CD2BD2-C35F-46DC-AC1E-CE08641EB4FA}">
      <text>
        <r>
          <rPr>
            <sz val="11"/>
            <color theme="1"/>
            <rFont val="Calibri"/>
            <family val="2"/>
            <scheme val="minor"/>
          </rPr>
          <t>Andre Pasquale:
Flag leaf</t>
        </r>
      </text>
    </comment>
    <comment ref="K240" authorId="1" shapeId="0" xr:uid="{6FC9590B-D71C-4EF3-86CD-F83A75CF5508}">
      <text>
        <r>
          <rPr>
            <sz val="11"/>
            <color theme="1"/>
            <rFont val="Calibri"/>
            <family val="2"/>
            <scheme val="minor"/>
          </rPr>
          <t>Andre Pasquale:
Flag leaf</t>
        </r>
      </text>
    </comment>
    <comment ref="L240" authorId="1" shapeId="0" xr:uid="{86EF3B02-708A-434C-9D6D-B4FBC956DB44}">
      <text>
        <r>
          <rPr>
            <sz val="11"/>
            <color theme="1"/>
            <rFont val="Calibri"/>
            <family val="2"/>
            <scheme val="minor"/>
          </rPr>
          <t>Andre Pasquale:
Flag leaf</t>
        </r>
      </text>
    </comment>
    <comment ref="K241" authorId="1" shapeId="0" xr:uid="{39AEEA69-A9B0-4818-845D-5C3339456454}">
      <text>
        <r>
          <rPr>
            <sz val="11"/>
            <color theme="1"/>
            <rFont val="Calibri"/>
            <family val="2"/>
            <scheme val="minor"/>
          </rPr>
          <t>Andre Pasquale:
Flag leaf</t>
        </r>
      </text>
    </comment>
    <comment ref="M241" authorId="1" shapeId="0" xr:uid="{D2A06383-30FF-4765-B707-286F6B2C7D94}">
      <text>
        <r>
          <rPr>
            <sz val="11"/>
            <color theme="1"/>
            <rFont val="Calibri"/>
            <family val="2"/>
            <scheme val="minor"/>
          </rPr>
          <t>Andre Pasquale:
Flag leaf</t>
        </r>
      </text>
    </comment>
    <comment ref="K246" authorId="1" shapeId="0" xr:uid="{2BC70300-46F9-421E-B5D4-EDC7F227709F}">
      <text>
        <r>
          <rPr>
            <sz val="11"/>
            <color theme="1"/>
            <rFont val="Calibri"/>
            <family val="2"/>
            <scheme val="minor"/>
          </rPr>
          <t>Andre Pasquale:
Flag leaf</t>
        </r>
      </text>
    </comment>
    <comment ref="L246" authorId="1" shapeId="0" xr:uid="{739D11C4-7178-47ED-B48E-6036981CBB40}">
      <text>
        <r>
          <rPr>
            <sz val="11"/>
            <color theme="1"/>
            <rFont val="Calibri"/>
            <family val="2"/>
            <scheme val="minor"/>
          </rPr>
          <t>Andre Pasquale:
Flag leaf</t>
        </r>
      </text>
    </comment>
    <comment ref="K248" authorId="1" shapeId="0" xr:uid="{44310E9E-8B78-4A20-A359-B64E2777E527}">
      <text>
        <r>
          <rPr>
            <sz val="11"/>
            <color theme="1"/>
            <rFont val="Calibri"/>
            <family val="2"/>
            <scheme val="minor"/>
          </rPr>
          <t>Andre Pasquale:
Flag leaf</t>
        </r>
      </text>
    </comment>
    <comment ref="L248" authorId="1" shapeId="0" xr:uid="{E4EE201D-A413-4360-BBE6-46BA9062317D}">
      <text>
        <r>
          <rPr>
            <sz val="11"/>
            <color theme="1"/>
            <rFont val="Calibri"/>
            <family val="2"/>
            <scheme val="minor"/>
          </rPr>
          <t>Andre Pasquale:
Flag leaf</t>
        </r>
      </text>
    </comment>
    <comment ref="M248" authorId="1" shapeId="0" xr:uid="{75164DF4-EA8B-403B-9634-F2D9ECC32261}">
      <text>
        <r>
          <rPr>
            <sz val="11"/>
            <color theme="1"/>
            <rFont val="Calibri"/>
            <family val="2"/>
            <scheme val="minor"/>
          </rPr>
          <t>Andre Pasquale:
Flag leaf</t>
        </r>
      </text>
    </comment>
    <comment ref="M249" authorId="1" shapeId="0" xr:uid="{78F8CB63-1379-4620-B3B8-BC9DC8934138}">
      <text>
        <r>
          <rPr>
            <sz val="11"/>
            <color theme="1"/>
            <rFont val="Calibri"/>
            <family val="2"/>
            <scheme val="minor"/>
          </rPr>
          <t>Andre Pasquale:
Flag leaf</t>
        </r>
      </text>
    </comment>
    <comment ref="M252" authorId="1" shapeId="0" xr:uid="{CE99331C-0530-47A6-898C-E99144435AE6}">
      <text>
        <r>
          <rPr>
            <sz val="11"/>
            <color theme="1"/>
            <rFont val="Calibri"/>
            <family val="2"/>
            <scheme val="minor"/>
          </rPr>
          <t>Andre Pasquale:
Herbicide damage</t>
        </r>
      </text>
    </comment>
    <comment ref="K254" authorId="1" shapeId="0" xr:uid="{B0D6D8FE-F679-4627-BCDC-7B44DDDC8D20}">
      <text>
        <r>
          <rPr>
            <sz val="11"/>
            <color theme="1"/>
            <rFont val="Calibri"/>
            <family val="2"/>
            <scheme val="minor"/>
          </rPr>
          <t>Andre Pasquale:
Flag leaf</t>
        </r>
      </text>
    </comment>
    <comment ref="L254" authorId="1" shapeId="0" xr:uid="{E46504B2-7057-4032-A82C-76F8C6A46290}">
      <text>
        <r>
          <rPr>
            <sz val="11"/>
            <color theme="1"/>
            <rFont val="Calibri"/>
            <family val="2"/>
            <scheme val="minor"/>
          </rPr>
          <t>Andre Pasquale:
Flag leaf</t>
        </r>
      </text>
    </comment>
    <comment ref="M254" authorId="1" shapeId="0" xr:uid="{4CC3DA72-E5AC-4548-83B1-75FB1084531A}">
      <text>
        <r>
          <rPr>
            <sz val="11"/>
            <color theme="1"/>
            <rFont val="Calibri"/>
            <family val="2"/>
            <scheme val="minor"/>
          </rPr>
          <t>Andre Pasquale:
Flag leaf</t>
        </r>
      </text>
    </comment>
    <comment ref="K255" authorId="1" shapeId="0" xr:uid="{A9AAF638-79E5-498F-A227-7D02513570C6}">
      <text>
        <r>
          <rPr>
            <sz val="11"/>
            <color theme="1"/>
            <rFont val="Calibri"/>
            <family val="2"/>
            <scheme val="minor"/>
          </rPr>
          <t>Andre Pasquale:
Flag leaf</t>
        </r>
      </text>
    </comment>
    <comment ref="L255" authorId="1" shapeId="0" xr:uid="{B7D6B9B7-25D6-48BE-BC28-E4208C2C4AF0}">
      <text>
        <r>
          <rPr>
            <sz val="11"/>
            <color theme="1"/>
            <rFont val="Calibri"/>
            <family val="2"/>
            <scheme val="minor"/>
          </rPr>
          <t>Andre Pasquale:
Flag leaf</t>
        </r>
      </text>
    </comment>
    <comment ref="M255" authorId="1" shapeId="0" xr:uid="{9FB15590-6CAD-41CA-8036-9220FE18F9E5}">
      <text>
        <r>
          <rPr>
            <sz val="11"/>
            <color theme="1"/>
            <rFont val="Calibri"/>
            <family val="2"/>
            <scheme val="minor"/>
          </rPr>
          <t>Andre Pasquale:
Flag leaf</t>
        </r>
      </text>
    </comment>
    <comment ref="K256" authorId="1" shapeId="0" xr:uid="{59BF87B8-FE58-4256-A349-7611CD04CC0B}">
      <text>
        <r>
          <rPr>
            <sz val="11"/>
            <color theme="1"/>
            <rFont val="Calibri"/>
            <family val="2"/>
            <scheme val="minor"/>
          </rPr>
          <t>Andre Pasquale:
Flag leaf</t>
        </r>
      </text>
    </comment>
    <comment ref="L256" authorId="1" shapeId="0" xr:uid="{F456348C-8A31-4CED-8925-F5D43F4D4847}">
      <text>
        <r>
          <rPr>
            <sz val="11"/>
            <color theme="1"/>
            <rFont val="Calibri"/>
            <family val="2"/>
            <scheme val="minor"/>
          </rPr>
          <t>Andre Pasquale:
Flag leaf</t>
        </r>
      </text>
    </comment>
    <comment ref="L257" authorId="1" shapeId="0" xr:uid="{990D315F-115D-4807-B280-4ADC627DFA9C}">
      <text>
        <r>
          <rPr>
            <sz val="11"/>
            <color theme="1"/>
            <rFont val="Calibri"/>
            <family val="2"/>
            <scheme val="minor"/>
          </rPr>
          <t>Andre Pasquale:
Flag leaf</t>
        </r>
      </text>
    </comment>
    <comment ref="K258" authorId="1" shapeId="0" xr:uid="{9CB4599F-ED77-4F8B-80C9-7BD8D67370DC}">
      <text>
        <r>
          <rPr>
            <sz val="11"/>
            <color theme="1"/>
            <rFont val="Calibri"/>
            <family val="2"/>
            <scheme val="minor"/>
          </rPr>
          <t>Andre Pasquale:
Possibly flag leaf</t>
        </r>
      </text>
    </comment>
    <comment ref="M259" authorId="1" shapeId="0" xr:uid="{BFD5B7A4-2E1A-4728-B54C-71FE7373AA10}">
      <text>
        <r>
          <rPr>
            <sz val="11"/>
            <color theme="1"/>
            <rFont val="Calibri"/>
            <family val="2"/>
            <scheme val="minor"/>
          </rPr>
          <t>Andre Pasquale:
Possibly flag leaf</t>
        </r>
      </text>
    </comment>
    <comment ref="K262" authorId="6" shapeId="0" xr:uid="{522B8006-B382-46FE-9AA2-4A4D4D895D8A}">
      <text>
        <t>[Threaded comment]
Your version of Excel allows you to read this threaded comment; however, any edits to it will get removed if the file is opened in a newer version of Excel. Learn more: https://go.microsoft.com/fwlink/?linkid=870924
Comment:
    This value has been duplicated from the previous measurement date (when plant was already at flag leaf) to ensure its value contributes to the overall Haun stage on this measurement date</t>
      </text>
    </comment>
    <comment ref="L262" authorId="1" shapeId="0" xr:uid="{6F45424E-3427-4056-B943-53716FBBA9E2}">
      <text>
        <r>
          <rPr>
            <sz val="11"/>
            <color theme="1"/>
            <rFont val="Calibri"/>
            <family val="2"/>
            <scheme val="minor"/>
          </rPr>
          <t>Andre Pasquale:
Flag leaf</t>
        </r>
      </text>
    </comment>
    <comment ref="M262" authorId="1" shapeId="0" xr:uid="{9D951B7A-3ECA-43CB-A3E4-6F7C08CE2E1C}">
      <text>
        <r>
          <rPr>
            <sz val="11"/>
            <color theme="1"/>
            <rFont val="Calibri"/>
            <family val="2"/>
            <scheme val="minor"/>
          </rPr>
          <t>Andre Pasquale:
Flag leaf</t>
        </r>
      </text>
    </comment>
    <comment ref="K263" authorId="7" shapeId="0" xr:uid="{24024D64-C8A3-4E70-931D-7D993240BD73}">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L263" authorId="8" shapeId="0" xr:uid="{31058384-7088-4A53-99A6-0AA762D83885}">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263" authorId="1" shapeId="0" xr:uid="{72915FD2-E1B2-4685-BF07-EF5CF8568120}">
      <text>
        <r>
          <rPr>
            <sz val="11"/>
            <color theme="1"/>
            <rFont val="Calibri"/>
            <family val="2"/>
            <scheme val="minor"/>
          </rPr>
          <t>Andre Pasquale:
Flag leaf</t>
        </r>
      </text>
    </comment>
    <comment ref="K264" authorId="9" shapeId="0" xr:uid="{55A84934-0537-4E21-881A-DE245B2D2F69}">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L264" authorId="10" shapeId="0" xr:uid="{B1C71FCC-B182-4F40-A451-7245719539BB}">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264" authorId="11" shapeId="0" xr:uid="{E96B968A-EECB-4854-B81A-9643ED6767EC}">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K270" authorId="1" shapeId="0" xr:uid="{8B0D183C-D87E-4B88-9943-F9734CC3BA46}">
      <text>
        <r>
          <rPr>
            <sz val="11"/>
            <color theme="1"/>
            <rFont val="Calibri"/>
            <family val="2"/>
            <scheme val="minor"/>
          </rPr>
          <t>Andre Pasquale:
Flag leaf</t>
        </r>
      </text>
    </comment>
    <comment ref="L270" authorId="12" shapeId="0" xr:uid="{5B278B25-982C-4632-AAAB-1523EEEE4B36}">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270" authorId="1" shapeId="0" xr:uid="{DBF74161-2774-41AC-AF4D-CA82B7C095D8}">
      <text>
        <r>
          <rPr>
            <sz val="11"/>
            <color theme="1"/>
            <rFont val="Calibri"/>
            <family val="2"/>
            <scheme val="minor"/>
          </rPr>
          <t>Andre Pasquale:
Flag leaf</t>
        </r>
      </text>
    </comment>
    <comment ref="K272" authorId="13" shapeId="0" xr:uid="{1DC84760-2C82-4EBD-AAC7-2B81BC36CAC1}">
      <text>
        <t>[Threaded comment]
Your version of Excel allows you to read this threaded comment; however, any edits to it will get removed if the file is opened in a newer version of Excel. Learn more: https://go.microsoft.com/fwlink/?linkid=870924
Comment:
    This value has been duplicated from the previous measurement date (when plant was already at flag leaf) to ensure its value contributes to the overall Haun stage on this measurement date</t>
      </text>
    </comment>
    <comment ref="L272" authorId="14" shapeId="0" xr:uid="{9B95EE06-A4D0-4D50-AFCC-4157A9950B02}">
      <text>
        <t>[Threaded comment]
Your version of Excel allows you to read this threaded comment; however, any edits to it will get removed if the file is opened in a newer version of Excel. Learn more: https://go.microsoft.com/fwlink/?linkid=870924
Comment:
    This value has been duplicated from the previous measurement date (when plant was already at flag leaf) to ensure its value contributes to the overall Haun stage on this measurement date</t>
      </text>
    </comment>
    <comment ref="M272" authorId="1" shapeId="0" xr:uid="{BECE171E-E0AC-4F7F-A19E-B09C6A744F82}">
      <text>
        <r>
          <rPr>
            <sz val="11"/>
            <color theme="1"/>
            <rFont val="Calibri"/>
            <family val="2"/>
            <scheme val="minor"/>
          </rPr>
          <t>Andre Pasquale:
Flag leaf</t>
        </r>
      </text>
    </comment>
    <comment ref="K273" authorId="15" shapeId="0" xr:uid="{1D752A0C-BC65-42DC-9BAD-CF4DA7191F20}">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L273" authorId="1" shapeId="0" xr:uid="{65A03FB8-96A1-4004-B224-F1103F9CFA10}">
      <text>
        <r>
          <rPr>
            <sz val="11"/>
            <color theme="1"/>
            <rFont val="Calibri"/>
            <family val="2"/>
            <scheme val="minor"/>
          </rPr>
          <t>Andre Pasquale:
Flag leaf</t>
        </r>
      </text>
    </comment>
    <comment ref="M273" authorId="16" shapeId="0" xr:uid="{40846155-8D2C-4DE0-8895-8A6623735024}">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K278" authorId="17" shapeId="0" xr:uid="{2912F48A-9762-475E-8E38-F09062997444}">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L278" authorId="18" shapeId="0" xr:uid="{E44B6DC6-EDE0-44F1-9D4D-76CC7E8460F2}">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278" authorId="1" shapeId="0" xr:uid="{67399031-B460-49A9-97C8-A195D2B9A7EC}">
      <text>
        <r>
          <rPr>
            <sz val="11"/>
            <color theme="1"/>
            <rFont val="Calibri"/>
            <family val="2"/>
            <scheme val="minor"/>
          </rPr>
          <t>Andre Pasquale:
Flag leaf</t>
        </r>
      </text>
    </comment>
    <comment ref="K279" authorId="1" shapeId="0" xr:uid="{416DBF88-BD23-47D0-9EAB-D601738B519C}">
      <text>
        <r>
          <rPr>
            <sz val="11"/>
            <color theme="1"/>
            <rFont val="Calibri"/>
            <family val="2"/>
            <scheme val="minor"/>
          </rPr>
          <t>Andre Pasquale:
Flag leaf</t>
        </r>
      </text>
    </comment>
    <comment ref="L279" authorId="1" shapeId="0" xr:uid="{51E07F8B-1F3B-426F-8BB1-3A234D156720}">
      <text>
        <r>
          <rPr>
            <sz val="11"/>
            <color theme="1"/>
            <rFont val="Calibri"/>
            <family val="2"/>
            <scheme val="minor"/>
          </rPr>
          <t>Andre Pasquale:
Flag leaf</t>
        </r>
      </text>
    </comment>
    <comment ref="M279" authorId="1" shapeId="0" xr:uid="{93FD578E-8039-4571-8CA9-944BD7BC285B}">
      <text>
        <r>
          <rPr>
            <sz val="11"/>
            <color theme="1"/>
            <rFont val="Calibri"/>
            <family val="2"/>
            <scheme val="minor"/>
          </rPr>
          <t>Andre Pasquale:
Flag leaf</t>
        </r>
      </text>
    </comment>
    <comment ref="K281" authorId="1" shapeId="0" xr:uid="{89A9851B-0132-4B1F-8ADA-AB1160793761}">
      <text>
        <r>
          <rPr>
            <sz val="11"/>
            <color theme="1"/>
            <rFont val="Calibri"/>
            <family val="2"/>
            <scheme val="minor"/>
          </rPr>
          <t>Andre Pasquale:
Flag leaf</t>
        </r>
      </text>
    </comment>
    <comment ref="L281" authorId="1" shapeId="0" xr:uid="{CD30DC7F-9403-41B6-B5AB-8CA7C0039972}">
      <text>
        <r>
          <rPr>
            <sz val="11"/>
            <color theme="1"/>
            <rFont val="Calibri"/>
            <family val="2"/>
            <scheme val="minor"/>
          </rPr>
          <t>Andre Pasquale:
Flag leaf</t>
        </r>
      </text>
    </comment>
    <comment ref="M281" authorId="19" shapeId="0" xr:uid="{43EDF61D-A0CC-4788-96F2-697058B9E487}">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K284" authorId="1" shapeId="0" xr:uid="{8B3B2140-5D7A-4D9D-8FB4-33E08FBBFAA4}">
      <text>
        <r>
          <rPr>
            <sz val="11"/>
            <color theme="1"/>
            <rFont val="Calibri"/>
            <family val="2"/>
            <scheme val="minor"/>
          </rPr>
          <t>Andre Pasquale:
Possibly flag leaf</t>
        </r>
      </text>
    </comment>
    <comment ref="M284" authorId="1" shapeId="0" xr:uid="{E13F3092-76B4-45ED-A32A-CE1F96DAB1CD}">
      <text>
        <r>
          <rPr>
            <sz val="11"/>
            <color theme="1"/>
            <rFont val="Calibri"/>
            <family val="2"/>
            <scheme val="minor"/>
          </rPr>
          <t>Andre Pasquale:
Herbicide damage</t>
        </r>
      </text>
    </comment>
    <comment ref="K287" authorId="20" shapeId="0" xr:uid="{CEBCD3FC-13E1-41B6-8DC8-A4FCD93FD36E}">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L287" authorId="21" shapeId="0" xr:uid="{D5F19189-2165-4CA8-A7BC-555FF0FD65E4}">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287" authorId="22" shapeId="0" xr:uid="{0DEE41D3-0E36-4C63-AE11-C0432F9A8750}">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K288" authorId="23" shapeId="0" xr:uid="{80AA049D-B367-4B21-82BE-38B3D4DC48C5}">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L288" authorId="24" shapeId="0" xr:uid="{F9C55156-BB0C-4504-9490-F99702615B9E}">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288" authorId="1" shapeId="0" xr:uid="{3672D9F1-A2EE-40F3-A1B2-2B9471A2E767}">
      <text>
        <r>
          <rPr>
            <sz val="11"/>
            <color theme="1"/>
            <rFont val="Calibri"/>
            <family val="2"/>
            <scheme val="minor"/>
          </rPr>
          <t>Andre Pasquale:
Flag leaf</t>
        </r>
      </text>
    </comment>
    <comment ref="K289" authorId="1" shapeId="0" xr:uid="{6FFF93BD-199D-4B42-B1EF-C13753AF502A}">
      <text>
        <r>
          <rPr>
            <sz val="11"/>
            <color theme="1"/>
            <rFont val="Calibri"/>
            <family val="2"/>
            <scheme val="minor"/>
          </rPr>
          <t>Andre Pasquale:
Flag leaf</t>
        </r>
      </text>
    </comment>
    <comment ref="L289" authorId="25" shapeId="0" xr:uid="{7455FBBB-8A88-42C3-8BDB-5D5CA8D19D73}">
      <text>
        <t>[Threaded comment]
Your version of Excel allows you to read this threaded comment; however, any edits to it will get removed if the file is opened in a newer version of Excel. Learn more: https://go.microsoft.com/fwlink/?linkid=870924
Comment:
    This value has been duplicated from the previous measurement date (when plant was already at flag leaf) to ensure its value contributes to the overall Haun stage on this measurement date</t>
      </text>
    </comment>
    <comment ref="M289" authorId="1" shapeId="0" xr:uid="{29771E86-7444-4252-985E-A457CE25732A}">
      <text>
        <r>
          <rPr>
            <sz val="11"/>
            <color theme="1"/>
            <rFont val="Calibri"/>
            <family val="2"/>
            <scheme val="minor"/>
          </rPr>
          <t>Andre Pasquale:
Flag leaf</t>
        </r>
      </text>
    </comment>
    <comment ref="K290" authorId="1" shapeId="0" xr:uid="{468AE179-BAA9-499B-9B78-55D1D74E8905}">
      <text>
        <r>
          <rPr>
            <sz val="11"/>
            <color theme="1"/>
            <rFont val="Calibri"/>
            <family val="2"/>
            <scheme val="minor"/>
          </rPr>
          <t>Andre Pasquale:
Flag leaf</t>
        </r>
      </text>
    </comment>
    <comment ref="K291" authorId="1" shapeId="0" xr:uid="{E6C28CF1-8B24-4FF7-A70E-7D11D96B1918}">
      <text>
        <r>
          <rPr>
            <sz val="11"/>
            <color theme="1"/>
            <rFont val="Calibri"/>
            <family val="2"/>
            <scheme val="minor"/>
          </rPr>
          <t>Andre Pasquale:
Flag leaf</t>
        </r>
      </text>
    </comment>
    <comment ref="L291" authorId="1" shapeId="0" xr:uid="{24AEF1EF-BD42-46E1-982A-E643726B3F37}">
      <text>
        <r>
          <rPr>
            <sz val="11"/>
            <color theme="1"/>
            <rFont val="Calibri"/>
            <family val="2"/>
            <scheme val="minor"/>
          </rPr>
          <t>Andre Pasquale:
Flag leaf</t>
        </r>
      </text>
    </comment>
    <comment ref="M291" authorId="1" shapeId="0" xr:uid="{2F21AE15-0478-4992-8566-80A4B1C1F831}">
      <text>
        <r>
          <rPr>
            <sz val="11"/>
            <color theme="1"/>
            <rFont val="Calibri"/>
            <family val="2"/>
            <scheme val="minor"/>
          </rPr>
          <t>Andre Pasquale:
Flag leaf</t>
        </r>
      </text>
    </comment>
    <comment ref="K292" authorId="1" shapeId="0" xr:uid="{873CDC91-7FCF-4E41-A580-15F576245E85}">
      <text>
        <r>
          <rPr>
            <sz val="11"/>
            <color theme="1"/>
            <rFont val="Calibri"/>
            <family val="2"/>
            <scheme val="minor"/>
          </rPr>
          <t>Andre Pasquale:
Flag leaf</t>
        </r>
      </text>
    </comment>
    <comment ref="L292" authorId="1" shapeId="0" xr:uid="{5F0C482E-F868-4D80-9FC6-B76536B62FE6}">
      <text>
        <r>
          <rPr>
            <sz val="11"/>
            <color theme="1"/>
            <rFont val="Calibri"/>
            <family val="2"/>
            <scheme val="minor"/>
          </rPr>
          <t>Andre Pasquale:
Flag leaf</t>
        </r>
      </text>
    </comment>
    <comment ref="M292" authorId="1" shapeId="0" xr:uid="{FB5782C1-5A8A-4157-AB9A-43E135A6E5F8}">
      <text>
        <r>
          <rPr>
            <sz val="11"/>
            <color theme="1"/>
            <rFont val="Calibri"/>
            <family val="2"/>
            <scheme val="minor"/>
          </rPr>
          <t>Andre Pasquale:
Flag leaf</t>
        </r>
      </text>
    </comment>
    <comment ref="K293" authorId="1" shapeId="0" xr:uid="{93F44B0A-DCD3-4C79-B714-BED85C3E4420}">
      <text>
        <r>
          <rPr>
            <sz val="11"/>
            <color theme="1"/>
            <rFont val="Calibri"/>
            <family val="2"/>
            <scheme val="minor"/>
          </rPr>
          <t>Andre Pasquale:
Flag leaf</t>
        </r>
      </text>
    </comment>
    <comment ref="L293" authorId="1" shapeId="0" xr:uid="{745C4713-E382-4DEF-BD53-48BC97E2055D}">
      <text>
        <r>
          <rPr>
            <sz val="11"/>
            <color theme="1"/>
            <rFont val="Calibri"/>
            <family val="2"/>
            <scheme val="minor"/>
          </rPr>
          <t>Andre Pasquale:
Flag leaf</t>
        </r>
      </text>
    </comment>
    <comment ref="M293" authorId="1" shapeId="0" xr:uid="{44D7497D-1B3B-4C58-BF98-BC536C1D94DE}">
      <text>
        <r>
          <rPr>
            <sz val="11"/>
            <color theme="1"/>
            <rFont val="Calibri"/>
            <family val="2"/>
            <scheme val="minor"/>
          </rPr>
          <t>Andre Pasquale:
Flag leaf</t>
        </r>
      </text>
    </comment>
    <comment ref="K298" authorId="1" shapeId="0" xr:uid="{19BCAC21-7B03-4399-99D3-0CEA630353CA}">
      <text>
        <r>
          <rPr>
            <sz val="11"/>
            <color theme="1"/>
            <rFont val="Calibri"/>
            <family val="2"/>
            <scheme val="minor"/>
          </rPr>
          <t>Andre Pasquale:
Flag leaf</t>
        </r>
      </text>
    </comment>
    <comment ref="L298" authorId="1" shapeId="0" xr:uid="{A622E1EA-E59A-4969-BFD7-A43015E5FF41}">
      <text>
        <r>
          <rPr>
            <sz val="11"/>
            <color theme="1"/>
            <rFont val="Calibri"/>
            <family val="2"/>
            <scheme val="minor"/>
          </rPr>
          <t>Andre Pasquale:
Flag leaf</t>
        </r>
      </text>
    </comment>
    <comment ref="M298" authorId="1" shapeId="0" xr:uid="{332C8330-4E62-4342-AAC0-038ED8E1AEE4}">
      <text>
        <r>
          <rPr>
            <sz val="11"/>
            <color theme="1"/>
            <rFont val="Calibri"/>
            <family val="2"/>
            <scheme val="minor"/>
          </rPr>
          <t>Andre Pasquale:
Flag leaf</t>
        </r>
      </text>
    </comment>
    <comment ref="K299" authorId="1" shapeId="0" xr:uid="{576A52F3-C420-41D5-96C0-ECF3F451F741}">
      <text>
        <r>
          <rPr>
            <sz val="11"/>
            <color theme="1"/>
            <rFont val="Calibri"/>
            <family val="2"/>
            <scheme val="minor"/>
          </rPr>
          <t>Andre Pasquale:
Flag leaf</t>
        </r>
      </text>
    </comment>
    <comment ref="L299" authorId="1" shapeId="0" xr:uid="{9CFFA979-53FF-4776-8650-8A02F3EDA3A7}">
      <text>
        <r>
          <rPr>
            <sz val="11"/>
            <color theme="1"/>
            <rFont val="Calibri"/>
            <family val="2"/>
            <scheme val="minor"/>
          </rPr>
          <t>Andre Pasquale:
Flag leaf</t>
        </r>
      </text>
    </comment>
    <comment ref="M299" authorId="1" shapeId="0" xr:uid="{7D8B6988-2443-4FC7-AA59-22400ECF4803}">
      <text>
        <r>
          <rPr>
            <sz val="11"/>
            <color theme="1"/>
            <rFont val="Calibri"/>
            <family val="2"/>
            <scheme val="minor"/>
          </rPr>
          <t>Andre Pasquale:
Flag leaf</t>
        </r>
      </text>
    </comment>
    <comment ref="K301" authorId="1" shapeId="0" xr:uid="{14037E8E-5B1A-4C4A-AA59-C89E49A50C1C}">
      <text>
        <r>
          <rPr>
            <sz val="11"/>
            <color theme="1"/>
            <rFont val="Calibri"/>
            <family val="2"/>
            <scheme val="minor"/>
          </rPr>
          <t>Andre Pasquale:
Flag leaf</t>
        </r>
      </text>
    </comment>
    <comment ref="L301" authorId="1" shapeId="0" xr:uid="{8B2F9816-570A-4554-A425-DEFC84C812CF}">
      <text>
        <r>
          <rPr>
            <sz val="11"/>
            <color theme="1"/>
            <rFont val="Calibri"/>
            <family val="2"/>
            <scheme val="minor"/>
          </rPr>
          <t>Andre Pasquale:
Flag leaf</t>
        </r>
      </text>
    </comment>
    <comment ref="M301" authorId="1" shapeId="0" xr:uid="{58D1B102-B5A0-4F74-9A62-15FF0E0991CA}">
      <text>
        <r>
          <rPr>
            <sz val="11"/>
            <color theme="1"/>
            <rFont val="Calibri"/>
            <family val="2"/>
            <scheme val="minor"/>
          </rPr>
          <t>Andre Pasquale:
Flag leaf</t>
        </r>
      </text>
    </comment>
    <comment ref="K306" authorId="1" shapeId="0" xr:uid="{CFE396E0-9876-4AD7-A871-729CC3EE2DEF}">
      <text>
        <r>
          <rPr>
            <sz val="11"/>
            <color theme="1"/>
            <rFont val="Calibri"/>
            <family val="2"/>
            <scheme val="minor"/>
          </rPr>
          <t>Andre Pasquale:
Flag leaf</t>
        </r>
      </text>
    </comment>
    <comment ref="L306" authorId="1" shapeId="0" xr:uid="{3FD1DB91-DE64-475E-BDB5-10792E99001C}">
      <text>
        <r>
          <rPr>
            <sz val="11"/>
            <color theme="1"/>
            <rFont val="Calibri"/>
            <family val="2"/>
            <scheme val="minor"/>
          </rPr>
          <t>Andre Pasquale:
Flag leaf</t>
        </r>
      </text>
    </comment>
    <comment ref="M306" authorId="1" shapeId="0" xr:uid="{A366115C-A2A5-4D84-B235-A87785D44CBF}">
      <text>
        <r>
          <rPr>
            <sz val="11"/>
            <color theme="1"/>
            <rFont val="Calibri"/>
            <family val="2"/>
            <scheme val="minor"/>
          </rPr>
          <t>Andre Pasquale:
Flag leaf</t>
        </r>
      </text>
    </comment>
    <comment ref="K308" authorId="1" shapeId="0" xr:uid="{285C2435-4AA6-4561-86C5-6536162E27EE}">
      <text>
        <r>
          <rPr>
            <sz val="11"/>
            <color theme="1"/>
            <rFont val="Calibri"/>
            <family val="2"/>
            <scheme val="minor"/>
          </rPr>
          <t>Andre Pasquale:
Flag leaf</t>
        </r>
      </text>
    </comment>
    <comment ref="L308" authorId="1" shapeId="0" xr:uid="{8C584A1C-3228-45FD-B2FE-D2F832431009}">
      <text>
        <r>
          <rPr>
            <sz val="11"/>
            <color theme="1"/>
            <rFont val="Calibri"/>
            <family val="2"/>
            <scheme val="minor"/>
          </rPr>
          <t>Andre Pasquale:
Flag leaf</t>
        </r>
      </text>
    </comment>
    <comment ref="M308" authorId="1" shapeId="0" xr:uid="{EF2F3062-ACF2-40FE-B253-020C655F1C8C}">
      <text>
        <r>
          <rPr>
            <sz val="11"/>
            <color theme="1"/>
            <rFont val="Calibri"/>
            <family val="2"/>
            <scheme val="minor"/>
          </rPr>
          <t>Andre Pasquale:
Flag leaf</t>
        </r>
      </text>
    </comment>
    <comment ref="K309" authorId="1" shapeId="0" xr:uid="{C7CEFDBA-7686-494F-9D85-885F29E624CB}">
      <text>
        <r>
          <rPr>
            <sz val="11"/>
            <color theme="1"/>
            <rFont val="Calibri"/>
            <family val="2"/>
            <scheme val="minor"/>
          </rPr>
          <t>Andre Pasquale:
Flag leaf</t>
        </r>
      </text>
    </comment>
    <comment ref="L309" authorId="1" shapeId="0" xr:uid="{03043C5D-ED70-498F-8744-7CC81C8ACF76}">
      <text>
        <r>
          <rPr>
            <sz val="11"/>
            <color theme="1"/>
            <rFont val="Calibri"/>
            <family val="2"/>
            <scheme val="minor"/>
          </rPr>
          <t>Andre Pasquale:
Flag leaf</t>
        </r>
      </text>
    </comment>
    <comment ref="M309" authorId="1" shapeId="0" xr:uid="{08D41A5F-39E0-49F7-AF89-B458892BD9DA}">
      <text>
        <r>
          <rPr>
            <sz val="11"/>
            <color theme="1"/>
            <rFont val="Calibri"/>
            <family val="2"/>
            <scheme val="minor"/>
          </rPr>
          <t>Andre Pasquale:
Flag leaf</t>
        </r>
      </text>
    </comment>
    <comment ref="K314" authorId="1" shapeId="0" xr:uid="{B11509CD-30A7-4AE6-93C2-736856C52189}">
      <text>
        <r>
          <rPr>
            <sz val="11"/>
            <color theme="1"/>
            <rFont val="Calibri"/>
            <family val="2"/>
            <scheme val="minor"/>
          </rPr>
          <t>Andre Pasquale:
Flag leaf</t>
        </r>
      </text>
    </comment>
    <comment ref="L314" authorId="1" shapeId="0" xr:uid="{A22A7B28-A07C-41ED-8151-9BA7B6099726}">
      <text>
        <r>
          <rPr>
            <sz val="11"/>
            <color theme="1"/>
            <rFont val="Calibri"/>
            <family val="2"/>
            <scheme val="minor"/>
          </rPr>
          <t>Andre Pasquale:
Flag leaf</t>
        </r>
      </text>
    </comment>
    <comment ref="M314" authorId="1" shapeId="0" xr:uid="{490FA4D1-A189-45D0-8E20-1693E4EDC675}">
      <text>
        <r>
          <rPr>
            <sz val="11"/>
            <color theme="1"/>
            <rFont val="Calibri"/>
            <family val="2"/>
            <scheme val="minor"/>
          </rPr>
          <t>Andre Pasquale:
Flag leaf</t>
        </r>
      </text>
    </comment>
    <comment ref="K315" authorId="1" shapeId="0" xr:uid="{B76A4D79-9D58-4199-AE04-36720312620B}">
      <text>
        <r>
          <rPr>
            <sz val="11"/>
            <color theme="1"/>
            <rFont val="Calibri"/>
            <family val="2"/>
            <scheme val="minor"/>
          </rPr>
          <t>Andre Pasquale:
Flag leaf</t>
        </r>
      </text>
    </comment>
    <comment ref="L315" authorId="1" shapeId="0" xr:uid="{613B14DF-E1E9-4FAB-B962-78D838E47151}">
      <text>
        <r>
          <rPr>
            <sz val="11"/>
            <color theme="1"/>
            <rFont val="Calibri"/>
            <family val="2"/>
            <scheme val="minor"/>
          </rPr>
          <t>Andre Pasquale:
Flag leaf</t>
        </r>
      </text>
    </comment>
    <comment ref="M315" authorId="1" shapeId="0" xr:uid="{051F778C-7FBD-4C51-AC84-E5B99F1FF962}">
      <text>
        <r>
          <rPr>
            <sz val="11"/>
            <color theme="1"/>
            <rFont val="Calibri"/>
            <family val="2"/>
            <scheme val="minor"/>
          </rPr>
          <t>Andre Pasquale:
Flag leaf</t>
        </r>
      </text>
    </comment>
    <comment ref="K316" authorId="1" shapeId="0" xr:uid="{4E3423E7-B367-4322-986C-733B8A16ABCD}">
      <text>
        <r>
          <rPr>
            <sz val="11"/>
            <color theme="1"/>
            <rFont val="Calibri"/>
            <family val="2"/>
            <scheme val="minor"/>
          </rPr>
          <t>Andre Pasquale:
Flag leaf</t>
        </r>
      </text>
    </comment>
    <comment ref="L316" authorId="1" shapeId="0" xr:uid="{B6A1B4DD-999E-4505-B620-E6544E932217}">
      <text>
        <r>
          <rPr>
            <sz val="11"/>
            <color theme="1"/>
            <rFont val="Calibri"/>
            <family val="2"/>
            <scheme val="minor"/>
          </rPr>
          <t>Andre Pasquale:
Flag leaf</t>
        </r>
      </text>
    </comment>
    <comment ref="M316" authorId="1" shapeId="0" xr:uid="{1A972F1F-A01B-41B2-AA68-7906C63F730B}">
      <text>
        <r>
          <rPr>
            <sz val="11"/>
            <color theme="1"/>
            <rFont val="Calibri"/>
            <family val="2"/>
            <scheme val="minor"/>
          </rPr>
          <t>Andre Pasquale:
Flag leaf</t>
        </r>
      </text>
    </comment>
    <comment ref="K322" authorId="26" shapeId="0" xr:uid="{D165E8F1-2195-4228-90F4-50F1543D4361}">
      <text>
        <t>[Threaded comment]
Your version of Excel allows you to read this threaded comment; however, any edits to it will get removed if the file is opened in a newer version of Excel. Learn more: https://go.microsoft.com/fwlink/?linkid=870924
Comment:
    This value has been duplicated from the previous measurement date (when plant was already at flag leaf) to ensure its value contributes to the overall Haun stage on this measurement date</t>
      </text>
    </comment>
    <comment ref="L322" authorId="1" shapeId="0" xr:uid="{54417A0A-DFCA-4EB3-8B70-96760ED03F1B}">
      <text>
        <r>
          <rPr>
            <sz val="11"/>
            <color theme="1"/>
            <rFont val="Calibri"/>
            <family val="2"/>
            <scheme val="minor"/>
          </rPr>
          <t>Andre Pasquale:
Flag leaf</t>
        </r>
      </text>
    </comment>
    <comment ref="M322" authorId="1" shapeId="0" xr:uid="{F046070B-E0FD-4E80-827E-42CE6EAF9D7E}">
      <text>
        <r>
          <rPr>
            <sz val="11"/>
            <color theme="1"/>
            <rFont val="Calibri"/>
            <family val="2"/>
            <scheme val="minor"/>
          </rPr>
          <t>Andre Pasquale:
Flag leaf</t>
        </r>
      </text>
    </comment>
    <comment ref="K332" authorId="1" shapeId="0" xr:uid="{2CE1F519-117F-4E4A-B1B3-B584589A50F4}">
      <text>
        <r>
          <rPr>
            <sz val="11"/>
            <color theme="1"/>
            <rFont val="Calibri"/>
            <family val="2"/>
            <scheme val="minor"/>
          </rPr>
          <t>Andre Pasquale:
Flag leaf</t>
        </r>
      </text>
    </comment>
    <comment ref="L332" authorId="1" shapeId="0" xr:uid="{6C21DB40-9367-45ED-877F-098AAF9BAD6B}">
      <text>
        <r>
          <rPr>
            <sz val="11"/>
            <color theme="1"/>
            <rFont val="Calibri"/>
            <family val="2"/>
            <scheme val="minor"/>
          </rPr>
          <t>Andre Pasquale:
Flag leaf</t>
        </r>
      </text>
    </comment>
    <comment ref="M332" authorId="1" shapeId="0" xr:uid="{73486860-4135-4BEC-A7F8-2D7CA1857665}">
      <text>
        <r>
          <rPr>
            <sz val="11"/>
            <color theme="1"/>
            <rFont val="Calibri"/>
            <family val="2"/>
            <scheme val="minor"/>
          </rPr>
          <t>Andre Pasquale:
Flag leaf</t>
        </r>
      </text>
    </comment>
    <comment ref="K339" authorId="1" shapeId="0" xr:uid="{BE80CFA4-2EBE-4ECD-8CD0-4646DB961828}">
      <text>
        <r>
          <rPr>
            <sz val="11"/>
            <color theme="1"/>
            <rFont val="Calibri"/>
            <family val="2"/>
            <scheme val="minor"/>
          </rPr>
          <t>Andre Pasquale:
Flag leaf</t>
        </r>
      </text>
    </comment>
    <comment ref="L339" authorId="1" shapeId="0" xr:uid="{BFDD5ED9-9FC5-48FE-99E1-0AB769AEC30F}">
      <text>
        <r>
          <rPr>
            <sz val="11"/>
            <color theme="1"/>
            <rFont val="Calibri"/>
            <family val="2"/>
            <scheme val="minor"/>
          </rPr>
          <t>Andre Pasquale:
Flag leaf</t>
        </r>
      </text>
    </comment>
    <comment ref="M339" authorId="1" shapeId="0" xr:uid="{D559EEC5-F531-4450-9F86-0E55E9539C8E}">
      <text>
        <r>
          <rPr>
            <sz val="11"/>
            <color theme="1"/>
            <rFont val="Calibri"/>
            <family val="2"/>
            <scheme val="minor"/>
          </rPr>
          <t>Andre Pasquale:
Flag leaf</t>
        </r>
      </text>
    </comment>
    <comment ref="K349" authorId="1" shapeId="0" xr:uid="{3DA09D38-EF61-4065-90AC-2BC75FB24F91}">
      <text>
        <r>
          <rPr>
            <sz val="11"/>
            <color theme="1"/>
            <rFont val="Calibri"/>
            <family val="2"/>
            <scheme val="minor"/>
          </rPr>
          <t>Andre Pasquale:
Flag leaf</t>
        </r>
      </text>
    </comment>
    <comment ref="L349" authorId="1" shapeId="0" xr:uid="{DFAEA083-B99A-4C9D-891A-03F46DC4D1AF}">
      <text>
        <r>
          <rPr>
            <sz val="11"/>
            <color theme="1"/>
            <rFont val="Calibri"/>
            <family val="2"/>
            <scheme val="minor"/>
          </rPr>
          <t>Andre Pasquale:
Flag leaf</t>
        </r>
      </text>
    </comment>
    <comment ref="M349" authorId="1" shapeId="0" xr:uid="{BF49032E-A717-412A-8D43-137EBC1DC819}">
      <text>
        <r>
          <rPr>
            <sz val="11"/>
            <color theme="1"/>
            <rFont val="Calibri"/>
            <family val="2"/>
            <scheme val="minor"/>
          </rPr>
          <t>Andre Pasquale:
Flag leaf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 Pasquale</author>
  </authors>
  <commentList>
    <comment ref="L4" authorId="0" shapeId="0" xr:uid="{5031170B-F073-42E5-AF6D-809FA6CE67A4}">
      <text>
        <r>
          <rPr>
            <sz val="11"/>
            <color theme="1"/>
            <rFont val="Calibri"/>
            <family val="2"/>
            <scheme val="minor"/>
          </rPr>
          <t>Andre Pasquale:
Herbicide damage</t>
        </r>
      </text>
    </comment>
    <comment ref="P4" authorId="0" shapeId="0" xr:uid="{4665DD70-1C35-4953-B875-F70BFD19C283}">
      <text>
        <r>
          <rPr>
            <sz val="11"/>
            <color theme="1"/>
            <rFont val="Calibri"/>
            <family val="2"/>
            <scheme val="minor"/>
          </rPr>
          <t>Andre Pasquale:
Herbicide damage</t>
        </r>
      </text>
    </comment>
    <comment ref="K5" authorId="0" shapeId="0" xr:uid="{080EF010-BFFB-46B7-9AF8-D08E4703D84D}">
      <text>
        <r>
          <rPr>
            <sz val="11"/>
            <color theme="1"/>
            <rFont val="Calibri"/>
            <family val="2"/>
            <scheme val="minor"/>
          </rPr>
          <t>Andre Pasquale:
Herbicide damage</t>
        </r>
      </text>
    </comment>
    <comment ref="L5" authorId="0" shapeId="0" xr:uid="{E2537918-1E5D-4D56-8FD3-8559A0582404}">
      <text>
        <r>
          <rPr>
            <sz val="11"/>
            <color theme="1"/>
            <rFont val="Calibri"/>
            <family val="2"/>
            <scheme val="minor"/>
          </rPr>
          <t>Andre Pasquale:
Herbicide damage</t>
        </r>
      </text>
    </comment>
    <comment ref="O5" authorId="0" shapeId="0" xr:uid="{9C99B11B-8596-4DF5-A039-10DDBFFEE96A}">
      <text>
        <r>
          <rPr>
            <sz val="11"/>
            <color theme="1"/>
            <rFont val="Calibri"/>
            <family val="2"/>
            <scheme val="minor"/>
          </rPr>
          <t>Andre Pasquale:
Herbicide damage</t>
        </r>
      </text>
    </comment>
    <comment ref="P5" authorId="0" shapeId="0" xr:uid="{BEFD2F63-2220-4326-A663-C057602E3FDB}">
      <text>
        <r>
          <rPr>
            <sz val="11"/>
            <color theme="1"/>
            <rFont val="Calibri"/>
            <family val="2"/>
            <scheme val="minor"/>
          </rPr>
          <t>Andre Pasquale:
Herbicide damage</t>
        </r>
      </text>
    </comment>
    <comment ref="L6" authorId="0" shapeId="0" xr:uid="{B3BAD366-D3BC-4658-9B76-797CB4118BA7}">
      <text>
        <r>
          <rPr>
            <sz val="11"/>
            <color theme="1"/>
            <rFont val="Calibri"/>
            <family val="2"/>
            <scheme val="minor"/>
          </rPr>
          <t>Andre Pasquale:
Slug damage</t>
        </r>
      </text>
    </comment>
    <comment ref="P6" authorId="0" shapeId="0" xr:uid="{5E50BD2F-24CD-4CD9-B203-0F8B470A539F}">
      <text>
        <r>
          <rPr>
            <sz val="11"/>
            <color theme="1"/>
            <rFont val="Calibri"/>
            <family val="2"/>
            <scheme val="minor"/>
          </rPr>
          <t>Andre Pasquale:
Slug damage</t>
        </r>
      </text>
    </comment>
    <comment ref="K7" authorId="0" shapeId="0" xr:uid="{7C66A3B9-BA7C-4CCB-BF8B-4D6CAAA28AA3}">
      <text>
        <r>
          <rPr>
            <sz val="11"/>
            <color theme="1"/>
            <rFont val="Calibri"/>
            <family val="2"/>
            <scheme val="minor"/>
          </rPr>
          <t>Andre Pasquale:
Septoria symptoms</t>
        </r>
      </text>
    </comment>
    <comment ref="L7" authorId="0" shapeId="0" xr:uid="{40E942F7-E5EB-444F-A1BA-214E752507B1}">
      <text>
        <r>
          <rPr>
            <sz val="11"/>
            <color theme="1"/>
            <rFont val="Calibri"/>
            <family val="2"/>
            <scheme val="minor"/>
          </rPr>
          <t>Andre Pasquale:
Slug damage</t>
        </r>
      </text>
    </comment>
    <comment ref="M7" authorId="0" shapeId="0" xr:uid="{B93C391C-74F2-4146-9AFA-61B164D004F8}">
      <text>
        <r>
          <rPr>
            <sz val="11"/>
            <color theme="1"/>
            <rFont val="Calibri"/>
            <family val="2"/>
            <scheme val="minor"/>
          </rPr>
          <t>Andre Pasquale:
Slug damage</t>
        </r>
      </text>
    </comment>
    <comment ref="O7" authorId="0" shapeId="0" xr:uid="{6D1AB3AF-BCB2-4FB6-9219-827789F3FF75}">
      <text>
        <r>
          <rPr>
            <sz val="11"/>
            <color theme="1"/>
            <rFont val="Calibri"/>
            <family val="2"/>
            <scheme val="minor"/>
          </rPr>
          <t>Andre Pasquale:
Septoria symptoms</t>
        </r>
      </text>
    </comment>
    <comment ref="P7" authorId="0" shapeId="0" xr:uid="{6D7B159E-3E16-45A1-B49B-262941BDB862}">
      <text>
        <r>
          <rPr>
            <sz val="11"/>
            <color theme="1"/>
            <rFont val="Calibri"/>
            <family val="2"/>
            <scheme val="minor"/>
          </rPr>
          <t>Andre Pasquale:
Slug damage</t>
        </r>
      </text>
    </comment>
    <comment ref="Q7" authorId="0" shapeId="0" xr:uid="{D4DB8FB3-FFB4-405D-95B2-3F676AEBA7F8}">
      <text>
        <r>
          <rPr>
            <sz val="11"/>
            <color theme="1"/>
            <rFont val="Calibri"/>
            <family val="2"/>
            <scheme val="minor"/>
          </rPr>
          <t>Andre Pasquale:
Slug damage</t>
        </r>
      </text>
    </comment>
    <comment ref="M8" authorId="0" shapeId="0" xr:uid="{F1F78D90-A003-4B1A-B2CF-48F598088188}">
      <text>
        <r>
          <rPr>
            <sz val="11"/>
            <color theme="1"/>
            <rFont val="Calibri"/>
            <family val="2"/>
            <scheme val="minor"/>
          </rPr>
          <t>Andre Pasquale:
Septoria symptoms</t>
        </r>
      </text>
    </comment>
    <comment ref="Q8" authorId="0" shapeId="0" xr:uid="{0B7237EB-804C-4932-AA9D-E0B3C56CCD92}">
      <text>
        <r>
          <rPr>
            <sz val="11"/>
            <color theme="1"/>
            <rFont val="Calibri"/>
            <family val="2"/>
            <scheme val="minor"/>
          </rPr>
          <t>Andre Pasquale:
Septoria symptoms</t>
        </r>
      </text>
    </comment>
    <comment ref="K10" authorId="0" shapeId="0" xr:uid="{BBA8051D-44C5-4C4A-BF98-8A0DC882EE7D}">
      <text>
        <r>
          <rPr>
            <sz val="11"/>
            <color theme="1"/>
            <rFont val="Calibri"/>
            <family val="2"/>
            <scheme val="minor"/>
          </rPr>
          <t>Andre Pasquale:
Herbicide damage</t>
        </r>
      </text>
    </comment>
    <comment ref="O10" authorId="0" shapeId="0" xr:uid="{C0AFBAC4-209F-43FE-94D1-53385ED997E5}">
      <text>
        <r>
          <rPr>
            <sz val="11"/>
            <color theme="1"/>
            <rFont val="Calibri"/>
            <family val="2"/>
            <scheme val="minor"/>
          </rPr>
          <t>Andre Pasquale:
Herbicide damage</t>
        </r>
      </text>
    </comment>
    <comment ref="L12" authorId="0" shapeId="0" xr:uid="{D5181BB8-BE96-42E1-9834-3F7AD8FD9269}">
      <text>
        <r>
          <rPr>
            <sz val="11"/>
            <color theme="1"/>
            <rFont val="Calibri"/>
            <family val="2"/>
            <scheme val="minor"/>
          </rPr>
          <t>Andre Pasquale:
Herbicide damage</t>
        </r>
      </text>
    </comment>
    <comment ref="P12" authorId="0" shapeId="0" xr:uid="{0E168D90-A359-475C-9F03-F4B85B422F39}">
      <text>
        <r>
          <rPr>
            <sz val="11"/>
            <color theme="1"/>
            <rFont val="Calibri"/>
            <family val="2"/>
            <scheme val="minor"/>
          </rPr>
          <t>Andre Pasquale:
Herbicide damage</t>
        </r>
      </text>
    </comment>
    <comment ref="L15" authorId="0" shapeId="0" xr:uid="{A054DED2-3AD9-4EDB-ABEE-7E1FC506C8E4}">
      <text>
        <r>
          <rPr>
            <sz val="11"/>
            <color theme="1"/>
            <rFont val="Calibri"/>
            <family val="2"/>
            <scheme val="minor"/>
          </rPr>
          <t>Andre Pasquale:
Slug damage</t>
        </r>
      </text>
    </comment>
    <comment ref="P15" authorId="0" shapeId="0" xr:uid="{6625D849-FA26-48F3-8811-B65085FBA521}">
      <text>
        <r>
          <rPr>
            <sz val="11"/>
            <color theme="1"/>
            <rFont val="Calibri"/>
            <family val="2"/>
            <scheme val="minor"/>
          </rPr>
          <t>Andre Pasquale:
Slug damage</t>
        </r>
      </text>
    </comment>
    <comment ref="M16" authorId="0" shapeId="0" xr:uid="{E37D7C90-827B-4DFD-B812-17FCDC78F245}">
      <text>
        <r>
          <rPr>
            <sz val="11"/>
            <color theme="1"/>
            <rFont val="Calibri"/>
            <family val="2"/>
            <scheme val="minor"/>
          </rPr>
          <t>Andre Pasquale:
Slug damage</t>
        </r>
      </text>
    </comment>
    <comment ref="Q16" authorId="0" shapeId="0" xr:uid="{09AA72A4-C579-48CC-A140-C31F6690367E}">
      <text>
        <r>
          <rPr>
            <sz val="11"/>
            <color theme="1"/>
            <rFont val="Calibri"/>
            <family val="2"/>
            <scheme val="minor"/>
          </rPr>
          <t>Andre Pasquale:
Slug damage</t>
        </r>
      </text>
    </comment>
    <comment ref="L18" authorId="0" shapeId="0" xr:uid="{0FC12E27-672E-4292-B207-C5CD4880384C}">
      <text>
        <r>
          <rPr>
            <sz val="11"/>
            <color theme="1"/>
            <rFont val="Calibri"/>
            <family val="2"/>
            <scheme val="minor"/>
          </rPr>
          <t>Andre Pasquale:
Herbicide damage</t>
        </r>
      </text>
    </comment>
    <comment ref="M18" authorId="0" shapeId="0" xr:uid="{588BC12C-3080-4474-A6BE-EDA1D86C462F}">
      <text>
        <r>
          <rPr>
            <sz val="11"/>
            <color theme="1"/>
            <rFont val="Calibri"/>
            <family val="2"/>
            <scheme val="minor"/>
          </rPr>
          <t>Andre Pasquale:
Herbicide damage</t>
        </r>
      </text>
    </comment>
    <comment ref="P18" authorId="0" shapeId="0" xr:uid="{3BDF7FDE-0AE4-432F-A66C-8A6EEC3F9EA6}">
      <text>
        <r>
          <rPr>
            <sz val="11"/>
            <color theme="1"/>
            <rFont val="Calibri"/>
            <family val="2"/>
            <scheme val="minor"/>
          </rPr>
          <t>Andre Pasquale:
Herbicide damage</t>
        </r>
      </text>
    </comment>
    <comment ref="Q18" authorId="0" shapeId="0" xr:uid="{0841EFF9-30E4-4484-BDCD-0B54B354035C}">
      <text>
        <r>
          <rPr>
            <sz val="11"/>
            <color theme="1"/>
            <rFont val="Calibri"/>
            <family val="2"/>
            <scheme val="minor"/>
          </rPr>
          <t>Andre Pasquale:
Herbicide damage</t>
        </r>
      </text>
    </comment>
    <comment ref="M20" authorId="0" shapeId="0" xr:uid="{0BEDF0DA-5317-462C-8616-7703FE9BCBE5}">
      <text>
        <r>
          <rPr>
            <sz val="11"/>
            <color theme="1"/>
            <rFont val="Calibri"/>
            <family val="2"/>
            <scheme val="minor"/>
          </rPr>
          <t>Andre Pasquale:
Herbicide damage</t>
        </r>
      </text>
    </comment>
    <comment ref="Q20" authorId="0" shapeId="0" xr:uid="{C5EB8C80-8835-4CE1-9145-13138E0D3274}">
      <text>
        <r>
          <rPr>
            <sz val="11"/>
            <color theme="1"/>
            <rFont val="Calibri"/>
            <family val="2"/>
            <scheme val="minor"/>
          </rPr>
          <t>Andre Pasquale:
Herbicide damage</t>
        </r>
      </text>
    </comment>
    <comment ref="L27" authorId="0" shapeId="0" xr:uid="{8F27FDAB-7093-4642-BA21-854D3B229B06}">
      <text>
        <r>
          <rPr>
            <sz val="11"/>
            <color theme="1"/>
            <rFont val="Calibri"/>
            <family val="2"/>
            <scheme val="minor"/>
          </rPr>
          <t>Andre Pasquale:
Herbicide damage</t>
        </r>
      </text>
    </comment>
    <comment ref="P27" authorId="0" shapeId="0" xr:uid="{62740C43-D4C8-4192-84B2-1904226E18E0}">
      <text>
        <r>
          <rPr>
            <sz val="11"/>
            <color theme="1"/>
            <rFont val="Calibri"/>
            <family val="2"/>
            <scheme val="minor"/>
          </rPr>
          <t>Andre Pasquale:
Herbicide damage</t>
        </r>
      </text>
    </comment>
    <comment ref="K28" authorId="0" shapeId="0" xr:uid="{1507A9E9-3DA4-49B6-A5A3-27803CFE9B68}">
      <text>
        <r>
          <rPr>
            <sz val="11"/>
            <color theme="1"/>
            <rFont val="Calibri"/>
            <family val="2"/>
            <scheme val="minor"/>
          </rPr>
          <t>Andre Pasquale:
Herbicide damage</t>
        </r>
      </text>
    </comment>
    <comment ref="O28" authorId="0" shapeId="0" xr:uid="{9A829BFB-81C2-406F-881D-84EE68289C62}">
      <text>
        <r>
          <rPr>
            <sz val="11"/>
            <color theme="1"/>
            <rFont val="Calibri"/>
            <family val="2"/>
            <scheme val="minor"/>
          </rPr>
          <t>Andre Pasquale:
Herbicide damage</t>
        </r>
      </text>
    </comment>
    <comment ref="M31" authorId="0" shapeId="0" xr:uid="{4011B148-496E-461C-867E-D68AEED71A13}">
      <text>
        <r>
          <rPr>
            <sz val="11"/>
            <color theme="1"/>
            <rFont val="Calibri"/>
            <family val="2"/>
            <scheme val="minor"/>
          </rPr>
          <t>Andre Pasquale:
Slug damage</t>
        </r>
      </text>
    </comment>
    <comment ref="Q31" authorId="0" shapeId="0" xr:uid="{7B5B8CAA-5B98-486C-86D0-3FA9EE95209C}">
      <text>
        <r>
          <rPr>
            <sz val="11"/>
            <color theme="1"/>
            <rFont val="Calibri"/>
            <family val="2"/>
            <scheme val="minor"/>
          </rPr>
          <t>Andre Pasquale:
Slug damage</t>
        </r>
      </text>
    </comment>
    <comment ref="L32" authorId="0" shapeId="0" xr:uid="{C3B357B9-EDAF-4F71-B038-399211F4454F}">
      <text>
        <r>
          <rPr>
            <sz val="11"/>
            <color theme="1"/>
            <rFont val="Calibri"/>
            <family val="2"/>
            <scheme val="minor"/>
          </rPr>
          <t>Andre Pasquale:
Slug damage</t>
        </r>
      </text>
    </comment>
    <comment ref="P32" authorId="0" shapeId="0" xr:uid="{A5E2165A-9AD9-4A69-A7DC-AB242DB8FB82}">
      <text>
        <r>
          <rPr>
            <sz val="11"/>
            <color theme="1"/>
            <rFont val="Calibri"/>
            <family val="2"/>
            <scheme val="minor"/>
          </rPr>
          <t>Andre Pasquale:
Slug damage</t>
        </r>
      </text>
    </comment>
    <comment ref="K33" authorId="0" shapeId="0" xr:uid="{F54B4EA2-A7E6-432D-886B-5F7F54D08111}">
      <text>
        <r>
          <rPr>
            <sz val="11"/>
            <color theme="1"/>
            <rFont val="Calibri"/>
            <family val="2"/>
            <scheme val="minor"/>
          </rPr>
          <t>Andre Pasquale:
Slug damage</t>
        </r>
      </text>
    </comment>
    <comment ref="O33" authorId="0" shapeId="0" xr:uid="{4D09509C-0A9B-4C72-A4BA-5C2D09BDC28F}">
      <text>
        <r>
          <rPr>
            <sz val="11"/>
            <color theme="1"/>
            <rFont val="Calibri"/>
            <family val="2"/>
            <scheme val="minor"/>
          </rPr>
          <t>Andre Pasquale:
slug damage</t>
        </r>
      </text>
    </comment>
    <comment ref="L55" authorId="0" shapeId="0" xr:uid="{4C02F7C5-1450-4B2C-9B0B-6DB53F7C2F16}">
      <text>
        <r>
          <rPr>
            <sz val="11"/>
            <color theme="1"/>
            <rFont val="Calibri"/>
            <family val="2"/>
            <scheme val="minor"/>
          </rPr>
          <t>Andre Pasquale:
Slug damage</t>
        </r>
      </text>
    </comment>
    <comment ref="P55" authorId="0" shapeId="0" xr:uid="{B3EEB814-2C17-44F9-813B-D867A0546CE5}">
      <text>
        <r>
          <rPr>
            <sz val="11"/>
            <color theme="1"/>
            <rFont val="Calibri"/>
            <family val="2"/>
            <scheme val="minor"/>
          </rPr>
          <t>Andre Pasquale:
Slug damage</t>
        </r>
      </text>
    </comment>
    <comment ref="L57" authorId="0" shapeId="0" xr:uid="{F4F91507-FC54-4CEA-9C46-D0428D391B43}">
      <text>
        <r>
          <rPr>
            <sz val="11"/>
            <color theme="1"/>
            <rFont val="Calibri"/>
            <family val="2"/>
            <scheme val="minor"/>
          </rPr>
          <t>Andre Pasquale:
Slug damage</t>
        </r>
      </text>
    </comment>
    <comment ref="P57" authorId="0" shapeId="0" xr:uid="{DF18DC5A-AA8F-48E2-AE26-1D9234B21CB0}">
      <text>
        <r>
          <rPr>
            <sz val="11"/>
            <color theme="1"/>
            <rFont val="Calibri"/>
            <family val="2"/>
            <scheme val="minor"/>
          </rPr>
          <t>Andre Pasquale:
Slug damage</t>
        </r>
      </text>
    </comment>
    <comment ref="L63" authorId="0" shapeId="0" xr:uid="{9A19158B-15FE-4D85-8FDA-6AEF2C6458A6}">
      <text>
        <r>
          <rPr>
            <sz val="11"/>
            <color theme="1"/>
            <rFont val="Calibri"/>
            <family val="2"/>
            <scheme val="minor"/>
          </rPr>
          <t>Andre Pasquale:
Septoria</t>
        </r>
      </text>
    </comment>
    <comment ref="P63" authorId="0" shapeId="0" xr:uid="{37A05A1B-68DB-4A45-8E3A-2EF72D15C37D}">
      <text>
        <r>
          <rPr>
            <sz val="11"/>
            <color theme="1"/>
            <rFont val="Calibri"/>
            <family val="2"/>
            <scheme val="minor"/>
          </rPr>
          <t>Andre Pasquale:
Septoria</t>
        </r>
      </text>
    </comment>
    <comment ref="K65" authorId="0" shapeId="0" xr:uid="{247B991E-2D0F-443E-8A39-62BB8CC5816C}">
      <text>
        <r>
          <rPr>
            <sz val="11"/>
            <color theme="1"/>
            <rFont val="Calibri"/>
            <family val="2"/>
            <scheme val="minor"/>
          </rPr>
          <t>Andre Pasquale:
Septoria</t>
        </r>
      </text>
    </comment>
    <comment ref="L65" authorId="0" shapeId="0" xr:uid="{E453DB22-ABC5-4493-B927-DB81A81016FB}">
      <text>
        <r>
          <rPr>
            <sz val="11"/>
            <color theme="1"/>
            <rFont val="Calibri"/>
            <family val="2"/>
            <scheme val="minor"/>
          </rPr>
          <t>Andre Pasquale:
Physiological yellowing</t>
        </r>
      </text>
    </comment>
    <comment ref="M65" authorId="0" shapeId="0" xr:uid="{1F16CB85-F317-4B04-9C81-B445F4995A05}">
      <text>
        <r>
          <rPr>
            <sz val="11"/>
            <color theme="1"/>
            <rFont val="Calibri"/>
            <family val="2"/>
            <scheme val="minor"/>
          </rPr>
          <t xml:space="preserve">Andre Pasquale:
Septoria </t>
        </r>
      </text>
    </comment>
    <comment ref="O65" authorId="0" shapeId="0" xr:uid="{06A275EE-28A8-45C1-9F08-256E55EE6EB8}">
      <text>
        <r>
          <rPr>
            <sz val="11"/>
            <color theme="1"/>
            <rFont val="Calibri"/>
            <family val="2"/>
            <scheme val="minor"/>
          </rPr>
          <t>Andre Pasquale:
Septoria</t>
        </r>
      </text>
    </comment>
    <comment ref="P65" authorId="0" shapeId="0" xr:uid="{1099561A-60F6-4FB4-ABD1-BC9DE4157FFB}">
      <text>
        <r>
          <rPr>
            <sz val="11"/>
            <color theme="1"/>
            <rFont val="Calibri"/>
            <family val="2"/>
            <scheme val="minor"/>
          </rPr>
          <t xml:space="preserve">Andre Pasquale:
Physiological yellowing </t>
        </r>
      </text>
    </comment>
    <comment ref="Q65" authorId="0" shapeId="0" xr:uid="{EC18012A-9F5F-4EC7-8F6A-794CD9FD8FBC}">
      <text>
        <r>
          <rPr>
            <sz val="11"/>
            <color theme="1"/>
            <rFont val="Calibri"/>
            <family val="2"/>
            <scheme val="minor"/>
          </rPr>
          <t>Andre Pasquale:
Septoria</t>
        </r>
      </text>
    </comment>
    <comment ref="K73" authorId="0" shapeId="0" xr:uid="{753A4205-A6CF-47A3-86E6-454D46EEA3A8}">
      <text>
        <r>
          <rPr>
            <sz val="11"/>
            <color theme="1"/>
            <rFont val="Calibri"/>
            <family val="2"/>
            <scheme val="minor"/>
          </rPr>
          <t>Andre Pasquale:
Physiological yellowing</t>
        </r>
      </text>
    </comment>
    <comment ref="L73" authorId="0" shapeId="0" xr:uid="{35CEB08C-B930-4DA2-A648-607E731E7655}">
      <text>
        <r>
          <rPr>
            <sz val="11"/>
            <color theme="1"/>
            <rFont val="Calibri"/>
            <family val="2"/>
            <scheme val="minor"/>
          </rPr>
          <t>Andre Pasquale:
Physiological yellowing</t>
        </r>
      </text>
    </comment>
    <comment ref="K89" authorId="0" shapeId="0" xr:uid="{232CC6B1-735A-4118-9D91-2F7872C98A06}">
      <text>
        <r>
          <rPr>
            <sz val="11"/>
            <color theme="1"/>
            <rFont val="Calibri"/>
            <family val="2"/>
            <scheme val="minor"/>
          </rPr>
          <t>Andre Pasquale:
Physiological yellowing</t>
        </r>
      </text>
    </comment>
    <comment ref="O89" authorId="0" shapeId="0" xr:uid="{BAFCAC68-E440-4041-9F94-BAB5106B7CE2}">
      <text>
        <r>
          <rPr>
            <sz val="11"/>
            <color theme="1"/>
            <rFont val="Calibri"/>
            <family val="2"/>
            <scheme val="minor"/>
          </rPr>
          <t>Andre Pasquale:
Physiological yellowing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tc={59972366-F966-4589-80A5-5B627F333919}</author>
    <author>tc={81DBC69F-5D87-431C-A9F4-8B95B658D97D}</author>
  </authors>
  <commentList>
    <comment ref="T1" authorId="0" shapeId="0" xr:uid="{59972366-F966-4589-80A5-5B627F333919}">
      <text>
        <t>[Threaded comment]
Your version of Excel allows you to read this threaded comment; however, any edits to it will get removed if the file is opened in a newer version of Excel. Learn more: https://go.microsoft.com/fwlink/?linkid=870924
Comment:
    Flag-4</t>
      </text>
    </comment>
    <comment ref="AP20" authorId="1" shapeId="0" xr:uid="{81DBC69F-5D87-431C-A9F4-8B95B658D97D}">
      <text>
        <t>[Threaded comment]
Your version of Excel allows you to read this threaded comment; however, any edits to it will get removed if the file is opened in a newer version of Excel. Learn more: https://go.microsoft.com/fwlink/?linkid=870924
Comment:
    Much lower than other 3 replicates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tc={977832C8-ECF7-49E3-AE48-FAD748AA6C83}</author>
    <author>tc={4475E383-AC9B-4ED7-825E-CEB9AFD90BAC}</author>
    <author>tc={10B4E58F-F911-4A19-874C-5972C6DA1608}</author>
    <author>tc={6CE43BFC-BE48-4B40-8C94-127FE14358F6}</author>
  </authors>
  <commentList>
    <comment ref="M169" authorId="0" shapeId="0" xr:uid="{977832C8-ECF7-49E3-AE48-FAD748AA6C83}">
      <text>
        <t>[Threaded comment]
Your version of Excel allows you to read this threaded comment; however, any edits to it will get removed if the file is opened in a newer version of Excel. Learn more: https://go.microsoft.com/fwlink/?linkid=870924
Comment:
    The 10 plants marked are far behind, which were not representing the whole plot. Recounted with different plants (31C, 16F)</t>
      </text>
    </comment>
    <comment ref="M170" authorId="1" shapeId="0" xr:uid="{4475E383-AC9B-4ED7-825E-CEB9AFD90BAC}">
      <text>
        <t>[Threaded comment]
Your version of Excel allows you to read this threaded comment; however, any edits to it will get removed if the file is opened in a newer version of Excel. Learn more: https://go.microsoft.com/fwlink/?linkid=870924
Comment:
    Recounted using different plant population</t>
      </text>
    </comment>
    <comment ref="M183" authorId="2" shapeId="0" xr:uid="{10B4E58F-F911-4A19-874C-5972C6DA1608}">
      <text>
        <t xml:space="preserve">[Threaded comment]
Your version of Excel allows you to read this threaded comment; however, any edits to it will get removed if the file is opened in a newer version of Excel. Learn more: https://go.microsoft.com/fwlink/?linkid=870924
Comment:
    Recounted with different plants (40C, 22F)(30C, 12F)
</t>
      </text>
    </comment>
    <comment ref="M190" authorId="3" shapeId="0" xr:uid="{6CE43BFC-BE48-4B40-8C94-127FE14358F6}">
      <text>
        <t xml:space="preserve">[Threaded comment]
Your version of Excel allows you to read this threaded comment; however, any edits to it will get removed if the file is opened in a newer version of Excel. Learn more: https://go.microsoft.com/fwlink/?linkid=870924
Comment:
    Recounted with different plants (40C, 19F)(56C, 37F)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tc={0A0036A8-D696-4475-8E82-85EF9BC0BECC}</author>
    <author>tc={65073C60-1A5F-43F6-993B-A7FE4781D3E5}</author>
    <author>tc={A574F1B0-9D86-4DAA-A0DB-6B36C10443E5}</author>
  </authors>
  <commentList>
    <comment ref="T1" authorId="0" shapeId="0" xr:uid="{0A0036A8-D696-4475-8E82-85EF9BC0BECC}">
      <text>
        <t>[Threaded comment]
Your version of Excel allows you to read this threaded comment; however, any edits to it will get removed if the file is opened in a newer version of Excel. Learn more: https://go.microsoft.com/fwlink/?linkid=870924
Comment:
    Flag-4</t>
      </text>
    </comment>
    <comment ref="J18" authorId="1" shapeId="0" xr:uid="{65073C60-1A5F-43F6-993B-A7FE4781D3E5}">
      <text>
        <t>[Threaded comment]
Your version of Excel allows you to read this threaded comment; however, any edits to it will get removed if the file is opened in a newer version of Excel. Learn more: https://go.microsoft.com/fwlink/?linkid=870924
Comment:
    It was raining. All shoots were wet and fresh weight could be higher!</t>
      </text>
    </comment>
    <comment ref="AP28" authorId="2" shapeId="0" xr:uid="{A574F1B0-9D86-4DAA-A0DB-6B36C10443E5}">
      <text>
        <t>[Threaded comment]
Your version of Excel allows you to read this threaded comment; however, any edits to it will get removed if the file is opened in a newer version of Excel. Learn more: https://go.microsoft.com/fwlink/?linkid=870924
Comment:
    Poor plot with much smaller plants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tc={89DA4042-E35A-44C1-80AC-F587F0A7702F}</author>
  </authors>
  <commentList>
    <comment ref="T1" authorId="0" shapeId="0" xr:uid="{89DA4042-E35A-44C1-80AC-F587F0A7702F}">
      <text>
        <t>[Threaded comment]
Your version of Excel allows you to read this threaded comment; however, any edits to it will get removed if the file is opened in a newer version of Excel. Learn more: https://go.microsoft.com/fwlink/?linkid=870924
Comment:
    Number of spikelets that the first florets do not contain a grain</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tc={D0FB03D3-F1E3-4DEB-8A48-36B5DF15801F}</author>
    <author>tc={10335762-1E49-405D-9916-4A556492536A}</author>
    <author>tc={E9608F94-6BB3-45FE-B11E-EEFAA194ACD3}</author>
    <author>tc={D9676E0D-55AE-47A6-87FE-94A32EEB0453}</author>
  </authors>
  <commentList>
    <comment ref="AO1" authorId="0" shapeId="0" xr:uid="{D0FB03D3-F1E3-4DEB-8A48-36B5DF15801F}">
      <text>
        <t>[Threaded comment]
Your version of Excel allows you to read this threaded comment; however, any edits to it will get removed if the file is opened in a newer version of Excel. Learn more: https://go.microsoft.com/fwlink/?linkid=870924
Comment:
    Looks like missing subsample grain weight</t>
      </text>
    </comment>
    <comment ref="AR1" authorId="1" shapeId="0" xr:uid="{10335762-1E49-405D-9916-4A556492536A}">
      <text>
        <t>[Threaded comment]
Your version of Excel allows you to read this threaded comment; however, any edits to it will get removed if the file is opened in a newer version of Excel. Learn more: https://go.microsoft.com/fwlink/?linkid=870924
Comment:
    Have put in a formula for yield response to comp that includes the subsample grain, or alternatively uses the whole samples grain yield and multiplies the outside row by 4</t>
      </text>
    </comment>
    <comment ref="R2" authorId="2" shapeId="0" xr:uid="{E9608F94-6BB3-45FE-B11E-EEFAA194ACD3}">
      <text>
        <t xml:space="preserve">[Threaded comment]
Your version of Excel allows you to read this threaded comment; however, any edits to it will get removed if the file is opened in a newer version of Excel. Learn more: https://go.microsoft.com/fwlink/?linkid=870924
Comment:
    27 spikes </t>
      </text>
    </comment>
    <comment ref="R14" authorId="3" shapeId="0" xr:uid="{D9676E0D-55AE-47A6-87FE-94A32EEB0453}">
      <text>
        <t>[Threaded comment]
Your version of Excel allows you to read this threaded comment; however, any edits to it will get removed if the file is opened in a newer version of Excel. Learn more: https://go.microsoft.com/fwlink/?linkid=870924
Comment:
    28 spikes</t>
      </text>
    </comment>
  </commentList>
</comments>
</file>

<file path=xl/sharedStrings.xml><?xml version="1.0" encoding="utf-8"?>
<sst xmlns="http://schemas.openxmlformats.org/spreadsheetml/2006/main" count="5995" uniqueCount="642">
  <si>
    <t>Site name</t>
  </si>
  <si>
    <t>Dookie College</t>
  </si>
  <si>
    <t>Paddock name</t>
  </si>
  <si>
    <t>McPoyles 1</t>
  </si>
  <si>
    <t>GPS row</t>
  </si>
  <si>
    <t>Location (lat, long)</t>
  </si>
  <si>
    <t>Weather station</t>
  </si>
  <si>
    <t>http://weatherplus.ikcaldwell.com.au/wpdookiecollege/weather/index.html</t>
  </si>
  <si>
    <t>BOM station</t>
  </si>
  <si>
    <t>http://www.bom.gov.au/climate/averages/tables/cw_081013.shtml</t>
  </si>
  <si>
    <t xml:space="preserve">Mean rainfall (1879-2019) </t>
  </si>
  <si>
    <t>554 mm</t>
  </si>
  <si>
    <t>Growing season rainfall (Apr-Nov)</t>
  </si>
  <si>
    <t>405 mm</t>
  </si>
  <si>
    <t>Experiment name</t>
  </si>
  <si>
    <t>GRDC European vs Australian wheat</t>
  </si>
  <si>
    <t>Experiment code</t>
  </si>
  <si>
    <t>Aim</t>
  </si>
  <si>
    <t>Yield physiology of Australian vs European winter and spring wheat</t>
  </si>
  <si>
    <t>Research question</t>
  </si>
  <si>
    <t>Treatments</t>
  </si>
  <si>
    <t>!Sow_time</t>
  </si>
  <si>
    <t>!Line</t>
  </si>
  <si>
    <t>!Range</t>
  </si>
  <si>
    <t>!Row</t>
  </si>
  <si>
    <t>Mid_April</t>
  </si>
  <si>
    <t>Big_Red</t>
  </si>
  <si>
    <t>Illabo</t>
  </si>
  <si>
    <t>UOM001_3_47</t>
  </si>
  <si>
    <t>UOM001_9_1</t>
  </si>
  <si>
    <t>Mid_May</t>
  </si>
  <si>
    <t>Sunmaster</t>
  </si>
  <si>
    <t>RGT_Zanzibar</t>
  </si>
  <si>
    <t>Line</t>
  </si>
  <si>
    <t>Source</t>
  </si>
  <si>
    <t>Kernal weight (g)</t>
  </si>
  <si>
    <t>Sowing rate (seeds/m²)</t>
  </si>
  <si>
    <t>Sowing rate (g/m²)</t>
  </si>
  <si>
    <t>Drop length (m)</t>
  </si>
  <si>
    <t>Plot width (m)</t>
  </si>
  <si>
    <t>Sown plot area (m²)</t>
  </si>
  <si>
    <t>Seed per packet (g)</t>
  </si>
  <si>
    <t xml:space="preserve">Seed per packet text </t>
  </si>
  <si>
    <t>GRDC</t>
  </si>
  <si>
    <t>NPI Dookie 2023</t>
  </si>
  <si>
    <t>UOM2312-001RTX 24 DOO JH EVA WHT</t>
  </si>
  <si>
    <r>
      <t>N</t>
    </r>
    <r>
      <rPr>
        <sz val="11"/>
        <color theme="1"/>
        <rFont val="Calibri"/>
        <family val="2"/>
      </rPr>
      <t>→</t>
    </r>
  </si>
  <si>
    <t>Sown 16 Apr</t>
  </si>
  <si>
    <t>Sown 14 May</t>
  </si>
  <si>
    <t>Range</t>
  </si>
  <si>
    <t>Kittyhawk</t>
  </si>
  <si>
    <t>Willaura</t>
  </si>
  <si>
    <t>Sunflex</t>
  </si>
  <si>
    <t>B</t>
  </si>
  <si>
    <t>Row</t>
  </si>
  <si>
    <t>Corinne sowing notes for buffers and rows:</t>
  </si>
  <si>
    <t>Ext buffer</t>
  </si>
  <si>
    <t xml:space="preserve">Barley buffer Westminster </t>
  </si>
  <si>
    <t>int buffer</t>
  </si>
  <si>
    <t xml:space="preserve">Wheat buffer Kittyhawk </t>
  </si>
  <si>
    <t>Winter</t>
  </si>
  <si>
    <t>1 Winter wheat</t>
  </si>
  <si>
    <t>Int buffer</t>
  </si>
  <si>
    <t>Wheat buffer kittyhawk</t>
  </si>
  <si>
    <t>Spring</t>
  </si>
  <si>
    <t>2 Spring wheat empty</t>
  </si>
  <si>
    <t>Wheat buffer Kittyhawk</t>
  </si>
  <si>
    <t>3 Winter wheat</t>
  </si>
  <si>
    <t xml:space="preserve">4 Spring wheat empty </t>
  </si>
  <si>
    <t xml:space="preserve">Wheat buffer Willaura </t>
  </si>
  <si>
    <t>5 Winter wheat</t>
  </si>
  <si>
    <t>Wheat buffer Willaura</t>
  </si>
  <si>
    <t xml:space="preserve">6 Spring wheat empty </t>
  </si>
  <si>
    <t xml:space="preserve">7 Winter wheat </t>
  </si>
  <si>
    <t>8 Spring wheat empty</t>
  </si>
  <si>
    <t>Wheat buffer sunflex</t>
  </si>
  <si>
    <t>Plot</t>
  </si>
  <si>
    <t>Range serp order</t>
  </si>
  <si>
    <t>Date</t>
  </si>
  <si>
    <t>Staff</t>
  </si>
  <si>
    <t>Operation</t>
  </si>
  <si>
    <t>Comments</t>
  </si>
  <si>
    <t>JH, JW</t>
  </si>
  <si>
    <t>Seed treatment, seed packing</t>
  </si>
  <si>
    <t>Juan treated all seed with 3.2 ml/kg Rancona Dimension and 2.4 ml/kg Expunge and we packed seed</t>
  </si>
  <si>
    <t>JH, CC, TR, NA</t>
  </si>
  <si>
    <t>Sowing</t>
  </si>
  <si>
    <t>Nathan connected seeder to tractor and moved to shed. James changed bolts holding points to tines to stop points from moving and blew down and tested electronics. James and Nathan centred seeder on tractor and leveled seeder on concrete floor (seeder not quite square/floor not suite flat), couldn't get enough adjustment in top arm of linkage to get desired 13 mm gap below rear of spear point. Inflated seeder tires to 15 PSI. James and Tim took seeder to McPoyles 1 and marked out 2024 trial area starting 36 m off end of boom (centre of tractor when tractor wheel against fence) from the NS and EW fences in the SE corner of the paddock. Trip lines (NS) were on 9.0 m swathes, sowing lines (EW) were on 2.2 m swathes. Tractor had wide rear tires. Set cone controller speed to 16.5 which gave a drop length of ~9.2 m (4 turns of seeder drive wheel). Tested depth with wheels extended 220 mm and found seed going too shallow but fert was close to the bottom of furrow. Used conduit and PVC scavenged from piggery to swap fert and seed tubes around. This got some seed to bottom of furrow, and most seed in moist soil just above. Lifted seeder wheels to 240 mm and seed was at 4-6 cm above top of press wheel furrow and in moist soil (***check depth below original soil***). Seed bed quite cloddy, tried driving at 5 km/h and this didn't improve it.  Set press wheels as aggressive as possible which gave 17 kg downforce. Started sowing ~4 pm and finished before 5. No knockdown or pre-emergent used, trial area of paddock completely clean.
Corinne recorded buffer cultivars while sowing and entered this into trial plan.</t>
  </si>
  <si>
    <t>James Hunt, Juan Wang, Jesse Clune</t>
  </si>
  <si>
    <t>Checked emergence - plants emerging in all plots checked. Emergence more advanced where seeder went shallow and where trash rows conserved moisture.</t>
  </si>
  <si>
    <t>Juan Wang, James Hunt, Frank Mazzone, Jesse Clune, Kelly Rodgers, Dipak ***</t>
  </si>
  <si>
    <t>Emergence, soil sampling</t>
  </si>
  <si>
    <t>Juan and Frank marked out 1 m of row (2.1 m away from the middle of trip line) and counted emergence. The rest took soil samples from adjacent WWHI experiment.</t>
  </si>
  <si>
    <t>Juan Wang, Dipak</t>
  </si>
  <si>
    <t>Irrigating</t>
  </si>
  <si>
    <t>Juan and Dipak irrigated the winter wheat for two trials: EVA WHT and WWHI. A water cart, with capacity of ~1000 l, was connect to the ute to achieve an even water application. The total of ~3000 l water was applied into 48 plots (16 for EVA WHT and 32 for WWHI trials. About 5 mm water was applied into each plot.</t>
  </si>
  <si>
    <t>JH, AP</t>
  </si>
  <si>
    <t>Emergence</t>
  </si>
  <si>
    <t>James and Arjun counted emergence and inspected trial. Most advanced seedlings at 2 leaf, but a new wave emerging where Juan had watered. A lot of seedlings that had emerged were starting to look very water stressed. Some insect damage of seedlings.</t>
  </si>
  <si>
    <t>JH, JW, TR</t>
  </si>
  <si>
    <t>James and Frank added inner spring to press wheels on seeder and adjusted to 14-17 kg per presswheel. Lifted rear fertiliser boots to stop them dragging seed in furrow. Levelled seeder but it was lower at the front still. Planted spring wheats with Case tractor into missing strips into good moisture, seed ~4 cm deep rear tines and 5 cm deep front tines. Plants continuing to emerge in earlier ToS. Calibrated manual rain gauges, put 5 x tips on Hays 2 automatic gauge and 1 x tip on AdCon. Cleaned both gauges, removed dent in Adcon, levelled Hays 2.</t>
  </si>
  <si>
    <t>JW</t>
  </si>
  <si>
    <t>Emergence count</t>
  </si>
  <si>
    <t>Counted the final emergence. Most of the plots reached their maximum plant number except for few plots which still showed a new wave of emerging following the rainfall on 10th May. Most advanced seedlings are at 4 leaf, and one tiller.</t>
  </si>
  <si>
    <t>JW, AP</t>
  </si>
  <si>
    <t>Plant density</t>
  </si>
  <si>
    <t xml:space="preserve">Counted the plant density: counted emerged plant along a 1 m ruler placed randomly at 5-6 locations at the middle of the four rows within each plot (the outside two rows were not properly watered during earlier irrigation). </t>
  </si>
  <si>
    <t>JW, AP, JC</t>
  </si>
  <si>
    <t>Emergence count and Haun stage</t>
  </si>
  <si>
    <t>Andre and Jesse marked out 1 m row and counted the emergence for spring wheat. Juan marked the 3rd leaves of 3 winter wheat plants per plot, counted and ranked the emerged leaves on the main stem. The 3rd leaves had been damaged by the herbicide, especially on the western end of the plots. Asked Andre to rank the damage.</t>
  </si>
  <si>
    <t>Andre</t>
  </si>
  <si>
    <t>Herbicide and Drought Effects</t>
  </si>
  <si>
    <t xml:space="preserve">All plots showed paraquat damage to varying degrees. Minimum damage seen on most plots. Western edge (range 4) worst effected. Drought effects identified in four plots only (203, 305, 207, 307). </t>
  </si>
  <si>
    <t>Counted emergence in spring wheat. Range 4, row 6 showed lowest emergence (11), while range 3, row 8 showed highest emergence (53). Remaining plots showed emergence between 25 and 42.</t>
  </si>
  <si>
    <t>James and Andre</t>
  </si>
  <si>
    <t>NDVI</t>
  </si>
  <si>
    <t>Green seeker used to measure NDVI across all plots. Data uploaded onto James' phone.</t>
  </si>
  <si>
    <t>Emergence Count</t>
  </si>
  <si>
    <t>Emergence count conducted in spring wheat. Plot 406 showed lowest emergence (23), while plot 308 showed highest emergence (57). Remaining plots showed emergence anywhere between 27 and 46.</t>
  </si>
  <si>
    <t>Haun's Scale</t>
  </si>
  <si>
    <t>Conducted leaf counts on winter wheat. Noticed minimal herbivore damage, effecting one plant in plot 307.</t>
  </si>
  <si>
    <t>Replaced Damaged Plant</t>
  </si>
  <si>
    <t>Replaced plant (2nd plant in plot 307) that was damaged by herbivore, by marking 3rd leaf with pink paint, and tagged with red bird band for identification purposes.  Also, took Haun's scale measurement for comparison purposes.</t>
  </si>
  <si>
    <t xml:space="preserve">Emergence count conducted in spring wheat. </t>
  </si>
  <si>
    <t>Crop Protection</t>
  </si>
  <si>
    <t>Contructed small cylindrical fences to protect plants from herbivores in plots (307) most susceptible.</t>
  </si>
  <si>
    <t>Juan, Andre</t>
  </si>
  <si>
    <t>Plant Density Count</t>
  </si>
  <si>
    <t xml:space="preserve">Counted the plant density on spring wheat: counted emerged plants on both side of a 1 m ruler placed randomly at 3 locations in the middle of the four rows within each plot (leaf stage: 2.1-2.5). </t>
  </si>
  <si>
    <t>Marked the 6th leave with yellow and conducted leaf counts on winter wheat. Noticed herbivore damage (bad for 2 plots) and replaced with a new plant. Bird band is becoming increasingly hard to locate, so we pin marked each plant.</t>
  </si>
  <si>
    <t>Green seeker used to measure NDVI across all plots; including one reading of bare soil NDVI. Data uploaded onto Andre's phone and entered into relevant spreadsheet.</t>
  </si>
  <si>
    <t>Resmeasurent Haun's Scale</t>
  </si>
  <si>
    <t>Remeasurment taken for plot 405</t>
  </si>
  <si>
    <t xml:space="preserve">Leaf Measurements </t>
  </si>
  <si>
    <t>Measured width and length of 3rd and 6th leaves on winter wheat. Made a note of herbicide damage on 3rd leaf if seen.</t>
  </si>
  <si>
    <t>Haun's Scale (Spring wheat)</t>
  </si>
  <si>
    <t>Marked and scored (haun's scale) 3rd leaf in spring wheat with red pen. Identified three plants within three of the four middle sowing rows (creating a sort of triangle formation for ease of leaf scoring), and placed a brightly coloured bird band (red, yellow, orange) around main stem.  Thinned around chosen plantly slightly if many plants germinated in close proximity, for ease of data collection. Also placed a pin marker in the the middle of the triangle formation for ease of locating the three marked plants within each plot.</t>
  </si>
  <si>
    <t>Haun's Scale (Winter wheat)</t>
  </si>
  <si>
    <t xml:space="preserve">Conducted leaf counts on winter wheat. Seems to be some variation in leaf scoring. Almost a leaf differecne in some cases Something to note. </t>
  </si>
  <si>
    <t>Conducted leaf count in spring wheat.</t>
  </si>
  <si>
    <t>Inspection (winter wheat)</t>
  </si>
  <si>
    <t>Spotted yellowing in older leaves in winter wheat. Perhaps combination of septoria and nitrogen deficiency.</t>
  </si>
  <si>
    <t>Hauns Scale (Winter Wheat)</t>
  </si>
  <si>
    <t>Conducted leaf count in winter wheat.</t>
  </si>
  <si>
    <t>Conducted leaf count in spring wheat. Minimal slug damage.</t>
  </si>
  <si>
    <t>Weeding</t>
  </si>
  <si>
    <t>Weeding ryegrass, sow thistle, and other weeds inbetween rows and in plots.</t>
  </si>
  <si>
    <t xml:space="preserve">Conducted leaf scoring in Winter Wheat. Noticed some bird bands (originally placed around main stem) were strangling plants because of tillering. Need to remember to continously reapply around mainstem everytime i score leaves. </t>
  </si>
  <si>
    <t>Conducted leaf scoring in  Spring Wheat.</t>
  </si>
  <si>
    <t>Tim</t>
  </si>
  <si>
    <t>Urea 1st top-dressing</t>
  </si>
  <si>
    <t>150 kg urea/ha</t>
  </si>
  <si>
    <t>Tim, Andre</t>
  </si>
  <si>
    <t>Sprayed Out Trip lines</t>
  </si>
  <si>
    <t>Trip lines were sprayed out off centre. Some plots varieties are overlapping on edges. There was a discrepancy between tractor's GPS points and the placement of pink flexi poles regarding identification of trip line. James and Corinne discovered the seeder was not centred at time of sowing, which likely contributed to this trip line incongruity.  Furthermore, herbicide used to spray out trip lines damaged plants in most plots, particularly on edges.</t>
  </si>
  <si>
    <t>9th Leaf Painting (Winter Wheat)</t>
  </si>
  <si>
    <t>Started painting 9th leaf (pink); and reapplied bird bands around main stem. Did not finish.</t>
  </si>
  <si>
    <t>Finished painting 9th leaf (pink); and reaaplying bird band around main stem.</t>
  </si>
  <si>
    <t xml:space="preserve">Juan </t>
  </si>
  <si>
    <t xml:space="preserve">Conducted leaf scoring in Winter Wheat. </t>
  </si>
  <si>
    <t>6th Leaf Painting (Spring Wheat)</t>
  </si>
  <si>
    <t>Painted 6th leaf (yellow) in spring wheat; and reapplied bird band around main stem, as they were strangling plants.</t>
  </si>
  <si>
    <t>Conducted leaf scoring in Spring Wheat.</t>
  </si>
  <si>
    <t xml:space="preserve">Leaf Measurements (3rd leaf. width &amp; length) in Spring Wheat </t>
  </si>
  <si>
    <t>Measured width and length of 3rd leaves in spring  wheat. Made a note of slug damage and septoria symptoms if seen.</t>
  </si>
  <si>
    <t>Conducted leaf scoring in  Spring Wheat. Inspected plots for stripe rust; found stripe rust in one plot only (plot 102 [Sunmaster]).  Chipped weeds in and around plots in preparation for field day.</t>
  </si>
  <si>
    <t>Labelled plots</t>
  </si>
  <si>
    <t>Labelled all plots in 1st range in preparation for GRDC Southern panel visit.</t>
  </si>
  <si>
    <t>Chipping weeds</t>
  </si>
  <si>
    <t>Hand hoed weeds in and around plots in preparation for GRDC Southern panel visit.</t>
  </si>
  <si>
    <t>Urea 2nd top-dressing</t>
  </si>
  <si>
    <t>James, Andre</t>
  </si>
  <si>
    <t>Plant dissection</t>
  </si>
  <si>
    <t>Inspected development of all varieties via dissection. Most, if not all varieties are N3 going on N4.</t>
  </si>
  <si>
    <t>Conducted leaf scoring in  Spring Wheat. Painted 9th leaf pink.</t>
  </si>
  <si>
    <t>PCDS 6.0 harvest for UOM 1_3_47 and UOM 1_9_1 (Sow in April)</t>
  </si>
  <si>
    <t xml:space="preserve">Area to be cut scanned for NDVI, PARi  measured with ceptometer at ground level, 25% of plant height, 50 % of plant height, 75% of plant height and above the canopy. SPAD readings (4 readings per height, mid leaf). Canopy height measured. All culms in a 0.5 x 1 m were cut at ground level and fresh weight recorded. After weighing, take a subsample by layint a bunch of culms on the bench, then count from left to right until reaching 50 culms. Record their fresh weight and discard the main sample. Thirty of the culms were put in paper bags and dried for moisture content measurement. The remaining 20 culms were dissected into green leaves, dead leaves, stems and spikes and dry to constant weight (70°C for 48 hours) and record dry weight. </t>
  </si>
  <si>
    <t xml:space="preserve">Leaf Measurements (6th leaf Spring. 9th leaf Winter) </t>
  </si>
  <si>
    <t>Measured width and length of 6th leaf (spring) and 9th leaf (winter). Made a note of any leaf damaged observed.</t>
  </si>
  <si>
    <t>Juan, Andre, Dipak</t>
  </si>
  <si>
    <t xml:space="preserve">Illabo </t>
  </si>
  <si>
    <t>See above</t>
  </si>
  <si>
    <t>Juan, Andre, Danica</t>
  </si>
  <si>
    <t>Sunmaster (EVA)</t>
  </si>
  <si>
    <t>Conducted Haun's Sclae in both spring and winter wheat. Most varieties at flag leaf except Big Red.</t>
  </si>
  <si>
    <t>UOM 1_3_47 and UOM 1_9_1 (Sow in May), Zanzibar</t>
  </si>
  <si>
    <t>PCDS 6.0 harvest for Big Red (Sow in April)</t>
  </si>
  <si>
    <t>Andre, Danica</t>
  </si>
  <si>
    <t>Leaf angle measurements</t>
  </si>
  <si>
    <t>Measured leaf angle - with digital protractor - of flag leaf, minus one, minus two, and in some cases minus three leaf(if it wasn't yellowing). This occurred in all winter and spring plots on the three plants tagged for Haun's scale measurements.</t>
  </si>
  <si>
    <t>Final Haun's Scale measurement taken for remaining plants in spring and winter wheat.</t>
  </si>
  <si>
    <t>Juan, Andre, Lily</t>
  </si>
  <si>
    <t>PCDS 8.0 harvest for UOM 1_3_47 (Sow in April)</t>
  </si>
  <si>
    <t>PCDS 8.0 harvest for UOM 1_9_1 (Sow in April)</t>
  </si>
  <si>
    <t>Leaf length and width measurements (9th leaf Spring wheat)</t>
  </si>
  <si>
    <t>Measured width and length of 9th leaves in spring wheat. Made a note of physiological yellowing if seen.</t>
  </si>
  <si>
    <t>Juan, James, Andre</t>
  </si>
  <si>
    <t>PCDS 8.0 harvest for Illabo (Sow in April)</t>
  </si>
  <si>
    <t>PCDS 8.0 harvest for Sunmaster, UOM1_3_47 (Sow in May)</t>
  </si>
  <si>
    <t>Green seeker used to measure NDVI across all plots; including one reading of bare soil NDVI. Data uploaded onto Andre's phone and entered into relevant spreadsheet. Partly cloudy, 18.8 degrees celsius.</t>
  </si>
  <si>
    <t>PCDS 8.0 harvest for Big Red (Sow in April), Zanzibar, UOM001_9_1 (Sow in May)</t>
  </si>
  <si>
    <t>Green seeker used to measure NDVI across all plots.</t>
  </si>
  <si>
    <t>Green seeker used to measure NDVI across all plots; including one reading of bare soil NDVI.  Measurement taken 11:05am 19 degrees celsius, clear and sunny.</t>
  </si>
  <si>
    <t>Green seeker used to measure NDVI across all plots; including one reading of bare soil NDVI. Data uploaded onto Andre's phone and entered into relevant spreadsheet. Partly cloudy, 25 degrees celsius.</t>
  </si>
  <si>
    <t>Juan, James, Corinne, Arjun, Lily, Ella, Andre</t>
  </si>
  <si>
    <t>PCDS 10.0 Harvest</t>
  </si>
  <si>
    <t>0.5 m2 Quadrat cuts were taken from each plot. This included 4 inside rows, and two outside rows, which were placed into separately labelled bags.  All samples were stored for partioning, drying, and finally threshing.</t>
  </si>
  <si>
    <t>Measurement</t>
  </si>
  <si>
    <t>Protocol</t>
  </si>
  <si>
    <t>Timing relative to SCDS or PCDS</t>
  </si>
  <si>
    <t>Sample/observation Number per site</t>
  </si>
  <si>
    <t>Approximate date</t>
  </si>
  <si>
    <t>Soil water characterisation for modelling purposes</t>
  </si>
  <si>
    <t>If no APSoil characterisation is available within very close proximity of the site, measurements of in-situ drained upper limit (DUL) and crop lower limit (CLL) and bulk density (BD) at the site as per Burk and Dalgliesh (2008). Cores to be taken to 1.8 m depth (or maximum root depth for the site – if sampling equipment cannot reach 1.8 m, go as deep as you can) and segmented into 0-0.1, 0.1-0.2, 0.2-0.4, 0.4-0.6, 0.6-0.8, 0.8-1.0, 1.0-1.2, 1.2-1.4, 1.4-1.6, 1.6-1.8   m depths (or choose depth increments based on marked changes in soil profile of texture or colour). CLL tents to be applied at PCDS 6.0 and samples to be taken once crop past permanent wilting point.</t>
  </si>
  <si>
    <t>G0 to GR10</t>
  </si>
  <si>
    <t>1 x characterisation site</t>
  </si>
  <si>
    <t>Measure DUL and BD in early August. Erect CLL tents at PCDS 6.0 early September, measure CLL late October once wilting point reached</t>
  </si>
  <si>
    <t>Soil resources</t>
  </si>
  <si>
    <t>8 intact soil cores per site (~2 per block) taken to ideally 1.8 m (or maximum root depth for the site – if sampling equipment cannot reach 1.8 m, go as deep as you can) and segmented into 0-0.1, 0.1-0.2, 0.2-0.4, 0.4-0.6, 0.6-0.8, 0.8-1.0, 1.0-1.2, 1.2-1.4, 1.4-1.6, 1.6-1.8 m  depths or choose depth increments based on marked changes in soil profile of texture or colour) and analysed individually for gravimetric soil water, NO3, NH4, Colwell P  &amp; PBI, exchangeable cations, S, pH, EC, Cl, OC, hand texture, colour, total C, total N. Samples should be sent to Nutrient Advantage and analysed using codes E12, 6B2b, 7A5, Moist, Gravel, Sansiclay2, 7D2b. If you can guarantee rapid delivery (24-48 hours) to Nutrient Advantage, it is OK to send samples at field moisture, otherwise air dry in a well-ventilated soil oven at 40°C prior to shipping. Samples to be retained by Nutrient Advantage and collected by the University of Melbourne for measurement of water retention curves with WP4 dew point potentiometer.</t>
  </si>
  <si>
    <t>Prior to G0</t>
  </si>
  <si>
    <t>8 cores x 10 depths = 80 samples</t>
  </si>
  <si>
    <t>April</t>
  </si>
  <si>
    <t>Predicta B</t>
  </si>
  <si>
    <t>At each of 16 locations across the trial area (4 in each block), collect three soil cores (10 x 100mm core) from along the row of the previous cereal crop if still visible and do not remove any plant debris. Total sample weight should be less than 500g. Air dry in a well-ventilated soil drying oven at 40°C before sending to SARDI for analysis as per Predicta B protocol.</t>
  </si>
  <si>
    <t>1 bulked soil sample</t>
  </si>
  <si>
    <t>Weather</t>
  </si>
  <si>
    <t>An automatic weather station at each site recording incoming solar radiation, shielded air temperature, and rainfall at a minimum of half-hourly intervals. A manual rain gauge to be established at each site and read and emptied each visit as a back-up.</t>
  </si>
  <si>
    <t>G0 to GR100</t>
  </si>
  <si>
    <t>1 x weather station per site</t>
  </si>
  <si>
    <t>From soil sampling onward</t>
  </si>
  <si>
    <t>Emergence (PCDS 3.0)</t>
  </si>
  <si>
    <t>As per (Celestina et al. 2023) “In the centre row of each plot, mark out one linear metre of crop row using pin markers or similar. Twice a week, count and record the number of plants that have emerged in this linear metre. Continue observations until two consecutive counts are the same, indicating no more plants have emerged. Calculate 50 % seedling emergence date as the date on which half of the final number of plants have emerged by interpolating observations.”</t>
  </si>
  <si>
    <t>E1</t>
  </si>
  <si>
    <t>64 plots x 4 sampling times = 256 observations</t>
  </si>
  <si>
    <t>Start 20 April and 20 May for each ToS respectively</t>
  </si>
  <si>
    <t>Plant population density</t>
  </si>
  <si>
    <t>Count emerged plants on both sides of a 1 m ruler placed between rows at 4 locations within each plot</t>
  </si>
  <si>
    <t>L2-L3</t>
  </si>
  <si>
    <t>64 plots x 4 locations = 256 observations</t>
  </si>
  <si>
    <t>6 May for ToS 1 and 3 June for ToS 2</t>
  </si>
  <si>
    <t>NDVI &amp; canopy height</t>
  </si>
  <si>
    <t>NDVI &amp; plant height recorded at ~2 weekly intervals (can be longer intervals earlier in season and weekly during critical period). A bare soil measurement should be taken with each reading to allow change in soil signal to be accounted for.</t>
  </si>
  <si>
    <t>64 plots x 14 sampling dates = 896 observations</t>
  </si>
  <si>
    <t>Start 6 May</t>
  </si>
  <si>
    <t>Haun Stage, leaf length and width</t>
  </si>
  <si>
    <t>As per Celestina et al. (2023). Mark 3 plants per plot and count emerged leaves on the main stem every 1-2 weeks placing a marker on leaf 3, 6, 9 etc. and touching plants with fingers as little as possible. The length and width of each tagged leaf should be recorded following emergence of the subsequent leaf.</t>
  </si>
  <si>
    <t>L1 to Lx</t>
  </si>
  <si>
    <t>64 plots x 3 plants x 10 sampling dates = 1920 observations</t>
  </si>
  <si>
    <t>Start 13 May ToS 1 and 10 June ToS2</t>
  </si>
  <si>
    <t>PCDS 6.0</t>
  </si>
  <si>
    <t>As per Celestina et al. (2023) “When the first fully expanded flag leaf is observed, select 10 adjacent plants in the centre row of the plot and tag them to facilitate repeated observations, then count and record the number of competent culms within these 10 plants. Twice a week on all subsequent visits, count and record the number of culms within the 10 marked plants with fully expanded flag leaves. Continue observations until flag leaves have fully expanded on all culms. Calculate 50% flag leaf appearance date as the date on which the number of culms with flag leaves fully expanded is half the total number of culms.”</t>
  </si>
  <si>
    <t>F0 to F2</t>
  </si>
  <si>
    <t>64 plots x 5 sampling dates = 320 observations</t>
  </si>
  <si>
    <t xml:space="preserve">Start 2 September </t>
  </si>
  <si>
    <t>PCDS 8.0 </t>
  </si>
  <si>
    <t>As per Celestina et al. (2023) using the same 10 plants that have already been tagged for observation of PCDS 6.0 “Twice a week on all subsequent visits, count and record the number of spikes within the 10 marked plants on which central florets have flowered. Continue observations until all spikes have at least one central spikelet floret that has flowered. Systematically marking or tagging every spike that has flowered will assist in rapid identification of flowered spikes on subsequent visits. Calculate 50 % anthesis date as the date on which the number of flowered spikes is half the total number of culms.”</t>
  </si>
  <si>
    <t>A10 to A100</t>
  </si>
  <si>
    <t>Start 23 September</t>
  </si>
  <si>
    <t>NDVI, PARi, SPAD, plant height, dry matter at PCDS 6.0 based on individual cultivar stage i.e. different cultivars are cut on different days</t>
  </si>
  <si>
    <t>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at corresponding positions in the canopy. Canopy height measured (height of canopy as it sits naturally in the plot). All culms in a 0.5 x all inside rows quadrat (1-1.5 m depending on site) cut at ground level and fresh weight recorded. After weighing, take a subsample by grabbing a bunch of culms from the middle of the whole sample (aim to get 30-60 culms in the sub-sample), record the fresh weight and discard the main sample. Count and record the exact number of culms in the sub-sample. Retain 20 of the culms and partition into green leaves, dead leaves, stems and spikes (this will require dissection) and dry to constant weight (70°C for 48 hours) and record dry weight. Retain samples for possible further analyses.</t>
  </si>
  <si>
    <t>F1</t>
  </si>
  <si>
    <t>64 plots x 4 partitions = 256 samples</t>
  </si>
  <si>
    <t>~9 September</t>
  </si>
  <si>
    <t>Leaf angle</t>
  </si>
  <si>
    <t>On the three plants per plot tagged for Haun stage, with a protractor measure angle between leaf base and stem prior to any bend in the leaf for the top four leaves (flag, flag -1, flag -2, flag -3)  </t>
  </si>
  <si>
    <t>64 plots x 3 plants x 3 leaves = 576 observations</t>
  </si>
  <si>
    <t>NDVI, PARi, plant height, dry matter at PCDS 8.0 based on individual cultivar stage i.e. different cultivars are cut on different days</t>
  </si>
  <si>
    <t>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at corresponding positions in the canopy. Canopy height measured (height of canopy as it sits naturally in the plot). All culms in a 0.5 x all inside rows quadrat (1-1.5 m depending on site) cut at ground level and fresh weight recorded. After weighing, take a subsample by grabbing a bunch of culms from the middle of the whole sample (aim to get 30-60 culms in the sub-sample), record the fresh weight and discard the main sample. Count and record the exact number of culms in the sub-sample. Retain 20 of the culms and partition into green leaves, dead leaves, stems and spikes (this will require dissection) and dry to constant weight (70°C for 48 hours) and record dry weight. Samples retained and ground for N, WSC, 13C analysis (will require re-mixing for whole shoot analysis).</t>
  </si>
  <si>
    <t>A100</t>
  </si>
  <si>
    <t>~30 September</t>
  </si>
  <si>
    <t>Yield components</t>
  </si>
  <si>
    <t>All culms in a 0.5 m (1.0 m if there is not enough plot remaining for a machine harvest) x all inside rows quadrat (1-1.5 m depending on site) cut at ground level. A sub-sample of 30-60 culms taken and exact culm number recorded, main sample threshed and grain dried at 70°C for 48 hours and dry weight recorded. Sub-sample partitioned into dead leaves, stems and spikes and dried at 70°C for 48 hours and dry weight recorded. Spikes threshed and grain and chaff retained weight recorded. Weight of 200 grains recorded. All samples retained and ground for N, WSC, 13C analysis. </t>
  </si>
  <si>
    <t>PCDS 10.0</t>
  </si>
  <si>
    <t>~18 November</t>
  </si>
  <si>
    <t>Intraspecific competition</t>
  </si>
  <si>
    <t>All culms in 0.5  m (1.0 m if no machine harvest and yield component quadrat bigger) of outside rows at either end of the yield component quadrat cut (see above) cut at ground level, placed in a paper bag, dried at 70°C for 48 hours and dry weight recorded before being threshed and total grain dry weight and weight of 200-grains recorded.</t>
  </si>
  <si>
    <t>64 plots = 64 samples</t>
  </si>
  <si>
    <t>Machine harvest grain yield &amp; quality</t>
  </si>
  <si>
    <t>Record any areas of missing row, quantitative estimates of any damage to plots (e.g. birds, hail etc) and with a plot combine harvest remaining area of plots (centre rows only) and record weight and moisture content of harvested grain. Retain a sub-sample and measure protein, screenings &amp; test weight.</t>
  </si>
  <si>
    <t>GR100</t>
  </si>
  <si>
    <t>~9 December</t>
  </si>
  <si>
    <t>!Block</t>
  </si>
  <si>
    <t>Row serp order</t>
  </si>
  <si>
    <t>Measurement number</t>
  </si>
  <si>
    <t>Measurement date</t>
  </si>
  <si>
    <t>Plants emerged (plants/1 m of row)</t>
  </si>
  <si>
    <t>Herbicide Damage (5/26/24)</t>
  </si>
  <si>
    <t>Drought Effects (5/26/24)</t>
  </si>
  <si>
    <t>low</t>
  </si>
  <si>
    <t>Average of Plants emerged (plants/1 m of row)</t>
  </si>
  <si>
    <t>Column Labels</t>
  </si>
  <si>
    <t>Row Labels</t>
  </si>
  <si>
    <t>high</t>
  </si>
  <si>
    <t>YES</t>
  </si>
  <si>
    <t>Count 1 (1 m ruler)</t>
  </si>
  <si>
    <t>Count 2 (1 m ruler)</t>
  </si>
  <si>
    <t>Count 3 (1 m ruler)</t>
  </si>
  <si>
    <t>Count 4 (1 m ruler)</t>
  </si>
  <si>
    <t>Count 5 (1 m ruler)</t>
  </si>
  <si>
    <t>Count 6 (1 m ruler)</t>
  </si>
  <si>
    <t>Mean count (1 m ruler)</t>
  </si>
  <si>
    <t>Row spacing (m)</t>
  </si>
  <si>
    <t>Plant population density (plants/m2)</t>
  </si>
  <si>
    <t>Plant 1 Haun stage</t>
  </si>
  <si>
    <t>Plant 2 Haun stage</t>
  </si>
  <si>
    <t>Plant 3 Haun stage</t>
  </si>
  <si>
    <t>Mean Haun stage</t>
  </si>
  <si>
    <t>Average of Mean Haun stage</t>
  </si>
  <si>
    <t>Mesurement date</t>
  </si>
  <si>
    <t>!Habit</t>
  </si>
  <si>
    <t>(blank)</t>
  </si>
  <si>
    <t>Leaf number</t>
  </si>
  <si>
    <t>Leaf width 1</t>
  </si>
  <si>
    <t>Leaf width 2</t>
  </si>
  <si>
    <t>Leaf width 3</t>
  </si>
  <si>
    <t>Mean leaf width (mm)</t>
  </si>
  <si>
    <t>Leaf length 1</t>
  </si>
  <si>
    <t>Leaf length 2</t>
  </si>
  <si>
    <t>Leaf length 3</t>
  </si>
  <si>
    <t>Mean leaf length (cm)</t>
  </si>
  <si>
    <t>leaf 3</t>
  </si>
  <si>
    <t>Average of Mean leaf width (mm)</t>
  </si>
  <si>
    <t>Sowing time</t>
  </si>
  <si>
    <t>leaf 6</t>
  </si>
  <si>
    <t>leaf 9</t>
  </si>
  <si>
    <t>Grand Total</t>
  </si>
  <si>
    <t>Average of Mean leaf length (cm)</t>
  </si>
  <si>
    <t>Bare soil NDVI</t>
  </si>
  <si>
    <t>CV</t>
  </si>
  <si>
    <t>James forgot to take bare soil measurement</t>
  </si>
  <si>
    <t>Andre forgot to take bare soil measurement</t>
  </si>
  <si>
    <t>Canopy height (cm)</t>
  </si>
  <si>
    <t>Plot NDVI</t>
  </si>
  <si>
    <t>Plot CV</t>
  </si>
  <si>
    <t>Sum of Plot NDVI</t>
  </si>
  <si>
    <t>Months (Measurement date)</t>
  </si>
  <si>
    <t>Days (Measurement date)</t>
  </si>
  <si>
    <t>May</t>
  </si>
  <si>
    <t>May Total</t>
  </si>
  <si>
    <t>Jun</t>
  </si>
  <si>
    <t>Jun Total</t>
  </si>
  <si>
    <t>Jul</t>
  </si>
  <si>
    <t>Jul Total</t>
  </si>
  <si>
    <t>Aug</t>
  </si>
  <si>
    <t>Aug Total</t>
  </si>
  <si>
    <t>Sep</t>
  </si>
  <si>
    <t>Sep Total</t>
  </si>
  <si>
    <t>31-May</t>
  </si>
  <si>
    <t>31-May Total</t>
  </si>
  <si>
    <t>17-Jun</t>
  </si>
  <si>
    <t>17-Jun Total</t>
  </si>
  <si>
    <t>1-Jul</t>
  </si>
  <si>
    <t>1-Jul Total</t>
  </si>
  <si>
    <t>14-Jul</t>
  </si>
  <si>
    <t>14-Jul Total</t>
  </si>
  <si>
    <t>29-Jul</t>
  </si>
  <si>
    <t>29-Jul Total</t>
  </si>
  <si>
    <t>9-Aug</t>
  </si>
  <si>
    <t>9-Aug Total</t>
  </si>
  <si>
    <t>22-Aug</t>
  </si>
  <si>
    <t>22-Aug Total</t>
  </si>
  <si>
    <t>13-Sep</t>
  </si>
  <si>
    <t>13-Sep Total</t>
  </si>
  <si>
    <t>Average of Plot NDVI</t>
  </si>
  <si>
    <t>Flag leaf angle 1</t>
  </si>
  <si>
    <t>Flag leaf angle 2</t>
  </si>
  <si>
    <t>Flag leaf angle 3</t>
  </si>
  <si>
    <t>Flag leaf angle average</t>
  </si>
  <si>
    <t>Flag-1 leaf angle 1</t>
  </si>
  <si>
    <t>Flag-1 leaf angle 2</t>
  </si>
  <si>
    <t>Flag-1 leaf angle 3</t>
  </si>
  <si>
    <t>Flag leaf-1 angle average</t>
  </si>
  <si>
    <t>Flag-2 leaf angle 1</t>
  </si>
  <si>
    <t>Flag-2 leaf angle 2</t>
  </si>
  <si>
    <t>Flag-2 leaf angle 3</t>
  </si>
  <si>
    <t>Flag leaf-2 angle average</t>
  </si>
  <si>
    <t>Flag -3 leaf angle 1</t>
  </si>
  <si>
    <t>Flag -3 leaf angle 2</t>
  </si>
  <si>
    <t>Flag -3 leaf angle 3</t>
  </si>
  <si>
    <t>Flag leaf-3 angle average</t>
  </si>
  <si>
    <t>24/09/2024</t>
  </si>
  <si>
    <t>Unique identifier</t>
  </si>
  <si>
    <t>NDVI of quadrat area</t>
  </si>
  <si>
    <t>Tau [T] at ground level</t>
  </si>
  <si>
    <t>Tau [T] at 25% of canopy height</t>
  </si>
  <si>
    <t>Tau [T] at 50% of canopy height</t>
  </si>
  <si>
    <t>Tau [T] at 75% of canopy height</t>
  </si>
  <si>
    <t>PARi at ground level</t>
  </si>
  <si>
    <t>PARi at 25% of canopy height</t>
  </si>
  <si>
    <t>PARi at 50% of canopy height</t>
  </si>
  <si>
    <t>PARi at 75% of canopy height</t>
  </si>
  <si>
    <t>SPAD of lowest leaves reading 1</t>
  </si>
  <si>
    <t>SPAD of lowest leaves reading 2</t>
  </si>
  <si>
    <t>SPAD of lowest leaves reading 3</t>
  </si>
  <si>
    <t>SPAD of lowest leaves reading 4</t>
  </si>
  <si>
    <t>SPAD at 25% of canopy height reading 1</t>
  </si>
  <si>
    <t>SPAD at 25% of canopy height reading 2</t>
  </si>
  <si>
    <t>SPAD at 25% of canopy height reading 3</t>
  </si>
  <si>
    <t>SPAD at 25% of canopy height reading 4</t>
  </si>
  <si>
    <t>SPAD at 50% of canopy height reading 1</t>
  </si>
  <si>
    <t>SPAD at 50% of canopy height reading 2</t>
  </si>
  <si>
    <t>SPAD at 50% of canopy height reading 3</t>
  </si>
  <si>
    <t>SPAD at 50% of canopy height reading 4</t>
  </si>
  <si>
    <t>SPAD at 75% of canopy height reading 1</t>
  </si>
  <si>
    <t>SPAD at 75% of canopy height reading 2</t>
  </si>
  <si>
    <t>SPAD at 75% of canopy height reading 3</t>
  </si>
  <si>
    <t>SPAD at 75% of canopy height reading 4</t>
  </si>
  <si>
    <t>SPAD of flag leaf reading 1</t>
  </si>
  <si>
    <t>SPAD of flag leaf reading 2</t>
  </si>
  <si>
    <t>SPAD of flag leaf reading 3</t>
  </si>
  <si>
    <t>SPAD of flag leaf reading 4</t>
  </si>
  <si>
    <t>Area of quadrat cut (m²)</t>
  </si>
  <si>
    <t>Fresh weight of main sample (g)</t>
  </si>
  <si>
    <t>Fresh shoot biomass weight (g/m2)</t>
  </si>
  <si>
    <t>Fresh weight of sub sample (g)</t>
  </si>
  <si>
    <t>Number of culms in sub-sample</t>
  </si>
  <si>
    <t>Fresh weight of subsample for moisture content (g)</t>
  </si>
  <si>
    <t>Dry weight of subsample for moisture content (g)</t>
  </si>
  <si>
    <t>Number of culms in subsample for moisture content</t>
  </si>
  <si>
    <t>Dry weight of green leaves from 20 culms (g)</t>
  </si>
  <si>
    <t>Dry weight of dead leaves from 20 culms (g)</t>
  </si>
  <si>
    <t>Dry weight of stems from 20 culms (g)</t>
  </si>
  <si>
    <t>Dry weight of spikes from 20 culms (g)</t>
  </si>
  <si>
    <t>Dry weight of 20 culms (g)</t>
  </si>
  <si>
    <t>Dry weight of a single culm (g)</t>
  </si>
  <si>
    <t>Fresh weight of a single culm (g)</t>
  </si>
  <si>
    <t>Dry matter proportion of main sample (g/g)</t>
  </si>
  <si>
    <t>Estimated dry weight of main sample (g)</t>
  </si>
  <si>
    <t>Estimated dry matter at PCDS 6.0 (g/m²)</t>
  </si>
  <si>
    <t>Green leaf fraction (g/g)</t>
  </si>
  <si>
    <t>Dead leaf fraction (g/g)</t>
  </si>
  <si>
    <t>Stem fraction (g/g)</t>
  </si>
  <si>
    <t>Spike fraction (g/g)</t>
  </si>
  <si>
    <t>Grean leaf dry matter (g/m²)</t>
  </si>
  <si>
    <t>Dead leaf dry matter (g/m²)</t>
  </si>
  <si>
    <t>Stem dry matter (g/m²)</t>
  </si>
  <si>
    <t>Spike dry matter (g/m²)</t>
  </si>
  <si>
    <t>Mean SPAD of lowest leaves</t>
  </si>
  <si>
    <t>Mean SPAD at 25% of canopy height</t>
  </si>
  <si>
    <t xml:space="preserve">Mean SPAD at 50% of canopy height </t>
  </si>
  <si>
    <t>Mean SPAD at 75% of canopy height</t>
  </si>
  <si>
    <t>Mean SPAD of flag leaf</t>
  </si>
  <si>
    <t>Values</t>
  </si>
  <si>
    <t>Average of Canopy height (cm)</t>
  </si>
  <si>
    <t>Average of NDVI of quadrat area</t>
  </si>
  <si>
    <t>Average of Mean SPAD of lowest leaves</t>
  </si>
  <si>
    <t>Average of Mean SPAD at 25% of canopy height</t>
  </si>
  <si>
    <t xml:space="preserve">Average of Mean SPAD at 50% of canopy height </t>
  </si>
  <si>
    <t>Average of Mean SPAD at 75% of canopy height</t>
  </si>
  <si>
    <t>Average of Mean SPAD of flag leaf</t>
  </si>
  <si>
    <t>Average of Measurement date</t>
  </si>
  <si>
    <t>Average of Estimated dry matter at PCDS 6.0 (g/m²)</t>
  </si>
  <si>
    <t>Average of Spike dry matter (g/m²)</t>
  </si>
  <si>
    <t>Average of PARi at ground level</t>
  </si>
  <si>
    <t>Average of PARi at 25% of canopy height</t>
  </si>
  <si>
    <t>Average of PARi at 50% of canopy height</t>
  </si>
  <si>
    <t>Average of PARi at 75% of canopy height</t>
  </si>
  <si>
    <t>Average of Fresh shoot biomass weight (g/m2)</t>
  </si>
  <si>
    <t>Average of Dry weight of a single culm (g)</t>
  </si>
  <si>
    <t>Total Average of Estimated dry matter at PCDS 6.0 (g/m²)</t>
  </si>
  <si>
    <t>Total Average of Dry weight of a single culm (g)</t>
  </si>
  <si>
    <t>Average of Spike fraction (g/g)</t>
  </si>
  <si>
    <t>Average of Stem fraction (g/g)</t>
  </si>
  <si>
    <t>Average of Green leaf fraction (g/g)</t>
  </si>
  <si>
    <t>Average of Dead leaf fraction (g/g)</t>
  </si>
  <si>
    <t>Count of competent culms</t>
  </si>
  <si>
    <t>Count of competent culms on which flag leaf ligule visible</t>
  </si>
  <si>
    <t>% flag leaves emerged</t>
  </si>
  <si>
    <t>Average of % flag leaves emerged</t>
  </si>
  <si>
    <t>Nominal date of PCDS 6.0</t>
  </si>
  <si>
    <t>Count date</t>
  </si>
  <si>
    <t>Count of competent culms on which central florets have flowered</t>
  </si>
  <si>
    <t>% anthesis</t>
  </si>
  <si>
    <t>Average of % anthesis</t>
  </si>
  <si>
    <t>Nominal date of PCDS 8.0</t>
  </si>
  <si>
    <t>Spike No</t>
  </si>
  <si>
    <t>Sum of all fraction (g)</t>
  </si>
  <si>
    <t>Estimated dry matter at PCDS 8.0 (g/m²)</t>
  </si>
  <si>
    <t>Average of Stem dry matter (g/m²)</t>
  </si>
  <si>
    <t>Average of Estimated dry matter at PCDS 8.0 (g/m²)</t>
  </si>
  <si>
    <t>Average of Tau [T] at 75% of canopy height</t>
  </si>
  <si>
    <t>Average of Tau [T] at 50% of canopy height</t>
  </si>
  <si>
    <t>Average of Tau [T] at 25% of canopy height</t>
  </si>
  <si>
    <t>Average of Tau [T] at ground level</t>
  </si>
  <si>
    <t>Nominal PCDS 6.0 date</t>
  </si>
  <si>
    <t>PCDS 6.0 cut date</t>
  </si>
  <si>
    <t>PCDS 8.0 cut date</t>
  </si>
  <si>
    <t>CP duration (days)</t>
  </si>
  <si>
    <t>CP duration (°C days)</t>
  </si>
  <si>
    <t>CP solar radiation (MJ/m²)</t>
  </si>
  <si>
    <t>CP growth (g/m²)</t>
  </si>
  <si>
    <t>CP growth rate (g/m²/day)</t>
  </si>
  <si>
    <t>PCDS 6.0 PARi</t>
  </si>
  <si>
    <t>PCDS 8.0 PARi</t>
  </si>
  <si>
    <t>CP PARi (MJ/m²)</t>
  </si>
  <si>
    <t>RUE (g/Mj/m²)</t>
  </si>
  <si>
    <t>PCDS 6.0 spike dry matter (g/m²)</t>
  </si>
  <si>
    <t>CP spike growth (g/m²)</t>
  </si>
  <si>
    <t>Plot No</t>
  </si>
  <si>
    <t>Average sterility (%)</t>
  </si>
  <si>
    <t>Harvest date</t>
  </si>
  <si>
    <t>Dry weight of outside rows (g)</t>
  </si>
  <si>
    <t>Dry weight of dead leaves from sub-sample (g)</t>
  </si>
  <si>
    <t>Dry weight of stems from sub-sample (g)</t>
  </si>
  <si>
    <t>Dry weight of spikes from sub-sample (g)</t>
  </si>
  <si>
    <t>Dry weight of grain from sub-sample (g)</t>
  </si>
  <si>
    <t>Dry weight of chaff from sub-sample (g)</t>
  </si>
  <si>
    <t>Dry weight of 200 grains (g)</t>
  </si>
  <si>
    <t>Dry weight of sub-sample (g)</t>
  </si>
  <si>
    <t>Estimated dry matter at PCDS 10.0 (g/m²)</t>
  </si>
  <si>
    <t>Grain fraction (g/g)</t>
  </si>
  <si>
    <t>Chaff fraction (g/g)</t>
  </si>
  <si>
    <t>Grain dry matter (g/m²)</t>
  </si>
  <si>
    <t>Chaff dry matter (g/m²)</t>
  </si>
  <si>
    <t>Whole sample grain yield (g/m²)</t>
  </si>
  <si>
    <t>Harvest index</t>
  </si>
  <si>
    <t>Individual grain weight (mg)</t>
  </si>
  <si>
    <t>Grain number (grains/m²)</t>
  </si>
  <si>
    <t>14/11/2024</t>
  </si>
  <si>
    <t>Moisture (%)</t>
  </si>
  <si>
    <t>Protein (%)</t>
  </si>
  <si>
    <t>Test weight (kg/hl)</t>
  </si>
  <si>
    <t>Fresh weight of quadrat cut (g)</t>
  </si>
  <si>
    <t>Dry weight of quadrat cut (g)</t>
  </si>
  <si>
    <t>Grain weight of outside rows (g)</t>
  </si>
  <si>
    <t>Average of Whole sample grain yield (g/m²)</t>
  </si>
  <si>
    <t>Average of Harvest index2</t>
  </si>
  <si>
    <t>Grain yield (t/ha)</t>
  </si>
  <si>
    <t>Average of Estimated dry matter at PCDS 10.0 (g/m²)</t>
  </si>
  <si>
    <t>Dry matter PCDS 10.0 (g/m2)</t>
  </si>
  <si>
    <t xml:space="preserve">WSC as proportion of PCDS DM </t>
  </si>
  <si>
    <t>Hand yield at 12.5% moisture (t/ha)</t>
  </si>
  <si>
    <t>HI</t>
  </si>
  <si>
    <t>Estimated contribution of WSC to yield (g/m²)</t>
  </si>
  <si>
    <t>Estimated contribution of WSC to yield (%)</t>
  </si>
  <si>
    <t>Post anthesis growth (g/m²)</t>
  </si>
  <si>
    <t>Grain weight of quadrat cut (g)</t>
  </si>
  <si>
    <t>Oct</t>
  </si>
  <si>
    <t>Oct Total</t>
  </si>
  <si>
    <t>Nov</t>
  </si>
  <si>
    <t>Nov Total</t>
  </si>
  <si>
    <t>24-Sep</t>
  </si>
  <si>
    <t>24-Sep Total</t>
  </si>
  <si>
    <t>6-Oct</t>
  </si>
  <si>
    <t>6-Oct Total</t>
  </si>
  <si>
    <t>17-Oct</t>
  </si>
  <si>
    <t>17-Oct Total</t>
  </si>
  <si>
    <t>29-Oct</t>
  </si>
  <si>
    <t>29-Oct Total</t>
  </si>
  <si>
    <t>13-Nov</t>
  </si>
  <si>
    <t>13-Nov Total</t>
  </si>
  <si>
    <t>Yield response to competition</t>
  </si>
  <si>
    <t>PCDS 8.0 spike dry matter (g/m²)</t>
  </si>
  <si>
    <t>CP spike growth rate (g/m²/day)</t>
  </si>
  <si>
    <t>24 DOO JH EVA WHT</t>
  </si>
  <si>
    <t>!Treatment</t>
  </si>
  <si>
    <t>Mid_April_Big_Red</t>
  </si>
  <si>
    <t>Mid_April_Illabo</t>
  </si>
  <si>
    <t>Mid_April_UOM001_3_47</t>
  </si>
  <si>
    <t>Mid_April_UOM001_9_1</t>
  </si>
  <si>
    <t>Mid_May_Sunmaster</t>
  </si>
  <si>
    <t>Mid_May_UOM001_3_47</t>
  </si>
  <si>
    <t>Mid_May_UOM001_9_1</t>
  </si>
  <si>
    <t>Mid_May_RGT_Zanzibar</t>
  </si>
  <si>
    <t>Harvest Range</t>
  </si>
  <si>
    <t>Harvest Row</t>
  </si>
  <si>
    <t>BUFFER_Kittyhawk</t>
  </si>
  <si>
    <t>BUFFER_Willaura</t>
  </si>
  <si>
    <t>BUFFER_Sunflex</t>
  </si>
  <si>
    <t>Serp order</t>
  </si>
  <si>
    <t>Grain number</t>
  </si>
  <si>
    <t>Harvested areas (m²)</t>
  </si>
  <si>
    <t>Juan, James</t>
  </si>
  <si>
    <t>Machine harvest</t>
  </si>
  <si>
    <t>Ben Rigby, Frank Mazonne</t>
  </si>
  <si>
    <t>Pre-harvest</t>
  </si>
  <si>
    <t>Outside rows and smaller portions of plot removed with whipper snipper leaving ~2-3 m of harvestable plot length of middle 4 rows (1.0 m)</t>
  </si>
  <si>
    <t>Length of machine harvestable area (m)</t>
  </si>
  <si>
    <t xml:space="preserve">Before machine harvest, the lengths of harvestable areas (four inside rows) were measured. About 1 kg of grain subsample were collected into calico bags for each plot during machine harvest. Printed labels from the header were placed inside each calico bag. </t>
  </si>
  <si>
    <t>Machine harvest yield (t/ha)</t>
  </si>
  <si>
    <t>Weight of harvested grain (kg)</t>
  </si>
  <si>
    <t>Average of Machine harvest yield (t/ha)</t>
  </si>
  <si>
    <t>CP spike growth rate (g/m2/day)</t>
  </si>
  <si>
    <t>Spike dry matter at PCDS 8.0(g/m²)</t>
  </si>
  <si>
    <t>Stem dry matter at PCDS 8.0</t>
  </si>
  <si>
    <t>Spike dry matter at PCDS 6.0</t>
  </si>
  <si>
    <t>Stem dry matter at PCDS 6.0</t>
  </si>
  <si>
    <t>Degree days</t>
  </si>
  <si>
    <t>CP</t>
  </si>
  <si>
    <t>Sow_time</t>
  </si>
  <si>
    <t>May sown UOM001_3_47</t>
  </si>
  <si>
    <t>Apr sown UOM001_3_47</t>
  </si>
  <si>
    <t>Apr sown UOM001_9_1</t>
  </si>
  <si>
    <t>May sown UOM001_9_1</t>
  </si>
  <si>
    <t>Average of Individual grain weight (mg)</t>
  </si>
  <si>
    <t>Yield response to competition - Corrected</t>
  </si>
  <si>
    <t>Average of Grain number (grains/m²)</t>
  </si>
  <si>
    <t>N_Shoot_mg_g</t>
  </si>
  <si>
    <t>N_Green leaves_mg_g</t>
  </si>
  <si>
    <t>N_Dead leaves_mg_g</t>
  </si>
  <si>
    <t>N_Stem_mg_g</t>
  </si>
  <si>
    <t>N_Spike_mg_g</t>
  </si>
  <si>
    <t>WSC_Shoot_mg_g</t>
  </si>
  <si>
    <t>WSC_Green leaves_mg_g</t>
  </si>
  <si>
    <t>WSC_Dead leaves_mg_g</t>
  </si>
  <si>
    <t>WSC_Stem_mg_g</t>
  </si>
  <si>
    <t>WSC_Spike_mg_g</t>
  </si>
  <si>
    <r>
      <t>CID_Shoot (</t>
    </r>
    <r>
      <rPr>
        <b/>
        <sz val="11"/>
        <color theme="1"/>
        <rFont val="Arial"/>
        <family val="2"/>
      </rPr>
      <t>‰</t>
    </r>
    <r>
      <rPr>
        <b/>
        <sz val="9.9"/>
        <color theme="1"/>
        <rFont val="Calibri"/>
        <family val="2"/>
      </rPr>
      <t>)</t>
    </r>
  </si>
  <si>
    <r>
      <t>CID_Green leaves (</t>
    </r>
    <r>
      <rPr>
        <b/>
        <sz val="11"/>
        <color theme="1"/>
        <rFont val="Arial"/>
        <family val="2"/>
      </rPr>
      <t>‰</t>
    </r>
    <r>
      <rPr>
        <b/>
        <sz val="9.9"/>
        <color theme="1"/>
        <rFont val="Calibri"/>
        <family val="2"/>
      </rPr>
      <t>)</t>
    </r>
  </si>
  <si>
    <r>
      <t>CID_Dead leaves (</t>
    </r>
    <r>
      <rPr>
        <b/>
        <sz val="11"/>
        <color theme="1"/>
        <rFont val="Arial"/>
        <family val="2"/>
      </rPr>
      <t>‰</t>
    </r>
    <r>
      <rPr>
        <b/>
        <sz val="9.9"/>
        <color theme="1"/>
        <rFont val="Calibri"/>
        <family val="2"/>
      </rPr>
      <t>)</t>
    </r>
  </si>
  <si>
    <r>
      <t>CID_Stem (</t>
    </r>
    <r>
      <rPr>
        <b/>
        <sz val="11"/>
        <color theme="1"/>
        <rFont val="Arial"/>
        <family val="2"/>
      </rPr>
      <t>‰</t>
    </r>
    <r>
      <rPr>
        <b/>
        <sz val="9.9"/>
        <color theme="1"/>
        <rFont val="Calibri"/>
        <family val="2"/>
      </rPr>
      <t>)</t>
    </r>
  </si>
  <si>
    <r>
      <t>CID_Spike (</t>
    </r>
    <r>
      <rPr>
        <b/>
        <sz val="11"/>
        <color theme="1"/>
        <rFont val="Arial"/>
        <family val="2"/>
      </rPr>
      <t>‰</t>
    </r>
    <r>
      <rPr>
        <b/>
        <sz val="9.9"/>
        <color theme="1"/>
        <rFont val="Calibri"/>
        <family val="2"/>
      </rPr>
      <t>)</t>
    </r>
  </si>
  <si>
    <t>Competent spikelet No on culm 1</t>
  </si>
  <si>
    <t>Competent spikelet No on culm 2</t>
  </si>
  <si>
    <t>Competent spikelet No on culm 3</t>
  </si>
  <si>
    <t>Competent spikelet No on culm 4</t>
  </si>
  <si>
    <t>Competent spikelet No on culm 5</t>
  </si>
  <si>
    <t>Competent spikelet No on culm 6</t>
  </si>
  <si>
    <t>Competent spikelet No on culm 7</t>
  </si>
  <si>
    <t>Competent spikelet No on culm 8</t>
  </si>
  <si>
    <t>Competent spikelet No on culm 9</t>
  </si>
  <si>
    <t>Competent spikelet No on culm 10</t>
  </si>
  <si>
    <t>Infertile spikelet No on culm 1</t>
  </si>
  <si>
    <t>Infertile spikelet No on culm 2</t>
  </si>
  <si>
    <t>Infertile spikelet No on culm 3</t>
  </si>
  <si>
    <t>Infertile spikelet No on culm 4</t>
  </si>
  <si>
    <t>Infertile spikelet No on culm 5</t>
  </si>
  <si>
    <t>Infertile spikelet No on culm 6</t>
  </si>
  <si>
    <t>Infertile spikelet No on culm 7</t>
  </si>
  <si>
    <t>Infertile spikelet No on culm 8</t>
  </si>
  <si>
    <t>Infertile spikelet No on culm 9</t>
  </si>
  <si>
    <t>Infertile spikelet No on culm 10</t>
  </si>
  <si>
    <t>Sterility (%) on culm 1</t>
  </si>
  <si>
    <t>Sterility (%) on culm 2</t>
  </si>
  <si>
    <t>Sterility (%) on culm 3</t>
  </si>
  <si>
    <t>Sterility (%) on culm 4</t>
  </si>
  <si>
    <t>Sterility (%) on culm 5</t>
  </si>
  <si>
    <t>Sterility (%) on culm 6</t>
  </si>
  <si>
    <t>Sterility (%) on culm 7</t>
  </si>
  <si>
    <t>Sterility (%) on culm 8</t>
  </si>
  <si>
    <t>Sterility (%) on culm 9</t>
  </si>
  <si>
    <t>Sterility (%) on culm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</si>
</sst>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1"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11"/>
      <color theme="1"/>
      <name val="Calibri"/>
      <family val="2"/>
    </font>
    <font>
      <sz val="8"/>
      <color theme="1"/>
      <name val="Calibri"/>
      <family val="2"/>
      <scheme val="minor"/>
    </font>
    <font>
      <b/>
      <u/>
      <sz val="11"/>
      <color theme="1"/>
      <name val="Calibri"/>
      <family val="2"/>
      <scheme val="minor"/>
    </font>
    <font>
      <sz val="11"/>
      <color rgb="FFFF0000"/>
      <name val="Calibri"/>
      <family val="2"/>
      <scheme val="minor"/>
    </font>
    <font>
      <b/>
      <sz val="11"/>
      <color rgb="FF000000"/>
      <name val="Calibri"/>
      <family val="2"/>
      <scheme val="minor"/>
    </font>
    <font>
      <sz val="11"/>
      <color rgb="FF000000"/>
      <name val="Calibri"/>
      <family val="2"/>
      <scheme val="minor"/>
    </font>
    <font>
      <b/>
      <sz val="11"/>
      <color rgb="FFFF0000"/>
      <name val="Calibri"/>
      <family val="2"/>
      <scheme val="minor"/>
    </font>
    <font>
      <sz val="11"/>
      <name val="Calibri"/>
      <family val="2"/>
      <scheme val="minor"/>
    </font>
    <font>
      <sz val="10"/>
      <name val="Arial"/>
      <family val="2"/>
    </font>
    <font>
      <b/>
      <sz val="11"/>
      <name val="Calibri"/>
      <family val="2"/>
      <scheme val="minor"/>
    </font>
    <font>
      <sz val="11"/>
      <color rgb="FFC00000"/>
      <name val="Calibri"/>
      <family val="2"/>
      <scheme val="minor"/>
    </font>
    <font>
      <sz val="10"/>
      <name val="Arial"/>
      <family val="2"/>
    </font>
    <font>
      <sz val="11"/>
      <color rgb="FF000000"/>
      <name val="Calibri"/>
      <family val="2"/>
    </font>
    <font>
      <sz val="11"/>
      <color rgb="FF000000"/>
      <name val="Arial"/>
      <family val="2"/>
    </font>
    <font>
      <b/>
      <sz val="11"/>
      <color rgb="FFFF0000"/>
      <name val="Calibri"/>
      <family val="2"/>
    </font>
    <font>
      <b/>
      <sz val="11"/>
      <color rgb="FFC00000"/>
      <name val="Calibri"/>
      <family val="2"/>
      <scheme val="minor"/>
    </font>
    <font>
      <sz val="10"/>
      <name val="Arial"/>
      <family val="2"/>
    </font>
    <font>
      <sz val="10"/>
      <color rgb="FFFF0000"/>
      <name val="Arial"/>
      <family val="2"/>
    </font>
    <font>
      <b/>
      <sz val="10"/>
      <color rgb="FFC00000"/>
      <name val="Arial"/>
      <family val="2"/>
    </font>
    <font>
      <sz val="11"/>
      <name val="Arial"/>
      <family val="2"/>
    </font>
    <font>
      <sz val="11"/>
      <color theme="1"/>
      <name val="Arial"/>
      <family val="2"/>
    </font>
    <font>
      <b/>
      <sz val="11"/>
      <color theme="1"/>
      <name val="Arial"/>
      <family val="2"/>
    </font>
    <font>
      <b/>
      <sz val="11"/>
      <color theme="1"/>
      <name val="Calibri"/>
      <family val="2"/>
    </font>
    <font>
      <b/>
      <sz val="9.9"/>
      <color theme="1"/>
      <name val="Calibri"/>
      <family val="2"/>
    </font>
    <font>
      <sz val="11"/>
      <name val="Calibri"/>
      <family val="2"/>
    </font>
    <font>
      <sz val="9"/>
      <color indexed="81"/>
      <name val="Tahoma"/>
      <family val="2"/>
    </font>
    <font>
      <b/>
      <sz val="11"/>
      <color rgb="FF00206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4" tint="0.79998168889431442"/>
        <bgColor theme="4" tint="0.79998168889431442"/>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s>
  <borders count="12">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indexed="64"/>
      </left>
      <right style="thin">
        <color indexed="64"/>
      </right>
      <top/>
      <bottom/>
      <diagonal/>
    </border>
    <border>
      <left/>
      <right/>
      <top/>
      <bottom style="thin">
        <color theme="4" tint="0.39997558519241921"/>
      </bottom>
      <diagonal/>
    </border>
  </borders>
  <cellStyleXfs count="3">
    <xf numFmtId="0" fontId="0" fillId="0" borderId="0"/>
    <xf numFmtId="0" fontId="2" fillId="0" borderId="0" applyNumberFormat="0" applyFill="0" applyBorder="0" applyAlignment="0" applyProtection="0"/>
    <xf numFmtId="0" fontId="15" fillId="0" borderId="0" applyNumberFormat="0" applyFill="0" applyBorder="0" applyAlignment="0" applyProtection="0"/>
  </cellStyleXfs>
  <cellXfs count="151">
    <xf numFmtId="0" fontId="0" fillId="0" borderId="0" xfId="0"/>
    <xf numFmtId="0" fontId="1" fillId="0" borderId="0" xfId="0" applyFont="1"/>
    <xf numFmtId="0" fontId="2" fillId="0" borderId="0" xfId="1"/>
    <xf numFmtId="0" fontId="3" fillId="0" borderId="0" xfId="0" applyFont="1"/>
    <xf numFmtId="0" fontId="0" fillId="0" borderId="0" xfId="0" applyAlignment="1">
      <alignment horizontal="center"/>
    </xf>
    <xf numFmtId="0" fontId="1" fillId="0" borderId="0" xfId="0" applyFont="1" applyAlignment="1">
      <alignment horizontal="center"/>
    </xf>
    <xf numFmtId="0" fontId="1" fillId="0" borderId="0" xfId="0" applyFont="1" applyAlignment="1">
      <alignment wrapText="1"/>
    </xf>
    <xf numFmtId="165" fontId="1" fillId="0" borderId="0" xfId="0" applyNumberFormat="1" applyFont="1" applyAlignment="1">
      <alignment horizontal="center" wrapText="1"/>
    </xf>
    <xf numFmtId="1" fontId="1" fillId="0" borderId="0" xfId="0" applyNumberFormat="1" applyFont="1" applyAlignment="1">
      <alignment horizontal="center" wrapText="1"/>
    </xf>
    <xf numFmtId="164" fontId="1" fillId="0" borderId="0" xfId="0" applyNumberFormat="1" applyFont="1" applyAlignment="1">
      <alignment horizontal="center" wrapText="1"/>
    </xf>
    <xf numFmtId="0" fontId="1" fillId="0" borderId="0" xfId="0" applyFont="1" applyAlignment="1">
      <alignment horizontal="center" wrapText="1"/>
    </xf>
    <xf numFmtId="164" fontId="0" fillId="0" borderId="0" xfId="0" applyNumberFormat="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4" fontId="0" fillId="0" borderId="0" xfId="0" applyNumberFormat="1" applyAlignment="1">
      <alignment wrapText="1"/>
    </xf>
    <xf numFmtId="0" fontId="0" fillId="0" borderId="0" xfId="0" applyAlignment="1">
      <alignment wrapText="1"/>
    </xf>
    <xf numFmtId="0" fontId="5" fillId="0" borderId="0" xfId="0" applyFont="1" applyAlignment="1">
      <alignment horizontal="center" vertical="center" textRotation="90"/>
    </xf>
    <xf numFmtId="0" fontId="0" fillId="0" borderId="0" xfId="0" applyAlignment="1">
      <alignment horizontal="center" vertical="center"/>
    </xf>
    <xf numFmtId="0" fontId="6" fillId="0" borderId="0" xfId="0" applyFont="1"/>
    <xf numFmtId="0" fontId="5" fillId="0" borderId="1" xfId="0" applyFont="1" applyBorder="1" applyAlignment="1">
      <alignment horizontal="center" vertical="center" textRotation="90"/>
    </xf>
    <xf numFmtId="0" fontId="5" fillId="0" borderId="2" xfId="0" applyFont="1" applyBorder="1" applyAlignment="1">
      <alignment horizontal="center" vertical="center" textRotation="90"/>
    </xf>
    <xf numFmtId="0" fontId="5" fillId="0" borderId="3" xfId="0" applyFont="1" applyBorder="1" applyAlignment="1">
      <alignment horizontal="center" vertical="center" textRotation="90"/>
    </xf>
    <xf numFmtId="0" fontId="5" fillId="0" borderId="4" xfId="0" applyFont="1" applyBorder="1" applyAlignment="1">
      <alignment horizontal="center" vertical="center" textRotation="90"/>
    </xf>
    <xf numFmtId="0" fontId="5" fillId="0" borderId="5" xfId="0" applyFont="1" applyBorder="1" applyAlignment="1">
      <alignment horizontal="center" vertical="center" textRotation="90"/>
    </xf>
    <xf numFmtId="0" fontId="5" fillId="0" borderId="6" xfId="0" applyFont="1" applyBorder="1" applyAlignment="1">
      <alignment horizontal="center" vertical="center" textRotation="90"/>
    </xf>
    <xf numFmtId="0" fontId="5" fillId="0" borderId="7" xfId="0" applyFont="1" applyBorder="1" applyAlignment="1">
      <alignment horizontal="center" vertical="center" textRotation="90"/>
    </xf>
    <xf numFmtId="0" fontId="5" fillId="0" borderId="8" xfId="0" applyFont="1" applyBorder="1" applyAlignment="1">
      <alignment horizontal="center" vertical="center" textRotation="90"/>
    </xf>
    <xf numFmtId="0" fontId="5" fillId="0" borderId="9" xfId="0" applyFont="1" applyBorder="1" applyAlignment="1">
      <alignment horizontal="center" vertical="center" textRotation="90"/>
    </xf>
    <xf numFmtId="0" fontId="5" fillId="3" borderId="2" xfId="0" applyFont="1" applyFill="1" applyBorder="1" applyAlignment="1">
      <alignment horizontal="center" vertical="center" textRotation="90"/>
    </xf>
    <xf numFmtId="0" fontId="5" fillId="3" borderId="5" xfId="0" applyFont="1" applyFill="1" applyBorder="1" applyAlignment="1">
      <alignment horizontal="center" vertical="center" textRotation="90"/>
    </xf>
    <xf numFmtId="0" fontId="5" fillId="3" borderId="8" xfId="0" applyFont="1" applyFill="1" applyBorder="1" applyAlignment="1">
      <alignment horizontal="center" vertical="center" textRotation="90"/>
    </xf>
    <xf numFmtId="0" fontId="5" fillId="2" borderId="2" xfId="0" applyFont="1" applyFill="1" applyBorder="1" applyAlignment="1">
      <alignment horizontal="center" vertical="center" textRotation="90"/>
    </xf>
    <xf numFmtId="0" fontId="5" fillId="2" borderId="5" xfId="0" applyFont="1" applyFill="1" applyBorder="1" applyAlignment="1">
      <alignment horizontal="center" vertical="center" textRotation="90"/>
    </xf>
    <xf numFmtId="0" fontId="5" fillId="2" borderId="8" xfId="0" applyFont="1" applyFill="1" applyBorder="1" applyAlignment="1">
      <alignment horizontal="center" vertical="center" textRotation="90"/>
    </xf>
    <xf numFmtId="0" fontId="0" fillId="3" borderId="0" xfId="0" applyFill="1"/>
    <xf numFmtId="0" fontId="0" fillId="2" borderId="0" xfId="0" applyFill="1"/>
    <xf numFmtId="0" fontId="0" fillId="0" borderId="0" xfId="0" applyAlignment="1">
      <alignment vertical="top" wrapText="1"/>
    </xf>
    <xf numFmtId="0" fontId="1" fillId="0" borderId="0" xfId="0" applyFont="1" applyAlignment="1">
      <alignment vertical="top" wrapText="1"/>
    </xf>
    <xf numFmtId="14" fontId="0" fillId="0" borderId="0" xfId="0" applyNumberFormat="1"/>
    <xf numFmtId="14" fontId="0" fillId="0" borderId="0" xfId="0" applyNumberFormat="1" applyAlignment="1">
      <alignment vertical="top"/>
    </xf>
    <xf numFmtId="0" fontId="0" fillId="0" borderId="0" xfId="0" applyAlignment="1">
      <alignment vertical="top"/>
    </xf>
    <xf numFmtId="14" fontId="0" fillId="0" borderId="0" xfId="0" applyNumberFormat="1" applyAlignment="1">
      <alignment horizontal="center"/>
    </xf>
    <xf numFmtId="0" fontId="0" fillId="0" borderId="0" xfId="0" applyAlignment="1">
      <alignment vertical="center" wrapText="1"/>
    </xf>
    <xf numFmtId="164" fontId="0" fillId="0" borderId="0" xfId="0" applyNumberFormat="1"/>
    <xf numFmtId="14" fontId="7" fillId="0" borderId="0" xfId="0" applyNumberFormat="1" applyFont="1"/>
    <xf numFmtId="0" fontId="8" fillId="0" borderId="0" xfId="0" applyFont="1" applyAlignment="1">
      <alignment wrapText="1"/>
    </xf>
    <xf numFmtId="0" fontId="0" fillId="0" borderId="0" xfId="0" pivotButton="1"/>
    <xf numFmtId="2" fontId="0" fillId="0" borderId="0" xfId="0" applyNumberFormat="1" applyAlignment="1">
      <alignment horizontal="center"/>
    </xf>
    <xf numFmtId="2" fontId="1" fillId="0" borderId="0" xfId="0" applyNumberFormat="1" applyFont="1" applyAlignment="1">
      <alignment horizontal="center" wrapText="1"/>
    </xf>
    <xf numFmtId="0" fontId="7" fillId="0" borderId="0" xfId="0" applyFont="1" applyAlignment="1">
      <alignment horizontal="center"/>
    </xf>
    <xf numFmtId="164" fontId="7" fillId="0" borderId="0" xfId="0" applyNumberFormat="1" applyFont="1"/>
    <xf numFmtId="14" fontId="9" fillId="0" borderId="0" xfId="0" applyNumberFormat="1" applyFont="1" applyAlignment="1">
      <alignment horizontal="center"/>
    </xf>
    <xf numFmtId="0" fontId="0" fillId="0" borderId="0" xfId="0" applyAlignment="1">
      <alignment horizontal="left"/>
    </xf>
    <xf numFmtId="0" fontId="0" fillId="0" borderId="0" xfId="0" applyAlignment="1">
      <alignment horizontal="left" indent="1"/>
    </xf>
    <xf numFmtId="0" fontId="7" fillId="0" borderId="0" xfId="0" applyFont="1"/>
    <xf numFmtId="0" fontId="0" fillId="0" borderId="0" xfId="0" applyAlignment="1">
      <alignment horizontal="right"/>
    </xf>
    <xf numFmtId="1" fontId="0" fillId="0" borderId="0" xfId="0" applyNumberFormat="1" applyAlignment="1">
      <alignment horizontal="right"/>
    </xf>
    <xf numFmtId="14" fontId="7" fillId="0" borderId="0" xfId="0" applyNumberFormat="1" applyFont="1" applyAlignment="1">
      <alignment horizontal="center"/>
    </xf>
    <xf numFmtId="0" fontId="7" fillId="0" borderId="0" xfId="0" applyFont="1" applyAlignment="1">
      <alignment horizontal="right"/>
    </xf>
    <xf numFmtId="1" fontId="7" fillId="0" borderId="0" xfId="0" applyNumberFormat="1" applyFont="1" applyAlignment="1">
      <alignment horizontal="right"/>
    </xf>
    <xf numFmtId="1" fontId="0" fillId="0" borderId="0" xfId="0" applyNumberFormat="1"/>
    <xf numFmtId="2" fontId="0" fillId="0" borderId="0" xfId="0" applyNumberFormat="1"/>
    <xf numFmtId="0" fontId="10" fillId="0" borderId="0" xfId="0" applyFont="1" applyAlignment="1">
      <alignment horizontal="center" wrapText="1"/>
    </xf>
    <xf numFmtId="0" fontId="11" fillId="0" borderId="0" xfId="0" applyFont="1" applyAlignment="1">
      <alignment horizontal="center"/>
    </xf>
    <xf numFmtId="0" fontId="11" fillId="0" borderId="0" xfId="0" applyFont="1"/>
    <xf numFmtId="165" fontId="12" fillId="0" borderId="10" xfId="0" applyNumberFormat="1" applyFont="1" applyBorder="1" applyAlignment="1">
      <alignment horizontal="center" vertical="center" wrapText="1"/>
    </xf>
    <xf numFmtId="14" fontId="11" fillId="0" borderId="0" xfId="0" applyNumberFormat="1" applyFont="1" applyAlignment="1">
      <alignment horizontal="center"/>
    </xf>
    <xf numFmtId="0" fontId="13" fillId="0" borderId="0" xfId="0" applyFont="1" applyAlignment="1">
      <alignment horizontal="center"/>
    </xf>
    <xf numFmtId="164" fontId="11" fillId="0" borderId="0" xfId="0" applyNumberFormat="1" applyFont="1" applyAlignment="1">
      <alignment horizontal="center"/>
    </xf>
    <xf numFmtId="2" fontId="11" fillId="0" borderId="0" xfId="0" applyNumberFormat="1" applyFont="1" applyAlignment="1">
      <alignment horizontal="center"/>
    </xf>
    <xf numFmtId="1" fontId="11" fillId="0" borderId="0" xfId="0" applyNumberFormat="1" applyFont="1" applyAlignment="1">
      <alignment horizontal="center"/>
    </xf>
    <xf numFmtId="0" fontId="11" fillId="0" borderId="0" xfId="0" pivotButton="1" applyFont="1"/>
    <xf numFmtId="2" fontId="11" fillId="0" borderId="0" xfId="0" applyNumberFormat="1" applyFont="1"/>
    <xf numFmtId="164" fontId="11" fillId="0" borderId="0" xfId="0" applyNumberFormat="1" applyFont="1"/>
    <xf numFmtId="2" fontId="0" fillId="0" borderId="0" xfId="0" pivotButton="1" applyNumberFormat="1"/>
    <xf numFmtId="165" fontId="11" fillId="0" borderId="0" xfId="0" applyNumberFormat="1" applyFont="1"/>
    <xf numFmtId="1" fontId="10" fillId="0" borderId="0" xfId="0" applyNumberFormat="1" applyFont="1"/>
    <xf numFmtId="0" fontId="13" fillId="0" borderId="0" xfId="0" applyFont="1" applyAlignment="1">
      <alignment horizontal="center" wrapText="1"/>
    </xf>
    <xf numFmtId="2" fontId="0" fillId="0" borderId="0" xfId="0" applyNumberFormat="1" applyAlignment="1">
      <alignment horizontal="left"/>
    </xf>
    <xf numFmtId="2" fontId="0" fillId="0" borderId="0" xfId="0" applyNumberFormat="1" applyAlignment="1">
      <alignment horizontal="left" indent="1"/>
    </xf>
    <xf numFmtId="14" fontId="11" fillId="0" borderId="0" xfId="0" applyNumberFormat="1" applyFont="1"/>
    <xf numFmtId="164" fontId="14" fillId="0" borderId="0" xfId="0" applyNumberFormat="1" applyFont="1"/>
    <xf numFmtId="0" fontId="11" fillId="0" borderId="0" xfId="0" applyFont="1" applyAlignment="1">
      <alignment horizontal="right"/>
    </xf>
    <xf numFmtId="0" fontId="1" fillId="0" borderId="0" xfId="0" applyFont="1" applyAlignment="1">
      <alignment horizontal="right" wrapText="1"/>
    </xf>
    <xf numFmtId="165" fontId="12" fillId="0" borderId="10" xfId="0" applyNumberFormat="1" applyFont="1" applyBorder="1" applyAlignment="1">
      <alignment vertical="center" wrapText="1"/>
    </xf>
    <xf numFmtId="165" fontId="12" fillId="0" borderId="10" xfId="2" applyNumberFormat="1" applyFont="1" applyFill="1" applyBorder="1" applyAlignment="1" applyProtection="1">
      <alignment vertical="center" wrapText="1"/>
    </xf>
    <xf numFmtId="0" fontId="16" fillId="0" borderId="0" xfId="0" applyFont="1"/>
    <xf numFmtId="1" fontId="13" fillId="0" borderId="0" xfId="0" applyNumberFormat="1" applyFont="1" applyAlignment="1">
      <alignment horizontal="center" wrapText="1"/>
    </xf>
    <xf numFmtId="1" fontId="11" fillId="0" borderId="0" xfId="0" applyNumberFormat="1" applyFont="1"/>
    <xf numFmtId="1" fontId="11" fillId="0" borderId="0" xfId="0" applyNumberFormat="1" applyFont="1" applyAlignment="1">
      <alignment horizontal="right"/>
    </xf>
    <xf numFmtId="164" fontId="13" fillId="0" borderId="0" xfId="0" applyNumberFormat="1" applyFont="1" applyAlignment="1">
      <alignment horizontal="center" wrapText="1"/>
    </xf>
    <xf numFmtId="0" fontId="17" fillId="0" borderId="0" xfId="0" applyFont="1"/>
    <xf numFmtId="0" fontId="8" fillId="0" borderId="0" xfId="0" applyFont="1"/>
    <xf numFmtId="164" fontId="1" fillId="0" borderId="0" xfId="0" applyNumberFormat="1" applyFont="1"/>
    <xf numFmtId="1" fontId="1" fillId="0" borderId="0" xfId="0" applyNumberFormat="1" applyFont="1"/>
    <xf numFmtId="49" fontId="1" fillId="0" borderId="0" xfId="0" applyNumberFormat="1" applyFont="1" applyAlignment="1">
      <alignment horizontal="center" wrapText="1"/>
    </xf>
    <xf numFmtId="49" fontId="0" fillId="0" borderId="0" xfId="0" applyNumberFormat="1" applyAlignment="1">
      <alignment horizontal="center"/>
    </xf>
    <xf numFmtId="0" fontId="18" fillId="0" borderId="0" xfId="0" applyFont="1" applyAlignment="1">
      <alignment horizontal="center" wrapText="1"/>
    </xf>
    <xf numFmtId="0" fontId="18" fillId="0" borderId="0" xfId="0" applyFont="1" applyAlignment="1">
      <alignment horizontal="center"/>
    </xf>
    <xf numFmtId="0" fontId="18" fillId="0" borderId="0" xfId="0" applyFont="1"/>
    <xf numFmtId="0" fontId="1" fillId="0" borderId="11" xfId="0" applyFont="1" applyBorder="1"/>
    <xf numFmtId="0" fontId="1" fillId="4" borderId="11" xfId="0" applyFont="1" applyFill="1" applyBorder="1"/>
    <xf numFmtId="16" fontId="0" fillId="0" borderId="0" xfId="0" applyNumberFormat="1"/>
    <xf numFmtId="16" fontId="11" fillId="0" borderId="0" xfId="0" applyNumberFormat="1" applyFont="1"/>
    <xf numFmtId="0" fontId="14" fillId="0" borderId="0" xfId="0" applyFont="1"/>
    <xf numFmtId="0" fontId="1" fillId="4" borderId="0" xfId="0" applyFont="1" applyFill="1" applyAlignment="1">
      <alignment wrapText="1"/>
    </xf>
    <xf numFmtId="0" fontId="1" fillId="4" borderId="11" xfId="0" applyFont="1" applyFill="1" applyBorder="1" applyAlignment="1">
      <alignment wrapText="1"/>
    </xf>
    <xf numFmtId="0" fontId="1" fillId="4" borderId="11" xfId="0" applyFont="1" applyFill="1" applyBorder="1" applyAlignment="1">
      <alignment horizontal="center" wrapText="1"/>
    </xf>
    <xf numFmtId="0" fontId="1" fillId="0" borderId="0" xfId="0" applyFont="1" applyAlignment="1">
      <alignment horizontal="left"/>
    </xf>
    <xf numFmtId="1" fontId="0" fillId="0" borderId="0" xfId="0" applyNumberFormat="1" applyAlignment="1">
      <alignment horizontal="left"/>
    </xf>
    <xf numFmtId="1" fontId="1" fillId="0" borderId="0" xfId="0" applyNumberFormat="1" applyFont="1" applyAlignment="1">
      <alignment horizontal="left"/>
    </xf>
    <xf numFmtId="0" fontId="11" fillId="0" borderId="0" xfId="0" applyFont="1" applyAlignment="1">
      <alignment horizontal="left"/>
    </xf>
    <xf numFmtId="2" fontId="13" fillId="0" borderId="0" xfId="0" applyNumberFormat="1" applyFont="1" applyAlignment="1">
      <alignment horizontal="center" wrapText="1"/>
    </xf>
    <xf numFmtId="164" fontId="19" fillId="0" borderId="0" xfId="0" applyNumberFormat="1" applyFont="1" applyAlignment="1">
      <alignment horizontal="center" wrapText="1"/>
    </xf>
    <xf numFmtId="164" fontId="14" fillId="0" borderId="0" xfId="0" applyNumberFormat="1" applyFont="1" applyAlignment="1">
      <alignment horizontal="center"/>
    </xf>
    <xf numFmtId="0" fontId="4" fillId="0" borderId="0" xfId="0" applyFont="1" applyAlignment="1">
      <alignment vertical="center" wrapText="1"/>
    </xf>
    <xf numFmtId="0" fontId="11" fillId="0" borderId="0" xfId="0" applyFont="1" applyAlignment="1">
      <alignment vertical="top" wrapText="1"/>
    </xf>
    <xf numFmtId="0" fontId="0" fillId="2" borderId="0" xfId="0" applyFill="1" applyAlignment="1">
      <alignment vertical="top" wrapText="1"/>
    </xf>
    <xf numFmtId="0" fontId="0" fillId="5" borderId="0" xfId="0" applyFill="1" applyAlignment="1">
      <alignment wrapText="1"/>
    </xf>
    <xf numFmtId="0" fontId="0" fillId="6" borderId="0" xfId="0" applyFill="1" applyAlignment="1">
      <alignment wrapText="1"/>
    </xf>
    <xf numFmtId="0" fontId="0" fillId="6" borderId="0" xfId="0" applyFill="1" applyAlignment="1">
      <alignment vertical="top" wrapText="1"/>
    </xf>
    <xf numFmtId="0" fontId="0" fillId="7" borderId="0" xfId="0" applyFill="1" applyAlignment="1">
      <alignment wrapText="1"/>
    </xf>
    <xf numFmtId="0" fontId="19" fillId="0" borderId="0" xfId="0" applyFont="1" applyAlignment="1">
      <alignment horizontal="center"/>
    </xf>
    <xf numFmtId="165" fontId="20" fillId="0" borderId="10" xfId="0" applyNumberFormat="1" applyFont="1" applyBorder="1" applyAlignment="1">
      <alignment horizontal="center" vertical="center" wrapText="1"/>
    </xf>
    <xf numFmtId="165" fontId="20" fillId="0" borderId="10" xfId="2" applyNumberFormat="1" applyFont="1" applyBorder="1" applyAlignment="1">
      <alignment vertical="center" wrapText="1"/>
    </xf>
    <xf numFmtId="165" fontId="21" fillId="0" borderId="10" xfId="0" applyNumberFormat="1" applyFont="1" applyBorder="1" applyAlignment="1">
      <alignment vertical="center" wrapText="1"/>
    </xf>
    <xf numFmtId="165" fontId="20" fillId="0" borderId="10" xfId="0" applyNumberFormat="1" applyFont="1" applyBorder="1" applyAlignment="1">
      <alignment vertical="center" wrapText="1"/>
    </xf>
    <xf numFmtId="14" fontId="19" fillId="0" borderId="0" xfId="0" applyNumberFormat="1" applyFont="1" applyAlignment="1">
      <alignment horizontal="center"/>
    </xf>
    <xf numFmtId="165" fontId="22" fillId="0" borderId="10" xfId="0" applyNumberFormat="1" applyFont="1" applyBorder="1" applyAlignment="1">
      <alignment horizontal="center" vertical="center" wrapText="1"/>
    </xf>
    <xf numFmtId="165" fontId="19" fillId="0" borderId="0" xfId="0" applyNumberFormat="1" applyFont="1"/>
    <xf numFmtId="1" fontId="19" fillId="0" borderId="0" xfId="0" applyNumberFormat="1" applyFont="1" applyAlignment="1">
      <alignment horizontal="center"/>
    </xf>
    <xf numFmtId="164" fontId="19" fillId="0" borderId="0" xfId="0" applyNumberFormat="1" applyFont="1" applyAlignment="1">
      <alignment horizontal="center"/>
    </xf>
    <xf numFmtId="2" fontId="19" fillId="0" borderId="0" xfId="0" applyNumberFormat="1" applyFont="1" applyAlignment="1">
      <alignment horizontal="center"/>
    </xf>
    <xf numFmtId="164" fontId="19" fillId="0" borderId="0" xfId="0" applyNumberFormat="1" applyFont="1"/>
    <xf numFmtId="0" fontId="19" fillId="0" borderId="0" xfId="0" applyFont="1"/>
    <xf numFmtId="2" fontId="23" fillId="0" borderId="0" xfId="0" applyNumberFormat="1" applyFont="1"/>
    <xf numFmtId="0" fontId="23" fillId="0" borderId="0" xfId="0" applyFont="1"/>
    <xf numFmtId="164" fontId="23" fillId="0" borderId="0" xfId="0" applyNumberFormat="1" applyFont="1"/>
    <xf numFmtId="0" fontId="0" fillId="0" borderId="0" xfId="0" applyAlignment="1">
      <alignment horizontal="center" wrapText="1"/>
    </xf>
    <xf numFmtId="1" fontId="23" fillId="0" borderId="0" xfId="0" applyNumberFormat="1" applyFont="1"/>
    <xf numFmtId="1" fontId="24" fillId="0" borderId="0" xfId="0" applyNumberFormat="1" applyFont="1"/>
    <xf numFmtId="0" fontId="0" fillId="2" borderId="0" xfId="0" applyFill="1" applyAlignment="1">
      <alignment horizontal="center"/>
    </xf>
    <xf numFmtId="0" fontId="0" fillId="0" borderId="0" xfId="0" applyAlignment="1">
      <alignment horizontal="center" vertical="center" textRotation="90"/>
    </xf>
    <xf numFmtId="0" fontId="0" fillId="0" borderId="0" xfId="0" applyAlignment="1">
      <alignment horizontal="center"/>
    </xf>
    <xf numFmtId="1" fontId="26" fillId="0" borderId="0" xfId="0" applyNumberFormat="1" applyFont="1" applyAlignment="1">
      <alignment horizontal="center" wrapText="1"/>
    </xf>
    <xf numFmtId="164" fontId="28" fillId="0" borderId="0" xfId="0" applyNumberFormat="1" applyFont="1"/>
    <xf numFmtId="0" fontId="28" fillId="0" borderId="0" xfId="0" applyFont="1"/>
    <xf numFmtId="0" fontId="28" fillId="0" borderId="0" xfId="2" applyFont="1"/>
    <xf numFmtId="165" fontId="11" fillId="0" borderId="10" xfId="0" applyNumberFormat="1" applyFont="1" applyBorder="1" applyAlignment="1">
      <alignment vertical="center" wrapText="1"/>
    </xf>
    <xf numFmtId="165" fontId="12" fillId="0" borderId="0" xfId="2" applyNumberFormat="1" applyFont="1" applyFill="1" applyBorder="1" applyAlignment="1" applyProtection="1">
      <alignment vertical="center" wrapText="1"/>
    </xf>
    <xf numFmtId="0" fontId="30" fillId="0" borderId="0" xfId="0" applyFont="1" applyAlignment="1">
      <alignment horizontal="right" wrapText="1"/>
    </xf>
  </cellXfs>
  <cellStyles count="3">
    <cellStyle name="Hyperlink" xfId="1" builtinId="8"/>
    <cellStyle name="Normal" xfId="0" builtinId="0"/>
    <cellStyle name="Normal 2" xfId="2" xr:uid="{808452A8-90C0-402F-9746-E7BF3C6139CE}"/>
  </cellStyles>
  <dxfs count="138">
    <dxf>
      <numFmt numFmtId="164" formatCode="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1" formatCode="d\-mmm"/>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font>
        <color rgb="FFC00000"/>
      </font>
    </dxf>
    <dxf>
      <font>
        <color rgb="FFC00000"/>
      </font>
    </dxf>
    <dxf>
      <font>
        <color rgb="FFFF0000"/>
      </font>
    </dxf>
    <dxf>
      <font>
        <color rgb="FFFF0000"/>
      </font>
    </dxf>
    <dxf>
      <font>
        <color rgb="FFFF0000"/>
      </font>
    </dxf>
    <dxf>
      <font>
        <color rgb="FFFF0000"/>
      </font>
    </dxf>
    <dxf>
      <numFmt numFmtId="164" formatCode="0.0"/>
    </dxf>
    <dxf>
      <font>
        <b/>
      </font>
    </dxf>
    <dxf>
      <font>
        <color rgb="FFFF0000"/>
      </font>
    </dxf>
    <dxf>
      <font>
        <color auto="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auto="1"/>
        </patternFill>
      </fill>
    </dxf>
    <dxf>
      <numFmt numFmtId="164" formatCode="0.0"/>
    </dxf>
    <dxf>
      <numFmt numFmtId="164" formatCode="0.0"/>
    </dxf>
    <dxf>
      <numFmt numFmtId="164" formatCode="0.0"/>
    </dxf>
    <dxf>
      <numFmt numFmtId="164" formatCode="0.0"/>
    </dxf>
    <dxf>
      <numFmt numFmtId="164" formatCode="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numFmt numFmtId="2" formatCode="0.00"/>
    </dxf>
    <dxf>
      <numFmt numFmtId="164" formatCode="0.0"/>
    </dxf>
    <dxf>
      <font>
        <color auto="1"/>
      </font>
    </dxf>
    <dxf>
      <font>
        <color auto="1"/>
      </font>
    </dxf>
    <dxf>
      <font>
        <color auto="1"/>
      </font>
    </dxf>
    <dxf>
      <font>
        <color auto="1"/>
      </font>
    </dxf>
    <dxf>
      <font>
        <color auto="1"/>
      </font>
    </dxf>
    <dxf>
      <font>
        <color auto="1"/>
      </font>
    </dxf>
    <dxf>
      <font>
        <color auto="1"/>
      </font>
    </dxf>
    <dxf>
      <numFmt numFmtId="1" formatCode="0"/>
    </dxf>
    <dxf>
      <numFmt numFmtId="1" formatCode="0"/>
    </dxf>
    <dxf>
      <numFmt numFmtId="21" formatCode="d\-mmm"/>
    </dxf>
    <dxf>
      <numFmt numFmtId="164" formatCode="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numFmt numFmtId="2" formatCode="0.00"/>
    </dxf>
    <dxf>
      <numFmt numFmtId="2" formatCode="0.00"/>
    </dxf>
    <dxf>
      <numFmt numFmtId="164" formatCode="0.0"/>
    </dxf>
    <dxf>
      <font>
        <color auto="1"/>
      </font>
    </dxf>
    <dxf>
      <font>
        <color auto="1"/>
      </font>
    </dxf>
    <dxf>
      <font>
        <color auto="1"/>
      </font>
    </dxf>
    <dxf>
      <font>
        <color auto="1"/>
      </font>
    </dxf>
    <dxf>
      <font>
        <color auto="1"/>
      </font>
    </dxf>
    <dxf>
      <font>
        <color auto="1"/>
      </font>
    </dxf>
    <dxf>
      <font>
        <color auto="1"/>
      </font>
    </dxf>
    <dxf>
      <font>
        <color auto="1"/>
      </font>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pivotCacheDefinition" Target="pivotCache/pivotCacheDefinition9.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4.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7.xml"/><Relationship Id="rId37" Type="http://schemas.openxmlformats.org/officeDocument/2006/relationships/theme" Target="theme/theme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pivotCacheDefinition" Target="pivotCache/pivotCacheDefinition1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6.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pivotCacheDefinition" Target="pivotCache/pivotCacheDefinition5.xml"/><Relationship Id="rId35" Type="http://schemas.openxmlformats.org/officeDocument/2006/relationships/pivotCacheDefinition" Target="pivotCache/pivotCacheDefinition10.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8.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167286413885627E-2"/>
          <c:y val="1.8563565476645515E-2"/>
          <c:w val="0.85260302779705965"/>
          <c:h val="0.87819534694085566"/>
        </c:manualLayout>
      </c:layout>
      <c:scatterChart>
        <c:scatterStyle val="smoothMarker"/>
        <c:varyColors val="0"/>
        <c:ser>
          <c:idx val="0"/>
          <c:order val="0"/>
          <c:tx>
            <c:strRef>
              <c:f>Emergence!$O$5</c:f>
              <c:strCache>
                <c:ptCount val="1"/>
                <c:pt idx="0">
                  <c:v>Big_Red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Emergence!$P$4:$T$4</c:f>
              <c:numCache>
                <c:formatCode>m/d/yyyy</c:formatCode>
                <c:ptCount val="5"/>
                <c:pt idx="0">
                  <c:v>45407</c:v>
                </c:pt>
                <c:pt idx="1">
                  <c:v>45412</c:v>
                </c:pt>
                <c:pt idx="2">
                  <c:v>45418</c:v>
                </c:pt>
                <c:pt idx="3">
                  <c:v>45420</c:v>
                </c:pt>
                <c:pt idx="4">
                  <c:v>45427</c:v>
                </c:pt>
              </c:numCache>
            </c:numRef>
          </c:xVal>
          <c:yVal>
            <c:numRef>
              <c:f>Emergence!$P$5:$T$5</c:f>
              <c:numCache>
                <c:formatCode>General</c:formatCode>
                <c:ptCount val="5"/>
                <c:pt idx="0">
                  <c:v>9.25</c:v>
                </c:pt>
                <c:pt idx="1">
                  <c:v>29.5</c:v>
                </c:pt>
                <c:pt idx="2">
                  <c:v>34.75</c:v>
                </c:pt>
                <c:pt idx="3">
                  <c:v>36.5</c:v>
                </c:pt>
                <c:pt idx="4">
                  <c:v>38.5</c:v>
                </c:pt>
              </c:numCache>
            </c:numRef>
          </c:yVal>
          <c:smooth val="1"/>
          <c:extLst>
            <c:ext xmlns:c16="http://schemas.microsoft.com/office/drawing/2014/chart" uri="{C3380CC4-5D6E-409C-BE32-E72D297353CC}">
              <c16:uniqueId val="{00000008-5636-446A-8DFF-DA32068F179A}"/>
            </c:ext>
          </c:extLst>
        </c:ser>
        <c:ser>
          <c:idx val="1"/>
          <c:order val="1"/>
          <c:tx>
            <c:strRef>
              <c:f>Emergence!$O$10</c:f>
              <c:strCache>
                <c:ptCount val="1"/>
                <c:pt idx="0">
                  <c:v>Illabo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Emergence!$P$4:$T$4</c:f>
              <c:numCache>
                <c:formatCode>m/d/yyyy</c:formatCode>
                <c:ptCount val="5"/>
                <c:pt idx="0">
                  <c:v>45407</c:v>
                </c:pt>
                <c:pt idx="1">
                  <c:v>45412</c:v>
                </c:pt>
                <c:pt idx="2">
                  <c:v>45418</c:v>
                </c:pt>
                <c:pt idx="3">
                  <c:v>45420</c:v>
                </c:pt>
                <c:pt idx="4">
                  <c:v>45427</c:v>
                </c:pt>
              </c:numCache>
            </c:numRef>
          </c:xVal>
          <c:yVal>
            <c:numRef>
              <c:f>Emergence!$P$10:$T$10</c:f>
              <c:numCache>
                <c:formatCode>General</c:formatCode>
                <c:ptCount val="5"/>
                <c:pt idx="0">
                  <c:v>8.75</c:v>
                </c:pt>
                <c:pt idx="1">
                  <c:v>24</c:v>
                </c:pt>
                <c:pt idx="2">
                  <c:v>29.5</c:v>
                </c:pt>
                <c:pt idx="3">
                  <c:v>32.25</c:v>
                </c:pt>
                <c:pt idx="4">
                  <c:v>35</c:v>
                </c:pt>
              </c:numCache>
            </c:numRef>
          </c:yVal>
          <c:smooth val="1"/>
          <c:extLst>
            <c:ext xmlns:c16="http://schemas.microsoft.com/office/drawing/2014/chart" uri="{C3380CC4-5D6E-409C-BE32-E72D297353CC}">
              <c16:uniqueId val="{00000009-5636-446A-8DFF-DA32068F179A}"/>
            </c:ext>
          </c:extLst>
        </c:ser>
        <c:ser>
          <c:idx val="2"/>
          <c:order val="2"/>
          <c:tx>
            <c:strRef>
              <c:f>Emergence!$O$25</c:f>
              <c:strCache>
                <c:ptCount val="1"/>
                <c:pt idx="0">
                  <c:v>UOM001_3_47</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Emergence!$P$4:$T$4</c:f>
              <c:numCache>
                <c:formatCode>m/d/yyyy</c:formatCode>
                <c:ptCount val="5"/>
                <c:pt idx="0">
                  <c:v>45407</c:v>
                </c:pt>
                <c:pt idx="1">
                  <c:v>45412</c:v>
                </c:pt>
                <c:pt idx="2">
                  <c:v>45418</c:v>
                </c:pt>
                <c:pt idx="3">
                  <c:v>45420</c:v>
                </c:pt>
                <c:pt idx="4">
                  <c:v>45427</c:v>
                </c:pt>
              </c:numCache>
            </c:numRef>
          </c:xVal>
          <c:yVal>
            <c:numRef>
              <c:f>Emergence!$P$25:$T$25</c:f>
              <c:numCache>
                <c:formatCode>General</c:formatCode>
                <c:ptCount val="5"/>
                <c:pt idx="0">
                  <c:v>7.5</c:v>
                </c:pt>
                <c:pt idx="1">
                  <c:v>21.75</c:v>
                </c:pt>
                <c:pt idx="2">
                  <c:v>26.5</c:v>
                </c:pt>
                <c:pt idx="3">
                  <c:v>28.25</c:v>
                </c:pt>
                <c:pt idx="4">
                  <c:v>29.25</c:v>
                </c:pt>
              </c:numCache>
            </c:numRef>
          </c:yVal>
          <c:smooth val="1"/>
          <c:extLst>
            <c:ext xmlns:c16="http://schemas.microsoft.com/office/drawing/2014/chart" uri="{C3380CC4-5D6E-409C-BE32-E72D297353CC}">
              <c16:uniqueId val="{0000000A-5636-446A-8DFF-DA32068F179A}"/>
            </c:ext>
          </c:extLst>
        </c:ser>
        <c:ser>
          <c:idx val="3"/>
          <c:order val="3"/>
          <c:tx>
            <c:strRef>
              <c:f>Emergence!$O$30</c:f>
              <c:strCache>
                <c:ptCount val="1"/>
                <c:pt idx="0">
                  <c:v>UOM001_9_1</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Emergence!$P$4:$T$4</c:f>
              <c:numCache>
                <c:formatCode>m/d/yyyy</c:formatCode>
                <c:ptCount val="5"/>
                <c:pt idx="0">
                  <c:v>45407</c:v>
                </c:pt>
                <c:pt idx="1">
                  <c:v>45412</c:v>
                </c:pt>
                <c:pt idx="2">
                  <c:v>45418</c:v>
                </c:pt>
                <c:pt idx="3">
                  <c:v>45420</c:v>
                </c:pt>
                <c:pt idx="4">
                  <c:v>45427</c:v>
                </c:pt>
              </c:numCache>
            </c:numRef>
          </c:xVal>
          <c:yVal>
            <c:numRef>
              <c:f>Emergence!$P$30:$T$30</c:f>
              <c:numCache>
                <c:formatCode>General</c:formatCode>
                <c:ptCount val="5"/>
                <c:pt idx="0">
                  <c:v>4.75</c:v>
                </c:pt>
                <c:pt idx="1">
                  <c:v>15.75</c:v>
                </c:pt>
                <c:pt idx="2">
                  <c:v>21.25</c:v>
                </c:pt>
                <c:pt idx="3">
                  <c:v>22</c:v>
                </c:pt>
                <c:pt idx="4">
                  <c:v>26.5</c:v>
                </c:pt>
              </c:numCache>
            </c:numRef>
          </c:yVal>
          <c:smooth val="1"/>
          <c:extLst>
            <c:ext xmlns:c16="http://schemas.microsoft.com/office/drawing/2014/chart" uri="{C3380CC4-5D6E-409C-BE32-E72D297353CC}">
              <c16:uniqueId val="{0000000B-5636-446A-8DFF-DA32068F179A}"/>
            </c:ext>
          </c:extLst>
        </c:ser>
        <c:ser>
          <c:idx val="4"/>
          <c:order val="4"/>
          <c:tx>
            <c:strRef>
              <c:f>Emergence!$O$15</c:f>
              <c:strCache>
                <c:ptCount val="1"/>
                <c:pt idx="0">
                  <c:v>RGT_Zanzibar</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Emergence!$U$4:$X$4</c:f>
              <c:numCache>
                <c:formatCode>m/d/yyyy</c:formatCode>
                <c:ptCount val="4"/>
                <c:pt idx="0">
                  <c:v>45436</c:v>
                </c:pt>
                <c:pt idx="1">
                  <c:v>45441</c:v>
                </c:pt>
                <c:pt idx="2">
                  <c:v>45443</c:v>
                </c:pt>
                <c:pt idx="3">
                  <c:v>45447</c:v>
                </c:pt>
              </c:numCache>
            </c:numRef>
          </c:xVal>
          <c:yVal>
            <c:numRef>
              <c:f>Emergence!$U$15:$X$15</c:f>
              <c:numCache>
                <c:formatCode>General</c:formatCode>
                <c:ptCount val="4"/>
                <c:pt idx="0">
                  <c:v>7.75</c:v>
                </c:pt>
                <c:pt idx="1">
                  <c:v>30.75</c:v>
                </c:pt>
                <c:pt idx="2">
                  <c:v>32.5</c:v>
                </c:pt>
                <c:pt idx="3">
                  <c:v>31.75</c:v>
                </c:pt>
              </c:numCache>
            </c:numRef>
          </c:yVal>
          <c:smooth val="1"/>
          <c:extLst>
            <c:ext xmlns:c16="http://schemas.microsoft.com/office/drawing/2014/chart" uri="{C3380CC4-5D6E-409C-BE32-E72D297353CC}">
              <c16:uniqueId val="{0000000C-5636-446A-8DFF-DA32068F179A}"/>
            </c:ext>
          </c:extLst>
        </c:ser>
        <c:ser>
          <c:idx val="5"/>
          <c:order val="5"/>
          <c:tx>
            <c:strRef>
              <c:f>Emergence!$O$20</c:f>
              <c:strCache>
                <c:ptCount val="1"/>
                <c:pt idx="0">
                  <c:v>Sunmaster</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Emergence!$U$4:$X$4</c:f>
              <c:numCache>
                <c:formatCode>m/d/yyyy</c:formatCode>
                <c:ptCount val="4"/>
                <c:pt idx="0">
                  <c:v>45436</c:v>
                </c:pt>
                <c:pt idx="1">
                  <c:v>45441</c:v>
                </c:pt>
                <c:pt idx="2">
                  <c:v>45443</c:v>
                </c:pt>
                <c:pt idx="3">
                  <c:v>45447</c:v>
                </c:pt>
              </c:numCache>
            </c:numRef>
          </c:xVal>
          <c:yVal>
            <c:numRef>
              <c:f>Emergence!$U$20:$X$20</c:f>
              <c:numCache>
                <c:formatCode>General</c:formatCode>
                <c:ptCount val="4"/>
                <c:pt idx="0">
                  <c:v>1.5</c:v>
                </c:pt>
                <c:pt idx="1">
                  <c:v>38</c:v>
                </c:pt>
                <c:pt idx="2">
                  <c:v>41.5</c:v>
                </c:pt>
                <c:pt idx="3">
                  <c:v>41.75</c:v>
                </c:pt>
              </c:numCache>
            </c:numRef>
          </c:yVal>
          <c:smooth val="1"/>
          <c:extLst>
            <c:ext xmlns:c16="http://schemas.microsoft.com/office/drawing/2014/chart" uri="{C3380CC4-5D6E-409C-BE32-E72D297353CC}">
              <c16:uniqueId val="{0000000D-5636-446A-8DFF-DA32068F179A}"/>
            </c:ext>
          </c:extLst>
        </c:ser>
        <c:ser>
          <c:idx val="6"/>
          <c:order val="6"/>
          <c:tx>
            <c:strRef>
              <c:f>Emergence!$O$25</c:f>
              <c:strCache>
                <c:ptCount val="1"/>
                <c:pt idx="0">
                  <c:v>UOM001_3_47</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Emergence!$U$4:$X$4</c:f>
              <c:numCache>
                <c:formatCode>m/d/yyyy</c:formatCode>
                <c:ptCount val="4"/>
                <c:pt idx="0">
                  <c:v>45436</c:v>
                </c:pt>
                <c:pt idx="1">
                  <c:v>45441</c:v>
                </c:pt>
                <c:pt idx="2">
                  <c:v>45443</c:v>
                </c:pt>
                <c:pt idx="3">
                  <c:v>45447</c:v>
                </c:pt>
              </c:numCache>
            </c:numRef>
          </c:xVal>
          <c:yVal>
            <c:numRef>
              <c:f>Emergence!$U$25:$X$25</c:f>
              <c:numCache>
                <c:formatCode>General</c:formatCode>
                <c:ptCount val="4"/>
                <c:pt idx="0">
                  <c:v>4.25</c:v>
                </c:pt>
                <c:pt idx="1">
                  <c:v>32</c:v>
                </c:pt>
                <c:pt idx="2">
                  <c:v>38.75</c:v>
                </c:pt>
                <c:pt idx="3">
                  <c:v>39.75</c:v>
                </c:pt>
              </c:numCache>
            </c:numRef>
          </c:yVal>
          <c:smooth val="1"/>
          <c:extLst>
            <c:ext xmlns:c16="http://schemas.microsoft.com/office/drawing/2014/chart" uri="{C3380CC4-5D6E-409C-BE32-E72D297353CC}">
              <c16:uniqueId val="{0000000E-5636-446A-8DFF-DA32068F179A}"/>
            </c:ext>
          </c:extLst>
        </c:ser>
        <c:ser>
          <c:idx val="7"/>
          <c:order val="7"/>
          <c:tx>
            <c:strRef>
              <c:f>Emergence!$O$30</c:f>
              <c:strCache>
                <c:ptCount val="1"/>
                <c:pt idx="0">
                  <c:v>UOM001_9_1</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Emergence!$U$4:$X$4</c:f>
              <c:numCache>
                <c:formatCode>m/d/yyyy</c:formatCode>
                <c:ptCount val="4"/>
                <c:pt idx="0">
                  <c:v>45436</c:v>
                </c:pt>
                <c:pt idx="1">
                  <c:v>45441</c:v>
                </c:pt>
                <c:pt idx="2">
                  <c:v>45443</c:v>
                </c:pt>
                <c:pt idx="3">
                  <c:v>45447</c:v>
                </c:pt>
              </c:numCache>
            </c:numRef>
          </c:xVal>
          <c:yVal>
            <c:numRef>
              <c:f>Emergence!$U$30:$X$30</c:f>
              <c:numCache>
                <c:formatCode>General</c:formatCode>
                <c:ptCount val="4"/>
                <c:pt idx="0">
                  <c:v>2.75</c:v>
                </c:pt>
                <c:pt idx="1">
                  <c:v>29.25</c:v>
                </c:pt>
                <c:pt idx="2">
                  <c:v>34.5</c:v>
                </c:pt>
                <c:pt idx="3">
                  <c:v>35.25</c:v>
                </c:pt>
              </c:numCache>
            </c:numRef>
          </c:yVal>
          <c:smooth val="1"/>
          <c:extLst>
            <c:ext xmlns:c16="http://schemas.microsoft.com/office/drawing/2014/chart" uri="{C3380CC4-5D6E-409C-BE32-E72D297353CC}">
              <c16:uniqueId val="{0000000F-5636-446A-8DFF-DA32068F179A}"/>
            </c:ext>
          </c:extLst>
        </c:ser>
        <c:dLbls>
          <c:showLegendKey val="0"/>
          <c:showVal val="0"/>
          <c:showCatName val="0"/>
          <c:showSerName val="0"/>
          <c:showPercent val="0"/>
          <c:showBubbleSize val="0"/>
        </c:dLbls>
        <c:axId val="1941863232"/>
        <c:axId val="29089711"/>
      </c:scatterChart>
      <c:valAx>
        <c:axId val="1941863232"/>
        <c:scaling>
          <c:orientation val="minMax"/>
        </c:scaling>
        <c:delete val="0"/>
        <c:axPos val="b"/>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89711"/>
        <c:crosses val="autoZero"/>
        <c:crossBetween val="midCat"/>
      </c:valAx>
      <c:valAx>
        <c:axId val="29089711"/>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63232"/>
        <c:crosses val="autoZero"/>
        <c:crossBetween val="midCat"/>
      </c:valAx>
      <c:spPr>
        <a:noFill/>
        <a:ln>
          <a:noFill/>
        </a:ln>
        <a:effectLst/>
      </c:spPr>
    </c:plotArea>
    <c:legend>
      <c:legendPos val="r"/>
      <c:layout>
        <c:manualLayout>
          <c:xMode val="edge"/>
          <c:yMode val="edge"/>
          <c:x val="0.52277768630311705"/>
          <c:y val="4.2069668475906555E-2"/>
          <c:w val="0.17428875003380864"/>
          <c:h val="0.436896261753688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620875042548704"/>
          <c:y val="5.0925925925925923E-2"/>
          <c:w val="0.8099604861496601"/>
          <c:h val="0.81952085470825964"/>
        </c:manualLayout>
      </c:layout>
      <c:scatterChart>
        <c:scatterStyle val="lineMarker"/>
        <c:varyColors val="0"/>
        <c:ser>
          <c:idx val="0"/>
          <c:order val="0"/>
          <c:tx>
            <c:strRef>
              <c:f>'NDVI &amp; height'!$P$19:$Q$19</c:f>
              <c:strCache>
                <c:ptCount val="2"/>
                <c:pt idx="0">
                  <c:v>Mid_April</c:v>
                </c:pt>
                <c:pt idx="1">
                  <c:v>Big_Red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height'!$R$19:$AD$19</c:f>
              <c:numCache>
                <c:formatCode>0.00</c:formatCode>
                <c:ptCount val="13"/>
                <c:pt idx="0">
                  <c:v>0.29250000000000004</c:v>
                </c:pt>
                <c:pt idx="1">
                  <c:v>0.41000000000000003</c:v>
                </c:pt>
                <c:pt idx="2">
                  <c:v>0.52249999999999996</c:v>
                </c:pt>
                <c:pt idx="3">
                  <c:v>0.60250000000000004</c:v>
                </c:pt>
                <c:pt idx="4">
                  <c:v>0.65249999999999997</c:v>
                </c:pt>
                <c:pt idx="5">
                  <c:v>0.69500000000000006</c:v>
                </c:pt>
                <c:pt idx="6">
                  <c:v>0.65</c:v>
                </c:pt>
                <c:pt idx="7">
                  <c:v>0.8</c:v>
                </c:pt>
                <c:pt idx="8">
                  <c:v>0.81</c:v>
                </c:pt>
                <c:pt idx="9">
                  <c:v>0.76</c:v>
                </c:pt>
                <c:pt idx="10">
                  <c:v>0.59750000000000003</c:v>
                </c:pt>
                <c:pt idx="11">
                  <c:v>0.4975</c:v>
                </c:pt>
                <c:pt idx="12">
                  <c:v>0.125</c:v>
                </c:pt>
              </c:numCache>
            </c:numRef>
          </c:yVal>
          <c:smooth val="0"/>
          <c:extLst>
            <c:ext xmlns:c16="http://schemas.microsoft.com/office/drawing/2014/chart" uri="{C3380CC4-5D6E-409C-BE32-E72D297353CC}">
              <c16:uniqueId val="{00000000-E304-4398-B27A-4603A6F6A0E1}"/>
            </c:ext>
          </c:extLst>
        </c:ser>
        <c:ser>
          <c:idx val="1"/>
          <c:order val="1"/>
          <c:tx>
            <c:strRef>
              <c:f>'NDVI &amp; height'!$Q$20</c:f>
              <c:strCache>
                <c:ptCount val="1"/>
                <c:pt idx="0">
                  <c:v>Illabo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height'!$R$20:$AD$20</c:f>
              <c:numCache>
                <c:formatCode>0.00</c:formatCode>
                <c:ptCount val="13"/>
                <c:pt idx="0">
                  <c:v>0.30249999999999999</c:v>
                </c:pt>
                <c:pt idx="1">
                  <c:v>0.39</c:v>
                </c:pt>
                <c:pt idx="2">
                  <c:v>0.51</c:v>
                </c:pt>
                <c:pt idx="3">
                  <c:v>0.58499999999999996</c:v>
                </c:pt>
                <c:pt idx="4">
                  <c:v>0.65</c:v>
                </c:pt>
                <c:pt idx="5">
                  <c:v>0.68500000000000005</c:v>
                </c:pt>
                <c:pt idx="6">
                  <c:v>0.625</c:v>
                </c:pt>
                <c:pt idx="7">
                  <c:v>0.84250000000000003</c:v>
                </c:pt>
                <c:pt idx="8">
                  <c:v>0.8125</c:v>
                </c:pt>
                <c:pt idx="9">
                  <c:v>0.73750000000000004</c:v>
                </c:pt>
                <c:pt idx="10">
                  <c:v>0.5774999999999999</c:v>
                </c:pt>
                <c:pt idx="11">
                  <c:v>0.375</c:v>
                </c:pt>
                <c:pt idx="12">
                  <c:v>0.10500000000000001</c:v>
                </c:pt>
              </c:numCache>
            </c:numRef>
          </c:yVal>
          <c:smooth val="0"/>
          <c:extLst>
            <c:ext xmlns:c16="http://schemas.microsoft.com/office/drawing/2014/chart" uri="{C3380CC4-5D6E-409C-BE32-E72D297353CC}">
              <c16:uniqueId val="{00000001-E304-4398-B27A-4603A6F6A0E1}"/>
            </c:ext>
          </c:extLst>
        </c:ser>
        <c:ser>
          <c:idx val="2"/>
          <c:order val="2"/>
          <c:tx>
            <c:strRef>
              <c:f>'NDVI &amp; height'!$Q$21</c:f>
              <c:strCache>
                <c:ptCount val="1"/>
                <c:pt idx="0">
                  <c:v>UOM001_3_47</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height'!$R$21:$AD$21</c:f>
              <c:numCache>
                <c:formatCode>0.00</c:formatCode>
                <c:ptCount val="13"/>
                <c:pt idx="0">
                  <c:v>0.245</c:v>
                </c:pt>
                <c:pt idx="1">
                  <c:v>0.34</c:v>
                </c:pt>
                <c:pt idx="2">
                  <c:v>0.44500000000000001</c:v>
                </c:pt>
                <c:pt idx="3">
                  <c:v>0.48</c:v>
                </c:pt>
                <c:pt idx="4">
                  <c:v>0.57250000000000001</c:v>
                </c:pt>
                <c:pt idx="5">
                  <c:v>0.60249999999999992</c:v>
                </c:pt>
                <c:pt idx="6">
                  <c:v>0.59499999999999997</c:v>
                </c:pt>
                <c:pt idx="7">
                  <c:v>0.80249999999999999</c:v>
                </c:pt>
                <c:pt idx="8">
                  <c:v>0.75249999999999995</c:v>
                </c:pt>
                <c:pt idx="9">
                  <c:v>0.71</c:v>
                </c:pt>
                <c:pt idx="10">
                  <c:v>0.5149999999999999</c:v>
                </c:pt>
                <c:pt idx="11">
                  <c:v>0.32</c:v>
                </c:pt>
                <c:pt idx="12">
                  <c:v>0.11749999999999999</c:v>
                </c:pt>
              </c:numCache>
            </c:numRef>
          </c:yVal>
          <c:smooth val="0"/>
          <c:extLst>
            <c:ext xmlns:c16="http://schemas.microsoft.com/office/drawing/2014/chart" uri="{C3380CC4-5D6E-409C-BE32-E72D297353CC}">
              <c16:uniqueId val="{00000002-E304-4398-B27A-4603A6F6A0E1}"/>
            </c:ext>
          </c:extLst>
        </c:ser>
        <c:ser>
          <c:idx val="3"/>
          <c:order val="3"/>
          <c:tx>
            <c:strRef>
              <c:f>'NDVI &amp; height'!$Q$22</c:f>
              <c:strCache>
                <c:ptCount val="1"/>
                <c:pt idx="0">
                  <c:v>UOM001_9_1</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height'!$R$22:$AD$22</c:f>
              <c:numCache>
                <c:formatCode>0.00</c:formatCode>
                <c:ptCount val="13"/>
                <c:pt idx="0">
                  <c:v>0.27750000000000002</c:v>
                </c:pt>
                <c:pt idx="1">
                  <c:v>0.35749999999999998</c:v>
                </c:pt>
                <c:pt idx="2">
                  <c:v>0.48749999999999993</c:v>
                </c:pt>
                <c:pt idx="3">
                  <c:v>0.53500000000000003</c:v>
                </c:pt>
                <c:pt idx="4">
                  <c:v>0.59</c:v>
                </c:pt>
                <c:pt idx="5">
                  <c:v>0.58499999999999996</c:v>
                </c:pt>
                <c:pt idx="6">
                  <c:v>0.55499999999999994</c:v>
                </c:pt>
                <c:pt idx="7">
                  <c:v>0.8025000000000001</c:v>
                </c:pt>
                <c:pt idx="8">
                  <c:v>0.77499999999999991</c:v>
                </c:pt>
                <c:pt idx="9">
                  <c:v>0.72249999999999992</c:v>
                </c:pt>
                <c:pt idx="10">
                  <c:v>0.57499999999999996</c:v>
                </c:pt>
                <c:pt idx="11">
                  <c:v>0.34499999999999997</c:v>
                </c:pt>
                <c:pt idx="12">
                  <c:v>9.7500000000000003E-2</c:v>
                </c:pt>
              </c:numCache>
            </c:numRef>
          </c:yVal>
          <c:smooth val="0"/>
          <c:extLst>
            <c:ext xmlns:c16="http://schemas.microsoft.com/office/drawing/2014/chart" uri="{C3380CC4-5D6E-409C-BE32-E72D297353CC}">
              <c16:uniqueId val="{00000003-E304-4398-B27A-4603A6F6A0E1}"/>
            </c:ext>
          </c:extLst>
        </c:ser>
        <c:ser>
          <c:idx val="4"/>
          <c:order val="4"/>
          <c:tx>
            <c:strRef>
              <c:f>'NDVI &amp; height'!$P$23:$Q$23</c:f>
              <c:strCache>
                <c:ptCount val="2"/>
                <c:pt idx="0">
                  <c:v>Mid_May</c:v>
                </c:pt>
                <c:pt idx="1">
                  <c:v>RGT_Zanzibar</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height'!$R$23:$AD$23</c:f>
              <c:numCache>
                <c:formatCode>0.00</c:formatCode>
                <c:ptCount val="13"/>
                <c:pt idx="0">
                  <c:v>0.17500000000000002</c:v>
                </c:pt>
                <c:pt idx="1">
                  <c:v>0.1925</c:v>
                </c:pt>
                <c:pt idx="2">
                  <c:v>0.29000000000000004</c:v>
                </c:pt>
                <c:pt idx="3">
                  <c:v>0.40500000000000003</c:v>
                </c:pt>
                <c:pt idx="4">
                  <c:v>0.56500000000000006</c:v>
                </c:pt>
                <c:pt idx="5">
                  <c:v>0.65</c:v>
                </c:pt>
                <c:pt idx="6">
                  <c:v>0.77500000000000013</c:v>
                </c:pt>
                <c:pt idx="7">
                  <c:v>0.83250000000000002</c:v>
                </c:pt>
                <c:pt idx="8">
                  <c:v>0.76</c:v>
                </c:pt>
                <c:pt idx="9">
                  <c:v>0.755</c:v>
                </c:pt>
                <c:pt idx="10">
                  <c:v>0.59750000000000003</c:v>
                </c:pt>
                <c:pt idx="11">
                  <c:v>0.43</c:v>
                </c:pt>
                <c:pt idx="12">
                  <c:v>0.1275</c:v>
                </c:pt>
              </c:numCache>
            </c:numRef>
          </c:yVal>
          <c:smooth val="0"/>
          <c:extLst>
            <c:ext xmlns:c16="http://schemas.microsoft.com/office/drawing/2014/chart" uri="{C3380CC4-5D6E-409C-BE32-E72D297353CC}">
              <c16:uniqueId val="{00000004-E304-4398-B27A-4603A6F6A0E1}"/>
            </c:ext>
          </c:extLst>
        </c:ser>
        <c:ser>
          <c:idx val="5"/>
          <c:order val="5"/>
          <c:tx>
            <c:strRef>
              <c:f>'NDVI &amp; height'!$Q$24</c:f>
              <c:strCache>
                <c:ptCount val="1"/>
                <c:pt idx="0">
                  <c:v>Sunmaster</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height'!$R$24:$AD$24</c:f>
              <c:numCache>
                <c:formatCode>0.00</c:formatCode>
                <c:ptCount val="13"/>
                <c:pt idx="0">
                  <c:v>0.16999999999999998</c:v>
                </c:pt>
                <c:pt idx="1">
                  <c:v>0.17249999999999999</c:v>
                </c:pt>
                <c:pt idx="2">
                  <c:v>0.25750000000000001</c:v>
                </c:pt>
                <c:pt idx="3">
                  <c:v>0.3725</c:v>
                </c:pt>
                <c:pt idx="4">
                  <c:v>0.495</c:v>
                </c:pt>
                <c:pt idx="5">
                  <c:v>0.59499999999999997</c:v>
                </c:pt>
                <c:pt idx="6">
                  <c:v>0.71</c:v>
                </c:pt>
                <c:pt idx="7">
                  <c:v>0.83499999999999996</c:v>
                </c:pt>
                <c:pt idx="8">
                  <c:v>0.78</c:v>
                </c:pt>
                <c:pt idx="9">
                  <c:v>0.745</c:v>
                </c:pt>
                <c:pt idx="10">
                  <c:v>0.61</c:v>
                </c:pt>
                <c:pt idx="11">
                  <c:v>0.40249999999999997</c:v>
                </c:pt>
                <c:pt idx="12">
                  <c:v>0.1275</c:v>
                </c:pt>
              </c:numCache>
            </c:numRef>
          </c:yVal>
          <c:smooth val="0"/>
          <c:extLst>
            <c:ext xmlns:c16="http://schemas.microsoft.com/office/drawing/2014/chart" uri="{C3380CC4-5D6E-409C-BE32-E72D297353CC}">
              <c16:uniqueId val="{00000005-E304-4398-B27A-4603A6F6A0E1}"/>
            </c:ext>
          </c:extLst>
        </c:ser>
        <c:ser>
          <c:idx val="6"/>
          <c:order val="6"/>
          <c:tx>
            <c:strRef>
              <c:f>'NDVI &amp; height'!$Q$25</c:f>
              <c:strCache>
                <c:ptCount val="1"/>
                <c:pt idx="0">
                  <c:v>UOM001_3_47</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height'!$R$25:$AD$25</c:f>
              <c:numCache>
                <c:formatCode>0.00</c:formatCode>
                <c:ptCount val="13"/>
                <c:pt idx="0">
                  <c:v>0.17250000000000001</c:v>
                </c:pt>
                <c:pt idx="1">
                  <c:v>0.17</c:v>
                </c:pt>
                <c:pt idx="2">
                  <c:v>0.23749999999999999</c:v>
                </c:pt>
                <c:pt idx="3">
                  <c:v>0.33250000000000002</c:v>
                </c:pt>
                <c:pt idx="4">
                  <c:v>0.49</c:v>
                </c:pt>
                <c:pt idx="5">
                  <c:v>0.54499999999999993</c:v>
                </c:pt>
                <c:pt idx="6">
                  <c:v>0.64250000000000007</c:v>
                </c:pt>
                <c:pt idx="7">
                  <c:v>0.7975000000000001</c:v>
                </c:pt>
                <c:pt idx="8">
                  <c:v>0.75499999999999989</c:v>
                </c:pt>
                <c:pt idx="9">
                  <c:v>0.71499999999999997</c:v>
                </c:pt>
                <c:pt idx="10">
                  <c:v>0.54999999999999993</c:v>
                </c:pt>
                <c:pt idx="11">
                  <c:v>0.38750000000000001</c:v>
                </c:pt>
                <c:pt idx="12">
                  <c:v>0.125</c:v>
                </c:pt>
              </c:numCache>
            </c:numRef>
          </c:yVal>
          <c:smooth val="0"/>
          <c:extLst>
            <c:ext xmlns:c16="http://schemas.microsoft.com/office/drawing/2014/chart" uri="{C3380CC4-5D6E-409C-BE32-E72D297353CC}">
              <c16:uniqueId val="{00000006-E304-4398-B27A-4603A6F6A0E1}"/>
            </c:ext>
          </c:extLst>
        </c:ser>
        <c:ser>
          <c:idx val="7"/>
          <c:order val="7"/>
          <c:tx>
            <c:strRef>
              <c:f>'NDVI &amp; height'!$Q$26</c:f>
              <c:strCache>
                <c:ptCount val="1"/>
                <c:pt idx="0">
                  <c:v>UOM001_9_1</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'NDVI &amp; height'!$R$18:$AD$18</c:f>
              <c:numCache>
                <c:formatCode>m/d/yyyy</c:formatCode>
                <c:ptCount val="13"/>
                <c:pt idx="0">
                  <c:v>45443</c:v>
                </c:pt>
                <c:pt idx="1">
                  <c:v>45460</c:v>
                </c:pt>
                <c:pt idx="2">
                  <c:v>45474</c:v>
                </c:pt>
                <c:pt idx="3">
                  <c:v>45487</c:v>
                </c:pt>
                <c:pt idx="4">
                  <c:v>45502</c:v>
                </c:pt>
                <c:pt idx="5">
                  <c:v>45513</c:v>
                </c:pt>
                <c:pt idx="6">
                  <c:v>45526</c:v>
                </c:pt>
                <c:pt idx="7">
                  <c:v>45548</c:v>
                </c:pt>
                <c:pt idx="8">
                  <c:v>45559</c:v>
                </c:pt>
                <c:pt idx="9">
                  <c:v>45571</c:v>
                </c:pt>
                <c:pt idx="10">
                  <c:v>45582</c:v>
                </c:pt>
                <c:pt idx="11">
                  <c:v>45594</c:v>
                </c:pt>
                <c:pt idx="12">
                  <c:v>45609</c:v>
                </c:pt>
              </c:numCache>
            </c:numRef>
          </c:xVal>
          <c:yVal>
            <c:numRef>
              <c:f>'NDVI &amp; height'!$R$26:$AD$26</c:f>
              <c:numCache>
                <c:formatCode>0.00</c:formatCode>
                <c:ptCount val="13"/>
                <c:pt idx="0">
                  <c:v>0.16750000000000001</c:v>
                </c:pt>
                <c:pt idx="1">
                  <c:v>0.1575</c:v>
                </c:pt>
                <c:pt idx="2">
                  <c:v>0.215</c:v>
                </c:pt>
                <c:pt idx="3">
                  <c:v>0.3175</c:v>
                </c:pt>
                <c:pt idx="4">
                  <c:v>0.42</c:v>
                </c:pt>
                <c:pt idx="5">
                  <c:v>0.505</c:v>
                </c:pt>
                <c:pt idx="6">
                  <c:v>0.61499999999999999</c:v>
                </c:pt>
                <c:pt idx="7">
                  <c:v>0.77750000000000008</c:v>
                </c:pt>
                <c:pt idx="8">
                  <c:v>0.74750000000000005</c:v>
                </c:pt>
                <c:pt idx="9">
                  <c:v>0.7024999999999999</c:v>
                </c:pt>
                <c:pt idx="10">
                  <c:v>0.55499999999999994</c:v>
                </c:pt>
                <c:pt idx="11">
                  <c:v>0.40749999999999997</c:v>
                </c:pt>
                <c:pt idx="12">
                  <c:v>0.1225</c:v>
                </c:pt>
              </c:numCache>
            </c:numRef>
          </c:yVal>
          <c:smooth val="0"/>
          <c:extLst>
            <c:ext xmlns:c16="http://schemas.microsoft.com/office/drawing/2014/chart" uri="{C3380CC4-5D6E-409C-BE32-E72D297353CC}">
              <c16:uniqueId val="{00000007-E304-4398-B27A-4603A6F6A0E1}"/>
            </c:ext>
          </c:extLst>
        </c:ser>
        <c:dLbls>
          <c:showLegendKey val="0"/>
          <c:showVal val="0"/>
          <c:showCatName val="0"/>
          <c:showSerName val="0"/>
          <c:showPercent val="0"/>
          <c:showBubbleSize val="0"/>
        </c:dLbls>
        <c:axId val="1359569952"/>
        <c:axId val="1981286479"/>
      </c:scatterChart>
      <c:valAx>
        <c:axId val="1359569952"/>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286479"/>
        <c:crosses val="autoZero"/>
        <c:crossBetween val="midCat"/>
      </c:valAx>
      <c:valAx>
        <c:axId val="1981286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69952"/>
        <c:crosses val="autoZero"/>
        <c:crossBetween val="midCat"/>
      </c:valAx>
      <c:spPr>
        <a:noFill/>
        <a:ln>
          <a:noFill/>
        </a:ln>
        <a:effectLst/>
      </c:spPr>
    </c:plotArea>
    <c:legend>
      <c:legendPos val="r"/>
      <c:layout>
        <c:manualLayout>
          <c:xMode val="edge"/>
          <c:yMode val="edge"/>
          <c:x val="0.64564923766551652"/>
          <c:y val="0.39988261883931175"/>
          <c:w val="0.25162203039226838"/>
          <c:h val="0.60011738116068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play'!$AB$2:$AB$9</c:f>
              <c:numCache>
                <c:formatCode>0.00</c:formatCode>
                <c:ptCount val="8"/>
                <c:pt idx="0">
                  <c:v>0.44750000000000001</c:v>
                </c:pt>
                <c:pt idx="1">
                  <c:v>0.59624999999999995</c:v>
                </c:pt>
                <c:pt idx="2">
                  <c:v>0.74099999999999999</c:v>
                </c:pt>
                <c:pt idx="3">
                  <c:v>0.72899999999999998</c:v>
                </c:pt>
                <c:pt idx="4">
                  <c:v>0.4375</c:v>
                </c:pt>
                <c:pt idx="5">
                  <c:v>0.58399999999999996</c:v>
                </c:pt>
                <c:pt idx="6">
                  <c:v>0.67674999999999996</c:v>
                </c:pt>
                <c:pt idx="7">
                  <c:v>0.45200000000000001</c:v>
                </c:pt>
              </c:numCache>
            </c:numRef>
          </c:xVal>
          <c:yVal>
            <c:numRef>
              <c:f>'JRH play'!$Q$2:$Q$9</c:f>
              <c:numCache>
                <c:formatCode>0.0</c:formatCode>
                <c:ptCount val="8"/>
                <c:pt idx="0">
                  <c:v>1.1065009028016244</c:v>
                </c:pt>
                <c:pt idx="1">
                  <c:v>1.9212525789613066</c:v>
                </c:pt>
                <c:pt idx="2">
                  <c:v>2.9345544012672091</c:v>
                </c:pt>
                <c:pt idx="3">
                  <c:v>2.2694955873728961</c:v>
                </c:pt>
                <c:pt idx="4">
                  <c:v>2.0410774461101231</c:v>
                </c:pt>
                <c:pt idx="5">
                  <c:v>2.3066283747283967</c:v>
                </c:pt>
                <c:pt idx="6">
                  <c:v>1.8119709805638555</c:v>
                </c:pt>
                <c:pt idx="7">
                  <c:v>1.9606785129119075</c:v>
                </c:pt>
              </c:numCache>
            </c:numRef>
          </c:yVal>
          <c:smooth val="0"/>
          <c:extLst>
            <c:ext xmlns:c16="http://schemas.microsoft.com/office/drawing/2014/chart" uri="{C3380CC4-5D6E-409C-BE32-E72D297353CC}">
              <c16:uniqueId val="{00000000-4D3C-440D-903A-C3B839E9B031}"/>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PARi at 75% of canopy height</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RUE (g/m²/MJ)</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314965277777776"/>
          <c:y val="5.2028819444444444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dLbls>
            <c:dLbl>
              <c:idx val="0"/>
              <c:layout>
                <c:manualLayout>
                  <c:x val="-1.3294444444444444E-2"/>
                  <c:y val="-5.5088541666666664E-2"/>
                </c:manualLayout>
              </c:layout>
              <c:tx>
                <c:rich>
                  <a:bodyPr/>
                  <a:lstStyle/>
                  <a:p>
                    <a:fld id="{E6EA9E14-7899-483B-8F89-89341CFA8EFD}" type="CELLRANGE">
                      <a:rPr lang="en-US"/>
                      <a:pPr/>
                      <a:t>[CELLRANGE]</a:t>
                    </a:fld>
                    <a:endParaRPr lang="en-AU"/>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2D3-4284-8380-F34D76DC8BAD}"/>
                </c:ext>
              </c:extLst>
            </c:dLbl>
            <c:dLbl>
              <c:idx val="1"/>
              <c:layout>
                <c:manualLayout>
                  <c:x val="-0.10403645833333333"/>
                  <c:y val="4.1925347222222138E-2"/>
                </c:manualLayout>
              </c:layout>
              <c:tx>
                <c:rich>
                  <a:bodyPr/>
                  <a:lstStyle/>
                  <a:p>
                    <a:fld id="{55A7F139-425E-44CB-9DA8-90BCE245E03B}" type="CELLRANGE">
                      <a:rPr lang="en-US"/>
                      <a:pPr/>
                      <a:t>[CELLRANGE]</a:t>
                    </a:fld>
                    <a:endParaRPr lang="en-AU"/>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2D3-4284-8380-F34D76DC8BAD}"/>
                </c:ext>
              </c:extLst>
            </c:dLbl>
            <c:dLbl>
              <c:idx val="2"/>
              <c:layout>
                <c:manualLayout>
                  <c:x val="-0.18650937500000001"/>
                  <c:y val="-6.1669791666666668E-2"/>
                </c:manualLayout>
              </c:layout>
              <c:tx>
                <c:rich>
                  <a:bodyPr/>
                  <a:lstStyle/>
                  <a:p>
                    <a:fld id="{0D6A5DFE-197F-4803-B724-0DA19F3F36C9}" type="CELLRANGE">
                      <a:rPr lang="en-US"/>
                      <a:pPr/>
                      <a:t>[CELLRANGE]</a:t>
                    </a:fld>
                    <a:endParaRPr lang="en-AU"/>
                  </a:p>
                </c:rich>
              </c:tx>
              <c:dLblPos val="r"/>
              <c:showLegendKey val="0"/>
              <c:showVal val="0"/>
              <c:showCatName val="0"/>
              <c:showSerName val="0"/>
              <c:showPercent val="0"/>
              <c:showBubbleSize val="0"/>
              <c:extLst>
                <c:ext xmlns:c15="http://schemas.microsoft.com/office/drawing/2012/chart" uri="{CE6537A1-D6FC-4f65-9D91-7224C49458BB}">
                  <c15:layout>
                    <c:manualLayout>
                      <c:w val="0.33333090277777777"/>
                      <c:h val="0.11011076388888889"/>
                    </c:manualLayout>
                  </c15:layout>
                  <c15:dlblFieldTable/>
                  <c15:showDataLabelsRange val="1"/>
                </c:ext>
                <c:ext xmlns:c16="http://schemas.microsoft.com/office/drawing/2014/chart" uri="{C3380CC4-5D6E-409C-BE32-E72D297353CC}">
                  <c16:uniqueId val="{00000003-62D3-4284-8380-F34D76DC8BAD}"/>
                </c:ext>
              </c:extLst>
            </c:dLbl>
            <c:dLbl>
              <c:idx val="3"/>
              <c:layout>
                <c:manualLayout>
                  <c:x val="-0.21737743055555556"/>
                  <c:y val="0.11251458333333333"/>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03975DC6-9661-4D91-B34F-940FE134B353}" type="CELLRANGE">
                      <a:rPr lang="en-US"/>
                      <a:pPr>
                        <a:defRPr/>
                      </a:pPr>
                      <a:t>[CELLRANGE]</a:t>
                    </a:fld>
                    <a:endParaRPr lang="en-AU"/>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AU"/>
                </a:p>
              </c:txPr>
              <c:dLblPos val="r"/>
              <c:showLegendKey val="0"/>
              <c:showVal val="0"/>
              <c:showCatName val="0"/>
              <c:showSerName val="0"/>
              <c:showPercent val="0"/>
              <c:showBubbleSize val="0"/>
              <c:extLst>
                <c:ext xmlns:c15="http://schemas.microsoft.com/office/drawing/2012/chart" uri="{CE6537A1-D6FC-4f65-9D91-7224C49458BB}">
                  <c15:layout>
                    <c:manualLayout>
                      <c:w val="0.34215034722222221"/>
                      <c:h val="0.14979826388888889"/>
                    </c:manualLayout>
                  </c15:layout>
                  <c15:dlblFieldTable/>
                  <c15:showDataLabelsRange val="1"/>
                </c:ext>
                <c:ext xmlns:c16="http://schemas.microsoft.com/office/drawing/2014/chart" uri="{C3380CC4-5D6E-409C-BE32-E72D297353CC}">
                  <c16:uniqueId val="{00000004-62D3-4284-8380-F34D76DC8BAD}"/>
                </c:ext>
              </c:extLst>
            </c:dLbl>
            <c:dLbl>
              <c:idx val="4"/>
              <c:layout>
                <c:manualLayout>
                  <c:x val="-7.0078993055555636E-2"/>
                  <c:y val="4.1958854166666663E-2"/>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CBCA2EA2-63FA-4516-8F61-6D6C04DE17DA}" type="CELLRANGE">
                      <a:rPr lang="en-US"/>
                      <a:pPr>
                        <a:defRPr/>
                      </a:pPr>
                      <a:t>[CELLRANGE]</a:t>
                    </a:fld>
                    <a:endParaRPr lang="en-AU"/>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AU"/>
                </a:p>
              </c:txPr>
              <c:dLblPos val="r"/>
              <c:showLegendKey val="0"/>
              <c:showVal val="0"/>
              <c:showCatName val="0"/>
              <c:showSerName val="0"/>
              <c:showPercent val="0"/>
              <c:showBubbleSize val="0"/>
              <c:extLst>
                <c:ext xmlns:c15="http://schemas.microsoft.com/office/drawing/2012/chart" uri="{CE6537A1-D6FC-4f65-9D91-7224C49458BB}">
                  <c15:layout>
                    <c:manualLayout>
                      <c:w val="0.26592812499999996"/>
                      <c:h val="5.2784374999999988E-2"/>
                    </c:manualLayout>
                  </c15:layout>
                  <c15:dlblFieldTable/>
                  <c15:showDataLabelsRange val="1"/>
                </c:ext>
                <c:ext xmlns:c16="http://schemas.microsoft.com/office/drawing/2014/chart" uri="{C3380CC4-5D6E-409C-BE32-E72D297353CC}">
                  <c16:uniqueId val="{00000005-62D3-4284-8380-F34D76DC8BAD}"/>
                </c:ext>
              </c:extLst>
            </c:dLbl>
            <c:dLbl>
              <c:idx val="5"/>
              <c:layout>
                <c:manualLayout>
                  <c:x val="-0.15930138888888898"/>
                  <c:y val="5.9564236111111113E-2"/>
                </c:manualLayout>
              </c:layout>
              <c:tx>
                <c:rich>
                  <a:bodyPr/>
                  <a:lstStyle/>
                  <a:p>
                    <a:fld id="{83C4BFB7-ACBD-4709-BAA4-94C260889607}" type="CELLRANGE">
                      <a:rPr lang="en-US"/>
                      <a:pPr/>
                      <a:t>[CELLRANGE]</a:t>
                    </a:fld>
                    <a:endParaRPr lang="en-AU"/>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2D3-4284-8380-F34D76DC8BAD}"/>
                </c:ext>
              </c:extLst>
            </c:dLbl>
            <c:dLbl>
              <c:idx val="6"/>
              <c:layout>
                <c:manualLayout>
                  <c:x val="-0.20710902777777779"/>
                  <c:y val="-0.10576701388888889"/>
                </c:manualLayout>
              </c:layout>
              <c:tx>
                <c:rich>
                  <a:bodyPr/>
                  <a:lstStyle/>
                  <a:p>
                    <a:fld id="{896CD69D-9B9A-479E-9554-73110C753A08}" type="CELLRANGE">
                      <a:rPr lang="en-US"/>
                      <a:pPr/>
                      <a:t>[CELLRANGE]</a:t>
                    </a:fld>
                    <a:endParaRPr lang="en-AU"/>
                  </a:p>
                </c:rich>
              </c:tx>
              <c:dLblPos val="r"/>
              <c:showLegendKey val="0"/>
              <c:showVal val="0"/>
              <c:showCatName val="0"/>
              <c:showSerName val="0"/>
              <c:showPercent val="0"/>
              <c:showBubbleSize val="0"/>
              <c:extLst>
                <c:ext xmlns:c15="http://schemas.microsoft.com/office/drawing/2012/chart" uri="{CE6537A1-D6FC-4f65-9D91-7224C49458BB}">
                  <c15:layout>
                    <c:manualLayout>
                      <c:w val="0.29805312500000003"/>
                      <c:h val="0.11011076388888889"/>
                    </c:manualLayout>
                  </c15:layout>
                  <c15:dlblFieldTable/>
                  <c15:showDataLabelsRange val="1"/>
                </c:ext>
                <c:ext xmlns:c16="http://schemas.microsoft.com/office/drawing/2014/chart" uri="{C3380CC4-5D6E-409C-BE32-E72D297353CC}">
                  <c16:uniqueId val="{00000007-62D3-4284-8380-F34D76DC8BAD}"/>
                </c:ext>
              </c:extLst>
            </c:dLbl>
            <c:dLbl>
              <c:idx val="7"/>
              <c:layout>
                <c:manualLayout>
                  <c:x val="-7.4061458333333399E-2"/>
                  <c:y val="-0.16309340277777779"/>
                </c:manualLayout>
              </c:layout>
              <c:tx>
                <c:rich>
                  <a:bodyPr/>
                  <a:lstStyle/>
                  <a:p>
                    <a:fld id="{81FD5F92-F9B8-4C31-9F12-1ACE052B1251}" type="CELLRANGE">
                      <a:rPr lang="en-US"/>
                      <a:pPr/>
                      <a:t>[CELLRANGE]</a:t>
                    </a:fld>
                    <a:endParaRPr lang="en-AU"/>
                  </a:p>
                </c:rich>
              </c:tx>
              <c:dLblPos val="r"/>
              <c:showLegendKey val="0"/>
              <c:showVal val="0"/>
              <c:showCatName val="0"/>
              <c:showSerName val="0"/>
              <c:showPercent val="0"/>
              <c:showBubbleSize val="0"/>
              <c:extLst>
                <c:ext xmlns:c15="http://schemas.microsoft.com/office/drawing/2012/chart" uri="{CE6537A1-D6FC-4f65-9D91-7224C49458BB}">
                  <c15:layout>
                    <c:manualLayout>
                      <c:w val="0.27600451388888891"/>
                      <c:h val="0.11011076388888889"/>
                    </c:manualLayout>
                  </c15:layout>
                  <c15:dlblFieldTable/>
                  <c15:showDataLabelsRange val="1"/>
                </c:ext>
                <c:ext xmlns:c16="http://schemas.microsoft.com/office/drawing/2014/chart" uri="{C3380CC4-5D6E-409C-BE32-E72D297353CC}">
                  <c16:uniqueId val="{00000008-62D3-4284-8380-F34D76DC8B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ysClr val="windowText" lastClr="000000"/>
                </a:solidFill>
                <a:prstDash val="sysDot"/>
              </a:ln>
              <a:effectLst/>
            </c:spPr>
            <c:trendlineType val="linear"/>
            <c:dispRSqr val="1"/>
            <c:dispEq val="1"/>
            <c:trendlineLbl>
              <c:layout>
                <c:manualLayout>
                  <c:x val="-6.4434375000000002E-2"/>
                  <c:y val="0.2679253472222222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play'!$D$2:$D$9</c:f>
              <c:numCache>
                <c:formatCode>d\-mmm</c:formatCode>
                <c:ptCount val="8"/>
                <c:pt idx="0">
                  <c:v>45574</c:v>
                </c:pt>
                <c:pt idx="1">
                  <c:v>45566</c:v>
                </c:pt>
                <c:pt idx="2">
                  <c:v>45560</c:v>
                </c:pt>
                <c:pt idx="3">
                  <c:v>45561</c:v>
                </c:pt>
                <c:pt idx="4">
                  <c:v>45572</c:v>
                </c:pt>
                <c:pt idx="5">
                  <c:v>45568</c:v>
                </c:pt>
                <c:pt idx="6">
                  <c:v>45569</c:v>
                </c:pt>
                <c:pt idx="7">
                  <c:v>45570</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5="http://schemas.microsoft.com/office/drawing/2012/chart" uri="{02D57815-91ED-43cb-92C2-25804820EDAC}">
              <c15:datalabelsRange>
                <c15:f>'JRH play'!$B$2:$B$9</c15:f>
                <c15:dlblRangeCache>
                  <c:ptCount val="8"/>
                  <c:pt idx="0">
                    <c:v>Big_Red</c:v>
                  </c:pt>
                  <c:pt idx="1">
                    <c:v>Illabo</c:v>
                  </c:pt>
                  <c:pt idx="2">
                    <c:v>Apr sown UOM001_3_47</c:v>
                  </c:pt>
                  <c:pt idx="3">
                    <c:v>Apr sown UOM001_9_1</c:v>
                  </c:pt>
                  <c:pt idx="4">
                    <c:v>RGT_Zanzibar</c:v>
                  </c:pt>
                  <c:pt idx="5">
                    <c:v>Sunmaster</c:v>
                  </c:pt>
                  <c:pt idx="6">
                    <c:v>May sown UOM001_3_47</c:v>
                  </c:pt>
                  <c:pt idx="7">
                    <c:v>May sown UOM001_9_1</c:v>
                  </c:pt>
                </c15:dlblRangeCache>
              </c15:datalabelsRange>
            </c:ext>
            <c:ext xmlns:c16="http://schemas.microsoft.com/office/drawing/2014/chart" uri="{C3380CC4-5D6E-409C-BE32-E72D297353CC}">
              <c16:uniqueId val="{00000000-4D3C-440D-903A-C3B839E9B031}"/>
            </c:ext>
          </c:extLst>
        </c:ser>
        <c:dLbls>
          <c:dLblPos val="t"/>
          <c:showLegendKey val="0"/>
          <c:showVal val="1"/>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Nominal flowering date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d\-mmm"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play'!$H$2:$H$9</c:f>
              <c:numCache>
                <c:formatCode>General</c:formatCode>
                <c:ptCount val="8"/>
                <c:pt idx="0">
                  <c:v>196</c:v>
                </c:pt>
                <c:pt idx="1">
                  <c:v>263</c:v>
                </c:pt>
                <c:pt idx="2">
                  <c:v>230</c:v>
                </c:pt>
                <c:pt idx="3">
                  <c:v>245</c:v>
                </c:pt>
                <c:pt idx="4">
                  <c:v>292</c:v>
                </c:pt>
                <c:pt idx="5">
                  <c:v>243</c:v>
                </c:pt>
                <c:pt idx="6">
                  <c:v>231</c:v>
                </c:pt>
                <c:pt idx="7">
                  <c:v>303</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E4DF-41E8-B818-19DD99462523}"/>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duration (°C days)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play'!$I$2:$I$9</c:f>
              <c:numCache>
                <c:formatCode>General</c:formatCode>
                <c:ptCount val="8"/>
                <c:pt idx="0">
                  <c:v>259</c:v>
                </c:pt>
                <c:pt idx="1">
                  <c:v>398</c:v>
                </c:pt>
                <c:pt idx="2">
                  <c:v>345</c:v>
                </c:pt>
                <c:pt idx="3">
                  <c:v>353</c:v>
                </c:pt>
                <c:pt idx="4">
                  <c:v>409</c:v>
                </c:pt>
                <c:pt idx="5">
                  <c:v>377</c:v>
                </c:pt>
                <c:pt idx="6">
                  <c:v>319</c:v>
                </c:pt>
                <c:pt idx="7">
                  <c:v>409</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5FAF-448B-814A-DB56451C5195}"/>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solar radiation (MJ)</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play'!$L$2:$L$9</c:f>
              <c:numCache>
                <c:formatCode>0</c:formatCode>
                <c:ptCount val="8"/>
                <c:pt idx="0">
                  <c:v>136.46759175108775</c:v>
                </c:pt>
                <c:pt idx="1">
                  <c:v>359.34171626260036</c:v>
                </c:pt>
                <c:pt idx="2">
                  <c:v>472.4843507137798</c:v>
                </c:pt>
                <c:pt idx="3">
                  <c:v>383.94248336770647</c:v>
                </c:pt>
                <c:pt idx="4">
                  <c:v>397.59121336810665</c:v>
                </c:pt>
                <c:pt idx="5">
                  <c:v>425.88605993925853</c:v>
                </c:pt>
                <c:pt idx="6">
                  <c:v>272.39133254443868</c:v>
                </c:pt>
                <c:pt idx="7">
                  <c:v>373.99427955684996</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5FAF-448B-814A-DB56451C5195}"/>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growth (g/m²)</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play'!$M$2:$M$9</c:f>
              <c:numCache>
                <c:formatCode>0.0</c:formatCode>
                <c:ptCount val="8"/>
                <c:pt idx="0">
                  <c:v>9.7476851250776964</c:v>
                </c:pt>
                <c:pt idx="1">
                  <c:v>16.333714375572743</c:v>
                </c:pt>
                <c:pt idx="2">
                  <c:v>24.867597405988409</c:v>
                </c:pt>
                <c:pt idx="3">
                  <c:v>19.197124168385322</c:v>
                </c:pt>
                <c:pt idx="4">
                  <c:v>18.072327880368483</c:v>
                </c:pt>
                <c:pt idx="5">
                  <c:v>21.294302996962926</c:v>
                </c:pt>
                <c:pt idx="6">
                  <c:v>16.023019561437568</c:v>
                </c:pt>
                <c:pt idx="7">
                  <c:v>16.999739979856816</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88D9-4778-A9EF-D02FFAA03A50}"/>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growth rate (g/m²/day)</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play'!$P$2:$P$9</c:f>
              <c:numCache>
                <c:formatCode>0</c:formatCode>
                <c:ptCount val="8"/>
                <c:pt idx="0">
                  <c:v>123.33256249999999</c:v>
                </c:pt>
                <c:pt idx="1">
                  <c:v>187.03512499999999</c:v>
                </c:pt>
                <c:pt idx="2">
                  <c:v>161.00718750000001</c:v>
                </c:pt>
                <c:pt idx="3">
                  <c:v>169.17524999999998</c:v>
                </c:pt>
                <c:pt idx="4">
                  <c:v>194.79477083333333</c:v>
                </c:pt>
                <c:pt idx="5">
                  <c:v>184.63575</c:v>
                </c:pt>
                <c:pt idx="6">
                  <c:v>150.32874999999999</c:v>
                </c:pt>
                <c:pt idx="7">
                  <c:v>190.74737500000001</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1913-4821-B8F3-F4EE748BF28F}"/>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PARi (MJ)</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play'!$U$2:$U$9</c:f>
              <c:numCache>
                <c:formatCode>0.0</c:formatCode>
                <c:ptCount val="8"/>
                <c:pt idx="0">
                  <c:v>8.2331739063761624</c:v>
                </c:pt>
                <c:pt idx="1">
                  <c:v>6.9155312134079479</c:v>
                </c:pt>
                <c:pt idx="2">
                  <c:v>9.0023224696039428</c:v>
                </c:pt>
                <c:pt idx="3">
                  <c:v>7.1774535094871723</c:v>
                </c:pt>
                <c:pt idx="4">
                  <c:v>6.5488188227304684</c:v>
                </c:pt>
                <c:pt idx="5">
                  <c:v>6.3502981038298643</c:v>
                </c:pt>
                <c:pt idx="6">
                  <c:v>7.3040454630514215</c:v>
                </c:pt>
                <c:pt idx="7">
                  <c:v>6.7257266121771693</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4022-4264-9C60-EB9E88706C95}"/>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spike growth rate </a:t>
                </a:r>
                <a:r>
                  <a:rPr lang="en-AU" baseline="0"/>
                  <a:t>(g/m²/day)</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play'!$T$2:$T$9</c:f>
              <c:numCache>
                <c:formatCode>0</c:formatCode>
                <c:ptCount val="8"/>
                <c:pt idx="0">
                  <c:v>115.26443468926627</c:v>
                </c:pt>
                <c:pt idx="1">
                  <c:v>152.14168669497485</c:v>
                </c:pt>
                <c:pt idx="2">
                  <c:v>171.0441269224749</c:v>
                </c:pt>
                <c:pt idx="3">
                  <c:v>143.54907018974345</c:v>
                </c:pt>
                <c:pt idx="4">
                  <c:v>144.07401410007031</c:v>
                </c:pt>
                <c:pt idx="5">
                  <c:v>127.00596207659729</c:v>
                </c:pt>
                <c:pt idx="6">
                  <c:v>124.16877287187417</c:v>
                </c:pt>
                <c:pt idx="7">
                  <c:v>147.96598546789772</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EF13-41D5-9091-BD2A97C67B5F}"/>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spike growth </a:t>
                </a:r>
                <a:r>
                  <a:rPr lang="en-AU" baseline="0"/>
                  <a:t>(g/m²)</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play'!$Q$2:$Q$9</c:f>
              <c:numCache>
                <c:formatCode>0.0</c:formatCode>
                <c:ptCount val="8"/>
                <c:pt idx="0">
                  <c:v>1.1065009028016244</c:v>
                </c:pt>
                <c:pt idx="1">
                  <c:v>1.9212525789613066</c:v>
                </c:pt>
                <c:pt idx="2">
                  <c:v>2.9345544012672091</c:v>
                </c:pt>
                <c:pt idx="3">
                  <c:v>2.2694955873728961</c:v>
                </c:pt>
                <c:pt idx="4">
                  <c:v>2.0410774461101231</c:v>
                </c:pt>
                <c:pt idx="5">
                  <c:v>2.3066283747283967</c:v>
                </c:pt>
                <c:pt idx="6">
                  <c:v>1.8119709805638555</c:v>
                </c:pt>
                <c:pt idx="7">
                  <c:v>1.9606785129119075</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EE44-49EE-9C41-3FE37F4E1B0B}"/>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RUE (g/m²/MJ)</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play'!$AC$2:$AC$9</c:f>
              <c:numCache>
                <c:formatCode>0</c:formatCode>
                <c:ptCount val="8"/>
                <c:pt idx="0">
                  <c:v>122.64813906922902</c:v>
                </c:pt>
                <c:pt idx="1">
                  <c:v>154.40684924458225</c:v>
                </c:pt>
                <c:pt idx="2">
                  <c:v>82.8250052290973</c:v>
                </c:pt>
                <c:pt idx="3">
                  <c:v>111.27344712530717</c:v>
                </c:pt>
                <c:pt idx="4">
                  <c:v>123.41722117853321</c:v>
                </c:pt>
                <c:pt idx="5">
                  <c:v>100.96603290822583</c:v>
                </c:pt>
                <c:pt idx="6">
                  <c:v>53.164913283841223</c:v>
                </c:pt>
                <c:pt idx="7">
                  <c:v>67.143988908694794</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0249-4A79-B7D2-88FD0D9B5F94}"/>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Response to competition</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6859651729233946"/>
          <c:y val="4.7619047619047616E-2"/>
          <c:w val="0.75603124584600712"/>
          <c:h val="0.76015884378089105"/>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ysClr val="windowText" lastClr="000000"/>
                </a:solidFill>
                <a:prstDash val="sysDot"/>
              </a:ln>
              <a:effectLst/>
            </c:spPr>
            <c:trendlineType val="linear"/>
            <c:dispRSqr val="1"/>
            <c:dispEq val="1"/>
            <c:trendlineLbl>
              <c:layout>
                <c:manualLayout>
                  <c:x val="1.2346018813189563E-2"/>
                  <c:y val="0.363183692947472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'JRH play'!$X$2:$X$9</c:f>
              <c:numCache>
                <c:formatCode>0</c:formatCode>
                <c:ptCount val="8"/>
                <c:pt idx="0">
                  <c:v>114.75906403659246</c:v>
                </c:pt>
                <c:pt idx="1">
                  <c:v>-9.4542706759575594</c:v>
                </c:pt>
                <c:pt idx="2">
                  <c:v>148.66478339765627</c:v>
                </c:pt>
                <c:pt idx="3">
                  <c:v>196.91731648476184</c:v>
                </c:pt>
                <c:pt idx="4">
                  <c:v>-125.99533130523605</c:v>
                </c:pt>
                <c:pt idx="5">
                  <c:v>108.36269816166919</c:v>
                </c:pt>
                <c:pt idx="6">
                  <c:v>138.33246468838661</c:v>
                </c:pt>
                <c:pt idx="7">
                  <c:v>144.21184737813019</c:v>
                </c:pt>
              </c:numCache>
            </c:numRef>
          </c:xVal>
          <c:yVal>
            <c:numRef>
              <c:f>'JRH play'!$V$2:$V$9</c:f>
              <c:numCache>
                <c:formatCode>0</c:formatCode>
                <c:ptCount val="8"/>
                <c:pt idx="0">
                  <c:v>494.5</c:v>
                </c:pt>
                <c:pt idx="1">
                  <c:v>376</c:v>
                </c:pt>
                <c:pt idx="2">
                  <c:v>622</c:v>
                </c:pt>
                <c:pt idx="3">
                  <c:v>578.5</c:v>
                </c:pt>
                <c:pt idx="4">
                  <c:v>349.5</c:v>
                </c:pt>
                <c:pt idx="5">
                  <c:v>497</c:v>
                </c:pt>
                <c:pt idx="6">
                  <c:v>498</c:v>
                </c:pt>
                <c:pt idx="7">
                  <c:v>521</c:v>
                </c:pt>
              </c:numCache>
            </c:numRef>
          </c:yVal>
          <c:smooth val="0"/>
          <c:extLst>
            <c:ext xmlns:c16="http://schemas.microsoft.com/office/drawing/2014/chart" uri="{C3380CC4-5D6E-409C-BE32-E72D297353CC}">
              <c16:uniqueId val="{00000001-290E-4187-94E2-250F01D93F47}"/>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Post-anthesis</a:t>
                </a:r>
                <a:r>
                  <a:rPr lang="en-AU" baseline="0"/>
                  <a:t> growth (g/m²)</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At val="-200"/>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7192834720588565"/>
          <c:y val="5.0925925925925923E-2"/>
          <c:w val="0.70755770657116956"/>
          <c:h val="0.74350320793234181"/>
        </c:manualLayout>
      </c:layout>
      <c:scatterChart>
        <c:scatterStyle val="lineMarker"/>
        <c:varyColors val="0"/>
        <c:ser>
          <c:idx val="0"/>
          <c:order val="0"/>
          <c:tx>
            <c:strRef>
              <c:f>'Extinction curves'!$B$2</c:f>
              <c:strCache>
                <c:ptCount val="1"/>
                <c:pt idx="0">
                  <c:v>Big_Red</c:v>
                </c:pt>
              </c:strCache>
            </c:strRef>
          </c:tx>
          <c:spPr>
            <a:ln w="6350" cap="rnd">
              <a:solidFill>
                <a:sysClr val="windowText" lastClr="000000"/>
              </a:solidFill>
              <a:round/>
            </a:ln>
            <a:effectLst/>
          </c:spPr>
          <c:marker>
            <c:symbol val="circle"/>
            <c:size val="5"/>
            <c:spPr>
              <a:solidFill>
                <a:schemeClr val="tx1"/>
              </a:solidFill>
              <a:ln w="9525">
                <a:solidFill>
                  <a:schemeClr val="tx1"/>
                </a:solidFill>
              </a:ln>
              <a:effectLst/>
            </c:spPr>
          </c:marker>
          <c:xVal>
            <c:numRef>
              <c:f>'Extinction curves'!$B$3:$B$6</c:f>
              <c:numCache>
                <c:formatCode>0.00</c:formatCode>
                <c:ptCount val="4"/>
                <c:pt idx="0">
                  <c:v>0.55249999999999999</c:v>
                </c:pt>
                <c:pt idx="1">
                  <c:v>0.16149999999999998</c:v>
                </c:pt>
                <c:pt idx="2">
                  <c:v>4.9500000000000002E-2</c:v>
                </c:pt>
                <c:pt idx="3">
                  <c:v>3.2000000000000001E-2</c:v>
                </c:pt>
              </c:numCache>
            </c:numRef>
          </c:xVal>
          <c:yVal>
            <c:numRef>
              <c:f>'Extinction curves'!$A$3:$A$6</c:f>
              <c:numCache>
                <c:formatCode>General</c:formatCode>
                <c:ptCount val="4"/>
                <c:pt idx="0">
                  <c:v>75</c:v>
                </c:pt>
                <c:pt idx="1">
                  <c:v>50</c:v>
                </c:pt>
                <c:pt idx="2">
                  <c:v>25</c:v>
                </c:pt>
                <c:pt idx="3">
                  <c:v>0</c:v>
                </c:pt>
              </c:numCache>
            </c:numRef>
          </c:yVal>
          <c:smooth val="0"/>
          <c:extLst>
            <c:ext xmlns:c16="http://schemas.microsoft.com/office/drawing/2014/chart" uri="{C3380CC4-5D6E-409C-BE32-E72D297353CC}">
              <c16:uniqueId val="{00000000-4D3C-440D-903A-C3B839E9B031}"/>
            </c:ext>
          </c:extLst>
        </c:ser>
        <c:ser>
          <c:idx val="1"/>
          <c:order val="1"/>
          <c:tx>
            <c:strRef>
              <c:f>'Extinction curves'!$C$2</c:f>
              <c:strCache>
                <c:ptCount val="1"/>
                <c:pt idx="0">
                  <c:v>Illabo</c:v>
                </c:pt>
              </c:strCache>
            </c:strRef>
          </c:tx>
          <c:spPr>
            <a:ln w="6350" cap="rnd">
              <a:solidFill>
                <a:sysClr val="windowText" lastClr="000000"/>
              </a:solidFill>
              <a:prstDash val="sysDash"/>
              <a:round/>
            </a:ln>
            <a:effectLst/>
          </c:spPr>
          <c:marker>
            <c:symbol val="circle"/>
            <c:size val="5"/>
            <c:spPr>
              <a:solidFill>
                <a:schemeClr val="bg1"/>
              </a:solidFill>
              <a:ln w="9525">
                <a:solidFill>
                  <a:schemeClr val="tx1"/>
                </a:solidFill>
              </a:ln>
              <a:effectLst/>
            </c:spPr>
          </c:marker>
          <c:xVal>
            <c:numRef>
              <c:f>'Extinction curves'!$C$3:$C$6</c:f>
              <c:numCache>
                <c:formatCode>0.00</c:formatCode>
                <c:ptCount val="4"/>
                <c:pt idx="0">
                  <c:v>0.40375</c:v>
                </c:pt>
                <c:pt idx="1">
                  <c:v>0.158</c:v>
                </c:pt>
                <c:pt idx="2">
                  <c:v>0.10975</c:v>
                </c:pt>
                <c:pt idx="3">
                  <c:v>7.9249999999999987E-2</c:v>
                </c:pt>
              </c:numCache>
            </c:numRef>
          </c:xVal>
          <c:yVal>
            <c:numRef>
              <c:f>'Extinction curves'!$A$3:$A$6</c:f>
              <c:numCache>
                <c:formatCode>General</c:formatCode>
                <c:ptCount val="4"/>
                <c:pt idx="0">
                  <c:v>75</c:v>
                </c:pt>
                <c:pt idx="1">
                  <c:v>50</c:v>
                </c:pt>
                <c:pt idx="2">
                  <c:v>25</c:v>
                </c:pt>
                <c:pt idx="3">
                  <c:v>0</c:v>
                </c:pt>
              </c:numCache>
            </c:numRef>
          </c:yVal>
          <c:smooth val="0"/>
          <c:extLst>
            <c:ext xmlns:c16="http://schemas.microsoft.com/office/drawing/2014/chart" uri="{C3380CC4-5D6E-409C-BE32-E72D297353CC}">
              <c16:uniqueId val="{00000001-4D3C-440D-903A-C3B839E9B031}"/>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Tau</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Canopy height (%)</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ayout>
        <c:manualLayout>
          <c:xMode val="edge"/>
          <c:yMode val="edge"/>
          <c:x val="0.52163623695468131"/>
          <c:y val="0.58904507741901391"/>
          <c:w val="0.2994865032927021"/>
          <c:h val="0.1286462682097623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7192834720588565"/>
          <c:y val="5.0925925925925923E-2"/>
          <c:w val="0.77488436209983746"/>
          <c:h val="0.74350320793234181"/>
        </c:manualLayout>
      </c:layout>
      <c:scatterChart>
        <c:scatterStyle val="lineMarker"/>
        <c:varyColors val="0"/>
        <c:ser>
          <c:idx val="0"/>
          <c:order val="0"/>
          <c:tx>
            <c:strRef>
              <c:f>'Extinction curves'!$F$2</c:f>
              <c:strCache>
                <c:ptCount val="1"/>
                <c:pt idx="0">
                  <c:v>RGT_Zanzibar</c:v>
                </c:pt>
              </c:strCache>
            </c:strRef>
          </c:tx>
          <c:spPr>
            <a:ln w="6350" cap="rnd">
              <a:solidFill>
                <a:sysClr val="windowText" lastClr="000000"/>
              </a:solidFill>
              <a:round/>
            </a:ln>
            <a:effectLst/>
          </c:spPr>
          <c:marker>
            <c:symbol val="circle"/>
            <c:size val="5"/>
            <c:spPr>
              <a:solidFill>
                <a:schemeClr val="tx1"/>
              </a:solidFill>
              <a:ln w="9525">
                <a:solidFill>
                  <a:schemeClr val="tx1"/>
                </a:solidFill>
              </a:ln>
              <a:effectLst/>
            </c:spPr>
          </c:marker>
          <c:xVal>
            <c:numRef>
              <c:f>'Extinction curves'!$F$3:$F$6</c:f>
              <c:numCache>
                <c:formatCode>0.00</c:formatCode>
                <c:ptCount val="4"/>
                <c:pt idx="0">
                  <c:v>0.5625</c:v>
                </c:pt>
                <c:pt idx="1">
                  <c:v>0.16250000000000001</c:v>
                </c:pt>
                <c:pt idx="2">
                  <c:v>8.6749999999999994E-2</c:v>
                </c:pt>
                <c:pt idx="3">
                  <c:v>5.7250000000000002E-2</c:v>
                </c:pt>
              </c:numCache>
            </c:numRef>
          </c:xVal>
          <c:yVal>
            <c:numRef>
              <c:f>'Extinction curves'!$A$3:$A$6</c:f>
              <c:numCache>
                <c:formatCode>General</c:formatCode>
                <c:ptCount val="4"/>
                <c:pt idx="0">
                  <c:v>75</c:v>
                </c:pt>
                <c:pt idx="1">
                  <c:v>50</c:v>
                </c:pt>
                <c:pt idx="2">
                  <c:v>25</c:v>
                </c:pt>
                <c:pt idx="3">
                  <c:v>0</c:v>
                </c:pt>
              </c:numCache>
            </c:numRef>
          </c:yVal>
          <c:smooth val="0"/>
          <c:extLst>
            <c:ext xmlns:c16="http://schemas.microsoft.com/office/drawing/2014/chart" uri="{C3380CC4-5D6E-409C-BE32-E72D297353CC}">
              <c16:uniqueId val="{00000000-90D6-4E27-AC95-D354BB883D6C}"/>
            </c:ext>
          </c:extLst>
        </c:ser>
        <c:ser>
          <c:idx val="1"/>
          <c:order val="1"/>
          <c:tx>
            <c:strRef>
              <c:f>'Extinction curves'!$G$2</c:f>
              <c:strCache>
                <c:ptCount val="1"/>
                <c:pt idx="0">
                  <c:v>Sunmaster</c:v>
                </c:pt>
              </c:strCache>
            </c:strRef>
          </c:tx>
          <c:spPr>
            <a:ln w="6350" cap="rnd">
              <a:solidFill>
                <a:sysClr val="windowText" lastClr="000000"/>
              </a:solidFill>
              <a:prstDash val="sysDash"/>
              <a:round/>
            </a:ln>
            <a:effectLst/>
          </c:spPr>
          <c:marker>
            <c:symbol val="circle"/>
            <c:size val="5"/>
            <c:spPr>
              <a:solidFill>
                <a:schemeClr val="bg1"/>
              </a:solidFill>
              <a:ln w="9525">
                <a:solidFill>
                  <a:schemeClr val="tx1"/>
                </a:solidFill>
              </a:ln>
              <a:effectLst/>
            </c:spPr>
          </c:marker>
          <c:xVal>
            <c:numRef>
              <c:f>'Extinction curves'!$G$3:$G$6</c:f>
              <c:numCache>
                <c:formatCode>0.00</c:formatCode>
                <c:ptCount val="4"/>
                <c:pt idx="0">
                  <c:v>0.41600000000000004</c:v>
                </c:pt>
                <c:pt idx="1">
                  <c:v>0.10750000000000001</c:v>
                </c:pt>
                <c:pt idx="2">
                  <c:v>4.2499999999999996E-2</c:v>
                </c:pt>
                <c:pt idx="3">
                  <c:v>2.7499999999999997E-2</c:v>
                </c:pt>
              </c:numCache>
            </c:numRef>
          </c:xVal>
          <c:yVal>
            <c:numRef>
              <c:f>'Extinction curves'!$A$3:$A$6</c:f>
              <c:numCache>
                <c:formatCode>General</c:formatCode>
                <c:ptCount val="4"/>
                <c:pt idx="0">
                  <c:v>75</c:v>
                </c:pt>
                <c:pt idx="1">
                  <c:v>50</c:v>
                </c:pt>
                <c:pt idx="2">
                  <c:v>25</c:v>
                </c:pt>
                <c:pt idx="3">
                  <c:v>0</c:v>
                </c:pt>
              </c:numCache>
            </c:numRef>
          </c:yVal>
          <c:smooth val="0"/>
          <c:extLst>
            <c:ext xmlns:c16="http://schemas.microsoft.com/office/drawing/2014/chart" uri="{C3380CC4-5D6E-409C-BE32-E72D297353CC}">
              <c16:uniqueId val="{00000001-90D6-4E27-AC95-D354BB883D6C}"/>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Tau</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Canopy height (%)</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ayout>
        <c:manualLayout>
          <c:xMode val="edge"/>
          <c:yMode val="edge"/>
          <c:x val="0.48877407867876166"/>
          <c:y val="0.5893859680096043"/>
          <c:w val="0.44030477160859166"/>
          <c:h val="0.1509074538328448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7192834720588565"/>
          <c:y val="5.0925925925925923E-2"/>
          <c:w val="0.70755770657116956"/>
          <c:h val="0.74350320793234181"/>
        </c:manualLayout>
      </c:layout>
      <c:scatterChart>
        <c:scatterStyle val="lineMarker"/>
        <c:varyColors val="0"/>
        <c:ser>
          <c:idx val="0"/>
          <c:order val="0"/>
          <c:tx>
            <c:strRef>
              <c:f>'Extinction curves'!$B$10</c:f>
              <c:strCache>
                <c:ptCount val="1"/>
                <c:pt idx="0">
                  <c:v>Big_Red</c:v>
                </c:pt>
              </c:strCache>
            </c:strRef>
          </c:tx>
          <c:spPr>
            <a:ln w="6350" cap="rnd">
              <a:solidFill>
                <a:sysClr val="windowText" lastClr="000000"/>
              </a:solidFill>
              <a:round/>
            </a:ln>
            <a:effectLst/>
          </c:spPr>
          <c:marker>
            <c:symbol val="circle"/>
            <c:size val="5"/>
            <c:spPr>
              <a:solidFill>
                <a:schemeClr val="tx1"/>
              </a:solidFill>
              <a:ln w="9525">
                <a:solidFill>
                  <a:schemeClr val="tx1"/>
                </a:solidFill>
              </a:ln>
              <a:effectLst/>
            </c:spPr>
          </c:marker>
          <c:xVal>
            <c:numRef>
              <c:f>'Extinction curves'!$B$11:$B$15</c:f>
              <c:numCache>
                <c:formatCode>0</c:formatCode>
                <c:ptCount val="5"/>
                <c:pt idx="0">
                  <c:v>50.78125</c:v>
                </c:pt>
                <c:pt idx="1">
                  <c:v>54.356250000000003</c:v>
                </c:pt>
                <c:pt idx="2">
                  <c:v>55.4375</c:v>
                </c:pt>
                <c:pt idx="3">
                  <c:v>48.981250000000003</c:v>
                </c:pt>
                <c:pt idx="4">
                  <c:v>17.46875</c:v>
                </c:pt>
              </c:numCache>
            </c:numRef>
          </c:xVal>
          <c:yVal>
            <c:numRef>
              <c:f>'Extinction curves'!$A$11:$A$15</c:f>
              <c:numCache>
                <c:formatCode>General</c:formatCode>
                <c:ptCount val="5"/>
                <c:pt idx="0">
                  <c:v>100</c:v>
                </c:pt>
                <c:pt idx="1">
                  <c:v>75</c:v>
                </c:pt>
                <c:pt idx="2">
                  <c:v>50</c:v>
                </c:pt>
                <c:pt idx="3">
                  <c:v>25</c:v>
                </c:pt>
                <c:pt idx="4">
                  <c:v>0</c:v>
                </c:pt>
              </c:numCache>
            </c:numRef>
          </c:yVal>
          <c:smooth val="0"/>
          <c:extLst>
            <c:ext xmlns:c16="http://schemas.microsoft.com/office/drawing/2014/chart" uri="{C3380CC4-5D6E-409C-BE32-E72D297353CC}">
              <c16:uniqueId val="{00000000-4D3C-440D-903A-C3B839E9B031}"/>
            </c:ext>
          </c:extLst>
        </c:ser>
        <c:ser>
          <c:idx val="1"/>
          <c:order val="1"/>
          <c:tx>
            <c:strRef>
              <c:f>'Extinction curves'!$C$10</c:f>
              <c:strCache>
                <c:ptCount val="1"/>
                <c:pt idx="0">
                  <c:v>Illabo</c:v>
                </c:pt>
              </c:strCache>
            </c:strRef>
          </c:tx>
          <c:spPr>
            <a:ln w="6350" cap="rnd">
              <a:solidFill>
                <a:sysClr val="windowText" lastClr="000000"/>
              </a:solidFill>
              <a:prstDash val="sysDash"/>
              <a:round/>
            </a:ln>
            <a:effectLst/>
          </c:spPr>
          <c:marker>
            <c:symbol val="circle"/>
            <c:size val="5"/>
            <c:spPr>
              <a:solidFill>
                <a:schemeClr val="bg1"/>
              </a:solidFill>
              <a:ln w="9525">
                <a:solidFill>
                  <a:schemeClr val="tx1"/>
                </a:solidFill>
              </a:ln>
              <a:effectLst/>
            </c:spPr>
          </c:marker>
          <c:xVal>
            <c:numRef>
              <c:f>'Extinction curves'!$C$11:$C$15</c:f>
              <c:numCache>
                <c:formatCode>0</c:formatCode>
                <c:ptCount val="5"/>
                <c:pt idx="0">
                  <c:v>48.6</c:v>
                </c:pt>
                <c:pt idx="1">
                  <c:v>51.400000000000006</c:v>
                </c:pt>
                <c:pt idx="2">
                  <c:v>46.418750000000003</c:v>
                </c:pt>
                <c:pt idx="3">
                  <c:v>22.643750000000001</c:v>
                </c:pt>
                <c:pt idx="4">
                  <c:v>3.0874999999999999</c:v>
                </c:pt>
              </c:numCache>
            </c:numRef>
          </c:xVal>
          <c:yVal>
            <c:numRef>
              <c:f>'Extinction curves'!$A$11:$A$15</c:f>
              <c:numCache>
                <c:formatCode>General</c:formatCode>
                <c:ptCount val="5"/>
                <c:pt idx="0">
                  <c:v>100</c:v>
                </c:pt>
                <c:pt idx="1">
                  <c:v>75</c:v>
                </c:pt>
                <c:pt idx="2">
                  <c:v>50</c:v>
                </c:pt>
                <c:pt idx="3">
                  <c:v>25</c:v>
                </c:pt>
                <c:pt idx="4">
                  <c:v>0</c:v>
                </c:pt>
              </c:numCache>
            </c:numRef>
          </c:yVal>
          <c:smooth val="0"/>
          <c:extLst>
            <c:ext xmlns:c16="http://schemas.microsoft.com/office/drawing/2014/chart" uri="{C3380CC4-5D6E-409C-BE32-E72D297353CC}">
              <c16:uniqueId val="{00000001-4D3C-440D-903A-C3B839E9B031}"/>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SPAD</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Canopy</a:t>
                </a:r>
                <a:r>
                  <a:rPr lang="en-AU" baseline="0"/>
                  <a:t> height (%)</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ayout>
        <c:manualLayout>
          <c:xMode val="edge"/>
          <c:yMode val="edge"/>
          <c:x val="0.25522329689759288"/>
          <c:y val="0.20080854476523768"/>
          <c:w val="0.29187470500535673"/>
          <c:h val="0.1354199475065616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7192834720588565"/>
          <c:y val="5.0925925925925923E-2"/>
          <c:w val="0.70755770657116956"/>
          <c:h val="0.74350320793234181"/>
        </c:manualLayout>
      </c:layout>
      <c:scatterChart>
        <c:scatterStyle val="lineMarker"/>
        <c:varyColors val="0"/>
        <c:ser>
          <c:idx val="0"/>
          <c:order val="0"/>
          <c:tx>
            <c:strRef>
              <c:f>'Extinction curves'!$F$10</c:f>
              <c:strCache>
                <c:ptCount val="1"/>
                <c:pt idx="0">
                  <c:v>RGT_Zanzibar</c:v>
                </c:pt>
              </c:strCache>
            </c:strRef>
          </c:tx>
          <c:spPr>
            <a:ln w="6350" cap="rnd">
              <a:solidFill>
                <a:sysClr val="windowText" lastClr="000000"/>
              </a:solidFill>
              <a:round/>
            </a:ln>
            <a:effectLst/>
          </c:spPr>
          <c:marker>
            <c:symbol val="circle"/>
            <c:size val="5"/>
            <c:spPr>
              <a:solidFill>
                <a:schemeClr val="tx1"/>
              </a:solidFill>
              <a:ln w="9525">
                <a:solidFill>
                  <a:schemeClr val="tx1"/>
                </a:solidFill>
              </a:ln>
              <a:effectLst/>
            </c:spPr>
          </c:marker>
          <c:xVal>
            <c:numRef>
              <c:f>'Extinction curves'!$F$11:$F$15</c:f>
              <c:numCache>
                <c:formatCode>0</c:formatCode>
                <c:ptCount val="5"/>
                <c:pt idx="0">
                  <c:v>49.706249999999997</c:v>
                </c:pt>
                <c:pt idx="1">
                  <c:v>53.949999999999996</c:v>
                </c:pt>
                <c:pt idx="2">
                  <c:v>55.837499999999999</c:v>
                </c:pt>
                <c:pt idx="3">
                  <c:v>40.90625</c:v>
                </c:pt>
                <c:pt idx="4">
                  <c:v>3.1375000000000002</c:v>
                </c:pt>
              </c:numCache>
            </c:numRef>
          </c:xVal>
          <c:yVal>
            <c:numRef>
              <c:f>'Extinction curves'!$A$11:$A$15</c:f>
              <c:numCache>
                <c:formatCode>General</c:formatCode>
                <c:ptCount val="5"/>
                <c:pt idx="0">
                  <c:v>100</c:v>
                </c:pt>
                <c:pt idx="1">
                  <c:v>75</c:v>
                </c:pt>
                <c:pt idx="2">
                  <c:v>50</c:v>
                </c:pt>
                <c:pt idx="3">
                  <c:v>25</c:v>
                </c:pt>
                <c:pt idx="4">
                  <c:v>0</c:v>
                </c:pt>
              </c:numCache>
            </c:numRef>
          </c:yVal>
          <c:smooth val="0"/>
          <c:extLst>
            <c:ext xmlns:c16="http://schemas.microsoft.com/office/drawing/2014/chart" uri="{C3380CC4-5D6E-409C-BE32-E72D297353CC}">
              <c16:uniqueId val="{00000000-0C63-498C-9CE9-60808F07680F}"/>
            </c:ext>
          </c:extLst>
        </c:ser>
        <c:ser>
          <c:idx val="1"/>
          <c:order val="1"/>
          <c:tx>
            <c:strRef>
              <c:f>'Extinction curves'!$G$10</c:f>
              <c:strCache>
                <c:ptCount val="1"/>
                <c:pt idx="0">
                  <c:v>Sunmaster</c:v>
                </c:pt>
              </c:strCache>
            </c:strRef>
          </c:tx>
          <c:spPr>
            <a:ln w="6350" cap="rnd">
              <a:solidFill>
                <a:sysClr val="windowText" lastClr="000000"/>
              </a:solidFill>
              <a:prstDash val="sysDash"/>
              <a:round/>
            </a:ln>
            <a:effectLst/>
          </c:spPr>
          <c:marker>
            <c:symbol val="circle"/>
            <c:size val="5"/>
            <c:spPr>
              <a:solidFill>
                <a:schemeClr val="bg1"/>
              </a:solidFill>
              <a:ln w="9525">
                <a:solidFill>
                  <a:schemeClr val="tx1"/>
                </a:solidFill>
              </a:ln>
              <a:effectLst/>
            </c:spPr>
          </c:marker>
          <c:xVal>
            <c:numRef>
              <c:f>'Extinction curves'!$G$11:$G$15</c:f>
              <c:numCache>
                <c:formatCode>0</c:formatCode>
                <c:ptCount val="5"/>
                <c:pt idx="0">
                  <c:v>47.012500000000003</c:v>
                </c:pt>
                <c:pt idx="1">
                  <c:v>47.481250000000003</c:v>
                </c:pt>
                <c:pt idx="2">
                  <c:v>49.756250000000001</c:v>
                </c:pt>
                <c:pt idx="3">
                  <c:v>38.187499999999993</c:v>
                </c:pt>
                <c:pt idx="4">
                  <c:v>21.03125</c:v>
                </c:pt>
              </c:numCache>
            </c:numRef>
          </c:xVal>
          <c:yVal>
            <c:numRef>
              <c:f>'Extinction curves'!$A$11:$A$15</c:f>
              <c:numCache>
                <c:formatCode>General</c:formatCode>
                <c:ptCount val="5"/>
                <c:pt idx="0">
                  <c:v>100</c:v>
                </c:pt>
                <c:pt idx="1">
                  <c:v>75</c:v>
                </c:pt>
                <c:pt idx="2">
                  <c:v>50</c:v>
                </c:pt>
                <c:pt idx="3">
                  <c:v>25</c:v>
                </c:pt>
                <c:pt idx="4">
                  <c:v>0</c:v>
                </c:pt>
              </c:numCache>
            </c:numRef>
          </c:yVal>
          <c:smooth val="0"/>
          <c:extLst>
            <c:ext xmlns:c16="http://schemas.microsoft.com/office/drawing/2014/chart" uri="{C3380CC4-5D6E-409C-BE32-E72D297353CC}">
              <c16:uniqueId val="{00000001-0C63-498C-9CE9-60808F07680F}"/>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SPAD</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Canopy</a:t>
                </a:r>
                <a:r>
                  <a:rPr lang="en-AU" baseline="0"/>
                  <a:t> height (%)</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ayout>
        <c:manualLayout>
          <c:xMode val="edge"/>
          <c:yMode val="edge"/>
          <c:x val="0.25522329689759288"/>
          <c:y val="0.20080854476523768"/>
          <c:w val="0.34515729301677445"/>
          <c:h val="0.1539384660250802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8725B940-6922-4AAC-A33F-147A305565CA}">
    <Anchor>
      <Comment id="{60D9927B-F564-429A-9332-BE8927573F76}"/>
    </Anchor>
    <History>
      <Event time="2024-12-15T23:06:10.90" id="{5C5C8105-CD35-47FD-80B8-D061D872405F}">
        <Attribution userId="S::james.hunt@unimelb.edu.au::f920b93b-2398-4f5a-a767-1d004726de12" userName="James Hunt" userProvider="AD"/>
        <Anchor>
          <Comment id="{60D9927B-F564-429A-9332-BE8927573F76}"/>
        </Anchor>
        <Create/>
      </Event>
      <Event time="2024-12-15T23:06:10.90" id="{951881A4-6294-4E28-B636-9F8C16E4AA3F}">
        <Attribution userId="S::james.hunt@unimelb.edu.au::f920b93b-2398-4f5a-a767-1d004726de12" userName="James Hunt" userProvider="AD"/>
        <Anchor>
          <Comment id="{60D9927B-F564-429A-9332-BE8927573F76}"/>
        </Anchor>
        <Assign userId="S::juan.wang5@unimelb.edu.au::5ee9ba0d-76c4-4d0d-bbe1-a25307663a62" userName="Juan Wang" userProvider="AD"/>
      </Event>
      <Event time="2024-12-15T23:06:10.90" id="{0726A3EF-E5B2-4B7B-90E9-618AA12AEE9C}">
        <Attribution userId="S::james.hunt@unimelb.edu.au::f920b93b-2398-4f5a-a767-1d004726de12" userName="James Hunt" userProvider="AD"/>
        <Anchor>
          <Comment id="{60D9927B-F564-429A-9332-BE8927573F76}"/>
        </Anchor>
        <SetTitle title="@Juan Wang don’t forget to fill out the details here!"/>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24</xdr:col>
      <xdr:colOff>466724</xdr:colOff>
      <xdr:row>2</xdr:row>
      <xdr:rowOff>28575</xdr:rowOff>
    </xdr:from>
    <xdr:to>
      <xdr:col>33</xdr:col>
      <xdr:colOff>247650</xdr:colOff>
      <xdr:row>22</xdr:row>
      <xdr:rowOff>142875</xdr:rowOff>
    </xdr:to>
    <xdr:graphicFrame macro="">
      <xdr:nvGraphicFramePr>
        <xdr:cNvPr id="2" name="Chart 1">
          <a:extLst>
            <a:ext uri="{FF2B5EF4-FFF2-40B4-BE49-F238E27FC236}">
              <a16:creationId xmlns:a16="http://schemas.microsoft.com/office/drawing/2014/main" id="{9714A9C0-1A71-2F58-5ED3-83E6E1B19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32</xdr:col>
      <xdr:colOff>592314</xdr:colOff>
      <xdr:row>16</xdr:row>
      <xdr:rowOff>105834</xdr:rowOff>
    </xdr:from>
    <xdr:to>
      <xdr:col>39</xdr:col>
      <xdr:colOff>560916</xdr:colOff>
      <xdr:row>34</xdr:row>
      <xdr:rowOff>116417</xdr:rowOff>
    </xdr:to>
    <xdr:graphicFrame macro="">
      <xdr:nvGraphicFramePr>
        <xdr:cNvPr id="11" name="Chart 1">
          <a:extLst>
            <a:ext uri="{FF2B5EF4-FFF2-40B4-BE49-F238E27FC236}">
              <a16:creationId xmlns:a16="http://schemas.microsoft.com/office/drawing/2014/main" id="{5E631171-E557-CDCC-9926-5C092901C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31</xdr:col>
      <xdr:colOff>66675</xdr:colOff>
      <xdr:row>0</xdr:row>
      <xdr:rowOff>498475</xdr:rowOff>
    </xdr:from>
    <xdr:to>
      <xdr:col>35</xdr:col>
      <xdr:colOff>508275</xdr:colOff>
      <xdr:row>12</xdr:row>
      <xdr:rowOff>63775</xdr:rowOff>
    </xdr:to>
    <xdr:graphicFrame macro="">
      <xdr:nvGraphicFramePr>
        <xdr:cNvPr id="26" name="Chart 1">
          <a:extLst>
            <a:ext uri="{FF2B5EF4-FFF2-40B4-BE49-F238E27FC236}">
              <a16:creationId xmlns:a16="http://schemas.microsoft.com/office/drawing/2014/main" id="{0AEDE43A-6A72-EB4E-6A9E-CB1674A35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412750</xdr:colOff>
      <xdr:row>0</xdr:row>
      <xdr:rowOff>1238250</xdr:rowOff>
    </xdr:from>
    <xdr:to>
      <xdr:col>41</xdr:col>
      <xdr:colOff>244750</xdr:colOff>
      <xdr:row>16</xdr:row>
      <xdr:rowOff>66950</xdr:rowOff>
    </xdr:to>
    <xdr:graphicFrame macro="">
      <xdr:nvGraphicFramePr>
        <xdr:cNvPr id="2" name="Chart 1">
          <a:extLst>
            <a:ext uri="{FF2B5EF4-FFF2-40B4-BE49-F238E27FC236}">
              <a16:creationId xmlns:a16="http://schemas.microsoft.com/office/drawing/2014/main" id="{DDE7D090-8EA8-4B3A-878B-E7ED53F97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82550</xdr:colOff>
      <xdr:row>10</xdr:row>
      <xdr:rowOff>187325</xdr:rowOff>
    </xdr:from>
    <xdr:to>
      <xdr:col>5</xdr:col>
      <xdr:colOff>473350</xdr:colOff>
      <xdr:row>26</xdr:row>
      <xdr:rowOff>120925</xdr:rowOff>
    </xdr:to>
    <xdr:graphicFrame macro="">
      <xdr:nvGraphicFramePr>
        <xdr:cNvPr id="3" name="Chart 2">
          <a:extLst>
            <a:ext uri="{FF2B5EF4-FFF2-40B4-BE49-F238E27FC236}">
              <a16:creationId xmlns:a16="http://schemas.microsoft.com/office/drawing/2014/main" id="{61836A13-4A98-4161-B8D2-20C5C73B3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xdr:colOff>
      <xdr:row>10</xdr:row>
      <xdr:rowOff>133350</xdr:rowOff>
    </xdr:from>
    <xdr:to>
      <xdr:col>10</xdr:col>
      <xdr:colOff>371750</xdr:colOff>
      <xdr:row>26</xdr:row>
      <xdr:rowOff>60600</xdr:rowOff>
    </xdr:to>
    <xdr:graphicFrame macro="">
      <xdr:nvGraphicFramePr>
        <xdr:cNvPr id="4" name="Chart 3">
          <a:extLst>
            <a:ext uri="{FF2B5EF4-FFF2-40B4-BE49-F238E27FC236}">
              <a16:creationId xmlns:a16="http://schemas.microsoft.com/office/drawing/2014/main" id="{57C42601-8BE9-44AA-BEDF-334FA2D01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9525</xdr:colOff>
      <xdr:row>10</xdr:row>
      <xdr:rowOff>95250</xdr:rowOff>
    </xdr:from>
    <xdr:to>
      <xdr:col>15</xdr:col>
      <xdr:colOff>362225</xdr:colOff>
      <xdr:row>26</xdr:row>
      <xdr:rowOff>22500</xdr:rowOff>
    </xdr:to>
    <xdr:graphicFrame macro="">
      <xdr:nvGraphicFramePr>
        <xdr:cNvPr id="5" name="Chart 4">
          <a:extLst>
            <a:ext uri="{FF2B5EF4-FFF2-40B4-BE49-F238E27FC236}">
              <a16:creationId xmlns:a16="http://schemas.microsoft.com/office/drawing/2014/main" id="{B817976D-D7A2-489B-8C7C-B0697FD47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10</xdr:row>
      <xdr:rowOff>0</xdr:rowOff>
    </xdr:from>
    <xdr:to>
      <xdr:col>20</xdr:col>
      <xdr:colOff>355600</xdr:colOff>
      <xdr:row>25</xdr:row>
      <xdr:rowOff>133350</xdr:rowOff>
    </xdr:to>
    <xdr:graphicFrame macro="">
      <xdr:nvGraphicFramePr>
        <xdr:cNvPr id="6" name="Chart 5">
          <a:extLst>
            <a:ext uri="{FF2B5EF4-FFF2-40B4-BE49-F238E27FC236}">
              <a16:creationId xmlns:a16="http://schemas.microsoft.com/office/drawing/2014/main" id="{35D5D030-EC7A-4666-B43A-C35A1E00A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209550</xdr:colOff>
      <xdr:row>10</xdr:row>
      <xdr:rowOff>6350</xdr:rowOff>
    </xdr:from>
    <xdr:to>
      <xdr:col>25</xdr:col>
      <xdr:colOff>619400</xdr:colOff>
      <xdr:row>25</xdr:row>
      <xdr:rowOff>124100</xdr:rowOff>
    </xdr:to>
    <xdr:graphicFrame macro="">
      <xdr:nvGraphicFramePr>
        <xdr:cNvPr id="7" name="Chart 6">
          <a:extLst>
            <a:ext uri="{FF2B5EF4-FFF2-40B4-BE49-F238E27FC236}">
              <a16:creationId xmlns:a16="http://schemas.microsoft.com/office/drawing/2014/main" id="{C2B50B6E-6D3A-4B71-8831-96E2656EC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0</xdr:colOff>
      <xdr:row>10</xdr:row>
      <xdr:rowOff>0</xdr:rowOff>
    </xdr:from>
    <xdr:to>
      <xdr:col>31</xdr:col>
      <xdr:colOff>301900</xdr:colOff>
      <xdr:row>25</xdr:row>
      <xdr:rowOff>117750</xdr:rowOff>
    </xdr:to>
    <xdr:graphicFrame macro="">
      <xdr:nvGraphicFramePr>
        <xdr:cNvPr id="8" name="Chart 7">
          <a:extLst>
            <a:ext uri="{FF2B5EF4-FFF2-40B4-BE49-F238E27FC236}">
              <a16:creationId xmlns:a16="http://schemas.microsoft.com/office/drawing/2014/main" id="{9DF0E1D7-E50E-491F-8D6A-90B73E1A7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0</xdr:colOff>
      <xdr:row>26</xdr:row>
      <xdr:rowOff>0</xdr:rowOff>
    </xdr:from>
    <xdr:to>
      <xdr:col>31</xdr:col>
      <xdr:colOff>301900</xdr:colOff>
      <xdr:row>41</xdr:row>
      <xdr:rowOff>117750</xdr:rowOff>
    </xdr:to>
    <xdr:graphicFrame macro="">
      <xdr:nvGraphicFramePr>
        <xdr:cNvPr id="10" name="Chart 9">
          <a:extLst>
            <a:ext uri="{FF2B5EF4-FFF2-40B4-BE49-F238E27FC236}">
              <a16:creationId xmlns:a16="http://schemas.microsoft.com/office/drawing/2014/main" id="{DC014781-6FE6-463B-A2A1-DD75C2253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0</xdr:colOff>
      <xdr:row>26</xdr:row>
      <xdr:rowOff>0</xdr:rowOff>
    </xdr:from>
    <xdr:to>
      <xdr:col>25</xdr:col>
      <xdr:colOff>409850</xdr:colOff>
      <xdr:row>41</xdr:row>
      <xdr:rowOff>117750</xdr:rowOff>
    </xdr:to>
    <xdr:graphicFrame macro="">
      <xdr:nvGraphicFramePr>
        <xdr:cNvPr id="11" name="Chart 10">
          <a:extLst>
            <a:ext uri="{FF2B5EF4-FFF2-40B4-BE49-F238E27FC236}">
              <a16:creationId xmlns:a16="http://schemas.microsoft.com/office/drawing/2014/main" id="{8499C70F-CE28-4A21-85BC-830ED26BB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33</xdr:col>
      <xdr:colOff>0</xdr:colOff>
      <xdr:row>26</xdr:row>
      <xdr:rowOff>0</xdr:rowOff>
    </xdr:from>
    <xdr:to>
      <xdr:col>37</xdr:col>
      <xdr:colOff>441600</xdr:colOff>
      <xdr:row>41</xdr:row>
      <xdr:rowOff>117750</xdr:rowOff>
    </xdr:to>
    <xdr:graphicFrame macro="">
      <xdr:nvGraphicFramePr>
        <xdr:cNvPr id="12" name="Chart 11">
          <a:extLst>
            <a:ext uri="{FF2B5EF4-FFF2-40B4-BE49-F238E27FC236}">
              <a16:creationId xmlns:a16="http://schemas.microsoft.com/office/drawing/2014/main" id="{A106D7C7-44AC-4BD9-8EFA-F96ACB860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33</xdr:col>
      <xdr:colOff>0</xdr:colOff>
      <xdr:row>43</xdr:row>
      <xdr:rowOff>0</xdr:rowOff>
    </xdr:from>
    <xdr:to>
      <xdr:col>37</xdr:col>
      <xdr:colOff>441600</xdr:colOff>
      <xdr:row>58</xdr:row>
      <xdr:rowOff>117750</xdr:rowOff>
    </xdr:to>
    <xdr:graphicFrame macro="">
      <xdr:nvGraphicFramePr>
        <xdr:cNvPr id="13" name="Chart 12">
          <a:extLst>
            <a:ext uri="{FF2B5EF4-FFF2-40B4-BE49-F238E27FC236}">
              <a16:creationId xmlns:a16="http://schemas.microsoft.com/office/drawing/2014/main" id="{ED586B3C-AAB0-4DC1-8849-DB513E76F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454025</xdr:colOff>
      <xdr:row>2</xdr:row>
      <xdr:rowOff>25400</xdr:rowOff>
    </xdr:from>
    <xdr:to>
      <xdr:col>16</xdr:col>
      <xdr:colOff>133350</xdr:colOff>
      <xdr:row>17</xdr:row>
      <xdr:rowOff>6350</xdr:rowOff>
    </xdr:to>
    <xdr:graphicFrame macro="">
      <xdr:nvGraphicFramePr>
        <xdr:cNvPr id="145" name="Chart 1">
          <a:extLst>
            <a:ext uri="{FF2B5EF4-FFF2-40B4-BE49-F238E27FC236}">
              <a16:creationId xmlns:a16="http://schemas.microsoft.com/office/drawing/2014/main" id="{C32741C0-C8E3-0900-A8B3-F8C27442F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xdr:colOff>
      <xdr:row>2</xdr:row>
      <xdr:rowOff>0</xdr:rowOff>
    </xdr:from>
    <xdr:to>
      <xdr:col>22</xdr:col>
      <xdr:colOff>209551</xdr:colOff>
      <xdr:row>16</xdr:row>
      <xdr:rowOff>165100</xdr:rowOff>
    </xdr:to>
    <xdr:graphicFrame macro="">
      <xdr:nvGraphicFramePr>
        <xdr:cNvPr id="146" name="Chart 2">
          <a:extLst>
            <a:ext uri="{FF2B5EF4-FFF2-40B4-BE49-F238E27FC236}">
              <a16:creationId xmlns:a16="http://schemas.microsoft.com/office/drawing/2014/main" id="{57A2258F-8F9A-4C0C-9651-A2666A409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18</xdr:row>
      <xdr:rowOff>0</xdr:rowOff>
    </xdr:from>
    <xdr:to>
      <xdr:col>15</xdr:col>
      <xdr:colOff>288925</xdr:colOff>
      <xdr:row>32</xdr:row>
      <xdr:rowOff>165100</xdr:rowOff>
    </xdr:to>
    <xdr:graphicFrame macro="">
      <xdr:nvGraphicFramePr>
        <xdr:cNvPr id="144" name="Chart 3">
          <a:extLst>
            <a:ext uri="{FF2B5EF4-FFF2-40B4-BE49-F238E27FC236}">
              <a16:creationId xmlns:a16="http://schemas.microsoft.com/office/drawing/2014/main" id="{ED3FD3B6-1A9A-47B5-B82B-6D0D1AC98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18</xdr:row>
      <xdr:rowOff>0</xdr:rowOff>
    </xdr:from>
    <xdr:to>
      <xdr:col>21</xdr:col>
      <xdr:colOff>288925</xdr:colOff>
      <xdr:row>32</xdr:row>
      <xdr:rowOff>165100</xdr:rowOff>
    </xdr:to>
    <xdr:graphicFrame macro="">
      <xdr:nvGraphicFramePr>
        <xdr:cNvPr id="155" name="Chart 4">
          <a:extLst>
            <a:ext uri="{FF2B5EF4-FFF2-40B4-BE49-F238E27FC236}">
              <a16:creationId xmlns:a16="http://schemas.microsoft.com/office/drawing/2014/main" id="{71B5EBF3-44C5-4842-AAE2-78530C9DB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uan Wang" id="{AAEE0A69-F947-408C-914B-48C88063CAC7}" userId="juan.wang5@unimelb.edu.au" providerId="PeoplePicker"/>
  <person displayName="James Hunt" id="{DC194EE0-97BA-4B50-A0FF-293DECE42D0F}" userId="S::james.hunt@unimelb.edu.au::f920b93b-2398-4f5a-a767-1d004726de12" providerId="AD"/>
  <person displayName="Juan Wang" id="{B959D934-98B9-4029-8D79-53141ADE86B6}" userId="S::juan.wang5@unimelb.edu.au::5ee9ba0d-76c4-4d0d-bbe1-a25307663a62" providerId="AD"/>
  <person displayName="Hamish Brown" id="{50D1695A-F55D-4DF1-80E3-B2D3EB95C798}" userId="S::hamish.brown.1@unimelb.edu.au::d6bf6496-f169-4fb5-af65-b9b28d3667ea" providerId="AD"/>
  <person displayName="Andre Pasquale" id="{5F9A47A4-3281-4063-8F00-6B3248860B2A}" userId="S::andre.c.pasquale@unimelb.edu.au::e339a93e-ba64-48f5-b644-3e00bc9ca49b" providerId="AD"/>
  <person displayName="Frank Mazzone" id="{5C8EF5D1-64B4-4B4D-AAF4-091FEEA4BB00}" userId="S::fmazzone@student.unimelb.edu.au::1692f5f9-b8c7-4967-9e01-f466e7c9d78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460.458998842594" createdVersion="8" refreshedVersion="8" minRefreshableVersion="3" recordCount="161" xr:uid="{E40EFAC4-DFFC-4BEA-87DC-81381FA91434}">
  <cacheSource type="worksheet">
    <worksheetSource ref="A1:K1048576" sheet="Emergence"/>
  </cacheSource>
  <cacheFields count="13">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acheField>
    <cacheField name="!Line" numFmtId="0">
      <sharedItems containsBlank="1" count="7">
        <s v="Big_Red"/>
        <s v="Illabo"/>
        <s v="UOM001_3_47"/>
        <s v="UOM001_9_1"/>
        <s v="RGT_Zanzibar"/>
        <s v="Sunmaster"/>
        <m/>
      </sharedItems>
    </cacheField>
    <cacheField name="Plot" numFmtId="0">
      <sharedItems containsString="0" containsBlank="1" containsNumber="1" containsInteger="1" minValue="101" maxValue="408"/>
    </cacheField>
    <cacheField name="Measurement number" numFmtId="0">
      <sharedItems containsString="0" containsBlank="1" containsNumber="1" containsInteger="1" minValue="1" maxValue="5"/>
    </cacheField>
    <cacheField name="Measurement date" numFmtId="0">
      <sharedItems containsNonDate="0" containsDate="1" containsString="0" containsBlank="1" minDate="2024-04-25T00:00:00" maxDate="2024-06-05T00:00:00" count="10">
        <d v="2024-04-25T00:00:00"/>
        <d v="2024-05-24T00:00:00"/>
        <d v="2024-04-30T00:00:00"/>
        <d v="2024-05-29T00:00:00"/>
        <d v="2024-05-06T00:00:00"/>
        <d v="2024-05-31T00:00:00"/>
        <d v="2024-05-08T00:00:00"/>
        <d v="2024-06-04T00:00:00"/>
        <d v="2024-05-15T00:00:00"/>
        <m/>
      </sharedItems>
      <fieldGroup par="12"/>
    </cacheField>
    <cacheField name="Plants emerged (plants/1 m of row)" numFmtId="0">
      <sharedItems containsString="0" containsBlank="1" containsNumber="1" containsInteger="1" minValue="0" maxValue="59"/>
    </cacheField>
    <cacheField name="Days (Measurement date)" numFmtId="0" databaseField="0">
      <fieldGroup base="9">
        <rangePr groupBy="days" startDate="2024-04-25T00:00:00" endDate="2024-06-05T00:00:00"/>
        <groupItems count="368">
          <s v="&lt;25/04/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06/2024"/>
        </groupItems>
      </fieldGroup>
    </cacheField>
    <cacheField name="Months (Measurement date)" numFmtId="0" databaseField="0">
      <fieldGroup base="9">
        <rangePr groupBy="months" startDate="2024-04-25T00:00:00" endDate="2024-06-05T00:00:00"/>
        <groupItems count="14">
          <s v="&lt;25/04/2024"/>
          <s v="Jan"/>
          <s v="Feb"/>
          <s v="Mar"/>
          <s v="Apr"/>
          <s v="May"/>
          <s v="Jun"/>
          <s v="Jul"/>
          <s v="Aug"/>
          <s v="Sep"/>
          <s v="Oct"/>
          <s v="Nov"/>
          <s v="Dec"/>
          <s v="&gt;5/06/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520.566935648145" createdVersion="8" refreshedVersion="8" minRefreshableVersion="3" recordCount="321" xr:uid="{B55EA575-B27C-4456-B91A-05A68D92E13B}">
  <cacheSource type="worksheet">
    <worksheetSource ref="A1:N1048576" sheet="Haun stage"/>
  </cacheSource>
  <cacheFields count="16">
    <cacheField name="!Range" numFmtId="0">
      <sharedItems containsString="0" containsBlank="1" containsNumber="1" containsInteger="1" minValue="1" maxValue="4"/>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Illabo"/>
        <s v="UOM001_3_47"/>
        <s v="UOM001_9_1"/>
        <s v="RGT_Zanzibar"/>
        <s v="Sunmaster"/>
        <m/>
      </sharedItems>
    </cacheField>
    <cacheField name="Plot" numFmtId="0">
      <sharedItems containsString="0" containsBlank="1" containsNumber="1" containsInteger="1" minValue="101" maxValue="408"/>
    </cacheField>
    <cacheField name="Measurement number" numFmtId="0">
      <sharedItems containsString="0" containsBlank="1" containsNumber="1" containsInteger="1" minValue="1" maxValue="10"/>
    </cacheField>
    <cacheField name="Measurement date" numFmtId="0">
      <sharedItems containsNonDate="0" containsDate="1" containsString="0" containsBlank="1" minDate="2024-05-24T00:00:00" maxDate="2024-08-10T00:00:00" count="12">
        <d v="2024-05-24T00:00:00"/>
        <d v="2024-06-24T00:00:00"/>
        <d v="2024-06-03T00:00:00"/>
        <d v="2024-07-04T00:00:00"/>
        <d v="2024-06-14T00:00:00"/>
        <d v="2024-07-15T00:00:00"/>
        <d v="2024-06-25T00:00:00"/>
        <d v="2024-07-26T00:00:00"/>
        <d v="2024-07-10T00:00:00"/>
        <d v="2024-08-09T00:00:00"/>
        <d v="2024-07-22T00:00:00"/>
        <m/>
      </sharedItems>
      <fieldGroup par="15"/>
    </cacheField>
    <cacheField name="Plant 1 Haun stage" numFmtId="0">
      <sharedItems containsString="0" containsBlank="1" containsNumber="1" minValue="2.7" maxValue="10.5"/>
    </cacheField>
    <cacheField name="Plant 2 Haun stage" numFmtId="0">
      <sharedItems containsString="0" containsBlank="1" containsNumber="1" minValue="2.7" maxValue="11"/>
    </cacheField>
    <cacheField name="Plant 3 Haun stage" numFmtId="0">
      <sharedItems containsString="0" containsBlank="1" containsNumber="1" minValue="2.8" maxValue="10.8"/>
    </cacheField>
    <cacheField name="Mean Haun stage" numFmtId="164">
      <sharedItems containsString="0" containsBlank="1" containsNumber="1" minValue="2.9333333333333331" maxValue="10.566666666666666"/>
    </cacheField>
    <cacheField name="Days (Measurement date)" numFmtId="0" databaseField="0">
      <fieldGroup base="9">
        <rangePr groupBy="days" startDate="2024-05-24T00:00:00" endDate="2024-08-10T00:00:00"/>
        <groupItems count="368">
          <s v="&lt;24/0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08/2024"/>
        </groupItems>
      </fieldGroup>
    </cacheField>
    <cacheField name="Months (Measurement date)" numFmtId="0" databaseField="0">
      <fieldGroup base="9">
        <rangePr groupBy="months" startDate="2024-05-24T00:00:00" endDate="2024-08-10T00:00:00"/>
        <groupItems count="14">
          <s v="&lt;24/05/2024"/>
          <s v="Jan"/>
          <s v="Feb"/>
          <s v="Mar"/>
          <s v="Apr"/>
          <s v="May"/>
          <s v="Jun"/>
          <s v="Jul"/>
          <s v="Aug"/>
          <s v="Sep"/>
          <s v="Oct"/>
          <s v="Nov"/>
          <s v="Dec"/>
          <s v="&gt;10/08/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562.861924999997" createdVersion="8" refreshedVersion="8" minRefreshableVersion="3" recordCount="289" xr:uid="{DE3EABA6-964E-4727-B8A8-F221DD4C2AD4}">
  <cacheSource type="worksheet">
    <worksheetSource ref="A1:M1048576" sheet="PCDS 6.0"/>
  </cacheSource>
  <cacheFields count="13">
    <cacheField name="!Range" numFmtId="0">
      <sharedItems containsString="0" containsBlank="1" containsNumber="1" containsInteger="1" minValue="1" maxValue="4"/>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Sunmaster"/>
        <s v="Illabo"/>
        <s v="UOM001_3_47"/>
        <s v="UOM001_9_1"/>
        <s v="RGT_Zanzibar"/>
        <m/>
      </sharedItems>
    </cacheField>
    <cacheField name="Plot" numFmtId="0">
      <sharedItems containsString="0" containsBlank="1" containsNumber="1" containsInteger="1" minValue="101" maxValue="408"/>
    </cacheField>
    <cacheField name="Measurement number" numFmtId="0">
      <sharedItems containsString="0" containsBlank="1" containsNumber="1" containsInteger="1" minValue="1" maxValue="9"/>
    </cacheField>
    <cacheField name="Measurement date" numFmtId="0">
      <sharedItems containsNonDate="0" containsDate="1" containsString="0" containsBlank="1" minDate="2024-09-03T00:00:00" maxDate="2024-09-24T00:00:00" count="10">
        <d v="2024-09-03T00:00:00"/>
        <d v="2024-09-05T00:00:00"/>
        <d v="2024-09-08T00:00:00"/>
        <d v="2024-09-11T00:00:00"/>
        <d v="2024-09-13T00:00:00"/>
        <d v="2024-09-16T00:00:00"/>
        <d v="2024-09-18T00:00:00"/>
        <d v="2024-09-20T00:00:00"/>
        <d v="2024-09-23T00:00:00"/>
        <m/>
      </sharedItems>
    </cacheField>
    <cacheField name="Count of competent culms" numFmtId="1">
      <sharedItems containsString="0" containsBlank="1" containsNumber="1" containsInteger="1" minValue="34" maxValue="85"/>
    </cacheField>
    <cacheField name="Count of competent culms on which flag leaf ligule visible" numFmtId="1">
      <sharedItems containsString="0" containsBlank="1" containsNumber="1" containsInteger="1" minValue="0" maxValue="63"/>
    </cacheField>
    <cacheField name="% flag leaves emerged" numFmtId="1">
      <sharedItems containsString="0" containsBlank="1" containsNumber="1" minValue="0" maxValue="108.1632653061224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564.93025578704" createdVersion="8" refreshedVersion="8" minRefreshableVersion="3" recordCount="321" xr:uid="{65A7A702-3A2B-4A8B-93C8-904A26BFABB0}">
  <cacheSource type="worksheet">
    <worksheetSource ref="A1:R1048576" sheet="Leaf measurement"/>
  </cacheSource>
  <cacheFields count="18">
    <cacheField name="!Range" numFmtId="0">
      <sharedItems containsString="0" containsBlank="1" containsNumber="1" containsInteger="1" minValue="1" maxValue="4"/>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Illabo"/>
        <s v="UOM001_3_47"/>
        <s v="UOM001_9_1"/>
        <s v="RGT_Zanzibar"/>
        <s v="Sunmaster"/>
        <m/>
      </sharedItems>
    </cacheField>
    <cacheField name="Plot" numFmtId="0">
      <sharedItems containsString="0" containsBlank="1" containsNumber="1" containsInteger="1" minValue="101" maxValue="408"/>
    </cacheField>
    <cacheField name="Leaf number" numFmtId="0">
      <sharedItems containsBlank="1" containsMixedTypes="1" containsNumber="1" containsInteger="1" minValue="6" maxValue="10" count="9">
        <s v="leaf 3"/>
        <s v="leaf 6"/>
        <s v="leaf 9"/>
        <m/>
        <n v="6" u="1"/>
        <n v="7" u="1"/>
        <n v="8" u="1"/>
        <n v="9" u="1"/>
        <n v="10" u="1"/>
      </sharedItems>
    </cacheField>
    <cacheField name="Measurement date" numFmtId="0">
      <sharedItems containsNonDate="0" containsDate="1" containsString="0" containsBlank="1" minDate="2024-06-21T00:00:00" maxDate="2024-09-29T00:00:00"/>
    </cacheField>
    <cacheField name="Leaf width 1" numFmtId="0">
      <sharedItems containsString="0" containsBlank="1" containsNumber="1" containsInteger="1" minValue="4" maxValue="18"/>
    </cacheField>
    <cacheField name="Leaf width 2" numFmtId="0">
      <sharedItems containsString="0" containsBlank="1" containsNumber="1" containsInteger="1" minValue="3" maxValue="18"/>
    </cacheField>
    <cacheField name="Leaf width 3" numFmtId="0">
      <sharedItems containsString="0" containsBlank="1" containsNumber="1" containsInteger="1" minValue="4" maxValue="17"/>
    </cacheField>
    <cacheField name="Mean leaf width (mm)" numFmtId="0">
      <sharedItems containsString="0" containsBlank="1" containsNumber="1" minValue="4" maxValue="17.333333333333332"/>
    </cacheField>
    <cacheField name="Leaf length 1" numFmtId="0">
      <sharedItems containsString="0" containsBlank="1" containsNumber="1" minValue="12" maxValue="34.4"/>
    </cacheField>
    <cacheField name="Leaf length 2" numFmtId="0">
      <sharedItems containsString="0" containsBlank="1" containsNumber="1" minValue="11.3" maxValue="34"/>
    </cacheField>
    <cacheField name="Leaf length 3" numFmtId="0">
      <sharedItems containsString="0" containsBlank="1" containsNumber="1" minValue="12.1" maxValue="34.799999999999997"/>
    </cacheField>
    <cacheField name="Mean leaf length (cm)" numFmtId="0">
      <sharedItems containsString="0" containsBlank="1" containsNumber="1" minValue="14.200000000000001" maxValue="3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5569.333618287033" createdVersion="8" refreshedVersion="8" minRefreshableVersion="3" recordCount="48" xr:uid="{0A632B15-8E27-42C0-AAD1-19F988D369C6}">
  <cacheSource type="worksheet">
    <worksheetSource ref="A1:BS1048576" sheet="PCDS 6.0 harvest"/>
  </cacheSource>
  <cacheFields count="71">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Illabo"/>
        <s v="UOM001_3_47"/>
        <s v="UOM001_9_1"/>
        <s v="RGT_Zanzibar"/>
        <s v="Sunmaster"/>
        <m/>
      </sharedItems>
    </cacheField>
    <cacheField name="Plot" numFmtId="0">
      <sharedItems containsString="0" containsBlank="1" containsNumber="1" containsInteger="1" minValue="101" maxValue="408"/>
    </cacheField>
    <cacheField name="Unique identifier" numFmtId="0">
      <sharedItems containsBlank="1"/>
    </cacheField>
    <cacheField name="Measurement date" numFmtId="0">
      <sharedItems containsNonDate="0" containsDate="1" containsString="0" containsBlank="1" minDate="2024-09-06T00:00:00" maxDate="2024-09-25T00:00:00"/>
    </cacheField>
    <cacheField name="NDVI of quadrat area" numFmtId="0">
      <sharedItems containsString="0" containsBlank="1" containsNumber="1" minValue="0.75" maxValue="0.86"/>
    </cacheField>
    <cacheField name="Tau [T] at ground level" numFmtId="0">
      <sharedItems containsString="0" containsBlank="1" containsNumber="1" minValue="0.01" maxValue="0.115"/>
    </cacheField>
    <cacheField name="Tau [T] at 25% of canopy height" numFmtId="0">
      <sharedItems containsString="0" containsBlank="1" containsNumber="1" minValue="2.1999999999999999E-2" maxValue="0.17899999999999999"/>
    </cacheField>
    <cacheField name="Tau [T] at 50% of canopy height" numFmtId="0">
      <sharedItems containsString="0" containsBlank="1" containsNumber="1" minValue="5.8999999999999997E-2" maxValue="0.27500000000000002"/>
    </cacheField>
    <cacheField name="Tau [T] at 75% of canopy height" numFmtId="0">
      <sharedItems containsString="0" containsBlank="1" containsNumber="1" minValue="0.13500000000000001" maxValue="0.47899999999999998"/>
    </cacheField>
    <cacheField name="PARi at ground level" numFmtId="0">
      <sharedItems containsString="0" containsBlank="1" containsNumber="1" minValue="0.88500000000000001" maxValue="0.99"/>
    </cacheField>
    <cacheField name="PARi at 25% of canopy height" numFmtId="0">
      <sharedItems containsString="0" containsBlank="1" containsNumber="1" minValue="0.82099999999999995" maxValue="0.97799999999999998"/>
    </cacheField>
    <cacheField name="PARi at 50% of canopy height" numFmtId="0">
      <sharedItems containsString="0" containsBlank="1" containsNumber="1" minValue="0.72499999999999998" maxValue="0.94100000000000006"/>
    </cacheField>
    <cacheField name="PARi at 75% of canopy height" numFmtId="0">
      <sharedItems containsString="0" containsBlank="1" containsNumber="1" minValue="0.52100000000000002" maxValue="0.86499999999999999"/>
    </cacheField>
    <cacheField name="SPAD of lowest leaves reading 1" numFmtId="0">
      <sharedItems containsString="0" containsBlank="1" containsNumber="1" minValue="1.4" maxValue="49.9"/>
    </cacheField>
    <cacheField name="SPAD of lowest leaves reading 2" numFmtId="0">
      <sharedItems containsString="0" containsBlank="1" containsNumber="1" minValue="0.8" maxValue="51.7"/>
    </cacheField>
    <cacheField name="SPAD of lowest leaves reading 3" numFmtId="0">
      <sharedItems containsString="0" containsBlank="1" containsNumber="1" minValue="1.8" maxValue="51.8"/>
    </cacheField>
    <cacheField name="SPAD of lowest leaves reading 4" numFmtId="0">
      <sharedItems containsString="0" containsBlank="1" containsNumber="1" minValue="0.9" maxValue="57.9"/>
    </cacheField>
    <cacheField name="SPAD at 25% of canopy height reading 1" numFmtId="0">
      <sharedItems containsString="0" containsBlank="1" containsNumber="1" minValue="21.7" maxValue="63.4"/>
    </cacheField>
    <cacheField name="SPAD at 25% of canopy height reading 2" numFmtId="0">
      <sharedItems containsString="0" containsBlank="1" containsNumber="1" minValue="29.2" maxValue="58.3"/>
    </cacheField>
    <cacheField name="SPAD at 25% of canopy height reading 3" numFmtId="0">
      <sharedItems containsString="0" containsBlank="1" containsNumber="1" minValue="27.1" maxValue="57.7"/>
    </cacheField>
    <cacheField name="SPAD at 25% of canopy height reading 4" numFmtId="0">
      <sharedItems containsString="0" containsBlank="1" containsNumber="1" minValue="12.2" maxValue="57.5"/>
    </cacheField>
    <cacheField name="SPAD at 50% of canopy height reading 1" numFmtId="0">
      <sharedItems containsString="0" containsBlank="1" containsNumber="1" minValue="42.8" maxValue="57.1"/>
    </cacheField>
    <cacheField name="SPAD at 50% of canopy height reading 2" numFmtId="0">
      <sharedItems containsString="0" containsBlank="1" containsNumber="1" minValue="46.8" maxValue="56.7"/>
    </cacheField>
    <cacheField name="SPAD at 50% of canopy height reading 3" numFmtId="0">
      <sharedItems containsString="0" containsBlank="1" containsNumber="1" minValue="45" maxValue="56.3"/>
    </cacheField>
    <cacheField name="SPAD at 50% of canopy height reading 4" numFmtId="0">
      <sharedItems containsString="0" containsBlank="1" containsNumber="1" minValue="37.5" maxValue="57.9"/>
    </cacheField>
    <cacheField name="SPAD at 75% of canopy height reading 1" numFmtId="0">
      <sharedItems containsString="0" containsBlank="1" containsNumber="1" minValue="44.6" maxValue="56.7"/>
    </cacheField>
    <cacheField name="SPAD at 75% of canopy height reading 2" numFmtId="0">
      <sharedItems containsString="0" containsBlank="1" containsNumber="1" minValue="46.5" maxValue="57"/>
    </cacheField>
    <cacheField name="SPAD at 75% of canopy height reading 3" numFmtId="0">
      <sharedItems containsString="0" containsBlank="1" containsNumber="1" minValue="45.6" maxValue="56.2"/>
    </cacheField>
    <cacheField name="SPAD at 75% of canopy height reading 4" numFmtId="0">
      <sharedItems containsString="0" containsBlank="1" containsNumber="1" minValue="47.1" maxValue="56.2"/>
    </cacheField>
    <cacheField name="SPAD of flag leaf reading 1" numFmtId="0">
      <sharedItems containsString="0" containsBlank="1" containsNumber="1" minValue="37.4" maxValue="54.9"/>
    </cacheField>
    <cacheField name="SPAD of flag leaf reading 2" numFmtId="0">
      <sharedItems containsString="0" containsBlank="1" containsNumber="1" minValue="41" maxValue="55.6"/>
    </cacheField>
    <cacheField name="SPAD of flag leaf reading 3" numFmtId="0">
      <sharedItems containsString="0" containsBlank="1" containsNumber="1" minValue="40.299999999999997" maxValue="54.1"/>
    </cacheField>
    <cacheField name="SPAD of flag leaf reading 4" numFmtId="0">
      <sharedItems containsString="0" containsBlank="1" containsNumber="1" minValue="40" maxValue="54"/>
    </cacheField>
    <cacheField name="Canopy height (cm)" numFmtId="0">
      <sharedItems containsString="0" containsBlank="1" containsNumber="1" containsInteger="1" minValue="51" maxValue="72"/>
    </cacheField>
    <cacheField name="Area of quadrat cut (m²)" numFmtId="0">
      <sharedItems containsString="0" containsBlank="1" containsNumber="1" minValue="0.375" maxValue="0.5"/>
    </cacheField>
    <cacheField name="Fresh weight of main sample (g)" numFmtId="0">
      <sharedItems containsString="0" containsBlank="1" containsNumber="1" minValue="1146.5999999999999" maxValue="2313.6999999999998"/>
    </cacheField>
    <cacheField name="Fresh shoot biomass weight (g/m2)" numFmtId="0">
      <sharedItems containsString="0" containsBlank="1" containsNumber="1" minValue="2293.1999999999998" maxValue="4627.3999999999996"/>
    </cacheField>
    <cacheField name="Fresh weight of sub sample (g)" numFmtId="0">
      <sharedItems containsString="0" containsBlank="1" containsNumber="1" minValue="256.89999999999998" maxValue="469.9"/>
    </cacheField>
    <cacheField name="Number of culms in sub-sample" numFmtId="0">
      <sharedItems containsString="0" containsBlank="1" containsNumber="1" containsInteger="1" minValue="50" maxValue="50"/>
    </cacheField>
    <cacheField name="Fresh weight of subsample for moisture content (g)" numFmtId="0">
      <sharedItems containsString="0" containsBlank="1" containsNumber="1" minValue="158.80000000000001" maxValue="280.3"/>
    </cacheField>
    <cacheField name="Dry weight of subsample for moisture content (g)" numFmtId="0">
      <sharedItems containsString="0" containsBlank="1" containsNumber="1" minValue="34.700000000000003" maxValue="54.43"/>
    </cacheField>
    <cacheField name="Number of culms in subsample for moisture content" numFmtId="0">
      <sharedItems containsString="0" containsBlank="1" containsNumber="1" containsInteger="1" minValue="30" maxValue="30"/>
    </cacheField>
    <cacheField name="Dry weight of green leaves from 20 culms (g)" numFmtId="0">
      <sharedItems containsString="0" containsBlank="1" containsNumber="1" minValue="8.32" maxValue="13.7"/>
    </cacheField>
    <cacheField name="Dry weight of dead leaves from 20 culms (g)" numFmtId="0">
      <sharedItems containsString="0" containsBlank="1" containsNumber="1" minValue="0.2" maxValue="1.5"/>
    </cacheField>
    <cacheField name="Dry weight of stems from 20 culms (g)" numFmtId="0">
      <sharedItems containsString="0" containsBlank="1" containsNumber="1" minValue="9.39" maxValue="20.8"/>
    </cacheField>
    <cacheField name="Dry weight of spikes from 20 culms (g)" numFmtId="0">
      <sharedItems containsString="0" containsBlank="1" containsNumber="1" minValue="0.59" maxValue="2.56"/>
    </cacheField>
    <cacheField name="Dry weight of 20 culms (g)" numFmtId="0">
      <sharedItems containsString="0" containsBlank="1" containsNumber="1" minValue="0" maxValue="35.950000000000003"/>
    </cacheField>
    <cacheField name="Dry weight of a single culm (g)" numFmtId="164">
      <sharedItems containsString="0" containsBlank="1" containsNumber="1" minValue="1.1566666666666667" maxValue="3.0581039755351682"/>
    </cacheField>
    <cacheField name="Fresh weight of a single culm (g)" numFmtId="164">
      <sharedItems containsString="0" containsBlank="1" containsNumber="1" minValue="3.9918450560652392" maxValue="9.3433333333333337"/>
    </cacheField>
    <cacheField name="Dry matter proportion of main sample (g/g)" numFmtId="2">
      <sharedItems containsString="0" containsBlank="1" containsNumber="1" minValue="0.1870139136639315" maxValue="0.24988986784140971"/>
    </cacheField>
    <cacheField name="Estimated dry weight of main sample (g)" numFmtId="1">
      <sharedItems containsString="0" containsBlank="1" containsNumber="1" minValue="253.64264972776772" maxValue="510.45170502583375"/>
    </cacheField>
    <cacheField name="Estimated dry matter at PCDS 6.0 (g/m²)" numFmtId="1">
      <sharedItems containsString="0" containsBlank="1" containsNumber="1" minValue="509.05831763967359" maxValue="1020.9034100516675"/>
    </cacheField>
    <cacheField name="Green leaf fraction (g/g)" numFmtId="2">
      <sharedItems containsBlank="1" containsMixedTypes="1" containsNumber="1" minValue="0.33970681963033778" maxValue="0.47874396135265701"/>
    </cacheField>
    <cacheField name="Dead leaf fraction (g/g)" numFmtId="2">
      <sharedItems containsBlank="1" containsMixedTypes="1" containsNumber="1" minValue="8.1187010078387443E-3" maxValue="4.4816253361219006E-2"/>
    </cacheField>
    <cacheField name="Stem fraction (g/g)" numFmtId="2">
      <sharedItems containsBlank="1" containsMixedTypes="1" containsNumber="1" minValue="0.45362318840579713" maxValue="0.59910771191841938"/>
    </cacheField>
    <cacheField name="Spike fraction (g/g)" numFmtId="2">
      <sharedItems containsBlank="1" containsMixedTypes="1" containsNumber="1" minValue="2.0730850316233309E-2" maxValue="0.11846367422489591"/>
    </cacheField>
    <cacheField name="Grean leaf dry matter (g/m²)" numFmtId="0">
      <sharedItems containsBlank="1" containsMixedTypes="1" containsNumber="1" minValue="192.0897957631592" maxValue="274.28365817370423"/>
    </cacheField>
    <cacheField name="Dead leaf dry matter (g/m²)" numFmtId="0">
      <sharedItems containsBlank="1" containsMixedTypes="1" containsNumber="1" minValue="5.0449217949033418" maxValue="32.226539472106239"/>
    </cacheField>
    <cacheField name="Stem dry matter (g/m²)" numFmtId="0">
      <sharedItems containsBlank="1" containsMixedTypes="1" containsNumber="1" minValue="236.85907827071188" maxValue="437.56479149904249"/>
    </cacheField>
    <cacheField name="Spike dry matter (g/m²)" numFmtId="0">
      <sharedItems containsBlank="1" containsMixedTypes="1" containsNumber="1" minValue="13.80895273062742" maxValue="60.304918702339876"/>
    </cacheField>
    <cacheField name="Mean SPAD of lowest leaves" numFmtId="0">
      <sharedItems containsString="0" containsBlank="1" containsNumber="1" minValue="14.125" maxValue="48.925000000000004"/>
    </cacheField>
    <cacheField name="Mean SPAD at 25% of canopy height" numFmtId="0">
      <sharedItems containsString="0" containsBlank="1" containsNumber="1" minValue="26.849999999999998" maxValue="56.225000000000001"/>
    </cacheField>
    <cacheField name="Mean SPAD at 50% of canopy height " numFmtId="0">
      <sharedItems containsString="0" containsBlank="1" containsNumber="1" minValue="46.550000000000004" maxValue="55.525000000000006"/>
    </cacheField>
    <cacheField name="Mean SPAD at 75% of canopy height" numFmtId="0">
      <sharedItems containsString="0" containsBlank="1" containsNumber="1" minValue="46.424999999999997" maxValue="54.4"/>
    </cacheField>
    <cacheField name="Mean SPAD of flag leaf" numFmtId="0">
      <sharedItems containsString="0" containsBlank="1" containsNumber="1" minValue="40.900000000000006" maxValue="54.37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5623.455819328701" createdVersion="8" refreshedVersion="8" minRefreshableVersion="3" recordCount="289" xr:uid="{3E9C6619-1B83-4902-AA3D-328F61CFCEBF}">
  <cacheSource type="worksheet">
    <worksheetSource ref="A1:M1048576" sheet="PCDS 8.0"/>
  </cacheSource>
  <cacheFields count="13">
    <cacheField name="!Range" numFmtId="0">
      <sharedItems containsString="0" containsBlank="1" containsNumber="1" containsInteger="1" minValue="1" maxValue="4"/>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Sunmaster"/>
        <s v="Illabo"/>
        <s v="UOM001_3_47"/>
        <s v="UOM001_9_1"/>
        <s v="RGT_Zanzibar"/>
        <m/>
      </sharedItems>
    </cacheField>
    <cacheField name="Plot" numFmtId="0">
      <sharedItems containsString="0" containsBlank="1" containsNumber="1" containsInteger="1" minValue="101" maxValue="408"/>
    </cacheField>
    <cacheField name="Measurement number" numFmtId="0">
      <sharedItems containsString="0" containsBlank="1" containsNumber="1" containsInteger="1" minValue="1" maxValue="9"/>
    </cacheField>
    <cacheField name="Count date" numFmtId="0">
      <sharedItems containsNonDate="0" containsDate="1" containsString="0" containsBlank="1" minDate="2024-09-23T00:00:00" maxDate="2024-10-11T00:00:00" count="10">
        <d v="2024-09-23T00:00:00"/>
        <d v="2024-09-25T00:00:00"/>
        <m/>
        <d v="2024-09-26T00:00:00"/>
        <d v="2024-09-30T00:00:00"/>
        <d v="2024-10-02T00:00:00"/>
        <d v="2024-10-04T00:00:00"/>
        <d v="2024-10-07T00:00:00"/>
        <d v="2024-10-08T00:00:00"/>
        <d v="2024-10-10T00:00:00"/>
      </sharedItems>
    </cacheField>
    <cacheField name="Count of competent culms" numFmtId="1">
      <sharedItems containsString="0" containsBlank="1" containsNumber="1" containsInteger="1" minValue="34" maxValue="85"/>
    </cacheField>
    <cacheField name="Count of competent culms on which central florets have flowered" numFmtId="0">
      <sharedItems containsString="0" containsBlank="1" containsNumber="1" containsInteger="1" minValue="0" maxValue="62"/>
    </cacheField>
    <cacheField name="% anthesis" numFmtId="164">
      <sharedItems containsString="0" containsBlank="1" containsNumber="1" minValue="0" maxValue="96.491228070175438"/>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5623.458750578706" createdVersion="8" refreshedVersion="8" minRefreshableVersion="3" recordCount="48" xr:uid="{82CB4AF2-581C-49B9-92D5-93703C9650D6}">
  <cacheSource type="worksheet">
    <worksheetSource ref="A1:BT1048576" sheet="PCDS 8.0 harvest"/>
  </cacheSource>
  <cacheFields count="72">
    <cacheField name="!Range" numFmtId="0">
      <sharedItems containsString="0" containsBlank="1" containsNumber="1" containsInteger="1" minValue="1" maxValue="4"/>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Illabo"/>
        <s v="UOM001_3_47"/>
        <s v="UOM001_9_1"/>
        <s v="RGT_Zanzibar"/>
        <s v="Sunmaster"/>
        <m/>
      </sharedItems>
    </cacheField>
    <cacheField name="Plot" numFmtId="0">
      <sharedItems containsString="0" containsBlank="1" containsNumber="1" containsInteger="1" minValue="101" maxValue="408"/>
    </cacheField>
    <cacheField name="Unique identifier" numFmtId="0">
      <sharedItems containsBlank="1"/>
    </cacheField>
    <cacheField name="Measurement date" numFmtId="0">
      <sharedItems containsNonDate="0" containsDate="1" containsString="0" containsBlank="1" minDate="2024-09-25T00:00:00" maxDate="2024-10-09T00:00:00"/>
    </cacheField>
    <cacheField name="NDVI of quadrat area" numFmtId="0">
      <sharedItems containsString="0" containsBlank="1" containsNumber="1" minValue="0.61" maxValue="0.82"/>
    </cacheField>
    <cacheField name="Tau [T] at ground level" numFmtId="0">
      <sharedItems containsString="0" containsBlank="1" containsNumber="1" minValue="8.9999999999999993E-3" maxValue="0.105"/>
    </cacheField>
    <cacheField name="Tau [T] at 25% of canopy height" numFmtId="0">
      <sharedItems containsString="0" containsBlank="1" containsNumber="1" minValue="1.4E-2" maxValue="0.14000000000000001"/>
    </cacheField>
    <cacheField name="Tau [T] at 50% of canopy height" numFmtId="0">
      <sharedItems containsString="0" containsBlank="1" containsNumber="1" minValue="4.4999999999999998E-2" maxValue="0.28699999999999998"/>
    </cacheField>
    <cacheField name="Tau [T] at 75% of canopy height" numFmtId="0">
      <sharedItems containsString="0" containsBlank="1" containsNumber="1" minValue="0.19800000000000001" maxValue="0.61799999999999999"/>
    </cacheField>
    <cacheField name="PARi at ground level" numFmtId="0">
      <sharedItems containsString="0" containsBlank="1" containsNumber="1" minValue="0.89500000000000002" maxValue="0.99099999999999999"/>
    </cacheField>
    <cacheField name="PARi at 25% of canopy height" numFmtId="0">
      <sharedItems containsString="0" containsBlank="1" containsNumber="1" minValue="0.86" maxValue="0.98599999999999999"/>
    </cacheField>
    <cacheField name="PARi at 50% of canopy height" numFmtId="0">
      <sharedItems containsString="0" containsBlank="1" containsNumber="1" minValue="0.71300000000000008" maxValue="0.95499999999999996"/>
    </cacheField>
    <cacheField name="PARi at 75% of canopy height" numFmtId="0">
      <sharedItems containsString="0" containsBlank="1" containsNumber="1" minValue="0.38200000000000001" maxValue="0.80200000000000005"/>
    </cacheField>
    <cacheField name="SPAD of lowest leaves reading 1" numFmtId="0">
      <sharedItems containsString="0" containsBlank="1" containsNumber="1" minValue="0" maxValue="48.6"/>
    </cacheField>
    <cacheField name="SPAD of lowest leaves reading 2" numFmtId="0">
      <sharedItems containsString="0" containsBlank="1" containsNumber="1" minValue="0" maxValue="45.3"/>
    </cacheField>
    <cacheField name="SPAD of lowest leaves reading 3" numFmtId="0">
      <sharedItems containsString="0" containsBlank="1" containsNumber="1" minValue="0" maxValue="49.5"/>
    </cacheField>
    <cacheField name="SPAD of lowest leaves reading 4" numFmtId="0">
      <sharedItems containsString="0" containsBlank="1" containsNumber="1" minValue="0" maxValue="38.5"/>
    </cacheField>
    <cacheField name="SPAD at 25% of canopy height reading 1" numFmtId="0">
      <sharedItems containsString="0" containsBlank="1" containsNumber="1" minValue="0" maxValue="61"/>
    </cacheField>
    <cacheField name="SPAD at 25% of canopy height reading 2" numFmtId="0">
      <sharedItems containsString="0" containsBlank="1" containsNumber="1" minValue="0" maxValue="57.3"/>
    </cacheField>
    <cacheField name="SPAD at 25% of canopy height reading 3" numFmtId="0">
      <sharedItems containsString="0" containsBlank="1" containsNumber="1" minValue="0" maxValue="52.4"/>
    </cacheField>
    <cacheField name="SPAD at 25% of canopy height reading 4" numFmtId="0">
      <sharedItems containsString="0" containsBlank="1" containsNumber="1" minValue="0.4" maxValue="54.7"/>
    </cacheField>
    <cacheField name="SPAD at 50% of canopy height reading 1" numFmtId="0">
      <sharedItems containsString="0" containsBlank="1" containsNumber="1" minValue="11.9" maxValue="62.5"/>
    </cacheField>
    <cacheField name="SPAD at 50% of canopy height reading 2" numFmtId="0">
      <sharedItems containsString="0" containsBlank="1" containsNumber="1" minValue="19.3" maxValue="68"/>
    </cacheField>
    <cacheField name="SPAD at 50% of canopy height reading 3" numFmtId="0">
      <sharedItems containsString="0" containsBlank="1" containsNumber="1" minValue="33.5" maxValue="59.8"/>
    </cacheField>
    <cacheField name="SPAD at 50% of canopy height reading 4" numFmtId="0">
      <sharedItems containsString="0" containsBlank="1" containsNumber="1" minValue="29.7" maxValue="59.4"/>
    </cacheField>
    <cacheField name="SPAD at 75% of canopy height reading 1" numFmtId="0">
      <sharedItems containsString="0" containsBlank="1" containsNumber="1" minValue="35.700000000000003" maxValue="58.4"/>
    </cacheField>
    <cacheField name="SPAD at 75% of canopy height reading 2" numFmtId="0">
      <sharedItems containsString="0" containsBlank="1" containsNumber="1" minValue="36.700000000000003" maxValue="65.8"/>
    </cacheField>
    <cacheField name="SPAD at 75% of canopy height reading 3" numFmtId="0">
      <sharedItems containsString="0" containsBlank="1" containsNumber="1" minValue="43.8" maxValue="58.7"/>
    </cacheField>
    <cacheField name="SPAD at 75% of canopy height reading 4" numFmtId="0">
      <sharedItems containsString="0" containsBlank="1" containsNumber="1" minValue="40.5" maxValue="57.6"/>
    </cacheField>
    <cacheField name="SPAD of flag leaf reading 1" numFmtId="0">
      <sharedItems containsString="0" containsBlank="1" containsNumber="1" minValue="43.6" maxValue="57.9"/>
    </cacheField>
    <cacheField name="SPAD of flag leaf reading 2" numFmtId="0">
      <sharedItems containsString="0" containsBlank="1" containsNumber="1" minValue="44.7" maxValue="57.4"/>
    </cacheField>
    <cacheField name="SPAD of flag leaf reading 3" numFmtId="0">
      <sharedItems containsString="0" containsBlank="1" containsNumber="1" minValue="40.1" maxValue="55.7"/>
    </cacheField>
    <cacheField name="SPAD of flag leaf reading 4" numFmtId="0">
      <sharedItems containsString="0" containsBlank="1" containsNumber="1" minValue="44" maxValue="57.7"/>
    </cacheField>
    <cacheField name="Canopy height (cm)" numFmtId="0">
      <sharedItems containsString="0" containsBlank="1" containsNumber="1" containsInteger="1" minValue="57" maxValue="98"/>
    </cacheField>
    <cacheField name="Area of quadrat cut (m²)" numFmtId="0">
      <sharedItems containsString="0" containsBlank="1" containsNumber="1" minValue="0.5" maxValue="0.5"/>
    </cacheField>
    <cacheField name="Fresh weight of main sample (g)" numFmtId="0">
      <sharedItems containsString="0" containsBlank="1" containsNumber="1" minValue="1124" maxValue="2710.6"/>
    </cacheField>
    <cacheField name="Fresh weight of sub sample (g)" numFmtId="0">
      <sharedItems containsString="0" containsBlank="1" containsNumber="1" minValue="292" maxValue="536"/>
    </cacheField>
    <cacheField name="Number of culms in sub-sample" numFmtId="0">
      <sharedItems containsString="0" containsBlank="1" containsNumber="1" containsInteger="1" minValue="50" maxValue="50"/>
    </cacheField>
    <cacheField name="Fresh weight of subsample for moisture content (g)" numFmtId="1">
      <sharedItems containsString="0" containsBlank="1" containsNumber="1" minValue="184" maxValue="332"/>
    </cacheField>
    <cacheField name="Dry weight of subsample for moisture content (g)" numFmtId="164">
      <sharedItems containsString="0" containsBlank="1" containsNumber="1" minValue="46.1" maxValue="100.59"/>
    </cacheField>
    <cacheField name="Number of culms in subsample for moisture content" numFmtId="0">
      <sharedItems containsString="0" containsBlank="1" containsNumber="1" containsInteger="1" minValue="30" maxValue="30"/>
    </cacheField>
    <cacheField name="Dry weight of green leaves from 20 culms (g)" numFmtId="0">
      <sharedItems containsString="0" containsBlank="1" containsNumber="1" minValue="6.84" maxValue="18.079999999999998"/>
    </cacheField>
    <cacheField name="Dry weight of dead leaves from 20 culms (g)" numFmtId="0">
      <sharedItems containsString="0" containsBlank="1" containsNumber="1" minValue="1.1200000000000001" maxValue="4.3899999999999997"/>
    </cacheField>
    <cacheField name="Dry weight of stems from 20 culms (g)" numFmtId="0">
      <sharedItems containsString="0" containsBlank="1" containsNumber="1" minValue="16.41" maxValue="39.43"/>
    </cacheField>
    <cacheField name="Dry weight of spikes from 20 culms (g)" numFmtId="0">
      <sharedItems containsString="0" containsBlank="1" containsNumber="1" minValue="6.63" maxValue="14.82"/>
    </cacheField>
    <cacheField name="Spike No" numFmtId="1">
      <sharedItems containsString="0" containsBlank="1" containsNumber="1" containsInteger="1" minValue="18" maxValue="30"/>
    </cacheField>
    <cacheField name="Sum of all fraction (g)" numFmtId="0">
      <sharedItems containsString="0" containsBlank="1" containsNumber="1" minValue="34.520000000000003" maxValue="73.599999999999994"/>
    </cacheField>
    <cacheField name="Dry weight of 20 culms (g)" numFmtId="0">
      <sharedItems containsString="0" containsBlank="1" containsNumber="1" minValue="38.355555555555561" maxValue="64.570000000000007"/>
    </cacheField>
    <cacheField name="Dry weight of a single culm (g)" numFmtId="164">
      <sharedItems containsString="0" containsBlank="1" containsNumber="1" minValue="1.917777777777778" maxValue="3.2285000000000004"/>
    </cacheField>
    <cacheField name="Fresh weight of a single culm (g)" numFmtId="164">
      <sharedItems containsString="0" containsBlank="1" containsNumber="1" minValue="5.15" maxValue="11.333333333333334"/>
    </cacheField>
    <cacheField name="Dry matter proportion of main sample (g/g)" numFmtId="2">
      <sharedItems containsString="0" containsBlank="1" containsNumber="1" minValue="0.197008547008547" maxValue="0.37785714285714289"/>
    </cacheField>
    <cacheField name="Estimated dry weight of main sample (g)" numFmtId="1">
      <sharedItems containsString="0" containsBlank="1" containsNumber="1" minValue="294.92179487179487" maxValue="621.23025658113954"/>
    </cacheField>
    <cacheField name="Estimated dry matter at PCDS 8.0 (g/m²)" numFmtId="1">
      <sharedItems containsString="0" containsBlank="1" containsNumber="1" minValue="589.84358974358975" maxValue="1242.4605131622791"/>
    </cacheField>
    <cacheField name="Green leaf fraction (g/g)" numFmtId="0">
      <sharedItems containsString="0" containsBlank="1" containsNumber="1" minValue="0.16713091922005571" maxValue="0.26294903926482871"/>
    </cacheField>
    <cacheField name="Dead leaf fraction (g/g)" numFmtId="0">
      <sharedItems containsString="0" containsBlank="1" containsNumber="1" minValue="1.841196777905639E-2" maxValue="9.2989571263035906E-2"/>
    </cacheField>
    <cacheField name="Stem fraction (g/g)" numFmtId="0">
      <sharedItems containsString="0" containsBlank="1" containsNumber="1" minValue="0.47537659327925835" maxValue="0.62699325990465238"/>
    </cacheField>
    <cacheField name="Spike fraction (g/g)" numFmtId="0">
      <sharedItems containsString="0" containsBlank="1" containsNumber="1" minValue="0.13847117794486213" maxValue="0.23348783314020857"/>
    </cacheField>
    <cacheField name="Grean leaf dry matter (g/m²)" numFmtId="0">
      <sharedItems containsString="0" containsBlank="1" containsNumber="1" minValue="144.89636008918617" maxValue="313.33942096707636"/>
    </cacheField>
    <cacheField name="Dead leaf dry matter (g/m²)" numFmtId="0">
      <sharedItems containsString="0" containsBlank="1" containsNumber="1" minValue="21.217320401117874" maxValue="85.315303667691055"/>
    </cacheField>
    <cacheField name="Stem dry matter (g/m²)" numFmtId="0">
      <sharedItems containsString="0" containsBlank="1" containsNumber="1" minValue="290.99484705964329" maxValue="722.52553580235326"/>
    </cacheField>
    <cacheField name="Spike dry matter (g/m²)" numFmtId="0">
      <sharedItems containsString="0" containsBlank="1" containsNumber="1" minValue="118.77013586956522" maxValue="255.06397267823078"/>
    </cacheField>
    <cacheField name="Mean SPAD of lowest leaves" numFmtId="0">
      <sharedItems containsString="0" containsBlank="1" containsNumber="1" minValue="0" maxValue="35.800000000000004"/>
    </cacheField>
    <cacheField name="Mean SPAD at 25% of canopy height" numFmtId="0">
      <sharedItems containsString="0" containsBlank="1" containsNumber="1" minValue="9.8249999999999993" maxValue="53.1"/>
    </cacheField>
    <cacheField name="Mean SPAD at 50% of canopy height " numFmtId="0">
      <sharedItems containsString="0" containsBlank="1" containsNumber="1" minValue="35.75" maxValue="58.725000000000001"/>
    </cacheField>
    <cacheField name="Mean SPAD at 75% of canopy height" numFmtId="0">
      <sharedItems containsString="0" containsBlank="1" containsNumber="1" minValue="42.9" maxValue="55.825000000000003"/>
    </cacheField>
    <cacheField name="Mean SPAD of flag leaf" numFmtId="0">
      <sharedItems containsString="0" containsBlank="1" containsNumber="1" minValue="45.350000000000009" maxValue="54.87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5623.49308738426" createdVersion="8" refreshedVersion="8" minRefreshableVersion="3" recordCount="31" xr:uid="{49E9F02F-FCE9-4878-A03C-9506DBA3A745}">
  <cacheSource type="worksheet">
    <worksheetSource ref="A1:BS32" sheet="PCDS 6.0 harvest"/>
  </cacheSource>
  <cacheFields count="71">
    <cacheField name="!Range" numFmtId="0">
      <sharedItems containsSemiMixedTypes="0" containsString="0" containsNumber="1" containsInteger="1" minValue="1" maxValue="4"/>
    </cacheField>
    <cacheField name="!Row" numFmtId="0">
      <sharedItems containsSemiMixedTypes="0" containsString="0" containsNumber="1" containsInteger="1" minValue="1" maxValue="8"/>
    </cacheField>
    <cacheField name="!Block" numFmtId="0">
      <sharedItems containsSemiMixedTypes="0" containsString="0" containsNumber="1" containsInteger="1" minValue="1" maxValue="4"/>
    </cacheField>
    <cacheField name="Row serp order" numFmtId="0">
      <sharedItems containsSemiMixedTypes="0" containsString="0" containsNumber="1" containsInteger="1" minValue="1" maxValue="31"/>
    </cacheField>
    <cacheField name="Range serp order" numFmtId="0">
      <sharedItems containsSemiMixedTypes="0" containsString="0" containsNumber="1" containsInteger="1" minValue="1" maxValue="32"/>
    </cacheField>
    <cacheField name="!Sow_time" numFmtId="0">
      <sharedItems count="2">
        <s v="Mid_April"/>
        <s v="Mid_May"/>
      </sharedItems>
    </cacheField>
    <cacheField name="!Line" numFmtId="0">
      <sharedItems count="6">
        <s v="Big_Red"/>
        <s v="Illabo"/>
        <s v="UOM001_3_47"/>
        <s v="UOM001_9_1"/>
        <s v="RGT_Zanzibar"/>
        <s v="Sunmaster"/>
      </sharedItems>
    </cacheField>
    <cacheField name="Plot" numFmtId="0">
      <sharedItems containsSemiMixedTypes="0" containsString="0" containsNumber="1" containsInteger="1" minValue="101" maxValue="408"/>
    </cacheField>
    <cacheField name="Unique identifier" numFmtId="0">
      <sharedItems/>
    </cacheField>
    <cacheField name="Measurement date" numFmtId="14">
      <sharedItems containsSemiMixedTypes="0" containsNonDate="0" containsDate="1" containsString="0" minDate="2024-09-06T00:00:00" maxDate="2024-09-25T00:00:00"/>
    </cacheField>
    <cacheField name="NDVI of quadrat area" numFmtId="0">
      <sharedItems containsSemiMixedTypes="0" containsString="0" containsNumber="1" minValue="0.75" maxValue="0.86"/>
    </cacheField>
    <cacheField name="Tau [T] at ground level" numFmtId="165">
      <sharedItems containsSemiMixedTypes="0" containsString="0" containsNumber="1" minValue="0.01" maxValue="0.115"/>
    </cacheField>
    <cacheField name="Tau [T] at 25% of canopy height" numFmtId="165">
      <sharedItems containsSemiMixedTypes="0" containsString="0" containsNumber="1" minValue="2.1999999999999999E-2" maxValue="0.17899999999999999"/>
    </cacheField>
    <cacheField name="Tau [T] at 50% of canopy height" numFmtId="165">
      <sharedItems containsSemiMixedTypes="0" containsString="0" containsNumber="1" minValue="5.8999999999999997E-2" maxValue="0.27500000000000002"/>
    </cacheField>
    <cacheField name="Tau [T] at 75% of canopy height" numFmtId="165">
      <sharedItems containsSemiMixedTypes="0" containsString="0" containsNumber="1" minValue="0.13500000000000001" maxValue="0.47899999999999998"/>
    </cacheField>
    <cacheField name="PARi at ground level" numFmtId="165">
      <sharedItems containsSemiMixedTypes="0" containsString="0" containsNumber="1" minValue="0.88500000000000001" maxValue="0.99"/>
    </cacheField>
    <cacheField name="PARi at 25% of canopy height" numFmtId="165">
      <sharedItems containsSemiMixedTypes="0" containsString="0" containsNumber="1" minValue="0.82099999999999995" maxValue="0.97799999999999998"/>
    </cacheField>
    <cacheField name="PARi at 50% of canopy height" numFmtId="165">
      <sharedItems containsSemiMixedTypes="0" containsString="0" containsNumber="1" minValue="0.72499999999999998" maxValue="0.94100000000000006"/>
    </cacheField>
    <cacheField name="PARi at 75% of canopy height" numFmtId="165">
      <sharedItems containsSemiMixedTypes="0" containsString="0" containsNumber="1" minValue="0.52100000000000002" maxValue="0.86499999999999999"/>
    </cacheField>
    <cacheField name="SPAD of lowest leaves reading 1" numFmtId="0">
      <sharedItems containsSemiMixedTypes="0" containsString="0" containsNumber="1" minValue="1.4" maxValue="49.9"/>
    </cacheField>
    <cacheField name="SPAD of lowest leaves reading 2" numFmtId="0">
      <sharedItems containsSemiMixedTypes="0" containsString="0" containsNumber="1" minValue="0.8" maxValue="51.7"/>
    </cacheField>
    <cacheField name="SPAD of lowest leaves reading 3" numFmtId="0">
      <sharedItems containsSemiMixedTypes="0" containsString="0" containsNumber="1" minValue="1.8" maxValue="51.8"/>
    </cacheField>
    <cacheField name="SPAD of lowest leaves reading 4" numFmtId="0">
      <sharedItems containsSemiMixedTypes="0" containsString="0" containsNumber="1" minValue="0.9" maxValue="57.9"/>
    </cacheField>
    <cacheField name="SPAD at 25% of canopy height reading 1" numFmtId="0">
      <sharedItems containsSemiMixedTypes="0" containsString="0" containsNumber="1" minValue="21.7" maxValue="63.4"/>
    </cacheField>
    <cacheField name="SPAD at 25% of canopy height reading 2" numFmtId="0">
      <sharedItems containsSemiMixedTypes="0" containsString="0" containsNumber="1" minValue="29.2" maxValue="58.3"/>
    </cacheField>
    <cacheField name="SPAD at 25% of canopy height reading 3" numFmtId="0">
      <sharedItems containsSemiMixedTypes="0" containsString="0" containsNumber="1" minValue="27.1" maxValue="57.7"/>
    </cacheField>
    <cacheField name="SPAD at 25% of canopy height reading 4" numFmtId="0">
      <sharedItems containsSemiMixedTypes="0" containsString="0" containsNumber="1" minValue="12.2" maxValue="57.5"/>
    </cacheField>
    <cacheField name="SPAD at 50% of canopy height reading 1" numFmtId="0">
      <sharedItems containsSemiMixedTypes="0" containsString="0" containsNumber="1" minValue="42.8" maxValue="57.1"/>
    </cacheField>
    <cacheField name="SPAD at 50% of canopy height reading 2" numFmtId="0">
      <sharedItems containsSemiMixedTypes="0" containsString="0" containsNumber="1" minValue="46.8" maxValue="56.7"/>
    </cacheField>
    <cacheField name="SPAD at 50% of canopy height reading 3" numFmtId="0">
      <sharedItems containsSemiMixedTypes="0" containsString="0" containsNumber="1" minValue="45" maxValue="56.3"/>
    </cacheField>
    <cacheField name="SPAD at 50% of canopy height reading 4" numFmtId="0">
      <sharedItems containsSemiMixedTypes="0" containsString="0" containsNumber="1" minValue="37.5" maxValue="57.9"/>
    </cacheField>
    <cacheField name="SPAD at 75% of canopy height reading 1" numFmtId="0">
      <sharedItems containsSemiMixedTypes="0" containsString="0" containsNumber="1" minValue="44.6" maxValue="56.7"/>
    </cacheField>
    <cacheField name="SPAD at 75% of canopy height reading 2" numFmtId="0">
      <sharedItems containsSemiMixedTypes="0" containsString="0" containsNumber="1" minValue="46.5" maxValue="57"/>
    </cacheField>
    <cacheField name="SPAD at 75% of canopy height reading 3" numFmtId="0">
      <sharedItems containsSemiMixedTypes="0" containsString="0" containsNumber="1" minValue="45.6" maxValue="55.8"/>
    </cacheField>
    <cacheField name="SPAD at 75% of canopy height reading 4" numFmtId="0">
      <sharedItems containsSemiMixedTypes="0" containsString="0" containsNumber="1" minValue="47.6" maxValue="56.2"/>
    </cacheField>
    <cacheField name="SPAD of flag leaf reading 1" numFmtId="0">
      <sharedItems containsSemiMixedTypes="0" containsString="0" containsNumber="1" minValue="37.4" maxValue="54.9"/>
    </cacheField>
    <cacheField name="SPAD of flag leaf reading 2" numFmtId="0">
      <sharedItems containsSemiMixedTypes="0" containsString="0" containsNumber="1" minValue="41" maxValue="55.6"/>
    </cacheField>
    <cacheField name="SPAD of flag leaf reading 3" numFmtId="0">
      <sharedItems containsSemiMixedTypes="0" containsString="0" containsNumber="1" minValue="40.299999999999997" maxValue="54.1"/>
    </cacheField>
    <cacheField name="SPAD of flag leaf reading 4" numFmtId="0">
      <sharedItems containsSemiMixedTypes="0" containsString="0" containsNumber="1" minValue="40" maxValue="54"/>
    </cacheField>
    <cacheField name="Canopy height (cm)" numFmtId="0">
      <sharedItems containsSemiMixedTypes="0" containsString="0" containsNumber="1" containsInteger="1" minValue="51" maxValue="72"/>
    </cacheField>
    <cacheField name="Area of quadrat cut (m²)" numFmtId="0">
      <sharedItems containsSemiMixedTypes="0" containsString="0" containsNumber="1" minValue="0.375" maxValue="0.5"/>
    </cacheField>
    <cacheField name="Fresh weight of main sample (g)" numFmtId="0">
      <sharedItems containsSemiMixedTypes="0" containsString="0" containsNumber="1" minValue="1146.5999999999999" maxValue="2313.6999999999998"/>
    </cacheField>
    <cacheField name="Fresh shoot biomass weight (g/m2)" numFmtId="1">
      <sharedItems containsSemiMixedTypes="0" containsString="0" containsNumber="1" minValue="2293.1999999999998" maxValue="4627.3999999999996"/>
    </cacheField>
    <cacheField name="Fresh weight of sub sample (g)" numFmtId="0">
      <sharedItems containsSemiMixedTypes="0" containsString="0" containsNumber="1" minValue="256.89999999999998" maxValue="469.9"/>
    </cacheField>
    <cacheField name="Number of culms in sub-sample" numFmtId="0">
      <sharedItems containsSemiMixedTypes="0" containsString="0" containsNumber="1" containsInteger="1" minValue="50" maxValue="50"/>
    </cacheField>
    <cacheField name="Fresh weight of subsample for moisture content (g)" numFmtId="0">
      <sharedItems containsSemiMixedTypes="0" containsString="0" containsNumber="1" minValue="158.80000000000001" maxValue="280.3"/>
    </cacheField>
    <cacheField name="Dry weight of subsample for moisture content (g)" numFmtId="0">
      <sharedItems containsSemiMixedTypes="0" containsString="0" containsNumber="1" minValue="34.700000000000003" maxValue="54.43"/>
    </cacheField>
    <cacheField name="Number of culms in subsample for moisture content" numFmtId="0">
      <sharedItems containsSemiMixedTypes="0" containsString="0" containsNumber="1" containsInteger="1" minValue="30" maxValue="30"/>
    </cacheField>
    <cacheField name="Dry weight of green leaves from 20 culms (g)" numFmtId="0">
      <sharedItems containsSemiMixedTypes="0" containsString="0" containsNumber="1" minValue="7.25" maxValue="13.43"/>
    </cacheField>
    <cacheField name="Dry weight of dead leaves from 20 culms (g)" numFmtId="0">
      <sharedItems containsSemiMixedTypes="0" containsString="0" containsNumber="1" minValue="0.16" maxValue="2.93"/>
    </cacheField>
    <cacheField name="Dry weight of stems from 20 culms (g)" numFmtId="0">
      <sharedItems containsSemiMixedTypes="0" containsString="0" containsNumber="1" minValue="9.39" maxValue="20.9"/>
    </cacheField>
    <cacheField name="Dry weight of spikes from 20 culms (g)" numFmtId="0">
      <sharedItems containsSemiMixedTypes="0" containsString="0" containsNumber="1" minValue="0.59" maxValue="4.22"/>
    </cacheField>
    <cacheField name="Dry weight of 20 culms (g)" numFmtId="0">
      <sharedItems containsSemiMixedTypes="0" containsString="0" containsNumber="1" minValue="20.7" maxValue="36.4"/>
    </cacheField>
    <cacheField name="Dry weight of a single culm (g)" numFmtId="164">
      <sharedItems containsSemiMixedTypes="0" containsString="0" containsNumber="1" minValue="1.1566666666666667" maxValue="3.0581039755351682"/>
    </cacheField>
    <cacheField name="Fresh weight of a single culm (g)" numFmtId="164">
      <sharedItems containsSemiMixedTypes="0" containsString="0" containsNumber="1" minValue="3.9918450560652392" maxValue="9.3433333333333337"/>
    </cacheField>
    <cacheField name="Dry matter proportion of main sample (g/g)" numFmtId="2">
      <sharedItems containsSemiMixedTypes="0" containsString="0" containsNumber="1" minValue="0.1870139136639315" maxValue="0.24988986784140971"/>
    </cacheField>
    <cacheField name="Estimated dry weight of main sample (g)" numFmtId="1">
      <sharedItems containsSemiMixedTypes="0" containsString="0" containsNumber="1" minValue="253.64264972776772" maxValue="510.45170502583375"/>
    </cacheField>
    <cacheField name="Estimated dry matter at PCDS 6.0 (g/m²)" numFmtId="1">
      <sharedItems containsSemiMixedTypes="0" containsString="0" containsNumber="1" minValue="509.05831763967359" maxValue="1020.9034100516675"/>
    </cacheField>
    <cacheField name="Green leaf fraction (g/g)" numFmtId="2">
      <sharedItems containsSemiMixedTypes="0" containsString="0" containsNumber="1" minValue="0.26325344952795932" maxValue="0.47874396135265701"/>
    </cacheField>
    <cacheField name="Dead leaf fraction (g/g)" numFmtId="2">
      <sharedItems containsSemiMixedTypes="0" containsString="0" containsNumber="1" minValue="6.5708418891170439E-3" maxValue="9.1935989959209305E-2"/>
    </cacheField>
    <cacheField name="Stem fraction (g/g)" numFmtId="2">
      <sharedItems containsSemiMixedTypes="0" containsString="0" containsNumber="1" minValue="0.45362318840579713" maxValue="0.60404624277456642"/>
    </cacheField>
    <cacheField name="Spike fraction (g/g)" numFmtId="2">
      <sharedItems containsSemiMixedTypes="0" containsString="0" containsNumber="1" minValue="2.0730850316233309E-2" maxValue="0.11846367422489591"/>
    </cacheField>
    <cacheField name="Grean leaf dry matter (g/m²)" numFmtId="1">
      <sharedItems containsSemiMixedTypes="0" containsString="0" containsNumber="1" minValue="192.0897957631592" maxValue="304.82357156328914"/>
    </cacheField>
    <cacheField name="Dead leaf dry matter (g/m²)" numFmtId="1">
      <sharedItems containsSemiMixedTypes="0" containsString="0" containsNumber="1" minValue="3.7190930270770841" maxValue="92.744866529640404"/>
    </cacheField>
    <cacheField name="Stem dry matter (g/m²)" numFmtId="1">
      <sharedItems containsSemiMixedTypes="0" containsString="0" containsNumber="1" minValue="236.85907827071188" maxValue="594.77143605141566"/>
    </cacheField>
    <cacheField name="Spike dry matter (g/m²)" numFmtId="1">
      <sharedItems containsSemiMixedTypes="0" containsString="0" containsNumber="1" minValue="13.80895273062742" maxValue="99.733015191548347"/>
    </cacheField>
    <cacheField name="Mean SPAD of lowest leaves" numFmtId="164">
      <sharedItems containsString="0" containsBlank="1" containsNumber="1" minValue="14.125" maxValue="48.925000000000004"/>
    </cacheField>
    <cacheField name="Mean SPAD at 25% of canopy height" numFmtId="164">
      <sharedItems containsString="0" containsBlank="1" containsNumber="1" minValue="26.849999999999998" maxValue="56.225000000000001"/>
    </cacheField>
    <cacheField name="Mean SPAD at 50% of canopy height " numFmtId="164">
      <sharedItems containsString="0" containsBlank="1" containsNumber="1" minValue="46.550000000000004" maxValue="55.525000000000006"/>
    </cacheField>
    <cacheField name="Mean SPAD at 75% of canopy height" numFmtId="164">
      <sharedItems containsString="0" containsBlank="1" containsNumber="1" minValue="46.424999999999997" maxValue="54.4"/>
    </cacheField>
    <cacheField name="Mean SPAD of flag leaf" numFmtId="164">
      <sharedItems containsString="0" containsBlank="1" containsNumber="1" minValue="40.900000000000006" maxValue="54.37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5625.509051504632" createdVersion="8" refreshedVersion="8" minRefreshableVersion="3" recordCount="417" xr:uid="{55FB36CF-B05D-4738-8C9D-AA7A3933E361}">
  <cacheSource type="worksheet">
    <worksheetSource ref="A1:M1048576" sheet="NDVI &amp; height"/>
  </cacheSource>
  <cacheFields count="15">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8" count="9">
        <n v="1"/>
        <n v="2"/>
        <n v="3"/>
        <n v="4"/>
        <n v="5"/>
        <n v="6"/>
        <n v="7"/>
        <n v="8"/>
        <m/>
      </sharedItems>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Illabo"/>
        <s v="UOM001_3_47"/>
        <s v="UOM001_9_1"/>
        <s v="RGT_Zanzibar"/>
        <s v="Sunmaster"/>
        <m/>
      </sharedItems>
    </cacheField>
    <cacheField name="Plot" numFmtId="0">
      <sharedItems containsString="0" containsBlank="1" containsNumber="1" containsInteger="1" minValue="101" maxValue="408"/>
    </cacheField>
    <cacheField name="Measurement number" numFmtId="0">
      <sharedItems containsString="0" containsBlank="1" containsNumber="1" containsInteger="1" minValue="1" maxValue="13"/>
    </cacheField>
    <cacheField name="Measurement date" numFmtId="0">
      <sharedItems containsNonDate="0" containsDate="1" containsString="0" containsBlank="1" minDate="2024-05-31T00:00:00" maxDate="2024-11-14T00:00:00" count="14">
        <d v="2024-05-31T00:00:00"/>
        <d v="2024-06-17T00:00:00"/>
        <d v="2024-07-01T00:00:00"/>
        <d v="2024-07-14T00:00:00"/>
        <d v="2024-07-29T00:00:00"/>
        <d v="2024-08-09T00:00:00"/>
        <d v="2024-08-22T00:00:00"/>
        <d v="2024-09-13T00:00:00"/>
        <d v="2024-09-24T00:00:00"/>
        <d v="2024-10-06T00:00:00"/>
        <d v="2024-10-17T00:00:00"/>
        <d v="2024-10-29T00:00:00"/>
        <d v="2024-11-13T00:00:00"/>
        <m/>
      </sharedItems>
      <fieldGroup par="14"/>
    </cacheField>
    <cacheField name="Canopy height (cm)" numFmtId="0">
      <sharedItems containsNonDate="0" containsString="0" containsBlank="1"/>
    </cacheField>
    <cacheField name="Plot NDVI" numFmtId="0">
      <sharedItems containsString="0" containsBlank="1" containsNumber="1" minValue="7.0000000000000007E-2" maxValue="0.86"/>
    </cacheField>
    <cacheField name="Plot CV" numFmtId="0">
      <sharedItems containsString="0" containsBlank="1" containsNumber="1" minValue="0" maxValue="12.63"/>
    </cacheField>
    <cacheField name="Days (Measurement date)" numFmtId="0" databaseField="0">
      <fieldGroup base="9">
        <rangePr groupBy="days" startDate="2024-05-31T00:00:00" endDate="2024-11-14T00:00:00"/>
        <groupItems count="368">
          <s v="&lt;31/0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4/11/2024"/>
        </groupItems>
      </fieldGroup>
    </cacheField>
    <cacheField name="Months (Measurement date)" numFmtId="0" databaseField="0">
      <fieldGroup base="9">
        <rangePr groupBy="months" startDate="2024-05-31T00:00:00" endDate="2024-11-14T00:00:00"/>
        <groupItems count="14">
          <s v="&lt;31/05/2024"/>
          <s v="Jan"/>
          <s v="Feb"/>
          <s v="Mar"/>
          <s v="Apr"/>
          <s v="May"/>
          <s v="Jun"/>
          <s v="Jul"/>
          <s v="Aug"/>
          <s v="Sep"/>
          <s v="Oct"/>
          <s v="Nov"/>
          <s v="Dec"/>
          <s v="&gt;14/11/2024"/>
        </groupItems>
      </fieldGroup>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642.729113773152" createdVersion="8" refreshedVersion="8" minRefreshableVersion="3" recordCount="41" xr:uid="{4E3319D7-B793-4DD8-A79C-4B73472F0C94}">
  <cacheSource type="worksheet">
    <worksheetSource ref="A1:M1048576" sheet="Machine harvest"/>
  </cacheSource>
  <cacheFields count="13">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Illabo"/>
        <s v="UOM001_3_47"/>
        <s v="UOM001_9_1"/>
        <s v="Sunmaster"/>
        <s v="RGT_Zanzibar"/>
        <m/>
      </sharedItems>
    </cacheField>
    <cacheField name="Plot" numFmtId="0">
      <sharedItems containsString="0" containsBlank="1" containsNumber="1" containsInteger="1" minValue="101" maxValue="408"/>
    </cacheField>
    <cacheField name="Harvest date" numFmtId="0">
      <sharedItems containsNonDate="0" containsDate="1" containsString="0" containsBlank="1" minDate="2024-12-13T00:00:00" maxDate="2024-12-14T00:00:00"/>
    </cacheField>
    <cacheField name="Length of machine harvestable area (m)" numFmtId="0">
      <sharedItems containsString="0" containsBlank="1" containsNumber="1" minValue="1.95" maxValue="3.96"/>
    </cacheField>
    <cacheField name="Harvested areas (m²)" numFmtId="0">
      <sharedItems containsString="0" containsBlank="1" containsNumber="1" minValue="1.95" maxValue="3.96"/>
    </cacheField>
    <cacheField name="Weight of harvested grain (kg)" numFmtId="0">
      <sharedItems containsString="0" containsBlank="1" containsNumber="1" minValue="0.83" maxValue="2.71"/>
    </cacheField>
    <cacheField name="Machine harvest yield (t/ha)" numFmtId="2">
      <sharedItems containsString="0" containsBlank="1" containsNumber="1" minValue="3.4293948126801146" maxValue="7.4043715846994536"/>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5835.772480324071" createdVersion="8" refreshedVersion="8" minRefreshableVersion="3" recordCount="48" xr:uid="{16C6B42C-066A-4D4E-AFB3-383E4AF1DE54}">
  <cacheSource type="worksheet">
    <worksheetSource ref="A1:AQ1048576" sheet="PCDS 10.0 harvest"/>
  </cacheSource>
  <cacheFields count="43">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Sunmaster"/>
        <s v="Illabo"/>
        <s v="UOM001_3_47"/>
        <s v="UOM001_9_1"/>
        <s v="RGT_Zanzibar"/>
        <m/>
      </sharedItems>
    </cacheField>
    <cacheField name="Plot" numFmtId="0">
      <sharedItems containsString="0" containsBlank="1" containsNumber="1" containsInteger="1" minValue="101" maxValue="408"/>
    </cacheField>
    <cacheField name="Plot No" numFmtId="0">
      <sharedItems containsString="0" containsBlank="1" containsNumber="1" containsInteger="1" minValue="1" maxValue="32"/>
    </cacheField>
    <cacheField name="Harvest date" numFmtId="49">
      <sharedItems containsBlank="1"/>
    </cacheField>
    <cacheField name="Area of quadrat cut (m²)" numFmtId="0">
      <sharedItems containsString="0" containsBlank="1" containsNumber="1" minValue="0.5" maxValue="0.5"/>
    </cacheField>
    <cacheField name="Fresh weight of quadrat cut (g)" numFmtId="0">
      <sharedItems containsString="0" containsBlank="1" containsNumber="1" containsInteger="1" minValue="543" maxValue="1026"/>
    </cacheField>
    <cacheField name="Dry weight of quadrat cut (g)" numFmtId="0">
      <sharedItems containsString="0" containsBlank="1" containsNumber="1" containsInteger="1" minValue="329" maxValue="780"/>
    </cacheField>
    <cacheField name="Grain weight of quadrat cut (g)" numFmtId="0">
      <sharedItems containsString="0" containsBlank="1" containsNumber="1" containsInteger="1" minValue="153" maxValue="385"/>
    </cacheField>
    <cacheField name="Harvest index" numFmtId="0">
      <sharedItems containsString="0" containsBlank="1" containsNumber="1" minValue="0.34215500945179583" maxValue="0.64133738601823709"/>
    </cacheField>
    <cacheField name="Dry weight of outside rows (g)" numFmtId="0">
      <sharedItems containsString="0" containsBlank="1" containsNumber="1" containsInteger="1" minValue="327" maxValue="710"/>
    </cacheField>
    <cacheField name="Grain weight of outside rows (g)" numFmtId="0">
      <sharedItems containsString="0" containsBlank="1" containsNumber="1" containsInteger="1" minValue="162" maxValue="366"/>
    </cacheField>
    <cacheField name="Number of culms in sub-sample" numFmtId="0">
      <sharedItems containsString="0" containsBlank="1" containsNumber="1" containsInteger="1" minValue="30" maxValue="30"/>
    </cacheField>
    <cacheField name="Dry weight of dead leaves from sub-sample (g)" numFmtId="0">
      <sharedItems containsString="0" containsBlank="1" containsNumber="1" minValue="3.49" maxValue="11.68"/>
    </cacheField>
    <cacheField name="Dry weight of stems from sub-sample (g)" numFmtId="0">
      <sharedItems containsString="0" containsBlank="1" containsNumber="1" minValue="20.13" maxValue="44.51"/>
    </cacheField>
    <cacheField name="Dry weight of spikes from sub-sample (g)" numFmtId="0">
      <sharedItems containsString="0" containsBlank="1" containsNumber="1" minValue="47.41" maxValue="80.97"/>
    </cacheField>
    <cacheField name="Dry weight of grain from sub-sample (g)" numFmtId="0">
      <sharedItems containsString="0" containsBlank="1" containsNumber="1" minValue="27.1" maxValue="53.98"/>
    </cacheField>
    <cacheField name="Dry weight of chaff from sub-sample (g)" numFmtId="0">
      <sharedItems containsString="0" containsBlank="1" containsNumber="1" minValue="9.6" maxValue="19.18"/>
    </cacheField>
    <cacheField name="Grain number" numFmtId="0">
      <sharedItems containsString="0" containsBlank="1" containsNumber="1" containsInteger="1" minValue="200" maxValue="205"/>
    </cacheField>
    <cacheField name="Dry weight of 200 grains (g)" numFmtId="0">
      <sharedItems containsString="0" containsBlank="1" containsNumber="1" minValue="7.23" maxValue="9.0299999999999994"/>
    </cacheField>
    <cacheField name="Dry weight of sub-sample (g)" numFmtId="0">
      <sharedItems containsString="0" containsBlank="1" containsNumber="1" minValue="81.459999999999994" maxValue="126.45"/>
    </cacheField>
    <cacheField name="Dry weight of a single culm (g)" numFmtId="164">
      <sharedItems containsString="0" containsBlank="1" containsNumber="1" minValue="2.7153333333333332" maxValue="4.2149999999999999"/>
    </cacheField>
    <cacheField name="Estimated dry matter at PCDS 10.0 (g/m²)" numFmtId="0">
      <sharedItems containsString="0" containsBlank="1" containsNumber="1" containsInteger="1" minValue="658" maxValue="1560"/>
    </cacheField>
    <cacheField name="Dead leaf fraction (g/g)" numFmtId="2">
      <sharedItems containsString="0" containsBlank="1" containsNumber="1" minValue="3.3612636039680246E-2" maxValue="0.10705684007707129"/>
    </cacheField>
    <cacheField name="Stem fraction (g/g)" numFmtId="2">
      <sharedItems containsString="0" containsBlank="1" containsNumber="1" minValue="0.21347780629217758" maxValue="0.36250356701227054"/>
    </cacheField>
    <cacheField name="Spike fraction (g/g)" numFmtId="2">
      <sharedItems containsString="0" containsBlank="1" containsNumber="1" minValue="0.55283934176733573" maxValue="0.71466590628267279"/>
    </cacheField>
    <cacheField name="Grain fraction (g/g)" numFmtId="2">
      <sharedItems containsString="0" containsBlank="1" containsNumber="1" minValue="0.31988966042043188" maxValue="0.4692202462380301"/>
    </cacheField>
    <cacheField name="Chaff fraction (g/g)" numFmtId="2">
      <sharedItems containsString="0" containsBlank="1" containsNumber="1" minValue="0.11784925116621656" maxValue="0.17111206711120672"/>
    </cacheField>
    <cacheField name="Dead leaf dry matter (g/m²)" numFmtId="0">
      <sharedItems containsString="0" containsBlank="1" containsNumber="1" minValue="36.570548011172107" maxValue="145.59730250481695"/>
    </cacheField>
    <cacheField name="Stem dry matter (g/m²)" numFmtId="0">
      <sharedItems containsString="0" containsBlank="1" containsNumber="1" minValue="142.45579694557966" maxValue="537.85116646896006"/>
    </cacheField>
    <cacheField name="Spike dry matter (g/m²)" numFmtId="0">
      <sharedItems containsString="0" containsBlank="1" containsNumber="1" minValue="464.38504708456202" maxValue="1073.7771397810873"/>
    </cacheField>
    <cacheField name="Grain dry matter (g/m²)" numFmtId="0">
      <sharedItems containsString="0" containsBlank="1" containsNumber="1" minValue="268.70731475316279" maxValue="706.10084335187514"/>
    </cacheField>
    <cacheField name="Chaff dry matter (g/m²)" numFmtId="0">
      <sharedItems containsString="0" containsBlank="1" containsNumber="1" minValue="112.59174015917402" maxValue="238.35277229499374"/>
    </cacheField>
    <cacheField name="Whole sample grain yield (g/m²)" numFmtId="164">
      <sharedItems containsString="0" containsBlank="1" containsNumber="1" minValue="373.26" maxValue="870.9"/>
    </cacheField>
    <cacheField name="Harvest index2" numFmtId="2">
      <sharedItems containsString="0" containsBlank="1" containsNumber="1" minValue="0.41094517958412097" maxValue="0.76841945288753799"/>
    </cacheField>
    <cacheField name="Yield response to competition" numFmtId="0">
      <sharedItems containsString="0" containsBlank="1" containsNumber="1" minValue="25.217391304347824" maxValue="202.76243093922653"/>
    </cacheField>
    <cacheField name="Individual grain weight (mg)" numFmtId="164">
      <sharedItems containsString="0" containsBlank="1" containsNumber="1" minValue="36.019900497512438" maxValue="45.15"/>
    </cacheField>
    <cacheField name="Grain number (grains/m²)" numFmtId="1">
      <sharedItems containsString="0" containsBlank="1" containsNumber="1" minValue="8267.1096345514961" maxValue="21371.77914110429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x v="0"/>
    <n v="1"/>
    <n v="1"/>
    <n v="1"/>
    <n v="1"/>
    <s v="Mid_April"/>
    <x v="0"/>
    <n v="101"/>
    <n v="1"/>
    <x v="0"/>
    <n v="12"/>
  </r>
  <r>
    <x v="1"/>
    <n v="1"/>
    <n v="1"/>
    <n v="2"/>
    <n v="16"/>
    <s v="Mid_April"/>
    <x v="1"/>
    <n v="201"/>
    <n v="1"/>
    <x v="0"/>
    <n v="9"/>
  </r>
  <r>
    <x v="2"/>
    <n v="1"/>
    <n v="1"/>
    <n v="3"/>
    <n v="17"/>
    <s v="Mid_April"/>
    <x v="2"/>
    <n v="301"/>
    <n v="1"/>
    <x v="0"/>
    <n v="14"/>
  </r>
  <r>
    <x v="3"/>
    <n v="1"/>
    <n v="1"/>
    <n v="4"/>
    <n v="32"/>
    <s v="Mid_April"/>
    <x v="3"/>
    <n v="401"/>
    <n v="1"/>
    <x v="0"/>
    <n v="7"/>
  </r>
  <r>
    <x v="3"/>
    <n v="2"/>
    <n v="1"/>
    <n v="5"/>
    <n v="31"/>
    <s v="Mid_May"/>
    <x v="4"/>
    <n v="402"/>
    <n v="1"/>
    <x v="1"/>
    <n v="1"/>
  </r>
  <r>
    <x v="2"/>
    <n v="2"/>
    <n v="1"/>
    <n v="6"/>
    <n v="18"/>
    <s v="Mid_May"/>
    <x v="3"/>
    <n v="302"/>
    <n v="1"/>
    <x v="1"/>
    <n v="0"/>
  </r>
  <r>
    <x v="1"/>
    <n v="2"/>
    <n v="1"/>
    <n v="7"/>
    <n v="15"/>
    <s v="Mid_May"/>
    <x v="2"/>
    <n v="202"/>
    <n v="1"/>
    <x v="1"/>
    <n v="1"/>
  </r>
  <r>
    <x v="0"/>
    <n v="2"/>
    <n v="1"/>
    <n v="8"/>
    <n v="2"/>
    <s v="Mid_May"/>
    <x v="5"/>
    <n v="102"/>
    <n v="1"/>
    <x v="1"/>
    <n v="0"/>
  </r>
  <r>
    <x v="0"/>
    <n v="3"/>
    <n v="2"/>
    <n v="9"/>
    <n v="3"/>
    <s v="Mid_April"/>
    <x v="1"/>
    <n v="103"/>
    <n v="1"/>
    <x v="0"/>
    <n v="10"/>
  </r>
  <r>
    <x v="1"/>
    <n v="3"/>
    <n v="2"/>
    <n v="10"/>
    <n v="14"/>
    <s v="Mid_April"/>
    <x v="3"/>
    <n v="203"/>
    <n v="1"/>
    <x v="0"/>
    <n v="1"/>
  </r>
  <r>
    <x v="2"/>
    <n v="3"/>
    <n v="2"/>
    <n v="11"/>
    <n v="19"/>
    <s v="Mid_April"/>
    <x v="0"/>
    <n v="303"/>
    <n v="1"/>
    <x v="0"/>
    <n v="11"/>
  </r>
  <r>
    <x v="3"/>
    <n v="3"/>
    <n v="2"/>
    <n v="12"/>
    <n v="30"/>
    <s v="Mid_April"/>
    <x v="2"/>
    <n v="403"/>
    <n v="1"/>
    <x v="0"/>
    <n v="11"/>
  </r>
  <r>
    <x v="3"/>
    <n v="4"/>
    <n v="2"/>
    <n v="13"/>
    <n v="29"/>
    <s v="Mid_May"/>
    <x v="3"/>
    <n v="404"/>
    <n v="1"/>
    <x v="1"/>
    <n v="0"/>
  </r>
  <r>
    <x v="2"/>
    <n v="4"/>
    <n v="2"/>
    <n v="14"/>
    <n v="20"/>
    <s v="Mid_May"/>
    <x v="5"/>
    <n v="304"/>
    <n v="1"/>
    <x v="1"/>
    <n v="1"/>
  </r>
  <r>
    <x v="1"/>
    <n v="4"/>
    <n v="2"/>
    <n v="15"/>
    <n v="13"/>
    <s v="Mid_May"/>
    <x v="4"/>
    <n v="204"/>
    <n v="1"/>
    <x v="1"/>
    <n v="11"/>
  </r>
  <r>
    <x v="0"/>
    <n v="4"/>
    <n v="2"/>
    <n v="16"/>
    <n v="4"/>
    <s v="Mid_May"/>
    <x v="2"/>
    <n v="104"/>
    <n v="1"/>
    <x v="1"/>
    <n v="4"/>
  </r>
  <r>
    <x v="0"/>
    <n v="5"/>
    <n v="3"/>
    <n v="17"/>
    <n v="5"/>
    <s v="Mid_April"/>
    <x v="2"/>
    <n v="105"/>
    <n v="1"/>
    <x v="0"/>
    <n v="4"/>
  </r>
  <r>
    <x v="1"/>
    <n v="5"/>
    <n v="3"/>
    <n v="18"/>
    <n v="12"/>
    <s v="Mid_April"/>
    <x v="0"/>
    <n v="205"/>
    <n v="1"/>
    <x v="0"/>
    <n v="4"/>
  </r>
  <r>
    <x v="2"/>
    <n v="5"/>
    <n v="3"/>
    <n v="19"/>
    <n v="21"/>
    <s v="Mid_April"/>
    <x v="3"/>
    <n v="305"/>
    <n v="1"/>
    <x v="0"/>
    <n v="0"/>
  </r>
  <r>
    <x v="3"/>
    <n v="5"/>
    <n v="3"/>
    <n v="20"/>
    <n v="28"/>
    <s v="Mid_April"/>
    <x v="1"/>
    <n v="405"/>
    <n v="1"/>
    <x v="0"/>
    <n v="10"/>
  </r>
  <r>
    <x v="3"/>
    <n v="6"/>
    <n v="3"/>
    <n v="21"/>
    <n v="27"/>
    <s v="Mid_May"/>
    <x v="2"/>
    <n v="406"/>
    <n v="1"/>
    <x v="1"/>
    <n v="1"/>
  </r>
  <r>
    <x v="2"/>
    <n v="6"/>
    <n v="3"/>
    <n v="22"/>
    <n v="22"/>
    <s v="Mid_May"/>
    <x v="4"/>
    <n v="306"/>
    <n v="1"/>
    <x v="1"/>
    <n v="0"/>
  </r>
  <r>
    <x v="1"/>
    <n v="6"/>
    <n v="3"/>
    <n v="23"/>
    <n v="11"/>
    <s v="Mid_May"/>
    <x v="5"/>
    <n v="206"/>
    <n v="1"/>
    <x v="1"/>
    <n v="3"/>
  </r>
  <r>
    <x v="0"/>
    <n v="6"/>
    <n v="3"/>
    <n v="24"/>
    <n v="6"/>
    <s v="Mid_May"/>
    <x v="3"/>
    <n v="106"/>
    <n v="1"/>
    <x v="1"/>
    <n v="6"/>
  </r>
  <r>
    <x v="0"/>
    <n v="7"/>
    <n v="4"/>
    <n v="25"/>
    <n v="7"/>
    <s v="Mid_April"/>
    <x v="3"/>
    <n v="107"/>
    <n v="1"/>
    <x v="0"/>
    <n v="11"/>
  </r>
  <r>
    <x v="1"/>
    <n v="7"/>
    <n v="4"/>
    <n v="26"/>
    <n v="10"/>
    <s v="Mid_April"/>
    <x v="2"/>
    <n v="207"/>
    <n v="1"/>
    <x v="0"/>
    <n v="1"/>
  </r>
  <r>
    <x v="2"/>
    <n v="7"/>
    <n v="4"/>
    <n v="27"/>
    <n v="23"/>
    <s v="Mid_April"/>
    <x v="1"/>
    <n v="307"/>
    <n v="1"/>
    <x v="0"/>
    <n v="6"/>
  </r>
  <r>
    <x v="3"/>
    <n v="7"/>
    <n v="4"/>
    <n v="28"/>
    <n v="26"/>
    <s v="Mid_April"/>
    <x v="0"/>
    <n v="407"/>
    <n v="1"/>
    <x v="0"/>
    <n v="10"/>
  </r>
  <r>
    <x v="3"/>
    <n v="8"/>
    <n v="4"/>
    <n v="29"/>
    <n v="25"/>
    <s v="Mid_May"/>
    <x v="5"/>
    <n v="408"/>
    <n v="1"/>
    <x v="1"/>
    <n v="2"/>
  </r>
  <r>
    <x v="2"/>
    <n v="8"/>
    <n v="4"/>
    <n v="30"/>
    <n v="24"/>
    <s v="Mid_May"/>
    <x v="2"/>
    <n v="308"/>
    <n v="1"/>
    <x v="1"/>
    <n v="11"/>
  </r>
  <r>
    <x v="1"/>
    <n v="8"/>
    <n v="4"/>
    <n v="31"/>
    <n v="9"/>
    <s v="Mid_May"/>
    <x v="3"/>
    <n v="208"/>
    <n v="1"/>
    <x v="1"/>
    <n v="5"/>
  </r>
  <r>
    <x v="0"/>
    <n v="8"/>
    <n v="4"/>
    <n v="32"/>
    <n v="8"/>
    <s v="Mid_May"/>
    <x v="4"/>
    <n v="108"/>
    <n v="1"/>
    <x v="1"/>
    <n v="19"/>
  </r>
  <r>
    <x v="0"/>
    <n v="1"/>
    <n v="1"/>
    <n v="1"/>
    <n v="1"/>
    <s v="Mid_April"/>
    <x v="0"/>
    <n v="101"/>
    <n v="2"/>
    <x v="2"/>
    <n v="37"/>
  </r>
  <r>
    <x v="1"/>
    <n v="1"/>
    <n v="1"/>
    <n v="2"/>
    <n v="16"/>
    <s v="Mid_April"/>
    <x v="1"/>
    <n v="201"/>
    <n v="2"/>
    <x v="2"/>
    <n v="30"/>
  </r>
  <r>
    <x v="2"/>
    <n v="1"/>
    <n v="1"/>
    <n v="3"/>
    <n v="17"/>
    <s v="Mid_April"/>
    <x v="2"/>
    <n v="301"/>
    <n v="2"/>
    <x v="2"/>
    <n v="41"/>
  </r>
  <r>
    <x v="3"/>
    <n v="1"/>
    <n v="1"/>
    <n v="4"/>
    <n v="32"/>
    <s v="Mid_April"/>
    <x v="3"/>
    <n v="401"/>
    <n v="2"/>
    <x v="2"/>
    <n v="17"/>
  </r>
  <r>
    <x v="3"/>
    <n v="2"/>
    <n v="1"/>
    <n v="5"/>
    <n v="31"/>
    <s v="Mid_May"/>
    <x v="4"/>
    <n v="402"/>
    <n v="2"/>
    <x v="3"/>
    <n v="35"/>
  </r>
  <r>
    <x v="2"/>
    <n v="2"/>
    <n v="1"/>
    <n v="6"/>
    <n v="18"/>
    <s v="Mid_May"/>
    <x v="3"/>
    <n v="302"/>
    <n v="2"/>
    <x v="3"/>
    <n v="26"/>
  </r>
  <r>
    <x v="1"/>
    <n v="2"/>
    <n v="1"/>
    <n v="7"/>
    <n v="15"/>
    <s v="Mid_May"/>
    <x v="2"/>
    <n v="202"/>
    <n v="2"/>
    <x v="3"/>
    <n v="30"/>
  </r>
  <r>
    <x v="0"/>
    <n v="2"/>
    <n v="1"/>
    <n v="8"/>
    <n v="2"/>
    <s v="Mid_May"/>
    <x v="5"/>
    <n v="102"/>
    <n v="2"/>
    <x v="3"/>
    <n v="32"/>
  </r>
  <r>
    <x v="0"/>
    <n v="3"/>
    <n v="2"/>
    <n v="9"/>
    <n v="3"/>
    <s v="Mid_April"/>
    <x v="1"/>
    <n v="103"/>
    <n v="2"/>
    <x v="2"/>
    <n v="25"/>
  </r>
  <r>
    <x v="1"/>
    <n v="3"/>
    <n v="2"/>
    <n v="10"/>
    <n v="14"/>
    <s v="Mid_April"/>
    <x v="3"/>
    <n v="203"/>
    <n v="2"/>
    <x v="2"/>
    <n v="11"/>
  </r>
  <r>
    <x v="2"/>
    <n v="3"/>
    <n v="2"/>
    <n v="11"/>
    <n v="19"/>
    <s v="Mid_April"/>
    <x v="0"/>
    <n v="303"/>
    <n v="2"/>
    <x v="2"/>
    <n v="29"/>
  </r>
  <r>
    <x v="3"/>
    <n v="3"/>
    <n v="2"/>
    <n v="12"/>
    <n v="30"/>
    <s v="Mid_April"/>
    <x v="2"/>
    <n v="403"/>
    <n v="2"/>
    <x v="2"/>
    <n v="25"/>
  </r>
  <r>
    <x v="3"/>
    <n v="4"/>
    <n v="2"/>
    <n v="13"/>
    <n v="29"/>
    <s v="Mid_May"/>
    <x v="3"/>
    <n v="404"/>
    <n v="2"/>
    <x v="3"/>
    <n v="29"/>
  </r>
  <r>
    <x v="2"/>
    <n v="4"/>
    <n v="2"/>
    <n v="14"/>
    <n v="20"/>
    <s v="Mid_May"/>
    <x v="5"/>
    <n v="304"/>
    <n v="2"/>
    <x v="3"/>
    <n v="39"/>
  </r>
  <r>
    <x v="1"/>
    <n v="4"/>
    <n v="2"/>
    <n v="15"/>
    <n v="13"/>
    <s v="Mid_May"/>
    <x v="4"/>
    <n v="204"/>
    <n v="2"/>
    <x v="3"/>
    <n v="31"/>
  </r>
  <r>
    <x v="0"/>
    <n v="4"/>
    <n v="2"/>
    <n v="16"/>
    <n v="4"/>
    <s v="Mid_May"/>
    <x v="2"/>
    <n v="104"/>
    <n v="2"/>
    <x v="3"/>
    <n v="34"/>
  </r>
  <r>
    <x v="0"/>
    <n v="5"/>
    <n v="3"/>
    <n v="17"/>
    <n v="5"/>
    <s v="Mid_April"/>
    <x v="2"/>
    <n v="105"/>
    <n v="2"/>
    <x v="2"/>
    <n v="17"/>
  </r>
  <r>
    <x v="1"/>
    <n v="5"/>
    <n v="3"/>
    <n v="18"/>
    <n v="12"/>
    <s v="Mid_April"/>
    <x v="0"/>
    <n v="205"/>
    <n v="2"/>
    <x v="2"/>
    <n v="21"/>
  </r>
  <r>
    <x v="2"/>
    <n v="5"/>
    <n v="3"/>
    <n v="19"/>
    <n v="21"/>
    <s v="Mid_April"/>
    <x v="3"/>
    <n v="305"/>
    <n v="2"/>
    <x v="2"/>
    <n v="18"/>
  </r>
  <r>
    <x v="3"/>
    <n v="5"/>
    <n v="3"/>
    <n v="20"/>
    <n v="28"/>
    <s v="Mid_April"/>
    <x v="1"/>
    <n v="405"/>
    <n v="2"/>
    <x v="2"/>
    <n v="29"/>
  </r>
  <r>
    <x v="3"/>
    <n v="6"/>
    <n v="3"/>
    <n v="21"/>
    <n v="27"/>
    <s v="Mid_May"/>
    <x v="2"/>
    <n v="406"/>
    <n v="2"/>
    <x v="3"/>
    <n v="11"/>
  </r>
  <r>
    <x v="2"/>
    <n v="6"/>
    <n v="3"/>
    <n v="22"/>
    <n v="22"/>
    <s v="Mid_May"/>
    <x v="4"/>
    <n v="306"/>
    <n v="2"/>
    <x v="3"/>
    <n v="27"/>
  </r>
  <r>
    <x v="1"/>
    <n v="6"/>
    <n v="3"/>
    <n v="23"/>
    <n v="11"/>
    <s v="Mid_May"/>
    <x v="5"/>
    <n v="206"/>
    <n v="2"/>
    <x v="3"/>
    <n v="42"/>
  </r>
  <r>
    <x v="0"/>
    <n v="6"/>
    <n v="3"/>
    <n v="24"/>
    <n v="6"/>
    <s v="Mid_May"/>
    <x v="3"/>
    <n v="106"/>
    <n v="2"/>
    <x v="3"/>
    <n v="37"/>
  </r>
  <r>
    <x v="0"/>
    <n v="7"/>
    <n v="4"/>
    <n v="25"/>
    <n v="7"/>
    <s v="Mid_April"/>
    <x v="3"/>
    <n v="107"/>
    <n v="2"/>
    <x v="2"/>
    <n v="17"/>
  </r>
  <r>
    <x v="1"/>
    <n v="7"/>
    <n v="4"/>
    <n v="26"/>
    <n v="10"/>
    <s v="Mid_April"/>
    <x v="2"/>
    <n v="207"/>
    <n v="2"/>
    <x v="2"/>
    <n v="4"/>
  </r>
  <r>
    <x v="2"/>
    <n v="7"/>
    <n v="4"/>
    <n v="27"/>
    <n v="23"/>
    <s v="Mid_April"/>
    <x v="1"/>
    <n v="307"/>
    <n v="2"/>
    <x v="2"/>
    <n v="12"/>
  </r>
  <r>
    <x v="3"/>
    <n v="7"/>
    <n v="4"/>
    <n v="28"/>
    <n v="26"/>
    <s v="Mid_April"/>
    <x v="0"/>
    <n v="407"/>
    <n v="2"/>
    <x v="2"/>
    <n v="31"/>
  </r>
  <r>
    <x v="3"/>
    <n v="8"/>
    <n v="4"/>
    <n v="29"/>
    <n v="25"/>
    <s v="Mid_May"/>
    <x v="5"/>
    <n v="408"/>
    <n v="2"/>
    <x v="3"/>
    <n v="39"/>
  </r>
  <r>
    <x v="2"/>
    <n v="8"/>
    <n v="4"/>
    <n v="30"/>
    <n v="24"/>
    <s v="Mid_May"/>
    <x v="2"/>
    <n v="308"/>
    <n v="2"/>
    <x v="3"/>
    <n v="53"/>
  </r>
  <r>
    <x v="1"/>
    <n v="8"/>
    <n v="4"/>
    <n v="31"/>
    <n v="9"/>
    <s v="Mid_May"/>
    <x v="3"/>
    <n v="208"/>
    <n v="2"/>
    <x v="3"/>
    <n v="25"/>
  </r>
  <r>
    <x v="0"/>
    <n v="8"/>
    <n v="4"/>
    <n v="32"/>
    <n v="8"/>
    <s v="Mid_May"/>
    <x v="4"/>
    <n v="108"/>
    <n v="2"/>
    <x v="3"/>
    <n v="30"/>
  </r>
  <r>
    <x v="0"/>
    <n v="1"/>
    <n v="1"/>
    <n v="1"/>
    <n v="1"/>
    <s v="Mid_April"/>
    <x v="0"/>
    <n v="101"/>
    <n v="3"/>
    <x v="4"/>
    <n v="39"/>
  </r>
  <r>
    <x v="1"/>
    <n v="1"/>
    <n v="1"/>
    <n v="2"/>
    <n v="16"/>
    <s v="Mid_April"/>
    <x v="1"/>
    <n v="201"/>
    <n v="3"/>
    <x v="4"/>
    <n v="40"/>
  </r>
  <r>
    <x v="2"/>
    <n v="1"/>
    <n v="1"/>
    <n v="3"/>
    <n v="17"/>
    <s v="Mid_April"/>
    <x v="2"/>
    <n v="301"/>
    <n v="3"/>
    <x v="4"/>
    <n v="43"/>
  </r>
  <r>
    <x v="3"/>
    <n v="1"/>
    <n v="1"/>
    <n v="4"/>
    <n v="32"/>
    <s v="Mid_April"/>
    <x v="3"/>
    <n v="401"/>
    <n v="3"/>
    <x v="4"/>
    <n v="20"/>
  </r>
  <r>
    <x v="3"/>
    <n v="2"/>
    <n v="1"/>
    <n v="5"/>
    <n v="31"/>
    <s v="Mid_May"/>
    <x v="4"/>
    <n v="402"/>
    <n v="3"/>
    <x v="5"/>
    <n v="37"/>
  </r>
  <r>
    <x v="2"/>
    <n v="2"/>
    <n v="1"/>
    <n v="6"/>
    <n v="18"/>
    <s v="Mid_May"/>
    <x v="3"/>
    <n v="302"/>
    <n v="3"/>
    <x v="5"/>
    <n v="37"/>
  </r>
  <r>
    <x v="1"/>
    <n v="2"/>
    <n v="1"/>
    <n v="7"/>
    <n v="15"/>
    <s v="Mid_May"/>
    <x v="2"/>
    <n v="202"/>
    <n v="3"/>
    <x v="5"/>
    <n v="34"/>
  </r>
  <r>
    <x v="0"/>
    <n v="2"/>
    <n v="1"/>
    <n v="8"/>
    <n v="2"/>
    <s v="Mid_May"/>
    <x v="5"/>
    <n v="102"/>
    <n v="3"/>
    <x v="5"/>
    <n v="34"/>
  </r>
  <r>
    <x v="0"/>
    <n v="3"/>
    <n v="2"/>
    <n v="9"/>
    <n v="3"/>
    <s v="Mid_April"/>
    <x v="1"/>
    <n v="103"/>
    <n v="3"/>
    <x v="4"/>
    <n v="30"/>
  </r>
  <r>
    <x v="1"/>
    <n v="3"/>
    <n v="2"/>
    <n v="10"/>
    <n v="14"/>
    <s v="Mid_April"/>
    <x v="3"/>
    <n v="203"/>
    <n v="3"/>
    <x v="4"/>
    <n v="20"/>
  </r>
  <r>
    <x v="2"/>
    <n v="3"/>
    <n v="2"/>
    <n v="11"/>
    <n v="19"/>
    <s v="Mid_April"/>
    <x v="0"/>
    <n v="303"/>
    <n v="3"/>
    <x v="4"/>
    <n v="33"/>
  </r>
  <r>
    <x v="3"/>
    <n v="3"/>
    <n v="2"/>
    <n v="12"/>
    <n v="30"/>
    <s v="Mid_April"/>
    <x v="2"/>
    <n v="403"/>
    <n v="3"/>
    <x v="4"/>
    <n v="32"/>
  </r>
  <r>
    <x v="3"/>
    <n v="4"/>
    <n v="2"/>
    <n v="13"/>
    <n v="29"/>
    <s v="Mid_May"/>
    <x v="3"/>
    <n v="404"/>
    <n v="3"/>
    <x v="5"/>
    <n v="35"/>
  </r>
  <r>
    <x v="2"/>
    <n v="4"/>
    <n v="2"/>
    <n v="14"/>
    <n v="20"/>
    <s v="Mid_May"/>
    <x v="5"/>
    <n v="304"/>
    <n v="3"/>
    <x v="5"/>
    <n v="46"/>
  </r>
  <r>
    <x v="1"/>
    <n v="4"/>
    <n v="2"/>
    <n v="15"/>
    <n v="13"/>
    <s v="Mid_May"/>
    <x v="4"/>
    <n v="204"/>
    <n v="3"/>
    <x v="5"/>
    <n v="31"/>
  </r>
  <r>
    <x v="0"/>
    <n v="4"/>
    <n v="2"/>
    <n v="16"/>
    <n v="4"/>
    <s v="Mid_May"/>
    <x v="2"/>
    <n v="104"/>
    <n v="3"/>
    <x v="5"/>
    <n v="41"/>
  </r>
  <r>
    <x v="0"/>
    <n v="5"/>
    <n v="3"/>
    <n v="17"/>
    <n v="5"/>
    <s v="Mid_April"/>
    <x v="2"/>
    <n v="105"/>
    <n v="3"/>
    <x v="4"/>
    <n v="20"/>
  </r>
  <r>
    <x v="1"/>
    <n v="5"/>
    <n v="3"/>
    <n v="18"/>
    <n v="12"/>
    <s v="Mid_April"/>
    <x v="0"/>
    <n v="205"/>
    <n v="3"/>
    <x v="4"/>
    <n v="28"/>
  </r>
  <r>
    <x v="2"/>
    <n v="5"/>
    <n v="3"/>
    <n v="19"/>
    <n v="21"/>
    <s v="Mid_April"/>
    <x v="3"/>
    <n v="305"/>
    <n v="3"/>
    <x v="4"/>
    <n v="27"/>
  </r>
  <r>
    <x v="3"/>
    <n v="5"/>
    <n v="3"/>
    <n v="20"/>
    <n v="28"/>
    <s v="Mid_April"/>
    <x v="1"/>
    <n v="405"/>
    <n v="3"/>
    <x v="4"/>
    <n v="29"/>
  </r>
  <r>
    <x v="3"/>
    <n v="6"/>
    <n v="3"/>
    <n v="21"/>
    <n v="27"/>
    <s v="Mid_May"/>
    <x v="2"/>
    <n v="406"/>
    <n v="3"/>
    <x v="5"/>
    <n v="23"/>
  </r>
  <r>
    <x v="2"/>
    <n v="6"/>
    <n v="3"/>
    <n v="22"/>
    <n v="22"/>
    <s v="Mid_May"/>
    <x v="4"/>
    <n v="306"/>
    <n v="3"/>
    <x v="5"/>
    <n v="30"/>
  </r>
  <r>
    <x v="1"/>
    <n v="6"/>
    <n v="3"/>
    <n v="23"/>
    <n v="11"/>
    <s v="Mid_May"/>
    <x v="5"/>
    <n v="206"/>
    <n v="3"/>
    <x v="5"/>
    <n v="44"/>
  </r>
  <r>
    <x v="0"/>
    <n v="6"/>
    <n v="3"/>
    <n v="24"/>
    <n v="6"/>
    <s v="Mid_May"/>
    <x v="3"/>
    <n v="106"/>
    <n v="3"/>
    <x v="5"/>
    <n v="39"/>
  </r>
  <r>
    <x v="0"/>
    <n v="7"/>
    <n v="4"/>
    <n v="25"/>
    <n v="7"/>
    <s v="Mid_April"/>
    <x v="3"/>
    <n v="107"/>
    <n v="3"/>
    <x v="4"/>
    <n v="18"/>
  </r>
  <r>
    <x v="1"/>
    <n v="7"/>
    <n v="4"/>
    <n v="26"/>
    <n v="10"/>
    <s v="Mid_April"/>
    <x v="2"/>
    <n v="207"/>
    <n v="3"/>
    <x v="4"/>
    <n v="11"/>
  </r>
  <r>
    <x v="2"/>
    <n v="7"/>
    <n v="4"/>
    <n v="27"/>
    <n v="23"/>
    <s v="Mid_April"/>
    <x v="1"/>
    <n v="307"/>
    <n v="3"/>
    <x v="4"/>
    <n v="19"/>
  </r>
  <r>
    <x v="3"/>
    <n v="7"/>
    <n v="4"/>
    <n v="28"/>
    <n v="26"/>
    <s v="Mid_April"/>
    <x v="0"/>
    <n v="407"/>
    <n v="3"/>
    <x v="4"/>
    <n v="39"/>
  </r>
  <r>
    <x v="3"/>
    <n v="8"/>
    <n v="4"/>
    <n v="29"/>
    <n v="25"/>
    <s v="Mid_May"/>
    <x v="5"/>
    <n v="408"/>
    <n v="3"/>
    <x v="5"/>
    <n v="42"/>
  </r>
  <r>
    <x v="2"/>
    <n v="8"/>
    <n v="4"/>
    <n v="30"/>
    <n v="24"/>
    <s v="Mid_May"/>
    <x v="2"/>
    <n v="308"/>
    <n v="3"/>
    <x v="5"/>
    <n v="57"/>
  </r>
  <r>
    <x v="1"/>
    <n v="8"/>
    <n v="4"/>
    <n v="31"/>
    <n v="9"/>
    <s v="Mid_May"/>
    <x v="3"/>
    <n v="208"/>
    <n v="3"/>
    <x v="5"/>
    <n v="27"/>
  </r>
  <r>
    <x v="0"/>
    <n v="8"/>
    <n v="4"/>
    <n v="32"/>
    <n v="8"/>
    <s v="Mid_May"/>
    <x v="4"/>
    <n v="108"/>
    <n v="3"/>
    <x v="5"/>
    <n v="32"/>
  </r>
  <r>
    <x v="0"/>
    <n v="1"/>
    <n v="1"/>
    <n v="1"/>
    <n v="1"/>
    <s v="Mid_April"/>
    <x v="0"/>
    <n v="101"/>
    <n v="4"/>
    <x v="6"/>
    <n v="45"/>
  </r>
  <r>
    <x v="1"/>
    <n v="1"/>
    <n v="1"/>
    <n v="2"/>
    <n v="16"/>
    <s v="Mid_April"/>
    <x v="1"/>
    <n v="201"/>
    <n v="4"/>
    <x v="6"/>
    <n v="41"/>
  </r>
  <r>
    <x v="2"/>
    <n v="1"/>
    <n v="1"/>
    <n v="3"/>
    <n v="17"/>
    <s v="Mid_April"/>
    <x v="2"/>
    <n v="301"/>
    <n v="4"/>
    <x v="6"/>
    <n v="48"/>
  </r>
  <r>
    <x v="3"/>
    <n v="1"/>
    <n v="1"/>
    <n v="4"/>
    <n v="32"/>
    <s v="Mid_April"/>
    <x v="3"/>
    <n v="401"/>
    <n v="4"/>
    <x v="6"/>
    <n v="20"/>
  </r>
  <r>
    <x v="3"/>
    <n v="2"/>
    <n v="1"/>
    <n v="5"/>
    <n v="31"/>
    <s v="Mid_May"/>
    <x v="4"/>
    <n v="402"/>
    <n v="4"/>
    <x v="7"/>
    <n v="37"/>
  </r>
  <r>
    <x v="2"/>
    <n v="2"/>
    <n v="1"/>
    <n v="6"/>
    <n v="18"/>
    <s v="Mid_May"/>
    <x v="3"/>
    <n v="302"/>
    <n v="4"/>
    <x v="7"/>
    <n v="36"/>
  </r>
  <r>
    <x v="1"/>
    <n v="2"/>
    <n v="1"/>
    <n v="7"/>
    <n v="15"/>
    <s v="Mid_May"/>
    <x v="2"/>
    <n v="202"/>
    <n v="4"/>
    <x v="7"/>
    <n v="34"/>
  </r>
  <r>
    <x v="0"/>
    <n v="2"/>
    <n v="1"/>
    <n v="8"/>
    <n v="2"/>
    <s v="Mid_May"/>
    <x v="5"/>
    <n v="102"/>
    <n v="4"/>
    <x v="7"/>
    <n v="33"/>
  </r>
  <r>
    <x v="0"/>
    <n v="3"/>
    <n v="2"/>
    <n v="9"/>
    <n v="3"/>
    <s v="Mid_April"/>
    <x v="1"/>
    <n v="103"/>
    <n v="4"/>
    <x v="6"/>
    <n v="35"/>
  </r>
  <r>
    <x v="1"/>
    <n v="3"/>
    <n v="2"/>
    <n v="10"/>
    <n v="14"/>
    <s v="Mid_April"/>
    <x v="3"/>
    <n v="203"/>
    <n v="4"/>
    <x v="6"/>
    <n v="20"/>
  </r>
  <r>
    <x v="2"/>
    <n v="3"/>
    <n v="2"/>
    <n v="11"/>
    <n v="19"/>
    <s v="Mid_April"/>
    <x v="0"/>
    <n v="303"/>
    <n v="4"/>
    <x v="6"/>
    <n v="34"/>
  </r>
  <r>
    <x v="3"/>
    <n v="3"/>
    <n v="2"/>
    <n v="12"/>
    <n v="30"/>
    <s v="Mid_April"/>
    <x v="2"/>
    <n v="403"/>
    <n v="4"/>
    <x v="6"/>
    <n v="34"/>
  </r>
  <r>
    <x v="3"/>
    <n v="4"/>
    <n v="2"/>
    <n v="13"/>
    <n v="29"/>
    <s v="Mid_May"/>
    <x v="3"/>
    <n v="404"/>
    <n v="4"/>
    <x v="7"/>
    <n v="36"/>
  </r>
  <r>
    <x v="2"/>
    <n v="4"/>
    <n v="2"/>
    <n v="14"/>
    <n v="20"/>
    <s v="Mid_May"/>
    <x v="5"/>
    <n v="304"/>
    <n v="4"/>
    <x v="7"/>
    <n v="45"/>
  </r>
  <r>
    <x v="1"/>
    <n v="4"/>
    <n v="2"/>
    <n v="15"/>
    <n v="13"/>
    <s v="Mid_May"/>
    <x v="4"/>
    <n v="204"/>
    <n v="4"/>
    <x v="7"/>
    <n v="30"/>
  </r>
  <r>
    <x v="0"/>
    <n v="4"/>
    <n v="2"/>
    <n v="16"/>
    <n v="4"/>
    <s v="Mid_May"/>
    <x v="2"/>
    <n v="104"/>
    <n v="4"/>
    <x v="7"/>
    <n v="42"/>
  </r>
  <r>
    <x v="0"/>
    <n v="5"/>
    <n v="3"/>
    <n v="17"/>
    <n v="5"/>
    <s v="Mid_April"/>
    <x v="2"/>
    <n v="105"/>
    <n v="4"/>
    <x v="6"/>
    <n v="19"/>
  </r>
  <r>
    <x v="1"/>
    <n v="5"/>
    <n v="3"/>
    <n v="18"/>
    <n v="12"/>
    <s v="Mid_April"/>
    <x v="0"/>
    <n v="205"/>
    <n v="4"/>
    <x v="6"/>
    <n v="28"/>
  </r>
  <r>
    <x v="2"/>
    <n v="5"/>
    <n v="3"/>
    <n v="19"/>
    <n v="21"/>
    <s v="Mid_April"/>
    <x v="3"/>
    <n v="305"/>
    <n v="4"/>
    <x v="6"/>
    <n v="26"/>
  </r>
  <r>
    <x v="3"/>
    <n v="5"/>
    <n v="3"/>
    <n v="20"/>
    <n v="28"/>
    <s v="Mid_April"/>
    <x v="1"/>
    <n v="405"/>
    <n v="4"/>
    <x v="6"/>
    <n v="27"/>
  </r>
  <r>
    <x v="3"/>
    <n v="6"/>
    <n v="3"/>
    <n v="21"/>
    <n v="27"/>
    <s v="Mid_May"/>
    <x v="2"/>
    <n v="406"/>
    <n v="4"/>
    <x v="7"/>
    <n v="24"/>
  </r>
  <r>
    <x v="2"/>
    <n v="6"/>
    <n v="3"/>
    <n v="22"/>
    <n v="22"/>
    <s v="Mid_May"/>
    <x v="4"/>
    <n v="306"/>
    <n v="4"/>
    <x v="7"/>
    <n v="29"/>
  </r>
  <r>
    <x v="1"/>
    <n v="6"/>
    <n v="3"/>
    <n v="23"/>
    <n v="11"/>
    <s v="Mid_May"/>
    <x v="5"/>
    <n v="206"/>
    <n v="4"/>
    <x v="7"/>
    <n v="44"/>
  </r>
  <r>
    <x v="0"/>
    <n v="6"/>
    <n v="3"/>
    <n v="24"/>
    <n v="6"/>
    <s v="Mid_May"/>
    <x v="3"/>
    <n v="106"/>
    <n v="4"/>
    <x v="7"/>
    <n v="40"/>
  </r>
  <r>
    <x v="0"/>
    <n v="7"/>
    <n v="4"/>
    <n v="25"/>
    <n v="7"/>
    <s v="Mid_April"/>
    <x v="3"/>
    <n v="107"/>
    <n v="4"/>
    <x v="6"/>
    <n v="22"/>
  </r>
  <r>
    <x v="1"/>
    <n v="7"/>
    <n v="4"/>
    <n v="26"/>
    <n v="10"/>
    <s v="Mid_April"/>
    <x v="2"/>
    <n v="207"/>
    <n v="4"/>
    <x v="6"/>
    <n v="12"/>
  </r>
  <r>
    <x v="2"/>
    <n v="7"/>
    <n v="4"/>
    <n v="27"/>
    <n v="23"/>
    <s v="Mid_April"/>
    <x v="1"/>
    <n v="307"/>
    <n v="4"/>
    <x v="6"/>
    <n v="26"/>
  </r>
  <r>
    <x v="3"/>
    <n v="7"/>
    <n v="4"/>
    <n v="28"/>
    <n v="26"/>
    <s v="Mid_April"/>
    <x v="0"/>
    <n v="407"/>
    <n v="4"/>
    <x v="6"/>
    <n v="39"/>
  </r>
  <r>
    <x v="3"/>
    <n v="8"/>
    <n v="4"/>
    <n v="29"/>
    <n v="25"/>
    <s v="Mid_May"/>
    <x v="5"/>
    <n v="408"/>
    <n v="4"/>
    <x v="7"/>
    <n v="45"/>
  </r>
  <r>
    <x v="2"/>
    <n v="8"/>
    <n v="4"/>
    <n v="30"/>
    <n v="24"/>
    <s v="Mid_May"/>
    <x v="2"/>
    <n v="308"/>
    <n v="4"/>
    <x v="7"/>
    <n v="59"/>
  </r>
  <r>
    <x v="1"/>
    <n v="8"/>
    <n v="4"/>
    <n v="31"/>
    <n v="9"/>
    <s v="Mid_May"/>
    <x v="3"/>
    <n v="208"/>
    <n v="4"/>
    <x v="7"/>
    <n v="29"/>
  </r>
  <r>
    <x v="0"/>
    <n v="8"/>
    <n v="4"/>
    <n v="32"/>
    <n v="8"/>
    <s v="Mid_May"/>
    <x v="4"/>
    <n v="108"/>
    <n v="4"/>
    <x v="7"/>
    <n v="31"/>
  </r>
  <r>
    <x v="0"/>
    <n v="1"/>
    <n v="1"/>
    <n v="1"/>
    <n v="1"/>
    <s v="Mid_April"/>
    <x v="0"/>
    <n v="101"/>
    <n v="5"/>
    <x v="8"/>
    <n v="45"/>
  </r>
  <r>
    <x v="1"/>
    <n v="1"/>
    <n v="1"/>
    <n v="2"/>
    <n v="16"/>
    <s v="Mid_April"/>
    <x v="1"/>
    <n v="201"/>
    <n v="5"/>
    <x v="8"/>
    <n v="46"/>
  </r>
  <r>
    <x v="2"/>
    <n v="1"/>
    <n v="1"/>
    <n v="3"/>
    <n v="17"/>
    <s v="Mid_April"/>
    <x v="2"/>
    <n v="301"/>
    <n v="5"/>
    <x v="8"/>
    <n v="50"/>
  </r>
  <r>
    <x v="3"/>
    <n v="1"/>
    <n v="1"/>
    <n v="4"/>
    <n v="32"/>
    <s v="Mid_April"/>
    <x v="3"/>
    <n v="401"/>
    <n v="5"/>
    <x v="8"/>
    <n v="21"/>
  </r>
  <r>
    <x v="3"/>
    <n v="2"/>
    <n v="1"/>
    <n v="5"/>
    <n v="31"/>
    <s v="Mid_May"/>
    <x v="4"/>
    <n v="402"/>
    <n v="5"/>
    <x v="9"/>
    <m/>
  </r>
  <r>
    <x v="2"/>
    <n v="2"/>
    <n v="1"/>
    <n v="6"/>
    <n v="18"/>
    <s v="Mid_May"/>
    <x v="3"/>
    <n v="302"/>
    <n v="5"/>
    <x v="9"/>
    <m/>
  </r>
  <r>
    <x v="1"/>
    <n v="2"/>
    <n v="1"/>
    <n v="7"/>
    <n v="15"/>
    <s v="Mid_May"/>
    <x v="2"/>
    <n v="202"/>
    <n v="5"/>
    <x v="9"/>
    <m/>
  </r>
  <r>
    <x v="0"/>
    <n v="2"/>
    <n v="1"/>
    <n v="8"/>
    <n v="2"/>
    <s v="Mid_May"/>
    <x v="5"/>
    <n v="102"/>
    <n v="5"/>
    <x v="9"/>
    <m/>
  </r>
  <r>
    <x v="0"/>
    <n v="3"/>
    <n v="2"/>
    <n v="9"/>
    <n v="3"/>
    <s v="Mid_April"/>
    <x v="1"/>
    <n v="103"/>
    <n v="5"/>
    <x v="8"/>
    <n v="38"/>
  </r>
  <r>
    <x v="1"/>
    <n v="3"/>
    <n v="2"/>
    <n v="10"/>
    <n v="14"/>
    <s v="Mid_April"/>
    <x v="3"/>
    <n v="203"/>
    <n v="5"/>
    <x v="8"/>
    <n v="35"/>
  </r>
  <r>
    <x v="2"/>
    <n v="3"/>
    <n v="2"/>
    <n v="11"/>
    <n v="19"/>
    <s v="Mid_April"/>
    <x v="0"/>
    <n v="303"/>
    <n v="5"/>
    <x v="8"/>
    <n v="36"/>
  </r>
  <r>
    <x v="3"/>
    <n v="3"/>
    <n v="2"/>
    <n v="12"/>
    <n v="30"/>
    <s v="Mid_April"/>
    <x v="2"/>
    <n v="403"/>
    <n v="5"/>
    <x v="8"/>
    <n v="34"/>
  </r>
  <r>
    <x v="3"/>
    <n v="4"/>
    <n v="2"/>
    <n v="13"/>
    <n v="29"/>
    <s v="Mid_May"/>
    <x v="3"/>
    <n v="404"/>
    <n v="5"/>
    <x v="9"/>
    <m/>
  </r>
  <r>
    <x v="2"/>
    <n v="4"/>
    <n v="2"/>
    <n v="14"/>
    <n v="20"/>
    <s v="Mid_May"/>
    <x v="5"/>
    <n v="304"/>
    <n v="5"/>
    <x v="9"/>
    <m/>
  </r>
  <r>
    <x v="1"/>
    <n v="4"/>
    <n v="2"/>
    <n v="15"/>
    <n v="13"/>
    <s v="Mid_May"/>
    <x v="4"/>
    <n v="204"/>
    <n v="5"/>
    <x v="9"/>
    <m/>
  </r>
  <r>
    <x v="0"/>
    <n v="4"/>
    <n v="2"/>
    <n v="16"/>
    <n v="4"/>
    <s v="Mid_May"/>
    <x v="2"/>
    <n v="104"/>
    <n v="5"/>
    <x v="9"/>
    <m/>
  </r>
  <r>
    <x v="0"/>
    <n v="5"/>
    <n v="3"/>
    <n v="17"/>
    <n v="5"/>
    <s v="Mid_April"/>
    <x v="2"/>
    <n v="105"/>
    <n v="5"/>
    <x v="8"/>
    <n v="21"/>
  </r>
  <r>
    <x v="1"/>
    <n v="5"/>
    <n v="3"/>
    <n v="18"/>
    <n v="12"/>
    <s v="Mid_April"/>
    <x v="0"/>
    <n v="205"/>
    <n v="5"/>
    <x v="8"/>
    <n v="31"/>
  </r>
  <r>
    <x v="2"/>
    <n v="5"/>
    <n v="3"/>
    <n v="19"/>
    <n v="21"/>
    <s v="Mid_April"/>
    <x v="3"/>
    <n v="305"/>
    <n v="5"/>
    <x v="8"/>
    <n v="28"/>
  </r>
  <r>
    <x v="3"/>
    <n v="5"/>
    <n v="3"/>
    <n v="20"/>
    <n v="28"/>
    <s v="Mid_April"/>
    <x v="1"/>
    <n v="405"/>
    <n v="5"/>
    <x v="8"/>
    <n v="30"/>
  </r>
  <r>
    <x v="3"/>
    <n v="6"/>
    <n v="3"/>
    <n v="21"/>
    <n v="27"/>
    <s v="Mid_May"/>
    <x v="2"/>
    <n v="406"/>
    <n v="5"/>
    <x v="9"/>
    <m/>
  </r>
  <r>
    <x v="2"/>
    <n v="6"/>
    <n v="3"/>
    <n v="22"/>
    <n v="22"/>
    <s v="Mid_May"/>
    <x v="4"/>
    <n v="306"/>
    <n v="5"/>
    <x v="9"/>
    <m/>
  </r>
  <r>
    <x v="1"/>
    <n v="6"/>
    <n v="3"/>
    <n v="23"/>
    <n v="11"/>
    <s v="Mid_May"/>
    <x v="5"/>
    <n v="206"/>
    <n v="5"/>
    <x v="9"/>
    <m/>
  </r>
  <r>
    <x v="0"/>
    <n v="6"/>
    <n v="3"/>
    <n v="24"/>
    <n v="6"/>
    <s v="Mid_May"/>
    <x v="3"/>
    <n v="106"/>
    <n v="5"/>
    <x v="9"/>
    <m/>
  </r>
  <r>
    <x v="0"/>
    <n v="7"/>
    <n v="4"/>
    <n v="25"/>
    <n v="7"/>
    <s v="Mid_April"/>
    <x v="3"/>
    <n v="107"/>
    <n v="5"/>
    <x v="8"/>
    <n v="22"/>
  </r>
  <r>
    <x v="1"/>
    <n v="7"/>
    <n v="4"/>
    <n v="26"/>
    <n v="10"/>
    <s v="Mid_April"/>
    <x v="2"/>
    <n v="207"/>
    <n v="5"/>
    <x v="8"/>
    <n v="12"/>
  </r>
  <r>
    <x v="2"/>
    <n v="7"/>
    <n v="4"/>
    <n v="27"/>
    <n v="23"/>
    <s v="Mid_April"/>
    <x v="1"/>
    <n v="307"/>
    <n v="5"/>
    <x v="8"/>
    <n v="26"/>
  </r>
  <r>
    <x v="3"/>
    <n v="7"/>
    <n v="4"/>
    <n v="28"/>
    <n v="26"/>
    <s v="Mid_April"/>
    <x v="0"/>
    <n v="407"/>
    <n v="5"/>
    <x v="8"/>
    <n v="42"/>
  </r>
  <r>
    <x v="3"/>
    <n v="8"/>
    <n v="4"/>
    <n v="29"/>
    <n v="25"/>
    <s v="Mid_May"/>
    <x v="5"/>
    <n v="408"/>
    <n v="5"/>
    <x v="9"/>
    <m/>
  </r>
  <r>
    <x v="2"/>
    <n v="8"/>
    <n v="4"/>
    <n v="30"/>
    <n v="24"/>
    <s v="Mid_May"/>
    <x v="2"/>
    <n v="308"/>
    <n v="5"/>
    <x v="9"/>
    <m/>
  </r>
  <r>
    <x v="1"/>
    <n v="8"/>
    <n v="4"/>
    <n v="31"/>
    <n v="9"/>
    <s v="Mid_May"/>
    <x v="3"/>
    <n v="208"/>
    <n v="5"/>
    <x v="9"/>
    <m/>
  </r>
  <r>
    <x v="0"/>
    <n v="8"/>
    <n v="4"/>
    <n v="32"/>
    <n v="8"/>
    <s v="Mid_May"/>
    <x v="4"/>
    <n v="108"/>
    <n v="5"/>
    <x v="9"/>
    <m/>
  </r>
  <r>
    <x v="4"/>
    <m/>
    <m/>
    <m/>
    <m/>
    <m/>
    <x v="6"/>
    <m/>
    <m/>
    <x v="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n v="1"/>
    <n v="1"/>
    <n v="1"/>
    <n v="1"/>
    <n v="1"/>
    <x v="0"/>
    <x v="0"/>
    <n v="101"/>
    <n v="1"/>
    <x v="0"/>
    <n v="3.9"/>
    <n v="4.0999999999999996"/>
    <n v="3.7"/>
    <n v="3.9"/>
  </r>
  <r>
    <n v="2"/>
    <n v="1"/>
    <n v="1"/>
    <n v="2"/>
    <n v="16"/>
    <x v="0"/>
    <x v="1"/>
    <n v="201"/>
    <n v="1"/>
    <x v="0"/>
    <n v="4.5"/>
    <n v="4.2"/>
    <n v="4.2"/>
    <n v="4.3"/>
  </r>
  <r>
    <n v="3"/>
    <n v="1"/>
    <n v="1"/>
    <n v="3"/>
    <n v="17"/>
    <x v="0"/>
    <x v="2"/>
    <n v="301"/>
    <n v="1"/>
    <x v="0"/>
    <n v="4.2"/>
    <n v="4.5"/>
    <n v="4.4000000000000004"/>
    <n v="4.3666666666666663"/>
  </r>
  <r>
    <n v="4"/>
    <n v="1"/>
    <n v="1"/>
    <n v="4"/>
    <n v="32"/>
    <x v="0"/>
    <x v="3"/>
    <n v="401"/>
    <n v="1"/>
    <x v="0"/>
    <n v="4.0999999999999996"/>
    <n v="3.8"/>
    <n v="4.2"/>
    <n v="4.0333333333333332"/>
  </r>
  <r>
    <n v="4"/>
    <n v="2"/>
    <n v="1"/>
    <n v="5"/>
    <n v="31"/>
    <x v="1"/>
    <x v="4"/>
    <n v="402"/>
    <n v="1"/>
    <x v="1"/>
    <n v="3.1"/>
    <n v="3.2"/>
    <n v="3.2"/>
    <n v="3.1666666666666665"/>
  </r>
  <r>
    <n v="3"/>
    <n v="2"/>
    <n v="1"/>
    <n v="6"/>
    <n v="18"/>
    <x v="1"/>
    <x v="3"/>
    <n v="302"/>
    <n v="1"/>
    <x v="1"/>
    <n v="2.9"/>
    <n v="3.1"/>
    <n v="2.9"/>
    <n v="2.9666666666666668"/>
  </r>
  <r>
    <n v="2"/>
    <n v="2"/>
    <n v="1"/>
    <n v="7"/>
    <n v="15"/>
    <x v="1"/>
    <x v="2"/>
    <n v="202"/>
    <n v="1"/>
    <x v="1"/>
    <n v="2.9"/>
    <n v="2.7"/>
    <n v="3.2"/>
    <n v="2.9333333333333336"/>
  </r>
  <r>
    <n v="1"/>
    <n v="2"/>
    <n v="1"/>
    <n v="8"/>
    <n v="2"/>
    <x v="1"/>
    <x v="5"/>
    <n v="102"/>
    <n v="1"/>
    <x v="1"/>
    <n v="3.4"/>
    <n v="3.3"/>
    <n v="3.4"/>
    <n v="3.3666666666666667"/>
  </r>
  <r>
    <n v="1"/>
    <n v="3"/>
    <n v="2"/>
    <n v="9"/>
    <n v="3"/>
    <x v="0"/>
    <x v="1"/>
    <n v="103"/>
    <n v="1"/>
    <x v="0"/>
    <n v="4.2"/>
    <n v="3.8"/>
    <n v="4.0999999999999996"/>
    <n v="4.0333333333333332"/>
  </r>
  <r>
    <n v="2"/>
    <n v="3"/>
    <n v="2"/>
    <n v="10"/>
    <n v="14"/>
    <x v="0"/>
    <x v="3"/>
    <n v="203"/>
    <n v="1"/>
    <x v="0"/>
    <n v="4.4000000000000004"/>
    <n v="4"/>
    <n v="4.0999999999999996"/>
    <n v="4.166666666666667"/>
  </r>
  <r>
    <n v="3"/>
    <n v="3"/>
    <n v="2"/>
    <n v="11"/>
    <n v="19"/>
    <x v="0"/>
    <x v="0"/>
    <n v="303"/>
    <n v="1"/>
    <x v="0"/>
    <n v="4.0999999999999996"/>
    <n v="3.8"/>
    <n v="3.9"/>
    <n v="3.9333333333333331"/>
  </r>
  <r>
    <n v="4"/>
    <n v="3"/>
    <n v="2"/>
    <n v="12"/>
    <n v="30"/>
    <x v="0"/>
    <x v="2"/>
    <n v="403"/>
    <n v="1"/>
    <x v="0"/>
    <n v="3.7"/>
    <n v="4.3"/>
    <n v="3.6"/>
    <n v="3.8666666666666667"/>
  </r>
  <r>
    <n v="4"/>
    <n v="4"/>
    <n v="2"/>
    <n v="13"/>
    <n v="29"/>
    <x v="1"/>
    <x v="3"/>
    <n v="404"/>
    <n v="1"/>
    <x v="1"/>
    <n v="3.1"/>
    <n v="2.8"/>
    <n v="2.9"/>
    <n v="2.9333333333333336"/>
  </r>
  <r>
    <n v="3"/>
    <n v="4"/>
    <n v="2"/>
    <n v="14"/>
    <n v="20"/>
    <x v="1"/>
    <x v="5"/>
    <n v="304"/>
    <n v="1"/>
    <x v="1"/>
    <n v="2.9"/>
    <n v="2.9"/>
    <n v="3.1"/>
    <n v="2.9666666666666668"/>
  </r>
  <r>
    <n v="2"/>
    <n v="4"/>
    <n v="2"/>
    <n v="15"/>
    <n v="13"/>
    <x v="1"/>
    <x v="4"/>
    <n v="204"/>
    <n v="1"/>
    <x v="1"/>
    <n v="3.2"/>
    <n v="3"/>
    <n v="3.1"/>
    <n v="3.1"/>
  </r>
  <r>
    <n v="1"/>
    <n v="4"/>
    <n v="2"/>
    <n v="16"/>
    <n v="4"/>
    <x v="1"/>
    <x v="2"/>
    <n v="104"/>
    <n v="1"/>
    <x v="1"/>
    <n v="3.2"/>
    <n v="3"/>
    <n v="3.2"/>
    <n v="3.1333333333333333"/>
  </r>
  <r>
    <n v="1"/>
    <n v="5"/>
    <n v="3"/>
    <n v="17"/>
    <n v="5"/>
    <x v="0"/>
    <x v="2"/>
    <n v="105"/>
    <n v="1"/>
    <x v="0"/>
    <n v="4.5"/>
    <n v="4.2"/>
    <n v="4.2"/>
    <n v="4.3"/>
  </r>
  <r>
    <n v="2"/>
    <n v="5"/>
    <n v="3"/>
    <n v="18"/>
    <n v="12"/>
    <x v="0"/>
    <x v="0"/>
    <n v="205"/>
    <n v="1"/>
    <x v="0"/>
    <n v="4"/>
    <n v="3.6"/>
    <n v="3.5"/>
    <n v="3.6999999999999997"/>
  </r>
  <r>
    <n v="3"/>
    <n v="5"/>
    <n v="3"/>
    <n v="19"/>
    <n v="21"/>
    <x v="0"/>
    <x v="3"/>
    <n v="305"/>
    <n v="1"/>
    <x v="0"/>
    <n v="3.9"/>
    <n v="3.9"/>
    <n v="4.4000000000000004"/>
    <n v="4.0666666666666664"/>
  </r>
  <r>
    <n v="4"/>
    <n v="5"/>
    <n v="3"/>
    <n v="20"/>
    <n v="28"/>
    <x v="0"/>
    <x v="1"/>
    <n v="405"/>
    <n v="1"/>
    <x v="0"/>
    <n v="3.5"/>
    <n v="3.8"/>
    <n v="3.3"/>
    <n v="3.5333333333333332"/>
  </r>
  <r>
    <n v="4"/>
    <n v="6"/>
    <n v="3"/>
    <n v="21"/>
    <n v="27"/>
    <x v="1"/>
    <x v="2"/>
    <n v="406"/>
    <n v="1"/>
    <x v="1"/>
    <n v="3"/>
    <n v="3.2"/>
    <n v="2.8"/>
    <n v="3"/>
  </r>
  <r>
    <n v="3"/>
    <n v="6"/>
    <n v="3"/>
    <n v="22"/>
    <n v="22"/>
    <x v="1"/>
    <x v="4"/>
    <n v="306"/>
    <n v="1"/>
    <x v="1"/>
    <n v="3.2"/>
    <n v="3.2"/>
    <n v="2.8"/>
    <n v="3.0666666666666664"/>
  </r>
  <r>
    <n v="2"/>
    <n v="6"/>
    <n v="3"/>
    <n v="23"/>
    <n v="11"/>
    <x v="1"/>
    <x v="5"/>
    <n v="206"/>
    <n v="1"/>
    <x v="1"/>
    <n v="2.9"/>
    <n v="2.8"/>
    <n v="3.1"/>
    <n v="2.9333333333333331"/>
  </r>
  <r>
    <n v="1"/>
    <n v="6"/>
    <n v="3"/>
    <n v="24"/>
    <n v="6"/>
    <x v="1"/>
    <x v="3"/>
    <n v="106"/>
    <n v="1"/>
    <x v="1"/>
    <n v="3.1"/>
    <n v="3"/>
    <n v="3.3"/>
    <n v="3.1333333333333329"/>
  </r>
  <r>
    <n v="1"/>
    <n v="7"/>
    <n v="4"/>
    <n v="25"/>
    <n v="7"/>
    <x v="0"/>
    <x v="3"/>
    <n v="107"/>
    <n v="1"/>
    <x v="0"/>
    <n v="4.9000000000000004"/>
    <n v="4.5"/>
    <n v="4.0999999999999996"/>
    <n v="4.5"/>
  </r>
  <r>
    <n v="2"/>
    <n v="7"/>
    <n v="4"/>
    <n v="26"/>
    <n v="10"/>
    <x v="0"/>
    <x v="2"/>
    <n v="207"/>
    <n v="1"/>
    <x v="0"/>
    <n v="4.3"/>
    <n v="4.4000000000000004"/>
    <n v="4"/>
    <n v="4.2333333333333334"/>
  </r>
  <r>
    <n v="3"/>
    <n v="7"/>
    <n v="4"/>
    <n v="27"/>
    <n v="23"/>
    <x v="0"/>
    <x v="1"/>
    <n v="307"/>
    <n v="1"/>
    <x v="0"/>
    <n v="4"/>
    <n v="4.3"/>
    <n v="4.0999999999999996"/>
    <n v="4.1333333333333337"/>
  </r>
  <r>
    <n v="4"/>
    <n v="7"/>
    <n v="4"/>
    <n v="28"/>
    <n v="26"/>
    <x v="0"/>
    <x v="0"/>
    <n v="407"/>
    <n v="1"/>
    <x v="0"/>
    <n v="3.9"/>
    <n v="3.8"/>
    <n v="3.6"/>
    <n v="3.7666666666666662"/>
  </r>
  <r>
    <n v="4"/>
    <n v="8"/>
    <n v="4"/>
    <n v="29"/>
    <n v="25"/>
    <x v="1"/>
    <x v="5"/>
    <n v="408"/>
    <n v="1"/>
    <x v="1"/>
    <n v="2.9"/>
    <n v="3"/>
    <n v="3.1"/>
    <n v="3"/>
  </r>
  <r>
    <n v="3"/>
    <n v="8"/>
    <n v="4"/>
    <n v="30"/>
    <n v="24"/>
    <x v="1"/>
    <x v="2"/>
    <n v="308"/>
    <n v="1"/>
    <x v="1"/>
    <n v="2.7"/>
    <n v="3.3"/>
    <n v="3.3"/>
    <n v="3.1"/>
  </r>
  <r>
    <n v="2"/>
    <n v="8"/>
    <n v="4"/>
    <n v="31"/>
    <n v="9"/>
    <x v="1"/>
    <x v="3"/>
    <n v="208"/>
    <n v="1"/>
    <x v="1"/>
    <n v="3.3"/>
    <n v="3"/>
    <n v="3.2"/>
    <n v="3.1666666666666665"/>
  </r>
  <r>
    <n v="1"/>
    <n v="8"/>
    <n v="4"/>
    <n v="32"/>
    <n v="8"/>
    <x v="1"/>
    <x v="4"/>
    <n v="108"/>
    <n v="1"/>
    <x v="1"/>
    <n v="3.4"/>
    <n v="3.1"/>
    <n v="3.4"/>
    <n v="3.3000000000000003"/>
  </r>
  <r>
    <n v="1"/>
    <n v="1"/>
    <n v="1"/>
    <n v="1"/>
    <n v="1"/>
    <x v="0"/>
    <x v="0"/>
    <n v="101"/>
    <n v="2"/>
    <x v="2"/>
    <n v="5.2"/>
    <n v="5.0999999999999996"/>
    <n v="4.5"/>
    <n v="4.9333333333333336"/>
  </r>
  <r>
    <n v="2"/>
    <n v="1"/>
    <n v="1"/>
    <n v="2"/>
    <n v="16"/>
    <x v="0"/>
    <x v="1"/>
    <n v="201"/>
    <n v="2"/>
    <x v="2"/>
    <n v="4.3"/>
    <n v="5.0999999999999996"/>
    <n v="5.0999999999999996"/>
    <n v="4.833333333333333"/>
  </r>
  <r>
    <n v="3"/>
    <n v="1"/>
    <n v="1"/>
    <n v="3"/>
    <n v="17"/>
    <x v="0"/>
    <x v="2"/>
    <n v="301"/>
    <n v="2"/>
    <x v="2"/>
    <n v="5.3"/>
    <n v="5.4"/>
    <n v="5.4"/>
    <n v="5.3666666666666671"/>
  </r>
  <r>
    <n v="4"/>
    <n v="1"/>
    <n v="1"/>
    <n v="4"/>
    <n v="32"/>
    <x v="0"/>
    <x v="3"/>
    <n v="401"/>
    <n v="2"/>
    <x v="2"/>
    <n v="5.2"/>
    <n v="4.5999999999999996"/>
    <n v="5.3"/>
    <n v="5.0333333333333341"/>
  </r>
  <r>
    <n v="4"/>
    <n v="2"/>
    <n v="1"/>
    <n v="5"/>
    <n v="31"/>
    <x v="1"/>
    <x v="4"/>
    <n v="402"/>
    <n v="2"/>
    <x v="3"/>
    <n v="4.3"/>
    <n v="4.0999999999999996"/>
    <n v="4.3"/>
    <n v="4.2333333333333334"/>
  </r>
  <r>
    <n v="3"/>
    <n v="2"/>
    <n v="1"/>
    <n v="6"/>
    <n v="18"/>
    <x v="1"/>
    <x v="3"/>
    <n v="302"/>
    <n v="2"/>
    <x v="3"/>
    <n v="3.6"/>
    <n v="4.0999999999999996"/>
    <n v="3.7"/>
    <n v="3.7999999999999994"/>
  </r>
  <r>
    <n v="2"/>
    <n v="2"/>
    <n v="1"/>
    <n v="7"/>
    <n v="15"/>
    <x v="1"/>
    <x v="2"/>
    <n v="202"/>
    <n v="2"/>
    <x v="3"/>
    <n v="3.5"/>
    <n v="4.0999999999999996"/>
    <n v="3.4"/>
    <n v="3.6666666666666665"/>
  </r>
  <r>
    <n v="1"/>
    <n v="2"/>
    <n v="1"/>
    <n v="8"/>
    <n v="2"/>
    <x v="1"/>
    <x v="5"/>
    <n v="102"/>
    <n v="2"/>
    <x v="3"/>
    <n v="4.3"/>
    <n v="4.0999999999999996"/>
    <n v="4.4000000000000004"/>
    <n v="4.2666666666666666"/>
  </r>
  <r>
    <n v="1"/>
    <n v="3"/>
    <n v="2"/>
    <n v="9"/>
    <n v="3"/>
    <x v="0"/>
    <x v="1"/>
    <n v="103"/>
    <n v="2"/>
    <x v="2"/>
    <n v="5.3"/>
    <n v="4.5999999999999996"/>
    <n v="5.2"/>
    <n v="5.0333333333333323"/>
  </r>
  <r>
    <n v="2"/>
    <n v="3"/>
    <n v="2"/>
    <n v="10"/>
    <n v="14"/>
    <x v="0"/>
    <x v="3"/>
    <n v="203"/>
    <n v="2"/>
    <x v="2"/>
    <n v="5.3"/>
    <n v="5.2"/>
    <n v="5.2"/>
    <n v="5.2333333333333334"/>
  </r>
  <r>
    <n v="3"/>
    <n v="3"/>
    <n v="2"/>
    <n v="11"/>
    <n v="19"/>
    <x v="0"/>
    <x v="0"/>
    <n v="303"/>
    <n v="2"/>
    <x v="2"/>
    <n v="5.3"/>
    <n v="4.5999999999999996"/>
    <n v="5"/>
    <n v="4.9666666666666659"/>
  </r>
  <r>
    <n v="4"/>
    <n v="3"/>
    <n v="2"/>
    <n v="12"/>
    <n v="30"/>
    <x v="0"/>
    <x v="2"/>
    <n v="403"/>
    <n v="2"/>
    <x v="2"/>
    <n v="4.5999999999999996"/>
    <n v="5.4"/>
    <n v="4.4000000000000004"/>
    <n v="4.8"/>
  </r>
  <r>
    <n v="4"/>
    <n v="4"/>
    <n v="2"/>
    <n v="13"/>
    <n v="29"/>
    <x v="1"/>
    <x v="3"/>
    <n v="404"/>
    <n v="2"/>
    <x v="3"/>
    <n v="4.0999999999999996"/>
    <n v="3.6"/>
    <n v="3.3"/>
    <n v="3.6666666666666665"/>
  </r>
  <r>
    <n v="3"/>
    <n v="4"/>
    <n v="2"/>
    <n v="14"/>
    <n v="20"/>
    <x v="1"/>
    <x v="5"/>
    <n v="304"/>
    <n v="2"/>
    <x v="3"/>
    <n v="3.5"/>
    <n v="3.4"/>
    <n v="4"/>
    <n v="3.6333333333333333"/>
  </r>
  <r>
    <n v="2"/>
    <n v="4"/>
    <n v="2"/>
    <n v="15"/>
    <n v="13"/>
    <x v="1"/>
    <x v="4"/>
    <n v="204"/>
    <n v="2"/>
    <x v="3"/>
    <n v="4.3"/>
    <n v="4"/>
    <n v="4.2"/>
    <n v="4.166666666666667"/>
  </r>
  <r>
    <n v="1"/>
    <n v="4"/>
    <n v="2"/>
    <n v="16"/>
    <n v="4"/>
    <x v="1"/>
    <x v="2"/>
    <n v="104"/>
    <n v="2"/>
    <x v="3"/>
    <n v="4.0999999999999996"/>
    <n v="4.0999999999999996"/>
    <n v="4.0999999999999996"/>
    <n v="4.0999999999999996"/>
  </r>
  <r>
    <n v="1"/>
    <n v="5"/>
    <n v="3"/>
    <n v="17"/>
    <n v="5"/>
    <x v="0"/>
    <x v="2"/>
    <n v="105"/>
    <n v="2"/>
    <x v="2"/>
    <n v="5.3"/>
    <n v="5.2"/>
    <n v="5.2"/>
    <n v="5.2333333333333334"/>
  </r>
  <r>
    <n v="2"/>
    <n v="5"/>
    <n v="3"/>
    <n v="18"/>
    <n v="12"/>
    <x v="0"/>
    <x v="0"/>
    <n v="205"/>
    <n v="2"/>
    <x v="2"/>
    <n v="5.3"/>
    <n v="4.5999999999999996"/>
    <n v="4.5999999999999996"/>
    <n v="4.833333333333333"/>
  </r>
  <r>
    <n v="3"/>
    <n v="5"/>
    <n v="3"/>
    <n v="19"/>
    <n v="21"/>
    <x v="0"/>
    <x v="3"/>
    <n v="305"/>
    <n v="2"/>
    <x v="2"/>
    <n v="4.5999999999999996"/>
    <n v="5.0999999999999996"/>
    <n v="5.5"/>
    <n v="5.0666666666666664"/>
  </r>
  <r>
    <n v="4"/>
    <n v="5"/>
    <n v="3"/>
    <n v="20"/>
    <n v="28"/>
    <x v="0"/>
    <x v="1"/>
    <n v="405"/>
    <n v="2"/>
    <x v="2"/>
    <n v="4.5999999999999996"/>
    <n v="5"/>
    <n v="4.4000000000000004"/>
    <n v="4.666666666666667"/>
  </r>
  <r>
    <n v="4"/>
    <n v="6"/>
    <n v="3"/>
    <n v="21"/>
    <n v="27"/>
    <x v="1"/>
    <x v="2"/>
    <n v="406"/>
    <n v="2"/>
    <x v="3"/>
    <n v="3.7"/>
    <n v="4.0999999999999996"/>
    <n v="3.7"/>
    <n v="3.8333333333333335"/>
  </r>
  <r>
    <n v="3"/>
    <n v="6"/>
    <n v="3"/>
    <n v="22"/>
    <n v="22"/>
    <x v="1"/>
    <x v="4"/>
    <n v="306"/>
    <n v="2"/>
    <x v="3"/>
    <n v="4.3"/>
    <n v="4.5"/>
    <n v="4"/>
    <n v="4.2666666666666666"/>
  </r>
  <r>
    <n v="2"/>
    <n v="6"/>
    <n v="3"/>
    <n v="23"/>
    <n v="11"/>
    <x v="1"/>
    <x v="5"/>
    <n v="206"/>
    <n v="2"/>
    <x v="3"/>
    <n v="3.6"/>
    <n v="3.3"/>
    <n v="3.9"/>
    <n v="3.6"/>
  </r>
  <r>
    <n v="1"/>
    <n v="6"/>
    <n v="3"/>
    <n v="24"/>
    <n v="6"/>
    <x v="1"/>
    <x v="3"/>
    <n v="106"/>
    <n v="2"/>
    <x v="3"/>
    <n v="3.8"/>
    <n v="4.2"/>
    <n v="4.3"/>
    <n v="4.1000000000000005"/>
  </r>
  <r>
    <n v="1"/>
    <n v="7"/>
    <n v="4"/>
    <n v="25"/>
    <n v="7"/>
    <x v="0"/>
    <x v="3"/>
    <n v="107"/>
    <n v="2"/>
    <x v="2"/>
    <n v="6"/>
    <n v="5.6"/>
    <n v="5.2"/>
    <n v="5.6000000000000005"/>
  </r>
  <r>
    <n v="2"/>
    <n v="7"/>
    <n v="4"/>
    <n v="26"/>
    <n v="10"/>
    <x v="0"/>
    <x v="2"/>
    <n v="207"/>
    <n v="2"/>
    <x v="2"/>
    <n v="5.5"/>
    <n v="5.3"/>
    <n v="5.3"/>
    <n v="5.3666666666666671"/>
  </r>
  <r>
    <n v="3"/>
    <n v="7"/>
    <n v="4"/>
    <n v="27"/>
    <n v="23"/>
    <x v="0"/>
    <x v="1"/>
    <n v="307"/>
    <n v="2"/>
    <x v="2"/>
    <n v="4.8"/>
    <n v="5.2"/>
    <n v="5.2"/>
    <n v="5.0666666666666664"/>
  </r>
  <r>
    <n v="4"/>
    <n v="7"/>
    <n v="4"/>
    <n v="28"/>
    <n v="26"/>
    <x v="0"/>
    <x v="0"/>
    <n v="407"/>
    <n v="2"/>
    <x v="2"/>
    <n v="5.0999999999999996"/>
    <n v="5"/>
    <n v="4.4000000000000004"/>
    <n v="4.833333333333333"/>
  </r>
  <r>
    <n v="4"/>
    <n v="8"/>
    <n v="4"/>
    <n v="29"/>
    <n v="25"/>
    <x v="1"/>
    <x v="5"/>
    <n v="408"/>
    <n v="2"/>
    <x v="3"/>
    <n v="3.7"/>
    <n v="3.8"/>
    <n v="3.7"/>
    <n v="3.7333333333333329"/>
  </r>
  <r>
    <n v="3"/>
    <n v="8"/>
    <n v="4"/>
    <n v="30"/>
    <n v="24"/>
    <x v="1"/>
    <x v="2"/>
    <n v="308"/>
    <n v="2"/>
    <x v="3"/>
    <n v="4.2"/>
    <n v="4.2"/>
    <n v="3.3"/>
    <n v="3.9"/>
  </r>
  <r>
    <n v="2"/>
    <n v="8"/>
    <n v="4"/>
    <n v="31"/>
    <n v="9"/>
    <x v="1"/>
    <x v="3"/>
    <n v="208"/>
    <n v="2"/>
    <x v="3"/>
    <n v="4.2"/>
    <n v="4"/>
    <n v="4.2"/>
    <n v="4.1333333333333329"/>
  </r>
  <r>
    <n v="1"/>
    <n v="8"/>
    <n v="4"/>
    <n v="32"/>
    <n v="8"/>
    <x v="1"/>
    <x v="4"/>
    <n v="108"/>
    <n v="2"/>
    <x v="3"/>
    <n v="4.4000000000000004"/>
    <n v="4.3"/>
    <n v="4.4000000000000004"/>
    <n v="4.3666666666666663"/>
  </r>
  <r>
    <n v="1"/>
    <n v="1"/>
    <n v="1"/>
    <n v="1"/>
    <n v="1"/>
    <x v="0"/>
    <x v="0"/>
    <n v="101"/>
    <n v="3"/>
    <x v="4"/>
    <n v="6.4"/>
    <n v="6.1"/>
    <n v="5.7"/>
    <n v="6.0666666666666664"/>
  </r>
  <r>
    <n v="2"/>
    <n v="1"/>
    <n v="1"/>
    <n v="2"/>
    <n v="16"/>
    <x v="0"/>
    <x v="1"/>
    <n v="201"/>
    <n v="3"/>
    <x v="4"/>
    <n v="6.4"/>
    <n v="6.2"/>
    <n v="6"/>
    <n v="6.2"/>
  </r>
  <r>
    <n v="3"/>
    <n v="1"/>
    <n v="1"/>
    <n v="3"/>
    <n v="17"/>
    <x v="0"/>
    <x v="2"/>
    <n v="301"/>
    <n v="3"/>
    <x v="4"/>
    <n v="6.2"/>
    <n v="6.3"/>
    <n v="6.3"/>
    <n v="6.2666666666666666"/>
  </r>
  <r>
    <n v="4"/>
    <n v="1"/>
    <n v="1"/>
    <n v="4"/>
    <n v="32"/>
    <x v="0"/>
    <x v="3"/>
    <n v="401"/>
    <n v="3"/>
    <x v="4"/>
    <n v="6.2"/>
    <n v="5.8"/>
    <n v="6.6"/>
    <n v="6.2"/>
  </r>
  <r>
    <n v="4"/>
    <n v="2"/>
    <n v="1"/>
    <n v="5"/>
    <n v="31"/>
    <x v="1"/>
    <x v="4"/>
    <n v="402"/>
    <n v="3"/>
    <x v="5"/>
    <n v="5.5"/>
    <n v="5.3"/>
    <n v="5.3"/>
    <n v="5.3666666666666671"/>
  </r>
  <r>
    <n v="3"/>
    <n v="2"/>
    <n v="1"/>
    <n v="6"/>
    <n v="18"/>
    <x v="1"/>
    <x v="3"/>
    <n v="302"/>
    <n v="3"/>
    <x v="5"/>
    <n v="5.0999999999999996"/>
    <n v="4.7"/>
    <n v="4.7"/>
    <n v="4.833333333333333"/>
  </r>
  <r>
    <n v="2"/>
    <n v="2"/>
    <n v="1"/>
    <n v="7"/>
    <n v="15"/>
    <x v="1"/>
    <x v="2"/>
    <n v="202"/>
    <n v="3"/>
    <x v="5"/>
    <n v="4.4000000000000004"/>
    <n v="5.0999999999999996"/>
    <n v="4.4000000000000004"/>
    <n v="4.6333333333333337"/>
  </r>
  <r>
    <n v="1"/>
    <n v="2"/>
    <n v="1"/>
    <n v="8"/>
    <n v="2"/>
    <x v="1"/>
    <x v="5"/>
    <n v="102"/>
    <n v="3"/>
    <x v="5"/>
    <n v="5.2"/>
    <n v="4.8"/>
    <n v="5.2"/>
    <n v="5.0666666666666664"/>
  </r>
  <r>
    <n v="1"/>
    <n v="3"/>
    <n v="2"/>
    <n v="9"/>
    <n v="3"/>
    <x v="0"/>
    <x v="1"/>
    <n v="103"/>
    <n v="3"/>
    <x v="4"/>
    <n v="5.7"/>
    <n v="6.4"/>
    <n v="6"/>
    <n v="6.0333333333333341"/>
  </r>
  <r>
    <n v="2"/>
    <n v="3"/>
    <n v="2"/>
    <n v="10"/>
    <n v="14"/>
    <x v="0"/>
    <x v="3"/>
    <n v="203"/>
    <n v="3"/>
    <x v="4"/>
    <n v="6.5"/>
    <n v="6.3"/>
    <n v="6.2"/>
    <n v="6.333333333333333"/>
  </r>
  <r>
    <n v="3"/>
    <n v="3"/>
    <n v="2"/>
    <n v="11"/>
    <n v="19"/>
    <x v="0"/>
    <x v="0"/>
    <n v="303"/>
    <n v="3"/>
    <x v="4"/>
    <n v="6.4"/>
    <n v="6"/>
    <n v="6.3"/>
    <n v="6.2333333333333334"/>
  </r>
  <r>
    <n v="4"/>
    <n v="3"/>
    <n v="2"/>
    <n v="12"/>
    <n v="30"/>
    <x v="0"/>
    <x v="2"/>
    <n v="403"/>
    <n v="3"/>
    <x v="4"/>
    <n v="6.3"/>
    <n v="6.4"/>
    <n v="5.3"/>
    <n v="6"/>
  </r>
  <r>
    <n v="4"/>
    <n v="4"/>
    <n v="2"/>
    <n v="13"/>
    <n v="29"/>
    <x v="1"/>
    <x v="3"/>
    <n v="404"/>
    <n v="3"/>
    <x v="5"/>
    <n v="4.5"/>
    <n v="4.8"/>
    <n v="5"/>
    <n v="4.7666666666666666"/>
  </r>
  <r>
    <n v="3"/>
    <n v="4"/>
    <n v="2"/>
    <n v="14"/>
    <n v="20"/>
    <x v="1"/>
    <x v="5"/>
    <n v="304"/>
    <n v="3"/>
    <x v="5"/>
    <n v="4.8"/>
    <n v="4.3"/>
    <n v="4.4000000000000004"/>
    <n v="4.5"/>
  </r>
  <r>
    <n v="2"/>
    <n v="4"/>
    <n v="2"/>
    <n v="15"/>
    <n v="13"/>
    <x v="1"/>
    <x v="4"/>
    <n v="204"/>
    <n v="3"/>
    <x v="5"/>
    <n v="5.2"/>
    <n v="4.8"/>
    <n v="5.3"/>
    <n v="5.1000000000000005"/>
  </r>
  <r>
    <n v="1"/>
    <n v="4"/>
    <n v="2"/>
    <n v="16"/>
    <n v="4"/>
    <x v="1"/>
    <x v="2"/>
    <n v="104"/>
    <n v="3"/>
    <x v="5"/>
    <n v="5.0999999999999996"/>
    <n v="4.9000000000000004"/>
    <n v="5"/>
    <n v="5"/>
  </r>
  <r>
    <n v="1"/>
    <n v="5"/>
    <n v="3"/>
    <n v="17"/>
    <n v="5"/>
    <x v="0"/>
    <x v="2"/>
    <n v="105"/>
    <n v="3"/>
    <x v="4"/>
    <n v="6.4"/>
    <n v="6"/>
    <n v="6.3"/>
    <n v="6.2333333333333334"/>
  </r>
  <r>
    <n v="2"/>
    <n v="5"/>
    <n v="3"/>
    <n v="18"/>
    <n v="12"/>
    <x v="0"/>
    <x v="0"/>
    <n v="205"/>
    <n v="3"/>
    <x v="4"/>
    <n v="6.2"/>
    <n v="6"/>
    <n v="5.7"/>
    <n v="5.9666666666666659"/>
  </r>
  <r>
    <n v="3"/>
    <n v="5"/>
    <n v="3"/>
    <n v="19"/>
    <n v="21"/>
    <x v="0"/>
    <x v="3"/>
    <n v="305"/>
    <n v="3"/>
    <x v="4"/>
    <n v="5.8"/>
    <n v="6.3"/>
    <n v="6.5"/>
    <n v="6.2"/>
  </r>
  <r>
    <n v="4"/>
    <n v="5"/>
    <n v="3"/>
    <n v="20"/>
    <n v="28"/>
    <x v="0"/>
    <x v="1"/>
    <n v="405"/>
    <n v="3"/>
    <x v="4"/>
    <n v="6.6"/>
    <n v="6.8"/>
    <n v="6.5"/>
    <n v="6.6333333333333329"/>
  </r>
  <r>
    <n v="4"/>
    <n v="6"/>
    <n v="3"/>
    <n v="21"/>
    <n v="27"/>
    <x v="1"/>
    <x v="2"/>
    <n v="406"/>
    <n v="3"/>
    <x v="5"/>
    <n v="4.5999999999999996"/>
    <n v="5.0999999999999996"/>
    <n v="4.8"/>
    <n v="4.833333333333333"/>
  </r>
  <r>
    <n v="3"/>
    <n v="6"/>
    <n v="3"/>
    <n v="22"/>
    <n v="22"/>
    <x v="1"/>
    <x v="4"/>
    <n v="306"/>
    <n v="3"/>
    <x v="5"/>
    <n v="5.0999999999999996"/>
    <n v="5.5"/>
    <n v="5.4"/>
    <n v="5.333333333333333"/>
  </r>
  <r>
    <n v="2"/>
    <n v="6"/>
    <n v="3"/>
    <n v="23"/>
    <n v="11"/>
    <x v="1"/>
    <x v="5"/>
    <n v="206"/>
    <n v="3"/>
    <x v="5"/>
    <n v="4.7"/>
    <n v="4.3"/>
    <n v="4.5"/>
    <n v="4.5"/>
  </r>
  <r>
    <n v="1"/>
    <n v="6"/>
    <n v="3"/>
    <n v="24"/>
    <n v="6"/>
    <x v="1"/>
    <x v="3"/>
    <n v="106"/>
    <n v="3"/>
    <x v="5"/>
    <n v="5.4"/>
    <n v="4.8"/>
    <n v="5.3"/>
    <n v="5.166666666666667"/>
  </r>
  <r>
    <n v="1"/>
    <n v="7"/>
    <n v="4"/>
    <n v="25"/>
    <n v="7"/>
    <x v="0"/>
    <x v="3"/>
    <n v="107"/>
    <n v="3"/>
    <x v="4"/>
    <n v="7"/>
    <n v="6.8"/>
    <n v="6.2"/>
    <n v="6.666666666666667"/>
  </r>
  <r>
    <n v="2"/>
    <n v="7"/>
    <n v="4"/>
    <n v="26"/>
    <n v="10"/>
    <x v="0"/>
    <x v="2"/>
    <n v="207"/>
    <n v="3"/>
    <x v="4"/>
    <n v="6.1"/>
    <n v="6.4"/>
    <n v="6.5"/>
    <n v="6.333333333333333"/>
  </r>
  <r>
    <n v="3"/>
    <n v="7"/>
    <n v="4"/>
    <n v="27"/>
    <n v="23"/>
    <x v="0"/>
    <x v="1"/>
    <n v="307"/>
    <n v="3"/>
    <x v="4"/>
    <n v="6.5"/>
    <n v="6.2"/>
    <n v="6.1"/>
    <n v="6.2666666666666657"/>
  </r>
  <r>
    <n v="4"/>
    <n v="7"/>
    <n v="4"/>
    <n v="28"/>
    <n v="26"/>
    <x v="0"/>
    <x v="0"/>
    <n v="407"/>
    <n v="3"/>
    <x v="4"/>
    <n v="6.1"/>
    <n v="5.8"/>
    <n v="6"/>
    <n v="5.9666666666666659"/>
  </r>
  <r>
    <n v="4"/>
    <n v="8"/>
    <n v="4"/>
    <n v="29"/>
    <n v="25"/>
    <x v="1"/>
    <x v="5"/>
    <n v="408"/>
    <n v="3"/>
    <x v="5"/>
    <n v="4.5"/>
    <n v="4.5999999999999996"/>
    <n v="4.5"/>
    <n v="4.5333333333333332"/>
  </r>
  <r>
    <n v="3"/>
    <n v="8"/>
    <n v="4"/>
    <n v="30"/>
    <n v="24"/>
    <x v="1"/>
    <x v="2"/>
    <n v="308"/>
    <n v="3"/>
    <x v="5"/>
    <n v="4.5"/>
    <n v="5.0999999999999996"/>
    <n v="5.0999999999999996"/>
    <n v="4.8999999999999995"/>
  </r>
  <r>
    <n v="2"/>
    <n v="8"/>
    <n v="4"/>
    <n v="31"/>
    <n v="9"/>
    <x v="1"/>
    <x v="3"/>
    <n v="208"/>
    <n v="3"/>
    <x v="5"/>
    <n v="5.2"/>
    <n v="4.9000000000000004"/>
    <n v="5.0999999999999996"/>
    <n v="5.0666666666666673"/>
  </r>
  <r>
    <n v="1"/>
    <n v="8"/>
    <n v="4"/>
    <n v="32"/>
    <n v="8"/>
    <x v="1"/>
    <x v="4"/>
    <n v="108"/>
    <n v="3"/>
    <x v="5"/>
    <n v="5.5"/>
    <n v="5.4"/>
    <n v="5.6"/>
    <n v="5.5"/>
  </r>
  <r>
    <n v="1"/>
    <n v="1"/>
    <n v="1"/>
    <n v="1"/>
    <n v="1"/>
    <x v="0"/>
    <x v="0"/>
    <n v="101"/>
    <n v="4"/>
    <x v="6"/>
    <n v="6.8"/>
    <n v="6.5"/>
    <n v="6.4"/>
    <n v="6.5666666666666673"/>
  </r>
  <r>
    <n v="2"/>
    <n v="1"/>
    <n v="1"/>
    <n v="2"/>
    <n v="16"/>
    <x v="0"/>
    <x v="1"/>
    <n v="201"/>
    <n v="4"/>
    <x v="6"/>
    <n v="6.8"/>
    <n v="6.7"/>
    <n v="6.4"/>
    <n v="6.6333333333333329"/>
  </r>
  <r>
    <n v="3"/>
    <n v="1"/>
    <n v="1"/>
    <n v="3"/>
    <n v="17"/>
    <x v="0"/>
    <x v="2"/>
    <n v="301"/>
    <n v="4"/>
    <x v="6"/>
    <n v="6.8"/>
    <n v="6.8"/>
    <n v="6.9"/>
    <n v="6.833333333333333"/>
  </r>
  <r>
    <n v="4"/>
    <n v="1"/>
    <n v="1"/>
    <n v="4"/>
    <n v="32"/>
    <x v="0"/>
    <x v="3"/>
    <n v="401"/>
    <n v="4"/>
    <x v="6"/>
    <n v="6.8"/>
    <n v="6.4"/>
    <n v="7.3"/>
    <n v="6.833333333333333"/>
  </r>
  <r>
    <n v="4"/>
    <n v="2"/>
    <n v="1"/>
    <n v="5"/>
    <n v="31"/>
    <x v="1"/>
    <x v="4"/>
    <n v="402"/>
    <n v="4"/>
    <x v="7"/>
    <n v="6.3"/>
    <n v="6.4"/>
    <n v="6"/>
    <n v="6.2333333333333334"/>
  </r>
  <r>
    <n v="3"/>
    <n v="2"/>
    <n v="1"/>
    <n v="6"/>
    <n v="18"/>
    <x v="1"/>
    <x v="3"/>
    <n v="302"/>
    <n v="4"/>
    <x v="7"/>
    <n v="5.7"/>
    <n v="6.2"/>
    <n v="5.7"/>
    <n v="5.8666666666666671"/>
  </r>
  <r>
    <n v="2"/>
    <n v="2"/>
    <n v="1"/>
    <n v="7"/>
    <n v="15"/>
    <x v="1"/>
    <x v="2"/>
    <n v="202"/>
    <n v="4"/>
    <x v="7"/>
    <n v="5.2"/>
    <n v="6.2"/>
    <n v="5.5"/>
    <n v="5.6333333333333329"/>
  </r>
  <r>
    <n v="1"/>
    <n v="2"/>
    <n v="1"/>
    <n v="8"/>
    <n v="2"/>
    <x v="1"/>
    <x v="5"/>
    <n v="102"/>
    <n v="4"/>
    <x v="7"/>
    <n v="5.8"/>
    <n v="5.6"/>
    <n v="6.4"/>
    <n v="5.9333333333333327"/>
  </r>
  <r>
    <n v="1"/>
    <n v="3"/>
    <n v="2"/>
    <n v="9"/>
    <n v="3"/>
    <x v="0"/>
    <x v="1"/>
    <n v="103"/>
    <n v="4"/>
    <x v="6"/>
    <n v="7.1"/>
    <n v="6.4"/>
    <n v="6.5"/>
    <n v="6.666666666666667"/>
  </r>
  <r>
    <n v="2"/>
    <n v="3"/>
    <n v="2"/>
    <n v="10"/>
    <n v="14"/>
    <x v="0"/>
    <x v="3"/>
    <n v="203"/>
    <n v="4"/>
    <x v="6"/>
    <n v="7.3"/>
    <n v="6.9"/>
    <n v="6.8"/>
    <n v="7"/>
  </r>
  <r>
    <n v="3"/>
    <n v="3"/>
    <n v="2"/>
    <n v="11"/>
    <n v="19"/>
    <x v="0"/>
    <x v="0"/>
    <n v="303"/>
    <n v="4"/>
    <x v="6"/>
    <n v="7"/>
    <n v="6.5"/>
    <n v="6.7"/>
    <n v="6.7333333333333334"/>
  </r>
  <r>
    <n v="4"/>
    <n v="3"/>
    <n v="2"/>
    <n v="12"/>
    <n v="30"/>
    <x v="0"/>
    <x v="2"/>
    <n v="403"/>
    <n v="4"/>
    <x v="6"/>
    <n v="6.8"/>
    <n v="7"/>
    <n v="6.2"/>
    <n v="6.666666666666667"/>
  </r>
  <r>
    <n v="4"/>
    <n v="4"/>
    <n v="2"/>
    <n v="13"/>
    <n v="29"/>
    <x v="1"/>
    <x v="3"/>
    <n v="404"/>
    <n v="4"/>
    <x v="7"/>
    <n v="5.8"/>
    <n v="6.1"/>
    <n v="5.7"/>
    <n v="5.8666666666666663"/>
  </r>
  <r>
    <n v="3"/>
    <n v="4"/>
    <n v="2"/>
    <n v="14"/>
    <n v="20"/>
    <x v="1"/>
    <x v="5"/>
    <n v="304"/>
    <n v="4"/>
    <x v="7"/>
    <n v="5.5"/>
    <n v="5.4"/>
    <n v="5.8"/>
    <n v="5.5666666666666664"/>
  </r>
  <r>
    <n v="2"/>
    <n v="4"/>
    <n v="2"/>
    <n v="15"/>
    <n v="13"/>
    <x v="1"/>
    <x v="4"/>
    <n v="204"/>
    <n v="4"/>
    <x v="7"/>
    <n v="6.4"/>
    <n v="5.8"/>
    <n v="6.3"/>
    <n v="6.166666666666667"/>
  </r>
  <r>
    <n v="1"/>
    <n v="4"/>
    <n v="2"/>
    <n v="16"/>
    <n v="4"/>
    <x v="1"/>
    <x v="2"/>
    <n v="104"/>
    <n v="4"/>
    <x v="7"/>
    <n v="6"/>
    <n v="5.4"/>
    <n v="6.1"/>
    <n v="5.833333333333333"/>
  </r>
  <r>
    <n v="1"/>
    <n v="5"/>
    <n v="3"/>
    <n v="17"/>
    <n v="5"/>
    <x v="0"/>
    <x v="2"/>
    <n v="105"/>
    <n v="4"/>
    <x v="6"/>
    <n v="7.1"/>
    <n v="6.8"/>
    <n v="6.7"/>
    <n v="6.8666666666666663"/>
  </r>
  <r>
    <n v="2"/>
    <n v="5"/>
    <n v="3"/>
    <n v="18"/>
    <n v="12"/>
    <x v="0"/>
    <x v="0"/>
    <n v="205"/>
    <n v="4"/>
    <x v="6"/>
    <n v="6.7"/>
    <n v="6.6"/>
    <n v="6.2"/>
    <n v="6.5"/>
  </r>
  <r>
    <n v="3"/>
    <n v="5"/>
    <n v="3"/>
    <n v="19"/>
    <n v="21"/>
    <x v="0"/>
    <x v="3"/>
    <n v="305"/>
    <n v="4"/>
    <x v="6"/>
    <n v="6.4"/>
    <n v="6.8"/>
    <n v="7.3"/>
    <n v="6.833333333333333"/>
  </r>
  <r>
    <n v="4"/>
    <n v="5"/>
    <n v="3"/>
    <n v="20"/>
    <n v="28"/>
    <x v="0"/>
    <x v="1"/>
    <n v="405"/>
    <n v="4"/>
    <x v="6"/>
    <n v="6.4"/>
    <n v="6.5"/>
    <n v="7.1"/>
    <n v="6.666666666666667"/>
  </r>
  <r>
    <n v="4"/>
    <n v="6"/>
    <n v="3"/>
    <n v="21"/>
    <n v="27"/>
    <x v="1"/>
    <x v="2"/>
    <n v="406"/>
    <n v="4"/>
    <x v="7"/>
    <n v="6.1"/>
    <n v="5.7"/>
    <n v="5.8"/>
    <n v="5.8666666666666671"/>
  </r>
  <r>
    <n v="3"/>
    <n v="6"/>
    <n v="3"/>
    <n v="22"/>
    <n v="22"/>
    <x v="1"/>
    <x v="4"/>
    <n v="306"/>
    <n v="4"/>
    <x v="7"/>
    <n v="6.3"/>
    <n v="6.5"/>
    <n v="6.6"/>
    <n v="6.4666666666666659"/>
  </r>
  <r>
    <n v="2"/>
    <n v="6"/>
    <n v="3"/>
    <n v="23"/>
    <n v="11"/>
    <x v="1"/>
    <x v="5"/>
    <n v="206"/>
    <n v="4"/>
    <x v="7"/>
    <n v="5.6"/>
    <n v="5.4"/>
    <n v="5.4"/>
    <n v="5.4666666666666659"/>
  </r>
  <r>
    <n v="1"/>
    <n v="6"/>
    <n v="3"/>
    <n v="24"/>
    <n v="6"/>
    <x v="1"/>
    <x v="3"/>
    <n v="106"/>
    <n v="4"/>
    <x v="7"/>
    <n v="6.4"/>
    <n v="6.4"/>
    <n v="5.8"/>
    <n v="6.2"/>
  </r>
  <r>
    <n v="1"/>
    <n v="7"/>
    <n v="4"/>
    <n v="25"/>
    <n v="7"/>
    <x v="0"/>
    <x v="3"/>
    <n v="107"/>
    <n v="4"/>
    <x v="6"/>
    <n v="7.6"/>
    <n v="7.6"/>
    <n v="6.8"/>
    <n v="7.333333333333333"/>
  </r>
  <r>
    <n v="2"/>
    <n v="7"/>
    <n v="4"/>
    <n v="26"/>
    <n v="10"/>
    <x v="0"/>
    <x v="2"/>
    <n v="207"/>
    <n v="4"/>
    <x v="6"/>
    <n v="7.3"/>
    <n v="7"/>
    <n v="6.6"/>
    <n v="6.9666666666666659"/>
  </r>
  <r>
    <n v="3"/>
    <n v="7"/>
    <n v="4"/>
    <n v="27"/>
    <n v="23"/>
    <x v="0"/>
    <x v="1"/>
    <n v="307"/>
    <n v="4"/>
    <x v="6"/>
    <n v="7.1"/>
    <n v="6.7"/>
    <n v="6.7"/>
    <n v="6.833333333333333"/>
  </r>
  <r>
    <n v="4"/>
    <n v="7"/>
    <n v="4"/>
    <n v="28"/>
    <n v="26"/>
    <x v="0"/>
    <x v="0"/>
    <n v="407"/>
    <n v="4"/>
    <x v="6"/>
    <n v="6.5"/>
    <n v="6.4"/>
    <n v="6.7"/>
    <n v="6.5333333333333341"/>
  </r>
  <r>
    <n v="4"/>
    <n v="8"/>
    <n v="4"/>
    <n v="29"/>
    <n v="25"/>
    <x v="1"/>
    <x v="5"/>
    <n v="408"/>
    <n v="4"/>
    <x v="7"/>
    <n v="5.6"/>
    <n v="5.5"/>
    <n v="5.5"/>
    <n v="5.5333333333333341"/>
  </r>
  <r>
    <n v="3"/>
    <n v="8"/>
    <n v="4"/>
    <n v="30"/>
    <n v="24"/>
    <x v="1"/>
    <x v="2"/>
    <n v="308"/>
    <n v="4"/>
    <x v="7"/>
    <n v="5.6"/>
    <n v="6.2"/>
    <n v="6.1"/>
    <n v="5.9666666666666659"/>
  </r>
  <r>
    <n v="2"/>
    <n v="8"/>
    <n v="4"/>
    <n v="31"/>
    <n v="9"/>
    <x v="1"/>
    <x v="3"/>
    <n v="208"/>
    <n v="4"/>
    <x v="7"/>
    <n v="6.3"/>
    <n v="5.9"/>
    <n v="6.1"/>
    <n v="6.0999999999999988"/>
  </r>
  <r>
    <n v="1"/>
    <n v="8"/>
    <n v="4"/>
    <n v="32"/>
    <n v="8"/>
    <x v="1"/>
    <x v="4"/>
    <n v="108"/>
    <n v="4"/>
    <x v="7"/>
    <n v="6.8"/>
    <n v="6.5"/>
    <n v="6.6"/>
    <n v="6.6333333333333329"/>
  </r>
  <r>
    <n v="1"/>
    <n v="1"/>
    <n v="1"/>
    <n v="1"/>
    <n v="1"/>
    <x v="0"/>
    <x v="0"/>
    <n v="101"/>
    <n v="5"/>
    <x v="8"/>
    <n v="7.7"/>
    <n v="7.3"/>
    <n v="7.3"/>
    <n v="7.4333333333333336"/>
  </r>
  <r>
    <n v="2"/>
    <n v="1"/>
    <n v="1"/>
    <n v="2"/>
    <n v="16"/>
    <x v="0"/>
    <x v="1"/>
    <n v="201"/>
    <n v="5"/>
    <x v="8"/>
    <n v="8"/>
    <n v="7.8"/>
    <n v="7.4"/>
    <n v="7.7333333333333343"/>
  </r>
  <r>
    <n v="3"/>
    <n v="1"/>
    <n v="1"/>
    <n v="3"/>
    <n v="17"/>
    <x v="0"/>
    <x v="2"/>
    <n v="301"/>
    <n v="5"/>
    <x v="8"/>
    <n v="7.9"/>
    <n v="7.9"/>
    <n v="7.8"/>
    <n v="7.8666666666666671"/>
  </r>
  <r>
    <n v="4"/>
    <n v="1"/>
    <n v="1"/>
    <n v="4"/>
    <n v="32"/>
    <x v="0"/>
    <x v="3"/>
    <n v="401"/>
    <n v="5"/>
    <x v="8"/>
    <n v="7.8"/>
    <n v="7.4"/>
    <n v="8.1999999999999993"/>
    <n v="7.8"/>
  </r>
  <r>
    <n v="4"/>
    <n v="2"/>
    <n v="1"/>
    <n v="5"/>
    <n v="31"/>
    <x v="1"/>
    <x v="4"/>
    <n v="402"/>
    <n v="5"/>
    <x v="9"/>
    <n v="7.5"/>
    <n v="7.5"/>
    <n v="7.4"/>
    <n v="7.4666666666666659"/>
  </r>
  <r>
    <n v="3"/>
    <n v="2"/>
    <n v="1"/>
    <n v="6"/>
    <n v="18"/>
    <x v="1"/>
    <x v="3"/>
    <n v="302"/>
    <n v="5"/>
    <x v="9"/>
    <n v="6.9"/>
    <n v="7.1"/>
    <n v="7.2"/>
    <n v="7.0666666666666664"/>
  </r>
  <r>
    <n v="2"/>
    <n v="2"/>
    <n v="1"/>
    <n v="7"/>
    <n v="15"/>
    <x v="1"/>
    <x v="2"/>
    <n v="202"/>
    <n v="5"/>
    <x v="9"/>
    <n v="6.6"/>
    <n v="7"/>
    <n v="6.5"/>
    <n v="6.7"/>
  </r>
  <r>
    <n v="1"/>
    <n v="2"/>
    <n v="1"/>
    <n v="8"/>
    <n v="2"/>
    <x v="1"/>
    <x v="5"/>
    <n v="102"/>
    <n v="5"/>
    <x v="9"/>
    <n v="7.2"/>
    <n v="7.1"/>
    <n v="6.7"/>
    <n v="7"/>
  </r>
  <r>
    <n v="1"/>
    <n v="3"/>
    <n v="2"/>
    <n v="9"/>
    <n v="3"/>
    <x v="0"/>
    <x v="1"/>
    <n v="103"/>
    <n v="5"/>
    <x v="8"/>
    <n v="8"/>
    <n v="7.3"/>
    <n v="7.4"/>
    <n v="7.5666666666666673"/>
  </r>
  <r>
    <n v="2"/>
    <n v="3"/>
    <n v="2"/>
    <n v="10"/>
    <n v="14"/>
    <x v="0"/>
    <x v="3"/>
    <n v="203"/>
    <n v="5"/>
    <x v="8"/>
    <n v="8.3000000000000007"/>
    <n v="7.8"/>
    <n v="7.7"/>
    <n v="7.9333333333333336"/>
  </r>
  <r>
    <n v="3"/>
    <n v="3"/>
    <n v="2"/>
    <n v="11"/>
    <n v="19"/>
    <x v="0"/>
    <x v="0"/>
    <n v="303"/>
    <n v="5"/>
    <x v="8"/>
    <n v="8"/>
    <n v="7.3"/>
    <n v="7.6"/>
    <n v="7.6333333333333329"/>
  </r>
  <r>
    <n v="4"/>
    <n v="3"/>
    <n v="2"/>
    <n v="12"/>
    <n v="30"/>
    <x v="0"/>
    <x v="2"/>
    <n v="403"/>
    <n v="5"/>
    <x v="8"/>
    <n v="7.7"/>
    <n v="7.8"/>
    <n v="7.1"/>
    <n v="7.5333333333333341"/>
  </r>
  <r>
    <n v="4"/>
    <n v="4"/>
    <n v="2"/>
    <n v="13"/>
    <n v="29"/>
    <x v="1"/>
    <x v="3"/>
    <n v="404"/>
    <n v="5"/>
    <x v="9"/>
    <n v="7.2"/>
    <n v="6.8"/>
    <n v="6.8"/>
    <n v="6.9333333333333336"/>
  </r>
  <r>
    <n v="3"/>
    <n v="4"/>
    <n v="2"/>
    <n v="14"/>
    <n v="20"/>
    <x v="1"/>
    <x v="5"/>
    <n v="304"/>
    <n v="5"/>
    <x v="9"/>
    <n v="6.6"/>
    <n v="6.5"/>
    <n v="6.7"/>
    <n v="6.6000000000000005"/>
  </r>
  <r>
    <n v="2"/>
    <n v="4"/>
    <n v="2"/>
    <n v="15"/>
    <n v="13"/>
    <x v="1"/>
    <x v="4"/>
    <n v="204"/>
    <n v="5"/>
    <x v="9"/>
    <n v="7.6"/>
    <n v="7"/>
    <n v="7.4"/>
    <n v="7.333333333333333"/>
  </r>
  <r>
    <n v="1"/>
    <n v="4"/>
    <n v="2"/>
    <n v="16"/>
    <n v="4"/>
    <x v="1"/>
    <x v="2"/>
    <n v="104"/>
    <n v="5"/>
    <x v="9"/>
    <n v="7.2"/>
    <n v="6.9"/>
    <n v="7.1"/>
    <n v="7.0666666666666673"/>
  </r>
  <r>
    <n v="1"/>
    <n v="5"/>
    <n v="3"/>
    <n v="17"/>
    <n v="5"/>
    <x v="0"/>
    <x v="2"/>
    <n v="105"/>
    <n v="5"/>
    <x v="8"/>
    <n v="8.1"/>
    <n v="7.7"/>
    <n v="7.5"/>
    <n v="7.7666666666666666"/>
  </r>
  <r>
    <n v="2"/>
    <n v="5"/>
    <n v="3"/>
    <n v="18"/>
    <n v="12"/>
    <x v="0"/>
    <x v="0"/>
    <n v="205"/>
    <n v="5"/>
    <x v="8"/>
    <n v="7.5"/>
    <n v="7.4"/>
    <n v="7.2"/>
    <n v="7.3666666666666671"/>
  </r>
  <r>
    <n v="3"/>
    <n v="5"/>
    <n v="3"/>
    <n v="19"/>
    <n v="21"/>
    <x v="0"/>
    <x v="3"/>
    <n v="305"/>
    <n v="5"/>
    <x v="8"/>
    <n v="7.4"/>
    <n v="7.7"/>
    <n v="8.3000000000000007"/>
    <n v="7.8000000000000007"/>
  </r>
  <r>
    <n v="4"/>
    <n v="5"/>
    <n v="3"/>
    <n v="20"/>
    <n v="28"/>
    <x v="0"/>
    <x v="1"/>
    <n v="405"/>
    <n v="5"/>
    <x v="8"/>
    <n v="7.4"/>
    <n v="7.3"/>
    <n v="8"/>
    <n v="7.5666666666666664"/>
  </r>
  <r>
    <n v="4"/>
    <n v="6"/>
    <n v="3"/>
    <n v="21"/>
    <n v="27"/>
    <x v="1"/>
    <x v="2"/>
    <n v="406"/>
    <n v="5"/>
    <x v="9"/>
    <n v="6.9"/>
    <n v="7.1"/>
    <n v="6.6"/>
    <n v="6.8666666666666671"/>
  </r>
  <r>
    <n v="3"/>
    <n v="6"/>
    <n v="3"/>
    <n v="22"/>
    <n v="22"/>
    <x v="1"/>
    <x v="4"/>
    <n v="306"/>
    <n v="5"/>
    <x v="9"/>
    <n v="7.7"/>
    <n v="7.6"/>
    <n v="7.4"/>
    <n v="7.5666666666666673"/>
  </r>
  <r>
    <n v="2"/>
    <n v="6"/>
    <n v="3"/>
    <n v="23"/>
    <n v="11"/>
    <x v="1"/>
    <x v="5"/>
    <n v="206"/>
    <n v="5"/>
    <x v="9"/>
    <n v="6.5"/>
    <n v="6.2"/>
    <n v="6.8"/>
    <n v="6.5"/>
  </r>
  <r>
    <n v="1"/>
    <n v="6"/>
    <n v="3"/>
    <n v="24"/>
    <n v="6"/>
    <x v="1"/>
    <x v="3"/>
    <n v="106"/>
    <n v="5"/>
    <x v="9"/>
    <n v="7.4"/>
    <n v="7"/>
    <n v="7.5"/>
    <n v="7.3"/>
  </r>
  <r>
    <n v="1"/>
    <n v="7"/>
    <n v="4"/>
    <n v="25"/>
    <n v="7"/>
    <x v="0"/>
    <x v="3"/>
    <n v="107"/>
    <n v="5"/>
    <x v="8"/>
    <n v="8.6999999999999993"/>
    <n v="8.6"/>
    <n v="7.7"/>
    <n v="8.3333333333333321"/>
  </r>
  <r>
    <n v="2"/>
    <n v="7"/>
    <n v="4"/>
    <n v="26"/>
    <n v="10"/>
    <x v="0"/>
    <x v="2"/>
    <n v="207"/>
    <n v="5"/>
    <x v="8"/>
    <n v="8.1"/>
    <n v="8"/>
    <n v="7.5"/>
    <n v="7.8666666666666671"/>
  </r>
  <r>
    <n v="3"/>
    <n v="7"/>
    <n v="4"/>
    <n v="27"/>
    <n v="23"/>
    <x v="0"/>
    <x v="1"/>
    <n v="307"/>
    <n v="5"/>
    <x v="8"/>
    <n v="8.1999999999999993"/>
    <n v="7.7"/>
    <n v="7.6"/>
    <n v="7.833333333333333"/>
  </r>
  <r>
    <n v="4"/>
    <n v="7"/>
    <n v="4"/>
    <n v="28"/>
    <n v="26"/>
    <x v="0"/>
    <x v="0"/>
    <n v="407"/>
    <n v="5"/>
    <x v="8"/>
    <n v="7.4"/>
    <n v="7.3"/>
    <n v="7.6"/>
    <n v="7.4333333333333327"/>
  </r>
  <r>
    <n v="4"/>
    <n v="8"/>
    <n v="4"/>
    <n v="29"/>
    <n v="25"/>
    <x v="1"/>
    <x v="5"/>
    <n v="408"/>
    <n v="5"/>
    <x v="9"/>
    <n v="6.5"/>
    <n v="6.5"/>
    <n v="6.5"/>
    <n v="6.5"/>
  </r>
  <r>
    <n v="3"/>
    <n v="8"/>
    <n v="4"/>
    <n v="30"/>
    <n v="24"/>
    <x v="1"/>
    <x v="2"/>
    <n v="308"/>
    <n v="5"/>
    <x v="9"/>
    <n v="6.7"/>
    <n v="7.1"/>
    <n v="7.1"/>
    <n v="6.9666666666666659"/>
  </r>
  <r>
    <n v="2"/>
    <n v="8"/>
    <n v="4"/>
    <n v="31"/>
    <n v="9"/>
    <x v="1"/>
    <x v="3"/>
    <n v="208"/>
    <n v="5"/>
    <x v="9"/>
    <n v="6.9"/>
    <n v="7.4"/>
    <n v="7.1"/>
    <n v="7.1333333333333329"/>
  </r>
  <r>
    <n v="1"/>
    <n v="8"/>
    <n v="4"/>
    <n v="32"/>
    <n v="8"/>
    <x v="1"/>
    <x v="4"/>
    <n v="108"/>
    <n v="5"/>
    <x v="9"/>
    <n v="7.5"/>
    <n v="7.4"/>
    <n v="7.8"/>
    <n v="7.5666666666666664"/>
  </r>
  <r>
    <n v="1"/>
    <n v="1"/>
    <n v="1"/>
    <n v="1"/>
    <n v="1"/>
    <x v="0"/>
    <x v="0"/>
    <n v="101"/>
    <n v="6"/>
    <x v="10"/>
    <n v="8.4"/>
    <n v="8.3000000000000007"/>
    <n v="8.1"/>
    <n v="8.2666666666666675"/>
  </r>
  <r>
    <n v="2"/>
    <n v="1"/>
    <n v="1"/>
    <n v="2"/>
    <n v="16"/>
    <x v="0"/>
    <x v="1"/>
    <n v="201"/>
    <n v="6"/>
    <x v="10"/>
    <n v="8.6999999999999993"/>
    <n v="8.6999999999999993"/>
    <n v="8.3000000000000007"/>
    <n v="8.5666666666666664"/>
  </r>
  <r>
    <n v="3"/>
    <n v="1"/>
    <n v="1"/>
    <n v="3"/>
    <n v="17"/>
    <x v="0"/>
    <x v="2"/>
    <n v="301"/>
    <n v="6"/>
    <x v="10"/>
    <n v="8.8000000000000007"/>
    <n v="8.6999999999999993"/>
    <n v="8.6999999999999993"/>
    <n v="8.7333333333333325"/>
  </r>
  <r>
    <n v="4"/>
    <n v="1"/>
    <n v="1"/>
    <n v="4"/>
    <n v="32"/>
    <x v="0"/>
    <x v="3"/>
    <n v="401"/>
    <n v="6"/>
    <x v="10"/>
    <n v="8.6999999999999993"/>
    <n v="8.4"/>
    <n v="9"/>
    <n v="8.7000000000000011"/>
  </r>
  <r>
    <n v="4"/>
    <n v="2"/>
    <n v="1"/>
    <n v="5"/>
    <n v="31"/>
    <x v="1"/>
    <x v="4"/>
    <n v="402"/>
    <n v="6"/>
    <x v="11"/>
    <m/>
    <m/>
    <m/>
    <m/>
  </r>
  <r>
    <n v="3"/>
    <n v="2"/>
    <n v="1"/>
    <n v="6"/>
    <n v="18"/>
    <x v="1"/>
    <x v="3"/>
    <n v="302"/>
    <n v="6"/>
    <x v="11"/>
    <m/>
    <m/>
    <m/>
    <m/>
  </r>
  <r>
    <n v="2"/>
    <n v="2"/>
    <n v="1"/>
    <n v="7"/>
    <n v="15"/>
    <x v="1"/>
    <x v="2"/>
    <n v="202"/>
    <n v="6"/>
    <x v="11"/>
    <m/>
    <m/>
    <m/>
    <m/>
  </r>
  <r>
    <n v="1"/>
    <n v="2"/>
    <n v="1"/>
    <n v="8"/>
    <n v="2"/>
    <x v="1"/>
    <x v="5"/>
    <n v="102"/>
    <n v="6"/>
    <x v="11"/>
    <m/>
    <m/>
    <m/>
    <m/>
  </r>
  <r>
    <n v="1"/>
    <n v="3"/>
    <n v="2"/>
    <n v="9"/>
    <n v="3"/>
    <x v="0"/>
    <x v="1"/>
    <n v="103"/>
    <n v="6"/>
    <x v="10"/>
    <n v="8.6999999999999993"/>
    <n v="8.1"/>
    <n v="8.3000000000000007"/>
    <n v="8.3666666666666654"/>
  </r>
  <r>
    <n v="2"/>
    <n v="3"/>
    <n v="2"/>
    <n v="10"/>
    <n v="14"/>
    <x v="0"/>
    <x v="3"/>
    <n v="203"/>
    <n v="6"/>
    <x v="10"/>
    <n v="8.6999999999999993"/>
    <n v="9.1"/>
    <n v="8.6999999999999993"/>
    <n v="8.8333333333333321"/>
  </r>
  <r>
    <n v="3"/>
    <n v="3"/>
    <n v="2"/>
    <n v="11"/>
    <n v="19"/>
    <x v="0"/>
    <x v="0"/>
    <n v="303"/>
    <n v="6"/>
    <x v="10"/>
    <n v="8.6"/>
    <n v="8.1999999999999993"/>
    <n v="8.4"/>
    <n v="8.3999999999999986"/>
  </r>
  <r>
    <n v="4"/>
    <n v="3"/>
    <n v="2"/>
    <n v="12"/>
    <n v="30"/>
    <x v="0"/>
    <x v="2"/>
    <n v="403"/>
    <n v="6"/>
    <x v="10"/>
    <n v="8.6"/>
    <n v="8.6999999999999993"/>
    <n v="7.8"/>
    <n v="8.3666666666666654"/>
  </r>
  <r>
    <n v="4"/>
    <n v="4"/>
    <n v="2"/>
    <n v="13"/>
    <n v="29"/>
    <x v="1"/>
    <x v="3"/>
    <n v="404"/>
    <n v="6"/>
    <x v="11"/>
    <m/>
    <m/>
    <m/>
    <m/>
  </r>
  <r>
    <n v="3"/>
    <n v="4"/>
    <n v="2"/>
    <n v="14"/>
    <n v="20"/>
    <x v="1"/>
    <x v="5"/>
    <n v="304"/>
    <n v="6"/>
    <x v="11"/>
    <m/>
    <m/>
    <m/>
    <m/>
  </r>
  <r>
    <n v="2"/>
    <n v="4"/>
    <n v="2"/>
    <n v="15"/>
    <n v="13"/>
    <x v="1"/>
    <x v="4"/>
    <n v="204"/>
    <n v="6"/>
    <x v="11"/>
    <m/>
    <m/>
    <m/>
    <m/>
  </r>
  <r>
    <n v="1"/>
    <n v="4"/>
    <n v="2"/>
    <n v="16"/>
    <n v="4"/>
    <x v="1"/>
    <x v="2"/>
    <n v="104"/>
    <n v="6"/>
    <x v="11"/>
    <m/>
    <m/>
    <m/>
    <m/>
  </r>
  <r>
    <n v="1"/>
    <n v="5"/>
    <n v="3"/>
    <n v="17"/>
    <n v="5"/>
    <x v="0"/>
    <x v="2"/>
    <n v="105"/>
    <n v="6"/>
    <x v="10"/>
    <n v="8.6999999999999993"/>
    <n v="8.4"/>
    <n v="8.4"/>
    <n v="8.5"/>
  </r>
  <r>
    <n v="2"/>
    <n v="5"/>
    <n v="3"/>
    <n v="18"/>
    <n v="12"/>
    <x v="0"/>
    <x v="0"/>
    <n v="205"/>
    <n v="6"/>
    <x v="10"/>
    <n v="8.3000000000000007"/>
    <n v="8.1999999999999993"/>
    <n v="8.1"/>
    <n v="8.2000000000000011"/>
  </r>
  <r>
    <n v="3"/>
    <n v="5"/>
    <n v="3"/>
    <n v="19"/>
    <n v="21"/>
    <x v="0"/>
    <x v="3"/>
    <n v="305"/>
    <n v="6"/>
    <x v="10"/>
    <n v="8.3000000000000007"/>
    <n v="8.5"/>
    <n v="9"/>
    <n v="8.6"/>
  </r>
  <r>
    <n v="4"/>
    <n v="5"/>
    <n v="3"/>
    <n v="20"/>
    <n v="28"/>
    <x v="0"/>
    <x v="1"/>
    <n v="405"/>
    <n v="6"/>
    <x v="10"/>
    <n v="8.1"/>
    <n v="8.3000000000000007"/>
    <n v="8.8000000000000007"/>
    <n v="8.4"/>
  </r>
  <r>
    <n v="4"/>
    <n v="6"/>
    <n v="3"/>
    <n v="21"/>
    <n v="27"/>
    <x v="1"/>
    <x v="2"/>
    <n v="406"/>
    <n v="6"/>
    <x v="11"/>
    <m/>
    <m/>
    <m/>
    <m/>
  </r>
  <r>
    <n v="3"/>
    <n v="6"/>
    <n v="3"/>
    <n v="22"/>
    <n v="22"/>
    <x v="1"/>
    <x v="4"/>
    <n v="306"/>
    <n v="6"/>
    <x v="11"/>
    <m/>
    <m/>
    <m/>
    <m/>
  </r>
  <r>
    <n v="2"/>
    <n v="6"/>
    <n v="3"/>
    <n v="23"/>
    <n v="11"/>
    <x v="1"/>
    <x v="5"/>
    <n v="206"/>
    <n v="6"/>
    <x v="11"/>
    <m/>
    <m/>
    <m/>
    <m/>
  </r>
  <r>
    <n v="1"/>
    <n v="6"/>
    <n v="3"/>
    <n v="24"/>
    <n v="6"/>
    <x v="1"/>
    <x v="3"/>
    <n v="106"/>
    <n v="6"/>
    <x v="11"/>
    <m/>
    <m/>
    <m/>
    <m/>
  </r>
  <r>
    <n v="1"/>
    <n v="7"/>
    <n v="4"/>
    <n v="25"/>
    <n v="7"/>
    <x v="0"/>
    <x v="3"/>
    <n v="107"/>
    <n v="6"/>
    <x v="10"/>
    <n v="9.5"/>
    <n v="9.5"/>
    <n v="8.6"/>
    <n v="9.2000000000000011"/>
  </r>
  <r>
    <n v="2"/>
    <n v="7"/>
    <n v="4"/>
    <n v="26"/>
    <n v="10"/>
    <x v="0"/>
    <x v="2"/>
    <n v="207"/>
    <n v="6"/>
    <x v="10"/>
    <n v="8.8000000000000007"/>
    <n v="8.8000000000000007"/>
    <n v="8.4"/>
    <n v="8.6666666666666661"/>
  </r>
  <r>
    <n v="3"/>
    <n v="7"/>
    <n v="4"/>
    <n v="27"/>
    <n v="23"/>
    <x v="0"/>
    <x v="1"/>
    <n v="307"/>
    <n v="6"/>
    <x v="10"/>
    <n v="8.8000000000000007"/>
    <n v="8.6999999999999993"/>
    <n v="8.4"/>
    <n v="8.6333333333333329"/>
  </r>
  <r>
    <n v="4"/>
    <n v="7"/>
    <n v="4"/>
    <n v="28"/>
    <n v="26"/>
    <x v="0"/>
    <x v="0"/>
    <n v="407"/>
    <n v="6"/>
    <x v="10"/>
    <n v="8.3000000000000007"/>
    <n v="8.1"/>
    <n v="8.6"/>
    <n v="8.3333333333333339"/>
  </r>
  <r>
    <n v="4"/>
    <n v="8"/>
    <n v="4"/>
    <n v="29"/>
    <n v="25"/>
    <x v="1"/>
    <x v="5"/>
    <n v="408"/>
    <n v="6"/>
    <x v="11"/>
    <m/>
    <m/>
    <m/>
    <m/>
  </r>
  <r>
    <n v="3"/>
    <n v="8"/>
    <n v="4"/>
    <n v="30"/>
    <n v="24"/>
    <x v="1"/>
    <x v="2"/>
    <n v="308"/>
    <n v="6"/>
    <x v="11"/>
    <m/>
    <m/>
    <m/>
    <m/>
  </r>
  <r>
    <n v="2"/>
    <n v="8"/>
    <n v="4"/>
    <n v="31"/>
    <n v="9"/>
    <x v="1"/>
    <x v="3"/>
    <n v="208"/>
    <n v="6"/>
    <x v="11"/>
    <m/>
    <m/>
    <m/>
    <m/>
  </r>
  <r>
    <n v="1"/>
    <n v="8"/>
    <n v="4"/>
    <n v="32"/>
    <n v="8"/>
    <x v="1"/>
    <x v="4"/>
    <n v="108"/>
    <n v="6"/>
    <x v="11"/>
    <m/>
    <m/>
    <m/>
    <m/>
  </r>
  <r>
    <n v="1"/>
    <n v="1"/>
    <n v="1"/>
    <n v="1"/>
    <n v="1"/>
    <x v="0"/>
    <x v="0"/>
    <n v="101"/>
    <n v="7"/>
    <x v="9"/>
    <n v="9.8000000000000007"/>
    <n v="9.4"/>
    <n v="9.4"/>
    <n v="9.5333333333333332"/>
  </r>
  <r>
    <n v="2"/>
    <n v="1"/>
    <n v="1"/>
    <n v="2"/>
    <n v="16"/>
    <x v="0"/>
    <x v="1"/>
    <n v="201"/>
    <n v="7"/>
    <x v="9"/>
    <n v="9.9"/>
    <n v="10.199999999999999"/>
    <n v="9.8000000000000007"/>
    <n v="9.9666666666666668"/>
  </r>
  <r>
    <n v="3"/>
    <n v="1"/>
    <n v="1"/>
    <n v="3"/>
    <n v="17"/>
    <x v="0"/>
    <x v="2"/>
    <n v="301"/>
    <n v="7"/>
    <x v="9"/>
    <n v="10.3"/>
    <n v="10.1"/>
    <n v="10.1"/>
    <n v="10.166666666666666"/>
  </r>
  <r>
    <n v="4"/>
    <n v="1"/>
    <n v="1"/>
    <n v="4"/>
    <n v="32"/>
    <x v="0"/>
    <x v="3"/>
    <n v="401"/>
    <n v="7"/>
    <x v="9"/>
    <n v="10.4"/>
    <n v="9.9"/>
    <n v="10.4"/>
    <n v="10.233333333333334"/>
  </r>
  <r>
    <n v="4"/>
    <n v="2"/>
    <n v="1"/>
    <n v="5"/>
    <n v="31"/>
    <x v="1"/>
    <x v="4"/>
    <n v="402"/>
    <n v="7"/>
    <x v="11"/>
    <m/>
    <m/>
    <m/>
    <m/>
  </r>
  <r>
    <n v="3"/>
    <n v="2"/>
    <n v="1"/>
    <n v="6"/>
    <n v="18"/>
    <x v="1"/>
    <x v="3"/>
    <n v="302"/>
    <n v="7"/>
    <x v="11"/>
    <m/>
    <m/>
    <m/>
    <m/>
  </r>
  <r>
    <n v="2"/>
    <n v="2"/>
    <n v="1"/>
    <n v="7"/>
    <n v="15"/>
    <x v="1"/>
    <x v="2"/>
    <n v="202"/>
    <n v="7"/>
    <x v="11"/>
    <m/>
    <m/>
    <m/>
    <m/>
  </r>
  <r>
    <n v="1"/>
    <n v="2"/>
    <n v="1"/>
    <n v="8"/>
    <n v="2"/>
    <x v="1"/>
    <x v="5"/>
    <n v="102"/>
    <n v="7"/>
    <x v="11"/>
    <m/>
    <m/>
    <m/>
    <m/>
  </r>
  <r>
    <n v="1"/>
    <n v="3"/>
    <n v="2"/>
    <n v="9"/>
    <n v="3"/>
    <x v="0"/>
    <x v="1"/>
    <n v="103"/>
    <n v="7"/>
    <x v="9"/>
    <n v="9.6999999999999993"/>
    <n v="9.6999999999999993"/>
    <n v="10"/>
    <n v="9.7999999999999989"/>
  </r>
  <r>
    <n v="2"/>
    <n v="3"/>
    <n v="2"/>
    <n v="10"/>
    <n v="14"/>
    <x v="0"/>
    <x v="3"/>
    <n v="203"/>
    <n v="7"/>
    <x v="9"/>
    <n v="9.9"/>
    <n v="10.199999999999999"/>
    <n v="10.7"/>
    <n v="10.266666666666667"/>
  </r>
  <r>
    <n v="3"/>
    <n v="3"/>
    <n v="2"/>
    <n v="11"/>
    <n v="19"/>
    <x v="0"/>
    <x v="0"/>
    <n v="303"/>
    <n v="7"/>
    <x v="9"/>
    <n v="9.6"/>
    <n v="9.1999999999999993"/>
    <n v="9.8000000000000007"/>
    <n v="9.5333333333333332"/>
  </r>
  <r>
    <n v="4"/>
    <n v="3"/>
    <n v="2"/>
    <n v="12"/>
    <n v="30"/>
    <x v="0"/>
    <x v="2"/>
    <n v="403"/>
    <n v="7"/>
    <x v="9"/>
    <n v="10.5"/>
    <n v="10.4"/>
    <n v="10"/>
    <n v="10.299999999999999"/>
  </r>
  <r>
    <n v="4"/>
    <n v="4"/>
    <n v="2"/>
    <n v="13"/>
    <n v="29"/>
    <x v="1"/>
    <x v="3"/>
    <n v="404"/>
    <n v="7"/>
    <x v="11"/>
    <m/>
    <m/>
    <m/>
    <m/>
  </r>
  <r>
    <n v="3"/>
    <n v="4"/>
    <n v="2"/>
    <n v="14"/>
    <n v="20"/>
    <x v="1"/>
    <x v="5"/>
    <n v="304"/>
    <n v="7"/>
    <x v="11"/>
    <m/>
    <m/>
    <m/>
    <m/>
  </r>
  <r>
    <n v="2"/>
    <n v="4"/>
    <n v="2"/>
    <n v="15"/>
    <n v="13"/>
    <x v="1"/>
    <x v="4"/>
    <n v="204"/>
    <n v="7"/>
    <x v="11"/>
    <m/>
    <m/>
    <m/>
    <m/>
  </r>
  <r>
    <n v="1"/>
    <n v="4"/>
    <n v="2"/>
    <n v="16"/>
    <n v="4"/>
    <x v="1"/>
    <x v="2"/>
    <n v="104"/>
    <n v="7"/>
    <x v="11"/>
    <m/>
    <m/>
    <m/>
    <m/>
  </r>
  <r>
    <n v="1"/>
    <n v="5"/>
    <n v="3"/>
    <n v="17"/>
    <n v="5"/>
    <x v="0"/>
    <x v="2"/>
    <n v="105"/>
    <n v="7"/>
    <x v="9"/>
    <n v="10.3"/>
    <n v="9.9"/>
    <n v="9.8000000000000007"/>
    <n v="10.000000000000002"/>
  </r>
  <r>
    <n v="2"/>
    <n v="5"/>
    <n v="3"/>
    <n v="18"/>
    <n v="12"/>
    <x v="0"/>
    <x v="0"/>
    <n v="205"/>
    <n v="7"/>
    <x v="9"/>
    <n v="9.4"/>
    <n v="9.5"/>
    <n v="9.1999999999999993"/>
    <n v="9.3666666666666654"/>
  </r>
  <r>
    <n v="3"/>
    <n v="5"/>
    <n v="3"/>
    <n v="19"/>
    <n v="21"/>
    <x v="0"/>
    <x v="3"/>
    <n v="305"/>
    <n v="7"/>
    <x v="9"/>
    <n v="9.6999999999999993"/>
    <n v="9.9"/>
    <n v="10.5"/>
    <n v="10.033333333333333"/>
  </r>
  <r>
    <n v="4"/>
    <n v="5"/>
    <n v="3"/>
    <n v="20"/>
    <n v="28"/>
    <x v="0"/>
    <x v="1"/>
    <n v="405"/>
    <n v="7"/>
    <x v="9"/>
    <n v="9.6999999999999993"/>
    <n v="9.8000000000000007"/>
    <n v="10.199999999999999"/>
    <n v="9.9"/>
  </r>
  <r>
    <n v="4"/>
    <n v="6"/>
    <n v="3"/>
    <n v="21"/>
    <n v="27"/>
    <x v="1"/>
    <x v="2"/>
    <n v="406"/>
    <n v="7"/>
    <x v="11"/>
    <m/>
    <m/>
    <m/>
    <m/>
  </r>
  <r>
    <n v="3"/>
    <n v="6"/>
    <n v="3"/>
    <n v="22"/>
    <n v="22"/>
    <x v="1"/>
    <x v="4"/>
    <n v="306"/>
    <n v="7"/>
    <x v="11"/>
    <m/>
    <m/>
    <m/>
    <m/>
  </r>
  <r>
    <n v="2"/>
    <n v="6"/>
    <n v="3"/>
    <n v="23"/>
    <n v="11"/>
    <x v="1"/>
    <x v="5"/>
    <n v="206"/>
    <n v="7"/>
    <x v="11"/>
    <m/>
    <m/>
    <m/>
    <m/>
  </r>
  <r>
    <n v="1"/>
    <n v="6"/>
    <n v="3"/>
    <n v="24"/>
    <n v="6"/>
    <x v="1"/>
    <x v="3"/>
    <n v="106"/>
    <n v="7"/>
    <x v="11"/>
    <m/>
    <m/>
    <m/>
    <m/>
  </r>
  <r>
    <n v="1"/>
    <n v="7"/>
    <n v="4"/>
    <n v="25"/>
    <n v="7"/>
    <x v="0"/>
    <x v="3"/>
    <n v="107"/>
    <n v="7"/>
    <x v="9"/>
    <n v="9.9"/>
    <n v="11"/>
    <n v="10.8"/>
    <n v="10.566666666666666"/>
  </r>
  <r>
    <n v="2"/>
    <n v="7"/>
    <n v="4"/>
    <n v="26"/>
    <n v="10"/>
    <x v="0"/>
    <x v="2"/>
    <n v="207"/>
    <n v="7"/>
    <x v="9"/>
    <n v="9.8000000000000007"/>
    <n v="10.5"/>
    <n v="10.7"/>
    <n v="10.333333333333334"/>
  </r>
  <r>
    <n v="3"/>
    <n v="7"/>
    <n v="4"/>
    <n v="27"/>
    <n v="23"/>
    <x v="0"/>
    <x v="1"/>
    <n v="307"/>
    <n v="7"/>
    <x v="9"/>
    <n v="9.6"/>
    <n v="10"/>
    <n v="10"/>
    <n v="9.8666666666666671"/>
  </r>
  <r>
    <n v="4"/>
    <n v="7"/>
    <n v="4"/>
    <n v="28"/>
    <n v="26"/>
    <x v="0"/>
    <x v="0"/>
    <n v="407"/>
    <n v="7"/>
    <x v="9"/>
    <n v="9.8000000000000007"/>
    <n v="9.1999999999999993"/>
    <n v="9.4"/>
    <n v="9.4666666666666668"/>
  </r>
  <r>
    <n v="4"/>
    <n v="8"/>
    <n v="4"/>
    <n v="29"/>
    <n v="25"/>
    <x v="1"/>
    <x v="5"/>
    <n v="408"/>
    <n v="7"/>
    <x v="11"/>
    <m/>
    <m/>
    <m/>
    <m/>
  </r>
  <r>
    <n v="3"/>
    <n v="8"/>
    <n v="4"/>
    <n v="30"/>
    <n v="24"/>
    <x v="1"/>
    <x v="2"/>
    <n v="308"/>
    <n v="7"/>
    <x v="11"/>
    <m/>
    <m/>
    <m/>
    <m/>
  </r>
  <r>
    <n v="2"/>
    <n v="8"/>
    <n v="4"/>
    <n v="31"/>
    <n v="9"/>
    <x v="1"/>
    <x v="3"/>
    <n v="208"/>
    <n v="7"/>
    <x v="11"/>
    <m/>
    <m/>
    <m/>
    <m/>
  </r>
  <r>
    <n v="1"/>
    <n v="8"/>
    <n v="4"/>
    <n v="32"/>
    <n v="8"/>
    <x v="1"/>
    <x v="4"/>
    <n v="108"/>
    <n v="7"/>
    <x v="11"/>
    <m/>
    <m/>
    <m/>
    <m/>
  </r>
  <r>
    <n v="1"/>
    <n v="1"/>
    <n v="1"/>
    <n v="1"/>
    <n v="1"/>
    <x v="0"/>
    <x v="0"/>
    <n v="101"/>
    <n v="8"/>
    <x v="11"/>
    <m/>
    <m/>
    <m/>
    <m/>
  </r>
  <r>
    <n v="2"/>
    <n v="1"/>
    <n v="1"/>
    <n v="2"/>
    <n v="16"/>
    <x v="0"/>
    <x v="1"/>
    <n v="201"/>
    <n v="8"/>
    <x v="11"/>
    <m/>
    <m/>
    <m/>
    <m/>
  </r>
  <r>
    <n v="3"/>
    <n v="1"/>
    <n v="1"/>
    <n v="3"/>
    <n v="17"/>
    <x v="0"/>
    <x v="2"/>
    <n v="301"/>
    <n v="8"/>
    <x v="11"/>
    <m/>
    <m/>
    <m/>
    <m/>
  </r>
  <r>
    <n v="4"/>
    <n v="1"/>
    <n v="1"/>
    <n v="4"/>
    <n v="32"/>
    <x v="0"/>
    <x v="3"/>
    <n v="401"/>
    <n v="8"/>
    <x v="11"/>
    <m/>
    <m/>
    <m/>
    <m/>
  </r>
  <r>
    <n v="4"/>
    <n v="2"/>
    <n v="1"/>
    <n v="5"/>
    <n v="31"/>
    <x v="1"/>
    <x v="4"/>
    <n v="402"/>
    <n v="8"/>
    <x v="11"/>
    <m/>
    <m/>
    <m/>
    <m/>
  </r>
  <r>
    <n v="3"/>
    <n v="2"/>
    <n v="1"/>
    <n v="6"/>
    <n v="18"/>
    <x v="1"/>
    <x v="3"/>
    <n v="302"/>
    <n v="8"/>
    <x v="11"/>
    <m/>
    <m/>
    <m/>
    <m/>
  </r>
  <r>
    <n v="2"/>
    <n v="2"/>
    <n v="1"/>
    <n v="7"/>
    <n v="15"/>
    <x v="1"/>
    <x v="2"/>
    <n v="202"/>
    <n v="8"/>
    <x v="11"/>
    <m/>
    <m/>
    <m/>
    <m/>
  </r>
  <r>
    <n v="1"/>
    <n v="2"/>
    <n v="1"/>
    <n v="8"/>
    <n v="2"/>
    <x v="1"/>
    <x v="5"/>
    <n v="102"/>
    <n v="8"/>
    <x v="11"/>
    <m/>
    <m/>
    <m/>
    <m/>
  </r>
  <r>
    <n v="1"/>
    <n v="3"/>
    <n v="2"/>
    <n v="9"/>
    <n v="3"/>
    <x v="0"/>
    <x v="1"/>
    <n v="103"/>
    <n v="8"/>
    <x v="11"/>
    <m/>
    <m/>
    <m/>
    <m/>
  </r>
  <r>
    <n v="2"/>
    <n v="3"/>
    <n v="2"/>
    <n v="10"/>
    <n v="14"/>
    <x v="0"/>
    <x v="3"/>
    <n v="203"/>
    <n v="8"/>
    <x v="11"/>
    <m/>
    <m/>
    <m/>
    <m/>
  </r>
  <r>
    <n v="3"/>
    <n v="3"/>
    <n v="2"/>
    <n v="11"/>
    <n v="19"/>
    <x v="0"/>
    <x v="0"/>
    <n v="303"/>
    <n v="8"/>
    <x v="11"/>
    <m/>
    <m/>
    <m/>
    <m/>
  </r>
  <r>
    <n v="4"/>
    <n v="3"/>
    <n v="2"/>
    <n v="12"/>
    <n v="30"/>
    <x v="0"/>
    <x v="2"/>
    <n v="403"/>
    <n v="8"/>
    <x v="11"/>
    <m/>
    <m/>
    <m/>
    <m/>
  </r>
  <r>
    <n v="4"/>
    <n v="4"/>
    <n v="2"/>
    <n v="13"/>
    <n v="29"/>
    <x v="1"/>
    <x v="3"/>
    <n v="404"/>
    <n v="8"/>
    <x v="11"/>
    <m/>
    <m/>
    <m/>
    <m/>
  </r>
  <r>
    <n v="3"/>
    <n v="4"/>
    <n v="2"/>
    <n v="14"/>
    <n v="20"/>
    <x v="1"/>
    <x v="5"/>
    <n v="304"/>
    <n v="8"/>
    <x v="11"/>
    <m/>
    <m/>
    <m/>
    <m/>
  </r>
  <r>
    <n v="2"/>
    <n v="4"/>
    <n v="2"/>
    <n v="15"/>
    <n v="13"/>
    <x v="1"/>
    <x v="4"/>
    <n v="204"/>
    <n v="8"/>
    <x v="11"/>
    <m/>
    <m/>
    <m/>
    <m/>
  </r>
  <r>
    <n v="1"/>
    <n v="4"/>
    <n v="2"/>
    <n v="16"/>
    <n v="4"/>
    <x v="1"/>
    <x v="2"/>
    <n v="104"/>
    <n v="8"/>
    <x v="11"/>
    <m/>
    <m/>
    <m/>
    <m/>
  </r>
  <r>
    <n v="1"/>
    <n v="5"/>
    <n v="3"/>
    <n v="17"/>
    <n v="5"/>
    <x v="0"/>
    <x v="2"/>
    <n v="105"/>
    <n v="8"/>
    <x v="11"/>
    <m/>
    <m/>
    <m/>
    <m/>
  </r>
  <r>
    <n v="2"/>
    <n v="5"/>
    <n v="3"/>
    <n v="18"/>
    <n v="12"/>
    <x v="0"/>
    <x v="0"/>
    <n v="205"/>
    <n v="8"/>
    <x v="11"/>
    <m/>
    <m/>
    <m/>
    <m/>
  </r>
  <r>
    <n v="3"/>
    <n v="5"/>
    <n v="3"/>
    <n v="19"/>
    <n v="21"/>
    <x v="0"/>
    <x v="3"/>
    <n v="305"/>
    <n v="8"/>
    <x v="11"/>
    <m/>
    <m/>
    <m/>
    <m/>
  </r>
  <r>
    <n v="4"/>
    <n v="5"/>
    <n v="3"/>
    <n v="20"/>
    <n v="28"/>
    <x v="0"/>
    <x v="1"/>
    <n v="405"/>
    <n v="8"/>
    <x v="11"/>
    <m/>
    <m/>
    <m/>
    <m/>
  </r>
  <r>
    <n v="4"/>
    <n v="6"/>
    <n v="3"/>
    <n v="21"/>
    <n v="27"/>
    <x v="1"/>
    <x v="2"/>
    <n v="406"/>
    <n v="8"/>
    <x v="11"/>
    <m/>
    <m/>
    <m/>
    <m/>
  </r>
  <r>
    <n v="3"/>
    <n v="6"/>
    <n v="3"/>
    <n v="22"/>
    <n v="22"/>
    <x v="1"/>
    <x v="4"/>
    <n v="306"/>
    <n v="8"/>
    <x v="11"/>
    <m/>
    <m/>
    <m/>
    <m/>
  </r>
  <r>
    <n v="2"/>
    <n v="6"/>
    <n v="3"/>
    <n v="23"/>
    <n v="11"/>
    <x v="1"/>
    <x v="5"/>
    <n v="206"/>
    <n v="8"/>
    <x v="11"/>
    <m/>
    <m/>
    <m/>
    <m/>
  </r>
  <r>
    <n v="1"/>
    <n v="6"/>
    <n v="3"/>
    <n v="24"/>
    <n v="6"/>
    <x v="1"/>
    <x v="3"/>
    <n v="106"/>
    <n v="8"/>
    <x v="11"/>
    <m/>
    <m/>
    <m/>
    <m/>
  </r>
  <r>
    <n v="1"/>
    <n v="7"/>
    <n v="4"/>
    <n v="25"/>
    <n v="7"/>
    <x v="0"/>
    <x v="3"/>
    <n v="107"/>
    <n v="8"/>
    <x v="11"/>
    <m/>
    <m/>
    <m/>
    <m/>
  </r>
  <r>
    <n v="2"/>
    <n v="7"/>
    <n v="4"/>
    <n v="26"/>
    <n v="10"/>
    <x v="0"/>
    <x v="2"/>
    <n v="207"/>
    <n v="8"/>
    <x v="11"/>
    <m/>
    <m/>
    <m/>
    <m/>
  </r>
  <r>
    <n v="3"/>
    <n v="7"/>
    <n v="4"/>
    <n v="27"/>
    <n v="23"/>
    <x v="0"/>
    <x v="1"/>
    <n v="307"/>
    <n v="8"/>
    <x v="11"/>
    <m/>
    <m/>
    <m/>
    <m/>
  </r>
  <r>
    <n v="4"/>
    <n v="7"/>
    <n v="4"/>
    <n v="28"/>
    <n v="26"/>
    <x v="0"/>
    <x v="0"/>
    <n v="407"/>
    <n v="8"/>
    <x v="11"/>
    <m/>
    <m/>
    <m/>
    <m/>
  </r>
  <r>
    <n v="4"/>
    <n v="8"/>
    <n v="4"/>
    <n v="29"/>
    <n v="25"/>
    <x v="1"/>
    <x v="5"/>
    <n v="408"/>
    <n v="8"/>
    <x v="11"/>
    <m/>
    <m/>
    <m/>
    <m/>
  </r>
  <r>
    <n v="3"/>
    <n v="8"/>
    <n v="4"/>
    <n v="30"/>
    <n v="24"/>
    <x v="1"/>
    <x v="2"/>
    <n v="308"/>
    <n v="8"/>
    <x v="11"/>
    <m/>
    <m/>
    <m/>
    <m/>
  </r>
  <r>
    <n v="2"/>
    <n v="8"/>
    <n v="4"/>
    <n v="31"/>
    <n v="9"/>
    <x v="1"/>
    <x v="3"/>
    <n v="208"/>
    <n v="8"/>
    <x v="11"/>
    <m/>
    <m/>
    <m/>
    <m/>
  </r>
  <r>
    <n v="1"/>
    <n v="8"/>
    <n v="4"/>
    <n v="32"/>
    <n v="8"/>
    <x v="1"/>
    <x v="4"/>
    <n v="108"/>
    <n v="8"/>
    <x v="11"/>
    <m/>
    <m/>
    <m/>
    <m/>
  </r>
  <r>
    <n v="1"/>
    <n v="1"/>
    <n v="1"/>
    <n v="1"/>
    <n v="1"/>
    <x v="0"/>
    <x v="0"/>
    <n v="101"/>
    <n v="9"/>
    <x v="11"/>
    <m/>
    <m/>
    <m/>
    <m/>
  </r>
  <r>
    <n v="2"/>
    <n v="1"/>
    <n v="1"/>
    <n v="2"/>
    <n v="16"/>
    <x v="0"/>
    <x v="1"/>
    <n v="201"/>
    <n v="9"/>
    <x v="11"/>
    <m/>
    <m/>
    <m/>
    <m/>
  </r>
  <r>
    <n v="3"/>
    <n v="1"/>
    <n v="1"/>
    <n v="3"/>
    <n v="17"/>
    <x v="0"/>
    <x v="2"/>
    <n v="301"/>
    <n v="9"/>
    <x v="11"/>
    <m/>
    <m/>
    <m/>
    <m/>
  </r>
  <r>
    <n v="4"/>
    <n v="1"/>
    <n v="1"/>
    <n v="4"/>
    <n v="32"/>
    <x v="0"/>
    <x v="3"/>
    <n v="401"/>
    <n v="9"/>
    <x v="11"/>
    <m/>
    <m/>
    <m/>
    <m/>
  </r>
  <r>
    <n v="4"/>
    <n v="2"/>
    <n v="1"/>
    <n v="5"/>
    <n v="31"/>
    <x v="1"/>
    <x v="4"/>
    <n v="402"/>
    <n v="9"/>
    <x v="11"/>
    <m/>
    <m/>
    <m/>
    <m/>
  </r>
  <r>
    <n v="3"/>
    <n v="2"/>
    <n v="1"/>
    <n v="6"/>
    <n v="18"/>
    <x v="1"/>
    <x v="3"/>
    <n v="302"/>
    <n v="9"/>
    <x v="11"/>
    <m/>
    <m/>
    <m/>
    <m/>
  </r>
  <r>
    <n v="2"/>
    <n v="2"/>
    <n v="1"/>
    <n v="7"/>
    <n v="15"/>
    <x v="1"/>
    <x v="2"/>
    <n v="202"/>
    <n v="9"/>
    <x v="11"/>
    <m/>
    <m/>
    <m/>
    <m/>
  </r>
  <r>
    <n v="1"/>
    <n v="2"/>
    <n v="1"/>
    <n v="8"/>
    <n v="2"/>
    <x v="1"/>
    <x v="5"/>
    <n v="102"/>
    <n v="9"/>
    <x v="11"/>
    <m/>
    <m/>
    <m/>
    <m/>
  </r>
  <r>
    <n v="1"/>
    <n v="3"/>
    <n v="2"/>
    <n v="9"/>
    <n v="3"/>
    <x v="0"/>
    <x v="1"/>
    <n v="103"/>
    <n v="9"/>
    <x v="11"/>
    <m/>
    <m/>
    <m/>
    <m/>
  </r>
  <r>
    <n v="2"/>
    <n v="3"/>
    <n v="2"/>
    <n v="10"/>
    <n v="14"/>
    <x v="0"/>
    <x v="3"/>
    <n v="203"/>
    <n v="9"/>
    <x v="11"/>
    <m/>
    <m/>
    <m/>
    <m/>
  </r>
  <r>
    <n v="3"/>
    <n v="3"/>
    <n v="2"/>
    <n v="11"/>
    <n v="19"/>
    <x v="0"/>
    <x v="0"/>
    <n v="303"/>
    <n v="9"/>
    <x v="11"/>
    <m/>
    <m/>
    <m/>
    <m/>
  </r>
  <r>
    <n v="4"/>
    <n v="3"/>
    <n v="2"/>
    <n v="12"/>
    <n v="30"/>
    <x v="0"/>
    <x v="2"/>
    <n v="403"/>
    <n v="9"/>
    <x v="11"/>
    <m/>
    <m/>
    <m/>
    <m/>
  </r>
  <r>
    <n v="4"/>
    <n v="4"/>
    <n v="2"/>
    <n v="13"/>
    <n v="29"/>
    <x v="1"/>
    <x v="3"/>
    <n v="404"/>
    <n v="9"/>
    <x v="11"/>
    <m/>
    <m/>
    <m/>
    <m/>
  </r>
  <r>
    <n v="3"/>
    <n v="4"/>
    <n v="2"/>
    <n v="14"/>
    <n v="20"/>
    <x v="1"/>
    <x v="5"/>
    <n v="304"/>
    <n v="9"/>
    <x v="11"/>
    <m/>
    <m/>
    <m/>
    <m/>
  </r>
  <r>
    <n v="2"/>
    <n v="4"/>
    <n v="2"/>
    <n v="15"/>
    <n v="13"/>
    <x v="1"/>
    <x v="4"/>
    <n v="204"/>
    <n v="9"/>
    <x v="11"/>
    <m/>
    <m/>
    <m/>
    <m/>
  </r>
  <r>
    <n v="1"/>
    <n v="4"/>
    <n v="2"/>
    <n v="16"/>
    <n v="4"/>
    <x v="1"/>
    <x v="2"/>
    <n v="104"/>
    <n v="9"/>
    <x v="11"/>
    <m/>
    <m/>
    <m/>
    <m/>
  </r>
  <r>
    <n v="1"/>
    <n v="5"/>
    <n v="3"/>
    <n v="17"/>
    <n v="5"/>
    <x v="0"/>
    <x v="2"/>
    <n v="105"/>
    <n v="9"/>
    <x v="11"/>
    <m/>
    <m/>
    <m/>
    <m/>
  </r>
  <r>
    <n v="2"/>
    <n v="5"/>
    <n v="3"/>
    <n v="18"/>
    <n v="12"/>
    <x v="0"/>
    <x v="0"/>
    <n v="205"/>
    <n v="9"/>
    <x v="11"/>
    <m/>
    <m/>
    <m/>
    <m/>
  </r>
  <r>
    <n v="3"/>
    <n v="5"/>
    <n v="3"/>
    <n v="19"/>
    <n v="21"/>
    <x v="0"/>
    <x v="3"/>
    <n v="305"/>
    <n v="9"/>
    <x v="11"/>
    <m/>
    <m/>
    <m/>
    <m/>
  </r>
  <r>
    <n v="4"/>
    <n v="5"/>
    <n v="3"/>
    <n v="20"/>
    <n v="28"/>
    <x v="0"/>
    <x v="1"/>
    <n v="405"/>
    <n v="9"/>
    <x v="11"/>
    <m/>
    <m/>
    <m/>
    <m/>
  </r>
  <r>
    <n v="4"/>
    <n v="6"/>
    <n v="3"/>
    <n v="21"/>
    <n v="27"/>
    <x v="1"/>
    <x v="2"/>
    <n v="406"/>
    <n v="9"/>
    <x v="11"/>
    <m/>
    <m/>
    <m/>
    <m/>
  </r>
  <r>
    <n v="3"/>
    <n v="6"/>
    <n v="3"/>
    <n v="22"/>
    <n v="22"/>
    <x v="1"/>
    <x v="4"/>
    <n v="306"/>
    <n v="9"/>
    <x v="11"/>
    <m/>
    <m/>
    <m/>
    <m/>
  </r>
  <r>
    <n v="2"/>
    <n v="6"/>
    <n v="3"/>
    <n v="23"/>
    <n v="11"/>
    <x v="1"/>
    <x v="5"/>
    <n v="206"/>
    <n v="9"/>
    <x v="11"/>
    <m/>
    <m/>
    <m/>
    <m/>
  </r>
  <r>
    <n v="1"/>
    <n v="6"/>
    <n v="3"/>
    <n v="24"/>
    <n v="6"/>
    <x v="1"/>
    <x v="3"/>
    <n v="106"/>
    <n v="9"/>
    <x v="11"/>
    <m/>
    <m/>
    <m/>
    <m/>
  </r>
  <r>
    <n v="1"/>
    <n v="7"/>
    <n v="4"/>
    <n v="25"/>
    <n v="7"/>
    <x v="0"/>
    <x v="3"/>
    <n v="107"/>
    <n v="9"/>
    <x v="11"/>
    <m/>
    <m/>
    <m/>
    <m/>
  </r>
  <r>
    <n v="2"/>
    <n v="7"/>
    <n v="4"/>
    <n v="26"/>
    <n v="10"/>
    <x v="0"/>
    <x v="2"/>
    <n v="207"/>
    <n v="9"/>
    <x v="11"/>
    <m/>
    <m/>
    <m/>
    <m/>
  </r>
  <r>
    <n v="3"/>
    <n v="7"/>
    <n v="4"/>
    <n v="27"/>
    <n v="23"/>
    <x v="0"/>
    <x v="1"/>
    <n v="307"/>
    <n v="9"/>
    <x v="11"/>
    <m/>
    <m/>
    <m/>
    <m/>
  </r>
  <r>
    <n v="4"/>
    <n v="7"/>
    <n v="4"/>
    <n v="28"/>
    <n v="26"/>
    <x v="0"/>
    <x v="0"/>
    <n v="407"/>
    <n v="9"/>
    <x v="11"/>
    <m/>
    <m/>
    <m/>
    <m/>
  </r>
  <r>
    <n v="4"/>
    <n v="8"/>
    <n v="4"/>
    <n v="29"/>
    <n v="25"/>
    <x v="1"/>
    <x v="5"/>
    <n v="408"/>
    <n v="9"/>
    <x v="11"/>
    <m/>
    <m/>
    <m/>
    <m/>
  </r>
  <r>
    <n v="3"/>
    <n v="8"/>
    <n v="4"/>
    <n v="30"/>
    <n v="24"/>
    <x v="1"/>
    <x v="2"/>
    <n v="308"/>
    <n v="9"/>
    <x v="11"/>
    <m/>
    <m/>
    <m/>
    <m/>
  </r>
  <r>
    <n v="2"/>
    <n v="8"/>
    <n v="4"/>
    <n v="31"/>
    <n v="9"/>
    <x v="1"/>
    <x v="3"/>
    <n v="208"/>
    <n v="9"/>
    <x v="11"/>
    <m/>
    <m/>
    <m/>
    <m/>
  </r>
  <r>
    <n v="1"/>
    <n v="8"/>
    <n v="4"/>
    <n v="32"/>
    <n v="8"/>
    <x v="1"/>
    <x v="4"/>
    <n v="108"/>
    <n v="9"/>
    <x v="11"/>
    <m/>
    <m/>
    <m/>
    <m/>
  </r>
  <r>
    <n v="1"/>
    <n v="1"/>
    <n v="1"/>
    <n v="1"/>
    <n v="1"/>
    <x v="0"/>
    <x v="0"/>
    <n v="101"/>
    <n v="10"/>
    <x v="11"/>
    <m/>
    <m/>
    <m/>
    <m/>
  </r>
  <r>
    <n v="2"/>
    <n v="1"/>
    <n v="1"/>
    <n v="2"/>
    <n v="16"/>
    <x v="0"/>
    <x v="1"/>
    <n v="201"/>
    <n v="10"/>
    <x v="11"/>
    <m/>
    <m/>
    <m/>
    <m/>
  </r>
  <r>
    <n v="3"/>
    <n v="1"/>
    <n v="1"/>
    <n v="3"/>
    <n v="17"/>
    <x v="0"/>
    <x v="2"/>
    <n v="301"/>
    <n v="10"/>
    <x v="11"/>
    <m/>
    <m/>
    <m/>
    <m/>
  </r>
  <r>
    <n v="4"/>
    <n v="1"/>
    <n v="1"/>
    <n v="4"/>
    <n v="32"/>
    <x v="0"/>
    <x v="3"/>
    <n v="401"/>
    <n v="10"/>
    <x v="11"/>
    <m/>
    <m/>
    <m/>
    <m/>
  </r>
  <r>
    <n v="4"/>
    <n v="2"/>
    <n v="1"/>
    <n v="5"/>
    <n v="31"/>
    <x v="1"/>
    <x v="4"/>
    <n v="402"/>
    <n v="10"/>
    <x v="11"/>
    <m/>
    <m/>
    <m/>
    <m/>
  </r>
  <r>
    <n v="3"/>
    <n v="2"/>
    <n v="1"/>
    <n v="6"/>
    <n v="18"/>
    <x v="1"/>
    <x v="3"/>
    <n v="302"/>
    <n v="10"/>
    <x v="11"/>
    <m/>
    <m/>
    <m/>
    <m/>
  </r>
  <r>
    <n v="2"/>
    <n v="2"/>
    <n v="1"/>
    <n v="7"/>
    <n v="15"/>
    <x v="1"/>
    <x v="2"/>
    <n v="202"/>
    <n v="10"/>
    <x v="11"/>
    <m/>
    <m/>
    <m/>
    <m/>
  </r>
  <r>
    <n v="1"/>
    <n v="2"/>
    <n v="1"/>
    <n v="8"/>
    <n v="2"/>
    <x v="1"/>
    <x v="5"/>
    <n v="102"/>
    <n v="10"/>
    <x v="11"/>
    <m/>
    <m/>
    <m/>
    <m/>
  </r>
  <r>
    <n v="1"/>
    <n v="3"/>
    <n v="2"/>
    <n v="9"/>
    <n v="3"/>
    <x v="0"/>
    <x v="1"/>
    <n v="103"/>
    <n v="10"/>
    <x v="11"/>
    <m/>
    <m/>
    <m/>
    <m/>
  </r>
  <r>
    <n v="2"/>
    <n v="3"/>
    <n v="2"/>
    <n v="10"/>
    <n v="14"/>
    <x v="0"/>
    <x v="3"/>
    <n v="203"/>
    <n v="10"/>
    <x v="11"/>
    <m/>
    <m/>
    <m/>
    <m/>
  </r>
  <r>
    <n v="3"/>
    <n v="3"/>
    <n v="2"/>
    <n v="11"/>
    <n v="19"/>
    <x v="0"/>
    <x v="0"/>
    <n v="303"/>
    <n v="10"/>
    <x v="11"/>
    <m/>
    <m/>
    <m/>
    <m/>
  </r>
  <r>
    <n v="4"/>
    <n v="3"/>
    <n v="2"/>
    <n v="12"/>
    <n v="30"/>
    <x v="0"/>
    <x v="2"/>
    <n v="403"/>
    <n v="10"/>
    <x v="11"/>
    <m/>
    <m/>
    <m/>
    <m/>
  </r>
  <r>
    <n v="4"/>
    <n v="4"/>
    <n v="2"/>
    <n v="13"/>
    <n v="29"/>
    <x v="1"/>
    <x v="3"/>
    <n v="404"/>
    <n v="10"/>
    <x v="11"/>
    <m/>
    <m/>
    <m/>
    <m/>
  </r>
  <r>
    <n v="3"/>
    <n v="4"/>
    <n v="2"/>
    <n v="14"/>
    <n v="20"/>
    <x v="1"/>
    <x v="5"/>
    <n v="304"/>
    <n v="10"/>
    <x v="11"/>
    <m/>
    <m/>
    <m/>
    <m/>
  </r>
  <r>
    <n v="2"/>
    <n v="4"/>
    <n v="2"/>
    <n v="15"/>
    <n v="13"/>
    <x v="1"/>
    <x v="4"/>
    <n v="204"/>
    <n v="10"/>
    <x v="11"/>
    <m/>
    <m/>
    <m/>
    <m/>
  </r>
  <r>
    <n v="1"/>
    <n v="4"/>
    <n v="2"/>
    <n v="16"/>
    <n v="4"/>
    <x v="1"/>
    <x v="2"/>
    <n v="104"/>
    <n v="10"/>
    <x v="11"/>
    <m/>
    <m/>
    <m/>
    <m/>
  </r>
  <r>
    <n v="1"/>
    <n v="5"/>
    <n v="3"/>
    <n v="17"/>
    <n v="5"/>
    <x v="0"/>
    <x v="2"/>
    <n v="105"/>
    <n v="10"/>
    <x v="11"/>
    <m/>
    <m/>
    <m/>
    <m/>
  </r>
  <r>
    <n v="2"/>
    <n v="5"/>
    <n v="3"/>
    <n v="18"/>
    <n v="12"/>
    <x v="0"/>
    <x v="0"/>
    <n v="205"/>
    <n v="10"/>
    <x v="11"/>
    <m/>
    <m/>
    <m/>
    <m/>
  </r>
  <r>
    <n v="3"/>
    <n v="5"/>
    <n v="3"/>
    <n v="19"/>
    <n v="21"/>
    <x v="0"/>
    <x v="3"/>
    <n v="305"/>
    <n v="10"/>
    <x v="11"/>
    <m/>
    <m/>
    <m/>
    <m/>
  </r>
  <r>
    <n v="4"/>
    <n v="5"/>
    <n v="3"/>
    <n v="20"/>
    <n v="28"/>
    <x v="0"/>
    <x v="1"/>
    <n v="405"/>
    <n v="10"/>
    <x v="11"/>
    <m/>
    <m/>
    <m/>
    <m/>
  </r>
  <r>
    <n v="4"/>
    <n v="6"/>
    <n v="3"/>
    <n v="21"/>
    <n v="27"/>
    <x v="1"/>
    <x v="2"/>
    <n v="406"/>
    <n v="10"/>
    <x v="11"/>
    <m/>
    <m/>
    <m/>
    <m/>
  </r>
  <r>
    <n v="3"/>
    <n v="6"/>
    <n v="3"/>
    <n v="22"/>
    <n v="22"/>
    <x v="1"/>
    <x v="4"/>
    <n v="306"/>
    <n v="10"/>
    <x v="11"/>
    <m/>
    <m/>
    <m/>
    <m/>
  </r>
  <r>
    <n v="2"/>
    <n v="6"/>
    <n v="3"/>
    <n v="23"/>
    <n v="11"/>
    <x v="1"/>
    <x v="5"/>
    <n v="206"/>
    <n v="10"/>
    <x v="11"/>
    <m/>
    <m/>
    <m/>
    <m/>
  </r>
  <r>
    <n v="1"/>
    <n v="6"/>
    <n v="3"/>
    <n v="24"/>
    <n v="6"/>
    <x v="1"/>
    <x v="3"/>
    <n v="106"/>
    <n v="10"/>
    <x v="11"/>
    <m/>
    <m/>
    <m/>
    <m/>
  </r>
  <r>
    <n v="1"/>
    <n v="7"/>
    <n v="4"/>
    <n v="25"/>
    <n v="7"/>
    <x v="0"/>
    <x v="3"/>
    <n v="107"/>
    <n v="10"/>
    <x v="11"/>
    <m/>
    <m/>
    <m/>
    <m/>
  </r>
  <r>
    <n v="2"/>
    <n v="7"/>
    <n v="4"/>
    <n v="26"/>
    <n v="10"/>
    <x v="0"/>
    <x v="2"/>
    <n v="207"/>
    <n v="10"/>
    <x v="11"/>
    <m/>
    <m/>
    <m/>
    <m/>
  </r>
  <r>
    <n v="3"/>
    <n v="7"/>
    <n v="4"/>
    <n v="27"/>
    <n v="23"/>
    <x v="0"/>
    <x v="1"/>
    <n v="307"/>
    <n v="10"/>
    <x v="11"/>
    <m/>
    <m/>
    <m/>
    <m/>
  </r>
  <r>
    <n v="4"/>
    <n v="7"/>
    <n v="4"/>
    <n v="28"/>
    <n v="26"/>
    <x v="0"/>
    <x v="0"/>
    <n v="407"/>
    <n v="10"/>
    <x v="11"/>
    <m/>
    <m/>
    <m/>
    <m/>
  </r>
  <r>
    <n v="4"/>
    <n v="8"/>
    <n v="4"/>
    <n v="29"/>
    <n v="25"/>
    <x v="1"/>
    <x v="5"/>
    <n v="408"/>
    <n v="10"/>
    <x v="11"/>
    <m/>
    <m/>
    <m/>
    <m/>
  </r>
  <r>
    <n v="3"/>
    <n v="8"/>
    <n v="4"/>
    <n v="30"/>
    <n v="24"/>
    <x v="1"/>
    <x v="2"/>
    <n v="308"/>
    <n v="10"/>
    <x v="11"/>
    <m/>
    <m/>
    <m/>
    <m/>
  </r>
  <r>
    <n v="2"/>
    <n v="8"/>
    <n v="4"/>
    <n v="31"/>
    <n v="9"/>
    <x v="1"/>
    <x v="3"/>
    <n v="208"/>
    <n v="10"/>
    <x v="11"/>
    <m/>
    <m/>
    <m/>
    <m/>
  </r>
  <r>
    <n v="1"/>
    <n v="8"/>
    <n v="4"/>
    <n v="32"/>
    <n v="8"/>
    <x v="1"/>
    <x v="4"/>
    <n v="108"/>
    <n v="10"/>
    <x v="11"/>
    <m/>
    <m/>
    <m/>
    <m/>
  </r>
  <r>
    <m/>
    <m/>
    <m/>
    <m/>
    <m/>
    <x v="2"/>
    <x v="6"/>
    <m/>
    <m/>
    <x v="1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
  <r>
    <n v="1"/>
    <n v="1"/>
    <n v="1"/>
    <n v="1"/>
    <n v="1"/>
    <x v="0"/>
    <x v="0"/>
    <n v="101"/>
    <n v="1"/>
    <x v="0"/>
    <n v="50"/>
    <n v="0"/>
    <n v="0"/>
  </r>
  <r>
    <n v="1"/>
    <n v="2"/>
    <n v="1"/>
    <n v="8"/>
    <n v="2"/>
    <x v="1"/>
    <x v="1"/>
    <n v="102"/>
    <n v="1"/>
    <x v="0"/>
    <n v="39"/>
    <n v="0"/>
    <n v="0"/>
  </r>
  <r>
    <n v="1"/>
    <n v="3"/>
    <n v="2"/>
    <n v="9"/>
    <n v="3"/>
    <x v="0"/>
    <x v="2"/>
    <n v="103"/>
    <n v="1"/>
    <x v="0"/>
    <n v="38"/>
    <n v="2"/>
    <n v="5.2631578947368416"/>
  </r>
  <r>
    <n v="1"/>
    <n v="4"/>
    <n v="2"/>
    <n v="16"/>
    <n v="4"/>
    <x v="1"/>
    <x v="3"/>
    <n v="104"/>
    <n v="1"/>
    <x v="0"/>
    <n v="38"/>
    <n v="0"/>
    <n v="0"/>
  </r>
  <r>
    <n v="1"/>
    <n v="5"/>
    <n v="3"/>
    <n v="17"/>
    <n v="5"/>
    <x v="0"/>
    <x v="3"/>
    <n v="105"/>
    <n v="1"/>
    <x v="0"/>
    <n v="61"/>
    <n v="35"/>
    <n v="57.377049180327866"/>
  </r>
  <r>
    <n v="1"/>
    <n v="6"/>
    <n v="3"/>
    <n v="24"/>
    <n v="6"/>
    <x v="1"/>
    <x v="4"/>
    <n v="106"/>
    <n v="1"/>
    <x v="0"/>
    <n v="85"/>
    <n v="0"/>
    <n v="0"/>
  </r>
  <r>
    <n v="1"/>
    <n v="7"/>
    <n v="4"/>
    <n v="25"/>
    <n v="7"/>
    <x v="0"/>
    <x v="4"/>
    <n v="107"/>
    <n v="1"/>
    <x v="0"/>
    <n v="34"/>
    <n v="7"/>
    <n v="20.588235294117645"/>
  </r>
  <r>
    <n v="1"/>
    <n v="8"/>
    <n v="4"/>
    <n v="32"/>
    <n v="8"/>
    <x v="1"/>
    <x v="5"/>
    <n v="108"/>
    <n v="1"/>
    <x v="0"/>
    <n v="75"/>
    <n v="0"/>
    <n v="0"/>
  </r>
  <r>
    <n v="2"/>
    <n v="8"/>
    <n v="4"/>
    <n v="31"/>
    <n v="9"/>
    <x v="1"/>
    <x v="4"/>
    <n v="208"/>
    <n v="1"/>
    <x v="0"/>
    <n v="79"/>
    <n v="0"/>
    <n v="0"/>
  </r>
  <r>
    <n v="2"/>
    <n v="7"/>
    <n v="4"/>
    <n v="26"/>
    <n v="10"/>
    <x v="0"/>
    <x v="3"/>
    <n v="207"/>
    <n v="1"/>
    <x v="0"/>
    <n v="49"/>
    <n v="16"/>
    <n v="32.653061224489797"/>
  </r>
  <r>
    <n v="2"/>
    <n v="6"/>
    <n v="3"/>
    <n v="23"/>
    <n v="11"/>
    <x v="1"/>
    <x v="1"/>
    <n v="206"/>
    <n v="1"/>
    <x v="0"/>
    <n v="42"/>
    <n v="0"/>
    <n v="0"/>
  </r>
  <r>
    <n v="2"/>
    <n v="5"/>
    <n v="3"/>
    <n v="18"/>
    <n v="12"/>
    <x v="0"/>
    <x v="0"/>
    <n v="205"/>
    <n v="1"/>
    <x v="0"/>
    <n v="61"/>
    <n v="0"/>
    <n v="0"/>
  </r>
  <r>
    <n v="2"/>
    <n v="4"/>
    <n v="2"/>
    <n v="15"/>
    <n v="13"/>
    <x v="1"/>
    <x v="5"/>
    <n v="204"/>
    <n v="1"/>
    <x v="0"/>
    <n v="52"/>
    <n v="0"/>
    <n v="0"/>
  </r>
  <r>
    <n v="2"/>
    <n v="3"/>
    <n v="2"/>
    <n v="10"/>
    <n v="14"/>
    <x v="0"/>
    <x v="4"/>
    <n v="203"/>
    <n v="1"/>
    <x v="0"/>
    <n v="51"/>
    <n v="5"/>
    <n v="9.8039215686274517"/>
  </r>
  <r>
    <n v="2"/>
    <n v="2"/>
    <n v="1"/>
    <n v="7"/>
    <n v="15"/>
    <x v="1"/>
    <x v="3"/>
    <n v="202"/>
    <n v="1"/>
    <x v="0"/>
    <n v="67"/>
    <n v="0"/>
    <n v="0"/>
  </r>
  <r>
    <n v="2"/>
    <n v="1"/>
    <n v="1"/>
    <n v="2"/>
    <n v="16"/>
    <x v="0"/>
    <x v="2"/>
    <n v="201"/>
    <n v="1"/>
    <x v="0"/>
    <n v="55"/>
    <n v="7"/>
    <n v="12.727272727272727"/>
  </r>
  <r>
    <n v="3"/>
    <n v="1"/>
    <n v="1"/>
    <n v="3"/>
    <n v="17"/>
    <x v="0"/>
    <x v="3"/>
    <n v="301"/>
    <n v="1"/>
    <x v="0"/>
    <n v="35"/>
    <n v="19"/>
    <n v="54.285714285714285"/>
  </r>
  <r>
    <n v="3"/>
    <n v="2"/>
    <n v="1"/>
    <n v="6"/>
    <n v="18"/>
    <x v="1"/>
    <x v="4"/>
    <n v="302"/>
    <n v="1"/>
    <x v="0"/>
    <n v="55"/>
    <n v="0"/>
    <n v="0"/>
  </r>
  <r>
    <n v="3"/>
    <n v="3"/>
    <n v="2"/>
    <n v="11"/>
    <n v="19"/>
    <x v="0"/>
    <x v="0"/>
    <n v="303"/>
    <n v="1"/>
    <x v="0"/>
    <n v="59"/>
    <n v="0"/>
    <n v="0"/>
  </r>
  <r>
    <n v="3"/>
    <n v="4"/>
    <n v="2"/>
    <n v="14"/>
    <n v="20"/>
    <x v="1"/>
    <x v="1"/>
    <n v="304"/>
    <n v="1"/>
    <x v="0"/>
    <n v="46"/>
    <n v="0"/>
    <n v="0"/>
  </r>
  <r>
    <n v="3"/>
    <n v="5"/>
    <n v="3"/>
    <n v="19"/>
    <n v="21"/>
    <x v="0"/>
    <x v="4"/>
    <n v="305"/>
    <n v="1"/>
    <x v="0"/>
    <n v="61"/>
    <n v="24"/>
    <n v="39.344262295081968"/>
  </r>
  <r>
    <n v="3"/>
    <n v="6"/>
    <n v="3"/>
    <n v="22"/>
    <n v="22"/>
    <x v="1"/>
    <x v="5"/>
    <n v="306"/>
    <n v="1"/>
    <x v="0"/>
    <n v="73"/>
    <n v="0"/>
    <n v="0"/>
  </r>
  <r>
    <n v="3"/>
    <n v="7"/>
    <n v="4"/>
    <n v="27"/>
    <n v="23"/>
    <x v="0"/>
    <x v="2"/>
    <n v="307"/>
    <n v="1"/>
    <x v="0"/>
    <n v="44"/>
    <n v="2"/>
    <n v="4.5454545454545459"/>
  </r>
  <r>
    <n v="3"/>
    <n v="8"/>
    <n v="4"/>
    <n v="30"/>
    <n v="24"/>
    <x v="1"/>
    <x v="3"/>
    <n v="308"/>
    <n v="1"/>
    <x v="0"/>
    <n v="64"/>
    <n v="0"/>
    <n v="0"/>
  </r>
  <r>
    <n v="4"/>
    <n v="8"/>
    <n v="4"/>
    <n v="29"/>
    <n v="25"/>
    <x v="1"/>
    <x v="1"/>
    <n v="408"/>
    <n v="1"/>
    <x v="0"/>
    <n v="47"/>
    <n v="0"/>
    <n v="0"/>
  </r>
  <r>
    <n v="4"/>
    <n v="7"/>
    <n v="4"/>
    <n v="28"/>
    <n v="26"/>
    <x v="0"/>
    <x v="0"/>
    <n v="407"/>
    <n v="1"/>
    <x v="0"/>
    <n v="57"/>
    <n v="0"/>
    <n v="0"/>
  </r>
  <r>
    <n v="4"/>
    <n v="6"/>
    <n v="3"/>
    <n v="21"/>
    <n v="27"/>
    <x v="1"/>
    <x v="3"/>
    <n v="406"/>
    <n v="1"/>
    <x v="0"/>
    <n v="54"/>
    <n v="0"/>
    <n v="0"/>
  </r>
  <r>
    <n v="4"/>
    <n v="5"/>
    <n v="3"/>
    <n v="20"/>
    <n v="28"/>
    <x v="0"/>
    <x v="2"/>
    <n v="405"/>
    <n v="1"/>
    <x v="0"/>
    <n v="64"/>
    <n v="14"/>
    <n v="21.875"/>
  </r>
  <r>
    <n v="4"/>
    <n v="4"/>
    <n v="2"/>
    <n v="13"/>
    <n v="29"/>
    <x v="1"/>
    <x v="4"/>
    <n v="404"/>
    <n v="1"/>
    <x v="0"/>
    <n v="64"/>
    <n v="0"/>
    <n v="0"/>
  </r>
  <r>
    <n v="4"/>
    <n v="3"/>
    <n v="2"/>
    <n v="12"/>
    <n v="30"/>
    <x v="0"/>
    <x v="3"/>
    <n v="403"/>
    <n v="1"/>
    <x v="0"/>
    <n v="61"/>
    <n v="30"/>
    <n v="49.180327868852459"/>
  </r>
  <r>
    <n v="4"/>
    <n v="2"/>
    <n v="1"/>
    <n v="5"/>
    <n v="31"/>
    <x v="1"/>
    <x v="5"/>
    <n v="402"/>
    <n v="1"/>
    <x v="0"/>
    <n v="66"/>
    <n v="0"/>
    <n v="0"/>
  </r>
  <r>
    <n v="4"/>
    <n v="1"/>
    <n v="1"/>
    <n v="4"/>
    <n v="32"/>
    <x v="0"/>
    <x v="4"/>
    <n v="401"/>
    <n v="1"/>
    <x v="0"/>
    <n v="51"/>
    <n v="12"/>
    <n v="23.52941176470588"/>
  </r>
  <r>
    <n v="1"/>
    <n v="1"/>
    <n v="1"/>
    <n v="1"/>
    <n v="1"/>
    <x v="0"/>
    <x v="0"/>
    <n v="101"/>
    <n v="2"/>
    <x v="1"/>
    <n v="50"/>
    <n v="0"/>
    <n v="0"/>
  </r>
  <r>
    <n v="1"/>
    <n v="2"/>
    <n v="1"/>
    <n v="8"/>
    <n v="2"/>
    <x v="1"/>
    <x v="1"/>
    <n v="102"/>
    <n v="2"/>
    <x v="1"/>
    <n v="39"/>
    <n v="0"/>
    <n v="0"/>
  </r>
  <r>
    <n v="1"/>
    <n v="3"/>
    <n v="2"/>
    <n v="9"/>
    <n v="3"/>
    <x v="0"/>
    <x v="2"/>
    <n v="103"/>
    <n v="2"/>
    <x v="1"/>
    <n v="38"/>
    <n v="4"/>
    <n v="10.526315789473683"/>
  </r>
  <r>
    <n v="1"/>
    <n v="4"/>
    <n v="2"/>
    <n v="16"/>
    <n v="4"/>
    <x v="1"/>
    <x v="3"/>
    <n v="104"/>
    <n v="2"/>
    <x v="1"/>
    <n v="38"/>
    <n v="0"/>
    <n v="0"/>
  </r>
  <r>
    <n v="1"/>
    <n v="5"/>
    <n v="3"/>
    <n v="17"/>
    <n v="5"/>
    <x v="0"/>
    <x v="3"/>
    <n v="105"/>
    <n v="2"/>
    <x v="1"/>
    <n v="61"/>
    <n v="37"/>
    <n v="60.655737704918032"/>
  </r>
  <r>
    <n v="1"/>
    <n v="6"/>
    <n v="3"/>
    <n v="24"/>
    <n v="6"/>
    <x v="1"/>
    <x v="4"/>
    <n v="106"/>
    <n v="2"/>
    <x v="1"/>
    <n v="85"/>
    <n v="0"/>
    <n v="0"/>
  </r>
  <r>
    <n v="1"/>
    <n v="7"/>
    <n v="4"/>
    <n v="25"/>
    <n v="7"/>
    <x v="0"/>
    <x v="4"/>
    <n v="107"/>
    <n v="2"/>
    <x v="1"/>
    <n v="34"/>
    <n v="16"/>
    <n v="47.058823529411761"/>
  </r>
  <r>
    <n v="1"/>
    <n v="8"/>
    <n v="4"/>
    <n v="32"/>
    <n v="8"/>
    <x v="1"/>
    <x v="5"/>
    <n v="108"/>
    <n v="2"/>
    <x v="1"/>
    <n v="75"/>
    <n v="0"/>
    <n v="0"/>
  </r>
  <r>
    <n v="2"/>
    <n v="8"/>
    <n v="4"/>
    <n v="31"/>
    <n v="9"/>
    <x v="1"/>
    <x v="4"/>
    <n v="208"/>
    <n v="2"/>
    <x v="1"/>
    <n v="79"/>
    <n v="0"/>
    <n v="0"/>
  </r>
  <r>
    <n v="2"/>
    <n v="7"/>
    <n v="4"/>
    <n v="26"/>
    <n v="10"/>
    <x v="0"/>
    <x v="3"/>
    <n v="207"/>
    <n v="2"/>
    <x v="1"/>
    <n v="49"/>
    <n v="24"/>
    <n v="48.979591836734691"/>
  </r>
  <r>
    <n v="2"/>
    <n v="6"/>
    <n v="3"/>
    <n v="23"/>
    <n v="11"/>
    <x v="1"/>
    <x v="1"/>
    <n v="206"/>
    <n v="2"/>
    <x v="1"/>
    <n v="42"/>
    <n v="2"/>
    <n v="4.7619047619047619"/>
  </r>
  <r>
    <n v="2"/>
    <n v="5"/>
    <n v="3"/>
    <n v="18"/>
    <n v="12"/>
    <x v="0"/>
    <x v="0"/>
    <n v="205"/>
    <n v="2"/>
    <x v="1"/>
    <n v="61"/>
    <n v="0"/>
    <n v="0"/>
  </r>
  <r>
    <n v="2"/>
    <n v="4"/>
    <n v="2"/>
    <n v="15"/>
    <n v="13"/>
    <x v="1"/>
    <x v="5"/>
    <n v="204"/>
    <n v="2"/>
    <x v="1"/>
    <n v="52"/>
    <n v="0"/>
    <n v="0"/>
  </r>
  <r>
    <n v="2"/>
    <n v="3"/>
    <n v="2"/>
    <n v="10"/>
    <n v="14"/>
    <x v="0"/>
    <x v="4"/>
    <n v="203"/>
    <n v="2"/>
    <x v="1"/>
    <n v="51"/>
    <n v="12"/>
    <n v="23.52941176470588"/>
  </r>
  <r>
    <n v="2"/>
    <n v="2"/>
    <n v="1"/>
    <n v="7"/>
    <n v="15"/>
    <x v="1"/>
    <x v="3"/>
    <n v="202"/>
    <n v="2"/>
    <x v="1"/>
    <n v="67"/>
    <n v="0"/>
    <n v="0"/>
  </r>
  <r>
    <n v="2"/>
    <n v="1"/>
    <n v="1"/>
    <n v="2"/>
    <n v="16"/>
    <x v="0"/>
    <x v="2"/>
    <n v="201"/>
    <n v="2"/>
    <x v="1"/>
    <n v="55"/>
    <n v="15"/>
    <n v="27.27272727272727"/>
  </r>
  <r>
    <n v="3"/>
    <n v="1"/>
    <n v="1"/>
    <n v="3"/>
    <n v="17"/>
    <x v="0"/>
    <x v="3"/>
    <n v="301"/>
    <n v="2"/>
    <x v="1"/>
    <n v="35"/>
    <n v="19"/>
    <n v="54.285714285714285"/>
  </r>
  <r>
    <n v="3"/>
    <n v="2"/>
    <n v="1"/>
    <n v="6"/>
    <n v="18"/>
    <x v="1"/>
    <x v="4"/>
    <n v="302"/>
    <n v="2"/>
    <x v="1"/>
    <n v="55"/>
    <n v="0"/>
    <n v="0"/>
  </r>
  <r>
    <n v="3"/>
    <n v="3"/>
    <n v="2"/>
    <n v="11"/>
    <n v="19"/>
    <x v="0"/>
    <x v="0"/>
    <n v="303"/>
    <n v="2"/>
    <x v="1"/>
    <n v="59"/>
    <n v="0"/>
    <n v="0"/>
  </r>
  <r>
    <n v="3"/>
    <n v="4"/>
    <n v="2"/>
    <n v="14"/>
    <n v="20"/>
    <x v="1"/>
    <x v="1"/>
    <n v="304"/>
    <n v="2"/>
    <x v="1"/>
    <n v="46"/>
    <n v="0"/>
    <n v="0"/>
  </r>
  <r>
    <n v="3"/>
    <n v="5"/>
    <n v="3"/>
    <n v="19"/>
    <n v="21"/>
    <x v="0"/>
    <x v="4"/>
    <n v="305"/>
    <n v="2"/>
    <x v="1"/>
    <n v="61"/>
    <n v="31"/>
    <n v="50.819672131147541"/>
  </r>
  <r>
    <n v="3"/>
    <n v="6"/>
    <n v="3"/>
    <n v="22"/>
    <n v="22"/>
    <x v="1"/>
    <x v="5"/>
    <n v="306"/>
    <n v="2"/>
    <x v="1"/>
    <n v="73"/>
    <n v="0"/>
    <n v="0"/>
  </r>
  <r>
    <n v="3"/>
    <n v="7"/>
    <n v="4"/>
    <n v="27"/>
    <n v="23"/>
    <x v="0"/>
    <x v="2"/>
    <n v="307"/>
    <n v="2"/>
    <x v="1"/>
    <n v="44"/>
    <n v="2"/>
    <n v="4.5454545454545459"/>
  </r>
  <r>
    <n v="3"/>
    <n v="8"/>
    <n v="4"/>
    <n v="30"/>
    <n v="24"/>
    <x v="1"/>
    <x v="3"/>
    <n v="308"/>
    <n v="2"/>
    <x v="1"/>
    <n v="64"/>
    <n v="0"/>
    <n v="0"/>
  </r>
  <r>
    <n v="4"/>
    <n v="8"/>
    <n v="4"/>
    <n v="29"/>
    <n v="25"/>
    <x v="1"/>
    <x v="1"/>
    <n v="408"/>
    <n v="2"/>
    <x v="1"/>
    <n v="47"/>
    <n v="0"/>
    <n v="0"/>
  </r>
  <r>
    <n v="4"/>
    <n v="7"/>
    <n v="4"/>
    <n v="28"/>
    <n v="26"/>
    <x v="0"/>
    <x v="0"/>
    <n v="407"/>
    <n v="2"/>
    <x v="1"/>
    <n v="57"/>
    <n v="0"/>
    <n v="0"/>
  </r>
  <r>
    <n v="4"/>
    <n v="6"/>
    <n v="3"/>
    <n v="21"/>
    <n v="27"/>
    <x v="1"/>
    <x v="3"/>
    <n v="406"/>
    <n v="2"/>
    <x v="1"/>
    <n v="54"/>
    <n v="0"/>
    <n v="0"/>
  </r>
  <r>
    <n v="4"/>
    <n v="5"/>
    <n v="3"/>
    <n v="20"/>
    <n v="28"/>
    <x v="0"/>
    <x v="2"/>
    <n v="405"/>
    <n v="2"/>
    <x v="1"/>
    <n v="64"/>
    <n v="29"/>
    <n v="45.3125"/>
  </r>
  <r>
    <n v="4"/>
    <n v="4"/>
    <n v="2"/>
    <n v="13"/>
    <n v="29"/>
    <x v="1"/>
    <x v="4"/>
    <n v="404"/>
    <n v="2"/>
    <x v="1"/>
    <n v="64"/>
    <n v="0"/>
    <n v="0"/>
  </r>
  <r>
    <n v="4"/>
    <n v="3"/>
    <n v="2"/>
    <n v="12"/>
    <n v="30"/>
    <x v="0"/>
    <x v="3"/>
    <n v="403"/>
    <n v="2"/>
    <x v="1"/>
    <n v="61"/>
    <n v="35"/>
    <n v="57.377049180327866"/>
  </r>
  <r>
    <n v="4"/>
    <n v="2"/>
    <n v="1"/>
    <n v="5"/>
    <n v="31"/>
    <x v="1"/>
    <x v="5"/>
    <n v="402"/>
    <n v="2"/>
    <x v="1"/>
    <n v="66"/>
    <n v="0"/>
    <n v="0"/>
  </r>
  <r>
    <n v="4"/>
    <n v="1"/>
    <n v="1"/>
    <n v="4"/>
    <n v="32"/>
    <x v="0"/>
    <x v="4"/>
    <n v="401"/>
    <n v="2"/>
    <x v="1"/>
    <n v="51"/>
    <n v="17"/>
    <n v="33.333333333333329"/>
  </r>
  <r>
    <n v="1"/>
    <n v="1"/>
    <n v="1"/>
    <n v="1"/>
    <n v="1"/>
    <x v="0"/>
    <x v="0"/>
    <n v="101"/>
    <n v="3"/>
    <x v="2"/>
    <n v="50"/>
    <n v="0"/>
    <n v="0"/>
  </r>
  <r>
    <n v="1"/>
    <n v="2"/>
    <n v="1"/>
    <n v="8"/>
    <n v="2"/>
    <x v="1"/>
    <x v="1"/>
    <n v="102"/>
    <n v="3"/>
    <x v="2"/>
    <n v="39"/>
    <n v="2"/>
    <n v="5.1282051282051277"/>
  </r>
  <r>
    <n v="1"/>
    <n v="3"/>
    <n v="2"/>
    <n v="9"/>
    <n v="3"/>
    <x v="0"/>
    <x v="2"/>
    <n v="103"/>
    <n v="3"/>
    <x v="2"/>
    <n v="38"/>
    <n v="17"/>
    <n v="44.736842105263158"/>
  </r>
  <r>
    <n v="1"/>
    <n v="4"/>
    <n v="2"/>
    <n v="16"/>
    <n v="4"/>
    <x v="1"/>
    <x v="3"/>
    <n v="104"/>
    <n v="3"/>
    <x v="2"/>
    <n v="38"/>
    <n v="0"/>
    <n v="0"/>
  </r>
  <r>
    <n v="1"/>
    <n v="5"/>
    <n v="3"/>
    <n v="17"/>
    <n v="5"/>
    <x v="0"/>
    <x v="3"/>
    <n v="105"/>
    <n v="3"/>
    <x v="2"/>
    <n v="61"/>
    <n v="45"/>
    <n v="73.770491803278688"/>
  </r>
  <r>
    <n v="1"/>
    <n v="6"/>
    <n v="3"/>
    <n v="24"/>
    <n v="6"/>
    <x v="1"/>
    <x v="4"/>
    <n v="106"/>
    <n v="3"/>
    <x v="2"/>
    <n v="85"/>
    <n v="0"/>
    <n v="0"/>
  </r>
  <r>
    <n v="1"/>
    <n v="7"/>
    <n v="4"/>
    <n v="25"/>
    <n v="7"/>
    <x v="0"/>
    <x v="4"/>
    <n v="107"/>
    <n v="3"/>
    <x v="2"/>
    <n v="34"/>
    <n v="27"/>
    <n v="79.411764705882348"/>
  </r>
  <r>
    <n v="1"/>
    <n v="8"/>
    <n v="4"/>
    <n v="32"/>
    <n v="8"/>
    <x v="1"/>
    <x v="5"/>
    <n v="108"/>
    <n v="3"/>
    <x v="2"/>
    <n v="75"/>
    <n v="0"/>
    <n v="0"/>
  </r>
  <r>
    <n v="2"/>
    <n v="8"/>
    <n v="4"/>
    <n v="31"/>
    <n v="9"/>
    <x v="1"/>
    <x v="4"/>
    <n v="208"/>
    <n v="3"/>
    <x v="2"/>
    <n v="79"/>
    <n v="0"/>
    <n v="0"/>
  </r>
  <r>
    <n v="2"/>
    <n v="7"/>
    <n v="4"/>
    <n v="26"/>
    <n v="10"/>
    <x v="0"/>
    <x v="3"/>
    <n v="207"/>
    <n v="3"/>
    <x v="2"/>
    <n v="49"/>
    <n v="44"/>
    <n v="89.795918367346943"/>
  </r>
  <r>
    <n v="2"/>
    <n v="6"/>
    <n v="3"/>
    <n v="23"/>
    <n v="11"/>
    <x v="1"/>
    <x v="1"/>
    <n v="206"/>
    <n v="3"/>
    <x v="2"/>
    <n v="42"/>
    <n v="9"/>
    <n v="21.428571428571427"/>
  </r>
  <r>
    <n v="2"/>
    <n v="5"/>
    <n v="3"/>
    <n v="18"/>
    <n v="12"/>
    <x v="0"/>
    <x v="0"/>
    <n v="205"/>
    <n v="3"/>
    <x v="2"/>
    <n v="61"/>
    <n v="0"/>
    <n v="0"/>
  </r>
  <r>
    <n v="2"/>
    <n v="4"/>
    <n v="2"/>
    <n v="15"/>
    <n v="13"/>
    <x v="1"/>
    <x v="5"/>
    <n v="204"/>
    <n v="3"/>
    <x v="2"/>
    <n v="52"/>
    <n v="0"/>
    <n v="0"/>
  </r>
  <r>
    <n v="2"/>
    <n v="3"/>
    <n v="2"/>
    <n v="10"/>
    <n v="14"/>
    <x v="0"/>
    <x v="4"/>
    <n v="203"/>
    <n v="3"/>
    <x v="2"/>
    <n v="51"/>
    <n v="26"/>
    <n v="50.980392156862742"/>
  </r>
  <r>
    <n v="2"/>
    <n v="2"/>
    <n v="1"/>
    <n v="7"/>
    <n v="15"/>
    <x v="1"/>
    <x v="3"/>
    <n v="202"/>
    <n v="3"/>
    <x v="2"/>
    <n v="67"/>
    <n v="0"/>
    <n v="0"/>
  </r>
  <r>
    <n v="2"/>
    <n v="1"/>
    <n v="1"/>
    <n v="2"/>
    <n v="16"/>
    <x v="0"/>
    <x v="2"/>
    <n v="201"/>
    <n v="3"/>
    <x v="2"/>
    <n v="55"/>
    <n v="27"/>
    <n v="49.090909090909093"/>
  </r>
  <r>
    <n v="3"/>
    <n v="1"/>
    <n v="1"/>
    <n v="3"/>
    <n v="17"/>
    <x v="0"/>
    <x v="3"/>
    <n v="301"/>
    <n v="3"/>
    <x v="2"/>
    <n v="35"/>
    <n v="21"/>
    <n v="60"/>
  </r>
  <r>
    <n v="3"/>
    <n v="2"/>
    <n v="1"/>
    <n v="6"/>
    <n v="18"/>
    <x v="1"/>
    <x v="4"/>
    <n v="302"/>
    <n v="3"/>
    <x v="2"/>
    <n v="55"/>
    <n v="0"/>
    <n v="0"/>
  </r>
  <r>
    <n v="3"/>
    <n v="3"/>
    <n v="2"/>
    <n v="11"/>
    <n v="19"/>
    <x v="0"/>
    <x v="0"/>
    <n v="303"/>
    <n v="3"/>
    <x v="2"/>
    <n v="59"/>
    <n v="0"/>
    <n v="0"/>
  </r>
  <r>
    <n v="3"/>
    <n v="4"/>
    <n v="2"/>
    <n v="14"/>
    <n v="20"/>
    <x v="1"/>
    <x v="1"/>
    <n v="304"/>
    <n v="3"/>
    <x v="2"/>
    <n v="46"/>
    <n v="1"/>
    <n v="2.1739130434782608"/>
  </r>
  <r>
    <n v="3"/>
    <n v="5"/>
    <n v="3"/>
    <n v="19"/>
    <n v="21"/>
    <x v="0"/>
    <x v="4"/>
    <n v="305"/>
    <n v="3"/>
    <x v="2"/>
    <n v="61"/>
    <n v="49"/>
    <n v="80.327868852459019"/>
  </r>
  <r>
    <n v="3"/>
    <n v="6"/>
    <n v="3"/>
    <n v="22"/>
    <n v="22"/>
    <x v="1"/>
    <x v="5"/>
    <n v="306"/>
    <n v="3"/>
    <x v="2"/>
    <n v="73"/>
    <n v="0"/>
    <n v="0"/>
  </r>
  <r>
    <n v="3"/>
    <n v="7"/>
    <n v="4"/>
    <n v="27"/>
    <n v="23"/>
    <x v="0"/>
    <x v="2"/>
    <n v="307"/>
    <n v="3"/>
    <x v="2"/>
    <n v="44"/>
    <n v="18"/>
    <n v="40.909090909090914"/>
  </r>
  <r>
    <n v="3"/>
    <n v="8"/>
    <n v="4"/>
    <n v="30"/>
    <n v="24"/>
    <x v="1"/>
    <x v="3"/>
    <n v="308"/>
    <n v="3"/>
    <x v="2"/>
    <n v="64"/>
    <n v="0"/>
    <n v="0"/>
  </r>
  <r>
    <n v="4"/>
    <n v="8"/>
    <n v="4"/>
    <n v="29"/>
    <n v="25"/>
    <x v="1"/>
    <x v="1"/>
    <n v="408"/>
    <n v="3"/>
    <x v="2"/>
    <n v="47"/>
    <n v="4"/>
    <n v="8.5106382978723403"/>
  </r>
  <r>
    <n v="4"/>
    <n v="7"/>
    <n v="4"/>
    <n v="28"/>
    <n v="26"/>
    <x v="0"/>
    <x v="0"/>
    <n v="407"/>
    <n v="3"/>
    <x v="2"/>
    <n v="57"/>
    <n v="0"/>
    <n v="0"/>
  </r>
  <r>
    <n v="4"/>
    <n v="6"/>
    <n v="3"/>
    <n v="21"/>
    <n v="27"/>
    <x v="1"/>
    <x v="3"/>
    <n v="406"/>
    <n v="3"/>
    <x v="2"/>
    <n v="54"/>
    <n v="1"/>
    <n v="1.8518518518518516"/>
  </r>
  <r>
    <n v="4"/>
    <n v="5"/>
    <n v="3"/>
    <n v="20"/>
    <n v="28"/>
    <x v="0"/>
    <x v="2"/>
    <n v="405"/>
    <n v="3"/>
    <x v="2"/>
    <n v="64"/>
    <n v="50"/>
    <n v="78.125"/>
  </r>
  <r>
    <n v="4"/>
    <n v="4"/>
    <n v="2"/>
    <n v="13"/>
    <n v="29"/>
    <x v="1"/>
    <x v="4"/>
    <n v="404"/>
    <n v="3"/>
    <x v="2"/>
    <n v="64"/>
    <n v="0"/>
    <n v="0"/>
  </r>
  <r>
    <n v="4"/>
    <n v="3"/>
    <n v="2"/>
    <n v="12"/>
    <n v="30"/>
    <x v="0"/>
    <x v="3"/>
    <n v="403"/>
    <n v="3"/>
    <x v="2"/>
    <n v="61"/>
    <n v="37"/>
    <n v="60.655737704918032"/>
  </r>
  <r>
    <n v="4"/>
    <n v="2"/>
    <n v="1"/>
    <n v="5"/>
    <n v="31"/>
    <x v="1"/>
    <x v="5"/>
    <n v="402"/>
    <n v="3"/>
    <x v="2"/>
    <n v="66"/>
    <n v="0"/>
    <n v="0"/>
  </r>
  <r>
    <n v="4"/>
    <n v="1"/>
    <n v="1"/>
    <n v="4"/>
    <n v="32"/>
    <x v="0"/>
    <x v="4"/>
    <n v="401"/>
    <n v="3"/>
    <x v="2"/>
    <n v="51"/>
    <n v="29"/>
    <n v="56.862745098039213"/>
  </r>
  <r>
    <n v="1"/>
    <n v="1"/>
    <n v="1"/>
    <n v="1"/>
    <n v="1"/>
    <x v="0"/>
    <x v="0"/>
    <n v="101"/>
    <n v="4"/>
    <x v="3"/>
    <n v="50"/>
    <n v="0"/>
    <n v="0"/>
  </r>
  <r>
    <n v="1"/>
    <n v="2"/>
    <n v="1"/>
    <n v="8"/>
    <n v="2"/>
    <x v="1"/>
    <x v="1"/>
    <n v="102"/>
    <n v="4"/>
    <x v="3"/>
    <n v="39"/>
    <n v="17"/>
    <n v="43.589743589743591"/>
  </r>
  <r>
    <n v="1"/>
    <n v="3"/>
    <n v="2"/>
    <n v="9"/>
    <n v="3"/>
    <x v="0"/>
    <x v="2"/>
    <n v="103"/>
    <n v="4"/>
    <x v="3"/>
    <n v="38"/>
    <n v="25"/>
    <n v="65.789473684210535"/>
  </r>
  <r>
    <n v="1"/>
    <n v="4"/>
    <n v="2"/>
    <n v="16"/>
    <n v="4"/>
    <x v="1"/>
    <x v="3"/>
    <n v="104"/>
    <n v="4"/>
    <x v="3"/>
    <n v="38"/>
    <n v="0"/>
    <n v="0"/>
  </r>
  <r>
    <n v="1"/>
    <n v="5"/>
    <n v="3"/>
    <n v="17"/>
    <n v="5"/>
    <x v="0"/>
    <x v="3"/>
    <n v="105"/>
    <n v="4"/>
    <x v="3"/>
    <n v="61"/>
    <n v="58"/>
    <n v="95.081967213114751"/>
  </r>
  <r>
    <n v="1"/>
    <n v="6"/>
    <n v="3"/>
    <n v="24"/>
    <n v="6"/>
    <x v="1"/>
    <x v="4"/>
    <n v="106"/>
    <n v="4"/>
    <x v="3"/>
    <n v="85"/>
    <n v="1"/>
    <n v="1.1764705882352942"/>
  </r>
  <r>
    <n v="1"/>
    <n v="7"/>
    <n v="4"/>
    <n v="25"/>
    <n v="7"/>
    <x v="0"/>
    <x v="4"/>
    <n v="107"/>
    <n v="4"/>
    <x v="3"/>
    <n v="34"/>
    <n v="32"/>
    <n v="94.117647058823522"/>
  </r>
  <r>
    <n v="1"/>
    <n v="8"/>
    <n v="4"/>
    <n v="32"/>
    <n v="8"/>
    <x v="1"/>
    <x v="5"/>
    <n v="108"/>
    <n v="4"/>
    <x v="3"/>
    <n v="75"/>
    <n v="0"/>
    <n v="0"/>
  </r>
  <r>
    <n v="2"/>
    <n v="8"/>
    <n v="4"/>
    <n v="31"/>
    <n v="9"/>
    <x v="1"/>
    <x v="4"/>
    <n v="208"/>
    <n v="4"/>
    <x v="3"/>
    <n v="79"/>
    <n v="0"/>
    <n v="0"/>
  </r>
  <r>
    <n v="2"/>
    <n v="7"/>
    <n v="4"/>
    <n v="26"/>
    <n v="10"/>
    <x v="0"/>
    <x v="3"/>
    <n v="207"/>
    <n v="4"/>
    <x v="3"/>
    <n v="49"/>
    <n v="53"/>
    <n v="108.16326530612245"/>
  </r>
  <r>
    <n v="2"/>
    <n v="6"/>
    <n v="3"/>
    <n v="23"/>
    <n v="11"/>
    <x v="1"/>
    <x v="1"/>
    <n v="206"/>
    <n v="4"/>
    <x v="3"/>
    <n v="42"/>
    <n v="13"/>
    <n v="30.952380952380953"/>
  </r>
  <r>
    <n v="2"/>
    <n v="5"/>
    <n v="3"/>
    <n v="18"/>
    <n v="12"/>
    <x v="0"/>
    <x v="0"/>
    <n v="205"/>
    <n v="4"/>
    <x v="3"/>
    <n v="61"/>
    <n v="0"/>
    <n v="0"/>
  </r>
  <r>
    <n v="2"/>
    <n v="4"/>
    <n v="2"/>
    <n v="15"/>
    <n v="13"/>
    <x v="1"/>
    <x v="5"/>
    <n v="204"/>
    <n v="4"/>
    <x v="3"/>
    <n v="52"/>
    <n v="1"/>
    <n v="1.9230769230769231"/>
  </r>
  <r>
    <n v="2"/>
    <n v="3"/>
    <n v="2"/>
    <n v="10"/>
    <n v="14"/>
    <x v="0"/>
    <x v="4"/>
    <n v="203"/>
    <n v="4"/>
    <x v="3"/>
    <n v="51"/>
    <n v="35"/>
    <n v="68.627450980392155"/>
  </r>
  <r>
    <n v="2"/>
    <n v="2"/>
    <n v="1"/>
    <n v="7"/>
    <n v="15"/>
    <x v="1"/>
    <x v="3"/>
    <n v="202"/>
    <n v="4"/>
    <x v="3"/>
    <n v="67"/>
    <n v="6"/>
    <n v="8.9552238805970141"/>
  </r>
  <r>
    <n v="2"/>
    <n v="1"/>
    <n v="1"/>
    <n v="2"/>
    <n v="16"/>
    <x v="0"/>
    <x v="2"/>
    <n v="201"/>
    <n v="4"/>
    <x v="3"/>
    <n v="55"/>
    <n v="45"/>
    <n v="81.818181818181827"/>
  </r>
  <r>
    <n v="3"/>
    <n v="1"/>
    <n v="1"/>
    <n v="3"/>
    <n v="17"/>
    <x v="0"/>
    <x v="3"/>
    <n v="301"/>
    <n v="4"/>
    <x v="3"/>
    <n v="35"/>
    <n v="28"/>
    <n v="80"/>
  </r>
  <r>
    <n v="3"/>
    <n v="2"/>
    <n v="1"/>
    <n v="6"/>
    <n v="18"/>
    <x v="1"/>
    <x v="4"/>
    <n v="302"/>
    <n v="4"/>
    <x v="3"/>
    <n v="55"/>
    <n v="7"/>
    <n v="12.727272727272727"/>
  </r>
  <r>
    <n v="3"/>
    <n v="3"/>
    <n v="2"/>
    <n v="11"/>
    <n v="19"/>
    <x v="0"/>
    <x v="0"/>
    <n v="303"/>
    <n v="4"/>
    <x v="3"/>
    <n v="59"/>
    <n v="0"/>
    <n v="0"/>
  </r>
  <r>
    <n v="3"/>
    <n v="4"/>
    <n v="2"/>
    <n v="14"/>
    <n v="20"/>
    <x v="1"/>
    <x v="1"/>
    <n v="304"/>
    <n v="4"/>
    <x v="3"/>
    <n v="46"/>
    <n v="20"/>
    <n v="43.478260869565219"/>
  </r>
  <r>
    <n v="3"/>
    <n v="5"/>
    <n v="3"/>
    <n v="19"/>
    <n v="21"/>
    <x v="0"/>
    <x v="4"/>
    <n v="305"/>
    <n v="4"/>
    <x v="3"/>
    <n v="61"/>
    <n v="51"/>
    <n v="83.606557377049185"/>
  </r>
  <r>
    <n v="3"/>
    <n v="6"/>
    <n v="3"/>
    <n v="22"/>
    <n v="22"/>
    <x v="1"/>
    <x v="5"/>
    <n v="306"/>
    <n v="4"/>
    <x v="3"/>
    <n v="73"/>
    <n v="0"/>
    <n v="0"/>
  </r>
  <r>
    <n v="3"/>
    <n v="7"/>
    <n v="4"/>
    <n v="27"/>
    <n v="23"/>
    <x v="0"/>
    <x v="2"/>
    <n v="307"/>
    <n v="4"/>
    <x v="3"/>
    <n v="44"/>
    <n v="30"/>
    <n v="68.181818181818173"/>
  </r>
  <r>
    <n v="3"/>
    <n v="8"/>
    <n v="4"/>
    <n v="30"/>
    <n v="24"/>
    <x v="1"/>
    <x v="3"/>
    <n v="308"/>
    <n v="4"/>
    <x v="3"/>
    <n v="64"/>
    <n v="0"/>
    <n v="0"/>
  </r>
  <r>
    <n v="4"/>
    <n v="8"/>
    <n v="4"/>
    <n v="29"/>
    <n v="25"/>
    <x v="1"/>
    <x v="1"/>
    <n v="408"/>
    <n v="4"/>
    <x v="3"/>
    <n v="47"/>
    <n v="6"/>
    <n v="12.76595744680851"/>
  </r>
  <r>
    <n v="4"/>
    <n v="7"/>
    <n v="4"/>
    <n v="28"/>
    <n v="26"/>
    <x v="0"/>
    <x v="0"/>
    <n v="407"/>
    <n v="4"/>
    <x v="3"/>
    <n v="57"/>
    <n v="0"/>
    <n v="0"/>
  </r>
  <r>
    <n v="4"/>
    <n v="6"/>
    <n v="3"/>
    <n v="21"/>
    <n v="27"/>
    <x v="1"/>
    <x v="3"/>
    <n v="406"/>
    <n v="4"/>
    <x v="3"/>
    <n v="54"/>
    <n v="8"/>
    <n v="14.814814814814813"/>
  </r>
  <r>
    <n v="4"/>
    <n v="5"/>
    <n v="3"/>
    <n v="20"/>
    <n v="28"/>
    <x v="0"/>
    <x v="2"/>
    <n v="405"/>
    <n v="4"/>
    <x v="3"/>
    <n v="64"/>
    <n v="63"/>
    <n v="98.4375"/>
  </r>
  <r>
    <n v="4"/>
    <n v="4"/>
    <n v="2"/>
    <n v="13"/>
    <n v="29"/>
    <x v="1"/>
    <x v="4"/>
    <n v="404"/>
    <n v="4"/>
    <x v="3"/>
    <n v="64"/>
    <n v="0"/>
    <n v="0"/>
  </r>
  <r>
    <n v="4"/>
    <n v="3"/>
    <n v="2"/>
    <n v="12"/>
    <n v="30"/>
    <x v="0"/>
    <x v="3"/>
    <n v="403"/>
    <n v="4"/>
    <x v="3"/>
    <n v="61"/>
    <n v="51"/>
    <n v="83.606557377049185"/>
  </r>
  <r>
    <n v="4"/>
    <n v="2"/>
    <n v="1"/>
    <n v="5"/>
    <n v="31"/>
    <x v="1"/>
    <x v="5"/>
    <n v="402"/>
    <n v="4"/>
    <x v="3"/>
    <n v="66"/>
    <n v="0"/>
    <n v="0"/>
  </r>
  <r>
    <n v="4"/>
    <n v="1"/>
    <n v="1"/>
    <n v="4"/>
    <n v="32"/>
    <x v="0"/>
    <x v="4"/>
    <n v="401"/>
    <n v="4"/>
    <x v="3"/>
    <n v="51"/>
    <n v="42"/>
    <n v="82.35294117647058"/>
  </r>
  <r>
    <n v="1"/>
    <n v="1"/>
    <n v="1"/>
    <n v="1"/>
    <n v="1"/>
    <x v="0"/>
    <x v="0"/>
    <n v="101"/>
    <n v="5"/>
    <x v="4"/>
    <n v="50"/>
    <n v="0"/>
    <n v="0"/>
  </r>
  <r>
    <n v="1"/>
    <n v="2"/>
    <n v="1"/>
    <n v="8"/>
    <n v="2"/>
    <x v="1"/>
    <x v="1"/>
    <n v="102"/>
    <n v="5"/>
    <x v="4"/>
    <n v="39"/>
    <n v="29"/>
    <n v="74.358974358974365"/>
  </r>
  <r>
    <n v="1"/>
    <n v="3"/>
    <n v="2"/>
    <n v="9"/>
    <n v="3"/>
    <x v="0"/>
    <x v="2"/>
    <n v="103"/>
    <n v="5"/>
    <x v="4"/>
    <n v="38"/>
    <m/>
    <m/>
  </r>
  <r>
    <n v="1"/>
    <n v="4"/>
    <n v="2"/>
    <n v="16"/>
    <n v="4"/>
    <x v="1"/>
    <x v="3"/>
    <n v="104"/>
    <n v="5"/>
    <x v="4"/>
    <n v="38"/>
    <n v="8"/>
    <n v="21.052631578947366"/>
  </r>
  <r>
    <n v="1"/>
    <n v="5"/>
    <n v="3"/>
    <n v="17"/>
    <n v="5"/>
    <x v="0"/>
    <x v="3"/>
    <n v="105"/>
    <n v="5"/>
    <x v="4"/>
    <n v="61"/>
    <m/>
    <m/>
  </r>
  <r>
    <n v="1"/>
    <n v="6"/>
    <n v="3"/>
    <n v="24"/>
    <n v="6"/>
    <x v="1"/>
    <x v="4"/>
    <n v="106"/>
    <n v="5"/>
    <x v="4"/>
    <n v="85"/>
    <n v="13"/>
    <n v="15.294117647058824"/>
  </r>
  <r>
    <n v="1"/>
    <n v="7"/>
    <n v="4"/>
    <n v="25"/>
    <n v="7"/>
    <x v="0"/>
    <x v="4"/>
    <n v="107"/>
    <n v="5"/>
    <x v="4"/>
    <n v="34"/>
    <m/>
    <m/>
  </r>
  <r>
    <n v="1"/>
    <n v="8"/>
    <n v="4"/>
    <n v="32"/>
    <n v="8"/>
    <x v="1"/>
    <x v="5"/>
    <n v="108"/>
    <n v="5"/>
    <x v="4"/>
    <n v="75"/>
    <n v="0"/>
    <n v="0"/>
  </r>
  <r>
    <n v="2"/>
    <n v="8"/>
    <n v="4"/>
    <n v="31"/>
    <n v="9"/>
    <x v="1"/>
    <x v="4"/>
    <n v="208"/>
    <n v="5"/>
    <x v="4"/>
    <n v="79"/>
    <n v="9"/>
    <n v="11.39240506329114"/>
  </r>
  <r>
    <n v="2"/>
    <n v="7"/>
    <n v="4"/>
    <n v="26"/>
    <n v="10"/>
    <x v="0"/>
    <x v="3"/>
    <n v="207"/>
    <n v="5"/>
    <x v="4"/>
    <n v="49"/>
    <m/>
    <m/>
  </r>
  <r>
    <n v="2"/>
    <n v="6"/>
    <n v="3"/>
    <n v="23"/>
    <n v="11"/>
    <x v="1"/>
    <x v="1"/>
    <n v="206"/>
    <n v="5"/>
    <x v="4"/>
    <n v="42"/>
    <n v="33"/>
    <n v="78.571428571428569"/>
  </r>
  <r>
    <n v="2"/>
    <n v="5"/>
    <n v="3"/>
    <n v="18"/>
    <n v="12"/>
    <x v="0"/>
    <x v="0"/>
    <n v="205"/>
    <n v="5"/>
    <x v="4"/>
    <n v="61"/>
    <n v="0"/>
    <n v="0"/>
  </r>
  <r>
    <n v="2"/>
    <n v="4"/>
    <n v="2"/>
    <n v="15"/>
    <n v="13"/>
    <x v="1"/>
    <x v="5"/>
    <n v="204"/>
    <n v="5"/>
    <x v="4"/>
    <n v="52"/>
    <n v="5"/>
    <n v="9.6153846153846168"/>
  </r>
  <r>
    <n v="2"/>
    <n v="3"/>
    <n v="2"/>
    <n v="10"/>
    <n v="14"/>
    <x v="0"/>
    <x v="4"/>
    <n v="203"/>
    <n v="5"/>
    <x v="4"/>
    <n v="51"/>
    <m/>
    <m/>
  </r>
  <r>
    <n v="2"/>
    <n v="2"/>
    <n v="1"/>
    <n v="7"/>
    <n v="15"/>
    <x v="1"/>
    <x v="3"/>
    <n v="202"/>
    <n v="5"/>
    <x v="4"/>
    <n v="67"/>
    <n v="24"/>
    <n v="35.820895522388057"/>
  </r>
  <r>
    <n v="2"/>
    <n v="1"/>
    <n v="1"/>
    <n v="2"/>
    <n v="16"/>
    <x v="0"/>
    <x v="2"/>
    <n v="201"/>
    <n v="5"/>
    <x v="4"/>
    <n v="55"/>
    <m/>
    <m/>
  </r>
  <r>
    <n v="3"/>
    <n v="1"/>
    <n v="1"/>
    <n v="3"/>
    <n v="17"/>
    <x v="0"/>
    <x v="3"/>
    <n v="301"/>
    <n v="5"/>
    <x v="4"/>
    <n v="35"/>
    <m/>
    <m/>
  </r>
  <r>
    <n v="3"/>
    <n v="2"/>
    <n v="1"/>
    <n v="6"/>
    <n v="18"/>
    <x v="1"/>
    <x v="4"/>
    <n v="302"/>
    <n v="5"/>
    <x v="4"/>
    <n v="55"/>
    <n v="19"/>
    <n v="34.545454545454547"/>
  </r>
  <r>
    <n v="3"/>
    <n v="3"/>
    <n v="2"/>
    <n v="11"/>
    <n v="19"/>
    <x v="0"/>
    <x v="0"/>
    <n v="303"/>
    <n v="5"/>
    <x v="4"/>
    <n v="59"/>
    <n v="0"/>
    <n v="0"/>
  </r>
  <r>
    <n v="3"/>
    <n v="4"/>
    <n v="2"/>
    <n v="14"/>
    <n v="20"/>
    <x v="1"/>
    <x v="1"/>
    <n v="304"/>
    <n v="5"/>
    <x v="4"/>
    <n v="46"/>
    <n v="31"/>
    <n v="67.391304347826093"/>
  </r>
  <r>
    <n v="3"/>
    <n v="5"/>
    <n v="3"/>
    <n v="19"/>
    <n v="21"/>
    <x v="0"/>
    <x v="4"/>
    <n v="305"/>
    <n v="5"/>
    <x v="4"/>
    <n v="61"/>
    <m/>
    <m/>
  </r>
  <r>
    <n v="3"/>
    <n v="6"/>
    <n v="3"/>
    <n v="22"/>
    <n v="22"/>
    <x v="1"/>
    <x v="5"/>
    <n v="306"/>
    <n v="5"/>
    <x v="4"/>
    <n v="73"/>
    <n v="5"/>
    <n v="6.8493150684931505"/>
  </r>
  <r>
    <n v="3"/>
    <n v="7"/>
    <n v="4"/>
    <n v="27"/>
    <n v="23"/>
    <x v="0"/>
    <x v="2"/>
    <n v="307"/>
    <n v="5"/>
    <x v="4"/>
    <n v="44"/>
    <m/>
    <m/>
  </r>
  <r>
    <n v="3"/>
    <n v="8"/>
    <n v="4"/>
    <n v="30"/>
    <n v="24"/>
    <x v="1"/>
    <x v="3"/>
    <n v="308"/>
    <n v="5"/>
    <x v="4"/>
    <n v="64"/>
    <n v="20"/>
    <n v="31.25"/>
  </r>
  <r>
    <n v="4"/>
    <n v="8"/>
    <n v="4"/>
    <n v="29"/>
    <n v="25"/>
    <x v="1"/>
    <x v="1"/>
    <n v="408"/>
    <n v="5"/>
    <x v="4"/>
    <n v="47"/>
    <n v="30"/>
    <n v="63.829787234042556"/>
  </r>
  <r>
    <n v="4"/>
    <n v="7"/>
    <n v="4"/>
    <n v="28"/>
    <n v="26"/>
    <x v="0"/>
    <x v="0"/>
    <n v="407"/>
    <n v="5"/>
    <x v="4"/>
    <n v="57"/>
    <n v="0"/>
    <n v="0"/>
  </r>
  <r>
    <n v="4"/>
    <n v="6"/>
    <n v="3"/>
    <n v="21"/>
    <n v="27"/>
    <x v="1"/>
    <x v="3"/>
    <n v="406"/>
    <n v="5"/>
    <x v="4"/>
    <n v="54"/>
    <n v="24"/>
    <n v="44.444444444444443"/>
  </r>
  <r>
    <n v="4"/>
    <n v="5"/>
    <n v="3"/>
    <n v="20"/>
    <n v="28"/>
    <x v="0"/>
    <x v="2"/>
    <n v="405"/>
    <n v="5"/>
    <x v="4"/>
    <n v="64"/>
    <m/>
    <m/>
  </r>
  <r>
    <n v="4"/>
    <n v="4"/>
    <n v="2"/>
    <n v="13"/>
    <n v="29"/>
    <x v="1"/>
    <x v="4"/>
    <n v="404"/>
    <n v="5"/>
    <x v="4"/>
    <n v="64"/>
    <n v="4"/>
    <n v="6.25"/>
  </r>
  <r>
    <n v="4"/>
    <n v="3"/>
    <n v="2"/>
    <n v="12"/>
    <n v="30"/>
    <x v="0"/>
    <x v="3"/>
    <n v="403"/>
    <n v="5"/>
    <x v="4"/>
    <n v="61"/>
    <m/>
    <m/>
  </r>
  <r>
    <n v="4"/>
    <n v="2"/>
    <n v="1"/>
    <n v="5"/>
    <n v="31"/>
    <x v="1"/>
    <x v="5"/>
    <n v="402"/>
    <n v="5"/>
    <x v="4"/>
    <n v="66"/>
    <n v="2"/>
    <n v="13"/>
  </r>
  <r>
    <n v="4"/>
    <n v="1"/>
    <n v="1"/>
    <n v="4"/>
    <n v="32"/>
    <x v="0"/>
    <x v="4"/>
    <n v="401"/>
    <n v="5"/>
    <x v="4"/>
    <n v="51"/>
    <m/>
    <m/>
  </r>
  <r>
    <n v="1"/>
    <n v="1"/>
    <n v="1"/>
    <n v="1"/>
    <n v="1"/>
    <x v="0"/>
    <x v="0"/>
    <n v="101"/>
    <n v="6"/>
    <x v="5"/>
    <n v="50"/>
    <n v="0"/>
    <n v="0"/>
  </r>
  <r>
    <n v="1"/>
    <n v="2"/>
    <n v="1"/>
    <n v="8"/>
    <n v="2"/>
    <x v="1"/>
    <x v="1"/>
    <n v="102"/>
    <n v="6"/>
    <x v="5"/>
    <n v="39"/>
    <m/>
    <m/>
  </r>
  <r>
    <n v="1"/>
    <n v="3"/>
    <n v="2"/>
    <n v="9"/>
    <n v="3"/>
    <x v="0"/>
    <x v="2"/>
    <n v="103"/>
    <n v="6"/>
    <x v="5"/>
    <n v="38"/>
    <m/>
    <m/>
  </r>
  <r>
    <n v="1"/>
    <n v="4"/>
    <n v="2"/>
    <n v="16"/>
    <n v="4"/>
    <x v="1"/>
    <x v="3"/>
    <n v="104"/>
    <n v="6"/>
    <x v="5"/>
    <n v="38"/>
    <n v="17"/>
    <n v="44.736842105263158"/>
  </r>
  <r>
    <n v="1"/>
    <n v="5"/>
    <n v="3"/>
    <n v="17"/>
    <n v="5"/>
    <x v="0"/>
    <x v="3"/>
    <n v="105"/>
    <n v="6"/>
    <x v="5"/>
    <n v="61"/>
    <m/>
    <m/>
  </r>
  <r>
    <n v="1"/>
    <n v="6"/>
    <n v="3"/>
    <n v="24"/>
    <n v="6"/>
    <x v="1"/>
    <x v="4"/>
    <n v="106"/>
    <n v="6"/>
    <x v="5"/>
    <n v="85"/>
    <n v="31"/>
    <n v="36.470588235294116"/>
  </r>
  <r>
    <n v="1"/>
    <n v="7"/>
    <n v="4"/>
    <n v="25"/>
    <n v="7"/>
    <x v="0"/>
    <x v="4"/>
    <n v="107"/>
    <n v="6"/>
    <x v="5"/>
    <n v="34"/>
    <m/>
    <m/>
  </r>
  <r>
    <n v="1"/>
    <n v="8"/>
    <n v="4"/>
    <n v="32"/>
    <n v="8"/>
    <x v="1"/>
    <x v="5"/>
    <n v="108"/>
    <n v="6"/>
    <x v="5"/>
    <n v="75"/>
    <n v="16"/>
    <n v="51.612903225806448"/>
  </r>
  <r>
    <n v="2"/>
    <n v="8"/>
    <n v="4"/>
    <n v="31"/>
    <n v="9"/>
    <x v="1"/>
    <x v="4"/>
    <n v="208"/>
    <n v="6"/>
    <x v="5"/>
    <n v="79"/>
    <n v="19"/>
    <n v="50"/>
  </r>
  <r>
    <n v="2"/>
    <n v="7"/>
    <n v="4"/>
    <n v="26"/>
    <n v="10"/>
    <x v="0"/>
    <x v="3"/>
    <n v="207"/>
    <n v="6"/>
    <x v="5"/>
    <n v="49"/>
    <m/>
    <m/>
  </r>
  <r>
    <n v="2"/>
    <n v="6"/>
    <n v="3"/>
    <n v="23"/>
    <n v="11"/>
    <x v="1"/>
    <x v="1"/>
    <n v="206"/>
    <n v="6"/>
    <x v="5"/>
    <n v="42"/>
    <m/>
    <m/>
  </r>
  <r>
    <n v="2"/>
    <n v="5"/>
    <n v="3"/>
    <n v="18"/>
    <n v="12"/>
    <x v="0"/>
    <x v="0"/>
    <n v="205"/>
    <n v="6"/>
    <x v="5"/>
    <n v="61"/>
    <n v="0"/>
    <n v="0"/>
  </r>
  <r>
    <n v="2"/>
    <n v="4"/>
    <n v="2"/>
    <n v="15"/>
    <n v="13"/>
    <x v="1"/>
    <x v="5"/>
    <n v="204"/>
    <n v="6"/>
    <x v="5"/>
    <n v="52"/>
    <n v="22"/>
    <n v="42.307692307692307"/>
  </r>
  <r>
    <n v="2"/>
    <n v="3"/>
    <n v="2"/>
    <n v="10"/>
    <n v="14"/>
    <x v="0"/>
    <x v="4"/>
    <n v="203"/>
    <n v="6"/>
    <x v="5"/>
    <n v="51"/>
    <m/>
    <m/>
  </r>
  <r>
    <n v="2"/>
    <n v="2"/>
    <n v="1"/>
    <n v="7"/>
    <n v="15"/>
    <x v="1"/>
    <x v="3"/>
    <n v="202"/>
    <n v="6"/>
    <x v="5"/>
    <n v="67"/>
    <n v="51"/>
    <n v="76.119402985074629"/>
  </r>
  <r>
    <n v="2"/>
    <n v="1"/>
    <n v="1"/>
    <n v="2"/>
    <n v="16"/>
    <x v="0"/>
    <x v="2"/>
    <n v="201"/>
    <n v="6"/>
    <x v="5"/>
    <n v="55"/>
    <m/>
    <m/>
  </r>
  <r>
    <n v="3"/>
    <n v="1"/>
    <n v="1"/>
    <n v="3"/>
    <n v="17"/>
    <x v="0"/>
    <x v="3"/>
    <n v="301"/>
    <n v="6"/>
    <x v="5"/>
    <n v="35"/>
    <m/>
    <m/>
  </r>
  <r>
    <n v="3"/>
    <n v="2"/>
    <n v="1"/>
    <n v="6"/>
    <n v="18"/>
    <x v="1"/>
    <x v="4"/>
    <n v="302"/>
    <n v="6"/>
    <x v="5"/>
    <n v="55"/>
    <n v="37"/>
    <n v="67.272727272727266"/>
  </r>
  <r>
    <n v="3"/>
    <n v="3"/>
    <n v="2"/>
    <n v="11"/>
    <n v="19"/>
    <x v="0"/>
    <x v="0"/>
    <n v="303"/>
    <n v="6"/>
    <x v="5"/>
    <n v="59"/>
    <n v="1"/>
    <n v="1.6949152542372881"/>
  </r>
  <r>
    <n v="3"/>
    <n v="4"/>
    <n v="2"/>
    <n v="14"/>
    <n v="20"/>
    <x v="1"/>
    <x v="1"/>
    <n v="304"/>
    <n v="6"/>
    <x v="5"/>
    <n v="46"/>
    <m/>
    <m/>
  </r>
  <r>
    <n v="3"/>
    <n v="5"/>
    <n v="3"/>
    <n v="19"/>
    <n v="21"/>
    <x v="0"/>
    <x v="4"/>
    <n v="305"/>
    <n v="6"/>
    <x v="5"/>
    <n v="61"/>
    <m/>
    <m/>
  </r>
  <r>
    <n v="3"/>
    <n v="6"/>
    <n v="3"/>
    <n v="22"/>
    <n v="22"/>
    <x v="1"/>
    <x v="5"/>
    <n v="306"/>
    <n v="6"/>
    <x v="5"/>
    <n v="73"/>
    <n v="11"/>
    <n v="48.571428571428569"/>
  </r>
  <r>
    <n v="3"/>
    <n v="7"/>
    <n v="4"/>
    <n v="27"/>
    <n v="23"/>
    <x v="0"/>
    <x v="2"/>
    <n v="307"/>
    <n v="6"/>
    <x v="5"/>
    <n v="44"/>
    <m/>
    <m/>
  </r>
  <r>
    <n v="3"/>
    <n v="8"/>
    <n v="4"/>
    <n v="30"/>
    <n v="24"/>
    <x v="1"/>
    <x v="3"/>
    <n v="308"/>
    <n v="6"/>
    <x v="5"/>
    <n v="64"/>
    <n v="40"/>
    <n v="62.5"/>
  </r>
  <r>
    <n v="4"/>
    <n v="8"/>
    <n v="4"/>
    <n v="29"/>
    <n v="25"/>
    <x v="1"/>
    <x v="1"/>
    <n v="408"/>
    <n v="6"/>
    <x v="5"/>
    <n v="47"/>
    <m/>
    <m/>
  </r>
  <r>
    <n v="4"/>
    <n v="7"/>
    <n v="4"/>
    <n v="28"/>
    <n v="26"/>
    <x v="0"/>
    <x v="0"/>
    <n v="407"/>
    <n v="6"/>
    <x v="5"/>
    <n v="57"/>
    <n v="1"/>
    <n v="1.7543859649122806"/>
  </r>
  <r>
    <n v="4"/>
    <n v="6"/>
    <n v="3"/>
    <n v="21"/>
    <n v="27"/>
    <x v="1"/>
    <x v="3"/>
    <n v="406"/>
    <n v="6"/>
    <x v="5"/>
    <n v="54"/>
    <n v="46"/>
    <n v="85.18518518518519"/>
  </r>
  <r>
    <n v="4"/>
    <n v="5"/>
    <n v="3"/>
    <n v="20"/>
    <n v="28"/>
    <x v="0"/>
    <x v="2"/>
    <n v="405"/>
    <n v="6"/>
    <x v="5"/>
    <n v="64"/>
    <m/>
    <m/>
  </r>
  <r>
    <n v="4"/>
    <n v="4"/>
    <n v="2"/>
    <n v="13"/>
    <n v="29"/>
    <x v="1"/>
    <x v="4"/>
    <n v="404"/>
    <n v="6"/>
    <x v="5"/>
    <n v="64"/>
    <n v="17"/>
    <n v="58.333333333333336"/>
  </r>
  <r>
    <n v="4"/>
    <n v="3"/>
    <n v="2"/>
    <n v="12"/>
    <n v="30"/>
    <x v="0"/>
    <x v="3"/>
    <n v="403"/>
    <n v="6"/>
    <x v="5"/>
    <n v="61"/>
    <m/>
    <m/>
  </r>
  <r>
    <n v="4"/>
    <n v="2"/>
    <n v="1"/>
    <n v="5"/>
    <n v="31"/>
    <x v="1"/>
    <x v="5"/>
    <n v="402"/>
    <n v="6"/>
    <x v="5"/>
    <n v="66"/>
    <n v="24"/>
    <n v="36.363636363636367"/>
  </r>
  <r>
    <n v="4"/>
    <n v="1"/>
    <n v="1"/>
    <n v="4"/>
    <n v="32"/>
    <x v="0"/>
    <x v="4"/>
    <n v="401"/>
    <n v="6"/>
    <x v="5"/>
    <n v="51"/>
    <m/>
    <m/>
  </r>
  <r>
    <n v="1"/>
    <n v="1"/>
    <n v="1"/>
    <n v="1"/>
    <n v="1"/>
    <x v="0"/>
    <x v="0"/>
    <n v="101"/>
    <n v="7"/>
    <x v="6"/>
    <n v="50"/>
    <n v="0"/>
    <n v="0"/>
  </r>
  <r>
    <n v="1"/>
    <n v="2"/>
    <n v="1"/>
    <n v="8"/>
    <n v="2"/>
    <x v="1"/>
    <x v="1"/>
    <n v="102"/>
    <n v="7"/>
    <x v="6"/>
    <m/>
    <m/>
    <m/>
  </r>
  <r>
    <n v="1"/>
    <n v="3"/>
    <n v="2"/>
    <n v="9"/>
    <n v="3"/>
    <x v="0"/>
    <x v="2"/>
    <n v="103"/>
    <n v="7"/>
    <x v="6"/>
    <m/>
    <m/>
    <m/>
  </r>
  <r>
    <n v="1"/>
    <n v="4"/>
    <n v="2"/>
    <n v="16"/>
    <n v="4"/>
    <x v="1"/>
    <x v="3"/>
    <n v="104"/>
    <n v="7"/>
    <x v="6"/>
    <m/>
    <m/>
    <m/>
  </r>
  <r>
    <n v="1"/>
    <n v="5"/>
    <n v="3"/>
    <n v="17"/>
    <n v="5"/>
    <x v="0"/>
    <x v="3"/>
    <n v="105"/>
    <n v="7"/>
    <x v="6"/>
    <m/>
    <m/>
    <m/>
  </r>
  <r>
    <n v="1"/>
    <n v="6"/>
    <n v="3"/>
    <n v="24"/>
    <n v="6"/>
    <x v="1"/>
    <x v="4"/>
    <n v="106"/>
    <n v="7"/>
    <x v="6"/>
    <m/>
    <m/>
    <m/>
  </r>
  <r>
    <n v="1"/>
    <n v="7"/>
    <n v="4"/>
    <n v="25"/>
    <n v="7"/>
    <x v="0"/>
    <x v="4"/>
    <n v="107"/>
    <n v="7"/>
    <x v="6"/>
    <m/>
    <m/>
    <m/>
  </r>
  <r>
    <n v="1"/>
    <n v="8"/>
    <n v="4"/>
    <n v="32"/>
    <n v="8"/>
    <x v="1"/>
    <x v="5"/>
    <n v="108"/>
    <n v="7"/>
    <x v="6"/>
    <m/>
    <m/>
    <m/>
  </r>
  <r>
    <n v="2"/>
    <n v="8"/>
    <n v="4"/>
    <n v="31"/>
    <n v="9"/>
    <x v="1"/>
    <x v="4"/>
    <n v="208"/>
    <n v="7"/>
    <x v="6"/>
    <m/>
    <m/>
    <m/>
  </r>
  <r>
    <n v="2"/>
    <n v="7"/>
    <n v="4"/>
    <n v="26"/>
    <n v="10"/>
    <x v="0"/>
    <x v="3"/>
    <n v="207"/>
    <n v="7"/>
    <x v="6"/>
    <m/>
    <m/>
    <m/>
  </r>
  <r>
    <n v="2"/>
    <n v="6"/>
    <n v="3"/>
    <n v="23"/>
    <n v="11"/>
    <x v="1"/>
    <x v="1"/>
    <n v="206"/>
    <n v="7"/>
    <x v="6"/>
    <m/>
    <m/>
    <m/>
  </r>
  <r>
    <n v="2"/>
    <n v="5"/>
    <n v="3"/>
    <n v="18"/>
    <n v="12"/>
    <x v="0"/>
    <x v="0"/>
    <n v="205"/>
    <n v="7"/>
    <x v="6"/>
    <n v="61"/>
    <n v="0"/>
    <n v="0"/>
  </r>
  <r>
    <n v="2"/>
    <n v="4"/>
    <n v="2"/>
    <n v="15"/>
    <n v="13"/>
    <x v="1"/>
    <x v="5"/>
    <n v="204"/>
    <n v="7"/>
    <x v="6"/>
    <m/>
    <m/>
    <m/>
  </r>
  <r>
    <n v="2"/>
    <n v="3"/>
    <n v="2"/>
    <n v="10"/>
    <n v="14"/>
    <x v="0"/>
    <x v="4"/>
    <n v="203"/>
    <n v="7"/>
    <x v="6"/>
    <m/>
    <m/>
    <m/>
  </r>
  <r>
    <n v="2"/>
    <n v="2"/>
    <n v="1"/>
    <n v="7"/>
    <n v="15"/>
    <x v="1"/>
    <x v="3"/>
    <n v="202"/>
    <n v="7"/>
    <x v="6"/>
    <m/>
    <m/>
    <m/>
  </r>
  <r>
    <n v="2"/>
    <n v="1"/>
    <n v="1"/>
    <n v="2"/>
    <n v="16"/>
    <x v="0"/>
    <x v="2"/>
    <n v="201"/>
    <n v="7"/>
    <x v="6"/>
    <m/>
    <m/>
    <m/>
  </r>
  <r>
    <n v="3"/>
    <n v="1"/>
    <n v="1"/>
    <n v="3"/>
    <n v="17"/>
    <x v="0"/>
    <x v="3"/>
    <n v="301"/>
    <n v="7"/>
    <x v="6"/>
    <m/>
    <m/>
    <m/>
  </r>
  <r>
    <n v="3"/>
    <n v="2"/>
    <n v="1"/>
    <n v="6"/>
    <n v="18"/>
    <x v="1"/>
    <x v="4"/>
    <n v="302"/>
    <n v="7"/>
    <x v="6"/>
    <m/>
    <m/>
    <m/>
  </r>
  <r>
    <n v="3"/>
    <n v="3"/>
    <n v="2"/>
    <n v="11"/>
    <n v="19"/>
    <x v="0"/>
    <x v="0"/>
    <n v="303"/>
    <n v="7"/>
    <x v="6"/>
    <n v="59"/>
    <n v="4"/>
    <n v="6.7796610169491522"/>
  </r>
  <r>
    <n v="3"/>
    <n v="4"/>
    <n v="2"/>
    <n v="14"/>
    <n v="20"/>
    <x v="1"/>
    <x v="1"/>
    <n v="304"/>
    <n v="7"/>
    <x v="6"/>
    <m/>
    <m/>
    <m/>
  </r>
  <r>
    <n v="3"/>
    <n v="5"/>
    <n v="3"/>
    <n v="19"/>
    <n v="21"/>
    <x v="0"/>
    <x v="4"/>
    <n v="305"/>
    <n v="7"/>
    <x v="6"/>
    <m/>
    <m/>
    <m/>
  </r>
  <r>
    <n v="3"/>
    <n v="6"/>
    <n v="3"/>
    <n v="22"/>
    <n v="22"/>
    <x v="1"/>
    <x v="5"/>
    <n v="306"/>
    <n v="7"/>
    <x v="6"/>
    <m/>
    <m/>
    <m/>
  </r>
  <r>
    <n v="3"/>
    <n v="7"/>
    <n v="4"/>
    <n v="27"/>
    <n v="23"/>
    <x v="0"/>
    <x v="2"/>
    <n v="307"/>
    <n v="7"/>
    <x v="6"/>
    <m/>
    <m/>
    <m/>
  </r>
  <r>
    <n v="3"/>
    <n v="8"/>
    <n v="4"/>
    <n v="30"/>
    <n v="24"/>
    <x v="1"/>
    <x v="3"/>
    <n v="308"/>
    <n v="7"/>
    <x v="6"/>
    <m/>
    <m/>
    <m/>
  </r>
  <r>
    <n v="4"/>
    <n v="8"/>
    <n v="4"/>
    <n v="29"/>
    <n v="25"/>
    <x v="1"/>
    <x v="1"/>
    <n v="408"/>
    <n v="7"/>
    <x v="6"/>
    <m/>
    <m/>
    <m/>
  </r>
  <r>
    <n v="4"/>
    <n v="7"/>
    <n v="4"/>
    <n v="28"/>
    <n v="26"/>
    <x v="0"/>
    <x v="0"/>
    <n v="407"/>
    <n v="7"/>
    <x v="6"/>
    <n v="57"/>
    <n v="3"/>
    <n v="5.2631578947368416"/>
  </r>
  <r>
    <n v="4"/>
    <n v="6"/>
    <n v="3"/>
    <n v="21"/>
    <n v="27"/>
    <x v="1"/>
    <x v="3"/>
    <n v="406"/>
    <n v="7"/>
    <x v="6"/>
    <m/>
    <m/>
    <m/>
  </r>
  <r>
    <n v="4"/>
    <n v="5"/>
    <n v="3"/>
    <n v="20"/>
    <n v="28"/>
    <x v="0"/>
    <x v="2"/>
    <n v="405"/>
    <n v="7"/>
    <x v="6"/>
    <m/>
    <m/>
    <m/>
  </r>
  <r>
    <n v="4"/>
    <n v="4"/>
    <n v="2"/>
    <n v="13"/>
    <n v="29"/>
    <x v="1"/>
    <x v="4"/>
    <n v="404"/>
    <n v="7"/>
    <x v="6"/>
    <m/>
    <m/>
    <m/>
  </r>
  <r>
    <n v="4"/>
    <n v="3"/>
    <n v="2"/>
    <n v="12"/>
    <n v="30"/>
    <x v="0"/>
    <x v="3"/>
    <n v="403"/>
    <n v="7"/>
    <x v="6"/>
    <m/>
    <m/>
    <m/>
  </r>
  <r>
    <n v="4"/>
    <n v="2"/>
    <n v="1"/>
    <n v="5"/>
    <n v="31"/>
    <x v="1"/>
    <x v="5"/>
    <n v="402"/>
    <n v="7"/>
    <x v="6"/>
    <m/>
    <m/>
    <m/>
  </r>
  <r>
    <n v="4"/>
    <n v="1"/>
    <n v="1"/>
    <n v="4"/>
    <n v="32"/>
    <x v="0"/>
    <x v="4"/>
    <n v="401"/>
    <n v="7"/>
    <x v="6"/>
    <m/>
    <m/>
    <m/>
  </r>
  <r>
    <m/>
    <m/>
    <m/>
    <m/>
    <n v="1"/>
    <x v="0"/>
    <x v="0"/>
    <n v="101"/>
    <n v="8"/>
    <x v="7"/>
    <n v="50"/>
    <n v="2"/>
    <n v="4"/>
  </r>
  <r>
    <m/>
    <m/>
    <m/>
    <m/>
    <n v="2"/>
    <x v="1"/>
    <x v="1"/>
    <n v="102"/>
    <n v="8"/>
    <x v="7"/>
    <m/>
    <m/>
    <m/>
  </r>
  <r>
    <m/>
    <m/>
    <m/>
    <m/>
    <n v="3"/>
    <x v="0"/>
    <x v="2"/>
    <n v="103"/>
    <n v="8"/>
    <x v="7"/>
    <m/>
    <m/>
    <m/>
  </r>
  <r>
    <m/>
    <m/>
    <m/>
    <m/>
    <n v="4"/>
    <x v="1"/>
    <x v="3"/>
    <n v="104"/>
    <n v="8"/>
    <x v="7"/>
    <m/>
    <m/>
    <m/>
  </r>
  <r>
    <m/>
    <m/>
    <m/>
    <m/>
    <n v="5"/>
    <x v="0"/>
    <x v="3"/>
    <n v="105"/>
    <n v="8"/>
    <x v="7"/>
    <m/>
    <m/>
    <m/>
  </r>
  <r>
    <m/>
    <m/>
    <m/>
    <m/>
    <n v="6"/>
    <x v="1"/>
    <x v="4"/>
    <n v="106"/>
    <n v="8"/>
    <x v="7"/>
    <m/>
    <m/>
    <m/>
  </r>
  <r>
    <m/>
    <m/>
    <m/>
    <m/>
    <n v="7"/>
    <x v="0"/>
    <x v="4"/>
    <n v="107"/>
    <n v="8"/>
    <x v="7"/>
    <m/>
    <m/>
    <m/>
  </r>
  <r>
    <m/>
    <m/>
    <m/>
    <m/>
    <n v="8"/>
    <x v="1"/>
    <x v="5"/>
    <n v="108"/>
    <n v="8"/>
    <x v="7"/>
    <m/>
    <m/>
    <m/>
  </r>
  <r>
    <m/>
    <m/>
    <m/>
    <m/>
    <n v="9"/>
    <x v="1"/>
    <x v="4"/>
    <n v="208"/>
    <n v="8"/>
    <x v="7"/>
    <m/>
    <m/>
    <m/>
  </r>
  <r>
    <m/>
    <m/>
    <m/>
    <m/>
    <n v="10"/>
    <x v="0"/>
    <x v="3"/>
    <n v="207"/>
    <n v="8"/>
    <x v="7"/>
    <m/>
    <m/>
    <m/>
  </r>
  <r>
    <m/>
    <m/>
    <m/>
    <m/>
    <n v="11"/>
    <x v="1"/>
    <x v="1"/>
    <n v="206"/>
    <n v="8"/>
    <x v="7"/>
    <m/>
    <m/>
    <m/>
  </r>
  <r>
    <m/>
    <m/>
    <m/>
    <m/>
    <n v="12"/>
    <x v="0"/>
    <x v="0"/>
    <n v="205"/>
    <n v="8"/>
    <x v="7"/>
    <n v="61"/>
    <n v="0"/>
    <n v="0"/>
  </r>
  <r>
    <m/>
    <m/>
    <m/>
    <m/>
    <n v="13"/>
    <x v="1"/>
    <x v="5"/>
    <n v="204"/>
    <n v="8"/>
    <x v="7"/>
    <m/>
    <m/>
    <m/>
  </r>
  <r>
    <m/>
    <m/>
    <m/>
    <m/>
    <n v="14"/>
    <x v="0"/>
    <x v="4"/>
    <n v="203"/>
    <n v="8"/>
    <x v="7"/>
    <m/>
    <m/>
    <m/>
  </r>
  <r>
    <m/>
    <m/>
    <m/>
    <m/>
    <n v="15"/>
    <x v="1"/>
    <x v="3"/>
    <n v="202"/>
    <n v="8"/>
    <x v="7"/>
    <m/>
    <m/>
    <m/>
  </r>
  <r>
    <m/>
    <m/>
    <m/>
    <m/>
    <n v="16"/>
    <x v="0"/>
    <x v="2"/>
    <n v="201"/>
    <n v="8"/>
    <x v="7"/>
    <m/>
    <m/>
    <m/>
  </r>
  <r>
    <m/>
    <m/>
    <m/>
    <m/>
    <n v="17"/>
    <x v="0"/>
    <x v="3"/>
    <n v="301"/>
    <n v="8"/>
    <x v="7"/>
    <m/>
    <m/>
    <m/>
  </r>
  <r>
    <m/>
    <m/>
    <m/>
    <m/>
    <n v="18"/>
    <x v="1"/>
    <x v="4"/>
    <n v="302"/>
    <n v="8"/>
    <x v="7"/>
    <m/>
    <m/>
    <m/>
  </r>
  <r>
    <m/>
    <m/>
    <m/>
    <m/>
    <n v="19"/>
    <x v="0"/>
    <x v="0"/>
    <n v="303"/>
    <n v="8"/>
    <x v="7"/>
    <n v="59"/>
    <n v="16"/>
    <n v="27.118644067796609"/>
  </r>
  <r>
    <m/>
    <m/>
    <m/>
    <m/>
    <n v="20"/>
    <x v="1"/>
    <x v="1"/>
    <n v="304"/>
    <n v="8"/>
    <x v="7"/>
    <m/>
    <m/>
    <m/>
  </r>
  <r>
    <m/>
    <m/>
    <m/>
    <m/>
    <n v="21"/>
    <x v="0"/>
    <x v="4"/>
    <n v="305"/>
    <n v="8"/>
    <x v="7"/>
    <m/>
    <m/>
    <m/>
  </r>
  <r>
    <m/>
    <m/>
    <m/>
    <m/>
    <n v="22"/>
    <x v="1"/>
    <x v="5"/>
    <n v="306"/>
    <n v="8"/>
    <x v="7"/>
    <m/>
    <m/>
    <m/>
  </r>
  <r>
    <m/>
    <m/>
    <m/>
    <m/>
    <n v="23"/>
    <x v="0"/>
    <x v="2"/>
    <n v="307"/>
    <n v="8"/>
    <x v="7"/>
    <m/>
    <m/>
    <m/>
  </r>
  <r>
    <m/>
    <m/>
    <m/>
    <m/>
    <n v="24"/>
    <x v="1"/>
    <x v="3"/>
    <n v="308"/>
    <n v="8"/>
    <x v="7"/>
    <m/>
    <m/>
    <m/>
  </r>
  <r>
    <m/>
    <m/>
    <m/>
    <m/>
    <n v="25"/>
    <x v="1"/>
    <x v="1"/>
    <n v="408"/>
    <n v="8"/>
    <x v="7"/>
    <m/>
    <m/>
    <m/>
  </r>
  <r>
    <m/>
    <m/>
    <m/>
    <m/>
    <n v="26"/>
    <x v="0"/>
    <x v="0"/>
    <n v="407"/>
    <n v="8"/>
    <x v="7"/>
    <n v="57"/>
    <n v="12"/>
    <n v="21.052631578947366"/>
  </r>
  <r>
    <m/>
    <m/>
    <m/>
    <m/>
    <n v="27"/>
    <x v="1"/>
    <x v="3"/>
    <n v="406"/>
    <n v="8"/>
    <x v="7"/>
    <m/>
    <m/>
    <m/>
  </r>
  <r>
    <m/>
    <m/>
    <m/>
    <m/>
    <n v="28"/>
    <x v="0"/>
    <x v="2"/>
    <n v="405"/>
    <n v="8"/>
    <x v="7"/>
    <m/>
    <m/>
    <m/>
  </r>
  <r>
    <m/>
    <m/>
    <m/>
    <m/>
    <n v="29"/>
    <x v="1"/>
    <x v="4"/>
    <n v="404"/>
    <n v="8"/>
    <x v="7"/>
    <m/>
    <m/>
    <m/>
  </r>
  <r>
    <m/>
    <m/>
    <m/>
    <m/>
    <n v="30"/>
    <x v="0"/>
    <x v="3"/>
    <n v="403"/>
    <n v="8"/>
    <x v="7"/>
    <m/>
    <m/>
    <m/>
  </r>
  <r>
    <m/>
    <m/>
    <m/>
    <m/>
    <n v="31"/>
    <x v="1"/>
    <x v="5"/>
    <n v="402"/>
    <n v="8"/>
    <x v="7"/>
    <m/>
    <m/>
    <m/>
  </r>
  <r>
    <m/>
    <m/>
    <m/>
    <m/>
    <n v="32"/>
    <x v="0"/>
    <x v="4"/>
    <n v="401"/>
    <n v="8"/>
    <x v="7"/>
    <m/>
    <m/>
    <m/>
  </r>
  <r>
    <m/>
    <n v="1"/>
    <n v="1"/>
    <n v="1"/>
    <n v="1"/>
    <x v="0"/>
    <x v="0"/>
    <n v="101"/>
    <n v="9"/>
    <x v="8"/>
    <n v="50"/>
    <n v="21"/>
    <n v="42"/>
  </r>
  <r>
    <m/>
    <n v="2"/>
    <n v="1"/>
    <n v="8"/>
    <n v="2"/>
    <x v="1"/>
    <x v="1"/>
    <n v="102"/>
    <n v="9"/>
    <x v="9"/>
    <m/>
    <m/>
    <m/>
  </r>
  <r>
    <m/>
    <n v="3"/>
    <n v="2"/>
    <n v="9"/>
    <n v="3"/>
    <x v="0"/>
    <x v="2"/>
    <n v="103"/>
    <n v="9"/>
    <x v="9"/>
    <m/>
    <m/>
    <m/>
  </r>
  <r>
    <m/>
    <n v="4"/>
    <n v="2"/>
    <n v="16"/>
    <n v="4"/>
    <x v="1"/>
    <x v="3"/>
    <n v="104"/>
    <n v="9"/>
    <x v="9"/>
    <m/>
    <m/>
    <m/>
  </r>
  <r>
    <m/>
    <n v="5"/>
    <n v="3"/>
    <n v="17"/>
    <n v="5"/>
    <x v="0"/>
    <x v="3"/>
    <n v="105"/>
    <n v="9"/>
    <x v="9"/>
    <m/>
    <m/>
    <m/>
  </r>
  <r>
    <m/>
    <n v="6"/>
    <n v="3"/>
    <n v="24"/>
    <n v="6"/>
    <x v="1"/>
    <x v="4"/>
    <n v="106"/>
    <n v="9"/>
    <x v="9"/>
    <m/>
    <m/>
    <m/>
  </r>
  <r>
    <m/>
    <n v="7"/>
    <n v="4"/>
    <n v="25"/>
    <n v="7"/>
    <x v="0"/>
    <x v="4"/>
    <n v="107"/>
    <n v="9"/>
    <x v="9"/>
    <m/>
    <m/>
    <m/>
  </r>
  <r>
    <m/>
    <n v="8"/>
    <n v="4"/>
    <n v="32"/>
    <n v="8"/>
    <x v="1"/>
    <x v="5"/>
    <n v="108"/>
    <n v="9"/>
    <x v="9"/>
    <m/>
    <m/>
    <m/>
  </r>
  <r>
    <m/>
    <n v="8"/>
    <n v="4"/>
    <n v="31"/>
    <n v="9"/>
    <x v="1"/>
    <x v="4"/>
    <n v="208"/>
    <n v="9"/>
    <x v="9"/>
    <m/>
    <m/>
    <m/>
  </r>
  <r>
    <m/>
    <n v="7"/>
    <n v="4"/>
    <n v="26"/>
    <n v="10"/>
    <x v="0"/>
    <x v="3"/>
    <n v="207"/>
    <n v="9"/>
    <x v="9"/>
    <m/>
    <m/>
    <m/>
  </r>
  <r>
    <m/>
    <n v="6"/>
    <n v="3"/>
    <n v="23"/>
    <n v="11"/>
    <x v="1"/>
    <x v="1"/>
    <n v="206"/>
    <n v="9"/>
    <x v="9"/>
    <m/>
    <m/>
    <m/>
  </r>
  <r>
    <m/>
    <n v="5"/>
    <n v="3"/>
    <n v="18"/>
    <n v="12"/>
    <x v="0"/>
    <x v="0"/>
    <n v="205"/>
    <n v="9"/>
    <x v="8"/>
    <n v="61"/>
    <n v="20"/>
    <n v="32.786885245901637"/>
  </r>
  <r>
    <m/>
    <n v="4"/>
    <n v="2"/>
    <n v="15"/>
    <n v="13"/>
    <x v="1"/>
    <x v="5"/>
    <n v="204"/>
    <n v="9"/>
    <x v="9"/>
    <m/>
    <m/>
    <m/>
  </r>
  <r>
    <m/>
    <n v="3"/>
    <n v="2"/>
    <n v="10"/>
    <n v="14"/>
    <x v="0"/>
    <x v="4"/>
    <n v="203"/>
    <n v="9"/>
    <x v="9"/>
    <m/>
    <m/>
    <m/>
  </r>
  <r>
    <m/>
    <n v="2"/>
    <n v="1"/>
    <n v="7"/>
    <n v="15"/>
    <x v="1"/>
    <x v="3"/>
    <n v="202"/>
    <n v="9"/>
    <x v="9"/>
    <m/>
    <m/>
    <m/>
  </r>
  <r>
    <m/>
    <n v="1"/>
    <n v="1"/>
    <n v="2"/>
    <n v="16"/>
    <x v="0"/>
    <x v="2"/>
    <n v="201"/>
    <n v="9"/>
    <x v="9"/>
    <m/>
    <m/>
    <m/>
  </r>
  <r>
    <m/>
    <n v="1"/>
    <n v="1"/>
    <n v="3"/>
    <n v="17"/>
    <x v="0"/>
    <x v="3"/>
    <n v="301"/>
    <n v="9"/>
    <x v="9"/>
    <m/>
    <m/>
    <m/>
  </r>
  <r>
    <m/>
    <n v="2"/>
    <n v="1"/>
    <n v="6"/>
    <n v="18"/>
    <x v="1"/>
    <x v="4"/>
    <n v="302"/>
    <n v="9"/>
    <x v="9"/>
    <m/>
    <m/>
    <m/>
  </r>
  <r>
    <m/>
    <n v="3"/>
    <n v="2"/>
    <n v="11"/>
    <n v="19"/>
    <x v="0"/>
    <x v="0"/>
    <n v="303"/>
    <n v="9"/>
    <x v="8"/>
    <n v="59"/>
    <n v="34"/>
    <n v="57.627118644067799"/>
  </r>
  <r>
    <m/>
    <n v="4"/>
    <n v="2"/>
    <n v="14"/>
    <n v="20"/>
    <x v="1"/>
    <x v="1"/>
    <n v="304"/>
    <n v="9"/>
    <x v="9"/>
    <m/>
    <m/>
    <m/>
  </r>
  <r>
    <m/>
    <n v="5"/>
    <n v="3"/>
    <n v="19"/>
    <n v="21"/>
    <x v="0"/>
    <x v="4"/>
    <n v="305"/>
    <n v="9"/>
    <x v="9"/>
    <m/>
    <m/>
    <m/>
  </r>
  <r>
    <m/>
    <n v="6"/>
    <n v="3"/>
    <n v="22"/>
    <n v="22"/>
    <x v="1"/>
    <x v="5"/>
    <n v="306"/>
    <n v="9"/>
    <x v="9"/>
    <m/>
    <m/>
    <m/>
  </r>
  <r>
    <m/>
    <n v="7"/>
    <n v="4"/>
    <n v="27"/>
    <n v="23"/>
    <x v="0"/>
    <x v="2"/>
    <n v="307"/>
    <n v="9"/>
    <x v="9"/>
    <m/>
    <m/>
    <m/>
  </r>
  <r>
    <m/>
    <n v="8"/>
    <n v="4"/>
    <n v="30"/>
    <n v="24"/>
    <x v="1"/>
    <x v="3"/>
    <n v="308"/>
    <n v="9"/>
    <x v="9"/>
    <m/>
    <m/>
    <m/>
  </r>
  <r>
    <m/>
    <n v="8"/>
    <n v="4"/>
    <n v="29"/>
    <n v="25"/>
    <x v="1"/>
    <x v="1"/>
    <n v="408"/>
    <n v="9"/>
    <x v="9"/>
    <m/>
    <m/>
    <m/>
  </r>
  <r>
    <m/>
    <n v="7"/>
    <n v="4"/>
    <n v="28"/>
    <n v="26"/>
    <x v="0"/>
    <x v="0"/>
    <n v="407"/>
    <n v="9"/>
    <x v="8"/>
    <n v="57"/>
    <n v="31"/>
    <n v="54.385964912280706"/>
  </r>
  <r>
    <m/>
    <n v="6"/>
    <n v="3"/>
    <n v="21"/>
    <n v="27"/>
    <x v="1"/>
    <x v="3"/>
    <n v="406"/>
    <n v="9"/>
    <x v="9"/>
    <m/>
    <m/>
    <m/>
  </r>
  <r>
    <m/>
    <n v="5"/>
    <n v="3"/>
    <n v="20"/>
    <n v="28"/>
    <x v="0"/>
    <x v="2"/>
    <n v="405"/>
    <n v="9"/>
    <x v="9"/>
    <m/>
    <m/>
    <m/>
  </r>
  <r>
    <m/>
    <n v="4"/>
    <n v="2"/>
    <n v="13"/>
    <n v="29"/>
    <x v="1"/>
    <x v="4"/>
    <n v="404"/>
    <n v="9"/>
    <x v="9"/>
    <m/>
    <m/>
    <m/>
  </r>
  <r>
    <m/>
    <n v="3"/>
    <n v="2"/>
    <n v="12"/>
    <n v="30"/>
    <x v="0"/>
    <x v="3"/>
    <n v="403"/>
    <n v="9"/>
    <x v="9"/>
    <m/>
    <m/>
    <m/>
  </r>
  <r>
    <m/>
    <n v="2"/>
    <n v="1"/>
    <n v="5"/>
    <n v="31"/>
    <x v="1"/>
    <x v="5"/>
    <n v="402"/>
    <n v="9"/>
    <x v="9"/>
    <m/>
    <m/>
    <m/>
  </r>
  <r>
    <m/>
    <n v="1"/>
    <n v="1"/>
    <n v="4"/>
    <n v="32"/>
    <x v="0"/>
    <x v="4"/>
    <n v="401"/>
    <n v="9"/>
    <x v="9"/>
    <m/>
    <m/>
    <m/>
  </r>
  <r>
    <m/>
    <m/>
    <m/>
    <m/>
    <m/>
    <x v="2"/>
    <x v="6"/>
    <m/>
    <m/>
    <x v="9"/>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n v="1"/>
    <n v="1"/>
    <n v="1"/>
    <n v="1"/>
    <n v="1"/>
    <x v="0"/>
    <x v="0"/>
    <n v="101"/>
    <x v="0"/>
    <d v="2024-06-21T00:00:00"/>
    <n v="5"/>
    <n v="5"/>
    <n v="5"/>
    <n v="5"/>
    <n v="18.899999999999999"/>
    <n v="16.600000000000001"/>
    <n v="18.3"/>
    <n v="17.933333333333334"/>
  </r>
  <r>
    <n v="2"/>
    <n v="1"/>
    <n v="1"/>
    <n v="2"/>
    <n v="16"/>
    <x v="0"/>
    <x v="1"/>
    <n v="201"/>
    <x v="0"/>
    <d v="2024-06-21T00:00:00"/>
    <n v="5"/>
    <n v="5"/>
    <n v="4"/>
    <n v="4.666666666666667"/>
    <n v="20"/>
    <n v="22.5"/>
    <n v="19.2"/>
    <n v="20.566666666666666"/>
  </r>
  <r>
    <n v="3"/>
    <n v="1"/>
    <n v="1"/>
    <n v="3"/>
    <n v="17"/>
    <x v="0"/>
    <x v="2"/>
    <n v="301"/>
    <x v="0"/>
    <d v="2024-06-21T00:00:00"/>
    <n v="4"/>
    <n v="4"/>
    <n v="4"/>
    <n v="4"/>
    <n v="18.399999999999999"/>
    <n v="11.3"/>
    <n v="18.5"/>
    <n v="16.066666666666666"/>
  </r>
  <r>
    <n v="4"/>
    <n v="1"/>
    <n v="1"/>
    <n v="4"/>
    <n v="32"/>
    <x v="0"/>
    <x v="3"/>
    <n v="401"/>
    <x v="0"/>
    <d v="2024-06-21T00:00:00"/>
    <n v="4"/>
    <n v="5"/>
    <n v="5"/>
    <n v="4.666666666666667"/>
    <n v="16.5"/>
    <n v="15.5"/>
    <n v="17.3"/>
    <n v="16.433333333333334"/>
  </r>
  <r>
    <n v="4"/>
    <n v="2"/>
    <n v="1"/>
    <n v="5"/>
    <n v="31"/>
    <x v="1"/>
    <x v="4"/>
    <n v="402"/>
    <x v="0"/>
    <d v="2024-08-11T00:00:00"/>
    <n v="5"/>
    <n v="5"/>
    <n v="4"/>
    <n v="4.666666666666667"/>
    <n v="13.5"/>
    <n v="15.7"/>
    <n v="16.5"/>
    <n v="15.233333333333334"/>
  </r>
  <r>
    <n v="3"/>
    <n v="2"/>
    <n v="1"/>
    <n v="6"/>
    <n v="18"/>
    <x v="1"/>
    <x v="3"/>
    <n v="302"/>
    <x v="0"/>
    <d v="2024-08-11T00:00:00"/>
    <n v="5"/>
    <n v="5"/>
    <n v="4"/>
    <n v="4.666666666666667"/>
    <n v="13.7"/>
    <n v="15.8"/>
    <n v="13.6"/>
    <n v="14.366666666666667"/>
  </r>
  <r>
    <n v="2"/>
    <n v="2"/>
    <n v="1"/>
    <n v="7"/>
    <n v="15"/>
    <x v="1"/>
    <x v="2"/>
    <n v="202"/>
    <x v="0"/>
    <d v="2024-08-11T00:00:00"/>
    <n v="4"/>
    <n v="5"/>
    <n v="6"/>
    <n v="5"/>
    <n v="18.5"/>
    <n v="16.100000000000001"/>
    <n v="16.3"/>
    <n v="16.966666666666669"/>
  </r>
  <r>
    <n v="1"/>
    <n v="2"/>
    <n v="1"/>
    <n v="8"/>
    <n v="2"/>
    <x v="1"/>
    <x v="5"/>
    <n v="102"/>
    <x v="0"/>
    <d v="2024-08-11T00:00:00"/>
    <n v="6"/>
    <n v="7"/>
    <n v="7"/>
    <n v="6.666666666666667"/>
    <n v="16.3"/>
    <n v="17"/>
    <n v="16.7"/>
    <n v="16.666666666666668"/>
  </r>
  <r>
    <n v="1"/>
    <n v="3"/>
    <n v="2"/>
    <n v="9"/>
    <n v="3"/>
    <x v="0"/>
    <x v="1"/>
    <n v="103"/>
    <x v="0"/>
    <d v="2024-06-21T00:00:00"/>
    <n v="5"/>
    <n v="5"/>
    <n v="5"/>
    <n v="5"/>
    <n v="16.5"/>
    <n v="18.399999999999999"/>
    <n v="17.399999999999999"/>
    <n v="17.433333333333334"/>
  </r>
  <r>
    <n v="2"/>
    <n v="3"/>
    <n v="2"/>
    <n v="10"/>
    <n v="14"/>
    <x v="0"/>
    <x v="3"/>
    <n v="203"/>
    <x v="0"/>
    <d v="2024-06-21T00:00:00"/>
    <n v="5"/>
    <n v="4"/>
    <n v="4"/>
    <n v="4.333333333333333"/>
    <n v="19.100000000000001"/>
    <n v="18.8"/>
    <n v="16.5"/>
    <n v="18.133333333333336"/>
  </r>
  <r>
    <n v="3"/>
    <n v="3"/>
    <n v="2"/>
    <n v="11"/>
    <n v="19"/>
    <x v="0"/>
    <x v="0"/>
    <n v="303"/>
    <x v="0"/>
    <d v="2024-06-21T00:00:00"/>
    <n v="5"/>
    <n v="3"/>
    <n v="5"/>
    <n v="4.333333333333333"/>
    <n v="20.8"/>
    <n v="19.5"/>
    <n v="17.7"/>
    <n v="19.333333333333332"/>
  </r>
  <r>
    <n v="4"/>
    <n v="3"/>
    <n v="2"/>
    <n v="12"/>
    <n v="30"/>
    <x v="0"/>
    <x v="2"/>
    <n v="403"/>
    <x v="0"/>
    <d v="2024-06-21T00:00:00"/>
    <n v="5"/>
    <n v="4"/>
    <n v="4"/>
    <n v="4.333333333333333"/>
    <n v="17.600000000000001"/>
    <n v="19.7"/>
    <n v="19.5"/>
    <n v="18.933333333333334"/>
  </r>
  <r>
    <n v="4"/>
    <n v="4"/>
    <n v="2"/>
    <n v="13"/>
    <n v="29"/>
    <x v="1"/>
    <x v="3"/>
    <n v="404"/>
    <x v="0"/>
    <d v="2024-08-11T00:00:00"/>
    <n v="5"/>
    <n v="6"/>
    <n v="5"/>
    <n v="5.333333333333333"/>
    <n v="15.7"/>
    <n v="15.6"/>
    <n v="15.4"/>
    <n v="15.566666666666665"/>
  </r>
  <r>
    <n v="3"/>
    <n v="4"/>
    <n v="2"/>
    <n v="14"/>
    <n v="20"/>
    <x v="1"/>
    <x v="5"/>
    <n v="304"/>
    <x v="0"/>
    <d v="2024-08-11T00:00:00"/>
    <n v="6"/>
    <n v="3"/>
    <n v="5"/>
    <n v="4.666666666666667"/>
    <n v="19.8"/>
    <n v="13.7"/>
    <n v="19.7"/>
    <n v="17.733333333333334"/>
  </r>
  <r>
    <n v="2"/>
    <n v="4"/>
    <n v="2"/>
    <n v="15"/>
    <n v="13"/>
    <x v="1"/>
    <x v="4"/>
    <n v="204"/>
    <x v="0"/>
    <d v="2024-08-11T00:00:00"/>
    <n v="5"/>
    <n v="5"/>
    <n v="5"/>
    <n v="5"/>
    <n v="14.6"/>
    <n v="16.399999999999999"/>
    <n v="14.1"/>
    <n v="15.033333333333333"/>
  </r>
  <r>
    <n v="1"/>
    <n v="4"/>
    <n v="2"/>
    <n v="16"/>
    <n v="4"/>
    <x v="1"/>
    <x v="2"/>
    <n v="104"/>
    <x v="0"/>
    <d v="2024-08-11T00:00:00"/>
    <n v="5"/>
    <n v="6"/>
    <n v="5"/>
    <n v="5.333333333333333"/>
    <n v="16.2"/>
    <n v="16.3"/>
    <n v="17.8"/>
    <n v="16.766666666666666"/>
  </r>
  <r>
    <n v="1"/>
    <n v="5"/>
    <n v="3"/>
    <n v="17"/>
    <n v="5"/>
    <x v="0"/>
    <x v="2"/>
    <n v="105"/>
    <x v="0"/>
    <d v="2024-06-21T00:00:00"/>
    <n v="4"/>
    <n v="4"/>
    <n v="5"/>
    <n v="4.333333333333333"/>
    <n v="18.899999999999999"/>
    <n v="16.5"/>
    <n v="17.5"/>
    <n v="17.633333333333333"/>
  </r>
  <r>
    <n v="2"/>
    <n v="5"/>
    <n v="3"/>
    <n v="18"/>
    <n v="12"/>
    <x v="0"/>
    <x v="0"/>
    <n v="205"/>
    <x v="0"/>
    <d v="2024-06-21T00:00:00"/>
    <n v="6"/>
    <n v="5"/>
    <n v="5"/>
    <n v="5.333333333333333"/>
    <n v="20.2"/>
    <n v="18.399999999999999"/>
    <n v="19.2"/>
    <n v="19.266666666666666"/>
  </r>
  <r>
    <n v="3"/>
    <n v="5"/>
    <n v="3"/>
    <n v="19"/>
    <n v="21"/>
    <x v="0"/>
    <x v="3"/>
    <n v="305"/>
    <x v="0"/>
    <d v="2024-06-21T00:00:00"/>
    <n v="5"/>
    <n v="6"/>
    <n v="5"/>
    <n v="5.333333333333333"/>
    <n v="17.399999999999999"/>
    <n v="17.2"/>
    <n v="19.5"/>
    <n v="18.033333333333331"/>
  </r>
  <r>
    <n v="4"/>
    <n v="5"/>
    <n v="3"/>
    <n v="20"/>
    <n v="28"/>
    <x v="0"/>
    <x v="1"/>
    <n v="405"/>
    <x v="0"/>
    <d v="2024-06-21T00:00:00"/>
    <n v="5"/>
    <n v="4"/>
    <n v="5"/>
    <n v="4.666666666666667"/>
    <n v="17.899999999999999"/>
    <n v="17.100000000000001"/>
    <n v="16.2"/>
    <n v="17.066666666666666"/>
  </r>
  <r>
    <n v="4"/>
    <n v="6"/>
    <n v="3"/>
    <n v="21"/>
    <n v="27"/>
    <x v="1"/>
    <x v="2"/>
    <n v="406"/>
    <x v="0"/>
    <d v="2024-08-11T00:00:00"/>
    <n v="5"/>
    <n v="6"/>
    <n v="5"/>
    <n v="5.333333333333333"/>
    <n v="13.7"/>
    <n v="16.3"/>
    <n v="14"/>
    <n v="14.666666666666666"/>
  </r>
  <r>
    <n v="3"/>
    <n v="6"/>
    <n v="3"/>
    <n v="22"/>
    <n v="22"/>
    <x v="1"/>
    <x v="4"/>
    <n v="306"/>
    <x v="0"/>
    <d v="2024-08-11T00:00:00"/>
    <n v="5"/>
    <n v="5"/>
    <n v="5"/>
    <n v="5"/>
    <n v="14.2"/>
    <n v="14.5"/>
    <n v="13.9"/>
    <n v="14.200000000000001"/>
  </r>
  <r>
    <n v="2"/>
    <n v="6"/>
    <n v="3"/>
    <n v="23"/>
    <n v="11"/>
    <x v="1"/>
    <x v="5"/>
    <n v="206"/>
    <x v="0"/>
    <d v="2024-08-11T00:00:00"/>
    <n v="5"/>
    <n v="5"/>
    <n v="5"/>
    <n v="5"/>
    <n v="18.5"/>
    <n v="16.7"/>
    <n v="17"/>
    <n v="17.400000000000002"/>
  </r>
  <r>
    <n v="1"/>
    <n v="6"/>
    <n v="3"/>
    <n v="24"/>
    <n v="6"/>
    <x v="1"/>
    <x v="3"/>
    <n v="106"/>
    <x v="0"/>
    <d v="2024-08-11T00:00:00"/>
    <n v="6"/>
    <n v="6"/>
    <n v="6"/>
    <n v="6"/>
    <n v="14.8"/>
    <n v="16.5"/>
    <n v="12.1"/>
    <n v="14.466666666666667"/>
  </r>
  <r>
    <n v="1"/>
    <n v="7"/>
    <n v="4"/>
    <n v="25"/>
    <n v="7"/>
    <x v="0"/>
    <x v="3"/>
    <n v="107"/>
    <x v="0"/>
    <d v="2024-06-21T00:00:00"/>
    <n v="5"/>
    <n v="5"/>
    <n v="4"/>
    <n v="4.666666666666667"/>
    <n v="14.4"/>
    <n v="14.7"/>
    <n v="14.9"/>
    <n v="14.666666666666666"/>
  </r>
  <r>
    <n v="2"/>
    <n v="7"/>
    <n v="4"/>
    <n v="26"/>
    <n v="10"/>
    <x v="0"/>
    <x v="2"/>
    <n v="207"/>
    <x v="0"/>
    <d v="2024-06-21T00:00:00"/>
    <n v="5"/>
    <n v="5"/>
    <n v="6"/>
    <n v="5.333333333333333"/>
    <n v="17.399999999999999"/>
    <n v="13.5"/>
    <n v="18.600000000000001"/>
    <n v="16.5"/>
  </r>
  <r>
    <n v="3"/>
    <n v="7"/>
    <n v="4"/>
    <n v="27"/>
    <n v="23"/>
    <x v="0"/>
    <x v="1"/>
    <n v="307"/>
    <x v="0"/>
    <d v="2024-06-21T00:00:00"/>
    <n v="6"/>
    <n v="5"/>
    <n v="5"/>
    <n v="5.333333333333333"/>
    <n v="14.3"/>
    <n v="19.3"/>
    <n v="14.3"/>
    <n v="15.966666666666669"/>
  </r>
  <r>
    <n v="4"/>
    <n v="7"/>
    <n v="4"/>
    <n v="28"/>
    <n v="26"/>
    <x v="0"/>
    <x v="0"/>
    <n v="407"/>
    <x v="0"/>
    <d v="2024-06-21T00:00:00"/>
    <n v="5"/>
    <n v="5"/>
    <n v="4"/>
    <n v="4.666666666666667"/>
    <n v="20.5"/>
    <n v="18.8"/>
    <n v="14.4"/>
    <n v="17.899999999999999"/>
  </r>
  <r>
    <n v="4"/>
    <n v="8"/>
    <n v="4"/>
    <n v="29"/>
    <n v="25"/>
    <x v="1"/>
    <x v="5"/>
    <n v="408"/>
    <x v="0"/>
    <d v="2024-08-11T00:00:00"/>
    <n v="6"/>
    <n v="6"/>
    <n v="5"/>
    <n v="5.666666666666667"/>
    <n v="16.5"/>
    <n v="17.5"/>
    <n v="15.2"/>
    <n v="16.400000000000002"/>
  </r>
  <r>
    <n v="3"/>
    <n v="8"/>
    <n v="4"/>
    <n v="30"/>
    <n v="24"/>
    <x v="1"/>
    <x v="2"/>
    <n v="308"/>
    <x v="0"/>
    <d v="2024-08-11T00:00:00"/>
    <n v="6"/>
    <n v="4"/>
    <n v="4"/>
    <n v="4.666666666666667"/>
    <n v="16.100000000000001"/>
    <n v="17.3"/>
    <n v="14"/>
    <n v="15.800000000000002"/>
  </r>
  <r>
    <n v="2"/>
    <n v="8"/>
    <n v="4"/>
    <n v="31"/>
    <n v="9"/>
    <x v="1"/>
    <x v="3"/>
    <n v="208"/>
    <x v="0"/>
    <d v="2024-08-11T00:00:00"/>
    <n v="6"/>
    <n v="6"/>
    <n v="5"/>
    <n v="5.666666666666667"/>
    <n v="14.7"/>
    <n v="17.2"/>
    <n v="13.6"/>
    <n v="15.166666666666666"/>
  </r>
  <r>
    <n v="1"/>
    <n v="8"/>
    <n v="4"/>
    <n v="32"/>
    <n v="8"/>
    <x v="1"/>
    <x v="4"/>
    <n v="108"/>
    <x v="0"/>
    <d v="2024-08-11T00:00:00"/>
    <n v="5"/>
    <n v="6"/>
    <n v="6"/>
    <n v="5.666666666666667"/>
    <n v="17"/>
    <n v="15.7"/>
    <n v="14.7"/>
    <n v="15.800000000000002"/>
  </r>
  <r>
    <n v="1"/>
    <n v="1"/>
    <n v="1"/>
    <n v="1"/>
    <n v="1"/>
    <x v="0"/>
    <x v="0"/>
    <n v="101"/>
    <x v="1"/>
    <d v="2024-06-21T00:00:00"/>
    <n v="7"/>
    <n v="6"/>
    <n v="6"/>
    <n v="6.333333333333333"/>
    <n v="15.9"/>
    <n v="14.1"/>
    <n v="12.9"/>
    <n v="14.299999999999999"/>
  </r>
  <r>
    <n v="2"/>
    <n v="1"/>
    <n v="1"/>
    <n v="2"/>
    <n v="16"/>
    <x v="0"/>
    <x v="1"/>
    <n v="201"/>
    <x v="1"/>
    <d v="2024-06-21T00:00:00"/>
    <n v="10"/>
    <n v="9"/>
    <n v="8"/>
    <n v="9"/>
    <n v="20.8"/>
    <n v="22.6"/>
    <n v="19.5"/>
    <n v="20.966666666666669"/>
  </r>
  <r>
    <n v="3"/>
    <n v="1"/>
    <n v="1"/>
    <n v="3"/>
    <n v="17"/>
    <x v="0"/>
    <x v="2"/>
    <n v="301"/>
    <x v="1"/>
    <d v="2024-06-21T00:00:00"/>
    <n v="11"/>
    <n v="7"/>
    <n v="9"/>
    <n v="9"/>
    <n v="24.3"/>
    <n v="22.6"/>
    <n v="19.899999999999999"/>
    <n v="22.266666666666669"/>
  </r>
  <r>
    <n v="4"/>
    <n v="1"/>
    <n v="1"/>
    <n v="4"/>
    <n v="32"/>
    <x v="0"/>
    <x v="3"/>
    <n v="401"/>
    <x v="1"/>
    <d v="2024-06-21T00:00:00"/>
    <n v="8"/>
    <n v="9"/>
    <n v="7"/>
    <n v="8"/>
    <n v="19.899999999999999"/>
    <n v="17.7"/>
    <n v="15.2"/>
    <n v="17.599999999999998"/>
  </r>
  <r>
    <n v="4"/>
    <n v="2"/>
    <n v="1"/>
    <n v="5"/>
    <n v="31"/>
    <x v="1"/>
    <x v="4"/>
    <n v="402"/>
    <x v="1"/>
    <d v="2024-09-07T00:00:00"/>
    <n v="9"/>
    <n v="8"/>
    <n v="9"/>
    <n v="8.6666666666666661"/>
    <n v="20.8"/>
    <n v="18.7"/>
    <n v="18.600000000000001"/>
    <n v="19.366666666666667"/>
  </r>
  <r>
    <n v="3"/>
    <n v="2"/>
    <n v="1"/>
    <n v="6"/>
    <n v="18"/>
    <x v="1"/>
    <x v="3"/>
    <n v="302"/>
    <x v="1"/>
    <d v="2024-09-07T00:00:00"/>
    <n v="8"/>
    <n v="9"/>
    <n v="9"/>
    <n v="8.6666666666666661"/>
    <n v="16.7"/>
    <n v="20.100000000000001"/>
    <n v="17.600000000000001"/>
    <n v="18.133333333333333"/>
  </r>
  <r>
    <n v="2"/>
    <n v="2"/>
    <n v="1"/>
    <n v="7"/>
    <n v="15"/>
    <x v="1"/>
    <x v="2"/>
    <n v="202"/>
    <x v="1"/>
    <d v="2024-09-07T00:00:00"/>
    <n v="10"/>
    <n v="11"/>
    <n v="10"/>
    <n v="10.333333333333334"/>
    <n v="20.5"/>
    <n v="23.4"/>
    <n v="20.7"/>
    <n v="21.533333333333331"/>
  </r>
  <r>
    <n v="1"/>
    <n v="2"/>
    <n v="1"/>
    <n v="8"/>
    <n v="2"/>
    <x v="1"/>
    <x v="5"/>
    <n v="102"/>
    <x v="1"/>
    <d v="2024-09-07T00:00:00"/>
    <n v="14"/>
    <n v="12"/>
    <n v="14"/>
    <n v="13.333333333333334"/>
    <n v="25.2"/>
    <n v="24.3"/>
    <n v="25.7"/>
    <n v="25.066666666666666"/>
  </r>
  <r>
    <n v="1"/>
    <n v="3"/>
    <n v="2"/>
    <n v="9"/>
    <n v="3"/>
    <x v="0"/>
    <x v="1"/>
    <n v="103"/>
    <x v="1"/>
    <d v="2024-06-21T00:00:00"/>
    <n v="9"/>
    <n v="7"/>
    <n v="10"/>
    <n v="8.6666666666666661"/>
    <n v="19.3"/>
    <n v="16.5"/>
    <n v="20.6"/>
    <n v="18.8"/>
  </r>
  <r>
    <n v="2"/>
    <n v="3"/>
    <n v="2"/>
    <n v="10"/>
    <n v="14"/>
    <x v="0"/>
    <x v="3"/>
    <n v="203"/>
    <x v="1"/>
    <d v="2024-06-21T00:00:00"/>
    <n v="10"/>
    <n v="9"/>
    <n v="7"/>
    <n v="8.6666666666666661"/>
    <n v="20.6"/>
    <n v="19.899999999999999"/>
    <n v="15.7"/>
    <n v="18.733333333333334"/>
  </r>
  <r>
    <n v="3"/>
    <n v="3"/>
    <n v="2"/>
    <n v="11"/>
    <n v="19"/>
    <x v="0"/>
    <x v="0"/>
    <n v="303"/>
    <x v="1"/>
    <d v="2024-06-21T00:00:00"/>
    <n v="6"/>
    <n v="7"/>
    <n v="6"/>
    <n v="6.333333333333333"/>
    <n v="17.2"/>
    <n v="16.8"/>
    <n v="14.5"/>
    <n v="16.166666666666668"/>
  </r>
  <r>
    <n v="4"/>
    <n v="3"/>
    <n v="2"/>
    <n v="12"/>
    <n v="30"/>
    <x v="0"/>
    <x v="2"/>
    <n v="403"/>
    <x v="1"/>
    <d v="2024-06-21T00:00:00"/>
    <n v="6"/>
    <n v="10"/>
    <n v="8"/>
    <n v="8"/>
    <n v="15.1"/>
    <n v="22.1"/>
    <n v="20.7"/>
    <n v="19.3"/>
  </r>
  <r>
    <n v="4"/>
    <n v="4"/>
    <n v="2"/>
    <n v="13"/>
    <n v="29"/>
    <x v="1"/>
    <x v="3"/>
    <n v="404"/>
    <x v="1"/>
    <d v="2024-09-07T00:00:00"/>
    <n v="11"/>
    <n v="8"/>
    <n v="9"/>
    <n v="9.3333333333333339"/>
    <n v="23.3"/>
    <n v="19.600000000000001"/>
    <n v="18.100000000000001"/>
    <n v="20.333333333333336"/>
  </r>
  <r>
    <n v="3"/>
    <n v="4"/>
    <n v="2"/>
    <n v="14"/>
    <n v="20"/>
    <x v="1"/>
    <x v="5"/>
    <n v="304"/>
    <x v="1"/>
    <d v="2024-09-07T00:00:00"/>
    <n v="12"/>
    <n v="12"/>
    <n v="11"/>
    <n v="11.666666666666666"/>
    <n v="26.8"/>
    <n v="25.3"/>
    <n v="20.5"/>
    <n v="24.2"/>
  </r>
  <r>
    <n v="2"/>
    <n v="4"/>
    <n v="2"/>
    <n v="15"/>
    <n v="13"/>
    <x v="1"/>
    <x v="4"/>
    <n v="204"/>
    <x v="1"/>
    <d v="2024-09-07T00:00:00"/>
    <n v="10"/>
    <n v="11"/>
    <n v="8"/>
    <n v="9.6666666666666661"/>
    <n v="21.4"/>
    <n v="22.8"/>
    <n v="20.5"/>
    <n v="21.566666666666666"/>
  </r>
  <r>
    <n v="1"/>
    <n v="4"/>
    <n v="2"/>
    <n v="16"/>
    <n v="4"/>
    <x v="1"/>
    <x v="2"/>
    <n v="104"/>
    <x v="1"/>
    <d v="2024-09-07T00:00:00"/>
    <n v="10"/>
    <n v="9"/>
    <n v="11"/>
    <n v="10"/>
    <n v="21.9"/>
    <n v="19.100000000000001"/>
    <n v="22.1"/>
    <n v="21.033333333333335"/>
  </r>
  <r>
    <n v="1"/>
    <n v="5"/>
    <n v="3"/>
    <n v="17"/>
    <n v="5"/>
    <x v="0"/>
    <x v="2"/>
    <n v="105"/>
    <x v="1"/>
    <d v="2024-06-21T00:00:00"/>
    <n v="10"/>
    <n v="9"/>
    <n v="9"/>
    <n v="9.3333333333333339"/>
    <n v="20.8"/>
    <n v="19.3"/>
    <n v="18.399999999999999"/>
    <n v="19.5"/>
  </r>
  <r>
    <n v="2"/>
    <n v="5"/>
    <n v="3"/>
    <n v="18"/>
    <n v="12"/>
    <x v="0"/>
    <x v="0"/>
    <n v="205"/>
    <x v="1"/>
    <d v="2024-06-21T00:00:00"/>
    <n v="7"/>
    <n v="6"/>
    <n v="6"/>
    <n v="6.333333333333333"/>
    <n v="19.600000000000001"/>
    <n v="18.899999999999999"/>
    <n v="14.7"/>
    <n v="17.733333333333334"/>
  </r>
  <r>
    <n v="3"/>
    <n v="5"/>
    <n v="3"/>
    <n v="19"/>
    <n v="21"/>
    <x v="0"/>
    <x v="3"/>
    <n v="305"/>
    <x v="1"/>
    <d v="2024-06-21T00:00:00"/>
    <n v="9"/>
    <n v="9"/>
    <n v="10"/>
    <n v="9.3333333333333339"/>
    <n v="20.9"/>
    <n v="18.7"/>
    <n v="22.5"/>
    <n v="20.7"/>
  </r>
  <r>
    <n v="4"/>
    <n v="5"/>
    <n v="3"/>
    <n v="20"/>
    <n v="28"/>
    <x v="0"/>
    <x v="1"/>
    <n v="405"/>
    <x v="1"/>
    <d v="2024-06-21T00:00:00"/>
    <n v="8"/>
    <n v="8"/>
    <n v="8"/>
    <n v="8"/>
    <n v="15.1"/>
    <n v="18.3"/>
    <n v="15"/>
    <n v="16.133333333333333"/>
  </r>
  <r>
    <n v="4"/>
    <n v="6"/>
    <n v="3"/>
    <n v="21"/>
    <n v="27"/>
    <x v="1"/>
    <x v="2"/>
    <n v="406"/>
    <x v="1"/>
    <d v="2024-09-07T00:00:00"/>
    <n v="8"/>
    <n v="10"/>
    <n v="11"/>
    <n v="9.6666666666666661"/>
    <n v="16.600000000000001"/>
    <n v="21.1"/>
    <n v="23.3"/>
    <n v="20.333333333333332"/>
  </r>
  <r>
    <n v="3"/>
    <n v="6"/>
    <n v="3"/>
    <n v="22"/>
    <n v="22"/>
    <x v="1"/>
    <x v="4"/>
    <n v="306"/>
    <x v="1"/>
    <d v="2024-09-07T00:00:00"/>
    <n v="8"/>
    <n v="5"/>
    <n v="8"/>
    <n v="7"/>
    <n v="17"/>
    <n v="18.600000000000001"/>
    <n v="20.399999999999999"/>
    <n v="18.666666666666668"/>
  </r>
  <r>
    <n v="2"/>
    <n v="6"/>
    <n v="3"/>
    <n v="23"/>
    <n v="11"/>
    <x v="1"/>
    <x v="5"/>
    <n v="206"/>
    <x v="1"/>
    <d v="2024-09-07T00:00:00"/>
    <n v="12"/>
    <n v="12"/>
    <n v="12"/>
    <n v="12"/>
    <n v="25.1"/>
    <n v="23.8"/>
    <n v="23.6"/>
    <n v="24.166666666666668"/>
  </r>
  <r>
    <n v="1"/>
    <n v="6"/>
    <n v="3"/>
    <n v="24"/>
    <n v="6"/>
    <x v="1"/>
    <x v="3"/>
    <n v="106"/>
    <x v="1"/>
    <d v="2024-09-07T00:00:00"/>
    <n v="10"/>
    <n v="7"/>
    <n v="10"/>
    <n v="9"/>
    <n v="21.2"/>
    <n v="19.3"/>
    <n v="17.899999999999999"/>
    <n v="19.466666666666665"/>
  </r>
  <r>
    <n v="1"/>
    <n v="7"/>
    <n v="4"/>
    <n v="25"/>
    <n v="7"/>
    <x v="0"/>
    <x v="3"/>
    <n v="107"/>
    <x v="1"/>
    <d v="2024-06-21T00:00:00"/>
    <n v="8"/>
    <n v="9"/>
    <n v="9"/>
    <n v="8.6666666666666661"/>
    <n v="19.8"/>
    <n v="18.8"/>
    <n v="19.8"/>
    <n v="19.466666666666669"/>
  </r>
  <r>
    <n v="2"/>
    <n v="7"/>
    <n v="4"/>
    <n v="26"/>
    <n v="10"/>
    <x v="0"/>
    <x v="2"/>
    <n v="207"/>
    <x v="1"/>
    <d v="2024-06-21T00:00:00"/>
    <n v="10"/>
    <n v="9"/>
    <n v="7"/>
    <n v="8.6666666666666661"/>
    <n v="22.8"/>
    <n v="19.3"/>
    <n v="17.899999999999999"/>
    <n v="20"/>
  </r>
  <r>
    <n v="3"/>
    <n v="7"/>
    <n v="4"/>
    <n v="27"/>
    <n v="23"/>
    <x v="0"/>
    <x v="1"/>
    <n v="307"/>
    <x v="1"/>
    <d v="2024-06-21T00:00:00"/>
    <n v="5"/>
    <n v="10"/>
    <n v="9"/>
    <n v="8"/>
    <n v="12"/>
    <n v="20.2"/>
    <n v="19.899999999999999"/>
    <n v="17.366666666666667"/>
  </r>
  <r>
    <n v="4"/>
    <n v="7"/>
    <n v="4"/>
    <n v="28"/>
    <n v="26"/>
    <x v="0"/>
    <x v="0"/>
    <n v="407"/>
    <x v="1"/>
    <d v="2024-06-21T00:00:00"/>
    <n v="7"/>
    <n v="7"/>
    <n v="6"/>
    <n v="6.666666666666667"/>
    <n v="16.5"/>
    <n v="19.5"/>
    <n v="17.100000000000001"/>
    <n v="17.7"/>
  </r>
  <r>
    <n v="4"/>
    <n v="8"/>
    <n v="4"/>
    <n v="29"/>
    <n v="25"/>
    <x v="1"/>
    <x v="5"/>
    <n v="408"/>
    <x v="1"/>
    <d v="2024-09-07T00:00:00"/>
    <n v="12"/>
    <n v="14"/>
    <n v="13"/>
    <n v="13"/>
    <n v="24.5"/>
    <n v="27.3"/>
    <n v="25.5"/>
    <n v="25.766666666666666"/>
  </r>
  <r>
    <n v="3"/>
    <n v="8"/>
    <n v="4"/>
    <n v="30"/>
    <n v="24"/>
    <x v="1"/>
    <x v="2"/>
    <n v="308"/>
    <x v="1"/>
    <d v="2024-09-07T00:00:00"/>
    <n v="10"/>
    <n v="10"/>
    <n v="11"/>
    <n v="10.333333333333334"/>
    <n v="19.5"/>
    <n v="20.399999999999999"/>
    <n v="21.3"/>
    <n v="20.400000000000002"/>
  </r>
  <r>
    <n v="2"/>
    <n v="8"/>
    <n v="4"/>
    <n v="31"/>
    <n v="9"/>
    <x v="1"/>
    <x v="3"/>
    <n v="208"/>
    <x v="1"/>
    <d v="2024-09-07T00:00:00"/>
    <n v="10"/>
    <n v="9"/>
    <n v="10"/>
    <n v="9.6666666666666661"/>
    <n v="18.899999999999999"/>
    <n v="21.7"/>
    <n v="17.100000000000001"/>
    <n v="19.233333333333331"/>
  </r>
  <r>
    <n v="1"/>
    <n v="8"/>
    <n v="4"/>
    <n v="32"/>
    <n v="8"/>
    <x v="1"/>
    <x v="4"/>
    <n v="108"/>
    <x v="1"/>
    <d v="2024-09-07T00:00:00"/>
    <n v="8"/>
    <n v="6"/>
    <n v="9"/>
    <n v="7.666666666666667"/>
    <n v="19.7"/>
    <n v="17.100000000000001"/>
    <n v="16.600000000000001"/>
    <n v="17.8"/>
  </r>
  <r>
    <n v="1"/>
    <n v="1"/>
    <n v="1"/>
    <n v="1"/>
    <n v="1"/>
    <x v="0"/>
    <x v="0"/>
    <n v="101"/>
    <x v="2"/>
    <d v="2024-09-07T00:00:00"/>
    <n v="9"/>
    <n v="8"/>
    <n v="7"/>
    <n v="8"/>
    <n v="20"/>
    <n v="15.5"/>
    <n v="22.1"/>
    <n v="19.2"/>
  </r>
  <r>
    <n v="2"/>
    <n v="1"/>
    <n v="1"/>
    <n v="2"/>
    <n v="16"/>
    <x v="0"/>
    <x v="1"/>
    <n v="201"/>
    <x v="2"/>
    <d v="2024-09-07T00:00:00"/>
    <n v="13"/>
    <n v="13"/>
    <n v="13"/>
    <n v="13"/>
    <n v="24"/>
    <n v="28"/>
    <n v="26.6"/>
    <n v="26.2"/>
  </r>
  <r>
    <n v="3"/>
    <n v="1"/>
    <n v="1"/>
    <n v="3"/>
    <n v="17"/>
    <x v="0"/>
    <x v="2"/>
    <n v="301"/>
    <x v="2"/>
    <d v="2024-09-07T00:00:00"/>
    <n v="14"/>
    <n v="15"/>
    <n v="13"/>
    <n v="14"/>
    <n v="24"/>
    <n v="24.7"/>
    <n v="26.2"/>
    <n v="24.966666666666669"/>
  </r>
  <r>
    <n v="4"/>
    <n v="1"/>
    <n v="1"/>
    <n v="4"/>
    <n v="32"/>
    <x v="0"/>
    <x v="3"/>
    <n v="401"/>
    <x v="2"/>
    <d v="2024-09-07T00:00:00"/>
    <n v="14"/>
    <n v="12"/>
    <n v="11"/>
    <n v="12.333333333333334"/>
    <n v="23.5"/>
    <n v="23.6"/>
    <n v="23"/>
    <n v="23.366666666666664"/>
  </r>
  <r>
    <n v="4"/>
    <n v="2"/>
    <n v="1"/>
    <n v="5"/>
    <n v="31"/>
    <x v="1"/>
    <x v="4"/>
    <n v="402"/>
    <x v="2"/>
    <d v="2024-09-28T00:00:00"/>
    <n v="14"/>
    <n v="14"/>
    <n v="15"/>
    <n v="14.333333333333334"/>
    <n v="34.4"/>
    <n v="32.6"/>
    <n v="31.3"/>
    <n v="32.766666666666666"/>
  </r>
  <r>
    <n v="3"/>
    <n v="2"/>
    <n v="1"/>
    <n v="6"/>
    <n v="18"/>
    <x v="1"/>
    <x v="3"/>
    <n v="302"/>
    <x v="2"/>
    <d v="2024-09-28T00:00:00"/>
    <n v="13"/>
    <n v="14"/>
    <n v="14"/>
    <n v="13.666666666666666"/>
    <n v="29.6"/>
    <n v="31.1"/>
    <n v="30.5"/>
    <n v="30.400000000000002"/>
  </r>
  <r>
    <n v="2"/>
    <n v="2"/>
    <n v="1"/>
    <n v="7"/>
    <n v="15"/>
    <x v="1"/>
    <x v="2"/>
    <n v="202"/>
    <x v="2"/>
    <d v="2024-09-28T00:00:00"/>
    <n v="14"/>
    <n v="15"/>
    <n v="15"/>
    <n v="14.666666666666666"/>
    <n v="29"/>
    <n v="33"/>
    <n v="29.2"/>
    <n v="30.400000000000002"/>
  </r>
  <r>
    <n v="1"/>
    <n v="2"/>
    <n v="1"/>
    <n v="8"/>
    <n v="2"/>
    <x v="1"/>
    <x v="5"/>
    <n v="102"/>
    <x v="2"/>
    <d v="2024-09-28T00:00:00"/>
    <n v="16"/>
    <n v="14"/>
    <n v="16"/>
    <n v="15.333333333333334"/>
    <n v="30.8"/>
    <n v="23.7"/>
    <n v="34.6"/>
    <n v="29.7"/>
  </r>
  <r>
    <n v="1"/>
    <n v="3"/>
    <n v="2"/>
    <n v="9"/>
    <n v="3"/>
    <x v="0"/>
    <x v="1"/>
    <n v="103"/>
    <x v="2"/>
    <d v="2024-09-07T00:00:00"/>
    <n v="13"/>
    <n v="14"/>
    <n v="15"/>
    <n v="14"/>
    <n v="27.2"/>
    <n v="24.6"/>
    <n v="25.2"/>
    <n v="25.666666666666668"/>
  </r>
  <r>
    <n v="2"/>
    <n v="3"/>
    <n v="2"/>
    <n v="10"/>
    <n v="14"/>
    <x v="0"/>
    <x v="3"/>
    <n v="203"/>
    <x v="2"/>
    <d v="2024-09-07T00:00:00"/>
    <n v="11"/>
    <n v="13"/>
    <n v="15"/>
    <n v="13"/>
    <n v="21.7"/>
    <n v="22.3"/>
    <n v="23.3"/>
    <n v="22.433333333333334"/>
  </r>
  <r>
    <n v="3"/>
    <n v="3"/>
    <n v="2"/>
    <n v="11"/>
    <n v="19"/>
    <x v="0"/>
    <x v="0"/>
    <n v="303"/>
    <x v="2"/>
    <d v="2024-09-07T00:00:00"/>
    <n v="7"/>
    <n v="8"/>
    <n v="8"/>
    <n v="7.666666666666667"/>
    <n v="18.3"/>
    <n v="19.3"/>
    <n v="17.5"/>
    <n v="18.366666666666667"/>
  </r>
  <r>
    <n v="4"/>
    <n v="3"/>
    <n v="2"/>
    <n v="12"/>
    <n v="30"/>
    <x v="0"/>
    <x v="2"/>
    <n v="403"/>
    <x v="2"/>
    <d v="2024-09-07T00:00:00"/>
    <n v="13"/>
    <n v="14"/>
    <n v="13"/>
    <n v="13.333333333333334"/>
    <n v="22.1"/>
    <n v="24.5"/>
    <n v="23.3"/>
    <n v="23.3"/>
  </r>
  <r>
    <n v="4"/>
    <n v="4"/>
    <n v="2"/>
    <n v="13"/>
    <n v="29"/>
    <x v="1"/>
    <x v="3"/>
    <n v="404"/>
    <x v="2"/>
    <d v="2024-09-28T00:00:00"/>
    <n v="14"/>
    <n v="14"/>
    <n v="13"/>
    <n v="13.666666666666666"/>
    <n v="31.6"/>
    <n v="33.4"/>
    <n v="30.3"/>
    <n v="31.766666666666666"/>
  </r>
  <r>
    <n v="3"/>
    <n v="4"/>
    <n v="2"/>
    <n v="14"/>
    <n v="20"/>
    <x v="1"/>
    <x v="5"/>
    <n v="304"/>
    <x v="2"/>
    <d v="2024-09-28T00:00:00"/>
    <n v="18"/>
    <n v="18"/>
    <n v="16"/>
    <n v="17.333333333333332"/>
    <n v="33.1"/>
    <n v="32.4"/>
    <n v="31.3"/>
    <n v="32.266666666666666"/>
  </r>
  <r>
    <n v="2"/>
    <n v="4"/>
    <n v="2"/>
    <n v="15"/>
    <n v="13"/>
    <x v="1"/>
    <x v="4"/>
    <n v="204"/>
    <x v="2"/>
    <d v="2024-09-28T00:00:00"/>
    <n v="14"/>
    <n v="14"/>
    <n v="13"/>
    <n v="13.666666666666666"/>
    <n v="33.200000000000003"/>
    <n v="34"/>
    <n v="34.799999999999997"/>
    <n v="34"/>
  </r>
  <r>
    <n v="1"/>
    <n v="4"/>
    <n v="2"/>
    <n v="16"/>
    <n v="4"/>
    <x v="1"/>
    <x v="2"/>
    <n v="104"/>
    <x v="2"/>
    <d v="2024-09-28T00:00:00"/>
    <n v="16"/>
    <n v="14"/>
    <n v="14"/>
    <n v="14.666666666666666"/>
    <n v="25.6"/>
    <n v="27"/>
    <n v="25.6"/>
    <n v="26.066666666666666"/>
  </r>
  <r>
    <n v="1"/>
    <n v="5"/>
    <n v="3"/>
    <n v="17"/>
    <n v="5"/>
    <x v="0"/>
    <x v="2"/>
    <n v="105"/>
    <x v="2"/>
    <d v="2024-09-07T00:00:00"/>
    <n v="13"/>
    <n v="14"/>
    <n v="13"/>
    <n v="13.333333333333334"/>
    <n v="21.2"/>
    <n v="21.4"/>
    <n v="24.3"/>
    <n v="22.299999999999997"/>
  </r>
  <r>
    <n v="2"/>
    <n v="5"/>
    <n v="3"/>
    <n v="18"/>
    <n v="12"/>
    <x v="0"/>
    <x v="0"/>
    <n v="205"/>
    <x v="2"/>
    <d v="2024-09-07T00:00:00"/>
    <n v="8"/>
    <n v="8"/>
    <n v="7"/>
    <n v="7.666666666666667"/>
    <n v="21.1"/>
    <n v="19.899999999999999"/>
    <n v="18.399999999999999"/>
    <n v="19.8"/>
  </r>
  <r>
    <n v="3"/>
    <n v="5"/>
    <n v="3"/>
    <n v="19"/>
    <n v="21"/>
    <x v="0"/>
    <x v="3"/>
    <n v="305"/>
    <x v="2"/>
    <d v="2024-09-07T00:00:00"/>
    <n v="13"/>
    <n v="14"/>
    <n v="13"/>
    <n v="13.333333333333334"/>
    <n v="22.7"/>
    <n v="25.5"/>
    <n v="25"/>
    <n v="24.400000000000002"/>
  </r>
  <r>
    <n v="4"/>
    <n v="5"/>
    <n v="3"/>
    <n v="20"/>
    <n v="28"/>
    <x v="0"/>
    <x v="1"/>
    <n v="405"/>
    <x v="2"/>
    <d v="2024-09-07T00:00:00"/>
    <n v="12"/>
    <n v="15"/>
    <n v="16"/>
    <n v="14.333333333333334"/>
    <n v="22"/>
    <n v="25"/>
    <n v="24.8"/>
    <n v="23.933333333333334"/>
  </r>
  <r>
    <n v="4"/>
    <n v="6"/>
    <n v="3"/>
    <n v="21"/>
    <n v="27"/>
    <x v="1"/>
    <x v="2"/>
    <n v="406"/>
    <x v="2"/>
    <d v="2024-09-28T00:00:00"/>
    <n v="15"/>
    <n v="14"/>
    <n v="12"/>
    <n v="13.666666666666666"/>
    <n v="31.4"/>
    <n v="27.5"/>
    <n v="24"/>
    <n v="27.633333333333336"/>
  </r>
  <r>
    <n v="3"/>
    <n v="6"/>
    <n v="3"/>
    <n v="22"/>
    <n v="22"/>
    <x v="1"/>
    <x v="4"/>
    <n v="306"/>
    <x v="2"/>
    <d v="2024-09-28T00:00:00"/>
    <n v="14"/>
    <n v="13"/>
    <n v="14"/>
    <n v="13.666666666666666"/>
    <n v="33"/>
    <n v="32.200000000000003"/>
    <n v="31.5"/>
    <n v="32.233333333333334"/>
  </r>
  <r>
    <n v="2"/>
    <n v="6"/>
    <n v="3"/>
    <n v="23"/>
    <n v="11"/>
    <x v="1"/>
    <x v="5"/>
    <n v="206"/>
    <x v="2"/>
    <d v="2024-09-28T00:00:00"/>
    <n v="16"/>
    <n v="17"/>
    <n v="17"/>
    <n v="16.666666666666668"/>
    <n v="32.6"/>
    <n v="29.3"/>
    <n v="31.9"/>
    <n v="31.266666666666669"/>
  </r>
  <r>
    <n v="1"/>
    <n v="6"/>
    <n v="3"/>
    <n v="24"/>
    <n v="6"/>
    <x v="1"/>
    <x v="3"/>
    <n v="106"/>
    <x v="2"/>
    <d v="2024-09-28T00:00:00"/>
    <n v="15"/>
    <n v="16"/>
    <n v="11"/>
    <n v="14"/>
    <n v="30"/>
    <n v="31.5"/>
    <n v="21.1"/>
    <n v="27.533333333333331"/>
  </r>
  <r>
    <n v="1"/>
    <n v="7"/>
    <n v="4"/>
    <n v="25"/>
    <n v="7"/>
    <x v="0"/>
    <x v="3"/>
    <n v="107"/>
    <x v="2"/>
    <d v="2024-09-07T00:00:00"/>
    <n v="12"/>
    <n v="11"/>
    <n v="13"/>
    <n v="12"/>
    <n v="24.6"/>
    <n v="24.1"/>
    <n v="25.1"/>
    <n v="24.600000000000005"/>
  </r>
  <r>
    <n v="2"/>
    <n v="7"/>
    <n v="4"/>
    <n v="26"/>
    <n v="10"/>
    <x v="0"/>
    <x v="2"/>
    <n v="207"/>
    <x v="2"/>
    <d v="2024-09-07T00:00:00"/>
    <n v="14"/>
    <n v="14"/>
    <n v="12"/>
    <n v="13.333333333333334"/>
    <n v="25"/>
    <n v="22.7"/>
    <n v="20.7"/>
    <n v="22.8"/>
  </r>
  <r>
    <n v="3"/>
    <n v="7"/>
    <n v="4"/>
    <n v="27"/>
    <n v="23"/>
    <x v="0"/>
    <x v="1"/>
    <n v="307"/>
    <x v="2"/>
    <d v="2024-09-07T00:00:00"/>
    <n v="12"/>
    <n v="13"/>
    <n v="8"/>
    <n v="11"/>
    <n v="25.5"/>
    <n v="25.3"/>
    <n v="20.6"/>
    <n v="23.8"/>
  </r>
  <r>
    <n v="4"/>
    <n v="7"/>
    <n v="4"/>
    <n v="28"/>
    <n v="26"/>
    <x v="0"/>
    <x v="0"/>
    <n v="407"/>
    <x v="2"/>
    <d v="2024-09-07T00:00:00"/>
    <n v="8"/>
    <n v="12"/>
    <n v="9"/>
    <n v="9.6666666666666661"/>
    <n v="19"/>
    <n v="16.5"/>
    <n v="21.9"/>
    <n v="19.133333333333333"/>
  </r>
  <r>
    <n v="4"/>
    <n v="8"/>
    <n v="4"/>
    <n v="29"/>
    <n v="25"/>
    <x v="1"/>
    <x v="5"/>
    <n v="408"/>
    <x v="2"/>
    <d v="2024-09-28T00:00:00"/>
    <n v="16"/>
    <n v="17"/>
    <n v="17"/>
    <n v="16.666666666666668"/>
    <n v="29.7"/>
    <n v="30"/>
    <n v="34.6"/>
    <n v="31.433333333333337"/>
  </r>
  <r>
    <n v="3"/>
    <n v="8"/>
    <n v="4"/>
    <n v="30"/>
    <n v="24"/>
    <x v="1"/>
    <x v="2"/>
    <n v="308"/>
    <x v="2"/>
    <d v="2024-09-28T00:00:00"/>
    <n v="16"/>
    <n v="14"/>
    <n v="14"/>
    <n v="14.666666666666666"/>
    <n v="31.1"/>
    <n v="28"/>
    <n v="22.1"/>
    <n v="27.066666666666666"/>
  </r>
  <r>
    <n v="2"/>
    <n v="8"/>
    <n v="4"/>
    <n v="31"/>
    <n v="9"/>
    <x v="1"/>
    <x v="3"/>
    <n v="208"/>
    <x v="2"/>
    <d v="2024-09-28T00:00:00"/>
    <n v="14"/>
    <n v="15"/>
    <n v="14"/>
    <n v="14.333333333333334"/>
    <n v="28.1"/>
    <n v="30.7"/>
    <n v="29"/>
    <n v="29.266666666666666"/>
  </r>
  <r>
    <n v="1"/>
    <n v="8"/>
    <n v="4"/>
    <n v="32"/>
    <n v="8"/>
    <x v="1"/>
    <x v="4"/>
    <n v="108"/>
    <x v="2"/>
    <d v="2024-09-28T00:00:00"/>
    <n v="12"/>
    <n v="11"/>
    <n v="17"/>
    <n v="13.333333333333334"/>
    <n v="31.8"/>
    <n v="30.1"/>
    <n v="33.700000000000003"/>
    <n v="31.866666666666671"/>
  </r>
  <r>
    <n v="1"/>
    <n v="1"/>
    <n v="1"/>
    <n v="1"/>
    <n v="1"/>
    <x v="0"/>
    <x v="0"/>
    <n v="101"/>
    <x v="3"/>
    <m/>
    <m/>
    <m/>
    <m/>
    <m/>
    <m/>
    <m/>
    <m/>
    <m/>
  </r>
  <r>
    <n v="2"/>
    <n v="1"/>
    <n v="1"/>
    <n v="2"/>
    <n v="16"/>
    <x v="0"/>
    <x v="1"/>
    <n v="201"/>
    <x v="3"/>
    <m/>
    <m/>
    <m/>
    <m/>
    <m/>
    <m/>
    <m/>
    <m/>
    <m/>
  </r>
  <r>
    <n v="3"/>
    <n v="1"/>
    <n v="1"/>
    <n v="3"/>
    <n v="17"/>
    <x v="0"/>
    <x v="2"/>
    <n v="301"/>
    <x v="3"/>
    <m/>
    <m/>
    <m/>
    <m/>
    <m/>
    <m/>
    <m/>
    <m/>
    <m/>
  </r>
  <r>
    <n v="4"/>
    <n v="1"/>
    <n v="1"/>
    <n v="4"/>
    <n v="32"/>
    <x v="0"/>
    <x v="3"/>
    <n v="401"/>
    <x v="3"/>
    <m/>
    <m/>
    <m/>
    <m/>
    <m/>
    <m/>
    <m/>
    <m/>
    <m/>
  </r>
  <r>
    <n v="4"/>
    <n v="2"/>
    <n v="1"/>
    <n v="5"/>
    <n v="31"/>
    <x v="1"/>
    <x v="4"/>
    <n v="402"/>
    <x v="3"/>
    <m/>
    <m/>
    <m/>
    <m/>
    <m/>
    <m/>
    <m/>
    <m/>
    <m/>
  </r>
  <r>
    <n v="3"/>
    <n v="2"/>
    <n v="1"/>
    <n v="6"/>
    <n v="18"/>
    <x v="1"/>
    <x v="3"/>
    <n v="302"/>
    <x v="3"/>
    <m/>
    <m/>
    <m/>
    <m/>
    <m/>
    <m/>
    <m/>
    <m/>
    <m/>
  </r>
  <r>
    <n v="2"/>
    <n v="2"/>
    <n v="1"/>
    <n v="7"/>
    <n v="15"/>
    <x v="1"/>
    <x v="2"/>
    <n v="202"/>
    <x v="3"/>
    <m/>
    <m/>
    <m/>
    <m/>
    <m/>
    <m/>
    <m/>
    <m/>
    <m/>
  </r>
  <r>
    <n v="1"/>
    <n v="2"/>
    <n v="1"/>
    <n v="8"/>
    <n v="2"/>
    <x v="1"/>
    <x v="5"/>
    <n v="102"/>
    <x v="3"/>
    <m/>
    <m/>
    <m/>
    <m/>
    <m/>
    <m/>
    <m/>
    <m/>
    <m/>
  </r>
  <r>
    <n v="1"/>
    <n v="3"/>
    <n v="2"/>
    <n v="9"/>
    <n v="3"/>
    <x v="0"/>
    <x v="1"/>
    <n v="103"/>
    <x v="3"/>
    <m/>
    <m/>
    <m/>
    <m/>
    <m/>
    <m/>
    <m/>
    <m/>
    <m/>
  </r>
  <r>
    <n v="2"/>
    <n v="3"/>
    <n v="2"/>
    <n v="10"/>
    <n v="14"/>
    <x v="0"/>
    <x v="3"/>
    <n v="203"/>
    <x v="3"/>
    <m/>
    <m/>
    <m/>
    <m/>
    <m/>
    <m/>
    <m/>
    <m/>
    <m/>
  </r>
  <r>
    <n v="3"/>
    <n v="3"/>
    <n v="2"/>
    <n v="11"/>
    <n v="19"/>
    <x v="0"/>
    <x v="0"/>
    <n v="303"/>
    <x v="3"/>
    <m/>
    <m/>
    <m/>
    <m/>
    <m/>
    <m/>
    <m/>
    <m/>
    <m/>
  </r>
  <r>
    <n v="4"/>
    <n v="3"/>
    <n v="2"/>
    <n v="12"/>
    <n v="30"/>
    <x v="0"/>
    <x v="2"/>
    <n v="403"/>
    <x v="3"/>
    <m/>
    <m/>
    <m/>
    <m/>
    <m/>
    <m/>
    <m/>
    <m/>
    <m/>
  </r>
  <r>
    <n v="4"/>
    <n v="4"/>
    <n v="2"/>
    <n v="13"/>
    <n v="29"/>
    <x v="1"/>
    <x v="3"/>
    <n v="404"/>
    <x v="3"/>
    <m/>
    <m/>
    <m/>
    <m/>
    <m/>
    <m/>
    <m/>
    <m/>
    <m/>
  </r>
  <r>
    <n v="3"/>
    <n v="4"/>
    <n v="2"/>
    <n v="14"/>
    <n v="20"/>
    <x v="1"/>
    <x v="5"/>
    <n v="304"/>
    <x v="3"/>
    <m/>
    <m/>
    <m/>
    <m/>
    <m/>
    <m/>
    <m/>
    <m/>
    <m/>
  </r>
  <r>
    <n v="2"/>
    <n v="4"/>
    <n v="2"/>
    <n v="15"/>
    <n v="13"/>
    <x v="1"/>
    <x v="4"/>
    <n v="204"/>
    <x v="3"/>
    <m/>
    <m/>
    <m/>
    <m/>
    <m/>
    <m/>
    <m/>
    <m/>
    <m/>
  </r>
  <r>
    <n v="1"/>
    <n v="4"/>
    <n v="2"/>
    <n v="16"/>
    <n v="4"/>
    <x v="1"/>
    <x v="2"/>
    <n v="104"/>
    <x v="3"/>
    <m/>
    <m/>
    <m/>
    <m/>
    <m/>
    <m/>
    <m/>
    <m/>
    <m/>
  </r>
  <r>
    <n v="1"/>
    <n v="5"/>
    <n v="3"/>
    <n v="17"/>
    <n v="5"/>
    <x v="0"/>
    <x v="2"/>
    <n v="105"/>
    <x v="3"/>
    <m/>
    <m/>
    <m/>
    <m/>
    <m/>
    <m/>
    <m/>
    <m/>
    <m/>
  </r>
  <r>
    <n v="2"/>
    <n v="5"/>
    <n v="3"/>
    <n v="18"/>
    <n v="12"/>
    <x v="0"/>
    <x v="0"/>
    <n v="205"/>
    <x v="3"/>
    <m/>
    <m/>
    <m/>
    <m/>
    <m/>
    <m/>
    <m/>
    <m/>
    <m/>
  </r>
  <r>
    <n v="3"/>
    <n v="5"/>
    <n v="3"/>
    <n v="19"/>
    <n v="21"/>
    <x v="0"/>
    <x v="3"/>
    <n v="305"/>
    <x v="3"/>
    <m/>
    <m/>
    <m/>
    <m/>
    <m/>
    <m/>
    <m/>
    <m/>
    <m/>
  </r>
  <r>
    <n v="4"/>
    <n v="5"/>
    <n v="3"/>
    <n v="20"/>
    <n v="28"/>
    <x v="0"/>
    <x v="1"/>
    <n v="405"/>
    <x v="3"/>
    <m/>
    <m/>
    <m/>
    <m/>
    <m/>
    <m/>
    <m/>
    <m/>
    <m/>
  </r>
  <r>
    <n v="4"/>
    <n v="6"/>
    <n v="3"/>
    <n v="21"/>
    <n v="27"/>
    <x v="1"/>
    <x v="2"/>
    <n v="406"/>
    <x v="3"/>
    <m/>
    <m/>
    <m/>
    <m/>
    <m/>
    <m/>
    <m/>
    <m/>
    <m/>
  </r>
  <r>
    <n v="3"/>
    <n v="6"/>
    <n v="3"/>
    <n v="22"/>
    <n v="22"/>
    <x v="1"/>
    <x v="4"/>
    <n v="306"/>
    <x v="3"/>
    <m/>
    <m/>
    <m/>
    <m/>
    <m/>
    <m/>
    <m/>
    <m/>
    <m/>
  </r>
  <r>
    <n v="2"/>
    <n v="6"/>
    <n v="3"/>
    <n v="23"/>
    <n v="11"/>
    <x v="1"/>
    <x v="5"/>
    <n v="206"/>
    <x v="3"/>
    <m/>
    <m/>
    <m/>
    <m/>
    <m/>
    <m/>
    <m/>
    <m/>
    <m/>
  </r>
  <r>
    <n v="1"/>
    <n v="6"/>
    <n v="3"/>
    <n v="24"/>
    <n v="6"/>
    <x v="1"/>
    <x v="3"/>
    <n v="106"/>
    <x v="3"/>
    <m/>
    <m/>
    <m/>
    <m/>
    <m/>
    <m/>
    <m/>
    <m/>
    <m/>
  </r>
  <r>
    <n v="1"/>
    <n v="7"/>
    <n v="4"/>
    <n v="25"/>
    <n v="7"/>
    <x v="0"/>
    <x v="3"/>
    <n v="107"/>
    <x v="3"/>
    <m/>
    <m/>
    <m/>
    <m/>
    <m/>
    <m/>
    <m/>
    <m/>
    <m/>
  </r>
  <r>
    <n v="2"/>
    <n v="7"/>
    <n v="4"/>
    <n v="26"/>
    <n v="10"/>
    <x v="0"/>
    <x v="2"/>
    <n v="207"/>
    <x v="3"/>
    <m/>
    <m/>
    <m/>
    <m/>
    <m/>
    <m/>
    <m/>
    <m/>
    <m/>
  </r>
  <r>
    <n v="3"/>
    <n v="7"/>
    <n v="4"/>
    <n v="27"/>
    <n v="23"/>
    <x v="0"/>
    <x v="1"/>
    <n v="307"/>
    <x v="3"/>
    <m/>
    <m/>
    <m/>
    <m/>
    <m/>
    <m/>
    <m/>
    <m/>
    <m/>
  </r>
  <r>
    <n v="4"/>
    <n v="7"/>
    <n v="4"/>
    <n v="28"/>
    <n v="26"/>
    <x v="0"/>
    <x v="0"/>
    <n v="407"/>
    <x v="3"/>
    <m/>
    <m/>
    <m/>
    <m/>
    <m/>
    <m/>
    <m/>
    <m/>
    <m/>
  </r>
  <r>
    <n v="4"/>
    <n v="8"/>
    <n v="4"/>
    <n v="29"/>
    <n v="25"/>
    <x v="1"/>
    <x v="5"/>
    <n v="408"/>
    <x v="3"/>
    <m/>
    <m/>
    <m/>
    <m/>
    <m/>
    <m/>
    <m/>
    <m/>
    <m/>
  </r>
  <r>
    <n v="3"/>
    <n v="8"/>
    <n v="4"/>
    <n v="30"/>
    <n v="24"/>
    <x v="1"/>
    <x v="2"/>
    <n v="308"/>
    <x v="3"/>
    <m/>
    <m/>
    <m/>
    <m/>
    <m/>
    <m/>
    <m/>
    <m/>
    <m/>
  </r>
  <r>
    <n v="2"/>
    <n v="8"/>
    <n v="4"/>
    <n v="31"/>
    <n v="9"/>
    <x v="1"/>
    <x v="3"/>
    <n v="208"/>
    <x v="3"/>
    <m/>
    <m/>
    <m/>
    <m/>
    <m/>
    <m/>
    <m/>
    <m/>
    <m/>
  </r>
  <r>
    <n v="1"/>
    <n v="8"/>
    <n v="4"/>
    <n v="32"/>
    <n v="8"/>
    <x v="1"/>
    <x v="4"/>
    <n v="108"/>
    <x v="3"/>
    <m/>
    <m/>
    <m/>
    <m/>
    <m/>
    <m/>
    <m/>
    <m/>
    <m/>
  </r>
  <r>
    <n v="1"/>
    <n v="1"/>
    <n v="1"/>
    <n v="1"/>
    <n v="1"/>
    <x v="0"/>
    <x v="0"/>
    <n v="101"/>
    <x v="3"/>
    <m/>
    <m/>
    <m/>
    <m/>
    <m/>
    <m/>
    <m/>
    <m/>
    <m/>
  </r>
  <r>
    <n v="2"/>
    <n v="1"/>
    <n v="1"/>
    <n v="2"/>
    <n v="16"/>
    <x v="0"/>
    <x v="1"/>
    <n v="201"/>
    <x v="3"/>
    <m/>
    <m/>
    <m/>
    <m/>
    <m/>
    <m/>
    <m/>
    <m/>
    <m/>
  </r>
  <r>
    <n v="3"/>
    <n v="1"/>
    <n v="1"/>
    <n v="3"/>
    <n v="17"/>
    <x v="0"/>
    <x v="2"/>
    <n v="301"/>
    <x v="3"/>
    <m/>
    <m/>
    <m/>
    <m/>
    <m/>
    <m/>
    <m/>
    <m/>
    <m/>
  </r>
  <r>
    <n v="4"/>
    <n v="1"/>
    <n v="1"/>
    <n v="4"/>
    <n v="32"/>
    <x v="0"/>
    <x v="3"/>
    <n v="401"/>
    <x v="3"/>
    <m/>
    <m/>
    <m/>
    <m/>
    <m/>
    <m/>
    <m/>
    <m/>
    <m/>
  </r>
  <r>
    <n v="4"/>
    <n v="2"/>
    <n v="1"/>
    <n v="5"/>
    <n v="31"/>
    <x v="1"/>
    <x v="4"/>
    <n v="402"/>
    <x v="3"/>
    <m/>
    <m/>
    <m/>
    <m/>
    <m/>
    <m/>
    <m/>
    <m/>
    <m/>
  </r>
  <r>
    <n v="3"/>
    <n v="2"/>
    <n v="1"/>
    <n v="6"/>
    <n v="18"/>
    <x v="1"/>
    <x v="3"/>
    <n v="302"/>
    <x v="3"/>
    <m/>
    <m/>
    <m/>
    <m/>
    <m/>
    <m/>
    <m/>
    <m/>
    <m/>
  </r>
  <r>
    <n v="2"/>
    <n v="2"/>
    <n v="1"/>
    <n v="7"/>
    <n v="15"/>
    <x v="1"/>
    <x v="2"/>
    <n v="202"/>
    <x v="3"/>
    <m/>
    <m/>
    <m/>
    <m/>
    <m/>
    <m/>
    <m/>
    <m/>
    <m/>
  </r>
  <r>
    <n v="1"/>
    <n v="2"/>
    <n v="1"/>
    <n v="8"/>
    <n v="2"/>
    <x v="1"/>
    <x v="5"/>
    <n v="102"/>
    <x v="3"/>
    <m/>
    <m/>
    <m/>
    <m/>
    <m/>
    <m/>
    <m/>
    <m/>
    <m/>
  </r>
  <r>
    <n v="1"/>
    <n v="3"/>
    <n v="2"/>
    <n v="9"/>
    <n v="3"/>
    <x v="0"/>
    <x v="1"/>
    <n v="103"/>
    <x v="3"/>
    <m/>
    <m/>
    <m/>
    <m/>
    <m/>
    <m/>
    <m/>
    <m/>
    <m/>
  </r>
  <r>
    <n v="2"/>
    <n v="3"/>
    <n v="2"/>
    <n v="10"/>
    <n v="14"/>
    <x v="0"/>
    <x v="3"/>
    <n v="203"/>
    <x v="3"/>
    <m/>
    <m/>
    <m/>
    <m/>
    <m/>
    <m/>
    <m/>
    <m/>
    <m/>
  </r>
  <r>
    <n v="3"/>
    <n v="3"/>
    <n v="2"/>
    <n v="11"/>
    <n v="19"/>
    <x v="0"/>
    <x v="0"/>
    <n v="303"/>
    <x v="3"/>
    <m/>
    <m/>
    <m/>
    <m/>
    <m/>
    <m/>
    <m/>
    <m/>
    <m/>
  </r>
  <r>
    <n v="4"/>
    <n v="3"/>
    <n v="2"/>
    <n v="12"/>
    <n v="30"/>
    <x v="0"/>
    <x v="2"/>
    <n v="403"/>
    <x v="3"/>
    <m/>
    <m/>
    <m/>
    <m/>
    <m/>
    <m/>
    <m/>
    <m/>
    <m/>
  </r>
  <r>
    <n v="4"/>
    <n v="4"/>
    <n v="2"/>
    <n v="13"/>
    <n v="29"/>
    <x v="1"/>
    <x v="3"/>
    <n v="404"/>
    <x v="3"/>
    <m/>
    <m/>
    <m/>
    <m/>
    <m/>
    <m/>
    <m/>
    <m/>
    <m/>
  </r>
  <r>
    <n v="3"/>
    <n v="4"/>
    <n v="2"/>
    <n v="14"/>
    <n v="20"/>
    <x v="1"/>
    <x v="5"/>
    <n v="304"/>
    <x v="3"/>
    <m/>
    <m/>
    <m/>
    <m/>
    <m/>
    <m/>
    <m/>
    <m/>
    <m/>
  </r>
  <r>
    <n v="2"/>
    <n v="4"/>
    <n v="2"/>
    <n v="15"/>
    <n v="13"/>
    <x v="1"/>
    <x v="4"/>
    <n v="204"/>
    <x v="3"/>
    <m/>
    <m/>
    <m/>
    <m/>
    <m/>
    <m/>
    <m/>
    <m/>
    <m/>
  </r>
  <r>
    <n v="1"/>
    <n v="4"/>
    <n v="2"/>
    <n v="16"/>
    <n v="4"/>
    <x v="1"/>
    <x v="2"/>
    <n v="104"/>
    <x v="3"/>
    <m/>
    <m/>
    <m/>
    <m/>
    <m/>
    <m/>
    <m/>
    <m/>
    <m/>
  </r>
  <r>
    <n v="1"/>
    <n v="5"/>
    <n v="3"/>
    <n v="17"/>
    <n v="5"/>
    <x v="0"/>
    <x v="2"/>
    <n v="105"/>
    <x v="3"/>
    <m/>
    <m/>
    <m/>
    <m/>
    <m/>
    <m/>
    <m/>
    <m/>
    <m/>
  </r>
  <r>
    <n v="2"/>
    <n v="5"/>
    <n v="3"/>
    <n v="18"/>
    <n v="12"/>
    <x v="0"/>
    <x v="0"/>
    <n v="205"/>
    <x v="3"/>
    <m/>
    <m/>
    <m/>
    <m/>
    <m/>
    <m/>
    <m/>
    <m/>
    <m/>
  </r>
  <r>
    <n v="3"/>
    <n v="5"/>
    <n v="3"/>
    <n v="19"/>
    <n v="21"/>
    <x v="0"/>
    <x v="3"/>
    <n v="305"/>
    <x v="3"/>
    <m/>
    <m/>
    <m/>
    <m/>
    <m/>
    <m/>
    <m/>
    <m/>
    <m/>
  </r>
  <r>
    <n v="4"/>
    <n v="5"/>
    <n v="3"/>
    <n v="20"/>
    <n v="28"/>
    <x v="0"/>
    <x v="1"/>
    <n v="405"/>
    <x v="3"/>
    <m/>
    <m/>
    <m/>
    <m/>
    <m/>
    <m/>
    <m/>
    <m/>
    <m/>
  </r>
  <r>
    <n v="4"/>
    <n v="6"/>
    <n v="3"/>
    <n v="21"/>
    <n v="27"/>
    <x v="1"/>
    <x v="2"/>
    <n v="406"/>
    <x v="3"/>
    <m/>
    <m/>
    <m/>
    <m/>
    <m/>
    <m/>
    <m/>
    <m/>
    <m/>
  </r>
  <r>
    <n v="3"/>
    <n v="6"/>
    <n v="3"/>
    <n v="22"/>
    <n v="22"/>
    <x v="1"/>
    <x v="4"/>
    <n v="306"/>
    <x v="3"/>
    <m/>
    <m/>
    <m/>
    <m/>
    <m/>
    <m/>
    <m/>
    <m/>
    <m/>
  </r>
  <r>
    <n v="2"/>
    <n v="6"/>
    <n v="3"/>
    <n v="23"/>
    <n v="11"/>
    <x v="1"/>
    <x v="5"/>
    <n v="206"/>
    <x v="3"/>
    <m/>
    <m/>
    <m/>
    <m/>
    <m/>
    <m/>
    <m/>
    <m/>
    <m/>
  </r>
  <r>
    <n v="1"/>
    <n v="6"/>
    <n v="3"/>
    <n v="24"/>
    <n v="6"/>
    <x v="1"/>
    <x v="3"/>
    <n v="106"/>
    <x v="3"/>
    <m/>
    <m/>
    <m/>
    <m/>
    <m/>
    <m/>
    <m/>
    <m/>
    <m/>
  </r>
  <r>
    <n v="1"/>
    <n v="7"/>
    <n v="4"/>
    <n v="25"/>
    <n v="7"/>
    <x v="0"/>
    <x v="3"/>
    <n v="107"/>
    <x v="3"/>
    <m/>
    <m/>
    <m/>
    <m/>
    <m/>
    <m/>
    <m/>
    <m/>
    <m/>
  </r>
  <r>
    <n v="2"/>
    <n v="7"/>
    <n v="4"/>
    <n v="26"/>
    <n v="10"/>
    <x v="0"/>
    <x v="2"/>
    <n v="207"/>
    <x v="3"/>
    <m/>
    <m/>
    <m/>
    <m/>
    <m/>
    <m/>
    <m/>
    <m/>
    <m/>
  </r>
  <r>
    <n v="3"/>
    <n v="7"/>
    <n v="4"/>
    <n v="27"/>
    <n v="23"/>
    <x v="0"/>
    <x v="1"/>
    <n v="307"/>
    <x v="3"/>
    <m/>
    <m/>
    <m/>
    <m/>
    <m/>
    <m/>
    <m/>
    <m/>
    <m/>
  </r>
  <r>
    <n v="4"/>
    <n v="7"/>
    <n v="4"/>
    <n v="28"/>
    <n v="26"/>
    <x v="0"/>
    <x v="0"/>
    <n v="407"/>
    <x v="3"/>
    <m/>
    <m/>
    <m/>
    <m/>
    <m/>
    <m/>
    <m/>
    <m/>
    <m/>
  </r>
  <r>
    <n v="4"/>
    <n v="8"/>
    <n v="4"/>
    <n v="29"/>
    <n v="25"/>
    <x v="1"/>
    <x v="5"/>
    <n v="408"/>
    <x v="3"/>
    <m/>
    <m/>
    <m/>
    <m/>
    <m/>
    <m/>
    <m/>
    <m/>
    <m/>
  </r>
  <r>
    <n v="3"/>
    <n v="8"/>
    <n v="4"/>
    <n v="30"/>
    <n v="24"/>
    <x v="1"/>
    <x v="2"/>
    <n v="308"/>
    <x v="3"/>
    <m/>
    <m/>
    <m/>
    <m/>
    <m/>
    <m/>
    <m/>
    <m/>
    <m/>
  </r>
  <r>
    <n v="2"/>
    <n v="8"/>
    <n v="4"/>
    <n v="31"/>
    <n v="9"/>
    <x v="1"/>
    <x v="3"/>
    <n v="208"/>
    <x v="3"/>
    <m/>
    <m/>
    <m/>
    <m/>
    <m/>
    <m/>
    <m/>
    <m/>
    <m/>
  </r>
  <r>
    <n v="1"/>
    <n v="8"/>
    <n v="4"/>
    <n v="32"/>
    <n v="8"/>
    <x v="1"/>
    <x v="4"/>
    <n v="108"/>
    <x v="3"/>
    <m/>
    <m/>
    <m/>
    <m/>
    <m/>
    <m/>
    <m/>
    <m/>
    <m/>
  </r>
  <r>
    <n v="1"/>
    <n v="1"/>
    <n v="1"/>
    <n v="1"/>
    <n v="1"/>
    <x v="0"/>
    <x v="0"/>
    <n v="101"/>
    <x v="3"/>
    <m/>
    <m/>
    <m/>
    <m/>
    <m/>
    <m/>
    <m/>
    <m/>
    <m/>
  </r>
  <r>
    <n v="2"/>
    <n v="1"/>
    <n v="1"/>
    <n v="2"/>
    <n v="16"/>
    <x v="0"/>
    <x v="1"/>
    <n v="201"/>
    <x v="3"/>
    <m/>
    <m/>
    <m/>
    <m/>
    <m/>
    <m/>
    <m/>
    <m/>
    <m/>
  </r>
  <r>
    <n v="3"/>
    <n v="1"/>
    <n v="1"/>
    <n v="3"/>
    <n v="17"/>
    <x v="0"/>
    <x v="2"/>
    <n v="301"/>
    <x v="3"/>
    <m/>
    <m/>
    <m/>
    <m/>
    <m/>
    <m/>
    <m/>
    <m/>
    <m/>
  </r>
  <r>
    <n v="4"/>
    <n v="1"/>
    <n v="1"/>
    <n v="4"/>
    <n v="32"/>
    <x v="0"/>
    <x v="3"/>
    <n v="401"/>
    <x v="3"/>
    <m/>
    <m/>
    <m/>
    <m/>
    <m/>
    <m/>
    <m/>
    <m/>
    <m/>
  </r>
  <r>
    <n v="4"/>
    <n v="2"/>
    <n v="1"/>
    <n v="5"/>
    <n v="31"/>
    <x v="1"/>
    <x v="4"/>
    <n v="402"/>
    <x v="3"/>
    <m/>
    <m/>
    <m/>
    <m/>
    <m/>
    <m/>
    <m/>
    <m/>
    <m/>
  </r>
  <r>
    <n v="3"/>
    <n v="2"/>
    <n v="1"/>
    <n v="6"/>
    <n v="18"/>
    <x v="1"/>
    <x v="3"/>
    <n v="302"/>
    <x v="3"/>
    <m/>
    <m/>
    <m/>
    <m/>
    <m/>
    <m/>
    <m/>
    <m/>
    <m/>
  </r>
  <r>
    <n v="2"/>
    <n v="2"/>
    <n v="1"/>
    <n v="7"/>
    <n v="15"/>
    <x v="1"/>
    <x v="2"/>
    <n v="202"/>
    <x v="3"/>
    <m/>
    <m/>
    <m/>
    <m/>
    <m/>
    <m/>
    <m/>
    <m/>
    <m/>
  </r>
  <r>
    <n v="1"/>
    <n v="2"/>
    <n v="1"/>
    <n v="8"/>
    <n v="2"/>
    <x v="1"/>
    <x v="5"/>
    <n v="102"/>
    <x v="3"/>
    <m/>
    <m/>
    <m/>
    <m/>
    <m/>
    <m/>
    <m/>
    <m/>
    <m/>
  </r>
  <r>
    <n v="1"/>
    <n v="3"/>
    <n v="2"/>
    <n v="9"/>
    <n v="3"/>
    <x v="0"/>
    <x v="1"/>
    <n v="103"/>
    <x v="3"/>
    <m/>
    <m/>
    <m/>
    <m/>
    <m/>
    <m/>
    <m/>
    <m/>
    <m/>
  </r>
  <r>
    <n v="2"/>
    <n v="3"/>
    <n v="2"/>
    <n v="10"/>
    <n v="14"/>
    <x v="0"/>
    <x v="3"/>
    <n v="203"/>
    <x v="3"/>
    <m/>
    <m/>
    <m/>
    <m/>
    <m/>
    <m/>
    <m/>
    <m/>
    <m/>
  </r>
  <r>
    <n v="3"/>
    <n v="3"/>
    <n v="2"/>
    <n v="11"/>
    <n v="19"/>
    <x v="0"/>
    <x v="0"/>
    <n v="303"/>
    <x v="3"/>
    <m/>
    <m/>
    <m/>
    <m/>
    <m/>
    <m/>
    <m/>
    <m/>
    <m/>
  </r>
  <r>
    <n v="4"/>
    <n v="3"/>
    <n v="2"/>
    <n v="12"/>
    <n v="30"/>
    <x v="0"/>
    <x v="2"/>
    <n v="403"/>
    <x v="3"/>
    <m/>
    <m/>
    <m/>
    <m/>
    <m/>
    <m/>
    <m/>
    <m/>
    <m/>
  </r>
  <r>
    <n v="4"/>
    <n v="4"/>
    <n v="2"/>
    <n v="13"/>
    <n v="29"/>
    <x v="1"/>
    <x v="3"/>
    <n v="404"/>
    <x v="3"/>
    <m/>
    <m/>
    <m/>
    <m/>
    <m/>
    <m/>
    <m/>
    <m/>
    <m/>
  </r>
  <r>
    <n v="3"/>
    <n v="4"/>
    <n v="2"/>
    <n v="14"/>
    <n v="20"/>
    <x v="1"/>
    <x v="5"/>
    <n v="304"/>
    <x v="3"/>
    <m/>
    <m/>
    <m/>
    <m/>
    <m/>
    <m/>
    <m/>
    <m/>
    <m/>
  </r>
  <r>
    <n v="2"/>
    <n v="4"/>
    <n v="2"/>
    <n v="15"/>
    <n v="13"/>
    <x v="1"/>
    <x v="4"/>
    <n v="204"/>
    <x v="3"/>
    <m/>
    <m/>
    <m/>
    <m/>
    <m/>
    <m/>
    <m/>
    <m/>
    <m/>
  </r>
  <r>
    <n v="1"/>
    <n v="4"/>
    <n v="2"/>
    <n v="16"/>
    <n v="4"/>
    <x v="1"/>
    <x v="2"/>
    <n v="104"/>
    <x v="3"/>
    <m/>
    <m/>
    <m/>
    <m/>
    <m/>
    <m/>
    <m/>
    <m/>
    <m/>
  </r>
  <r>
    <n v="1"/>
    <n v="5"/>
    <n v="3"/>
    <n v="17"/>
    <n v="5"/>
    <x v="0"/>
    <x v="2"/>
    <n v="105"/>
    <x v="3"/>
    <m/>
    <m/>
    <m/>
    <m/>
    <m/>
    <m/>
    <m/>
    <m/>
    <m/>
  </r>
  <r>
    <n v="2"/>
    <n v="5"/>
    <n v="3"/>
    <n v="18"/>
    <n v="12"/>
    <x v="0"/>
    <x v="0"/>
    <n v="205"/>
    <x v="3"/>
    <m/>
    <m/>
    <m/>
    <m/>
    <m/>
    <m/>
    <m/>
    <m/>
    <m/>
  </r>
  <r>
    <n v="3"/>
    <n v="5"/>
    <n v="3"/>
    <n v="19"/>
    <n v="21"/>
    <x v="0"/>
    <x v="3"/>
    <n v="305"/>
    <x v="3"/>
    <m/>
    <m/>
    <m/>
    <m/>
    <m/>
    <m/>
    <m/>
    <m/>
    <m/>
  </r>
  <r>
    <n v="4"/>
    <n v="5"/>
    <n v="3"/>
    <n v="20"/>
    <n v="28"/>
    <x v="0"/>
    <x v="1"/>
    <n v="405"/>
    <x v="3"/>
    <m/>
    <m/>
    <m/>
    <m/>
    <m/>
    <m/>
    <m/>
    <m/>
    <m/>
  </r>
  <r>
    <n v="4"/>
    <n v="6"/>
    <n v="3"/>
    <n v="21"/>
    <n v="27"/>
    <x v="1"/>
    <x v="2"/>
    <n v="406"/>
    <x v="3"/>
    <m/>
    <m/>
    <m/>
    <m/>
    <m/>
    <m/>
    <m/>
    <m/>
    <m/>
  </r>
  <r>
    <n v="3"/>
    <n v="6"/>
    <n v="3"/>
    <n v="22"/>
    <n v="22"/>
    <x v="1"/>
    <x v="4"/>
    <n v="306"/>
    <x v="3"/>
    <m/>
    <m/>
    <m/>
    <m/>
    <m/>
    <m/>
    <m/>
    <m/>
    <m/>
  </r>
  <r>
    <n v="2"/>
    <n v="6"/>
    <n v="3"/>
    <n v="23"/>
    <n v="11"/>
    <x v="1"/>
    <x v="5"/>
    <n v="206"/>
    <x v="3"/>
    <m/>
    <m/>
    <m/>
    <m/>
    <m/>
    <m/>
    <m/>
    <m/>
    <m/>
  </r>
  <r>
    <n v="1"/>
    <n v="6"/>
    <n v="3"/>
    <n v="24"/>
    <n v="6"/>
    <x v="1"/>
    <x v="3"/>
    <n v="106"/>
    <x v="3"/>
    <m/>
    <m/>
    <m/>
    <m/>
    <m/>
    <m/>
    <m/>
    <m/>
    <m/>
  </r>
  <r>
    <n v="1"/>
    <n v="7"/>
    <n v="4"/>
    <n v="25"/>
    <n v="7"/>
    <x v="0"/>
    <x v="3"/>
    <n v="107"/>
    <x v="3"/>
    <m/>
    <m/>
    <m/>
    <m/>
    <m/>
    <m/>
    <m/>
    <m/>
    <m/>
  </r>
  <r>
    <n v="2"/>
    <n v="7"/>
    <n v="4"/>
    <n v="26"/>
    <n v="10"/>
    <x v="0"/>
    <x v="2"/>
    <n v="207"/>
    <x v="3"/>
    <m/>
    <m/>
    <m/>
    <m/>
    <m/>
    <m/>
    <m/>
    <m/>
    <m/>
  </r>
  <r>
    <n v="3"/>
    <n v="7"/>
    <n v="4"/>
    <n v="27"/>
    <n v="23"/>
    <x v="0"/>
    <x v="1"/>
    <n v="307"/>
    <x v="3"/>
    <m/>
    <m/>
    <m/>
    <m/>
    <m/>
    <m/>
    <m/>
    <m/>
    <m/>
  </r>
  <r>
    <n v="4"/>
    <n v="7"/>
    <n v="4"/>
    <n v="28"/>
    <n v="26"/>
    <x v="0"/>
    <x v="0"/>
    <n v="407"/>
    <x v="3"/>
    <m/>
    <m/>
    <m/>
    <m/>
    <m/>
    <m/>
    <m/>
    <m/>
    <m/>
  </r>
  <r>
    <n v="4"/>
    <n v="8"/>
    <n v="4"/>
    <n v="29"/>
    <n v="25"/>
    <x v="1"/>
    <x v="5"/>
    <n v="408"/>
    <x v="3"/>
    <m/>
    <m/>
    <m/>
    <m/>
    <m/>
    <m/>
    <m/>
    <m/>
    <m/>
  </r>
  <r>
    <n v="3"/>
    <n v="8"/>
    <n v="4"/>
    <n v="30"/>
    <n v="24"/>
    <x v="1"/>
    <x v="2"/>
    <n v="308"/>
    <x v="3"/>
    <m/>
    <m/>
    <m/>
    <m/>
    <m/>
    <m/>
    <m/>
    <m/>
    <m/>
  </r>
  <r>
    <n v="2"/>
    <n v="8"/>
    <n v="4"/>
    <n v="31"/>
    <n v="9"/>
    <x v="1"/>
    <x v="3"/>
    <n v="208"/>
    <x v="3"/>
    <m/>
    <m/>
    <m/>
    <m/>
    <m/>
    <m/>
    <m/>
    <m/>
    <m/>
  </r>
  <r>
    <n v="1"/>
    <n v="8"/>
    <n v="4"/>
    <n v="32"/>
    <n v="8"/>
    <x v="1"/>
    <x v="4"/>
    <n v="108"/>
    <x v="3"/>
    <m/>
    <m/>
    <m/>
    <m/>
    <m/>
    <m/>
    <m/>
    <m/>
    <m/>
  </r>
  <r>
    <n v="1"/>
    <n v="1"/>
    <n v="1"/>
    <n v="1"/>
    <n v="1"/>
    <x v="0"/>
    <x v="0"/>
    <n v="101"/>
    <x v="3"/>
    <m/>
    <m/>
    <m/>
    <m/>
    <m/>
    <m/>
    <m/>
    <m/>
    <m/>
  </r>
  <r>
    <n v="2"/>
    <n v="1"/>
    <n v="1"/>
    <n v="2"/>
    <n v="16"/>
    <x v="0"/>
    <x v="1"/>
    <n v="201"/>
    <x v="3"/>
    <m/>
    <m/>
    <m/>
    <m/>
    <m/>
    <m/>
    <m/>
    <m/>
    <m/>
  </r>
  <r>
    <n v="3"/>
    <n v="1"/>
    <n v="1"/>
    <n v="3"/>
    <n v="17"/>
    <x v="0"/>
    <x v="2"/>
    <n v="301"/>
    <x v="3"/>
    <m/>
    <m/>
    <m/>
    <m/>
    <m/>
    <m/>
    <m/>
    <m/>
    <m/>
  </r>
  <r>
    <n v="4"/>
    <n v="1"/>
    <n v="1"/>
    <n v="4"/>
    <n v="32"/>
    <x v="0"/>
    <x v="3"/>
    <n v="401"/>
    <x v="3"/>
    <m/>
    <m/>
    <m/>
    <m/>
    <m/>
    <m/>
    <m/>
    <m/>
    <m/>
  </r>
  <r>
    <n v="4"/>
    <n v="2"/>
    <n v="1"/>
    <n v="5"/>
    <n v="31"/>
    <x v="1"/>
    <x v="4"/>
    <n v="402"/>
    <x v="3"/>
    <m/>
    <m/>
    <m/>
    <m/>
    <m/>
    <m/>
    <m/>
    <m/>
    <m/>
  </r>
  <r>
    <n v="3"/>
    <n v="2"/>
    <n v="1"/>
    <n v="6"/>
    <n v="18"/>
    <x v="1"/>
    <x v="3"/>
    <n v="302"/>
    <x v="3"/>
    <m/>
    <m/>
    <m/>
    <m/>
    <m/>
    <m/>
    <m/>
    <m/>
    <m/>
  </r>
  <r>
    <n v="2"/>
    <n v="2"/>
    <n v="1"/>
    <n v="7"/>
    <n v="15"/>
    <x v="1"/>
    <x v="2"/>
    <n v="202"/>
    <x v="3"/>
    <m/>
    <m/>
    <m/>
    <m/>
    <m/>
    <m/>
    <m/>
    <m/>
    <m/>
  </r>
  <r>
    <n v="1"/>
    <n v="2"/>
    <n v="1"/>
    <n v="8"/>
    <n v="2"/>
    <x v="1"/>
    <x v="5"/>
    <n v="102"/>
    <x v="3"/>
    <m/>
    <m/>
    <m/>
    <m/>
    <m/>
    <m/>
    <m/>
    <m/>
    <m/>
  </r>
  <r>
    <n v="1"/>
    <n v="3"/>
    <n v="2"/>
    <n v="9"/>
    <n v="3"/>
    <x v="0"/>
    <x v="1"/>
    <n v="103"/>
    <x v="3"/>
    <m/>
    <m/>
    <m/>
    <m/>
    <m/>
    <m/>
    <m/>
    <m/>
    <m/>
  </r>
  <r>
    <n v="2"/>
    <n v="3"/>
    <n v="2"/>
    <n v="10"/>
    <n v="14"/>
    <x v="0"/>
    <x v="3"/>
    <n v="203"/>
    <x v="3"/>
    <m/>
    <m/>
    <m/>
    <m/>
    <m/>
    <m/>
    <m/>
    <m/>
    <m/>
  </r>
  <r>
    <n v="3"/>
    <n v="3"/>
    <n v="2"/>
    <n v="11"/>
    <n v="19"/>
    <x v="0"/>
    <x v="0"/>
    <n v="303"/>
    <x v="3"/>
    <m/>
    <m/>
    <m/>
    <m/>
    <m/>
    <m/>
    <m/>
    <m/>
    <m/>
  </r>
  <r>
    <n v="4"/>
    <n v="3"/>
    <n v="2"/>
    <n v="12"/>
    <n v="30"/>
    <x v="0"/>
    <x v="2"/>
    <n v="403"/>
    <x v="3"/>
    <m/>
    <m/>
    <m/>
    <m/>
    <m/>
    <m/>
    <m/>
    <m/>
    <m/>
  </r>
  <r>
    <n v="4"/>
    <n v="4"/>
    <n v="2"/>
    <n v="13"/>
    <n v="29"/>
    <x v="1"/>
    <x v="3"/>
    <n v="404"/>
    <x v="3"/>
    <m/>
    <m/>
    <m/>
    <m/>
    <m/>
    <m/>
    <m/>
    <m/>
    <m/>
  </r>
  <r>
    <n v="3"/>
    <n v="4"/>
    <n v="2"/>
    <n v="14"/>
    <n v="20"/>
    <x v="1"/>
    <x v="5"/>
    <n v="304"/>
    <x v="3"/>
    <m/>
    <m/>
    <m/>
    <m/>
    <m/>
    <m/>
    <m/>
    <m/>
    <m/>
  </r>
  <r>
    <n v="2"/>
    <n v="4"/>
    <n v="2"/>
    <n v="15"/>
    <n v="13"/>
    <x v="1"/>
    <x v="4"/>
    <n v="204"/>
    <x v="3"/>
    <m/>
    <m/>
    <m/>
    <m/>
    <m/>
    <m/>
    <m/>
    <m/>
    <m/>
  </r>
  <r>
    <n v="1"/>
    <n v="4"/>
    <n v="2"/>
    <n v="16"/>
    <n v="4"/>
    <x v="1"/>
    <x v="2"/>
    <n v="104"/>
    <x v="3"/>
    <m/>
    <m/>
    <m/>
    <m/>
    <m/>
    <m/>
    <m/>
    <m/>
    <m/>
  </r>
  <r>
    <n v="1"/>
    <n v="5"/>
    <n v="3"/>
    <n v="17"/>
    <n v="5"/>
    <x v="0"/>
    <x v="2"/>
    <n v="105"/>
    <x v="3"/>
    <m/>
    <m/>
    <m/>
    <m/>
    <m/>
    <m/>
    <m/>
    <m/>
    <m/>
  </r>
  <r>
    <n v="2"/>
    <n v="5"/>
    <n v="3"/>
    <n v="18"/>
    <n v="12"/>
    <x v="0"/>
    <x v="0"/>
    <n v="205"/>
    <x v="3"/>
    <m/>
    <m/>
    <m/>
    <m/>
    <m/>
    <m/>
    <m/>
    <m/>
    <m/>
  </r>
  <r>
    <n v="3"/>
    <n v="5"/>
    <n v="3"/>
    <n v="19"/>
    <n v="21"/>
    <x v="0"/>
    <x v="3"/>
    <n v="305"/>
    <x v="3"/>
    <m/>
    <m/>
    <m/>
    <m/>
    <m/>
    <m/>
    <m/>
    <m/>
    <m/>
  </r>
  <r>
    <n v="4"/>
    <n v="5"/>
    <n v="3"/>
    <n v="20"/>
    <n v="28"/>
    <x v="0"/>
    <x v="1"/>
    <n v="405"/>
    <x v="3"/>
    <m/>
    <m/>
    <m/>
    <m/>
    <m/>
    <m/>
    <m/>
    <m/>
    <m/>
  </r>
  <r>
    <n v="4"/>
    <n v="6"/>
    <n v="3"/>
    <n v="21"/>
    <n v="27"/>
    <x v="1"/>
    <x v="2"/>
    <n v="406"/>
    <x v="3"/>
    <m/>
    <m/>
    <m/>
    <m/>
    <m/>
    <m/>
    <m/>
    <m/>
    <m/>
  </r>
  <r>
    <n v="3"/>
    <n v="6"/>
    <n v="3"/>
    <n v="22"/>
    <n v="22"/>
    <x v="1"/>
    <x v="4"/>
    <n v="306"/>
    <x v="3"/>
    <m/>
    <m/>
    <m/>
    <m/>
    <m/>
    <m/>
    <m/>
    <m/>
    <m/>
  </r>
  <r>
    <n v="2"/>
    <n v="6"/>
    <n v="3"/>
    <n v="23"/>
    <n v="11"/>
    <x v="1"/>
    <x v="5"/>
    <n v="206"/>
    <x v="3"/>
    <m/>
    <m/>
    <m/>
    <m/>
    <m/>
    <m/>
    <m/>
    <m/>
    <m/>
  </r>
  <r>
    <n v="1"/>
    <n v="6"/>
    <n v="3"/>
    <n v="24"/>
    <n v="6"/>
    <x v="1"/>
    <x v="3"/>
    <n v="106"/>
    <x v="3"/>
    <m/>
    <m/>
    <m/>
    <m/>
    <m/>
    <m/>
    <m/>
    <m/>
    <m/>
  </r>
  <r>
    <n v="1"/>
    <n v="7"/>
    <n v="4"/>
    <n v="25"/>
    <n v="7"/>
    <x v="0"/>
    <x v="3"/>
    <n v="107"/>
    <x v="3"/>
    <m/>
    <m/>
    <m/>
    <m/>
    <m/>
    <m/>
    <m/>
    <m/>
    <m/>
  </r>
  <r>
    <n v="2"/>
    <n v="7"/>
    <n v="4"/>
    <n v="26"/>
    <n v="10"/>
    <x v="0"/>
    <x v="2"/>
    <n v="207"/>
    <x v="3"/>
    <m/>
    <m/>
    <m/>
    <m/>
    <m/>
    <m/>
    <m/>
    <m/>
    <m/>
  </r>
  <r>
    <n v="3"/>
    <n v="7"/>
    <n v="4"/>
    <n v="27"/>
    <n v="23"/>
    <x v="0"/>
    <x v="1"/>
    <n v="307"/>
    <x v="3"/>
    <m/>
    <m/>
    <m/>
    <m/>
    <m/>
    <m/>
    <m/>
    <m/>
    <m/>
  </r>
  <r>
    <n v="4"/>
    <n v="7"/>
    <n v="4"/>
    <n v="28"/>
    <n v="26"/>
    <x v="0"/>
    <x v="0"/>
    <n v="407"/>
    <x v="3"/>
    <m/>
    <m/>
    <m/>
    <m/>
    <m/>
    <m/>
    <m/>
    <m/>
    <m/>
  </r>
  <r>
    <n v="4"/>
    <n v="8"/>
    <n v="4"/>
    <n v="29"/>
    <n v="25"/>
    <x v="1"/>
    <x v="5"/>
    <n v="408"/>
    <x v="3"/>
    <m/>
    <m/>
    <m/>
    <m/>
    <m/>
    <m/>
    <m/>
    <m/>
    <m/>
  </r>
  <r>
    <n v="3"/>
    <n v="8"/>
    <n v="4"/>
    <n v="30"/>
    <n v="24"/>
    <x v="1"/>
    <x v="2"/>
    <n v="308"/>
    <x v="3"/>
    <m/>
    <m/>
    <m/>
    <m/>
    <m/>
    <m/>
    <m/>
    <m/>
    <m/>
  </r>
  <r>
    <n v="2"/>
    <n v="8"/>
    <n v="4"/>
    <n v="31"/>
    <n v="9"/>
    <x v="1"/>
    <x v="3"/>
    <n v="208"/>
    <x v="3"/>
    <m/>
    <m/>
    <m/>
    <m/>
    <m/>
    <m/>
    <m/>
    <m/>
    <m/>
  </r>
  <r>
    <n v="1"/>
    <n v="8"/>
    <n v="4"/>
    <n v="32"/>
    <n v="8"/>
    <x v="1"/>
    <x v="4"/>
    <n v="108"/>
    <x v="3"/>
    <m/>
    <m/>
    <m/>
    <m/>
    <m/>
    <m/>
    <m/>
    <m/>
    <m/>
  </r>
  <r>
    <n v="1"/>
    <n v="1"/>
    <n v="1"/>
    <n v="1"/>
    <n v="1"/>
    <x v="0"/>
    <x v="0"/>
    <n v="101"/>
    <x v="3"/>
    <m/>
    <m/>
    <m/>
    <m/>
    <m/>
    <m/>
    <m/>
    <m/>
    <m/>
  </r>
  <r>
    <n v="2"/>
    <n v="1"/>
    <n v="1"/>
    <n v="2"/>
    <n v="16"/>
    <x v="0"/>
    <x v="1"/>
    <n v="201"/>
    <x v="3"/>
    <m/>
    <m/>
    <m/>
    <m/>
    <m/>
    <m/>
    <m/>
    <m/>
    <m/>
  </r>
  <r>
    <n v="3"/>
    <n v="1"/>
    <n v="1"/>
    <n v="3"/>
    <n v="17"/>
    <x v="0"/>
    <x v="2"/>
    <n v="301"/>
    <x v="3"/>
    <m/>
    <m/>
    <m/>
    <m/>
    <m/>
    <m/>
    <m/>
    <m/>
    <m/>
  </r>
  <r>
    <n v="4"/>
    <n v="1"/>
    <n v="1"/>
    <n v="4"/>
    <n v="32"/>
    <x v="0"/>
    <x v="3"/>
    <n v="401"/>
    <x v="3"/>
    <m/>
    <m/>
    <m/>
    <m/>
    <m/>
    <m/>
    <m/>
    <m/>
    <m/>
  </r>
  <r>
    <n v="4"/>
    <n v="2"/>
    <n v="1"/>
    <n v="5"/>
    <n v="31"/>
    <x v="1"/>
    <x v="4"/>
    <n v="402"/>
    <x v="3"/>
    <m/>
    <m/>
    <m/>
    <m/>
    <m/>
    <m/>
    <m/>
    <m/>
    <m/>
  </r>
  <r>
    <n v="3"/>
    <n v="2"/>
    <n v="1"/>
    <n v="6"/>
    <n v="18"/>
    <x v="1"/>
    <x v="3"/>
    <n v="302"/>
    <x v="3"/>
    <m/>
    <m/>
    <m/>
    <m/>
    <m/>
    <m/>
    <m/>
    <m/>
    <m/>
  </r>
  <r>
    <n v="2"/>
    <n v="2"/>
    <n v="1"/>
    <n v="7"/>
    <n v="15"/>
    <x v="1"/>
    <x v="2"/>
    <n v="202"/>
    <x v="3"/>
    <m/>
    <m/>
    <m/>
    <m/>
    <m/>
    <m/>
    <m/>
    <m/>
    <m/>
  </r>
  <r>
    <n v="1"/>
    <n v="2"/>
    <n v="1"/>
    <n v="8"/>
    <n v="2"/>
    <x v="1"/>
    <x v="5"/>
    <n v="102"/>
    <x v="3"/>
    <m/>
    <m/>
    <m/>
    <m/>
    <m/>
    <m/>
    <m/>
    <m/>
    <m/>
  </r>
  <r>
    <n v="1"/>
    <n v="3"/>
    <n v="2"/>
    <n v="9"/>
    <n v="3"/>
    <x v="0"/>
    <x v="1"/>
    <n v="103"/>
    <x v="3"/>
    <m/>
    <m/>
    <m/>
    <m/>
    <m/>
    <m/>
    <m/>
    <m/>
    <m/>
  </r>
  <r>
    <n v="2"/>
    <n v="3"/>
    <n v="2"/>
    <n v="10"/>
    <n v="14"/>
    <x v="0"/>
    <x v="3"/>
    <n v="203"/>
    <x v="3"/>
    <m/>
    <m/>
    <m/>
    <m/>
    <m/>
    <m/>
    <m/>
    <m/>
    <m/>
  </r>
  <r>
    <n v="3"/>
    <n v="3"/>
    <n v="2"/>
    <n v="11"/>
    <n v="19"/>
    <x v="0"/>
    <x v="0"/>
    <n v="303"/>
    <x v="3"/>
    <m/>
    <m/>
    <m/>
    <m/>
    <m/>
    <m/>
    <m/>
    <m/>
    <m/>
  </r>
  <r>
    <n v="4"/>
    <n v="3"/>
    <n v="2"/>
    <n v="12"/>
    <n v="30"/>
    <x v="0"/>
    <x v="2"/>
    <n v="403"/>
    <x v="3"/>
    <m/>
    <m/>
    <m/>
    <m/>
    <m/>
    <m/>
    <m/>
    <m/>
    <m/>
  </r>
  <r>
    <n v="4"/>
    <n v="4"/>
    <n v="2"/>
    <n v="13"/>
    <n v="29"/>
    <x v="1"/>
    <x v="3"/>
    <n v="404"/>
    <x v="3"/>
    <m/>
    <m/>
    <m/>
    <m/>
    <m/>
    <m/>
    <m/>
    <m/>
    <m/>
  </r>
  <r>
    <n v="3"/>
    <n v="4"/>
    <n v="2"/>
    <n v="14"/>
    <n v="20"/>
    <x v="1"/>
    <x v="5"/>
    <n v="304"/>
    <x v="3"/>
    <m/>
    <m/>
    <m/>
    <m/>
    <m/>
    <m/>
    <m/>
    <m/>
    <m/>
  </r>
  <r>
    <n v="2"/>
    <n v="4"/>
    <n v="2"/>
    <n v="15"/>
    <n v="13"/>
    <x v="1"/>
    <x v="4"/>
    <n v="204"/>
    <x v="3"/>
    <m/>
    <m/>
    <m/>
    <m/>
    <m/>
    <m/>
    <m/>
    <m/>
    <m/>
  </r>
  <r>
    <n v="1"/>
    <n v="4"/>
    <n v="2"/>
    <n v="16"/>
    <n v="4"/>
    <x v="1"/>
    <x v="2"/>
    <n v="104"/>
    <x v="3"/>
    <m/>
    <m/>
    <m/>
    <m/>
    <m/>
    <m/>
    <m/>
    <m/>
    <m/>
  </r>
  <r>
    <n v="1"/>
    <n v="5"/>
    <n v="3"/>
    <n v="17"/>
    <n v="5"/>
    <x v="0"/>
    <x v="2"/>
    <n v="105"/>
    <x v="3"/>
    <m/>
    <m/>
    <m/>
    <m/>
    <m/>
    <m/>
    <m/>
    <m/>
    <m/>
  </r>
  <r>
    <n v="2"/>
    <n v="5"/>
    <n v="3"/>
    <n v="18"/>
    <n v="12"/>
    <x v="0"/>
    <x v="0"/>
    <n v="205"/>
    <x v="3"/>
    <m/>
    <m/>
    <m/>
    <m/>
    <m/>
    <m/>
    <m/>
    <m/>
    <m/>
  </r>
  <r>
    <n v="3"/>
    <n v="5"/>
    <n v="3"/>
    <n v="19"/>
    <n v="21"/>
    <x v="0"/>
    <x v="3"/>
    <n v="305"/>
    <x v="3"/>
    <m/>
    <m/>
    <m/>
    <m/>
    <m/>
    <m/>
    <m/>
    <m/>
    <m/>
  </r>
  <r>
    <n v="4"/>
    <n v="5"/>
    <n v="3"/>
    <n v="20"/>
    <n v="28"/>
    <x v="0"/>
    <x v="1"/>
    <n v="405"/>
    <x v="3"/>
    <m/>
    <m/>
    <m/>
    <m/>
    <m/>
    <m/>
    <m/>
    <m/>
    <m/>
  </r>
  <r>
    <n v="4"/>
    <n v="6"/>
    <n v="3"/>
    <n v="21"/>
    <n v="27"/>
    <x v="1"/>
    <x v="2"/>
    <n v="406"/>
    <x v="3"/>
    <m/>
    <m/>
    <m/>
    <m/>
    <m/>
    <m/>
    <m/>
    <m/>
    <m/>
  </r>
  <r>
    <n v="3"/>
    <n v="6"/>
    <n v="3"/>
    <n v="22"/>
    <n v="22"/>
    <x v="1"/>
    <x v="4"/>
    <n v="306"/>
    <x v="3"/>
    <m/>
    <m/>
    <m/>
    <m/>
    <m/>
    <m/>
    <m/>
    <m/>
    <m/>
  </r>
  <r>
    <n v="2"/>
    <n v="6"/>
    <n v="3"/>
    <n v="23"/>
    <n v="11"/>
    <x v="1"/>
    <x v="5"/>
    <n v="206"/>
    <x v="3"/>
    <m/>
    <m/>
    <m/>
    <m/>
    <m/>
    <m/>
    <m/>
    <m/>
    <m/>
  </r>
  <r>
    <n v="1"/>
    <n v="6"/>
    <n v="3"/>
    <n v="24"/>
    <n v="6"/>
    <x v="1"/>
    <x v="3"/>
    <n v="106"/>
    <x v="3"/>
    <m/>
    <m/>
    <m/>
    <m/>
    <m/>
    <m/>
    <m/>
    <m/>
    <m/>
  </r>
  <r>
    <n v="1"/>
    <n v="7"/>
    <n v="4"/>
    <n v="25"/>
    <n v="7"/>
    <x v="0"/>
    <x v="3"/>
    <n v="107"/>
    <x v="3"/>
    <m/>
    <m/>
    <m/>
    <m/>
    <m/>
    <m/>
    <m/>
    <m/>
    <m/>
  </r>
  <r>
    <n v="2"/>
    <n v="7"/>
    <n v="4"/>
    <n v="26"/>
    <n v="10"/>
    <x v="0"/>
    <x v="2"/>
    <n v="207"/>
    <x v="3"/>
    <m/>
    <m/>
    <m/>
    <m/>
    <m/>
    <m/>
    <m/>
    <m/>
    <m/>
  </r>
  <r>
    <n v="3"/>
    <n v="7"/>
    <n v="4"/>
    <n v="27"/>
    <n v="23"/>
    <x v="0"/>
    <x v="1"/>
    <n v="307"/>
    <x v="3"/>
    <m/>
    <m/>
    <m/>
    <m/>
    <m/>
    <m/>
    <m/>
    <m/>
    <m/>
  </r>
  <r>
    <n v="4"/>
    <n v="7"/>
    <n v="4"/>
    <n v="28"/>
    <n v="26"/>
    <x v="0"/>
    <x v="0"/>
    <n v="407"/>
    <x v="3"/>
    <m/>
    <m/>
    <m/>
    <m/>
    <m/>
    <m/>
    <m/>
    <m/>
    <m/>
  </r>
  <r>
    <n v="4"/>
    <n v="8"/>
    <n v="4"/>
    <n v="29"/>
    <n v="25"/>
    <x v="1"/>
    <x v="5"/>
    <n v="408"/>
    <x v="3"/>
    <m/>
    <m/>
    <m/>
    <m/>
    <m/>
    <m/>
    <m/>
    <m/>
    <m/>
  </r>
  <r>
    <n v="3"/>
    <n v="8"/>
    <n v="4"/>
    <n v="30"/>
    <n v="24"/>
    <x v="1"/>
    <x v="2"/>
    <n v="308"/>
    <x v="3"/>
    <m/>
    <m/>
    <m/>
    <m/>
    <m/>
    <m/>
    <m/>
    <m/>
    <m/>
  </r>
  <r>
    <n v="2"/>
    <n v="8"/>
    <n v="4"/>
    <n v="31"/>
    <n v="9"/>
    <x v="1"/>
    <x v="3"/>
    <n v="208"/>
    <x v="3"/>
    <m/>
    <m/>
    <m/>
    <m/>
    <m/>
    <m/>
    <m/>
    <m/>
    <m/>
  </r>
  <r>
    <n v="1"/>
    <n v="8"/>
    <n v="4"/>
    <n v="32"/>
    <n v="8"/>
    <x v="1"/>
    <x v="4"/>
    <n v="108"/>
    <x v="3"/>
    <m/>
    <m/>
    <m/>
    <m/>
    <m/>
    <m/>
    <m/>
    <m/>
    <m/>
  </r>
  <r>
    <n v="1"/>
    <n v="1"/>
    <n v="1"/>
    <n v="1"/>
    <n v="1"/>
    <x v="0"/>
    <x v="0"/>
    <n v="101"/>
    <x v="3"/>
    <m/>
    <m/>
    <m/>
    <m/>
    <m/>
    <m/>
    <m/>
    <m/>
    <m/>
  </r>
  <r>
    <n v="2"/>
    <n v="1"/>
    <n v="1"/>
    <n v="2"/>
    <n v="16"/>
    <x v="0"/>
    <x v="1"/>
    <n v="201"/>
    <x v="3"/>
    <m/>
    <m/>
    <m/>
    <m/>
    <m/>
    <m/>
    <m/>
    <m/>
    <m/>
  </r>
  <r>
    <n v="3"/>
    <n v="1"/>
    <n v="1"/>
    <n v="3"/>
    <n v="17"/>
    <x v="0"/>
    <x v="2"/>
    <n v="301"/>
    <x v="3"/>
    <m/>
    <m/>
    <m/>
    <m/>
    <m/>
    <m/>
    <m/>
    <m/>
    <m/>
  </r>
  <r>
    <n v="4"/>
    <n v="1"/>
    <n v="1"/>
    <n v="4"/>
    <n v="32"/>
    <x v="0"/>
    <x v="3"/>
    <n v="401"/>
    <x v="3"/>
    <m/>
    <m/>
    <m/>
    <m/>
    <m/>
    <m/>
    <m/>
    <m/>
    <m/>
  </r>
  <r>
    <n v="4"/>
    <n v="2"/>
    <n v="1"/>
    <n v="5"/>
    <n v="31"/>
    <x v="1"/>
    <x v="4"/>
    <n v="402"/>
    <x v="3"/>
    <m/>
    <m/>
    <m/>
    <m/>
    <m/>
    <m/>
    <m/>
    <m/>
    <m/>
  </r>
  <r>
    <n v="3"/>
    <n v="2"/>
    <n v="1"/>
    <n v="6"/>
    <n v="18"/>
    <x v="1"/>
    <x v="3"/>
    <n v="302"/>
    <x v="3"/>
    <m/>
    <m/>
    <m/>
    <m/>
    <m/>
    <m/>
    <m/>
    <m/>
    <m/>
  </r>
  <r>
    <n v="2"/>
    <n v="2"/>
    <n v="1"/>
    <n v="7"/>
    <n v="15"/>
    <x v="1"/>
    <x v="2"/>
    <n v="202"/>
    <x v="3"/>
    <m/>
    <m/>
    <m/>
    <m/>
    <m/>
    <m/>
    <m/>
    <m/>
    <m/>
  </r>
  <r>
    <n v="1"/>
    <n v="2"/>
    <n v="1"/>
    <n v="8"/>
    <n v="2"/>
    <x v="1"/>
    <x v="5"/>
    <n v="102"/>
    <x v="3"/>
    <m/>
    <m/>
    <m/>
    <m/>
    <m/>
    <m/>
    <m/>
    <m/>
    <m/>
  </r>
  <r>
    <n v="1"/>
    <n v="3"/>
    <n v="2"/>
    <n v="9"/>
    <n v="3"/>
    <x v="0"/>
    <x v="1"/>
    <n v="103"/>
    <x v="3"/>
    <m/>
    <m/>
    <m/>
    <m/>
    <m/>
    <m/>
    <m/>
    <m/>
    <m/>
  </r>
  <r>
    <n v="2"/>
    <n v="3"/>
    <n v="2"/>
    <n v="10"/>
    <n v="14"/>
    <x v="0"/>
    <x v="3"/>
    <n v="203"/>
    <x v="3"/>
    <m/>
    <m/>
    <m/>
    <m/>
    <m/>
    <m/>
    <m/>
    <m/>
    <m/>
  </r>
  <r>
    <n v="3"/>
    <n v="3"/>
    <n v="2"/>
    <n v="11"/>
    <n v="19"/>
    <x v="0"/>
    <x v="0"/>
    <n v="303"/>
    <x v="3"/>
    <m/>
    <m/>
    <m/>
    <m/>
    <m/>
    <m/>
    <m/>
    <m/>
    <m/>
  </r>
  <r>
    <n v="4"/>
    <n v="3"/>
    <n v="2"/>
    <n v="12"/>
    <n v="30"/>
    <x v="0"/>
    <x v="2"/>
    <n v="403"/>
    <x v="3"/>
    <m/>
    <m/>
    <m/>
    <m/>
    <m/>
    <m/>
    <m/>
    <m/>
    <m/>
  </r>
  <r>
    <n v="4"/>
    <n v="4"/>
    <n v="2"/>
    <n v="13"/>
    <n v="29"/>
    <x v="1"/>
    <x v="3"/>
    <n v="404"/>
    <x v="3"/>
    <m/>
    <m/>
    <m/>
    <m/>
    <m/>
    <m/>
    <m/>
    <m/>
    <m/>
  </r>
  <r>
    <n v="3"/>
    <n v="4"/>
    <n v="2"/>
    <n v="14"/>
    <n v="20"/>
    <x v="1"/>
    <x v="5"/>
    <n v="304"/>
    <x v="3"/>
    <m/>
    <m/>
    <m/>
    <m/>
    <m/>
    <m/>
    <m/>
    <m/>
    <m/>
  </r>
  <r>
    <n v="2"/>
    <n v="4"/>
    <n v="2"/>
    <n v="15"/>
    <n v="13"/>
    <x v="1"/>
    <x v="4"/>
    <n v="204"/>
    <x v="3"/>
    <m/>
    <m/>
    <m/>
    <m/>
    <m/>
    <m/>
    <m/>
    <m/>
    <m/>
  </r>
  <r>
    <n v="1"/>
    <n v="4"/>
    <n v="2"/>
    <n v="16"/>
    <n v="4"/>
    <x v="1"/>
    <x v="2"/>
    <n v="104"/>
    <x v="3"/>
    <m/>
    <m/>
    <m/>
    <m/>
    <m/>
    <m/>
    <m/>
    <m/>
    <m/>
  </r>
  <r>
    <n v="1"/>
    <n v="5"/>
    <n v="3"/>
    <n v="17"/>
    <n v="5"/>
    <x v="0"/>
    <x v="2"/>
    <n v="105"/>
    <x v="3"/>
    <m/>
    <m/>
    <m/>
    <m/>
    <m/>
    <m/>
    <m/>
    <m/>
    <m/>
  </r>
  <r>
    <n v="2"/>
    <n v="5"/>
    <n v="3"/>
    <n v="18"/>
    <n v="12"/>
    <x v="0"/>
    <x v="0"/>
    <n v="205"/>
    <x v="3"/>
    <m/>
    <m/>
    <m/>
    <m/>
    <m/>
    <m/>
    <m/>
    <m/>
    <m/>
  </r>
  <r>
    <n v="3"/>
    <n v="5"/>
    <n v="3"/>
    <n v="19"/>
    <n v="21"/>
    <x v="0"/>
    <x v="3"/>
    <n v="305"/>
    <x v="3"/>
    <m/>
    <m/>
    <m/>
    <m/>
    <m/>
    <m/>
    <m/>
    <m/>
    <m/>
  </r>
  <r>
    <n v="4"/>
    <n v="5"/>
    <n v="3"/>
    <n v="20"/>
    <n v="28"/>
    <x v="0"/>
    <x v="1"/>
    <n v="405"/>
    <x v="3"/>
    <m/>
    <m/>
    <m/>
    <m/>
    <m/>
    <m/>
    <m/>
    <m/>
    <m/>
  </r>
  <r>
    <n v="4"/>
    <n v="6"/>
    <n v="3"/>
    <n v="21"/>
    <n v="27"/>
    <x v="1"/>
    <x v="2"/>
    <n v="406"/>
    <x v="3"/>
    <m/>
    <m/>
    <m/>
    <m/>
    <m/>
    <m/>
    <m/>
    <m/>
    <m/>
  </r>
  <r>
    <n v="3"/>
    <n v="6"/>
    <n v="3"/>
    <n v="22"/>
    <n v="22"/>
    <x v="1"/>
    <x v="4"/>
    <n v="306"/>
    <x v="3"/>
    <m/>
    <m/>
    <m/>
    <m/>
    <m/>
    <m/>
    <m/>
    <m/>
    <m/>
  </r>
  <r>
    <n v="2"/>
    <n v="6"/>
    <n v="3"/>
    <n v="23"/>
    <n v="11"/>
    <x v="1"/>
    <x v="5"/>
    <n v="206"/>
    <x v="3"/>
    <m/>
    <m/>
    <m/>
    <m/>
    <m/>
    <m/>
    <m/>
    <m/>
    <m/>
  </r>
  <r>
    <n v="1"/>
    <n v="6"/>
    <n v="3"/>
    <n v="24"/>
    <n v="6"/>
    <x v="1"/>
    <x v="3"/>
    <n v="106"/>
    <x v="3"/>
    <m/>
    <m/>
    <m/>
    <m/>
    <m/>
    <m/>
    <m/>
    <m/>
    <m/>
  </r>
  <r>
    <n v="1"/>
    <n v="7"/>
    <n v="4"/>
    <n v="25"/>
    <n v="7"/>
    <x v="0"/>
    <x v="3"/>
    <n v="107"/>
    <x v="3"/>
    <m/>
    <m/>
    <m/>
    <m/>
    <m/>
    <m/>
    <m/>
    <m/>
    <m/>
  </r>
  <r>
    <n v="2"/>
    <n v="7"/>
    <n v="4"/>
    <n v="26"/>
    <n v="10"/>
    <x v="0"/>
    <x v="2"/>
    <n v="207"/>
    <x v="3"/>
    <m/>
    <m/>
    <m/>
    <m/>
    <m/>
    <m/>
    <m/>
    <m/>
    <m/>
  </r>
  <r>
    <n v="3"/>
    <n v="7"/>
    <n v="4"/>
    <n v="27"/>
    <n v="23"/>
    <x v="0"/>
    <x v="1"/>
    <n v="307"/>
    <x v="3"/>
    <m/>
    <m/>
    <m/>
    <m/>
    <m/>
    <m/>
    <m/>
    <m/>
    <m/>
  </r>
  <r>
    <n v="4"/>
    <n v="7"/>
    <n v="4"/>
    <n v="28"/>
    <n v="26"/>
    <x v="0"/>
    <x v="0"/>
    <n v="407"/>
    <x v="3"/>
    <m/>
    <m/>
    <m/>
    <m/>
    <m/>
    <m/>
    <m/>
    <m/>
    <m/>
  </r>
  <r>
    <n v="4"/>
    <n v="8"/>
    <n v="4"/>
    <n v="29"/>
    <n v="25"/>
    <x v="1"/>
    <x v="5"/>
    <n v="408"/>
    <x v="3"/>
    <m/>
    <m/>
    <m/>
    <m/>
    <m/>
    <m/>
    <m/>
    <m/>
    <m/>
  </r>
  <r>
    <n v="3"/>
    <n v="8"/>
    <n v="4"/>
    <n v="30"/>
    <n v="24"/>
    <x v="1"/>
    <x v="2"/>
    <n v="308"/>
    <x v="3"/>
    <m/>
    <m/>
    <m/>
    <m/>
    <m/>
    <m/>
    <m/>
    <m/>
    <m/>
  </r>
  <r>
    <n v="2"/>
    <n v="8"/>
    <n v="4"/>
    <n v="31"/>
    <n v="9"/>
    <x v="1"/>
    <x v="3"/>
    <n v="208"/>
    <x v="3"/>
    <m/>
    <m/>
    <m/>
    <m/>
    <m/>
    <m/>
    <m/>
    <m/>
    <m/>
  </r>
  <r>
    <n v="1"/>
    <n v="8"/>
    <n v="4"/>
    <n v="32"/>
    <n v="8"/>
    <x v="1"/>
    <x v="4"/>
    <n v="108"/>
    <x v="3"/>
    <m/>
    <m/>
    <m/>
    <m/>
    <m/>
    <m/>
    <m/>
    <m/>
    <m/>
  </r>
  <r>
    <n v="1"/>
    <n v="1"/>
    <n v="1"/>
    <n v="1"/>
    <n v="1"/>
    <x v="0"/>
    <x v="0"/>
    <n v="101"/>
    <x v="3"/>
    <m/>
    <m/>
    <m/>
    <m/>
    <m/>
    <m/>
    <m/>
    <m/>
    <m/>
  </r>
  <r>
    <n v="2"/>
    <n v="1"/>
    <n v="1"/>
    <n v="2"/>
    <n v="16"/>
    <x v="0"/>
    <x v="1"/>
    <n v="201"/>
    <x v="3"/>
    <m/>
    <m/>
    <m/>
    <m/>
    <m/>
    <m/>
    <m/>
    <m/>
    <m/>
  </r>
  <r>
    <n v="3"/>
    <n v="1"/>
    <n v="1"/>
    <n v="3"/>
    <n v="17"/>
    <x v="0"/>
    <x v="2"/>
    <n v="301"/>
    <x v="3"/>
    <m/>
    <m/>
    <m/>
    <m/>
    <m/>
    <m/>
    <m/>
    <m/>
    <m/>
  </r>
  <r>
    <n v="4"/>
    <n v="1"/>
    <n v="1"/>
    <n v="4"/>
    <n v="32"/>
    <x v="0"/>
    <x v="3"/>
    <n v="401"/>
    <x v="3"/>
    <m/>
    <m/>
    <m/>
    <m/>
    <m/>
    <m/>
    <m/>
    <m/>
    <m/>
  </r>
  <r>
    <n v="4"/>
    <n v="2"/>
    <n v="1"/>
    <n v="5"/>
    <n v="31"/>
    <x v="1"/>
    <x v="4"/>
    <n v="402"/>
    <x v="3"/>
    <m/>
    <m/>
    <m/>
    <m/>
    <m/>
    <m/>
    <m/>
    <m/>
    <m/>
  </r>
  <r>
    <n v="3"/>
    <n v="2"/>
    <n v="1"/>
    <n v="6"/>
    <n v="18"/>
    <x v="1"/>
    <x v="3"/>
    <n v="302"/>
    <x v="3"/>
    <m/>
    <m/>
    <m/>
    <m/>
    <m/>
    <m/>
    <m/>
    <m/>
    <m/>
  </r>
  <r>
    <n v="2"/>
    <n v="2"/>
    <n v="1"/>
    <n v="7"/>
    <n v="15"/>
    <x v="1"/>
    <x v="2"/>
    <n v="202"/>
    <x v="3"/>
    <m/>
    <m/>
    <m/>
    <m/>
    <m/>
    <m/>
    <m/>
    <m/>
    <m/>
  </r>
  <r>
    <n v="1"/>
    <n v="2"/>
    <n v="1"/>
    <n v="8"/>
    <n v="2"/>
    <x v="1"/>
    <x v="5"/>
    <n v="102"/>
    <x v="3"/>
    <m/>
    <m/>
    <m/>
    <m/>
    <m/>
    <m/>
    <m/>
    <m/>
    <m/>
  </r>
  <r>
    <n v="1"/>
    <n v="3"/>
    <n v="2"/>
    <n v="9"/>
    <n v="3"/>
    <x v="0"/>
    <x v="1"/>
    <n v="103"/>
    <x v="3"/>
    <m/>
    <m/>
    <m/>
    <m/>
    <m/>
    <m/>
    <m/>
    <m/>
    <m/>
  </r>
  <r>
    <n v="2"/>
    <n v="3"/>
    <n v="2"/>
    <n v="10"/>
    <n v="14"/>
    <x v="0"/>
    <x v="3"/>
    <n v="203"/>
    <x v="3"/>
    <m/>
    <m/>
    <m/>
    <m/>
    <m/>
    <m/>
    <m/>
    <m/>
    <m/>
  </r>
  <r>
    <n v="3"/>
    <n v="3"/>
    <n v="2"/>
    <n v="11"/>
    <n v="19"/>
    <x v="0"/>
    <x v="0"/>
    <n v="303"/>
    <x v="3"/>
    <m/>
    <m/>
    <m/>
    <m/>
    <m/>
    <m/>
    <m/>
    <m/>
    <m/>
  </r>
  <r>
    <n v="4"/>
    <n v="3"/>
    <n v="2"/>
    <n v="12"/>
    <n v="30"/>
    <x v="0"/>
    <x v="2"/>
    <n v="403"/>
    <x v="3"/>
    <m/>
    <m/>
    <m/>
    <m/>
    <m/>
    <m/>
    <m/>
    <m/>
    <m/>
  </r>
  <r>
    <n v="4"/>
    <n v="4"/>
    <n v="2"/>
    <n v="13"/>
    <n v="29"/>
    <x v="1"/>
    <x v="3"/>
    <n v="404"/>
    <x v="3"/>
    <m/>
    <m/>
    <m/>
    <m/>
    <m/>
    <m/>
    <m/>
    <m/>
    <m/>
  </r>
  <r>
    <n v="3"/>
    <n v="4"/>
    <n v="2"/>
    <n v="14"/>
    <n v="20"/>
    <x v="1"/>
    <x v="5"/>
    <n v="304"/>
    <x v="3"/>
    <m/>
    <m/>
    <m/>
    <m/>
    <m/>
    <m/>
    <m/>
    <m/>
    <m/>
  </r>
  <r>
    <n v="2"/>
    <n v="4"/>
    <n v="2"/>
    <n v="15"/>
    <n v="13"/>
    <x v="1"/>
    <x v="4"/>
    <n v="204"/>
    <x v="3"/>
    <m/>
    <m/>
    <m/>
    <m/>
    <m/>
    <m/>
    <m/>
    <m/>
    <m/>
  </r>
  <r>
    <n v="1"/>
    <n v="4"/>
    <n v="2"/>
    <n v="16"/>
    <n v="4"/>
    <x v="1"/>
    <x v="2"/>
    <n v="104"/>
    <x v="3"/>
    <m/>
    <m/>
    <m/>
    <m/>
    <m/>
    <m/>
    <m/>
    <m/>
    <m/>
  </r>
  <r>
    <n v="1"/>
    <n v="5"/>
    <n v="3"/>
    <n v="17"/>
    <n v="5"/>
    <x v="0"/>
    <x v="2"/>
    <n v="105"/>
    <x v="3"/>
    <m/>
    <m/>
    <m/>
    <m/>
    <m/>
    <m/>
    <m/>
    <m/>
    <m/>
  </r>
  <r>
    <n v="2"/>
    <n v="5"/>
    <n v="3"/>
    <n v="18"/>
    <n v="12"/>
    <x v="0"/>
    <x v="0"/>
    <n v="205"/>
    <x v="3"/>
    <m/>
    <m/>
    <m/>
    <m/>
    <m/>
    <m/>
    <m/>
    <m/>
    <m/>
  </r>
  <r>
    <n v="3"/>
    <n v="5"/>
    <n v="3"/>
    <n v="19"/>
    <n v="21"/>
    <x v="0"/>
    <x v="3"/>
    <n v="305"/>
    <x v="3"/>
    <m/>
    <m/>
    <m/>
    <m/>
    <m/>
    <m/>
    <m/>
    <m/>
    <m/>
  </r>
  <r>
    <n v="4"/>
    <n v="5"/>
    <n v="3"/>
    <n v="20"/>
    <n v="28"/>
    <x v="0"/>
    <x v="1"/>
    <n v="405"/>
    <x v="3"/>
    <m/>
    <m/>
    <m/>
    <m/>
    <m/>
    <m/>
    <m/>
    <m/>
    <m/>
  </r>
  <r>
    <n v="4"/>
    <n v="6"/>
    <n v="3"/>
    <n v="21"/>
    <n v="27"/>
    <x v="1"/>
    <x v="2"/>
    <n v="406"/>
    <x v="3"/>
    <m/>
    <m/>
    <m/>
    <m/>
    <m/>
    <m/>
    <m/>
    <m/>
    <m/>
  </r>
  <r>
    <n v="3"/>
    <n v="6"/>
    <n v="3"/>
    <n v="22"/>
    <n v="22"/>
    <x v="1"/>
    <x v="4"/>
    <n v="306"/>
    <x v="3"/>
    <m/>
    <m/>
    <m/>
    <m/>
    <m/>
    <m/>
    <m/>
    <m/>
    <m/>
  </r>
  <r>
    <n v="2"/>
    <n v="6"/>
    <n v="3"/>
    <n v="23"/>
    <n v="11"/>
    <x v="1"/>
    <x v="5"/>
    <n v="206"/>
    <x v="3"/>
    <m/>
    <m/>
    <m/>
    <m/>
    <m/>
    <m/>
    <m/>
    <m/>
    <m/>
  </r>
  <r>
    <n v="1"/>
    <n v="6"/>
    <n v="3"/>
    <n v="24"/>
    <n v="6"/>
    <x v="1"/>
    <x v="3"/>
    <n v="106"/>
    <x v="3"/>
    <m/>
    <m/>
    <m/>
    <m/>
    <m/>
    <m/>
    <m/>
    <m/>
    <m/>
  </r>
  <r>
    <n v="1"/>
    <n v="7"/>
    <n v="4"/>
    <n v="25"/>
    <n v="7"/>
    <x v="0"/>
    <x v="3"/>
    <n v="107"/>
    <x v="3"/>
    <m/>
    <m/>
    <m/>
    <m/>
    <m/>
    <m/>
    <m/>
    <m/>
    <m/>
  </r>
  <r>
    <n v="2"/>
    <n v="7"/>
    <n v="4"/>
    <n v="26"/>
    <n v="10"/>
    <x v="0"/>
    <x v="2"/>
    <n v="207"/>
    <x v="3"/>
    <m/>
    <m/>
    <m/>
    <m/>
    <m/>
    <m/>
    <m/>
    <m/>
    <m/>
  </r>
  <r>
    <n v="3"/>
    <n v="7"/>
    <n v="4"/>
    <n v="27"/>
    <n v="23"/>
    <x v="0"/>
    <x v="1"/>
    <n v="307"/>
    <x v="3"/>
    <m/>
    <m/>
    <m/>
    <m/>
    <m/>
    <m/>
    <m/>
    <m/>
    <m/>
  </r>
  <r>
    <n v="4"/>
    <n v="7"/>
    <n v="4"/>
    <n v="28"/>
    <n v="26"/>
    <x v="0"/>
    <x v="0"/>
    <n v="407"/>
    <x v="3"/>
    <m/>
    <m/>
    <m/>
    <m/>
    <m/>
    <m/>
    <m/>
    <m/>
    <m/>
  </r>
  <r>
    <n v="4"/>
    <n v="8"/>
    <n v="4"/>
    <n v="29"/>
    <n v="25"/>
    <x v="1"/>
    <x v="5"/>
    <n v="408"/>
    <x v="3"/>
    <m/>
    <m/>
    <m/>
    <m/>
    <m/>
    <m/>
    <m/>
    <m/>
    <m/>
  </r>
  <r>
    <n v="3"/>
    <n v="8"/>
    <n v="4"/>
    <n v="30"/>
    <n v="24"/>
    <x v="1"/>
    <x v="2"/>
    <n v="308"/>
    <x v="3"/>
    <m/>
    <m/>
    <m/>
    <m/>
    <m/>
    <m/>
    <m/>
    <m/>
    <m/>
  </r>
  <r>
    <n v="2"/>
    <n v="8"/>
    <n v="4"/>
    <n v="31"/>
    <n v="9"/>
    <x v="1"/>
    <x v="3"/>
    <n v="208"/>
    <x v="3"/>
    <m/>
    <m/>
    <m/>
    <m/>
    <m/>
    <m/>
    <m/>
    <m/>
    <m/>
  </r>
  <r>
    <n v="1"/>
    <n v="8"/>
    <n v="4"/>
    <n v="32"/>
    <n v="8"/>
    <x v="1"/>
    <x v="4"/>
    <n v="108"/>
    <x v="3"/>
    <m/>
    <m/>
    <m/>
    <m/>
    <m/>
    <m/>
    <m/>
    <m/>
    <m/>
  </r>
  <r>
    <m/>
    <m/>
    <m/>
    <m/>
    <m/>
    <x v="2"/>
    <x v="6"/>
    <m/>
    <x v="3"/>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n v="1"/>
    <n v="1"/>
    <n v="1"/>
    <n v="1"/>
    <x v="0"/>
    <x v="0"/>
    <n v="101"/>
    <s v="EVA_101"/>
    <d v="2024-09-24T00:00:00"/>
    <n v="0.83"/>
    <n v="3.6999999999999998E-2"/>
    <n v="7.1999999999999995E-2"/>
    <n v="0.13300000000000001"/>
    <n v="0.221"/>
    <n v="0.96299999999999997"/>
    <n v="0.92800000000000005"/>
    <n v="0.86699999999999999"/>
    <n v="0.77900000000000003"/>
    <n v="47.6"/>
    <n v="40.9"/>
    <n v="45.7"/>
    <n v="45"/>
    <n v="63.4"/>
    <n v="54.5"/>
    <n v="55.8"/>
    <n v="57.5"/>
    <n v="56.3"/>
    <n v="53.9"/>
    <n v="53.1"/>
    <n v="37.5"/>
    <n v="51.8"/>
    <n v="56.9"/>
    <n v="51.4"/>
    <n v="54.8"/>
    <n v="54.9"/>
    <n v="48.1"/>
    <n v="49"/>
    <n v="43.2"/>
    <n v="72"/>
    <n v="0.5"/>
    <n v="2192.8000000000002"/>
    <n v="4385.6000000000004"/>
    <n v="352.3"/>
    <n v="50"/>
    <n v="212.9"/>
    <n v="49.56"/>
    <n v="30"/>
    <m/>
    <m/>
    <m/>
    <m/>
    <n v="0"/>
    <n v="1.6520000000000001"/>
    <n v="7.0966666666666667"/>
    <n v="0.23278534523250352"/>
    <n v="510.45170502583375"/>
    <n v="1020.9034100516675"/>
    <e v="#DIV/0!"/>
    <e v="#DIV/0!"/>
    <e v="#DIV/0!"/>
    <e v="#DIV/0!"/>
    <e v="#DIV/0!"/>
    <e v="#DIV/0!"/>
    <e v="#DIV/0!"/>
    <e v="#DIV/0!"/>
    <m/>
    <m/>
    <m/>
    <m/>
    <m/>
  </r>
  <r>
    <x v="1"/>
    <n v="1"/>
    <n v="1"/>
    <n v="2"/>
    <n v="16"/>
    <x v="0"/>
    <x v="1"/>
    <n v="201"/>
    <s v="EVA_201"/>
    <d v="2024-09-09T00:00:00"/>
    <n v="0.86"/>
    <n v="3.6999999999999998E-2"/>
    <n v="5.1999999999999998E-2"/>
    <n v="8.7999999999999995E-2"/>
    <n v="0.13500000000000001"/>
    <n v="0.96299999999999997"/>
    <n v="0.94799999999999995"/>
    <n v="0.91200000000000003"/>
    <n v="0.86499999999999999"/>
    <n v="11.1"/>
    <n v="27.7"/>
    <n v="34.299999999999997"/>
    <n v="9.6"/>
    <n v="21.7"/>
    <n v="29.2"/>
    <n v="40.799999999999997"/>
    <n v="15.7"/>
    <n v="48.5"/>
    <n v="47.3"/>
    <n v="45.5"/>
    <n v="44.9"/>
    <n v="48.6"/>
    <n v="49.6"/>
    <n v="48.3"/>
    <n v="52.2"/>
    <n v="46.4"/>
    <n v="44.4"/>
    <n v="46.7"/>
    <n v="50.7"/>
    <n v="67"/>
    <n v="0.5"/>
    <n v="1899.2"/>
    <n v="3798.4"/>
    <n v="411.6"/>
    <n v="50"/>
    <n v="247.9"/>
    <n v="51.88"/>
    <n v="30"/>
    <n v="11.49"/>
    <n v="1.35"/>
    <n v="18.329999999999998"/>
    <n v="2.13"/>
    <n v="33.299999999999997"/>
    <n v="1.7293333333333334"/>
    <n v="8.2633333333333336"/>
    <n v="0.20927793465106898"/>
    <n v="397.46065348931023"/>
    <n v="794.92130697862046"/>
    <n v="0.34504504504504507"/>
    <n v="4.054054054054055E-2"/>
    <n v="0.55045045045045049"/>
    <n v="6.3963963963963963E-2"/>
    <n v="274.28365817370423"/>
    <n v="32.226539472106239"/>
    <n v="437.56479149904249"/>
    <n v="50.846317833767614"/>
    <n v="20.674999999999997"/>
    <n v="26.849999999999998"/>
    <n v="46.550000000000004"/>
    <n v="49.674999999999997"/>
    <n v="47.05"/>
  </r>
  <r>
    <x v="2"/>
    <n v="1"/>
    <n v="1"/>
    <n v="3"/>
    <n v="17"/>
    <x v="0"/>
    <x v="2"/>
    <n v="301"/>
    <s v="EVA_301"/>
    <d v="2024-09-06T00:00:00"/>
    <n v="0.78"/>
    <n v="9.7000000000000003E-2"/>
    <n v="8.8999999999999996E-2"/>
    <n v="0.17"/>
    <n v="0.249"/>
    <n v="0.90300000000000002"/>
    <n v="0.91100000000000003"/>
    <n v="0.83"/>
    <n v="0.751"/>
    <n v="9.8000000000000007"/>
    <n v="16.600000000000001"/>
    <n v="2.9"/>
    <n v="49.8"/>
    <n v="50.4"/>
    <n v="51.5"/>
    <n v="27.1"/>
    <n v="53.4"/>
    <n v="52.5"/>
    <n v="50.9"/>
    <n v="50"/>
    <n v="50.7"/>
    <n v="47.7"/>
    <n v="48.1"/>
    <n v="45.8"/>
    <n v="48.9"/>
    <n v="50.9"/>
    <n v="44.6"/>
    <n v="46.7"/>
    <n v="49.9"/>
    <n v="58"/>
    <n v="0.5"/>
    <n v="1359.5"/>
    <n v="2719"/>
    <n v="318.10000000000002"/>
    <n v="50"/>
    <n v="188.7"/>
    <n v="40.5"/>
    <n v="30"/>
    <m/>
    <m/>
    <m/>
    <m/>
    <n v="0"/>
    <n v="1.35"/>
    <n v="6.29"/>
    <n v="0.21462639109697934"/>
    <n v="291.78457869634343"/>
    <n v="583.56915739268686"/>
    <e v="#DIV/0!"/>
    <e v="#DIV/0!"/>
    <e v="#DIV/0!"/>
    <e v="#DIV/0!"/>
    <e v="#DIV/0!"/>
    <e v="#DIV/0!"/>
    <e v="#DIV/0!"/>
    <e v="#DIV/0!"/>
    <n v="19.774999999999999"/>
    <n v="45.6"/>
    <n v="51.025000000000006"/>
    <n v="47.625000000000007"/>
    <n v="48.024999999999999"/>
  </r>
  <r>
    <x v="3"/>
    <n v="1"/>
    <n v="1"/>
    <n v="4"/>
    <n v="32"/>
    <x v="0"/>
    <x v="3"/>
    <n v="401"/>
    <s v="EVA_401"/>
    <d v="2024-09-06T00:00:00"/>
    <n v="0.83"/>
    <n v="7.6999999999999999E-2"/>
    <n v="9.4E-2"/>
    <n v="0.115"/>
    <n v="0.183"/>
    <n v="0.92300000000000004"/>
    <n v="0.90600000000000003"/>
    <n v="0.88500000000000001"/>
    <n v="0.81699999999999995"/>
    <n v="29.7"/>
    <n v="14.8"/>
    <n v="22.7"/>
    <n v="29.4"/>
    <n v="48.4"/>
    <n v="49.4"/>
    <n v="50.8"/>
    <n v="48.1"/>
    <n v="51"/>
    <n v="50.3"/>
    <n v="45"/>
    <n v="51.9"/>
    <n v="53.6"/>
    <n v="50.1"/>
    <n v="51.3"/>
    <n v="53.1"/>
    <n v="54.8"/>
    <n v="55.6"/>
    <n v="50.9"/>
    <n v="47.8"/>
    <n v="71"/>
    <n v="0.5"/>
    <n v="1700.6"/>
    <n v="3401.2"/>
    <n v="318.39999999999998"/>
    <n v="50"/>
    <n v="179.9"/>
    <n v="34.700000000000003"/>
    <n v="30"/>
    <m/>
    <m/>
    <m/>
    <m/>
    <n v="0"/>
    <n v="1.1566666666666667"/>
    <n v="5.996666666666667"/>
    <n v="0.19288493607559756"/>
    <n v="328.02012229016123"/>
    <n v="656.04024458032245"/>
    <e v="#DIV/0!"/>
    <e v="#DIV/0!"/>
    <e v="#DIV/0!"/>
    <e v="#DIV/0!"/>
    <e v="#DIV/0!"/>
    <e v="#DIV/0!"/>
    <e v="#DIV/0!"/>
    <e v="#DIV/0!"/>
    <n v="24.15"/>
    <n v="49.174999999999997"/>
    <n v="49.550000000000004"/>
    <n v="52.024999999999999"/>
    <n v="52.275000000000006"/>
  </r>
  <r>
    <x v="3"/>
    <n v="2"/>
    <n v="1"/>
    <n v="5"/>
    <n v="31"/>
    <x v="1"/>
    <x v="4"/>
    <n v="402"/>
    <s v="EVA_402"/>
    <d v="2024-09-16T00:00:00"/>
    <n v="0.84"/>
    <n v="2.5999999999999999E-2"/>
    <n v="5.1999999999999998E-2"/>
    <n v="0.11"/>
    <n v="0.19400000000000001"/>
    <n v="0.97399999999999998"/>
    <n v="0.94799999999999995"/>
    <n v="0.89"/>
    <n v="0.80600000000000005"/>
    <n v="23.1"/>
    <n v="48.4"/>
    <n v="51.8"/>
    <n v="51.4"/>
    <n v="49"/>
    <n v="42.7"/>
    <n v="49.1"/>
    <n v="12.2"/>
    <n v="52.2"/>
    <n v="48.7"/>
    <n v="52.2"/>
    <n v="39.200000000000003"/>
    <n v="51.3"/>
    <n v="49.1"/>
    <n v="51.3"/>
    <n v="56.2"/>
    <n v="47.9"/>
    <n v="46.3"/>
    <n v="43.6"/>
    <n v="41.4"/>
    <n v="61"/>
    <n v="0.5"/>
    <n v="1664.5"/>
    <n v="3329"/>
    <n v="419.3"/>
    <n v="50"/>
    <n v="258.5"/>
    <n v="54.43"/>
    <n v="30"/>
    <n v="13.43"/>
    <n v="0.28999999999999998"/>
    <n v="20.11"/>
    <n v="1.08"/>
    <n v="34.909999999999997"/>
    <n v="1.8143333333333334"/>
    <n v="8.6166666666666671"/>
    <n v="0.21056092843326885"/>
    <n v="350.47866537717601"/>
    <n v="700.95733075435203"/>
    <n v="0.38470352334574626"/>
    <n v="8.3070753365797768E-3"/>
    <n v="0.57605270696075628"/>
    <n v="3.0936694356917795E-2"/>
    <n v="269.66075485622883"/>
    <n v="5.8229053543042708"/>
    <n v="403.78836784503068"/>
    <n v="21.685302698788323"/>
    <n v="43.674999999999997"/>
    <n v="38.25"/>
    <n v="48.075000000000003"/>
    <n v="51.974999999999994"/>
    <n v="44.8"/>
  </r>
  <r>
    <x v="2"/>
    <n v="2"/>
    <n v="1"/>
    <n v="6"/>
    <n v="18"/>
    <x v="1"/>
    <x v="3"/>
    <n v="302"/>
    <s v="EVA_302"/>
    <d v="2024-09-16T00:00:00"/>
    <n v="0.79"/>
    <n v="6.3E-2"/>
    <n v="0.17399999999999999"/>
    <n v="0.222"/>
    <n v="0.47899999999999998"/>
    <n v="0.93700000000000006"/>
    <n v="0.82600000000000007"/>
    <n v="0.77800000000000002"/>
    <n v="0.52100000000000002"/>
    <n v="44.8"/>
    <n v="38.6"/>
    <n v="27.1"/>
    <n v="36.299999999999997"/>
    <n v="46.7"/>
    <n v="48.1"/>
    <n v="46.4"/>
    <n v="44.4"/>
    <n v="49.9"/>
    <n v="48.1"/>
    <n v="50.7"/>
    <n v="43.6"/>
    <n v="50.3"/>
    <n v="48"/>
    <n v="50.7"/>
    <n v="53.2"/>
    <n v="47.3"/>
    <n v="43.3"/>
    <n v="45.6"/>
    <n v="50"/>
    <n v="58"/>
    <n v="0.5"/>
    <n v="1146.5999999999999"/>
    <n v="2293.1999999999998"/>
    <n v="284.10000000000002"/>
    <n v="50"/>
    <n v="167.8"/>
    <n v="37.79"/>
    <n v="30"/>
    <n v="9.2799999999999994"/>
    <n v="0.82"/>
    <n v="13.67"/>
    <n v="1.18"/>
    <n v="24.95"/>
    <n v="1.2596666666666667"/>
    <n v="5.5933333333333337"/>
    <n v="0.22520858164481525"/>
    <n v="258.22415971394514"/>
    <n v="516.44831942789028"/>
    <n v="0.3719438877755511"/>
    <n v="3.2865731462925853E-2"/>
    <n v="0.54789579158316637"/>
    <n v="4.7294589178356709E-2"/>
    <n v="192.0897957631592"/>
    <n v="16.973451780796395"/>
    <n v="282.95986078473993"/>
    <n v="24.425211099194808"/>
    <n v="36.700000000000003"/>
    <n v="46.400000000000006"/>
    <n v="48.074999999999996"/>
    <n v="50.55"/>
    <n v="46.55"/>
  </r>
  <r>
    <x v="1"/>
    <n v="2"/>
    <n v="1"/>
    <n v="7"/>
    <n v="15"/>
    <x v="1"/>
    <x v="2"/>
    <n v="202"/>
    <s v="EVA_202"/>
    <d v="2024-09-16T00:00:00"/>
    <n v="0.84"/>
    <n v="0.06"/>
    <n v="0.13100000000000001"/>
    <n v="0.21299999999999999"/>
    <n v="0.30199999999999999"/>
    <n v="0.94"/>
    <n v="0.86899999999999999"/>
    <n v="0.78700000000000003"/>
    <n v="0.69799999999999995"/>
    <n v="39"/>
    <n v="27.7"/>
    <n v="30.9"/>
    <n v="34.200000000000003"/>
    <n v="45.4"/>
    <n v="45.6"/>
    <n v="42.5"/>
    <n v="46.3"/>
    <n v="45"/>
    <n v="51.5"/>
    <n v="53.8"/>
    <n v="44.9"/>
    <n v="48.1"/>
    <n v="49.9"/>
    <n v="51.4"/>
    <n v="48.4"/>
    <n v="45.1"/>
    <n v="48.6"/>
    <n v="47.9"/>
    <n v="49.1"/>
    <n v="55"/>
    <n v="0.5"/>
    <n v="1348.2"/>
    <n v="2696.4"/>
    <n v="290.5"/>
    <n v="50"/>
    <n v="172"/>
    <n v="35.840000000000003"/>
    <n v="30"/>
    <n v="10.75"/>
    <n v="0.3"/>
    <n v="11.98"/>
    <n v="2.2000000000000002"/>
    <n v="25.23"/>
    <n v="1.1946666666666668"/>
    <n v="5.7333333333333334"/>
    <n v="0.20837209302325582"/>
    <n v="280.92725581395354"/>
    <n v="561.85451162790707"/>
    <n v="0.42608006341656757"/>
    <n v="1.1890606420927466E-2"/>
    <n v="0.47483154974237018"/>
    <n v="8.7197780420134763E-2"/>
    <n v="239.39500594530324"/>
    <n v="6.6807908635898574"/>
    <n v="266.78624848602169"/>
    <n v="48.992466332992294"/>
    <n v="32.950000000000003"/>
    <n v="44.95"/>
    <n v="48.800000000000004"/>
    <n v="49.45"/>
    <n v="47.674999999999997"/>
  </r>
  <r>
    <x v="0"/>
    <n v="2"/>
    <n v="1"/>
    <n v="8"/>
    <n v="2"/>
    <x v="1"/>
    <x v="5"/>
    <n v="102"/>
    <s v="EVA_102"/>
    <d v="2024-09-13T00:00:00"/>
    <n v="0.85"/>
    <n v="0.01"/>
    <n v="2.1999999999999999E-2"/>
    <n v="5.8999999999999997E-2"/>
    <n v="0.247"/>
    <n v="0.99"/>
    <n v="0.97799999999999998"/>
    <n v="0.94100000000000006"/>
    <n v="0.753"/>
    <n v="12.6"/>
    <n v="42.6"/>
    <n v="23.9"/>
    <n v="41.4"/>
    <n v="45.4"/>
    <n v="44.1"/>
    <n v="40.4"/>
    <n v="48.8"/>
    <n v="45.6"/>
    <n v="53.1"/>
    <n v="53"/>
    <n v="49.8"/>
    <n v="44.6"/>
    <n v="51.3"/>
    <n v="51.5"/>
    <n v="50.7"/>
    <n v="37.4"/>
    <n v="45.6"/>
    <n v="42.5"/>
    <n v="41.7"/>
    <n v="68"/>
    <n v="0.5"/>
    <n v="1703.5"/>
    <n v="3407"/>
    <n v="469.9"/>
    <n v="50"/>
    <n v="280.3"/>
    <n v="52.42"/>
    <n v="30"/>
    <n v="12.7"/>
    <n v="0.6"/>
    <n v="20.8"/>
    <n v="1.85"/>
    <n v="35.950000000000003"/>
    <n v="1.7473333333333334"/>
    <n v="9.3433333333333337"/>
    <n v="0.1870139136639315"/>
    <n v="318.57820192650729"/>
    <n v="637.15640385301458"/>
    <n v="0.35326842837273986"/>
    <n v="1.6689847009735741E-2"/>
    <n v="0.5785813630041724"/>
    <n v="5.1460361613351879E-2"/>
    <n v="225.08724141678118"/>
    <n v="10.634042901580214"/>
    <n v="368.64682058811411"/>
    <n v="32.788298946539001"/>
    <n v="30.125"/>
    <n v="44.674999999999997"/>
    <n v="50.375"/>
    <n v="49.525000000000006"/>
    <n v="41.8"/>
  </r>
  <r>
    <x v="0"/>
    <n v="3"/>
    <n v="2"/>
    <n v="9"/>
    <n v="3"/>
    <x v="0"/>
    <x v="1"/>
    <n v="103"/>
    <s v="EVA_103"/>
    <d v="2024-09-09T00:00:00"/>
    <n v="0.86"/>
    <n v="3.3000000000000002E-2"/>
    <n v="6.5000000000000002E-2"/>
    <n v="0.161"/>
    <n v="0.19"/>
    <n v="0.96699999999999997"/>
    <n v="0.93500000000000005"/>
    <n v="0.83899999999999997"/>
    <n v="0.81"/>
    <n v="36.9"/>
    <n v="48.1"/>
    <n v="10.9"/>
    <n v="14.4"/>
    <n v="46.4"/>
    <n v="52.4"/>
    <n v="39.1"/>
    <n v="44"/>
    <n v="53"/>
    <n v="53"/>
    <n v="47.5"/>
    <n v="53.1"/>
    <n v="53.7"/>
    <n v="49.6"/>
    <n v="52.4"/>
    <n v="52.9"/>
    <n v="44.4"/>
    <n v="46"/>
    <n v="47.6"/>
    <n v="48"/>
    <n v="60"/>
    <n v="0.5"/>
    <n v="1468.2"/>
    <n v="2936.4"/>
    <n v="358.6"/>
    <n v="50"/>
    <n v="226.9"/>
    <n v="43.85"/>
    <n v="30"/>
    <n v="11.1"/>
    <n v="0.68"/>
    <n v="12.9"/>
    <n v="1.08"/>
    <n v="25.759999999999998"/>
    <n v="1.4616666666666667"/>
    <n v="7.5633333333333335"/>
    <n v="0.19325694138386953"/>
    <n v="283.73984133979724"/>
    <n v="567.47968267959448"/>
    <n v="0.43090062111801242"/>
    <n v="2.6397515527950315E-2"/>
    <n v="0.50077639751552805"/>
    <n v="4.192546583850932E-2"/>
    <n v="244.52734773848985"/>
    <n v="14.980053735330912"/>
    <n v="284.18043115554229"/>
    <n v="23.791850050231446"/>
    <n v="27.575000000000003"/>
    <n v="45.475000000000001"/>
    <n v="51.65"/>
    <n v="52.150000000000006"/>
    <n v="46.5"/>
  </r>
  <r>
    <x v="1"/>
    <n v="3"/>
    <n v="2"/>
    <n v="10"/>
    <n v="14"/>
    <x v="0"/>
    <x v="3"/>
    <n v="203"/>
    <s v="EVA_203"/>
    <d v="2024-09-06T00:00:00"/>
    <n v="0.84"/>
    <n v="2.9000000000000001E-2"/>
    <n v="0.106"/>
    <n v="0.12"/>
    <n v="0.185"/>
    <n v="0.97099999999999997"/>
    <n v="0.89400000000000002"/>
    <n v="0.88"/>
    <n v="0.81499999999999995"/>
    <n v="4"/>
    <n v="48.1"/>
    <n v="45.8"/>
    <n v="48.5"/>
    <n v="52.7"/>
    <n v="48.5"/>
    <n v="50.3"/>
    <n v="48.7"/>
    <n v="49.7"/>
    <n v="49.6"/>
    <n v="50.1"/>
    <n v="50.9"/>
    <n v="51.4"/>
    <n v="52.2"/>
    <n v="55.4"/>
    <n v="54.8"/>
    <n v="51.6"/>
    <n v="52.3"/>
    <n v="53.7"/>
    <n v="50.1"/>
    <n v="70"/>
    <n v="0.5"/>
    <n v="1567.4"/>
    <n v="3134.8"/>
    <n v="388.6"/>
    <n v="50"/>
    <n v="231.8"/>
    <n v="48"/>
    <n v="30"/>
    <m/>
    <m/>
    <m/>
    <m/>
    <n v="0"/>
    <n v="1.6"/>
    <n v="7.7266666666666675"/>
    <n v="0.20707506471095771"/>
    <n v="324.56945642795512"/>
    <n v="649.13891285591023"/>
    <e v="#DIV/0!"/>
    <e v="#DIV/0!"/>
    <e v="#DIV/0!"/>
    <e v="#DIV/0!"/>
    <e v="#DIV/0!"/>
    <e v="#DIV/0!"/>
    <e v="#DIV/0!"/>
    <e v="#DIV/0!"/>
    <n v="36.6"/>
    <n v="50.05"/>
    <n v="50.075000000000003"/>
    <n v="53.45"/>
    <n v="51.925000000000004"/>
  </r>
  <r>
    <x v="2"/>
    <n v="3"/>
    <n v="2"/>
    <n v="11"/>
    <n v="19"/>
    <x v="0"/>
    <x v="0"/>
    <n v="303"/>
    <s v="EVA_303"/>
    <d v="2024-09-24T00:00:00"/>
    <n v="0.75"/>
    <n v="9.7000000000000003E-2"/>
    <n v="0.17899999999999999"/>
    <n v="0.27500000000000002"/>
    <n v="0.443"/>
    <n v="0.90300000000000002"/>
    <n v="0.82099999999999995"/>
    <n v="0.72499999999999998"/>
    <n v="0.55699999999999994"/>
    <n v="28.8"/>
    <n v="23.9"/>
    <n v="43.4"/>
    <n v="49.7"/>
    <n v="49.9"/>
    <n v="40.4"/>
    <n v="51.6"/>
    <n v="56"/>
    <n v="51.9"/>
    <n v="50.2"/>
    <n v="47.8"/>
    <n v="51.6"/>
    <n v="55.9"/>
    <n v="49"/>
    <n v="53.9"/>
    <n v="50.1"/>
    <n v="52.8"/>
    <n v="51.5"/>
    <n v="46.4"/>
    <n v="47.7"/>
    <n v="69"/>
    <n v="0.5"/>
    <n v="1582.4"/>
    <n v="3164.8"/>
    <n v="289.7"/>
    <n v="50"/>
    <n v="172.4"/>
    <n v="40.799999999999997"/>
    <n v="30"/>
    <m/>
    <m/>
    <m/>
    <m/>
    <n v="0"/>
    <n v="1.3599999999999999"/>
    <n v="5.746666666666667"/>
    <n v="0.23665893271461713"/>
    <n v="374.4890951276102"/>
    <n v="748.9781902552204"/>
    <e v="#DIV/0!"/>
    <e v="#DIV/0!"/>
    <e v="#DIV/0!"/>
    <e v="#DIV/0!"/>
    <e v="#DIV/0!"/>
    <e v="#DIV/0!"/>
    <e v="#DIV/0!"/>
    <e v="#DIV/0!"/>
    <n v="36.450000000000003"/>
    <n v="49.475000000000001"/>
    <n v="50.374999999999993"/>
    <n v="52.225000000000001"/>
    <n v="49.599999999999994"/>
  </r>
  <r>
    <x v="3"/>
    <n v="3"/>
    <n v="2"/>
    <n v="12"/>
    <n v="30"/>
    <x v="0"/>
    <x v="2"/>
    <n v="403"/>
    <s v="EVA_403"/>
    <d v="2024-09-06T00:00:00"/>
    <n v="0.78"/>
    <n v="2.4E-2"/>
    <n v="8.7999999999999995E-2"/>
    <n v="0.11799999999999999"/>
    <n v="0.17499999999999999"/>
    <n v="0.97599999999999998"/>
    <n v="0.91200000000000003"/>
    <n v="0.88200000000000001"/>
    <n v="0.82499999999999996"/>
    <n v="2.1"/>
    <n v="47.8"/>
    <n v="43.5"/>
    <n v="7.9"/>
    <n v="50"/>
    <n v="51.5"/>
    <n v="41"/>
    <n v="47.5"/>
    <n v="54.1"/>
    <n v="50.8"/>
    <n v="51.6"/>
    <n v="43.8"/>
    <n v="56.7"/>
    <n v="51.2"/>
    <n v="55.8"/>
    <n v="53.2"/>
    <n v="54.8"/>
    <n v="49"/>
    <n v="51.9"/>
    <n v="50.4"/>
    <n v="56"/>
    <n v="0.5"/>
    <n v="1416.5"/>
    <n v="2833"/>
    <n v="314.5"/>
    <n v="50"/>
    <n v="188.7"/>
    <n v="37.700000000000003"/>
    <n v="30"/>
    <m/>
    <m/>
    <m/>
    <m/>
    <n v="0"/>
    <n v="1.2566666666666668"/>
    <n v="6.29"/>
    <n v="0.19978802331743512"/>
    <n v="282.99973502914685"/>
    <n v="565.9994700582937"/>
    <e v="#DIV/0!"/>
    <e v="#DIV/0!"/>
    <e v="#DIV/0!"/>
    <e v="#DIV/0!"/>
    <e v="#DIV/0!"/>
    <e v="#DIV/0!"/>
    <e v="#DIV/0!"/>
    <e v="#DIV/0!"/>
    <n v="25.325000000000003"/>
    <n v="47.5"/>
    <n v="50.075000000000003"/>
    <n v="54.224999999999994"/>
    <n v="51.524999999999999"/>
  </r>
  <r>
    <x v="3"/>
    <n v="4"/>
    <n v="2"/>
    <n v="13"/>
    <n v="29"/>
    <x v="1"/>
    <x v="3"/>
    <n v="404"/>
    <s v="EVA_404"/>
    <d v="2024-09-16T00:00:00"/>
    <n v="0.78"/>
    <n v="0.05"/>
    <n v="7.2999999999999995E-2"/>
    <n v="0.218"/>
    <n v="0.38300000000000001"/>
    <n v="0.95"/>
    <n v="0.92700000000000005"/>
    <n v="0.78200000000000003"/>
    <n v="0.61699999999999999"/>
    <n v="28.4"/>
    <n v="38.4"/>
    <n v="1.8"/>
    <n v="41"/>
    <n v="46.1"/>
    <n v="47"/>
    <n v="47.7"/>
    <n v="45.7"/>
    <n v="48.9"/>
    <n v="47.7"/>
    <n v="48"/>
    <n v="46"/>
    <n v="50.4"/>
    <n v="52.9"/>
    <n v="50.8"/>
    <n v="49.1"/>
    <n v="49.4"/>
    <n v="50.3"/>
    <n v="48.3"/>
    <n v="46.6"/>
    <n v="54"/>
    <n v="0.5"/>
    <n v="1221.2"/>
    <n v="2442.4"/>
    <n v="261"/>
    <n v="50"/>
    <n v="158.80000000000001"/>
    <n v="36.42"/>
    <n v="30"/>
    <n v="8.93"/>
    <n v="0.79"/>
    <n v="12.62"/>
    <n v="1.55"/>
    <n v="23.889999999999997"/>
    <n v="1.214"/>
    <n v="5.2933333333333339"/>
    <n v="0.22934508816120905"/>
    <n v="280.07622166246853"/>
    <n v="560.15244332493705"/>
    <n v="0.37379656760150692"/>
    <n v="3.3068229384679786E-2"/>
    <n v="0.52825449979070749"/>
    <n v="6.4880703223105907E-2"/>
    <n v="209.38306064845912"/>
    <n v="18.52324948625786"/>
    <n v="295.90304875515727"/>
    <n v="36.343084435062892"/>
    <n v="27.4"/>
    <n v="46.625"/>
    <n v="47.65"/>
    <n v="50.8"/>
    <n v="48.65"/>
  </r>
  <r>
    <x v="2"/>
    <n v="4"/>
    <n v="2"/>
    <n v="14"/>
    <n v="20"/>
    <x v="1"/>
    <x v="5"/>
    <n v="304"/>
    <s v="EVA_304"/>
    <d v="2024-09-13T00:00:00"/>
    <n v="0.82"/>
    <n v="1.9E-2"/>
    <n v="4.8000000000000001E-2"/>
    <n v="0.10299999999999999"/>
    <n v="0.184"/>
    <n v="0.98099999999999998"/>
    <n v="0.95199999999999996"/>
    <n v="0.89700000000000002"/>
    <n v="0.81600000000000006"/>
    <n v="1.4"/>
    <n v="29.3"/>
    <n v="12.3"/>
    <n v="13.5"/>
    <n v="47.1"/>
    <n v="44.5"/>
    <n v="51.3"/>
    <n v="40.799999999999997"/>
    <n v="46.7"/>
    <n v="46.8"/>
    <n v="53.9"/>
    <n v="45.9"/>
    <n v="47.4"/>
    <n v="55.1"/>
    <n v="45.8"/>
    <n v="49.9"/>
    <n v="49.6"/>
    <n v="46"/>
    <n v="47.3"/>
    <n v="46.6"/>
    <n v="69"/>
    <n v="0.5"/>
    <n v="1455.7"/>
    <n v="2911.4"/>
    <n v="392.1"/>
    <n v="50"/>
    <n v="232.9"/>
    <n v="48.86"/>
    <n v="30"/>
    <n v="10.66"/>
    <n v="0.3"/>
    <n v="18.8"/>
    <n v="1.62"/>
    <n v="31.380000000000003"/>
    <n v="1.6286666666666667"/>
    <n v="7.7633333333333336"/>
    <n v="0.20978960927436668"/>
    <n v="305.39073422069561"/>
    <n v="610.78146844139121"/>
    <n v="0.33970681963033778"/>
    <n v="9.5602294455066905E-3"/>
    <n v="0.59910771191841938"/>
    <n v="5.1625239005736137E-2"/>
    <n v="207.48663013337253"/>
    <n v="5.8392109793632034"/>
    <n v="365.92388804009414"/>
    <n v="31.531739288561305"/>
    <n v="14.125"/>
    <n v="45.924999999999997"/>
    <n v="48.325000000000003"/>
    <n v="49.550000000000004"/>
    <n v="47.374999999999993"/>
  </r>
  <r>
    <x v="1"/>
    <n v="4"/>
    <n v="2"/>
    <n v="15"/>
    <n v="13"/>
    <x v="1"/>
    <x v="4"/>
    <n v="204"/>
    <s v="EVA_204"/>
    <d v="2024-09-16T00:00:00"/>
    <n v="0.84"/>
    <n v="2.9000000000000001E-2"/>
    <n v="7.8E-2"/>
    <n v="0.09"/>
    <n v="0.17199999999999999"/>
    <n v="0.97099999999999997"/>
    <n v="0.92200000000000004"/>
    <n v="0.91"/>
    <n v="0.82800000000000007"/>
    <n v="34.4"/>
    <n v="48.1"/>
    <n v="42.2"/>
    <n v="31.2"/>
    <n v="47.3"/>
    <n v="50.2"/>
    <n v="48.5"/>
    <n v="48.2"/>
    <n v="47.4"/>
    <n v="48.4"/>
    <n v="49.4"/>
    <n v="49"/>
    <n v="44.9"/>
    <n v="46.5"/>
    <n v="45.6"/>
    <n v="48.7"/>
    <n v="37.700000000000003"/>
    <n v="43.7"/>
    <n v="42.2"/>
    <n v="40"/>
    <n v="64"/>
    <n v="0.5"/>
    <n v="1332.8"/>
    <n v="2665.6"/>
    <n v="299.5"/>
    <n v="50"/>
    <n v="181.6"/>
    <n v="45.38"/>
    <n v="30"/>
    <n v="11.45"/>
    <n v="0.32"/>
    <n v="16.100000000000001"/>
    <n v="0.59"/>
    <n v="28.46"/>
    <n v="1.5126666666666668"/>
    <n v="6.0533333333333328"/>
    <n v="0.24988986784140971"/>
    <n v="333.05321585903084"/>
    <n v="666.10643171806169"/>
    <n v="0.40231904427266335"/>
    <n v="1.1243851018973999E-2"/>
    <n v="0.56570625439212929"/>
    <n v="2.0730850316233309E-2"/>
    <n v="267.98730299268465"/>
    <n v="7.4896014810182621"/>
    <n v="376.82057451373129"/>
    <n v="13.80895273062742"/>
    <n v="38.975000000000001"/>
    <n v="48.55"/>
    <n v="48.55"/>
    <n v="46.424999999999997"/>
    <n v="40.900000000000006"/>
  </r>
  <r>
    <x v="0"/>
    <n v="4"/>
    <n v="2"/>
    <n v="16"/>
    <n v="4"/>
    <x v="1"/>
    <x v="2"/>
    <n v="104"/>
    <s v="EVA_104"/>
    <d v="2024-09-16T00:00:00"/>
    <n v="0.8"/>
    <n v="5.5E-2"/>
    <n v="0.112"/>
    <n v="0.20599999999999999"/>
    <n v="0.38900000000000001"/>
    <n v="0.94499999999999995"/>
    <n v="0.88800000000000001"/>
    <n v="0.79400000000000004"/>
    <n v="0.61099999999999999"/>
    <n v="48.9"/>
    <n v="49.2"/>
    <n v="25.4"/>
    <n v="28.1"/>
    <n v="54.1"/>
    <n v="50.3"/>
    <n v="41"/>
    <n v="41.3"/>
    <n v="54.1"/>
    <n v="53.5"/>
    <n v="48.4"/>
    <n v="47"/>
    <n v="52.5"/>
    <n v="53.6"/>
    <n v="47"/>
    <n v="49"/>
    <n v="45.8"/>
    <n v="50"/>
    <n v="46.3"/>
    <n v="44.4"/>
    <n v="53"/>
    <n v="0.5"/>
    <n v="1257"/>
    <n v="2514"/>
    <n v="281.10000000000002"/>
    <n v="50"/>
    <n v="176.7"/>
    <n v="36.700000000000003"/>
    <n v="30"/>
    <n v="9.91"/>
    <n v="0.2"/>
    <n v="9.39"/>
    <n v="1.2"/>
    <n v="20.7"/>
    <n v="1.2233333333333334"/>
    <n v="5.89"/>
    <n v="0.20769666100735712"/>
    <n v="261.07470288624791"/>
    <n v="522.14940577249581"/>
    <n v="0.47874396135265701"/>
    <n v="9.6618357487922718E-3"/>
    <n v="0.45362318840579713"/>
    <n v="5.7971014492753624E-2"/>
    <n v="249.97587493746056"/>
    <n v="5.0449217949033418"/>
    <n v="236.85907827071188"/>
    <n v="30.269530769420047"/>
    <n v="37.9"/>
    <n v="46.674999999999997"/>
    <n v="50.75"/>
    <n v="50.524999999999999"/>
    <n v="46.625"/>
  </r>
  <r>
    <x v="0"/>
    <n v="5"/>
    <n v="3"/>
    <n v="17"/>
    <n v="5"/>
    <x v="0"/>
    <x v="2"/>
    <n v="105"/>
    <s v="EVA_105"/>
    <d v="2024-09-06T00:00:00"/>
    <n v="0.86"/>
    <n v="4.8000000000000001E-2"/>
    <n v="5.6000000000000001E-2"/>
    <n v="0.10100000000000001"/>
    <n v="0.26900000000000002"/>
    <n v="0.95199999999999996"/>
    <n v="0.94399999999999995"/>
    <n v="0.89900000000000002"/>
    <n v="0.73099999999999998"/>
    <n v="46.8"/>
    <n v="0.8"/>
    <n v="49.9"/>
    <n v="49.8"/>
    <n v="48.3"/>
    <n v="46.5"/>
    <n v="54.3"/>
    <n v="52.4"/>
    <n v="47.2"/>
    <n v="54.7"/>
    <n v="55.8"/>
    <n v="57.9"/>
    <n v="51.1"/>
    <n v="48.5"/>
    <n v="51.6"/>
    <n v="54.6"/>
    <n v="50.5"/>
    <n v="47.8"/>
    <n v="53.8"/>
    <n v="50.4"/>
    <n v="60"/>
    <n v="0.5"/>
    <n v="1504.4"/>
    <n v="3008.8"/>
    <n v="363.5"/>
    <n v="50"/>
    <n v="210.4"/>
    <n v="45.7"/>
    <n v="30"/>
    <m/>
    <m/>
    <m/>
    <m/>
    <n v="0"/>
    <n v="1.5233333333333334"/>
    <n v="7.0133333333333336"/>
    <n v="0.21720532319391636"/>
    <n v="326.76368821292778"/>
    <n v="653.52737642585555"/>
    <e v="#DIV/0!"/>
    <e v="#DIV/0!"/>
    <e v="#DIV/0!"/>
    <e v="#DIV/0!"/>
    <e v="#DIV/0!"/>
    <e v="#DIV/0!"/>
    <e v="#DIV/0!"/>
    <e v="#DIV/0!"/>
    <n v="36.825000000000003"/>
    <n v="50.375"/>
    <n v="53.9"/>
    <n v="51.449999999999996"/>
    <n v="50.625"/>
  </r>
  <r>
    <x v="1"/>
    <n v="5"/>
    <n v="3"/>
    <n v="18"/>
    <n v="12"/>
    <x v="0"/>
    <x v="0"/>
    <n v="205"/>
    <s v="EVA_205"/>
    <d v="2024-09-24T00:00:00"/>
    <n v="0.83"/>
    <n v="5.2999999999999999E-2"/>
    <n v="7.0999999999999994E-2"/>
    <n v="0.114"/>
    <n v="0.186"/>
    <n v="0.94699999999999995"/>
    <n v="0.92900000000000005"/>
    <n v="0.88600000000000001"/>
    <n v="0.81400000000000006"/>
    <n v="44.2"/>
    <n v="51.7"/>
    <n v="44.8"/>
    <n v="47"/>
    <n v="51"/>
    <n v="58.3"/>
    <n v="57.3"/>
    <n v="53.9"/>
    <n v="51.9"/>
    <n v="56.7"/>
    <n v="56.3"/>
    <n v="55.7"/>
    <n v="51.6"/>
    <n v="51.6"/>
    <n v="55.7"/>
    <n v="52.3"/>
    <n v="43"/>
    <n v="41"/>
    <n v="45.9"/>
    <n v="48.4"/>
    <n v="72"/>
    <n v="0.5"/>
    <n v="2313.6999999999998"/>
    <n v="4627.3999999999996"/>
    <n v="369.6"/>
    <n v="50"/>
    <n v="221.6"/>
    <n v="48.31"/>
    <n v="30"/>
    <m/>
    <m/>
    <m/>
    <m/>
    <n v="0"/>
    <n v="1.6103333333333334"/>
    <n v="7.3866666666666667"/>
    <n v="0.21800541516245489"/>
    <n v="504.39912906137187"/>
    <n v="1008.7982581227437"/>
    <e v="#DIV/0!"/>
    <e v="#DIV/0!"/>
    <e v="#DIV/0!"/>
    <e v="#DIV/0!"/>
    <e v="#DIV/0!"/>
    <e v="#DIV/0!"/>
    <e v="#DIV/0!"/>
    <e v="#DIV/0!"/>
    <n v="46.924999999999997"/>
    <n v="55.125"/>
    <n v="55.149999999999991"/>
    <n v="52.8"/>
    <n v="44.575000000000003"/>
  </r>
  <r>
    <x v="2"/>
    <n v="5"/>
    <n v="3"/>
    <n v="19"/>
    <n v="21"/>
    <x v="0"/>
    <x v="3"/>
    <n v="305"/>
    <s v="EVA_305"/>
    <d v="2024-09-06T00:00:00"/>
    <n v="0.86"/>
    <n v="0.114"/>
    <n v="0.125"/>
    <n v="0.255"/>
    <n v="0.35299999999999998"/>
    <n v="0.88600000000000001"/>
    <n v="0.875"/>
    <n v="0.745"/>
    <n v="0.64700000000000002"/>
    <n v="43.7"/>
    <n v="9.6999999999999993"/>
    <n v="7.4"/>
    <n v="29.1"/>
    <n v="36.1"/>
    <n v="50.1"/>
    <n v="46.4"/>
    <n v="34.6"/>
    <n v="49.4"/>
    <n v="51.1"/>
    <n v="51.1"/>
    <n v="48.6"/>
    <n v="50"/>
    <n v="51.8"/>
    <n v="54.7"/>
    <n v="49.9"/>
    <n v="54.6"/>
    <n v="54.8"/>
    <n v="54.1"/>
    <n v="54"/>
    <n v="66"/>
    <n v="0.375"/>
    <n v="1309.2"/>
    <n v="3491.2000000000003"/>
    <n v="375.1"/>
    <n v="50"/>
    <n v="220.4"/>
    <n v="42.7"/>
    <n v="30"/>
    <m/>
    <m/>
    <m/>
    <m/>
    <n v="0"/>
    <n v="1.4233333333333333"/>
    <n v="7.3466666666666667"/>
    <n v="0.19373865698729584"/>
    <n v="253.64264972776772"/>
    <n v="676.38039927404725"/>
    <e v="#DIV/0!"/>
    <e v="#DIV/0!"/>
    <e v="#DIV/0!"/>
    <e v="#DIV/0!"/>
    <e v="#DIV/0!"/>
    <e v="#DIV/0!"/>
    <e v="#DIV/0!"/>
    <e v="#DIV/0!"/>
    <n v="22.475000000000001"/>
    <n v="41.8"/>
    <n v="50.05"/>
    <n v="51.6"/>
    <n v="54.375"/>
  </r>
  <r>
    <x v="3"/>
    <n v="5"/>
    <n v="3"/>
    <n v="20"/>
    <n v="28"/>
    <x v="0"/>
    <x v="1"/>
    <n v="405"/>
    <s v="EVA_405"/>
    <d v="2024-09-09T00:00:00"/>
    <n v="0.83"/>
    <n v="4.2999999999999997E-2"/>
    <n v="8.5000000000000006E-2"/>
    <n v="0.13400000000000001"/>
    <n v="0.20699999999999999"/>
    <n v="0.95699999999999996"/>
    <n v="0.91500000000000004"/>
    <n v="0.86599999999999999"/>
    <n v="0.79300000000000004"/>
    <n v="8.1999999999999993"/>
    <n v="48.2"/>
    <n v="46.9"/>
    <n v="33.4"/>
    <n v="43.2"/>
    <n v="51.9"/>
    <n v="53.4"/>
    <n v="51.1"/>
    <n v="53.9"/>
    <n v="48.7"/>
    <n v="54.4"/>
    <n v="54.3"/>
    <n v="51.2"/>
    <n v="53"/>
    <n v="52.6"/>
    <n v="55.2"/>
    <n v="53"/>
    <n v="45.8"/>
    <n v="45.6"/>
    <n v="45.9"/>
    <n v="58"/>
    <n v="0.5"/>
    <n v="1285.5999999999999"/>
    <n v="2571.1999999999998"/>
    <n v="377.2"/>
    <n v="50"/>
    <n v="227.9"/>
    <n v="46.67"/>
    <n v="30"/>
    <n v="11.73"/>
    <n v="0.5"/>
    <n v="16.88"/>
    <n v="1.92"/>
    <n v="31.03"/>
    <n v="1.5556666666666668"/>
    <n v="7.5966666666666667"/>
    <n v="0.20478279947345326"/>
    <n v="263.2687670030715"/>
    <n v="526.53753400614301"/>
    <n v="0.37802126973896227"/>
    <n v="1.6113438607798902E-2"/>
    <n v="0.54398968739929099"/>
    <n v="6.1875604253947787E-2"/>
    <n v="199.0423871702242"/>
    <n v="8.4843302289098119"/>
    <n v="286.43098852799528"/>
    <n v="32.57982807901368"/>
    <n v="34.175000000000004"/>
    <n v="49.9"/>
    <n v="52.825000000000003"/>
    <n v="53"/>
    <n v="47.575000000000003"/>
  </r>
  <r>
    <x v="3"/>
    <n v="6"/>
    <n v="3"/>
    <n v="21"/>
    <n v="27"/>
    <x v="1"/>
    <x v="2"/>
    <n v="406"/>
    <s v="EVA_406"/>
    <d v="2024-09-16T00:00:00"/>
    <n v="0.81"/>
    <n v="0.115"/>
    <n v="0.14000000000000001"/>
    <n v="0.18099999999999999"/>
    <n v="0.373"/>
    <n v="0.88500000000000001"/>
    <n v="0.86"/>
    <n v="0.81899999999999995"/>
    <n v="0.627"/>
    <n v="21.4"/>
    <n v="38.799999999999997"/>
    <n v="11.5"/>
    <n v="31.7"/>
    <n v="45.1"/>
    <n v="45.6"/>
    <n v="40.5"/>
    <n v="46.1"/>
    <n v="48.2"/>
    <n v="49.4"/>
    <n v="48.5"/>
    <n v="50.6"/>
    <n v="48.9"/>
    <n v="47.6"/>
    <n v="48.9"/>
    <n v="54.1"/>
    <n v="50.9"/>
    <n v="49.6"/>
    <n v="50.1"/>
    <n v="52.1"/>
    <n v="51"/>
    <n v="0.5"/>
    <n v="1155.5"/>
    <n v="2311"/>
    <n v="256.89999999999998"/>
    <n v="50"/>
    <n v="159.30000000000001"/>
    <n v="35.090000000000003"/>
    <n v="30"/>
    <n v="8.52"/>
    <n v="0.41"/>
    <n v="10.119999999999999"/>
    <n v="2.56"/>
    <n v="21.609999999999996"/>
    <n v="1.1696666666666669"/>
    <n v="5.3100000000000005"/>
    <n v="0.22027620841180165"/>
    <n v="254.52915881983679"/>
    <n v="509.05831763967359"/>
    <n v="0.39426191577973169"/>
    <n v="1.8972697825080983E-2"/>
    <n v="0.4683017121702916"/>
    <n v="0.11846367422489591"/>
    <n v="200.70230755622489"/>
    <n v="9.6582096359216187"/>
    <n v="238.39288174518728"/>
    <n v="60.304918702339876"/>
    <n v="25.849999999999998"/>
    <n v="44.324999999999996"/>
    <n v="49.174999999999997"/>
    <n v="49.875"/>
    <n v="50.674999999999997"/>
  </r>
  <r>
    <x v="2"/>
    <n v="6"/>
    <n v="3"/>
    <n v="22"/>
    <n v="22"/>
    <x v="1"/>
    <x v="4"/>
    <n v="306"/>
    <s v="EVA_306"/>
    <d v="2024-09-16T00:00:00"/>
    <n v="0.85"/>
    <n v="5.8000000000000003E-2"/>
    <n v="7.5999999999999998E-2"/>
    <n v="0.122"/>
    <n v="0.254"/>
    <n v="0.94199999999999995"/>
    <n v="0.92400000000000004"/>
    <n v="0.878"/>
    <n v="0.746"/>
    <n v="49"/>
    <n v="42.9"/>
    <n v="31.5"/>
    <n v="45.1"/>
    <n v="45.8"/>
    <n v="49.8"/>
    <n v="48.8"/>
    <n v="53.9"/>
    <n v="47.9"/>
    <n v="47.1"/>
    <n v="50.5"/>
    <n v="54.4"/>
    <n v="48.1"/>
    <n v="49"/>
    <n v="48"/>
    <n v="53.8"/>
    <n v="42.2"/>
    <n v="46.2"/>
    <n v="40.299999999999997"/>
    <n v="46.1"/>
    <n v="64"/>
    <n v="0.5"/>
    <n v="1381.6"/>
    <n v="2763.2"/>
    <n v="323.10000000000002"/>
    <n v="50"/>
    <n v="200.9"/>
    <n v="48.36"/>
    <n v="30"/>
    <n v="10.74"/>
    <n v="0.94"/>
    <n v="16.59"/>
    <n v="0.75"/>
    <n v="29.02"/>
    <n v="1.6119999999999999"/>
    <n v="6.6966666666666672"/>
    <n v="0.2407167745146839"/>
    <n v="332.57429566948724"/>
    <n v="665.14859133897448"/>
    <n v="0.37008959338387321"/>
    <n v="3.2391454169538252E-2"/>
    <n v="0.57167470709855273"/>
    <n v="2.5844245348035838E-2"/>
    <n v="246.16457170849711"/>
    <n v="21.545130112289321"/>
    <n v="380.24862613072321"/>
    <n v="17.190263387464881"/>
    <n v="42.125"/>
    <n v="49.574999999999996"/>
    <n v="49.975000000000001"/>
    <n v="49.724999999999994"/>
    <n v="43.699999999999996"/>
  </r>
  <r>
    <x v="1"/>
    <n v="6"/>
    <n v="3"/>
    <n v="23"/>
    <n v="11"/>
    <x v="1"/>
    <x v="5"/>
    <n v="206"/>
    <s v="EVA_206"/>
    <d v="2024-09-13T00:00:00"/>
    <n v="0.85"/>
    <n v="1.0999999999999999E-2"/>
    <n v="2.5999999999999999E-2"/>
    <n v="9.8000000000000004E-2"/>
    <n v="0.186"/>
    <n v="0.98899999999999999"/>
    <n v="0.97399999999999998"/>
    <n v="0.90200000000000002"/>
    <n v="0.81400000000000006"/>
    <n v="49.9"/>
    <n v="34.1"/>
    <n v="36.299999999999997"/>
    <n v="20.9"/>
    <n v="53.1"/>
    <n v="48"/>
    <n v="53.8"/>
    <n v="46.3"/>
    <n v="54.6"/>
    <n v="49.2"/>
    <n v="49.4"/>
    <n v="48.2"/>
    <n v="51.5"/>
    <n v="52.1"/>
    <n v="52.2"/>
    <n v="47.6"/>
    <n v="44.1"/>
    <n v="43.5"/>
    <n v="45.1"/>
    <n v="43.1"/>
    <n v="69"/>
    <n v="0.5"/>
    <n v="1768.7"/>
    <n v="3537.4"/>
    <n v="422.5"/>
    <n v="50"/>
    <n v="248.9"/>
    <n v="47.45"/>
    <n v="30"/>
    <n v="11.97"/>
    <n v="1.5"/>
    <n v="18.86"/>
    <n v="1.1399999999999999"/>
    <n v="33.47"/>
    <n v="1.5816666666666668"/>
    <n v="8.2966666666666669"/>
    <n v="0.19063881076737646"/>
    <n v="337.18286460425873"/>
    <n v="674.36572920851745"/>
    <n v="0.35763370182252768"/>
    <n v="4.4816253361219006E-2"/>
    <n v="0.56348969226172696"/>
    <n v="3.4060352554526441E-2"/>
    <n v="241.17591211909038"/>
    <n v="30.222545378332125"/>
    <n v="379.99813722356259"/>
    <n v="22.969134487532415"/>
    <n v="35.299999999999997"/>
    <n v="50.3"/>
    <n v="50.350000000000009"/>
    <n v="50.85"/>
    <n v="43.949999999999996"/>
  </r>
  <r>
    <x v="0"/>
    <n v="6"/>
    <n v="3"/>
    <n v="24"/>
    <n v="6"/>
    <x v="1"/>
    <x v="3"/>
    <n v="106"/>
    <s v="EVA_106"/>
    <d v="2024-09-16T00:00:00"/>
    <n v="0.83"/>
    <n v="8.8999999999999996E-2"/>
    <n v="0.125"/>
    <n v="0.189"/>
    <n v="0.316"/>
    <n v="0.91100000000000003"/>
    <n v="0.875"/>
    <n v="0.81099999999999994"/>
    <n v="0.68399999999999994"/>
    <n v="36.5"/>
    <n v="23"/>
    <n v="41.1"/>
    <n v="42.7"/>
    <n v="47.8"/>
    <n v="44.2"/>
    <n v="49.4"/>
    <n v="42.9"/>
    <n v="44.1"/>
    <n v="47.3"/>
    <n v="47.7"/>
    <n v="48.1"/>
    <n v="52.6"/>
    <n v="49.3"/>
    <n v="48.1"/>
    <n v="48.3"/>
    <n v="47.6"/>
    <n v="49.2"/>
    <n v="47"/>
    <n v="47.8"/>
    <n v="62"/>
    <n v="0.5"/>
    <n v="1536.9"/>
    <n v="3073.8"/>
    <n v="330.4"/>
    <n v="50"/>
    <n v="200.8"/>
    <n v="43.65"/>
    <n v="30"/>
    <n v="9.23"/>
    <n v="0.87"/>
    <n v="15.11"/>
    <n v="1.58"/>
    <n v="26.79"/>
    <n v="1.4549999999999998"/>
    <n v="6.6933333333333334"/>
    <n v="0.21738047808764938"/>
    <n v="334.09205677290834"/>
    <n v="668.18411354581667"/>
    <n v="0.34453154162000749"/>
    <n v="3.2474804031354984E-2"/>
    <n v="0.56401642403882046"/>
    <n v="5.8977230309817101E-2"/>
    <n v="230.21050272593834"/>
    <n v="21.699148144265045"/>
    <n v="376.86681432166068"/>
    <n v="39.407648353952609"/>
    <n v="35.825000000000003"/>
    <n v="46.075000000000003"/>
    <n v="46.800000000000004"/>
    <n v="49.575000000000003"/>
    <n v="47.900000000000006"/>
  </r>
  <r>
    <x v="0"/>
    <n v="7"/>
    <n v="4"/>
    <n v="25"/>
    <n v="7"/>
    <x v="0"/>
    <x v="3"/>
    <n v="107"/>
    <s v="EVA_107"/>
    <d v="2024-09-06T00:00:00"/>
    <n v="0.81"/>
    <n v="2.7E-2"/>
    <n v="0.108"/>
    <n v="0.107"/>
    <n v="0.23"/>
    <n v="0.97299999999999998"/>
    <n v="0.89200000000000002"/>
    <n v="0.89300000000000002"/>
    <n v="0.77"/>
    <n v="46.4"/>
    <n v="47.8"/>
    <n v="14.8"/>
    <n v="47"/>
    <n v="48.8"/>
    <n v="52.9"/>
    <n v="49.2"/>
    <n v="53.4"/>
    <n v="49.6"/>
    <n v="53.6"/>
    <n v="47.8"/>
    <n v="50.8"/>
    <n v="51.7"/>
    <n v="57"/>
    <n v="53.9"/>
    <n v="55"/>
    <n v="48.3"/>
    <n v="52.5"/>
    <n v="54"/>
    <n v="48.6"/>
    <n v="68"/>
    <n v="0.375"/>
    <n v="1446.4"/>
    <n v="3857.0666666666671"/>
    <n v="423"/>
    <n v="50"/>
    <n v="251.9"/>
    <n v="49.7"/>
    <n v="30"/>
    <m/>
    <m/>
    <m/>
    <m/>
    <n v="0"/>
    <n v="1.6566666666666667"/>
    <n v="8.3966666666666665"/>
    <n v="0.19730051607780866"/>
    <n v="285.37546645494245"/>
    <n v="761.00124387984658"/>
    <e v="#DIV/0!"/>
    <e v="#DIV/0!"/>
    <e v="#DIV/0!"/>
    <e v="#DIV/0!"/>
    <e v="#DIV/0!"/>
    <e v="#DIV/0!"/>
    <e v="#DIV/0!"/>
    <e v="#DIV/0!"/>
    <n v="39"/>
    <n v="51.074999999999996"/>
    <n v="50.45"/>
    <n v="54.4"/>
    <n v="50.85"/>
  </r>
  <r>
    <x v="1"/>
    <n v="7"/>
    <n v="4"/>
    <n v="26"/>
    <n v="10"/>
    <x v="0"/>
    <x v="2"/>
    <n v="207"/>
    <s v="EVA_207"/>
    <d v="2024-09-06T00:00:00"/>
    <n v="0.77"/>
    <n v="5.3999999999999999E-2"/>
    <n v="0.106"/>
    <n v="0.13500000000000001"/>
    <n v="0.16800000000000001"/>
    <n v="0.94599999999999995"/>
    <n v="0.89400000000000002"/>
    <n v="0.86499999999999999"/>
    <n v="0.83199999999999996"/>
    <n v="45.1"/>
    <n v="43.6"/>
    <n v="31.7"/>
    <n v="49.1"/>
    <n v="53.5"/>
    <n v="53.2"/>
    <n v="46.7"/>
    <n v="54"/>
    <n v="52.6"/>
    <n v="55.2"/>
    <n v="47.8"/>
    <n v="49.6"/>
    <n v="52.8"/>
    <n v="55.5"/>
    <n v="47.7"/>
    <n v="48.7"/>
    <n v="52.1"/>
    <n v="51.4"/>
    <n v="47.1"/>
    <n v="48.3"/>
    <n v="53"/>
    <n v="0.5"/>
    <n v="1649.5"/>
    <n v="3299"/>
    <n v="363"/>
    <n v="50"/>
    <n v="198.4"/>
    <n v="43.8"/>
    <n v="30"/>
    <m/>
    <m/>
    <m/>
    <m/>
    <n v="0"/>
    <n v="1.46"/>
    <n v="6.6133333333333333"/>
    <n v="0.22076612903225803"/>
    <n v="364.15372983870964"/>
    <n v="728.30745967741927"/>
    <e v="#DIV/0!"/>
    <e v="#DIV/0!"/>
    <e v="#DIV/0!"/>
    <e v="#DIV/0!"/>
    <e v="#DIV/0!"/>
    <e v="#DIV/0!"/>
    <e v="#DIV/0!"/>
    <e v="#DIV/0!"/>
    <n v="42.375"/>
    <n v="51.85"/>
    <n v="51.300000000000004"/>
    <n v="51.174999999999997"/>
    <n v="49.724999999999994"/>
  </r>
  <r>
    <x v="2"/>
    <n v="7"/>
    <n v="4"/>
    <n v="27"/>
    <n v="23"/>
    <x v="0"/>
    <x v="1"/>
    <n v="307"/>
    <s v="EVA_307"/>
    <d v="2024-09-09T00:00:00"/>
    <n v="0.84"/>
    <n v="5.0999999999999997E-2"/>
    <n v="8.7999999999999995E-2"/>
    <n v="0.14199999999999999"/>
    <n v="0.184"/>
    <n v="0.94899999999999995"/>
    <n v="0.91200000000000003"/>
    <n v="0.85799999999999998"/>
    <n v="0.81600000000000006"/>
    <n v="41.8"/>
    <n v="45.4"/>
    <n v="40.9"/>
    <n v="29.2"/>
    <n v="29.7"/>
    <n v="51"/>
    <n v="48"/>
    <n v="51"/>
    <n v="50.5"/>
    <n v="51.8"/>
    <n v="51.3"/>
    <n v="56.7"/>
    <n v="54.8"/>
    <n v="52.7"/>
    <n v="51.5"/>
    <n v="53.9"/>
    <n v="42.8"/>
    <n v="49.2"/>
    <n v="47.5"/>
    <n v="50.1"/>
    <n v="55"/>
    <n v="0.5"/>
    <n v="1403.5"/>
    <n v="2807"/>
    <n v="326"/>
    <n v="50"/>
    <n v="183"/>
    <n v="37.520000000000003"/>
    <n v="30"/>
    <n v="10.9"/>
    <n v="0.35"/>
    <n v="16.21"/>
    <n v="1.84"/>
    <n v="29.3"/>
    <n v="1.2506666666666668"/>
    <n v="6.1"/>
    <n v="0.2050273224043716"/>
    <n v="287.75584699453555"/>
    <n v="575.51169398907109"/>
    <n v="0.37201365187713309"/>
    <n v="1.1945392491467576E-2"/>
    <n v="0.55324232081911262"/>
    <n v="6.2798634812286688E-2"/>
    <n v="214.09820697886943"/>
    <n v="6.8747130681288349"/>
    <n v="318.39742524105264"/>
    <n v="36.141348701020164"/>
    <n v="39.324999999999996"/>
    <n v="44.924999999999997"/>
    <n v="52.575000000000003"/>
    <n v="53.225000000000001"/>
    <n v="47.4"/>
  </r>
  <r>
    <x v="3"/>
    <n v="7"/>
    <n v="4"/>
    <n v="28"/>
    <n v="26"/>
    <x v="0"/>
    <x v="0"/>
    <n v="407"/>
    <s v="EVA_407"/>
    <d v="2024-09-24T00:00:00"/>
    <n v="0.82"/>
    <n v="6.6000000000000003E-2"/>
    <n v="0.108"/>
    <n v="0.189"/>
    <n v="0.26200000000000001"/>
    <n v="0.93399999999999994"/>
    <n v="0.89200000000000002"/>
    <n v="0.81099999999999994"/>
    <n v="0.73799999999999999"/>
    <n v="39.6"/>
    <n v="49.4"/>
    <n v="48.8"/>
    <n v="57.9"/>
    <n v="58.2"/>
    <n v="54.4"/>
    <n v="57.7"/>
    <n v="54.6"/>
    <n v="57.1"/>
    <n v="53.7"/>
    <n v="54.4"/>
    <n v="56.9"/>
    <n v="56.3"/>
    <n v="52"/>
    <n v="53.1"/>
    <n v="53.1"/>
    <n v="49.2"/>
    <n v="53.3"/>
    <n v="45.7"/>
    <n v="50.4"/>
    <n v="71"/>
    <n v="0.5"/>
    <n v="1805.8"/>
    <n v="3611.6"/>
    <n v="328"/>
    <n v="50"/>
    <n v="187.3"/>
    <n v="45.97"/>
    <n v="30"/>
    <m/>
    <m/>
    <m/>
    <m/>
    <n v="0"/>
    <n v="1.5323333333333333"/>
    <n v="6.2433333333333341"/>
    <n v="0.24543513080619325"/>
    <n v="443.20675920982376"/>
    <n v="886.41351841964752"/>
    <e v="#DIV/0!"/>
    <e v="#DIV/0!"/>
    <e v="#DIV/0!"/>
    <e v="#DIV/0!"/>
    <e v="#DIV/0!"/>
    <e v="#DIV/0!"/>
    <e v="#DIV/0!"/>
    <e v="#DIV/0!"/>
    <n v="48.925000000000004"/>
    <n v="56.225000000000001"/>
    <n v="55.525000000000006"/>
    <n v="53.625"/>
    <n v="49.65"/>
  </r>
  <r>
    <x v="3"/>
    <n v="8"/>
    <n v="4"/>
    <n v="29"/>
    <n v="25"/>
    <x v="1"/>
    <x v="5"/>
    <n v="408"/>
    <s v="EVA_408"/>
    <d v="2024-09-13T00:00:00"/>
    <n v="0.84"/>
    <n v="1.4E-2"/>
    <n v="6.3E-2"/>
    <n v="0.14000000000000001"/>
    <n v="0.28599999999999998"/>
    <n v="0.98599999999999999"/>
    <n v="0.93700000000000006"/>
    <n v="0.86"/>
    <n v="0.71399999999999997"/>
    <n v="5.4"/>
    <n v="36.1"/>
    <n v="21.3"/>
    <n v="23.7"/>
    <n v="32.299999999999997"/>
    <n v="42.6"/>
    <n v="42.7"/>
    <n v="39.200000000000003"/>
    <n v="42.8"/>
    <n v="54.5"/>
    <n v="54.3"/>
    <n v="48.4"/>
    <n v="44.9"/>
    <n v="54.8"/>
    <n v="47.3"/>
    <n v="49.6"/>
    <n v="48"/>
    <n v="44.7"/>
    <n v="46.6"/>
    <n v="47.8"/>
    <n v="68"/>
    <n v="0.5"/>
    <n v="1483.6"/>
    <n v="2967.2"/>
    <n v="318.5"/>
    <n v="50"/>
    <n v="203.5"/>
    <n v="44.49"/>
    <n v="30"/>
    <n v="8.32"/>
    <n v="0.59"/>
    <n v="13.76"/>
    <n v="1.59"/>
    <n v="24.26"/>
    <n v="1.4830000000000001"/>
    <n v="6.7833333333333332"/>
    <n v="0.21862407862407862"/>
    <n v="324.350683046683"/>
    <n v="648.701366093366"/>
    <n v="0.34295136026380874"/>
    <n v="2.4319868095630665E-2"/>
    <n v="0.56718878812860674"/>
    <n v="6.5539983511953837E-2"/>
    <n v="222.47301590671086"/>
    <n v="15.776331656846081"/>
    <n v="367.93614169186793"/>
    <n v="42.515876837941136"/>
    <n v="21.625"/>
    <n v="39.200000000000003"/>
    <n v="50"/>
    <n v="49.15"/>
    <n v="46.775000000000006"/>
  </r>
  <r>
    <x v="2"/>
    <n v="8"/>
    <n v="4"/>
    <n v="30"/>
    <n v="24"/>
    <x v="1"/>
    <x v="2"/>
    <n v="308"/>
    <s v="EVA_308"/>
    <d v="2024-09-16T00:00:00"/>
    <n v="0.76"/>
    <n v="8.1000000000000003E-2"/>
    <n v="9.7000000000000003E-2"/>
    <n v="0.113"/>
    <n v="0.311"/>
    <n v="0.91900000000000004"/>
    <n v="0.90300000000000002"/>
    <n v="0.88700000000000001"/>
    <n v="0.68900000000000006"/>
    <n v="37.9"/>
    <n v="32.6"/>
    <n v="1.8"/>
    <n v="0.9"/>
    <n v="48.9"/>
    <n v="49.6"/>
    <n v="42.2"/>
    <n v="46.8"/>
    <n v="47.7"/>
    <n v="49.7"/>
    <n v="47.8"/>
    <n v="50.1"/>
    <n v="48.5"/>
    <n v="46.5"/>
    <n v="48.9"/>
    <n v="50.9"/>
    <n v="46.1"/>
    <n v="46"/>
    <n v="46.1"/>
    <n v="49.9"/>
    <n v="51"/>
    <n v="0.5"/>
    <n v="1328.5"/>
    <n v="2657"/>
    <n v="278.60000000000002"/>
    <n v="50"/>
    <n v="167.7"/>
    <n v="37.619999999999997"/>
    <n v="30"/>
    <n v="9.9499999999999993"/>
    <n v="0.43"/>
    <n v="11.87"/>
    <n v="2.27"/>
    <n v="24.52"/>
    <n v="1.254"/>
    <n v="5.59"/>
    <n v="0.22432915921288013"/>
    <n v="298.02128801431127"/>
    <n v="596.04257602862253"/>
    <n v="0.4057911908646003"/>
    <n v="1.7536704730831975E-2"/>
    <n v="0.48409461663947795"/>
    <n v="9.2577487765089728E-2"/>
    <n v="241.86882673265882"/>
    <n v="10.452622662818422"/>
    <n v="288.5410023433829"/>
    <n v="55.180124289762368"/>
    <n v="18.3"/>
    <n v="46.875"/>
    <n v="48.824999999999996"/>
    <n v="48.7"/>
    <n v="47.024999999999999"/>
  </r>
  <r>
    <x v="1"/>
    <n v="8"/>
    <n v="4"/>
    <n v="31"/>
    <n v="9"/>
    <x v="1"/>
    <x v="3"/>
    <n v="208"/>
    <s v="EVA_208"/>
    <d v="2024-09-16T00:00:00"/>
    <n v="0.77"/>
    <n v="9.7000000000000003E-2"/>
    <n v="0.127"/>
    <n v="0.26700000000000002"/>
    <n v="0.41499999999999998"/>
    <n v="0.90300000000000002"/>
    <n v="0.873"/>
    <n v="0.73299999999999998"/>
    <n v="0.58499999999999996"/>
    <n v="43.2"/>
    <n v="32.4"/>
    <n v="39.4"/>
    <n v="42.5"/>
    <n v="45.8"/>
    <n v="45.7"/>
    <n v="44.5"/>
    <n v="51.9"/>
    <n v="49.9"/>
    <n v="48.3"/>
    <n v="51.4"/>
    <n v="53.2"/>
    <n v="53.5"/>
    <n v="51.5"/>
    <n v="49.3"/>
    <n v="53.4"/>
    <n v="46.9"/>
    <n v="49.2"/>
    <n v="47"/>
    <n v="49.5"/>
    <n v="58"/>
    <n v="0.5"/>
    <n v="1345.4"/>
    <n v="2690.8"/>
    <n v="303.2"/>
    <n v="50"/>
    <n v="186.7"/>
    <n v="39.159999999999997"/>
    <n v="30"/>
    <n v="9.81"/>
    <n v="0.5"/>
    <n v="12.28"/>
    <n v="0.8"/>
    <n v="23.39"/>
    <n v="3.0581039755351682"/>
    <n v="3.9918450560652392"/>
    <n v="0.20974825923942153"/>
    <n v="282.19530798071776"/>
    <n v="564.39061596143551"/>
    <n v="0.41941000427533137"/>
    <n v="2.1376656690893545E-2"/>
    <n v="0.52501068832834541"/>
    <n v="3.4202650705429674E-2"/>
    <n v="236.71107065334257"/>
    <n v="12.06478443696955"/>
    <n v="296.31110577197211"/>
    <n v="19.303655099151282"/>
    <n v="39.375"/>
    <n v="46.975000000000001"/>
    <n v="50.7"/>
    <n v="51.925000000000004"/>
    <n v="48.15"/>
  </r>
  <r>
    <x v="0"/>
    <n v="8"/>
    <n v="4"/>
    <n v="32"/>
    <n v="8"/>
    <x v="1"/>
    <x v="4"/>
    <n v="108"/>
    <s v="EVA_108"/>
    <d v="2024-09-16T00:00:00"/>
    <n v="0.86"/>
    <n v="0.03"/>
    <n v="7.6999999999999999E-2"/>
    <n v="0.13100000000000001"/>
    <n v="0.21299999999999999"/>
    <n v="0.97"/>
    <n v="0.92300000000000004"/>
    <n v="0.86899999999999999"/>
    <n v="0.78700000000000003"/>
    <n v="47.3"/>
    <n v="46.3"/>
    <n v="48.1"/>
    <n v="39.4"/>
    <n v="51.9"/>
    <n v="57.2"/>
    <n v="37.700000000000003"/>
    <n v="43.3"/>
    <n v="45.8"/>
    <n v="52.1"/>
    <n v="55.1"/>
    <n v="54.5"/>
    <n v="49.8"/>
    <n v="54.3"/>
    <n v="56.2"/>
    <n v="47.1"/>
    <n v="42.6"/>
    <n v="42.4"/>
    <n v="45.4"/>
    <n v="52.2"/>
    <n v="61"/>
    <n v="0.5"/>
    <n v="1417.2"/>
    <n v="2834.4"/>
    <n v="341.5"/>
    <n v="50"/>
    <n v="188.3"/>
    <n v="41.83"/>
    <n v="30"/>
    <n v="13.7"/>
    <n v="0.28999999999999998"/>
    <n v="20.6"/>
    <n v="1.1299999999999999"/>
    <n v="35.720000000000006"/>
    <n v="1.3943333333333332"/>
    <n v="6.2766666666666673"/>
    <n v="0.22214551248008496"/>
    <n v="314.82462028677639"/>
    <n v="629.64924057355279"/>
    <n v="0.38353863381858894"/>
    <n v="8.1187010078387443E-3"/>
    <n v="0.57670772676371773"/>
    <n v="3.1634938409854416E-2"/>
    <n v="241.49480951449249"/>
    <n v="5.1119339240294028"/>
    <n v="363.12358218967483"/>
    <n v="19.918914945355947"/>
    <n v="45.274999999999999"/>
    <n v="47.525000000000006"/>
    <n v="51.875"/>
    <n v="51.85"/>
    <n v="45.650000000000006"/>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
  <r>
    <n v="1"/>
    <n v="1"/>
    <n v="1"/>
    <n v="1"/>
    <n v="1"/>
    <x v="0"/>
    <x v="0"/>
    <n v="101"/>
    <n v="1"/>
    <x v="0"/>
    <n v="50"/>
    <n v="0"/>
    <n v="0"/>
  </r>
  <r>
    <n v="1"/>
    <n v="2"/>
    <n v="1"/>
    <n v="8"/>
    <n v="2"/>
    <x v="1"/>
    <x v="1"/>
    <n v="102"/>
    <n v="1"/>
    <x v="0"/>
    <n v="39"/>
    <n v="0"/>
    <n v="0"/>
  </r>
  <r>
    <n v="1"/>
    <n v="3"/>
    <n v="2"/>
    <n v="9"/>
    <n v="3"/>
    <x v="0"/>
    <x v="2"/>
    <n v="103"/>
    <n v="1"/>
    <x v="0"/>
    <n v="38"/>
    <n v="0"/>
    <n v="0"/>
  </r>
  <r>
    <n v="1"/>
    <n v="4"/>
    <n v="2"/>
    <n v="16"/>
    <n v="4"/>
    <x v="1"/>
    <x v="3"/>
    <n v="104"/>
    <n v="1"/>
    <x v="0"/>
    <n v="38"/>
    <n v="0"/>
    <n v="0"/>
  </r>
  <r>
    <n v="1"/>
    <n v="5"/>
    <n v="3"/>
    <n v="17"/>
    <n v="5"/>
    <x v="0"/>
    <x v="3"/>
    <n v="105"/>
    <n v="1"/>
    <x v="0"/>
    <n v="61"/>
    <n v="9"/>
    <n v="14.754098360655737"/>
  </r>
  <r>
    <n v="1"/>
    <n v="6"/>
    <n v="3"/>
    <n v="24"/>
    <n v="6"/>
    <x v="1"/>
    <x v="4"/>
    <n v="106"/>
    <n v="1"/>
    <x v="0"/>
    <n v="85"/>
    <n v="0"/>
    <n v="0"/>
  </r>
  <r>
    <n v="1"/>
    <n v="7"/>
    <n v="4"/>
    <n v="25"/>
    <n v="7"/>
    <x v="0"/>
    <x v="4"/>
    <n v="107"/>
    <n v="1"/>
    <x v="0"/>
    <n v="34"/>
    <n v="0"/>
    <n v="0"/>
  </r>
  <r>
    <n v="1"/>
    <n v="8"/>
    <n v="4"/>
    <n v="32"/>
    <n v="8"/>
    <x v="1"/>
    <x v="5"/>
    <n v="108"/>
    <n v="1"/>
    <x v="0"/>
    <n v="75"/>
    <n v="0"/>
    <n v="0"/>
  </r>
  <r>
    <n v="2"/>
    <n v="8"/>
    <n v="4"/>
    <n v="31"/>
    <n v="9"/>
    <x v="1"/>
    <x v="4"/>
    <n v="208"/>
    <n v="1"/>
    <x v="0"/>
    <n v="79"/>
    <n v="0"/>
    <n v="0"/>
  </r>
  <r>
    <n v="2"/>
    <n v="7"/>
    <n v="4"/>
    <n v="26"/>
    <n v="10"/>
    <x v="0"/>
    <x v="3"/>
    <n v="207"/>
    <n v="1"/>
    <x v="0"/>
    <n v="49"/>
    <n v="12"/>
    <n v="24.489795918367346"/>
  </r>
  <r>
    <n v="2"/>
    <n v="6"/>
    <n v="3"/>
    <n v="23"/>
    <n v="11"/>
    <x v="1"/>
    <x v="1"/>
    <n v="206"/>
    <n v="1"/>
    <x v="0"/>
    <n v="42"/>
    <n v="0"/>
    <n v="0"/>
  </r>
  <r>
    <n v="2"/>
    <n v="5"/>
    <n v="3"/>
    <n v="18"/>
    <n v="12"/>
    <x v="0"/>
    <x v="0"/>
    <n v="205"/>
    <n v="1"/>
    <x v="0"/>
    <n v="61"/>
    <n v="0"/>
    <n v="0"/>
  </r>
  <r>
    <n v="2"/>
    <n v="4"/>
    <n v="2"/>
    <n v="15"/>
    <n v="13"/>
    <x v="1"/>
    <x v="5"/>
    <n v="204"/>
    <n v="1"/>
    <x v="0"/>
    <n v="52"/>
    <n v="0"/>
    <n v="0"/>
  </r>
  <r>
    <n v="2"/>
    <n v="3"/>
    <n v="2"/>
    <n v="10"/>
    <n v="14"/>
    <x v="0"/>
    <x v="4"/>
    <n v="203"/>
    <n v="1"/>
    <x v="0"/>
    <n v="51"/>
    <n v="0"/>
    <n v="0"/>
  </r>
  <r>
    <n v="2"/>
    <n v="2"/>
    <n v="1"/>
    <n v="7"/>
    <n v="15"/>
    <x v="1"/>
    <x v="3"/>
    <n v="202"/>
    <n v="1"/>
    <x v="0"/>
    <n v="67"/>
    <n v="0"/>
    <n v="0"/>
  </r>
  <r>
    <n v="2"/>
    <n v="1"/>
    <n v="1"/>
    <n v="2"/>
    <n v="16"/>
    <x v="0"/>
    <x v="2"/>
    <n v="201"/>
    <n v="1"/>
    <x v="0"/>
    <n v="55"/>
    <n v="0"/>
    <n v="0"/>
  </r>
  <r>
    <n v="3"/>
    <n v="1"/>
    <n v="1"/>
    <n v="3"/>
    <n v="17"/>
    <x v="0"/>
    <x v="3"/>
    <n v="301"/>
    <n v="1"/>
    <x v="0"/>
    <n v="35"/>
    <n v="5"/>
    <n v="14.285714285714285"/>
  </r>
  <r>
    <n v="3"/>
    <n v="2"/>
    <n v="1"/>
    <n v="6"/>
    <n v="18"/>
    <x v="1"/>
    <x v="4"/>
    <n v="302"/>
    <n v="1"/>
    <x v="0"/>
    <n v="55"/>
    <n v="0"/>
    <n v="0"/>
  </r>
  <r>
    <n v="3"/>
    <n v="3"/>
    <n v="2"/>
    <n v="11"/>
    <n v="19"/>
    <x v="0"/>
    <x v="0"/>
    <n v="303"/>
    <n v="1"/>
    <x v="0"/>
    <n v="59"/>
    <n v="0"/>
    <n v="0"/>
  </r>
  <r>
    <n v="3"/>
    <n v="4"/>
    <n v="2"/>
    <n v="14"/>
    <n v="20"/>
    <x v="1"/>
    <x v="1"/>
    <n v="304"/>
    <n v="1"/>
    <x v="0"/>
    <n v="46"/>
    <n v="0"/>
    <n v="0"/>
  </r>
  <r>
    <n v="3"/>
    <n v="5"/>
    <n v="3"/>
    <n v="19"/>
    <n v="21"/>
    <x v="0"/>
    <x v="4"/>
    <n v="305"/>
    <n v="1"/>
    <x v="0"/>
    <n v="61"/>
    <n v="7"/>
    <n v="11.475409836065573"/>
  </r>
  <r>
    <n v="3"/>
    <n v="6"/>
    <n v="3"/>
    <n v="22"/>
    <n v="22"/>
    <x v="1"/>
    <x v="5"/>
    <n v="306"/>
    <n v="1"/>
    <x v="0"/>
    <n v="73"/>
    <n v="0"/>
    <n v="0"/>
  </r>
  <r>
    <n v="3"/>
    <n v="7"/>
    <n v="4"/>
    <n v="27"/>
    <n v="23"/>
    <x v="0"/>
    <x v="2"/>
    <n v="307"/>
    <n v="1"/>
    <x v="0"/>
    <n v="44"/>
    <n v="0"/>
    <n v="0"/>
  </r>
  <r>
    <n v="3"/>
    <n v="8"/>
    <n v="4"/>
    <n v="30"/>
    <n v="24"/>
    <x v="1"/>
    <x v="3"/>
    <n v="308"/>
    <n v="1"/>
    <x v="0"/>
    <n v="64"/>
    <n v="0"/>
    <n v="0"/>
  </r>
  <r>
    <n v="4"/>
    <n v="8"/>
    <n v="4"/>
    <n v="29"/>
    <n v="25"/>
    <x v="1"/>
    <x v="1"/>
    <n v="408"/>
    <n v="1"/>
    <x v="0"/>
    <n v="47"/>
    <n v="0"/>
    <n v="0"/>
  </r>
  <r>
    <n v="4"/>
    <n v="7"/>
    <n v="4"/>
    <n v="28"/>
    <n v="26"/>
    <x v="0"/>
    <x v="0"/>
    <n v="407"/>
    <n v="1"/>
    <x v="0"/>
    <n v="57"/>
    <n v="0"/>
    <n v="0"/>
  </r>
  <r>
    <n v="4"/>
    <n v="6"/>
    <n v="3"/>
    <n v="21"/>
    <n v="27"/>
    <x v="1"/>
    <x v="3"/>
    <n v="406"/>
    <n v="1"/>
    <x v="0"/>
    <n v="54"/>
    <n v="0"/>
    <n v="0"/>
  </r>
  <r>
    <n v="4"/>
    <n v="5"/>
    <n v="3"/>
    <n v="20"/>
    <n v="28"/>
    <x v="0"/>
    <x v="2"/>
    <n v="405"/>
    <n v="1"/>
    <x v="0"/>
    <n v="64"/>
    <n v="0"/>
    <n v="0"/>
  </r>
  <r>
    <n v="4"/>
    <n v="4"/>
    <n v="2"/>
    <n v="13"/>
    <n v="29"/>
    <x v="1"/>
    <x v="4"/>
    <n v="404"/>
    <n v="1"/>
    <x v="0"/>
    <n v="64"/>
    <n v="0"/>
    <n v="0"/>
  </r>
  <r>
    <n v="4"/>
    <n v="3"/>
    <n v="2"/>
    <n v="12"/>
    <n v="30"/>
    <x v="0"/>
    <x v="3"/>
    <n v="403"/>
    <n v="1"/>
    <x v="0"/>
    <n v="61"/>
    <n v="10"/>
    <n v="16.393442622950818"/>
  </r>
  <r>
    <n v="4"/>
    <n v="2"/>
    <n v="1"/>
    <n v="5"/>
    <n v="31"/>
    <x v="1"/>
    <x v="5"/>
    <n v="402"/>
    <n v="1"/>
    <x v="0"/>
    <n v="66"/>
    <n v="0"/>
    <n v="0"/>
  </r>
  <r>
    <n v="4"/>
    <n v="1"/>
    <n v="1"/>
    <n v="4"/>
    <n v="32"/>
    <x v="0"/>
    <x v="4"/>
    <n v="401"/>
    <n v="1"/>
    <x v="0"/>
    <n v="51"/>
    <n v="0"/>
    <n v="0"/>
  </r>
  <r>
    <n v="1"/>
    <n v="1"/>
    <n v="1"/>
    <n v="1"/>
    <n v="1"/>
    <x v="0"/>
    <x v="0"/>
    <n v="101"/>
    <n v="2"/>
    <x v="1"/>
    <n v="50"/>
    <n v="0"/>
    <n v="0"/>
  </r>
  <r>
    <n v="1"/>
    <n v="2"/>
    <n v="1"/>
    <n v="8"/>
    <n v="2"/>
    <x v="1"/>
    <x v="1"/>
    <n v="102"/>
    <n v="2"/>
    <x v="1"/>
    <n v="39"/>
    <n v="0"/>
    <n v="0"/>
  </r>
  <r>
    <n v="1"/>
    <n v="3"/>
    <n v="2"/>
    <n v="9"/>
    <n v="3"/>
    <x v="0"/>
    <x v="2"/>
    <n v="103"/>
    <n v="2"/>
    <x v="1"/>
    <n v="38"/>
    <n v="0"/>
    <n v="0"/>
  </r>
  <r>
    <n v="1"/>
    <n v="4"/>
    <n v="2"/>
    <n v="16"/>
    <n v="4"/>
    <x v="1"/>
    <x v="3"/>
    <n v="104"/>
    <n v="2"/>
    <x v="1"/>
    <n v="38"/>
    <n v="0"/>
    <n v="0"/>
  </r>
  <r>
    <n v="1"/>
    <n v="5"/>
    <n v="3"/>
    <n v="17"/>
    <n v="5"/>
    <x v="0"/>
    <x v="3"/>
    <n v="105"/>
    <n v="2"/>
    <x v="1"/>
    <n v="61"/>
    <n v="27"/>
    <n v="44.26229508196721"/>
  </r>
  <r>
    <n v="1"/>
    <n v="6"/>
    <n v="3"/>
    <n v="24"/>
    <n v="6"/>
    <x v="1"/>
    <x v="4"/>
    <n v="106"/>
    <n v="2"/>
    <x v="1"/>
    <n v="85"/>
    <n v="0"/>
    <n v="0"/>
  </r>
  <r>
    <n v="1"/>
    <n v="7"/>
    <n v="4"/>
    <n v="25"/>
    <n v="7"/>
    <x v="0"/>
    <x v="4"/>
    <n v="107"/>
    <n v="2"/>
    <x v="1"/>
    <n v="34"/>
    <n v="4"/>
    <n v="11.76470588235294"/>
  </r>
  <r>
    <n v="1"/>
    <n v="8"/>
    <n v="4"/>
    <n v="32"/>
    <n v="8"/>
    <x v="1"/>
    <x v="5"/>
    <n v="108"/>
    <n v="2"/>
    <x v="1"/>
    <n v="75"/>
    <n v="0"/>
    <n v="0"/>
  </r>
  <r>
    <n v="2"/>
    <n v="8"/>
    <n v="4"/>
    <n v="31"/>
    <n v="9"/>
    <x v="1"/>
    <x v="4"/>
    <n v="208"/>
    <n v="2"/>
    <x v="1"/>
    <n v="79"/>
    <n v="0"/>
    <n v="0"/>
  </r>
  <r>
    <n v="2"/>
    <n v="7"/>
    <n v="4"/>
    <n v="26"/>
    <n v="10"/>
    <x v="0"/>
    <x v="3"/>
    <n v="207"/>
    <n v="2"/>
    <x v="1"/>
    <n v="49"/>
    <n v="32"/>
    <n v="65.306122448979593"/>
  </r>
  <r>
    <n v="2"/>
    <n v="6"/>
    <n v="3"/>
    <n v="23"/>
    <n v="11"/>
    <x v="1"/>
    <x v="1"/>
    <n v="206"/>
    <n v="2"/>
    <x v="1"/>
    <n v="42"/>
    <n v="0"/>
    <n v="0"/>
  </r>
  <r>
    <n v="2"/>
    <n v="5"/>
    <n v="3"/>
    <n v="18"/>
    <n v="12"/>
    <x v="0"/>
    <x v="0"/>
    <n v="205"/>
    <n v="2"/>
    <x v="1"/>
    <n v="61"/>
    <n v="0"/>
    <n v="0"/>
  </r>
  <r>
    <n v="2"/>
    <n v="4"/>
    <n v="2"/>
    <n v="15"/>
    <n v="13"/>
    <x v="1"/>
    <x v="5"/>
    <n v="204"/>
    <n v="2"/>
    <x v="1"/>
    <n v="52"/>
    <n v="0"/>
    <n v="0"/>
  </r>
  <r>
    <n v="2"/>
    <n v="3"/>
    <n v="2"/>
    <n v="10"/>
    <n v="14"/>
    <x v="0"/>
    <x v="4"/>
    <n v="203"/>
    <n v="2"/>
    <x v="1"/>
    <n v="51"/>
    <n v="4"/>
    <n v="7.8431372549019605"/>
  </r>
  <r>
    <n v="2"/>
    <n v="2"/>
    <n v="1"/>
    <n v="7"/>
    <n v="15"/>
    <x v="1"/>
    <x v="3"/>
    <n v="202"/>
    <n v="2"/>
    <x v="1"/>
    <n v="67"/>
    <n v="0"/>
    <n v="0"/>
  </r>
  <r>
    <n v="2"/>
    <n v="1"/>
    <n v="1"/>
    <n v="2"/>
    <n v="16"/>
    <x v="0"/>
    <x v="2"/>
    <n v="201"/>
    <n v="2"/>
    <x v="1"/>
    <n v="55"/>
    <n v="0"/>
    <n v="0"/>
  </r>
  <r>
    <n v="3"/>
    <n v="1"/>
    <n v="1"/>
    <n v="3"/>
    <n v="17"/>
    <x v="0"/>
    <x v="3"/>
    <n v="301"/>
    <n v="2"/>
    <x v="1"/>
    <n v="35"/>
    <n v="20"/>
    <n v="57.142857142857139"/>
  </r>
  <r>
    <n v="3"/>
    <n v="2"/>
    <n v="1"/>
    <n v="6"/>
    <n v="18"/>
    <x v="1"/>
    <x v="4"/>
    <n v="302"/>
    <n v="2"/>
    <x v="1"/>
    <n v="55"/>
    <n v="0"/>
    <n v="0"/>
  </r>
  <r>
    <n v="3"/>
    <n v="3"/>
    <n v="2"/>
    <n v="11"/>
    <n v="19"/>
    <x v="0"/>
    <x v="0"/>
    <n v="303"/>
    <n v="2"/>
    <x v="1"/>
    <n v="59"/>
    <n v="0"/>
    <n v="0"/>
  </r>
  <r>
    <n v="3"/>
    <n v="4"/>
    <n v="2"/>
    <n v="14"/>
    <n v="20"/>
    <x v="1"/>
    <x v="1"/>
    <n v="304"/>
    <n v="2"/>
    <x v="1"/>
    <n v="46"/>
    <n v="0"/>
    <n v="0"/>
  </r>
  <r>
    <n v="3"/>
    <n v="5"/>
    <n v="3"/>
    <n v="19"/>
    <n v="21"/>
    <x v="0"/>
    <x v="4"/>
    <n v="305"/>
    <n v="2"/>
    <x v="1"/>
    <n v="61"/>
    <n v="25"/>
    <n v="40.983606557377051"/>
  </r>
  <r>
    <n v="3"/>
    <n v="6"/>
    <n v="3"/>
    <n v="22"/>
    <n v="22"/>
    <x v="1"/>
    <x v="5"/>
    <n v="306"/>
    <n v="2"/>
    <x v="1"/>
    <n v="73"/>
    <n v="0"/>
    <n v="0"/>
  </r>
  <r>
    <n v="3"/>
    <n v="7"/>
    <n v="4"/>
    <n v="27"/>
    <n v="23"/>
    <x v="0"/>
    <x v="2"/>
    <n v="307"/>
    <n v="2"/>
    <x v="1"/>
    <n v="44"/>
    <n v="0"/>
    <n v="0"/>
  </r>
  <r>
    <n v="3"/>
    <n v="8"/>
    <n v="4"/>
    <n v="30"/>
    <n v="24"/>
    <x v="1"/>
    <x v="3"/>
    <n v="308"/>
    <n v="2"/>
    <x v="1"/>
    <n v="64"/>
    <n v="0"/>
    <n v="0"/>
  </r>
  <r>
    <n v="4"/>
    <n v="8"/>
    <n v="4"/>
    <n v="29"/>
    <n v="25"/>
    <x v="1"/>
    <x v="1"/>
    <n v="408"/>
    <n v="2"/>
    <x v="1"/>
    <n v="47"/>
    <n v="0"/>
    <n v="0"/>
  </r>
  <r>
    <n v="4"/>
    <n v="7"/>
    <n v="4"/>
    <n v="28"/>
    <n v="26"/>
    <x v="0"/>
    <x v="0"/>
    <n v="407"/>
    <n v="2"/>
    <x v="1"/>
    <n v="57"/>
    <n v="0"/>
    <n v="0"/>
  </r>
  <r>
    <n v="4"/>
    <n v="6"/>
    <n v="3"/>
    <n v="21"/>
    <n v="27"/>
    <x v="1"/>
    <x v="3"/>
    <n v="406"/>
    <n v="2"/>
    <x v="1"/>
    <n v="54"/>
    <n v="0"/>
    <n v="0"/>
  </r>
  <r>
    <n v="4"/>
    <n v="5"/>
    <n v="3"/>
    <n v="20"/>
    <n v="28"/>
    <x v="0"/>
    <x v="2"/>
    <n v="405"/>
    <n v="2"/>
    <x v="1"/>
    <n v="64"/>
    <n v="2"/>
    <n v="3.125"/>
  </r>
  <r>
    <n v="4"/>
    <n v="4"/>
    <n v="2"/>
    <n v="13"/>
    <n v="29"/>
    <x v="1"/>
    <x v="4"/>
    <n v="404"/>
    <n v="2"/>
    <x v="1"/>
    <n v="64"/>
    <n v="0"/>
    <n v="0"/>
  </r>
  <r>
    <n v="4"/>
    <n v="3"/>
    <n v="2"/>
    <n v="12"/>
    <n v="30"/>
    <x v="0"/>
    <x v="3"/>
    <n v="403"/>
    <n v="2"/>
    <x v="1"/>
    <n v="61"/>
    <n v="28"/>
    <n v="45.901639344262293"/>
  </r>
  <r>
    <n v="4"/>
    <n v="2"/>
    <n v="1"/>
    <n v="5"/>
    <n v="31"/>
    <x v="1"/>
    <x v="5"/>
    <n v="402"/>
    <n v="2"/>
    <x v="1"/>
    <n v="66"/>
    <n v="0"/>
    <n v="0"/>
  </r>
  <r>
    <n v="4"/>
    <n v="1"/>
    <n v="1"/>
    <n v="4"/>
    <n v="32"/>
    <x v="0"/>
    <x v="4"/>
    <n v="401"/>
    <n v="2"/>
    <x v="1"/>
    <n v="51"/>
    <n v="2"/>
    <n v="3.9215686274509802"/>
  </r>
  <r>
    <n v="1"/>
    <n v="1"/>
    <n v="1"/>
    <n v="1"/>
    <n v="1"/>
    <x v="0"/>
    <x v="0"/>
    <n v="101"/>
    <n v="3"/>
    <x v="2"/>
    <n v="50"/>
    <m/>
    <m/>
  </r>
  <r>
    <n v="1"/>
    <n v="2"/>
    <n v="1"/>
    <n v="8"/>
    <n v="2"/>
    <x v="1"/>
    <x v="1"/>
    <n v="102"/>
    <n v="3"/>
    <x v="2"/>
    <n v="39"/>
    <m/>
    <m/>
  </r>
  <r>
    <n v="1"/>
    <n v="3"/>
    <n v="2"/>
    <n v="9"/>
    <n v="3"/>
    <x v="0"/>
    <x v="2"/>
    <n v="103"/>
    <n v="3"/>
    <x v="2"/>
    <n v="38"/>
    <m/>
    <m/>
  </r>
  <r>
    <n v="1"/>
    <n v="4"/>
    <n v="2"/>
    <n v="16"/>
    <n v="4"/>
    <x v="1"/>
    <x v="3"/>
    <n v="104"/>
    <n v="3"/>
    <x v="2"/>
    <n v="38"/>
    <m/>
    <m/>
  </r>
  <r>
    <n v="1"/>
    <n v="5"/>
    <n v="3"/>
    <n v="17"/>
    <n v="5"/>
    <x v="0"/>
    <x v="3"/>
    <n v="105"/>
    <n v="3"/>
    <x v="2"/>
    <n v="61"/>
    <m/>
    <m/>
  </r>
  <r>
    <n v="1"/>
    <n v="6"/>
    <n v="3"/>
    <n v="24"/>
    <n v="6"/>
    <x v="1"/>
    <x v="4"/>
    <n v="106"/>
    <n v="3"/>
    <x v="2"/>
    <n v="85"/>
    <m/>
    <m/>
  </r>
  <r>
    <n v="1"/>
    <n v="7"/>
    <n v="4"/>
    <n v="25"/>
    <n v="7"/>
    <x v="0"/>
    <x v="4"/>
    <n v="107"/>
    <n v="3"/>
    <x v="3"/>
    <n v="34"/>
    <n v="15"/>
    <n v="44.117647058823529"/>
  </r>
  <r>
    <n v="1"/>
    <n v="8"/>
    <n v="4"/>
    <n v="32"/>
    <n v="8"/>
    <x v="1"/>
    <x v="5"/>
    <n v="108"/>
    <n v="3"/>
    <x v="2"/>
    <n v="75"/>
    <m/>
    <m/>
  </r>
  <r>
    <n v="2"/>
    <n v="8"/>
    <n v="4"/>
    <n v="31"/>
    <n v="9"/>
    <x v="1"/>
    <x v="4"/>
    <n v="208"/>
    <n v="3"/>
    <x v="2"/>
    <n v="79"/>
    <m/>
    <m/>
  </r>
  <r>
    <n v="2"/>
    <n v="7"/>
    <n v="4"/>
    <n v="26"/>
    <n v="10"/>
    <x v="0"/>
    <x v="3"/>
    <n v="207"/>
    <n v="3"/>
    <x v="2"/>
    <n v="49"/>
    <m/>
    <m/>
  </r>
  <r>
    <n v="2"/>
    <n v="6"/>
    <n v="3"/>
    <n v="23"/>
    <n v="11"/>
    <x v="1"/>
    <x v="1"/>
    <n v="206"/>
    <n v="3"/>
    <x v="2"/>
    <n v="42"/>
    <m/>
    <m/>
  </r>
  <r>
    <n v="2"/>
    <n v="5"/>
    <n v="3"/>
    <n v="18"/>
    <n v="12"/>
    <x v="0"/>
    <x v="0"/>
    <n v="205"/>
    <n v="3"/>
    <x v="2"/>
    <n v="61"/>
    <m/>
    <m/>
  </r>
  <r>
    <n v="2"/>
    <n v="4"/>
    <n v="2"/>
    <n v="15"/>
    <n v="13"/>
    <x v="1"/>
    <x v="5"/>
    <n v="204"/>
    <n v="3"/>
    <x v="2"/>
    <n v="52"/>
    <m/>
    <m/>
  </r>
  <r>
    <n v="2"/>
    <n v="3"/>
    <n v="2"/>
    <n v="10"/>
    <n v="14"/>
    <x v="0"/>
    <x v="4"/>
    <n v="203"/>
    <n v="3"/>
    <x v="3"/>
    <n v="51"/>
    <n v="27"/>
    <n v="52.941176470588239"/>
  </r>
  <r>
    <n v="2"/>
    <n v="2"/>
    <n v="1"/>
    <n v="7"/>
    <n v="15"/>
    <x v="1"/>
    <x v="3"/>
    <n v="202"/>
    <n v="3"/>
    <x v="2"/>
    <n v="67"/>
    <m/>
    <m/>
  </r>
  <r>
    <n v="2"/>
    <n v="1"/>
    <n v="1"/>
    <n v="2"/>
    <n v="16"/>
    <x v="0"/>
    <x v="2"/>
    <n v="201"/>
    <n v="3"/>
    <x v="2"/>
    <n v="55"/>
    <m/>
    <m/>
  </r>
  <r>
    <n v="3"/>
    <n v="1"/>
    <n v="1"/>
    <n v="3"/>
    <n v="17"/>
    <x v="0"/>
    <x v="3"/>
    <n v="301"/>
    <n v="3"/>
    <x v="2"/>
    <n v="35"/>
    <m/>
    <m/>
  </r>
  <r>
    <n v="3"/>
    <n v="2"/>
    <n v="1"/>
    <n v="6"/>
    <n v="18"/>
    <x v="1"/>
    <x v="4"/>
    <n v="302"/>
    <n v="3"/>
    <x v="2"/>
    <n v="55"/>
    <m/>
    <m/>
  </r>
  <r>
    <n v="3"/>
    <n v="3"/>
    <n v="2"/>
    <n v="11"/>
    <n v="19"/>
    <x v="0"/>
    <x v="0"/>
    <n v="303"/>
    <n v="3"/>
    <x v="2"/>
    <n v="59"/>
    <m/>
    <m/>
  </r>
  <r>
    <n v="3"/>
    <n v="4"/>
    <n v="2"/>
    <n v="14"/>
    <n v="20"/>
    <x v="1"/>
    <x v="1"/>
    <n v="304"/>
    <n v="3"/>
    <x v="2"/>
    <n v="46"/>
    <m/>
    <m/>
  </r>
  <r>
    <n v="3"/>
    <n v="5"/>
    <n v="3"/>
    <n v="19"/>
    <n v="21"/>
    <x v="0"/>
    <x v="4"/>
    <n v="305"/>
    <n v="3"/>
    <x v="3"/>
    <n v="61"/>
    <n v="32"/>
    <n v="52.459016393442624"/>
  </r>
  <r>
    <n v="3"/>
    <n v="6"/>
    <n v="3"/>
    <n v="22"/>
    <n v="22"/>
    <x v="1"/>
    <x v="5"/>
    <n v="306"/>
    <n v="3"/>
    <x v="2"/>
    <n v="73"/>
    <m/>
    <m/>
  </r>
  <r>
    <n v="3"/>
    <n v="7"/>
    <n v="4"/>
    <n v="27"/>
    <n v="23"/>
    <x v="0"/>
    <x v="2"/>
    <n v="307"/>
    <n v="3"/>
    <x v="2"/>
    <n v="44"/>
    <m/>
    <m/>
  </r>
  <r>
    <n v="3"/>
    <n v="8"/>
    <n v="4"/>
    <n v="30"/>
    <n v="24"/>
    <x v="1"/>
    <x v="3"/>
    <n v="308"/>
    <n v="3"/>
    <x v="2"/>
    <n v="64"/>
    <m/>
    <m/>
  </r>
  <r>
    <n v="4"/>
    <n v="8"/>
    <n v="4"/>
    <n v="29"/>
    <n v="25"/>
    <x v="1"/>
    <x v="1"/>
    <n v="408"/>
    <n v="3"/>
    <x v="2"/>
    <n v="47"/>
    <m/>
    <m/>
  </r>
  <r>
    <n v="4"/>
    <n v="7"/>
    <n v="4"/>
    <n v="28"/>
    <n v="26"/>
    <x v="0"/>
    <x v="0"/>
    <n v="407"/>
    <n v="3"/>
    <x v="2"/>
    <n v="57"/>
    <m/>
    <m/>
  </r>
  <r>
    <n v="4"/>
    <n v="6"/>
    <n v="3"/>
    <n v="21"/>
    <n v="27"/>
    <x v="1"/>
    <x v="3"/>
    <n v="406"/>
    <n v="3"/>
    <x v="2"/>
    <n v="54"/>
    <m/>
    <m/>
  </r>
  <r>
    <n v="4"/>
    <n v="5"/>
    <n v="3"/>
    <n v="20"/>
    <n v="28"/>
    <x v="0"/>
    <x v="2"/>
    <n v="405"/>
    <n v="3"/>
    <x v="2"/>
    <n v="64"/>
    <m/>
    <m/>
  </r>
  <r>
    <n v="4"/>
    <n v="4"/>
    <n v="2"/>
    <n v="13"/>
    <n v="29"/>
    <x v="1"/>
    <x v="4"/>
    <n v="404"/>
    <n v="3"/>
    <x v="2"/>
    <n v="64"/>
    <m/>
    <m/>
  </r>
  <r>
    <n v="4"/>
    <n v="3"/>
    <n v="2"/>
    <n v="12"/>
    <n v="30"/>
    <x v="0"/>
    <x v="3"/>
    <n v="403"/>
    <n v="3"/>
    <x v="2"/>
    <n v="61"/>
    <m/>
    <m/>
  </r>
  <r>
    <n v="4"/>
    <n v="2"/>
    <n v="1"/>
    <n v="5"/>
    <n v="31"/>
    <x v="1"/>
    <x v="5"/>
    <n v="402"/>
    <n v="3"/>
    <x v="2"/>
    <n v="66"/>
    <m/>
    <m/>
  </r>
  <r>
    <n v="4"/>
    <n v="1"/>
    <n v="1"/>
    <n v="4"/>
    <n v="32"/>
    <x v="0"/>
    <x v="4"/>
    <n v="401"/>
    <n v="3"/>
    <x v="3"/>
    <n v="51"/>
    <n v="31"/>
    <n v="60.784313725490193"/>
  </r>
  <r>
    <n v="1"/>
    <n v="1"/>
    <n v="1"/>
    <n v="1"/>
    <n v="1"/>
    <x v="0"/>
    <x v="0"/>
    <n v="101"/>
    <n v="4"/>
    <x v="4"/>
    <n v="50"/>
    <n v="0"/>
    <n v="0"/>
  </r>
  <r>
    <n v="1"/>
    <n v="2"/>
    <n v="1"/>
    <n v="8"/>
    <n v="2"/>
    <x v="1"/>
    <x v="1"/>
    <n v="102"/>
    <n v="4"/>
    <x v="4"/>
    <n v="39"/>
    <n v="0"/>
    <n v="0"/>
  </r>
  <r>
    <n v="1"/>
    <n v="3"/>
    <n v="2"/>
    <n v="9"/>
    <n v="3"/>
    <x v="0"/>
    <x v="2"/>
    <n v="103"/>
    <n v="4"/>
    <x v="4"/>
    <n v="38"/>
    <n v="2"/>
    <n v="5.2631578947368416"/>
  </r>
  <r>
    <n v="1"/>
    <n v="4"/>
    <n v="2"/>
    <n v="16"/>
    <n v="4"/>
    <x v="1"/>
    <x v="3"/>
    <n v="104"/>
    <n v="4"/>
    <x v="4"/>
    <n v="38"/>
    <n v="0"/>
    <n v="0"/>
  </r>
  <r>
    <n v="1"/>
    <n v="5"/>
    <n v="3"/>
    <n v="17"/>
    <n v="5"/>
    <x v="0"/>
    <x v="3"/>
    <n v="105"/>
    <n v="4"/>
    <x v="4"/>
    <n v="61"/>
    <m/>
    <m/>
  </r>
  <r>
    <n v="1"/>
    <n v="6"/>
    <n v="3"/>
    <n v="24"/>
    <n v="6"/>
    <x v="1"/>
    <x v="4"/>
    <n v="106"/>
    <n v="4"/>
    <x v="4"/>
    <n v="85"/>
    <n v="0"/>
    <n v="0"/>
  </r>
  <r>
    <n v="1"/>
    <n v="7"/>
    <n v="4"/>
    <n v="25"/>
    <n v="7"/>
    <x v="0"/>
    <x v="4"/>
    <n v="107"/>
    <n v="4"/>
    <x v="4"/>
    <n v="34"/>
    <m/>
    <m/>
  </r>
  <r>
    <n v="1"/>
    <n v="8"/>
    <n v="4"/>
    <n v="32"/>
    <n v="8"/>
    <x v="1"/>
    <x v="5"/>
    <n v="108"/>
    <n v="4"/>
    <x v="4"/>
    <n v="75"/>
    <n v="0"/>
    <n v="0"/>
  </r>
  <r>
    <n v="2"/>
    <n v="8"/>
    <n v="4"/>
    <n v="31"/>
    <n v="9"/>
    <x v="1"/>
    <x v="4"/>
    <n v="208"/>
    <n v="4"/>
    <x v="4"/>
    <n v="79"/>
    <n v="0"/>
    <n v="0"/>
  </r>
  <r>
    <n v="2"/>
    <n v="7"/>
    <n v="4"/>
    <n v="26"/>
    <n v="10"/>
    <x v="0"/>
    <x v="3"/>
    <n v="207"/>
    <n v="4"/>
    <x v="4"/>
    <n v="49"/>
    <m/>
    <m/>
  </r>
  <r>
    <n v="2"/>
    <n v="6"/>
    <n v="3"/>
    <n v="23"/>
    <n v="11"/>
    <x v="1"/>
    <x v="1"/>
    <n v="206"/>
    <n v="4"/>
    <x v="4"/>
    <n v="42"/>
    <n v="1"/>
    <n v="2.3809523809523809"/>
  </r>
  <r>
    <n v="2"/>
    <n v="5"/>
    <n v="3"/>
    <n v="18"/>
    <n v="12"/>
    <x v="0"/>
    <x v="0"/>
    <n v="205"/>
    <n v="4"/>
    <x v="4"/>
    <n v="61"/>
    <n v="0"/>
    <n v="0"/>
  </r>
  <r>
    <n v="2"/>
    <n v="4"/>
    <n v="2"/>
    <n v="15"/>
    <n v="13"/>
    <x v="1"/>
    <x v="5"/>
    <n v="204"/>
    <n v="4"/>
    <x v="4"/>
    <n v="52"/>
    <n v="0"/>
    <n v="0"/>
  </r>
  <r>
    <n v="2"/>
    <n v="3"/>
    <n v="2"/>
    <n v="10"/>
    <n v="14"/>
    <x v="0"/>
    <x v="4"/>
    <n v="203"/>
    <n v="4"/>
    <x v="4"/>
    <n v="51"/>
    <m/>
    <m/>
  </r>
  <r>
    <n v="2"/>
    <n v="2"/>
    <n v="1"/>
    <n v="7"/>
    <n v="15"/>
    <x v="1"/>
    <x v="3"/>
    <n v="202"/>
    <n v="4"/>
    <x v="4"/>
    <n v="67"/>
    <n v="0"/>
    <n v="0"/>
  </r>
  <r>
    <n v="2"/>
    <n v="1"/>
    <n v="1"/>
    <n v="2"/>
    <n v="16"/>
    <x v="0"/>
    <x v="2"/>
    <n v="201"/>
    <n v="4"/>
    <x v="4"/>
    <n v="55"/>
    <n v="27"/>
    <n v="49.090909090909093"/>
  </r>
  <r>
    <n v="3"/>
    <n v="1"/>
    <n v="1"/>
    <n v="3"/>
    <n v="17"/>
    <x v="0"/>
    <x v="3"/>
    <n v="301"/>
    <n v="4"/>
    <x v="4"/>
    <n v="35"/>
    <m/>
    <m/>
  </r>
  <r>
    <n v="3"/>
    <n v="2"/>
    <n v="1"/>
    <n v="6"/>
    <n v="18"/>
    <x v="1"/>
    <x v="4"/>
    <n v="302"/>
    <n v="4"/>
    <x v="4"/>
    <n v="55"/>
    <n v="1"/>
    <n v="1.8181818181818181"/>
  </r>
  <r>
    <n v="3"/>
    <n v="3"/>
    <n v="2"/>
    <n v="11"/>
    <n v="19"/>
    <x v="0"/>
    <x v="0"/>
    <n v="303"/>
    <n v="4"/>
    <x v="4"/>
    <n v="59"/>
    <n v="0"/>
    <n v="0"/>
  </r>
  <r>
    <n v="3"/>
    <n v="4"/>
    <n v="2"/>
    <n v="14"/>
    <n v="20"/>
    <x v="1"/>
    <x v="1"/>
    <n v="304"/>
    <n v="4"/>
    <x v="4"/>
    <n v="46"/>
    <n v="0"/>
    <n v="0"/>
  </r>
  <r>
    <n v="3"/>
    <n v="5"/>
    <n v="3"/>
    <n v="19"/>
    <n v="21"/>
    <x v="0"/>
    <x v="4"/>
    <n v="305"/>
    <n v="4"/>
    <x v="4"/>
    <n v="61"/>
    <m/>
    <m/>
  </r>
  <r>
    <n v="3"/>
    <n v="6"/>
    <n v="3"/>
    <n v="22"/>
    <n v="22"/>
    <x v="1"/>
    <x v="5"/>
    <n v="306"/>
    <n v="4"/>
    <x v="4"/>
    <n v="73"/>
    <n v="0"/>
    <n v="0"/>
  </r>
  <r>
    <n v="3"/>
    <n v="7"/>
    <n v="4"/>
    <n v="27"/>
    <n v="23"/>
    <x v="0"/>
    <x v="2"/>
    <n v="307"/>
    <n v="4"/>
    <x v="4"/>
    <n v="44"/>
    <n v="18"/>
    <n v="40.909090909090914"/>
  </r>
  <r>
    <n v="3"/>
    <n v="8"/>
    <n v="4"/>
    <n v="30"/>
    <n v="24"/>
    <x v="1"/>
    <x v="3"/>
    <n v="308"/>
    <n v="4"/>
    <x v="4"/>
    <n v="64"/>
    <n v="0"/>
    <n v="0"/>
  </r>
  <r>
    <n v="4"/>
    <n v="8"/>
    <n v="4"/>
    <n v="29"/>
    <n v="25"/>
    <x v="1"/>
    <x v="1"/>
    <n v="408"/>
    <n v="4"/>
    <x v="4"/>
    <n v="47"/>
    <n v="0"/>
    <n v="0"/>
  </r>
  <r>
    <n v="4"/>
    <n v="7"/>
    <n v="4"/>
    <n v="28"/>
    <n v="26"/>
    <x v="0"/>
    <x v="0"/>
    <n v="407"/>
    <n v="4"/>
    <x v="4"/>
    <n v="57"/>
    <n v="0"/>
    <n v="0"/>
  </r>
  <r>
    <n v="4"/>
    <n v="6"/>
    <n v="3"/>
    <n v="21"/>
    <n v="27"/>
    <x v="1"/>
    <x v="3"/>
    <n v="406"/>
    <n v="4"/>
    <x v="4"/>
    <n v="54"/>
    <n v="12"/>
    <n v="22.222222222222221"/>
  </r>
  <r>
    <n v="4"/>
    <n v="5"/>
    <n v="3"/>
    <n v="20"/>
    <n v="28"/>
    <x v="0"/>
    <x v="2"/>
    <n v="405"/>
    <n v="4"/>
    <x v="4"/>
    <n v="64"/>
    <n v="51"/>
    <n v="79.6875"/>
  </r>
  <r>
    <n v="4"/>
    <n v="4"/>
    <n v="2"/>
    <n v="13"/>
    <n v="29"/>
    <x v="1"/>
    <x v="4"/>
    <n v="404"/>
    <n v="4"/>
    <x v="4"/>
    <n v="64"/>
    <n v="0"/>
    <n v="0"/>
  </r>
  <r>
    <n v="4"/>
    <n v="3"/>
    <n v="2"/>
    <n v="12"/>
    <n v="30"/>
    <x v="0"/>
    <x v="3"/>
    <n v="403"/>
    <n v="4"/>
    <x v="4"/>
    <n v="61"/>
    <m/>
    <m/>
  </r>
  <r>
    <n v="4"/>
    <n v="2"/>
    <n v="1"/>
    <n v="5"/>
    <n v="31"/>
    <x v="1"/>
    <x v="5"/>
    <n v="402"/>
    <n v="4"/>
    <x v="4"/>
    <n v="66"/>
    <n v="0"/>
    <n v="0"/>
  </r>
  <r>
    <n v="4"/>
    <n v="1"/>
    <n v="1"/>
    <n v="4"/>
    <n v="32"/>
    <x v="0"/>
    <x v="4"/>
    <n v="401"/>
    <n v="4"/>
    <x v="4"/>
    <n v="51"/>
    <m/>
    <m/>
  </r>
  <r>
    <n v="1"/>
    <n v="1"/>
    <n v="1"/>
    <n v="1"/>
    <n v="1"/>
    <x v="0"/>
    <x v="0"/>
    <n v="101"/>
    <n v="5"/>
    <x v="5"/>
    <n v="50"/>
    <n v="0"/>
    <n v="0"/>
  </r>
  <r>
    <n v="1"/>
    <n v="2"/>
    <n v="1"/>
    <n v="8"/>
    <n v="2"/>
    <x v="1"/>
    <x v="1"/>
    <n v="102"/>
    <n v="5"/>
    <x v="5"/>
    <n v="39"/>
    <n v="1"/>
    <n v="2.5641025641025639"/>
  </r>
  <r>
    <n v="1"/>
    <n v="3"/>
    <n v="2"/>
    <n v="9"/>
    <n v="3"/>
    <x v="0"/>
    <x v="2"/>
    <n v="103"/>
    <n v="5"/>
    <x v="5"/>
    <n v="38"/>
    <m/>
    <m/>
  </r>
  <r>
    <n v="1"/>
    <n v="4"/>
    <n v="2"/>
    <n v="16"/>
    <n v="4"/>
    <x v="1"/>
    <x v="3"/>
    <n v="104"/>
    <n v="5"/>
    <x v="5"/>
    <n v="38"/>
    <n v="0"/>
    <n v="0"/>
  </r>
  <r>
    <n v="1"/>
    <n v="5"/>
    <n v="3"/>
    <n v="17"/>
    <n v="5"/>
    <x v="0"/>
    <x v="3"/>
    <n v="105"/>
    <n v="5"/>
    <x v="5"/>
    <n v="61"/>
    <m/>
    <m/>
  </r>
  <r>
    <n v="1"/>
    <n v="6"/>
    <n v="3"/>
    <n v="24"/>
    <n v="6"/>
    <x v="1"/>
    <x v="4"/>
    <n v="106"/>
    <n v="5"/>
    <x v="5"/>
    <n v="85"/>
    <n v="0"/>
    <n v="0"/>
  </r>
  <r>
    <n v="1"/>
    <n v="7"/>
    <n v="4"/>
    <n v="25"/>
    <n v="7"/>
    <x v="0"/>
    <x v="4"/>
    <n v="107"/>
    <n v="5"/>
    <x v="5"/>
    <n v="34"/>
    <m/>
    <m/>
  </r>
  <r>
    <n v="1"/>
    <n v="8"/>
    <n v="4"/>
    <n v="32"/>
    <n v="8"/>
    <x v="1"/>
    <x v="5"/>
    <n v="108"/>
    <n v="5"/>
    <x v="5"/>
    <n v="75"/>
    <n v="0"/>
    <n v="0"/>
  </r>
  <r>
    <n v="2"/>
    <n v="8"/>
    <n v="4"/>
    <n v="31"/>
    <n v="9"/>
    <x v="1"/>
    <x v="4"/>
    <n v="208"/>
    <n v="5"/>
    <x v="5"/>
    <n v="79"/>
    <n v="1"/>
    <n v="1.2658227848101267"/>
  </r>
  <r>
    <n v="2"/>
    <n v="7"/>
    <n v="4"/>
    <n v="26"/>
    <n v="10"/>
    <x v="0"/>
    <x v="3"/>
    <n v="207"/>
    <n v="5"/>
    <x v="5"/>
    <n v="49"/>
    <m/>
    <m/>
  </r>
  <r>
    <n v="2"/>
    <n v="6"/>
    <n v="3"/>
    <n v="23"/>
    <n v="11"/>
    <x v="1"/>
    <x v="1"/>
    <n v="206"/>
    <n v="5"/>
    <x v="5"/>
    <n v="42"/>
    <n v="21"/>
    <n v="50"/>
  </r>
  <r>
    <n v="2"/>
    <n v="5"/>
    <n v="3"/>
    <n v="18"/>
    <n v="12"/>
    <x v="0"/>
    <x v="0"/>
    <n v="205"/>
    <n v="5"/>
    <x v="5"/>
    <n v="61"/>
    <n v="0"/>
    <n v="0"/>
  </r>
  <r>
    <n v="2"/>
    <n v="4"/>
    <n v="2"/>
    <n v="15"/>
    <n v="13"/>
    <x v="1"/>
    <x v="5"/>
    <n v="204"/>
    <n v="5"/>
    <x v="5"/>
    <n v="52"/>
    <n v="2"/>
    <n v="3.8461538461538463"/>
  </r>
  <r>
    <n v="2"/>
    <n v="3"/>
    <n v="2"/>
    <n v="10"/>
    <n v="14"/>
    <x v="0"/>
    <x v="4"/>
    <n v="203"/>
    <n v="5"/>
    <x v="5"/>
    <n v="51"/>
    <m/>
    <m/>
  </r>
  <r>
    <n v="2"/>
    <n v="2"/>
    <n v="1"/>
    <n v="7"/>
    <n v="15"/>
    <x v="1"/>
    <x v="3"/>
    <n v="202"/>
    <n v="5"/>
    <x v="5"/>
    <n v="67"/>
    <n v="31"/>
    <n v="46.268656716417908"/>
  </r>
  <r>
    <n v="2"/>
    <n v="1"/>
    <n v="1"/>
    <n v="2"/>
    <n v="16"/>
    <x v="0"/>
    <x v="2"/>
    <n v="201"/>
    <n v="5"/>
    <x v="5"/>
    <n v="55"/>
    <m/>
    <m/>
  </r>
  <r>
    <n v="3"/>
    <n v="1"/>
    <n v="1"/>
    <n v="3"/>
    <n v="17"/>
    <x v="0"/>
    <x v="3"/>
    <n v="301"/>
    <n v="5"/>
    <x v="5"/>
    <n v="35"/>
    <m/>
    <m/>
  </r>
  <r>
    <n v="3"/>
    <n v="2"/>
    <n v="1"/>
    <n v="6"/>
    <n v="18"/>
    <x v="1"/>
    <x v="4"/>
    <n v="302"/>
    <n v="5"/>
    <x v="5"/>
    <n v="55"/>
    <n v="12"/>
    <n v="21.818181818181817"/>
  </r>
  <r>
    <n v="3"/>
    <n v="3"/>
    <n v="2"/>
    <n v="11"/>
    <n v="19"/>
    <x v="0"/>
    <x v="0"/>
    <n v="303"/>
    <n v="5"/>
    <x v="5"/>
    <n v="59"/>
    <n v="0"/>
    <n v="0"/>
  </r>
  <r>
    <n v="3"/>
    <n v="4"/>
    <n v="2"/>
    <n v="14"/>
    <n v="20"/>
    <x v="1"/>
    <x v="1"/>
    <n v="304"/>
    <n v="5"/>
    <x v="5"/>
    <n v="46"/>
    <n v="15"/>
    <n v="32.608695652173914"/>
  </r>
  <r>
    <n v="3"/>
    <n v="5"/>
    <n v="3"/>
    <n v="19"/>
    <n v="21"/>
    <x v="0"/>
    <x v="4"/>
    <n v="305"/>
    <n v="5"/>
    <x v="5"/>
    <n v="61"/>
    <m/>
    <m/>
  </r>
  <r>
    <n v="3"/>
    <n v="6"/>
    <n v="3"/>
    <n v="22"/>
    <n v="22"/>
    <x v="1"/>
    <x v="5"/>
    <n v="306"/>
    <n v="5"/>
    <x v="5"/>
    <n v="73"/>
    <n v="0"/>
    <n v="0"/>
  </r>
  <r>
    <n v="3"/>
    <n v="7"/>
    <n v="4"/>
    <n v="27"/>
    <n v="23"/>
    <x v="0"/>
    <x v="2"/>
    <n v="307"/>
    <n v="5"/>
    <x v="5"/>
    <n v="44"/>
    <m/>
    <m/>
  </r>
  <r>
    <n v="3"/>
    <n v="8"/>
    <n v="4"/>
    <n v="30"/>
    <n v="24"/>
    <x v="1"/>
    <x v="3"/>
    <n v="308"/>
    <n v="5"/>
    <x v="5"/>
    <n v="64"/>
    <n v="4"/>
    <n v="6.25"/>
  </r>
  <r>
    <n v="4"/>
    <n v="8"/>
    <n v="4"/>
    <n v="29"/>
    <n v="25"/>
    <x v="1"/>
    <x v="1"/>
    <n v="408"/>
    <n v="5"/>
    <x v="5"/>
    <n v="47"/>
    <n v="14"/>
    <n v="29.787234042553191"/>
  </r>
  <r>
    <n v="4"/>
    <n v="7"/>
    <n v="4"/>
    <n v="28"/>
    <n v="26"/>
    <x v="0"/>
    <x v="0"/>
    <n v="407"/>
    <n v="5"/>
    <x v="5"/>
    <n v="57"/>
    <n v="0"/>
    <n v="0"/>
  </r>
  <r>
    <n v="4"/>
    <n v="6"/>
    <n v="3"/>
    <n v="21"/>
    <n v="27"/>
    <x v="1"/>
    <x v="3"/>
    <n v="406"/>
    <n v="5"/>
    <x v="5"/>
    <n v="54"/>
    <n v="40"/>
    <n v="74.074074074074076"/>
  </r>
  <r>
    <n v="4"/>
    <n v="5"/>
    <n v="3"/>
    <n v="20"/>
    <n v="28"/>
    <x v="0"/>
    <x v="2"/>
    <n v="405"/>
    <n v="5"/>
    <x v="5"/>
    <n v="64"/>
    <m/>
    <m/>
  </r>
  <r>
    <n v="4"/>
    <n v="4"/>
    <n v="2"/>
    <n v="13"/>
    <n v="29"/>
    <x v="1"/>
    <x v="4"/>
    <n v="404"/>
    <n v="5"/>
    <x v="5"/>
    <n v="64"/>
    <n v="2"/>
    <n v="3.125"/>
  </r>
  <r>
    <n v="4"/>
    <n v="3"/>
    <n v="2"/>
    <n v="12"/>
    <n v="30"/>
    <x v="0"/>
    <x v="3"/>
    <n v="403"/>
    <n v="5"/>
    <x v="5"/>
    <n v="61"/>
    <m/>
    <m/>
  </r>
  <r>
    <n v="4"/>
    <n v="2"/>
    <n v="1"/>
    <n v="5"/>
    <n v="31"/>
    <x v="1"/>
    <x v="5"/>
    <n v="402"/>
    <n v="5"/>
    <x v="5"/>
    <n v="66"/>
    <n v="0"/>
    <n v="0"/>
  </r>
  <r>
    <n v="4"/>
    <n v="1"/>
    <n v="1"/>
    <n v="4"/>
    <n v="32"/>
    <x v="0"/>
    <x v="4"/>
    <n v="401"/>
    <n v="5"/>
    <x v="5"/>
    <n v="51"/>
    <m/>
    <m/>
  </r>
  <r>
    <n v="1"/>
    <n v="1"/>
    <n v="1"/>
    <n v="1"/>
    <n v="1"/>
    <x v="0"/>
    <x v="0"/>
    <n v="101"/>
    <n v="6"/>
    <x v="6"/>
    <n v="50"/>
    <n v="0"/>
    <n v="0"/>
  </r>
  <r>
    <n v="1"/>
    <n v="2"/>
    <n v="1"/>
    <n v="8"/>
    <n v="2"/>
    <x v="1"/>
    <x v="1"/>
    <n v="102"/>
    <n v="6"/>
    <x v="6"/>
    <n v="39"/>
    <m/>
    <m/>
  </r>
  <r>
    <n v="1"/>
    <n v="3"/>
    <n v="2"/>
    <n v="9"/>
    <n v="3"/>
    <x v="0"/>
    <x v="2"/>
    <n v="103"/>
    <n v="6"/>
    <x v="6"/>
    <n v="38"/>
    <m/>
    <m/>
  </r>
  <r>
    <n v="1"/>
    <n v="4"/>
    <n v="2"/>
    <n v="16"/>
    <n v="4"/>
    <x v="1"/>
    <x v="3"/>
    <n v="104"/>
    <n v="6"/>
    <x v="6"/>
    <n v="38"/>
    <m/>
    <m/>
  </r>
  <r>
    <n v="1"/>
    <n v="5"/>
    <n v="3"/>
    <n v="17"/>
    <n v="5"/>
    <x v="0"/>
    <x v="3"/>
    <n v="105"/>
    <n v="6"/>
    <x v="6"/>
    <n v="61"/>
    <m/>
    <m/>
  </r>
  <r>
    <n v="1"/>
    <n v="6"/>
    <n v="3"/>
    <n v="24"/>
    <n v="6"/>
    <x v="1"/>
    <x v="4"/>
    <n v="106"/>
    <n v="6"/>
    <x v="6"/>
    <n v="85"/>
    <n v="19"/>
    <n v="22.352941176470591"/>
  </r>
  <r>
    <n v="1"/>
    <n v="7"/>
    <n v="4"/>
    <n v="25"/>
    <n v="7"/>
    <x v="0"/>
    <x v="4"/>
    <n v="107"/>
    <n v="6"/>
    <x v="6"/>
    <n v="34"/>
    <m/>
    <m/>
  </r>
  <r>
    <n v="1"/>
    <n v="8"/>
    <n v="4"/>
    <n v="32"/>
    <n v="8"/>
    <x v="1"/>
    <x v="5"/>
    <n v="108"/>
    <n v="6"/>
    <x v="6"/>
    <n v="75"/>
    <n v="4"/>
    <n v="5.3333333333333339"/>
  </r>
  <r>
    <n v="2"/>
    <n v="8"/>
    <n v="4"/>
    <n v="31"/>
    <n v="9"/>
    <x v="1"/>
    <x v="4"/>
    <n v="208"/>
    <n v="6"/>
    <x v="6"/>
    <n v="79"/>
    <n v="14"/>
    <n v="17.721518987341771"/>
  </r>
  <r>
    <n v="2"/>
    <n v="7"/>
    <n v="4"/>
    <n v="26"/>
    <n v="10"/>
    <x v="0"/>
    <x v="3"/>
    <n v="207"/>
    <n v="6"/>
    <x v="6"/>
    <n v="49"/>
    <m/>
    <m/>
  </r>
  <r>
    <n v="2"/>
    <n v="6"/>
    <n v="3"/>
    <n v="23"/>
    <n v="11"/>
    <x v="1"/>
    <x v="1"/>
    <n v="206"/>
    <n v="6"/>
    <x v="6"/>
    <n v="42"/>
    <m/>
    <m/>
  </r>
  <r>
    <n v="2"/>
    <n v="5"/>
    <n v="3"/>
    <n v="18"/>
    <n v="12"/>
    <x v="0"/>
    <x v="0"/>
    <n v="205"/>
    <n v="6"/>
    <x v="6"/>
    <n v="61"/>
    <n v="0"/>
    <n v="0"/>
  </r>
  <r>
    <n v="2"/>
    <n v="4"/>
    <n v="2"/>
    <n v="15"/>
    <n v="13"/>
    <x v="1"/>
    <x v="5"/>
    <n v="204"/>
    <n v="6"/>
    <x v="6"/>
    <n v="52"/>
    <n v="19"/>
    <n v="36.538461538461533"/>
  </r>
  <r>
    <n v="2"/>
    <n v="3"/>
    <n v="2"/>
    <n v="10"/>
    <n v="14"/>
    <x v="0"/>
    <x v="4"/>
    <n v="203"/>
    <n v="6"/>
    <x v="6"/>
    <n v="51"/>
    <m/>
    <m/>
  </r>
  <r>
    <n v="2"/>
    <n v="2"/>
    <n v="1"/>
    <n v="7"/>
    <n v="15"/>
    <x v="1"/>
    <x v="3"/>
    <n v="202"/>
    <n v="6"/>
    <x v="6"/>
    <n v="67"/>
    <m/>
    <m/>
  </r>
  <r>
    <n v="2"/>
    <n v="1"/>
    <n v="1"/>
    <n v="2"/>
    <n v="16"/>
    <x v="0"/>
    <x v="2"/>
    <n v="201"/>
    <n v="6"/>
    <x v="6"/>
    <n v="55"/>
    <m/>
    <m/>
  </r>
  <r>
    <n v="3"/>
    <n v="1"/>
    <n v="1"/>
    <n v="3"/>
    <n v="17"/>
    <x v="0"/>
    <x v="3"/>
    <n v="301"/>
    <n v="6"/>
    <x v="6"/>
    <n v="35"/>
    <m/>
    <m/>
  </r>
  <r>
    <n v="3"/>
    <n v="2"/>
    <n v="1"/>
    <n v="6"/>
    <n v="18"/>
    <x v="1"/>
    <x v="4"/>
    <n v="302"/>
    <n v="6"/>
    <x v="6"/>
    <n v="55"/>
    <n v="40"/>
    <n v="72.727272727272734"/>
  </r>
  <r>
    <n v="3"/>
    <n v="3"/>
    <n v="2"/>
    <n v="11"/>
    <n v="19"/>
    <x v="0"/>
    <x v="0"/>
    <n v="303"/>
    <n v="6"/>
    <x v="6"/>
    <n v="59"/>
    <n v="0"/>
    <n v="0"/>
  </r>
  <r>
    <n v="3"/>
    <n v="4"/>
    <n v="2"/>
    <n v="14"/>
    <n v="20"/>
    <x v="1"/>
    <x v="1"/>
    <n v="304"/>
    <n v="6"/>
    <x v="6"/>
    <n v="46"/>
    <m/>
    <m/>
  </r>
  <r>
    <n v="3"/>
    <n v="5"/>
    <n v="3"/>
    <n v="19"/>
    <n v="21"/>
    <x v="0"/>
    <x v="4"/>
    <n v="305"/>
    <n v="6"/>
    <x v="6"/>
    <n v="61"/>
    <m/>
    <m/>
  </r>
  <r>
    <n v="3"/>
    <n v="6"/>
    <n v="3"/>
    <n v="22"/>
    <n v="22"/>
    <x v="1"/>
    <x v="5"/>
    <n v="306"/>
    <n v="6"/>
    <x v="6"/>
    <n v="73"/>
    <n v="7"/>
    <n v="9.5890410958904102"/>
  </r>
  <r>
    <n v="3"/>
    <n v="7"/>
    <n v="4"/>
    <n v="27"/>
    <n v="23"/>
    <x v="0"/>
    <x v="2"/>
    <n v="307"/>
    <n v="6"/>
    <x v="6"/>
    <n v="44"/>
    <m/>
    <m/>
  </r>
  <r>
    <n v="3"/>
    <n v="8"/>
    <n v="4"/>
    <n v="30"/>
    <n v="24"/>
    <x v="1"/>
    <x v="3"/>
    <n v="308"/>
    <n v="6"/>
    <x v="6"/>
    <n v="64"/>
    <m/>
    <m/>
  </r>
  <r>
    <n v="4"/>
    <n v="8"/>
    <n v="4"/>
    <n v="29"/>
    <n v="25"/>
    <x v="1"/>
    <x v="1"/>
    <n v="408"/>
    <n v="6"/>
    <x v="6"/>
    <n v="47"/>
    <m/>
    <m/>
  </r>
  <r>
    <n v="4"/>
    <n v="7"/>
    <n v="4"/>
    <n v="28"/>
    <n v="26"/>
    <x v="0"/>
    <x v="0"/>
    <n v="407"/>
    <n v="6"/>
    <x v="6"/>
    <n v="57"/>
    <n v="1"/>
    <n v="1.7543859649122806"/>
  </r>
  <r>
    <n v="4"/>
    <n v="6"/>
    <n v="3"/>
    <n v="21"/>
    <n v="27"/>
    <x v="1"/>
    <x v="3"/>
    <n v="406"/>
    <n v="6"/>
    <x v="6"/>
    <n v="54"/>
    <m/>
    <m/>
  </r>
  <r>
    <n v="4"/>
    <n v="5"/>
    <n v="3"/>
    <n v="20"/>
    <n v="28"/>
    <x v="0"/>
    <x v="2"/>
    <n v="405"/>
    <n v="6"/>
    <x v="6"/>
    <n v="64"/>
    <m/>
    <m/>
  </r>
  <r>
    <n v="4"/>
    <n v="4"/>
    <n v="2"/>
    <n v="13"/>
    <n v="29"/>
    <x v="1"/>
    <x v="4"/>
    <n v="404"/>
    <n v="6"/>
    <x v="6"/>
    <n v="64"/>
    <n v="26"/>
    <n v="40.625"/>
  </r>
  <r>
    <n v="4"/>
    <n v="3"/>
    <n v="2"/>
    <n v="12"/>
    <n v="30"/>
    <x v="0"/>
    <x v="3"/>
    <n v="403"/>
    <n v="6"/>
    <x v="6"/>
    <n v="61"/>
    <m/>
    <m/>
  </r>
  <r>
    <n v="4"/>
    <n v="2"/>
    <n v="1"/>
    <n v="5"/>
    <n v="31"/>
    <x v="1"/>
    <x v="5"/>
    <n v="402"/>
    <n v="6"/>
    <x v="6"/>
    <n v="66"/>
    <n v="12"/>
    <n v="18.181818181818183"/>
  </r>
  <r>
    <n v="4"/>
    <n v="1"/>
    <n v="1"/>
    <n v="4"/>
    <n v="32"/>
    <x v="0"/>
    <x v="4"/>
    <n v="401"/>
    <n v="6"/>
    <x v="6"/>
    <n v="51"/>
    <m/>
    <m/>
  </r>
  <r>
    <n v="1"/>
    <n v="1"/>
    <n v="1"/>
    <n v="1"/>
    <n v="1"/>
    <x v="0"/>
    <x v="0"/>
    <n v="101"/>
    <n v="7"/>
    <x v="7"/>
    <n v="50"/>
    <n v="6"/>
    <n v="12"/>
  </r>
  <r>
    <n v="1"/>
    <n v="2"/>
    <n v="1"/>
    <n v="8"/>
    <n v="2"/>
    <x v="1"/>
    <x v="1"/>
    <n v="102"/>
    <n v="7"/>
    <x v="7"/>
    <n v="39"/>
    <m/>
    <m/>
  </r>
  <r>
    <n v="1"/>
    <n v="3"/>
    <n v="2"/>
    <n v="9"/>
    <n v="3"/>
    <x v="0"/>
    <x v="2"/>
    <n v="103"/>
    <n v="7"/>
    <x v="7"/>
    <n v="38"/>
    <m/>
    <m/>
  </r>
  <r>
    <n v="1"/>
    <n v="4"/>
    <n v="2"/>
    <n v="16"/>
    <n v="4"/>
    <x v="1"/>
    <x v="3"/>
    <n v="104"/>
    <n v="7"/>
    <x v="7"/>
    <n v="38"/>
    <m/>
    <m/>
  </r>
  <r>
    <n v="1"/>
    <n v="5"/>
    <n v="3"/>
    <n v="17"/>
    <n v="5"/>
    <x v="0"/>
    <x v="3"/>
    <n v="105"/>
    <n v="7"/>
    <x v="7"/>
    <n v="61"/>
    <m/>
    <m/>
  </r>
  <r>
    <n v="1"/>
    <n v="6"/>
    <n v="3"/>
    <n v="24"/>
    <n v="6"/>
    <x v="1"/>
    <x v="4"/>
    <n v="106"/>
    <n v="7"/>
    <x v="7"/>
    <n v="85"/>
    <n v="62"/>
    <n v="72.941176470588232"/>
  </r>
  <r>
    <n v="1"/>
    <n v="7"/>
    <n v="4"/>
    <n v="25"/>
    <n v="7"/>
    <x v="0"/>
    <x v="4"/>
    <n v="107"/>
    <n v="7"/>
    <x v="7"/>
    <n v="34"/>
    <m/>
    <m/>
  </r>
  <r>
    <n v="1"/>
    <n v="8"/>
    <n v="4"/>
    <n v="32"/>
    <n v="8"/>
    <x v="1"/>
    <x v="5"/>
    <n v="108"/>
    <n v="7"/>
    <x v="7"/>
    <n v="75"/>
    <n v="45"/>
    <n v="60"/>
  </r>
  <r>
    <n v="2"/>
    <n v="8"/>
    <n v="4"/>
    <n v="31"/>
    <n v="9"/>
    <x v="1"/>
    <x v="4"/>
    <n v="208"/>
    <n v="7"/>
    <x v="7"/>
    <n v="79"/>
    <n v="61"/>
    <n v="77.215189873417728"/>
  </r>
  <r>
    <n v="2"/>
    <n v="7"/>
    <n v="4"/>
    <n v="26"/>
    <n v="10"/>
    <x v="0"/>
    <x v="3"/>
    <n v="207"/>
    <n v="7"/>
    <x v="7"/>
    <n v="49"/>
    <m/>
    <m/>
  </r>
  <r>
    <n v="2"/>
    <n v="6"/>
    <n v="3"/>
    <n v="23"/>
    <n v="11"/>
    <x v="1"/>
    <x v="1"/>
    <n v="206"/>
    <n v="7"/>
    <x v="7"/>
    <n v="42"/>
    <m/>
    <m/>
  </r>
  <r>
    <n v="2"/>
    <n v="5"/>
    <n v="3"/>
    <n v="18"/>
    <n v="12"/>
    <x v="0"/>
    <x v="0"/>
    <n v="205"/>
    <n v="7"/>
    <x v="7"/>
    <n v="61"/>
    <n v="12"/>
    <n v="19.672131147540984"/>
  </r>
  <r>
    <n v="2"/>
    <n v="4"/>
    <n v="2"/>
    <n v="15"/>
    <n v="13"/>
    <x v="1"/>
    <x v="5"/>
    <n v="204"/>
    <n v="7"/>
    <x v="7"/>
    <n v="52"/>
    <n v="34"/>
    <n v="65.384615384615387"/>
  </r>
  <r>
    <n v="2"/>
    <n v="3"/>
    <n v="2"/>
    <n v="10"/>
    <n v="14"/>
    <x v="0"/>
    <x v="4"/>
    <n v="203"/>
    <n v="7"/>
    <x v="7"/>
    <n v="51"/>
    <m/>
    <m/>
  </r>
  <r>
    <n v="2"/>
    <n v="2"/>
    <n v="1"/>
    <n v="7"/>
    <n v="15"/>
    <x v="1"/>
    <x v="3"/>
    <n v="202"/>
    <n v="7"/>
    <x v="7"/>
    <n v="67"/>
    <m/>
    <m/>
  </r>
  <r>
    <n v="2"/>
    <n v="1"/>
    <n v="1"/>
    <n v="2"/>
    <n v="16"/>
    <x v="0"/>
    <x v="2"/>
    <n v="201"/>
    <n v="7"/>
    <x v="7"/>
    <n v="55"/>
    <m/>
    <m/>
  </r>
  <r>
    <n v="3"/>
    <n v="1"/>
    <n v="1"/>
    <n v="3"/>
    <n v="17"/>
    <x v="0"/>
    <x v="3"/>
    <n v="301"/>
    <n v="7"/>
    <x v="7"/>
    <n v="35"/>
    <m/>
    <m/>
  </r>
  <r>
    <n v="3"/>
    <n v="2"/>
    <n v="1"/>
    <n v="6"/>
    <n v="18"/>
    <x v="1"/>
    <x v="4"/>
    <n v="302"/>
    <n v="7"/>
    <x v="7"/>
    <n v="55"/>
    <n v="51"/>
    <n v="92.72727272727272"/>
  </r>
  <r>
    <n v="3"/>
    <n v="3"/>
    <n v="2"/>
    <n v="11"/>
    <n v="19"/>
    <x v="0"/>
    <x v="0"/>
    <n v="303"/>
    <n v="7"/>
    <x v="7"/>
    <n v="59"/>
    <n v="15"/>
    <n v="25.423728813559322"/>
  </r>
  <r>
    <n v="3"/>
    <n v="4"/>
    <n v="2"/>
    <n v="14"/>
    <n v="20"/>
    <x v="1"/>
    <x v="1"/>
    <n v="304"/>
    <n v="7"/>
    <x v="7"/>
    <n v="46"/>
    <m/>
    <m/>
  </r>
  <r>
    <n v="3"/>
    <n v="5"/>
    <n v="3"/>
    <n v="19"/>
    <n v="21"/>
    <x v="0"/>
    <x v="4"/>
    <n v="305"/>
    <n v="7"/>
    <x v="7"/>
    <n v="61"/>
    <m/>
    <m/>
  </r>
  <r>
    <n v="3"/>
    <n v="6"/>
    <n v="3"/>
    <n v="22"/>
    <n v="22"/>
    <x v="1"/>
    <x v="5"/>
    <n v="306"/>
    <n v="7"/>
    <x v="7"/>
    <n v="73"/>
    <n v="31"/>
    <n v="42.465753424657535"/>
  </r>
  <r>
    <n v="3"/>
    <n v="7"/>
    <n v="4"/>
    <n v="27"/>
    <n v="23"/>
    <x v="0"/>
    <x v="2"/>
    <n v="307"/>
    <n v="7"/>
    <x v="7"/>
    <n v="44"/>
    <m/>
    <m/>
  </r>
  <r>
    <n v="3"/>
    <n v="8"/>
    <n v="4"/>
    <n v="30"/>
    <n v="24"/>
    <x v="1"/>
    <x v="3"/>
    <n v="308"/>
    <n v="7"/>
    <x v="7"/>
    <n v="64"/>
    <m/>
    <m/>
  </r>
  <r>
    <n v="4"/>
    <n v="8"/>
    <n v="4"/>
    <n v="29"/>
    <n v="25"/>
    <x v="1"/>
    <x v="1"/>
    <n v="408"/>
    <n v="7"/>
    <x v="7"/>
    <n v="47"/>
    <m/>
    <m/>
  </r>
  <r>
    <n v="4"/>
    <n v="7"/>
    <n v="4"/>
    <n v="28"/>
    <n v="26"/>
    <x v="0"/>
    <x v="0"/>
    <n v="407"/>
    <n v="7"/>
    <x v="7"/>
    <n v="57"/>
    <n v="14"/>
    <n v="24.561403508771928"/>
  </r>
  <r>
    <n v="4"/>
    <n v="6"/>
    <n v="3"/>
    <n v="21"/>
    <n v="27"/>
    <x v="1"/>
    <x v="3"/>
    <n v="406"/>
    <n v="7"/>
    <x v="7"/>
    <n v="54"/>
    <m/>
    <m/>
  </r>
  <r>
    <n v="4"/>
    <n v="5"/>
    <n v="3"/>
    <n v="20"/>
    <n v="28"/>
    <x v="0"/>
    <x v="2"/>
    <n v="405"/>
    <n v="7"/>
    <x v="7"/>
    <n v="64"/>
    <m/>
    <m/>
  </r>
  <r>
    <n v="4"/>
    <n v="4"/>
    <n v="2"/>
    <n v="13"/>
    <n v="29"/>
    <x v="1"/>
    <x v="4"/>
    <n v="404"/>
    <n v="7"/>
    <x v="7"/>
    <n v="64"/>
    <n v="43"/>
    <n v="67.1875"/>
  </r>
  <r>
    <n v="4"/>
    <n v="3"/>
    <n v="2"/>
    <n v="12"/>
    <n v="30"/>
    <x v="0"/>
    <x v="3"/>
    <n v="403"/>
    <n v="7"/>
    <x v="7"/>
    <n v="61"/>
    <m/>
    <m/>
  </r>
  <r>
    <n v="4"/>
    <n v="2"/>
    <n v="1"/>
    <n v="5"/>
    <n v="31"/>
    <x v="1"/>
    <x v="5"/>
    <n v="402"/>
    <n v="7"/>
    <x v="7"/>
    <n v="66"/>
    <n v="34"/>
    <n v="51.515151515151516"/>
  </r>
  <r>
    <n v="4"/>
    <n v="1"/>
    <n v="1"/>
    <n v="4"/>
    <n v="32"/>
    <x v="0"/>
    <x v="4"/>
    <n v="401"/>
    <n v="7"/>
    <x v="7"/>
    <n v="51"/>
    <m/>
    <m/>
  </r>
  <r>
    <m/>
    <m/>
    <m/>
    <m/>
    <n v="1"/>
    <x v="0"/>
    <x v="0"/>
    <n v="101"/>
    <n v="8"/>
    <x v="8"/>
    <n v="50"/>
    <n v="11"/>
    <n v="22"/>
  </r>
  <r>
    <m/>
    <m/>
    <m/>
    <m/>
    <n v="2"/>
    <x v="1"/>
    <x v="1"/>
    <n v="102"/>
    <n v="8"/>
    <x v="8"/>
    <m/>
    <m/>
    <m/>
  </r>
  <r>
    <m/>
    <m/>
    <m/>
    <m/>
    <n v="3"/>
    <x v="0"/>
    <x v="2"/>
    <n v="103"/>
    <n v="8"/>
    <x v="8"/>
    <m/>
    <m/>
    <m/>
  </r>
  <r>
    <m/>
    <m/>
    <m/>
    <m/>
    <n v="4"/>
    <x v="1"/>
    <x v="3"/>
    <n v="104"/>
    <n v="8"/>
    <x v="8"/>
    <m/>
    <m/>
    <m/>
  </r>
  <r>
    <m/>
    <m/>
    <m/>
    <m/>
    <n v="5"/>
    <x v="0"/>
    <x v="3"/>
    <n v="105"/>
    <n v="8"/>
    <x v="8"/>
    <m/>
    <m/>
    <m/>
  </r>
  <r>
    <m/>
    <m/>
    <m/>
    <m/>
    <n v="6"/>
    <x v="1"/>
    <x v="4"/>
    <n v="106"/>
    <n v="8"/>
    <x v="8"/>
    <m/>
    <m/>
    <m/>
  </r>
  <r>
    <m/>
    <m/>
    <m/>
    <m/>
    <n v="7"/>
    <x v="0"/>
    <x v="4"/>
    <n v="107"/>
    <n v="8"/>
    <x v="8"/>
    <m/>
    <m/>
    <m/>
  </r>
  <r>
    <m/>
    <m/>
    <m/>
    <m/>
    <n v="8"/>
    <x v="1"/>
    <x v="5"/>
    <n v="108"/>
    <n v="8"/>
    <x v="8"/>
    <m/>
    <m/>
    <m/>
  </r>
  <r>
    <m/>
    <m/>
    <m/>
    <m/>
    <n v="9"/>
    <x v="1"/>
    <x v="4"/>
    <n v="208"/>
    <n v="8"/>
    <x v="8"/>
    <m/>
    <m/>
    <m/>
  </r>
  <r>
    <m/>
    <m/>
    <m/>
    <m/>
    <n v="10"/>
    <x v="0"/>
    <x v="3"/>
    <n v="207"/>
    <n v="8"/>
    <x v="8"/>
    <m/>
    <m/>
    <m/>
  </r>
  <r>
    <m/>
    <m/>
    <m/>
    <m/>
    <n v="11"/>
    <x v="1"/>
    <x v="1"/>
    <n v="206"/>
    <n v="8"/>
    <x v="8"/>
    <m/>
    <m/>
    <m/>
  </r>
  <r>
    <m/>
    <m/>
    <m/>
    <m/>
    <n v="12"/>
    <x v="0"/>
    <x v="0"/>
    <n v="205"/>
    <n v="8"/>
    <x v="8"/>
    <n v="61"/>
    <n v="20"/>
    <n v="32.786885245901637"/>
  </r>
  <r>
    <m/>
    <m/>
    <m/>
    <m/>
    <n v="13"/>
    <x v="1"/>
    <x v="5"/>
    <n v="204"/>
    <n v="8"/>
    <x v="8"/>
    <m/>
    <m/>
    <m/>
  </r>
  <r>
    <m/>
    <m/>
    <m/>
    <m/>
    <n v="14"/>
    <x v="0"/>
    <x v="4"/>
    <n v="203"/>
    <n v="8"/>
    <x v="8"/>
    <m/>
    <m/>
    <m/>
  </r>
  <r>
    <m/>
    <m/>
    <m/>
    <m/>
    <n v="15"/>
    <x v="1"/>
    <x v="3"/>
    <n v="202"/>
    <n v="8"/>
    <x v="8"/>
    <m/>
    <m/>
    <m/>
  </r>
  <r>
    <m/>
    <m/>
    <m/>
    <m/>
    <n v="16"/>
    <x v="0"/>
    <x v="2"/>
    <n v="201"/>
    <n v="8"/>
    <x v="8"/>
    <m/>
    <m/>
    <m/>
  </r>
  <r>
    <m/>
    <m/>
    <m/>
    <m/>
    <n v="17"/>
    <x v="0"/>
    <x v="3"/>
    <n v="301"/>
    <n v="8"/>
    <x v="8"/>
    <m/>
    <m/>
    <m/>
  </r>
  <r>
    <m/>
    <m/>
    <m/>
    <m/>
    <n v="18"/>
    <x v="1"/>
    <x v="4"/>
    <n v="302"/>
    <n v="8"/>
    <x v="8"/>
    <m/>
    <m/>
    <m/>
  </r>
  <r>
    <m/>
    <m/>
    <m/>
    <m/>
    <n v="19"/>
    <x v="0"/>
    <x v="0"/>
    <n v="303"/>
    <n v="8"/>
    <x v="8"/>
    <n v="59"/>
    <n v="24"/>
    <n v="40.677966101694921"/>
  </r>
  <r>
    <m/>
    <m/>
    <m/>
    <m/>
    <n v="20"/>
    <x v="1"/>
    <x v="1"/>
    <n v="304"/>
    <n v="8"/>
    <x v="8"/>
    <m/>
    <m/>
    <m/>
  </r>
  <r>
    <m/>
    <m/>
    <m/>
    <m/>
    <n v="21"/>
    <x v="0"/>
    <x v="4"/>
    <n v="305"/>
    <n v="8"/>
    <x v="8"/>
    <m/>
    <m/>
    <m/>
  </r>
  <r>
    <m/>
    <m/>
    <m/>
    <m/>
    <n v="22"/>
    <x v="1"/>
    <x v="5"/>
    <n v="306"/>
    <n v="8"/>
    <x v="8"/>
    <m/>
    <m/>
    <m/>
  </r>
  <r>
    <m/>
    <m/>
    <m/>
    <m/>
    <n v="23"/>
    <x v="0"/>
    <x v="2"/>
    <n v="307"/>
    <n v="8"/>
    <x v="8"/>
    <m/>
    <m/>
    <m/>
  </r>
  <r>
    <m/>
    <m/>
    <m/>
    <m/>
    <n v="24"/>
    <x v="1"/>
    <x v="3"/>
    <n v="308"/>
    <n v="8"/>
    <x v="8"/>
    <m/>
    <m/>
    <m/>
  </r>
  <r>
    <m/>
    <m/>
    <m/>
    <m/>
    <n v="25"/>
    <x v="1"/>
    <x v="1"/>
    <n v="408"/>
    <n v="8"/>
    <x v="8"/>
    <m/>
    <m/>
    <m/>
  </r>
  <r>
    <m/>
    <m/>
    <m/>
    <m/>
    <n v="26"/>
    <x v="0"/>
    <x v="0"/>
    <n v="407"/>
    <n v="8"/>
    <x v="8"/>
    <n v="57"/>
    <n v="40"/>
    <n v="70.175438596491219"/>
  </r>
  <r>
    <m/>
    <m/>
    <m/>
    <m/>
    <n v="27"/>
    <x v="1"/>
    <x v="3"/>
    <n v="406"/>
    <n v="8"/>
    <x v="8"/>
    <m/>
    <m/>
    <m/>
  </r>
  <r>
    <m/>
    <m/>
    <m/>
    <m/>
    <n v="28"/>
    <x v="0"/>
    <x v="2"/>
    <n v="405"/>
    <n v="8"/>
    <x v="8"/>
    <m/>
    <m/>
    <m/>
  </r>
  <r>
    <m/>
    <m/>
    <m/>
    <m/>
    <n v="29"/>
    <x v="1"/>
    <x v="4"/>
    <n v="404"/>
    <n v="8"/>
    <x v="8"/>
    <m/>
    <m/>
    <m/>
  </r>
  <r>
    <m/>
    <m/>
    <m/>
    <m/>
    <n v="30"/>
    <x v="0"/>
    <x v="3"/>
    <n v="403"/>
    <n v="8"/>
    <x v="8"/>
    <m/>
    <m/>
    <m/>
  </r>
  <r>
    <m/>
    <m/>
    <m/>
    <m/>
    <n v="31"/>
    <x v="1"/>
    <x v="5"/>
    <n v="402"/>
    <n v="8"/>
    <x v="8"/>
    <m/>
    <m/>
    <m/>
  </r>
  <r>
    <m/>
    <m/>
    <m/>
    <m/>
    <n v="32"/>
    <x v="0"/>
    <x v="4"/>
    <n v="401"/>
    <n v="8"/>
    <x v="8"/>
    <m/>
    <m/>
    <m/>
  </r>
  <r>
    <m/>
    <m/>
    <m/>
    <m/>
    <n v="1"/>
    <x v="0"/>
    <x v="0"/>
    <n v="101"/>
    <n v="9"/>
    <x v="9"/>
    <n v="50"/>
    <n v="22"/>
    <n v="44"/>
  </r>
  <r>
    <m/>
    <m/>
    <m/>
    <m/>
    <n v="2"/>
    <x v="1"/>
    <x v="1"/>
    <n v="102"/>
    <n v="9"/>
    <x v="9"/>
    <m/>
    <m/>
    <m/>
  </r>
  <r>
    <m/>
    <m/>
    <m/>
    <m/>
    <n v="3"/>
    <x v="0"/>
    <x v="2"/>
    <n v="103"/>
    <n v="9"/>
    <x v="9"/>
    <m/>
    <m/>
    <m/>
  </r>
  <r>
    <m/>
    <m/>
    <m/>
    <m/>
    <n v="4"/>
    <x v="1"/>
    <x v="3"/>
    <n v="104"/>
    <n v="9"/>
    <x v="9"/>
    <m/>
    <m/>
    <m/>
  </r>
  <r>
    <m/>
    <m/>
    <m/>
    <m/>
    <n v="5"/>
    <x v="0"/>
    <x v="3"/>
    <n v="105"/>
    <n v="9"/>
    <x v="9"/>
    <m/>
    <m/>
    <m/>
  </r>
  <r>
    <m/>
    <m/>
    <m/>
    <m/>
    <n v="6"/>
    <x v="1"/>
    <x v="4"/>
    <n v="106"/>
    <n v="9"/>
    <x v="9"/>
    <m/>
    <m/>
    <m/>
  </r>
  <r>
    <m/>
    <m/>
    <m/>
    <m/>
    <n v="7"/>
    <x v="0"/>
    <x v="4"/>
    <n v="107"/>
    <n v="9"/>
    <x v="9"/>
    <m/>
    <m/>
    <m/>
  </r>
  <r>
    <m/>
    <m/>
    <m/>
    <m/>
    <n v="8"/>
    <x v="1"/>
    <x v="5"/>
    <n v="108"/>
    <n v="9"/>
    <x v="9"/>
    <m/>
    <m/>
    <m/>
  </r>
  <r>
    <m/>
    <m/>
    <m/>
    <m/>
    <n v="9"/>
    <x v="1"/>
    <x v="4"/>
    <n v="208"/>
    <n v="9"/>
    <x v="9"/>
    <m/>
    <m/>
    <m/>
  </r>
  <r>
    <m/>
    <m/>
    <m/>
    <m/>
    <n v="10"/>
    <x v="0"/>
    <x v="3"/>
    <n v="207"/>
    <n v="9"/>
    <x v="9"/>
    <m/>
    <m/>
    <m/>
  </r>
  <r>
    <m/>
    <m/>
    <m/>
    <m/>
    <n v="11"/>
    <x v="1"/>
    <x v="1"/>
    <n v="206"/>
    <n v="9"/>
    <x v="9"/>
    <m/>
    <m/>
    <m/>
  </r>
  <r>
    <m/>
    <m/>
    <m/>
    <m/>
    <n v="12"/>
    <x v="0"/>
    <x v="0"/>
    <n v="205"/>
    <n v="9"/>
    <x v="9"/>
    <n v="61"/>
    <n v="34"/>
    <n v="55.737704918032783"/>
  </r>
  <r>
    <m/>
    <m/>
    <m/>
    <m/>
    <n v="13"/>
    <x v="1"/>
    <x v="5"/>
    <n v="204"/>
    <n v="9"/>
    <x v="9"/>
    <m/>
    <m/>
    <m/>
  </r>
  <r>
    <m/>
    <m/>
    <m/>
    <m/>
    <n v="14"/>
    <x v="0"/>
    <x v="4"/>
    <n v="203"/>
    <n v="9"/>
    <x v="9"/>
    <m/>
    <m/>
    <m/>
  </r>
  <r>
    <m/>
    <m/>
    <m/>
    <m/>
    <n v="15"/>
    <x v="1"/>
    <x v="3"/>
    <n v="202"/>
    <n v="9"/>
    <x v="9"/>
    <m/>
    <m/>
    <m/>
  </r>
  <r>
    <m/>
    <m/>
    <m/>
    <m/>
    <n v="16"/>
    <x v="0"/>
    <x v="2"/>
    <n v="201"/>
    <n v="9"/>
    <x v="9"/>
    <m/>
    <m/>
    <m/>
  </r>
  <r>
    <m/>
    <m/>
    <m/>
    <m/>
    <n v="17"/>
    <x v="0"/>
    <x v="3"/>
    <n v="301"/>
    <n v="9"/>
    <x v="9"/>
    <m/>
    <m/>
    <m/>
  </r>
  <r>
    <m/>
    <m/>
    <m/>
    <m/>
    <n v="18"/>
    <x v="1"/>
    <x v="4"/>
    <n v="302"/>
    <n v="9"/>
    <x v="9"/>
    <m/>
    <m/>
    <m/>
  </r>
  <r>
    <m/>
    <m/>
    <m/>
    <m/>
    <n v="19"/>
    <x v="0"/>
    <x v="0"/>
    <n v="303"/>
    <n v="9"/>
    <x v="9"/>
    <n v="59"/>
    <n v="39"/>
    <n v="66.101694915254242"/>
  </r>
  <r>
    <m/>
    <m/>
    <m/>
    <m/>
    <n v="20"/>
    <x v="1"/>
    <x v="1"/>
    <n v="304"/>
    <n v="9"/>
    <x v="9"/>
    <m/>
    <m/>
    <m/>
  </r>
  <r>
    <m/>
    <m/>
    <m/>
    <m/>
    <n v="21"/>
    <x v="0"/>
    <x v="4"/>
    <n v="305"/>
    <n v="9"/>
    <x v="9"/>
    <m/>
    <m/>
    <m/>
  </r>
  <r>
    <m/>
    <m/>
    <m/>
    <m/>
    <n v="22"/>
    <x v="1"/>
    <x v="5"/>
    <n v="306"/>
    <n v="9"/>
    <x v="9"/>
    <m/>
    <m/>
    <m/>
  </r>
  <r>
    <m/>
    <m/>
    <m/>
    <m/>
    <n v="23"/>
    <x v="0"/>
    <x v="2"/>
    <n v="307"/>
    <n v="9"/>
    <x v="9"/>
    <m/>
    <m/>
    <m/>
  </r>
  <r>
    <m/>
    <m/>
    <m/>
    <m/>
    <n v="24"/>
    <x v="1"/>
    <x v="3"/>
    <n v="308"/>
    <n v="9"/>
    <x v="9"/>
    <m/>
    <m/>
    <m/>
  </r>
  <r>
    <m/>
    <m/>
    <m/>
    <m/>
    <n v="25"/>
    <x v="1"/>
    <x v="1"/>
    <n v="408"/>
    <n v="9"/>
    <x v="9"/>
    <m/>
    <m/>
    <m/>
  </r>
  <r>
    <m/>
    <m/>
    <m/>
    <m/>
    <n v="26"/>
    <x v="0"/>
    <x v="0"/>
    <n v="407"/>
    <n v="9"/>
    <x v="9"/>
    <n v="57"/>
    <n v="55"/>
    <n v="96.491228070175438"/>
  </r>
  <r>
    <m/>
    <m/>
    <m/>
    <m/>
    <n v="27"/>
    <x v="1"/>
    <x v="3"/>
    <n v="406"/>
    <n v="9"/>
    <x v="9"/>
    <m/>
    <m/>
    <m/>
  </r>
  <r>
    <m/>
    <m/>
    <m/>
    <m/>
    <n v="28"/>
    <x v="0"/>
    <x v="2"/>
    <n v="405"/>
    <n v="9"/>
    <x v="9"/>
    <m/>
    <m/>
    <m/>
  </r>
  <r>
    <m/>
    <m/>
    <m/>
    <m/>
    <n v="29"/>
    <x v="1"/>
    <x v="4"/>
    <n v="404"/>
    <n v="9"/>
    <x v="9"/>
    <m/>
    <m/>
    <m/>
  </r>
  <r>
    <m/>
    <m/>
    <m/>
    <m/>
    <n v="30"/>
    <x v="0"/>
    <x v="3"/>
    <n v="403"/>
    <n v="9"/>
    <x v="9"/>
    <m/>
    <m/>
    <m/>
  </r>
  <r>
    <m/>
    <m/>
    <m/>
    <m/>
    <n v="31"/>
    <x v="1"/>
    <x v="5"/>
    <n v="402"/>
    <n v="9"/>
    <x v="9"/>
    <m/>
    <m/>
    <m/>
  </r>
  <r>
    <m/>
    <m/>
    <m/>
    <m/>
    <n v="32"/>
    <x v="0"/>
    <x v="4"/>
    <n v="401"/>
    <n v="9"/>
    <x v="9"/>
    <m/>
    <m/>
    <m/>
  </r>
  <r>
    <m/>
    <m/>
    <m/>
    <m/>
    <m/>
    <x v="2"/>
    <x v="6"/>
    <m/>
    <m/>
    <x v="2"/>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
    <n v="1"/>
    <n v="1"/>
    <n v="1"/>
    <n v="1"/>
    <x v="0"/>
    <x v="0"/>
    <n v="101"/>
    <s v="EVA_101"/>
    <d v="2024-10-08T00:00:00"/>
    <n v="0.79"/>
    <n v="0.01"/>
    <n v="3.2000000000000001E-2"/>
    <n v="0.106"/>
    <n v="0.57399999999999995"/>
    <n v="0.99"/>
    <n v="0.96799999999999997"/>
    <n v="0.89400000000000002"/>
    <n v="0.42600000000000005"/>
    <n v="32.299999999999997"/>
    <n v="2.4"/>
    <n v="10.6"/>
    <n v="36.1"/>
    <n v="49.7"/>
    <n v="57.3"/>
    <n v="46.4"/>
    <n v="54.2"/>
    <n v="53.3"/>
    <n v="55.3"/>
    <n v="49.4"/>
    <n v="59.4"/>
    <n v="54.8"/>
    <n v="54.1"/>
    <n v="58.7"/>
    <n v="53.3"/>
    <n v="51.2"/>
    <n v="48.3"/>
    <n v="51.5"/>
    <n v="49.2"/>
    <n v="80"/>
    <n v="0.5"/>
    <n v="1723"/>
    <n v="323"/>
    <n v="50"/>
    <n v="220"/>
    <n v="68.599999999999994"/>
    <n v="30"/>
    <n v="9.43"/>
    <n v="2.88"/>
    <n v="24.98"/>
    <n v="8.2899999999999991"/>
    <n v="20"/>
    <n v="45.58"/>
    <n v="45.58"/>
    <n v="2.2789999999999999"/>
    <n v="5.15"/>
    <n v="0.31181818181818177"/>
    <n v="537.26272727272715"/>
    <n v="1074.5254545454543"/>
    <n v="0.20688898639754277"/>
    <n v="6.3185607722685388E-2"/>
    <n v="0.54804738920579199"/>
    <n v="0.18187801667397979"/>
    <n v="222.30748214926797"/>
    <n v="67.894543858949291"/>
    <n v="588.89086999880317"/>
    <n v="195.43255853843385"/>
    <n v="20.350000000000001"/>
    <n v="51.900000000000006"/>
    <n v="54.35"/>
    <n v="55.225000000000009"/>
    <n v="50.05"/>
  </r>
  <r>
    <n v="2"/>
    <n v="1"/>
    <n v="1"/>
    <n v="2"/>
    <n v="16"/>
    <x v="0"/>
    <x v="1"/>
    <n v="201"/>
    <s v="EVA_201"/>
    <d v="2024-10-01T00:00:00"/>
    <n v="0.73"/>
    <n v="7.4999999999999997E-2"/>
    <n v="8.8999999999999996E-2"/>
    <n v="0.15"/>
    <n v="0.41"/>
    <n v="0.92500000000000004"/>
    <n v="0.91100000000000003"/>
    <n v="0.85"/>
    <n v="0.59000000000000008"/>
    <n v="0"/>
    <n v="0"/>
    <n v="34.1"/>
    <n v="6.4"/>
    <n v="0"/>
    <n v="30.2"/>
    <n v="19.5"/>
    <n v="45.9"/>
    <n v="11.9"/>
    <n v="34.4"/>
    <n v="49.4"/>
    <n v="47.3"/>
    <n v="51.5"/>
    <n v="52.6"/>
    <n v="53"/>
    <n v="46.2"/>
    <n v="53.7"/>
    <n v="46.8"/>
    <n v="40.1"/>
    <n v="44"/>
    <n v="85"/>
    <n v="0.5"/>
    <n v="1604"/>
    <n v="404"/>
    <n v="50"/>
    <n v="265"/>
    <n v="82.6"/>
    <n v="30"/>
    <n v="9.36"/>
    <n v="2.5299999999999998"/>
    <n v="24.62"/>
    <n v="8.59"/>
    <n v="19"/>
    <n v="45.099999999999994"/>
    <n v="47.473684210526308"/>
    <n v="2.3736842105263154"/>
    <n v="7.3157894736842106"/>
    <n v="0.31169811320754715"/>
    <n v="499.9637735849056"/>
    <n v="999.92754716981119"/>
    <n v="0.20753880266075389"/>
    <n v="5.6097560975609757E-2"/>
    <n v="0.54589800443458991"/>
    <n v="0.19046563192904659"/>
    <n v="207.52376588712713"/>
    <n v="56.093496548550384"/>
    <n v="545.85845257917424"/>
    <n v="190.45183215495962"/>
    <n v="10.125"/>
    <n v="23.9"/>
    <n v="35.75"/>
    <n v="50.825000000000003"/>
    <n v="46.15"/>
  </r>
  <r>
    <n v="3"/>
    <n v="1"/>
    <n v="1"/>
    <n v="3"/>
    <n v="17"/>
    <x v="0"/>
    <x v="2"/>
    <n v="301"/>
    <s v="EVA_301"/>
    <d v="2024-09-25T00:00:00"/>
    <n v="0.79"/>
    <n v="7.3999999999999996E-2"/>
    <n v="9.0999999999999998E-2"/>
    <n v="0.13200000000000001"/>
    <n v="0.21299999999999999"/>
    <n v="0.92600000000000005"/>
    <n v="0.90900000000000003"/>
    <n v="0.86799999999999999"/>
    <n v="0.78700000000000003"/>
    <n v="33.5"/>
    <n v="42.4"/>
    <n v="0"/>
    <n v="0"/>
    <n v="46.6"/>
    <n v="47.7"/>
    <n v="41.3"/>
    <n v="22.5"/>
    <n v="49.2"/>
    <n v="46.6"/>
    <n v="42.3"/>
    <n v="49.2"/>
    <n v="53.1"/>
    <n v="49.4"/>
    <n v="48.6"/>
    <n v="53"/>
    <n v="52.4"/>
    <n v="47.7"/>
    <n v="49.9"/>
    <n v="57.5"/>
    <n v="70"/>
    <n v="0.5"/>
    <n v="2710.6"/>
    <n v="495.9"/>
    <n v="50"/>
    <n v="309.7"/>
    <n v="69.099999999999994"/>
    <n v="30"/>
    <n v="9.92"/>
    <n v="1.59"/>
    <n v="20.83"/>
    <n v="8.44"/>
    <n v="20"/>
    <n v="40.779999999999994"/>
    <n v="40.779999999999994"/>
    <n v="2.0389999999999997"/>
    <n v="9.3099999999999987"/>
    <n v="0.22311914756215692"/>
    <n v="604.7867613819825"/>
    <n v="1209.573522763965"/>
    <n v="0.24325649828347232"/>
    <n v="3.8989700833742036E-2"/>
    <n v="0.51078960274644436"/>
    <n v="0.20696419813634137"/>
    <n v="294.23661956396603"/>
    <n v="47.160909788982458"/>
    <n v="617.83757918522292"/>
    <n v="250.33841422579368"/>
    <n v="18.975000000000001"/>
    <n v="39.525000000000006"/>
    <n v="46.825000000000003"/>
    <n v="51.024999999999999"/>
    <n v="51.875"/>
  </r>
  <r>
    <n v="4"/>
    <n v="1"/>
    <n v="1"/>
    <n v="4"/>
    <n v="32"/>
    <x v="0"/>
    <x v="3"/>
    <n v="401"/>
    <s v="EVA_401"/>
    <d v="2024-09-26T00:00:00"/>
    <n v="0.79"/>
    <n v="1.4999999999999999E-2"/>
    <n v="2.5999999999999999E-2"/>
    <n v="6.8000000000000005E-2"/>
    <n v="0.251"/>
    <n v="0.98499999999999999"/>
    <n v="0.97399999999999998"/>
    <n v="0.93199999999999994"/>
    <n v="0.749"/>
    <n v="0"/>
    <n v="0"/>
    <n v="0.7"/>
    <n v="0"/>
    <n v="40.1"/>
    <n v="34.200000000000003"/>
    <n v="6.4"/>
    <n v="28.3"/>
    <n v="47.5"/>
    <n v="49.8"/>
    <n v="40.6"/>
    <n v="47.8"/>
    <n v="48.5"/>
    <n v="54.9"/>
    <n v="49.7"/>
    <n v="45.2"/>
    <n v="52.2"/>
    <n v="51.5"/>
    <n v="54.7"/>
    <n v="49"/>
    <n v="95"/>
    <n v="0.5"/>
    <n v="1913.3"/>
    <n v="433.4"/>
    <n v="50"/>
    <n v="266.89999999999998"/>
    <n v="72.400000000000006"/>
    <n v="30"/>
    <n v="9.24"/>
    <n v="1.83"/>
    <n v="25.73"/>
    <n v="7.71"/>
    <n v="18"/>
    <n v="44.51"/>
    <n v="49.455555555555549"/>
    <n v="2.4727777777777775"/>
    <n v="9.25"/>
    <n v="0.27126264518546278"/>
    <n v="519.00681903334589"/>
    <n v="1038.0136380666918"/>
    <n v="0.20759379914625928"/>
    <n v="4.111435632442148E-2"/>
    <n v="0.57807234329364188"/>
    <n v="0.17321950123567739"/>
    <n v="215.48519469189469"/>
    <n v="42.677262585083042"/>
    <n v="600.04697612797077"/>
    <n v="179.80420466174331"/>
    <n v="0.17499999999999999"/>
    <n v="27.250000000000004"/>
    <n v="46.424999999999997"/>
    <n v="49.575000000000003"/>
    <n v="51.85"/>
  </r>
  <r>
    <n v="4"/>
    <n v="2"/>
    <n v="1"/>
    <n v="5"/>
    <n v="31"/>
    <x v="1"/>
    <x v="4"/>
    <n v="402"/>
    <s v="EVA_402"/>
    <d v="2024-10-08T00:00:00"/>
    <n v="0.77"/>
    <n v="2.7E-2"/>
    <n v="6.3E-2"/>
    <n v="0.129"/>
    <n v="0.48799999999999999"/>
    <n v="0.97299999999999998"/>
    <n v="0.93700000000000006"/>
    <n v="0.871"/>
    <n v="0.51200000000000001"/>
    <n v="0"/>
    <n v="0"/>
    <n v="0"/>
    <n v="0"/>
    <n v="47.5"/>
    <n v="55.6"/>
    <n v="31.3"/>
    <n v="12"/>
    <n v="52.9"/>
    <n v="57.7"/>
    <n v="58.8"/>
    <n v="56.6"/>
    <n v="54"/>
    <n v="56.2"/>
    <n v="53.8"/>
    <n v="51.5"/>
    <n v="54.9"/>
    <n v="50.8"/>
    <n v="55.5"/>
    <n v="46.8"/>
    <n v="84"/>
    <n v="0.5"/>
    <n v="1609"/>
    <n v="451"/>
    <n v="50"/>
    <n v="276"/>
    <n v="93.16"/>
    <n v="30"/>
    <n v="12.4"/>
    <n v="3.01"/>
    <n v="36.11"/>
    <n v="8.36"/>
    <n v="20"/>
    <n v="59.879999999999995"/>
    <n v="59.879999999999995"/>
    <n v="2.9939999999999998"/>
    <n v="8.75"/>
    <n v="0.33753623188405796"/>
    <n v="543.09579710144931"/>
    <n v="1086.1915942028986"/>
    <n v="0.20708082832331332"/>
    <n v="5.0267201068804272E-2"/>
    <n v="0.60303941215764867"/>
    <n v="0.13961255845023379"/>
    <n v="224.92945504535646"/>
    <n v="54.599811265042163"/>
    <n v="655.01634045869525"/>
    <n v="151.64598743380481"/>
    <n v="0"/>
    <n v="36.6"/>
    <n v="56.499999999999993"/>
    <n v="53.875"/>
    <n v="52"/>
  </r>
  <r>
    <n v="3"/>
    <n v="2"/>
    <n v="1"/>
    <n v="6"/>
    <n v="18"/>
    <x v="1"/>
    <x v="3"/>
    <n v="302"/>
    <s v="EVA_302"/>
    <d v="2024-10-08T00:00:00"/>
    <n v="0.71"/>
    <n v="3.3000000000000002E-2"/>
    <n v="9.9000000000000005E-2"/>
    <n v="0.17599999999999999"/>
    <n v="0.57599999999999996"/>
    <n v="0.96699999999999997"/>
    <n v="0.90100000000000002"/>
    <n v="0.82400000000000007"/>
    <n v="0.42400000000000004"/>
    <n v="0"/>
    <n v="0"/>
    <n v="0"/>
    <n v="0"/>
    <n v="23.2"/>
    <n v="37.6"/>
    <n v="18.600000000000001"/>
    <n v="0.4"/>
    <n v="48"/>
    <n v="48.7"/>
    <n v="51.6"/>
    <n v="46.2"/>
    <n v="50.4"/>
    <n v="53.4"/>
    <n v="50.4"/>
    <n v="51.6"/>
    <n v="52.4"/>
    <n v="52.4"/>
    <n v="49.7"/>
    <n v="48.9"/>
    <n v="83"/>
    <n v="0.5"/>
    <n v="1606"/>
    <n v="392"/>
    <n v="50"/>
    <n v="241"/>
    <n v="79.540000000000006"/>
    <n v="30"/>
    <n v="9.06"/>
    <n v="2.04"/>
    <n v="27.09"/>
    <n v="7.84"/>
    <n v="20"/>
    <n v="46.03"/>
    <n v="46.03"/>
    <n v="2.3014999999999999"/>
    <n v="7.55"/>
    <n v="0.33004149377593361"/>
    <n v="530.04663900414937"/>
    <n v="1060.0932780082987"/>
    <n v="0.1968281555507278"/>
    <n v="4.4318922441885726E-2"/>
    <n v="0.58852922007386488"/>
    <n v="0.17032370193352162"/>
    <n v="208.65620462209836"/>
    <n v="46.982191769214197"/>
    <n v="623.89587011177082"/>
    <n v="180.55901150521535"/>
    <n v="0"/>
    <n v="19.950000000000003"/>
    <n v="48.625"/>
    <n v="51.449999999999996"/>
    <n v="50.85"/>
  </r>
  <r>
    <n v="2"/>
    <n v="2"/>
    <n v="1"/>
    <n v="7"/>
    <n v="15"/>
    <x v="1"/>
    <x v="2"/>
    <n v="202"/>
    <s v="EVA_202"/>
    <d v="2024-10-03T00:00:00"/>
    <n v="0.74"/>
    <n v="0.04"/>
    <n v="7.0000000000000007E-2"/>
    <n v="0.16"/>
    <n v="0.375"/>
    <n v="0.96"/>
    <n v="0.92999999999999994"/>
    <n v="0.84"/>
    <n v="0.625"/>
    <n v="19.899999999999999"/>
    <n v="0"/>
    <n v="0"/>
    <n v="1"/>
    <n v="49.6"/>
    <n v="0.6"/>
    <n v="0.5"/>
    <n v="39.799999999999997"/>
    <n v="38.9"/>
    <n v="45.4"/>
    <n v="57"/>
    <n v="58.9"/>
    <n v="54.2"/>
    <n v="46.6"/>
    <n v="53.3"/>
    <n v="54.7"/>
    <n v="48.5"/>
    <n v="53.5"/>
    <n v="49.1"/>
    <n v="51.7"/>
    <n v="58"/>
    <n v="0.5"/>
    <n v="1284"/>
    <n v="325"/>
    <n v="50"/>
    <n v="198"/>
    <n v="65.2"/>
    <n v="30"/>
    <n v="8.5399999999999991"/>
    <n v="2.4500000000000002"/>
    <n v="20.9"/>
    <n v="8.4499999999999993"/>
    <n v="20"/>
    <n v="40.339999999999996"/>
    <n v="40.339999999999996"/>
    <n v="2.0169999999999999"/>
    <n v="6.35"/>
    <n v="0.3292929292929293"/>
    <n v="422.81212121212121"/>
    <n v="845.62424242424242"/>
    <n v="0.21170054536440258"/>
    <n v="6.0733763014377801E-2"/>
    <n v="0.51809618244918199"/>
    <n v="0.20946950917203769"/>
    <n v="179.01911329457189"/>
    <n v="51.357942338606705"/>
    <n v="438.11469178648161"/>
    <n v="177.13249500458227"/>
    <n v="5.2249999999999996"/>
    <n v="22.625"/>
    <n v="50.050000000000004"/>
    <n v="52.2"/>
    <n v="50.7"/>
  </r>
  <r>
    <n v="1"/>
    <n v="2"/>
    <n v="1"/>
    <n v="8"/>
    <n v="2"/>
    <x v="1"/>
    <x v="5"/>
    <n v="102"/>
    <s v="EVA_102"/>
    <d v="2024-10-03T00:00:00"/>
    <n v="0.82"/>
    <n v="8.9999999999999993E-3"/>
    <n v="1.4E-2"/>
    <n v="4.4999999999999998E-2"/>
    <n v="0.28999999999999998"/>
    <n v="0.99099999999999999"/>
    <n v="0.98599999999999999"/>
    <n v="0.95499999999999996"/>
    <n v="0.71"/>
    <n v="12.9"/>
    <n v="2.6"/>
    <n v="6.7"/>
    <n v="3.3"/>
    <n v="47.4"/>
    <n v="47.6"/>
    <n v="42.2"/>
    <n v="40.799999999999997"/>
    <n v="50.3"/>
    <n v="50.4"/>
    <n v="47.8"/>
    <n v="41.2"/>
    <n v="49.9"/>
    <n v="51.2"/>
    <n v="45.6"/>
    <n v="41.3"/>
    <n v="46.3"/>
    <n v="46.1"/>
    <n v="40.200000000000003"/>
    <n v="48.8"/>
    <n v="95"/>
    <n v="0.5"/>
    <n v="2369"/>
    <n v="536"/>
    <n v="50"/>
    <n v="332"/>
    <n v="83.5"/>
    <n v="30"/>
    <n v="12.59"/>
    <n v="2.21"/>
    <n v="26.45"/>
    <n v="6.63"/>
    <n v="18"/>
    <n v="47.88"/>
    <n v="53.2"/>
    <n v="2.66"/>
    <n v="11.333333333333334"/>
    <n v="0.25150602409638556"/>
    <n v="595.81777108433744"/>
    <n v="1191.6355421686749"/>
    <n v="0.26294903926482871"/>
    <n v="4.6157059314954049E-2"/>
    <n v="0.55242272347535504"/>
    <n v="0.13847117794486213"/>
    <n v="313.33942096707636"/>
    <n v="55.002392401686954"/>
    <n v="658.28655159485061"/>
    <n v="165.00717720506086"/>
    <n v="35.125"/>
    <n v="47.325000000000003"/>
    <n v="46.975000000000001"/>
    <n v="43.474999999999994"/>
    <n v="45.350000000000009"/>
  </r>
  <r>
    <n v="1"/>
    <n v="3"/>
    <n v="2"/>
    <n v="9"/>
    <n v="3"/>
    <x v="0"/>
    <x v="1"/>
    <n v="103"/>
    <s v="EVA_103"/>
    <d v="2024-10-01T00:00:00"/>
    <n v="0.76"/>
    <n v="4.7E-2"/>
    <n v="0.104"/>
    <n v="9.2999999999999999E-2"/>
    <n v="0.38700000000000001"/>
    <n v="0.95299999999999996"/>
    <n v="0.89600000000000002"/>
    <n v="0.90700000000000003"/>
    <n v="0.61299999999999999"/>
    <n v="8.9"/>
    <n v="0"/>
    <n v="0"/>
    <n v="0"/>
    <n v="37.4"/>
    <n v="18.5"/>
    <n v="27.5"/>
    <n v="5.0999999999999996"/>
    <n v="53.2"/>
    <n v="52.7"/>
    <n v="48.8"/>
    <n v="49"/>
    <n v="52"/>
    <n v="51"/>
    <n v="43.8"/>
    <n v="51.4"/>
    <n v="50.7"/>
    <n v="46.4"/>
    <n v="46.3"/>
    <n v="51"/>
    <n v="82"/>
    <n v="0.5"/>
    <n v="1657"/>
    <n v="398"/>
    <n v="50"/>
    <n v="236"/>
    <n v="77.599999999999994"/>
    <n v="30"/>
    <n v="11.06"/>
    <n v="3.18"/>
    <n v="29.88"/>
    <n v="10.42"/>
    <n v="20"/>
    <n v="54.54"/>
    <n v="54.54"/>
    <n v="2.7269999999999999"/>
    <n v="8.1"/>
    <n v="0.32881355932203388"/>
    <n v="544.84406779661015"/>
    <n v="1089.6881355932203"/>
    <n v="0.20278694536120279"/>
    <n v="5.8305830583058313E-2"/>
    <n v="0.54785478547854782"/>
    <n v="0.19105243857719106"/>
    <n v="220.97452841329329"/>
    <n v="63.535171822266975"/>
    <n v="596.99085976394247"/>
    <n v="208.18757559371755"/>
    <n v="2.2250000000000001"/>
    <n v="22.125"/>
    <n v="50.924999999999997"/>
    <n v="49.550000000000004"/>
    <n v="48.599999999999994"/>
  </r>
  <r>
    <n v="2"/>
    <n v="3"/>
    <n v="2"/>
    <n v="10"/>
    <n v="14"/>
    <x v="0"/>
    <x v="3"/>
    <n v="203"/>
    <s v="EVA_203"/>
    <d v="2024-09-26T00:00:00"/>
    <n v="0.73"/>
    <n v="2.8000000000000001E-2"/>
    <n v="4.4999999999999998E-2"/>
    <n v="0.108"/>
    <n v="0.3"/>
    <n v="0.97199999999999998"/>
    <n v="0.95499999999999996"/>
    <n v="0.89200000000000002"/>
    <n v="0.7"/>
    <n v="0"/>
    <n v="19"/>
    <n v="15.7"/>
    <n v="0"/>
    <n v="46.2"/>
    <n v="45.1"/>
    <n v="45.3"/>
    <n v="38.299999999999997"/>
    <n v="50.4"/>
    <n v="52"/>
    <n v="47.8"/>
    <n v="53"/>
    <n v="52.5"/>
    <n v="48.9"/>
    <n v="48.7"/>
    <n v="51.5"/>
    <n v="54.2"/>
    <n v="49.7"/>
    <n v="48.4"/>
    <n v="53.8"/>
    <n v="91"/>
    <n v="0.5"/>
    <n v="1635"/>
    <n v="433.4"/>
    <n v="50"/>
    <n v="257"/>
    <n v="87.68"/>
    <n v="30"/>
    <n v="9.26"/>
    <n v="2.78"/>
    <n v="31.08"/>
    <n v="8.7200000000000006"/>
    <n v="20"/>
    <n v="51.839999999999996"/>
    <n v="51.839999999999996"/>
    <n v="2.5919999999999996"/>
    <n v="8.8199999999999985"/>
    <n v="0.3411673151750973"/>
    <n v="557.80856031128405"/>
    <n v="1115.6171206225681"/>
    <n v="0.17862654320987656"/>
    <n v="5.3626543209876545E-2"/>
    <n v="0.59953703703703709"/>
    <n v="0.1682098765432099"/>
    <n v="199.27882980256524"/>
    <n v="59.826689724744206"/>
    <n v="668.85378296584531"/>
    <n v="187.6578181294135"/>
    <n v="8.6750000000000007"/>
    <n v="43.725000000000009"/>
    <n v="50.8"/>
    <n v="50.400000000000006"/>
    <n v="51.525000000000006"/>
  </r>
  <r>
    <n v="3"/>
    <n v="3"/>
    <n v="2"/>
    <n v="11"/>
    <n v="19"/>
    <x v="0"/>
    <x v="0"/>
    <n v="303"/>
    <s v="EVA_303"/>
    <d v="2024-10-08T00:00:00"/>
    <n v="0.74"/>
    <n v="5.5E-2"/>
    <n v="6.7000000000000004E-2"/>
    <n v="0.13900000000000001"/>
    <n v="0.49299999999999999"/>
    <n v="0.94499999999999995"/>
    <n v="0.93300000000000005"/>
    <n v="0.86099999999999999"/>
    <n v="0.50700000000000001"/>
    <n v="37.700000000000003"/>
    <n v="4.2"/>
    <n v="23.6"/>
    <n v="13"/>
    <n v="53.5"/>
    <n v="53.9"/>
    <n v="51.4"/>
    <n v="53.6"/>
    <n v="52.2"/>
    <n v="56.9"/>
    <n v="57"/>
    <n v="56.5"/>
    <n v="55.3"/>
    <n v="53.1"/>
    <n v="52.3"/>
    <n v="48.6"/>
    <n v="53.8"/>
    <n v="47.3"/>
    <n v="48.6"/>
    <n v="50.9"/>
    <n v="85"/>
    <n v="0.5"/>
    <n v="1650"/>
    <n v="393"/>
    <n v="50"/>
    <n v="225"/>
    <n v="78.489999999999995"/>
    <n v="30"/>
    <n v="10.15"/>
    <n v="2.31"/>
    <n v="36.19"/>
    <n v="10.130000000000001"/>
    <n v="20"/>
    <n v="58.78"/>
    <n v="58.779999999999994"/>
    <n v="2.9389999999999996"/>
    <n v="8.4"/>
    <n v="0.3488444444444444"/>
    <n v="575.59333333333325"/>
    <n v="1151.1866666666665"/>
    <n v="0.17267778155835317"/>
    <n v="3.9299081320176933E-2"/>
    <n v="0.61568560734943856"/>
    <n v="0.17233752977203132"/>
    <n v="198.78435975955537"/>
    <n v="45.240578428036741"/>
    <n v="708.76906203924227"/>
    <n v="198.39266643983214"/>
    <n v="19.625"/>
    <n v="53.1"/>
    <n v="55.65"/>
    <n v="52.324999999999996"/>
    <n v="50.15"/>
  </r>
  <r>
    <n v="4"/>
    <n v="3"/>
    <n v="2"/>
    <n v="12"/>
    <n v="30"/>
    <x v="0"/>
    <x v="2"/>
    <n v="403"/>
    <s v="EVA_403"/>
    <d v="2024-09-25T00:00:00"/>
    <n v="0.72"/>
    <n v="0.105"/>
    <n v="0.13500000000000001"/>
    <n v="0.19800000000000001"/>
    <n v="0.33500000000000002"/>
    <n v="0.89500000000000002"/>
    <n v="0.86499999999999999"/>
    <n v="0.80200000000000005"/>
    <n v="0.66500000000000004"/>
    <n v="0"/>
    <n v="0"/>
    <n v="20.7"/>
    <n v="27.2"/>
    <n v="11.6"/>
    <n v="19.399999999999999"/>
    <n v="11.3"/>
    <n v="46.8"/>
    <n v="47.9"/>
    <n v="51.4"/>
    <n v="50.1"/>
    <n v="50.4"/>
    <n v="48"/>
    <n v="53.7"/>
    <n v="53.2"/>
    <n v="53.5"/>
    <n v="52.4"/>
    <n v="57.4"/>
    <n v="51.3"/>
    <n v="56.3"/>
    <n v="63"/>
    <n v="0.5"/>
    <n v="1569"/>
    <n v="426.9"/>
    <n v="50"/>
    <n v="239.1"/>
    <n v="66.099999999999994"/>
    <n v="30"/>
    <n v="11.17"/>
    <n v="1.66"/>
    <n v="26.65"/>
    <n v="11.74"/>
    <n v="20"/>
    <n v="51.22"/>
    <n v="51.220000000000006"/>
    <n v="2.5610000000000004"/>
    <n v="9.3899999999999988"/>
    <n v="0.27645336679213717"/>
    <n v="433.75533249686322"/>
    <n v="867.51066499372644"/>
    <n v="0.21807887543928153"/>
    <n v="3.2409215150331898E-2"/>
    <n v="0.52030456852791873"/>
    <n v="0.2292073408824678"/>
    <n v="189.18575025341516"/>
    <n v="28.115339786989178"/>
    <n v="451.36976224292869"/>
    <n v="198.83981271039337"/>
    <n v="11.975"/>
    <n v="22.274999999999999"/>
    <n v="49.95"/>
    <n v="52.1"/>
    <n v="54.349999999999994"/>
  </r>
  <r>
    <n v="4"/>
    <n v="4"/>
    <n v="2"/>
    <n v="13"/>
    <n v="29"/>
    <x v="1"/>
    <x v="3"/>
    <n v="404"/>
    <s v="EVA_404"/>
    <d v="2024-10-08T00:00:00"/>
    <n v="0.61"/>
    <n v="8.3000000000000004E-2"/>
    <n v="0.106"/>
    <n v="0.28699999999999998"/>
    <n v="0.58199999999999996"/>
    <n v="0.91700000000000004"/>
    <n v="0.89400000000000002"/>
    <n v="0.71300000000000008"/>
    <n v="0.41800000000000004"/>
    <n v="0"/>
    <n v="0"/>
    <n v="0"/>
    <n v="0"/>
    <n v="0"/>
    <n v="26.8"/>
    <n v="0"/>
    <n v="12.5"/>
    <n v="13.9"/>
    <n v="56.8"/>
    <n v="52.2"/>
    <n v="53.4"/>
    <n v="46.7"/>
    <n v="54.2"/>
    <n v="48.3"/>
    <n v="56.5"/>
    <n v="52.6"/>
    <n v="52.2"/>
    <n v="52"/>
    <n v="54.7"/>
    <n v="77"/>
    <n v="0.5"/>
    <n v="1124"/>
    <n v="310"/>
    <n v="50"/>
    <n v="196"/>
    <n v="74.06"/>
    <n v="30"/>
    <n v="7.84"/>
    <n v="1.66"/>
    <n v="22.74"/>
    <n v="9.68"/>
    <n v="20"/>
    <n v="41.919999999999995"/>
    <n v="41.919999999999995"/>
    <n v="2.0959999999999996"/>
    <n v="5.7"/>
    <n v="0.37785714285714289"/>
    <n v="424.7114285714286"/>
    <n v="849.4228571428572"/>
    <n v="0.18702290076335881"/>
    <n v="3.9599236641221378E-2"/>
    <n v="0.54246183206106868"/>
    <n v="0.23091603053435117"/>
    <n v="158.8615267175573"/>
    <n v="33.636496728462383"/>
    <n v="460.77947928026174"/>
    <n v="196.14535441657583"/>
    <n v="0"/>
    <n v="9.8249999999999993"/>
    <n v="44.075000000000003"/>
    <n v="51.424999999999997"/>
    <n v="52.875"/>
  </r>
  <r>
    <n v="3"/>
    <n v="4"/>
    <n v="2"/>
    <n v="14"/>
    <n v="20"/>
    <x v="1"/>
    <x v="5"/>
    <n v="304"/>
    <s v="EVA_304"/>
    <d v="2024-10-03T00:00:00"/>
    <n v="0.73"/>
    <n v="2.1000000000000001E-2"/>
    <n v="4.2999999999999997E-2"/>
    <n v="0.11"/>
    <n v="0.42499999999999999"/>
    <n v="0.97899999999999998"/>
    <n v="0.95699999999999996"/>
    <n v="0.89"/>
    <n v="0.57499999999999996"/>
    <n v="39.5"/>
    <n v="0.8"/>
    <n v="1.6"/>
    <n v="9.9"/>
    <n v="19"/>
    <n v="46.2"/>
    <n v="41.3"/>
    <n v="46.6"/>
    <n v="42.7"/>
    <n v="49.3"/>
    <n v="51.4"/>
    <n v="45.9"/>
    <n v="46.6"/>
    <n v="49.1"/>
    <n v="48.6"/>
    <n v="46"/>
    <n v="43.7"/>
    <n v="50.2"/>
    <n v="45"/>
    <n v="46.3"/>
    <n v="95"/>
    <n v="0.5"/>
    <n v="1560"/>
    <n v="404"/>
    <n v="50"/>
    <n v="238"/>
    <n v="76.8"/>
    <n v="30"/>
    <n v="10.48"/>
    <n v="2.2599999999999998"/>
    <n v="32.97"/>
    <n v="8.1"/>
    <n v="20"/>
    <n v="53.81"/>
    <n v="53.81"/>
    <n v="2.6905000000000001"/>
    <n v="8.3000000000000007"/>
    <n v="0.32268907563025206"/>
    <n v="503.39495798319319"/>
    <n v="1006.7899159663864"/>
    <n v="0.19475933841293439"/>
    <n v="4.1999628321873254E-2"/>
    <n v="0.61271139193458457"/>
    <n v="0.15052964133060767"/>
    <n v="196.08173795442721"/>
    <n v="42.284802268798238"/>
    <n v="616.87165079746808"/>
    <n v="151.55172494569277"/>
    <n v="12.95"/>
    <n v="38.274999999999999"/>
    <n v="47.325000000000003"/>
    <n v="47.575000000000003"/>
    <n v="46.3"/>
  </r>
  <r>
    <n v="2"/>
    <n v="4"/>
    <n v="2"/>
    <n v="15"/>
    <n v="13"/>
    <x v="1"/>
    <x v="4"/>
    <n v="204"/>
    <s v="EVA_204"/>
    <d v="2024-10-08T00:00:00"/>
    <n v="0.75"/>
    <n v="4.4999999999999998E-2"/>
    <n v="6.9000000000000006E-2"/>
    <n v="0.13600000000000001"/>
    <n v="0.59599999999999997"/>
    <n v="0.95499999999999996"/>
    <n v="0.93100000000000005"/>
    <n v="0.86399999999999999"/>
    <n v="0.40400000000000003"/>
    <n v="0.6"/>
    <n v="0"/>
    <n v="7.7"/>
    <n v="0"/>
    <n v="46.4"/>
    <n v="0.6"/>
    <n v="52.4"/>
    <n v="53.7"/>
    <n v="48.8"/>
    <n v="49.8"/>
    <n v="53.3"/>
    <n v="50"/>
    <n v="49.6"/>
    <n v="55.3"/>
    <n v="51.9"/>
    <n v="51.3"/>
    <n v="47.6"/>
    <n v="49.5"/>
    <n v="47.4"/>
    <n v="50.5"/>
    <n v="88"/>
    <n v="0.5"/>
    <n v="1610"/>
    <n v="420"/>
    <n v="50"/>
    <n v="245"/>
    <n v="87.68"/>
    <n v="30"/>
    <n v="12.66"/>
    <n v="1.1200000000000001"/>
    <n v="38.14"/>
    <n v="8.91"/>
    <n v="20"/>
    <n v="60.83"/>
    <n v="60.83"/>
    <n v="3.0415000000000001"/>
    <n v="8.75"/>
    <n v="0.35787755102040819"/>
    <n v="576.18285714285719"/>
    <n v="1152.3657142857144"/>
    <n v="0.20812099293111952"/>
    <n v="1.841196777905639E-2"/>
    <n v="0.62699325990465238"/>
    <n v="0.14647377938517181"/>
    <n v="239.83149667692166"/>
    <n v="21.217320401117874"/>
    <n v="722.52553580235326"/>
    <n v="168.79136140532165"/>
    <n v="2.0750000000000002"/>
    <n v="38.275000000000006"/>
    <n v="50.474999999999994"/>
    <n v="52.025000000000006"/>
    <n v="48.75"/>
  </r>
  <r>
    <n v="1"/>
    <n v="4"/>
    <n v="2"/>
    <n v="16"/>
    <n v="4"/>
    <x v="1"/>
    <x v="2"/>
    <n v="104"/>
    <s v="EVA_104"/>
    <d v="2024-10-03T00:00:00"/>
    <n v="0.78"/>
    <n v="2.7E-2"/>
    <n v="4.5999999999999999E-2"/>
    <n v="5.7000000000000002E-2"/>
    <n v="0.25"/>
    <n v="0.97299999999999998"/>
    <n v="0.95399999999999996"/>
    <n v="0.94299999999999995"/>
    <n v="0.75"/>
    <n v="0"/>
    <n v="0"/>
    <n v="0.7"/>
    <n v="0"/>
    <n v="6.5"/>
    <n v="9.5"/>
    <n v="43.7"/>
    <n v="31.4"/>
    <n v="45.9"/>
    <n v="50.9"/>
    <n v="48.3"/>
    <n v="49.2"/>
    <n v="49.7"/>
    <n v="57.1"/>
    <n v="56"/>
    <n v="52.8"/>
    <n v="52.9"/>
    <n v="52.4"/>
    <n v="55.3"/>
    <n v="51.8"/>
    <n v="57"/>
    <n v="0.5"/>
    <n v="1497"/>
    <n v="398"/>
    <n v="50"/>
    <n v="234"/>
    <n v="46.1"/>
    <n v="30"/>
    <n v="18.079999999999998"/>
    <n v="4.3899999999999997"/>
    <n v="36.31"/>
    <n v="14.82"/>
    <n v="30"/>
    <n v="73.599999999999994"/>
    <n v="49.06666666666667"/>
    <n v="2.4533333333333336"/>
    <n v="5.4666666666666668"/>
    <n v="0.197008547008547"/>
    <n v="294.92179487179487"/>
    <n v="589.84358974358975"/>
    <n v="0.24565217391304348"/>
    <n v="5.9646739130434785E-2"/>
    <n v="0.49334239130434787"/>
    <n v="0.20135869565217393"/>
    <n v="144.89636008918617"/>
    <n v="35.1822467251951"/>
    <n v="290.99484705964329"/>
    <n v="118.77013586956522"/>
    <n v="0.17499999999999999"/>
    <n v="22.774999999999999"/>
    <n v="48.575000000000003"/>
    <n v="53.900000000000006"/>
    <n v="53.099999999999994"/>
  </r>
  <r>
    <n v="1"/>
    <n v="5"/>
    <n v="3"/>
    <n v="17"/>
    <n v="5"/>
    <x v="0"/>
    <x v="2"/>
    <n v="105"/>
    <s v="EVA_105"/>
    <d v="2024-09-25T00:00:00"/>
    <n v="0.8"/>
    <n v="5.5E-2"/>
    <n v="7.2999999999999995E-2"/>
    <n v="0.115"/>
    <n v="0.19800000000000001"/>
    <n v="0.94499999999999995"/>
    <n v="0.92700000000000005"/>
    <n v="0.88500000000000001"/>
    <n v="0.80200000000000005"/>
    <n v="39.9"/>
    <n v="0"/>
    <n v="0"/>
    <n v="0"/>
    <n v="37.299999999999997"/>
    <n v="40.9"/>
    <n v="31.2"/>
    <n v="46.2"/>
    <n v="48.5"/>
    <n v="46.9"/>
    <n v="50.2"/>
    <n v="47.9"/>
    <n v="56"/>
    <n v="47.8"/>
    <n v="52"/>
    <n v="50.8"/>
    <n v="50.3"/>
    <n v="51.3"/>
    <n v="54.6"/>
    <n v="54.8"/>
    <n v="66"/>
    <n v="0.5"/>
    <n v="2426.4"/>
    <n v="510.3"/>
    <n v="50"/>
    <n v="297.3"/>
    <n v="67.5"/>
    <n v="30"/>
    <n v="11.14"/>
    <n v="1.86"/>
    <n v="25.39"/>
    <n v="10.18"/>
    <n v="20"/>
    <n v="48.57"/>
    <n v="48.57"/>
    <n v="2.4285000000000001"/>
    <n v="10.65"/>
    <n v="0.22704339051463168"/>
    <n v="550.89808274470238"/>
    <n v="1101.7961654894048"/>
    <n v="0.22935968704961912"/>
    <n v="3.8295243977764057E-2"/>
    <n v="0.52275066913732759"/>
    <n v="0.20959439983528927"/>
    <n v="252.70762370912024"/>
    <n v="42.19355297118166"/>
    <n v="575.96468276252801"/>
    <n v="230.93030604657486"/>
    <n v="9.9749999999999996"/>
    <n v="38.9"/>
    <n v="48.375000000000007"/>
    <n v="51.650000000000006"/>
    <n v="52.75"/>
  </r>
  <r>
    <n v="2"/>
    <n v="5"/>
    <n v="3"/>
    <n v="18"/>
    <n v="12"/>
    <x v="0"/>
    <x v="0"/>
    <n v="205"/>
    <s v="EVA_205"/>
    <d v="2024-10-08T00:00:00"/>
    <n v="0.76"/>
    <n v="3.6999999999999998E-2"/>
    <n v="5.2999999999999999E-2"/>
    <n v="0.218"/>
    <n v="0.60599999999999998"/>
    <n v="0.96299999999999997"/>
    <n v="0.94699999999999995"/>
    <n v="0.78200000000000003"/>
    <n v="0.39400000000000002"/>
    <n v="48.6"/>
    <n v="45.3"/>
    <n v="4.2"/>
    <n v="21.5"/>
    <n v="51.9"/>
    <n v="57.2"/>
    <n v="41.5"/>
    <n v="46.4"/>
    <n v="58.2"/>
    <n v="56.3"/>
    <n v="54.8"/>
    <n v="45.3"/>
    <n v="49.1"/>
    <n v="54.3"/>
    <n v="57.9"/>
    <n v="54.9"/>
    <n v="50.4"/>
    <n v="54.1"/>
    <n v="51.2"/>
    <n v="51.6"/>
    <n v="82"/>
    <n v="0.5"/>
    <n v="1778"/>
    <n v="429"/>
    <n v="50"/>
    <n v="265"/>
    <n v="77.89"/>
    <n v="30"/>
    <n v="10.49"/>
    <n v="2.21"/>
    <n v="30.89"/>
    <n v="7.78"/>
    <n v="20"/>
    <n v="51.370000000000005"/>
    <n v="51.370000000000005"/>
    <n v="2.5685000000000002"/>
    <n v="8.1999999999999993"/>
    <n v="0.29392452830188681"/>
    <n v="522.59781132075477"/>
    <n v="1045.1956226415095"/>
    <n v="0.20420478878722989"/>
    <n v="4.3021218610083699E-2"/>
    <n v="0.60132372980338711"/>
    <n v="0.15145026279929918"/>
    <n v="213.4339513628467"/>
    <n v="44.965589371962928"/>
    <n v="628.50093018096607"/>
    <n v="158.29515172573377"/>
    <n v="29.900000000000002"/>
    <n v="49.25"/>
    <n v="53.650000000000006"/>
    <n v="54.050000000000004"/>
    <n v="51.824999999999996"/>
  </r>
  <r>
    <n v="3"/>
    <n v="5"/>
    <n v="3"/>
    <n v="19"/>
    <n v="21"/>
    <x v="0"/>
    <x v="3"/>
    <n v="305"/>
    <s v="EVA_305"/>
    <d v="2024-09-26T00:00:00"/>
    <n v="0.73"/>
    <n v="2.3E-2"/>
    <n v="4.4999999999999998E-2"/>
    <n v="8.4000000000000005E-2"/>
    <n v="0.29099999999999998"/>
    <n v="0.97699999999999998"/>
    <n v="0.95499999999999996"/>
    <n v="0.91600000000000004"/>
    <n v="0.70900000000000007"/>
    <n v="14.8"/>
    <n v="10.6"/>
    <n v="5.3"/>
    <n v="38.5"/>
    <n v="15.4"/>
    <n v="48.8"/>
    <n v="46.7"/>
    <n v="52.4"/>
    <n v="52.5"/>
    <n v="51.3"/>
    <n v="54.5"/>
    <n v="52.4"/>
    <n v="49.8"/>
    <n v="52.7"/>
    <n v="53.9"/>
    <n v="40.5"/>
    <n v="51.1"/>
    <n v="50.9"/>
    <n v="52.2"/>
    <n v="56.5"/>
    <n v="93"/>
    <n v="0.5"/>
    <n v="1878"/>
    <n v="487.5"/>
    <n v="50"/>
    <n v="299.60000000000002"/>
    <n v="79.099999999999994"/>
    <n v="30"/>
    <n v="9.67"/>
    <n v="1.66"/>
    <n v="30.6"/>
    <n v="8.94"/>
    <n v="20"/>
    <n v="50.87"/>
    <n v="50.87"/>
    <n v="2.5434999999999999"/>
    <n v="9.3949999999999996"/>
    <n v="0.26401869158878499"/>
    <n v="495.82710280373823"/>
    <n v="991.65420560747646"/>
    <n v="0.19009239237271477"/>
    <n v="3.2632199724788674E-2"/>
    <n v="0.6015333202280323"/>
    <n v="0.17574208767446431"/>
    <n v="188.50592035038918"/>
    <n v="32.359858095309825"/>
    <n v="596.51304681715715"/>
    <n v="174.27538034462037"/>
    <n v="17.3"/>
    <n v="40.825000000000003"/>
    <n v="52.675000000000004"/>
    <n v="49.225000000000001"/>
    <n v="52.674999999999997"/>
  </r>
  <r>
    <n v="4"/>
    <n v="5"/>
    <n v="3"/>
    <n v="20"/>
    <n v="28"/>
    <x v="0"/>
    <x v="1"/>
    <n v="405"/>
    <s v="EVA_405"/>
    <d v="2024-10-01T00:00:00"/>
    <n v="0.73"/>
    <n v="0.104"/>
    <n v="0.109"/>
    <n v="0.16800000000000001"/>
    <n v="0.371"/>
    <n v="0.89600000000000002"/>
    <n v="0.89100000000000001"/>
    <n v="0.83199999999999996"/>
    <n v="0.629"/>
    <n v="0"/>
    <n v="0"/>
    <n v="0"/>
    <n v="0"/>
    <n v="7.6"/>
    <n v="0"/>
    <n v="45.9"/>
    <n v="2.4"/>
    <n v="53.4"/>
    <n v="52.8"/>
    <n v="58.4"/>
    <n v="29.7"/>
    <n v="50"/>
    <n v="54.1"/>
    <n v="52.2"/>
    <n v="54.3"/>
    <n v="52.9"/>
    <n v="50.8"/>
    <n v="47.9"/>
    <n v="51.3"/>
    <n v="79"/>
    <n v="0.5"/>
    <n v="1369"/>
    <n v="386"/>
    <n v="50"/>
    <n v="253"/>
    <n v="90.5"/>
    <n v="30"/>
    <n v="8.6300000000000008"/>
    <n v="4.12"/>
    <n v="25.71"/>
    <n v="10.36"/>
    <n v="20"/>
    <n v="48.82"/>
    <n v="48.82"/>
    <n v="2.4409999999999998"/>
    <n v="6.65"/>
    <n v="0.35770750988142291"/>
    <n v="489.70158102766794"/>
    <n v="979.40316205533588"/>
    <n v="0.17677181482998772"/>
    <n v="8.4391642769356817E-2"/>
    <n v="0.52662843097091361"/>
    <n v="0.21220811142974189"/>
    <n v="173.13087440675028"/>
    <n v="82.653441779352391"/>
    <n v="515.78155052115301"/>
    <n v="207.83729534808026"/>
    <n v="0"/>
    <n v="13.975"/>
    <n v="48.574999999999996"/>
    <n v="52.650000000000006"/>
    <n v="50.724999999999994"/>
  </r>
  <r>
    <n v="4"/>
    <n v="6"/>
    <n v="3"/>
    <n v="21"/>
    <n v="27"/>
    <x v="1"/>
    <x v="2"/>
    <n v="406"/>
    <s v="EVA_406"/>
    <d v="2024-10-03T00:00:00"/>
    <n v="0.71"/>
    <n v="4.4999999999999998E-2"/>
    <n v="0.1"/>
    <n v="0.155"/>
    <n v="0.34399999999999997"/>
    <n v="0.95499999999999996"/>
    <n v="0.9"/>
    <n v="0.84499999999999997"/>
    <n v="0.65600000000000003"/>
    <n v="0"/>
    <n v="0"/>
    <n v="0"/>
    <n v="0"/>
    <n v="14.7"/>
    <n v="0"/>
    <n v="32.6"/>
    <n v="35.700000000000003"/>
    <n v="38.200000000000003"/>
    <n v="19.3"/>
    <n v="33.5"/>
    <n v="56.7"/>
    <n v="51.1"/>
    <n v="43"/>
    <n v="50.9"/>
    <n v="51.9"/>
    <n v="53.9"/>
    <n v="46.5"/>
    <n v="52.4"/>
    <n v="51.7"/>
    <n v="57"/>
    <n v="0.5"/>
    <n v="1386"/>
    <n v="292"/>
    <n v="50"/>
    <n v="184"/>
    <n v="60.9"/>
    <n v="30"/>
    <n v="6.84"/>
    <n v="3.21"/>
    <n v="16.41"/>
    <n v="8.06"/>
    <n v="18"/>
    <n v="34.520000000000003"/>
    <n v="38.355555555555561"/>
    <n v="1.917777777777778"/>
    <n v="6"/>
    <n v="0.33097826086956522"/>
    <n v="458.7358695652174"/>
    <n v="917.4717391304348"/>
    <n v="0.19814600231749707"/>
    <n v="9.2989571263035906E-2"/>
    <n v="0.47537659327925835"/>
    <n v="0.23348783314020857"/>
    <n v="181.79335734797721"/>
    <n v="85.315303667691055"/>
    <n v="436.14458977782255"/>
    <n v="214.21848833694392"/>
    <n v="0"/>
    <n v="20.75"/>
    <n v="36.924999999999997"/>
    <n v="49.225000000000001"/>
    <n v="51.125"/>
  </r>
  <r>
    <n v="3"/>
    <n v="6"/>
    <n v="3"/>
    <n v="22"/>
    <n v="22"/>
    <x v="1"/>
    <x v="4"/>
    <n v="306"/>
    <s v="EVA_306"/>
    <d v="2024-10-08T00:00:00"/>
    <n v="0.76"/>
    <n v="6.2E-2"/>
    <n v="8.5999999999999993E-2"/>
    <n v="0.14599999999999999"/>
    <n v="0.61799999999999999"/>
    <n v="0.93799999999999994"/>
    <n v="0.91400000000000003"/>
    <n v="0.85399999999999998"/>
    <n v="0.38200000000000001"/>
    <n v="0"/>
    <n v="0"/>
    <n v="0"/>
    <n v="0"/>
    <n v="35.4"/>
    <n v="47.9"/>
    <n v="46.7"/>
    <n v="51.3"/>
    <n v="57.2"/>
    <n v="58.6"/>
    <n v="56.6"/>
    <n v="58.2"/>
    <n v="49.1"/>
    <n v="59.9"/>
    <n v="56.7"/>
    <n v="51.1"/>
    <n v="44.6"/>
    <n v="50.6"/>
    <n v="47.1"/>
    <n v="50.2"/>
    <n v="80"/>
    <n v="0.5"/>
    <n v="1433"/>
    <n v="401"/>
    <n v="50"/>
    <n v="231"/>
    <n v="86.29"/>
    <n v="30"/>
    <n v="13.07"/>
    <n v="2.09"/>
    <n v="39.43"/>
    <n v="9.98"/>
    <n v="20"/>
    <n v="64.570000000000007"/>
    <n v="64.570000000000007"/>
    <n v="3.2285000000000004"/>
    <n v="8.5"/>
    <n v="0.37354978354978358"/>
    <n v="535.29683982683991"/>
    <n v="1070.5936796536798"/>
    <n v="0.20241598265448349"/>
    <n v="3.2367972742759793E-2"/>
    <n v="0.61065510298900416"/>
    <n v="0.1545609416137525"/>
    <n v="216.70527169077891"/>
    <n v="34.652947041601216"/>
    <n v="653.76349370829473"/>
    <n v="165.47196721300486"/>
    <n v="0"/>
    <n v="45.325000000000003"/>
    <n v="57.650000000000006"/>
    <n v="54.199999999999996"/>
    <n v="48.125"/>
  </r>
  <r>
    <n v="2"/>
    <n v="6"/>
    <n v="3"/>
    <n v="23"/>
    <n v="11"/>
    <x v="1"/>
    <x v="5"/>
    <n v="206"/>
    <s v="EVA_206"/>
    <d v="2024-10-03T00:00:00"/>
    <n v="0.78"/>
    <n v="2.8000000000000001E-2"/>
    <n v="4.8000000000000001E-2"/>
    <n v="0.112"/>
    <n v="0.442"/>
    <n v="0.97199999999999998"/>
    <n v="0.95199999999999996"/>
    <n v="0.88800000000000001"/>
    <n v="0.55800000000000005"/>
    <n v="20.7"/>
    <n v="33.6"/>
    <n v="8.9"/>
    <n v="0"/>
    <n v="49.2"/>
    <n v="56.6"/>
    <n v="37.4"/>
    <n v="46.8"/>
    <n v="53.2"/>
    <n v="47.7"/>
    <n v="51.1"/>
    <n v="47.8"/>
    <n v="53.1"/>
    <n v="57.3"/>
    <n v="49.8"/>
    <n v="51"/>
    <n v="50.5"/>
    <n v="46.2"/>
    <n v="46"/>
    <n v="49.9"/>
    <n v="93"/>
    <n v="0.5"/>
    <n v="1905"/>
    <n v="505"/>
    <n v="50"/>
    <n v="312"/>
    <n v="89.5"/>
    <n v="30"/>
    <n v="11.67"/>
    <n v="2.1800000000000002"/>
    <n v="32.6"/>
    <n v="8.18"/>
    <n v="20"/>
    <n v="54.63"/>
    <n v="54.63000000000001"/>
    <n v="2.7315000000000005"/>
    <n v="9.65"/>
    <n v="0.28685897435897434"/>
    <n v="546.46634615384608"/>
    <n v="1092.9326923076922"/>
    <n v="0.21361889071938495"/>
    <n v="3.9904814204649461E-2"/>
    <n v="0.59674171700530843"/>
    <n v="0.14973457807065713"/>
    <n v="233.47106936172005"/>
    <n v="43.613276024725771"/>
    <n v="652.19853137892665"/>
    <n v="163.6498155423196"/>
    <n v="35.800000000000004"/>
    <n v="49.699999999999996"/>
    <n v="52"/>
    <n v="48.424999999999997"/>
    <n v="48.15"/>
  </r>
  <r>
    <n v="1"/>
    <n v="6"/>
    <n v="3"/>
    <n v="24"/>
    <n v="6"/>
    <x v="1"/>
    <x v="3"/>
    <n v="106"/>
    <s v="EVA_106"/>
    <d v="2024-10-08T00:00:00"/>
    <n v="0.7"/>
    <n v="0.04"/>
    <n v="9.6000000000000002E-2"/>
    <n v="0.28399999999999997"/>
    <n v="0.58099999999999996"/>
    <n v="0.96"/>
    <n v="0.90400000000000003"/>
    <n v="0.71599999999999997"/>
    <n v="0.41900000000000004"/>
    <n v="0"/>
    <n v="0"/>
    <n v="0"/>
    <n v="0"/>
    <n v="0"/>
    <n v="38.799999999999997"/>
    <n v="0.1"/>
    <n v="2.9"/>
    <n v="52"/>
    <n v="41.8"/>
    <n v="49.8"/>
    <n v="32.700000000000003"/>
    <n v="50.6"/>
    <n v="52.7"/>
    <n v="53.2"/>
    <n v="57.6"/>
    <n v="51.4"/>
    <n v="54.7"/>
    <n v="55.7"/>
    <n v="57.7"/>
    <n v="78"/>
    <n v="0.5"/>
    <n v="1511"/>
    <n v="387"/>
    <n v="50"/>
    <n v="223"/>
    <n v="72.3"/>
    <n v="30"/>
    <n v="9.32"/>
    <n v="3.17"/>
    <n v="29.78"/>
    <n v="9.4499999999999993"/>
    <n v="20"/>
    <n v="51.72"/>
    <n v="51.720000000000006"/>
    <n v="2.5860000000000003"/>
    <n v="8.1999999999999993"/>
    <n v="0.32421524663677131"/>
    <n v="489.88923766816146"/>
    <n v="979.77847533632291"/>
    <n v="0.18020108275328695"/>
    <n v="6.1291569992266051E-2"/>
    <n v="0.57579273008507348"/>
    <n v="0.18271461716937354"/>
    <n v="176.55714211397003"/>
    <n v="60.052160997991955"/>
    <n v="564.14932319249215"/>
    <n v="179.01984903186874"/>
    <n v="0"/>
    <n v="10.45"/>
    <n v="44.075000000000003"/>
    <n v="53.524999999999999"/>
    <n v="54.875"/>
  </r>
  <r>
    <n v="1"/>
    <n v="7"/>
    <n v="4"/>
    <n v="25"/>
    <n v="7"/>
    <x v="0"/>
    <x v="3"/>
    <n v="107"/>
    <s v="EVA_107"/>
    <d v="2024-09-26T00:00:00"/>
    <n v="0.76"/>
    <n v="1.9E-2"/>
    <n v="3.9E-2"/>
    <n v="0.13900000000000001"/>
    <n v="0.24199999999999999"/>
    <n v="0.98099999999999998"/>
    <n v="0.96099999999999997"/>
    <n v="0.86099999999999999"/>
    <n v="0.75800000000000001"/>
    <n v="36.5"/>
    <n v="10.1"/>
    <n v="49.5"/>
    <n v="18"/>
    <n v="51.4"/>
    <n v="42.3"/>
    <n v="49.4"/>
    <n v="44.5"/>
    <n v="51.9"/>
    <n v="44"/>
    <n v="51.5"/>
    <n v="50.2"/>
    <n v="46.6"/>
    <n v="42.2"/>
    <n v="50.6"/>
    <n v="51.5"/>
    <n v="57.9"/>
    <n v="44.7"/>
    <n v="53.5"/>
    <n v="52"/>
    <n v="95"/>
    <n v="0.5"/>
    <n v="2092"/>
    <n v="457.1"/>
    <n v="50"/>
    <n v="288.39999999999998"/>
    <n v="78.099999999999994"/>
    <n v="30"/>
    <n v="9.16"/>
    <n v="1.26"/>
    <n v="27.21"/>
    <n v="7.56"/>
    <n v="20"/>
    <n v="45.190000000000005"/>
    <n v="45.190000000000005"/>
    <n v="2.2595000000000001"/>
    <n v="8.4350000000000023"/>
    <n v="0.27080443828016643"/>
    <n v="566.5228848821082"/>
    <n v="1133.0457697642164"/>
    <n v="0.20269971232573578"/>
    <n v="2.7882274839566273E-2"/>
    <n v="0.60212436379730028"/>
    <n v="0.16729364903739763"/>
    <n v="229.6680515830985"/>
    <n v="31.591893558373812"/>
    <n v="682.23446327250122"/>
    <n v="189.55136135024287"/>
    <n v="28.524999999999999"/>
    <n v="46.9"/>
    <n v="49.400000000000006"/>
    <n v="47.725000000000001"/>
    <n v="52.024999999999999"/>
  </r>
  <r>
    <n v="2"/>
    <n v="7"/>
    <n v="4"/>
    <n v="26"/>
    <n v="10"/>
    <x v="0"/>
    <x v="2"/>
    <n v="207"/>
    <s v="EVA_207"/>
    <d v="2024-09-25T00:00:00"/>
    <n v="0.74"/>
    <n v="7.5999999999999998E-2"/>
    <n v="0.127"/>
    <n v="0.16"/>
    <n v="0.28999999999999998"/>
    <n v="0.92400000000000004"/>
    <n v="0.873"/>
    <n v="0.84"/>
    <n v="0.71"/>
    <n v="0"/>
    <n v="20.100000000000001"/>
    <n v="0"/>
    <n v="0"/>
    <n v="9.5"/>
    <n v="11.3"/>
    <n v="46.9"/>
    <n v="44.2"/>
    <n v="49.3"/>
    <n v="40.200000000000003"/>
    <n v="41.8"/>
    <n v="45.9"/>
    <n v="35.700000000000003"/>
    <n v="38"/>
    <n v="47.5"/>
    <n v="50.4"/>
    <n v="53.3"/>
    <n v="48.8"/>
    <n v="54.4"/>
    <n v="46.2"/>
    <n v="69"/>
    <n v="0.5"/>
    <n v="2348"/>
    <n v="482.3"/>
    <n v="50"/>
    <n v="300.10000000000002"/>
    <n v="79.400000000000006"/>
    <n v="30"/>
    <n v="8"/>
    <n v="3.08"/>
    <n v="25.58"/>
    <n v="9.4700000000000006"/>
    <n v="20"/>
    <n v="46.129999999999995"/>
    <n v="46.129999999999995"/>
    <n v="2.3064999999999998"/>
    <n v="9.11"/>
    <n v="0.26457847384205263"/>
    <n v="621.23025658113954"/>
    <n v="1242.4605131622791"/>
    <n v="0.173422935183178"/>
    <n v="6.676783004552353E-2"/>
    <n v="0.55451983524821158"/>
    <n v="0.20528939952308697"/>
    <n v="215.4711490418"/>
    <n v="82.956392381092996"/>
    <n v="688.96899906115539"/>
    <n v="255.06397267823078"/>
    <n v="5.0250000000000004"/>
    <n v="27.975000000000001"/>
    <n v="44.300000000000004"/>
    <n v="42.9"/>
    <n v="50.674999999999997"/>
  </r>
  <r>
    <n v="3"/>
    <n v="7"/>
    <n v="4"/>
    <n v="27"/>
    <n v="23"/>
    <x v="0"/>
    <x v="1"/>
    <n v="307"/>
    <s v="EVA_307"/>
    <d v="2024-10-01T00:00:00"/>
    <n v="0.74"/>
    <n v="9.0999999999999998E-2"/>
    <n v="0.13700000000000001"/>
    <n v="0.221"/>
    <n v="0.44700000000000001"/>
    <n v="0.90900000000000003"/>
    <n v="0.86299999999999999"/>
    <n v="0.77900000000000003"/>
    <n v="0.55299999999999994"/>
    <n v="0"/>
    <n v="0"/>
    <n v="0"/>
    <n v="0"/>
    <n v="6.7"/>
    <n v="31.8"/>
    <n v="34.1"/>
    <n v="49.7"/>
    <n v="49"/>
    <n v="46.7"/>
    <n v="54.2"/>
    <n v="51.8"/>
    <n v="51.9"/>
    <n v="52"/>
    <n v="53"/>
    <n v="53.4"/>
    <n v="50.6"/>
    <n v="44.8"/>
    <n v="53.7"/>
    <n v="46.6"/>
    <n v="78"/>
    <n v="0.5"/>
    <n v="1247"/>
    <n v="400"/>
    <n v="50"/>
    <n v="227"/>
    <n v="75.8"/>
    <n v="30"/>
    <n v="11.53"/>
    <n v="1.55"/>
    <n v="33.090000000000003"/>
    <n v="9.77"/>
    <n v="19"/>
    <n v="55.94"/>
    <n v="58.88421052631579"/>
    <n v="2.9442105263157896"/>
    <n v="9.1052631578947363"/>
    <n v="0.33392070484581499"/>
    <n v="416.39911894273126"/>
    <n v="832.79823788546253"/>
    <n v="0.2061136932427601"/>
    <n v="2.7708258848766539E-2"/>
    <n v="0.59152663568108699"/>
    <n v="0.17465141222738648"/>
    <n v="171.65112053663537"/>
    <n v="23.075389144127048"/>
    <n v="492.62233985752522"/>
    <n v="145.44938834717499"/>
    <n v="0"/>
    <n v="30.574999999999999"/>
    <n v="50.424999999999997"/>
    <n v="52.575000000000003"/>
    <n v="48.925000000000004"/>
  </r>
  <r>
    <n v="4"/>
    <n v="7"/>
    <n v="4"/>
    <n v="28"/>
    <n v="26"/>
    <x v="0"/>
    <x v="0"/>
    <n v="407"/>
    <s v="EVA_407"/>
    <d v="2024-10-08T00:00:00"/>
    <n v="0.74"/>
    <n v="2.5999999999999999E-2"/>
    <n v="4.5999999999999999E-2"/>
    <n v="0.183"/>
    <n v="0.53700000000000003"/>
    <n v="0.97399999999999998"/>
    <n v="0.95399999999999996"/>
    <n v="0.81699999999999995"/>
    <n v="0.46299999999999997"/>
    <n v="0"/>
    <n v="0"/>
    <n v="0"/>
    <n v="0"/>
    <n v="59.1"/>
    <n v="52.9"/>
    <n v="37.299999999999997"/>
    <n v="17.399999999999999"/>
    <n v="62.5"/>
    <n v="56.4"/>
    <n v="56.5"/>
    <n v="57"/>
    <n v="58.4"/>
    <n v="52.7"/>
    <n v="58.5"/>
    <n v="53.7"/>
    <n v="51.1"/>
    <n v="51.2"/>
    <n v="48.4"/>
    <n v="53.7"/>
    <n v="79"/>
    <n v="0.5"/>
    <n v="1449"/>
    <n v="345"/>
    <n v="50"/>
    <n v="210"/>
    <n v="68.12"/>
    <n v="30"/>
    <n v="9.7799999999999994"/>
    <n v="2.66"/>
    <n v="25.52"/>
    <n v="7.35"/>
    <n v="20"/>
    <n v="45.31"/>
    <n v="45.31"/>
    <n v="2.2655000000000003"/>
    <n v="6.75"/>
    <n v="0.32438095238095238"/>
    <n v="470.02800000000002"/>
    <n v="940.05600000000004"/>
    <n v="0.21584639152504964"/>
    <n v="5.8706687265504306E-2"/>
    <n v="0.5632310748179209"/>
    <n v="0.16221584639152503"/>
    <n v="202.90769543147206"/>
    <n v="55.187573604060915"/>
    <n v="529.46875126903547"/>
    <n v="152.49197969543147"/>
    <n v="0"/>
    <n v="41.675000000000004"/>
    <n v="58.1"/>
    <n v="55.825000000000003"/>
    <n v="51.100000000000009"/>
  </r>
  <r>
    <n v="4"/>
    <n v="8"/>
    <n v="4"/>
    <n v="29"/>
    <n v="25"/>
    <x v="1"/>
    <x v="5"/>
    <n v="408"/>
    <s v="EVA_408"/>
    <d v="2024-10-03T00:00:00"/>
    <n v="0.77"/>
    <n v="5.1999999999999998E-2"/>
    <n v="6.5000000000000002E-2"/>
    <n v="0.16300000000000001"/>
    <n v="0.50700000000000001"/>
    <n v="0.94799999999999995"/>
    <n v="0.93500000000000005"/>
    <n v="0.83699999999999997"/>
    <n v="0.49299999999999999"/>
    <n v="0"/>
    <n v="1"/>
    <n v="0"/>
    <n v="0"/>
    <n v="2.9"/>
    <n v="4.5999999999999996"/>
    <n v="46.6"/>
    <n v="15.7"/>
    <n v="48.1"/>
    <n v="52.9"/>
    <n v="59.8"/>
    <n v="50.1"/>
    <n v="52.5"/>
    <n v="46.7"/>
    <n v="54.1"/>
    <n v="48.5"/>
    <n v="49"/>
    <n v="45.6"/>
    <n v="51.5"/>
    <n v="46.9"/>
    <n v="98"/>
    <n v="0.5"/>
    <n v="1525"/>
    <n v="414"/>
    <n v="50"/>
    <n v="246"/>
    <n v="79.3"/>
    <n v="30"/>
    <n v="10.92"/>
    <n v="3.07"/>
    <n v="32.94"/>
    <n v="8.9600000000000009"/>
    <n v="20"/>
    <n v="55.89"/>
    <n v="55.89"/>
    <n v="2.7945000000000002"/>
    <n v="8.4"/>
    <n v="0.32235772357723574"/>
    <n v="491.59552845528452"/>
    <n v="983.19105691056905"/>
    <n v="0.19538378958668814"/>
    <n v="5.4929325460726423E-2"/>
    <n v="0.58937198067632846"/>
    <n v="0.16031490427625694"/>
    <n v="192.09959458692816"/>
    <n v="54.006021555116241"/>
    <n v="579.46526059463486"/>
    <n v="157.62018017388976"/>
    <n v="0.25"/>
    <n v="17.45"/>
    <n v="52.725000000000001"/>
    <n v="50.45"/>
    <n v="48.25"/>
  </r>
  <r>
    <n v="3"/>
    <n v="8"/>
    <n v="4"/>
    <n v="30"/>
    <n v="24"/>
    <x v="1"/>
    <x v="2"/>
    <n v="308"/>
    <s v="EVA_308"/>
    <d v="2024-10-03T00:00:00"/>
    <n v="0.76"/>
    <n v="3.6999999999999998E-2"/>
    <n v="6.8000000000000005E-2"/>
    <n v="0.13800000000000001"/>
    <n v="0.32400000000000001"/>
    <n v="0.96299999999999997"/>
    <n v="0.93199999999999994"/>
    <n v="0.86199999999999999"/>
    <n v="0.67599999999999993"/>
    <n v="0"/>
    <n v="0"/>
    <n v="0"/>
    <n v="9.6"/>
    <n v="11.2"/>
    <n v="37.200000000000003"/>
    <n v="15.4"/>
    <n v="54.7"/>
    <n v="46.5"/>
    <n v="48.8"/>
    <n v="46.9"/>
    <n v="50.1"/>
    <n v="43"/>
    <n v="36.700000000000003"/>
    <n v="54.5"/>
    <n v="53.6"/>
    <n v="47.4"/>
    <n v="47.6"/>
    <n v="52.9"/>
    <n v="51.7"/>
    <n v="58"/>
    <n v="0.5"/>
    <n v="1570"/>
    <n v="330"/>
    <n v="50"/>
    <n v="193"/>
    <n v="56.9"/>
    <n v="30"/>
    <n v="10.49"/>
    <n v="1.65"/>
    <n v="21.16"/>
    <n v="8.11"/>
    <n v="20"/>
    <n v="41.41"/>
    <n v="41.41"/>
    <n v="2.0705"/>
    <n v="6.85"/>
    <n v="0.2948186528497409"/>
    <n v="462.86528497409324"/>
    <n v="925.73056994818648"/>
    <n v="0.25332045399661918"/>
    <n v="3.984544795943009E-2"/>
    <n v="0.5109876841342671"/>
    <n v="0.19584641390968366"/>
    <n v="234.50648825782363"/>
    <n v="36.886149249324021"/>
    <n v="473.03692007011898"/>
    <n v="181.30101237091989"/>
    <n v="2.4"/>
    <n v="29.625"/>
    <n v="48.074999999999996"/>
    <n v="46.949999999999996"/>
    <n v="49.900000000000006"/>
  </r>
  <r>
    <n v="2"/>
    <n v="8"/>
    <n v="4"/>
    <n v="31"/>
    <n v="9"/>
    <x v="1"/>
    <x v="3"/>
    <n v="208"/>
    <s v="EVA_208"/>
    <d v="2024-10-08T00:00:00"/>
    <n v="0.67"/>
    <n v="8.3000000000000004E-2"/>
    <n v="0.14000000000000001"/>
    <n v="0.184"/>
    <n v="0.45300000000000001"/>
    <n v="0.91700000000000004"/>
    <n v="0.86"/>
    <n v="0.81600000000000006"/>
    <n v="0.54699999999999993"/>
    <n v="0"/>
    <n v="0"/>
    <n v="0.1"/>
    <n v="0.7"/>
    <n v="38.299999999999997"/>
    <n v="36.6"/>
    <n v="48.7"/>
    <n v="42.3"/>
    <n v="46.9"/>
    <n v="53"/>
    <n v="49.2"/>
    <n v="46.6"/>
    <n v="47.3"/>
    <n v="50.8"/>
    <n v="52.3"/>
    <n v="51.4"/>
    <n v="43.6"/>
    <n v="52.8"/>
    <n v="50.3"/>
    <n v="52.2"/>
    <n v="80"/>
    <n v="0.5"/>
    <n v="1314"/>
    <n v="399"/>
    <n v="50"/>
    <n v="240"/>
    <n v="83.64"/>
    <n v="30"/>
    <n v="9.6"/>
    <n v="3.07"/>
    <n v="35.01"/>
    <n v="9.76"/>
    <n v="20"/>
    <n v="57.44"/>
    <n v="57.44"/>
    <n v="2.8719999999999999"/>
    <n v="7.95"/>
    <n v="0.34849999999999998"/>
    <n v="457.92899999999997"/>
    <n v="915.85799999999995"/>
    <n v="0.16713091922005571"/>
    <n v="5.3447075208913647E-2"/>
    <n v="0.60950557103064062"/>
    <n v="0.16991643454038999"/>
    <n v="153.06818941504179"/>
    <n v="48.949931406685231"/>
    <n v="558.2205532729804"/>
    <n v="155.6193259052925"/>
    <n v="0.19999999999999998"/>
    <n v="41.475000000000001"/>
    <n v="48.925000000000004"/>
    <n v="50.449999999999996"/>
    <n v="49.724999999999994"/>
  </r>
  <r>
    <n v="1"/>
    <n v="8"/>
    <n v="4"/>
    <n v="32"/>
    <n v="8"/>
    <x v="1"/>
    <x v="4"/>
    <n v="108"/>
    <s v="EVA_108"/>
    <d v="2024-10-08T00:00:00"/>
    <n v="0.75"/>
    <n v="9.5000000000000001E-2"/>
    <n v="0.129"/>
    <n v="0.23899999999999999"/>
    <n v="0.54800000000000004"/>
    <n v="0.90500000000000003"/>
    <n v="0.871"/>
    <n v="0.76100000000000001"/>
    <n v="0.45199999999999996"/>
    <n v="41.3"/>
    <n v="0"/>
    <n v="0.6"/>
    <n v="0"/>
    <n v="61"/>
    <n v="53.5"/>
    <n v="52"/>
    <n v="7.2"/>
    <n v="59.2"/>
    <n v="68"/>
    <n v="51.1"/>
    <n v="56.6"/>
    <n v="49.9"/>
    <n v="65.8"/>
    <n v="50.2"/>
    <n v="56.9"/>
    <n v="48.6"/>
    <n v="49.9"/>
    <n v="48.4"/>
    <n v="52.9"/>
    <n v="80"/>
    <n v="0.5"/>
    <n v="1315"/>
    <n v="416"/>
    <n v="50"/>
    <n v="267"/>
    <n v="100.59"/>
    <n v="30"/>
    <n v="12.46"/>
    <n v="1.8"/>
    <n v="33.340000000000003"/>
    <n v="9.2100000000000009"/>
    <n v="20"/>
    <n v="56.810000000000009"/>
    <n v="56.810000000000016"/>
    <n v="2.8405000000000009"/>
    <n v="7.45"/>
    <n v="0.37674157303370787"/>
    <n v="495.41516853932586"/>
    <n v="990.83033707865172"/>
    <n v="0.21932758317197673"/>
    <n v="3.1684562577011084E-2"/>
    <n v="0.58686850906530541"/>
    <n v="0.16211934518570673"/>
    <n v="217.31642316493571"/>
    <n v="31.394025818369528"/>
    <n v="581.48712265802237"/>
    <n v="160.63276543732408"/>
    <n v="10.475"/>
    <n v="43.424999999999997"/>
    <n v="58.725000000000001"/>
    <n v="55.699999999999996"/>
    <n v="49.95"/>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r>
    <m/>
    <m/>
    <m/>
    <m/>
    <m/>
    <x v="2"/>
    <x v="6"/>
    <m/>
    <m/>
    <m/>
    <m/>
    <m/>
    <m/>
    <m/>
    <m/>
    <m/>
    <m/>
    <m/>
    <m/>
    <m/>
    <m/>
    <m/>
    <m/>
    <m/>
    <m/>
    <m/>
    <m/>
    <m/>
    <m/>
    <m/>
    <m/>
    <m/>
    <m/>
    <m/>
    <m/>
    <m/>
    <m/>
    <m/>
    <m/>
    <m/>
    <m/>
    <m/>
    <m/>
    <m/>
    <m/>
    <m/>
    <m/>
    <m/>
    <m/>
    <m/>
    <m/>
    <m/>
    <m/>
    <m/>
    <m/>
    <m/>
    <m/>
    <m/>
    <m/>
    <m/>
    <m/>
    <m/>
    <m/>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
    <n v="1"/>
    <n v="1"/>
    <n v="1"/>
    <n v="1"/>
    <x v="0"/>
    <x v="0"/>
    <n v="101"/>
    <s v="EVA_101"/>
    <d v="2024-09-24T00:00:00"/>
    <n v="0.83"/>
    <n v="3.6999999999999998E-2"/>
    <n v="7.1999999999999995E-2"/>
    <n v="0.13300000000000001"/>
    <n v="0.221"/>
    <n v="0.96299999999999997"/>
    <n v="0.92800000000000005"/>
    <n v="0.86699999999999999"/>
    <n v="0.77900000000000003"/>
    <n v="47.6"/>
    <n v="40.9"/>
    <n v="45.7"/>
    <n v="45"/>
    <n v="63.4"/>
    <n v="54.5"/>
    <n v="55.8"/>
    <n v="57.5"/>
    <n v="56.3"/>
    <n v="53.9"/>
    <n v="53.1"/>
    <n v="37.5"/>
    <n v="51.8"/>
    <n v="56.9"/>
    <n v="51.4"/>
    <n v="54.8"/>
    <n v="54.9"/>
    <n v="48.1"/>
    <n v="49"/>
    <n v="43.2"/>
    <n v="72"/>
    <n v="0.5"/>
    <n v="2192.8000000000002"/>
    <n v="4385.6000000000004"/>
    <n v="352.3"/>
    <n v="50"/>
    <n v="212.9"/>
    <n v="49.56"/>
    <n v="30"/>
    <n v="9.2799999999999994"/>
    <n v="1.52"/>
    <n v="19.68"/>
    <n v="3.3"/>
    <n v="33.779999999999994"/>
    <n v="1.6520000000000001"/>
    <n v="7.0966666666666667"/>
    <n v="0.23278534523250352"/>
    <n v="510.45170502583375"/>
    <n v="1020.9034100516675"/>
    <n v="0.27471876850207227"/>
    <n v="4.4997039668442873E-2"/>
    <n v="0.58259325044404986"/>
    <n v="9.7690941385435187E-2"/>
    <n v="280.4613275689602"/>
    <n v="45.937631239743482"/>
    <n v="594.77143605141566"/>
    <n v="99.733015191548347"/>
    <m/>
    <m/>
    <m/>
    <m/>
    <m/>
  </r>
  <r>
    <n v="2"/>
    <n v="1"/>
    <n v="1"/>
    <n v="2"/>
    <n v="16"/>
    <x v="0"/>
    <x v="1"/>
    <n v="201"/>
    <s v="EVA_201"/>
    <d v="2024-09-09T00:00:00"/>
    <n v="0.86"/>
    <n v="3.6999999999999998E-2"/>
    <n v="5.1999999999999998E-2"/>
    <n v="8.7999999999999995E-2"/>
    <n v="0.13500000000000001"/>
    <n v="0.96299999999999997"/>
    <n v="0.94799999999999995"/>
    <n v="0.91200000000000003"/>
    <n v="0.86499999999999999"/>
    <n v="11.1"/>
    <n v="27.7"/>
    <n v="34.299999999999997"/>
    <n v="9.6"/>
    <n v="21.7"/>
    <n v="29.2"/>
    <n v="40.799999999999997"/>
    <n v="15.7"/>
    <n v="48.5"/>
    <n v="47.3"/>
    <n v="45.5"/>
    <n v="44.9"/>
    <n v="48.6"/>
    <n v="49.6"/>
    <n v="48.3"/>
    <n v="52.2"/>
    <n v="46.4"/>
    <n v="44.4"/>
    <n v="46.7"/>
    <n v="50.7"/>
    <n v="67"/>
    <n v="0.5"/>
    <n v="1899.2"/>
    <n v="3798.4"/>
    <n v="411.6"/>
    <n v="50"/>
    <n v="247.9"/>
    <n v="51.88"/>
    <n v="30"/>
    <n v="11.49"/>
    <n v="1.35"/>
    <n v="18.329999999999998"/>
    <n v="2.13"/>
    <n v="33.299999999999997"/>
    <n v="1.7293333333333334"/>
    <n v="8.2633333333333336"/>
    <n v="0.20927793465106898"/>
    <n v="397.46065348931023"/>
    <n v="794.92130697862046"/>
    <n v="0.34504504504504507"/>
    <n v="4.054054054054055E-2"/>
    <n v="0.55045045045045049"/>
    <n v="6.3963963963963963E-2"/>
    <n v="274.28365817370423"/>
    <n v="32.226539472106239"/>
    <n v="437.56479149904249"/>
    <n v="50.846317833767614"/>
    <n v="20.674999999999997"/>
    <n v="26.849999999999998"/>
    <n v="46.550000000000004"/>
    <n v="49.674999999999997"/>
    <n v="47.05"/>
  </r>
  <r>
    <n v="3"/>
    <n v="1"/>
    <n v="1"/>
    <n v="3"/>
    <n v="17"/>
    <x v="0"/>
    <x v="2"/>
    <n v="301"/>
    <s v="EVA_301"/>
    <d v="2024-09-06T00:00:00"/>
    <n v="0.78"/>
    <n v="9.7000000000000003E-2"/>
    <n v="8.8999999999999996E-2"/>
    <n v="0.17"/>
    <n v="0.249"/>
    <n v="0.90300000000000002"/>
    <n v="0.91100000000000003"/>
    <n v="0.83"/>
    <n v="0.751"/>
    <n v="9.8000000000000007"/>
    <n v="16.600000000000001"/>
    <n v="2.9"/>
    <n v="49.8"/>
    <n v="50.4"/>
    <n v="51.5"/>
    <n v="27.1"/>
    <n v="53.4"/>
    <n v="52.5"/>
    <n v="50.9"/>
    <n v="50"/>
    <n v="50.7"/>
    <n v="47.7"/>
    <n v="48.1"/>
    <n v="45.8"/>
    <n v="48.9"/>
    <n v="50.9"/>
    <n v="44.6"/>
    <n v="46.7"/>
    <n v="49.9"/>
    <n v="58"/>
    <n v="0.5"/>
    <n v="1359.5"/>
    <n v="2719"/>
    <n v="318.10000000000002"/>
    <n v="50"/>
    <n v="188.7"/>
    <n v="40.5"/>
    <n v="30"/>
    <n v="10.68"/>
    <n v="0.95"/>
    <n v="14.14"/>
    <n v="2.37"/>
    <n v="28.14"/>
    <n v="1.35"/>
    <n v="6.29"/>
    <n v="0.21462639109697934"/>
    <n v="291.78457869634343"/>
    <n v="583.56915739268686"/>
    <n v="0.37953091684434964"/>
    <n v="3.375977256574271E-2"/>
    <n v="0.50248756218905477"/>
    <n v="8.4221748400852878E-2"/>
    <n v="221.48253734733103"/>
    <n v="19.701162029959221"/>
    <n v="293.23624326697205"/>
    <n v="49.149214748424583"/>
    <n v="19.774999999999999"/>
    <n v="45.6"/>
    <n v="51.025000000000006"/>
    <n v="47.625000000000007"/>
    <n v="48.024999999999999"/>
  </r>
  <r>
    <n v="4"/>
    <n v="1"/>
    <n v="1"/>
    <n v="4"/>
    <n v="32"/>
    <x v="0"/>
    <x v="3"/>
    <n v="401"/>
    <s v="EVA_401"/>
    <d v="2024-09-06T00:00:00"/>
    <n v="0.83"/>
    <n v="7.6999999999999999E-2"/>
    <n v="9.4E-2"/>
    <n v="0.115"/>
    <n v="0.183"/>
    <n v="0.92300000000000004"/>
    <n v="0.90600000000000003"/>
    <n v="0.88500000000000001"/>
    <n v="0.81699999999999995"/>
    <n v="29.7"/>
    <n v="14.8"/>
    <n v="22.7"/>
    <n v="29.4"/>
    <n v="48.4"/>
    <n v="49.4"/>
    <n v="50.8"/>
    <n v="48.1"/>
    <n v="51"/>
    <n v="50.3"/>
    <n v="45"/>
    <n v="51.9"/>
    <n v="53.6"/>
    <n v="50.1"/>
    <n v="51.3"/>
    <n v="53.1"/>
    <n v="54.8"/>
    <n v="55.6"/>
    <n v="50.9"/>
    <n v="47.8"/>
    <n v="71"/>
    <n v="0.5"/>
    <n v="1700.6"/>
    <n v="3401.2"/>
    <n v="318.39999999999998"/>
    <n v="50"/>
    <n v="179.9"/>
    <n v="34.700000000000003"/>
    <n v="30"/>
    <n v="9.89"/>
    <n v="0.8"/>
    <n v="14.25"/>
    <n v="1.87"/>
    <n v="26.810000000000002"/>
    <n v="1.1566666666666667"/>
    <n v="5.996666666666667"/>
    <n v="0.19288493607559756"/>
    <n v="328.02012229016123"/>
    <n v="656.04024458032245"/>
    <n v="0.36889220440134279"/>
    <n v="2.9839612085042894E-2"/>
    <n v="0.53151809026482655"/>
    <n v="6.9750093248787767E-2"/>
    <n v="242.00813199923124"/>
    <n v="19.575986410453485"/>
    <n v="348.69725793620273"/>
    <n v="45.758868234435027"/>
    <n v="24.15"/>
    <n v="49.174999999999997"/>
    <n v="49.550000000000004"/>
    <n v="52.024999999999999"/>
    <n v="52.275000000000006"/>
  </r>
  <r>
    <n v="4"/>
    <n v="2"/>
    <n v="1"/>
    <n v="5"/>
    <n v="31"/>
    <x v="1"/>
    <x v="4"/>
    <n v="402"/>
    <s v="EVA_402"/>
    <d v="2024-09-16T00:00:00"/>
    <n v="0.84"/>
    <n v="2.5999999999999999E-2"/>
    <n v="5.1999999999999998E-2"/>
    <n v="0.11"/>
    <n v="0.19400000000000001"/>
    <n v="0.97399999999999998"/>
    <n v="0.94799999999999995"/>
    <n v="0.89"/>
    <n v="0.80600000000000005"/>
    <n v="23.1"/>
    <n v="48.4"/>
    <n v="51.8"/>
    <n v="51.4"/>
    <n v="49"/>
    <n v="42.7"/>
    <n v="49.1"/>
    <n v="12.2"/>
    <n v="52.2"/>
    <n v="48.7"/>
    <n v="52.2"/>
    <n v="39.200000000000003"/>
    <n v="51.3"/>
    <n v="49.1"/>
    <n v="51.3"/>
    <n v="56.2"/>
    <n v="47.9"/>
    <n v="46.3"/>
    <n v="43.6"/>
    <n v="41.4"/>
    <n v="61"/>
    <n v="0.5"/>
    <n v="1664.5"/>
    <n v="3329"/>
    <n v="419.3"/>
    <n v="50"/>
    <n v="258.5"/>
    <n v="54.43"/>
    <n v="30"/>
    <n v="13.43"/>
    <n v="0.28999999999999998"/>
    <n v="20.11"/>
    <n v="1.08"/>
    <n v="34.909999999999997"/>
    <n v="1.8143333333333334"/>
    <n v="8.6166666666666671"/>
    <n v="0.21056092843326885"/>
    <n v="350.47866537717601"/>
    <n v="700.95733075435203"/>
    <n v="0.38470352334574626"/>
    <n v="8.3070753365797768E-3"/>
    <n v="0.57605270696075628"/>
    <n v="3.0936694356917795E-2"/>
    <n v="269.66075485622883"/>
    <n v="5.8229053543042708"/>
    <n v="403.78836784503068"/>
    <n v="21.685302698788323"/>
    <n v="43.674999999999997"/>
    <n v="38.25"/>
    <n v="48.075000000000003"/>
    <n v="51.974999999999994"/>
    <n v="44.8"/>
  </r>
  <r>
    <n v="3"/>
    <n v="2"/>
    <n v="1"/>
    <n v="6"/>
    <n v="18"/>
    <x v="1"/>
    <x v="3"/>
    <n v="302"/>
    <s v="EVA_302"/>
    <d v="2024-09-16T00:00:00"/>
    <n v="0.79"/>
    <n v="6.3E-2"/>
    <n v="0.17399999999999999"/>
    <n v="0.222"/>
    <n v="0.47899999999999998"/>
    <n v="0.93700000000000006"/>
    <n v="0.82600000000000007"/>
    <n v="0.77800000000000002"/>
    <n v="0.52100000000000002"/>
    <n v="44.8"/>
    <n v="38.6"/>
    <n v="27.1"/>
    <n v="36.299999999999997"/>
    <n v="46.7"/>
    <n v="48.1"/>
    <n v="46.4"/>
    <n v="44.4"/>
    <n v="49.9"/>
    <n v="48.1"/>
    <n v="50.7"/>
    <n v="43.6"/>
    <n v="50.3"/>
    <n v="48"/>
    <n v="50.7"/>
    <n v="53.2"/>
    <n v="47.3"/>
    <n v="43.3"/>
    <n v="45.6"/>
    <n v="50"/>
    <n v="58"/>
    <n v="0.5"/>
    <n v="1146.5999999999999"/>
    <n v="2293.1999999999998"/>
    <n v="284.10000000000002"/>
    <n v="50"/>
    <n v="167.8"/>
    <n v="37.79"/>
    <n v="30"/>
    <n v="9.2799999999999994"/>
    <n v="0.82"/>
    <n v="13.67"/>
    <n v="1.18"/>
    <n v="24.95"/>
    <n v="1.2596666666666667"/>
    <n v="5.5933333333333337"/>
    <n v="0.22520858164481525"/>
    <n v="258.22415971394514"/>
    <n v="516.44831942789028"/>
    <n v="0.3719438877755511"/>
    <n v="3.2865731462925853E-2"/>
    <n v="0.54789579158316637"/>
    <n v="4.7294589178356709E-2"/>
    <n v="192.0897957631592"/>
    <n v="16.973451780796395"/>
    <n v="282.95986078473993"/>
    <n v="24.425211099194808"/>
    <n v="36.700000000000003"/>
    <n v="46.400000000000006"/>
    <n v="48.074999999999996"/>
    <n v="50.55"/>
    <n v="46.55"/>
  </r>
  <r>
    <n v="2"/>
    <n v="2"/>
    <n v="1"/>
    <n v="7"/>
    <n v="15"/>
    <x v="1"/>
    <x v="2"/>
    <n v="202"/>
    <s v="EVA_202"/>
    <d v="2024-09-16T00:00:00"/>
    <n v="0.84"/>
    <n v="0.06"/>
    <n v="0.13100000000000001"/>
    <n v="0.21299999999999999"/>
    <n v="0.30199999999999999"/>
    <n v="0.94"/>
    <n v="0.86899999999999999"/>
    <n v="0.78700000000000003"/>
    <n v="0.69799999999999995"/>
    <n v="39"/>
    <n v="27.7"/>
    <n v="30.9"/>
    <n v="34.200000000000003"/>
    <n v="45.4"/>
    <n v="45.6"/>
    <n v="42.5"/>
    <n v="46.3"/>
    <n v="45"/>
    <n v="51.5"/>
    <n v="53.8"/>
    <n v="44.9"/>
    <n v="48.1"/>
    <n v="49.9"/>
    <n v="51.4"/>
    <n v="48.4"/>
    <n v="45.1"/>
    <n v="48.6"/>
    <n v="47.9"/>
    <n v="49.1"/>
    <n v="55"/>
    <n v="0.5"/>
    <n v="1348.2"/>
    <n v="2696.4"/>
    <n v="290.5"/>
    <n v="50"/>
    <n v="172"/>
    <n v="35.840000000000003"/>
    <n v="30"/>
    <n v="10.75"/>
    <n v="0.3"/>
    <n v="11.98"/>
    <n v="2.2000000000000002"/>
    <n v="25.23"/>
    <n v="1.1946666666666668"/>
    <n v="5.7333333333333334"/>
    <n v="0.20837209302325582"/>
    <n v="280.92725581395354"/>
    <n v="561.85451162790707"/>
    <n v="0.42608006341656757"/>
    <n v="1.1890606420927466E-2"/>
    <n v="0.47483154974237018"/>
    <n v="8.7197780420134763E-2"/>
    <n v="239.39500594530324"/>
    <n v="6.6807908635898574"/>
    <n v="266.78624848602169"/>
    <n v="48.992466332992294"/>
    <n v="32.950000000000003"/>
    <n v="44.95"/>
    <n v="48.800000000000004"/>
    <n v="49.45"/>
    <n v="47.674999999999997"/>
  </r>
  <r>
    <n v="1"/>
    <n v="2"/>
    <n v="1"/>
    <n v="8"/>
    <n v="2"/>
    <x v="1"/>
    <x v="5"/>
    <n v="102"/>
    <s v="EVA_102"/>
    <d v="2024-09-13T00:00:00"/>
    <n v="0.85"/>
    <n v="0.01"/>
    <n v="2.1999999999999999E-2"/>
    <n v="5.8999999999999997E-2"/>
    <n v="0.247"/>
    <n v="0.99"/>
    <n v="0.97799999999999998"/>
    <n v="0.94100000000000006"/>
    <n v="0.753"/>
    <n v="12.6"/>
    <n v="42.6"/>
    <n v="23.9"/>
    <n v="41.4"/>
    <n v="45.4"/>
    <n v="44.1"/>
    <n v="40.4"/>
    <n v="48.8"/>
    <n v="45.6"/>
    <n v="53.1"/>
    <n v="53"/>
    <n v="49.8"/>
    <n v="44.6"/>
    <n v="51.3"/>
    <n v="51.5"/>
    <n v="50.7"/>
    <n v="37.4"/>
    <n v="45.6"/>
    <n v="42.5"/>
    <n v="41.7"/>
    <n v="68"/>
    <n v="0.5"/>
    <n v="1703.5"/>
    <n v="3407"/>
    <n v="469.9"/>
    <n v="50"/>
    <n v="280.3"/>
    <n v="52.42"/>
    <n v="30"/>
    <n v="12.7"/>
    <n v="0.6"/>
    <n v="20.8"/>
    <n v="1.85"/>
    <n v="35.950000000000003"/>
    <n v="1.7473333333333334"/>
    <n v="9.3433333333333337"/>
    <n v="0.1870139136639315"/>
    <n v="318.57820192650729"/>
    <n v="637.15640385301458"/>
    <n v="0.35326842837273986"/>
    <n v="1.6689847009735741E-2"/>
    <n v="0.5785813630041724"/>
    <n v="5.1460361613351879E-2"/>
    <n v="225.08724141678118"/>
    <n v="10.634042901580214"/>
    <n v="368.64682058811411"/>
    <n v="32.788298946539001"/>
    <n v="30.125"/>
    <n v="44.674999999999997"/>
    <n v="50.375"/>
    <n v="49.525000000000006"/>
    <n v="41.8"/>
  </r>
  <r>
    <n v="1"/>
    <n v="3"/>
    <n v="2"/>
    <n v="9"/>
    <n v="3"/>
    <x v="0"/>
    <x v="1"/>
    <n v="103"/>
    <s v="EVA_103"/>
    <d v="2024-09-09T00:00:00"/>
    <n v="0.86"/>
    <n v="3.3000000000000002E-2"/>
    <n v="6.5000000000000002E-2"/>
    <n v="0.161"/>
    <n v="0.19"/>
    <n v="0.96699999999999997"/>
    <n v="0.93500000000000005"/>
    <n v="0.83899999999999997"/>
    <n v="0.81"/>
    <n v="36.9"/>
    <n v="48.1"/>
    <n v="10.9"/>
    <n v="14.4"/>
    <n v="46.4"/>
    <n v="52.4"/>
    <n v="39.1"/>
    <n v="44"/>
    <n v="53"/>
    <n v="53"/>
    <n v="47.5"/>
    <n v="53.1"/>
    <n v="53.7"/>
    <n v="49.6"/>
    <n v="52.4"/>
    <n v="52.9"/>
    <n v="44.4"/>
    <n v="46"/>
    <n v="47.6"/>
    <n v="48"/>
    <n v="60"/>
    <n v="0.5"/>
    <n v="1468.2"/>
    <n v="2936.4"/>
    <n v="358.6"/>
    <n v="50"/>
    <n v="226.9"/>
    <n v="43.85"/>
    <n v="30"/>
    <n v="11.1"/>
    <n v="0.68"/>
    <n v="12.9"/>
    <n v="1.08"/>
    <n v="25.759999999999998"/>
    <n v="1.4616666666666667"/>
    <n v="7.5633333333333335"/>
    <n v="0.19325694138386953"/>
    <n v="283.73984133979724"/>
    <n v="567.47968267959448"/>
    <n v="0.43090062111801242"/>
    <n v="2.6397515527950315E-2"/>
    <n v="0.50077639751552805"/>
    <n v="4.192546583850932E-2"/>
    <n v="244.52734773848985"/>
    <n v="14.980053735330912"/>
    <n v="284.18043115554229"/>
    <n v="23.791850050231446"/>
    <n v="27.575000000000003"/>
    <n v="45.475000000000001"/>
    <n v="51.65"/>
    <n v="52.150000000000006"/>
    <n v="46.5"/>
  </r>
  <r>
    <n v="2"/>
    <n v="3"/>
    <n v="2"/>
    <n v="10"/>
    <n v="14"/>
    <x v="0"/>
    <x v="3"/>
    <n v="203"/>
    <s v="EVA_203"/>
    <d v="2024-09-06T00:00:00"/>
    <n v="0.84"/>
    <n v="2.9000000000000001E-2"/>
    <n v="0.106"/>
    <n v="0.12"/>
    <n v="0.185"/>
    <n v="0.97099999999999997"/>
    <n v="0.89400000000000002"/>
    <n v="0.88"/>
    <n v="0.81499999999999995"/>
    <n v="4"/>
    <n v="48.1"/>
    <n v="45.8"/>
    <n v="48.5"/>
    <n v="52.7"/>
    <n v="48.5"/>
    <n v="50.3"/>
    <n v="48.7"/>
    <n v="49.7"/>
    <n v="49.6"/>
    <n v="50.1"/>
    <n v="50.9"/>
    <n v="51.4"/>
    <n v="52.2"/>
    <n v="55.4"/>
    <n v="54.8"/>
    <n v="51.6"/>
    <n v="52.3"/>
    <n v="53.7"/>
    <n v="50.1"/>
    <n v="70"/>
    <n v="0.5"/>
    <n v="1567.4"/>
    <n v="3134.8"/>
    <n v="388.6"/>
    <n v="50"/>
    <n v="231.8"/>
    <n v="48"/>
    <n v="30"/>
    <n v="10.17"/>
    <n v="1.41"/>
    <n v="17.329999999999998"/>
    <n v="1.98"/>
    <n v="30.889999999999997"/>
    <n v="1.6"/>
    <n v="7.7266666666666675"/>
    <n v="0.20707506471095771"/>
    <n v="324.56945642795512"/>
    <n v="649.13891285591023"/>
    <n v="0.32923276141146007"/>
    <n v="4.5645840077695052E-2"/>
    <n v="0.56102298478472001"/>
    <n v="6.4098413726124959E-2"/>
    <n v="213.71779681918446"/>
    <n v="29.630491004429704"/>
    <n v="364.181850430331"/>
    <n v="41.608774601965109"/>
    <n v="36.6"/>
    <n v="50.05"/>
    <n v="50.075000000000003"/>
    <n v="53.45"/>
    <n v="51.925000000000004"/>
  </r>
  <r>
    <n v="3"/>
    <n v="3"/>
    <n v="2"/>
    <n v="11"/>
    <n v="19"/>
    <x v="0"/>
    <x v="0"/>
    <n v="303"/>
    <s v="EVA_303"/>
    <d v="2024-09-24T00:00:00"/>
    <n v="0.75"/>
    <n v="9.7000000000000003E-2"/>
    <n v="0.17899999999999999"/>
    <n v="0.27500000000000002"/>
    <n v="0.443"/>
    <n v="0.90300000000000002"/>
    <n v="0.82099999999999995"/>
    <n v="0.72499999999999998"/>
    <n v="0.55699999999999994"/>
    <n v="28.8"/>
    <n v="23.9"/>
    <n v="43.4"/>
    <n v="49.7"/>
    <n v="49.9"/>
    <n v="40.4"/>
    <n v="51.6"/>
    <n v="56"/>
    <n v="51.9"/>
    <n v="50.2"/>
    <n v="47.8"/>
    <n v="51.6"/>
    <n v="55.9"/>
    <n v="49"/>
    <n v="53.9"/>
    <n v="50.1"/>
    <n v="52.8"/>
    <n v="51.5"/>
    <n v="46.4"/>
    <n v="47.7"/>
    <n v="69"/>
    <n v="0.5"/>
    <n v="1582.4"/>
    <n v="3164.8"/>
    <n v="289.7"/>
    <n v="50"/>
    <n v="172.4"/>
    <n v="40.799999999999997"/>
    <n v="30"/>
    <n v="7.25"/>
    <n v="2.3199999999999998"/>
    <n v="16.46"/>
    <n v="1.51"/>
    <n v="27.540000000000003"/>
    <n v="1.3599999999999999"/>
    <n v="5.746666666666667"/>
    <n v="0.23665893271461713"/>
    <n v="374.4890951276102"/>
    <n v="748.9781902552204"/>
    <n v="0.26325344952795932"/>
    <n v="8.4241103848946966E-2"/>
    <n v="0.59767610748002897"/>
    <n v="5.4829339143064627E-2"/>
    <n v="197.17109220589498"/>
    <n v="63.094749505886377"/>
    <n v="447.64636933917672"/>
    <n v="41.065979204262263"/>
    <n v="36.450000000000003"/>
    <n v="49.475000000000001"/>
    <n v="50.374999999999993"/>
    <n v="52.225000000000001"/>
    <n v="49.599999999999994"/>
  </r>
  <r>
    <n v="4"/>
    <n v="3"/>
    <n v="2"/>
    <n v="12"/>
    <n v="30"/>
    <x v="0"/>
    <x v="2"/>
    <n v="403"/>
    <s v="EVA_403"/>
    <d v="2024-09-06T00:00:00"/>
    <n v="0.78"/>
    <n v="2.4E-2"/>
    <n v="8.7999999999999995E-2"/>
    <n v="0.11799999999999999"/>
    <n v="0.17499999999999999"/>
    <n v="0.97599999999999998"/>
    <n v="0.91200000000000003"/>
    <n v="0.88200000000000001"/>
    <n v="0.82499999999999996"/>
    <n v="2.1"/>
    <n v="47.8"/>
    <n v="43.5"/>
    <n v="7.9"/>
    <n v="50"/>
    <n v="51.5"/>
    <n v="41"/>
    <n v="47.5"/>
    <n v="54.1"/>
    <n v="50.8"/>
    <n v="51.6"/>
    <n v="43.8"/>
    <n v="56.7"/>
    <n v="51.2"/>
    <n v="55.8"/>
    <n v="53.2"/>
    <n v="54.8"/>
    <n v="49"/>
    <n v="51.9"/>
    <n v="50.4"/>
    <n v="56"/>
    <n v="0.5"/>
    <n v="1416.5"/>
    <n v="2833"/>
    <n v="314.5"/>
    <n v="50"/>
    <n v="188.7"/>
    <n v="37.700000000000003"/>
    <n v="30"/>
    <n v="10.77"/>
    <n v="0.16"/>
    <n v="11.52"/>
    <n v="1.9"/>
    <n v="24.349999999999998"/>
    <n v="1.2566666666666668"/>
    <n v="6.29"/>
    <n v="0.19978802331743512"/>
    <n v="282.99973502914685"/>
    <n v="565.9994700582937"/>
    <n v="0.44229979466119096"/>
    <n v="6.5708418891170439E-3"/>
    <n v="0.47310061601642711"/>
    <n v="7.8028747433264892E-2"/>
    <n v="250.3414493851262"/>
    <n v="3.7190930270770841"/>
    <n v="267.77469794955005"/>
    <n v="44.164229696540374"/>
    <n v="25.325000000000003"/>
    <n v="47.5"/>
    <n v="50.075000000000003"/>
    <n v="54.224999999999994"/>
    <n v="51.524999999999999"/>
  </r>
  <r>
    <n v="4"/>
    <n v="4"/>
    <n v="2"/>
    <n v="13"/>
    <n v="29"/>
    <x v="1"/>
    <x v="3"/>
    <n v="404"/>
    <s v="EVA_404"/>
    <d v="2024-09-16T00:00:00"/>
    <n v="0.78"/>
    <n v="0.05"/>
    <n v="7.2999999999999995E-2"/>
    <n v="0.218"/>
    <n v="0.38300000000000001"/>
    <n v="0.95"/>
    <n v="0.92700000000000005"/>
    <n v="0.78200000000000003"/>
    <n v="0.61699999999999999"/>
    <n v="28.4"/>
    <n v="38.4"/>
    <n v="1.8"/>
    <n v="41"/>
    <n v="46.1"/>
    <n v="47"/>
    <n v="47.7"/>
    <n v="45.7"/>
    <n v="48.9"/>
    <n v="47.7"/>
    <n v="48"/>
    <n v="46"/>
    <n v="50.4"/>
    <n v="52.9"/>
    <n v="50.8"/>
    <n v="49.1"/>
    <n v="49.4"/>
    <n v="50.3"/>
    <n v="48.3"/>
    <n v="46.6"/>
    <n v="54"/>
    <n v="0.5"/>
    <n v="1221.2"/>
    <n v="2442.4"/>
    <n v="261"/>
    <n v="50"/>
    <n v="158.80000000000001"/>
    <n v="36.42"/>
    <n v="30"/>
    <n v="8.93"/>
    <n v="0.79"/>
    <n v="12.62"/>
    <n v="1.55"/>
    <n v="23.889999999999997"/>
    <n v="1.214"/>
    <n v="5.2933333333333339"/>
    <n v="0.22934508816120905"/>
    <n v="280.07622166246853"/>
    <n v="560.15244332493705"/>
    <n v="0.37379656760150692"/>
    <n v="3.3068229384679786E-2"/>
    <n v="0.52825449979070749"/>
    <n v="6.4880703223105907E-2"/>
    <n v="209.38306064845912"/>
    <n v="18.52324948625786"/>
    <n v="295.90304875515727"/>
    <n v="36.343084435062892"/>
    <n v="27.4"/>
    <n v="46.625"/>
    <n v="47.65"/>
    <n v="50.8"/>
    <n v="48.65"/>
  </r>
  <r>
    <n v="3"/>
    <n v="4"/>
    <n v="2"/>
    <n v="14"/>
    <n v="20"/>
    <x v="1"/>
    <x v="5"/>
    <n v="304"/>
    <s v="EVA_304"/>
    <d v="2024-09-13T00:00:00"/>
    <n v="0.82"/>
    <n v="1.9E-2"/>
    <n v="4.8000000000000001E-2"/>
    <n v="0.10299999999999999"/>
    <n v="0.184"/>
    <n v="0.98099999999999998"/>
    <n v="0.95199999999999996"/>
    <n v="0.89700000000000002"/>
    <n v="0.81600000000000006"/>
    <n v="1.4"/>
    <n v="29.3"/>
    <n v="12.3"/>
    <n v="13.5"/>
    <n v="47.1"/>
    <n v="44.5"/>
    <n v="51.3"/>
    <n v="40.799999999999997"/>
    <n v="46.7"/>
    <n v="46.8"/>
    <n v="53.9"/>
    <n v="45.9"/>
    <n v="47.4"/>
    <n v="55.1"/>
    <n v="45.8"/>
    <n v="49.9"/>
    <n v="49.6"/>
    <n v="46"/>
    <n v="47.3"/>
    <n v="46.6"/>
    <n v="69"/>
    <n v="0.5"/>
    <n v="1455.7"/>
    <n v="2911.4"/>
    <n v="392.1"/>
    <n v="50"/>
    <n v="232.9"/>
    <n v="48.86"/>
    <n v="30"/>
    <n v="10.66"/>
    <n v="0.3"/>
    <n v="18.8"/>
    <n v="1.62"/>
    <n v="31.380000000000003"/>
    <n v="1.6286666666666667"/>
    <n v="7.7633333333333336"/>
    <n v="0.20978960927436668"/>
    <n v="305.39073422069561"/>
    <n v="610.78146844139121"/>
    <n v="0.33970681963033778"/>
    <n v="9.5602294455066905E-3"/>
    <n v="0.59910771191841938"/>
    <n v="5.1625239005736137E-2"/>
    <n v="207.48663013337253"/>
    <n v="5.8392109793632034"/>
    <n v="365.92388804009414"/>
    <n v="31.531739288561305"/>
    <n v="14.125"/>
    <n v="45.924999999999997"/>
    <n v="48.325000000000003"/>
    <n v="49.550000000000004"/>
    <n v="47.374999999999993"/>
  </r>
  <r>
    <n v="2"/>
    <n v="4"/>
    <n v="2"/>
    <n v="15"/>
    <n v="13"/>
    <x v="1"/>
    <x v="4"/>
    <n v="204"/>
    <s v="EVA_204"/>
    <d v="2024-09-16T00:00:00"/>
    <n v="0.84"/>
    <n v="2.9000000000000001E-2"/>
    <n v="7.8E-2"/>
    <n v="0.09"/>
    <n v="0.17199999999999999"/>
    <n v="0.97099999999999997"/>
    <n v="0.92200000000000004"/>
    <n v="0.91"/>
    <n v="0.82800000000000007"/>
    <n v="34.4"/>
    <n v="48.1"/>
    <n v="42.2"/>
    <n v="31.2"/>
    <n v="47.3"/>
    <n v="50.2"/>
    <n v="48.5"/>
    <n v="48.2"/>
    <n v="47.4"/>
    <n v="48.4"/>
    <n v="49.4"/>
    <n v="49"/>
    <n v="44.9"/>
    <n v="46.5"/>
    <n v="45.6"/>
    <n v="48.7"/>
    <n v="37.700000000000003"/>
    <n v="43.7"/>
    <n v="42.2"/>
    <n v="40"/>
    <n v="64"/>
    <n v="0.5"/>
    <n v="1332.8"/>
    <n v="2665.6"/>
    <n v="299.5"/>
    <n v="50"/>
    <n v="181.6"/>
    <n v="45.38"/>
    <n v="30"/>
    <n v="11.45"/>
    <n v="0.32"/>
    <n v="16.100000000000001"/>
    <n v="0.59"/>
    <n v="28.46"/>
    <n v="1.5126666666666668"/>
    <n v="6.0533333333333328"/>
    <n v="0.24988986784140971"/>
    <n v="333.05321585903084"/>
    <n v="666.10643171806169"/>
    <n v="0.40231904427266335"/>
    <n v="1.1243851018973999E-2"/>
    <n v="0.56570625439212929"/>
    <n v="2.0730850316233309E-2"/>
    <n v="267.98730299268465"/>
    <n v="7.4896014810182621"/>
    <n v="376.82057451373129"/>
    <n v="13.80895273062742"/>
    <n v="38.975000000000001"/>
    <n v="48.55"/>
    <n v="48.55"/>
    <n v="46.424999999999997"/>
    <n v="40.900000000000006"/>
  </r>
  <r>
    <n v="1"/>
    <n v="4"/>
    <n v="2"/>
    <n v="16"/>
    <n v="4"/>
    <x v="1"/>
    <x v="2"/>
    <n v="104"/>
    <s v="EVA_104"/>
    <d v="2024-09-16T00:00:00"/>
    <n v="0.8"/>
    <n v="5.5E-2"/>
    <n v="0.112"/>
    <n v="0.20599999999999999"/>
    <n v="0.38900000000000001"/>
    <n v="0.94499999999999995"/>
    <n v="0.88800000000000001"/>
    <n v="0.79400000000000004"/>
    <n v="0.61099999999999999"/>
    <n v="48.9"/>
    <n v="49.2"/>
    <n v="25.4"/>
    <n v="28.1"/>
    <n v="54.1"/>
    <n v="50.3"/>
    <n v="41"/>
    <n v="41.3"/>
    <n v="54.1"/>
    <n v="53.5"/>
    <n v="48.4"/>
    <n v="47"/>
    <n v="52.5"/>
    <n v="53.6"/>
    <n v="47"/>
    <n v="49"/>
    <n v="45.8"/>
    <n v="50"/>
    <n v="46.3"/>
    <n v="44.4"/>
    <n v="53"/>
    <n v="0.5"/>
    <n v="1257"/>
    <n v="2514"/>
    <n v="281.10000000000002"/>
    <n v="50"/>
    <n v="176.7"/>
    <n v="36.700000000000003"/>
    <n v="30"/>
    <n v="9.91"/>
    <n v="0.2"/>
    <n v="9.39"/>
    <n v="1.2"/>
    <n v="20.7"/>
    <n v="1.2233333333333334"/>
    <n v="5.89"/>
    <n v="0.20769666100735712"/>
    <n v="261.07470288624791"/>
    <n v="522.14940577249581"/>
    <n v="0.47874396135265701"/>
    <n v="9.6618357487922718E-3"/>
    <n v="0.45362318840579713"/>
    <n v="5.7971014492753624E-2"/>
    <n v="249.97587493746056"/>
    <n v="5.0449217949033418"/>
    <n v="236.85907827071188"/>
    <n v="30.269530769420047"/>
    <n v="37.9"/>
    <n v="46.674999999999997"/>
    <n v="50.75"/>
    <n v="50.524999999999999"/>
    <n v="46.625"/>
  </r>
  <r>
    <n v="1"/>
    <n v="5"/>
    <n v="3"/>
    <n v="17"/>
    <n v="5"/>
    <x v="0"/>
    <x v="2"/>
    <n v="105"/>
    <s v="EVA_105"/>
    <d v="2024-09-06T00:00:00"/>
    <n v="0.86"/>
    <n v="4.8000000000000001E-2"/>
    <n v="5.6000000000000001E-2"/>
    <n v="0.10100000000000001"/>
    <n v="0.26900000000000002"/>
    <n v="0.95199999999999996"/>
    <n v="0.94399999999999995"/>
    <n v="0.89900000000000002"/>
    <n v="0.73099999999999998"/>
    <n v="46.8"/>
    <n v="0.8"/>
    <n v="49.9"/>
    <n v="49.8"/>
    <n v="48.3"/>
    <n v="46.5"/>
    <n v="54.3"/>
    <n v="52.4"/>
    <n v="47.2"/>
    <n v="54.7"/>
    <n v="55.8"/>
    <n v="57.9"/>
    <n v="51.1"/>
    <n v="48.5"/>
    <n v="51.6"/>
    <n v="54.6"/>
    <n v="50.5"/>
    <n v="47.8"/>
    <n v="53.8"/>
    <n v="50.4"/>
    <n v="60"/>
    <n v="0.5"/>
    <n v="1504.4"/>
    <n v="3008.8"/>
    <n v="363.5"/>
    <n v="50"/>
    <n v="210.4"/>
    <n v="45.7"/>
    <n v="30"/>
    <n v="12"/>
    <n v="0.56000000000000005"/>
    <n v="16.989999999999998"/>
    <n v="3.73"/>
    <n v="33.279999999999994"/>
    <n v="1.5233333333333334"/>
    <n v="7.0133333333333336"/>
    <n v="0.21720532319391636"/>
    <n v="326.76368821292778"/>
    <n v="653.52737642585555"/>
    <n v="0.36057692307692313"/>
    <n v="1.6826923076923083E-2"/>
    <n v="0.51051682692307698"/>
    <n v="0.11207932692307694"/>
    <n v="235.64689053816909"/>
    <n v="10.996854891781227"/>
    <n v="333.63672252029107"/>
    <n v="73.246908475614234"/>
    <n v="36.825000000000003"/>
    <n v="50.375"/>
    <n v="53.9"/>
    <n v="51.449999999999996"/>
    <n v="50.625"/>
  </r>
  <r>
    <n v="2"/>
    <n v="5"/>
    <n v="3"/>
    <n v="18"/>
    <n v="12"/>
    <x v="0"/>
    <x v="0"/>
    <n v="205"/>
    <s v="EVA_205"/>
    <d v="2024-09-24T00:00:00"/>
    <n v="0.83"/>
    <n v="5.2999999999999999E-2"/>
    <n v="7.0999999999999994E-2"/>
    <n v="0.114"/>
    <n v="0.186"/>
    <n v="0.94699999999999995"/>
    <n v="0.92900000000000005"/>
    <n v="0.88600000000000001"/>
    <n v="0.81400000000000006"/>
    <n v="44.2"/>
    <n v="51.7"/>
    <n v="44.8"/>
    <n v="47"/>
    <n v="51"/>
    <n v="58.3"/>
    <n v="57.3"/>
    <n v="53.9"/>
    <n v="51.9"/>
    <n v="56.7"/>
    <n v="56.3"/>
    <n v="55.7"/>
    <n v="51.6"/>
    <n v="51.6"/>
    <n v="55.7"/>
    <n v="52.3"/>
    <n v="43"/>
    <n v="41"/>
    <n v="45.9"/>
    <n v="48.4"/>
    <n v="72"/>
    <n v="0.5"/>
    <n v="2313.6999999999998"/>
    <n v="4627.3999999999996"/>
    <n v="369.6"/>
    <n v="50"/>
    <n v="221.6"/>
    <n v="48.31"/>
    <n v="30"/>
    <n v="9.6300000000000008"/>
    <n v="2.93"/>
    <n v="17.989999999999998"/>
    <n v="1.32"/>
    <n v="31.869999999999997"/>
    <n v="1.6103333333333334"/>
    <n v="7.3866666666666667"/>
    <n v="0.21800541516245489"/>
    <n v="504.39912906137187"/>
    <n v="1008.7982581227437"/>
    <n v="0.30216504549733297"/>
    <n v="9.1935989959209305E-2"/>
    <n v="0.5644807028553499"/>
    <n v="4.1418261688107944E-2"/>
    <n v="304.82357156328914"/>
    <n v="92.744866529640404"/>
    <n v="569.44714978437912"/>
    <n v="41.782670245435263"/>
    <n v="46.924999999999997"/>
    <n v="55.125"/>
    <n v="55.149999999999991"/>
    <n v="52.8"/>
    <n v="44.575000000000003"/>
  </r>
  <r>
    <n v="3"/>
    <n v="5"/>
    <n v="3"/>
    <n v="19"/>
    <n v="21"/>
    <x v="0"/>
    <x v="3"/>
    <n v="305"/>
    <s v="EVA_305"/>
    <d v="2024-09-06T00:00:00"/>
    <n v="0.86"/>
    <n v="0.114"/>
    <n v="0.125"/>
    <n v="0.255"/>
    <n v="0.35299999999999998"/>
    <n v="0.88600000000000001"/>
    <n v="0.875"/>
    <n v="0.745"/>
    <n v="0.64700000000000002"/>
    <n v="43.7"/>
    <n v="9.6999999999999993"/>
    <n v="7.4"/>
    <n v="29.1"/>
    <n v="36.1"/>
    <n v="50.1"/>
    <n v="46.4"/>
    <n v="34.6"/>
    <n v="49.4"/>
    <n v="51.1"/>
    <n v="51.1"/>
    <n v="48.6"/>
    <n v="50"/>
    <n v="51.8"/>
    <n v="54.7"/>
    <n v="49.9"/>
    <n v="54.6"/>
    <n v="54.8"/>
    <n v="54.1"/>
    <n v="54"/>
    <n v="66"/>
    <n v="0.375"/>
    <n v="1309.2"/>
    <n v="3491.2000000000003"/>
    <n v="375.1"/>
    <n v="50"/>
    <n v="220.4"/>
    <n v="42.7"/>
    <n v="30"/>
    <n v="10.95"/>
    <n v="0.61"/>
    <n v="15.69"/>
    <n v="1.29"/>
    <n v="28.54"/>
    <n v="1.4233333333333333"/>
    <n v="7.3466666666666667"/>
    <n v="0.19373865698729584"/>
    <n v="253.64264972776772"/>
    <n v="676.38039927404725"/>
    <n v="0.38367203924316745"/>
    <n v="2.1373510861948143E-2"/>
    <n v="0.54975473020322352"/>
    <n v="4.5199719691660832E-2"/>
    <n v="259.50824709358153"/>
    <n v="14.456623810692671"/>
    <n v="371.84332391765247"/>
    <n v="30.57220445212057"/>
    <n v="22.475000000000001"/>
    <n v="41.8"/>
    <n v="50.05"/>
    <n v="51.6"/>
    <n v="54.375"/>
  </r>
  <r>
    <n v="4"/>
    <n v="5"/>
    <n v="3"/>
    <n v="20"/>
    <n v="28"/>
    <x v="0"/>
    <x v="1"/>
    <n v="405"/>
    <s v="EVA_405"/>
    <d v="2024-09-09T00:00:00"/>
    <n v="0.83"/>
    <n v="4.2999999999999997E-2"/>
    <n v="8.5000000000000006E-2"/>
    <n v="0.13400000000000001"/>
    <n v="0.20699999999999999"/>
    <n v="0.95699999999999996"/>
    <n v="0.91500000000000004"/>
    <n v="0.86599999999999999"/>
    <n v="0.79300000000000004"/>
    <n v="8.1999999999999993"/>
    <n v="48.2"/>
    <n v="46.9"/>
    <n v="33.4"/>
    <n v="43.2"/>
    <n v="51.9"/>
    <n v="53.4"/>
    <n v="51.1"/>
    <n v="53.9"/>
    <n v="48.7"/>
    <n v="54.4"/>
    <n v="54.3"/>
    <n v="51.2"/>
    <n v="53"/>
    <n v="52.6"/>
    <n v="55.2"/>
    <n v="53"/>
    <n v="45.8"/>
    <n v="45.6"/>
    <n v="45.9"/>
    <n v="58"/>
    <n v="0.5"/>
    <n v="1285.5999999999999"/>
    <n v="2571.1999999999998"/>
    <n v="377.2"/>
    <n v="50"/>
    <n v="227.9"/>
    <n v="46.67"/>
    <n v="30"/>
    <n v="11.73"/>
    <n v="0.5"/>
    <n v="16.88"/>
    <n v="1.92"/>
    <n v="31.03"/>
    <n v="1.5556666666666668"/>
    <n v="7.5966666666666667"/>
    <n v="0.20478279947345326"/>
    <n v="263.2687670030715"/>
    <n v="526.53753400614301"/>
    <n v="0.37802126973896227"/>
    <n v="1.6113438607798902E-2"/>
    <n v="0.54398968739929099"/>
    <n v="6.1875604253947787E-2"/>
    <n v="199.0423871702242"/>
    <n v="8.4843302289098119"/>
    <n v="286.43098852799528"/>
    <n v="32.57982807901368"/>
    <n v="34.175000000000004"/>
    <n v="49.9"/>
    <n v="52.825000000000003"/>
    <n v="53"/>
    <n v="47.575000000000003"/>
  </r>
  <r>
    <n v="4"/>
    <n v="6"/>
    <n v="3"/>
    <n v="21"/>
    <n v="27"/>
    <x v="1"/>
    <x v="2"/>
    <n v="406"/>
    <s v="EVA_406"/>
    <d v="2024-09-16T00:00:00"/>
    <n v="0.81"/>
    <n v="0.115"/>
    <n v="0.14000000000000001"/>
    <n v="0.18099999999999999"/>
    <n v="0.373"/>
    <n v="0.88500000000000001"/>
    <n v="0.86"/>
    <n v="0.81899999999999995"/>
    <n v="0.627"/>
    <n v="21.4"/>
    <n v="38.799999999999997"/>
    <n v="11.5"/>
    <n v="31.7"/>
    <n v="45.1"/>
    <n v="45.6"/>
    <n v="40.5"/>
    <n v="46.1"/>
    <n v="48.2"/>
    <n v="49.4"/>
    <n v="48.5"/>
    <n v="50.6"/>
    <n v="48.9"/>
    <n v="47.6"/>
    <n v="48.9"/>
    <n v="54.1"/>
    <n v="50.9"/>
    <n v="49.6"/>
    <n v="50.1"/>
    <n v="52.1"/>
    <n v="51"/>
    <n v="0.5"/>
    <n v="1155.5"/>
    <n v="2311"/>
    <n v="256.89999999999998"/>
    <n v="50"/>
    <n v="159.30000000000001"/>
    <n v="35.090000000000003"/>
    <n v="30"/>
    <n v="8.52"/>
    <n v="0.41"/>
    <n v="10.119999999999999"/>
    <n v="2.56"/>
    <n v="21.609999999999996"/>
    <n v="1.1696666666666669"/>
    <n v="5.3100000000000005"/>
    <n v="0.22027620841180165"/>
    <n v="254.52915881983679"/>
    <n v="509.05831763967359"/>
    <n v="0.39426191577973169"/>
    <n v="1.8972697825080983E-2"/>
    <n v="0.4683017121702916"/>
    <n v="0.11846367422489591"/>
    <n v="200.70230755622489"/>
    <n v="9.6582096359216187"/>
    <n v="238.39288174518728"/>
    <n v="60.304918702339876"/>
    <n v="25.849999999999998"/>
    <n v="44.324999999999996"/>
    <n v="49.174999999999997"/>
    <n v="49.875"/>
    <n v="50.674999999999997"/>
  </r>
  <r>
    <n v="3"/>
    <n v="6"/>
    <n v="3"/>
    <n v="22"/>
    <n v="22"/>
    <x v="1"/>
    <x v="4"/>
    <n v="306"/>
    <s v="EVA_306"/>
    <d v="2024-09-16T00:00:00"/>
    <n v="0.85"/>
    <n v="5.8000000000000003E-2"/>
    <n v="7.5999999999999998E-2"/>
    <n v="0.122"/>
    <n v="0.254"/>
    <n v="0.94199999999999995"/>
    <n v="0.92400000000000004"/>
    <n v="0.878"/>
    <n v="0.746"/>
    <n v="49"/>
    <n v="42.9"/>
    <n v="31.5"/>
    <n v="45.1"/>
    <n v="45.8"/>
    <n v="49.8"/>
    <n v="48.8"/>
    <n v="53.9"/>
    <n v="47.9"/>
    <n v="47.1"/>
    <n v="50.5"/>
    <n v="54.4"/>
    <n v="48.1"/>
    <n v="49"/>
    <n v="48"/>
    <n v="53.8"/>
    <n v="42.2"/>
    <n v="46.2"/>
    <n v="40.299999999999997"/>
    <n v="46.1"/>
    <n v="64"/>
    <n v="0.5"/>
    <n v="1381.6"/>
    <n v="2763.2"/>
    <n v="323.10000000000002"/>
    <n v="50"/>
    <n v="200.9"/>
    <n v="48.36"/>
    <n v="30"/>
    <n v="10.74"/>
    <n v="0.94"/>
    <n v="16.59"/>
    <n v="0.75"/>
    <n v="29.02"/>
    <n v="1.6119999999999999"/>
    <n v="6.6966666666666672"/>
    <n v="0.2407167745146839"/>
    <n v="332.57429566948724"/>
    <n v="665.14859133897448"/>
    <n v="0.37008959338387321"/>
    <n v="3.2391454169538252E-2"/>
    <n v="0.57167470709855273"/>
    <n v="2.5844245348035838E-2"/>
    <n v="246.16457170849711"/>
    <n v="21.545130112289321"/>
    <n v="380.24862613072321"/>
    <n v="17.190263387464881"/>
    <n v="42.125"/>
    <n v="49.574999999999996"/>
    <n v="49.975000000000001"/>
    <n v="49.724999999999994"/>
    <n v="43.699999999999996"/>
  </r>
  <r>
    <n v="2"/>
    <n v="6"/>
    <n v="3"/>
    <n v="23"/>
    <n v="11"/>
    <x v="1"/>
    <x v="5"/>
    <n v="206"/>
    <s v="EVA_206"/>
    <d v="2024-09-13T00:00:00"/>
    <n v="0.85"/>
    <n v="1.0999999999999999E-2"/>
    <n v="2.5999999999999999E-2"/>
    <n v="9.8000000000000004E-2"/>
    <n v="0.186"/>
    <n v="0.98899999999999999"/>
    <n v="0.97399999999999998"/>
    <n v="0.90200000000000002"/>
    <n v="0.81400000000000006"/>
    <n v="49.9"/>
    <n v="34.1"/>
    <n v="36.299999999999997"/>
    <n v="20.9"/>
    <n v="53.1"/>
    <n v="48"/>
    <n v="53.8"/>
    <n v="46.3"/>
    <n v="54.6"/>
    <n v="49.2"/>
    <n v="49.4"/>
    <n v="48.2"/>
    <n v="51.5"/>
    <n v="52.1"/>
    <n v="52.2"/>
    <n v="47.6"/>
    <n v="44.1"/>
    <n v="43.5"/>
    <n v="45.1"/>
    <n v="43.1"/>
    <n v="69"/>
    <n v="0.5"/>
    <n v="1768.7"/>
    <n v="3537.4"/>
    <n v="422.5"/>
    <n v="50"/>
    <n v="248.9"/>
    <n v="47.45"/>
    <n v="30"/>
    <n v="11.97"/>
    <n v="1.5"/>
    <n v="18.86"/>
    <n v="1.1399999999999999"/>
    <n v="33.47"/>
    <n v="1.5816666666666668"/>
    <n v="8.2966666666666669"/>
    <n v="0.19063881076737646"/>
    <n v="337.18286460425873"/>
    <n v="674.36572920851745"/>
    <n v="0.35763370182252768"/>
    <n v="4.4816253361219006E-2"/>
    <n v="0.56348969226172696"/>
    <n v="3.4060352554526441E-2"/>
    <n v="241.17591211909038"/>
    <n v="30.222545378332125"/>
    <n v="379.99813722356259"/>
    <n v="22.969134487532415"/>
    <n v="35.299999999999997"/>
    <n v="50.3"/>
    <n v="50.350000000000009"/>
    <n v="50.85"/>
    <n v="43.949999999999996"/>
  </r>
  <r>
    <n v="1"/>
    <n v="6"/>
    <n v="3"/>
    <n v="24"/>
    <n v="6"/>
    <x v="1"/>
    <x v="3"/>
    <n v="106"/>
    <s v="EVA_106"/>
    <d v="2024-09-16T00:00:00"/>
    <n v="0.83"/>
    <n v="8.8999999999999996E-2"/>
    <n v="0.125"/>
    <n v="0.189"/>
    <n v="0.316"/>
    <n v="0.91100000000000003"/>
    <n v="0.875"/>
    <n v="0.81099999999999994"/>
    <n v="0.68399999999999994"/>
    <n v="36.5"/>
    <n v="23"/>
    <n v="41.1"/>
    <n v="42.7"/>
    <n v="47.8"/>
    <n v="44.2"/>
    <n v="49.4"/>
    <n v="42.9"/>
    <n v="44.1"/>
    <n v="47.3"/>
    <n v="47.7"/>
    <n v="48.1"/>
    <n v="52.6"/>
    <n v="49.3"/>
    <n v="48.1"/>
    <n v="48.3"/>
    <n v="47.6"/>
    <n v="49.2"/>
    <n v="47"/>
    <n v="47.8"/>
    <n v="62"/>
    <n v="0.5"/>
    <n v="1536.9"/>
    <n v="3073.8"/>
    <n v="330.4"/>
    <n v="50"/>
    <n v="200.8"/>
    <n v="43.65"/>
    <n v="30"/>
    <n v="9.23"/>
    <n v="0.87"/>
    <n v="15.11"/>
    <n v="1.58"/>
    <n v="26.79"/>
    <n v="1.4549999999999998"/>
    <n v="6.6933333333333334"/>
    <n v="0.21738047808764938"/>
    <n v="334.09205677290834"/>
    <n v="668.18411354581667"/>
    <n v="0.34453154162000749"/>
    <n v="3.2474804031354984E-2"/>
    <n v="0.56401642403882046"/>
    <n v="5.8977230309817101E-2"/>
    <n v="230.21050272593834"/>
    <n v="21.699148144265045"/>
    <n v="376.86681432166068"/>
    <n v="39.407648353952609"/>
    <n v="35.825000000000003"/>
    <n v="46.075000000000003"/>
    <n v="46.800000000000004"/>
    <n v="49.575000000000003"/>
    <n v="47.900000000000006"/>
  </r>
  <r>
    <n v="1"/>
    <n v="7"/>
    <n v="4"/>
    <n v="25"/>
    <n v="7"/>
    <x v="0"/>
    <x v="3"/>
    <n v="107"/>
    <s v="EVA_107"/>
    <d v="2024-09-06T00:00:00"/>
    <n v="0.81"/>
    <n v="2.7E-2"/>
    <n v="0.108"/>
    <n v="0.107"/>
    <n v="0.23"/>
    <n v="0.97299999999999998"/>
    <n v="0.89200000000000002"/>
    <n v="0.89300000000000002"/>
    <n v="0.77"/>
    <n v="46.4"/>
    <n v="47.8"/>
    <n v="14.8"/>
    <n v="47"/>
    <n v="48.8"/>
    <n v="52.9"/>
    <n v="49.2"/>
    <n v="53.4"/>
    <n v="49.6"/>
    <n v="53.6"/>
    <n v="47.8"/>
    <n v="50.8"/>
    <n v="51.7"/>
    <n v="57"/>
    <n v="53.9"/>
    <n v="55"/>
    <n v="48.3"/>
    <n v="52.5"/>
    <n v="54"/>
    <n v="48.6"/>
    <n v="68"/>
    <n v="0.375"/>
    <n v="1446.4"/>
    <n v="3857.0666666666671"/>
    <n v="423"/>
    <n v="50"/>
    <n v="251.9"/>
    <n v="49.7"/>
    <n v="30"/>
    <n v="13.06"/>
    <n v="0.88"/>
    <n v="18.14"/>
    <n v="1.74"/>
    <n v="33.82"/>
    <n v="1.6566666666666667"/>
    <n v="8.3966666666666665"/>
    <n v="0.19730051607780866"/>
    <n v="285.37546645494245"/>
    <n v="761.00124387984658"/>
    <n v="0.38616203429923124"/>
    <n v="2.6020106445890007E-2"/>
    <n v="0.53636901241868717"/>
    <n v="5.1448846836191602E-2"/>
    <n v="293.86978844088696"/>
    <n v="19.801333371208308"/>
    <n v="408.17748562922583"/>
    <n v="39.152636438525519"/>
    <n v="39"/>
    <n v="51.074999999999996"/>
    <n v="50.45"/>
    <n v="54.4"/>
    <n v="50.85"/>
  </r>
  <r>
    <n v="2"/>
    <n v="7"/>
    <n v="4"/>
    <n v="26"/>
    <n v="10"/>
    <x v="0"/>
    <x v="2"/>
    <n v="207"/>
    <s v="EVA_207"/>
    <d v="2024-09-06T00:00:00"/>
    <n v="0.77"/>
    <n v="5.3999999999999999E-2"/>
    <n v="0.106"/>
    <n v="0.13500000000000001"/>
    <n v="0.16800000000000001"/>
    <n v="0.94599999999999995"/>
    <n v="0.89400000000000002"/>
    <n v="0.86499999999999999"/>
    <n v="0.83199999999999996"/>
    <n v="45.1"/>
    <n v="43.6"/>
    <n v="31.7"/>
    <n v="49.1"/>
    <n v="53.5"/>
    <n v="53.2"/>
    <n v="46.7"/>
    <n v="54"/>
    <n v="52.6"/>
    <n v="55.2"/>
    <n v="47.8"/>
    <n v="49.6"/>
    <n v="52.8"/>
    <n v="55.5"/>
    <n v="47.7"/>
    <n v="48.7"/>
    <n v="52.1"/>
    <n v="51.4"/>
    <n v="47.1"/>
    <n v="48.3"/>
    <n v="53"/>
    <n v="0.5"/>
    <n v="1649.5"/>
    <n v="3299"/>
    <n v="363"/>
    <n v="50"/>
    <n v="198.4"/>
    <n v="43.8"/>
    <n v="30"/>
    <n v="12.45"/>
    <n v="0.76"/>
    <n v="18.97"/>
    <n v="4.22"/>
    <n v="36.4"/>
    <n v="1.46"/>
    <n v="6.6133333333333333"/>
    <n v="0.22076612903225803"/>
    <n v="364.15372983870964"/>
    <n v="728.30745967741927"/>
    <n v="0.34203296703296704"/>
    <n v="2.0879120879120881E-2"/>
    <n v="0.52115384615384619"/>
    <n v="0.11593406593406594"/>
    <n v="249.10516134571071"/>
    <n v="15.206419487770294"/>
    <n v="379.56023379342429"/>
    <n v="84.435645050513997"/>
    <n v="42.375"/>
    <n v="51.85"/>
    <n v="51.300000000000004"/>
    <n v="51.174999999999997"/>
    <n v="49.724999999999994"/>
  </r>
  <r>
    <n v="3"/>
    <n v="7"/>
    <n v="4"/>
    <n v="27"/>
    <n v="23"/>
    <x v="0"/>
    <x v="1"/>
    <n v="307"/>
    <s v="EVA_307"/>
    <d v="2024-09-09T00:00:00"/>
    <n v="0.84"/>
    <n v="5.0999999999999997E-2"/>
    <n v="8.7999999999999995E-2"/>
    <n v="0.14199999999999999"/>
    <n v="0.184"/>
    <n v="0.94899999999999995"/>
    <n v="0.91200000000000003"/>
    <n v="0.85799999999999998"/>
    <n v="0.81600000000000006"/>
    <n v="41.8"/>
    <n v="45.4"/>
    <n v="40.9"/>
    <n v="29.2"/>
    <n v="29.7"/>
    <n v="51"/>
    <n v="48"/>
    <n v="51"/>
    <n v="50.5"/>
    <n v="51.8"/>
    <n v="51.3"/>
    <n v="56.7"/>
    <n v="54.8"/>
    <n v="52.7"/>
    <n v="51.5"/>
    <n v="53.9"/>
    <n v="42.8"/>
    <n v="49.2"/>
    <n v="47.5"/>
    <n v="50.1"/>
    <n v="55"/>
    <n v="0.5"/>
    <n v="1403.5"/>
    <n v="2807"/>
    <n v="326"/>
    <n v="50"/>
    <n v="183"/>
    <n v="37.520000000000003"/>
    <n v="30"/>
    <n v="10.9"/>
    <n v="0.35"/>
    <n v="16.21"/>
    <n v="1.84"/>
    <n v="29.3"/>
    <n v="1.2506666666666668"/>
    <n v="6.1"/>
    <n v="0.2050273224043716"/>
    <n v="287.75584699453555"/>
    <n v="575.51169398907109"/>
    <n v="0.37201365187713309"/>
    <n v="1.1945392491467576E-2"/>
    <n v="0.55324232081911262"/>
    <n v="6.2798634812286688E-2"/>
    <n v="214.09820697886943"/>
    <n v="6.8747130681288349"/>
    <n v="318.39742524105264"/>
    <n v="36.141348701020164"/>
    <n v="39.324999999999996"/>
    <n v="44.924999999999997"/>
    <n v="52.575000000000003"/>
    <n v="53.225000000000001"/>
    <n v="47.4"/>
  </r>
  <r>
    <n v="4"/>
    <n v="7"/>
    <n v="4"/>
    <n v="28"/>
    <n v="26"/>
    <x v="0"/>
    <x v="0"/>
    <n v="407"/>
    <s v="EVA_407"/>
    <d v="2024-09-24T00:00:00"/>
    <n v="0.82"/>
    <n v="6.6000000000000003E-2"/>
    <n v="0.108"/>
    <n v="0.189"/>
    <n v="0.26200000000000001"/>
    <n v="0.93399999999999994"/>
    <n v="0.89200000000000002"/>
    <n v="0.81099999999999994"/>
    <n v="0.73799999999999999"/>
    <n v="39.6"/>
    <n v="49.4"/>
    <n v="48.8"/>
    <n v="57.9"/>
    <n v="58.2"/>
    <n v="54.4"/>
    <n v="57.7"/>
    <n v="54.6"/>
    <n v="57.1"/>
    <n v="53.7"/>
    <n v="54.4"/>
    <n v="56.9"/>
    <n v="56.3"/>
    <n v="52"/>
    <n v="53.1"/>
    <n v="53.1"/>
    <n v="49.2"/>
    <n v="53.3"/>
    <n v="45.7"/>
    <n v="50.4"/>
    <n v="71"/>
    <n v="0.5"/>
    <n v="1805.8"/>
    <n v="3611.6"/>
    <n v="328"/>
    <n v="50"/>
    <n v="187.3"/>
    <n v="45.97"/>
    <n v="30"/>
    <n v="9.3699999999999992"/>
    <n v="1.95"/>
    <n v="20.9"/>
    <n v="2.38"/>
    <n v="34.6"/>
    <n v="1.5323333333333333"/>
    <n v="6.2433333333333341"/>
    <n v="0.24543513080619325"/>
    <n v="443.20675920982376"/>
    <n v="886.41351841964752"/>
    <n v="0.27080924855491328"/>
    <n v="5.6358381502890173E-2"/>
    <n v="0.60404624277456642"/>
    <n v="6.8786127167630051E-2"/>
    <n v="240.04897883214153"/>
    <n v="49.956831240413663"/>
    <n v="535.43475534597201"/>
    <n v="60.97295300112026"/>
    <n v="48.925000000000004"/>
    <n v="56.225000000000001"/>
    <n v="55.525000000000006"/>
    <n v="53.625"/>
    <n v="49.65"/>
  </r>
  <r>
    <n v="4"/>
    <n v="8"/>
    <n v="4"/>
    <n v="29"/>
    <n v="25"/>
    <x v="1"/>
    <x v="5"/>
    <n v="408"/>
    <s v="EVA_408"/>
    <d v="2024-09-13T00:00:00"/>
    <n v="0.84"/>
    <n v="1.4E-2"/>
    <n v="6.3E-2"/>
    <n v="0.14000000000000001"/>
    <n v="0.28599999999999998"/>
    <n v="0.98599999999999999"/>
    <n v="0.93700000000000006"/>
    <n v="0.86"/>
    <n v="0.71399999999999997"/>
    <n v="5.4"/>
    <n v="36.1"/>
    <n v="21.3"/>
    <n v="23.7"/>
    <n v="32.299999999999997"/>
    <n v="42.6"/>
    <n v="42.7"/>
    <n v="39.200000000000003"/>
    <n v="42.8"/>
    <n v="54.5"/>
    <n v="54.3"/>
    <n v="48.4"/>
    <n v="44.9"/>
    <n v="54.8"/>
    <n v="47.3"/>
    <n v="49.6"/>
    <n v="48"/>
    <n v="44.7"/>
    <n v="46.6"/>
    <n v="47.8"/>
    <n v="68"/>
    <n v="0.5"/>
    <n v="1483.6"/>
    <n v="2967.2"/>
    <n v="318.5"/>
    <n v="50"/>
    <n v="203.5"/>
    <n v="44.49"/>
    <n v="30"/>
    <n v="8.32"/>
    <n v="0.59"/>
    <n v="13.76"/>
    <n v="1.59"/>
    <n v="24.26"/>
    <n v="1.4830000000000001"/>
    <n v="6.7833333333333332"/>
    <n v="0.21862407862407862"/>
    <n v="324.350683046683"/>
    <n v="648.701366093366"/>
    <n v="0.34295136026380874"/>
    <n v="2.4319868095630665E-2"/>
    <n v="0.56718878812860674"/>
    <n v="6.5539983511953837E-2"/>
    <n v="222.47301590671086"/>
    <n v="15.776331656846081"/>
    <n v="367.93614169186793"/>
    <n v="42.515876837941136"/>
    <n v="21.625"/>
    <n v="39.200000000000003"/>
    <n v="50"/>
    <n v="49.15"/>
    <n v="46.775000000000006"/>
  </r>
  <r>
    <n v="3"/>
    <n v="8"/>
    <n v="4"/>
    <n v="30"/>
    <n v="24"/>
    <x v="1"/>
    <x v="2"/>
    <n v="308"/>
    <s v="EVA_308"/>
    <d v="2024-09-16T00:00:00"/>
    <n v="0.76"/>
    <n v="8.1000000000000003E-2"/>
    <n v="9.7000000000000003E-2"/>
    <n v="0.113"/>
    <n v="0.311"/>
    <n v="0.91900000000000004"/>
    <n v="0.90300000000000002"/>
    <n v="0.88700000000000001"/>
    <n v="0.68900000000000006"/>
    <n v="37.9"/>
    <n v="32.6"/>
    <n v="1.8"/>
    <n v="0.9"/>
    <n v="48.9"/>
    <n v="49.6"/>
    <n v="42.2"/>
    <n v="46.8"/>
    <n v="47.7"/>
    <n v="49.7"/>
    <n v="47.8"/>
    <n v="50.1"/>
    <n v="48.5"/>
    <n v="46.5"/>
    <n v="48.9"/>
    <n v="50.9"/>
    <n v="46.1"/>
    <n v="46"/>
    <n v="46.1"/>
    <n v="49.9"/>
    <n v="51"/>
    <n v="0.5"/>
    <n v="1328.5"/>
    <n v="2657"/>
    <n v="278.60000000000002"/>
    <n v="50"/>
    <n v="167.7"/>
    <n v="37.619999999999997"/>
    <n v="30"/>
    <n v="9.9499999999999993"/>
    <n v="0.43"/>
    <n v="11.87"/>
    <n v="2.27"/>
    <n v="24.52"/>
    <n v="1.254"/>
    <n v="5.59"/>
    <n v="0.22432915921288013"/>
    <n v="298.02128801431127"/>
    <n v="596.04257602862253"/>
    <n v="0.4057911908646003"/>
    <n v="1.7536704730831975E-2"/>
    <n v="0.48409461663947795"/>
    <n v="9.2577487765089728E-2"/>
    <n v="241.86882673265882"/>
    <n v="10.452622662818422"/>
    <n v="288.5410023433829"/>
    <n v="55.180124289762368"/>
    <n v="18.3"/>
    <n v="46.875"/>
    <n v="48.824999999999996"/>
    <n v="48.7"/>
    <n v="47.024999999999999"/>
  </r>
  <r>
    <n v="2"/>
    <n v="8"/>
    <n v="4"/>
    <n v="31"/>
    <n v="9"/>
    <x v="1"/>
    <x v="3"/>
    <n v="208"/>
    <s v="EVA_208"/>
    <d v="2024-09-16T00:00:00"/>
    <n v="0.77"/>
    <n v="9.7000000000000003E-2"/>
    <n v="0.127"/>
    <n v="0.26700000000000002"/>
    <n v="0.41499999999999998"/>
    <n v="0.90300000000000002"/>
    <n v="0.873"/>
    <n v="0.73299999999999998"/>
    <n v="0.58499999999999996"/>
    <n v="43.2"/>
    <n v="32.4"/>
    <n v="39.4"/>
    <n v="42.5"/>
    <n v="45.8"/>
    <n v="45.7"/>
    <n v="44.5"/>
    <n v="51.9"/>
    <n v="49.9"/>
    <n v="48.3"/>
    <n v="51.4"/>
    <n v="53.2"/>
    <n v="53.5"/>
    <n v="51.5"/>
    <n v="49.3"/>
    <n v="53.4"/>
    <n v="46.9"/>
    <n v="49.2"/>
    <n v="47"/>
    <n v="49.5"/>
    <n v="58"/>
    <n v="0.5"/>
    <n v="1345.4"/>
    <n v="2690.8"/>
    <n v="303.2"/>
    <n v="50"/>
    <n v="186.7"/>
    <n v="39.159999999999997"/>
    <n v="30"/>
    <n v="9.81"/>
    <n v="0.5"/>
    <n v="12.28"/>
    <n v="0.8"/>
    <n v="23.39"/>
    <n v="3.0581039755351682"/>
    <n v="3.9918450560652392"/>
    <n v="0.20974825923942153"/>
    <n v="282.19530798071776"/>
    <n v="564.39061596143551"/>
    <n v="0.41941000427533137"/>
    <n v="2.1376656690893545E-2"/>
    <n v="0.52501068832834541"/>
    <n v="3.4202650705429674E-2"/>
    <n v="236.71107065334257"/>
    <n v="12.06478443696955"/>
    <n v="296.31110577197211"/>
    <n v="19.303655099151282"/>
    <n v="39.375"/>
    <n v="46.975000000000001"/>
    <n v="50.7"/>
    <n v="51.925000000000004"/>
    <n v="48.1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7">
  <r>
    <x v="0"/>
    <x v="0"/>
    <n v="1"/>
    <n v="1"/>
    <n v="1"/>
    <x v="0"/>
    <x v="0"/>
    <n v="101"/>
    <n v="1"/>
    <x v="0"/>
    <m/>
    <n v="0.32"/>
    <n v="5.4"/>
  </r>
  <r>
    <x v="1"/>
    <x v="0"/>
    <n v="1"/>
    <n v="2"/>
    <n v="16"/>
    <x v="0"/>
    <x v="1"/>
    <n v="201"/>
    <n v="1"/>
    <x v="0"/>
    <m/>
    <n v="0.34"/>
    <n v="5.73"/>
  </r>
  <r>
    <x v="2"/>
    <x v="0"/>
    <n v="1"/>
    <n v="3"/>
    <n v="17"/>
    <x v="0"/>
    <x v="2"/>
    <n v="301"/>
    <n v="1"/>
    <x v="0"/>
    <m/>
    <n v="0.24"/>
    <n v="4.1100000000000003"/>
  </r>
  <r>
    <x v="3"/>
    <x v="0"/>
    <n v="1"/>
    <n v="4"/>
    <n v="32"/>
    <x v="0"/>
    <x v="3"/>
    <n v="401"/>
    <n v="1"/>
    <x v="0"/>
    <m/>
    <n v="0.26"/>
    <n v="3.74"/>
  </r>
  <r>
    <x v="3"/>
    <x v="1"/>
    <n v="1"/>
    <n v="5"/>
    <n v="31"/>
    <x v="1"/>
    <x v="4"/>
    <n v="402"/>
    <n v="1"/>
    <x v="0"/>
    <m/>
    <n v="0.18"/>
    <n v="2.34"/>
  </r>
  <r>
    <x v="2"/>
    <x v="1"/>
    <n v="1"/>
    <n v="6"/>
    <n v="18"/>
    <x v="1"/>
    <x v="3"/>
    <n v="302"/>
    <n v="1"/>
    <x v="0"/>
    <m/>
    <n v="0.18"/>
    <n v="2.13"/>
  </r>
  <r>
    <x v="1"/>
    <x v="1"/>
    <n v="1"/>
    <n v="7"/>
    <n v="15"/>
    <x v="1"/>
    <x v="2"/>
    <n v="202"/>
    <n v="1"/>
    <x v="0"/>
    <m/>
    <n v="0.18"/>
    <n v="2.2999999999999998"/>
  </r>
  <r>
    <x v="0"/>
    <x v="1"/>
    <n v="1"/>
    <n v="8"/>
    <n v="2"/>
    <x v="1"/>
    <x v="5"/>
    <n v="102"/>
    <n v="1"/>
    <x v="0"/>
    <m/>
    <n v="0.18"/>
    <n v="2.1800000000000002"/>
  </r>
  <r>
    <x v="0"/>
    <x v="2"/>
    <n v="2"/>
    <n v="9"/>
    <n v="3"/>
    <x v="0"/>
    <x v="1"/>
    <n v="103"/>
    <n v="1"/>
    <x v="0"/>
    <m/>
    <n v="0.3"/>
    <n v="5.68"/>
  </r>
  <r>
    <x v="1"/>
    <x v="2"/>
    <n v="2"/>
    <n v="10"/>
    <n v="14"/>
    <x v="0"/>
    <x v="3"/>
    <n v="203"/>
    <n v="1"/>
    <x v="0"/>
    <m/>
    <n v="0.31"/>
    <n v="8.59"/>
  </r>
  <r>
    <x v="2"/>
    <x v="2"/>
    <n v="2"/>
    <n v="11"/>
    <n v="19"/>
    <x v="0"/>
    <x v="0"/>
    <n v="303"/>
    <n v="1"/>
    <x v="0"/>
    <m/>
    <n v="0.25"/>
    <n v="5.83"/>
  </r>
  <r>
    <x v="3"/>
    <x v="2"/>
    <n v="2"/>
    <n v="12"/>
    <n v="30"/>
    <x v="0"/>
    <x v="2"/>
    <n v="403"/>
    <n v="1"/>
    <x v="0"/>
    <m/>
    <n v="0.25"/>
    <n v="4.07"/>
  </r>
  <r>
    <x v="3"/>
    <x v="3"/>
    <n v="2"/>
    <n v="13"/>
    <n v="29"/>
    <x v="1"/>
    <x v="3"/>
    <n v="404"/>
    <n v="1"/>
    <x v="0"/>
    <m/>
    <n v="0.17"/>
    <n v="2.5099999999999998"/>
  </r>
  <r>
    <x v="2"/>
    <x v="3"/>
    <n v="2"/>
    <n v="14"/>
    <n v="20"/>
    <x v="1"/>
    <x v="5"/>
    <n v="304"/>
    <n v="1"/>
    <x v="0"/>
    <m/>
    <n v="0.17"/>
    <n v="3.2"/>
  </r>
  <r>
    <x v="1"/>
    <x v="3"/>
    <n v="2"/>
    <n v="15"/>
    <n v="13"/>
    <x v="1"/>
    <x v="4"/>
    <n v="204"/>
    <n v="1"/>
    <x v="0"/>
    <m/>
    <n v="0.17"/>
    <n v="2.52"/>
  </r>
  <r>
    <x v="0"/>
    <x v="3"/>
    <n v="2"/>
    <n v="16"/>
    <n v="4"/>
    <x v="1"/>
    <x v="2"/>
    <n v="104"/>
    <n v="1"/>
    <x v="0"/>
    <m/>
    <n v="0.17"/>
    <n v="2.02"/>
  </r>
  <r>
    <x v="0"/>
    <x v="4"/>
    <n v="3"/>
    <n v="17"/>
    <n v="5"/>
    <x v="0"/>
    <x v="2"/>
    <n v="105"/>
    <n v="1"/>
    <x v="0"/>
    <m/>
    <n v="0.24"/>
    <n v="5.63"/>
  </r>
  <r>
    <x v="1"/>
    <x v="4"/>
    <n v="3"/>
    <n v="18"/>
    <n v="12"/>
    <x v="0"/>
    <x v="0"/>
    <n v="205"/>
    <n v="1"/>
    <x v="0"/>
    <m/>
    <n v="0.28999999999999998"/>
    <n v="4.75"/>
  </r>
  <r>
    <x v="2"/>
    <x v="4"/>
    <n v="3"/>
    <n v="19"/>
    <n v="21"/>
    <x v="0"/>
    <x v="3"/>
    <n v="305"/>
    <n v="1"/>
    <x v="0"/>
    <m/>
    <n v="0.25"/>
    <n v="4.99"/>
  </r>
  <r>
    <x v="3"/>
    <x v="4"/>
    <n v="3"/>
    <n v="20"/>
    <n v="28"/>
    <x v="0"/>
    <x v="1"/>
    <n v="405"/>
    <n v="1"/>
    <x v="0"/>
    <m/>
    <n v="0.31"/>
    <n v="4.51"/>
  </r>
  <r>
    <x v="3"/>
    <x v="5"/>
    <n v="3"/>
    <n v="21"/>
    <n v="27"/>
    <x v="1"/>
    <x v="2"/>
    <n v="406"/>
    <n v="1"/>
    <x v="0"/>
    <m/>
    <n v="0.18"/>
    <n v="2.5299999999999998"/>
  </r>
  <r>
    <x v="2"/>
    <x v="5"/>
    <n v="3"/>
    <n v="22"/>
    <n v="22"/>
    <x v="1"/>
    <x v="4"/>
    <n v="306"/>
    <n v="1"/>
    <x v="0"/>
    <m/>
    <n v="0.18"/>
    <n v="2.76"/>
  </r>
  <r>
    <x v="1"/>
    <x v="5"/>
    <n v="3"/>
    <n v="23"/>
    <n v="11"/>
    <x v="1"/>
    <x v="5"/>
    <n v="206"/>
    <n v="1"/>
    <x v="0"/>
    <m/>
    <n v="0.15"/>
    <n v="2.36"/>
  </r>
  <r>
    <x v="0"/>
    <x v="5"/>
    <n v="3"/>
    <n v="24"/>
    <n v="6"/>
    <x v="1"/>
    <x v="3"/>
    <n v="106"/>
    <n v="1"/>
    <x v="0"/>
    <m/>
    <n v="0.15"/>
    <n v="2.99"/>
  </r>
  <r>
    <x v="0"/>
    <x v="6"/>
    <n v="4"/>
    <n v="25"/>
    <n v="7"/>
    <x v="0"/>
    <x v="3"/>
    <n v="107"/>
    <n v="1"/>
    <x v="0"/>
    <m/>
    <n v="0.28999999999999998"/>
    <n v="4.74"/>
  </r>
  <r>
    <x v="1"/>
    <x v="6"/>
    <n v="4"/>
    <n v="26"/>
    <n v="10"/>
    <x v="0"/>
    <x v="2"/>
    <n v="207"/>
    <n v="1"/>
    <x v="0"/>
    <m/>
    <n v="0.25"/>
    <n v="5.39"/>
  </r>
  <r>
    <x v="2"/>
    <x v="6"/>
    <n v="4"/>
    <n v="27"/>
    <n v="23"/>
    <x v="0"/>
    <x v="1"/>
    <n v="307"/>
    <n v="1"/>
    <x v="0"/>
    <m/>
    <n v="0.26"/>
    <n v="5.4"/>
  </r>
  <r>
    <x v="3"/>
    <x v="6"/>
    <n v="4"/>
    <n v="28"/>
    <n v="26"/>
    <x v="0"/>
    <x v="0"/>
    <n v="407"/>
    <n v="1"/>
    <x v="0"/>
    <m/>
    <n v="0.31"/>
    <n v="5.0999999999999996"/>
  </r>
  <r>
    <x v="3"/>
    <x v="7"/>
    <n v="4"/>
    <n v="29"/>
    <n v="25"/>
    <x v="1"/>
    <x v="5"/>
    <n v="408"/>
    <n v="1"/>
    <x v="0"/>
    <m/>
    <n v="0.18"/>
    <n v="1.73"/>
  </r>
  <r>
    <x v="2"/>
    <x v="7"/>
    <n v="4"/>
    <n v="30"/>
    <n v="24"/>
    <x v="1"/>
    <x v="2"/>
    <n v="308"/>
    <n v="1"/>
    <x v="0"/>
    <m/>
    <n v="0.16"/>
    <n v="2.91"/>
  </r>
  <r>
    <x v="1"/>
    <x v="7"/>
    <n v="4"/>
    <n v="31"/>
    <n v="9"/>
    <x v="1"/>
    <x v="3"/>
    <n v="208"/>
    <n v="1"/>
    <x v="0"/>
    <m/>
    <n v="0.17"/>
    <n v="2.62"/>
  </r>
  <r>
    <x v="0"/>
    <x v="7"/>
    <n v="4"/>
    <n v="32"/>
    <n v="8"/>
    <x v="1"/>
    <x v="4"/>
    <n v="108"/>
    <n v="1"/>
    <x v="0"/>
    <m/>
    <n v="0.17"/>
    <n v="2.5299999999999998"/>
  </r>
  <r>
    <x v="0"/>
    <x v="0"/>
    <n v="1"/>
    <n v="1"/>
    <n v="1"/>
    <x v="0"/>
    <x v="0"/>
    <n v="101"/>
    <n v="2"/>
    <x v="1"/>
    <m/>
    <n v="0.45"/>
    <n v="5.43"/>
  </r>
  <r>
    <x v="1"/>
    <x v="0"/>
    <n v="1"/>
    <n v="2"/>
    <n v="16"/>
    <x v="0"/>
    <x v="1"/>
    <n v="201"/>
    <n v="2"/>
    <x v="1"/>
    <m/>
    <n v="0.45"/>
    <n v="6.59"/>
  </r>
  <r>
    <x v="2"/>
    <x v="0"/>
    <n v="1"/>
    <n v="3"/>
    <n v="17"/>
    <x v="0"/>
    <x v="2"/>
    <n v="301"/>
    <n v="2"/>
    <x v="1"/>
    <m/>
    <n v="0.37"/>
    <n v="2.67"/>
  </r>
  <r>
    <x v="3"/>
    <x v="0"/>
    <n v="1"/>
    <n v="4"/>
    <n v="32"/>
    <x v="0"/>
    <x v="3"/>
    <n v="401"/>
    <n v="2"/>
    <x v="1"/>
    <m/>
    <n v="0.33"/>
    <n v="5.94"/>
  </r>
  <r>
    <x v="3"/>
    <x v="1"/>
    <n v="1"/>
    <n v="5"/>
    <n v="31"/>
    <x v="1"/>
    <x v="4"/>
    <n v="402"/>
    <n v="2"/>
    <x v="1"/>
    <m/>
    <n v="0.19"/>
    <n v="2.5"/>
  </r>
  <r>
    <x v="2"/>
    <x v="1"/>
    <n v="1"/>
    <n v="6"/>
    <n v="18"/>
    <x v="1"/>
    <x v="3"/>
    <n v="302"/>
    <n v="2"/>
    <x v="1"/>
    <m/>
    <n v="0.16"/>
    <n v="4.4000000000000004"/>
  </r>
  <r>
    <x v="1"/>
    <x v="1"/>
    <n v="1"/>
    <n v="7"/>
    <n v="15"/>
    <x v="1"/>
    <x v="2"/>
    <n v="202"/>
    <n v="2"/>
    <x v="1"/>
    <m/>
    <n v="0.18"/>
    <n v="2.5"/>
  </r>
  <r>
    <x v="0"/>
    <x v="1"/>
    <n v="1"/>
    <n v="8"/>
    <n v="2"/>
    <x v="1"/>
    <x v="5"/>
    <n v="102"/>
    <n v="2"/>
    <x v="1"/>
    <m/>
    <n v="0.18"/>
    <n v="2.8"/>
  </r>
  <r>
    <x v="0"/>
    <x v="2"/>
    <n v="2"/>
    <n v="9"/>
    <n v="3"/>
    <x v="0"/>
    <x v="1"/>
    <n v="103"/>
    <n v="2"/>
    <x v="1"/>
    <m/>
    <n v="0.37"/>
    <n v="7.4"/>
  </r>
  <r>
    <x v="1"/>
    <x v="2"/>
    <n v="2"/>
    <n v="10"/>
    <n v="14"/>
    <x v="0"/>
    <x v="3"/>
    <n v="203"/>
    <n v="2"/>
    <x v="1"/>
    <m/>
    <n v="0.34"/>
    <n v="6.38"/>
  </r>
  <r>
    <x v="2"/>
    <x v="2"/>
    <n v="2"/>
    <n v="11"/>
    <n v="19"/>
    <x v="0"/>
    <x v="0"/>
    <n v="303"/>
    <n v="2"/>
    <x v="1"/>
    <m/>
    <n v="0.41"/>
    <n v="5.32"/>
  </r>
  <r>
    <x v="3"/>
    <x v="2"/>
    <n v="2"/>
    <n v="12"/>
    <n v="30"/>
    <x v="0"/>
    <x v="2"/>
    <n v="403"/>
    <n v="2"/>
    <x v="1"/>
    <m/>
    <n v="0.33"/>
    <n v="6.17"/>
  </r>
  <r>
    <x v="3"/>
    <x v="3"/>
    <n v="2"/>
    <n v="13"/>
    <n v="29"/>
    <x v="1"/>
    <x v="3"/>
    <n v="404"/>
    <n v="2"/>
    <x v="1"/>
    <m/>
    <n v="0.16"/>
    <n v="1.78"/>
  </r>
  <r>
    <x v="2"/>
    <x v="3"/>
    <n v="2"/>
    <n v="14"/>
    <n v="20"/>
    <x v="1"/>
    <x v="5"/>
    <n v="304"/>
    <n v="2"/>
    <x v="1"/>
    <m/>
    <n v="0.16"/>
    <n v="3.43"/>
  </r>
  <r>
    <x v="1"/>
    <x v="3"/>
    <n v="2"/>
    <n v="15"/>
    <n v="13"/>
    <x v="1"/>
    <x v="4"/>
    <n v="204"/>
    <n v="2"/>
    <x v="1"/>
    <m/>
    <n v="0.18"/>
    <n v="2.69"/>
  </r>
  <r>
    <x v="0"/>
    <x v="3"/>
    <n v="2"/>
    <n v="16"/>
    <n v="4"/>
    <x v="1"/>
    <x v="2"/>
    <n v="104"/>
    <n v="2"/>
    <x v="1"/>
    <m/>
    <n v="0.16"/>
    <n v="2.17"/>
  </r>
  <r>
    <x v="0"/>
    <x v="4"/>
    <n v="3"/>
    <n v="17"/>
    <n v="5"/>
    <x v="0"/>
    <x v="2"/>
    <n v="105"/>
    <n v="2"/>
    <x v="1"/>
    <m/>
    <n v="0.34"/>
    <n v="3.45"/>
  </r>
  <r>
    <x v="1"/>
    <x v="4"/>
    <n v="3"/>
    <n v="18"/>
    <n v="12"/>
    <x v="0"/>
    <x v="0"/>
    <n v="205"/>
    <n v="2"/>
    <x v="1"/>
    <m/>
    <n v="0.41"/>
    <n v="6.44"/>
  </r>
  <r>
    <x v="2"/>
    <x v="4"/>
    <n v="3"/>
    <n v="19"/>
    <n v="21"/>
    <x v="0"/>
    <x v="3"/>
    <n v="305"/>
    <n v="2"/>
    <x v="1"/>
    <m/>
    <n v="0.31"/>
    <n v="7.68"/>
  </r>
  <r>
    <x v="3"/>
    <x v="4"/>
    <n v="3"/>
    <n v="20"/>
    <n v="28"/>
    <x v="0"/>
    <x v="1"/>
    <n v="405"/>
    <n v="2"/>
    <x v="1"/>
    <m/>
    <n v="0.42"/>
    <n v="5.26"/>
  </r>
  <r>
    <x v="3"/>
    <x v="5"/>
    <n v="3"/>
    <n v="21"/>
    <n v="27"/>
    <x v="1"/>
    <x v="2"/>
    <n v="406"/>
    <n v="2"/>
    <x v="1"/>
    <m/>
    <n v="0.18"/>
    <n v="1.8"/>
  </r>
  <r>
    <x v="2"/>
    <x v="5"/>
    <n v="3"/>
    <n v="22"/>
    <n v="22"/>
    <x v="1"/>
    <x v="4"/>
    <n v="306"/>
    <n v="2"/>
    <x v="1"/>
    <m/>
    <n v="0.21"/>
    <n v="4.34"/>
  </r>
  <r>
    <x v="1"/>
    <x v="5"/>
    <n v="3"/>
    <n v="23"/>
    <n v="11"/>
    <x v="1"/>
    <x v="5"/>
    <n v="206"/>
    <n v="2"/>
    <x v="1"/>
    <m/>
    <n v="0.16"/>
    <n v="2.82"/>
  </r>
  <r>
    <x v="0"/>
    <x v="5"/>
    <n v="3"/>
    <n v="24"/>
    <n v="6"/>
    <x v="1"/>
    <x v="3"/>
    <n v="106"/>
    <n v="2"/>
    <x v="1"/>
    <m/>
    <n v="0.16"/>
    <n v="2.12"/>
  </r>
  <r>
    <x v="0"/>
    <x v="6"/>
    <n v="4"/>
    <n v="25"/>
    <n v="7"/>
    <x v="0"/>
    <x v="3"/>
    <n v="107"/>
    <n v="2"/>
    <x v="1"/>
    <m/>
    <n v="0.45"/>
    <n v="6.46"/>
  </r>
  <r>
    <x v="1"/>
    <x v="6"/>
    <n v="4"/>
    <n v="26"/>
    <n v="10"/>
    <x v="0"/>
    <x v="2"/>
    <n v="207"/>
    <n v="2"/>
    <x v="1"/>
    <m/>
    <n v="0.32"/>
    <n v="11.68"/>
  </r>
  <r>
    <x v="2"/>
    <x v="6"/>
    <n v="4"/>
    <n v="27"/>
    <n v="23"/>
    <x v="0"/>
    <x v="1"/>
    <n v="307"/>
    <n v="2"/>
    <x v="1"/>
    <m/>
    <n v="0.32"/>
    <n v="5.89"/>
  </r>
  <r>
    <x v="3"/>
    <x v="6"/>
    <n v="4"/>
    <n v="28"/>
    <n v="26"/>
    <x v="0"/>
    <x v="0"/>
    <n v="407"/>
    <n v="2"/>
    <x v="1"/>
    <m/>
    <n v="0.37"/>
    <n v="4.88"/>
  </r>
  <r>
    <x v="3"/>
    <x v="7"/>
    <n v="4"/>
    <n v="29"/>
    <n v="25"/>
    <x v="1"/>
    <x v="5"/>
    <n v="408"/>
    <n v="2"/>
    <x v="1"/>
    <m/>
    <n v="0.19"/>
    <n v="1.9"/>
  </r>
  <r>
    <x v="2"/>
    <x v="7"/>
    <n v="4"/>
    <n v="30"/>
    <n v="24"/>
    <x v="1"/>
    <x v="2"/>
    <n v="308"/>
    <n v="2"/>
    <x v="1"/>
    <m/>
    <n v="0.16"/>
    <n v="2.2999999999999998"/>
  </r>
  <r>
    <x v="1"/>
    <x v="7"/>
    <n v="4"/>
    <n v="31"/>
    <n v="9"/>
    <x v="1"/>
    <x v="3"/>
    <n v="208"/>
    <n v="2"/>
    <x v="1"/>
    <m/>
    <n v="0.15"/>
    <n v="2.66"/>
  </r>
  <r>
    <x v="0"/>
    <x v="7"/>
    <n v="4"/>
    <n v="32"/>
    <n v="8"/>
    <x v="1"/>
    <x v="4"/>
    <n v="108"/>
    <n v="2"/>
    <x v="1"/>
    <m/>
    <n v="0.19"/>
    <n v="2.6"/>
  </r>
  <r>
    <x v="0"/>
    <x v="0"/>
    <n v="1"/>
    <n v="1"/>
    <n v="1"/>
    <x v="0"/>
    <x v="0"/>
    <n v="101"/>
    <n v="3"/>
    <x v="2"/>
    <m/>
    <n v="0.56000000000000005"/>
    <n v="6.48"/>
  </r>
  <r>
    <x v="1"/>
    <x v="0"/>
    <n v="1"/>
    <n v="2"/>
    <n v="16"/>
    <x v="0"/>
    <x v="1"/>
    <n v="201"/>
    <n v="3"/>
    <x v="2"/>
    <m/>
    <n v="0.56999999999999995"/>
    <n v="6.82"/>
  </r>
  <r>
    <x v="2"/>
    <x v="0"/>
    <n v="1"/>
    <n v="3"/>
    <n v="17"/>
    <x v="0"/>
    <x v="2"/>
    <n v="301"/>
    <n v="3"/>
    <x v="2"/>
    <m/>
    <n v="0.49"/>
    <n v="4.5"/>
  </r>
  <r>
    <x v="3"/>
    <x v="0"/>
    <n v="1"/>
    <n v="4"/>
    <n v="32"/>
    <x v="0"/>
    <x v="3"/>
    <n v="401"/>
    <n v="3"/>
    <x v="2"/>
    <m/>
    <n v="0.44"/>
    <n v="5.74"/>
  </r>
  <r>
    <x v="3"/>
    <x v="1"/>
    <n v="1"/>
    <n v="5"/>
    <n v="31"/>
    <x v="1"/>
    <x v="4"/>
    <n v="402"/>
    <n v="3"/>
    <x v="2"/>
    <m/>
    <n v="0.28000000000000003"/>
    <n v="3.35"/>
  </r>
  <r>
    <x v="2"/>
    <x v="1"/>
    <n v="1"/>
    <n v="6"/>
    <n v="18"/>
    <x v="1"/>
    <x v="3"/>
    <n v="302"/>
    <n v="3"/>
    <x v="2"/>
    <m/>
    <n v="0.21"/>
    <n v="3.21"/>
  </r>
  <r>
    <x v="1"/>
    <x v="1"/>
    <n v="1"/>
    <n v="7"/>
    <n v="15"/>
    <x v="1"/>
    <x v="2"/>
    <n v="202"/>
    <n v="3"/>
    <x v="2"/>
    <m/>
    <n v="0.23"/>
    <n v="4.58"/>
  </r>
  <r>
    <x v="0"/>
    <x v="1"/>
    <n v="1"/>
    <n v="8"/>
    <n v="2"/>
    <x v="1"/>
    <x v="5"/>
    <n v="102"/>
    <n v="3"/>
    <x v="2"/>
    <m/>
    <n v="0.26"/>
    <n v="2.4700000000000002"/>
  </r>
  <r>
    <x v="0"/>
    <x v="2"/>
    <n v="2"/>
    <n v="9"/>
    <n v="3"/>
    <x v="0"/>
    <x v="1"/>
    <n v="103"/>
    <n v="3"/>
    <x v="2"/>
    <m/>
    <n v="0.46"/>
    <n v="10.1"/>
  </r>
  <r>
    <x v="1"/>
    <x v="2"/>
    <n v="2"/>
    <n v="10"/>
    <n v="14"/>
    <x v="0"/>
    <x v="3"/>
    <n v="203"/>
    <n v="3"/>
    <x v="2"/>
    <m/>
    <n v="0.43"/>
    <n v="9.9499999999999993"/>
  </r>
  <r>
    <x v="2"/>
    <x v="2"/>
    <n v="2"/>
    <n v="11"/>
    <n v="19"/>
    <x v="0"/>
    <x v="0"/>
    <n v="303"/>
    <n v="3"/>
    <x v="2"/>
    <m/>
    <n v="0.49"/>
    <n v="7.39"/>
  </r>
  <r>
    <x v="3"/>
    <x v="2"/>
    <n v="2"/>
    <n v="12"/>
    <n v="30"/>
    <x v="0"/>
    <x v="2"/>
    <n v="403"/>
    <n v="3"/>
    <x v="2"/>
    <m/>
    <n v="0.38"/>
    <n v="6.94"/>
  </r>
  <r>
    <x v="3"/>
    <x v="3"/>
    <n v="2"/>
    <n v="13"/>
    <n v="29"/>
    <x v="1"/>
    <x v="3"/>
    <n v="404"/>
    <n v="3"/>
    <x v="2"/>
    <m/>
    <n v="0.21"/>
    <n v="4.2699999999999996"/>
  </r>
  <r>
    <x v="2"/>
    <x v="3"/>
    <n v="2"/>
    <n v="14"/>
    <n v="20"/>
    <x v="1"/>
    <x v="5"/>
    <n v="304"/>
    <n v="3"/>
    <x v="2"/>
    <m/>
    <n v="0.23"/>
    <n v="3.96"/>
  </r>
  <r>
    <x v="1"/>
    <x v="3"/>
    <n v="2"/>
    <n v="15"/>
    <n v="13"/>
    <x v="1"/>
    <x v="4"/>
    <n v="204"/>
    <n v="3"/>
    <x v="2"/>
    <m/>
    <n v="0.31"/>
    <n v="5.04"/>
  </r>
  <r>
    <x v="0"/>
    <x v="3"/>
    <n v="2"/>
    <n v="16"/>
    <n v="4"/>
    <x v="1"/>
    <x v="2"/>
    <n v="104"/>
    <n v="3"/>
    <x v="2"/>
    <m/>
    <n v="0.24"/>
    <n v="3.29"/>
  </r>
  <r>
    <x v="0"/>
    <x v="4"/>
    <n v="3"/>
    <n v="17"/>
    <n v="5"/>
    <x v="0"/>
    <x v="2"/>
    <n v="105"/>
    <n v="3"/>
    <x v="2"/>
    <m/>
    <n v="0.5"/>
    <n v="6.01"/>
  </r>
  <r>
    <x v="1"/>
    <x v="4"/>
    <n v="3"/>
    <n v="18"/>
    <n v="12"/>
    <x v="0"/>
    <x v="0"/>
    <n v="205"/>
    <n v="3"/>
    <x v="2"/>
    <m/>
    <n v="0.6"/>
    <n v="7.4"/>
  </r>
  <r>
    <x v="2"/>
    <x v="4"/>
    <n v="3"/>
    <n v="19"/>
    <n v="21"/>
    <x v="0"/>
    <x v="3"/>
    <n v="305"/>
    <n v="3"/>
    <x v="2"/>
    <m/>
    <n v="0.49"/>
    <n v="8.44"/>
  </r>
  <r>
    <x v="3"/>
    <x v="4"/>
    <n v="3"/>
    <n v="20"/>
    <n v="28"/>
    <x v="0"/>
    <x v="1"/>
    <n v="405"/>
    <n v="3"/>
    <x v="2"/>
    <m/>
    <n v="0.55000000000000004"/>
    <n v="5.73"/>
  </r>
  <r>
    <x v="3"/>
    <x v="5"/>
    <n v="3"/>
    <n v="21"/>
    <n v="27"/>
    <x v="1"/>
    <x v="2"/>
    <n v="406"/>
    <n v="3"/>
    <x v="2"/>
    <m/>
    <n v="0.25"/>
    <n v="3.17"/>
  </r>
  <r>
    <x v="2"/>
    <x v="5"/>
    <n v="3"/>
    <n v="22"/>
    <n v="22"/>
    <x v="1"/>
    <x v="4"/>
    <n v="306"/>
    <n v="3"/>
    <x v="2"/>
    <m/>
    <n v="0.27"/>
    <n v="4.25"/>
  </r>
  <r>
    <x v="1"/>
    <x v="5"/>
    <n v="3"/>
    <n v="23"/>
    <n v="11"/>
    <x v="1"/>
    <x v="5"/>
    <n v="206"/>
    <n v="3"/>
    <x v="2"/>
    <m/>
    <n v="0.26"/>
    <n v="5"/>
  </r>
  <r>
    <x v="0"/>
    <x v="5"/>
    <n v="3"/>
    <n v="24"/>
    <n v="6"/>
    <x v="1"/>
    <x v="3"/>
    <n v="106"/>
    <n v="3"/>
    <x v="2"/>
    <m/>
    <n v="0.23"/>
    <n v="1.52"/>
  </r>
  <r>
    <x v="0"/>
    <x v="6"/>
    <n v="4"/>
    <n v="25"/>
    <n v="7"/>
    <x v="0"/>
    <x v="3"/>
    <n v="107"/>
    <n v="3"/>
    <x v="2"/>
    <m/>
    <n v="0.59"/>
    <n v="7.12"/>
  </r>
  <r>
    <x v="1"/>
    <x v="6"/>
    <n v="4"/>
    <n v="26"/>
    <n v="10"/>
    <x v="0"/>
    <x v="2"/>
    <n v="207"/>
    <n v="3"/>
    <x v="2"/>
    <m/>
    <n v="0.41"/>
    <n v="10.72"/>
  </r>
  <r>
    <x v="2"/>
    <x v="6"/>
    <n v="4"/>
    <n v="27"/>
    <n v="23"/>
    <x v="0"/>
    <x v="1"/>
    <n v="307"/>
    <n v="3"/>
    <x v="2"/>
    <m/>
    <n v="0.46"/>
    <n v="8.69"/>
  </r>
  <r>
    <x v="3"/>
    <x v="6"/>
    <n v="4"/>
    <n v="28"/>
    <n v="26"/>
    <x v="0"/>
    <x v="0"/>
    <n v="407"/>
    <n v="3"/>
    <x v="2"/>
    <m/>
    <n v="0.44"/>
    <n v="6.37"/>
  </r>
  <r>
    <x v="3"/>
    <x v="7"/>
    <n v="4"/>
    <n v="29"/>
    <n v="25"/>
    <x v="1"/>
    <x v="5"/>
    <n v="408"/>
    <n v="3"/>
    <x v="2"/>
    <m/>
    <n v="0.28000000000000003"/>
    <n v="3.66"/>
  </r>
  <r>
    <x v="2"/>
    <x v="7"/>
    <n v="4"/>
    <n v="30"/>
    <n v="24"/>
    <x v="1"/>
    <x v="2"/>
    <n v="308"/>
    <n v="3"/>
    <x v="2"/>
    <m/>
    <n v="0.23"/>
    <n v="4.66"/>
  </r>
  <r>
    <x v="1"/>
    <x v="7"/>
    <n v="4"/>
    <n v="31"/>
    <n v="9"/>
    <x v="1"/>
    <x v="3"/>
    <n v="208"/>
    <n v="3"/>
    <x v="2"/>
    <m/>
    <n v="0.21"/>
    <n v="3.36"/>
  </r>
  <r>
    <x v="0"/>
    <x v="7"/>
    <n v="4"/>
    <n v="32"/>
    <n v="8"/>
    <x v="1"/>
    <x v="4"/>
    <n v="108"/>
    <n v="3"/>
    <x v="2"/>
    <m/>
    <n v="0.3"/>
    <n v="3.78"/>
  </r>
  <r>
    <x v="0"/>
    <x v="0"/>
    <n v="1"/>
    <n v="1"/>
    <n v="1"/>
    <x v="0"/>
    <x v="0"/>
    <n v="101"/>
    <n v="4"/>
    <x v="3"/>
    <m/>
    <n v="0.63"/>
    <n v="8.43"/>
  </r>
  <r>
    <x v="1"/>
    <x v="0"/>
    <n v="1"/>
    <n v="2"/>
    <n v="16"/>
    <x v="0"/>
    <x v="1"/>
    <n v="201"/>
    <n v="4"/>
    <x v="3"/>
    <m/>
    <n v="0.63"/>
    <n v="2.93"/>
  </r>
  <r>
    <x v="2"/>
    <x v="0"/>
    <n v="1"/>
    <n v="3"/>
    <n v="17"/>
    <x v="0"/>
    <x v="2"/>
    <n v="301"/>
    <n v="4"/>
    <x v="3"/>
    <m/>
    <n v="0.56000000000000005"/>
    <n v="6.67"/>
  </r>
  <r>
    <x v="3"/>
    <x v="0"/>
    <n v="1"/>
    <n v="4"/>
    <n v="32"/>
    <x v="0"/>
    <x v="3"/>
    <n v="401"/>
    <n v="4"/>
    <x v="3"/>
    <m/>
    <n v="0.54"/>
    <n v="5.77"/>
  </r>
  <r>
    <x v="3"/>
    <x v="1"/>
    <n v="1"/>
    <n v="5"/>
    <n v="31"/>
    <x v="1"/>
    <x v="4"/>
    <n v="402"/>
    <n v="4"/>
    <x v="3"/>
    <m/>
    <n v="0.39"/>
    <n v="6.77"/>
  </r>
  <r>
    <x v="2"/>
    <x v="1"/>
    <n v="1"/>
    <n v="6"/>
    <n v="18"/>
    <x v="1"/>
    <x v="3"/>
    <n v="302"/>
    <n v="4"/>
    <x v="3"/>
    <m/>
    <n v="0.27"/>
    <n v="5.93"/>
  </r>
  <r>
    <x v="1"/>
    <x v="1"/>
    <n v="1"/>
    <n v="7"/>
    <n v="15"/>
    <x v="1"/>
    <x v="2"/>
    <n v="202"/>
    <n v="4"/>
    <x v="3"/>
    <m/>
    <n v="0.28000000000000003"/>
    <n v="7.12"/>
  </r>
  <r>
    <x v="0"/>
    <x v="1"/>
    <n v="1"/>
    <n v="8"/>
    <n v="2"/>
    <x v="1"/>
    <x v="5"/>
    <n v="102"/>
    <n v="4"/>
    <x v="3"/>
    <m/>
    <n v="0.36"/>
    <n v="2.56"/>
  </r>
  <r>
    <x v="0"/>
    <x v="2"/>
    <n v="2"/>
    <n v="9"/>
    <n v="3"/>
    <x v="0"/>
    <x v="1"/>
    <n v="103"/>
    <n v="4"/>
    <x v="3"/>
    <m/>
    <n v="0.56000000000000005"/>
    <n v="8.4600000000000009"/>
  </r>
  <r>
    <x v="1"/>
    <x v="2"/>
    <n v="2"/>
    <n v="10"/>
    <n v="14"/>
    <x v="0"/>
    <x v="3"/>
    <n v="203"/>
    <n v="4"/>
    <x v="3"/>
    <m/>
    <n v="0.47"/>
    <n v="7.54"/>
  </r>
  <r>
    <x v="2"/>
    <x v="2"/>
    <n v="2"/>
    <n v="11"/>
    <n v="19"/>
    <x v="0"/>
    <x v="0"/>
    <n v="303"/>
    <n v="4"/>
    <x v="3"/>
    <m/>
    <n v="0.56000000000000005"/>
    <n v="8.89"/>
  </r>
  <r>
    <x v="3"/>
    <x v="2"/>
    <n v="2"/>
    <n v="12"/>
    <n v="30"/>
    <x v="0"/>
    <x v="2"/>
    <n v="403"/>
    <n v="4"/>
    <x v="3"/>
    <m/>
    <n v="0.41"/>
    <n v="4.87"/>
  </r>
  <r>
    <x v="3"/>
    <x v="3"/>
    <n v="2"/>
    <n v="13"/>
    <n v="29"/>
    <x v="1"/>
    <x v="3"/>
    <n v="404"/>
    <n v="4"/>
    <x v="3"/>
    <m/>
    <n v="0.32"/>
    <n v="10.11"/>
  </r>
  <r>
    <x v="2"/>
    <x v="3"/>
    <n v="2"/>
    <n v="14"/>
    <n v="20"/>
    <x v="1"/>
    <x v="5"/>
    <n v="304"/>
    <n v="4"/>
    <x v="3"/>
    <m/>
    <n v="0.36"/>
    <n v="8.15"/>
  </r>
  <r>
    <x v="1"/>
    <x v="3"/>
    <n v="2"/>
    <n v="15"/>
    <n v="13"/>
    <x v="1"/>
    <x v="4"/>
    <n v="204"/>
    <n v="4"/>
    <x v="3"/>
    <m/>
    <n v="0.42"/>
    <n v="8.6300000000000008"/>
  </r>
  <r>
    <x v="0"/>
    <x v="3"/>
    <n v="2"/>
    <n v="16"/>
    <n v="4"/>
    <x v="1"/>
    <x v="2"/>
    <n v="104"/>
    <n v="4"/>
    <x v="3"/>
    <m/>
    <n v="0.37"/>
    <n v="5.52"/>
  </r>
  <r>
    <x v="0"/>
    <x v="4"/>
    <n v="3"/>
    <n v="17"/>
    <n v="5"/>
    <x v="0"/>
    <x v="2"/>
    <n v="105"/>
    <n v="4"/>
    <x v="3"/>
    <m/>
    <n v="0.52"/>
    <n v="5.78"/>
  </r>
  <r>
    <x v="1"/>
    <x v="4"/>
    <n v="3"/>
    <n v="18"/>
    <n v="12"/>
    <x v="0"/>
    <x v="0"/>
    <n v="205"/>
    <n v="4"/>
    <x v="3"/>
    <m/>
    <n v="0.69"/>
    <n v="8.07"/>
  </r>
  <r>
    <x v="2"/>
    <x v="4"/>
    <n v="3"/>
    <n v="19"/>
    <n v="21"/>
    <x v="0"/>
    <x v="3"/>
    <n v="305"/>
    <n v="4"/>
    <x v="3"/>
    <m/>
    <n v="0.54"/>
    <n v="6.5"/>
  </r>
  <r>
    <x v="3"/>
    <x v="4"/>
    <n v="3"/>
    <n v="20"/>
    <n v="28"/>
    <x v="0"/>
    <x v="1"/>
    <n v="405"/>
    <n v="4"/>
    <x v="3"/>
    <m/>
    <n v="0.66"/>
    <n v="5.62"/>
  </r>
  <r>
    <x v="3"/>
    <x v="5"/>
    <n v="3"/>
    <n v="21"/>
    <n v="27"/>
    <x v="1"/>
    <x v="2"/>
    <n v="406"/>
    <n v="4"/>
    <x v="3"/>
    <m/>
    <n v="0.36"/>
    <n v="4.13"/>
  </r>
  <r>
    <x v="2"/>
    <x v="5"/>
    <n v="3"/>
    <n v="22"/>
    <n v="22"/>
    <x v="1"/>
    <x v="4"/>
    <n v="306"/>
    <n v="4"/>
    <x v="3"/>
    <m/>
    <n v="0.39"/>
    <n v="5.29"/>
  </r>
  <r>
    <x v="1"/>
    <x v="5"/>
    <n v="3"/>
    <n v="23"/>
    <n v="11"/>
    <x v="1"/>
    <x v="5"/>
    <n v="206"/>
    <n v="4"/>
    <x v="3"/>
    <m/>
    <n v="0.36"/>
    <n v="6.98"/>
  </r>
  <r>
    <x v="0"/>
    <x v="5"/>
    <n v="3"/>
    <n v="24"/>
    <n v="6"/>
    <x v="1"/>
    <x v="3"/>
    <n v="106"/>
    <n v="4"/>
    <x v="3"/>
    <m/>
    <n v="0.39"/>
    <n v="3.13"/>
  </r>
  <r>
    <x v="0"/>
    <x v="6"/>
    <n v="4"/>
    <n v="25"/>
    <n v="7"/>
    <x v="0"/>
    <x v="3"/>
    <n v="107"/>
    <n v="4"/>
    <x v="3"/>
    <m/>
    <n v="0.59"/>
    <n v="7.4"/>
  </r>
  <r>
    <x v="1"/>
    <x v="6"/>
    <n v="4"/>
    <n v="26"/>
    <n v="10"/>
    <x v="0"/>
    <x v="2"/>
    <n v="207"/>
    <n v="4"/>
    <x v="3"/>
    <m/>
    <n v="0.43"/>
    <n v="12.63"/>
  </r>
  <r>
    <x v="2"/>
    <x v="6"/>
    <n v="4"/>
    <n v="27"/>
    <n v="23"/>
    <x v="0"/>
    <x v="1"/>
    <n v="307"/>
    <n v="4"/>
    <x v="3"/>
    <m/>
    <n v="0.49"/>
    <n v="6.68"/>
  </r>
  <r>
    <x v="3"/>
    <x v="6"/>
    <n v="4"/>
    <n v="28"/>
    <n v="26"/>
    <x v="0"/>
    <x v="0"/>
    <n v="407"/>
    <n v="4"/>
    <x v="3"/>
    <m/>
    <n v="0.53"/>
    <n v="10.039999999999999"/>
  </r>
  <r>
    <x v="3"/>
    <x v="7"/>
    <n v="4"/>
    <n v="29"/>
    <n v="25"/>
    <x v="1"/>
    <x v="5"/>
    <n v="408"/>
    <n v="4"/>
    <x v="3"/>
    <m/>
    <n v="0.41"/>
    <n v="4.42"/>
  </r>
  <r>
    <x v="2"/>
    <x v="7"/>
    <n v="4"/>
    <n v="30"/>
    <n v="24"/>
    <x v="1"/>
    <x v="2"/>
    <n v="308"/>
    <n v="4"/>
    <x v="3"/>
    <m/>
    <n v="0.32"/>
    <n v="6.87"/>
  </r>
  <r>
    <x v="1"/>
    <x v="7"/>
    <n v="4"/>
    <n v="31"/>
    <n v="9"/>
    <x v="1"/>
    <x v="3"/>
    <n v="208"/>
    <n v="4"/>
    <x v="3"/>
    <m/>
    <n v="0.28999999999999998"/>
    <n v="7.13"/>
  </r>
  <r>
    <x v="0"/>
    <x v="7"/>
    <n v="4"/>
    <n v="32"/>
    <n v="8"/>
    <x v="1"/>
    <x v="4"/>
    <n v="108"/>
    <n v="4"/>
    <x v="3"/>
    <m/>
    <n v="0.42"/>
    <n v="5.62"/>
  </r>
  <r>
    <x v="0"/>
    <x v="0"/>
    <n v="1"/>
    <n v="1"/>
    <n v="1"/>
    <x v="0"/>
    <x v="0"/>
    <n v="101"/>
    <n v="5"/>
    <x v="4"/>
    <m/>
    <n v="0.67"/>
    <n v="6.02"/>
  </r>
  <r>
    <x v="1"/>
    <x v="0"/>
    <n v="1"/>
    <n v="2"/>
    <n v="16"/>
    <x v="0"/>
    <x v="1"/>
    <n v="201"/>
    <n v="5"/>
    <x v="4"/>
    <m/>
    <n v="0.66"/>
    <n v="5.73"/>
  </r>
  <r>
    <x v="2"/>
    <x v="0"/>
    <n v="1"/>
    <n v="3"/>
    <n v="17"/>
    <x v="0"/>
    <x v="2"/>
    <n v="301"/>
    <n v="5"/>
    <x v="4"/>
    <m/>
    <n v="0.59"/>
    <n v="7.93"/>
  </r>
  <r>
    <x v="3"/>
    <x v="0"/>
    <n v="1"/>
    <n v="4"/>
    <n v="32"/>
    <x v="0"/>
    <x v="3"/>
    <n v="401"/>
    <n v="5"/>
    <x v="4"/>
    <m/>
    <n v="0.56999999999999995"/>
    <n v="5.41"/>
  </r>
  <r>
    <x v="3"/>
    <x v="1"/>
    <n v="1"/>
    <n v="5"/>
    <n v="31"/>
    <x v="1"/>
    <x v="4"/>
    <n v="402"/>
    <n v="5"/>
    <x v="4"/>
    <m/>
    <n v="0.56000000000000005"/>
    <n v="4.8"/>
  </r>
  <r>
    <x v="2"/>
    <x v="1"/>
    <n v="1"/>
    <n v="6"/>
    <n v="18"/>
    <x v="1"/>
    <x v="3"/>
    <n v="302"/>
    <n v="5"/>
    <x v="4"/>
    <m/>
    <n v="0.41"/>
    <n v="8.23"/>
  </r>
  <r>
    <x v="1"/>
    <x v="1"/>
    <n v="1"/>
    <n v="7"/>
    <n v="15"/>
    <x v="1"/>
    <x v="2"/>
    <n v="202"/>
    <n v="5"/>
    <x v="4"/>
    <m/>
    <n v="0.47"/>
    <n v="6.76"/>
  </r>
  <r>
    <x v="0"/>
    <x v="1"/>
    <n v="1"/>
    <n v="8"/>
    <n v="2"/>
    <x v="1"/>
    <x v="5"/>
    <n v="102"/>
    <n v="5"/>
    <x v="4"/>
    <m/>
    <n v="0.51"/>
    <n v="4.32"/>
  </r>
  <r>
    <x v="0"/>
    <x v="2"/>
    <n v="2"/>
    <n v="9"/>
    <n v="3"/>
    <x v="0"/>
    <x v="1"/>
    <n v="103"/>
    <n v="5"/>
    <x v="4"/>
    <m/>
    <n v="0.6"/>
    <n v="5.73"/>
  </r>
  <r>
    <x v="1"/>
    <x v="2"/>
    <n v="2"/>
    <n v="10"/>
    <n v="14"/>
    <x v="0"/>
    <x v="3"/>
    <n v="203"/>
    <n v="5"/>
    <x v="4"/>
    <m/>
    <n v="0.62"/>
    <n v="4.57"/>
  </r>
  <r>
    <x v="2"/>
    <x v="2"/>
    <n v="2"/>
    <n v="11"/>
    <n v="19"/>
    <x v="0"/>
    <x v="0"/>
    <n v="303"/>
    <n v="5"/>
    <x v="4"/>
    <m/>
    <n v="0.61"/>
    <n v="9.6199999999999992"/>
  </r>
  <r>
    <x v="3"/>
    <x v="2"/>
    <n v="2"/>
    <n v="12"/>
    <n v="30"/>
    <x v="0"/>
    <x v="2"/>
    <n v="403"/>
    <n v="5"/>
    <x v="4"/>
    <m/>
    <n v="0.54"/>
    <n v="7.38"/>
  </r>
  <r>
    <x v="3"/>
    <x v="3"/>
    <n v="2"/>
    <n v="13"/>
    <n v="29"/>
    <x v="1"/>
    <x v="3"/>
    <n v="404"/>
    <n v="5"/>
    <x v="4"/>
    <m/>
    <n v="0.39"/>
    <n v="6.03"/>
  </r>
  <r>
    <x v="2"/>
    <x v="3"/>
    <n v="2"/>
    <n v="14"/>
    <n v="20"/>
    <x v="1"/>
    <x v="5"/>
    <n v="304"/>
    <n v="5"/>
    <x v="4"/>
    <m/>
    <n v="0.45"/>
    <n v="7.87"/>
  </r>
  <r>
    <x v="1"/>
    <x v="3"/>
    <n v="2"/>
    <n v="15"/>
    <n v="13"/>
    <x v="1"/>
    <x v="4"/>
    <n v="204"/>
    <n v="5"/>
    <x v="4"/>
    <m/>
    <n v="0.55000000000000004"/>
    <n v="7.55"/>
  </r>
  <r>
    <x v="0"/>
    <x v="3"/>
    <n v="2"/>
    <n v="16"/>
    <n v="4"/>
    <x v="1"/>
    <x v="2"/>
    <n v="104"/>
    <n v="5"/>
    <x v="4"/>
    <m/>
    <n v="0.47"/>
    <n v="6.27"/>
  </r>
  <r>
    <x v="0"/>
    <x v="4"/>
    <n v="3"/>
    <n v="17"/>
    <n v="5"/>
    <x v="0"/>
    <x v="2"/>
    <n v="105"/>
    <n v="5"/>
    <x v="4"/>
    <m/>
    <n v="0.57999999999999996"/>
    <n v="4.34"/>
  </r>
  <r>
    <x v="1"/>
    <x v="4"/>
    <n v="3"/>
    <n v="18"/>
    <n v="12"/>
    <x v="0"/>
    <x v="0"/>
    <n v="205"/>
    <n v="5"/>
    <x v="4"/>
    <m/>
    <n v="0.72"/>
    <n v="7.88"/>
  </r>
  <r>
    <x v="2"/>
    <x v="4"/>
    <n v="3"/>
    <n v="19"/>
    <n v="21"/>
    <x v="0"/>
    <x v="3"/>
    <n v="305"/>
    <n v="5"/>
    <x v="4"/>
    <m/>
    <n v="0.51"/>
    <n v="10.199999999999999"/>
  </r>
  <r>
    <x v="3"/>
    <x v="4"/>
    <n v="3"/>
    <n v="20"/>
    <n v="28"/>
    <x v="0"/>
    <x v="1"/>
    <n v="405"/>
    <n v="5"/>
    <x v="4"/>
    <m/>
    <n v="0.71"/>
    <n v="5.55"/>
  </r>
  <r>
    <x v="3"/>
    <x v="5"/>
    <n v="3"/>
    <n v="21"/>
    <n v="27"/>
    <x v="1"/>
    <x v="2"/>
    <n v="406"/>
    <n v="5"/>
    <x v="4"/>
    <m/>
    <n v="0.51"/>
    <n v="4.4400000000000004"/>
  </r>
  <r>
    <x v="2"/>
    <x v="5"/>
    <n v="3"/>
    <n v="22"/>
    <n v="22"/>
    <x v="1"/>
    <x v="4"/>
    <n v="306"/>
    <n v="5"/>
    <x v="4"/>
    <m/>
    <n v="0.56000000000000005"/>
    <n v="4.3899999999999997"/>
  </r>
  <r>
    <x v="1"/>
    <x v="5"/>
    <n v="3"/>
    <n v="23"/>
    <n v="11"/>
    <x v="1"/>
    <x v="5"/>
    <n v="206"/>
    <n v="5"/>
    <x v="4"/>
    <m/>
    <n v="0.48"/>
    <n v="5.46"/>
  </r>
  <r>
    <x v="0"/>
    <x v="5"/>
    <n v="3"/>
    <n v="24"/>
    <n v="6"/>
    <x v="1"/>
    <x v="3"/>
    <n v="106"/>
    <n v="5"/>
    <x v="4"/>
    <m/>
    <n v="0.45"/>
    <n v="5.49"/>
  </r>
  <r>
    <x v="0"/>
    <x v="6"/>
    <n v="4"/>
    <n v="25"/>
    <n v="7"/>
    <x v="0"/>
    <x v="3"/>
    <n v="107"/>
    <n v="5"/>
    <x v="4"/>
    <m/>
    <n v="0.66"/>
    <n v="5.72"/>
  </r>
  <r>
    <x v="1"/>
    <x v="6"/>
    <n v="4"/>
    <n v="26"/>
    <n v="10"/>
    <x v="0"/>
    <x v="2"/>
    <n v="207"/>
    <n v="5"/>
    <x v="4"/>
    <m/>
    <n v="0.57999999999999996"/>
    <n v="9"/>
  </r>
  <r>
    <x v="2"/>
    <x v="6"/>
    <n v="4"/>
    <n v="27"/>
    <n v="23"/>
    <x v="0"/>
    <x v="1"/>
    <n v="307"/>
    <n v="5"/>
    <x v="4"/>
    <m/>
    <n v="0.63"/>
    <n v="8.57"/>
  </r>
  <r>
    <x v="3"/>
    <x v="6"/>
    <n v="4"/>
    <n v="28"/>
    <n v="26"/>
    <x v="0"/>
    <x v="0"/>
    <n v="407"/>
    <n v="5"/>
    <x v="4"/>
    <m/>
    <n v="0.61"/>
    <n v="5.13"/>
  </r>
  <r>
    <x v="3"/>
    <x v="7"/>
    <n v="4"/>
    <n v="29"/>
    <n v="25"/>
    <x v="1"/>
    <x v="5"/>
    <n v="408"/>
    <n v="5"/>
    <x v="4"/>
    <m/>
    <n v="0.54"/>
    <n v="4.79"/>
  </r>
  <r>
    <x v="2"/>
    <x v="7"/>
    <n v="4"/>
    <n v="30"/>
    <n v="24"/>
    <x v="1"/>
    <x v="2"/>
    <n v="308"/>
    <n v="5"/>
    <x v="4"/>
    <m/>
    <n v="0.51"/>
    <n v="10.53"/>
  </r>
  <r>
    <x v="1"/>
    <x v="7"/>
    <n v="4"/>
    <n v="31"/>
    <n v="9"/>
    <x v="1"/>
    <x v="3"/>
    <n v="208"/>
    <n v="5"/>
    <x v="4"/>
    <m/>
    <n v="0.43"/>
    <n v="5.55"/>
  </r>
  <r>
    <x v="0"/>
    <x v="7"/>
    <n v="4"/>
    <n v="32"/>
    <n v="8"/>
    <x v="1"/>
    <x v="4"/>
    <n v="108"/>
    <n v="5"/>
    <x v="4"/>
    <m/>
    <n v="0.59"/>
    <n v="5.56"/>
  </r>
  <r>
    <x v="0"/>
    <x v="0"/>
    <n v="1"/>
    <n v="1"/>
    <n v="1"/>
    <x v="0"/>
    <x v="0"/>
    <n v="101"/>
    <n v="6"/>
    <x v="5"/>
    <m/>
    <n v="0.71"/>
    <n v="4.7"/>
  </r>
  <r>
    <x v="1"/>
    <x v="0"/>
    <n v="1"/>
    <n v="2"/>
    <n v="16"/>
    <x v="0"/>
    <x v="1"/>
    <n v="201"/>
    <n v="6"/>
    <x v="5"/>
    <m/>
    <n v="0.71"/>
    <n v="5.9"/>
  </r>
  <r>
    <x v="2"/>
    <x v="0"/>
    <n v="1"/>
    <n v="3"/>
    <n v="17"/>
    <x v="0"/>
    <x v="2"/>
    <n v="301"/>
    <n v="6"/>
    <x v="5"/>
    <m/>
    <n v="0.63"/>
    <n v="6.45"/>
  </r>
  <r>
    <x v="3"/>
    <x v="0"/>
    <n v="1"/>
    <n v="4"/>
    <n v="32"/>
    <x v="0"/>
    <x v="3"/>
    <n v="401"/>
    <n v="6"/>
    <x v="5"/>
    <m/>
    <n v="0.59"/>
    <n v="6.85"/>
  </r>
  <r>
    <x v="3"/>
    <x v="1"/>
    <n v="1"/>
    <n v="5"/>
    <n v="31"/>
    <x v="1"/>
    <x v="4"/>
    <n v="402"/>
    <n v="6"/>
    <x v="5"/>
    <m/>
    <n v="0.65"/>
    <n v="4.47"/>
  </r>
  <r>
    <x v="2"/>
    <x v="1"/>
    <n v="1"/>
    <n v="6"/>
    <n v="18"/>
    <x v="1"/>
    <x v="3"/>
    <n v="302"/>
    <n v="6"/>
    <x v="5"/>
    <m/>
    <n v="0.45"/>
    <n v="6.08"/>
  </r>
  <r>
    <x v="1"/>
    <x v="1"/>
    <n v="1"/>
    <n v="7"/>
    <n v="15"/>
    <x v="1"/>
    <x v="2"/>
    <n v="202"/>
    <n v="6"/>
    <x v="5"/>
    <m/>
    <n v="0.52"/>
    <n v="5.54"/>
  </r>
  <r>
    <x v="0"/>
    <x v="1"/>
    <n v="1"/>
    <n v="8"/>
    <n v="2"/>
    <x v="1"/>
    <x v="5"/>
    <n v="102"/>
    <n v="6"/>
    <x v="5"/>
    <m/>
    <n v="0.64"/>
    <n v="4.38"/>
  </r>
  <r>
    <x v="0"/>
    <x v="2"/>
    <n v="2"/>
    <n v="9"/>
    <n v="3"/>
    <x v="0"/>
    <x v="1"/>
    <n v="103"/>
    <n v="6"/>
    <x v="5"/>
    <m/>
    <n v="0.68"/>
    <n v="2.17"/>
  </r>
  <r>
    <x v="1"/>
    <x v="2"/>
    <n v="2"/>
    <n v="10"/>
    <n v="14"/>
    <x v="0"/>
    <x v="3"/>
    <n v="203"/>
    <n v="6"/>
    <x v="5"/>
    <m/>
    <n v="0.6"/>
    <n v="5.76"/>
  </r>
  <r>
    <x v="2"/>
    <x v="2"/>
    <n v="2"/>
    <n v="11"/>
    <n v="19"/>
    <x v="0"/>
    <x v="0"/>
    <n v="303"/>
    <n v="6"/>
    <x v="5"/>
    <m/>
    <n v="0.68"/>
    <n v="5.0199999999999996"/>
  </r>
  <r>
    <x v="3"/>
    <x v="2"/>
    <n v="2"/>
    <n v="12"/>
    <n v="30"/>
    <x v="0"/>
    <x v="2"/>
    <n v="403"/>
    <n v="6"/>
    <x v="5"/>
    <m/>
    <n v="0.6"/>
    <n v="6.51"/>
  </r>
  <r>
    <x v="3"/>
    <x v="3"/>
    <n v="2"/>
    <n v="13"/>
    <n v="29"/>
    <x v="1"/>
    <x v="3"/>
    <n v="404"/>
    <n v="6"/>
    <x v="5"/>
    <m/>
    <n v="0.53"/>
    <n v="5.45"/>
  </r>
  <r>
    <x v="2"/>
    <x v="3"/>
    <n v="2"/>
    <n v="14"/>
    <n v="20"/>
    <x v="1"/>
    <x v="5"/>
    <n v="304"/>
    <n v="6"/>
    <x v="5"/>
    <m/>
    <n v="0.55000000000000004"/>
    <n v="7.13"/>
  </r>
  <r>
    <x v="1"/>
    <x v="3"/>
    <n v="2"/>
    <n v="15"/>
    <n v="13"/>
    <x v="1"/>
    <x v="4"/>
    <n v="204"/>
    <n v="6"/>
    <x v="5"/>
    <m/>
    <n v="0.62"/>
    <n v="4.79"/>
  </r>
  <r>
    <x v="0"/>
    <x v="3"/>
    <n v="2"/>
    <n v="16"/>
    <n v="4"/>
    <x v="1"/>
    <x v="2"/>
    <n v="104"/>
    <n v="6"/>
    <x v="5"/>
    <m/>
    <n v="0.54"/>
    <n v="4.82"/>
  </r>
  <r>
    <x v="0"/>
    <x v="4"/>
    <n v="3"/>
    <n v="17"/>
    <n v="5"/>
    <x v="0"/>
    <x v="2"/>
    <n v="105"/>
    <n v="6"/>
    <x v="5"/>
    <m/>
    <n v="0.56999999999999995"/>
    <n v="4.5999999999999996"/>
  </r>
  <r>
    <x v="1"/>
    <x v="4"/>
    <n v="3"/>
    <n v="18"/>
    <n v="12"/>
    <x v="0"/>
    <x v="0"/>
    <n v="205"/>
    <n v="6"/>
    <x v="5"/>
    <m/>
    <n v="0.69"/>
    <n v="5.47"/>
  </r>
  <r>
    <x v="2"/>
    <x v="4"/>
    <n v="3"/>
    <n v="19"/>
    <n v="21"/>
    <x v="0"/>
    <x v="3"/>
    <n v="305"/>
    <n v="6"/>
    <x v="5"/>
    <m/>
    <n v="0.53"/>
    <n v="9.66"/>
  </r>
  <r>
    <x v="3"/>
    <x v="4"/>
    <n v="3"/>
    <n v="20"/>
    <n v="28"/>
    <x v="0"/>
    <x v="1"/>
    <n v="405"/>
    <n v="6"/>
    <x v="5"/>
    <m/>
    <n v="0.73"/>
    <n v="2.76"/>
  </r>
  <r>
    <x v="3"/>
    <x v="5"/>
    <n v="3"/>
    <n v="21"/>
    <n v="27"/>
    <x v="1"/>
    <x v="2"/>
    <n v="406"/>
    <n v="6"/>
    <x v="5"/>
    <m/>
    <n v="0.59"/>
    <n v="3.93"/>
  </r>
  <r>
    <x v="2"/>
    <x v="5"/>
    <n v="3"/>
    <n v="22"/>
    <n v="22"/>
    <x v="1"/>
    <x v="4"/>
    <n v="306"/>
    <n v="6"/>
    <x v="5"/>
    <m/>
    <n v="0.66"/>
    <n v="3.75"/>
  </r>
  <r>
    <x v="1"/>
    <x v="5"/>
    <n v="3"/>
    <n v="23"/>
    <n v="11"/>
    <x v="1"/>
    <x v="5"/>
    <n v="206"/>
    <n v="6"/>
    <x v="5"/>
    <m/>
    <n v="0.56999999999999995"/>
    <n v="5.49"/>
  </r>
  <r>
    <x v="0"/>
    <x v="5"/>
    <n v="3"/>
    <n v="24"/>
    <n v="6"/>
    <x v="1"/>
    <x v="3"/>
    <n v="106"/>
    <n v="6"/>
    <x v="5"/>
    <m/>
    <n v="0.54"/>
    <n v="4.82"/>
  </r>
  <r>
    <x v="0"/>
    <x v="6"/>
    <n v="4"/>
    <n v="25"/>
    <n v="7"/>
    <x v="0"/>
    <x v="3"/>
    <n v="107"/>
    <n v="6"/>
    <x v="5"/>
    <m/>
    <n v="0.62"/>
    <n v="8.4"/>
  </r>
  <r>
    <x v="1"/>
    <x v="6"/>
    <n v="4"/>
    <n v="26"/>
    <n v="10"/>
    <x v="0"/>
    <x v="2"/>
    <n v="207"/>
    <n v="6"/>
    <x v="5"/>
    <m/>
    <n v="0.61"/>
    <n v="6.6"/>
  </r>
  <r>
    <x v="2"/>
    <x v="6"/>
    <n v="4"/>
    <n v="27"/>
    <n v="23"/>
    <x v="0"/>
    <x v="1"/>
    <n v="307"/>
    <n v="6"/>
    <x v="5"/>
    <m/>
    <n v="0.62"/>
    <n v="7.3"/>
  </r>
  <r>
    <x v="3"/>
    <x v="6"/>
    <n v="4"/>
    <n v="28"/>
    <n v="26"/>
    <x v="0"/>
    <x v="0"/>
    <n v="407"/>
    <n v="6"/>
    <x v="5"/>
    <m/>
    <n v="0.7"/>
    <n v="4.3600000000000003"/>
  </r>
  <r>
    <x v="3"/>
    <x v="7"/>
    <n v="4"/>
    <n v="29"/>
    <n v="25"/>
    <x v="1"/>
    <x v="5"/>
    <n v="408"/>
    <n v="6"/>
    <x v="5"/>
    <m/>
    <n v="0.62"/>
    <n v="5.1100000000000003"/>
  </r>
  <r>
    <x v="2"/>
    <x v="7"/>
    <n v="4"/>
    <n v="30"/>
    <n v="24"/>
    <x v="1"/>
    <x v="2"/>
    <n v="308"/>
    <n v="6"/>
    <x v="5"/>
    <m/>
    <n v="0.53"/>
    <n v="7.19"/>
  </r>
  <r>
    <x v="1"/>
    <x v="7"/>
    <n v="4"/>
    <n v="31"/>
    <n v="9"/>
    <x v="1"/>
    <x v="3"/>
    <n v="208"/>
    <n v="6"/>
    <x v="5"/>
    <m/>
    <n v="0.5"/>
    <n v="4.96"/>
  </r>
  <r>
    <x v="0"/>
    <x v="7"/>
    <n v="4"/>
    <n v="32"/>
    <n v="8"/>
    <x v="1"/>
    <x v="4"/>
    <n v="108"/>
    <n v="6"/>
    <x v="5"/>
    <m/>
    <n v="0.67"/>
    <n v="4.0599999999999996"/>
  </r>
  <r>
    <x v="0"/>
    <x v="0"/>
    <n v="1"/>
    <n v="1"/>
    <n v="1"/>
    <x v="0"/>
    <x v="0"/>
    <n v="101"/>
    <n v="7"/>
    <x v="6"/>
    <m/>
    <n v="0.68"/>
    <n v="5.98"/>
  </r>
  <r>
    <x v="1"/>
    <x v="0"/>
    <n v="1"/>
    <n v="2"/>
    <n v="16"/>
    <x v="0"/>
    <x v="1"/>
    <n v="201"/>
    <n v="7"/>
    <x v="6"/>
    <m/>
    <n v="0.63"/>
    <n v="9.17"/>
  </r>
  <r>
    <x v="2"/>
    <x v="0"/>
    <n v="1"/>
    <n v="3"/>
    <n v="17"/>
    <x v="0"/>
    <x v="2"/>
    <n v="301"/>
    <n v="7"/>
    <x v="6"/>
    <m/>
    <n v="0.5"/>
    <n v="5.3"/>
  </r>
  <r>
    <x v="3"/>
    <x v="0"/>
    <n v="1"/>
    <n v="4"/>
    <n v="32"/>
    <x v="0"/>
    <x v="3"/>
    <n v="401"/>
    <n v="7"/>
    <x v="6"/>
    <m/>
    <n v="0.51"/>
    <n v="3.99"/>
  </r>
  <r>
    <x v="3"/>
    <x v="1"/>
    <n v="1"/>
    <n v="5"/>
    <n v="31"/>
    <x v="1"/>
    <x v="4"/>
    <n v="402"/>
    <n v="7"/>
    <x v="6"/>
    <m/>
    <n v="0.79"/>
    <n v="2.35"/>
  </r>
  <r>
    <x v="2"/>
    <x v="1"/>
    <n v="1"/>
    <n v="6"/>
    <n v="18"/>
    <x v="1"/>
    <x v="3"/>
    <n v="302"/>
    <n v="7"/>
    <x v="6"/>
    <m/>
    <n v="0.56000000000000005"/>
    <n v="5.48"/>
  </r>
  <r>
    <x v="1"/>
    <x v="1"/>
    <n v="1"/>
    <n v="7"/>
    <n v="15"/>
    <x v="1"/>
    <x v="2"/>
    <n v="202"/>
    <n v="7"/>
    <x v="6"/>
    <m/>
    <n v="0.67"/>
    <n v="3.71"/>
  </r>
  <r>
    <x v="0"/>
    <x v="1"/>
    <n v="1"/>
    <n v="8"/>
    <n v="2"/>
    <x v="1"/>
    <x v="5"/>
    <n v="102"/>
    <n v="7"/>
    <x v="6"/>
    <m/>
    <n v="0.73"/>
    <n v="4.9400000000000004"/>
  </r>
  <r>
    <x v="0"/>
    <x v="2"/>
    <n v="2"/>
    <n v="9"/>
    <n v="3"/>
    <x v="0"/>
    <x v="1"/>
    <n v="103"/>
    <n v="7"/>
    <x v="6"/>
    <m/>
    <n v="0.6"/>
    <n v="3.91"/>
  </r>
  <r>
    <x v="1"/>
    <x v="2"/>
    <n v="2"/>
    <n v="10"/>
    <n v="14"/>
    <x v="0"/>
    <x v="3"/>
    <n v="203"/>
    <n v="7"/>
    <x v="6"/>
    <m/>
    <n v="0.62"/>
    <n v="8.5"/>
  </r>
  <r>
    <x v="2"/>
    <x v="2"/>
    <n v="2"/>
    <n v="11"/>
    <n v="19"/>
    <x v="0"/>
    <x v="0"/>
    <n v="303"/>
    <n v="7"/>
    <x v="6"/>
    <m/>
    <n v="0.64"/>
    <n v="9.43"/>
  </r>
  <r>
    <x v="3"/>
    <x v="2"/>
    <n v="2"/>
    <n v="12"/>
    <n v="30"/>
    <x v="0"/>
    <x v="2"/>
    <n v="403"/>
    <n v="7"/>
    <x v="6"/>
    <m/>
    <n v="0.61"/>
    <n v="8.1300000000000008"/>
  </r>
  <r>
    <x v="3"/>
    <x v="3"/>
    <n v="2"/>
    <n v="13"/>
    <n v="29"/>
    <x v="1"/>
    <x v="3"/>
    <n v="404"/>
    <n v="7"/>
    <x v="6"/>
    <m/>
    <n v="0.65"/>
    <n v="4.12"/>
  </r>
  <r>
    <x v="2"/>
    <x v="3"/>
    <n v="2"/>
    <n v="14"/>
    <n v="20"/>
    <x v="1"/>
    <x v="5"/>
    <n v="304"/>
    <n v="7"/>
    <x v="6"/>
    <m/>
    <n v="0.71"/>
    <n v="4.62"/>
  </r>
  <r>
    <x v="1"/>
    <x v="3"/>
    <n v="2"/>
    <n v="15"/>
    <n v="13"/>
    <x v="1"/>
    <x v="4"/>
    <n v="204"/>
    <n v="7"/>
    <x v="6"/>
    <m/>
    <n v="0.77"/>
    <n v="2.46"/>
  </r>
  <r>
    <x v="0"/>
    <x v="3"/>
    <n v="2"/>
    <n v="16"/>
    <n v="4"/>
    <x v="1"/>
    <x v="2"/>
    <n v="104"/>
    <n v="7"/>
    <x v="6"/>
    <m/>
    <n v="0.64"/>
    <n v="2.46"/>
  </r>
  <r>
    <x v="0"/>
    <x v="4"/>
    <n v="3"/>
    <n v="17"/>
    <n v="5"/>
    <x v="0"/>
    <x v="2"/>
    <n v="105"/>
    <n v="7"/>
    <x v="6"/>
    <m/>
    <n v="0.69"/>
    <n v="5.57"/>
  </r>
  <r>
    <x v="1"/>
    <x v="4"/>
    <n v="3"/>
    <n v="18"/>
    <n v="12"/>
    <x v="0"/>
    <x v="0"/>
    <n v="205"/>
    <n v="7"/>
    <x v="6"/>
    <m/>
    <n v="0.7"/>
    <n v="5.78"/>
  </r>
  <r>
    <x v="2"/>
    <x v="4"/>
    <n v="3"/>
    <n v="19"/>
    <n v="21"/>
    <x v="0"/>
    <x v="3"/>
    <n v="305"/>
    <n v="7"/>
    <x v="6"/>
    <m/>
    <n v="0.56000000000000005"/>
    <n v="6.99"/>
  </r>
  <r>
    <x v="3"/>
    <x v="4"/>
    <n v="3"/>
    <n v="20"/>
    <n v="28"/>
    <x v="0"/>
    <x v="1"/>
    <n v="405"/>
    <n v="7"/>
    <x v="6"/>
    <m/>
    <n v="0.68"/>
    <n v="5.15"/>
  </r>
  <r>
    <x v="3"/>
    <x v="5"/>
    <n v="3"/>
    <n v="21"/>
    <n v="27"/>
    <x v="1"/>
    <x v="2"/>
    <n v="406"/>
    <n v="7"/>
    <x v="6"/>
    <m/>
    <n v="0.66"/>
    <n v="4.2699999999999996"/>
  </r>
  <r>
    <x v="2"/>
    <x v="5"/>
    <n v="3"/>
    <n v="22"/>
    <n v="22"/>
    <x v="1"/>
    <x v="4"/>
    <n v="306"/>
    <n v="7"/>
    <x v="6"/>
    <m/>
    <n v="0.76"/>
    <n v="2.38"/>
  </r>
  <r>
    <x v="1"/>
    <x v="5"/>
    <n v="3"/>
    <n v="23"/>
    <n v="11"/>
    <x v="1"/>
    <x v="5"/>
    <n v="206"/>
    <n v="7"/>
    <x v="6"/>
    <m/>
    <n v="0.69"/>
    <n v="3.13"/>
  </r>
  <r>
    <x v="0"/>
    <x v="5"/>
    <n v="3"/>
    <n v="24"/>
    <n v="6"/>
    <x v="1"/>
    <x v="3"/>
    <n v="106"/>
    <n v="7"/>
    <x v="6"/>
    <m/>
    <n v="0.64"/>
    <n v="5.67"/>
  </r>
  <r>
    <x v="0"/>
    <x v="6"/>
    <n v="4"/>
    <n v="25"/>
    <n v="7"/>
    <x v="0"/>
    <x v="3"/>
    <n v="107"/>
    <n v="7"/>
    <x v="6"/>
    <m/>
    <n v="0.53"/>
    <n v="7.89"/>
  </r>
  <r>
    <x v="1"/>
    <x v="6"/>
    <n v="4"/>
    <n v="26"/>
    <n v="10"/>
    <x v="0"/>
    <x v="2"/>
    <n v="207"/>
    <n v="7"/>
    <x v="6"/>
    <m/>
    <n v="0.57999999999999996"/>
    <n v="10.99"/>
  </r>
  <r>
    <x v="2"/>
    <x v="6"/>
    <n v="4"/>
    <n v="27"/>
    <n v="23"/>
    <x v="0"/>
    <x v="1"/>
    <n v="307"/>
    <n v="7"/>
    <x v="6"/>
    <m/>
    <n v="0.59"/>
    <n v="8.3699999999999992"/>
  </r>
  <r>
    <x v="3"/>
    <x v="6"/>
    <n v="4"/>
    <n v="28"/>
    <n v="26"/>
    <x v="0"/>
    <x v="0"/>
    <n v="407"/>
    <n v="7"/>
    <x v="6"/>
    <m/>
    <n v="0.57999999999999996"/>
    <n v="6.53"/>
  </r>
  <r>
    <x v="3"/>
    <x v="7"/>
    <n v="4"/>
    <n v="29"/>
    <n v="25"/>
    <x v="1"/>
    <x v="5"/>
    <n v="408"/>
    <n v="7"/>
    <x v="6"/>
    <m/>
    <n v="0.71"/>
    <n v="1.9"/>
  </r>
  <r>
    <x v="2"/>
    <x v="7"/>
    <n v="4"/>
    <n v="30"/>
    <n v="24"/>
    <x v="1"/>
    <x v="2"/>
    <n v="308"/>
    <n v="7"/>
    <x v="6"/>
    <m/>
    <n v="0.6"/>
    <n v="8.2100000000000009"/>
  </r>
  <r>
    <x v="1"/>
    <x v="7"/>
    <n v="4"/>
    <n v="31"/>
    <n v="9"/>
    <x v="1"/>
    <x v="3"/>
    <n v="208"/>
    <n v="7"/>
    <x v="6"/>
    <m/>
    <n v="0.61"/>
    <n v="2.92"/>
  </r>
  <r>
    <x v="0"/>
    <x v="7"/>
    <n v="4"/>
    <n v="32"/>
    <n v="8"/>
    <x v="1"/>
    <x v="4"/>
    <n v="108"/>
    <n v="7"/>
    <x v="6"/>
    <m/>
    <n v="0.78"/>
    <n v="2.2999999999999998"/>
  </r>
  <r>
    <x v="0"/>
    <x v="0"/>
    <n v="1"/>
    <n v="1"/>
    <n v="1"/>
    <x v="0"/>
    <x v="0"/>
    <n v="101"/>
    <n v="8"/>
    <x v="7"/>
    <m/>
    <n v="0.81"/>
    <n v="4.2699999999999996"/>
  </r>
  <r>
    <x v="1"/>
    <x v="0"/>
    <n v="1"/>
    <n v="2"/>
    <n v="16"/>
    <x v="0"/>
    <x v="1"/>
    <n v="201"/>
    <n v="8"/>
    <x v="7"/>
    <m/>
    <n v="0.84"/>
    <n v="1.93"/>
  </r>
  <r>
    <x v="2"/>
    <x v="0"/>
    <n v="1"/>
    <n v="3"/>
    <n v="17"/>
    <x v="0"/>
    <x v="2"/>
    <n v="301"/>
    <n v="8"/>
    <x v="7"/>
    <m/>
    <n v="0.81"/>
    <n v="3.11"/>
  </r>
  <r>
    <x v="3"/>
    <x v="0"/>
    <n v="1"/>
    <n v="4"/>
    <n v="32"/>
    <x v="0"/>
    <x v="3"/>
    <n v="401"/>
    <n v="8"/>
    <x v="7"/>
    <m/>
    <n v="0.81"/>
    <n v="1.5"/>
  </r>
  <r>
    <x v="3"/>
    <x v="1"/>
    <n v="1"/>
    <n v="5"/>
    <n v="31"/>
    <x v="1"/>
    <x v="4"/>
    <n v="402"/>
    <n v="8"/>
    <x v="7"/>
    <m/>
    <n v="0.83"/>
    <n v="3.41"/>
  </r>
  <r>
    <x v="2"/>
    <x v="1"/>
    <n v="1"/>
    <n v="6"/>
    <n v="18"/>
    <x v="1"/>
    <x v="3"/>
    <n v="302"/>
    <n v="8"/>
    <x v="7"/>
    <m/>
    <n v="0.76"/>
    <n v="3.71"/>
  </r>
  <r>
    <x v="1"/>
    <x v="1"/>
    <n v="1"/>
    <n v="7"/>
    <n v="15"/>
    <x v="1"/>
    <x v="2"/>
    <n v="202"/>
    <n v="8"/>
    <x v="7"/>
    <m/>
    <n v="0.81"/>
    <n v="1.87"/>
  </r>
  <r>
    <x v="0"/>
    <x v="1"/>
    <n v="1"/>
    <n v="8"/>
    <n v="2"/>
    <x v="1"/>
    <x v="5"/>
    <n v="102"/>
    <n v="8"/>
    <x v="7"/>
    <m/>
    <n v="0.85"/>
    <n v="1.51"/>
  </r>
  <r>
    <x v="0"/>
    <x v="2"/>
    <n v="2"/>
    <n v="9"/>
    <n v="3"/>
    <x v="0"/>
    <x v="1"/>
    <n v="103"/>
    <n v="8"/>
    <x v="7"/>
    <m/>
    <n v="0.86"/>
    <n v="0.83"/>
  </r>
  <r>
    <x v="1"/>
    <x v="2"/>
    <n v="2"/>
    <n v="10"/>
    <n v="14"/>
    <x v="0"/>
    <x v="3"/>
    <n v="203"/>
    <n v="8"/>
    <x v="7"/>
    <m/>
    <n v="0.79"/>
    <n v="2.0099999999999998"/>
  </r>
  <r>
    <x v="2"/>
    <x v="2"/>
    <n v="2"/>
    <n v="11"/>
    <n v="19"/>
    <x v="0"/>
    <x v="0"/>
    <n v="303"/>
    <n v="8"/>
    <x v="7"/>
    <m/>
    <n v="0.79"/>
    <n v="2.21"/>
  </r>
  <r>
    <x v="3"/>
    <x v="2"/>
    <n v="2"/>
    <n v="12"/>
    <n v="30"/>
    <x v="0"/>
    <x v="2"/>
    <n v="403"/>
    <n v="8"/>
    <x v="7"/>
    <m/>
    <n v="0.81"/>
    <n v="1.8"/>
  </r>
  <r>
    <x v="3"/>
    <x v="3"/>
    <n v="2"/>
    <n v="13"/>
    <n v="29"/>
    <x v="1"/>
    <x v="3"/>
    <n v="404"/>
    <n v="8"/>
    <x v="7"/>
    <m/>
    <n v="0.77"/>
    <n v="4.09"/>
  </r>
  <r>
    <x v="2"/>
    <x v="3"/>
    <n v="2"/>
    <n v="14"/>
    <n v="20"/>
    <x v="1"/>
    <x v="5"/>
    <n v="304"/>
    <n v="8"/>
    <x v="7"/>
    <m/>
    <n v="0.83"/>
    <n v="1.96"/>
  </r>
  <r>
    <x v="1"/>
    <x v="3"/>
    <n v="2"/>
    <n v="15"/>
    <n v="13"/>
    <x v="1"/>
    <x v="4"/>
    <n v="204"/>
    <n v="8"/>
    <x v="7"/>
    <m/>
    <n v="0.83"/>
    <n v="1.87"/>
  </r>
  <r>
    <x v="0"/>
    <x v="3"/>
    <n v="2"/>
    <n v="16"/>
    <n v="4"/>
    <x v="1"/>
    <x v="2"/>
    <n v="104"/>
    <n v="8"/>
    <x v="7"/>
    <m/>
    <n v="0.81"/>
    <n v="1.1100000000000001"/>
  </r>
  <r>
    <x v="0"/>
    <x v="4"/>
    <n v="3"/>
    <n v="17"/>
    <n v="5"/>
    <x v="0"/>
    <x v="2"/>
    <n v="105"/>
    <n v="8"/>
    <x v="7"/>
    <m/>
    <n v="0.81"/>
    <n v="2.2599999999999998"/>
  </r>
  <r>
    <x v="1"/>
    <x v="4"/>
    <n v="3"/>
    <n v="18"/>
    <n v="12"/>
    <x v="0"/>
    <x v="0"/>
    <n v="205"/>
    <n v="8"/>
    <x v="7"/>
    <m/>
    <n v="0.8"/>
    <n v="3.79"/>
  </r>
  <r>
    <x v="2"/>
    <x v="4"/>
    <n v="3"/>
    <n v="19"/>
    <n v="21"/>
    <x v="0"/>
    <x v="3"/>
    <n v="305"/>
    <n v="8"/>
    <x v="7"/>
    <m/>
    <n v="0.8"/>
    <n v="1.06"/>
  </r>
  <r>
    <x v="3"/>
    <x v="4"/>
    <n v="3"/>
    <n v="20"/>
    <n v="28"/>
    <x v="0"/>
    <x v="1"/>
    <n v="405"/>
    <n v="8"/>
    <x v="7"/>
    <m/>
    <n v="0.86"/>
    <n v="1.1399999999999999"/>
  </r>
  <r>
    <x v="3"/>
    <x v="5"/>
    <n v="3"/>
    <n v="21"/>
    <n v="27"/>
    <x v="1"/>
    <x v="2"/>
    <n v="406"/>
    <n v="8"/>
    <x v="7"/>
    <m/>
    <n v="0.79"/>
    <n v="3.97"/>
  </r>
  <r>
    <x v="2"/>
    <x v="5"/>
    <n v="3"/>
    <n v="22"/>
    <n v="22"/>
    <x v="1"/>
    <x v="4"/>
    <n v="306"/>
    <n v="8"/>
    <x v="7"/>
    <m/>
    <n v="0.82"/>
    <n v="2.41"/>
  </r>
  <r>
    <x v="1"/>
    <x v="5"/>
    <n v="3"/>
    <n v="23"/>
    <n v="11"/>
    <x v="1"/>
    <x v="5"/>
    <n v="206"/>
    <n v="8"/>
    <x v="7"/>
    <m/>
    <n v="0.83"/>
    <n v="2.73"/>
  </r>
  <r>
    <x v="0"/>
    <x v="5"/>
    <n v="3"/>
    <n v="24"/>
    <n v="6"/>
    <x v="1"/>
    <x v="3"/>
    <n v="106"/>
    <n v="8"/>
    <x v="7"/>
    <m/>
    <n v="0.79"/>
    <n v="3.46"/>
  </r>
  <r>
    <x v="0"/>
    <x v="6"/>
    <n v="4"/>
    <n v="25"/>
    <n v="7"/>
    <x v="0"/>
    <x v="3"/>
    <n v="107"/>
    <n v="8"/>
    <x v="7"/>
    <m/>
    <n v="0.81"/>
    <n v="2.5099999999999998"/>
  </r>
  <r>
    <x v="1"/>
    <x v="6"/>
    <n v="4"/>
    <n v="26"/>
    <n v="10"/>
    <x v="0"/>
    <x v="2"/>
    <n v="207"/>
    <n v="8"/>
    <x v="7"/>
    <m/>
    <n v="0.78"/>
    <n v="3.17"/>
  </r>
  <r>
    <x v="2"/>
    <x v="6"/>
    <n v="4"/>
    <n v="27"/>
    <n v="23"/>
    <x v="0"/>
    <x v="1"/>
    <n v="307"/>
    <n v="8"/>
    <x v="7"/>
    <m/>
    <n v="0.81"/>
    <n v="3.08"/>
  </r>
  <r>
    <x v="3"/>
    <x v="6"/>
    <n v="4"/>
    <n v="28"/>
    <n v="26"/>
    <x v="0"/>
    <x v="0"/>
    <n v="407"/>
    <n v="8"/>
    <x v="7"/>
    <m/>
    <n v="0.8"/>
    <n v="4.2699999999999996"/>
  </r>
  <r>
    <x v="3"/>
    <x v="7"/>
    <n v="4"/>
    <n v="29"/>
    <n v="25"/>
    <x v="1"/>
    <x v="5"/>
    <n v="408"/>
    <n v="8"/>
    <x v="7"/>
    <m/>
    <n v="0.83"/>
    <n v="1.92"/>
  </r>
  <r>
    <x v="2"/>
    <x v="7"/>
    <n v="4"/>
    <n v="30"/>
    <n v="24"/>
    <x v="1"/>
    <x v="2"/>
    <n v="308"/>
    <n v="8"/>
    <x v="7"/>
    <m/>
    <n v="0.78"/>
    <n v="4.54"/>
  </r>
  <r>
    <x v="1"/>
    <x v="7"/>
    <n v="4"/>
    <n v="31"/>
    <n v="9"/>
    <x v="1"/>
    <x v="3"/>
    <n v="208"/>
    <n v="8"/>
    <x v="7"/>
    <m/>
    <n v="0.79"/>
    <n v="2.66"/>
  </r>
  <r>
    <x v="0"/>
    <x v="7"/>
    <n v="4"/>
    <n v="32"/>
    <n v="8"/>
    <x v="1"/>
    <x v="4"/>
    <n v="108"/>
    <n v="8"/>
    <x v="7"/>
    <m/>
    <n v="0.85"/>
    <n v="1"/>
  </r>
  <r>
    <x v="0"/>
    <x v="0"/>
    <n v="1"/>
    <n v="1"/>
    <n v="1"/>
    <x v="0"/>
    <x v="0"/>
    <n v="101"/>
    <n v="9"/>
    <x v="8"/>
    <m/>
    <n v="0.81"/>
    <n v="4.76"/>
  </r>
  <r>
    <x v="1"/>
    <x v="0"/>
    <n v="1"/>
    <n v="2"/>
    <n v="16"/>
    <x v="0"/>
    <x v="1"/>
    <n v="201"/>
    <n v="9"/>
    <x v="8"/>
    <m/>
    <n v="0.79"/>
    <n v="0.98"/>
  </r>
  <r>
    <x v="2"/>
    <x v="0"/>
    <n v="1"/>
    <n v="3"/>
    <n v="17"/>
    <x v="0"/>
    <x v="2"/>
    <n v="301"/>
    <n v="9"/>
    <x v="8"/>
    <m/>
    <n v="0.77"/>
    <n v="2.21"/>
  </r>
  <r>
    <x v="3"/>
    <x v="0"/>
    <n v="1"/>
    <n v="4"/>
    <n v="32"/>
    <x v="0"/>
    <x v="3"/>
    <n v="401"/>
    <n v="9"/>
    <x v="8"/>
    <m/>
    <n v="0.81"/>
    <n v="1.86"/>
  </r>
  <r>
    <x v="3"/>
    <x v="1"/>
    <n v="1"/>
    <n v="5"/>
    <n v="31"/>
    <x v="1"/>
    <x v="4"/>
    <n v="402"/>
    <n v="9"/>
    <x v="8"/>
    <m/>
    <n v="0.72"/>
    <n v="3.09"/>
  </r>
  <r>
    <x v="2"/>
    <x v="1"/>
    <n v="1"/>
    <n v="6"/>
    <n v="18"/>
    <x v="1"/>
    <x v="3"/>
    <n v="302"/>
    <n v="9"/>
    <x v="8"/>
    <m/>
    <n v="0.74"/>
    <n v="1.1100000000000001"/>
  </r>
  <r>
    <x v="1"/>
    <x v="1"/>
    <n v="1"/>
    <n v="7"/>
    <n v="15"/>
    <x v="1"/>
    <x v="2"/>
    <n v="202"/>
    <n v="9"/>
    <x v="8"/>
    <m/>
    <n v="0.76"/>
    <n v="2.75"/>
  </r>
  <r>
    <x v="0"/>
    <x v="1"/>
    <n v="1"/>
    <n v="8"/>
    <n v="2"/>
    <x v="1"/>
    <x v="5"/>
    <n v="102"/>
    <n v="9"/>
    <x v="8"/>
    <m/>
    <n v="0.78"/>
    <n v="2.71"/>
  </r>
  <r>
    <x v="0"/>
    <x v="2"/>
    <n v="2"/>
    <n v="9"/>
    <n v="3"/>
    <x v="0"/>
    <x v="1"/>
    <n v="103"/>
    <n v="9"/>
    <x v="8"/>
    <m/>
    <n v="0.83"/>
    <n v="1.48"/>
  </r>
  <r>
    <x v="1"/>
    <x v="2"/>
    <n v="2"/>
    <n v="10"/>
    <n v="14"/>
    <x v="0"/>
    <x v="3"/>
    <n v="203"/>
    <n v="9"/>
    <x v="8"/>
    <m/>
    <n v="0.74"/>
    <n v="1.94"/>
  </r>
  <r>
    <x v="2"/>
    <x v="2"/>
    <n v="2"/>
    <n v="11"/>
    <n v="19"/>
    <x v="0"/>
    <x v="0"/>
    <n v="303"/>
    <n v="9"/>
    <x v="8"/>
    <m/>
    <n v="0.79"/>
    <n v="1.72"/>
  </r>
  <r>
    <x v="3"/>
    <x v="2"/>
    <n v="2"/>
    <n v="12"/>
    <n v="30"/>
    <x v="0"/>
    <x v="2"/>
    <n v="403"/>
    <n v="9"/>
    <x v="8"/>
    <m/>
    <n v="0.73"/>
    <n v="2"/>
  </r>
  <r>
    <x v="3"/>
    <x v="3"/>
    <n v="2"/>
    <n v="13"/>
    <n v="29"/>
    <x v="1"/>
    <x v="3"/>
    <n v="404"/>
    <n v="9"/>
    <x v="8"/>
    <m/>
    <n v="0.71"/>
    <n v="4.13"/>
  </r>
  <r>
    <x v="2"/>
    <x v="3"/>
    <n v="2"/>
    <n v="14"/>
    <n v="20"/>
    <x v="1"/>
    <x v="5"/>
    <n v="304"/>
    <n v="9"/>
    <x v="8"/>
    <m/>
    <n v="0.77"/>
    <n v="3.6"/>
  </r>
  <r>
    <x v="1"/>
    <x v="3"/>
    <n v="2"/>
    <n v="15"/>
    <n v="13"/>
    <x v="1"/>
    <x v="4"/>
    <n v="204"/>
    <n v="9"/>
    <x v="8"/>
    <m/>
    <n v="0.75"/>
    <n v="3.05"/>
  </r>
  <r>
    <x v="0"/>
    <x v="3"/>
    <n v="2"/>
    <n v="16"/>
    <n v="4"/>
    <x v="1"/>
    <x v="2"/>
    <n v="104"/>
    <n v="9"/>
    <x v="8"/>
    <m/>
    <n v="0.76"/>
    <n v="2.81"/>
  </r>
  <r>
    <x v="0"/>
    <x v="4"/>
    <n v="3"/>
    <n v="17"/>
    <n v="5"/>
    <x v="0"/>
    <x v="2"/>
    <n v="105"/>
    <n v="9"/>
    <x v="8"/>
    <m/>
    <n v="0.79"/>
    <n v="1.92"/>
  </r>
  <r>
    <x v="1"/>
    <x v="4"/>
    <n v="3"/>
    <n v="18"/>
    <n v="12"/>
    <x v="0"/>
    <x v="0"/>
    <n v="205"/>
    <n v="9"/>
    <x v="8"/>
    <m/>
    <n v="0.81"/>
    <n v="2.77"/>
  </r>
  <r>
    <x v="2"/>
    <x v="4"/>
    <n v="3"/>
    <n v="19"/>
    <n v="21"/>
    <x v="0"/>
    <x v="3"/>
    <n v="305"/>
    <n v="9"/>
    <x v="8"/>
    <m/>
    <n v="0.75"/>
    <n v="3.78"/>
  </r>
  <r>
    <x v="3"/>
    <x v="4"/>
    <n v="3"/>
    <n v="20"/>
    <n v="28"/>
    <x v="0"/>
    <x v="1"/>
    <n v="405"/>
    <n v="9"/>
    <x v="8"/>
    <m/>
    <n v="0.82"/>
    <n v="1.1399999999999999"/>
  </r>
  <r>
    <x v="3"/>
    <x v="5"/>
    <n v="3"/>
    <n v="21"/>
    <n v="27"/>
    <x v="1"/>
    <x v="2"/>
    <n v="406"/>
    <n v="9"/>
    <x v="8"/>
    <m/>
    <n v="0.74"/>
    <n v="2.88"/>
  </r>
  <r>
    <x v="2"/>
    <x v="5"/>
    <n v="3"/>
    <n v="22"/>
    <n v="22"/>
    <x v="1"/>
    <x v="4"/>
    <n v="306"/>
    <n v="9"/>
    <x v="8"/>
    <m/>
    <n v="0.78"/>
    <n v="2.59"/>
  </r>
  <r>
    <x v="1"/>
    <x v="5"/>
    <n v="3"/>
    <n v="23"/>
    <n v="11"/>
    <x v="1"/>
    <x v="5"/>
    <n v="206"/>
    <n v="9"/>
    <x v="8"/>
    <m/>
    <n v="0.79"/>
    <n v="2.4500000000000002"/>
  </r>
  <r>
    <x v="0"/>
    <x v="5"/>
    <n v="3"/>
    <n v="24"/>
    <n v="6"/>
    <x v="1"/>
    <x v="3"/>
    <n v="106"/>
    <n v="9"/>
    <x v="8"/>
    <m/>
    <n v="0.78"/>
    <n v="2.17"/>
  </r>
  <r>
    <x v="0"/>
    <x v="6"/>
    <n v="4"/>
    <n v="25"/>
    <n v="7"/>
    <x v="0"/>
    <x v="3"/>
    <n v="107"/>
    <n v="9"/>
    <x v="8"/>
    <m/>
    <n v="0.8"/>
    <n v="2.61"/>
  </r>
  <r>
    <x v="1"/>
    <x v="6"/>
    <n v="4"/>
    <n v="26"/>
    <n v="10"/>
    <x v="0"/>
    <x v="2"/>
    <n v="207"/>
    <n v="9"/>
    <x v="8"/>
    <m/>
    <n v="0.72"/>
    <n v="3.19"/>
  </r>
  <r>
    <x v="2"/>
    <x v="6"/>
    <n v="4"/>
    <n v="27"/>
    <n v="23"/>
    <x v="0"/>
    <x v="1"/>
    <n v="307"/>
    <n v="9"/>
    <x v="8"/>
    <m/>
    <n v="0.81"/>
    <n v="1"/>
  </r>
  <r>
    <x v="3"/>
    <x v="6"/>
    <n v="4"/>
    <n v="28"/>
    <n v="26"/>
    <x v="0"/>
    <x v="0"/>
    <n v="407"/>
    <n v="9"/>
    <x v="8"/>
    <m/>
    <n v="0.83"/>
    <n v="1.21"/>
  </r>
  <r>
    <x v="3"/>
    <x v="7"/>
    <n v="4"/>
    <n v="29"/>
    <n v="25"/>
    <x v="1"/>
    <x v="5"/>
    <n v="408"/>
    <n v="9"/>
    <x v="8"/>
    <m/>
    <n v="0.78"/>
    <n v="1.21"/>
  </r>
  <r>
    <x v="2"/>
    <x v="7"/>
    <n v="4"/>
    <n v="30"/>
    <n v="24"/>
    <x v="1"/>
    <x v="2"/>
    <n v="308"/>
    <n v="9"/>
    <x v="8"/>
    <m/>
    <n v="0.76"/>
    <n v="3.76"/>
  </r>
  <r>
    <x v="1"/>
    <x v="7"/>
    <n v="4"/>
    <n v="31"/>
    <n v="9"/>
    <x v="1"/>
    <x v="3"/>
    <n v="208"/>
    <n v="9"/>
    <x v="8"/>
    <m/>
    <n v="0.76"/>
    <n v="2.14"/>
  </r>
  <r>
    <x v="0"/>
    <x v="7"/>
    <n v="4"/>
    <n v="32"/>
    <n v="8"/>
    <x v="1"/>
    <x v="4"/>
    <n v="108"/>
    <n v="9"/>
    <x v="8"/>
    <m/>
    <n v="0.79"/>
    <n v="3.3"/>
  </r>
  <r>
    <x v="0"/>
    <x v="0"/>
    <n v="1"/>
    <n v="1"/>
    <n v="1"/>
    <x v="0"/>
    <x v="0"/>
    <n v="101"/>
    <n v="10"/>
    <x v="9"/>
    <m/>
    <n v="0.74"/>
    <n v="1.64"/>
  </r>
  <r>
    <x v="1"/>
    <x v="0"/>
    <n v="1"/>
    <n v="2"/>
    <n v="16"/>
    <x v="0"/>
    <x v="1"/>
    <n v="201"/>
    <n v="10"/>
    <x v="9"/>
    <m/>
    <n v="0.73"/>
    <n v="4.57"/>
  </r>
  <r>
    <x v="2"/>
    <x v="0"/>
    <n v="1"/>
    <n v="3"/>
    <n v="17"/>
    <x v="0"/>
    <x v="2"/>
    <n v="301"/>
    <n v="10"/>
    <x v="9"/>
    <m/>
    <n v="0.73"/>
    <n v="4.1500000000000004"/>
  </r>
  <r>
    <x v="3"/>
    <x v="0"/>
    <n v="1"/>
    <n v="4"/>
    <n v="32"/>
    <x v="0"/>
    <x v="3"/>
    <n v="401"/>
    <n v="10"/>
    <x v="9"/>
    <m/>
    <n v="0.75"/>
    <n v="2.34"/>
  </r>
  <r>
    <x v="3"/>
    <x v="1"/>
    <n v="1"/>
    <n v="5"/>
    <n v="31"/>
    <x v="1"/>
    <x v="4"/>
    <n v="402"/>
    <n v="10"/>
    <x v="9"/>
    <m/>
    <n v="0.73"/>
    <n v="3.27"/>
  </r>
  <r>
    <x v="2"/>
    <x v="1"/>
    <n v="1"/>
    <n v="6"/>
    <n v="18"/>
    <x v="1"/>
    <x v="3"/>
    <n v="302"/>
    <n v="10"/>
    <x v="9"/>
    <m/>
    <n v="0.69"/>
    <n v="3.58"/>
  </r>
  <r>
    <x v="1"/>
    <x v="1"/>
    <n v="1"/>
    <n v="7"/>
    <n v="15"/>
    <x v="1"/>
    <x v="2"/>
    <n v="202"/>
    <n v="10"/>
    <x v="9"/>
    <m/>
    <n v="0.69"/>
    <n v="3.32"/>
  </r>
  <r>
    <x v="0"/>
    <x v="1"/>
    <n v="1"/>
    <n v="8"/>
    <n v="2"/>
    <x v="1"/>
    <x v="5"/>
    <n v="102"/>
    <n v="10"/>
    <x v="9"/>
    <m/>
    <n v="0.74"/>
    <n v="4.71"/>
  </r>
  <r>
    <x v="0"/>
    <x v="2"/>
    <n v="2"/>
    <n v="9"/>
    <n v="3"/>
    <x v="0"/>
    <x v="1"/>
    <n v="103"/>
    <n v="10"/>
    <x v="9"/>
    <m/>
    <n v="0.75"/>
    <n v="2.0699999999999998"/>
  </r>
  <r>
    <x v="1"/>
    <x v="2"/>
    <n v="2"/>
    <n v="10"/>
    <n v="14"/>
    <x v="0"/>
    <x v="3"/>
    <n v="203"/>
    <n v="10"/>
    <x v="9"/>
    <m/>
    <n v="0.69"/>
    <n v="1.67"/>
  </r>
  <r>
    <x v="2"/>
    <x v="2"/>
    <n v="2"/>
    <n v="11"/>
    <n v="19"/>
    <x v="0"/>
    <x v="0"/>
    <n v="303"/>
    <n v="10"/>
    <x v="9"/>
    <m/>
    <n v="0.74"/>
    <n v="1.75"/>
  </r>
  <r>
    <x v="3"/>
    <x v="2"/>
    <n v="2"/>
    <n v="12"/>
    <n v="30"/>
    <x v="0"/>
    <x v="2"/>
    <n v="403"/>
    <n v="10"/>
    <x v="9"/>
    <m/>
    <n v="0.7"/>
    <n v="3.27"/>
  </r>
  <r>
    <x v="3"/>
    <x v="3"/>
    <n v="2"/>
    <n v="13"/>
    <n v="29"/>
    <x v="1"/>
    <x v="3"/>
    <n v="404"/>
    <n v="10"/>
    <x v="9"/>
    <m/>
    <n v="0.67"/>
    <n v="7.05"/>
  </r>
  <r>
    <x v="2"/>
    <x v="3"/>
    <n v="2"/>
    <n v="14"/>
    <n v="20"/>
    <x v="1"/>
    <x v="5"/>
    <n v="304"/>
    <n v="10"/>
    <x v="9"/>
    <m/>
    <n v="0.75"/>
    <n v="1.82"/>
  </r>
  <r>
    <x v="1"/>
    <x v="3"/>
    <n v="2"/>
    <n v="15"/>
    <n v="13"/>
    <x v="1"/>
    <x v="4"/>
    <n v="204"/>
    <n v="10"/>
    <x v="9"/>
    <m/>
    <n v="0.75"/>
    <n v="2.48"/>
  </r>
  <r>
    <x v="0"/>
    <x v="3"/>
    <n v="2"/>
    <n v="16"/>
    <n v="4"/>
    <x v="1"/>
    <x v="2"/>
    <n v="104"/>
    <n v="10"/>
    <x v="9"/>
    <m/>
    <n v="0.73"/>
    <n v="1.64"/>
  </r>
  <r>
    <x v="0"/>
    <x v="4"/>
    <n v="3"/>
    <n v="17"/>
    <n v="5"/>
    <x v="0"/>
    <x v="2"/>
    <n v="105"/>
    <n v="10"/>
    <x v="9"/>
    <m/>
    <n v="0.74"/>
    <n v="3.9"/>
  </r>
  <r>
    <x v="1"/>
    <x v="4"/>
    <n v="3"/>
    <n v="18"/>
    <n v="12"/>
    <x v="0"/>
    <x v="0"/>
    <n v="205"/>
    <n v="10"/>
    <x v="9"/>
    <m/>
    <n v="0.79"/>
    <n v="2.19"/>
  </r>
  <r>
    <x v="2"/>
    <x v="4"/>
    <n v="3"/>
    <n v="19"/>
    <n v="21"/>
    <x v="0"/>
    <x v="3"/>
    <n v="305"/>
    <n v="10"/>
    <x v="9"/>
    <m/>
    <n v="0.71"/>
    <n v="3.36"/>
  </r>
  <r>
    <x v="3"/>
    <x v="4"/>
    <n v="3"/>
    <n v="20"/>
    <n v="28"/>
    <x v="0"/>
    <x v="1"/>
    <n v="405"/>
    <n v="10"/>
    <x v="9"/>
    <m/>
    <n v="0.75"/>
    <n v="1.1399999999999999"/>
  </r>
  <r>
    <x v="3"/>
    <x v="5"/>
    <n v="3"/>
    <n v="21"/>
    <n v="27"/>
    <x v="1"/>
    <x v="2"/>
    <n v="406"/>
    <n v="10"/>
    <x v="9"/>
    <m/>
    <n v="0.71"/>
    <n v="1"/>
  </r>
  <r>
    <x v="2"/>
    <x v="5"/>
    <n v="3"/>
    <n v="22"/>
    <n v="22"/>
    <x v="1"/>
    <x v="4"/>
    <n v="306"/>
    <n v="10"/>
    <x v="9"/>
    <m/>
    <n v="0.77"/>
    <n v="2.04"/>
  </r>
  <r>
    <x v="1"/>
    <x v="5"/>
    <n v="3"/>
    <n v="23"/>
    <n v="11"/>
    <x v="1"/>
    <x v="5"/>
    <n v="206"/>
    <n v="10"/>
    <x v="9"/>
    <m/>
    <n v="0.76"/>
    <n v="2.16"/>
  </r>
  <r>
    <x v="0"/>
    <x v="5"/>
    <n v="3"/>
    <n v="24"/>
    <n v="6"/>
    <x v="1"/>
    <x v="3"/>
    <n v="106"/>
    <n v="10"/>
    <x v="9"/>
    <m/>
    <n v="0.73"/>
    <n v="2.04"/>
  </r>
  <r>
    <x v="0"/>
    <x v="6"/>
    <n v="4"/>
    <n v="25"/>
    <n v="7"/>
    <x v="0"/>
    <x v="3"/>
    <n v="107"/>
    <n v="10"/>
    <x v="9"/>
    <m/>
    <n v="0.74"/>
    <n v="1.89"/>
  </r>
  <r>
    <x v="1"/>
    <x v="6"/>
    <n v="4"/>
    <n v="26"/>
    <n v="10"/>
    <x v="0"/>
    <x v="2"/>
    <n v="207"/>
    <n v="10"/>
    <x v="9"/>
    <m/>
    <n v="0.67"/>
    <n v="0.45"/>
  </r>
  <r>
    <x v="2"/>
    <x v="6"/>
    <n v="4"/>
    <n v="27"/>
    <n v="23"/>
    <x v="0"/>
    <x v="1"/>
    <n v="307"/>
    <n v="10"/>
    <x v="9"/>
    <m/>
    <n v="0.72"/>
    <n v="1.87"/>
  </r>
  <r>
    <x v="3"/>
    <x v="6"/>
    <n v="4"/>
    <n v="28"/>
    <n v="26"/>
    <x v="0"/>
    <x v="0"/>
    <n v="407"/>
    <n v="10"/>
    <x v="9"/>
    <m/>
    <n v="0.77"/>
    <n v="3.02"/>
  </r>
  <r>
    <x v="3"/>
    <x v="7"/>
    <n v="4"/>
    <n v="29"/>
    <n v="25"/>
    <x v="1"/>
    <x v="5"/>
    <n v="408"/>
    <n v="10"/>
    <x v="9"/>
    <m/>
    <n v="0.73"/>
    <n v="1.52"/>
  </r>
  <r>
    <x v="2"/>
    <x v="7"/>
    <n v="4"/>
    <n v="30"/>
    <n v="24"/>
    <x v="1"/>
    <x v="2"/>
    <n v="308"/>
    <n v="10"/>
    <x v="9"/>
    <m/>
    <n v="0.73"/>
    <n v="2.17"/>
  </r>
  <r>
    <x v="1"/>
    <x v="7"/>
    <n v="4"/>
    <n v="31"/>
    <n v="9"/>
    <x v="1"/>
    <x v="3"/>
    <n v="208"/>
    <n v="10"/>
    <x v="9"/>
    <m/>
    <n v="0.72"/>
    <n v="1.52"/>
  </r>
  <r>
    <x v="0"/>
    <x v="7"/>
    <n v="4"/>
    <n v="32"/>
    <n v="8"/>
    <x v="1"/>
    <x v="4"/>
    <n v="108"/>
    <n v="10"/>
    <x v="9"/>
    <m/>
    <n v="0.77"/>
    <n v="2.34"/>
  </r>
  <r>
    <x v="0"/>
    <x v="0"/>
    <n v="1"/>
    <n v="1"/>
    <n v="1"/>
    <x v="0"/>
    <x v="0"/>
    <n v="101"/>
    <n v="11"/>
    <x v="10"/>
    <m/>
    <n v="0.6"/>
    <n v="3.27"/>
  </r>
  <r>
    <x v="1"/>
    <x v="0"/>
    <n v="1"/>
    <n v="2"/>
    <n v="16"/>
    <x v="0"/>
    <x v="1"/>
    <n v="201"/>
    <n v="11"/>
    <x v="10"/>
    <m/>
    <n v="0.57999999999999996"/>
    <n v="5.91"/>
  </r>
  <r>
    <x v="2"/>
    <x v="0"/>
    <n v="1"/>
    <n v="3"/>
    <n v="17"/>
    <x v="0"/>
    <x v="2"/>
    <n v="301"/>
    <n v="11"/>
    <x v="10"/>
    <m/>
    <n v="0.51"/>
    <n v="5.27"/>
  </r>
  <r>
    <x v="3"/>
    <x v="0"/>
    <n v="1"/>
    <n v="4"/>
    <n v="32"/>
    <x v="0"/>
    <x v="3"/>
    <n v="401"/>
    <n v="11"/>
    <x v="10"/>
    <m/>
    <n v="0.6"/>
    <n v="4.97"/>
  </r>
  <r>
    <x v="3"/>
    <x v="1"/>
    <n v="1"/>
    <n v="5"/>
    <n v="31"/>
    <x v="1"/>
    <x v="4"/>
    <n v="402"/>
    <n v="11"/>
    <x v="10"/>
    <m/>
    <n v="0.54"/>
    <n v="2.5099999999999998"/>
  </r>
  <r>
    <x v="2"/>
    <x v="1"/>
    <n v="1"/>
    <n v="6"/>
    <n v="18"/>
    <x v="1"/>
    <x v="3"/>
    <n v="302"/>
    <n v="11"/>
    <x v="10"/>
    <m/>
    <n v="0.54"/>
    <n v="3.56"/>
  </r>
  <r>
    <x v="1"/>
    <x v="1"/>
    <n v="1"/>
    <n v="7"/>
    <n v="15"/>
    <x v="1"/>
    <x v="2"/>
    <n v="202"/>
    <n v="11"/>
    <x v="10"/>
    <m/>
    <n v="0.55000000000000004"/>
    <n v="4.8"/>
  </r>
  <r>
    <x v="0"/>
    <x v="1"/>
    <n v="1"/>
    <n v="8"/>
    <n v="2"/>
    <x v="1"/>
    <x v="5"/>
    <n v="102"/>
    <n v="11"/>
    <x v="10"/>
    <m/>
    <n v="0.61"/>
    <n v="6.57"/>
  </r>
  <r>
    <x v="0"/>
    <x v="2"/>
    <n v="2"/>
    <n v="9"/>
    <n v="3"/>
    <x v="0"/>
    <x v="1"/>
    <n v="103"/>
    <n v="11"/>
    <x v="10"/>
    <m/>
    <n v="0.63"/>
    <n v="4.76"/>
  </r>
  <r>
    <x v="1"/>
    <x v="2"/>
    <n v="2"/>
    <n v="10"/>
    <n v="14"/>
    <x v="0"/>
    <x v="3"/>
    <n v="203"/>
    <n v="11"/>
    <x v="10"/>
    <m/>
    <n v="0.51"/>
    <n v="2.2999999999999998"/>
  </r>
  <r>
    <x v="2"/>
    <x v="2"/>
    <n v="2"/>
    <n v="11"/>
    <n v="19"/>
    <x v="0"/>
    <x v="0"/>
    <n v="303"/>
    <n v="11"/>
    <x v="10"/>
    <m/>
    <n v="0.59"/>
    <n v="1.75"/>
  </r>
  <r>
    <x v="3"/>
    <x v="2"/>
    <n v="2"/>
    <n v="12"/>
    <n v="30"/>
    <x v="0"/>
    <x v="2"/>
    <n v="403"/>
    <n v="11"/>
    <x v="10"/>
    <m/>
    <n v="0.47"/>
    <n v="5.39"/>
  </r>
  <r>
    <x v="3"/>
    <x v="3"/>
    <n v="2"/>
    <n v="13"/>
    <n v="29"/>
    <x v="1"/>
    <x v="3"/>
    <n v="404"/>
    <n v="11"/>
    <x v="10"/>
    <m/>
    <n v="0.45"/>
    <n v="5.19"/>
  </r>
  <r>
    <x v="2"/>
    <x v="3"/>
    <n v="2"/>
    <n v="14"/>
    <n v="20"/>
    <x v="1"/>
    <x v="5"/>
    <n v="304"/>
    <n v="11"/>
    <x v="10"/>
    <m/>
    <n v="0.6"/>
    <n v="3.77"/>
  </r>
  <r>
    <x v="1"/>
    <x v="3"/>
    <n v="2"/>
    <n v="15"/>
    <n v="13"/>
    <x v="1"/>
    <x v="4"/>
    <n v="204"/>
    <n v="11"/>
    <x v="10"/>
    <m/>
    <n v="0.61"/>
    <n v="3.42"/>
  </r>
  <r>
    <x v="0"/>
    <x v="3"/>
    <n v="2"/>
    <n v="16"/>
    <n v="4"/>
    <x v="1"/>
    <x v="2"/>
    <n v="104"/>
    <n v="11"/>
    <x v="10"/>
    <m/>
    <n v="0.6"/>
    <n v="3.39"/>
  </r>
  <r>
    <x v="0"/>
    <x v="4"/>
    <n v="3"/>
    <n v="17"/>
    <n v="5"/>
    <x v="0"/>
    <x v="2"/>
    <n v="105"/>
    <n v="11"/>
    <x v="10"/>
    <m/>
    <n v="0.59"/>
    <n v="4.22"/>
  </r>
  <r>
    <x v="1"/>
    <x v="4"/>
    <n v="3"/>
    <n v="18"/>
    <n v="12"/>
    <x v="0"/>
    <x v="0"/>
    <n v="205"/>
    <n v="11"/>
    <x v="10"/>
    <m/>
    <n v="0.62"/>
    <n v="6.32"/>
  </r>
  <r>
    <x v="2"/>
    <x v="4"/>
    <n v="3"/>
    <n v="19"/>
    <n v="21"/>
    <x v="0"/>
    <x v="3"/>
    <n v="305"/>
    <n v="11"/>
    <x v="10"/>
    <m/>
    <n v="0.56000000000000005"/>
    <n v="1.83"/>
  </r>
  <r>
    <x v="3"/>
    <x v="4"/>
    <n v="3"/>
    <n v="20"/>
    <n v="28"/>
    <x v="0"/>
    <x v="1"/>
    <n v="405"/>
    <n v="11"/>
    <x v="10"/>
    <m/>
    <n v="0.56999999999999995"/>
    <n v="3.5"/>
  </r>
  <r>
    <x v="3"/>
    <x v="5"/>
    <n v="3"/>
    <n v="21"/>
    <n v="27"/>
    <x v="1"/>
    <x v="2"/>
    <n v="406"/>
    <n v="11"/>
    <x v="10"/>
    <m/>
    <n v="0.47"/>
    <n v="2.16"/>
  </r>
  <r>
    <x v="2"/>
    <x v="5"/>
    <n v="3"/>
    <n v="22"/>
    <n v="22"/>
    <x v="1"/>
    <x v="4"/>
    <n v="306"/>
    <n v="11"/>
    <x v="10"/>
    <m/>
    <n v="0.62"/>
    <n v="1.67"/>
  </r>
  <r>
    <x v="1"/>
    <x v="5"/>
    <n v="3"/>
    <n v="23"/>
    <n v="11"/>
    <x v="1"/>
    <x v="5"/>
    <n v="206"/>
    <n v="11"/>
    <x v="10"/>
    <m/>
    <n v="0.65"/>
    <n v="3.08"/>
  </r>
  <r>
    <x v="0"/>
    <x v="5"/>
    <n v="3"/>
    <n v="24"/>
    <n v="6"/>
    <x v="1"/>
    <x v="3"/>
    <n v="106"/>
    <n v="11"/>
    <x v="10"/>
    <m/>
    <n v="0.6"/>
    <n v="1.63"/>
  </r>
  <r>
    <x v="0"/>
    <x v="6"/>
    <n v="4"/>
    <n v="25"/>
    <n v="7"/>
    <x v="0"/>
    <x v="3"/>
    <n v="107"/>
    <n v="11"/>
    <x v="10"/>
    <m/>
    <n v="0.63"/>
    <n v="2.7"/>
  </r>
  <r>
    <x v="1"/>
    <x v="6"/>
    <n v="4"/>
    <n v="26"/>
    <n v="10"/>
    <x v="0"/>
    <x v="2"/>
    <n v="207"/>
    <n v="11"/>
    <x v="10"/>
    <m/>
    <n v="0.49"/>
    <n v="2.7"/>
  </r>
  <r>
    <x v="2"/>
    <x v="6"/>
    <n v="4"/>
    <n v="27"/>
    <n v="23"/>
    <x v="0"/>
    <x v="1"/>
    <n v="307"/>
    <n v="11"/>
    <x v="10"/>
    <m/>
    <n v="0.53"/>
    <n v="8.64"/>
  </r>
  <r>
    <x v="3"/>
    <x v="6"/>
    <n v="4"/>
    <n v="28"/>
    <n v="26"/>
    <x v="0"/>
    <x v="0"/>
    <n v="407"/>
    <n v="11"/>
    <x v="10"/>
    <m/>
    <n v="0.57999999999999996"/>
    <n v="2.14"/>
  </r>
  <r>
    <x v="3"/>
    <x v="7"/>
    <n v="4"/>
    <n v="29"/>
    <n v="25"/>
    <x v="1"/>
    <x v="5"/>
    <n v="408"/>
    <n v="11"/>
    <x v="10"/>
    <m/>
    <n v="0.57999999999999996"/>
    <n v="2.35"/>
  </r>
  <r>
    <x v="2"/>
    <x v="7"/>
    <n v="4"/>
    <n v="30"/>
    <n v="24"/>
    <x v="1"/>
    <x v="2"/>
    <n v="308"/>
    <n v="11"/>
    <x v="10"/>
    <m/>
    <n v="0.57999999999999996"/>
    <n v="5.68"/>
  </r>
  <r>
    <x v="1"/>
    <x v="7"/>
    <n v="4"/>
    <n v="31"/>
    <n v="9"/>
    <x v="1"/>
    <x v="3"/>
    <n v="208"/>
    <n v="11"/>
    <x v="10"/>
    <m/>
    <n v="0.63"/>
    <n v="1.92"/>
  </r>
  <r>
    <x v="0"/>
    <x v="7"/>
    <n v="4"/>
    <n v="32"/>
    <n v="8"/>
    <x v="1"/>
    <x v="4"/>
    <n v="108"/>
    <n v="11"/>
    <x v="10"/>
    <m/>
    <n v="0.62"/>
    <n v="2.8"/>
  </r>
  <r>
    <x v="0"/>
    <x v="0"/>
    <n v="1"/>
    <n v="1"/>
    <n v="1"/>
    <x v="0"/>
    <x v="0"/>
    <n v="101"/>
    <n v="12"/>
    <x v="11"/>
    <m/>
    <n v="0.48"/>
    <n v="3.43"/>
  </r>
  <r>
    <x v="1"/>
    <x v="0"/>
    <n v="1"/>
    <n v="2"/>
    <n v="16"/>
    <x v="0"/>
    <x v="1"/>
    <n v="201"/>
    <n v="12"/>
    <x v="11"/>
    <m/>
    <n v="0.36"/>
    <n v="4.68"/>
  </r>
  <r>
    <x v="2"/>
    <x v="0"/>
    <n v="1"/>
    <n v="3"/>
    <n v="17"/>
    <x v="0"/>
    <x v="2"/>
    <n v="301"/>
    <n v="12"/>
    <x v="11"/>
    <m/>
    <n v="0.32"/>
    <n v="5.08"/>
  </r>
  <r>
    <x v="3"/>
    <x v="0"/>
    <n v="1"/>
    <n v="4"/>
    <n v="32"/>
    <x v="0"/>
    <x v="3"/>
    <n v="401"/>
    <n v="12"/>
    <x v="11"/>
    <m/>
    <n v="0.35"/>
    <n v="4.59"/>
  </r>
  <r>
    <x v="3"/>
    <x v="1"/>
    <n v="1"/>
    <n v="5"/>
    <n v="31"/>
    <x v="1"/>
    <x v="4"/>
    <n v="402"/>
    <n v="12"/>
    <x v="11"/>
    <m/>
    <n v="0.42"/>
    <n v="4.18"/>
  </r>
  <r>
    <x v="2"/>
    <x v="1"/>
    <n v="1"/>
    <n v="6"/>
    <n v="18"/>
    <x v="1"/>
    <x v="3"/>
    <n v="302"/>
    <n v="12"/>
    <x v="11"/>
    <m/>
    <n v="0.4"/>
    <n v="5.29"/>
  </r>
  <r>
    <x v="1"/>
    <x v="1"/>
    <n v="1"/>
    <n v="7"/>
    <n v="15"/>
    <x v="1"/>
    <x v="2"/>
    <n v="202"/>
    <n v="12"/>
    <x v="11"/>
    <m/>
    <n v="0.37"/>
    <n v="3.32"/>
  </r>
  <r>
    <x v="0"/>
    <x v="1"/>
    <n v="1"/>
    <n v="8"/>
    <n v="2"/>
    <x v="1"/>
    <x v="5"/>
    <n v="102"/>
    <n v="12"/>
    <x v="11"/>
    <m/>
    <n v="0.41"/>
    <n v="5.7"/>
  </r>
  <r>
    <x v="0"/>
    <x v="2"/>
    <n v="2"/>
    <n v="9"/>
    <n v="3"/>
    <x v="0"/>
    <x v="1"/>
    <n v="103"/>
    <n v="12"/>
    <x v="11"/>
    <m/>
    <n v="0.43"/>
    <n v="5.61"/>
  </r>
  <r>
    <x v="1"/>
    <x v="2"/>
    <n v="2"/>
    <n v="10"/>
    <n v="14"/>
    <x v="0"/>
    <x v="3"/>
    <n v="203"/>
    <n v="12"/>
    <x v="11"/>
    <m/>
    <n v="0.31"/>
    <n v="1.72"/>
  </r>
  <r>
    <x v="2"/>
    <x v="2"/>
    <n v="2"/>
    <n v="11"/>
    <n v="19"/>
    <x v="0"/>
    <x v="0"/>
    <n v="303"/>
    <n v="12"/>
    <x v="11"/>
    <m/>
    <n v="0.5"/>
    <n v="1.47"/>
  </r>
  <r>
    <x v="3"/>
    <x v="2"/>
    <n v="2"/>
    <n v="12"/>
    <n v="30"/>
    <x v="0"/>
    <x v="2"/>
    <n v="403"/>
    <n v="12"/>
    <x v="11"/>
    <m/>
    <n v="0.28000000000000003"/>
    <n v="2.97"/>
  </r>
  <r>
    <x v="3"/>
    <x v="3"/>
    <n v="2"/>
    <n v="13"/>
    <n v="29"/>
    <x v="1"/>
    <x v="3"/>
    <n v="404"/>
    <n v="12"/>
    <x v="11"/>
    <m/>
    <n v="0.33"/>
    <n v="2.31"/>
  </r>
  <r>
    <x v="2"/>
    <x v="3"/>
    <n v="2"/>
    <n v="14"/>
    <n v="20"/>
    <x v="1"/>
    <x v="5"/>
    <n v="304"/>
    <n v="12"/>
    <x v="11"/>
    <m/>
    <n v="0.41"/>
    <n v="2.5"/>
  </r>
  <r>
    <x v="1"/>
    <x v="3"/>
    <n v="2"/>
    <n v="15"/>
    <n v="13"/>
    <x v="1"/>
    <x v="4"/>
    <n v="204"/>
    <n v="12"/>
    <x v="11"/>
    <m/>
    <n v="0.41"/>
    <n v="2.99"/>
  </r>
  <r>
    <x v="0"/>
    <x v="3"/>
    <n v="2"/>
    <n v="16"/>
    <n v="4"/>
    <x v="1"/>
    <x v="2"/>
    <n v="104"/>
    <n v="12"/>
    <x v="11"/>
    <m/>
    <n v="0.43"/>
    <n v="1.8"/>
  </r>
  <r>
    <x v="0"/>
    <x v="4"/>
    <n v="3"/>
    <n v="17"/>
    <n v="5"/>
    <x v="0"/>
    <x v="2"/>
    <n v="105"/>
    <n v="12"/>
    <x v="11"/>
    <m/>
    <n v="0.38"/>
    <n v="4.63"/>
  </r>
  <r>
    <x v="1"/>
    <x v="4"/>
    <n v="3"/>
    <n v="18"/>
    <n v="12"/>
    <x v="0"/>
    <x v="0"/>
    <n v="205"/>
    <n v="12"/>
    <x v="11"/>
    <m/>
    <n v="0.54"/>
    <n v="5.24"/>
  </r>
  <r>
    <x v="2"/>
    <x v="4"/>
    <n v="3"/>
    <n v="19"/>
    <n v="21"/>
    <x v="0"/>
    <x v="3"/>
    <n v="305"/>
    <n v="12"/>
    <x v="11"/>
    <m/>
    <n v="0.33"/>
    <n v="2.59"/>
  </r>
  <r>
    <x v="3"/>
    <x v="4"/>
    <n v="3"/>
    <n v="20"/>
    <n v="28"/>
    <x v="0"/>
    <x v="1"/>
    <n v="405"/>
    <n v="12"/>
    <x v="11"/>
    <m/>
    <n v="0.36"/>
    <n v="2.5"/>
  </r>
  <r>
    <x v="3"/>
    <x v="5"/>
    <n v="3"/>
    <n v="21"/>
    <n v="27"/>
    <x v="1"/>
    <x v="2"/>
    <n v="406"/>
    <n v="12"/>
    <x v="11"/>
    <m/>
    <n v="0.33"/>
    <n v="2.04"/>
  </r>
  <r>
    <x v="2"/>
    <x v="5"/>
    <n v="3"/>
    <n v="22"/>
    <n v="22"/>
    <x v="1"/>
    <x v="4"/>
    <n v="306"/>
    <n v="12"/>
    <x v="11"/>
    <m/>
    <n v="0.43"/>
    <n v="1.87"/>
  </r>
  <r>
    <x v="1"/>
    <x v="5"/>
    <n v="3"/>
    <n v="23"/>
    <n v="11"/>
    <x v="1"/>
    <x v="5"/>
    <n v="206"/>
    <n v="12"/>
    <x v="11"/>
    <m/>
    <n v="0.44"/>
    <n v="6.85"/>
  </r>
  <r>
    <x v="0"/>
    <x v="5"/>
    <n v="3"/>
    <n v="24"/>
    <n v="6"/>
    <x v="1"/>
    <x v="3"/>
    <n v="106"/>
    <n v="12"/>
    <x v="11"/>
    <m/>
    <n v="0.47"/>
    <n v="3.72"/>
  </r>
  <r>
    <x v="0"/>
    <x v="6"/>
    <n v="4"/>
    <n v="25"/>
    <n v="7"/>
    <x v="0"/>
    <x v="3"/>
    <n v="107"/>
    <n v="12"/>
    <x v="11"/>
    <m/>
    <n v="0.39"/>
    <n v="1.58"/>
  </r>
  <r>
    <x v="1"/>
    <x v="6"/>
    <n v="4"/>
    <n v="26"/>
    <n v="10"/>
    <x v="0"/>
    <x v="2"/>
    <n v="207"/>
    <n v="12"/>
    <x v="11"/>
    <m/>
    <n v="0.3"/>
    <n v="1.92"/>
  </r>
  <r>
    <x v="2"/>
    <x v="6"/>
    <n v="4"/>
    <n v="27"/>
    <n v="23"/>
    <x v="0"/>
    <x v="1"/>
    <n v="307"/>
    <n v="12"/>
    <x v="11"/>
    <m/>
    <n v="0.35"/>
    <n v="5.05"/>
  </r>
  <r>
    <x v="3"/>
    <x v="6"/>
    <n v="4"/>
    <n v="28"/>
    <n v="26"/>
    <x v="0"/>
    <x v="0"/>
    <n v="407"/>
    <n v="12"/>
    <x v="11"/>
    <m/>
    <n v="0.47"/>
    <n v="2.5099999999999998"/>
  </r>
  <r>
    <x v="3"/>
    <x v="7"/>
    <n v="4"/>
    <n v="29"/>
    <n v="25"/>
    <x v="1"/>
    <x v="5"/>
    <n v="408"/>
    <n v="12"/>
    <x v="11"/>
    <m/>
    <n v="0.35"/>
    <n v="1"/>
  </r>
  <r>
    <x v="2"/>
    <x v="7"/>
    <n v="4"/>
    <n v="30"/>
    <n v="24"/>
    <x v="1"/>
    <x v="2"/>
    <n v="308"/>
    <n v="12"/>
    <x v="11"/>
    <m/>
    <n v="0.42"/>
    <n v="3.14"/>
  </r>
  <r>
    <x v="1"/>
    <x v="7"/>
    <n v="4"/>
    <n v="31"/>
    <n v="9"/>
    <x v="1"/>
    <x v="3"/>
    <n v="208"/>
    <n v="12"/>
    <x v="11"/>
    <m/>
    <n v="0.43"/>
    <n v="1.79"/>
  </r>
  <r>
    <x v="0"/>
    <x v="7"/>
    <n v="4"/>
    <n v="32"/>
    <n v="8"/>
    <x v="1"/>
    <x v="4"/>
    <n v="108"/>
    <n v="12"/>
    <x v="11"/>
    <m/>
    <n v="0.46"/>
    <n v="2.0699999999999998"/>
  </r>
  <r>
    <x v="0"/>
    <x v="0"/>
    <n v="1"/>
    <n v="1"/>
    <n v="1"/>
    <x v="0"/>
    <x v="0"/>
    <n v="101"/>
    <n v="13"/>
    <x v="12"/>
    <m/>
    <n v="0.13"/>
    <n v="1.34"/>
  </r>
  <r>
    <x v="1"/>
    <x v="0"/>
    <n v="1"/>
    <n v="2"/>
    <n v="16"/>
    <x v="0"/>
    <x v="1"/>
    <n v="201"/>
    <n v="13"/>
    <x v="12"/>
    <m/>
    <n v="0.11"/>
    <n v="1.29"/>
  </r>
  <r>
    <x v="2"/>
    <x v="0"/>
    <n v="1"/>
    <n v="3"/>
    <n v="17"/>
    <x v="0"/>
    <x v="2"/>
    <n v="301"/>
    <n v="13"/>
    <x v="12"/>
    <m/>
    <n v="0.11"/>
    <n v="1.1399999999999999"/>
  </r>
  <r>
    <x v="3"/>
    <x v="0"/>
    <n v="1"/>
    <n v="4"/>
    <n v="32"/>
    <x v="0"/>
    <x v="3"/>
    <n v="401"/>
    <n v="13"/>
    <x v="12"/>
    <m/>
    <n v="0.1"/>
    <n v="1.87"/>
  </r>
  <r>
    <x v="3"/>
    <x v="1"/>
    <n v="1"/>
    <n v="5"/>
    <n v="31"/>
    <x v="1"/>
    <x v="4"/>
    <n v="402"/>
    <n v="13"/>
    <x v="12"/>
    <m/>
    <n v="0.13"/>
    <n v="2.19"/>
  </r>
  <r>
    <x v="2"/>
    <x v="1"/>
    <n v="1"/>
    <n v="6"/>
    <n v="18"/>
    <x v="1"/>
    <x v="3"/>
    <n v="302"/>
    <n v="13"/>
    <x v="12"/>
    <m/>
    <n v="0.11"/>
    <n v="1.92"/>
  </r>
  <r>
    <x v="1"/>
    <x v="1"/>
    <n v="1"/>
    <n v="7"/>
    <n v="15"/>
    <x v="1"/>
    <x v="2"/>
    <n v="202"/>
    <n v="13"/>
    <x v="12"/>
    <m/>
    <n v="0.12"/>
    <n v="1.53"/>
  </r>
  <r>
    <x v="0"/>
    <x v="1"/>
    <n v="1"/>
    <n v="8"/>
    <n v="2"/>
    <x v="1"/>
    <x v="5"/>
    <n v="102"/>
    <n v="13"/>
    <x v="12"/>
    <m/>
    <n v="0.14000000000000001"/>
    <n v="2.2799999999999998"/>
  </r>
  <r>
    <x v="0"/>
    <x v="2"/>
    <n v="2"/>
    <n v="9"/>
    <n v="3"/>
    <x v="0"/>
    <x v="1"/>
    <n v="103"/>
    <n v="13"/>
    <x v="12"/>
    <m/>
    <n v="0.11"/>
    <n v="2.19"/>
  </r>
  <r>
    <x v="1"/>
    <x v="2"/>
    <n v="2"/>
    <n v="10"/>
    <n v="14"/>
    <x v="0"/>
    <x v="3"/>
    <n v="203"/>
    <n v="13"/>
    <x v="12"/>
    <m/>
    <n v="7.0000000000000007E-2"/>
    <n v="3.51"/>
  </r>
  <r>
    <x v="2"/>
    <x v="2"/>
    <n v="2"/>
    <n v="11"/>
    <n v="19"/>
    <x v="0"/>
    <x v="0"/>
    <n v="303"/>
    <n v="13"/>
    <x v="12"/>
    <m/>
    <n v="0.13"/>
    <n v="3.6"/>
  </r>
  <r>
    <x v="3"/>
    <x v="2"/>
    <n v="2"/>
    <n v="12"/>
    <n v="30"/>
    <x v="0"/>
    <x v="2"/>
    <n v="403"/>
    <n v="13"/>
    <x v="12"/>
    <m/>
    <n v="0.12"/>
    <n v="0.98"/>
  </r>
  <r>
    <x v="3"/>
    <x v="3"/>
    <n v="2"/>
    <n v="13"/>
    <n v="29"/>
    <x v="1"/>
    <x v="3"/>
    <n v="404"/>
    <n v="13"/>
    <x v="12"/>
    <m/>
    <n v="0.12"/>
    <n v="1.79"/>
  </r>
  <r>
    <x v="2"/>
    <x v="3"/>
    <n v="2"/>
    <n v="14"/>
    <n v="20"/>
    <x v="1"/>
    <x v="5"/>
    <n v="304"/>
    <n v="13"/>
    <x v="12"/>
    <m/>
    <n v="0.12"/>
    <n v="3.91"/>
  </r>
  <r>
    <x v="1"/>
    <x v="3"/>
    <n v="2"/>
    <n v="15"/>
    <n v="13"/>
    <x v="1"/>
    <x v="4"/>
    <n v="204"/>
    <n v="13"/>
    <x v="12"/>
    <m/>
    <n v="0.13"/>
    <n v="1.87"/>
  </r>
  <r>
    <x v="0"/>
    <x v="3"/>
    <n v="2"/>
    <n v="16"/>
    <n v="4"/>
    <x v="1"/>
    <x v="2"/>
    <n v="104"/>
    <n v="13"/>
    <x v="12"/>
    <m/>
    <n v="0.14000000000000001"/>
    <n v="1.79"/>
  </r>
  <r>
    <x v="0"/>
    <x v="4"/>
    <n v="3"/>
    <n v="17"/>
    <n v="5"/>
    <x v="0"/>
    <x v="2"/>
    <n v="105"/>
    <n v="13"/>
    <x v="12"/>
    <m/>
    <n v="0.11"/>
    <n v="3.13"/>
  </r>
  <r>
    <x v="1"/>
    <x v="4"/>
    <n v="3"/>
    <n v="18"/>
    <n v="12"/>
    <x v="0"/>
    <x v="0"/>
    <n v="205"/>
    <n v="13"/>
    <x v="12"/>
    <m/>
    <n v="0.12"/>
    <n v="1.3"/>
  </r>
  <r>
    <x v="2"/>
    <x v="4"/>
    <n v="3"/>
    <n v="19"/>
    <n v="21"/>
    <x v="0"/>
    <x v="3"/>
    <n v="305"/>
    <n v="13"/>
    <x v="12"/>
    <m/>
    <n v="0.1"/>
    <n v="4.1100000000000003"/>
  </r>
  <r>
    <x v="3"/>
    <x v="4"/>
    <n v="3"/>
    <n v="20"/>
    <n v="28"/>
    <x v="0"/>
    <x v="1"/>
    <n v="405"/>
    <n v="13"/>
    <x v="12"/>
    <m/>
    <n v="0.1"/>
    <n v="1.67"/>
  </r>
  <r>
    <x v="3"/>
    <x v="5"/>
    <n v="3"/>
    <n v="21"/>
    <n v="27"/>
    <x v="1"/>
    <x v="2"/>
    <n v="406"/>
    <n v="13"/>
    <x v="12"/>
    <m/>
    <n v="0.12"/>
    <n v="0"/>
  </r>
  <r>
    <x v="2"/>
    <x v="5"/>
    <n v="3"/>
    <n v="22"/>
    <n v="22"/>
    <x v="1"/>
    <x v="4"/>
    <n v="306"/>
    <n v="13"/>
    <x v="12"/>
    <m/>
    <n v="0.14000000000000001"/>
    <n v="1.64"/>
  </r>
  <r>
    <x v="1"/>
    <x v="5"/>
    <n v="3"/>
    <n v="23"/>
    <n v="11"/>
    <x v="1"/>
    <x v="5"/>
    <n v="206"/>
    <n v="13"/>
    <x v="12"/>
    <m/>
    <n v="0.12"/>
    <n v="3.7"/>
  </r>
  <r>
    <x v="0"/>
    <x v="5"/>
    <n v="3"/>
    <n v="24"/>
    <n v="6"/>
    <x v="1"/>
    <x v="3"/>
    <n v="106"/>
    <n v="13"/>
    <x v="12"/>
    <m/>
    <n v="0.13"/>
    <n v="1.87"/>
  </r>
  <r>
    <x v="0"/>
    <x v="6"/>
    <n v="4"/>
    <n v="25"/>
    <n v="7"/>
    <x v="0"/>
    <x v="3"/>
    <n v="107"/>
    <n v="13"/>
    <x v="12"/>
    <m/>
    <n v="0.12"/>
    <n v="8.77"/>
  </r>
  <r>
    <x v="1"/>
    <x v="6"/>
    <n v="4"/>
    <n v="26"/>
    <n v="10"/>
    <x v="0"/>
    <x v="2"/>
    <n v="207"/>
    <n v="13"/>
    <x v="12"/>
    <m/>
    <n v="0.13"/>
    <n v="3.94"/>
  </r>
  <r>
    <x v="2"/>
    <x v="6"/>
    <n v="4"/>
    <n v="27"/>
    <n v="23"/>
    <x v="0"/>
    <x v="1"/>
    <n v="307"/>
    <n v="13"/>
    <x v="12"/>
    <m/>
    <n v="0.1"/>
    <n v="6.75"/>
  </r>
  <r>
    <x v="3"/>
    <x v="6"/>
    <n v="4"/>
    <n v="28"/>
    <n v="26"/>
    <x v="0"/>
    <x v="0"/>
    <n v="407"/>
    <n v="13"/>
    <x v="12"/>
    <m/>
    <n v="0.12"/>
    <n v="2.39"/>
  </r>
  <r>
    <x v="3"/>
    <x v="7"/>
    <n v="4"/>
    <n v="29"/>
    <n v="25"/>
    <x v="1"/>
    <x v="5"/>
    <n v="408"/>
    <n v="13"/>
    <x v="12"/>
    <m/>
    <n v="0.13"/>
    <n v="1.26"/>
  </r>
  <r>
    <x v="2"/>
    <x v="7"/>
    <n v="4"/>
    <n v="30"/>
    <n v="24"/>
    <x v="1"/>
    <x v="2"/>
    <n v="308"/>
    <n v="13"/>
    <x v="12"/>
    <m/>
    <n v="0.12"/>
    <n v="2.0699999999999998"/>
  </r>
  <r>
    <x v="1"/>
    <x v="7"/>
    <n v="4"/>
    <n v="31"/>
    <n v="9"/>
    <x v="1"/>
    <x v="3"/>
    <n v="208"/>
    <n v="13"/>
    <x v="12"/>
    <m/>
    <n v="0.13"/>
    <n v="1.82"/>
  </r>
  <r>
    <x v="0"/>
    <x v="7"/>
    <n v="4"/>
    <n v="32"/>
    <n v="8"/>
    <x v="1"/>
    <x v="4"/>
    <n v="108"/>
    <n v="13"/>
    <x v="12"/>
    <m/>
    <n v="0.11"/>
    <n v="3.61"/>
  </r>
  <r>
    <x v="4"/>
    <x v="8"/>
    <m/>
    <m/>
    <m/>
    <x v="2"/>
    <x v="6"/>
    <m/>
    <m/>
    <x v="13"/>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x v="0"/>
    <n v="1"/>
    <n v="1"/>
    <n v="1"/>
    <n v="1"/>
    <x v="0"/>
    <x v="0"/>
    <n v="101"/>
    <d v="2024-12-13T00:00:00"/>
    <n v="2.8"/>
    <n v="2.8"/>
    <n v="1.83"/>
    <n v="6.5357142857142865"/>
  </r>
  <r>
    <x v="1"/>
    <n v="1"/>
    <n v="1"/>
    <n v="2"/>
    <n v="16"/>
    <x v="0"/>
    <x v="1"/>
    <n v="201"/>
    <d v="2024-12-13T00:00:00"/>
    <n v="1.95"/>
    <n v="1.95"/>
    <n v="0.83"/>
    <n v="4.2564102564102564"/>
  </r>
  <r>
    <x v="2"/>
    <n v="1"/>
    <n v="1"/>
    <n v="3"/>
    <n v="17"/>
    <x v="0"/>
    <x v="2"/>
    <n v="301"/>
    <d v="2024-12-13T00:00:00"/>
    <n v="3.54"/>
    <n v="3.54"/>
    <n v="2.44"/>
    <n v="6.8926553672316375"/>
  </r>
  <r>
    <x v="3"/>
    <n v="1"/>
    <n v="1"/>
    <n v="4"/>
    <n v="32"/>
    <x v="0"/>
    <x v="3"/>
    <n v="401"/>
    <d v="2024-12-13T00:00:00"/>
    <n v="3.55"/>
    <n v="3.55"/>
    <n v="2.2999999999999998"/>
    <n v="6.47887323943662"/>
  </r>
  <r>
    <x v="0"/>
    <n v="2"/>
    <n v="1"/>
    <n v="8"/>
    <n v="2"/>
    <x v="1"/>
    <x v="4"/>
    <n v="102"/>
    <d v="2024-12-13T00:00:00"/>
    <n v="2.59"/>
    <n v="2.59"/>
    <n v="1.52"/>
    <n v="5.8687258687258685"/>
  </r>
  <r>
    <x v="1"/>
    <n v="2"/>
    <n v="1"/>
    <n v="7"/>
    <n v="15"/>
    <x v="1"/>
    <x v="2"/>
    <n v="202"/>
    <d v="2024-12-13T00:00:00"/>
    <n v="2.3199999999999998"/>
    <n v="2.3199999999999998"/>
    <n v="1.41"/>
    <n v="6.0775862068965516"/>
  </r>
  <r>
    <x v="2"/>
    <n v="2"/>
    <n v="1"/>
    <n v="6"/>
    <n v="18"/>
    <x v="1"/>
    <x v="3"/>
    <n v="302"/>
    <d v="2024-12-13T00:00:00"/>
    <n v="3.56"/>
    <n v="3.56"/>
    <n v="2.1"/>
    <n v="5.8988764044943816"/>
  </r>
  <r>
    <x v="3"/>
    <n v="2"/>
    <n v="1"/>
    <n v="5"/>
    <n v="31"/>
    <x v="1"/>
    <x v="5"/>
    <n v="402"/>
    <d v="2024-12-13T00:00:00"/>
    <n v="3.47"/>
    <n v="3.47"/>
    <n v="1.19"/>
    <n v="3.4293948126801146"/>
  </r>
  <r>
    <x v="0"/>
    <n v="3"/>
    <n v="2"/>
    <n v="9"/>
    <n v="3"/>
    <x v="0"/>
    <x v="1"/>
    <n v="103"/>
    <d v="2024-12-13T00:00:00"/>
    <n v="3.16"/>
    <n v="3.16"/>
    <n v="1.76"/>
    <n v="5.5696202531645573"/>
  </r>
  <r>
    <x v="1"/>
    <n v="3"/>
    <n v="2"/>
    <n v="10"/>
    <n v="14"/>
    <x v="0"/>
    <x v="3"/>
    <n v="203"/>
    <d v="2024-12-13T00:00:00"/>
    <n v="3.1"/>
    <n v="3.1"/>
    <n v="1.7"/>
    <n v="5.4838709677419351"/>
  </r>
  <r>
    <x v="2"/>
    <n v="3"/>
    <n v="2"/>
    <n v="11"/>
    <n v="19"/>
    <x v="0"/>
    <x v="0"/>
    <n v="303"/>
    <d v="2024-12-13T00:00:00"/>
    <n v="3.32"/>
    <n v="3.32"/>
    <n v="2.1"/>
    <n v="6.3253012048192776"/>
  </r>
  <r>
    <x v="3"/>
    <n v="3"/>
    <n v="2"/>
    <n v="12"/>
    <n v="30"/>
    <x v="0"/>
    <x v="2"/>
    <n v="403"/>
    <d v="2024-12-13T00:00:00"/>
    <n v="3.96"/>
    <n v="3.96"/>
    <n v="2.59"/>
    <n v="6.5404040404040398"/>
  </r>
  <r>
    <x v="0"/>
    <n v="4"/>
    <n v="2"/>
    <n v="16"/>
    <n v="4"/>
    <x v="1"/>
    <x v="2"/>
    <n v="104"/>
    <d v="2024-12-13T00:00:00"/>
    <n v="3.59"/>
    <n v="3.59"/>
    <n v="2.42"/>
    <n v="6.740947075208914"/>
  </r>
  <r>
    <x v="1"/>
    <n v="4"/>
    <n v="2"/>
    <n v="15"/>
    <n v="13"/>
    <x v="1"/>
    <x v="5"/>
    <n v="204"/>
    <d v="2024-12-13T00:00:00"/>
    <n v="3.62"/>
    <n v="3.62"/>
    <n v="1.55"/>
    <n v="4.2817679558011053"/>
  </r>
  <r>
    <x v="2"/>
    <n v="4"/>
    <n v="2"/>
    <n v="14"/>
    <n v="20"/>
    <x v="1"/>
    <x v="4"/>
    <n v="304"/>
    <d v="2024-12-13T00:00:00"/>
    <n v="3.49"/>
    <n v="3.49"/>
    <n v="1.9"/>
    <n v="5.4441260744985671"/>
  </r>
  <r>
    <x v="3"/>
    <n v="4"/>
    <n v="2"/>
    <n v="13"/>
    <n v="29"/>
    <x v="1"/>
    <x v="3"/>
    <n v="404"/>
    <d v="2024-12-13T00:00:00"/>
    <n v="3.34"/>
    <n v="3.34"/>
    <n v="1.82"/>
    <n v="5.4491017964071853"/>
  </r>
  <r>
    <x v="0"/>
    <n v="5"/>
    <n v="3"/>
    <n v="17"/>
    <n v="5"/>
    <x v="0"/>
    <x v="2"/>
    <n v="105"/>
    <d v="2024-12-13T00:00:00"/>
    <n v="3.6"/>
    <n v="3.6"/>
    <n v="2.46"/>
    <n v="6.8333333333333339"/>
  </r>
  <r>
    <x v="1"/>
    <n v="5"/>
    <n v="3"/>
    <n v="18"/>
    <n v="12"/>
    <x v="0"/>
    <x v="0"/>
    <n v="205"/>
    <d v="2024-12-13T00:00:00"/>
    <n v="3.26"/>
    <n v="3.26"/>
    <n v="1.85"/>
    <n v="5.6748466257668717"/>
  </r>
  <r>
    <x v="2"/>
    <n v="5"/>
    <n v="3"/>
    <n v="19"/>
    <n v="21"/>
    <x v="0"/>
    <x v="3"/>
    <n v="305"/>
    <d v="2024-12-13T00:00:00"/>
    <n v="2.91"/>
    <n v="2.91"/>
    <n v="2.11"/>
    <n v="7.2508591065292087"/>
  </r>
  <r>
    <x v="3"/>
    <n v="5"/>
    <n v="3"/>
    <n v="20"/>
    <n v="28"/>
    <x v="0"/>
    <x v="1"/>
    <n v="405"/>
    <d v="2024-12-13T00:00:00"/>
    <n v="3.51"/>
    <n v="3.51"/>
    <n v="2.13"/>
    <n v="6.0683760683760681"/>
  </r>
  <r>
    <x v="0"/>
    <n v="6"/>
    <n v="3"/>
    <n v="24"/>
    <n v="6"/>
    <x v="1"/>
    <x v="3"/>
    <n v="106"/>
    <d v="2024-12-13T00:00:00"/>
    <n v="3.66"/>
    <n v="3.66"/>
    <n v="2.71"/>
    <n v="7.4043715846994536"/>
  </r>
  <r>
    <x v="1"/>
    <n v="6"/>
    <n v="3"/>
    <n v="23"/>
    <n v="11"/>
    <x v="1"/>
    <x v="4"/>
    <n v="206"/>
    <d v="2024-12-13T00:00:00"/>
    <n v="3.35"/>
    <n v="3.35"/>
    <n v="1.86"/>
    <n v="5.5522388059701493"/>
  </r>
  <r>
    <x v="2"/>
    <n v="6"/>
    <n v="3"/>
    <n v="22"/>
    <n v="22"/>
    <x v="1"/>
    <x v="5"/>
    <n v="306"/>
    <d v="2024-12-13T00:00:00"/>
    <n v="3.34"/>
    <n v="3.34"/>
    <n v="1.36"/>
    <n v="4.0718562874251507"/>
  </r>
  <r>
    <x v="3"/>
    <n v="6"/>
    <n v="3"/>
    <n v="21"/>
    <n v="27"/>
    <x v="1"/>
    <x v="2"/>
    <n v="406"/>
    <d v="2024-12-13T00:00:00"/>
    <n v="3.23"/>
    <n v="3.23"/>
    <n v="1.86"/>
    <n v="5.7585139318885457"/>
  </r>
  <r>
    <x v="0"/>
    <n v="7"/>
    <n v="4"/>
    <n v="25"/>
    <n v="7"/>
    <x v="0"/>
    <x v="3"/>
    <n v="107"/>
    <d v="2024-12-13T00:00:00"/>
    <n v="3.5"/>
    <n v="3.5"/>
    <n v="2.33"/>
    <n v="6.6571428571428575"/>
  </r>
  <r>
    <x v="1"/>
    <n v="7"/>
    <n v="4"/>
    <n v="26"/>
    <n v="10"/>
    <x v="0"/>
    <x v="2"/>
    <n v="207"/>
    <d v="2024-12-13T00:00:00"/>
    <n v="2.94"/>
    <n v="2.94"/>
    <n v="2.1"/>
    <n v="7.1428571428571432"/>
  </r>
  <r>
    <x v="2"/>
    <n v="7"/>
    <n v="4"/>
    <n v="27"/>
    <n v="23"/>
    <x v="0"/>
    <x v="1"/>
    <n v="307"/>
    <d v="2024-12-13T00:00:00"/>
    <n v="3.3"/>
    <n v="3.3"/>
    <n v="1.63"/>
    <n v="4.9393939393939386"/>
  </r>
  <r>
    <x v="3"/>
    <n v="7"/>
    <n v="4"/>
    <n v="28"/>
    <n v="26"/>
    <x v="0"/>
    <x v="0"/>
    <n v="407"/>
    <d v="2024-12-13T00:00:00"/>
    <n v="3.37"/>
    <n v="3.37"/>
    <n v="1.99"/>
    <n v="5.9050445103857561"/>
  </r>
  <r>
    <x v="0"/>
    <n v="8"/>
    <n v="4"/>
    <n v="32"/>
    <n v="8"/>
    <x v="1"/>
    <x v="5"/>
    <n v="108"/>
    <d v="2024-12-13T00:00:00"/>
    <n v="3.34"/>
    <n v="3.34"/>
    <n v="1.68"/>
    <n v="5.0299401197604796"/>
  </r>
  <r>
    <x v="1"/>
    <n v="8"/>
    <n v="4"/>
    <n v="31"/>
    <n v="9"/>
    <x v="1"/>
    <x v="3"/>
    <n v="208"/>
    <d v="2024-12-13T00:00:00"/>
    <n v="2.86"/>
    <n v="2.86"/>
    <n v="1.82"/>
    <n v="6.3636363636363633"/>
  </r>
  <r>
    <x v="2"/>
    <n v="8"/>
    <n v="4"/>
    <n v="30"/>
    <n v="24"/>
    <x v="1"/>
    <x v="2"/>
    <n v="308"/>
    <d v="2024-12-13T00:00:00"/>
    <n v="3.61"/>
    <n v="3.61"/>
    <n v="2.17"/>
    <n v="6.0110803324099722"/>
  </r>
  <r>
    <x v="3"/>
    <n v="8"/>
    <n v="4"/>
    <n v="29"/>
    <n v="25"/>
    <x v="1"/>
    <x v="4"/>
    <n v="408"/>
    <d v="2024-12-13T00:00:00"/>
    <n v="2.88"/>
    <n v="2.88"/>
    <n v="1.38"/>
    <n v="4.7916666666666661"/>
  </r>
  <r>
    <x v="4"/>
    <m/>
    <m/>
    <m/>
    <m/>
    <x v="2"/>
    <x v="6"/>
    <m/>
    <m/>
    <m/>
    <m/>
    <m/>
    <m/>
  </r>
  <r>
    <x v="4"/>
    <m/>
    <m/>
    <m/>
    <m/>
    <x v="2"/>
    <x v="6"/>
    <m/>
    <m/>
    <m/>
    <m/>
    <m/>
    <m/>
  </r>
  <r>
    <x v="4"/>
    <m/>
    <m/>
    <m/>
    <m/>
    <x v="2"/>
    <x v="6"/>
    <m/>
    <m/>
    <m/>
    <m/>
    <m/>
    <m/>
  </r>
  <r>
    <x v="4"/>
    <m/>
    <m/>
    <m/>
    <m/>
    <x v="2"/>
    <x v="6"/>
    <m/>
    <m/>
    <m/>
    <m/>
    <m/>
    <m/>
  </r>
  <r>
    <x v="4"/>
    <m/>
    <m/>
    <m/>
    <m/>
    <x v="2"/>
    <x v="6"/>
    <m/>
    <m/>
    <m/>
    <m/>
    <m/>
    <m/>
  </r>
  <r>
    <x v="4"/>
    <m/>
    <m/>
    <m/>
    <m/>
    <x v="2"/>
    <x v="6"/>
    <m/>
    <m/>
    <m/>
    <m/>
    <m/>
    <m/>
  </r>
  <r>
    <x v="4"/>
    <m/>
    <m/>
    <m/>
    <m/>
    <x v="2"/>
    <x v="6"/>
    <m/>
    <m/>
    <m/>
    <m/>
    <m/>
    <m/>
  </r>
  <r>
    <x v="4"/>
    <m/>
    <m/>
    <m/>
    <m/>
    <x v="2"/>
    <x v="6"/>
    <m/>
    <m/>
    <m/>
    <m/>
    <m/>
    <m/>
  </r>
  <r>
    <x v="4"/>
    <m/>
    <m/>
    <m/>
    <m/>
    <x v="2"/>
    <x v="6"/>
    <m/>
    <m/>
    <m/>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n v="1"/>
    <n v="1"/>
    <n v="1"/>
    <n v="1"/>
    <x v="0"/>
    <x v="0"/>
    <n v="101"/>
    <n v="1"/>
    <s v="14/11/2024"/>
    <n v="0.5"/>
    <n v="801"/>
    <n v="644"/>
    <n v="254"/>
    <n v="0.39440993788819878"/>
    <n v="502"/>
    <n v="218"/>
    <n v="30"/>
    <n v="8.1999999999999993"/>
    <n v="25.85"/>
    <n v="47.41"/>
    <n v="27.1"/>
    <n v="9.6"/>
    <n v="200"/>
    <n v="7.23"/>
    <n v="81.459999999999994"/>
    <n v="2.7153333333333332"/>
    <n v="1288"/>
    <n v="0.10066290203780996"/>
    <n v="0.31733366069236441"/>
    <n v="0.58200343726982573"/>
    <n v="0.33267861527129883"/>
    <n v="0.11784925116621656"/>
    <n v="129.65381782469922"/>
    <n v="408.72575497176535"/>
    <n v="749.62042720353554"/>
    <n v="428.49005646943289"/>
    <n v="151.78983550208693"/>
    <n v="562.20000000000005"/>
    <n v="0.43649068322981371"/>
    <n v="71.653543307086608"/>
    <n v="36.15"/>
    <n v="15551.867219917012"/>
  </r>
  <r>
    <x v="0"/>
    <n v="2"/>
    <n v="1"/>
    <n v="8"/>
    <n v="2"/>
    <x v="1"/>
    <x v="1"/>
    <n v="102"/>
    <n v="2"/>
    <s v="14/11/2024"/>
    <n v="0.5"/>
    <n v="800"/>
    <n v="583"/>
    <n v="248"/>
    <n v="0.42538593481989706"/>
    <n v="618"/>
    <n v="275"/>
    <n v="30"/>
    <n v="11.68"/>
    <n v="40.799999999999997"/>
    <n v="71.069999999999993"/>
    <n v="46.01"/>
    <n v="16.649999999999999"/>
    <n v="203"/>
    <n v="7.53"/>
    <n v="123.54999999999998"/>
    <n v="4.1183333333333332"/>
    <n v="1166"/>
    <n v="9.4536624848239589E-2"/>
    <n v="0.33023067583974103"/>
    <n v="0.57523269931201948"/>
    <n v="0.37239983812221777"/>
    <n v="0.13476325374342371"/>
    <n v="110.22970457304736"/>
    <n v="385.04896802913805"/>
    <n v="670.72132739781466"/>
    <n v="434.21821125050593"/>
    <n v="157.13395386483205"/>
    <n v="588.02"/>
    <n v="0.50430531732418526"/>
    <n v="121.7741935483871"/>
    <n v="37.093596059113302"/>
    <n v="15852.332005312082"/>
  </r>
  <r>
    <x v="0"/>
    <n v="3"/>
    <n v="2"/>
    <n v="9"/>
    <n v="3"/>
    <x v="0"/>
    <x v="2"/>
    <n v="103"/>
    <n v="3"/>
    <s v="14/11/2024"/>
    <n v="0.5"/>
    <n v="661"/>
    <n v="486"/>
    <n v="194"/>
    <n v="0.3991769547325103"/>
    <n v="506"/>
    <n v="222"/>
    <n v="30"/>
    <n v="10.029999999999999"/>
    <n v="34.299999999999997"/>
    <n v="70.5"/>
    <n v="43.3"/>
    <n v="18.43"/>
    <n v="200"/>
    <n v="7.83"/>
    <n v="114.83"/>
    <n v="3.8276666666666666"/>
    <n v="972"/>
    <n v="8.7346512235478527E-2"/>
    <n v="0.2987024296786554"/>
    <n v="0.61395105808586603"/>
    <n v="0.37707916049812767"/>
    <n v="0.16049812766698598"/>
    <n v="84.900809892885121"/>
    <n v="290.33876164765303"/>
    <n v="596.76042845946176"/>
    <n v="366.52094400418008"/>
    <n v="156.00418009231038"/>
    <n v="474.6"/>
    <n v="0.48827160493827165"/>
    <n v="128.86597938144331"/>
    <n v="39.15"/>
    <n v="12122.605363984676"/>
  </r>
  <r>
    <x v="0"/>
    <n v="4"/>
    <n v="2"/>
    <n v="16"/>
    <n v="4"/>
    <x v="1"/>
    <x v="3"/>
    <n v="104"/>
    <n v="4"/>
    <s v="14/11/2024"/>
    <n v="0.5"/>
    <n v="745"/>
    <n v="554"/>
    <n v="277"/>
    <n v="0.5"/>
    <n v="429"/>
    <n v="220"/>
    <n v="30"/>
    <n v="8.51"/>
    <n v="22.76"/>
    <n v="66.86"/>
    <n v="42.54"/>
    <n v="15.78"/>
    <n v="200"/>
    <n v="8.42"/>
    <n v="98.13"/>
    <n v="3.2709999999999999"/>
    <n v="1108"/>
    <n v="8.6721695709772756E-2"/>
    <n v="0.23193722612860493"/>
    <n v="0.68134107816162237"/>
    <n v="0.4335065729134821"/>
    <n v="0.16080709263222256"/>
    <n v="96.08763884642822"/>
    <n v="256.98644655049424"/>
    <n v="754.92591460307756"/>
    <n v="480.32528278813817"/>
    <n v="178.1742586365026"/>
    <n v="639.08000000000004"/>
    <n v="0.57678700361010837"/>
    <n v="58.844765342960287"/>
    <n v="42.1"/>
    <n v="15180.047505938244"/>
  </r>
  <r>
    <x v="0"/>
    <n v="5"/>
    <n v="3"/>
    <n v="17"/>
    <n v="5"/>
    <x v="0"/>
    <x v="3"/>
    <n v="105"/>
    <n v="5"/>
    <s v="14/11/2024"/>
    <n v="0.5"/>
    <n v="976"/>
    <n v="780"/>
    <n v="385"/>
    <n v="0.49358974358974361"/>
    <n v="702"/>
    <n v="366"/>
    <n v="30"/>
    <n v="9.15"/>
    <n v="25.59"/>
    <n v="76.72"/>
    <n v="50.45"/>
    <n v="17.03"/>
    <n v="200"/>
    <n v="8.15"/>
    <n v="111.46000000000001"/>
    <n v="3.7153333333333336"/>
    <n v="1560"/>
    <n v="8.2092230396554819E-2"/>
    <n v="0.22958909025659427"/>
    <n v="0.68831867934685087"/>
    <n v="0.45262874573838147"/>
    <n v="0.15279023865063701"/>
    <n v="128.0638794186255"/>
    <n v="358.15898080028705"/>
    <n v="1073.7771397810873"/>
    <n v="706.10084335187514"/>
    <n v="238.35277229499374"/>
    <n v="870.9"/>
    <n v="0.55826923076923074"/>
    <n v="90.129870129870127"/>
    <n v="40.75"/>
    <n v="21371.779141104293"/>
  </r>
  <r>
    <x v="0"/>
    <n v="6"/>
    <n v="3"/>
    <n v="24"/>
    <n v="6"/>
    <x v="1"/>
    <x v="4"/>
    <n v="106"/>
    <n v="6"/>
    <s v="14/11/2024"/>
    <n v="0.5"/>
    <n v="846"/>
    <n v="647"/>
    <n v="297"/>
    <n v="0.45904173106646057"/>
    <n v="453"/>
    <n v="224"/>
    <n v="30"/>
    <n v="8.19"/>
    <n v="31.89"/>
    <n v="71.45"/>
    <n v="48.2"/>
    <n v="14.6"/>
    <n v="200"/>
    <n v="7.96"/>
    <n v="111.53"/>
    <n v="3.7176666666666667"/>
    <n v="1294"/>
    <n v="7.3433156998117088E-2"/>
    <n v="0.28593203622343766"/>
    <n v="0.64063480677844531"/>
    <n v="0.43217071639917515"/>
    <n v="0.130906482560746"/>
    <n v="95.022505155563508"/>
    <n v="369.99605487312834"/>
    <n v="828.98143997130819"/>
    <n v="559.22890702053269"/>
    <n v="169.39298843360532"/>
    <n v="690.4"/>
    <n v="0.53353941267387939"/>
    <n v="50.841750841750844"/>
    <n v="39.800000000000004"/>
    <n v="17346.733668341709"/>
  </r>
  <r>
    <x v="0"/>
    <n v="7"/>
    <n v="4"/>
    <n v="25"/>
    <n v="7"/>
    <x v="0"/>
    <x v="4"/>
    <n v="107"/>
    <n v="7"/>
    <s v="14/11/2024"/>
    <n v="0.5"/>
    <n v="967"/>
    <n v="769"/>
    <n v="344"/>
    <n v="0.44733420026007803"/>
    <n v="625"/>
    <n v="291"/>
    <n v="30"/>
    <n v="8.67"/>
    <n v="37.75"/>
    <n v="75.489999999999995"/>
    <n v="51"/>
    <n v="15.25"/>
    <n v="201"/>
    <n v="8.4600000000000009"/>
    <n v="121.91"/>
    <n v="4.0636666666666663"/>
    <n v="1538"/>
    <n v="7.1118037896809122E-2"/>
    <n v="0.30965466327618735"/>
    <n v="0.61922729882700345"/>
    <n v="0.41834139939299486"/>
    <n v="0.12509228119104257"/>
    <n v="109.37954228529243"/>
    <n v="476.24887211877615"/>
    <n v="952.37158559593126"/>
    <n v="643.40907226642605"/>
    <n v="192.39192847182346"/>
    <n v="790"/>
    <n v="0.51365409622886871"/>
    <n v="69.186046511627907"/>
    <n v="42.089552238805979"/>
    <n v="18769.503546099288"/>
  </r>
  <r>
    <x v="0"/>
    <n v="8"/>
    <n v="4"/>
    <n v="32"/>
    <n v="8"/>
    <x v="1"/>
    <x v="5"/>
    <n v="108"/>
    <n v="8"/>
    <s v="14/11/2024"/>
    <n v="0.5"/>
    <n v="636"/>
    <n v="456"/>
    <n v="181"/>
    <n v="0.39692982456140352"/>
    <n v="408"/>
    <n v="182"/>
    <n v="30"/>
    <n v="9.49"/>
    <n v="33.270000000000003"/>
    <n v="66.87"/>
    <n v="43.49"/>
    <n v="15.09"/>
    <n v="201"/>
    <n v="8.5299999999999994"/>
    <n v="109.63000000000001"/>
    <n v="3.6543333333333337"/>
    <n v="912"/>
    <n v="8.6563896743592078E-2"/>
    <n v="0.30347532609687128"/>
    <n v="0.60996077715953656"/>
    <n v="0.39669798412843199"/>
    <n v="0.1376448052540363"/>
    <n v="78.946273830155974"/>
    <n v="276.76949740034661"/>
    <n v="556.2842287694973"/>
    <n v="361.78856152512998"/>
    <n v="125.53206239168111"/>
    <n v="448.98"/>
    <n v="0.49230263157894738"/>
    <n v="101.10497237569061"/>
    <n v="42.437810945273633"/>
    <n v="10579.716295427903"/>
  </r>
  <r>
    <x v="1"/>
    <n v="1"/>
    <n v="1"/>
    <n v="2"/>
    <n v="16"/>
    <x v="0"/>
    <x v="2"/>
    <n v="201"/>
    <n v="9"/>
    <s v="14/11/2024"/>
    <n v="0.5"/>
    <n v="701"/>
    <n v="529"/>
    <n v="181"/>
    <n v="0.34215500945179583"/>
    <n v="639"/>
    <n v="274"/>
    <n v="30"/>
    <n v="9.07"/>
    <n v="34.1"/>
    <n v="61.64"/>
    <n v="36.39"/>
    <n v="16.45"/>
    <n v="200"/>
    <n v="7.95"/>
    <n v="104.81"/>
    <n v="3.4936666666666669"/>
    <n v="1058"/>
    <n v="8.6537544127468752E-2"/>
    <n v="0.32535063448144264"/>
    <n v="0.58811182139108864"/>
    <n v="0.34719969468562162"/>
    <n v="0.15695067264573989"/>
    <n v="91.556721686861934"/>
    <n v="344.2209712813663"/>
    <n v="622.22230703177183"/>
    <n v="367.33727697738766"/>
    <n v="166.0538116591928"/>
    <n v="434.78"/>
    <n v="0.41094517958412097"/>
    <n v="202.76243093922653"/>
    <n v="39.75"/>
    <n v="10937.861635220124"/>
  </r>
  <r>
    <x v="1"/>
    <n v="2"/>
    <n v="1"/>
    <n v="7"/>
    <n v="15"/>
    <x v="1"/>
    <x v="3"/>
    <n v="202"/>
    <n v="10"/>
    <s v="14/11/2024"/>
    <n v="0.5"/>
    <n v="703"/>
    <n v="537"/>
    <n v="257"/>
    <n v="0.47858472998137802"/>
    <n v="406"/>
    <n v="209"/>
    <n v="30"/>
    <n v="7.7"/>
    <n v="20.66"/>
    <n v="59.7"/>
    <n v="37.770000000000003"/>
    <n v="13.43"/>
    <n v="200"/>
    <n v="8.74"/>
    <n v="88.06"/>
    <n v="2.9353333333333333"/>
    <n v="1074"/>
    <n v="8.7440381558028621E-2"/>
    <n v="0.23461276402452871"/>
    <n v="0.67794685441744262"/>
    <n v="0.42891210538269364"/>
    <n v="0.15250965250965251"/>
    <n v="93.910969793322735"/>
    <n v="251.97410856234384"/>
    <n v="728.11492164433332"/>
    <n v="460.65160118101295"/>
    <n v="163.79536679536679"/>
    <n v="589.54"/>
    <n v="0.54891992551210422"/>
    <n v="62.645914396887157"/>
    <n v="43.7"/>
    <n v="13490.617848970251"/>
  </r>
  <r>
    <x v="1"/>
    <n v="3"/>
    <n v="2"/>
    <n v="10"/>
    <n v="14"/>
    <x v="0"/>
    <x v="4"/>
    <n v="203"/>
    <n v="11"/>
    <s v="14/11/2024"/>
    <n v="0.5"/>
    <n v="785"/>
    <n v="615"/>
    <n v="274"/>
    <n v="0.44552845528455287"/>
    <n v="690"/>
    <n v="330"/>
    <n v="30"/>
    <n v="8.6"/>
    <n v="32.979999999999997"/>
    <n v="67.260000000000005"/>
    <n v="44.64"/>
    <n v="14.22"/>
    <n v="200"/>
    <n v="8.66"/>
    <n v="108.84"/>
    <n v="3.6280000000000001"/>
    <n v="1230"/>
    <n v="7.9015067989709656E-2"/>
    <n v="0.30301359794193305"/>
    <n v="0.61797133406835725"/>
    <n v="0.41014332965821387"/>
    <n v="0.13065049614112459"/>
    <n v="97.188533627342878"/>
    <n v="372.70672546857764"/>
    <n v="760.10474090407945"/>
    <n v="504.47629547960304"/>
    <n v="160.70011025358323"/>
    <n v="637.28"/>
    <n v="0.51811382113821136"/>
    <n v="140.87591240875912"/>
    <n v="43.3"/>
    <n v="14717.782909930716"/>
  </r>
  <r>
    <x v="1"/>
    <n v="4"/>
    <n v="2"/>
    <n v="15"/>
    <n v="13"/>
    <x v="1"/>
    <x v="5"/>
    <n v="204"/>
    <n v="12"/>
    <s v="14/11/2024"/>
    <n v="0.5"/>
    <n v="758"/>
    <n v="546"/>
    <n v="193"/>
    <n v="0.3534798534798535"/>
    <n v="550"/>
    <n v="240"/>
    <n v="30"/>
    <n v="10.1"/>
    <n v="36.270000000000003"/>
    <n v="58.58"/>
    <n v="35"/>
    <n v="14.77"/>
    <n v="201"/>
    <n v="8.56"/>
    <n v="104.95"/>
    <n v="3.4983333333333335"/>
    <n v="1092"/>
    <n v="9.6236303001429241E-2"/>
    <n v="0.3455931395902811"/>
    <n v="0.55817055740828958"/>
    <n v="0.33349213911386372"/>
    <n v="0.14073368270605049"/>
    <n v="105.09004287756073"/>
    <n v="377.38770843258698"/>
    <n v="609.52224868985218"/>
    <n v="364.17341591233918"/>
    <n v="153.68118151500715"/>
    <n v="456"/>
    <n v="0.4175824175824176"/>
    <n v="148.70466321243524"/>
    <n v="42.587064676616919"/>
    <n v="10707.476635514018"/>
  </r>
  <r>
    <x v="1"/>
    <n v="5"/>
    <n v="3"/>
    <n v="18"/>
    <n v="12"/>
    <x v="0"/>
    <x v="0"/>
    <n v="205"/>
    <n v="13"/>
    <s v="14/11/2024"/>
    <n v="0.5"/>
    <n v="850"/>
    <n v="680"/>
    <n v="283"/>
    <n v="0.41617647058823531"/>
    <n v="710"/>
    <n v="323"/>
    <n v="30"/>
    <n v="8.89"/>
    <n v="25.98"/>
    <n v="48.17"/>
    <n v="29.6"/>
    <n v="10.07"/>
    <n v="202"/>
    <n v="7.31"/>
    <n v="83.04"/>
    <n v="2.7680000000000002"/>
    <n v="1360"/>
    <n v="0.10705684007707129"/>
    <n v="0.31286127167630057"/>
    <n v="0.5800818882466281"/>
    <n v="0.3564547206165703"/>
    <n v="0.12126685934489402"/>
    <n v="145.59730250481695"/>
    <n v="425.49132947976875"/>
    <n v="788.91136801541415"/>
    <n v="484.77842003853561"/>
    <n v="164.92292870905587"/>
    <n v="625.20000000000005"/>
    <n v="0.45970588235294119"/>
    <n v="128.26855123674912"/>
    <n v="36.188118811881182"/>
    <n v="17276.388508891934"/>
  </r>
  <r>
    <x v="1"/>
    <n v="6"/>
    <n v="3"/>
    <n v="23"/>
    <n v="11"/>
    <x v="1"/>
    <x v="1"/>
    <n v="206"/>
    <n v="14"/>
    <s v="14/11/2024"/>
    <n v="0.5"/>
    <n v="1026"/>
    <n v="764"/>
    <n v="313"/>
    <n v="0.40968586387434552"/>
    <n v="657"/>
    <n v="293"/>
    <n v="30"/>
    <n v="9.91"/>
    <n v="44.51"/>
    <n v="72.03"/>
    <n v="46.12"/>
    <n v="17.52"/>
    <n v="200"/>
    <n v="7.82"/>
    <n v="126.45"/>
    <n v="4.2149999999999999"/>
    <n v="1528"/>
    <n v="7.8370897587979438E-2"/>
    <n v="0.35199683669434556"/>
    <n v="0.569632265717675"/>
    <n v="0.36472914195334122"/>
    <n v="0.13855278766310794"/>
    <n v="119.75073151443259"/>
    <n v="537.85116646896006"/>
    <n v="870.39810201660737"/>
    <n v="557.30612890470536"/>
    <n v="211.70865954922894"/>
    <n v="718.24"/>
    <n v="0.47005235602094242"/>
    <n v="87.220447284345042"/>
    <n v="39.1"/>
    <n v="18369.3094629156"/>
  </r>
  <r>
    <x v="1"/>
    <n v="7"/>
    <n v="4"/>
    <n v="26"/>
    <n v="10"/>
    <x v="0"/>
    <x v="3"/>
    <n v="207"/>
    <n v="15"/>
    <s v="14/11/2024"/>
    <n v="0.5"/>
    <n v="713"/>
    <n v="534"/>
    <n v="255"/>
    <n v="0.47752808988764045"/>
    <n v="604"/>
    <n v="297"/>
    <n v="30"/>
    <n v="10.9"/>
    <n v="28.2"/>
    <n v="80.97"/>
    <n v="53.98"/>
    <n v="18.36"/>
    <n v="203"/>
    <n v="7.96"/>
    <n v="120.07"/>
    <n v="4.0023333333333335"/>
    <n v="1068"/>
    <n v="9.0780378112767554E-2"/>
    <n v="0.23486299658532522"/>
    <n v="0.67435662530190721"/>
    <n v="0.44957108353460479"/>
    <n v="0.15291080203214791"/>
    <n v="96.953443824435752"/>
    <n v="250.83368035312733"/>
    <n v="720.2128758224369"/>
    <n v="480.14191721495791"/>
    <n v="163.30873657033396"/>
    <n v="617.96"/>
    <n v="0.57861423220973784"/>
    <n v="132.94117647058823"/>
    <n v="39.211822660098527"/>
    <n v="15759.532663316582"/>
  </r>
  <r>
    <x v="1"/>
    <n v="8"/>
    <n v="4"/>
    <n v="31"/>
    <n v="9"/>
    <x v="1"/>
    <x v="4"/>
    <n v="208"/>
    <n v="16"/>
    <s v="14/11/2024"/>
    <n v="0.5"/>
    <n v="729"/>
    <n v="562"/>
    <n v="270"/>
    <n v="0.4804270462633452"/>
    <n v="450"/>
    <n v="223"/>
    <n v="30"/>
    <n v="7.15"/>
    <n v="27.96"/>
    <n v="64.13"/>
    <n v="42.45"/>
    <n v="13.33"/>
    <n v="200"/>
    <n v="8.19"/>
    <n v="99.24"/>
    <n v="3.3079999999999998"/>
    <n v="1124"/>
    <n v="7.2047561467150356E-2"/>
    <n v="0.28174123337363971"/>
    <n v="0.64621120515920993"/>
    <n v="0.42775090689238215"/>
    <n v="0.13432083837162434"/>
    <n v="80.981459089077006"/>
    <n v="316.67714631197106"/>
    <n v="726.34139459895198"/>
    <n v="480.79201934703752"/>
    <n v="150.97662232970575"/>
    <n v="624.9"/>
    <n v="0.55596085409252671"/>
    <n v="65.18518518518519"/>
    <n v="40.950000000000003"/>
    <n v="15260.073260073259"/>
  </r>
  <r>
    <x v="2"/>
    <n v="1"/>
    <n v="1"/>
    <n v="3"/>
    <n v="17"/>
    <x v="0"/>
    <x v="3"/>
    <n v="301"/>
    <n v="17"/>
    <s v="14/11/2024"/>
    <n v="0.5"/>
    <n v="844"/>
    <n v="682"/>
    <n v="345"/>
    <n v="0.50586510263929618"/>
    <n v="413"/>
    <n v="216"/>
    <n v="30"/>
    <n v="6.53"/>
    <n v="22.79"/>
    <n v="73.02"/>
    <n v="48.02"/>
    <n v="16.649999999999999"/>
    <n v="200"/>
    <n v="8.11"/>
    <n v="102.34"/>
    <n v="3.4113333333333333"/>
    <n v="1364"/>
    <n v="6.3806918116083647E-2"/>
    <n v="0.22268907563025209"/>
    <n v="0.71350400625366417"/>
    <n v="0.4692202462380301"/>
    <n v="0.16269298417041234"/>
    <n v="87.032636310338091"/>
    <n v="303.74789915966386"/>
    <n v="973.21946452999794"/>
    <n v="640.01641586867311"/>
    <n v="221.91323040844242"/>
    <n v="786.04"/>
    <n v="0.57627565982404694"/>
    <n v="25.217391304347824"/>
    <n v="40.549999999999997"/>
    <n v="19384.463625154131"/>
  </r>
  <r>
    <x v="2"/>
    <n v="2"/>
    <n v="1"/>
    <n v="6"/>
    <n v="18"/>
    <x v="1"/>
    <x v="4"/>
    <n v="302"/>
    <n v="18"/>
    <s v="14/11/2024"/>
    <n v="0.5"/>
    <n v="705"/>
    <n v="515"/>
    <n v="255"/>
    <n v="0.49514563106796117"/>
    <n v="422"/>
    <n v="220"/>
    <n v="30"/>
    <n v="6.87"/>
    <n v="27.23"/>
    <n v="65.319999999999993"/>
    <n v="43.72"/>
    <n v="13.42"/>
    <n v="202"/>
    <n v="7.85"/>
    <n v="99.419999999999987"/>
    <n v="3.3139999999999996"/>
    <n v="1030"/>
    <n v="6.9100784550392286E-2"/>
    <n v="0.2738885536109435"/>
    <n v="0.6570106618386643"/>
    <n v="0.43975055320861001"/>
    <n v="0.13498290082478376"/>
    <n v="71.17380808690406"/>
    <n v="282.10521021927178"/>
    <n v="676.72098169382423"/>
    <n v="452.94306980486829"/>
    <n v="139.03238784952728"/>
    <n v="597.44000000000005"/>
    <n v="0.58003883495145636"/>
    <n v="72.549019607843135"/>
    <n v="38.861386138613859"/>
    <n v="15373.615286624205"/>
  </r>
  <r>
    <x v="2"/>
    <n v="3"/>
    <n v="2"/>
    <n v="11"/>
    <n v="19"/>
    <x v="0"/>
    <x v="0"/>
    <n v="303"/>
    <n v="19"/>
    <s v="14/11/2024"/>
    <n v="0.5"/>
    <n v="683"/>
    <n v="532"/>
    <n v="248"/>
    <n v="0.46616541353383456"/>
    <n v="584"/>
    <n v="296"/>
    <n v="30"/>
    <n v="6.49"/>
    <n v="24.17"/>
    <n v="52.63"/>
    <n v="33.18"/>
    <n v="11.28"/>
    <n v="201"/>
    <n v="7.48"/>
    <n v="83.29"/>
    <n v="2.7763333333333335"/>
    <n v="1064"/>
    <n v="7.7920518669708241E-2"/>
    <n v="0.29019089926761915"/>
    <n v="0.63188858206267262"/>
    <n v="0.39836715091847757"/>
    <n v="0.13543042382038659"/>
    <n v="82.907431864569574"/>
    <n v="308.7631168207468"/>
    <n v="672.32945131468364"/>
    <n v="423.86264857726013"/>
    <n v="144.09797094489133"/>
    <n v="562.36"/>
    <n v="0.52853383458646619"/>
    <n v="138.70967741935485"/>
    <n v="37.213930348258707"/>
    <n v="15111.545454545456"/>
  </r>
  <r>
    <x v="2"/>
    <n v="4"/>
    <n v="2"/>
    <n v="14"/>
    <n v="20"/>
    <x v="1"/>
    <x v="1"/>
    <n v="304"/>
    <n v="20"/>
    <s v="14/11/2024"/>
    <n v="0.5"/>
    <n v="612"/>
    <n v="463"/>
    <n v="205"/>
    <n v="0.4427645788336933"/>
    <n v="517"/>
    <n v="242"/>
    <n v="30"/>
    <n v="6.42"/>
    <n v="33.06"/>
    <n v="59.62"/>
    <n v="36.5"/>
    <n v="14.87"/>
    <n v="200"/>
    <n v="7.28"/>
    <n v="99.1"/>
    <n v="3.3033333333333332"/>
    <n v="926"/>
    <n v="6.4783047426841572E-2"/>
    <n v="0.3336024217961655"/>
    <n v="0.6016145307769929"/>
    <n v="0.36831483350151362"/>
    <n v="0.15005045408678103"/>
    <n v="59.989101917255297"/>
    <n v="308.91584258324923"/>
    <n v="557.0950554994954"/>
    <n v="341.05953582240159"/>
    <n v="138.94672048435922"/>
    <n v="483"/>
    <n v="0.52159827213822896"/>
    <n v="136.09756097560975"/>
    <n v="36.4"/>
    <n v="13269.230769230768"/>
  </r>
  <r>
    <x v="2"/>
    <n v="5"/>
    <n v="3"/>
    <n v="19"/>
    <n v="21"/>
    <x v="0"/>
    <x v="4"/>
    <n v="305"/>
    <n v="21"/>
    <s v="14/11/2024"/>
    <n v="0.5"/>
    <n v="709"/>
    <n v="550"/>
    <n v="262"/>
    <n v="0.47636363636363638"/>
    <n v="630"/>
    <n v="306"/>
    <n v="30"/>
    <n v="7.24"/>
    <n v="28.76"/>
    <n v="67.31"/>
    <n v="44.72"/>
    <n v="14.18"/>
    <n v="205"/>
    <n v="8.5500000000000007"/>
    <n v="103.31"/>
    <n v="3.4436666666666667"/>
    <n v="1100"/>
    <n v="7.0080340722098539E-2"/>
    <n v="0.27838544187397157"/>
    <n v="0.65153421740392992"/>
    <n v="0.43287193882489594"/>
    <n v="0.13725679992256315"/>
    <n v="77.088374794308393"/>
    <n v="306.22398606136875"/>
    <n v="716.68763914432293"/>
    <n v="476.15913270738554"/>
    <n v="150.98247991481946"/>
    <n v="613.44000000000005"/>
    <n v="0.55767272727272732"/>
    <n v="133.58778625954199"/>
    <n v="41.707317073170735"/>
    <n v="14708.21052631579"/>
  </r>
  <r>
    <x v="2"/>
    <n v="6"/>
    <n v="3"/>
    <n v="22"/>
    <n v="22"/>
    <x v="1"/>
    <x v="5"/>
    <n v="306"/>
    <n v="22"/>
    <s v="14/11/2024"/>
    <n v="0.5"/>
    <n v="624"/>
    <n v="420"/>
    <n v="153"/>
    <n v="0.36428571428571427"/>
    <n v="437"/>
    <n v="191"/>
    <n v="30"/>
    <n v="8.9"/>
    <n v="38.11"/>
    <n v="58.12"/>
    <n v="33.630000000000003"/>
    <n v="15.91"/>
    <n v="200"/>
    <n v="9.0299999999999994"/>
    <n v="105.13"/>
    <n v="3.5043333333333333"/>
    <n v="840"/>
    <n v="8.4657091220393804E-2"/>
    <n v="0.36250356701227054"/>
    <n v="0.55283934176733573"/>
    <n v="0.31988966042043188"/>
    <n v="0.15133644059735565"/>
    <n v="71.111956625130802"/>
    <n v="304.50299629030724"/>
    <n v="464.38504708456202"/>
    <n v="268.70731475316279"/>
    <n v="127.12261010177875"/>
    <n v="373.26"/>
    <n v="0.44435714285714284"/>
    <n v="149.67320261437908"/>
    <n v="45.15"/>
    <n v="8267.1096345514961"/>
  </r>
  <r>
    <x v="2"/>
    <n v="7"/>
    <n v="4"/>
    <n v="27"/>
    <n v="23"/>
    <x v="0"/>
    <x v="2"/>
    <n v="307"/>
    <n v="23"/>
    <s v="14/11/2024"/>
    <n v="0.5"/>
    <n v="654"/>
    <n v="483"/>
    <n v="191"/>
    <n v="0.39544513457556935"/>
    <n v="515"/>
    <n v="230"/>
    <n v="30"/>
    <n v="9.14"/>
    <n v="37.24"/>
    <n v="68.53"/>
    <n v="41.21"/>
    <n v="19.18"/>
    <n v="200"/>
    <n v="8.06"/>
    <n v="114.91"/>
    <n v="3.8303333333333334"/>
    <n v="966"/>
    <n v="7.9540509964319911E-2"/>
    <n v="0.3240797145592203"/>
    <n v="0.59637977547645982"/>
    <n v="0.35862849186319729"/>
    <n v="0.16691323644591419"/>
    <n v="76.83613262553304"/>
    <n v="313.06100426420682"/>
    <n v="576.10286311026016"/>
    <n v="346.4351231398486"/>
    <n v="161.2381864067531"/>
    <n v="464.42"/>
    <n v="0.48076604554865426"/>
    <n v="140.83769633507853"/>
    <n v="40.300000000000004"/>
    <n v="11524.069478908188"/>
  </r>
  <r>
    <x v="2"/>
    <n v="8"/>
    <n v="4"/>
    <n v="30"/>
    <n v="24"/>
    <x v="1"/>
    <x v="3"/>
    <n v="308"/>
    <n v="24"/>
    <s v="14/11/2024"/>
    <n v="0.5"/>
    <n v="652"/>
    <n v="496"/>
    <n v="251"/>
    <n v="0.50604838709677424"/>
    <n v="327"/>
    <n v="162"/>
    <n v="30"/>
    <n v="7.6"/>
    <n v="21.37"/>
    <n v="69.7"/>
    <n v="45.3"/>
    <n v="15.59"/>
    <n v="200"/>
    <n v="8.7200000000000006"/>
    <n v="98.67"/>
    <n v="3.2890000000000001"/>
    <n v="992"/>
    <n v="7.7024424850511808E-2"/>
    <n v="0.21658052092834701"/>
    <n v="0.70639505422114124"/>
    <n v="0.45910611128002426"/>
    <n v="0.15800141887098409"/>
    <n v="76.408229451707712"/>
    <n v="214.84787676092023"/>
    <n v="700.74389378737214"/>
    <n v="455.43326238978409"/>
    <n v="156.73740752001623"/>
    <n v="592.6"/>
    <n v="0.59737903225806455"/>
    <n v="29.083665338645417"/>
    <n v="43.6"/>
    <n v="13591.743119266055"/>
  </r>
  <r>
    <x v="3"/>
    <n v="1"/>
    <n v="1"/>
    <n v="4"/>
    <n v="32"/>
    <x v="0"/>
    <x v="4"/>
    <n v="401"/>
    <n v="25"/>
    <s v="14/11/2024"/>
    <n v="0.5"/>
    <n v="771"/>
    <n v="599"/>
    <n v="277"/>
    <n v="0.46243739565943237"/>
    <n v="579"/>
    <n v="279"/>
    <n v="30"/>
    <n v="6.95"/>
    <n v="33.130000000000003"/>
    <n v="72.150000000000006"/>
    <n v="48.19"/>
    <n v="15.44"/>
    <n v="204"/>
    <n v="8.4700000000000006"/>
    <n v="112.23000000000002"/>
    <n v="3.7410000000000005"/>
    <n v="1198"/>
    <n v="6.1926401140515008E-2"/>
    <n v="0.29519736255903056"/>
    <n v="0.64287623630045432"/>
    <n v="0.429386082152722"/>
    <n v="0.13757462354094269"/>
    <n v="74.187828566336975"/>
    <n v="353.64644034571859"/>
    <n v="770.16573108794432"/>
    <n v="514.40452641896093"/>
    <n v="164.81439900204933"/>
    <n v="650.38"/>
    <n v="0.54288814691151921"/>
    <n v="101.44404332129965"/>
    <n v="41.519607843137258"/>
    <n v="15664.406139315228"/>
  </r>
  <r>
    <x v="3"/>
    <n v="2"/>
    <n v="1"/>
    <n v="5"/>
    <n v="31"/>
    <x v="1"/>
    <x v="5"/>
    <n v="402"/>
    <n v="26"/>
    <s v="14/11/2024"/>
    <n v="0.5"/>
    <n v="642"/>
    <n v="476"/>
    <n v="172"/>
    <n v="0.36134453781512604"/>
    <n v="402"/>
    <n v="167"/>
    <n v="30"/>
    <n v="6.49"/>
    <n v="31.35"/>
    <n v="57.9"/>
    <n v="35.049999999999997"/>
    <n v="14.85"/>
    <n v="200"/>
    <n v="8.81"/>
    <n v="95.740000000000009"/>
    <n v="3.1913333333333336"/>
    <n v="952"/>
    <n v="6.7787758512638394E-2"/>
    <n v="0.32744934196782954"/>
    <n v="0.60476289951953199"/>
    <n v="0.36609567578859403"/>
    <n v="0.15510758303739292"/>
    <n v="64.533946104031756"/>
    <n v="311.73177355337373"/>
    <n v="575.7342803425945"/>
    <n v="348.5230833507415"/>
    <n v="147.66241905159805"/>
    <n v="414.1"/>
    <n v="0.43497899159663866"/>
    <n v="94.186046511627907"/>
    <n v="44.050000000000004"/>
    <n v="9400.6810442678761"/>
  </r>
  <r>
    <x v="3"/>
    <n v="3"/>
    <n v="2"/>
    <n v="12"/>
    <n v="30"/>
    <x v="0"/>
    <x v="3"/>
    <n v="403"/>
    <n v="27"/>
    <s v="14/11/2024"/>
    <n v="0.5"/>
    <n v="659"/>
    <n v="512"/>
    <n v="259"/>
    <n v="0.505859375"/>
    <n v="450"/>
    <n v="237"/>
    <n v="30"/>
    <n v="7.56"/>
    <n v="22.46"/>
    <n v="75.19"/>
    <n v="49.01"/>
    <n v="17.489999999999998"/>
    <n v="203"/>
    <n v="8.15"/>
    <n v="105.21"/>
    <n v="3.5069999999999997"/>
    <n v="1024"/>
    <n v="7.1856287425149698E-2"/>
    <n v="0.21347780629217758"/>
    <n v="0.71466590628267279"/>
    <n v="0.46583024427335806"/>
    <n v="0.1662389506700884"/>
    <n v="73.580838323353291"/>
    <n v="218.60127364318984"/>
    <n v="731.81788803345694"/>
    <n v="477.01017013591866"/>
    <n v="170.22868548617052"/>
    <n v="616.02"/>
    <n v="0.60158203124999998"/>
    <n v="83.011583011583014"/>
    <n v="40.14778325123153"/>
    <n v="15343.811042944784"/>
  </r>
  <r>
    <x v="3"/>
    <n v="4"/>
    <n v="2"/>
    <n v="13"/>
    <n v="29"/>
    <x v="1"/>
    <x v="4"/>
    <n v="404"/>
    <n v="28"/>
    <s v="14/11/2024"/>
    <n v="0.5"/>
    <n v="613"/>
    <n v="467"/>
    <n v="220"/>
    <n v="0.47109207708779444"/>
    <n v="407"/>
    <n v="198"/>
    <n v="30"/>
    <n v="6.41"/>
    <n v="25.42"/>
    <n v="60.97"/>
    <n v="39.72"/>
    <n v="12.87"/>
    <n v="203"/>
    <n v="8.08"/>
    <n v="92.8"/>
    <n v="3.0933333333333333"/>
    <n v="934"/>
    <n v="6.9073275862068975E-2"/>
    <n v="0.27392241379310345"/>
    <n v="0.65700431034482765"/>
    <n v="0.42801724137931035"/>
    <n v="0.13868534482758621"/>
    <n v="64.514439655172424"/>
    <n v="255.84353448275863"/>
    <n v="613.64202586206898"/>
    <n v="399.76810344827589"/>
    <n v="129.53211206896552"/>
    <n v="519.44000000000005"/>
    <n v="0.55614561027837262"/>
    <n v="80"/>
    <n v="39.802955665024633"/>
    <n v="13050.287128712871"/>
  </r>
  <r>
    <x v="3"/>
    <n v="5"/>
    <n v="3"/>
    <n v="20"/>
    <n v="28"/>
    <x v="0"/>
    <x v="2"/>
    <n v="405"/>
    <n v="29"/>
    <s v="14/11/2024"/>
    <n v="0.5"/>
    <n v="564"/>
    <n v="434"/>
    <n v="186"/>
    <n v="0.42857142857142855"/>
    <n v="449"/>
    <n v="228"/>
    <n v="30"/>
    <n v="7.6"/>
    <n v="24.76"/>
    <n v="57.84"/>
    <n v="35.26"/>
    <n v="14.08"/>
    <n v="201"/>
    <n v="7.24"/>
    <n v="90.2"/>
    <n v="3.0066666666666668"/>
    <n v="868"/>
    <n v="8.4257206208425708E-2"/>
    <n v="0.27450110864745014"/>
    <n v="0.64124168514412416"/>
    <n v="0.39090909090909087"/>
    <n v="0.15609756097560976"/>
    <n v="73.135254988913516"/>
    <n v="238.26696230598674"/>
    <n v="556.5977827050998"/>
    <n v="339.30909090909086"/>
    <n v="135.49268292682927"/>
    <n v="442.52"/>
    <n v="0.50981566820276492"/>
    <n v="145.16129032258064"/>
    <n v="36.019900497512438"/>
    <n v="12285.430939226517"/>
  </r>
  <r>
    <x v="3"/>
    <n v="6"/>
    <n v="3"/>
    <n v="21"/>
    <n v="27"/>
    <x v="1"/>
    <x v="3"/>
    <n v="406"/>
    <n v="30"/>
    <s v="14/11/2024"/>
    <n v="0.5"/>
    <n v="543"/>
    <n v="329"/>
    <n v="211"/>
    <n v="0.64133738601823709"/>
    <n v="329"/>
    <n v="171"/>
    <n v="30"/>
    <n v="6.96"/>
    <n v="20.13"/>
    <n v="65.89"/>
    <n v="41.81"/>
    <n v="15.91"/>
    <n v="200"/>
    <n v="8.68"/>
    <n v="92.98"/>
    <n v="3.0993333333333335"/>
    <n v="658"/>
    <n v="7.4854807485480748E-2"/>
    <n v="0.21649817164981713"/>
    <n v="0.7086470208647021"/>
    <n v="0.44966659496665951"/>
    <n v="0.17111206711120672"/>
    <n v="49.254463325446331"/>
    <n v="142.45579694557966"/>
    <n v="466.28973972897398"/>
    <n v="295.88061948806194"/>
    <n v="112.59174015917402"/>
    <n v="505.62"/>
    <n v="0.76841945288753799"/>
    <n v="62.085308056872037"/>
    <n v="43.4"/>
    <n v="11650.230414746544"/>
  </r>
  <r>
    <x v="3"/>
    <n v="7"/>
    <n v="4"/>
    <n v="28"/>
    <n v="26"/>
    <x v="0"/>
    <x v="0"/>
    <n v="407"/>
    <n v="31"/>
    <s v="14/11/2024"/>
    <n v="0.5"/>
    <n v="607"/>
    <n v="479"/>
    <n v="204"/>
    <n v="0.42588726513569936"/>
    <n v="539"/>
    <n v="257"/>
    <n v="30"/>
    <n v="6.71"/>
    <n v="24.52"/>
    <n v="54.03"/>
    <n v="34.479999999999997"/>
    <n v="11.26"/>
    <n v="201"/>
    <n v="7.54"/>
    <n v="85.26"/>
    <n v="2.8420000000000001"/>
    <n v="958"/>
    <n v="7.870044569551958E-2"/>
    <n v="0.28759089842833685"/>
    <n v="0.63370865587614356"/>
    <n v="0.4044100398780201"/>
    <n v="0.13206661975134881"/>
    <n v="75.395026976307761"/>
    <n v="275.51208069434671"/>
    <n v="607.09289232934555"/>
    <n v="387.42481820314327"/>
    <n v="126.51982172179217"/>
    <n v="476.96"/>
    <n v="0.49787056367432148"/>
    <n v="151.9607843137255"/>
    <n v="37.512437810945272"/>
    <n v="12714.716180371353"/>
  </r>
  <r>
    <x v="3"/>
    <n v="8"/>
    <n v="4"/>
    <n v="29"/>
    <n v="25"/>
    <x v="1"/>
    <x v="1"/>
    <n v="408"/>
    <n v="32"/>
    <s v="14/11/2024"/>
    <n v="0.5"/>
    <n v="693"/>
    <n v="544"/>
    <n v="228"/>
    <n v="0.41911764705882354"/>
    <n v="408"/>
    <n v="181"/>
    <n v="30"/>
    <n v="3.49"/>
    <n v="35.909999999999997"/>
    <n v="64.430000000000007"/>
    <n v="39.869999999999997"/>
    <n v="16.03"/>
    <n v="201"/>
    <n v="7.78"/>
    <n v="103.83000000000001"/>
    <n v="3.4610000000000003"/>
    <n v="1088"/>
    <n v="3.3612636039680246E-2"/>
    <n v="0.34585379947991901"/>
    <n v="0.62053356448040065"/>
    <n v="0.3839930655879803"/>
    <n v="0.15438697871520754"/>
    <n v="36.570548011172107"/>
    <n v="376.28893383415186"/>
    <n v="675.14051815467587"/>
    <n v="417.78445535972259"/>
    <n v="167.97303284214581"/>
    <n v="535.74"/>
    <n v="0.49240808823529414"/>
    <n v="58.771929824561404"/>
    <n v="38.706467661691541"/>
    <n v="13841.097686375322"/>
  </r>
  <r>
    <x v="4"/>
    <m/>
    <m/>
    <m/>
    <m/>
    <x v="2"/>
    <x v="6"/>
    <m/>
    <m/>
    <m/>
    <m/>
    <m/>
    <m/>
    <m/>
    <m/>
    <m/>
    <m/>
    <m/>
    <m/>
    <m/>
    <m/>
    <m/>
    <m/>
    <m/>
    <m/>
    <m/>
    <m/>
    <m/>
    <m/>
    <m/>
    <m/>
    <m/>
    <m/>
    <m/>
    <m/>
    <m/>
    <m/>
    <m/>
    <m/>
    <m/>
    <m/>
    <m/>
    <m/>
  </r>
  <r>
    <x v="4"/>
    <m/>
    <m/>
    <m/>
    <m/>
    <x v="2"/>
    <x v="6"/>
    <m/>
    <m/>
    <m/>
    <m/>
    <m/>
    <m/>
    <m/>
    <m/>
    <m/>
    <m/>
    <m/>
    <m/>
    <m/>
    <m/>
    <m/>
    <m/>
    <m/>
    <m/>
    <m/>
    <m/>
    <m/>
    <m/>
    <m/>
    <m/>
    <m/>
    <m/>
    <m/>
    <m/>
    <m/>
    <m/>
    <m/>
    <m/>
    <m/>
    <m/>
    <m/>
    <m/>
  </r>
  <r>
    <x v="4"/>
    <m/>
    <m/>
    <m/>
    <m/>
    <x v="2"/>
    <x v="6"/>
    <m/>
    <m/>
    <m/>
    <m/>
    <m/>
    <m/>
    <m/>
    <m/>
    <m/>
    <m/>
    <m/>
    <m/>
    <m/>
    <m/>
    <m/>
    <m/>
    <m/>
    <m/>
    <m/>
    <m/>
    <m/>
    <m/>
    <m/>
    <m/>
    <m/>
    <m/>
    <m/>
    <m/>
    <m/>
    <m/>
    <m/>
    <m/>
    <m/>
    <m/>
    <m/>
    <m/>
  </r>
  <r>
    <x v="4"/>
    <m/>
    <m/>
    <m/>
    <m/>
    <x v="2"/>
    <x v="6"/>
    <m/>
    <m/>
    <m/>
    <m/>
    <m/>
    <m/>
    <m/>
    <m/>
    <m/>
    <m/>
    <m/>
    <m/>
    <m/>
    <m/>
    <m/>
    <m/>
    <m/>
    <m/>
    <m/>
    <m/>
    <m/>
    <m/>
    <m/>
    <m/>
    <m/>
    <m/>
    <m/>
    <m/>
    <m/>
    <m/>
    <m/>
    <m/>
    <m/>
    <m/>
    <m/>
    <m/>
  </r>
  <r>
    <x v="4"/>
    <m/>
    <m/>
    <m/>
    <m/>
    <x v="2"/>
    <x v="6"/>
    <m/>
    <m/>
    <m/>
    <m/>
    <m/>
    <m/>
    <m/>
    <m/>
    <m/>
    <m/>
    <m/>
    <m/>
    <m/>
    <m/>
    <m/>
    <m/>
    <m/>
    <m/>
    <m/>
    <m/>
    <m/>
    <m/>
    <m/>
    <m/>
    <m/>
    <m/>
    <m/>
    <m/>
    <m/>
    <m/>
    <m/>
    <m/>
    <m/>
    <m/>
    <m/>
    <m/>
  </r>
  <r>
    <x v="4"/>
    <m/>
    <m/>
    <m/>
    <m/>
    <x v="2"/>
    <x v="6"/>
    <m/>
    <m/>
    <m/>
    <m/>
    <m/>
    <m/>
    <m/>
    <m/>
    <m/>
    <m/>
    <m/>
    <m/>
    <m/>
    <m/>
    <m/>
    <m/>
    <m/>
    <m/>
    <m/>
    <m/>
    <m/>
    <m/>
    <m/>
    <m/>
    <m/>
    <m/>
    <m/>
    <m/>
    <m/>
    <m/>
    <m/>
    <m/>
    <m/>
    <m/>
    <m/>
    <m/>
  </r>
  <r>
    <x v="4"/>
    <m/>
    <m/>
    <m/>
    <m/>
    <x v="2"/>
    <x v="6"/>
    <m/>
    <m/>
    <m/>
    <m/>
    <m/>
    <m/>
    <m/>
    <m/>
    <m/>
    <m/>
    <m/>
    <m/>
    <m/>
    <m/>
    <m/>
    <m/>
    <m/>
    <m/>
    <m/>
    <m/>
    <m/>
    <m/>
    <m/>
    <m/>
    <m/>
    <m/>
    <m/>
    <m/>
    <m/>
    <m/>
    <m/>
    <m/>
    <m/>
    <m/>
    <m/>
    <m/>
  </r>
  <r>
    <x v="4"/>
    <m/>
    <m/>
    <m/>
    <m/>
    <x v="2"/>
    <x v="6"/>
    <m/>
    <m/>
    <m/>
    <m/>
    <m/>
    <m/>
    <m/>
    <m/>
    <m/>
    <m/>
    <m/>
    <m/>
    <m/>
    <m/>
    <m/>
    <m/>
    <m/>
    <m/>
    <m/>
    <m/>
    <m/>
    <m/>
    <m/>
    <m/>
    <m/>
    <m/>
    <m/>
    <m/>
    <m/>
    <m/>
    <m/>
    <m/>
    <m/>
    <m/>
    <m/>
    <m/>
  </r>
  <r>
    <x v="4"/>
    <m/>
    <m/>
    <m/>
    <m/>
    <x v="2"/>
    <x v="6"/>
    <m/>
    <m/>
    <m/>
    <m/>
    <m/>
    <m/>
    <m/>
    <m/>
    <m/>
    <m/>
    <m/>
    <m/>
    <m/>
    <m/>
    <m/>
    <m/>
    <m/>
    <m/>
    <m/>
    <m/>
    <m/>
    <m/>
    <m/>
    <m/>
    <m/>
    <m/>
    <m/>
    <m/>
    <m/>
    <m/>
    <m/>
    <m/>
    <m/>
    <m/>
    <m/>
    <m/>
  </r>
  <r>
    <x v="4"/>
    <m/>
    <m/>
    <m/>
    <m/>
    <x v="2"/>
    <x v="6"/>
    <m/>
    <m/>
    <m/>
    <m/>
    <m/>
    <m/>
    <m/>
    <m/>
    <m/>
    <m/>
    <m/>
    <m/>
    <m/>
    <m/>
    <m/>
    <m/>
    <m/>
    <m/>
    <m/>
    <m/>
    <m/>
    <m/>
    <m/>
    <m/>
    <m/>
    <m/>
    <m/>
    <m/>
    <m/>
    <m/>
    <m/>
    <m/>
    <m/>
    <m/>
    <m/>
    <m/>
  </r>
  <r>
    <x v="4"/>
    <m/>
    <m/>
    <m/>
    <m/>
    <x v="2"/>
    <x v="6"/>
    <m/>
    <m/>
    <m/>
    <m/>
    <m/>
    <m/>
    <m/>
    <m/>
    <m/>
    <m/>
    <m/>
    <m/>
    <m/>
    <m/>
    <m/>
    <m/>
    <m/>
    <m/>
    <m/>
    <m/>
    <m/>
    <m/>
    <m/>
    <m/>
    <m/>
    <m/>
    <m/>
    <m/>
    <m/>
    <m/>
    <m/>
    <m/>
    <m/>
    <m/>
    <m/>
    <m/>
  </r>
  <r>
    <x v="4"/>
    <m/>
    <m/>
    <m/>
    <m/>
    <x v="2"/>
    <x v="6"/>
    <m/>
    <m/>
    <m/>
    <m/>
    <m/>
    <m/>
    <m/>
    <m/>
    <m/>
    <m/>
    <m/>
    <m/>
    <m/>
    <m/>
    <m/>
    <m/>
    <m/>
    <m/>
    <m/>
    <m/>
    <m/>
    <m/>
    <m/>
    <m/>
    <m/>
    <m/>
    <m/>
    <m/>
    <m/>
    <m/>
    <m/>
    <m/>
    <m/>
    <m/>
    <m/>
    <m/>
  </r>
  <r>
    <x v="4"/>
    <m/>
    <m/>
    <m/>
    <m/>
    <x v="2"/>
    <x v="6"/>
    <m/>
    <m/>
    <m/>
    <m/>
    <m/>
    <m/>
    <m/>
    <m/>
    <m/>
    <m/>
    <m/>
    <m/>
    <m/>
    <m/>
    <m/>
    <m/>
    <m/>
    <m/>
    <m/>
    <m/>
    <m/>
    <m/>
    <m/>
    <m/>
    <m/>
    <m/>
    <m/>
    <m/>
    <m/>
    <m/>
    <m/>
    <m/>
    <m/>
    <m/>
    <m/>
    <m/>
  </r>
  <r>
    <x v="4"/>
    <m/>
    <m/>
    <m/>
    <m/>
    <x v="2"/>
    <x v="6"/>
    <m/>
    <m/>
    <m/>
    <m/>
    <m/>
    <m/>
    <m/>
    <m/>
    <m/>
    <m/>
    <m/>
    <m/>
    <m/>
    <m/>
    <m/>
    <m/>
    <m/>
    <m/>
    <m/>
    <m/>
    <m/>
    <m/>
    <m/>
    <m/>
    <m/>
    <m/>
    <m/>
    <m/>
    <m/>
    <m/>
    <m/>
    <m/>
    <m/>
    <m/>
    <m/>
    <m/>
  </r>
  <r>
    <x v="4"/>
    <m/>
    <m/>
    <m/>
    <m/>
    <x v="2"/>
    <x v="6"/>
    <m/>
    <m/>
    <m/>
    <m/>
    <m/>
    <m/>
    <m/>
    <m/>
    <m/>
    <m/>
    <m/>
    <m/>
    <m/>
    <m/>
    <m/>
    <m/>
    <m/>
    <m/>
    <m/>
    <m/>
    <m/>
    <m/>
    <m/>
    <m/>
    <m/>
    <m/>
    <m/>
    <m/>
    <m/>
    <m/>
    <m/>
    <m/>
    <m/>
    <m/>
    <m/>
    <m/>
  </r>
  <r>
    <x v="4"/>
    <m/>
    <m/>
    <m/>
    <m/>
    <x v="2"/>
    <x v="6"/>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E19894-DA33-4012-BE78-257D44ED83F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3:X34" firstHeaderRow="1" firstDataRow="2" firstDataCol="1"/>
  <pivotFields count="13">
    <pivotField axis="axisRow" showAll="0">
      <items count="6">
        <item x="0"/>
        <item x="1"/>
        <item x="2"/>
        <item x="3"/>
        <item h="1" x="4"/>
        <item t="default"/>
      </items>
    </pivotField>
    <pivotField showAll="0"/>
    <pivotField showAll="0"/>
    <pivotField showAll="0"/>
    <pivotField showAll="0"/>
    <pivotField showAll="0"/>
    <pivotField axis="axisRow" showAll="0">
      <items count="8">
        <item x="0"/>
        <item x="1"/>
        <item x="4"/>
        <item x="5"/>
        <item x="2"/>
        <item x="3"/>
        <item x="6"/>
        <item t="default"/>
      </items>
    </pivotField>
    <pivotField showAll="0"/>
    <pivotField showAll="0"/>
    <pivotField axis="axisCol" showAll="0">
      <items count="11">
        <item x="0"/>
        <item x="2"/>
        <item x="4"/>
        <item x="6"/>
        <item x="8"/>
        <item x="1"/>
        <item x="3"/>
        <item x="5"/>
        <item x="7"/>
        <item h="1" x="9"/>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30">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rowItems>
  <colFields count="1">
    <field x="9"/>
  </colFields>
  <colItems count="9">
    <i>
      <x/>
    </i>
    <i>
      <x v="1"/>
    </i>
    <i>
      <x v="2"/>
    </i>
    <i>
      <x v="3"/>
    </i>
    <i>
      <x v="4"/>
    </i>
    <i>
      <x v="5"/>
    </i>
    <i>
      <x v="6"/>
    </i>
    <i>
      <x v="7"/>
    </i>
    <i>
      <x v="8"/>
    </i>
  </colItems>
  <dataFields count="1">
    <dataField name="Average of Plants emerged (plants/1 m of row)" fld="10"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D9BCE8-8A0D-4A0B-A64B-9CDBCDE39271}"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Habit" colHeaderCaption="Mesurement date">
  <location ref="Q6:AC17" firstHeaderRow="1" firstDataRow="2" firstDataCol="1"/>
  <pivotFields count="16">
    <pivotField showAll="0"/>
    <pivotField showAll="0"/>
    <pivotField showAll="0"/>
    <pivotField showAll="0"/>
    <pivotField showAll="0"/>
    <pivotField axis="axisRow" multipleItemSelectionAllowed="1" showAll="0">
      <items count="4">
        <item x="0"/>
        <item x="1"/>
        <item h="1" x="2"/>
        <item t="default"/>
      </items>
    </pivotField>
    <pivotField axis="axisRow" showAll="0">
      <items count="8">
        <item x="0"/>
        <item x="1"/>
        <item x="4"/>
        <item x="5"/>
        <item x="2"/>
        <item x="3"/>
        <item x="6"/>
        <item t="default"/>
      </items>
    </pivotField>
    <pivotField showAll="0"/>
    <pivotField showAll="0"/>
    <pivotField axis="axisCol" showAll="0">
      <items count="13">
        <item x="0"/>
        <item x="2"/>
        <item x="4"/>
        <item x="11"/>
        <item x="1"/>
        <item x="3"/>
        <item x="6"/>
        <item x="8"/>
        <item x="5"/>
        <item x="7"/>
        <item x="10"/>
        <item x="9"/>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5"/>
    <field x="6"/>
  </rowFields>
  <rowItems count="10">
    <i>
      <x/>
    </i>
    <i r="1">
      <x/>
    </i>
    <i r="1">
      <x v="1"/>
    </i>
    <i r="1">
      <x v="4"/>
    </i>
    <i r="1">
      <x v="5"/>
    </i>
    <i>
      <x v="1"/>
    </i>
    <i r="1">
      <x v="2"/>
    </i>
    <i r="1">
      <x v="3"/>
    </i>
    <i r="1">
      <x v="4"/>
    </i>
    <i r="1">
      <x v="5"/>
    </i>
  </rowItems>
  <colFields count="1">
    <field x="9"/>
  </colFields>
  <colItems count="12">
    <i>
      <x/>
    </i>
    <i>
      <x v="1"/>
    </i>
    <i>
      <x v="2"/>
    </i>
    <i>
      <x v="3"/>
    </i>
    <i>
      <x v="4"/>
    </i>
    <i>
      <x v="5"/>
    </i>
    <i>
      <x v="6"/>
    </i>
    <i>
      <x v="7"/>
    </i>
    <i>
      <x v="8"/>
    </i>
    <i>
      <x v="9"/>
    </i>
    <i>
      <x v="10"/>
    </i>
    <i>
      <x v="11"/>
    </i>
  </colItems>
  <dataFields count="1">
    <dataField name="Average of Mean Haun stage" fld="13" subtotal="average" baseField="5" baseItem="0"/>
  </dataFields>
  <formats count="1">
    <format dxfId="1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48BBBA-CE35-4955-9C27-781D8FD817D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owing time" colHeaderCaption="Leaf number">
  <location ref="T4:X16" firstHeaderRow="1" firstDataRow="2" firstDataCol="1"/>
  <pivotFields count="18">
    <pivotField showAll="0"/>
    <pivotField showAll="0"/>
    <pivotField showAll="0"/>
    <pivotField showAll="0"/>
    <pivotField showAll="0"/>
    <pivotField axis="axisRow" showAll="0">
      <items count="4">
        <item x="0"/>
        <item x="1"/>
        <item x="2"/>
        <item t="default"/>
      </items>
    </pivotField>
    <pivotField axis="axisRow" showAll="0">
      <items count="8">
        <item x="0"/>
        <item x="1"/>
        <item x="4"/>
        <item x="5"/>
        <item x="2"/>
        <item x="3"/>
        <item x="6"/>
        <item t="default"/>
      </items>
    </pivotField>
    <pivotField showAll="0"/>
    <pivotField axis="axisCol" showAll="0">
      <items count="10">
        <item m="1" x="4"/>
        <item m="1" x="5"/>
        <item m="1" x="6"/>
        <item m="1" x="7"/>
        <item m="1" x="8"/>
        <item x="0"/>
        <item x="1"/>
        <item h="1" x="3"/>
        <item x="2"/>
        <item t="default"/>
      </items>
    </pivotField>
    <pivotField showAll="0"/>
    <pivotField showAll="0"/>
    <pivotField showAll="0"/>
    <pivotField showAll="0"/>
    <pivotField dataField="1" showAll="0"/>
    <pivotField showAll="0"/>
    <pivotField showAll="0"/>
    <pivotField showAll="0"/>
    <pivotField showAll="0"/>
  </pivotFields>
  <rowFields count="2">
    <field x="5"/>
    <field x="6"/>
  </rowFields>
  <rowItems count="11">
    <i>
      <x/>
    </i>
    <i r="1">
      <x/>
    </i>
    <i r="1">
      <x v="1"/>
    </i>
    <i r="1">
      <x v="4"/>
    </i>
    <i r="1">
      <x v="5"/>
    </i>
    <i>
      <x v="1"/>
    </i>
    <i r="1">
      <x v="2"/>
    </i>
    <i r="1">
      <x v="3"/>
    </i>
    <i r="1">
      <x v="4"/>
    </i>
    <i r="1">
      <x v="5"/>
    </i>
    <i t="grand">
      <x/>
    </i>
  </rowItems>
  <colFields count="1">
    <field x="8"/>
  </colFields>
  <colItems count="4">
    <i>
      <x v="5"/>
    </i>
    <i>
      <x v="6"/>
    </i>
    <i>
      <x v="8"/>
    </i>
    <i t="grand">
      <x/>
    </i>
  </colItems>
  <dataFields count="1">
    <dataField name="Average of Mean leaf width (mm)" fld="13" subtotal="average" baseField="5" baseItem="0" numFmtId="2"/>
  </dataFields>
  <conditionalFormats count="2">
    <conditionalFormat priority="5">
      <pivotAreas count="1">
        <pivotArea type="data" collapsedLevelsAreSubtotals="1" fieldPosition="0">
          <references count="4">
            <reference field="4294967294" count="1" selected="0">
              <x v="0"/>
            </reference>
            <reference field="5" count="1" selected="0">
              <x v="0"/>
            </reference>
            <reference field="6" count="4">
              <x v="0"/>
              <x v="1"/>
              <x v="4"/>
              <x v="5"/>
            </reference>
            <reference field="8" count="1" selected="0">
              <x v="5"/>
            </reference>
          </references>
        </pivotArea>
      </pivotAreas>
    </conditionalFormat>
    <conditionalFormat priority="4">
      <pivotAreas count="1">
        <pivotArea type="data" collapsedLevelsAreSubtotals="1" fieldPosition="0">
          <references count="4">
            <reference field="4294967294" count="1" selected="0">
              <x v="0"/>
            </reference>
            <reference field="5" count="1" selected="0">
              <x v="0"/>
            </reference>
            <reference field="6" count="4">
              <x v="0"/>
              <x v="1"/>
              <x v="4"/>
              <x v="5"/>
            </reference>
            <reference field="8" count="1" selected="0">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48299C-9CE6-4532-8180-B11E23B760FD}"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owing time" colHeaderCaption="Leaf number">
  <location ref="T20:X32" firstHeaderRow="1" firstDataRow="2" firstDataCol="1"/>
  <pivotFields count="18">
    <pivotField showAll="0"/>
    <pivotField showAll="0"/>
    <pivotField showAll="0"/>
    <pivotField showAll="0"/>
    <pivotField showAll="0"/>
    <pivotField axis="axisRow" showAll="0">
      <items count="4">
        <item x="0"/>
        <item x="1"/>
        <item h="1" x="2"/>
        <item t="default"/>
      </items>
    </pivotField>
    <pivotField axis="axisRow" showAll="0">
      <items count="8">
        <item x="0"/>
        <item x="1"/>
        <item x="4"/>
        <item x="5"/>
        <item x="2"/>
        <item x="3"/>
        <item x="6"/>
        <item t="default"/>
      </items>
    </pivotField>
    <pivotField showAll="0"/>
    <pivotField axis="axisCol" showAll="0">
      <items count="10">
        <item m="1" x="4"/>
        <item m="1" x="5"/>
        <item m="1" x="6"/>
        <item m="1" x="7"/>
        <item m="1" x="8"/>
        <item x="0"/>
        <item x="1"/>
        <item h="1" x="3"/>
        <item x="2"/>
        <item t="default"/>
      </items>
    </pivotField>
    <pivotField showAll="0"/>
    <pivotField showAll="0"/>
    <pivotField showAll="0"/>
    <pivotField showAll="0"/>
    <pivotField showAll="0"/>
    <pivotField showAll="0"/>
    <pivotField showAll="0"/>
    <pivotField showAll="0"/>
    <pivotField dataField="1" showAll="0"/>
  </pivotFields>
  <rowFields count="2">
    <field x="5"/>
    <field x="6"/>
  </rowFields>
  <rowItems count="11">
    <i>
      <x/>
    </i>
    <i r="1">
      <x/>
    </i>
    <i r="1">
      <x v="1"/>
    </i>
    <i r="1">
      <x v="4"/>
    </i>
    <i r="1">
      <x v="5"/>
    </i>
    <i>
      <x v="1"/>
    </i>
    <i r="1">
      <x v="2"/>
    </i>
    <i r="1">
      <x v="3"/>
    </i>
    <i r="1">
      <x v="4"/>
    </i>
    <i r="1">
      <x v="5"/>
    </i>
    <i t="grand">
      <x/>
    </i>
  </rowItems>
  <colFields count="1">
    <field x="8"/>
  </colFields>
  <colItems count="4">
    <i>
      <x v="5"/>
    </i>
    <i>
      <x v="6"/>
    </i>
    <i>
      <x v="8"/>
    </i>
    <i t="grand">
      <x/>
    </i>
  </colItems>
  <dataFields count="1">
    <dataField name="Average of Mean leaf length (cm)" fld="17" subtotal="average" baseField="5" baseItem="0" numFmtId="164"/>
  </dataFields>
  <conditionalFormats count="3">
    <conditionalFormat priority="3">
      <pivotAreas count="1">
        <pivotArea type="data" collapsedLevelsAreSubtotals="1" fieldPosition="0">
          <references count="4">
            <reference field="4294967294" count="1" selected="0">
              <x v="0"/>
            </reference>
            <reference field="5" count="1" selected="0">
              <x v="0"/>
            </reference>
            <reference field="6" count="4">
              <x v="0"/>
              <x v="1"/>
              <x v="4"/>
              <x v="5"/>
            </reference>
            <reference field="8" count="1" selected="0">
              <x v="5"/>
            </reference>
          </references>
        </pivotArea>
      </pivotAreas>
    </conditionalFormat>
    <conditionalFormat priority="2">
      <pivotAreas count="1">
        <pivotArea type="data" collapsedLevelsAreSubtotals="1" fieldPosition="0">
          <references count="4">
            <reference field="4294967294" count="1" selected="0">
              <x v="0"/>
            </reference>
            <reference field="5" count="1" selected="0">
              <x v="0"/>
            </reference>
            <reference field="6" count="4">
              <x v="0"/>
              <x v="1"/>
              <x v="4"/>
              <x v="5"/>
            </reference>
            <reference field="8" count="1" selected="0">
              <x v="6"/>
            </reference>
          </references>
        </pivotArea>
      </pivotAreas>
    </conditionalFormat>
    <conditionalFormat priority="1">
      <pivotAreas count="1">
        <pivotArea type="data" collapsedLevelsAreSubtotals="1" fieldPosition="0">
          <references count="4">
            <reference field="4294967294" count="1" selected="0">
              <x v="0"/>
            </reference>
            <reference field="5" count="1" selected="0">
              <x v="0"/>
            </reference>
            <reference field="6" count="4">
              <x v="0"/>
              <x v="1"/>
              <x v="4"/>
              <x v="5"/>
            </reference>
            <reference field="8" count="1" selected="0">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D1B44F-62B3-49CA-8838-9707ECA7CCB3}" name="PivotTable2" cacheId="8"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P1:CJ14" firstHeaderRow="1" firstDataRow="5" firstDataCol="1"/>
  <pivotFields count="15">
    <pivotField axis="axisCol" compact="0" outline="0" showAll="0">
      <items count="6">
        <item x="0"/>
        <item x="1"/>
        <item x="2"/>
        <item x="3"/>
        <item h="1" x="4"/>
        <item t="default"/>
      </items>
    </pivotField>
    <pivotField axis="axisRow" compact="0" outline="0" showAll="0">
      <items count="10">
        <item x="0"/>
        <item x="1"/>
        <item x="2"/>
        <item x="3"/>
        <item x="4"/>
        <item x="5"/>
        <item x="6"/>
        <item x="7"/>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defaultSubtotal="0">
      <items count="14">
        <item x="0"/>
        <item x="1"/>
        <item x="2"/>
        <item x="13"/>
        <item x="3"/>
        <item x="4"/>
        <item x="5"/>
        <item x="6"/>
        <item x="7"/>
        <item x="8"/>
        <item x="9"/>
        <item x="10"/>
        <item x="11"/>
        <item x="12"/>
      </items>
    </pivotField>
    <pivotField compact="0" outline="0" showAll="0"/>
    <pivotField dataField="1" compact="0" outline="0" showAll="0"/>
    <pivotField compact="0" outline="0" showAll="0"/>
    <pivotField axis="axisCol"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compact="0" outline="0" showAll="0">
      <items count="15">
        <item h="1"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Fields count="4">
    <field x="14"/>
    <field x="13"/>
    <field x="9"/>
    <field x="0"/>
  </colFields>
  <colItems count="72">
    <i>
      <x v="5"/>
      <x v="152"/>
      <x/>
      <x/>
    </i>
    <i r="3">
      <x v="1"/>
    </i>
    <i r="3">
      <x v="2"/>
    </i>
    <i r="3">
      <x v="3"/>
    </i>
    <i t="default" r="1">
      <x v="152"/>
    </i>
    <i t="default">
      <x v="5"/>
    </i>
    <i>
      <x v="6"/>
      <x v="169"/>
      <x v="1"/>
      <x/>
    </i>
    <i r="3">
      <x v="1"/>
    </i>
    <i r="3">
      <x v="2"/>
    </i>
    <i r="3">
      <x v="3"/>
    </i>
    <i t="default" r="1">
      <x v="169"/>
    </i>
    <i t="default">
      <x v="6"/>
    </i>
    <i>
      <x v="7"/>
      <x v="183"/>
      <x v="2"/>
      <x/>
    </i>
    <i r="3">
      <x v="1"/>
    </i>
    <i r="3">
      <x v="2"/>
    </i>
    <i r="3">
      <x v="3"/>
    </i>
    <i t="default" r="1">
      <x v="183"/>
    </i>
    <i r="1">
      <x v="196"/>
      <x v="4"/>
      <x/>
    </i>
    <i r="3">
      <x v="1"/>
    </i>
    <i r="3">
      <x v="2"/>
    </i>
    <i r="3">
      <x v="3"/>
    </i>
    <i t="default" r="1">
      <x v="196"/>
    </i>
    <i r="1">
      <x v="211"/>
      <x v="5"/>
      <x/>
    </i>
    <i r="3">
      <x v="1"/>
    </i>
    <i r="3">
      <x v="2"/>
    </i>
    <i r="3">
      <x v="3"/>
    </i>
    <i t="default" r="1">
      <x v="211"/>
    </i>
    <i t="default">
      <x v="7"/>
    </i>
    <i>
      <x v="8"/>
      <x v="222"/>
      <x v="6"/>
      <x/>
    </i>
    <i r="3">
      <x v="1"/>
    </i>
    <i r="3">
      <x v="2"/>
    </i>
    <i r="3">
      <x v="3"/>
    </i>
    <i t="default" r="1">
      <x v="222"/>
    </i>
    <i r="1">
      <x v="235"/>
      <x v="7"/>
      <x/>
    </i>
    <i r="3">
      <x v="1"/>
    </i>
    <i r="3">
      <x v="2"/>
    </i>
    <i r="3">
      <x v="3"/>
    </i>
    <i t="default" r="1">
      <x v="235"/>
    </i>
    <i t="default">
      <x v="8"/>
    </i>
    <i>
      <x v="9"/>
      <x v="257"/>
      <x v="8"/>
      <x/>
    </i>
    <i r="3">
      <x v="1"/>
    </i>
    <i r="3">
      <x v="2"/>
    </i>
    <i r="3">
      <x v="3"/>
    </i>
    <i t="default" r="1">
      <x v="257"/>
    </i>
    <i r="1">
      <x v="268"/>
      <x v="9"/>
      <x/>
    </i>
    <i r="3">
      <x v="1"/>
    </i>
    <i r="3">
      <x v="2"/>
    </i>
    <i r="3">
      <x v="3"/>
    </i>
    <i t="default" r="1">
      <x v="268"/>
    </i>
    <i t="default">
      <x v="9"/>
    </i>
    <i>
      <x v="10"/>
      <x v="280"/>
      <x v="10"/>
      <x/>
    </i>
    <i r="3">
      <x v="1"/>
    </i>
    <i r="3">
      <x v="2"/>
    </i>
    <i r="3">
      <x v="3"/>
    </i>
    <i t="default" r="1">
      <x v="280"/>
    </i>
    <i r="1">
      <x v="291"/>
      <x v="11"/>
      <x/>
    </i>
    <i r="3">
      <x v="1"/>
    </i>
    <i r="3">
      <x v="2"/>
    </i>
    <i r="3">
      <x v="3"/>
    </i>
    <i t="default" r="1">
      <x v="291"/>
    </i>
    <i r="1">
      <x v="303"/>
      <x v="12"/>
      <x/>
    </i>
    <i r="3">
      <x v="1"/>
    </i>
    <i r="3">
      <x v="2"/>
    </i>
    <i r="3">
      <x v="3"/>
    </i>
    <i t="default" r="1">
      <x v="303"/>
    </i>
    <i t="default">
      <x v="10"/>
    </i>
    <i>
      <x v="11"/>
      <x v="318"/>
      <x v="13"/>
      <x/>
    </i>
    <i r="3">
      <x v="1"/>
    </i>
    <i r="3">
      <x v="2"/>
    </i>
    <i r="3">
      <x v="3"/>
    </i>
    <i t="default" r="1">
      <x v="318"/>
    </i>
    <i t="default">
      <x v="11"/>
    </i>
  </colItems>
  <dataFields count="1">
    <dataField name="Sum of Plot NDVI" fld="11" baseField="0" baseItem="0"/>
  </dataFields>
  <conditionalFormats count="1">
    <conditionalFormat priority="22">
      <pivotAreas count="1">
        <pivotArea type="data" outline="0" collapsedLevelsAreSubtotals="1" fieldPosition="0">
          <references count="2">
            <reference field="4294967294" count="1" selected="0">
              <x v="0"/>
            </reference>
            <reference field="1" count="8" selected="0">
              <x v="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2696FF-BE46-46B7-A3BA-E6651E26E979}" name="PivotTable7" cacheId="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olHeaderCaption="Measurement dates">
  <location ref="P17:AE27" firstHeaderRow="1" firstDataRow="2" firstDataCol="2"/>
  <pivotFields count="15">
    <pivotField compact="0" outline="0" showAll="0"/>
    <pivotField compact="0" outline="0" showAll="0"/>
    <pivotField compact="0" outline="0" showAll="0"/>
    <pivotField compact="0" outline="0" showAll="0"/>
    <pivotField compact="0" outline="0" showAll="0"/>
    <pivotField axis="axisRow" compact="0" outline="0" showAll="0" defaultSubtotal="0">
      <items count="3">
        <item x="0"/>
        <item x="1"/>
        <item x="2"/>
      </items>
    </pivotField>
    <pivotField axis="axisRow" compact="0" outline="0" showAll="0">
      <items count="8">
        <item x="0"/>
        <item x="1"/>
        <item x="4"/>
        <item x="5"/>
        <item x="2"/>
        <item x="3"/>
        <item x="6"/>
        <item t="default"/>
      </items>
    </pivotField>
    <pivotField compact="0" outline="0" showAll="0"/>
    <pivotField compact="0" outline="0" showAll="0"/>
    <pivotField axis="axisCol" compact="0" outline="0" showAll="0">
      <items count="15">
        <item x="0"/>
        <item x="1"/>
        <item x="2"/>
        <item h="1" x="13"/>
        <item x="3"/>
        <item x="4"/>
        <item x="5"/>
        <item x="6"/>
        <item x="7"/>
        <item x="8"/>
        <item x="9"/>
        <item x="10"/>
        <item x="11"/>
        <item x="12"/>
        <item t="default"/>
      </items>
    </pivotField>
    <pivotField compact="0" outline="0" showAll="0"/>
    <pivotField dataField="1" compact="0" outline="0" showAll="0"/>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2">
    <field x="5"/>
    <field x="6"/>
  </rowFields>
  <rowItems count="9">
    <i>
      <x/>
      <x/>
    </i>
    <i r="1">
      <x v="1"/>
    </i>
    <i r="1">
      <x v="4"/>
    </i>
    <i r="1">
      <x v="5"/>
    </i>
    <i>
      <x v="1"/>
      <x v="2"/>
    </i>
    <i r="1">
      <x v="3"/>
    </i>
    <i r="1">
      <x v="4"/>
    </i>
    <i r="1">
      <x v="5"/>
    </i>
    <i t="grand">
      <x/>
    </i>
  </rowItems>
  <colFields count="1">
    <field x="9"/>
  </colFields>
  <colItems count="14">
    <i>
      <x/>
    </i>
    <i>
      <x v="1"/>
    </i>
    <i>
      <x v="2"/>
    </i>
    <i>
      <x v="4"/>
    </i>
    <i>
      <x v="5"/>
    </i>
    <i>
      <x v="6"/>
    </i>
    <i>
      <x v="7"/>
    </i>
    <i>
      <x v="8"/>
    </i>
    <i>
      <x v="9"/>
    </i>
    <i>
      <x v="10"/>
    </i>
    <i>
      <x v="11"/>
    </i>
    <i>
      <x v="12"/>
    </i>
    <i>
      <x v="13"/>
    </i>
    <i t="grand">
      <x/>
    </i>
  </colItems>
  <dataFields count="1">
    <dataField name="Average of Plot NDVI" fld="11" subtotal="average" baseField="5" baseItem="0" numFmtId="2"/>
  </dataFields>
  <conditionalFormats count="21">
    <conditionalFormat priority="21">
      <pivotAreas count="1">
        <pivotArea type="data" collapsedLevelsAreSubtotals="1" fieldPosition="0">
          <references count="4">
            <reference field="4294967294" count="1" selected="0">
              <x v="0"/>
            </reference>
            <reference field="5" count="1" selected="0">
              <x v="0"/>
            </reference>
            <reference field="6" count="4">
              <x v="0"/>
              <x v="1"/>
              <x v="4"/>
              <x v="5"/>
            </reference>
            <reference field="9" count="1" selected="0">
              <x v="0"/>
            </reference>
          </references>
        </pivotArea>
      </pivotAreas>
    </conditionalFormat>
    <conditionalFormat priority="20">
      <pivotAreas count="1">
        <pivotArea type="data" collapsedLevelsAreSubtotals="1" fieldPosition="0">
          <references count="4">
            <reference field="4294967294" count="1" selected="0">
              <x v="0"/>
            </reference>
            <reference field="5" count="1" selected="0">
              <x v="0"/>
            </reference>
            <reference field="6" count="4">
              <x v="0"/>
              <x v="1"/>
              <x v="4"/>
              <x v="5"/>
            </reference>
            <reference field="9" count="1" selected="0">
              <x v="1"/>
            </reference>
          </references>
        </pivotArea>
      </pivotAreas>
    </conditionalFormat>
    <conditionalFormat priority="19">
      <pivotAreas count="1">
        <pivotArea type="data" collapsedLevelsAreSubtotals="1" fieldPosition="0">
          <references count="4">
            <reference field="4294967294" count="1" selected="0">
              <x v="0"/>
            </reference>
            <reference field="5" count="1" selected="0">
              <x v="0"/>
            </reference>
            <reference field="6" count="4">
              <x v="0"/>
              <x v="1"/>
              <x v="4"/>
              <x v="5"/>
            </reference>
            <reference field="9" count="1" selected="0">
              <x v="2"/>
            </reference>
          </references>
        </pivotArea>
      </pivotAreas>
    </conditionalFormat>
    <conditionalFormat priority="18">
      <pivotAreas count="1">
        <pivotArea type="data" collapsedLevelsAreSubtotals="1" fieldPosition="0">
          <references count="4">
            <reference field="4294967294" count="1" selected="0">
              <x v="0"/>
            </reference>
            <reference field="5" count="1" selected="0">
              <x v="1"/>
            </reference>
            <reference field="6" count="4">
              <x v="2"/>
              <x v="3"/>
              <x v="4"/>
              <x v="5"/>
            </reference>
            <reference field="9" count="1" selected="0">
              <x v="0"/>
            </reference>
          </references>
        </pivotArea>
      </pivotAreas>
    </conditionalFormat>
    <conditionalFormat priority="17">
      <pivotAreas count="1">
        <pivotArea type="data" collapsedLevelsAreSubtotals="1" fieldPosition="0">
          <references count="4">
            <reference field="4294967294" count="1" selected="0">
              <x v="0"/>
            </reference>
            <reference field="5" count="1" selected="0">
              <x v="1"/>
            </reference>
            <reference field="6" count="4">
              <x v="2"/>
              <x v="3"/>
              <x v="4"/>
              <x v="5"/>
            </reference>
            <reference field="9" count="1" selected="0">
              <x v="1"/>
            </reference>
          </references>
        </pivotArea>
      </pivotAreas>
    </conditionalFormat>
    <conditionalFormat priority="16">
      <pivotAreas count="1">
        <pivotArea type="data" collapsedLevelsAreSubtotals="1" fieldPosition="0">
          <references count="4">
            <reference field="4294967294" count="1" selected="0">
              <x v="0"/>
            </reference>
            <reference field="5" count="1" selected="0">
              <x v="1"/>
            </reference>
            <reference field="6" count="4">
              <x v="2"/>
              <x v="3"/>
              <x v="4"/>
              <x v="5"/>
            </reference>
            <reference field="9" count="1" selected="0">
              <x v="2"/>
            </reference>
          </references>
        </pivotArea>
      </pivotAreas>
    </conditionalFormat>
    <conditionalFormat priority="15">
      <pivotAreas count="1">
        <pivotArea type="data" collapsedLevelsAreSubtotals="1" fieldPosition="0">
          <references count="4">
            <reference field="4294967294" count="1" selected="0">
              <x v="0"/>
            </reference>
            <reference field="5" count="1" selected="0">
              <x v="0"/>
            </reference>
            <reference field="6" count="4">
              <x v="0"/>
              <x v="1"/>
              <x v="4"/>
              <x v="5"/>
            </reference>
            <reference field="9" count="1" selected="0">
              <x v="4"/>
            </reference>
          </references>
        </pivotArea>
      </pivotAreas>
    </conditionalFormat>
    <conditionalFormat priority="14">
      <pivotAreas count="1">
        <pivotArea type="data" collapsedLevelsAreSubtotals="1" fieldPosition="0">
          <references count="4">
            <reference field="4294967294" count="1" selected="0">
              <x v="0"/>
            </reference>
            <reference field="5" count="1" selected="0">
              <x v="1"/>
            </reference>
            <reference field="6" count="4">
              <x v="2"/>
              <x v="3"/>
              <x v="4"/>
              <x v="5"/>
            </reference>
            <reference field="9" count="1" selected="0">
              <x v="4"/>
            </reference>
          </references>
        </pivotArea>
      </pivotAreas>
    </conditionalFormat>
    <conditionalFormat priority="13">
      <pivotAreas count="1">
        <pivotArea type="data" collapsedLevelsAreSubtotals="1" fieldPosition="0">
          <references count="4">
            <reference field="4294967294" count="1" selected="0">
              <x v="0"/>
            </reference>
            <reference field="5" count="1" selected="0">
              <x v="0"/>
            </reference>
            <reference field="6" count="4">
              <x v="0"/>
              <x v="1"/>
              <x v="4"/>
              <x v="5"/>
            </reference>
            <reference field="9" count="1" selected="0">
              <x v="5"/>
            </reference>
          </references>
        </pivotArea>
      </pivotAreas>
    </conditionalFormat>
    <conditionalFormat priority="12">
      <pivotAreas count="1">
        <pivotArea type="data" collapsedLevelsAreSubtotals="1" fieldPosition="0">
          <references count="4">
            <reference field="4294967294" count="1" selected="0">
              <x v="0"/>
            </reference>
            <reference field="5" count="1" selected="0">
              <x v="0"/>
            </reference>
            <reference field="6" count="4">
              <x v="0"/>
              <x v="1"/>
              <x v="4"/>
              <x v="5"/>
            </reference>
            <reference field="9" count="1" selected="0">
              <x v="6"/>
            </reference>
          </references>
        </pivotArea>
      </pivotAreas>
    </conditionalFormat>
    <conditionalFormat priority="11">
      <pivotAreas count="1">
        <pivotArea type="data" grandCol="1" collapsedLevelsAreSubtotals="1" fieldPosition="0">
          <references count="3">
            <reference field="4294967294" count="1" selected="0">
              <x v="0"/>
            </reference>
            <reference field="5" count="1" selected="0">
              <x v="0"/>
            </reference>
            <reference field="6" count="4">
              <x v="0"/>
              <x v="1"/>
              <x v="4"/>
              <x v="5"/>
            </reference>
          </references>
        </pivotArea>
      </pivotAreas>
    </conditionalFormat>
    <conditionalFormat priority="10">
      <pivotAreas count="1">
        <pivotArea type="data" collapsedLevelsAreSubtotals="1" fieldPosition="0">
          <references count="4">
            <reference field="4294967294" count="1" selected="0">
              <x v="0"/>
            </reference>
            <reference field="5" count="1" selected="0">
              <x v="1"/>
            </reference>
            <reference field="6" count="4">
              <x v="2"/>
              <x v="3"/>
              <x v="4"/>
              <x v="5"/>
            </reference>
            <reference field="9" count="1" selected="0">
              <x v="5"/>
            </reference>
          </references>
        </pivotArea>
      </pivotAreas>
    </conditionalFormat>
    <conditionalFormat priority="9">
      <pivotAreas count="1">
        <pivotArea type="data" collapsedLevelsAreSubtotals="1" fieldPosition="0">
          <references count="4">
            <reference field="4294967294" count="1" selected="0">
              <x v="0"/>
            </reference>
            <reference field="5" count="1" selected="0">
              <x v="1"/>
            </reference>
            <reference field="6" count="4">
              <x v="2"/>
              <x v="3"/>
              <x v="4"/>
              <x v="5"/>
            </reference>
            <reference field="9" count="1" selected="0">
              <x v="6"/>
            </reference>
          </references>
        </pivotArea>
      </pivotAreas>
    </conditionalFormat>
    <conditionalFormat priority="8">
      <pivotAreas count="1">
        <pivotArea type="data" grandCol="1" collapsedLevelsAreSubtotals="1" fieldPosition="0">
          <references count="3">
            <reference field="4294967294" count="1" selected="0">
              <x v="0"/>
            </reference>
            <reference field="5" count="1" selected="0">
              <x v="1"/>
            </reference>
            <reference field="6" count="4">
              <x v="2"/>
              <x v="3"/>
              <x v="4"/>
              <x v="5"/>
            </reference>
          </references>
        </pivotArea>
      </pivotAreas>
    </conditionalFormat>
    <conditionalFormat priority="7">
      <pivotAreas count="1">
        <pivotArea type="data" outline="0" collapsedLevelsAreSubtotals="1" fieldPosition="0">
          <references count="4">
            <reference field="4294967294" count="1" selected="0">
              <x v="0"/>
            </reference>
            <reference field="5" count="2" selected="0">
              <x v="0"/>
              <x v="1"/>
            </reference>
            <reference field="6" count="6" selected="0">
              <x v="0"/>
              <x v="1"/>
              <x v="2"/>
              <x v="3"/>
              <x v="4"/>
              <x v="5"/>
            </reference>
            <reference field="9" count="1" selected="0">
              <x v="7"/>
            </reference>
          </references>
        </pivotArea>
      </pivotAreas>
    </conditionalFormat>
    <conditionalFormat priority="6">
      <pivotAreas count="1">
        <pivotArea type="data" outline="0" collapsedLevelsAreSubtotals="1" fieldPosition="0">
          <references count="4">
            <reference field="4294967294" count="1" selected="0">
              <x v="0"/>
            </reference>
            <reference field="5" count="2" selected="0">
              <x v="0"/>
              <x v="1"/>
            </reference>
            <reference field="6" count="6" selected="0">
              <x v="0"/>
              <x v="1"/>
              <x v="2"/>
              <x v="3"/>
              <x v="4"/>
              <x v="5"/>
            </reference>
            <reference field="9" count="1" selected="0">
              <x v="8"/>
            </reference>
          </references>
        </pivotArea>
      </pivotAreas>
    </conditionalFormat>
    <conditionalFormat priority="5">
      <pivotAreas count="1">
        <pivotArea type="data" outline="0" collapsedLevelsAreSubtotals="1" fieldPosition="0">
          <references count="4">
            <reference field="4294967294" count="1" selected="0">
              <x v="0"/>
            </reference>
            <reference field="5" count="2" selected="0">
              <x v="0"/>
              <x v="1"/>
            </reference>
            <reference field="6" count="6" selected="0">
              <x v="0"/>
              <x v="1"/>
              <x v="2"/>
              <x v="3"/>
              <x v="4"/>
              <x v="5"/>
            </reference>
            <reference field="9" count="1" selected="0">
              <x v="9"/>
            </reference>
          </references>
        </pivotArea>
      </pivotAreas>
    </conditionalFormat>
    <conditionalFormat priority="4">
      <pivotAreas count="1">
        <pivotArea type="data" outline="0" collapsedLevelsAreSubtotals="1" fieldPosition="0">
          <references count="4">
            <reference field="4294967294" count="1" selected="0">
              <x v="0"/>
            </reference>
            <reference field="5" count="2" selected="0">
              <x v="0"/>
              <x v="1"/>
            </reference>
            <reference field="6" count="6" selected="0">
              <x v="0"/>
              <x v="1"/>
              <x v="2"/>
              <x v="3"/>
              <x v="4"/>
              <x v="5"/>
            </reference>
            <reference field="9" count="1" selected="0">
              <x v="10"/>
            </reference>
          </references>
        </pivotArea>
      </pivotAreas>
    </conditionalFormat>
    <conditionalFormat priority="3">
      <pivotAreas count="1">
        <pivotArea type="data" outline="0" collapsedLevelsAreSubtotals="1" fieldPosition="0">
          <references count="4">
            <reference field="4294967294" count="1" selected="0">
              <x v="0"/>
            </reference>
            <reference field="5" count="2" selected="0">
              <x v="0"/>
              <x v="1"/>
            </reference>
            <reference field="6" count="6" selected="0">
              <x v="0"/>
              <x v="1"/>
              <x v="2"/>
              <x v="3"/>
              <x v="4"/>
              <x v="5"/>
            </reference>
            <reference field="9" count="1" selected="0">
              <x v="11"/>
            </reference>
          </references>
        </pivotArea>
      </pivotAreas>
    </conditionalFormat>
    <conditionalFormat priority="2">
      <pivotAreas count="1">
        <pivotArea type="data" outline="0" collapsedLevelsAreSubtotals="1" fieldPosition="0">
          <references count="4">
            <reference field="4294967294" count="1" selected="0">
              <x v="0"/>
            </reference>
            <reference field="5" count="2" selected="0">
              <x v="0"/>
              <x v="1"/>
            </reference>
            <reference field="6" count="6" selected="0">
              <x v="0"/>
              <x v="1"/>
              <x v="2"/>
              <x v="3"/>
              <x v="4"/>
              <x v="5"/>
            </reference>
            <reference field="9" count="1" selected="0">
              <x v="12"/>
            </reference>
          </references>
        </pivotArea>
      </pivotAreas>
    </conditionalFormat>
    <conditionalFormat priority="1">
      <pivotAreas count="1">
        <pivotArea type="data" outline="0" collapsedLevelsAreSubtotals="1" fieldPosition="0">
          <references count="4">
            <reference field="4294967294" count="1" selected="0">
              <x v="0"/>
            </reference>
            <reference field="5" count="2" selected="0">
              <x v="0"/>
              <x v="1"/>
            </reference>
            <reference field="6" count="6" selected="0">
              <x v="0"/>
              <x v="1"/>
              <x v="2"/>
              <x v="3"/>
              <x v="4"/>
              <x v="5"/>
            </reference>
            <reference field="9" count="1" selected="0">
              <x v="1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1F20AF-76A3-4A24-B409-742D1397CA41}"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J44:CN57" firstHeaderRow="0" firstDataRow="1" firstDataCol="1"/>
  <pivotFields count="71">
    <pivotField showAll="0">
      <items count="6">
        <item x="0"/>
        <item x="1"/>
        <item x="2"/>
        <item x="3"/>
        <item h="1" x="4"/>
        <item t="default"/>
      </items>
    </pivotField>
    <pivotField showAll="0"/>
    <pivotField showAll="0"/>
    <pivotField showAll="0"/>
    <pivotField showAll="0"/>
    <pivotField axis="axisRow" showAll="0">
      <items count="4">
        <item x="0"/>
        <item x="1"/>
        <item x="2"/>
        <item t="default"/>
      </items>
    </pivotField>
    <pivotField axis="axisRow" showAll="0">
      <items count="8">
        <item x="0"/>
        <item x="1"/>
        <item x="4"/>
        <item x="5"/>
        <item x="2"/>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s>
  <rowFields count="2">
    <field x="5"/>
    <field x="6"/>
  </rowFields>
  <rowItems count="13">
    <i>
      <x/>
    </i>
    <i r="1">
      <x/>
    </i>
    <i r="1">
      <x v="1"/>
    </i>
    <i r="1">
      <x v="4"/>
    </i>
    <i r="1">
      <x v="5"/>
    </i>
    <i>
      <x v="1"/>
    </i>
    <i r="1">
      <x v="2"/>
    </i>
    <i r="1">
      <x v="3"/>
    </i>
    <i r="1">
      <x v="4"/>
    </i>
    <i r="1">
      <x v="5"/>
    </i>
    <i>
      <x v="2"/>
    </i>
    <i r="1">
      <x v="6"/>
    </i>
    <i t="grand">
      <x/>
    </i>
  </rowItems>
  <colFields count="1">
    <field x="-2"/>
  </colFields>
  <colItems count="4">
    <i>
      <x/>
    </i>
    <i i="1">
      <x v="1"/>
    </i>
    <i i="2">
      <x v="2"/>
    </i>
    <i i="3">
      <x v="3"/>
    </i>
  </colItems>
  <dataFields count="4">
    <dataField name="Average of Spike fraction (g/g)" fld="61" subtotal="average" baseField="5" baseItem="0" numFmtId="2"/>
    <dataField name="Average of Stem fraction (g/g)" fld="60" subtotal="average" baseField="5" baseItem="0" numFmtId="2"/>
    <dataField name="Average of Green leaf fraction (g/g)" fld="58" subtotal="average" baseField="5" baseItem="0" numFmtId="2"/>
    <dataField name="Average of Dead leaf fraction (g/g)" fld="59" subtotal="average" baseField="5" baseItem="0" numFmtId="2"/>
  </dataFields>
  <formats count="16">
    <format dxfId="63">
      <pivotArea type="all" dataOnly="0" outline="0" fieldPosition="0"/>
    </format>
    <format dxfId="62">
      <pivotArea outline="0" collapsedLevelsAreSubtotals="1" fieldPosition="0"/>
    </format>
    <format dxfId="61">
      <pivotArea type="origin" dataOnly="0" labelOnly="1" outline="0" fieldPosition="0"/>
    </format>
    <format dxfId="60">
      <pivotArea field="0" type="button" dataOnly="0" labelOnly="1" outline="0"/>
    </format>
    <format dxfId="59">
      <pivotArea field="-2" type="button" dataOnly="0" labelOnly="1" outline="0" axis="axisCol" fieldPosition="0"/>
    </format>
    <format dxfId="58">
      <pivotArea type="topRight" dataOnly="0" labelOnly="1" outline="0" fieldPosition="0"/>
    </format>
    <format dxfId="57">
      <pivotArea field="5" type="button" dataOnly="0" labelOnly="1" outline="0" axis="axisRow" fieldPosition="0"/>
    </format>
    <format dxfId="56">
      <pivotArea dataOnly="0" labelOnly="1" fieldPosition="0">
        <references count="1">
          <reference field="5" count="0"/>
        </references>
      </pivotArea>
    </format>
    <format dxfId="55">
      <pivotArea dataOnly="0" labelOnly="1" grandRow="1" outline="0" fieldPosition="0"/>
    </format>
    <format dxfId="54">
      <pivotArea dataOnly="0" labelOnly="1" fieldPosition="0">
        <references count="2">
          <reference field="5" count="1" selected="0">
            <x v="0"/>
          </reference>
          <reference field="6" count="4">
            <x v="0"/>
            <x v="1"/>
            <x v="4"/>
            <x v="5"/>
          </reference>
        </references>
      </pivotArea>
    </format>
    <format dxfId="53">
      <pivotArea dataOnly="0" labelOnly="1" fieldPosition="0">
        <references count="2">
          <reference field="5" count="1" selected="0">
            <x v="1"/>
          </reference>
          <reference field="6" count="4">
            <x v="2"/>
            <x v="3"/>
            <x v="4"/>
            <x v="5"/>
          </reference>
        </references>
      </pivotArea>
    </format>
    <format dxfId="52">
      <pivotArea dataOnly="0" labelOnly="1" fieldPosition="0">
        <references count="2">
          <reference field="5" count="1" selected="0">
            <x v="2"/>
          </reference>
          <reference field="6" count="1">
            <x v="6"/>
          </reference>
        </references>
      </pivotArea>
    </format>
    <format dxfId="51">
      <pivotArea outline="0" fieldPosition="0">
        <references count="1">
          <reference field="4294967294" count="1">
            <x v="0"/>
          </reference>
        </references>
      </pivotArea>
    </format>
    <format dxfId="50">
      <pivotArea outline="0" fieldPosition="0">
        <references count="1">
          <reference field="4294967294" count="1">
            <x v="1"/>
          </reference>
        </references>
      </pivotArea>
    </format>
    <format dxfId="49">
      <pivotArea outline="0" fieldPosition="0">
        <references count="1">
          <reference field="4294967294" count="1">
            <x v="2"/>
          </reference>
        </references>
      </pivotArea>
    </format>
    <format dxfId="48">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8AFC95-CDC7-4126-A018-4A0391BFD115}" name="PivotTable1" cacheId="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CJ15:CP24" firstHeaderRow="1" firstDataRow="2" firstDataCol="2"/>
  <pivotFields count="71">
    <pivotField compact="0" outline="0" showAll="0"/>
    <pivotField compact="0" outline="0" showAll="0"/>
    <pivotField compact="0" outline="0" showAll="0"/>
    <pivotField compact="0" outline="0" showAll="0"/>
    <pivotField compact="0" outline="0" showAll="0"/>
    <pivotField axis="axisRow" compact="0" outline="0" showAll="0" defaultSubtotal="0">
      <items count="2">
        <item x="0"/>
        <item x="1"/>
      </items>
    </pivotField>
    <pivotField axis="axisRow" compact="0" outline="0" showAll="0">
      <items count="7">
        <item x="0"/>
        <item x="1"/>
        <item x="4"/>
        <item x="5"/>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8">
    <i>
      <x/>
      <x/>
    </i>
    <i r="1">
      <x v="1"/>
    </i>
    <i r="1">
      <x v="4"/>
    </i>
    <i r="1">
      <x v="5"/>
    </i>
    <i>
      <x v="1"/>
      <x v="2"/>
    </i>
    <i r="1">
      <x v="3"/>
    </i>
    <i r="1">
      <x v="4"/>
    </i>
    <i r="1">
      <x v="5"/>
    </i>
  </rowItems>
  <colFields count="1">
    <field x="-2"/>
  </colFields>
  <colItems count="5">
    <i>
      <x/>
    </i>
    <i i="1">
      <x v="1"/>
    </i>
    <i i="2">
      <x v="2"/>
    </i>
    <i i="3">
      <x v="3"/>
    </i>
    <i i="4">
      <x v="4"/>
    </i>
  </colItems>
  <dataFields count="5">
    <dataField name="Average of PARi at ground level" fld="15" subtotal="average" baseField="6" baseItem="0" numFmtId="2"/>
    <dataField name="Average of PARi at 25% of canopy height" fld="16" subtotal="average" baseField="6" baseItem="0"/>
    <dataField name="Average of PARi at 50% of canopy height" fld="17" subtotal="average" baseField="6" baseItem="0"/>
    <dataField name="Average of PARi at 75% of canopy height" fld="18" subtotal="average" baseField="6" baseItem="0"/>
    <dataField name="Average of Fresh shoot biomass weight (g/m2)" fld="42" subtotal="average" baseField="6" baseItem="0"/>
  </dataFields>
  <formats count="28">
    <format dxfId="91">
      <pivotArea outline="0" collapsedLevelsAreSubtotals="1" fieldPosition="0"/>
    </format>
    <format dxfId="90">
      <pivotArea field="5" type="button" dataOnly="0" labelOnly="1" outline="0" axis="axisRow" fieldPosition="0"/>
    </format>
    <format dxfId="89">
      <pivotArea field="6" type="button" dataOnly="0" labelOnly="1" outline="0" axis="axisRow" fieldPosition="1"/>
    </format>
    <format dxfId="88">
      <pivotArea dataOnly="0" labelOnly="1" outline="0" fieldPosition="0">
        <references count="1">
          <reference field="5" count="0"/>
        </references>
      </pivotArea>
    </format>
    <format dxfId="87">
      <pivotArea dataOnly="0" labelOnly="1" grandRow="1" outline="0" fieldPosition="0"/>
    </format>
    <format dxfId="86">
      <pivotArea dataOnly="0" labelOnly="1" outline="0" fieldPosition="0">
        <references count="2">
          <reference field="5" count="1" selected="0">
            <x v="0"/>
          </reference>
          <reference field="6" count="4">
            <x v="0"/>
            <x v="1"/>
            <x v="4"/>
            <x v="5"/>
          </reference>
        </references>
      </pivotArea>
    </format>
    <format dxfId="85">
      <pivotArea dataOnly="0" labelOnly="1" outline="0" fieldPosition="0">
        <references count="2">
          <reference field="5" count="1" selected="0">
            <x v="1"/>
          </reference>
          <reference field="6" count="4">
            <x v="2"/>
            <x v="3"/>
            <x v="4"/>
            <x v="5"/>
          </reference>
        </references>
      </pivotArea>
    </format>
    <format dxfId="84">
      <pivotArea outline="0" fieldPosition="0">
        <references count="2">
          <reference field="5" count="0" selected="0"/>
          <reference field="6" count="0" selected="0"/>
        </references>
      </pivotArea>
    </format>
    <format dxfId="83">
      <pivotArea field="-2" type="button" dataOnly="0" labelOnly="1" outline="0" axis="axisCol" fieldPosition="0"/>
    </format>
    <format dxfId="82">
      <pivotArea outline="0" fieldPosition="0">
        <references count="3">
          <reference field="4294967294" count="4" selected="0">
            <x v="0"/>
            <x v="1"/>
            <x v="2"/>
            <x v="3"/>
          </reference>
          <reference field="5" count="0" selected="0"/>
          <reference field="6" count="0" selected="0"/>
        </references>
      </pivotArea>
    </format>
    <format dxfId="81">
      <pivotArea type="all" dataOnly="0" outline="0" fieldPosition="0"/>
    </format>
    <format dxfId="80">
      <pivotArea outline="0" collapsedLevelsAreSubtotals="1" fieldPosition="0"/>
    </format>
    <format dxfId="79">
      <pivotArea type="origin" dataOnly="0" labelOnly="1" outline="0" fieldPosition="0"/>
    </format>
    <format dxfId="78">
      <pivotArea field="-2" type="button" dataOnly="0" labelOnly="1" outline="0" axis="axisCol" fieldPosition="0"/>
    </format>
    <format dxfId="77">
      <pivotArea type="topRight" dataOnly="0" labelOnly="1" outline="0" fieldPosition="0"/>
    </format>
    <format dxfId="76">
      <pivotArea field="5" type="button" dataOnly="0" labelOnly="1" outline="0" axis="axisRow" fieldPosition="0"/>
    </format>
    <format dxfId="75">
      <pivotArea field="6" type="button" dataOnly="0" labelOnly="1" outline="0" axis="axisRow" fieldPosition="1"/>
    </format>
    <format dxfId="74">
      <pivotArea dataOnly="0" labelOnly="1" outline="0" fieldPosition="0">
        <references count="1">
          <reference field="5" count="0"/>
        </references>
      </pivotArea>
    </format>
    <format dxfId="73">
      <pivotArea dataOnly="0" labelOnly="1" outline="0" fieldPosition="0">
        <references count="2">
          <reference field="5" count="1" selected="0">
            <x v="0"/>
          </reference>
          <reference field="6" count="4">
            <x v="0"/>
            <x v="1"/>
            <x v="4"/>
            <x v="5"/>
          </reference>
        </references>
      </pivotArea>
    </format>
    <format dxfId="72">
      <pivotArea dataOnly="0" labelOnly="1" outline="0" fieldPosition="0">
        <references count="2">
          <reference field="5" count="1" selected="0">
            <x v="1"/>
          </reference>
          <reference field="6" count="4">
            <x v="2"/>
            <x v="3"/>
            <x v="4"/>
            <x v="5"/>
          </reference>
        </references>
      </pivotArea>
    </format>
    <format dxfId="71">
      <pivotArea dataOnly="0" labelOnly="1" outline="0" fieldPosition="0">
        <references count="1">
          <reference field="4294967294" count="5">
            <x v="0"/>
            <x v="1"/>
            <x v="2"/>
            <x v="3"/>
            <x v="4"/>
          </reference>
        </references>
      </pivotArea>
    </format>
    <format dxfId="70">
      <pivotArea outline="0" collapsedLevelsAreSubtotals="1" fieldPosition="0"/>
    </format>
    <format dxfId="69">
      <pivotArea dataOnly="0" labelOnly="1" outline="0" fieldPosition="0">
        <references count="1">
          <reference field="5" count="0"/>
        </references>
      </pivotArea>
    </format>
    <format dxfId="68">
      <pivotArea dataOnly="0" labelOnly="1" outline="0" fieldPosition="0">
        <references count="1">
          <reference field="5" count="0" defaultSubtotal="1"/>
        </references>
      </pivotArea>
    </format>
    <format dxfId="67">
      <pivotArea dataOnly="0" labelOnly="1" outline="0" fieldPosition="0">
        <references count="2">
          <reference field="5" count="1" selected="0">
            <x v="0"/>
          </reference>
          <reference field="6" count="4">
            <x v="0"/>
            <x v="1"/>
            <x v="4"/>
            <x v="5"/>
          </reference>
        </references>
      </pivotArea>
    </format>
    <format dxfId="66">
      <pivotArea dataOnly="0" labelOnly="1" outline="0" fieldPosition="0">
        <references count="2">
          <reference field="5" count="1" selected="0">
            <x v="1"/>
          </reference>
          <reference field="6" count="4">
            <x v="2"/>
            <x v="3"/>
            <x v="4"/>
            <x v="5"/>
          </reference>
        </references>
      </pivotArea>
    </format>
    <format dxfId="65">
      <pivotArea outline="0" fieldPosition="0">
        <references count="2">
          <reference field="4294967294" count="1" selected="0">
            <x v="0"/>
          </reference>
          <reference field="5" count="1" selected="0" defaultSubtotal="1">
            <x v="1"/>
          </reference>
        </references>
      </pivotArea>
    </format>
    <format dxfId="64">
      <pivotArea outline="0" fieldPosition="0">
        <references count="1">
          <reference field="4294967294" count="1">
            <x v="0"/>
          </reference>
        </references>
      </pivotArea>
    </format>
  </formats>
  <conditionalFormats count="3">
    <conditionalFormat priority="7">
      <pivotAreas count="1">
        <pivotArea type="data" outline="0" collapsedLevelsAreSubtotals="1" fieldPosition="0">
          <references count="2">
            <reference field="4294967294" count="1" selected="0">
              <x v="0"/>
            </reference>
            <reference field="5" count="1" selected="0">
              <x v="1"/>
            </reference>
          </references>
        </pivotArea>
      </pivotAreas>
    </conditionalFormat>
    <conditionalFormat priority="6">
      <pivotAreas count="1">
        <pivotArea type="data" outline="0" collapsedLevelsAreSubtotals="1" fieldPosition="0">
          <references count="2">
            <reference field="4294967294" count="1" selected="0">
              <x v="0"/>
            </reference>
            <reference field="5" count="1" selected="0">
              <x v="1"/>
            </reference>
          </references>
        </pivotArea>
      </pivotAreas>
    </conditionalFormat>
    <conditionalFormat priority="5">
      <pivotAreas count="1">
        <pivotArea type="data" outline="0" collapsedLevelsAreSubtotals="1" fieldPosition="0">
          <references count="2">
            <reference field="4294967294" count="1" selected="0">
              <x v="0"/>
            </reference>
            <reference field="5"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085E5F-5613-4CCC-A492-3E6C86018402}" name="PivotTable2" cacheId="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CJ1:CU10" firstHeaderRow="1" firstDataRow="2" firstDataCol="2"/>
  <pivotFields count="71">
    <pivotField compact="0" outline="0" showAll="0"/>
    <pivotField compact="0" outline="0" showAll="0"/>
    <pivotField compact="0" outline="0" showAll="0"/>
    <pivotField compact="0" outline="0" showAll="0"/>
    <pivotField compact="0" outline="0" showAll="0"/>
    <pivotField axis="axisRow" compact="0" outline="0" showAll="0" defaultSubtotal="0">
      <items count="2">
        <item x="0"/>
        <item x="1"/>
      </items>
    </pivotField>
    <pivotField axis="axisRow" compact="0" outline="0" showAll="0">
      <items count="7">
        <item x="0"/>
        <item x="1"/>
        <item x="4"/>
        <item x="5"/>
        <item x="2"/>
        <item x="3"/>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2">
    <field x="5"/>
    <field x="6"/>
  </rowFields>
  <rowItems count="8">
    <i>
      <x/>
      <x/>
    </i>
    <i r="1">
      <x v="1"/>
    </i>
    <i r="1">
      <x v="4"/>
    </i>
    <i r="1">
      <x v="5"/>
    </i>
    <i>
      <x v="1"/>
      <x v="2"/>
    </i>
    <i r="1">
      <x v="3"/>
    </i>
    <i r="1">
      <x v="4"/>
    </i>
    <i r="1">
      <x v="5"/>
    </i>
  </rowItems>
  <colFields count="1">
    <field x="-2"/>
  </colFields>
  <colItems count="10">
    <i>
      <x/>
    </i>
    <i i="1">
      <x v="1"/>
    </i>
    <i i="2">
      <x v="2"/>
    </i>
    <i i="3">
      <x v="3"/>
    </i>
    <i i="4">
      <x v="4"/>
    </i>
    <i i="5">
      <x v="5"/>
    </i>
    <i i="6">
      <x v="6"/>
    </i>
    <i i="7">
      <x v="7"/>
    </i>
    <i i="8">
      <x v="8"/>
    </i>
    <i i="9">
      <x v="9"/>
    </i>
  </colItems>
  <dataFields count="10">
    <dataField name="Average of Canopy height (cm)" fld="39" subtotal="average" baseField="6" baseItem="0"/>
    <dataField name="Average of NDVI of quadrat area" fld="10" subtotal="average" baseField="6" baseItem="0" numFmtId="2"/>
    <dataField name="Average of Mean SPAD of lowest leaves" fld="66" subtotal="average" baseField="6" baseItem="0"/>
    <dataField name="Average of Mean SPAD at 25% of canopy height" fld="67" subtotal="average" baseField="6" baseItem="0"/>
    <dataField name="Average of Mean SPAD at 50% of canopy height " fld="68" subtotal="average" baseField="6" baseItem="0"/>
    <dataField name="Average of Mean SPAD at 75% of canopy height" fld="69" subtotal="average" baseField="6" baseItem="0"/>
    <dataField name="Average of Mean SPAD of flag leaf" fld="70" subtotal="average" baseField="6" baseItem="0"/>
    <dataField name="Average of Measurement date" fld="9" subtotal="average" baseField="6" baseItem="0" numFmtId="16"/>
    <dataField name="Average of Estimated dry matter at PCDS 6.0 (g/m²)" fld="57" subtotal="average" baseField="6" baseItem="0" numFmtId="1"/>
    <dataField name="Average of Spike dry matter (g/m²)" fld="65" subtotal="average" baseField="6" baseItem="0" numFmtId="1"/>
  </dataFields>
  <formats count="22">
    <format dxfId="113">
      <pivotArea outline="0" collapsedLevelsAreSubtotals="1" fieldPosition="0"/>
    </format>
    <format dxfId="112">
      <pivotArea field="5" type="button" dataOnly="0" labelOnly="1" outline="0" axis="axisRow" fieldPosition="0"/>
    </format>
    <format dxfId="111">
      <pivotArea field="6" type="button" dataOnly="0" labelOnly="1" outline="0" axis="axisRow" fieldPosition="1"/>
    </format>
    <format dxfId="110">
      <pivotArea dataOnly="0" labelOnly="1" outline="0" fieldPosition="0">
        <references count="1">
          <reference field="5" count="0"/>
        </references>
      </pivotArea>
    </format>
    <format dxfId="109">
      <pivotArea dataOnly="0" labelOnly="1" grandRow="1" outline="0" fieldPosition="0"/>
    </format>
    <format dxfId="108">
      <pivotArea dataOnly="0" labelOnly="1" outline="0" fieldPosition="0">
        <references count="2">
          <reference field="5" count="1" selected="0">
            <x v="0"/>
          </reference>
          <reference field="6" count="4">
            <x v="0"/>
            <x v="1"/>
            <x v="4"/>
            <x v="5"/>
          </reference>
        </references>
      </pivotArea>
    </format>
    <format dxfId="107">
      <pivotArea dataOnly="0" labelOnly="1" outline="0" fieldPosition="0">
        <references count="2">
          <reference field="5" count="1" selected="0">
            <x v="1"/>
          </reference>
          <reference field="6" count="4">
            <x v="2"/>
            <x v="3"/>
            <x v="4"/>
            <x v="5"/>
          </reference>
        </references>
      </pivotArea>
    </format>
    <format dxfId="106">
      <pivotArea dataOnly="0" labelOnly="1" outline="0" fieldPosition="0">
        <references count="1">
          <reference field="4294967294" count="1">
            <x v="1"/>
          </reference>
        </references>
      </pivotArea>
    </format>
    <format dxfId="105">
      <pivotArea outline="0" fieldPosition="0">
        <references count="2">
          <reference field="5" count="0" selected="0"/>
          <reference field="6" count="0" selected="0"/>
        </references>
      </pivotArea>
    </format>
    <format dxfId="104">
      <pivotArea outline="0" fieldPosition="0">
        <references count="1">
          <reference field="4294967294" count="1" selected="0">
            <x v="1"/>
          </reference>
        </references>
      </pivotArea>
    </format>
    <format dxfId="103">
      <pivotArea field="-2" type="button" dataOnly="0" labelOnly="1" outline="0" axis="axisCol" fieldPosition="0"/>
    </format>
    <format dxfId="102">
      <pivotArea dataOnly="0" labelOnly="1" outline="0" fieldPosition="0">
        <references count="1">
          <reference field="4294967294" count="1">
            <x v="1"/>
          </reference>
        </references>
      </pivotArea>
    </format>
    <format dxfId="101">
      <pivotArea outline="0" fieldPosition="0">
        <references count="2">
          <reference field="5" count="1" selected="0">
            <x v="0"/>
          </reference>
          <reference field="6" count="3" selected="0">
            <x v="1"/>
            <x v="4"/>
            <x v="5"/>
          </reference>
        </references>
      </pivotArea>
    </format>
    <format dxfId="100">
      <pivotArea outline="0" fieldPosition="0">
        <references count="1">
          <reference field="5" count="1" selected="0">
            <x v="1"/>
          </reference>
        </references>
      </pivotArea>
    </format>
    <format dxfId="99">
      <pivotArea dataOnly="0" labelOnly="1" outline="0" offset="IV2:IV256" fieldPosition="0">
        <references count="1">
          <reference field="5" count="1">
            <x v="0"/>
          </reference>
        </references>
      </pivotArea>
    </format>
    <format dxfId="98">
      <pivotArea dataOnly="0" labelOnly="1" outline="0" fieldPosition="0">
        <references count="1">
          <reference field="5" count="1">
            <x v="1"/>
          </reference>
        </references>
      </pivotArea>
    </format>
    <format dxfId="97">
      <pivotArea dataOnly="0" labelOnly="1" outline="0" fieldPosition="0">
        <references count="2">
          <reference field="5" count="1" selected="0">
            <x v="0"/>
          </reference>
          <reference field="6" count="3">
            <x v="1"/>
            <x v="4"/>
            <x v="5"/>
          </reference>
        </references>
      </pivotArea>
    </format>
    <format dxfId="96">
      <pivotArea dataOnly="0" labelOnly="1" outline="0" fieldPosition="0">
        <references count="2">
          <reference field="5" count="1" selected="0">
            <x v="1"/>
          </reference>
          <reference field="6" count="4">
            <x v="2"/>
            <x v="3"/>
            <x v="4"/>
            <x v="5"/>
          </reference>
        </references>
      </pivotArea>
    </format>
    <format dxfId="95">
      <pivotArea outline="0" collapsedLevelsAreSubtotals="1" fieldPosition="0"/>
    </format>
    <format dxfId="94">
      <pivotArea outline="0" fieldPosition="0">
        <references count="1">
          <reference field="4294967294" count="1">
            <x v="7"/>
          </reference>
        </references>
      </pivotArea>
    </format>
    <format dxfId="93">
      <pivotArea outline="0" fieldPosition="0">
        <references count="1">
          <reference field="4294967294" count="1">
            <x v="8"/>
          </reference>
        </references>
      </pivotArea>
    </format>
    <format dxfId="92">
      <pivotArea outline="0" fieldPosition="0">
        <references count="1">
          <reference field="4294967294" count="1">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D727B1-0337-4056-BE8A-9325B3A28E64}" name="PivotTable9" cacheId="4"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J28:CT41" firstHeaderRow="1" firstDataRow="3" firstDataCol="1"/>
  <pivotFields count="71">
    <pivotField axis="axisCol" showAll="0">
      <items count="6">
        <item x="0"/>
        <item x="1"/>
        <item x="2"/>
        <item x="3"/>
        <item h="1" x="4"/>
        <item t="default"/>
      </items>
    </pivotField>
    <pivotField showAll="0"/>
    <pivotField showAll="0"/>
    <pivotField showAll="0"/>
    <pivotField showAll="0"/>
    <pivotField axis="axisRow" showAll="0">
      <items count="4">
        <item x="0"/>
        <item x="1"/>
        <item x="2"/>
        <item t="default"/>
      </items>
    </pivotField>
    <pivotField axis="axisRow" showAll="0">
      <items count="8">
        <item x="0"/>
        <item x="1"/>
        <item x="4"/>
        <item x="5"/>
        <item x="2"/>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5"/>
    <field x="6"/>
  </rowFields>
  <rowItems count="11">
    <i>
      <x/>
    </i>
    <i r="1">
      <x/>
    </i>
    <i r="1">
      <x v="1"/>
    </i>
    <i r="1">
      <x v="4"/>
    </i>
    <i r="1">
      <x v="5"/>
    </i>
    <i>
      <x v="1"/>
    </i>
    <i r="1">
      <x v="2"/>
    </i>
    <i r="1">
      <x v="3"/>
    </i>
    <i r="1">
      <x v="4"/>
    </i>
    <i r="1">
      <x v="5"/>
    </i>
    <i t="grand">
      <x/>
    </i>
  </rowItems>
  <colFields count="2">
    <field x="-2"/>
    <field x="0"/>
  </colFields>
  <colItems count="10">
    <i>
      <x/>
      <x/>
    </i>
    <i r="1">
      <x v="1"/>
    </i>
    <i r="1">
      <x v="2"/>
    </i>
    <i r="1">
      <x v="3"/>
    </i>
    <i i="1">
      <x v="1"/>
      <x/>
    </i>
    <i r="1" i="1">
      <x v="1"/>
    </i>
    <i r="1" i="1">
      <x v="2"/>
    </i>
    <i r="1" i="1">
      <x v="3"/>
    </i>
    <i t="grand">
      <x/>
    </i>
    <i t="grand" i="1">
      <x/>
    </i>
  </colItems>
  <dataFields count="2">
    <dataField name="Average of Estimated dry matter at PCDS 6.0 (g/m²)" fld="57" subtotal="average" baseField="5" baseItem="0"/>
    <dataField name="Average of Dry weight of a single culm (g)" fld="53" subtotal="average" baseField="5" baseItem="0"/>
  </dataFields>
  <formats count="21">
    <format dxfId="134">
      <pivotArea type="all" dataOnly="0" outline="0" fieldPosition="0"/>
    </format>
    <format dxfId="133">
      <pivotArea outline="0" collapsedLevelsAreSubtotals="1" fieldPosition="0"/>
    </format>
    <format dxfId="132">
      <pivotArea type="origin" dataOnly="0" labelOnly="1" outline="0" fieldPosition="0"/>
    </format>
    <format dxfId="131">
      <pivotArea field="0" type="button" dataOnly="0" labelOnly="1" outline="0" axis="axisCol" fieldPosition="1"/>
    </format>
    <format dxfId="130">
      <pivotArea field="-2" type="button" dataOnly="0" labelOnly="1" outline="0" axis="axisCol" fieldPosition="0"/>
    </format>
    <format dxfId="129">
      <pivotArea type="topRight" dataOnly="0" labelOnly="1" outline="0" fieldPosition="0"/>
    </format>
    <format dxfId="128">
      <pivotArea field="5" type="button" dataOnly="0" labelOnly="1" outline="0" axis="axisRow" fieldPosition="0"/>
    </format>
    <format dxfId="127">
      <pivotArea dataOnly="0" labelOnly="1" fieldPosition="0">
        <references count="1">
          <reference field="5" count="0"/>
        </references>
      </pivotArea>
    </format>
    <format dxfId="126">
      <pivotArea dataOnly="0" labelOnly="1" grandRow="1" outline="0" fieldPosition="0"/>
    </format>
    <format dxfId="125">
      <pivotArea dataOnly="0" labelOnly="1" fieldPosition="0">
        <references count="2">
          <reference field="5" count="1" selected="0">
            <x v="0"/>
          </reference>
          <reference field="6" count="4">
            <x v="0"/>
            <x v="1"/>
            <x v="4"/>
            <x v="5"/>
          </reference>
        </references>
      </pivotArea>
    </format>
    <format dxfId="124">
      <pivotArea dataOnly="0" labelOnly="1" fieldPosition="0">
        <references count="2">
          <reference field="5" count="1" selected="0">
            <x v="1"/>
          </reference>
          <reference field="6" count="4">
            <x v="2"/>
            <x v="3"/>
            <x v="4"/>
            <x v="5"/>
          </reference>
        </references>
      </pivotArea>
    </format>
    <format dxfId="123">
      <pivotArea dataOnly="0" labelOnly="1" fieldPosition="0">
        <references count="2">
          <reference field="5" count="1" selected="0">
            <x v="2"/>
          </reference>
          <reference field="6" count="1">
            <x v="6"/>
          </reference>
        </references>
      </pivotArea>
    </format>
    <format dxfId="122">
      <pivotArea dataOnly="0" labelOnly="1" fieldPosition="0">
        <references count="1">
          <reference field="0" count="0"/>
        </references>
      </pivotArea>
    </format>
    <format dxfId="121">
      <pivotArea field="0" dataOnly="0" labelOnly="1" grandCol="1" outline="0" axis="axisCol" fieldPosition="1">
        <references count="1">
          <reference field="4294967294" count="1" selected="0">
            <x v="0"/>
          </reference>
        </references>
      </pivotArea>
    </format>
    <format dxfId="120">
      <pivotArea field="0" dataOnly="0" labelOnly="1" grandCol="1" outline="0" axis="axisCol" fieldPosition="1">
        <references count="1">
          <reference field="4294967294" count="1" selected="0">
            <x v="1"/>
          </reference>
        </references>
      </pivotArea>
    </format>
    <format dxfId="119">
      <pivotArea dataOnly="0" labelOnly="1" outline="0" fieldPosition="0">
        <references count="2">
          <reference field="4294967294" count="2">
            <x v="0"/>
            <x v="1"/>
          </reference>
          <reference field="0" count="1" selected="0">
            <x v="0"/>
          </reference>
        </references>
      </pivotArea>
    </format>
    <format dxfId="118">
      <pivotArea dataOnly="0" labelOnly="1" outline="0" fieldPosition="0">
        <references count="2">
          <reference field="4294967294" count="2">
            <x v="0"/>
            <x v="1"/>
          </reference>
          <reference field="0" count="1" selected="0">
            <x v="1"/>
          </reference>
        </references>
      </pivotArea>
    </format>
    <format dxfId="117">
      <pivotArea dataOnly="0" labelOnly="1" outline="0" fieldPosition="0">
        <references count="2">
          <reference field="4294967294" count="2">
            <x v="0"/>
            <x v="1"/>
          </reference>
          <reference field="0" count="1" selected="0">
            <x v="2"/>
          </reference>
        </references>
      </pivotArea>
    </format>
    <format dxfId="116">
      <pivotArea dataOnly="0" labelOnly="1" outline="0" fieldPosition="0">
        <references count="2">
          <reference field="4294967294" count="2">
            <x v="0"/>
            <x v="1"/>
          </reference>
          <reference field="0" count="1" selected="0">
            <x v="3"/>
          </reference>
        </references>
      </pivotArea>
    </format>
    <format dxfId="115">
      <pivotArea dataOnly="0" labelOnly="1" outline="0" fieldPosition="0">
        <references count="2">
          <reference field="4294967294" count="2">
            <x v="0"/>
            <x v="1"/>
          </reference>
          <reference field="0" count="1" selected="0">
            <x v="4"/>
          </reference>
        </references>
      </pivotArea>
    </format>
    <format dxfId="114">
      <pivotArea outline="0" collapsedLevelsAreSubtotals="1" fieldPosition="0">
        <references count="2">
          <reference field="4294967294" count="1" selected="0">
            <x v="0"/>
          </reference>
          <reference field="0"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31FC11-645C-4FBF-B44D-9582FBD0A688}" name="PivotTable1" cacheId="2"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Q1:AA11" firstHeaderRow="1" firstDataRow="2" firstDataCol="2"/>
  <pivotFields count="13">
    <pivotField compact="0" outline="0" showAll="0"/>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2"/>
        <item x="5"/>
        <item x="1"/>
        <item x="3"/>
        <item x="4"/>
        <item x="6"/>
        <item t="default"/>
      </items>
    </pivotField>
    <pivotField compact="0" outline="0" showAll="0"/>
    <pivotField compact="0" outline="0" showAll="0"/>
    <pivotField axis="axisCol" compact="0" outline="0" showAll="0">
      <items count="11">
        <item x="0"/>
        <item x="1"/>
        <item h="1" x="9"/>
        <item x="2"/>
        <item x="3"/>
        <item x="4"/>
        <item x="5"/>
        <item x="6"/>
        <item x="7"/>
        <item x="8"/>
        <item t="default"/>
      </items>
    </pivotField>
    <pivotField compact="0" outline="0" showAll="0"/>
    <pivotField compact="0" outline="0" showAll="0"/>
    <pivotField dataField="1" compact="0" outline="0" showAll="0"/>
  </pivotFields>
  <rowFields count="2">
    <field x="5"/>
    <field x="6"/>
  </rowFields>
  <rowItems count="9">
    <i>
      <x/>
      <x/>
    </i>
    <i r="1">
      <x v="1"/>
    </i>
    <i r="1">
      <x v="4"/>
    </i>
    <i r="1">
      <x v="5"/>
    </i>
    <i>
      <x v="1"/>
      <x v="2"/>
    </i>
    <i r="1">
      <x v="3"/>
    </i>
    <i r="1">
      <x v="4"/>
    </i>
    <i r="1">
      <x v="5"/>
    </i>
    <i t="grand">
      <x/>
    </i>
  </rowItems>
  <colFields count="1">
    <field x="9"/>
  </colFields>
  <colItems count="9">
    <i>
      <x/>
    </i>
    <i>
      <x v="1"/>
    </i>
    <i>
      <x v="3"/>
    </i>
    <i>
      <x v="4"/>
    </i>
    <i>
      <x v="5"/>
    </i>
    <i>
      <x v="6"/>
    </i>
    <i>
      <x v="7"/>
    </i>
    <i>
      <x v="8"/>
    </i>
    <i>
      <x v="9"/>
    </i>
  </colItems>
  <dataFields count="1">
    <dataField name="Average of % flag leaves emerged" fld="12" subtotal="average" baseField="6" baseItem="0" numFmtId="1"/>
  </dataFields>
  <formats count="3">
    <format dxfId="47">
      <pivotArea dataOnly="0" labelOnly="1" outline="0" fieldPosition="0">
        <references count="2">
          <reference field="5" count="1" selected="0">
            <x v="0"/>
          </reference>
          <reference field="6" count="3">
            <x v="1"/>
            <x v="4"/>
            <x v="5"/>
          </reference>
        </references>
      </pivotArea>
    </format>
    <format dxfId="46">
      <pivotArea outline="0" fieldPosition="0">
        <references count="3">
          <reference field="5" count="1" selected="0">
            <x v="1"/>
          </reference>
          <reference field="6" count="1" selected="0">
            <x v="2"/>
          </reference>
          <reference field="9" count="1" selected="0">
            <x v="5"/>
          </reference>
        </references>
      </pivotArea>
    </format>
    <format dxfId="45">
      <pivotArea outline="0" fieldPosition="0">
        <references count="3">
          <reference field="5" count="1" selected="0">
            <x v="1"/>
          </reference>
          <reference field="6" count="1" selected="0">
            <x v="2"/>
          </reference>
          <reference field="9"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A3EA60-4063-460C-B63E-A916AB354DC9}"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O5:Y14" firstHeaderRow="1" firstDataRow="2" firstDataCol="2"/>
  <pivotFields count="13">
    <pivotField compact="0" outline="0" showAll="0"/>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2"/>
        <item x="5"/>
        <item x="1"/>
        <item x="3"/>
        <item x="4"/>
        <item x="6"/>
        <item t="default"/>
      </items>
    </pivotField>
    <pivotField compact="0" outline="0" showAll="0"/>
    <pivotField compact="0" outline="0" showAll="0"/>
    <pivotField axis="axisCol" compact="0" outline="0" showAll="0">
      <items count="11">
        <item x="0"/>
        <item x="1"/>
        <item x="3"/>
        <item h="1" x="2"/>
        <item x="4"/>
        <item x="5"/>
        <item x="6"/>
        <item x="7"/>
        <item x="8"/>
        <item x="9"/>
        <item t="default"/>
      </items>
    </pivotField>
    <pivotField compact="0" outline="0" showAll="0"/>
    <pivotField compact="0" outline="0" showAll="0"/>
    <pivotField dataField="1" compact="0" outline="0" showAll="0"/>
  </pivotFields>
  <rowFields count="2">
    <field x="5"/>
    <field x="6"/>
  </rowFields>
  <rowItems count="8">
    <i>
      <x/>
      <x/>
    </i>
    <i r="1">
      <x v="1"/>
    </i>
    <i r="1">
      <x v="4"/>
    </i>
    <i r="1">
      <x v="5"/>
    </i>
    <i>
      <x v="1"/>
      <x v="2"/>
    </i>
    <i r="1">
      <x v="3"/>
    </i>
    <i r="1">
      <x v="4"/>
    </i>
    <i r="1">
      <x v="5"/>
    </i>
  </rowItems>
  <colFields count="1">
    <field x="9"/>
  </colFields>
  <colItems count="9">
    <i>
      <x/>
    </i>
    <i>
      <x v="1"/>
    </i>
    <i>
      <x v="2"/>
    </i>
    <i>
      <x v="4"/>
    </i>
    <i>
      <x v="5"/>
    </i>
    <i>
      <x v="6"/>
    </i>
    <i>
      <x v="7"/>
    </i>
    <i>
      <x v="8"/>
    </i>
    <i>
      <x v="9"/>
    </i>
  </colItems>
  <dataFields count="1">
    <dataField name="Average of % anthesis" fld="12" subtotal="average" baseField="5" baseItem="0" numFmtId="164"/>
  </dataFields>
  <formats count="7">
    <format dxfId="44">
      <pivotArea outline="0" collapsedLevelsAreSubtotals="1" fieldPosition="0"/>
    </format>
    <format dxfId="43">
      <pivotArea collapsedLevelsAreSubtotals="1" fieldPosition="0">
        <references count="3">
          <reference field="5" count="1" selected="0">
            <x v="0"/>
          </reference>
          <reference field="6" count="1">
            <x v="4"/>
          </reference>
          <reference field="9" count="2" selected="0">
            <x v="0"/>
            <x v="1"/>
          </reference>
        </references>
      </pivotArea>
    </format>
    <format dxfId="42">
      <pivotArea dataOnly="0" labelOnly="1" fieldPosition="0">
        <references count="2">
          <reference field="5" count="1" selected="0">
            <x v="0"/>
          </reference>
          <reference field="6" count="1">
            <x v="4"/>
          </reference>
        </references>
      </pivotArea>
    </format>
    <format dxfId="41">
      <pivotArea collapsedLevelsAreSubtotals="1" fieldPosition="0">
        <references count="2">
          <reference field="5" count="1" selected="0">
            <x v="0"/>
          </reference>
          <reference field="6" count="1">
            <x v="5"/>
          </reference>
        </references>
      </pivotArea>
    </format>
    <format dxfId="40">
      <pivotArea dataOnly="0" labelOnly="1" fieldPosition="0">
        <references count="2">
          <reference field="5" count="1" selected="0">
            <x v="0"/>
          </reference>
          <reference field="6" count="1">
            <x v="5"/>
          </reference>
        </references>
      </pivotArea>
    </format>
    <format dxfId="39">
      <pivotArea collapsedLevelsAreSubtotals="1" fieldPosition="0">
        <references count="2">
          <reference field="5" count="1" selected="0">
            <x v="0"/>
          </reference>
          <reference field="6" count="1">
            <x v="1"/>
          </reference>
        </references>
      </pivotArea>
    </format>
    <format dxfId="38">
      <pivotArea dataOnly="0" labelOnly="1" fieldPosition="0">
        <references count="2">
          <reference field="5" count="1" selected="0">
            <x v="0"/>
          </reference>
          <reference field="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892D35-504C-402B-9DFE-32850BA83967}" name="PivotTable3"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CK30:CP40" firstHeaderRow="1" firstDataRow="2" firstDataCol="2"/>
  <pivotFields count="72">
    <pivotField compact="0" outline="0" showAll="0"/>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1"/>
        <item x="4"/>
        <item x="5"/>
        <item x="2"/>
        <item x="3"/>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9">
    <i>
      <x/>
      <x/>
    </i>
    <i r="1">
      <x v="1"/>
    </i>
    <i r="1">
      <x v="4"/>
    </i>
    <i r="1">
      <x v="5"/>
    </i>
    <i>
      <x v="1"/>
      <x v="2"/>
    </i>
    <i r="1">
      <x v="3"/>
    </i>
    <i r="1">
      <x v="4"/>
    </i>
    <i r="1">
      <x v="5"/>
    </i>
    <i t="grand">
      <x/>
    </i>
  </rowItems>
  <colFields count="1">
    <field x="-2"/>
  </colFields>
  <colItems count="4">
    <i>
      <x/>
    </i>
    <i i="1">
      <x v="1"/>
    </i>
    <i i="2">
      <x v="2"/>
    </i>
    <i i="3">
      <x v="3"/>
    </i>
  </colItems>
  <dataFields count="4">
    <dataField name="Average of PARi at 75% of canopy height" fld="18" subtotal="average" baseField="6" baseItem="0" numFmtId="2"/>
    <dataField name="Average of PARi at 50% of canopy height" fld="17" subtotal="average" baseField="6" baseItem="0" numFmtId="2"/>
    <dataField name="Average of PARi at 25% of canopy height" fld="16" subtotal="average" baseField="6" baseItem="0" numFmtId="2"/>
    <dataField name="Average of PARi at ground level" fld="15" subtotal="average" baseField="6" baseItem="0" numFmtId="2"/>
  </dataFields>
  <formats count="8">
    <format dxfId="9">
      <pivotArea collapsedLevelsAreSubtotals="1" fieldPosition="0">
        <references count="1">
          <reference field="5" count="1">
            <x v="0"/>
          </reference>
        </references>
      </pivotArea>
    </format>
    <format dxfId="8">
      <pivotArea collapsedLevelsAreSubtotals="1" fieldPosition="0">
        <references count="2">
          <reference field="5" count="1" selected="0">
            <x v="0"/>
          </reference>
          <reference field="6" count="4">
            <x v="0"/>
            <x v="1"/>
            <x v="4"/>
            <x v="5"/>
          </reference>
        </references>
      </pivotArea>
    </format>
    <format dxfId="7">
      <pivotArea collapsedLevelsAreSubtotals="1" fieldPosition="0">
        <references count="1">
          <reference field="5" count="1">
            <x v="1"/>
          </reference>
        </references>
      </pivotArea>
    </format>
    <format dxfId="6">
      <pivotArea collapsedLevelsAreSubtotals="1" fieldPosition="0">
        <references count="2">
          <reference field="5" count="1" selected="0">
            <x v="1"/>
          </reference>
          <reference field="6" count="4">
            <x v="2"/>
            <x v="3"/>
            <x v="4"/>
            <x v="5"/>
          </reference>
        </references>
      </pivotArea>
    </format>
    <format dxfId="5">
      <pivotArea outline="0" fieldPosition="0">
        <references count="1">
          <reference field="4294967294" count="1">
            <x v="3"/>
          </reference>
        </references>
      </pivotArea>
    </format>
    <format dxfId="4">
      <pivotArea outline="0" fieldPosition="0">
        <references count="1">
          <reference field="4294967294" count="1">
            <x v="2"/>
          </reference>
        </references>
      </pivotArea>
    </format>
    <format dxfId="3">
      <pivotArea outline="0" fieldPosition="0">
        <references count="1">
          <reference field="4294967294" count="1">
            <x v="1"/>
          </reference>
        </references>
      </pivotArea>
    </format>
    <format dxfId="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14F7A04-0DCB-4BCF-A3A1-5D6C2B00A629}" name="PivotTable2"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CK17:CQ27" firstHeaderRow="1" firstDataRow="2" firstDataCol="2"/>
  <pivotFields count="72">
    <pivotField compact="0" outline="0" showAll="0"/>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1"/>
        <item x="4"/>
        <item x="5"/>
        <item x="2"/>
        <item x="3"/>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2">
    <field x="5"/>
    <field x="6"/>
  </rowFields>
  <rowItems count="9">
    <i>
      <x/>
      <x/>
    </i>
    <i r="1">
      <x v="1"/>
    </i>
    <i r="1">
      <x v="4"/>
    </i>
    <i r="1">
      <x v="5"/>
    </i>
    <i>
      <x v="1"/>
      <x v="2"/>
    </i>
    <i r="1">
      <x v="3"/>
    </i>
    <i r="1">
      <x v="4"/>
    </i>
    <i r="1">
      <x v="5"/>
    </i>
    <i t="grand">
      <x/>
    </i>
  </rowItems>
  <colFields count="1">
    <field x="-2"/>
  </colFields>
  <colItems count="5">
    <i>
      <x/>
    </i>
    <i i="1">
      <x v="1"/>
    </i>
    <i i="2">
      <x v="2"/>
    </i>
    <i i="3">
      <x v="3"/>
    </i>
    <i i="4">
      <x v="4"/>
    </i>
  </colItems>
  <dataFields count="5">
    <dataField name="Average of Mean SPAD of flag leaf" fld="71" subtotal="average" baseField="6" baseItem="0" numFmtId="1"/>
    <dataField name="Average of Mean SPAD at 75% of canopy height" fld="70" subtotal="average" baseField="6" baseItem="0" numFmtId="1"/>
    <dataField name="Average of Mean SPAD at 50% of canopy height " fld="69" subtotal="average" baseField="6" baseItem="0" numFmtId="1"/>
    <dataField name="Average of Mean SPAD at 25% of canopy height" fld="68" subtotal="average" baseField="6" baseItem="0" numFmtId="1"/>
    <dataField name="Average of Mean SPAD of lowest leaves" fld="67" subtotal="average" baseField="6" baseItem="0" numFmtId="1"/>
  </dataFields>
  <formats count="9">
    <format dxfId="18">
      <pivotArea collapsedLevelsAreSubtotals="1" fieldPosition="0">
        <references count="1">
          <reference field="5" count="1">
            <x v="0"/>
          </reference>
        </references>
      </pivotArea>
    </format>
    <format dxfId="17">
      <pivotArea collapsedLevelsAreSubtotals="1" fieldPosition="0">
        <references count="2">
          <reference field="5" count="1" selected="0">
            <x v="0"/>
          </reference>
          <reference field="6" count="4">
            <x v="0"/>
            <x v="1"/>
            <x v="4"/>
            <x v="5"/>
          </reference>
        </references>
      </pivotArea>
    </format>
    <format dxfId="16">
      <pivotArea collapsedLevelsAreSubtotals="1" fieldPosition="0">
        <references count="1">
          <reference field="5" count="1">
            <x v="1"/>
          </reference>
        </references>
      </pivotArea>
    </format>
    <format dxfId="15">
      <pivotArea collapsedLevelsAreSubtotals="1" fieldPosition="0">
        <references count="2">
          <reference field="5" count="1" selected="0">
            <x v="1"/>
          </reference>
          <reference field="6" count="4">
            <x v="2"/>
            <x v="3"/>
            <x v="4"/>
            <x v="5"/>
          </reference>
        </references>
      </pivotArea>
    </format>
    <format dxfId="14">
      <pivotArea outline="0" fieldPosition="0">
        <references count="1">
          <reference field="4294967294" count="1">
            <x v="4"/>
          </reference>
        </references>
      </pivotArea>
    </format>
    <format dxfId="13">
      <pivotArea outline="0" fieldPosition="0">
        <references count="1">
          <reference field="4294967294" count="1">
            <x v="0"/>
          </reference>
        </references>
      </pivotArea>
    </format>
    <format dxfId="12">
      <pivotArea outline="0" fieldPosition="0">
        <references count="1">
          <reference field="4294967294" count="1">
            <x v="1"/>
          </reference>
        </references>
      </pivotArea>
    </format>
    <format dxfId="11">
      <pivotArea outline="0" fieldPosition="0">
        <references count="1">
          <reference field="4294967294" count="1">
            <x v="2"/>
          </reference>
        </references>
      </pivotArea>
    </format>
    <format dxfId="10">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916B273-BA0E-47DB-8550-1C348AF0621E}" name="PivotTable1"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CK4:CS14" firstHeaderRow="1" firstDataRow="2" firstDataCol="2"/>
  <pivotFields count="72">
    <pivotField compact="0" outline="0" showAll="0"/>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1"/>
        <item x="4"/>
        <item x="5"/>
        <item x="2"/>
        <item x="3"/>
        <item h="1" x="6"/>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9">
    <i>
      <x/>
      <x/>
    </i>
    <i r="1">
      <x v="1"/>
    </i>
    <i r="1">
      <x v="4"/>
    </i>
    <i r="1">
      <x v="5"/>
    </i>
    <i>
      <x v="1"/>
      <x v="2"/>
    </i>
    <i r="1">
      <x v="3"/>
    </i>
    <i r="1">
      <x v="4"/>
    </i>
    <i r="1">
      <x v="5"/>
    </i>
    <i t="grand">
      <x/>
    </i>
  </rowItems>
  <colFields count="1">
    <field x="-2"/>
  </colFields>
  <colItems count="7">
    <i>
      <x/>
    </i>
    <i i="1">
      <x v="1"/>
    </i>
    <i i="2">
      <x v="2"/>
    </i>
    <i i="3">
      <x v="3"/>
    </i>
    <i i="4">
      <x v="4"/>
    </i>
    <i i="5">
      <x v="5"/>
    </i>
    <i i="6">
      <x v="6"/>
    </i>
  </colItems>
  <dataFields count="7">
    <dataField name="Average of Spike fraction (g/g)" fld="62" subtotal="average" baseField="6" baseItem="0" numFmtId="2"/>
    <dataField name="Average of Spike dry matter (g/m²)" fld="66" subtotal="average" baseField="6" baseItem="0" numFmtId="1"/>
    <dataField name="Average of Stem fraction (g/g)" fld="61" subtotal="average" baseField="6" baseItem="0" numFmtId="2"/>
    <dataField name="Average of Stem dry matter (g/m²)" fld="65" subtotal="average" baseField="6" baseItem="0" numFmtId="1"/>
    <dataField name="Average of Measurement date" fld="9" subtotal="average" baseField="6" baseItem="0" numFmtId="16"/>
    <dataField name="Average of Estimated dry matter at PCDS 8.0 (g/m²)" fld="58" subtotal="average" baseField="6" baseItem="0" numFmtId="1"/>
    <dataField name="Average of Canopy height (cm)" fld="39" subtotal="average" baseField="6" baseItem="0" numFmtId="1"/>
  </dataFields>
  <formats count="11">
    <format dxfId="29">
      <pivotArea collapsedLevelsAreSubtotals="1" fieldPosition="0">
        <references count="1">
          <reference field="5" count="1">
            <x v="0"/>
          </reference>
        </references>
      </pivotArea>
    </format>
    <format dxfId="28">
      <pivotArea collapsedLevelsAreSubtotals="1" fieldPosition="0">
        <references count="2">
          <reference field="5" count="1" selected="0">
            <x v="0"/>
          </reference>
          <reference field="6" count="4">
            <x v="0"/>
            <x v="1"/>
            <x v="4"/>
            <x v="5"/>
          </reference>
        </references>
      </pivotArea>
    </format>
    <format dxfId="27">
      <pivotArea collapsedLevelsAreSubtotals="1" fieldPosition="0">
        <references count="1">
          <reference field="5" count="1">
            <x v="1"/>
          </reference>
        </references>
      </pivotArea>
    </format>
    <format dxfId="26">
      <pivotArea collapsedLevelsAreSubtotals="1" fieldPosition="0">
        <references count="2">
          <reference field="5" count="1" selected="0">
            <x v="1"/>
          </reference>
          <reference field="6" count="4">
            <x v="2"/>
            <x v="3"/>
            <x v="4"/>
            <x v="5"/>
          </reference>
        </references>
      </pivotArea>
    </format>
    <format dxfId="25">
      <pivotArea outline="0" fieldPosition="0">
        <references count="1">
          <reference field="4294967294" count="1">
            <x v="0"/>
          </reference>
        </references>
      </pivotArea>
    </format>
    <format dxfId="24">
      <pivotArea outline="0" fieldPosition="0">
        <references count="1">
          <reference field="4294967294" count="1">
            <x v="1"/>
          </reference>
        </references>
      </pivotArea>
    </format>
    <format dxfId="23">
      <pivotArea outline="0" fieldPosition="0">
        <references count="1">
          <reference field="4294967294" count="1">
            <x v="2"/>
          </reference>
        </references>
      </pivotArea>
    </format>
    <format dxfId="22">
      <pivotArea outline="0" fieldPosition="0">
        <references count="1">
          <reference field="4294967294" count="1">
            <x v="3"/>
          </reference>
        </references>
      </pivotArea>
    </format>
    <format dxfId="21">
      <pivotArea outline="0" fieldPosition="0">
        <references count="1">
          <reference field="4294967294" count="1">
            <x v="4"/>
          </reference>
        </references>
      </pivotArea>
    </format>
    <format dxfId="20">
      <pivotArea outline="0" fieldPosition="0">
        <references count="1">
          <reference field="4294967294" count="1">
            <x v="5"/>
          </reference>
        </references>
      </pivotArea>
    </format>
    <format dxfId="19">
      <pivotArea outline="0" fieldPosition="0">
        <references count="1">
          <reference field="429496729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7EAF47A-24B8-407F-9F66-CA8958031F30}" name="PivotTable4"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CK43:CP53" firstHeaderRow="1" firstDataRow="2" firstDataCol="2"/>
  <pivotFields count="72">
    <pivotField compact="0" outline="0" showAll="0"/>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1"/>
        <item x="4"/>
        <item x="5"/>
        <item x="2"/>
        <item x="3"/>
        <item h="1" x="6"/>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9">
    <i>
      <x/>
      <x/>
    </i>
    <i r="1">
      <x v="1"/>
    </i>
    <i r="1">
      <x v="4"/>
    </i>
    <i r="1">
      <x v="5"/>
    </i>
    <i>
      <x v="1"/>
      <x v="2"/>
    </i>
    <i r="1">
      <x v="3"/>
    </i>
    <i r="1">
      <x v="4"/>
    </i>
    <i r="1">
      <x v="5"/>
    </i>
    <i t="grand">
      <x/>
    </i>
  </rowItems>
  <colFields count="1">
    <field x="-2"/>
  </colFields>
  <colItems count="4">
    <i>
      <x/>
    </i>
    <i i="1">
      <x v="1"/>
    </i>
    <i i="2">
      <x v="2"/>
    </i>
    <i i="3">
      <x v="3"/>
    </i>
  </colItems>
  <dataFields count="4">
    <dataField name="Average of Tau [T] at 75% of canopy height" fld="14" subtotal="average" baseField="6" baseItem="0" numFmtId="2"/>
    <dataField name="Average of Tau [T] at 50% of canopy height" fld="13" subtotal="average" baseField="6" baseItem="0" numFmtId="2"/>
    <dataField name="Average of Tau [T] at 25% of canopy height" fld="12" subtotal="average" baseField="6" baseItem="0" numFmtId="2"/>
    <dataField name="Average of Tau [T] at ground level" fld="11" subtotal="average" baseField="6" baseItem="0" numFmtId="2"/>
  </dataFields>
  <formats count="8">
    <format dxfId="37">
      <pivotArea collapsedLevelsAreSubtotals="1" fieldPosition="0">
        <references count="1">
          <reference field="5" count="1">
            <x v="0"/>
          </reference>
        </references>
      </pivotArea>
    </format>
    <format dxfId="36">
      <pivotArea collapsedLevelsAreSubtotals="1" fieldPosition="0">
        <references count="2">
          <reference field="5" count="1" selected="0">
            <x v="0"/>
          </reference>
          <reference field="6" count="4">
            <x v="0"/>
            <x v="1"/>
            <x v="4"/>
            <x v="5"/>
          </reference>
        </references>
      </pivotArea>
    </format>
    <format dxfId="35">
      <pivotArea collapsedLevelsAreSubtotals="1" fieldPosition="0">
        <references count="1">
          <reference field="5" count="1">
            <x v="1"/>
          </reference>
        </references>
      </pivotArea>
    </format>
    <format dxfId="34">
      <pivotArea collapsedLevelsAreSubtotals="1" fieldPosition="0">
        <references count="2">
          <reference field="5" count="1" selected="0">
            <x v="1"/>
          </reference>
          <reference field="6" count="4">
            <x v="2"/>
            <x v="3"/>
            <x v="4"/>
            <x v="5"/>
          </reference>
        </references>
      </pivotArea>
    </format>
    <format dxfId="33">
      <pivotArea outline="0" fieldPosition="0">
        <references count="1">
          <reference field="4294967294" count="1">
            <x v="3"/>
          </reference>
        </references>
      </pivotArea>
    </format>
    <format dxfId="32">
      <pivotArea outline="0" fieldPosition="0">
        <references count="1">
          <reference field="4294967294" count="1">
            <x v="2"/>
          </reference>
        </references>
      </pivotArea>
    </format>
    <format dxfId="31">
      <pivotArea outline="0" fieldPosition="0">
        <references count="1">
          <reference field="4294967294" count="1">
            <x v="1"/>
          </reference>
        </references>
      </pivotArea>
    </format>
    <format dxfId="3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27E8F8C-2CD3-4B4B-9305-C4FC561B709B}" name="PivotTable2"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E14:BK24" firstHeaderRow="1" firstDataRow="2" firstDataCol="2"/>
  <pivotFields count="43">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2"/>
        <item x="5"/>
        <item x="1"/>
        <item x="3"/>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2">
    <field x="5"/>
    <field x="6"/>
  </rowFields>
  <rowItems count="9">
    <i>
      <x/>
      <x/>
    </i>
    <i r="1">
      <x v="1"/>
    </i>
    <i r="1">
      <x v="4"/>
    </i>
    <i r="1">
      <x v="5"/>
    </i>
    <i>
      <x v="1"/>
      <x v="2"/>
    </i>
    <i r="1">
      <x v="3"/>
    </i>
    <i r="1">
      <x v="4"/>
    </i>
    <i r="1">
      <x v="5"/>
    </i>
    <i t="grand">
      <x/>
    </i>
  </rowItems>
  <colFields count="1">
    <field x="0"/>
  </colFields>
  <colItems count="5">
    <i>
      <x/>
    </i>
    <i>
      <x v="1"/>
    </i>
    <i>
      <x v="2"/>
    </i>
    <i>
      <x v="3"/>
    </i>
    <i t="grand">
      <x/>
    </i>
  </colItems>
  <dataFields count="1">
    <dataField name="Average of Harvest index2" fld="39" subtotal="average" baseField="6" baseItem="0"/>
  </dataFields>
  <formats count="1">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0530BC8-6FAE-4899-8084-132290EA9F1D}" name="PivotTable1"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E1:BK11" firstHeaderRow="1" firstDataRow="2" firstDataCol="2"/>
  <pivotFields count="43">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2"/>
        <item x="5"/>
        <item x="1"/>
        <item x="3"/>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2">
    <field x="5"/>
    <field x="6"/>
  </rowFields>
  <rowItems count="9">
    <i>
      <x/>
      <x/>
    </i>
    <i r="1">
      <x v="1"/>
    </i>
    <i r="1">
      <x v="4"/>
    </i>
    <i r="1">
      <x v="5"/>
    </i>
    <i>
      <x v="1"/>
      <x v="2"/>
    </i>
    <i r="1">
      <x v="3"/>
    </i>
    <i r="1">
      <x v="4"/>
    </i>
    <i r="1">
      <x v="5"/>
    </i>
    <i t="grand">
      <x/>
    </i>
  </rowItems>
  <colFields count="1">
    <field x="0"/>
  </colFields>
  <colItems count="5">
    <i>
      <x/>
    </i>
    <i>
      <x v="1"/>
    </i>
    <i>
      <x v="2"/>
    </i>
    <i>
      <x v="3"/>
    </i>
    <i t="grand">
      <x/>
    </i>
  </colItems>
  <dataFields count="1">
    <dataField name="Average of Whole sample grain yield (g/m²)" fld="38" subtotal="average" baseField="6"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269D315-3E72-44D5-AB2D-2E12021B4DBD}" name="PivotTable4"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E40:BK50" firstHeaderRow="1" firstDataRow="2" firstDataCol="2"/>
  <pivotFields count="43">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2"/>
        <item x="5"/>
        <item x="1"/>
        <item x="3"/>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9">
    <i>
      <x/>
      <x/>
    </i>
    <i r="1">
      <x v="1"/>
    </i>
    <i r="1">
      <x v="4"/>
    </i>
    <i r="1">
      <x v="5"/>
    </i>
    <i>
      <x v="1"/>
      <x v="2"/>
    </i>
    <i r="1">
      <x v="3"/>
    </i>
    <i r="1">
      <x v="4"/>
    </i>
    <i r="1">
      <x v="5"/>
    </i>
    <i t="grand">
      <x/>
    </i>
  </rowItems>
  <colFields count="1">
    <field x="0"/>
  </colFields>
  <colItems count="5">
    <i>
      <x/>
    </i>
    <i>
      <x v="1"/>
    </i>
    <i>
      <x v="2"/>
    </i>
    <i>
      <x v="3"/>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0100E6D-9062-45A9-A256-D029D8CAEE3A}" name="PivotTable22"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E68:BK78" firstHeaderRow="1" firstDataRow="2" firstDataCol="2"/>
  <pivotFields count="43">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2"/>
        <item x="5"/>
        <item x="1"/>
        <item x="3"/>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5"/>
    <field x="6"/>
  </rowFields>
  <rowItems count="9">
    <i>
      <x/>
      <x/>
    </i>
    <i r="1">
      <x v="1"/>
    </i>
    <i r="1">
      <x v="4"/>
    </i>
    <i r="1">
      <x v="5"/>
    </i>
    <i>
      <x v="1"/>
      <x v="2"/>
    </i>
    <i r="1">
      <x v="3"/>
    </i>
    <i r="1">
      <x v="4"/>
    </i>
    <i r="1">
      <x v="5"/>
    </i>
    <i t="grand">
      <x/>
    </i>
  </rowItems>
  <colFields count="1">
    <field x="0"/>
  </colFields>
  <colItems count="5">
    <i>
      <x/>
    </i>
    <i>
      <x v="1"/>
    </i>
    <i>
      <x v="2"/>
    </i>
    <i>
      <x v="3"/>
    </i>
    <i t="grand">
      <x/>
    </i>
  </colItems>
  <dataFields count="1">
    <dataField name="Average of Grain number (grains/m²)" fld="42" subtotal="average" baseField="6" baseItem="0" numFmtId="1"/>
  </dataFields>
  <formats count="1">
    <format dxfId="1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B08EA3E-982A-442A-A7A8-EEE243B30C7C}" name="PivotTable3"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E27:BK37" firstHeaderRow="1" firstDataRow="2" firstDataCol="2"/>
  <pivotFields count="43">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2"/>
        <item x="5"/>
        <item x="1"/>
        <item x="3"/>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6"/>
  </rowFields>
  <rowItems count="9">
    <i>
      <x/>
      <x/>
    </i>
    <i r="1">
      <x v="1"/>
    </i>
    <i r="1">
      <x v="4"/>
    </i>
    <i r="1">
      <x v="5"/>
    </i>
    <i>
      <x v="1"/>
      <x v="2"/>
    </i>
    <i r="1">
      <x v="3"/>
    </i>
    <i r="1">
      <x v="4"/>
    </i>
    <i r="1">
      <x v="5"/>
    </i>
    <i t="grand">
      <x/>
    </i>
  </rowItems>
  <colFields count="1">
    <field x="0"/>
  </colFields>
  <colItems count="5">
    <i>
      <x/>
    </i>
    <i>
      <x v="1"/>
    </i>
    <i>
      <x v="2"/>
    </i>
    <i>
      <x v="3"/>
    </i>
    <i t="grand">
      <x/>
    </i>
  </colItems>
  <dataFields count="1">
    <dataField name="Average of Estimated dry matter at PCDS 10.0 (g/m²)" fld="27" subtotal="average" baseField="6"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E107011-9CC3-4BD3-A5D8-8F7BA1B2504C}" name="PivotTable5"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E54:BK64" firstHeaderRow="1" firstDataRow="2" firstDataCol="2"/>
  <pivotFields count="43">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Row" compact="0" outline="0" showAll="0" defaultSubtotal="0">
      <items count="3">
        <item x="0"/>
        <item x="1"/>
        <item h="1" x="2"/>
      </items>
    </pivotField>
    <pivotField axis="axisRow" compact="0" outline="0" showAll="0">
      <items count="8">
        <item x="0"/>
        <item x="2"/>
        <item x="5"/>
        <item x="1"/>
        <item x="3"/>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2">
    <field x="5"/>
    <field x="6"/>
  </rowFields>
  <rowItems count="9">
    <i>
      <x/>
      <x/>
    </i>
    <i r="1">
      <x v="1"/>
    </i>
    <i r="1">
      <x v="4"/>
    </i>
    <i r="1">
      <x v="5"/>
    </i>
    <i>
      <x v="1"/>
      <x v="2"/>
    </i>
    <i r="1">
      <x v="3"/>
    </i>
    <i r="1">
      <x v="4"/>
    </i>
    <i r="1">
      <x v="5"/>
    </i>
    <i t="grand">
      <x/>
    </i>
  </rowItems>
  <colFields count="1">
    <field x="0"/>
  </colFields>
  <colItems count="5">
    <i>
      <x/>
    </i>
    <i>
      <x v="1"/>
    </i>
    <i>
      <x v="2"/>
    </i>
    <i>
      <x v="3"/>
    </i>
    <i t="grand">
      <x/>
    </i>
  </colItems>
  <dataFields count="1">
    <dataField name="Average of Individual grain weight (mg)" fld="41" subtotal="average" baseField="6"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329700C-E59C-491A-AEF7-4CD2C49C1934}" name="PivotTable4" cacheId="9"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T12:Z21" firstHeaderRow="1" firstDataRow="2" firstDataCol="2"/>
  <pivotFields count="13">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Row" compact="0" outline="0" showAll="0" defaultSubtotal="0">
      <items count="3">
        <item x="0"/>
        <item x="1"/>
        <item x="2"/>
      </items>
    </pivotField>
    <pivotField axis="axisRow" compact="0" outline="0" showAll="0">
      <items count="8">
        <item x="0"/>
        <item x="1"/>
        <item x="5"/>
        <item x="4"/>
        <item x="2"/>
        <item x="3"/>
        <item h="1" x="6"/>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2">
    <field x="5"/>
    <field x="6"/>
  </rowFields>
  <rowItems count="8">
    <i>
      <x/>
      <x/>
    </i>
    <i r="1">
      <x v="1"/>
    </i>
    <i r="1">
      <x v="4"/>
    </i>
    <i r="1">
      <x v="5"/>
    </i>
    <i>
      <x v="1"/>
      <x v="2"/>
    </i>
    <i r="1">
      <x v="3"/>
    </i>
    <i r="1">
      <x v="4"/>
    </i>
    <i r="1">
      <x v="5"/>
    </i>
  </rowItems>
  <colFields count="1">
    <field x="0"/>
  </colFields>
  <colItems count="5">
    <i>
      <x/>
    </i>
    <i>
      <x v="1"/>
    </i>
    <i>
      <x v="2"/>
    </i>
    <i>
      <x v="3"/>
    </i>
    <i t="grand">
      <x/>
    </i>
  </colItems>
  <dataFields count="1">
    <dataField name="Average of Machine harvest yield (t/ha)" fld="12" subtotal="average" baseField="6" baseItem="0" numFmtId="164"/>
  </dataFields>
  <formats count="2">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D77" dT="2024-12-15T23:06:10.90" personId="{DC194EE0-97BA-4B50-A0FF-293DECE42D0F}" id="{60D9927B-F564-429A-9332-BE8927573F76}">
    <text>@Juan Wang don’t forget to fill out the details here!</text>
    <mentions>
      <mention mentionpersonId="{AAEE0A69-F947-408C-914B-48C88063CAC7}" mentionId="{613EE2D6-CAC7-45EB-8AE3-671414458EA0}" startIndex="0" length="10"/>
    </mentions>
  </threadedComment>
  <threadedComment ref="D77" dT="2024-12-15T23:29:57.45" personId="{B959D934-98B9-4029-8D79-53141ADE86B6}" id="{C3620B16-FFCD-48B8-8F01-7154E7E957A7}" parentId="{60D9927B-F564-429A-9332-BE8927573F76}">
    <text>Sure James. The width of the harvestable plot length is 1.0 m not 1.2 m?</text>
  </threadedComment>
  <threadedComment ref="D77" dT="2024-12-15T23:34:42.17" personId="{DC194EE0-97BA-4B50-A0FF-293DECE42D0F}" id="{B712A097-9392-4D6D-9889-368B42FC7C10}" parentId="{60D9927B-F564-429A-9332-BE8927573F76}">
    <text>You are @Juan Wang ! Width of plots 1.0 m</text>
    <mentions>
      <mention mentionpersonId="{AAEE0A69-F947-408C-914B-48C88063CAC7}" mentionId="{1085828B-FAA8-47ED-8F51-7D620B39FC58}" startIndex="8" length="10"/>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J1" dT="2024-05-17T02:05:14.49" personId="{B959D934-98B9-4029-8D79-53141ADE86B6}" id="{208CD9F0-7262-4C57-B670-F13D6094BB0C}">
    <text>Plant No for 1 meter</text>
  </threadedComment>
</ThreadedComments>
</file>

<file path=xl/threadedComments/threadedComment3.xml><?xml version="1.0" encoding="utf-8"?>
<ThreadedComments xmlns="http://schemas.microsoft.com/office/spreadsheetml/2018/threadedcomments" xmlns:x="http://schemas.openxmlformats.org/spreadsheetml/2006/main">
  <threadedComment ref="L60" dT="2024-06-04T23:15:27.52" personId="{5F9A47A4-3281-4063-8F00-6B3248860B2A}" id="{F11E9ED9-431B-40D1-89FF-FD395BF3D541}">
    <text>Herbivore damage. Replaced plant measurement taken 6/4/2024</text>
  </threadedComment>
  <threadedComment ref="L85" dT="2024-06-18T04:42:16.37" personId="{5F9A47A4-3281-4063-8F00-6B3248860B2A}" id="{41BDB638-1300-417F-978C-0820075C07DF}">
    <text>6.2 (18/06/24)</text>
  </threadedComment>
  <threadedComment ref="M85" dT="2024-06-18T04:42:43.37" personId="{5F9A47A4-3281-4063-8F00-6B3248860B2A}" id="{FFF60C80-08BF-4A2F-8B57-003B846376E4}">
    <text>6.2 (18/06/24)</text>
  </threadedComment>
  <threadedComment ref="M150" dT="2024-08-10T06:07:00.03" personId="{5F9A47A4-3281-4063-8F00-6B3248860B2A}" id="{5D8AE121-15CF-46E4-9DC1-CE77B1236918}">
    <text>Replaced. Herbivory.</text>
  </threadedComment>
  <threadedComment ref="M150" dT="2024-08-10T06:08:22.74" personId="{5F9A47A4-3281-4063-8F00-6B3248860B2A}" id="{C3CD17E0-5681-4281-A5FC-0C82AE78D96E}" parentId="{5D8AE121-15CF-46E4-9DC1-CE77B1236918}">
    <text>3 Tillers</text>
  </threadedComment>
  <threadedComment ref="K161" dT="2024-08-10T06:17:30.23" personId="{5F9A47A4-3281-4063-8F00-6B3248860B2A}" id="{1FEE4F73-FABC-487B-8826-5EA5F7871E90}">
    <text>Replaced (main stem broken)</text>
  </threadedComment>
  <threadedComment ref="K161" dT="2024-08-10T06:17:39.20" personId="{5F9A47A4-3281-4063-8F00-6B3248860B2A}" id="{B5A79475-C47D-4484-AB08-53C3D01526D8}" parentId="{1FEE4F73-FABC-487B-8826-5EA5F7871E90}">
    <text>4 tillers</text>
  </threadedComment>
  <threadedComment ref="K262" dT="2025-03-18T02:21:06.79" personId="{50D1695A-F55D-4DF1-80E3-B2D3EB95C798}" id="{522B8006-B382-46FE-9AA2-4A4D4D895D8A}">
    <text>This value has been duplicated from the previous measurement date (when plant was already at flag leaf) to ensure its value contributes to the overall Haun stage on this measurement date</text>
  </threadedComment>
  <threadedComment ref="K263" dT="2025-03-17T03:26:17.86" personId="{50D1695A-F55D-4DF1-80E3-B2D3EB95C798}" id="{24024D64-C8A3-4E70-931D-7D993240BD73}">
    <text>Repeated previous dates measurement so single measure from this date does not distort results</text>
  </threadedComment>
  <threadedComment ref="L263" dT="2025-03-17T03:26:17.86" personId="{50D1695A-F55D-4DF1-80E3-B2D3EB95C798}" id="{31058384-7088-4A53-99A6-0AA762D83885}">
    <text>Repeated previous dates measurement so single measure from this date does not distort results</text>
  </threadedComment>
  <threadedComment ref="K264" dT="2025-03-17T03:26:17.86" personId="{50D1695A-F55D-4DF1-80E3-B2D3EB95C798}" id="{55A84934-0537-4E21-881A-DE245B2D2F69}">
    <text>Repeated previous dates measurement so single measure from this date does not distort results</text>
  </threadedComment>
  <threadedComment ref="L264" dT="2025-03-17T03:26:17.86" personId="{50D1695A-F55D-4DF1-80E3-B2D3EB95C798}" id="{B1C71FCC-B182-4F40-A451-7245719539BB}">
    <text>Repeated previous dates measurement so single measure from this date does not distort results</text>
  </threadedComment>
  <threadedComment ref="M264" dT="2025-03-17T03:26:17.86" personId="{50D1695A-F55D-4DF1-80E3-B2D3EB95C798}" id="{E96B968A-EECB-4854-B81A-9643ED6767EC}">
    <text>Repeated previous dates measurement so single measure from this date does not distort results</text>
  </threadedComment>
  <threadedComment ref="L270" dT="2025-03-17T03:26:17.86" personId="{50D1695A-F55D-4DF1-80E3-B2D3EB95C798}" id="{5B278B25-982C-4632-AAAB-1523EEEE4B36}">
    <text>Repeated previous dates measurement so single measure from this date does not distort results</text>
  </threadedComment>
  <threadedComment ref="K272" dT="2025-03-18T02:21:06.79" personId="{50D1695A-F55D-4DF1-80E3-B2D3EB95C798}" id="{1DC84760-2C82-4EBD-AAC7-2B81BC36CAC1}">
    <text>This value has been duplicated from the previous measurement date (when plant was already at flag leaf) to ensure its value contributes to the overall Haun stage on this measurement date</text>
  </threadedComment>
  <threadedComment ref="L272" dT="2025-03-18T02:21:06.79" personId="{50D1695A-F55D-4DF1-80E3-B2D3EB95C798}" id="{9B95EE06-A4D0-4D50-AFCC-4157A9950B02}">
    <text>This value has been duplicated from the previous measurement date (when plant was already at flag leaf) to ensure its value contributes to the overall Haun stage on this measurement date</text>
  </threadedComment>
  <threadedComment ref="K273" dT="2025-03-17T03:26:17.86" personId="{50D1695A-F55D-4DF1-80E3-B2D3EB95C798}" id="{1D752A0C-BC65-42DC-9BAD-CF4DA7191F20}">
    <text>Repeated previous dates measurement so single measure from this date does not distort results</text>
  </threadedComment>
  <threadedComment ref="M273" dT="2025-03-17T03:26:17.86" personId="{50D1695A-F55D-4DF1-80E3-B2D3EB95C798}" id="{40846155-8D2C-4DE0-8895-8A6623735024}">
    <text>Repeated previous dates measurement so single measure from this date does not distort results</text>
  </threadedComment>
  <threadedComment ref="K278" dT="2025-03-17T03:26:17.86" personId="{50D1695A-F55D-4DF1-80E3-B2D3EB95C798}" id="{2912F48A-9762-475E-8E38-F09062997444}">
    <text>Repeated previous dates measurement so single measure from this date does not distort results</text>
  </threadedComment>
  <threadedComment ref="L278" dT="2025-03-17T03:26:17.86" personId="{50D1695A-F55D-4DF1-80E3-B2D3EB95C798}" id="{E44B6DC6-EDE0-44F1-9D4D-76CC7E8460F2}">
    <text>Repeated previous dates measurement so single measure from this date does not distort results</text>
  </threadedComment>
  <threadedComment ref="M281" dT="2025-03-17T03:26:17.86" personId="{50D1695A-F55D-4DF1-80E3-B2D3EB95C798}" id="{43EDF61D-A0CC-4788-96F2-697058B9E487}">
    <text>Repeated previous dates measurement so single measure from this date does not distort results</text>
  </threadedComment>
  <threadedComment ref="K287" dT="2025-03-17T03:26:17.86" personId="{50D1695A-F55D-4DF1-80E3-B2D3EB95C798}" id="{CEBCD3FC-13E1-41B6-8DC8-A4FCD93FD36E}">
    <text>Repeated previous dates measurement so single measure from this date does not distort results</text>
  </threadedComment>
  <threadedComment ref="L287" dT="2025-03-17T03:26:17.86" personId="{50D1695A-F55D-4DF1-80E3-B2D3EB95C798}" id="{D5F19189-2165-4CA8-A7BC-555FF0FD65E4}">
    <text>Repeated previous dates measurement so single measure from this date does not distort results</text>
  </threadedComment>
  <threadedComment ref="M287" dT="2025-03-17T03:26:17.86" personId="{50D1695A-F55D-4DF1-80E3-B2D3EB95C798}" id="{0DEE41D3-0E36-4C63-AE11-C0432F9A8750}">
    <text>Repeated previous dates measurement so single measure from this date does not distort results</text>
  </threadedComment>
  <threadedComment ref="K288" dT="2025-03-17T03:26:17.86" personId="{50D1695A-F55D-4DF1-80E3-B2D3EB95C798}" id="{80AA049D-B367-4B21-82BE-38B3D4DC48C5}">
    <text>Repeated previous dates measurement so single measure from this date does not distort results</text>
  </threadedComment>
  <threadedComment ref="L288" dT="2025-03-17T03:26:17.86" personId="{50D1695A-F55D-4DF1-80E3-B2D3EB95C798}" id="{F9C55156-BB0C-4504-9490-F99702615B9E}">
    <text>Repeated previous dates measurement so single measure from this date does not distort results</text>
  </threadedComment>
  <threadedComment ref="L289" dT="2025-03-18T02:21:06.79" personId="{50D1695A-F55D-4DF1-80E3-B2D3EB95C798}" id="{7455FBBB-8A88-42C3-8BDB-5D5CA8D19D73}">
    <text>This value has been duplicated from the previous measurement date (when plant was already at flag leaf) to ensure its value contributes to the overall Haun stage on this measurement date</text>
  </threadedComment>
  <threadedComment ref="K322" dT="2025-03-18T02:21:06.79" personId="{50D1695A-F55D-4DF1-80E3-B2D3EB95C798}" id="{D165E8F1-2195-4228-90F4-50F1543D4361}">
    <text>This value has been duplicated from the previous measurement date (when plant was already at flag leaf) to ensure its value contributes to the overall Haun stage on this measurement date</text>
  </threadedComment>
</ThreadedComments>
</file>

<file path=xl/threadedComments/threadedComment4.xml><?xml version="1.0" encoding="utf-8"?>
<ThreadedComments xmlns="http://schemas.microsoft.com/office/spreadsheetml/2018/threadedcomments" xmlns:x="http://schemas.openxmlformats.org/spreadsheetml/2006/main">
  <threadedComment ref="T1" dT="2024-09-06T23:58:26.49" personId="{B959D934-98B9-4029-8D79-53141ADE86B6}" id="{59972366-F966-4589-80A5-5B627F333919}">
    <text>Flag-4</text>
  </threadedComment>
  <threadedComment ref="AP20" dT="2025-03-04T06:14:03.93" personId="{B959D934-98B9-4029-8D79-53141ADE86B6}" id="{81DBC69F-5D87-431C-A9F4-8B95B658D97D}">
    <text>Much lower than other 3 replicates</text>
  </threadedComment>
</ThreadedComments>
</file>

<file path=xl/threadedComments/threadedComment5.xml><?xml version="1.0" encoding="utf-8"?>
<ThreadedComments xmlns="http://schemas.microsoft.com/office/spreadsheetml/2018/threadedcomments" xmlns:x="http://schemas.openxmlformats.org/spreadsheetml/2006/main">
  <threadedComment ref="M169" dT="2024-09-18T01:12:19.76" personId="{B959D934-98B9-4029-8D79-53141ADE86B6}" id="{977832C8-ECF7-49E3-AE48-FAD748AA6C83}">
    <text>The 10 plants marked are far behind, which were not representing the whole plot. Recounted with different plants (31C, 16F)</text>
  </threadedComment>
  <threadedComment ref="M170" dT="2024-09-18T01:13:58.79" personId="{B959D934-98B9-4029-8D79-53141ADE86B6}" id="{4475E383-AC9B-4ED7-825E-CEB9AFD90BAC}">
    <text>Recounted using different plant population</text>
  </threadedComment>
  <threadedComment ref="M183" dT="2024-09-18T01:17:25.41" personId="{B959D934-98B9-4029-8D79-53141ADE86B6}" id="{10B4E58F-F911-4A19-874C-5972C6DA1608}">
    <text xml:space="preserve">Recounted with different plants (40C, 22F)(30C, 12F)
</text>
  </threadedComment>
  <threadedComment ref="M190" dT="2024-09-18T01:20:13.94" personId="{B959D934-98B9-4029-8D79-53141ADE86B6}" id="{6CE43BFC-BE48-4B40-8C94-127FE14358F6}">
    <text xml:space="preserve">Recounted with different plants (40C, 19F)(56C, 37F)
</text>
  </threadedComment>
</ThreadedComments>
</file>

<file path=xl/threadedComments/threadedComment6.xml><?xml version="1.0" encoding="utf-8"?>
<ThreadedComments xmlns="http://schemas.microsoft.com/office/spreadsheetml/2018/threadedcomments" xmlns:x="http://schemas.openxmlformats.org/spreadsheetml/2006/main">
  <threadedComment ref="T1" dT="2024-09-06T23:58:26.49" personId="{B959D934-98B9-4029-8D79-53141ADE86B6}" id="{0A0036A8-D696-4475-8E82-85EF9BC0BECC}">
    <text>Flag-4</text>
  </threadedComment>
  <threadedComment ref="J18" dT="2024-09-28T03:47:16.39" personId="{B959D934-98B9-4029-8D79-53141ADE86B6}" id="{65073C60-1A5F-43F6-993B-A7FE4781D3E5}">
    <text>It was raining. All shoots were wet and fresh weight could be higher!</text>
  </threadedComment>
  <threadedComment ref="AP28" dT="2024-09-27T11:40:37.03" personId="{B959D934-98B9-4029-8D79-53141ADE86B6}" id="{A574F1B0-9D86-4DAA-A0DB-6B36C10443E5}">
    <text>Poor plot with much smaller plants</text>
  </threadedComment>
</ThreadedComments>
</file>

<file path=xl/threadedComments/threadedComment7.xml><?xml version="1.0" encoding="utf-8"?>
<ThreadedComments xmlns="http://schemas.microsoft.com/office/spreadsheetml/2018/threadedcomments" xmlns:x="http://schemas.openxmlformats.org/spreadsheetml/2006/main">
  <threadedComment ref="T1" dT="2025-04-01T22:53:26.92" personId="{B959D934-98B9-4029-8D79-53141ADE86B6}" id="{89DA4042-E35A-44C1-80AC-F587F0A7702F}">
    <text>Number of spikelets that the first florets do not contain a grain</text>
  </threadedComment>
</ThreadedComments>
</file>

<file path=xl/threadedComments/threadedComment8.xml><?xml version="1.0" encoding="utf-8"?>
<ThreadedComments xmlns="http://schemas.microsoft.com/office/spreadsheetml/2018/threadedcomments" xmlns:x="http://schemas.openxmlformats.org/spreadsheetml/2006/main">
  <threadedComment ref="AO1" dT="2026-01-05T03:15:37.53" personId="{5C8EF5D1-64B4-4B4D-AAF4-091FEEA4BB00}" id="{D0FB03D3-F1E3-4DEB-8A48-36B5DF15801F}">
    <text>Looks like missing subsample grain weight</text>
  </threadedComment>
  <threadedComment ref="AR1" dT="2026-01-05T03:08:38.19" personId="{5C8EF5D1-64B4-4B4D-AAF4-091FEEA4BB00}" id="{10335762-1E49-405D-9916-4A556492536A}">
    <text>Have put in a formula for yield response to comp that includes the subsample grain, or alternatively uses the whole samples grain yield and multiplies the outside row by 4</text>
  </threadedComment>
  <threadedComment ref="R2" dT="2025-03-04T08:26:02.32" personId="{B959D934-98B9-4029-8D79-53141ADE86B6}" id="{E9608F94-6BB3-45FE-B11E-EEFAA194ACD3}">
    <text xml:space="preserve">27 spikes </text>
  </threadedComment>
  <threadedComment ref="R14" dT="2025-03-04T08:26:35.11" personId="{B959D934-98B9-4029-8D79-53141ADE86B6}" id="{D9676E0D-55AE-47A6-87FE-94A32EEB0453}">
    <text>28 spikes</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www.bom.gov.au/climate/averages/tables/cw_081013.shtml" TargetMode="External"/><Relationship Id="rId1" Type="http://schemas.openxmlformats.org/officeDocument/2006/relationships/hyperlink" Target="http://weatherplus.ikcaldwell.com.au/wpdookiecollege/weather/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4.bin"/><Relationship Id="rId1" Type="http://schemas.openxmlformats.org/officeDocument/2006/relationships/pivotTable" Target="../pivotTables/pivotTable2.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8" Type="http://schemas.microsoft.com/office/2017/10/relationships/threadedComment" Target="../threadedComments/threadedComment4.xml"/><Relationship Id="rId3" Type="http://schemas.openxmlformats.org/officeDocument/2006/relationships/pivotTable" Target="../pivotTables/pivotTable9.xml"/><Relationship Id="rId7" Type="http://schemas.openxmlformats.org/officeDocument/2006/relationships/comments" Target="../comments5.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vmlDrawing" Target="../drawings/vmlDrawing5.vml"/><Relationship Id="rId5" Type="http://schemas.openxmlformats.org/officeDocument/2006/relationships/printerSettings" Target="../printerSettings/printerSettings6.bin"/><Relationship Id="rId4"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pivotTable" Target="../pivotTables/pivotTable11.xml"/><Relationship Id="rId5" Type="http://schemas.microsoft.com/office/2017/10/relationships/threadedComment" Target="../threadedComments/threadedComment5.xml"/><Relationship Id="rId4" Type="http://schemas.openxmlformats.org/officeDocument/2006/relationships/comments" Target="../comments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pivotTable" Target="../pivotTables/pivotTable15.xml"/><Relationship Id="rId7" Type="http://schemas.openxmlformats.org/officeDocument/2006/relationships/comments" Target="../comments7.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vmlDrawing" Target="../drawings/vmlDrawing7.vml"/><Relationship Id="rId5" Type="http://schemas.openxmlformats.org/officeDocument/2006/relationships/printerSettings" Target="../printerSettings/printerSettings8.bin"/><Relationship Id="rId4"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3.xml.rels><?xml version="1.0" encoding="UTF-8" standalone="yes"?>
<Relationships xmlns="http://schemas.openxmlformats.org/package/2006/relationships"><Relationship Id="rId8" Type="http://schemas.openxmlformats.org/officeDocument/2006/relationships/vmlDrawing" Target="../drawings/vmlDrawing9.vml"/><Relationship Id="rId3" Type="http://schemas.openxmlformats.org/officeDocument/2006/relationships/pivotTable" Target="../pivotTables/pivotTable19.xml"/><Relationship Id="rId7" Type="http://schemas.openxmlformats.org/officeDocument/2006/relationships/printerSettings" Target="../printerSettings/printerSettings9.bin"/><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10" Type="http://schemas.microsoft.com/office/2017/10/relationships/threadedComment" Target="../threadedComments/threadedComment8.xml"/><Relationship Id="rId4" Type="http://schemas.openxmlformats.org/officeDocument/2006/relationships/pivotTable" Target="../pivotTables/pivotTable20.xml"/><Relationship Id="rId9" Type="http://schemas.openxmlformats.org/officeDocument/2006/relationships/comments" Target="../comments9.xm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68C8-D23A-491E-8058-1F085EF8C902}">
  <dimension ref="A1:B8"/>
  <sheetViews>
    <sheetView workbookViewId="0">
      <selection activeCell="B20" sqref="B20"/>
    </sheetView>
  </sheetViews>
  <sheetFormatPr defaultRowHeight="15" x14ac:dyDescent="0.25"/>
  <cols>
    <col min="1" max="1" width="33.42578125" bestFit="1" customWidth="1"/>
  </cols>
  <sheetData>
    <row r="1" spans="1:2" x14ac:dyDescent="0.25">
      <c r="A1" s="1" t="s">
        <v>0</v>
      </c>
      <c r="B1" t="s">
        <v>1</v>
      </c>
    </row>
    <row r="2" spans="1:2" x14ac:dyDescent="0.25">
      <c r="A2" s="1" t="s">
        <v>2</v>
      </c>
      <c r="B2" t="s">
        <v>3</v>
      </c>
    </row>
    <row r="3" spans="1:2" x14ac:dyDescent="0.25">
      <c r="A3" s="1" t="s">
        <v>4</v>
      </c>
    </row>
    <row r="4" spans="1:2" x14ac:dyDescent="0.25">
      <c r="A4" s="1" t="s">
        <v>5</v>
      </c>
    </row>
    <row r="5" spans="1:2" x14ac:dyDescent="0.25">
      <c r="A5" s="1" t="s">
        <v>6</v>
      </c>
      <c r="B5" s="2" t="s">
        <v>7</v>
      </c>
    </row>
    <row r="6" spans="1:2" x14ac:dyDescent="0.25">
      <c r="A6" s="1" t="s">
        <v>8</v>
      </c>
      <c r="B6" s="2" t="s">
        <v>9</v>
      </c>
    </row>
    <row r="7" spans="1:2" x14ac:dyDescent="0.25">
      <c r="A7" s="1" t="s">
        <v>10</v>
      </c>
      <c r="B7" s="3" t="s">
        <v>11</v>
      </c>
    </row>
    <row r="8" spans="1:2" x14ac:dyDescent="0.25">
      <c r="A8" s="1" t="s">
        <v>12</v>
      </c>
      <c r="B8" t="s">
        <v>13</v>
      </c>
    </row>
  </sheetData>
  <hyperlinks>
    <hyperlink ref="B5" r:id="rId1" xr:uid="{CE05CE20-5E70-4FBD-B106-0CB231878BD8}"/>
    <hyperlink ref="B6" r:id="rId2" xr:uid="{6ADCB901-D393-4ED4-8CA0-4158C6725BA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6BE2-8008-4C3E-8D5E-5627D50BB021}">
  <dimension ref="A1:B5"/>
  <sheetViews>
    <sheetView workbookViewId="0">
      <selection activeCell="D8" sqref="D8"/>
    </sheetView>
  </sheetViews>
  <sheetFormatPr defaultRowHeight="15" x14ac:dyDescent="0.25"/>
  <cols>
    <col min="1" max="1" width="17.5703125" bestFit="1" customWidth="1"/>
  </cols>
  <sheetData>
    <row r="1" spans="1:2" x14ac:dyDescent="0.25">
      <c r="A1" s="1" t="s">
        <v>14</v>
      </c>
      <c r="B1" t="s">
        <v>15</v>
      </c>
    </row>
    <row r="2" spans="1:2" x14ac:dyDescent="0.25">
      <c r="A2" s="1" t="s">
        <v>16</v>
      </c>
      <c r="B2" t="s">
        <v>554</v>
      </c>
    </row>
    <row r="3" spans="1:2" x14ac:dyDescent="0.25">
      <c r="A3" s="1" t="s">
        <v>17</v>
      </c>
      <c r="B3" t="s">
        <v>18</v>
      </c>
    </row>
    <row r="4" spans="1:2" x14ac:dyDescent="0.25">
      <c r="A4" s="1" t="s">
        <v>19</v>
      </c>
    </row>
    <row r="5" spans="1:2" x14ac:dyDescent="0.25">
      <c r="A5" s="1" t="s">
        <v>20</v>
      </c>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B1D2-0403-4737-969B-9F1BDBED32E5}">
  <dimension ref="A1:H53"/>
  <sheetViews>
    <sheetView workbookViewId="0">
      <selection activeCell="B48" sqref="B48"/>
    </sheetView>
  </sheetViews>
  <sheetFormatPr defaultRowHeight="15" x14ac:dyDescent="0.25"/>
  <cols>
    <col min="1" max="1" width="15.42578125" style="4" customWidth="1"/>
    <col min="2" max="2" width="14.5703125" customWidth="1"/>
    <col min="3" max="8" width="15.42578125" style="4" customWidth="1"/>
  </cols>
  <sheetData>
    <row r="1" spans="1:8" s="1" customFormat="1" x14ac:dyDescent="0.25">
      <c r="A1" s="5" t="s">
        <v>21</v>
      </c>
      <c r="B1" s="1" t="s">
        <v>22</v>
      </c>
      <c r="C1" s="5" t="s">
        <v>23</v>
      </c>
      <c r="D1" s="5" t="s">
        <v>24</v>
      </c>
      <c r="E1" s="5"/>
      <c r="F1" s="5"/>
      <c r="G1" s="5"/>
      <c r="H1" s="5"/>
    </row>
    <row r="2" spans="1:8" x14ac:dyDescent="0.25">
      <c r="A2" s="4" t="s">
        <v>25</v>
      </c>
      <c r="B2" t="s">
        <v>26</v>
      </c>
      <c r="C2" s="4">
        <v>1</v>
      </c>
      <c r="D2" s="4">
        <v>1</v>
      </c>
    </row>
    <row r="3" spans="1:8" x14ac:dyDescent="0.25">
      <c r="A3" s="4" t="s">
        <v>25</v>
      </c>
      <c r="B3" t="s">
        <v>27</v>
      </c>
      <c r="C3" s="4">
        <v>2</v>
      </c>
      <c r="D3" s="4">
        <v>1</v>
      </c>
    </row>
    <row r="4" spans="1:8" x14ac:dyDescent="0.25">
      <c r="A4" s="4" t="s">
        <v>25</v>
      </c>
      <c r="B4" t="s">
        <v>28</v>
      </c>
      <c r="C4" s="4">
        <v>3</v>
      </c>
      <c r="D4" s="4">
        <v>1</v>
      </c>
    </row>
    <row r="5" spans="1:8" x14ac:dyDescent="0.25">
      <c r="A5" s="4" t="s">
        <v>25</v>
      </c>
      <c r="B5" t="s">
        <v>29</v>
      </c>
      <c r="C5" s="4">
        <v>4</v>
      </c>
      <c r="D5" s="4">
        <v>1</v>
      </c>
    </row>
    <row r="6" spans="1:8" x14ac:dyDescent="0.25">
      <c r="A6" s="4" t="s">
        <v>30</v>
      </c>
      <c r="B6" t="s">
        <v>31</v>
      </c>
      <c r="C6" s="4">
        <v>1</v>
      </c>
      <c r="D6" s="4">
        <v>2</v>
      </c>
    </row>
    <row r="7" spans="1:8" x14ac:dyDescent="0.25">
      <c r="A7" s="4" t="s">
        <v>30</v>
      </c>
      <c r="B7" t="s">
        <v>28</v>
      </c>
      <c r="C7" s="4">
        <v>2</v>
      </c>
      <c r="D7" s="4">
        <v>2</v>
      </c>
    </row>
    <row r="8" spans="1:8" x14ac:dyDescent="0.25">
      <c r="A8" s="4" t="s">
        <v>30</v>
      </c>
      <c r="B8" t="s">
        <v>29</v>
      </c>
      <c r="C8" s="4">
        <v>3</v>
      </c>
      <c r="D8" s="4">
        <v>2</v>
      </c>
    </row>
    <row r="9" spans="1:8" x14ac:dyDescent="0.25">
      <c r="A9" s="4" t="s">
        <v>30</v>
      </c>
      <c r="B9" t="s">
        <v>32</v>
      </c>
      <c r="C9" s="4">
        <v>4</v>
      </c>
      <c r="D9" s="4">
        <v>2</v>
      </c>
    </row>
    <row r="10" spans="1:8" x14ac:dyDescent="0.25">
      <c r="A10" s="4" t="s">
        <v>25</v>
      </c>
      <c r="B10" t="s">
        <v>27</v>
      </c>
      <c r="C10" s="4">
        <v>1</v>
      </c>
      <c r="D10" s="4">
        <v>3</v>
      </c>
    </row>
    <row r="11" spans="1:8" x14ac:dyDescent="0.25">
      <c r="A11" s="4" t="s">
        <v>25</v>
      </c>
      <c r="B11" t="s">
        <v>29</v>
      </c>
      <c r="C11" s="4">
        <v>2</v>
      </c>
      <c r="D11" s="4">
        <v>3</v>
      </c>
    </row>
    <row r="12" spans="1:8" x14ac:dyDescent="0.25">
      <c r="A12" s="4" t="s">
        <v>25</v>
      </c>
      <c r="B12" t="s">
        <v>26</v>
      </c>
      <c r="C12" s="4">
        <v>3</v>
      </c>
      <c r="D12" s="4">
        <v>3</v>
      </c>
    </row>
    <row r="13" spans="1:8" x14ac:dyDescent="0.25">
      <c r="A13" s="4" t="s">
        <v>25</v>
      </c>
      <c r="B13" t="s">
        <v>28</v>
      </c>
      <c r="C13" s="4">
        <v>4</v>
      </c>
      <c r="D13" s="4">
        <v>3</v>
      </c>
    </row>
    <row r="14" spans="1:8" x14ac:dyDescent="0.25">
      <c r="A14" s="4" t="s">
        <v>30</v>
      </c>
      <c r="B14" t="s">
        <v>28</v>
      </c>
      <c r="C14" s="4">
        <v>1</v>
      </c>
      <c r="D14" s="4">
        <v>4</v>
      </c>
    </row>
    <row r="15" spans="1:8" x14ac:dyDescent="0.25">
      <c r="A15" s="4" t="s">
        <v>30</v>
      </c>
      <c r="B15" t="s">
        <v>32</v>
      </c>
      <c r="C15" s="4">
        <v>2</v>
      </c>
      <c r="D15" s="4">
        <v>4</v>
      </c>
    </row>
    <row r="16" spans="1:8" x14ac:dyDescent="0.25">
      <c r="A16" s="4" t="s">
        <v>30</v>
      </c>
      <c r="B16" t="s">
        <v>31</v>
      </c>
      <c r="C16" s="4">
        <v>3</v>
      </c>
      <c r="D16" s="4">
        <v>4</v>
      </c>
    </row>
    <row r="17" spans="1:4" x14ac:dyDescent="0.25">
      <c r="A17" s="4" t="s">
        <v>30</v>
      </c>
      <c r="B17" t="s">
        <v>29</v>
      </c>
      <c r="C17" s="4">
        <v>4</v>
      </c>
      <c r="D17" s="4">
        <v>4</v>
      </c>
    </row>
    <row r="18" spans="1:4" x14ac:dyDescent="0.25">
      <c r="A18" s="4" t="s">
        <v>25</v>
      </c>
      <c r="B18" t="s">
        <v>28</v>
      </c>
      <c r="C18" s="4">
        <v>1</v>
      </c>
      <c r="D18" s="4">
        <v>5</v>
      </c>
    </row>
    <row r="19" spans="1:4" x14ac:dyDescent="0.25">
      <c r="A19" s="4" t="s">
        <v>25</v>
      </c>
      <c r="B19" t="s">
        <v>26</v>
      </c>
      <c r="C19" s="4">
        <v>2</v>
      </c>
      <c r="D19" s="4">
        <v>5</v>
      </c>
    </row>
    <row r="20" spans="1:4" x14ac:dyDescent="0.25">
      <c r="A20" s="4" t="s">
        <v>25</v>
      </c>
      <c r="B20" t="s">
        <v>29</v>
      </c>
      <c r="C20" s="4">
        <v>3</v>
      </c>
      <c r="D20" s="4">
        <v>5</v>
      </c>
    </row>
    <row r="21" spans="1:4" x14ac:dyDescent="0.25">
      <c r="A21" s="4" t="s">
        <v>25</v>
      </c>
      <c r="B21" t="s">
        <v>27</v>
      </c>
      <c r="C21" s="4">
        <v>4</v>
      </c>
      <c r="D21" s="4">
        <v>5</v>
      </c>
    </row>
    <row r="22" spans="1:4" x14ac:dyDescent="0.25">
      <c r="A22" s="4" t="s">
        <v>30</v>
      </c>
      <c r="B22" t="s">
        <v>29</v>
      </c>
      <c r="C22" s="4">
        <v>1</v>
      </c>
      <c r="D22" s="4">
        <v>6</v>
      </c>
    </row>
    <row r="23" spans="1:4" x14ac:dyDescent="0.25">
      <c r="A23" s="4" t="s">
        <v>30</v>
      </c>
      <c r="B23" t="s">
        <v>31</v>
      </c>
      <c r="C23" s="4">
        <v>2</v>
      </c>
      <c r="D23" s="4">
        <v>6</v>
      </c>
    </row>
    <row r="24" spans="1:4" x14ac:dyDescent="0.25">
      <c r="A24" s="4" t="s">
        <v>30</v>
      </c>
      <c r="B24" t="s">
        <v>32</v>
      </c>
      <c r="C24" s="4">
        <v>3</v>
      </c>
      <c r="D24" s="4">
        <v>6</v>
      </c>
    </row>
    <row r="25" spans="1:4" x14ac:dyDescent="0.25">
      <c r="A25" s="4" t="s">
        <v>30</v>
      </c>
      <c r="B25" t="s">
        <v>28</v>
      </c>
      <c r="C25" s="4">
        <v>4</v>
      </c>
      <c r="D25" s="4">
        <v>6</v>
      </c>
    </row>
    <row r="26" spans="1:4" x14ac:dyDescent="0.25">
      <c r="A26" s="4" t="s">
        <v>25</v>
      </c>
      <c r="B26" t="s">
        <v>29</v>
      </c>
      <c r="C26" s="4">
        <v>1</v>
      </c>
      <c r="D26" s="4">
        <v>7</v>
      </c>
    </row>
    <row r="27" spans="1:4" x14ac:dyDescent="0.25">
      <c r="A27" s="4" t="s">
        <v>25</v>
      </c>
      <c r="B27" t="s">
        <v>28</v>
      </c>
      <c r="C27" s="4">
        <v>2</v>
      </c>
      <c r="D27" s="4">
        <v>7</v>
      </c>
    </row>
    <row r="28" spans="1:4" x14ac:dyDescent="0.25">
      <c r="A28" s="4" t="s">
        <v>25</v>
      </c>
      <c r="B28" t="s">
        <v>27</v>
      </c>
      <c r="C28" s="4">
        <v>3</v>
      </c>
      <c r="D28" s="4">
        <v>7</v>
      </c>
    </row>
    <row r="29" spans="1:4" x14ac:dyDescent="0.25">
      <c r="A29" s="4" t="s">
        <v>25</v>
      </c>
      <c r="B29" t="s">
        <v>26</v>
      </c>
      <c r="C29" s="4">
        <v>4</v>
      </c>
      <c r="D29" s="4">
        <v>7</v>
      </c>
    </row>
    <row r="30" spans="1:4" x14ac:dyDescent="0.25">
      <c r="A30" s="4" t="s">
        <v>30</v>
      </c>
      <c r="B30" t="s">
        <v>32</v>
      </c>
      <c r="C30" s="4">
        <v>1</v>
      </c>
      <c r="D30" s="4">
        <v>8</v>
      </c>
    </row>
    <row r="31" spans="1:4" x14ac:dyDescent="0.25">
      <c r="A31" s="4" t="s">
        <v>30</v>
      </c>
      <c r="B31" t="s">
        <v>29</v>
      </c>
      <c r="C31" s="4">
        <v>2</v>
      </c>
      <c r="D31" s="4">
        <v>8</v>
      </c>
    </row>
    <row r="32" spans="1:4" x14ac:dyDescent="0.25">
      <c r="A32" s="4" t="s">
        <v>30</v>
      </c>
      <c r="B32" t="s">
        <v>28</v>
      </c>
      <c r="C32" s="4">
        <v>3</v>
      </c>
      <c r="D32" s="4">
        <v>8</v>
      </c>
    </row>
    <row r="33" spans="1:4" x14ac:dyDescent="0.25">
      <c r="A33" s="4" t="s">
        <v>30</v>
      </c>
      <c r="B33" t="s">
        <v>31</v>
      </c>
      <c r="C33" s="4">
        <v>4</v>
      </c>
      <c r="D33" s="4">
        <v>8</v>
      </c>
    </row>
    <row r="45" spans="1:4" x14ac:dyDescent="0.25">
      <c r="A45" s="5" t="s">
        <v>589</v>
      </c>
      <c r="B45" s="1" t="s">
        <v>33</v>
      </c>
      <c r="C45" s="5" t="s">
        <v>49</v>
      </c>
      <c r="D45" s="5"/>
    </row>
    <row r="46" spans="1:4" x14ac:dyDescent="0.25">
      <c r="A46" s="4" t="s">
        <v>25</v>
      </c>
      <c r="B46" t="s">
        <v>26</v>
      </c>
      <c r="C46" s="4">
        <v>1</v>
      </c>
    </row>
    <row r="47" spans="1:4" x14ac:dyDescent="0.25">
      <c r="A47" s="4" t="s">
        <v>25</v>
      </c>
      <c r="B47" t="s">
        <v>27</v>
      </c>
      <c r="C47" s="4">
        <v>1</v>
      </c>
    </row>
    <row r="48" spans="1:4" x14ac:dyDescent="0.25">
      <c r="A48" s="4" t="s">
        <v>25</v>
      </c>
      <c r="B48" t="s">
        <v>28</v>
      </c>
      <c r="C48" s="4">
        <v>1</v>
      </c>
    </row>
    <row r="49" spans="1:3" x14ac:dyDescent="0.25">
      <c r="A49" s="4" t="s">
        <v>25</v>
      </c>
      <c r="B49" t="s">
        <v>29</v>
      </c>
      <c r="C49" s="4">
        <v>1</v>
      </c>
    </row>
    <row r="50" spans="1:3" x14ac:dyDescent="0.25">
      <c r="A50" s="4" t="s">
        <v>30</v>
      </c>
      <c r="B50" t="s">
        <v>32</v>
      </c>
      <c r="C50" s="4">
        <v>1</v>
      </c>
    </row>
    <row r="51" spans="1:3" x14ac:dyDescent="0.25">
      <c r="A51" s="4" t="s">
        <v>30</v>
      </c>
      <c r="B51" t="s">
        <v>31</v>
      </c>
      <c r="C51" s="4">
        <v>1</v>
      </c>
    </row>
    <row r="52" spans="1:3" x14ac:dyDescent="0.25">
      <c r="A52" s="4" t="s">
        <v>30</v>
      </c>
      <c r="B52" t="s">
        <v>28</v>
      </c>
      <c r="C52" s="4">
        <v>1</v>
      </c>
    </row>
    <row r="53" spans="1:3" x14ac:dyDescent="0.25">
      <c r="A53" s="4" t="s">
        <v>30</v>
      </c>
      <c r="B53" t="s">
        <v>29</v>
      </c>
      <c r="C53" s="4">
        <v>1</v>
      </c>
    </row>
  </sheetData>
  <sortState xmlns:xlrd2="http://schemas.microsoft.com/office/spreadsheetml/2017/richdata2" ref="A46:C77">
    <sortCondition ref="C46:C77"/>
    <sortCondition ref="A46:A77"/>
    <sortCondition ref="B46:B7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AB942-CD70-40E0-A874-96C241C750AA}">
  <dimension ref="A1:H69"/>
  <sheetViews>
    <sheetView workbookViewId="0"/>
  </sheetViews>
  <sheetFormatPr defaultRowHeight="15" x14ac:dyDescent="0.25"/>
  <cols>
    <col min="1" max="1" width="13.42578125" customWidth="1"/>
    <col min="2" max="2" width="14.5703125" customWidth="1"/>
    <col min="3" max="3" width="23.5703125" customWidth="1"/>
    <col min="6" max="6" width="14" style="4" customWidth="1"/>
    <col min="7" max="7" width="13.5703125" style="4" customWidth="1"/>
  </cols>
  <sheetData>
    <row r="1" spans="1:8" x14ac:dyDescent="0.25">
      <c r="A1" s="5" t="s">
        <v>21</v>
      </c>
      <c r="B1" s="1" t="s">
        <v>22</v>
      </c>
      <c r="C1" s="1" t="s">
        <v>555</v>
      </c>
      <c r="D1" s="5" t="s">
        <v>23</v>
      </c>
      <c r="E1" s="5" t="s">
        <v>24</v>
      </c>
      <c r="F1" s="5" t="s">
        <v>565</v>
      </c>
      <c r="G1" s="5" t="s">
        <v>564</v>
      </c>
      <c r="H1" s="5" t="s">
        <v>569</v>
      </c>
    </row>
    <row r="2" spans="1:8" x14ac:dyDescent="0.25">
      <c r="A2" s="5"/>
      <c r="B2" s="1"/>
      <c r="C2" s="1" t="s">
        <v>566</v>
      </c>
      <c r="D2" s="5"/>
      <c r="E2" s="5"/>
      <c r="F2" s="4">
        <v>1</v>
      </c>
      <c r="G2" s="4">
        <v>1</v>
      </c>
      <c r="H2" s="4">
        <v>1</v>
      </c>
    </row>
    <row r="3" spans="1:8" x14ac:dyDescent="0.25">
      <c r="A3" s="5"/>
      <c r="B3" s="1"/>
      <c r="C3" s="1" t="s">
        <v>566</v>
      </c>
      <c r="D3" s="5"/>
      <c r="E3" s="5"/>
      <c r="F3" s="4">
        <v>1</v>
      </c>
      <c r="G3" s="4">
        <v>2</v>
      </c>
      <c r="H3" s="4">
        <v>2</v>
      </c>
    </row>
    <row r="4" spans="1:8" x14ac:dyDescent="0.25">
      <c r="A4" s="5"/>
      <c r="B4" s="1"/>
      <c r="C4" s="1" t="s">
        <v>566</v>
      </c>
      <c r="D4" s="5"/>
      <c r="E4" s="5"/>
      <c r="F4" s="4">
        <v>1</v>
      </c>
      <c r="G4" s="4">
        <v>3</v>
      </c>
      <c r="H4" s="4">
        <v>3</v>
      </c>
    </row>
    <row r="5" spans="1:8" x14ac:dyDescent="0.25">
      <c r="A5" s="5"/>
      <c r="B5" s="1"/>
      <c r="C5" s="1" t="s">
        <v>566</v>
      </c>
      <c r="D5" s="5"/>
      <c r="E5" s="5"/>
      <c r="F5" s="4">
        <v>1</v>
      </c>
      <c r="G5" s="4">
        <v>4</v>
      </c>
      <c r="H5" s="4">
        <v>4</v>
      </c>
    </row>
    <row r="6" spans="1:8" x14ac:dyDescent="0.25">
      <c r="A6" s="4" t="s">
        <v>25</v>
      </c>
      <c r="B6" t="s">
        <v>26</v>
      </c>
      <c r="C6" t="s">
        <v>556</v>
      </c>
      <c r="D6" s="4">
        <v>1</v>
      </c>
      <c r="E6" s="4">
        <v>1</v>
      </c>
      <c r="F6" s="4">
        <v>2</v>
      </c>
      <c r="G6" s="4">
        <v>1</v>
      </c>
      <c r="H6" s="4">
        <v>8</v>
      </c>
    </row>
    <row r="7" spans="1:8" x14ac:dyDescent="0.25">
      <c r="A7" s="4" t="s">
        <v>25</v>
      </c>
      <c r="B7" t="s">
        <v>27</v>
      </c>
      <c r="C7" t="s">
        <v>557</v>
      </c>
      <c r="D7" s="4">
        <v>2</v>
      </c>
      <c r="E7" s="4">
        <v>1</v>
      </c>
      <c r="F7" s="4">
        <v>2</v>
      </c>
      <c r="G7" s="4">
        <v>2</v>
      </c>
      <c r="H7" s="4">
        <v>7</v>
      </c>
    </row>
    <row r="8" spans="1:8" x14ac:dyDescent="0.25">
      <c r="A8" s="4" t="s">
        <v>25</v>
      </c>
      <c r="B8" t="s">
        <v>28</v>
      </c>
      <c r="C8" t="s">
        <v>558</v>
      </c>
      <c r="D8" s="4">
        <v>3</v>
      </c>
      <c r="E8" s="4">
        <v>1</v>
      </c>
      <c r="F8" s="4">
        <v>2</v>
      </c>
      <c r="G8" s="4">
        <v>3</v>
      </c>
      <c r="H8" s="4">
        <v>6</v>
      </c>
    </row>
    <row r="9" spans="1:8" x14ac:dyDescent="0.25">
      <c r="A9" s="4" t="s">
        <v>25</v>
      </c>
      <c r="B9" t="s">
        <v>29</v>
      </c>
      <c r="C9" t="s">
        <v>559</v>
      </c>
      <c r="D9" s="4">
        <v>4</v>
      </c>
      <c r="E9" s="4">
        <v>1</v>
      </c>
      <c r="F9" s="4">
        <v>2</v>
      </c>
      <c r="G9" s="4">
        <v>4</v>
      </c>
      <c r="H9" s="4">
        <v>5</v>
      </c>
    </row>
    <row r="10" spans="1:8" x14ac:dyDescent="0.25">
      <c r="A10" s="5"/>
      <c r="B10" s="1"/>
      <c r="C10" s="1" t="s">
        <v>566</v>
      </c>
      <c r="D10" s="5"/>
      <c r="E10" s="5"/>
      <c r="F10" s="4">
        <v>3</v>
      </c>
      <c r="G10" s="4">
        <v>1</v>
      </c>
      <c r="H10" s="4">
        <v>9</v>
      </c>
    </row>
    <row r="11" spans="1:8" x14ac:dyDescent="0.25">
      <c r="A11" s="5"/>
      <c r="B11" s="1"/>
      <c r="C11" s="1" t="s">
        <v>566</v>
      </c>
      <c r="D11" s="5"/>
      <c r="E11" s="5"/>
      <c r="F11" s="4">
        <v>3</v>
      </c>
      <c r="G11" s="4">
        <v>2</v>
      </c>
      <c r="H11" s="4">
        <v>10</v>
      </c>
    </row>
    <row r="12" spans="1:8" x14ac:dyDescent="0.25">
      <c r="A12" s="5"/>
      <c r="B12" s="1"/>
      <c r="C12" s="1" t="s">
        <v>566</v>
      </c>
      <c r="D12" s="5"/>
      <c r="E12" s="5"/>
      <c r="F12" s="4">
        <v>3</v>
      </c>
      <c r="G12" s="4">
        <v>3</v>
      </c>
      <c r="H12" s="4">
        <v>11</v>
      </c>
    </row>
    <row r="13" spans="1:8" x14ac:dyDescent="0.25">
      <c r="A13" s="5"/>
      <c r="B13" s="1"/>
      <c r="C13" s="1" t="s">
        <v>566</v>
      </c>
      <c r="D13" s="5"/>
      <c r="E13" s="5"/>
      <c r="F13" s="4">
        <v>3</v>
      </c>
      <c r="G13" s="4">
        <v>4</v>
      </c>
      <c r="H13" s="4">
        <v>12</v>
      </c>
    </row>
    <row r="14" spans="1:8" x14ac:dyDescent="0.25">
      <c r="A14" s="4" t="s">
        <v>30</v>
      </c>
      <c r="B14" t="s">
        <v>31</v>
      </c>
      <c r="C14" t="s">
        <v>560</v>
      </c>
      <c r="D14" s="4">
        <v>1</v>
      </c>
      <c r="E14" s="4">
        <v>2</v>
      </c>
      <c r="F14" s="4">
        <v>4</v>
      </c>
      <c r="G14" s="4">
        <v>1</v>
      </c>
      <c r="H14" s="4">
        <v>16</v>
      </c>
    </row>
    <row r="15" spans="1:8" x14ac:dyDescent="0.25">
      <c r="A15" s="4" t="s">
        <v>30</v>
      </c>
      <c r="B15" t="s">
        <v>28</v>
      </c>
      <c r="C15" t="s">
        <v>561</v>
      </c>
      <c r="D15" s="4">
        <v>2</v>
      </c>
      <c r="E15" s="4">
        <v>2</v>
      </c>
      <c r="F15" s="4">
        <v>4</v>
      </c>
      <c r="G15" s="4">
        <v>2</v>
      </c>
      <c r="H15" s="4">
        <v>15</v>
      </c>
    </row>
    <row r="16" spans="1:8" x14ac:dyDescent="0.25">
      <c r="A16" s="4" t="s">
        <v>30</v>
      </c>
      <c r="B16" t="s">
        <v>29</v>
      </c>
      <c r="C16" t="s">
        <v>562</v>
      </c>
      <c r="D16" s="4">
        <v>3</v>
      </c>
      <c r="E16" s="4">
        <v>2</v>
      </c>
      <c r="F16" s="4">
        <v>4</v>
      </c>
      <c r="G16" s="4">
        <v>3</v>
      </c>
      <c r="H16" s="4">
        <v>14</v>
      </c>
    </row>
    <row r="17" spans="1:8" x14ac:dyDescent="0.25">
      <c r="A17" s="4" t="s">
        <v>30</v>
      </c>
      <c r="B17" t="s">
        <v>32</v>
      </c>
      <c r="C17" t="s">
        <v>563</v>
      </c>
      <c r="D17" s="4">
        <v>4</v>
      </c>
      <c r="E17" s="4">
        <v>2</v>
      </c>
      <c r="F17" s="4">
        <v>4</v>
      </c>
      <c r="G17" s="4">
        <v>4</v>
      </c>
      <c r="H17" s="4">
        <v>13</v>
      </c>
    </row>
    <row r="18" spans="1:8" x14ac:dyDescent="0.25">
      <c r="A18" s="5"/>
      <c r="B18" s="1"/>
      <c r="C18" s="1" t="s">
        <v>566</v>
      </c>
      <c r="D18" s="5"/>
      <c r="E18" s="5"/>
      <c r="F18" s="4">
        <v>5</v>
      </c>
      <c r="G18" s="4">
        <v>1</v>
      </c>
      <c r="H18" s="4">
        <v>17</v>
      </c>
    </row>
    <row r="19" spans="1:8" x14ac:dyDescent="0.25">
      <c r="A19" s="5"/>
      <c r="B19" s="1"/>
      <c r="C19" s="1" t="s">
        <v>566</v>
      </c>
      <c r="D19" s="5"/>
      <c r="E19" s="5"/>
      <c r="F19" s="4">
        <v>5</v>
      </c>
      <c r="G19" s="4">
        <v>2</v>
      </c>
      <c r="H19" s="4">
        <v>18</v>
      </c>
    </row>
    <row r="20" spans="1:8" x14ac:dyDescent="0.25">
      <c r="A20" s="5"/>
      <c r="B20" s="1"/>
      <c r="C20" s="1" t="s">
        <v>566</v>
      </c>
      <c r="D20" s="5"/>
      <c r="E20" s="5"/>
      <c r="F20" s="4">
        <v>5</v>
      </c>
      <c r="G20" s="4">
        <v>3</v>
      </c>
      <c r="H20" s="4">
        <v>19</v>
      </c>
    </row>
    <row r="21" spans="1:8" x14ac:dyDescent="0.25">
      <c r="A21" s="5"/>
      <c r="B21" s="1"/>
      <c r="C21" s="1" t="s">
        <v>566</v>
      </c>
      <c r="D21" s="5"/>
      <c r="E21" s="5"/>
      <c r="F21" s="4">
        <v>5</v>
      </c>
      <c r="G21" s="4">
        <v>4</v>
      </c>
      <c r="H21" s="4">
        <v>20</v>
      </c>
    </row>
    <row r="22" spans="1:8" x14ac:dyDescent="0.25">
      <c r="A22" s="4" t="s">
        <v>25</v>
      </c>
      <c r="B22" t="s">
        <v>27</v>
      </c>
      <c r="C22" t="s">
        <v>557</v>
      </c>
      <c r="D22" s="4">
        <v>1</v>
      </c>
      <c r="E22" s="4">
        <v>3</v>
      </c>
      <c r="F22" s="4">
        <v>6</v>
      </c>
      <c r="G22" s="4">
        <v>1</v>
      </c>
      <c r="H22" s="4">
        <v>24</v>
      </c>
    </row>
    <row r="23" spans="1:8" x14ac:dyDescent="0.25">
      <c r="A23" s="4" t="s">
        <v>25</v>
      </c>
      <c r="B23" t="s">
        <v>29</v>
      </c>
      <c r="C23" t="s">
        <v>559</v>
      </c>
      <c r="D23" s="4">
        <v>2</v>
      </c>
      <c r="E23" s="4">
        <v>3</v>
      </c>
      <c r="F23" s="4">
        <v>6</v>
      </c>
      <c r="G23" s="4">
        <v>2</v>
      </c>
      <c r="H23" s="4">
        <v>23</v>
      </c>
    </row>
    <row r="24" spans="1:8" x14ac:dyDescent="0.25">
      <c r="A24" s="4" t="s">
        <v>25</v>
      </c>
      <c r="B24" t="s">
        <v>26</v>
      </c>
      <c r="C24" t="s">
        <v>556</v>
      </c>
      <c r="D24" s="4">
        <v>3</v>
      </c>
      <c r="E24" s="4">
        <v>3</v>
      </c>
      <c r="F24" s="4">
        <v>6</v>
      </c>
      <c r="G24" s="4">
        <v>3</v>
      </c>
      <c r="H24" s="4">
        <v>22</v>
      </c>
    </row>
    <row r="25" spans="1:8" x14ac:dyDescent="0.25">
      <c r="A25" s="4" t="s">
        <v>25</v>
      </c>
      <c r="B25" t="s">
        <v>28</v>
      </c>
      <c r="C25" t="s">
        <v>558</v>
      </c>
      <c r="D25" s="4">
        <v>4</v>
      </c>
      <c r="E25" s="4">
        <v>3</v>
      </c>
      <c r="F25" s="4">
        <v>6</v>
      </c>
      <c r="G25" s="4">
        <v>4</v>
      </c>
      <c r="H25" s="4">
        <v>21</v>
      </c>
    </row>
    <row r="26" spans="1:8" x14ac:dyDescent="0.25">
      <c r="A26" s="5"/>
      <c r="B26" s="1"/>
      <c r="C26" s="1" t="s">
        <v>566</v>
      </c>
      <c r="D26" s="5"/>
      <c r="E26" s="5"/>
      <c r="F26" s="4">
        <v>7</v>
      </c>
      <c r="G26" s="4">
        <v>1</v>
      </c>
      <c r="H26" s="4">
        <v>25</v>
      </c>
    </row>
    <row r="27" spans="1:8" x14ac:dyDescent="0.25">
      <c r="A27" s="5"/>
      <c r="B27" s="1"/>
      <c r="C27" s="1" t="s">
        <v>566</v>
      </c>
      <c r="D27" s="5"/>
      <c r="E27" s="5"/>
      <c r="F27" s="4">
        <v>7</v>
      </c>
      <c r="G27" s="4">
        <v>2</v>
      </c>
      <c r="H27" s="4">
        <v>26</v>
      </c>
    </row>
    <row r="28" spans="1:8" x14ac:dyDescent="0.25">
      <c r="A28" s="5"/>
      <c r="B28" s="1"/>
      <c r="C28" s="1" t="s">
        <v>566</v>
      </c>
      <c r="D28" s="5"/>
      <c r="E28" s="5"/>
      <c r="F28" s="4">
        <v>7</v>
      </c>
      <c r="G28" s="4">
        <v>3</v>
      </c>
      <c r="H28" s="4">
        <v>27</v>
      </c>
    </row>
    <row r="29" spans="1:8" x14ac:dyDescent="0.25">
      <c r="A29" s="5"/>
      <c r="B29" s="1"/>
      <c r="C29" s="1" t="s">
        <v>566</v>
      </c>
      <c r="D29" s="5"/>
      <c r="E29" s="5"/>
      <c r="F29" s="4">
        <v>7</v>
      </c>
      <c r="G29" s="4">
        <v>4</v>
      </c>
      <c r="H29" s="4">
        <v>28</v>
      </c>
    </row>
    <row r="30" spans="1:8" x14ac:dyDescent="0.25">
      <c r="A30" s="4" t="s">
        <v>30</v>
      </c>
      <c r="B30" t="s">
        <v>28</v>
      </c>
      <c r="C30" t="s">
        <v>561</v>
      </c>
      <c r="D30" s="4">
        <v>1</v>
      </c>
      <c r="E30" s="4">
        <v>4</v>
      </c>
      <c r="F30" s="4">
        <v>8</v>
      </c>
      <c r="G30" s="4">
        <v>1</v>
      </c>
      <c r="H30" s="4">
        <v>32</v>
      </c>
    </row>
    <row r="31" spans="1:8" x14ac:dyDescent="0.25">
      <c r="A31" s="4" t="s">
        <v>30</v>
      </c>
      <c r="B31" t="s">
        <v>32</v>
      </c>
      <c r="C31" t="s">
        <v>563</v>
      </c>
      <c r="D31" s="4">
        <v>2</v>
      </c>
      <c r="E31" s="4">
        <v>4</v>
      </c>
      <c r="F31" s="4">
        <v>8</v>
      </c>
      <c r="G31" s="4">
        <v>2</v>
      </c>
      <c r="H31" s="4">
        <v>31</v>
      </c>
    </row>
    <row r="32" spans="1:8" x14ac:dyDescent="0.25">
      <c r="A32" s="4" t="s">
        <v>30</v>
      </c>
      <c r="B32" t="s">
        <v>31</v>
      </c>
      <c r="C32" t="s">
        <v>560</v>
      </c>
      <c r="D32" s="4">
        <v>3</v>
      </c>
      <c r="E32" s="4">
        <v>4</v>
      </c>
      <c r="F32" s="4">
        <v>8</v>
      </c>
      <c r="G32" s="4">
        <v>3</v>
      </c>
      <c r="H32" s="4">
        <v>30</v>
      </c>
    </row>
    <row r="33" spans="1:8" x14ac:dyDescent="0.25">
      <c r="A33" s="4" t="s">
        <v>30</v>
      </c>
      <c r="B33" t="s">
        <v>29</v>
      </c>
      <c r="C33" t="s">
        <v>562</v>
      </c>
      <c r="D33" s="4">
        <v>4</v>
      </c>
      <c r="E33" s="4">
        <v>4</v>
      </c>
      <c r="F33" s="4">
        <v>8</v>
      </c>
      <c r="G33" s="4">
        <v>4</v>
      </c>
      <c r="H33" s="4">
        <v>29</v>
      </c>
    </row>
    <row r="34" spans="1:8" x14ac:dyDescent="0.25">
      <c r="A34" s="4"/>
      <c r="C34" t="s">
        <v>567</v>
      </c>
      <c r="D34" s="4"/>
      <c r="E34" s="4"/>
      <c r="F34" s="4">
        <v>9</v>
      </c>
      <c r="G34" s="4">
        <v>1</v>
      </c>
      <c r="H34" s="4">
        <v>33</v>
      </c>
    </row>
    <row r="35" spans="1:8" x14ac:dyDescent="0.25">
      <c r="A35" s="4"/>
      <c r="C35" t="s">
        <v>567</v>
      </c>
      <c r="D35" s="4"/>
      <c r="E35" s="4"/>
      <c r="F35" s="4">
        <v>9</v>
      </c>
      <c r="G35" s="4">
        <v>2</v>
      </c>
      <c r="H35" s="4">
        <v>34</v>
      </c>
    </row>
    <row r="36" spans="1:8" x14ac:dyDescent="0.25">
      <c r="A36" s="4"/>
      <c r="C36" t="s">
        <v>567</v>
      </c>
      <c r="D36" s="4"/>
      <c r="E36" s="4"/>
      <c r="F36" s="4">
        <v>9</v>
      </c>
      <c r="G36" s="4">
        <v>3</v>
      </c>
      <c r="H36" s="4">
        <v>35</v>
      </c>
    </row>
    <row r="37" spans="1:8" x14ac:dyDescent="0.25">
      <c r="A37" s="4"/>
      <c r="C37" t="s">
        <v>567</v>
      </c>
      <c r="D37" s="4"/>
      <c r="E37" s="4"/>
      <c r="F37" s="4">
        <v>9</v>
      </c>
      <c r="G37" s="4">
        <v>4</v>
      </c>
      <c r="H37" s="4">
        <v>37</v>
      </c>
    </row>
    <row r="38" spans="1:8" x14ac:dyDescent="0.25">
      <c r="A38" s="4" t="s">
        <v>25</v>
      </c>
      <c r="B38" t="s">
        <v>28</v>
      </c>
      <c r="C38" t="s">
        <v>558</v>
      </c>
      <c r="D38" s="4">
        <v>1</v>
      </c>
      <c r="E38" s="4">
        <v>5</v>
      </c>
      <c r="F38" s="4">
        <v>10</v>
      </c>
      <c r="G38" s="4">
        <v>1</v>
      </c>
      <c r="H38" s="4">
        <v>40</v>
      </c>
    </row>
    <row r="39" spans="1:8" x14ac:dyDescent="0.25">
      <c r="A39" s="4" t="s">
        <v>25</v>
      </c>
      <c r="B39" t="s">
        <v>26</v>
      </c>
      <c r="C39" t="s">
        <v>556</v>
      </c>
      <c r="D39" s="4">
        <v>2</v>
      </c>
      <c r="E39" s="4">
        <v>5</v>
      </c>
      <c r="F39" s="4">
        <v>10</v>
      </c>
      <c r="G39" s="4">
        <v>2</v>
      </c>
      <c r="H39" s="4">
        <v>39</v>
      </c>
    </row>
    <row r="40" spans="1:8" x14ac:dyDescent="0.25">
      <c r="A40" s="4" t="s">
        <v>25</v>
      </c>
      <c r="B40" t="s">
        <v>29</v>
      </c>
      <c r="C40" t="s">
        <v>559</v>
      </c>
      <c r="D40" s="4">
        <v>3</v>
      </c>
      <c r="E40" s="4">
        <v>5</v>
      </c>
      <c r="F40" s="4">
        <v>10</v>
      </c>
      <c r="G40" s="4">
        <v>3</v>
      </c>
      <c r="H40" s="4">
        <v>38</v>
      </c>
    </row>
    <row r="41" spans="1:8" x14ac:dyDescent="0.25">
      <c r="A41" s="4" t="s">
        <v>25</v>
      </c>
      <c r="B41" t="s">
        <v>27</v>
      </c>
      <c r="C41" t="s">
        <v>557</v>
      </c>
      <c r="D41" s="4">
        <v>4</v>
      </c>
      <c r="E41" s="4">
        <v>5</v>
      </c>
      <c r="F41" s="4">
        <v>10</v>
      </c>
      <c r="G41" s="4">
        <v>4</v>
      </c>
      <c r="H41" s="4">
        <v>37</v>
      </c>
    </row>
    <row r="42" spans="1:8" x14ac:dyDescent="0.25">
      <c r="A42" s="4"/>
      <c r="C42" t="s">
        <v>567</v>
      </c>
      <c r="D42" s="4"/>
      <c r="E42" s="4"/>
      <c r="F42" s="4">
        <v>11</v>
      </c>
      <c r="G42" s="4">
        <v>1</v>
      </c>
      <c r="H42" s="4">
        <v>41</v>
      </c>
    </row>
    <row r="43" spans="1:8" x14ac:dyDescent="0.25">
      <c r="A43" s="4"/>
      <c r="C43" t="s">
        <v>567</v>
      </c>
      <c r="D43" s="4"/>
      <c r="E43" s="4"/>
      <c r="F43" s="4">
        <v>11</v>
      </c>
      <c r="G43" s="4">
        <v>2</v>
      </c>
      <c r="H43" s="4">
        <v>42</v>
      </c>
    </row>
    <row r="44" spans="1:8" x14ac:dyDescent="0.25">
      <c r="A44" s="4"/>
      <c r="C44" t="s">
        <v>567</v>
      </c>
      <c r="D44" s="4"/>
      <c r="E44" s="4"/>
      <c r="F44" s="4">
        <v>11</v>
      </c>
      <c r="G44" s="4">
        <v>3</v>
      </c>
      <c r="H44" s="4">
        <v>43</v>
      </c>
    </row>
    <row r="45" spans="1:8" x14ac:dyDescent="0.25">
      <c r="A45" s="4"/>
      <c r="C45" t="s">
        <v>567</v>
      </c>
      <c r="D45" s="4"/>
      <c r="E45" s="4"/>
      <c r="F45" s="4">
        <v>11</v>
      </c>
      <c r="G45" s="4">
        <v>4</v>
      </c>
      <c r="H45" s="4">
        <v>44</v>
      </c>
    </row>
    <row r="46" spans="1:8" x14ac:dyDescent="0.25">
      <c r="A46" s="4" t="s">
        <v>30</v>
      </c>
      <c r="B46" t="s">
        <v>29</v>
      </c>
      <c r="C46" t="s">
        <v>562</v>
      </c>
      <c r="D46" s="4">
        <v>1</v>
      </c>
      <c r="E46" s="4">
        <v>6</v>
      </c>
      <c r="F46" s="4">
        <v>12</v>
      </c>
      <c r="G46" s="4">
        <v>1</v>
      </c>
      <c r="H46" s="4">
        <v>48</v>
      </c>
    </row>
    <row r="47" spans="1:8" x14ac:dyDescent="0.25">
      <c r="A47" s="4" t="s">
        <v>30</v>
      </c>
      <c r="B47" t="s">
        <v>31</v>
      </c>
      <c r="C47" t="s">
        <v>560</v>
      </c>
      <c r="D47" s="4">
        <v>2</v>
      </c>
      <c r="E47" s="4">
        <v>6</v>
      </c>
      <c r="F47" s="4">
        <v>12</v>
      </c>
      <c r="G47" s="4">
        <v>2</v>
      </c>
      <c r="H47" s="4">
        <v>47</v>
      </c>
    </row>
    <row r="48" spans="1:8" x14ac:dyDescent="0.25">
      <c r="A48" s="4" t="s">
        <v>30</v>
      </c>
      <c r="B48" t="s">
        <v>32</v>
      </c>
      <c r="C48" t="s">
        <v>563</v>
      </c>
      <c r="D48" s="4">
        <v>3</v>
      </c>
      <c r="E48" s="4">
        <v>6</v>
      </c>
      <c r="F48" s="4">
        <v>12</v>
      </c>
      <c r="G48" s="4">
        <v>3</v>
      </c>
      <c r="H48" s="4">
        <v>46</v>
      </c>
    </row>
    <row r="49" spans="1:8" x14ac:dyDescent="0.25">
      <c r="A49" s="4" t="s">
        <v>30</v>
      </c>
      <c r="B49" t="s">
        <v>28</v>
      </c>
      <c r="C49" t="s">
        <v>561</v>
      </c>
      <c r="D49" s="4">
        <v>4</v>
      </c>
      <c r="E49" s="4">
        <v>6</v>
      </c>
      <c r="F49" s="4">
        <v>12</v>
      </c>
      <c r="G49" s="4">
        <v>4</v>
      </c>
      <c r="H49" s="4">
        <v>45</v>
      </c>
    </row>
    <row r="50" spans="1:8" x14ac:dyDescent="0.25">
      <c r="A50" s="4"/>
      <c r="C50" t="s">
        <v>567</v>
      </c>
      <c r="D50" s="4"/>
      <c r="E50" s="4"/>
      <c r="F50" s="4">
        <v>13</v>
      </c>
      <c r="G50" s="4">
        <v>1</v>
      </c>
      <c r="H50" s="4">
        <v>49</v>
      </c>
    </row>
    <row r="51" spans="1:8" x14ac:dyDescent="0.25">
      <c r="A51" s="4"/>
      <c r="C51" t="s">
        <v>567</v>
      </c>
      <c r="D51" s="4"/>
      <c r="E51" s="4"/>
      <c r="F51" s="4">
        <v>13</v>
      </c>
      <c r="G51" s="4">
        <v>2</v>
      </c>
      <c r="H51" s="4">
        <v>50</v>
      </c>
    </row>
    <row r="52" spans="1:8" x14ac:dyDescent="0.25">
      <c r="A52" s="4"/>
      <c r="C52" t="s">
        <v>567</v>
      </c>
      <c r="D52" s="4"/>
      <c r="E52" s="4"/>
      <c r="F52" s="4">
        <v>13</v>
      </c>
      <c r="G52" s="4">
        <v>3</v>
      </c>
      <c r="H52" s="4">
        <v>51</v>
      </c>
    </row>
    <row r="53" spans="1:8" x14ac:dyDescent="0.25">
      <c r="A53" s="4"/>
      <c r="C53" t="s">
        <v>567</v>
      </c>
      <c r="D53" s="4"/>
      <c r="E53" s="4"/>
      <c r="F53" s="4">
        <v>13</v>
      </c>
      <c r="G53" s="4">
        <v>4</v>
      </c>
      <c r="H53" s="4">
        <v>52</v>
      </c>
    </row>
    <row r="54" spans="1:8" x14ac:dyDescent="0.25">
      <c r="A54" s="4" t="s">
        <v>25</v>
      </c>
      <c r="B54" t="s">
        <v>29</v>
      </c>
      <c r="C54" t="s">
        <v>559</v>
      </c>
      <c r="D54" s="4">
        <v>1</v>
      </c>
      <c r="E54" s="4">
        <v>7</v>
      </c>
      <c r="F54" s="4">
        <v>14</v>
      </c>
      <c r="G54" s="4">
        <v>1</v>
      </c>
      <c r="H54" s="4">
        <v>56</v>
      </c>
    </row>
    <row r="55" spans="1:8" x14ac:dyDescent="0.25">
      <c r="A55" s="4" t="s">
        <v>25</v>
      </c>
      <c r="B55" t="s">
        <v>28</v>
      </c>
      <c r="C55" t="s">
        <v>558</v>
      </c>
      <c r="D55" s="4">
        <v>2</v>
      </c>
      <c r="E55" s="4">
        <v>7</v>
      </c>
      <c r="F55" s="4">
        <v>14</v>
      </c>
      <c r="G55" s="4">
        <v>2</v>
      </c>
      <c r="H55" s="4">
        <v>55</v>
      </c>
    </row>
    <row r="56" spans="1:8" x14ac:dyDescent="0.25">
      <c r="A56" s="4" t="s">
        <v>25</v>
      </c>
      <c r="B56" t="s">
        <v>27</v>
      </c>
      <c r="C56" t="s">
        <v>557</v>
      </c>
      <c r="D56" s="4">
        <v>3</v>
      </c>
      <c r="E56" s="4">
        <v>7</v>
      </c>
      <c r="F56" s="4">
        <v>14</v>
      </c>
      <c r="G56" s="4">
        <v>3</v>
      </c>
      <c r="H56" s="4">
        <v>54</v>
      </c>
    </row>
    <row r="57" spans="1:8" x14ac:dyDescent="0.25">
      <c r="A57" s="4" t="s">
        <v>25</v>
      </c>
      <c r="B57" t="s">
        <v>26</v>
      </c>
      <c r="C57" t="s">
        <v>556</v>
      </c>
      <c r="D57" s="4">
        <v>4</v>
      </c>
      <c r="E57" s="4">
        <v>7</v>
      </c>
      <c r="F57" s="4">
        <v>14</v>
      </c>
      <c r="G57" s="4">
        <v>4</v>
      </c>
      <c r="H57" s="4">
        <v>53</v>
      </c>
    </row>
    <row r="58" spans="1:8" x14ac:dyDescent="0.25">
      <c r="A58" s="4"/>
      <c r="C58" t="s">
        <v>567</v>
      </c>
      <c r="D58" s="4"/>
      <c r="E58" s="4"/>
      <c r="F58" s="4">
        <v>15</v>
      </c>
      <c r="G58" s="4">
        <v>1</v>
      </c>
      <c r="H58" s="4">
        <v>57</v>
      </c>
    </row>
    <row r="59" spans="1:8" x14ac:dyDescent="0.25">
      <c r="A59" s="4"/>
      <c r="C59" t="s">
        <v>567</v>
      </c>
      <c r="D59" s="4"/>
      <c r="E59" s="4"/>
      <c r="F59" s="4">
        <v>15</v>
      </c>
      <c r="G59" s="4">
        <v>2</v>
      </c>
      <c r="H59" s="4">
        <v>58</v>
      </c>
    </row>
    <row r="60" spans="1:8" x14ac:dyDescent="0.25">
      <c r="A60" s="4"/>
      <c r="C60" t="s">
        <v>567</v>
      </c>
      <c r="D60" s="4"/>
      <c r="E60" s="4"/>
      <c r="F60" s="4">
        <v>15</v>
      </c>
      <c r="G60" s="4">
        <v>3</v>
      </c>
      <c r="H60" s="4">
        <v>59</v>
      </c>
    </row>
    <row r="61" spans="1:8" x14ac:dyDescent="0.25">
      <c r="A61" s="4"/>
      <c r="C61" t="s">
        <v>567</v>
      </c>
      <c r="D61" s="4"/>
      <c r="E61" s="4"/>
      <c r="F61" s="4">
        <v>15</v>
      </c>
      <c r="G61" s="4">
        <v>4</v>
      </c>
      <c r="H61" s="4">
        <v>60</v>
      </c>
    </row>
    <row r="62" spans="1:8" x14ac:dyDescent="0.25">
      <c r="A62" s="4" t="s">
        <v>30</v>
      </c>
      <c r="B62" t="s">
        <v>32</v>
      </c>
      <c r="C62" t="s">
        <v>563</v>
      </c>
      <c r="D62" s="4">
        <v>1</v>
      </c>
      <c r="E62" s="4">
        <v>8</v>
      </c>
      <c r="F62" s="4">
        <v>16</v>
      </c>
      <c r="G62" s="4">
        <v>1</v>
      </c>
      <c r="H62" s="4">
        <v>64</v>
      </c>
    </row>
    <row r="63" spans="1:8" x14ac:dyDescent="0.25">
      <c r="A63" s="4" t="s">
        <v>30</v>
      </c>
      <c r="B63" t="s">
        <v>29</v>
      </c>
      <c r="C63" t="s">
        <v>562</v>
      </c>
      <c r="D63" s="4">
        <v>2</v>
      </c>
      <c r="E63" s="4">
        <v>8</v>
      </c>
      <c r="F63" s="4">
        <v>16</v>
      </c>
      <c r="G63" s="4">
        <v>2</v>
      </c>
      <c r="H63" s="4">
        <v>63</v>
      </c>
    </row>
    <row r="64" spans="1:8" x14ac:dyDescent="0.25">
      <c r="A64" s="4" t="s">
        <v>30</v>
      </c>
      <c r="B64" t="s">
        <v>28</v>
      </c>
      <c r="C64" t="s">
        <v>561</v>
      </c>
      <c r="D64" s="4">
        <v>3</v>
      </c>
      <c r="E64" s="4">
        <v>8</v>
      </c>
      <c r="F64" s="4">
        <v>16</v>
      </c>
      <c r="G64" s="4">
        <v>3</v>
      </c>
      <c r="H64" s="4">
        <v>62</v>
      </c>
    </row>
    <row r="65" spans="1:8" x14ac:dyDescent="0.25">
      <c r="A65" s="4" t="s">
        <v>30</v>
      </c>
      <c r="B65" t="s">
        <v>31</v>
      </c>
      <c r="C65" t="s">
        <v>560</v>
      </c>
      <c r="D65" s="4">
        <v>4</v>
      </c>
      <c r="E65" s="4">
        <v>8</v>
      </c>
      <c r="F65" s="4">
        <v>16</v>
      </c>
      <c r="G65" s="4">
        <v>4</v>
      </c>
      <c r="H65" s="4">
        <v>61</v>
      </c>
    </row>
    <row r="66" spans="1:8" x14ac:dyDescent="0.25">
      <c r="A66" s="4"/>
      <c r="C66" t="s">
        <v>568</v>
      </c>
      <c r="D66" s="4"/>
      <c r="E66" s="4"/>
      <c r="F66" s="4">
        <v>17</v>
      </c>
      <c r="G66" s="4">
        <v>1</v>
      </c>
      <c r="H66" s="4">
        <v>65</v>
      </c>
    </row>
    <row r="67" spans="1:8" x14ac:dyDescent="0.25">
      <c r="A67" s="4"/>
      <c r="C67" t="s">
        <v>568</v>
      </c>
      <c r="D67" s="4"/>
      <c r="E67" s="4"/>
      <c r="F67" s="4">
        <v>17</v>
      </c>
      <c r="G67" s="4">
        <v>2</v>
      </c>
      <c r="H67" s="4">
        <v>66</v>
      </c>
    </row>
    <row r="68" spans="1:8" x14ac:dyDescent="0.25">
      <c r="A68" s="4"/>
      <c r="C68" t="s">
        <v>568</v>
      </c>
      <c r="D68" s="4"/>
      <c r="E68" s="4"/>
      <c r="F68" s="4">
        <v>17</v>
      </c>
      <c r="G68" s="4">
        <v>3</v>
      </c>
      <c r="H68" s="4">
        <v>67</v>
      </c>
    </row>
    <row r="69" spans="1:8" x14ac:dyDescent="0.25">
      <c r="A69" s="4"/>
      <c r="C69" t="s">
        <v>568</v>
      </c>
      <c r="D69" s="4"/>
      <c r="E69" s="4"/>
      <c r="F69" s="4">
        <v>17</v>
      </c>
      <c r="G69" s="4">
        <v>4</v>
      </c>
      <c r="H69" s="4">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25BD3-95C5-4F46-A44B-16807B56CE92}">
  <dimension ref="A1:N7"/>
  <sheetViews>
    <sheetView workbookViewId="0">
      <selection activeCell="B6" sqref="B6"/>
    </sheetView>
  </sheetViews>
  <sheetFormatPr defaultRowHeight="15" x14ac:dyDescent="0.25"/>
  <cols>
    <col min="1" max="1" width="15.5703125" customWidth="1"/>
    <col min="3" max="8" width="8.5703125" style="4"/>
    <col min="9" max="9" width="8.5703125" style="12"/>
    <col min="13" max="13" width="19.42578125" customWidth="1"/>
  </cols>
  <sheetData>
    <row r="1" spans="1:14" ht="60" x14ac:dyDescent="0.25">
      <c r="A1" s="6" t="s">
        <v>33</v>
      </c>
      <c r="B1" s="6" t="s">
        <v>34</v>
      </c>
      <c r="C1" s="7" t="s">
        <v>35</v>
      </c>
      <c r="D1" s="8" t="s">
        <v>36</v>
      </c>
      <c r="E1" s="9" t="s">
        <v>37</v>
      </c>
      <c r="F1" s="10" t="s">
        <v>38</v>
      </c>
      <c r="G1" s="10" t="s">
        <v>39</v>
      </c>
      <c r="H1" s="10" t="s">
        <v>40</v>
      </c>
      <c r="I1" s="8" t="s">
        <v>41</v>
      </c>
      <c r="J1" s="10" t="s">
        <v>42</v>
      </c>
    </row>
    <row r="2" spans="1:14" x14ac:dyDescent="0.25">
      <c r="A2" s="4" t="s">
        <v>28</v>
      </c>
      <c r="C2" s="4">
        <v>4.7E-2</v>
      </c>
      <c r="D2" s="4">
        <v>200</v>
      </c>
      <c r="E2" s="11">
        <f t="shared" ref="E2:E4" si="0">D2*C2</f>
        <v>9.4</v>
      </c>
      <c r="F2" s="4">
        <v>9</v>
      </c>
      <c r="G2" s="4">
        <v>1.5</v>
      </c>
      <c r="H2" s="4">
        <f t="shared" ref="H2:H4" si="1">F2*G2</f>
        <v>13.5</v>
      </c>
      <c r="I2" s="12">
        <f t="shared" ref="I2:I4" si="2">H2*E2</f>
        <v>126.9</v>
      </c>
      <c r="J2">
        <v>127</v>
      </c>
      <c r="M2" s="4"/>
      <c r="N2" s="12"/>
    </row>
    <row r="3" spans="1:14" x14ac:dyDescent="0.25">
      <c r="A3" s="4" t="s">
        <v>29</v>
      </c>
      <c r="C3" s="4">
        <v>4.4999999999999998E-2</v>
      </c>
      <c r="D3" s="4">
        <v>200</v>
      </c>
      <c r="E3" s="11">
        <f t="shared" si="0"/>
        <v>9</v>
      </c>
      <c r="F3" s="4">
        <v>9</v>
      </c>
      <c r="G3" s="4">
        <v>1.5</v>
      </c>
      <c r="H3" s="4">
        <f t="shared" si="1"/>
        <v>13.5</v>
      </c>
      <c r="I3" s="12">
        <f t="shared" si="2"/>
        <v>121.5</v>
      </c>
      <c r="J3">
        <v>122</v>
      </c>
      <c r="M3" s="4"/>
      <c r="N3" s="12"/>
    </row>
    <row r="4" spans="1:14" x14ac:dyDescent="0.25">
      <c r="A4" s="4" t="s">
        <v>27</v>
      </c>
      <c r="B4" t="s">
        <v>43</v>
      </c>
      <c r="C4" s="13">
        <v>5.1999999999999998E-2</v>
      </c>
      <c r="D4" s="4">
        <v>200</v>
      </c>
      <c r="E4" s="11">
        <f t="shared" si="0"/>
        <v>10.4</v>
      </c>
      <c r="F4" s="4">
        <v>9</v>
      </c>
      <c r="G4" s="4">
        <v>1.5</v>
      </c>
      <c r="H4" s="4">
        <f t="shared" si="1"/>
        <v>13.5</v>
      </c>
      <c r="I4" s="12">
        <f t="shared" si="2"/>
        <v>140.4</v>
      </c>
      <c r="J4">
        <v>140</v>
      </c>
      <c r="M4" s="4"/>
      <c r="N4" s="12"/>
    </row>
    <row r="5" spans="1:14" x14ac:dyDescent="0.25">
      <c r="A5" t="s">
        <v>31</v>
      </c>
      <c r="B5" t="s">
        <v>43</v>
      </c>
      <c r="C5" s="13">
        <v>4.5999999999999999E-2</v>
      </c>
      <c r="D5" s="4">
        <v>200</v>
      </c>
      <c r="E5" s="11">
        <f t="shared" ref="E5" si="3">D5*C5</f>
        <v>9.1999999999999993</v>
      </c>
      <c r="F5" s="4">
        <v>9</v>
      </c>
      <c r="G5" s="4">
        <v>1.5</v>
      </c>
      <c r="H5" s="4">
        <f t="shared" ref="H5" si="4">F5*G5</f>
        <v>13.5</v>
      </c>
      <c r="I5" s="12">
        <f t="shared" ref="I5" si="5">H5*E5</f>
        <v>124.19999999999999</v>
      </c>
      <c r="J5">
        <v>124</v>
      </c>
    </row>
    <row r="6" spans="1:14" x14ac:dyDescent="0.25">
      <c r="A6" s="4" t="s">
        <v>26</v>
      </c>
      <c r="B6" t="s">
        <v>44</v>
      </c>
      <c r="C6" s="4">
        <v>4.4999999999999998E-2</v>
      </c>
      <c r="D6" s="4">
        <v>200</v>
      </c>
      <c r="E6" s="11">
        <f t="shared" ref="E6" si="6">D6*C6</f>
        <v>9</v>
      </c>
      <c r="F6" s="4">
        <v>9</v>
      </c>
      <c r="G6" s="4">
        <v>1.5</v>
      </c>
      <c r="H6" s="4">
        <f t="shared" ref="H6" si="7">F6*G6</f>
        <v>13.5</v>
      </c>
      <c r="I6" s="12">
        <f t="shared" ref="I6" si="8">H6*E6</f>
        <v>121.5</v>
      </c>
      <c r="J6">
        <v>122</v>
      </c>
    </row>
    <row r="7" spans="1:14" x14ac:dyDescent="0.25">
      <c r="A7" s="4" t="s">
        <v>32</v>
      </c>
      <c r="B7" t="s">
        <v>43</v>
      </c>
      <c r="C7" s="4">
        <v>4.7E-2</v>
      </c>
      <c r="D7" s="4">
        <v>200</v>
      </c>
      <c r="E7" s="11">
        <f t="shared" ref="E7" si="9">D7*C7</f>
        <v>9.4</v>
      </c>
      <c r="F7" s="4">
        <v>9</v>
      </c>
      <c r="G7" s="4">
        <v>1.5</v>
      </c>
      <c r="H7" s="4">
        <f t="shared" ref="H7" si="10">F7*G7</f>
        <v>13.5</v>
      </c>
      <c r="I7" s="12">
        <f t="shared" ref="I7" si="11">H7*E7</f>
        <v>126.9</v>
      </c>
      <c r="J7">
        <v>127</v>
      </c>
    </row>
  </sheetData>
  <conditionalFormatting sqref="N2:N4">
    <cfRule type="colorScale" priority="4">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96507-F4C4-4D7B-82C0-05D30678B465}">
  <dimension ref="A1:V71"/>
  <sheetViews>
    <sheetView workbookViewId="0">
      <selection activeCell="V13" sqref="V13"/>
    </sheetView>
  </sheetViews>
  <sheetFormatPr defaultRowHeight="15" x14ac:dyDescent="0.25"/>
  <cols>
    <col min="2" max="2" width="8.5703125" customWidth="1"/>
    <col min="3" max="19" width="3.5703125" customWidth="1"/>
  </cols>
  <sheetData>
    <row r="1" spans="1:22" x14ac:dyDescent="0.25">
      <c r="A1" s="18" t="s">
        <v>45</v>
      </c>
    </row>
    <row r="2" spans="1:22" x14ac:dyDescent="0.25">
      <c r="I2" t="s">
        <v>46</v>
      </c>
    </row>
    <row r="3" spans="1:22" x14ac:dyDescent="0.25">
      <c r="B3" s="34" t="s">
        <v>47</v>
      </c>
    </row>
    <row r="4" spans="1:22" x14ac:dyDescent="0.25">
      <c r="B4" s="35" t="s">
        <v>48</v>
      </c>
    </row>
    <row r="5" spans="1:22" ht="15.75" thickBot="1" x14ac:dyDescent="0.3"/>
    <row r="6" spans="1:22" s="16" customFormat="1" ht="60" customHeight="1" thickTop="1" x14ac:dyDescent="0.25">
      <c r="A6" s="142" t="s">
        <v>49</v>
      </c>
      <c r="B6" s="17">
        <v>4</v>
      </c>
      <c r="C6" s="19" t="s">
        <v>50</v>
      </c>
      <c r="D6" s="28" t="str">
        <f>$V40</f>
        <v>UOM001_9_1</v>
      </c>
      <c r="E6" s="20" t="s">
        <v>50</v>
      </c>
      <c r="F6" s="31" t="str">
        <f>$V44</f>
        <v>RGT_Zanzibar</v>
      </c>
      <c r="G6" s="20" t="s">
        <v>50</v>
      </c>
      <c r="H6" s="28" t="str">
        <f>$V48</f>
        <v>UOM001_3_47</v>
      </c>
      <c r="I6" s="20" t="s">
        <v>50</v>
      </c>
      <c r="J6" s="31" t="str">
        <f>$V52</f>
        <v>UOM001_9_1</v>
      </c>
      <c r="K6" s="20" t="s">
        <v>51</v>
      </c>
      <c r="L6" s="28" t="str">
        <f>$V56</f>
        <v>Illabo</v>
      </c>
      <c r="M6" s="20" t="s">
        <v>51</v>
      </c>
      <c r="N6" s="31" t="str">
        <f>$V60</f>
        <v>UOM001_3_47</v>
      </c>
      <c r="O6" s="20" t="s">
        <v>51</v>
      </c>
      <c r="P6" s="28" t="str">
        <f>$V64</f>
        <v>Big_Red</v>
      </c>
      <c r="Q6" s="20" t="s">
        <v>51</v>
      </c>
      <c r="R6" s="31" t="str">
        <f>$V68</f>
        <v>Sunmaster</v>
      </c>
      <c r="S6" s="21" t="s">
        <v>52</v>
      </c>
    </row>
    <row r="7" spans="1:22" s="16" customFormat="1" ht="60" customHeight="1" x14ac:dyDescent="0.25">
      <c r="A7" s="142"/>
      <c r="B7" s="17">
        <v>3</v>
      </c>
      <c r="C7" s="22" t="s">
        <v>50</v>
      </c>
      <c r="D7" s="29" t="str">
        <f>$V41</f>
        <v>UOM001_3_47</v>
      </c>
      <c r="E7" s="23" t="s">
        <v>50</v>
      </c>
      <c r="F7" s="32" t="str">
        <f>$V45</f>
        <v>UOM001_9_1</v>
      </c>
      <c r="G7" s="23" t="s">
        <v>50</v>
      </c>
      <c r="H7" s="29" t="str">
        <f>$V49</f>
        <v>Big_Red</v>
      </c>
      <c r="I7" s="23" t="s">
        <v>50</v>
      </c>
      <c r="J7" s="32" t="str">
        <f>$V53</f>
        <v>Sunmaster</v>
      </c>
      <c r="K7" s="23" t="s">
        <v>51</v>
      </c>
      <c r="L7" s="29" t="str">
        <f>$V57</f>
        <v>UOM001_9_1</v>
      </c>
      <c r="M7" s="23" t="s">
        <v>51</v>
      </c>
      <c r="N7" s="32" t="str">
        <f>$V61</f>
        <v>RGT_Zanzibar</v>
      </c>
      <c r="O7" s="23" t="s">
        <v>51</v>
      </c>
      <c r="P7" s="29" t="str">
        <f>$V65</f>
        <v>Illabo</v>
      </c>
      <c r="Q7" s="23" t="s">
        <v>51</v>
      </c>
      <c r="R7" s="32" t="str">
        <f>$V69</f>
        <v>UOM001_3_47</v>
      </c>
      <c r="S7" s="24" t="s">
        <v>52</v>
      </c>
    </row>
    <row r="8" spans="1:22" s="16" customFormat="1" ht="60" customHeight="1" x14ac:dyDescent="0.25">
      <c r="A8" s="142"/>
      <c r="B8" s="17">
        <v>2</v>
      </c>
      <c r="C8" s="22" t="s">
        <v>50</v>
      </c>
      <c r="D8" s="29" t="str">
        <f>$V42</f>
        <v>Illabo</v>
      </c>
      <c r="E8" s="23" t="s">
        <v>50</v>
      </c>
      <c r="F8" s="32" t="str">
        <f>$V46</f>
        <v>UOM001_3_47</v>
      </c>
      <c r="G8" s="23" t="s">
        <v>50</v>
      </c>
      <c r="H8" s="29" t="str">
        <f>$V50</f>
        <v>UOM001_9_1</v>
      </c>
      <c r="I8" s="23" t="s">
        <v>50</v>
      </c>
      <c r="J8" s="32" t="str">
        <f>$V54</f>
        <v>RGT_Zanzibar</v>
      </c>
      <c r="K8" s="23" t="s">
        <v>51</v>
      </c>
      <c r="L8" s="29" t="str">
        <f>$V58</f>
        <v>Big_Red</v>
      </c>
      <c r="M8" s="23" t="s">
        <v>51</v>
      </c>
      <c r="N8" s="32" t="str">
        <f>$V62</f>
        <v>Sunmaster</v>
      </c>
      <c r="O8" s="23" t="s">
        <v>51</v>
      </c>
      <c r="P8" s="29" t="str">
        <f>$V66</f>
        <v>UOM001_3_47</v>
      </c>
      <c r="Q8" s="23" t="s">
        <v>51</v>
      </c>
      <c r="R8" s="32" t="str">
        <f>$V70</f>
        <v>UOM001_9_1</v>
      </c>
      <c r="S8" s="24" t="s">
        <v>52</v>
      </c>
    </row>
    <row r="9" spans="1:22" s="16" customFormat="1" ht="60" customHeight="1" thickBot="1" x14ac:dyDescent="0.3">
      <c r="A9" s="142"/>
      <c r="B9" s="17">
        <v>1</v>
      </c>
      <c r="C9" s="25" t="s">
        <v>50</v>
      </c>
      <c r="D9" s="30" t="str">
        <f>$V43</f>
        <v>Big_Red</v>
      </c>
      <c r="E9" s="26" t="s">
        <v>50</v>
      </c>
      <c r="F9" s="33" t="str">
        <f>$V47</f>
        <v>Sunmaster</v>
      </c>
      <c r="G9" s="26" t="s">
        <v>50</v>
      </c>
      <c r="H9" s="30" t="str">
        <f>$V51</f>
        <v>Illabo</v>
      </c>
      <c r="I9" s="26" t="s">
        <v>50</v>
      </c>
      <c r="J9" s="33" t="str">
        <f>$V55</f>
        <v>UOM001_3_47</v>
      </c>
      <c r="K9" s="26" t="s">
        <v>51</v>
      </c>
      <c r="L9" s="30" t="str">
        <f>$V59</f>
        <v>UOM001_3_47</v>
      </c>
      <c r="M9" s="26" t="s">
        <v>51</v>
      </c>
      <c r="N9" s="33" t="str">
        <f>$V63</f>
        <v>UOM001_9_1</v>
      </c>
      <c r="O9" s="26" t="s">
        <v>51</v>
      </c>
      <c r="P9" s="30" t="str">
        <f>$V67</f>
        <v>UOM001_9_1</v>
      </c>
      <c r="Q9" s="26" t="s">
        <v>51</v>
      </c>
      <c r="R9" s="33" t="str">
        <f>$V71</f>
        <v>RGT_Zanzibar</v>
      </c>
      <c r="S9" s="27" t="s">
        <v>52</v>
      </c>
    </row>
    <row r="10" spans="1:22" ht="15.75" thickTop="1" x14ac:dyDescent="0.25">
      <c r="B10" s="4"/>
      <c r="C10" s="4" t="s">
        <v>53</v>
      </c>
      <c r="D10" s="4">
        <v>1</v>
      </c>
      <c r="E10" s="4" t="s">
        <v>53</v>
      </c>
      <c r="F10" s="4">
        <v>2</v>
      </c>
      <c r="G10" s="4" t="s">
        <v>53</v>
      </c>
      <c r="H10" s="4">
        <v>3</v>
      </c>
      <c r="I10" s="4" t="s">
        <v>53</v>
      </c>
      <c r="J10" s="4">
        <v>4</v>
      </c>
      <c r="K10" s="4" t="s">
        <v>53</v>
      </c>
      <c r="L10" s="4">
        <v>5</v>
      </c>
      <c r="M10" s="4" t="s">
        <v>53</v>
      </c>
      <c r="N10" s="4">
        <v>6</v>
      </c>
      <c r="O10" s="4" t="s">
        <v>53</v>
      </c>
      <c r="P10" s="4">
        <v>7</v>
      </c>
      <c r="Q10" s="4" t="s">
        <v>53</v>
      </c>
      <c r="R10" s="4">
        <v>8</v>
      </c>
      <c r="S10" s="4" t="s">
        <v>53</v>
      </c>
    </row>
    <row r="11" spans="1:22" x14ac:dyDescent="0.25">
      <c r="C11" s="143" t="s">
        <v>54</v>
      </c>
      <c r="D11" s="143"/>
      <c r="E11" s="143"/>
      <c r="F11" s="143"/>
      <c r="G11" s="143"/>
      <c r="H11" s="143"/>
      <c r="I11" s="143"/>
      <c r="J11" s="143"/>
      <c r="K11" s="143"/>
      <c r="L11" s="143"/>
      <c r="M11" s="143"/>
      <c r="N11" s="143"/>
      <c r="O11" s="143"/>
      <c r="P11" s="143"/>
      <c r="Q11" s="143"/>
      <c r="R11" s="143"/>
      <c r="S11" s="143"/>
    </row>
    <row r="13" spans="1:22" x14ac:dyDescent="0.25">
      <c r="V13">
        <f>9*4</f>
        <v>36</v>
      </c>
    </row>
    <row r="17" spans="2:3" x14ac:dyDescent="0.25">
      <c r="C17" t="s">
        <v>55</v>
      </c>
    </row>
    <row r="18" spans="2:3" x14ac:dyDescent="0.25">
      <c r="B18" t="s">
        <v>56</v>
      </c>
      <c r="C18" t="s">
        <v>57</v>
      </c>
    </row>
    <row r="19" spans="2:3" x14ac:dyDescent="0.25">
      <c r="B19" t="s">
        <v>58</v>
      </c>
      <c r="C19" t="s">
        <v>59</v>
      </c>
    </row>
    <row r="20" spans="2:3" x14ac:dyDescent="0.25">
      <c r="B20" t="s">
        <v>60</v>
      </c>
      <c r="C20" t="s">
        <v>61</v>
      </c>
    </row>
    <row r="21" spans="2:3" x14ac:dyDescent="0.25">
      <c r="B21" t="s">
        <v>62</v>
      </c>
      <c r="C21" t="s">
        <v>63</v>
      </c>
    </row>
    <row r="22" spans="2:3" x14ac:dyDescent="0.25">
      <c r="B22" t="s">
        <v>64</v>
      </c>
      <c r="C22" t="s">
        <v>65</v>
      </c>
    </row>
    <row r="23" spans="2:3" x14ac:dyDescent="0.25">
      <c r="B23" t="s">
        <v>58</v>
      </c>
      <c r="C23" t="s">
        <v>66</v>
      </c>
    </row>
    <row r="24" spans="2:3" x14ac:dyDescent="0.25">
      <c r="B24" t="s">
        <v>60</v>
      </c>
      <c r="C24" t="s">
        <v>67</v>
      </c>
    </row>
    <row r="25" spans="2:3" x14ac:dyDescent="0.25">
      <c r="B25" t="s">
        <v>62</v>
      </c>
      <c r="C25" t="s">
        <v>66</v>
      </c>
    </row>
    <row r="26" spans="2:3" x14ac:dyDescent="0.25">
      <c r="B26" t="s">
        <v>64</v>
      </c>
      <c r="C26" t="s">
        <v>68</v>
      </c>
    </row>
    <row r="27" spans="2:3" x14ac:dyDescent="0.25">
      <c r="B27" t="s">
        <v>58</v>
      </c>
      <c r="C27" t="s">
        <v>69</v>
      </c>
    </row>
    <row r="28" spans="2:3" x14ac:dyDescent="0.25">
      <c r="B28" t="s">
        <v>60</v>
      </c>
      <c r="C28" t="s">
        <v>70</v>
      </c>
    </row>
    <row r="29" spans="2:3" x14ac:dyDescent="0.25">
      <c r="B29" t="s">
        <v>62</v>
      </c>
      <c r="C29" t="s">
        <v>71</v>
      </c>
    </row>
    <row r="30" spans="2:3" x14ac:dyDescent="0.25">
      <c r="B30" t="s">
        <v>64</v>
      </c>
      <c r="C30" t="s">
        <v>72</v>
      </c>
    </row>
    <row r="31" spans="2:3" x14ac:dyDescent="0.25">
      <c r="B31" t="s">
        <v>58</v>
      </c>
      <c r="C31" t="s">
        <v>71</v>
      </c>
    </row>
    <row r="32" spans="2:3" x14ac:dyDescent="0.25">
      <c r="B32" t="s">
        <v>60</v>
      </c>
      <c r="C32" t="s">
        <v>73</v>
      </c>
    </row>
    <row r="33" spans="2:22" x14ac:dyDescent="0.25">
      <c r="B33" t="s">
        <v>62</v>
      </c>
      <c r="C33" t="s">
        <v>71</v>
      </c>
    </row>
    <row r="34" spans="2:22" x14ac:dyDescent="0.25">
      <c r="B34" t="s">
        <v>64</v>
      </c>
      <c r="C34" t="s">
        <v>74</v>
      </c>
    </row>
    <row r="35" spans="2:22" x14ac:dyDescent="0.25">
      <c r="B35" t="s">
        <v>58</v>
      </c>
      <c r="C35" t="s">
        <v>75</v>
      </c>
    </row>
    <row r="36" spans="2:22" x14ac:dyDescent="0.25">
      <c r="C36" t="s">
        <v>57</v>
      </c>
    </row>
    <row r="39" spans="2:22" x14ac:dyDescent="0.25">
      <c r="P39" s="5" t="s">
        <v>23</v>
      </c>
      <c r="Q39" s="5"/>
      <c r="R39" s="5" t="s">
        <v>24</v>
      </c>
      <c r="S39" s="5" t="s">
        <v>76</v>
      </c>
      <c r="T39" s="5" t="s">
        <v>77</v>
      </c>
      <c r="U39" s="5" t="s">
        <v>21</v>
      </c>
      <c r="V39" s="1" t="s">
        <v>22</v>
      </c>
    </row>
    <row r="40" spans="2:22" x14ac:dyDescent="0.25">
      <c r="P40" s="4">
        <v>4</v>
      </c>
      <c r="Q40" s="4"/>
      <c r="R40" s="4">
        <v>1</v>
      </c>
      <c r="S40" s="4">
        <v>401</v>
      </c>
      <c r="T40" s="4">
        <v>32</v>
      </c>
      <c r="U40" s="4" t="s">
        <v>25</v>
      </c>
      <c r="V40" t="s">
        <v>29</v>
      </c>
    </row>
    <row r="41" spans="2:22" x14ac:dyDescent="0.25">
      <c r="P41" s="4">
        <v>3</v>
      </c>
      <c r="Q41" s="4"/>
      <c r="R41" s="4">
        <v>1</v>
      </c>
      <c r="S41" s="4">
        <v>301</v>
      </c>
      <c r="T41" s="4">
        <v>17</v>
      </c>
      <c r="U41" s="4" t="s">
        <v>25</v>
      </c>
      <c r="V41" t="s">
        <v>28</v>
      </c>
    </row>
    <row r="42" spans="2:22" x14ac:dyDescent="0.25">
      <c r="P42" s="4">
        <v>2</v>
      </c>
      <c r="Q42" s="4"/>
      <c r="R42" s="4">
        <v>1</v>
      </c>
      <c r="S42" s="4">
        <v>201</v>
      </c>
      <c r="T42" s="4">
        <v>16</v>
      </c>
      <c r="U42" s="4" t="s">
        <v>25</v>
      </c>
      <c r="V42" t="s">
        <v>27</v>
      </c>
    </row>
    <row r="43" spans="2:22" x14ac:dyDescent="0.25">
      <c r="P43" s="4">
        <v>1</v>
      </c>
      <c r="Q43" s="4"/>
      <c r="R43" s="4">
        <v>1</v>
      </c>
      <c r="S43" s="4">
        <v>101</v>
      </c>
      <c r="T43" s="4">
        <v>1</v>
      </c>
      <c r="U43" s="4" t="s">
        <v>25</v>
      </c>
      <c r="V43" t="s">
        <v>26</v>
      </c>
    </row>
    <row r="44" spans="2:22" x14ac:dyDescent="0.25">
      <c r="P44" s="4">
        <v>4</v>
      </c>
      <c r="Q44" s="4"/>
      <c r="R44" s="4">
        <v>2</v>
      </c>
      <c r="S44" s="4">
        <v>402</v>
      </c>
      <c r="T44" s="4">
        <v>31</v>
      </c>
      <c r="U44" s="4" t="s">
        <v>30</v>
      </c>
      <c r="V44" t="s">
        <v>32</v>
      </c>
    </row>
    <row r="45" spans="2:22" x14ac:dyDescent="0.25">
      <c r="P45" s="4">
        <v>3</v>
      </c>
      <c r="Q45" s="4"/>
      <c r="R45" s="4">
        <v>2</v>
      </c>
      <c r="S45" s="4">
        <v>302</v>
      </c>
      <c r="T45" s="4">
        <v>18</v>
      </c>
      <c r="U45" s="4" t="s">
        <v>30</v>
      </c>
      <c r="V45" t="s">
        <v>29</v>
      </c>
    </row>
    <row r="46" spans="2:22" x14ac:dyDescent="0.25">
      <c r="P46" s="4">
        <v>2</v>
      </c>
      <c r="Q46" s="4"/>
      <c r="R46" s="4">
        <v>2</v>
      </c>
      <c r="S46" s="4">
        <v>202</v>
      </c>
      <c r="T46" s="4">
        <v>15</v>
      </c>
      <c r="U46" s="4" t="s">
        <v>30</v>
      </c>
      <c r="V46" t="s">
        <v>28</v>
      </c>
    </row>
    <row r="47" spans="2:22" x14ac:dyDescent="0.25">
      <c r="P47" s="4">
        <v>1</v>
      </c>
      <c r="Q47" s="4"/>
      <c r="R47" s="4">
        <v>2</v>
      </c>
      <c r="S47" s="4">
        <v>102</v>
      </c>
      <c r="T47" s="4">
        <v>2</v>
      </c>
      <c r="U47" s="4" t="s">
        <v>30</v>
      </c>
      <c r="V47" t="s">
        <v>31</v>
      </c>
    </row>
    <row r="48" spans="2:22" x14ac:dyDescent="0.25">
      <c r="P48" s="4">
        <v>4</v>
      </c>
      <c r="Q48" s="4"/>
      <c r="R48" s="4">
        <v>3</v>
      </c>
      <c r="S48" s="4">
        <v>403</v>
      </c>
      <c r="T48" s="4">
        <v>30</v>
      </c>
      <c r="U48" s="4" t="s">
        <v>25</v>
      </c>
      <c r="V48" t="s">
        <v>28</v>
      </c>
    </row>
    <row r="49" spans="16:22" x14ac:dyDescent="0.25">
      <c r="P49" s="4">
        <v>3</v>
      </c>
      <c r="Q49" s="4"/>
      <c r="R49" s="4">
        <v>3</v>
      </c>
      <c r="S49" s="4">
        <v>303</v>
      </c>
      <c r="T49" s="4">
        <v>19</v>
      </c>
      <c r="U49" s="4" t="s">
        <v>25</v>
      </c>
      <c r="V49" t="s">
        <v>26</v>
      </c>
    </row>
    <row r="50" spans="16:22" x14ac:dyDescent="0.25">
      <c r="P50" s="4">
        <v>2</v>
      </c>
      <c r="Q50" s="4"/>
      <c r="R50" s="4">
        <v>3</v>
      </c>
      <c r="S50" s="4">
        <v>203</v>
      </c>
      <c r="T50" s="4">
        <v>14</v>
      </c>
      <c r="U50" s="4" t="s">
        <v>25</v>
      </c>
      <c r="V50" t="s">
        <v>29</v>
      </c>
    </row>
    <row r="51" spans="16:22" x14ac:dyDescent="0.25">
      <c r="P51" s="4">
        <v>1</v>
      </c>
      <c r="Q51" s="4"/>
      <c r="R51" s="4">
        <v>3</v>
      </c>
      <c r="S51" s="4">
        <v>103</v>
      </c>
      <c r="T51" s="4">
        <v>3</v>
      </c>
      <c r="U51" s="4" t="s">
        <v>25</v>
      </c>
      <c r="V51" t="s">
        <v>27</v>
      </c>
    </row>
    <row r="52" spans="16:22" x14ac:dyDescent="0.25">
      <c r="P52" s="4">
        <v>4</v>
      </c>
      <c r="Q52" s="4"/>
      <c r="R52" s="4">
        <v>4</v>
      </c>
      <c r="S52" s="4">
        <v>404</v>
      </c>
      <c r="T52" s="4">
        <v>29</v>
      </c>
      <c r="U52" s="4" t="s">
        <v>30</v>
      </c>
      <c r="V52" t="s">
        <v>29</v>
      </c>
    </row>
    <row r="53" spans="16:22" x14ac:dyDescent="0.25">
      <c r="P53" s="4">
        <v>3</v>
      </c>
      <c r="Q53" s="4"/>
      <c r="R53" s="4">
        <v>4</v>
      </c>
      <c r="S53" s="4">
        <v>304</v>
      </c>
      <c r="T53" s="4">
        <v>20</v>
      </c>
      <c r="U53" s="4" t="s">
        <v>30</v>
      </c>
      <c r="V53" t="s">
        <v>31</v>
      </c>
    </row>
    <row r="54" spans="16:22" x14ac:dyDescent="0.25">
      <c r="P54" s="4">
        <v>2</v>
      </c>
      <c r="Q54" s="4"/>
      <c r="R54" s="4">
        <v>4</v>
      </c>
      <c r="S54" s="4">
        <v>204</v>
      </c>
      <c r="T54" s="4">
        <v>13</v>
      </c>
      <c r="U54" s="4" t="s">
        <v>30</v>
      </c>
      <c r="V54" t="s">
        <v>32</v>
      </c>
    </row>
    <row r="55" spans="16:22" x14ac:dyDescent="0.25">
      <c r="P55" s="4">
        <v>1</v>
      </c>
      <c r="Q55" s="4"/>
      <c r="R55" s="4">
        <v>4</v>
      </c>
      <c r="S55" s="4">
        <v>104</v>
      </c>
      <c r="T55" s="4">
        <v>4</v>
      </c>
      <c r="U55" s="4" t="s">
        <v>30</v>
      </c>
      <c r="V55" t="s">
        <v>28</v>
      </c>
    </row>
    <row r="56" spans="16:22" x14ac:dyDescent="0.25">
      <c r="P56" s="4">
        <v>4</v>
      </c>
      <c r="Q56" s="4"/>
      <c r="R56" s="4">
        <v>5</v>
      </c>
      <c r="S56" s="4">
        <v>405</v>
      </c>
      <c r="T56" s="4">
        <v>28</v>
      </c>
      <c r="U56" s="4" t="s">
        <v>25</v>
      </c>
      <c r="V56" t="s">
        <v>27</v>
      </c>
    </row>
    <row r="57" spans="16:22" x14ac:dyDescent="0.25">
      <c r="P57" s="4">
        <v>3</v>
      </c>
      <c r="Q57" s="4"/>
      <c r="R57" s="4">
        <v>5</v>
      </c>
      <c r="S57" s="4">
        <v>305</v>
      </c>
      <c r="T57" s="4">
        <v>21</v>
      </c>
      <c r="U57" s="4" t="s">
        <v>25</v>
      </c>
      <c r="V57" t="s">
        <v>29</v>
      </c>
    </row>
    <row r="58" spans="16:22" x14ac:dyDescent="0.25">
      <c r="P58" s="4">
        <v>2</v>
      </c>
      <c r="Q58" s="4"/>
      <c r="R58" s="4">
        <v>5</v>
      </c>
      <c r="S58" s="4">
        <v>205</v>
      </c>
      <c r="T58" s="4">
        <v>12</v>
      </c>
      <c r="U58" s="4" t="s">
        <v>25</v>
      </c>
      <c r="V58" t="s">
        <v>26</v>
      </c>
    </row>
    <row r="59" spans="16:22" x14ac:dyDescent="0.25">
      <c r="P59" s="4">
        <v>1</v>
      </c>
      <c r="Q59" s="4"/>
      <c r="R59" s="4">
        <v>5</v>
      </c>
      <c r="S59" s="4">
        <v>105</v>
      </c>
      <c r="T59" s="4">
        <v>5</v>
      </c>
      <c r="U59" s="4" t="s">
        <v>25</v>
      </c>
      <c r="V59" t="s">
        <v>28</v>
      </c>
    </row>
    <row r="60" spans="16:22" x14ac:dyDescent="0.25">
      <c r="P60" s="4">
        <v>4</v>
      </c>
      <c r="Q60" s="4"/>
      <c r="R60" s="4">
        <v>6</v>
      </c>
      <c r="S60" s="4">
        <v>406</v>
      </c>
      <c r="T60" s="4">
        <v>27</v>
      </c>
      <c r="U60" s="4" t="s">
        <v>30</v>
      </c>
      <c r="V60" t="s">
        <v>28</v>
      </c>
    </row>
    <row r="61" spans="16:22" x14ac:dyDescent="0.25">
      <c r="P61" s="4">
        <v>3</v>
      </c>
      <c r="Q61" s="4"/>
      <c r="R61" s="4">
        <v>6</v>
      </c>
      <c r="S61" s="4">
        <v>306</v>
      </c>
      <c r="T61" s="4">
        <v>22</v>
      </c>
      <c r="U61" s="4" t="s">
        <v>30</v>
      </c>
      <c r="V61" t="s">
        <v>32</v>
      </c>
    </row>
    <row r="62" spans="16:22" x14ac:dyDescent="0.25">
      <c r="P62" s="4">
        <v>2</v>
      </c>
      <c r="Q62" s="4"/>
      <c r="R62" s="4">
        <v>6</v>
      </c>
      <c r="S62" s="4">
        <v>206</v>
      </c>
      <c r="T62" s="4">
        <v>11</v>
      </c>
      <c r="U62" s="4" t="s">
        <v>30</v>
      </c>
      <c r="V62" t="s">
        <v>31</v>
      </c>
    </row>
    <row r="63" spans="16:22" x14ac:dyDescent="0.25">
      <c r="P63" s="4">
        <v>1</v>
      </c>
      <c r="Q63" s="4"/>
      <c r="R63" s="4">
        <v>6</v>
      </c>
      <c r="S63" s="4">
        <v>106</v>
      </c>
      <c r="T63" s="4">
        <v>6</v>
      </c>
      <c r="U63" s="4" t="s">
        <v>30</v>
      </c>
      <c r="V63" t="s">
        <v>29</v>
      </c>
    </row>
    <row r="64" spans="16:22" x14ac:dyDescent="0.25">
      <c r="P64" s="4">
        <v>4</v>
      </c>
      <c r="Q64" s="4"/>
      <c r="R64" s="4">
        <v>7</v>
      </c>
      <c r="S64" s="4">
        <v>407</v>
      </c>
      <c r="T64" s="4">
        <v>26</v>
      </c>
      <c r="U64" s="4" t="s">
        <v>25</v>
      </c>
      <c r="V64" t="s">
        <v>26</v>
      </c>
    </row>
    <row r="65" spans="16:22" x14ac:dyDescent="0.25">
      <c r="P65" s="4">
        <v>3</v>
      </c>
      <c r="Q65" s="4"/>
      <c r="R65" s="4">
        <v>7</v>
      </c>
      <c r="S65" s="4">
        <v>307</v>
      </c>
      <c r="T65" s="4">
        <v>23</v>
      </c>
      <c r="U65" s="4" t="s">
        <v>25</v>
      </c>
      <c r="V65" t="s">
        <v>27</v>
      </c>
    </row>
    <row r="66" spans="16:22" x14ac:dyDescent="0.25">
      <c r="P66" s="4">
        <v>2</v>
      </c>
      <c r="Q66" s="4"/>
      <c r="R66" s="4">
        <v>7</v>
      </c>
      <c r="S66" s="4">
        <v>207</v>
      </c>
      <c r="T66" s="4">
        <v>10</v>
      </c>
      <c r="U66" s="4" t="s">
        <v>25</v>
      </c>
      <c r="V66" t="s">
        <v>28</v>
      </c>
    </row>
    <row r="67" spans="16:22" x14ac:dyDescent="0.25">
      <c r="P67" s="4">
        <v>1</v>
      </c>
      <c r="Q67" s="4"/>
      <c r="R67" s="4">
        <v>7</v>
      </c>
      <c r="S67" s="4">
        <v>107</v>
      </c>
      <c r="T67" s="4">
        <v>7</v>
      </c>
      <c r="U67" s="4" t="s">
        <v>25</v>
      </c>
      <c r="V67" t="s">
        <v>29</v>
      </c>
    </row>
    <row r="68" spans="16:22" x14ac:dyDescent="0.25">
      <c r="P68" s="4">
        <v>4</v>
      </c>
      <c r="Q68" s="4"/>
      <c r="R68" s="4">
        <v>8</v>
      </c>
      <c r="S68" s="4">
        <v>408</v>
      </c>
      <c r="T68" s="4">
        <v>25</v>
      </c>
      <c r="U68" s="4" t="s">
        <v>30</v>
      </c>
      <c r="V68" t="s">
        <v>31</v>
      </c>
    </row>
    <row r="69" spans="16:22" x14ac:dyDescent="0.25">
      <c r="P69" s="4">
        <v>3</v>
      </c>
      <c r="Q69" s="4"/>
      <c r="R69" s="4">
        <v>8</v>
      </c>
      <c r="S69" s="4">
        <v>308</v>
      </c>
      <c r="T69" s="4">
        <v>24</v>
      </c>
      <c r="U69" s="4" t="s">
        <v>30</v>
      </c>
      <c r="V69" t="s">
        <v>28</v>
      </c>
    </row>
    <row r="70" spans="16:22" x14ac:dyDescent="0.25">
      <c r="P70" s="4">
        <v>2</v>
      </c>
      <c r="Q70" s="4"/>
      <c r="R70" s="4">
        <v>8</v>
      </c>
      <c r="S70" s="4">
        <v>208</v>
      </c>
      <c r="T70" s="4">
        <v>9</v>
      </c>
      <c r="U70" s="4" t="s">
        <v>30</v>
      </c>
      <c r="V70" t="s">
        <v>29</v>
      </c>
    </row>
    <row r="71" spans="16:22" x14ac:dyDescent="0.25">
      <c r="P71" s="4">
        <v>1</v>
      </c>
      <c r="Q71" s="4"/>
      <c r="R71" s="4">
        <v>8</v>
      </c>
      <c r="S71" s="4">
        <v>108</v>
      </c>
      <c r="T71" s="4">
        <v>8</v>
      </c>
      <c r="U71" s="4" t="s">
        <v>30</v>
      </c>
      <c r="V71" t="s">
        <v>32</v>
      </c>
    </row>
  </sheetData>
  <sortState xmlns:xlrd2="http://schemas.microsoft.com/office/spreadsheetml/2017/richdata2" ref="P39:V71">
    <sortCondition ref="R40:R71"/>
    <sortCondition descending="1" ref="P40:P71"/>
  </sortState>
  <mergeCells count="2">
    <mergeCell ref="A6:A9"/>
    <mergeCell ref="C11:S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30B9-135F-4A78-AEF5-C45B8356D33F}">
  <dimension ref="A1:M95"/>
  <sheetViews>
    <sheetView topLeftCell="A2" zoomScale="89" zoomScaleNormal="89" workbookViewId="0">
      <selection activeCell="D77" sqref="D77"/>
    </sheetView>
  </sheetViews>
  <sheetFormatPr defaultRowHeight="15" x14ac:dyDescent="0.25"/>
  <cols>
    <col min="1" max="1" width="12.28515625" style="15" customWidth="1"/>
    <col min="2" max="2" width="23.7109375" style="15" customWidth="1"/>
    <col min="3" max="3" width="13.7109375" style="15" customWidth="1"/>
    <col min="4" max="4" width="109.5703125" style="15" customWidth="1"/>
    <col min="9" max="9" width="1.7109375" customWidth="1"/>
    <col min="10" max="10" width="21" customWidth="1"/>
    <col min="13" max="13" width="19.42578125" customWidth="1"/>
  </cols>
  <sheetData>
    <row r="1" spans="1:4" x14ac:dyDescent="0.25">
      <c r="A1" s="6" t="s">
        <v>78</v>
      </c>
      <c r="B1" s="6" t="s">
        <v>79</v>
      </c>
      <c r="C1" s="6" t="s">
        <v>80</v>
      </c>
      <c r="D1" s="6" t="s">
        <v>81</v>
      </c>
    </row>
    <row r="2" spans="1:4" ht="59.1" customHeight="1" x14ac:dyDescent="0.25">
      <c r="A2" s="14">
        <v>45386</v>
      </c>
      <c r="B2" s="15" t="s">
        <v>82</v>
      </c>
      <c r="C2" s="15" t="s">
        <v>83</v>
      </c>
      <c r="D2" s="15" t="s">
        <v>84</v>
      </c>
    </row>
    <row r="3" spans="1:4" ht="200.85" customHeight="1" x14ac:dyDescent="0.25">
      <c r="A3" s="14">
        <v>45398</v>
      </c>
      <c r="B3" s="15" t="s">
        <v>85</v>
      </c>
      <c r="C3" s="119" t="s">
        <v>86</v>
      </c>
      <c r="D3" s="15" t="s">
        <v>87</v>
      </c>
    </row>
    <row r="4" spans="1:4" ht="30" x14ac:dyDescent="0.25">
      <c r="A4" s="14">
        <v>45406</v>
      </c>
      <c r="B4" s="15" t="s">
        <v>88</v>
      </c>
      <c r="D4" s="15" t="s">
        <v>89</v>
      </c>
    </row>
    <row r="5" spans="1:4" ht="68.099999999999994" customHeight="1" x14ac:dyDescent="0.25">
      <c r="A5" s="14">
        <v>45407</v>
      </c>
      <c r="B5" s="15" t="s">
        <v>90</v>
      </c>
      <c r="C5" s="15" t="s">
        <v>91</v>
      </c>
      <c r="D5" s="15" t="s">
        <v>92</v>
      </c>
    </row>
    <row r="6" spans="1:4" ht="45" x14ac:dyDescent="0.25">
      <c r="A6" s="14">
        <v>45413</v>
      </c>
      <c r="B6" s="15" t="s">
        <v>93</v>
      </c>
      <c r="C6" s="118" t="s">
        <v>94</v>
      </c>
      <c r="D6" s="15" t="s">
        <v>95</v>
      </c>
    </row>
    <row r="7" spans="1:4" ht="45" x14ac:dyDescent="0.25">
      <c r="A7" s="39">
        <v>45420</v>
      </c>
      <c r="B7" s="40" t="s">
        <v>96</v>
      </c>
      <c r="C7" s="36" t="s">
        <v>97</v>
      </c>
      <c r="D7" s="36" t="s">
        <v>98</v>
      </c>
    </row>
    <row r="8" spans="1:4" ht="75" x14ac:dyDescent="0.25">
      <c r="A8" s="39">
        <v>45426</v>
      </c>
      <c r="B8" s="40" t="s">
        <v>99</v>
      </c>
      <c r="C8" s="120" t="s">
        <v>86</v>
      </c>
      <c r="D8" s="36" t="s">
        <v>100</v>
      </c>
    </row>
    <row r="9" spans="1:4" ht="35.25" customHeight="1" x14ac:dyDescent="0.25">
      <c r="A9" s="14">
        <v>45427</v>
      </c>
      <c r="B9" s="15" t="s">
        <v>101</v>
      </c>
      <c r="C9" s="15" t="s">
        <v>102</v>
      </c>
      <c r="D9" s="36" t="s">
        <v>103</v>
      </c>
    </row>
    <row r="10" spans="1:4" ht="30" x14ac:dyDescent="0.25">
      <c r="A10" s="14">
        <v>45428</v>
      </c>
      <c r="B10" s="15" t="s">
        <v>104</v>
      </c>
      <c r="C10" s="15" t="s">
        <v>105</v>
      </c>
      <c r="D10" s="42" t="s">
        <v>106</v>
      </c>
    </row>
    <row r="11" spans="1:4" ht="45" x14ac:dyDescent="0.25">
      <c r="A11" s="14">
        <v>45436</v>
      </c>
      <c r="B11" s="15" t="s">
        <v>107</v>
      </c>
      <c r="C11" s="15" t="s">
        <v>108</v>
      </c>
      <c r="D11" s="15" t="s">
        <v>109</v>
      </c>
    </row>
    <row r="12" spans="1:4" ht="45" x14ac:dyDescent="0.25">
      <c r="A12" s="14">
        <v>45438</v>
      </c>
      <c r="B12" s="15" t="s">
        <v>110</v>
      </c>
      <c r="C12" s="15" t="s">
        <v>111</v>
      </c>
      <c r="D12" s="15" t="s">
        <v>112</v>
      </c>
    </row>
    <row r="13" spans="1:4" ht="30" x14ac:dyDescent="0.25">
      <c r="A13" s="14">
        <v>45441</v>
      </c>
      <c r="B13" s="15" t="s">
        <v>110</v>
      </c>
      <c r="C13" s="15" t="s">
        <v>102</v>
      </c>
      <c r="D13" s="15" t="s">
        <v>113</v>
      </c>
    </row>
    <row r="14" spans="1:4" x14ac:dyDescent="0.25">
      <c r="A14" s="14">
        <v>45077</v>
      </c>
      <c r="B14" s="15" t="s">
        <v>114</v>
      </c>
      <c r="C14" s="15" t="s">
        <v>115</v>
      </c>
      <c r="D14" s="15" t="s">
        <v>116</v>
      </c>
    </row>
    <row r="15" spans="1:4" ht="30" x14ac:dyDescent="0.25">
      <c r="A15" s="14">
        <v>45443</v>
      </c>
      <c r="B15" s="15" t="s">
        <v>110</v>
      </c>
      <c r="C15" s="15" t="s">
        <v>117</v>
      </c>
      <c r="D15" s="15" t="s">
        <v>118</v>
      </c>
    </row>
    <row r="16" spans="1:4" x14ac:dyDescent="0.25">
      <c r="A16" s="14">
        <v>45446</v>
      </c>
      <c r="B16" s="15" t="s">
        <v>110</v>
      </c>
      <c r="C16" s="15" t="s">
        <v>119</v>
      </c>
      <c r="D16" s="15" t="s">
        <v>120</v>
      </c>
    </row>
    <row r="17" spans="1:4" ht="45" x14ac:dyDescent="0.25">
      <c r="A17" s="14">
        <v>45447</v>
      </c>
      <c r="B17" s="15" t="s">
        <v>110</v>
      </c>
      <c r="C17" s="15" t="s">
        <v>121</v>
      </c>
      <c r="D17" s="15" t="s">
        <v>122</v>
      </c>
    </row>
    <row r="18" spans="1:4" ht="30" x14ac:dyDescent="0.25">
      <c r="A18" s="14">
        <v>45447</v>
      </c>
      <c r="B18" s="15" t="s">
        <v>110</v>
      </c>
      <c r="C18" s="15" t="s">
        <v>117</v>
      </c>
      <c r="D18" s="15" t="s">
        <v>123</v>
      </c>
    </row>
    <row r="19" spans="1:4" ht="30" x14ac:dyDescent="0.25">
      <c r="A19" s="14">
        <v>45450</v>
      </c>
      <c r="B19" s="15" t="s">
        <v>110</v>
      </c>
      <c r="C19" s="15" t="s">
        <v>124</v>
      </c>
      <c r="D19" s="15" t="s">
        <v>125</v>
      </c>
    </row>
    <row r="20" spans="1:4" ht="30" x14ac:dyDescent="0.25">
      <c r="A20" s="14">
        <v>45457</v>
      </c>
      <c r="B20" s="15" t="s">
        <v>126</v>
      </c>
      <c r="C20" s="15" t="s">
        <v>127</v>
      </c>
      <c r="D20" s="15" t="s">
        <v>128</v>
      </c>
    </row>
    <row r="21" spans="1:4" ht="30" x14ac:dyDescent="0.25">
      <c r="A21" s="14">
        <v>45457</v>
      </c>
      <c r="B21" s="15" t="s">
        <v>126</v>
      </c>
      <c r="C21" s="15" t="s">
        <v>119</v>
      </c>
      <c r="D21" s="36" t="s">
        <v>129</v>
      </c>
    </row>
    <row r="22" spans="1:4" ht="30" x14ac:dyDescent="0.25">
      <c r="A22" s="14">
        <v>45460</v>
      </c>
      <c r="B22" s="15" t="s">
        <v>110</v>
      </c>
      <c r="C22" s="15" t="s">
        <v>115</v>
      </c>
      <c r="D22" s="15" t="s">
        <v>130</v>
      </c>
    </row>
    <row r="23" spans="1:4" ht="30" x14ac:dyDescent="0.25">
      <c r="A23" s="14">
        <v>45461</v>
      </c>
      <c r="B23" s="15" t="s">
        <v>110</v>
      </c>
      <c r="C23" s="15" t="s">
        <v>131</v>
      </c>
      <c r="D23" s="15" t="s">
        <v>132</v>
      </c>
    </row>
    <row r="24" spans="1:4" ht="45" x14ac:dyDescent="0.25">
      <c r="A24" s="14">
        <v>45464</v>
      </c>
      <c r="B24" s="15" t="s">
        <v>110</v>
      </c>
      <c r="C24" s="15" t="s">
        <v>133</v>
      </c>
      <c r="D24" s="15" t="s">
        <v>134</v>
      </c>
    </row>
    <row r="25" spans="1:4" ht="75" x14ac:dyDescent="0.25">
      <c r="A25" s="14">
        <v>45467</v>
      </c>
      <c r="B25" s="15" t="s">
        <v>110</v>
      </c>
      <c r="C25" s="15" t="s">
        <v>135</v>
      </c>
      <c r="D25" s="15" t="s">
        <v>136</v>
      </c>
    </row>
    <row r="26" spans="1:4" ht="45" x14ac:dyDescent="0.25">
      <c r="A26" s="14">
        <v>45468</v>
      </c>
      <c r="B26" s="15" t="s">
        <v>110</v>
      </c>
      <c r="C26" s="15" t="s">
        <v>137</v>
      </c>
      <c r="D26" s="15" t="s">
        <v>138</v>
      </c>
    </row>
    <row r="27" spans="1:4" ht="30" x14ac:dyDescent="0.25">
      <c r="A27" s="14">
        <v>45474</v>
      </c>
      <c r="B27" s="15" t="s">
        <v>110</v>
      </c>
      <c r="C27" s="15" t="s">
        <v>115</v>
      </c>
      <c r="D27" s="15" t="s">
        <v>130</v>
      </c>
    </row>
    <row r="28" spans="1:4" ht="45" x14ac:dyDescent="0.25">
      <c r="A28" s="14">
        <v>45477</v>
      </c>
      <c r="B28" s="15" t="s">
        <v>110</v>
      </c>
      <c r="C28" s="15" t="s">
        <v>135</v>
      </c>
      <c r="D28" s="15" t="s">
        <v>139</v>
      </c>
    </row>
    <row r="29" spans="1:4" ht="45" x14ac:dyDescent="0.25">
      <c r="A29" s="14">
        <v>45482</v>
      </c>
      <c r="B29" s="15" t="s">
        <v>110</v>
      </c>
      <c r="C29" s="15" t="s">
        <v>140</v>
      </c>
      <c r="D29" s="15" t="s">
        <v>141</v>
      </c>
    </row>
    <row r="30" spans="1:4" ht="45" x14ac:dyDescent="0.25">
      <c r="A30" s="14">
        <v>45483</v>
      </c>
      <c r="B30" s="15" t="s">
        <v>110</v>
      </c>
      <c r="C30" s="15" t="s">
        <v>142</v>
      </c>
      <c r="D30" s="15" t="s">
        <v>143</v>
      </c>
    </row>
    <row r="31" spans="1:4" ht="30" x14ac:dyDescent="0.25">
      <c r="A31" s="14">
        <v>45487</v>
      </c>
      <c r="B31" s="15" t="s">
        <v>110</v>
      </c>
      <c r="C31" s="15" t="s">
        <v>115</v>
      </c>
      <c r="D31" s="15" t="s">
        <v>130</v>
      </c>
    </row>
    <row r="32" spans="1:4" ht="45" x14ac:dyDescent="0.25">
      <c r="A32" s="14">
        <v>45488</v>
      </c>
      <c r="B32" s="15" t="s">
        <v>110</v>
      </c>
      <c r="C32" s="15" t="s">
        <v>135</v>
      </c>
      <c r="D32" s="15" t="s">
        <v>144</v>
      </c>
    </row>
    <row r="33" spans="1:4" x14ac:dyDescent="0.25">
      <c r="A33" s="14">
        <v>45491</v>
      </c>
      <c r="B33" s="15" t="s">
        <v>110</v>
      </c>
      <c r="C33" s="15" t="s">
        <v>145</v>
      </c>
      <c r="D33" s="15" t="s">
        <v>146</v>
      </c>
    </row>
    <row r="34" spans="1:4" ht="45" x14ac:dyDescent="0.25">
      <c r="A34" s="14">
        <v>45495</v>
      </c>
      <c r="B34" s="15" t="s">
        <v>110</v>
      </c>
      <c r="C34" s="15" t="s">
        <v>137</v>
      </c>
      <c r="D34" s="15" t="s">
        <v>147</v>
      </c>
    </row>
    <row r="35" spans="1:4" ht="45" x14ac:dyDescent="0.25">
      <c r="A35" s="14">
        <v>45499</v>
      </c>
      <c r="B35" s="15" t="s">
        <v>110</v>
      </c>
      <c r="C35" s="15" t="s">
        <v>135</v>
      </c>
      <c r="D35" s="15" t="s">
        <v>148</v>
      </c>
    </row>
    <row r="36" spans="1:4" ht="37.5" customHeight="1" x14ac:dyDescent="0.25">
      <c r="A36" s="39">
        <v>45499</v>
      </c>
      <c r="B36" s="40" t="s">
        <v>149</v>
      </c>
      <c r="C36" s="117" t="s">
        <v>150</v>
      </c>
      <c r="D36" s="36" t="s">
        <v>151</v>
      </c>
    </row>
    <row r="37" spans="1:4" ht="30" x14ac:dyDescent="0.25">
      <c r="A37" s="14">
        <v>45502</v>
      </c>
      <c r="B37" s="15" t="s">
        <v>110</v>
      </c>
      <c r="C37" s="15" t="s">
        <v>115</v>
      </c>
      <c r="D37" s="15" t="s">
        <v>130</v>
      </c>
    </row>
    <row r="38" spans="1:4" ht="60" x14ac:dyDescent="0.25">
      <c r="A38" s="14">
        <v>45510</v>
      </c>
      <c r="B38" s="15" t="s">
        <v>152</v>
      </c>
      <c r="C38" s="15" t="s">
        <v>153</v>
      </c>
      <c r="D38" s="15" t="s">
        <v>154</v>
      </c>
    </row>
    <row r="39" spans="1:4" ht="60" x14ac:dyDescent="0.25">
      <c r="A39" s="14">
        <v>45511</v>
      </c>
      <c r="B39" s="15" t="s">
        <v>110</v>
      </c>
      <c r="C39" s="15" t="s">
        <v>155</v>
      </c>
      <c r="D39" s="15" t="s">
        <v>156</v>
      </c>
    </row>
    <row r="40" spans="1:4" ht="60" x14ac:dyDescent="0.25">
      <c r="A40" s="14">
        <v>45512</v>
      </c>
      <c r="B40" s="15" t="s">
        <v>110</v>
      </c>
      <c r="C40" s="15" t="s">
        <v>155</v>
      </c>
      <c r="D40" s="15" t="s">
        <v>157</v>
      </c>
    </row>
    <row r="41" spans="1:4" ht="45" x14ac:dyDescent="0.25">
      <c r="A41" s="14">
        <v>45513</v>
      </c>
      <c r="B41" s="15" t="s">
        <v>158</v>
      </c>
      <c r="C41" s="15" t="s">
        <v>137</v>
      </c>
      <c r="D41" s="15" t="s">
        <v>159</v>
      </c>
    </row>
    <row r="42" spans="1:4" ht="60" x14ac:dyDescent="0.25">
      <c r="A42" s="14">
        <v>45513</v>
      </c>
      <c r="B42" s="15" t="s">
        <v>110</v>
      </c>
      <c r="C42" s="15" t="s">
        <v>160</v>
      </c>
      <c r="D42" s="15" t="s">
        <v>161</v>
      </c>
    </row>
    <row r="43" spans="1:4" ht="45" x14ac:dyDescent="0.25">
      <c r="A43" s="14">
        <v>45513</v>
      </c>
      <c r="B43" s="15" t="s">
        <v>110</v>
      </c>
      <c r="C43" s="15" t="s">
        <v>135</v>
      </c>
      <c r="D43" s="15" t="s">
        <v>162</v>
      </c>
    </row>
    <row r="44" spans="1:4" ht="30" x14ac:dyDescent="0.25">
      <c r="A44" s="14">
        <v>45513</v>
      </c>
      <c r="B44" s="15" t="s">
        <v>110</v>
      </c>
      <c r="C44" s="15" t="s">
        <v>115</v>
      </c>
      <c r="D44" s="15" t="s">
        <v>130</v>
      </c>
    </row>
    <row r="45" spans="1:4" ht="90" x14ac:dyDescent="0.25">
      <c r="A45" s="14">
        <v>45515</v>
      </c>
      <c r="B45" s="15" t="s">
        <v>110</v>
      </c>
      <c r="C45" s="15" t="s">
        <v>163</v>
      </c>
      <c r="D45" s="15" t="s">
        <v>164</v>
      </c>
    </row>
    <row r="46" spans="1:4" ht="45" x14ac:dyDescent="0.25">
      <c r="A46" s="14">
        <v>45522</v>
      </c>
      <c r="B46" s="15" t="s">
        <v>110</v>
      </c>
      <c r="C46" s="15" t="s">
        <v>137</v>
      </c>
      <c r="D46" s="15" t="s">
        <v>159</v>
      </c>
    </row>
    <row r="47" spans="1:4" ht="45" x14ac:dyDescent="0.25">
      <c r="A47" s="14">
        <v>45523</v>
      </c>
      <c r="B47" s="15" t="s">
        <v>110</v>
      </c>
      <c r="C47" s="15" t="s">
        <v>135</v>
      </c>
      <c r="D47" s="15" t="s">
        <v>165</v>
      </c>
    </row>
    <row r="48" spans="1:4" ht="30" x14ac:dyDescent="0.25">
      <c r="A48" s="14">
        <v>45526</v>
      </c>
      <c r="B48" s="15" t="s">
        <v>110</v>
      </c>
      <c r="C48" s="15" t="s">
        <v>115</v>
      </c>
      <c r="D48" s="15" t="s">
        <v>130</v>
      </c>
    </row>
    <row r="49" spans="1:13" x14ac:dyDescent="0.25">
      <c r="A49" s="14">
        <v>45527</v>
      </c>
      <c r="B49" s="15" t="s">
        <v>126</v>
      </c>
      <c r="C49" s="15" t="s">
        <v>166</v>
      </c>
      <c r="D49" s="15" t="s">
        <v>167</v>
      </c>
    </row>
    <row r="50" spans="1:13" ht="30" x14ac:dyDescent="0.25">
      <c r="A50" s="14">
        <v>45529</v>
      </c>
      <c r="B50" s="15" t="s">
        <v>110</v>
      </c>
      <c r="C50" s="15" t="s">
        <v>168</v>
      </c>
      <c r="D50" s="15" t="s">
        <v>169</v>
      </c>
    </row>
    <row r="51" spans="1:13" ht="27" customHeight="1" x14ac:dyDescent="0.25">
      <c r="A51" s="14">
        <v>45530</v>
      </c>
      <c r="B51" s="15" t="s">
        <v>149</v>
      </c>
      <c r="C51" s="15" t="s">
        <v>170</v>
      </c>
      <c r="D51" s="15" t="s">
        <v>151</v>
      </c>
    </row>
    <row r="52" spans="1:13" ht="30" x14ac:dyDescent="0.25">
      <c r="A52" s="14">
        <v>45531</v>
      </c>
      <c r="B52" s="15" t="s">
        <v>171</v>
      </c>
      <c r="C52" s="15" t="s">
        <v>172</v>
      </c>
      <c r="D52" s="15" t="s">
        <v>173</v>
      </c>
    </row>
    <row r="53" spans="1:13" ht="45" x14ac:dyDescent="0.25">
      <c r="A53" s="14">
        <v>45532</v>
      </c>
      <c r="B53" s="15" t="s">
        <v>110</v>
      </c>
      <c r="C53" s="15" t="s">
        <v>137</v>
      </c>
      <c r="D53" s="15" t="s">
        <v>159</v>
      </c>
    </row>
    <row r="54" spans="1:13" ht="45" x14ac:dyDescent="0.25">
      <c r="A54" s="14">
        <v>45535</v>
      </c>
      <c r="B54" s="15" t="s">
        <v>110</v>
      </c>
      <c r="C54" s="15" t="s">
        <v>135</v>
      </c>
      <c r="D54" s="15" t="s">
        <v>174</v>
      </c>
    </row>
    <row r="55" spans="1:13" ht="105" x14ac:dyDescent="0.25">
      <c r="A55" s="39">
        <v>45541</v>
      </c>
      <c r="B55" s="40" t="s">
        <v>126</v>
      </c>
      <c r="C55" s="36" t="s">
        <v>175</v>
      </c>
      <c r="D55" s="36" t="s">
        <v>176</v>
      </c>
    </row>
    <row r="56" spans="1:13" ht="75" x14ac:dyDescent="0.25">
      <c r="A56" s="14">
        <v>45542</v>
      </c>
      <c r="B56" s="15" t="s">
        <v>110</v>
      </c>
      <c r="C56" s="15" t="s">
        <v>177</v>
      </c>
      <c r="D56" s="15" t="s">
        <v>178</v>
      </c>
    </row>
    <row r="57" spans="1:13" x14ac:dyDescent="0.25">
      <c r="A57" s="39">
        <v>45544</v>
      </c>
      <c r="B57" s="40" t="s">
        <v>179</v>
      </c>
      <c r="C57" s="36" t="s">
        <v>180</v>
      </c>
      <c r="D57" s="36" t="s">
        <v>181</v>
      </c>
    </row>
    <row r="58" spans="1:13" ht="30" x14ac:dyDescent="0.25">
      <c r="A58" s="39">
        <v>45548</v>
      </c>
      <c r="B58" s="40" t="s">
        <v>182</v>
      </c>
      <c r="C58" s="36" t="s">
        <v>183</v>
      </c>
      <c r="D58" s="36" t="s">
        <v>181</v>
      </c>
    </row>
    <row r="59" spans="1:13" x14ac:dyDescent="0.25">
      <c r="A59" s="14">
        <v>45550</v>
      </c>
      <c r="B59" s="15" t="s">
        <v>110</v>
      </c>
      <c r="C59" s="15" t="s">
        <v>119</v>
      </c>
      <c r="D59" s="15" t="s">
        <v>184</v>
      </c>
    </row>
    <row r="60" spans="1:13" ht="75" x14ac:dyDescent="0.25">
      <c r="A60" s="39">
        <v>45551</v>
      </c>
      <c r="B60" s="40" t="s">
        <v>179</v>
      </c>
      <c r="C60" s="36" t="s">
        <v>185</v>
      </c>
      <c r="D60" s="36" t="s">
        <v>181</v>
      </c>
    </row>
    <row r="61" spans="1:13" ht="60" x14ac:dyDescent="0.25">
      <c r="A61" s="14">
        <v>45559</v>
      </c>
      <c r="B61" s="15" t="s">
        <v>182</v>
      </c>
      <c r="C61" s="36" t="s">
        <v>186</v>
      </c>
      <c r="D61" s="15" t="s">
        <v>181</v>
      </c>
    </row>
    <row r="62" spans="1:13" ht="45" x14ac:dyDescent="0.25">
      <c r="A62" s="14">
        <v>45559</v>
      </c>
      <c r="B62" s="15" t="s">
        <v>187</v>
      </c>
      <c r="C62" s="15" t="s">
        <v>188</v>
      </c>
      <c r="D62" s="15" t="s">
        <v>189</v>
      </c>
    </row>
    <row r="63" spans="1:13" ht="30" x14ac:dyDescent="0.25">
      <c r="A63" s="14">
        <v>45559</v>
      </c>
      <c r="B63" s="15" t="s">
        <v>110</v>
      </c>
      <c r="C63" s="15" t="s">
        <v>115</v>
      </c>
      <c r="D63" s="15" t="s">
        <v>130</v>
      </c>
      <c r="J63" s="63"/>
      <c r="K63" s="63"/>
      <c r="L63" s="63"/>
      <c r="M63" s="80"/>
    </row>
    <row r="64" spans="1:13" x14ac:dyDescent="0.25">
      <c r="A64" s="14">
        <v>45559</v>
      </c>
      <c r="B64" s="15" t="s">
        <v>110</v>
      </c>
      <c r="C64" s="15" t="s">
        <v>119</v>
      </c>
      <c r="D64" s="15" t="s">
        <v>190</v>
      </c>
      <c r="J64" s="63"/>
      <c r="K64" s="63"/>
      <c r="L64" s="63"/>
    </row>
    <row r="65" spans="1:13" ht="60" x14ac:dyDescent="0.25">
      <c r="A65" s="14">
        <v>45560</v>
      </c>
      <c r="B65" s="15" t="s">
        <v>191</v>
      </c>
      <c r="C65" s="15" t="s">
        <v>192</v>
      </c>
      <c r="D65" s="15" t="s">
        <v>181</v>
      </c>
      <c r="J65" s="63"/>
      <c r="K65" s="63"/>
      <c r="L65" s="63"/>
      <c r="M65" s="80"/>
    </row>
    <row r="66" spans="1:13" ht="60" x14ac:dyDescent="0.25">
      <c r="A66" s="14">
        <v>45561</v>
      </c>
      <c r="B66" s="15" t="s">
        <v>126</v>
      </c>
      <c r="C66" s="15" t="s">
        <v>193</v>
      </c>
      <c r="D66" s="15" t="s">
        <v>181</v>
      </c>
      <c r="J66" s="63"/>
      <c r="K66" s="63"/>
      <c r="L66" s="63"/>
      <c r="M66" s="80"/>
    </row>
    <row r="67" spans="1:13" ht="75" x14ac:dyDescent="0.25">
      <c r="A67" s="14">
        <v>45563</v>
      </c>
      <c r="B67" s="15" t="s">
        <v>110</v>
      </c>
      <c r="C67" s="15" t="s">
        <v>194</v>
      </c>
      <c r="D67" s="15" t="s">
        <v>195</v>
      </c>
      <c r="J67" s="63"/>
      <c r="K67" s="63"/>
      <c r="L67" s="63"/>
      <c r="M67" s="80"/>
    </row>
    <row r="68" spans="1:13" ht="60" x14ac:dyDescent="0.25">
      <c r="A68" s="80">
        <v>45566</v>
      </c>
      <c r="B68" s="15" t="s">
        <v>196</v>
      </c>
      <c r="C68" s="15" t="s">
        <v>197</v>
      </c>
      <c r="D68" s="15" t="s">
        <v>181</v>
      </c>
      <c r="J68" s="63"/>
      <c r="K68" s="63"/>
      <c r="L68" s="63"/>
      <c r="M68" s="80"/>
    </row>
    <row r="69" spans="1:13" ht="75" x14ac:dyDescent="0.25">
      <c r="A69" s="14">
        <v>45568</v>
      </c>
      <c r="B69" s="15" t="s">
        <v>196</v>
      </c>
      <c r="C69" s="15" t="s">
        <v>198</v>
      </c>
      <c r="D69" s="15" t="s">
        <v>181</v>
      </c>
      <c r="J69" s="63"/>
      <c r="K69" s="63"/>
      <c r="L69" s="63"/>
      <c r="M69" s="80"/>
    </row>
    <row r="70" spans="1:13" ht="30" x14ac:dyDescent="0.25">
      <c r="A70" s="14">
        <v>45571</v>
      </c>
      <c r="B70" s="15" t="s">
        <v>110</v>
      </c>
      <c r="C70" s="15" t="s">
        <v>115</v>
      </c>
      <c r="D70" s="15" t="s">
        <v>199</v>
      </c>
      <c r="J70" s="63"/>
      <c r="K70" s="63"/>
      <c r="L70" s="63"/>
      <c r="M70" s="80"/>
    </row>
    <row r="71" spans="1:13" ht="105" x14ac:dyDescent="0.25">
      <c r="A71" s="14">
        <v>45573</v>
      </c>
      <c r="B71" s="15" t="s">
        <v>196</v>
      </c>
      <c r="C71" s="15" t="s">
        <v>200</v>
      </c>
      <c r="D71" s="15" t="s">
        <v>181</v>
      </c>
      <c r="J71" s="63"/>
      <c r="K71" s="63"/>
      <c r="L71" s="63"/>
      <c r="M71" s="80"/>
    </row>
    <row r="72" spans="1:13" x14ac:dyDescent="0.25">
      <c r="A72" s="14">
        <v>45582</v>
      </c>
      <c r="B72" s="15" t="s">
        <v>110</v>
      </c>
      <c r="C72" s="15" t="s">
        <v>115</v>
      </c>
      <c r="D72" s="15" t="s">
        <v>201</v>
      </c>
      <c r="J72" s="63"/>
      <c r="K72" s="63"/>
      <c r="L72" s="63"/>
      <c r="M72" s="80"/>
    </row>
    <row r="73" spans="1:13" ht="30" x14ac:dyDescent="0.25">
      <c r="A73" s="14">
        <v>45594</v>
      </c>
      <c r="B73" s="15" t="s">
        <v>110</v>
      </c>
      <c r="C73" s="15" t="s">
        <v>115</v>
      </c>
      <c r="D73" s="15" t="s">
        <v>202</v>
      </c>
      <c r="J73" s="63"/>
      <c r="K73" s="63"/>
      <c r="L73" s="63"/>
      <c r="M73" s="80"/>
    </row>
    <row r="74" spans="1:13" ht="30" x14ac:dyDescent="0.25">
      <c r="A74" s="14">
        <v>45609</v>
      </c>
      <c r="B74" s="15" t="s">
        <v>110</v>
      </c>
      <c r="C74" s="15" t="s">
        <v>115</v>
      </c>
      <c r="D74" s="15" t="s">
        <v>203</v>
      </c>
      <c r="J74" s="63"/>
      <c r="K74" s="63"/>
      <c r="L74" s="63"/>
      <c r="M74" s="80"/>
    </row>
    <row r="75" spans="1:13" ht="30" x14ac:dyDescent="0.25">
      <c r="A75" s="14">
        <v>45610</v>
      </c>
      <c r="B75" s="15" t="s">
        <v>204</v>
      </c>
      <c r="C75" s="121" t="s">
        <v>205</v>
      </c>
      <c r="D75" s="36" t="s">
        <v>206</v>
      </c>
      <c r="J75" s="63"/>
      <c r="K75" s="63"/>
      <c r="L75" s="63"/>
      <c r="M75" s="80"/>
    </row>
    <row r="76" spans="1:13" ht="30" x14ac:dyDescent="0.25">
      <c r="A76" s="14">
        <v>45638</v>
      </c>
      <c r="B76" s="15" t="s">
        <v>574</v>
      </c>
      <c r="C76" s="15" t="s">
        <v>575</v>
      </c>
      <c r="D76" s="116" t="s">
        <v>576</v>
      </c>
      <c r="J76" s="63"/>
      <c r="K76" s="63"/>
      <c r="L76" s="63"/>
      <c r="M76" s="80"/>
    </row>
    <row r="77" spans="1:13" ht="45" x14ac:dyDescent="0.25">
      <c r="A77" s="14">
        <v>45639</v>
      </c>
      <c r="B77" s="15" t="s">
        <v>572</v>
      </c>
      <c r="C77" s="15" t="s">
        <v>573</v>
      </c>
      <c r="D77" s="115" t="s">
        <v>578</v>
      </c>
      <c r="J77" s="63"/>
      <c r="K77" s="63"/>
      <c r="L77" s="63"/>
      <c r="M77" s="80"/>
    </row>
    <row r="78" spans="1:13" x14ac:dyDescent="0.25">
      <c r="J78" s="63"/>
      <c r="K78" s="63"/>
      <c r="L78" s="63"/>
      <c r="M78" s="80"/>
    </row>
    <row r="79" spans="1:13" x14ac:dyDescent="0.25">
      <c r="J79" s="63"/>
      <c r="K79" s="63"/>
      <c r="L79" s="63"/>
      <c r="M79" s="80"/>
    </row>
    <row r="80" spans="1:13" x14ac:dyDescent="0.25">
      <c r="J80" s="63"/>
      <c r="K80" s="63"/>
      <c r="L80" s="63"/>
      <c r="M80" s="80"/>
    </row>
    <row r="81" spans="10:13" x14ac:dyDescent="0.25">
      <c r="J81" s="63"/>
      <c r="K81" s="63"/>
      <c r="L81" s="63"/>
      <c r="M81" s="80"/>
    </row>
    <row r="82" spans="10:13" x14ac:dyDescent="0.25">
      <c r="J82" s="63"/>
      <c r="K82" s="63"/>
      <c r="L82" s="63"/>
      <c r="M82" s="80"/>
    </row>
    <row r="83" spans="10:13" x14ac:dyDescent="0.25">
      <c r="J83" s="63"/>
      <c r="K83" s="63"/>
      <c r="L83" s="63"/>
      <c r="M83" s="80"/>
    </row>
    <row r="84" spans="10:13" x14ac:dyDescent="0.25">
      <c r="J84" s="63"/>
      <c r="K84" s="63"/>
      <c r="L84" s="63"/>
      <c r="M84" s="80"/>
    </row>
    <row r="85" spans="10:13" x14ac:dyDescent="0.25">
      <c r="J85" s="63"/>
      <c r="K85" s="63"/>
      <c r="L85" s="63"/>
      <c r="M85" s="80"/>
    </row>
    <row r="86" spans="10:13" x14ac:dyDescent="0.25">
      <c r="J86" s="63"/>
      <c r="K86" s="63"/>
      <c r="L86" s="63"/>
      <c r="M86" s="80"/>
    </row>
    <row r="87" spans="10:13" x14ac:dyDescent="0.25">
      <c r="J87" s="63"/>
      <c r="K87" s="63"/>
      <c r="L87" s="63"/>
      <c r="M87" s="80"/>
    </row>
    <row r="88" spans="10:13" x14ac:dyDescent="0.25">
      <c r="J88" s="63"/>
      <c r="K88" s="63"/>
      <c r="L88" s="63"/>
      <c r="M88" s="80"/>
    </row>
    <row r="89" spans="10:13" x14ac:dyDescent="0.25">
      <c r="J89" s="63"/>
      <c r="K89" s="63"/>
      <c r="L89" s="63"/>
      <c r="M89" s="80"/>
    </row>
    <row r="90" spans="10:13" x14ac:dyDescent="0.25">
      <c r="J90" s="63"/>
      <c r="K90" s="63"/>
      <c r="L90" s="63"/>
      <c r="M90" s="80"/>
    </row>
    <row r="91" spans="10:13" x14ac:dyDescent="0.25">
      <c r="J91" s="63"/>
      <c r="K91" s="63"/>
      <c r="L91" s="63"/>
      <c r="M91" s="80"/>
    </row>
    <row r="92" spans="10:13" x14ac:dyDescent="0.25">
      <c r="J92" s="63"/>
      <c r="K92" s="63"/>
      <c r="L92" s="63"/>
      <c r="M92" s="80"/>
    </row>
    <row r="93" spans="10:13" x14ac:dyDescent="0.25">
      <c r="J93" s="63"/>
      <c r="K93" s="63"/>
      <c r="L93" s="63"/>
      <c r="M93" s="80"/>
    </row>
    <row r="94" spans="10:13" x14ac:dyDescent="0.25">
      <c r="J94" s="63"/>
      <c r="K94" s="63"/>
      <c r="L94" s="63"/>
      <c r="M94" s="80"/>
    </row>
    <row r="95" spans="10:13" x14ac:dyDescent="0.25">
      <c r="J95" s="63"/>
      <c r="K95" s="63"/>
      <c r="L95" s="63"/>
      <c r="M95" s="80"/>
    </row>
  </sheetData>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85DB-E24A-4CDA-9044-877B1A3704B4}">
  <dimension ref="A1:E18"/>
  <sheetViews>
    <sheetView topLeftCell="A16" workbookViewId="0">
      <selection activeCell="B10" sqref="B10"/>
    </sheetView>
  </sheetViews>
  <sheetFormatPr defaultRowHeight="15" x14ac:dyDescent="0.25"/>
  <cols>
    <col min="1" max="1" width="16.28515625" style="36" customWidth="1"/>
    <col min="2" max="2" width="61.42578125" style="36" customWidth="1"/>
    <col min="3" max="3" width="14.5703125" style="36" customWidth="1"/>
    <col min="4" max="4" width="16.42578125" style="36" customWidth="1"/>
    <col min="5" max="5" width="21.5703125" style="36" customWidth="1"/>
  </cols>
  <sheetData>
    <row r="1" spans="1:5" ht="45" x14ac:dyDescent="0.25">
      <c r="A1" s="37" t="s">
        <v>207</v>
      </c>
      <c r="B1" s="37" t="s">
        <v>208</v>
      </c>
      <c r="C1" s="37" t="s">
        <v>209</v>
      </c>
      <c r="D1" s="37" t="s">
        <v>210</v>
      </c>
      <c r="E1" s="37" t="s">
        <v>211</v>
      </c>
    </row>
    <row r="2" spans="1:5" ht="165" x14ac:dyDescent="0.25">
      <c r="A2" s="36" t="s">
        <v>212</v>
      </c>
      <c r="B2" s="36" t="s">
        <v>213</v>
      </c>
      <c r="C2" s="36" t="s">
        <v>214</v>
      </c>
      <c r="D2" s="36" t="s">
        <v>215</v>
      </c>
      <c r="E2" s="36" t="s">
        <v>216</v>
      </c>
    </row>
    <row r="3" spans="1:5" ht="240" x14ac:dyDescent="0.25">
      <c r="A3" s="36" t="s">
        <v>217</v>
      </c>
      <c r="B3" s="36" t="s">
        <v>218</v>
      </c>
      <c r="C3" s="36" t="s">
        <v>219</v>
      </c>
      <c r="D3" s="36" t="s">
        <v>220</v>
      </c>
      <c r="E3" s="36" t="s">
        <v>221</v>
      </c>
    </row>
    <row r="4" spans="1:5" ht="90" x14ac:dyDescent="0.25">
      <c r="A4" s="36" t="s">
        <v>222</v>
      </c>
      <c r="B4" s="36" t="s">
        <v>223</v>
      </c>
      <c r="D4" s="36" t="s">
        <v>224</v>
      </c>
      <c r="E4" s="36" t="s">
        <v>221</v>
      </c>
    </row>
    <row r="5" spans="1:5" ht="60" x14ac:dyDescent="0.25">
      <c r="A5" s="36" t="s">
        <v>225</v>
      </c>
      <c r="B5" s="36" t="s">
        <v>226</v>
      </c>
      <c r="C5" s="36" t="s">
        <v>227</v>
      </c>
      <c r="D5" s="36" t="s">
        <v>228</v>
      </c>
      <c r="E5" s="36" t="s">
        <v>229</v>
      </c>
    </row>
    <row r="6" spans="1:5" ht="120" x14ac:dyDescent="0.25">
      <c r="A6" s="36" t="s">
        <v>230</v>
      </c>
      <c r="B6" s="36" t="s">
        <v>231</v>
      </c>
      <c r="C6" s="36" t="s">
        <v>232</v>
      </c>
      <c r="D6" s="36" t="s">
        <v>233</v>
      </c>
      <c r="E6" s="36" t="s">
        <v>234</v>
      </c>
    </row>
    <row r="7" spans="1:5" ht="45" x14ac:dyDescent="0.25">
      <c r="A7" s="36" t="s">
        <v>235</v>
      </c>
      <c r="B7" s="36" t="s">
        <v>236</v>
      </c>
      <c r="C7" s="36" t="s">
        <v>237</v>
      </c>
      <c r="D7" s="36" t="s">
        <v>238</v>
      </c>
      <c r="E7" s="36" t="s">
        <v>239</v>
      </c>
    </row>
    <row r="8" spans="1:5" ht="60" x14ac:dyDescent="0.25">
      <c r="A8" s="36" t="s">
        <v>240</v>
      </c>
      <c r="B8" s="36" t="s">
        <v>241</v>
      </c>
      <c r="C8" s="36" t="s">
        <v>227</v>
      </c>
      <c r="D8" s="36" t="s">
        <v>242</v>
      </c>
      <c r="E8" s="36" t="s">
        <v>243</v>
      </c>
    </row>
    <row r="9" spans="1:5" ht="75" x14ac:dyDescent="0.25">
      <c r="A9" s="36" t="s">
        <v>244</v>
      </c>
      <c r="B9" s="36" t="s">
        <v>245</v>
      </c>
      <c r="C9" s="36" t="s">
        <v>246</v>
      </c>
      <c r="D9" s="36" t="s">
        <v>247</v>
      </c>
      <c r="E9" s="36" t="s">
        <v>248</v>
      </c>
    </row>
    <row r="10" spans="1:5" ht="150" x14ac:dyDescent="0.25">
      <c r="A10" s="36" t="s">
        <v>249</v>
      </c>
      <c r="B10" s="36" t="s">
        <v>250</v>
      </c>
      <c r="C10" s="36" t="s">
        <v>251</v>
      </c>
      <c r="D10" s="36" t="s">
        <v>252</v>
      </c>
      <c r="E10" s="36" t="s">
        <v>253</v>
      </c>
    </row>
    <row r="11" spans="1:5" ht="150" x14ac:dyDescent="0.25">
      <c r="A11" s="36" t="s">
        <v>254</v>
      </c>
      <c r="B11" s="36" t="s">
        <v>255</v>
      </c>
      <c r="C11" s="36" t="s">
        <v>256</v>
      </c>
      <c r="D11" s="36" t="s">
        <v>252</v>
      </c>
      <c r="E11" s="36" t="s">
        <v>257</v>
      </c>
    </row>
    <row r="12" spans="1:5" ht="255" x14ac:dyDescent="0.25">
      <c r="A12" s="36" t="s">
        <v>258</v>
      </c>
      <c r="B12" s="36" t="s">
        <v>259</v>
      </c>
      <c r="C12" s="36" t="s">
        <v>260</v>
      </c>
      <c r="D12" s="36" t="s">
        <v>261</v>
      </c>
      <c r="E12" s="36" t="s">
        <v>262</v>
      </c>
    </row>
    <row r="13" spans="1:5" ht="60" x14ac:dyDescent="0.25">
      <c r="A13" s="36" t="s">
        <v>263</v>
      </c>
      <c r="B13" s="36" t="s">
        <v>264</v>
      </c>
      <c r="C13" s="36" t="s">
        <v>260</v>
      </c>
      <c r="D13" s="36" t="s">
        <v>265</v>
      </c>
      <c r="E13" s="36" t="s">
        <v>262</v>
      </c>
    </row>
    <row r="15" spans="1:5" ht="270" x14ac:dyDescent="0.25">
      <c r="A15" s="36" t="s">
        <v>266</v>
      </c>
      <c r="B15" s="36" t="s">
        <v>267</v>
      </c>
      <c r="C15" s="36" t="s">
        <v>268</v>
      </c>
      <c r="D15" s="36" t="s">
        <v>261</v>
      </c>
      <c r="E15" s="36" t="s">
        <v>269</v>
      </c>
    </row>
    <row r="16" spans="1:5" ht="150" x14ac:dyDescent="0.25">
      <c r="A16" s="36" t="s">
        <v>270</v>
      </c>
      <c r="B16" s="36" t="s">
        <v>271</v>
      </c>
      <c r="C16" s="36" t="s">
        <v>272</v>
      </c>
      <c r="D16" s="36" t="s">
        <v>261</v>
      </c>
      <c r="E16" s="36" t="s">
        <v>273</v>
      </c>
    </row>
    <row r="17" spans="1:5" ht="90" x14ac:dyDescent="0.25">
      <c r="A17" s="36" t="s">
        <v>274</v>
      </c>
      <c r="B17" s="36" t="s">
        <v>275</v>
      </c>
      <c r="C17" s="36" t="s">
        <v>272</v>
      </c>
      <c r="D17" s="36" t="s">
        <v>276</v>
      </c>
      <c r="E17" s="36" t="s">
        <v>273</v>
      </c>
    </row>
    <row r="18" spans="1:5" ht="75" x14ac:dyDescent="0.25">
      <c r="A18" s="36" t="s">
        <v>277</v>
      </c>
      <c r="B18" s="36" t="s">
        <v>278</v>
      </c>
      <c r="C18" s="36" t="s">
        <v>279</v>
      </c>
      <c r="D18" s="36" t="s">
        <v>276</v>
      </c>
      <c r="E18" s="36" t="s">
        <v>280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37FAF-0AB8-4F21-A78C-9DC4283784B2}">
  <dimension ref="A1:X161"/>
  <sheetViews>
    <sheetView topLeftCell="A34" workbookViewId="0"/>
  </sheetViews>
  <sheetFormatPr defaultRowHeight="15" x14ac:dyDescent="0.25"/>
  <cols>
    <col min="1" max="1" width="8.42578125" style="4" customWidth="1"/>
    <col min="2" max="2" width="5.5703125" style="4" customWidth="1"/>
    <col min="3" max="3" width="6.7109375" style="4" customWidth="1"/>
    <col min="4" max="4" width="7" style="4" customWidth="1"/>
    <col min="5" max="5" width="6.5703125" style="4" customWidth="1"/>
    <col min="6" max="6" width="11.42578125" style="4" customWidth="1"/>
    <col min="7" max="7" width="13.42578125" customWidth="1"/>
    <col min="8" max="8" width="6.42578125" style="4" customWidth="1"/>
    <col min="9" max="9" width="13.42578125" customWidth="1"/>
    <col min="10" max="10" width="12.5703125" customWidth="1"/>
    <col min="11" max="11" width="8.42578125" style="4" customWidth="1"/>
    <col min="15" max="15" width="43.42578125" bestFit="1" customWidth="1"/>
    <col min="16" max="16" width="16.42578125" bestFit="1" customWidth="1"/>
    <col min="17" max="17" width="10.5703125" bestFit="1" customWidth="1"/>
    <col min="18" max="19" width="9.5703125" bestFit="1" customWidth="1"/>
    <col min="20" max="23" width="10.5703125" bestFit="1" customWidth="1"/>
    <col min="24" max="24" width="9.5703125" bestFit="1" customWidth="1"/>
    <col min="25" max="26" width="12" bestFit="1" customWidth="1"/>
    <col min="27" max="27" width="10.5703125" bestFit="1" customWidth="1"/>
    <col min="28" max="29" width="9.5703125" bestFit="1" customWidth="1"/>
    <col min="30" max="33" width="10.5703125" bestFit="1" customWidth="1"/>
    <col min="34" max="34" width="9.5703125" bestFit="1" customWidth="1"/>
    <col min="35" max="35" width="7.42578125" bestFit="1" customWidth="1"/>
    <col min="36" max="36" width="18.7109375" bestFit="1" customWidth="1"/>
    <col min="37" max="37" width="44.7109375" bestFit="1" customWidth="1"/>
  </cols>
  <sheetData>
    <row r="1" spans="1:24" s="15" customFormat="1" ht="90" x14ac:dyDescent="0.25">
      <c r="A1" s="10" t="s">
        <v>23</v>
      </c>
      <c r="B1" s="10" t="s">
        <v>24</v>
      </c>
      <c r="C1" s="10" t="s">
        <v>281</v>
      </c>
      <c r="D1" s="10" t="s">
        <v>282</v>
      </c>
      <c r="E1" s="10" t="s">
        <v>77</v>
      </c>
      <c r="F1" s="10" t="s">
        <v>21</v>
      </c>
      <c r="G1" s="6" t="s">
        <v>22</v>
      </c>
      <c r="H1" s="10" t="s">
        <v>76</v>
      </c>
      <c r="I1" s="10" t="s">
        <v>283</v>
      </c>
      <c r="J1" s="10" t="s">
        <v>284</v>
      </c>
      <c r="K1" s="10" t="s">
        <v>285</v>
      </c>
      <c r="L1" s="45" t="s">
        <v>286</v>
      </c>
      <c r="M1" s="45" t="s">
        <v>287</v>
      </c>
    </row>
    <row r="2" spans="1:24" x14ac:dyDescent="0.25">
      <c r="A2" s="4">
        <v>1</v>
      </c>
      <c r="B2" s="4">
        <v>1</v>
      </c>
      <c r="C2" s="4">
        <v>1</v>
      </c>
      <c r="D2" s="4">
        <v>1</v>
      </c>
      <c r="E2" s="4">
        <v>1</v>
      </c>
      <c r="F2" s="4" t="s">
        <v>25</v>
      </c>
      <c r="G2" t="s">
        <v>26</v>
      </c>
      <c r="H2" s="4">
        <v>101</v>
      </c>
      <c r="I2" s="4">
        <v>1</v>
      </c>
      <c r="J2" s="38">
        <v>45407</v>
      </c>
      <c r="K2" s="4">
        <v>12</v>
      </c>
      <c r="L2" t="s">
        <v>288</v>
      </c>
    </row>
    <row r="3" spans="1:24" x14ac:dyDescent="0.25">
      <c r="A3" s="4">
        <v>2</v>
      </c>
      <c r="B3" s="4">
        <v>1</v>
      </c>
      <c r="C3" s="4">
        <v>1</v>
      </c>
      <c r="D3" s="4">
        <v>2</v>
      </c>
      <c r="E3" s="4">
        <v>16</v>
      </c>
      <c r="F3" s="4" t="s">
        <v>25</v>
      </c>
      <c r="G3" t="s">
        <v>27</v>
      </c>
      <c r="H3" s="4">
        <v>201</v>
      </c>
      <c r="I3" s="4">
        <v>1</v>
      </c>
      <c r="J3" s="38">
        <v>45407</v>
      </c>
      <c r="K3" s="4">
        <v>9</v>
      </c>
      <c r="L3" t="s">
        <v>288</v>
      </c>
      <c r="O3" s="46" t="s">
        <v>289</v>
      </c>
      <c r="P3" s="46" t="s">
        <v>290</v>
      </c>
    </row>
    <row r="4" spans="1:24" x14ac:dyDescent="0.25">
      <c r="A4" s="4">
        <v>3</v>
      </c>
      <c r="B4" s="4">
        <v>1</v>
      </c>
      <c r="C4" s="4">
        <v>1</v>
      </c>
      <c r="D4" s="4">
        <v>3</v>
      </c>
      <c r="E4" s="4">
        <v>17</v>
      </c>
      <c r="F4" s="4" t="s">
        <v>25</v>
      </c>
      <c r="G4" t="s">
        <v>28</v>
      </c>
      <c r="H4" s="4">
        <v>301</v>
      </c>
      <c r="I4" s="4">
        <v>1</v>
      </c>
      <c r="J4" s="38">
        <v>45407</v>
      </c>
      <c r="K4" s="4">
        <v>14</v>
      </c>
      <c r="L4" t="s">
        <v>288</v>
      </c>
      <c r="O4" s="46" t="s">
        <v>291</v>
      </c>
      <c r="P4" s="38">
        <v>45407</v>
      </c>
      <c r="Q4" s="38">
        <v>45412</v>
      </c>
      <c r="R4" s="38">
        <v>45418</v>
      </c>
      <c r="S4" s="38">
        <v>45420</v>
      </c>
      <c r="T4" s="38">
        <v>45427</v>
      </c>
      <c r="U4" s="38">
        <v>45436</v>
      </c>
      <c r="V4" s="38">
        <v>45441</v>
      </c>
      <c r="W4" s="38">
        <v>45443</v>
      </c>
      <c r="X4" s="38">
        <v>45447</v>
      </c>
    </row>
    <row r="5" spans="1:24" x14ac:dyDescent="0.25">
      <c r="A5" s="4">
        <v>4</v>
      </c>
      <c r="B5" s="4">
        <v>1</v>
      </c>
      <c r="C5" s="4">
        <v>1</v>
      </c>
      <c r="D5" s="4">
        <v>4</v>
      </c>
      <c r="E5" s="4">
        <v>32</v>
      </c>
      <c r="F5" s="4" t="s">
        <v>25</v>
      </c>
      <c r="G5" t="s">
        <v>29</v>
      </c>
      <c r="H5" s="4">
        <v>401</v>
      </c>
      <c r="I5" s="4">
        <v>1</v>
      </c>
      <c r="J5" s="38">
        <v>45407</v>
      </c>
      <c r="K5" s="4">
        <v>7</v>
      </c>
      <c r="L5" t="s">
        <v>292</v>
      </c>
      <c r="O5" s="52" t="s">
        <v>26</v>
      </c>
      <c r="P5">
        <v>9.25</v>
      </c>
      <c r="Q5">
        <v>29.5</v>
      </c>
      <c r="R5">
        <v>34.75</v>
      </c>
      <c r="S5">
        <v>36.5</v>
      </c>
      <c r="T5">
        <v>38.5</v>
      </c>
    </row>
    <row r="6" spans="1:24" x14ac:dyDescent="0.25">
      <c r="A6" s="4">
        <v>4</v>
      </c>
      <c r="B6" s="4">
        <v>2</v>
      </c>
      <c r="C6" s="4">
        <v>1</v>
      </c>
      <c r="D6" s="4">
        <v>5</v>
      </c>
      <c r="E6" s="4">
        <v>31</v>
      </c>
      <c r="F6" s="4" t="s">
        <v>30</v>
      </c>
      <c r="G6" t="s">
        <v>32</v>
      </c>
      <c r="H6" s="4">
        <v>402</v>
      </c>
      <c r="I6" s="4">
        <v>1</v>
      </c>
      <c r="J6" s="38">
        <v>45436</v>
      </c>
      <c r="K6" s="4">
        <v>1</v>
      </c>
      <c r="O6" s="53">
        <v>1</v>
      </c>
      <c r="P6">
        <v>12</v>
      </c>
      <c r="Q6">
        <v>37</v>
      </c>
      <c r="R6">
        <v>39</v>
      </c>
      <c r="S6">
        <v>45</v>
      </c>
      <c r="T6">
        <v>45</v>
      </c>
    </row>
    <row r="7" spans="1:24" x14ac:dyDescent="0.25">
      <c r="A7" s="4">
        <v>3</v>
      </c>
      <c r="B7" s="4">
        <v>2</v>
      </c>
      <c r="C7" s="4">
        <v>1</v>
      </c>
      <c r="D7" s="4">
        <v>6</v>
      </c>
      <c r="E7" s="4">
        <v>18</v>
      </c>
      <c r="F7" s="4" t="s">
        <v>30</v>
      </c>
      <c r="G7" t="s">
        <v>29</v>
      </c>
      <c r="H7" s="4">
        <v>302</v>
      </c>
      <c r="I7" s="4">
        <v>1</v>
      </c>
      <c r="J7" s="38">
        <v>45436</v>
      </c>
      <c r="K7" s="4">
        <v>0</v>
      </c>
      <c r="O7" s="53">
        <v>2</v>
      </c>
      <c r="P7">
        <v>4</v>
      </c>
      <c r="Q7">
        <v>21</v>
      </c>
      <c r="R7">
        <v>28</v>
      </c>
      <c r="S7">
        <v>28</v>
      </c>
      <c r="T7">
        <v>31</v>
      </c>
    </row>
    <row r="8" spans="1:24" x14ac:dyDescent="0.25">
      <c r="A8" s="4">
        <v>2</v>
      </c>
      <c r="B8" s="4">
        <v>2</v>
      </c>
      <c r="C8" s="4">
        <v>1</v>
      </c>
      <c r="D8" s="4">
        <v>7</v>
      </c>
      <c r="E8" s="4">
        <v>15</v>
      </c>
      <c r="F8" s="4" t="s">
        <v>30</v>
      </c>
      <c r="G8" t="s">
        <v>28</v>
      </c>
      <c r="H8" s="4">
        <v>202</v>
      </c>
      <c r="I8" s="4">
        <v>1</v>
      </c>
      <c r="J8" s="38">
        <v>45436</v>
      </c>
      <c r="K8" s="4">
        <v>1</v>
      </c>
      <c r="O8" s="53">
        <v>3</v>
      </c>
      <c r="P8">
        <v>11</v>
      </c>
      <c r="Q8">
        <v>29</v>
      </c>
      <c r="R8">
        <v>33</v>
      </c>
      <c r="S8">
        <v>34</v>
      </c>
      <c r="T8">
        <v>36</v>
      </c>
    </row>
    <row r="9" spans="1:24" x14ac:dyDescent="0.25">
      <c r="A9" s="4">
        <v>1</v>
      </c>
      <c r="B9" s="4">
        <v>2</v>
      </c>
      <c r="C9" s="4">
        <v>1</v>
      </c>
      <c r="D9" s="4">
        <v>8</v>
      </c>
      <c r="E9" s="4">
        <v>2</v>
      </c>
      <c r="F9" s="4" t="s">
        <v>30</v>
      </c>
      <c r="G9" t="s">
        <v>31</v>
      </c>
      <c r="H9" s="4">
        <v>102</v>
      </c>
      <c r="I9" s="4">
        <v>1</v>
      </c>
      <c r="J9" s="38">
        <v>45436</v>
      </c>
      <c r="K9" s="4">
        <v>0</v>
      </c>
      <c r="O9" s="53">
        <v>4</v>
      </c>
      <c r="P9">
        <v>10</v>
      </c>
      <c r="Q9">
        <v>31</v>
      </c>
      <c r="R9">
        <v>39</v>
      </c>
      <c r="S9">
        <v>39</v>
      </c>
      <c r="T9">
        <v>42</v>
      </c>
    </row>
    <row r="10" spans="1:24" x14ac:dyDescent="0.25">
      <c r="A10" s="4">
        <v>1</v>
      </c>
      <c r="B10" s="4">
        <v>3</v>
      </c>
      <c r="C10" s="4">
        <v>2</v>
      </c>
      <c r="D10" s="4">
        <v>9</v>
      </c>
      <c r="E10" s="4">
        <v>3</v>
      </c>
      <c r="F10" s="4" t="s">
        <v>25</v>
      </c>
      <c r="G10" t="s">
        <v>27</v>
      </c>
      <c r="H10" s="4">
        <v>103</v>
      </c>
      <c r="I10" s="4">
        <v>1</v>
      </c>
      <c r="J10" s="38">
        <v>45407</v>
      </c>
      <c r="K10" s="4">
        <v>10</v>
      </c>
      <c r="L10" t="s">
        <v>288</v>
      </c>
      <c r="O10" s="52" t="s">
        <v>27</v>
      </c>
      <c r="P10">
        <v>8.75</v>
      </c>
      <c r="Q10">
        <v>24</v>
      </c>
      <c r="R10">
        <v>29.5</v>
      </c>
      <c r="S10">
        <v>32.25</v>
      </c>
      <c r="T10">
        <v>35</v>
      </c>
    </row>
    <row r="11" spans="1:24" x14ac:dyDescent="0.25">
      <c r="A11" s="4">
        <v>2</v>
      </c>
      <c r="B11" s="4">
        <v>3</v>
      </c>
      <c r="C11" s="4">
        <v>2</v>
      </c>
      <c r="D11" s="4">
        <v>10</v>
      </c>
      <c r="E11" s="4">
        <v>14</v>
      </c>
      <c r="F11" s="4" t="s">
        <v>25</v>
      </c>
      <c r="G11" t="s">
        <v>29</v>
      </c>
      <c r="H11" s="4">
        <v>203</v>
      </c>
      <c r="I11" s="4">
        <v>1</v>
      </c>
      <c r="J11" s="38">
        <v>45407</v>
      </c>
      <c r="K11" s="4">
        <v>1</v>
      </c>
      <c r="L11" t="s">
        <v>288</v>
      </c>
      <c r="M11" t="s">
        <v>293</v>
      </c>
      <c r="O11" s="53">
        <v>1</v>
      </c>
      <c r="P11">
        <v>10</v>
      </c>
      <c r="Q11">
        <v>25</v>
      </c>
      <c r="R11">
        <v>30</v>
      </c>
      <c r="S11">
        <v>35</v>
      </c>
      <c r="T11">
        <v>38</v>
      </c>
    </row>
    <row r="12" spans="1:24" x14ac:dyDescent="0.25">
      <c r="A12" s="4">
        <v>3</v>
      </c>
      <c r="B12" s="4">
        <v>3</v>
      </c>
      <c r="C12" s="4">
        <v>2</v>
      </c>
      <c r="D12" s="4">
        <v>11</v>
      </c>
      <c r="E12" s="4">
        <v>19</v>
      </c>
      <c r="F12" s="4" t="s">
        <v>25</v>
      </c>
      <c r="G12" t="s">
        <v>26</v>
      </c>
      <c r="H12" s="4">
        <v>303</v>
      </c>
      <c r="I12" s="4">
        <v>1</v>
      </c>
      <c r="J12" s="38">
        <v>45407</v>
      </c>
      <c r="K12" s="4">
        <v>11</v>
      </c>
      <c r="L12" t="s">
        <v>288</v>
      </c>
      <c r="O12" s="53">
        <v>2</v>
      </c>
      <c r="P12">
        <v>9</v>
      </c>
      <c r="Q12">
        <v>30</v>
      </c>
      <c r="R12">
        <v>40</v>
      </c>
      <c r="S12">
        <v>41</v>
      </c>
      <c r="T12">
        <v>46</v>
      </c>
    </row>
    <row r="13" spans="1:24" x14ac:dyDescent="0.25">
      <c r="A13" s="4">
        <v>4</v>
      </c>
      <c r="B13" s="4">
        <v>3</v>
      </c>
      <c r="C13" s="4">
        <v>2</v>
      </c>
      <c r="D13" s="4">
        <v>12</v>
      </c>
      <c r="E13" s="4">
        <v>30</v>
      </c>
      <c r="F13" s="4" t="s">
        <v>25</v>
      </c>
      <c r="G13" t="s">
        <v>28</v>
      </c>
      <c r="H13" s="4">
        <v>403</v>
      </c>
      <c r="I13" s="4">
        <v>1</v>
      </c>
      <c r="J13" s="38">
        <v>45407</v>
      </c>
      <c r="K13" s="4">
        <v>11</v>
      </c>
      <c r="L13" t="s">
        <v>288</v>
      </c>
      <c r="O13" s="53">
        <v>3</v>
      </c>
      <c r="P13">
        <v>6</v>
      </c>
      <c r="Q13">
        <v>12</v>
      </c>
      <c r="R13">
        <v>19</v>
      </c>
      <c r="S13">
        <v>26</v>
      </c>
      <c r="T13">
        <v>26</v>
      </c>
    </row>
    <row r="14" spans="1:24" x14ac:dyDescent="0.25">
      <c r="A14" s="4">
        <v>4</v>
      </c>
      <c r="B14" s="4">
        <v>4</v>
      </c>
      <c r="C14" s="4">
        <v>2</v>
      </c>
      <c r="D14" s="4">
        <v>13</v>
      </c>
      <c r="E14" s="4">
        <v>29</v>
      </c>
      <c r="F14" s="4" t="s">
        <v>30</v>
      </c>
      <c r="G14" t="s">
        <v>29</v>
      </c>
      <c r="H14" s="4">
        <v>404</v>
      </c>
      <c r="I14" s="4">
        <v>1</v>
      </c>
      <c r="J14" s="38">
        <v>45436</v>
      </c>
      <c r="K14" s="4">
        <v>0</v>
      </c>
      <c r="O14" s="53">
        <v>4</v>
      </c>
      <c r="P14">
        <v>10</v>
      </c>
      <c r="Q14">
        <v>29</v>
      </c>
      <c r="R14">
        <v>29</v>
      </c>
      <c r="S14">
        <v>27</v>
      </c>
      <c r="T14">
        <v>30</v>
      </c>
    </row>
    <row r="15" spans="1:24" x14ac:dyDescent="0.25">
      <c r="A15" s="4">
        <v>3</v>
      </c>
      <c r="B15" s="4">
        <v>4</v>
      </c>
      <c r="C15" s="4">
        <v>2</v>
      </c>
      <c r="D15" s="4">
        <v>14</v>
      </c>
      <c r="E15" s="4">
        <v>20</v>
      </c>
      <c r="F15" s="4" t="s">
        <v>30</v>
      </c>
      <c r="G15" t="s">
        <v>31</v>
      </c>
      <c r="H15" s="4">
        <v>304</v>
      </c>
      <c r="I15" s="4">
        <v>1</v>
      </c>
      <c r="J15" s="38">
        <v>45436</v>
      </c>
      <c r="K15" s="4">
        <v>1</v>
      </c>
      <c r="O15" s="52" t="s">
        <v>32</v>
      </c>
      <c r="U15">
        <v>7.75</v>
      </c>
      <c r="V15">
        <v>30.75</v>
      </c>
      <c r="W15">
        <v>32.5</v>
      </c>
      <c r="X15">
        <v>31.75</v>
      </c>
    </row>
    <row r="16" spans="1:24" x14ac:dyDescent="0.25">
      <c r="A16" s="4">
        <v>2</v>
      </c>
      <c r="B16" s="4">
        <v>4</v>
      </c>
      <c r="C16" s="4">
        <v>2</v>
      </c>
      <c r="D16" s="4">
        <v>15</v>
      </c>
      <c r="E16" s="4">
        <v>13</v>
      </c>
      <c r="F16" s="4" t="s">
        <v>30</v>
      </c>
      <c r="G16" t="s">
        <v>32</v>
      </c>
      <c r="H16" s="4">
        <v>204</v>
      </c>
      <c r="I16" s="4">
        <v>1</v>
      </c>
      <c r="J16" s="38">
        <v>45436</v>
      </c>
      <c r="K16" s="4">
        <v>11</v>
      </c>
      <c r="O16" s="53">
        <v>1</v>
      </c>
      <c r="U16">
        <v>19</v>
      </c>
      <c r="V16">
        <v>30</v>
      </c>
      <c r="W16">
        <v>32</v>
      </c>
      <c r="X16">
        <v>31</v>
      </c>
    </row>
    <row r="17" spans="1:24" x14ac:dyDescent="0.25">
      <c r="A17" s="4">
        <v>1</v>
      </c>
      <c r="B17" s="4">
        <v>4</v>
      </c>
      <c r="C17" s="4">
        <v>2</v>
      </c>
      <c r="D17" s="4">
        <v>16</v>
      </c>
      <c r="E17" s="4">
        <v>4</v>
      </c>
      <c r="F17" s="4" t="s">
        <v>30</v>
      </c>
      <c r="G17" t="s">
        <v>28</v>
      </c>
      <c r="H17" s="4">
        <v>104</v>
      </c>
      <c r="I17" s="4">
        <v>1</v>
      </c>
      <c r="J17" s="38">
        <v>45436</v>
      </c>
      <c r="K17" s="4">
        <v>4</v>
      </c>
      <c r="O17" s="53">
        <v>2</v>
      </c>
      <c r="U17">
        <v>11</v>
      </c>
      <c r="V17">
        <v>31</v>
      </c>
      <c r="W17">
        <v>31</v>
      </c>
      <c r="X17">
        <v>30</v>
      </c>
    </row>
    <row r="18" spans="1:24" x14ac:dyDescent="0.25">
      <c r="A18" s="4">
        <v>1</v>
      </c>
      <c r="B18" s="4">
        <v>5</v>
      </c>
      <c r="C18" s="4">
        <v>3</v>
      </c>
      <c r="D18" s="4">
        <v>17</v>
      </c>
      <c r="E18" s="4">
        <v>5</v>
      </c>
      <c r="F18" s="4" t="s">
        <v>25</v>
      </c>
      <c r="G18" t="s">
        <v>28</v>
      </c>
      <c r="H18" s="4">
        <v>105</v>
      </c>
      <c r="I18" s="4">
        <v>1</v>
      </c>
      <c r="J18" s="38">
        <v>45407</v>
      </c>
      <c r="K18" s="4">
        <v>4</v>
      </c>
      <c r="L18" t="s">
        <v>288</v>
      </c>
      <c r="O18" s="53">
        <v>3</v>
      </c>
      <c r="U18">
        <v>0</v>
      </c>
      <c r="V18">
        <v>27</v>
      </c>
      <c r="W18">
        <v>30</v>
      </c>
      <c r="X18">
        <v>29</v>
      </c>
    </row>
    <row r="19" spans="1:24" x14ac:dyDescent="0.25">
      <c r="A19" s="4">
        <v>2</v>
      </c>
      <c r="B19" s="4">
        <v>5</v>
      </c>
      <c r="C19" s="4">
        <v>3</v>
      </c>
      <c r="D19" s="4">
        <v>18</v>
      </c>
      <c r="E19" s="4">
        <v>12</v>
      </c>
      <c r="F19" s="4" t="s">
        <v>25</v>
      </c>
      <c r="G19" t="s">
        <v>26</v>
      </c>
      <c r="H19" s="4">
        <v>205</v>
      </c>
      <c r="I19" s="4">
        <v>1</v>
      </c>
      <c r="J19" s="38">
        <v>45407</v>
      </c>
      <c r="K19" s="4">
        <v>4</v>
      </c>
      <c r="L19" t="s">
        <v>288</v>
      </c>
      <c r="O19" s="53">
        <v>4</v>
      </c>
      <c r="U19">
        <v>1</v>
      </c>
      <c r="V19">
        <v>35</v>
      </c>
      <c r="W19">
        <v>37</v>
      </c>
      <c r="X19">
        <v>37</v>
      </c>
    </row>
    <row r="20" spans="1:24" x14ac:dyDescent="0.25">
      <c r="A20" s="4">
        <v>3</v>
      </c>
      <c r="B20" s="4">
        <v>5</v>
      </c>
      <c r="C20" s="4">
        <v>3</v>
      </c>
      <c r="D20" s="4">
        <v>19</v>
      </c>
      <c r="E20" s="4">
        <v>21</v>
      </c>
      <c r="F20" s="4" t="s">
        <v>25</v>
      </c>
      <c r="G20" t="s">
        <v>29</v>
      </c>
      <c r="H20" s="4">
        <v>305</v>
      </c>
      <c r="I20" s="4">
        <v>1</v>
      </c>
      <c r="J20" s="38">
        <v>45407</v>
      </c>
      <c r="K20" s="4">
        <v>0</v>
      </c>
      <c r="L20" t="s">
        <v>292</v>
      </c>
      <c r="M20" t="s">
        <v>293</v>
      </c>
      <c r="O20" s="52" t="s">
        <v>31</v>
      </c>
      <c r="U20">
        <v>1.5</v>
      </c>
      <c r="V20">
        <v>38</v>
      </c>
      <c r="W20">
        <v>41.5</v>
      </c>
      <c r="X20">
        <v>41.75</v>
      </c>
    </row>
    <row r="21" spans="1:24" x14ac:dyDescent="0.25">
      <c r="A21" s="4">
        <v>4</v>
      </c>
      <c r="B21" s="4">
        <v>5</v>
      </c>
      <c r="C21" s="4">
        <v>3</v>
      </c>
      <c r="D21" s="4">
        <v>20</v>
      </c>
      <c r="E21" s="4">
        <v>28</v>
      </c>
      <c r="F21" s="4" t="s">
        <v>25</v>
      </c>
      <c r="G21" t="s">
        <v>27</v>
      </c>
      <c r="H21" s="4">
        <v>405</v>
      </c>
      <c r="I21" s="4">
        <v>1</v>
      </c>
      <c r="J21" s="38">
        <v>45407</v>
      </c>
      <c r="K21" s="4">
        <v>10</v>
      </c>
      <c r="L21" t="s">
        <v>292</v>
      </c>
      <c r="O21" s="53">
        <v>1</v>
      </c>
      <c r="U21">
        <v>0</v>
      </c>
      <c r="V21">
        <v>32</v>
      </c>
      <c r="W21">
        <v>34</v>
      </c>
      <c r="X21">
        <v>33</v>
      </c>
    </row>
    <row r="22" spans="1:24" x14ac:dyDescent="0.25">
      <c r="A22" s="4">
        <v>4</v>
      </c>
      <c r="B22" s="4">
        <v>6</v>
      </c>
      <c r="C22" s="4">
        <v>3</v>
      </c>
      <c r="D22" s="4">
        <v>21</v>
      </c>
      <c r="E22" s="4">
        <v>27</v>
      </c>
      <c r="F22" s="4" t="s">
        <v>30</v>
      </c>
      <c r="G22" t="s">
        <v>28</v>
      </c>
      <c r="H22" s="4">
        <v>406</v>
      </c>
      <c r="I22" s="4">
        <v>1</v>
      </c>
      <c r="J22" s="38">
        <v>45436</v>
      </c>
      <c r="K22" s="4">
        <v>1</v>
      </c>
      <c r="O22" s="53">
        <v>2</v>
      </c>
      <c r="U22">
        <v>3</v>
      </c>
      <c r="V22">
        <v>42</v>
      </c>
      <c r="W22">
        <v>44</v>
      </c>
      <c r="X22">
        <v>44</v>
      </c>
    </row>
    <row r="23" spans="1:24" x14ac:dyDescent="0.25">
      <c r="A23" s="4">
        <v>3</v>
      </c>
      <c r="B23" s="4">
        <v>6</v>
      </c>
      <c r="C23" s="4">
        <v>3</v>
      </c>
      <c r="D23" s="4">
        <v>22</v>
      </c>
      <c r="E23" s="4">
        <v>22</v>
      </c>
      <c r="F23" s="4" t="s">
        <v>30</v>
      </c>
      <c r="G23" t="s">
        <v>32</v>
      </c>
      <c r="H23" s="4">
        <v>306</v>
      </c>
      <c r="I23" s="4">
        <v>1</v>
      </c>
      <c r="J23" s="38">
        <v>45436</v>
      </c>
      <c r="K23" s="4">
        <v>0</v>
      </c>
      <c r="O23" s="53">
        <v>3</v>
      </c>
      <c r="U23">
        <v>1</v>
      </c>
      <c r="V23">
        <v>39</v>
      </c>
      <c r="W23">
        <v>46</v>
      </c>
      <c r="X23">
        <v>45</v>
      </c>
    </row>
    <row r="24" spans="1:24" x14ac:dyDescent="0.25">
      <c r="A24" s="4">
        <v>2</v>
      </c>
      <c r="B24" s="4">
        <v>6</v>
      </c>
      <c r="C24" s="4">
        <v>3</v>
      </c>
      <c r="D24" s="4">
        <v>23</v>
      </c>
      <c r="E24" s="4">
        <v>11</v>
      </c>
      <c r="F24" s="4" t="s">
        <v>30</v>
      </c>
      <c r="G24" t="s">
        <v>31</v>
      </c>
      <c r="H24" s="4">
        <v>206</v>
      </c>
      <c r="I24" s="4">
        <v>1</v>
      </c>
      <c r="J24" s="38">
        <v>45436</v>
      </c>
      <c r="K24" s="4">
        <v>3</v>
      </c>
      <c r="O24" s="53">
        <v>4</v>
      </c>
      <c r="U24">
        <v>2</v>
      </c>
      <c r="V24">
        <v>39</v>
      </c>
      <c r="W24">
        <v>42</v>
      </c>
      <c r="X24">
        <v>45</v>
      </c>
    </row>
    <row r="25" spans="1:24" x14ac:dyDescent="0.25">
      <c r="A25" s="4">
        <v>1</v>
      </c>
      <c r="B25" s="4">
        <v>6</v>
      </c>
      <c r="C25" s="4">
        <v>3</v>
      </c>
      <c r="D25" s="4">
        <v>24</v>
      </c>
      <c r="E25" s="4">
        <v>6</v>
      </c>
      <c r="F25" s="4" t="s">
        <v>30</v>
      </c>
      <c r="G25" t="s">
        <v>29</v>
      </c>
      <c r="H25" s="4">
        <v>106</v>
      </c>
      <c r="I25" s="4">
        <v>1</v>
      </c>
      <c r="J25" s="38">
        <v>45436</v>
      </c>
      <c r="K25" s="4">
        <v>6</v>
      </c>
      <c r="O25" s="52" t="s">
        <v>28</v>
      </c>
      <c r="P25">
        <v>7.5</v>
      </c>
      <c r="Q25">
        <v>21.75</v>
      </c>
      <c r="R25">
        <v>26.5</v>
      </c>
      <c r="S25">
        <v>28.25</v>
      </c>
      <c r="T25">
        <v>29.25</v>
      </c>
      <c r="U25">
        <v>4.25</v>
      </c>
      <c r="V25">
        <v>32</v>
      </c>
      <c r="W25">
        <v>38.75</v>
      </c>
      <c r="X25">
        <v>39.75</v>
      </c>
    </row>
    <row r="26" spans="1:24" x14ac:dyDescent="0.25">
      <c r="A26" s="4">
        <v>1</v>
      </c>
      <c r="B26" s="4">
        <v>7</v>
      </c>
      <c r="C26" s="4">
        <v>4</v>
      </c>
      <c r="D26" s="4">
        <v>25</v>
      </c>
      <c r="E26" s="4">
        <v>7</v>
      </c>
      <c r="F26" s="4" t="s">
        <v>25</v>
      </c>
      <c r="G26" t="s">
        <v>29</v>
      </c>
      <c r="H26" s="4">
        <v>107</v>
      </c>
      <c r="I26" s="4">
        <v>1</v>
      </c>
      <c r="J26" s="38">
        <v>45407</v>
      </c>
      <c r="K26" s="4">
        <v>11</v>
      </c>
      <c r="L26" t="s">
        <v>288</v>
      </c>
      <c r="O26" s="53">
        <v>1</v>
      </c>
      <c r="P26">
        <v>4</v>
      </c>
      <c r="Q26">
        <v>17</v>
      </c>
      <c r="R26">
        <v>20</v>
      </c>
      <c r="S26">
        <v>19</v>
      </c>
      <c r="T26">
        <v>21</v>
      </c>
      <c r="U26">
        <v>4</v>
      </c>
      <c r="V26">
        <v>34</v>
      </c>
      <c r="W26">
        <v>41</v>
      </c>
      <c r="X26">
        <v>42</v>
      </c>
    </row>
    <row r="27" spans="1:24" x14ac:dyDescent="0.25">
      <c r="A27" s="4">
        <v>2</v>
      </c>
      <c r="B27" s="4">
        <v>7</v>
      </c>
      <c r="C27" s="4">
        <v>4</v>
      </c>
      <c r="D27" s="4">
        <v>26</v>
      </c>
      <c r="E27" s="4">
        <v>10</v>
      </c>
      <c r="F27" s="4" t="s">
        <v>25</v>
      </c>
      <c r="G27" t="s">
        <v>28</v>
      </c>
      <c r="H27" s="4">
        <v>207</v>
      </c>
      <c r="I27" s="4">
        <v>1</v>
      </c>
      <c r="J27" s="38">
        <v>45407</v>
      </c>
      <c r="K27" s="4">
        <v>1</v>
      </c>
      <c r="L27" t="s">
        <v>292</v>
      </c>
      <c r="M27" t="s">
        <v>293</v>
      </c>
      <c r="O27" s="53">
        <v>2</v>
      </c>
      <c r="P27">
        <v>1</v>
      </c>
      <c r="Q27">
        <v>4</v>
      </c>
      <c r="R27">
        <v>11</v>
      </c>
      <c r="S27">
        <v>12</v>
      </c>
      <c r="T27">
        <v>12</v>
      </c>
      <c r="U27">
        <v>1</v>
      </c>
      <c r="V27">
        <v>30</v>
      </c>
      <c r="W27">
        <v>34</v>
      </c>
      <c r="X27">
        <v>34</v>
      </c>
    </row>
    <row r="28" spans="1:24" x14ac:dyDescent="0.25">
      <c r="A28" s="4">
        <v>3</v>
      </c>
      <c r="B28" s="4">
        <v>7</v>
      </c>
      <c r="C28" s="4">
        <v>4</v>
      </c>
      <c r="D28" s="4">
        <v>27</v>
      </c>
      <c r="E28" s="4">
        <v>23</v>
      </c>
      <c r="F28" s="4" t="s">
        <v>25</v>
      </c>
      <c r="G28" t="s">
        <v>27</v>
      </c>
      <c r="H28" s="4">
        <v>307</v>
      </c>
      <c r="I28" s="4">
        <v>1</v>
      </c>
      <c r="J28" s="38">
        <v>45407</v>
      </c>
      <c r="K28" s="4">
        <v>6</v>
      </c>
      <c r="L28" t="s">
        <v>292</v>
      </c>
      <c r="M28" t="s">
        <v>293</v>
      </c>
      <c r="O28" s="53">
        <v>3</v>
      </c>
      <c r="P28">
        <v>14</v>
      </c>
      <c r="Q28">
        <v>41</v>
      </c>
      <c r="R28">
        <v>43</v>
      </c>
      <c r="S28">
        <v>48</v>
      </c>
      <c r="T28">
        <v>50</v>
      </c>
      <c r="U28">
        <v>11</v>
      </c>
      <c r="V28">
        <v>53</v>
      </c>
      <c r="W28">
        <v>57</v>
      </c>
      <c r="X28">
        <v>59</v>
      </c>
    </row>
    <row r="29" spans="1:24" x14ac:dyDescent="0.25">
      <c r="A29" s="4">
        <v>4</v>
      </c>
      <c r="B29" s="4">
        <v>7</v>
      </c>
      <c r="C29" s="4">
        <v>4</v>
      </c>
      <c r="D29" s="4">
        <v>28</v>
      </c>
      <c r="E29" s="4">
        <v>26</v>
      </c>
      <c r="F29" s="4" t="s">
        <v>25</v>
      </c>
      <c r="G29" t="s">
        <v>26</v>
      </c>
      <c r="H29" s="4">
        <v>407</v>
      </c>
      <c r="I29" s="4">
        <v>1</v>
      </c>
      <c r="J29" s="38">
        <v>45407</v>
      </c>
      <c r="K29" s="4">
        <v>10</v>
      </c>
      <c r="L29" t="s">
        <v>292</v>
      </c>
      <c r="O29" s="53">
        <v>4</v>
      </c>
      <c r="P29">
        <v>11</v>
      </c>
      <c r="Q29">
        <v>25</v>
      </c>
      <c r="R29">
        <v>32</v>
      </c>
      <c r="S29">
        <v>34</v>
      </c>
      <c r="T29">
        <v>34</v>
      </c>
      <c r="U29">
        <v>1</v>
      </c>
      <c r="V29">
        <v>11</v>
      </c>
      <c r="W29">
        <v>23</v>
      </c>
      <c r="X29">
        <v>24</v>
      </c>
    </row>
    <row r="30" spans="1:24" x14ac:dyDescent="0.25">
      <c r="A30" s="4">
        <v>4</v>
      </c>
      <c r="B30" s="4">
        <v>8</v>
      </c>
      <c r="C30" s="4">
        <v>4</v>
      </c>
      <c r="D30" s="4">
        <v>29</v>
      </c>
      <c r="E30" s="4">
        <v>25</v>
      </c>
      <c r="F30" s="4" t="s">
        <v>30</v>
      </c>
      <c r="G30" t="s">
        <v>31</v>
      </c>
      <c r="H30" s="4">
        <v>408</v>
      </c>
      <c r="I30" s="4">
        <v>1</v>
      </c>
      <c r="J30" s="38">
        <v>45436</v>
      </c>
      <c r="K30" s="4">
        <v>2</v>
      </c>
      <c r="O30" s="52" t="s">
        <v>29</v>
      </c>
      <c r="P30">
        <v>4.75</v>
      </c>
      <c r="Q30">
        <v>15.75</v>
      </c>
      <c r="R30">
        <v>21.25</v>
      </c>
      <c r="S30">
        <v>22</v>
      </c>
      <c r="T30">
        <v>26.5</v>
      </c>
      <c r="U30">
        <v>2.75</v>
      </c>
      <c r="V30">
        <v>29.25</v>
      </c>
      <c r="W30">
        <v>34.5</v>
      </c>
      <c r="X30">
        <v>35.25</v>
      </c>
    </row>
    <row r="31" spans="1:24" x14ac:dyDescent="0.25">
      <c r="A31" s="4">
        <v>3</v>
      </c>
      <c r="B31" s="4">
        <v>8</v>
      </c>
      <c r="C31" s="4">
        <v>4</v>
      </c>
      <c r="D31" s="4">
        <v>30</v>
      </c>
      <c r="E31" s="4">
        <v>24</v>
      </c>
      <c r="F31" s="4" t="s">
        <v>30</v>
      </c>
      <c r="G31" t="s">
        <v>28</v>
      </c>
      <c r="H31" s="4">
        <v>308</v>
      </c>
      <c r="I31" s="4">
        <v>1</v>
      </c>
      <c r="J31" s="38">
        <v>45436</v>
      </c>
      <c r="K31" s="4">
        <v>11</v>
      </c>
      <c r="O31" s="53">
        <v>1</v>
      </c>
      <c r="P31">
        <v>11</v>
      </c>
      <c r="Q31">
        <v>17</v>
      </c>
      <c r="R31">
        <v>18</v>
      </c>
      <c r="S31">
        <v>22</v>
      </c>
      <c r="T31">
        <v>22</v>
      </c>
      <c r="U31">
        <v>6</v>
      </c>
      <c r="V31">
        <v>37</v>
      </c>
      <c r="W31">
        <v>39</v>
      </c>
      <c r="X31">
        <v>40</v>
      </c>
    </row>
    <row r="32" spans="1:24" x14ac:dyDescent="0.25">
      <c r="A32" s="4">
        <v>2</v>
      </c>
      <c r="B32" s="4">
        <v>8</v>
      </c>
      <c r="C32" s="4">
        <v>4</v>
      </c>
      <c r="D32" s="4">
        <v>31</v>
      </c>
      <c r="E32" s="4">
        <v>9</v>
      </c>
      <c r="F32" s="4" t="s">
        <v>30</v>
      </c>
      <c r="G32" t="s">
        <v>29</v>
      </c>
      <c r="H32" s="4">
        <v>208</v>
      </c>
      <c r="I32" s="4">
        <v>1</v>
      </c>
      <c r="J32" s="38">
        <v>45436</v>
      </c>
      <c r="K32" s="4">
        <v>5</v>
      </c>
      <c r="O32" s="53">
        <v>2</v>
      </c>
      <c r="P32">
        <v>1</v>
      </c>
      <c r="Q32">
        <v>11</v>
      </c>
      <c r="R32">
        <v>20</v>
      </c>
      <c r="S32">
        <v>20</v>
      </c>
      <c r="T32">
        <v>35</v>
      </c>
      <c r="U32">
        <v>5</v>
      </c>
      <c r="V32">
        <v>25</v>
      </c>
      <c r="W32">
        <v>27</v>
      </c>
      <c r="X32">
        <v>29</v>
      </c>
    </row>
    <row r="33" spans="1:24" x14ac:dyDescent="0.25">
      <c r="A33" s="4">
        <v>1</v>
      </c>
      <c r="B33" s="4">
        <v>8</v>
      </c>
      <c r="C33" s="4">
        <v>4</v>
      </c>
      <c r="D33" s="4">
        <v>32</v>
      </c>
      <c r="E33" s="4">
        <v>8</v>
      </c>
      <c r="F33" s="4" t="s">
        <v>30</v>
      </c>
      <c r="G33" t="s">
        <v>32</v>
      </c>
      <c r="H33" s="4">
        <v>108</v>
      </c>
      <c r="I33" s="4">
        <v>1</v>
      </c>
      <c r="J33" s="38">
        <v>45436</v>
      </c>
      <c r="K33" s="4">
        <v>19</v>
      </c>
      <c r="O33" s="53">
        <v>3</v>
      </c>
      <c r="P33">
        <v>0</v>
      </c>
      <c r="Q33">
        <v>18</v>
      </c>
      <c r="R33">
        <v>27</v>
      </c>
      <c r="S33">
        <v>26</v>
      </c>
      <c r="T33">
        <v>28</v>
      </c>
      <c r="U33">
        <v>0</v>
      </c>
      <c r="V33">
        <v>26</v>
      </c>
      <c r="W33">
        <v>37</v>
      </c>
      <c r="X33">
        <v>36</v>
      </c>
    </row>
    <row r="34" spans="1:24" x14ac:dyDescent="0.25">
      <c r="A34" s="4">
        <v>1</v>
      </c>
      <c r="B34" s="4">
        <v>1</v>
      </c>
      <c r="C34" s="4">
        <v>1</v>
      </c>
      <c r="D34" s="4">
        <v>1</v>
      </c>
      <c r="E34" s="4">
        <v>1</v>
      </c>
      <c r="F34" s="4" t="s">
        <v>25</v>
      </c>
      <c r="G34" t="s">
        <v>26</v>
      </c>
      <c r="H34" s="4">
        <v>101</v>
      </c>
      <c r="I34" s="4">
        <v>2</v>
      </c>
      <c r="J34" s="38">
        <v>45412</v>
      </c>
      <c r="K34" s="4">
        <v>37</v>
      </c>
      <c r="O34" s="53">
        <v>4</v>
      </c>
      <c r="P34">
        <v>7</v>
      </c>
      <c r="Q34">
        <v>17</v>
      </c>
      <c r="R34">
        <v>20</v>
      </c>
      <c r="S34">
        <v>20</v>
      </c>
      <c r="T34">
        <v>21</v>
      </c>
      <c r="U34">
        <v>0</v>
      </c>
      <c r="V34">
        <v>29</v>
      </c>
      <c r="W34">
        <v>35</v>
      </c>
      <c r="X34">
        <v>36</v>
      </c>
    </row>
    <row r="35" spans="1:24" x14ac:dyDescent="0.25">
      <c r="A35" s="4">
        <v>2</v>
      </c>
      <c r="B35" s="4">
        <v>1</v>
      </c>
      <c r="C35" s="4">
        <v>1</v>
      </c>
      <c r="D35" s="4">
        <v>2</v>
      </c>
      <c r="E35" s="4">
        <v>16</v>
      </c>
      <c r="F35" s="4" t="s">
        <v>25</v>
      </c>
      <c r="G35" t="s">
        <v>27</v>
      </c>
      <c r="H35" s="4">
        <v>201</v>
      </c>
      <c r="I35" s="4">
        <v>2</v>
      </c>
      <c r="J35" s="38">
        <v>45412</v>
      </c>
      <c r="K35" s="4">
        <v>30</v>
      </c>
    </row>
    <row r="36" spans="1:24" x14ac:dyDescent="0.25">
      <c r="A36" s="4">
        <v>3</v>
      </c>
      <c r="B36" s="4">
        <v>1</v>
      </c>
      <c r="C36" s="4">
        <v>1</v>
      </c>
      <c r="D36" s="4">
        <v>3</v>
      </c>
      <c r="E36" s="4">
        <v>17</v>
      </c>
      <c r="F36" s="4" t="s">
        <v>25</v>
      </c>
      <c r="G36" t="s">
        <v>28</v>
      </c>
      <c r="H36" s="4">
        <v>301</v>
      </c>
      <c r="I36" s="4">
        <v>2</v>
      </c>
      <c r="J36" s="38">
        <v>45412</v>
      </c>
      <c r="K36" s="4">
        <v>41</v>
      </c>
    </row>
    <row r="37" spans="1:24" x14ac:dyDescent="0.25">
      <c r="A37" s="4">
        <v>4</v>
      </c>
      <c r="B37" s="4">
        <v>1</v>
      </c>
      <c r="C37" s="4">
        <v>1</v>
      </c>
      <c r="D37" s="4">
        <v>4</v>
      </c>
      <c r="E37" s="4">
        <v>32</v>
      </c>
      <c r="F37" s="4" t="s">
        <v>25</v>
      </c>
      <c r="G37" t="s">
        <v>29</v>
      </c>
      <c r="H37" s="4">
        <v>401</v>
      </c>
      <c r="I37" s="4">
        <v>2</v>
      </c>
      <c r="J37" s="38">
        <v>45412</v>
      </c>
      <c r="K37" s="4">
        <v>17</v>
      </c>
    </row>
    <row r="38" spans="1:24" x14ac:dyDescent="0.25">
      <c r="A38" s="4">
        <v>4</v>
      </c>
      <c r="B38" s="4">
        <v>2</v>
      </c>
      <c r="C38" s="4">
        <v>1</v>
      </c>
      <c r="D38" s="4">
        <v>5</v>
      </c>
      <c r="E38" s="4">
        <v>31</v>
      </c>
      <c r="F38" s="4" t="s">
        <v>30</v>
      </c>
      <c r="G38" t="s">
        <v>32</v>
      </c>
      <c r="H38" s="4">
        <v>402</v>
      </c>
      <c r="I38" s="4">
        <v>2</v>
      </c>
      <c r="J38" s="44">
        <v>45441</v>
      </c>
      <c r="K38" s="49">
        <v>35</v>
      </c>
    </row>
    <row r="39" spans="1:24" x14ac:dyDescent="0.25">
      <c r="A39" s="4">
        <v>3</v>
      </c>
      <c r="B39" s="4">
        <v>2</v>
      </c>
      <c r="C39" s="4">
        <v>1</v>
      </c>
      <c r="D39" s="4">
        <v>6</v>
      </c>
      <c r="E39" s="4">
        <v>18</v>
      </c>
      <c r="F39" s="4" t="s">
        <v>30</v>
      </c>
      <c r="G39" t="s">
        <v>29</v>
      </c>
      <c r="H39" s="4">
        <v>302</v>
      </c>
      <c r="I39" s="4">
        <v>2</v>
      </c>
      <c r="J39" s="44">
        <v>45441</v>
      </c>
      <c r="K39" s="49">
        <v>26</v>
      </c>
    </row>
    <row r="40" spans="1:24" x14ac:dyDescent="0.25">
      <c r="A40" s="4">
        <v>2</v>
      </c>
      <c r="B40" s="4">
        <v>2</v>
      </c>
      <c r="C40" s="4">
        <v>1</v>
      </c>
      <c r="D40" s="4">
        <v>7</v>
      </c>
      <c r="E40" s="4">
        <v>15</v>
      </c>
      <c r="F40" s="4" t="s">
        <v>30</v>
      </c>
      <c r="G40" t="s">
        <v>28</v>
      </c>
      <c r="H40" s="4">
        <v>202</v>
      </c>
      <c r="I40" s="4">
        <v>2</v>
      </c>
      <c r="J40" s="44">
        <v>45441</v>
      </c>
      <c r="K40" s="49">
        <v>30</v>
      </c>
    </row>
    <row r="41" spans="1:24" x14ac:dyDescent="0.25">
      <c r="A41" s="4">
        <v>1</v>
      </c>
      <c r="B41" s="4">
        <v>2</v>
      </c>
      <c r="C41" s="4">
        <v>1</v>
      </c>
      <c r="D41" s="4">
        <v>8</v>
      </c>
      <c r="E41" s="4">
        <v>2</v>
      </c>
      <c r="F41" s="4" t="s">
        <v>30</v>
      </c>
      <c r="G41" t="s">
        <v>31</v>
      </c>
      <c r="H41" s="4">
        <v>102</v>
      </c>
      <c r="I41" s="4">
        <v>2</v>
      </c>
      <c r="J41" s="44">
        <v>45441</v>
      </c>
      <c r="K41" s="49">
        <v>32</v>
      </c>
    </row>
    <row r="42" spans="1:24" x14ac:dyDescent="0.25">
      <c r="A42" s="4">
        <v>1</v>
      </c>
      <c r="B42" s="4">
        <v>3</v>
      </c>
      <c r="C42" s="4">
        <v>2</v>
      </c>
      <c r="D42" s="4">
        <v>9</v>
      </c>
      <c r="E42" s="4">
        <v>3</v>
      </c>
      <c r="F42" s="4" t="s">
        <v>25</v>
      </c>
      <c r="G42" t="s">
        <v>27</v>
      </c>
      <c r="H42" s="4">
        <v>103</v>
      </c>
      <c r="I42" s="4">
        <v>2</v>
      </c>
      <c r="J42" s="38">
        <v>45412</v>
      </c>
      <c r="K42" s="4">
        <v>25</v>
      </c>
    </row>
    <row r="43" spans="1:24" x14ac:dyDescent="0.25">
      <c r="A43" s="4">
        <v>2</v>
      </c>
      <c r="B43" s="4">
        <v>3</v>
      </c>
      <c r="C43" s="4">
        <v>2</v>
      </c>
      <c r="D43" s="4">
        <v>10</v>
      </c>
      <c r="E43" s="4">
        <v>14</v>
      </c>
      <c r="F43" s="4" t="s">
        <v>25</v>
      </c>
      <c r="G43" t="s">
        <v>29</v>
      </c>
      <c r="H43" s="4">
        <v>203</v>
      </c>
      <c r="I43" s="4">
        <v>2</v>
      </c>
      <c r="J43" s="38">
        <v>45412</v>
      </c>
      <c r="K43" s="4">
        <v>11</v>
      </c>
    </row>
    <row r="44" spans="1:24" x14ac:dyDescent="0.25">
      <c r="A44" s="4">
        <v>3</v>
      </c>
      <c r="B44" s="4">
        <v>3</v>
      </c>
      <c r="C44" s="4">
        <v>2</v>
      </c>
      <c r="D44" s="4">
        <v>11</v>
      </c>
      <c r="E44" s="4">
        <v>19</v>
      </c>
      <c r="F44" s="4" t="s">
        <v>25</v>
      </c>
      <c r="G44" t="s">
        <v>26</v>
      </c>
      <c r="H44" s="4">
        <v>303</v>
      </c>
      <c r="I44" s="4">
        <v>2</v>
      </c>
      <c r="J44" s="38">
        <v>45412</v>
      </c>
      <c r="K44" s="4">
        <v>29</v>
      </c>
    </row>
    <row r="45" spans="1:24" x14ac:dyDescent="0.25">
      <c r="A45" s="4">
        <v>4</v>
      </c>
      <c r="B45" s="4">
        <v>3</v>
      </c>
      <c r="C45" s="4">
        <v>2</v>
      </c>
      <c r="D45" s="4">
        <v>12</v>
      </c>
      <c r="E45" s="4">
        <v>30</v>
      </c>
      <c r="F45" s="4" t="s">
        <v>25</v>
      </c>
      <c r="G45" t="s">
        <v>28</v>
      </c>
      <c r="H45" s="4">
        <v>403</v>
      </c>
      <c r="I45" s="4">
        <v>2</v>
      </c>
      <c r="J45" s="38">
        <v>45412</v>
      </c>
      <c r="K45" s="4">
        <v>25</v>
      </c>
    </row>
    <row r="46" spans="1:24" x14ac:dyDescent="0.25">
      <c r="A46" s="4">
        <v>4</v>
      </c>
      <c r="B46" s="4">
        <v>4</v>
      </c>
      <c r="C46" s="4">
        <v>2</v>
      </c>
      <c r="D46" s="4">
        <v>13</v>
      </c>
      <c r="E46" s="4">
        <v>29</v>
      </c>
      <c r="F46" s="4" t="s">
        <v>30</v>
      </c>
      <c r="G46" t="s">
        <v>29</v>
      </c>
      <c r="H46" s="4">
        <v>404</v>
      </c>
      <c r="I46" s="4">
        <v>2</v>
      </c>
      <c r="J46" s="44">
        <v>45441</v>
      </c>
      <c r="K46" s="49">
        <v>29</v>
      </c>
    </row>
    <row r="47" spans="1:24" x14ac:dyDescent="0.25">
      <c r="A47" s="4">
        <v>3</v>
      </c>
      <c r="B47" s="4">
        <v>4</v>
      </c>
      <c r="C47" s="4">
        <v>2</v>
      </c>
      <c r="D47" s="4">
        <v>14</v>
      </c>
      <c r="E47" s="4">
        <v>20</v>
      </c>
      <c r="F47" s="4" t="s">
        <v>30</v>
      </c>
      <c r="G47" t="s">
        <v>31</v>
      </c>
      <c r="H47" s="4">
        <v>304</v>
      </c>
      <c r="I47" s="4">
        <v>2</v>
      </c>
      <c r="J47" s="44">
        <v>45441</v>
      </c>
      <c r="K47" s="49">
        <v>39</v>
      </c>
    </row>
    <row r="48" spans="1:24" x14ac:dyDescent="0.25">
      <c r="A48" s="4">
        <v>2</v>
      </c>
      <c r="B48" s="4">
        <v>4</v>
      </c>
      <c r="C48" s="4">
        <v>2</v>
      </c>
      <c r="D48" s="4">
        <v>15</v>
      </c>
      <c r="E48" s="4">
        <v>13</v>
      </c>
      <c r="F48" s="4" t="s">
        <v>30</v>
      </c>
      <c r="G48" t="s">
        <v>32</v>
      </c>
      <c r="H48" s="4">
        <v>204</v>
      </c>
      <c r="I48" s="4">
        <v>2</v>
      </c>
      <c r="J48" s="44">
        <v>45441</v>
      </c>
      <c r="K48" s="49">
        <v>31</v>
      </c>
    </row>
    <row r="49" spans="1:11" x14ac:dyDescent="0.25">
      <c r="A49" s="4">
        <v>1</v>
      </c>
      <c r="B49" s="4">
        <v>4</v>
      </c>
      <c r="C49" s="4">
        <v>2</v>
      </c>
      <c r="D49" s="4">
        <v>16</v>
      </c>
      <c r="E49" s="4">
        <v>4</v>
      </c>
      <c r="F49" s="4" t="s">
        <v>30</v>
      </c>
      <c r="G49" t="s">
        <v>28</v>
      </c>
      <c r="H49" s="4">
        <v>104</v>
      </c>
      <c r="I49" s="4">
        <v>2</v>
      </c>
      <c r="J49" s="44">
        <v>45441</v>
      </c>
      <c r="K49" s="49">
        <v>34</v>
      </c>
    </row>
    <row r="50" spans="1:11" x14ac:dyDescent="0.25">
      <c r="A50" s="4">
        <v>1</v>
      </c>
      <c r="B50" s="4">
        <v>5</v>
      </c>
      <c r="C50" s="4">
        <v>3</v>
      </c>
      <c r="D50" s="4">
        <v>17</v>
      </c>
      <c r="E50" s="4">
        <v>5</v>
      </c>
      <c r="F50" s="4" t="s">
        <v>25</v>
      </c>
      <c r="G50" t="s">
        <v>28</v>
      </c>
      <c r="H50" s="4">
        <v>105</v>
      </c>
      <c r="I50" s="4">
        <v>2</v>
      </c>
      <c r="J50" s="38">
        <v>45412</v>
      </c>
      <c r="K50" s="4">
        <v>17</v>
      </c>
    </row>
    <row r="51" spans="1:11" x14ac:dyDescent="0.25">
      <c r="A51" s="4">
        <v>2</v>
      </c>
      <c r="B51" s="4">
        <v>5</v>
      </c>
      <c r="C51" s="4">
        <v>3</v>
      </c>
      <c r="D51" s="4">
        <v>18</v>
      </c>
      <c r="E51" s="4">
        <v>12</v>
      </c>
      <c r="F51" s="4" t="s">
        <v>25</v>
      </c>
      <c r="G51" t="s">
        <v>26</v>
      </c>
      <c r="H51" s="4">
        <v>205</v>
      </c>
      <c r="I51" s="4">
        <v>2</v>
      </c>
      <c r="J51" s="38">
        <v>45412</v>
      </c>
      <c r="K51" s="4">
        <v>21</v>
      </c>
    </row>
    <row r="52" spans="1:11" x14ac:dyDescent="0.25">
      <c r="A52" s="4">
        <v>3</v>
      </c>
      <c r="B52" s="4">
        <v>5</v>
      </c>
      <c r="C52" s="4">
        <v>3</v>
      </c>
      <c r="D52" s="4">
        <v>19</v>
      </c>
      <c r="E52" s="4">
        <v>21</v>
      </c>
      <c r="F52" s="4" t="s">
        <v>25</v>
      </c>
      <c r="G52" t="s">
        <v>29</v>
      </c>
      <c r="H52" s="4">
        <v>305</v>
      </c>
      <c r="I52" s="4">
        <v>2</v>
      </c>
      <c r="J52" s="38">
        <v>45412</v>
      </c>
      <c r="K52" s="4">
        <v>18</v>
      </c>
    </row>
    <row r="53" spans="1:11" x14ac:dyDescent="0.25">
      <c r="A53" s="4">
        <v>4</v>
      </c>
      <c r="B53" s="4">
        <v>5</v>
      </c>
      <c r="C53" s="4">
        <v>3</v>
      </c>
      <c r="D53" s="4">
        <v>20</v>
      </c>
      <c r="E53" s="4">
        <v>28</v>
      </c>
      <c r="F53" s="4" t="s">
        <v>25</v>
      </c>
      <c r="G53" t="s">
        <v>27</v>
      </c>
      <c r="H53" s="4">
        <v>405</v>
      </c>
      <c r="I53" s="4">
        <v>2</v>
      </c>
      <c r="J53" s="38">
        <v>45412</v>
      </c>
      <c r="K53" s="4">
        <v>29</v>
      </c>
    </row>
    <row r="54" spans="1:11" x14ac:dyDescent="0.25">
      <c r="A54" s="4">
        <v>4</v>
      </c>
      <c r="B54" s="4">
        <v>6</v>
      </c>
      <c r="C54" s="4">
        <v>3</v>
      </c>
      <c r="D54" s="4">
        <v>21</v>
      </c>
      <c r="E54" s="4">
        <v>27</v>
      </c>
      <c r="F54" s="4" t="s">
        <v>30</v>
      </c>
      <c r="G54" t="s">
        <v>28</v>
      </c>
      <c r="H54" s="4">
        <v>406</v>
      </c>
      <c r="I54" s="4">
        <v>2</v>
      </c>
      <c r="J54" s="44">
        <v>45441</v>
      </c>
      <c r="K54" s="49">
        <v>11</v>
      </c>
    </row>
    <row r="55" spans="1:11" x14ac:dyDescent="0.25">
      <c r="A55" s="4">
        <v>3</v>
      </c>
      <c r="B55" s="4">
        <v>6</v>
      </c>
      <c r="C55" s="4">
        <v>3</v>
      </c>
      <c r="D55" s="4">
        <v>22</v>
      </c>
      <c r="E55" s="4">
        <v>22</v>
      </c>
      <c r="F55" s="4" t="s">
        <v>30</v>
      </c>
      <c r="G55" t="s">
        <v>32</v>
      </c>
      <c r="H55" s="4">
        <v>306</v>
      </c>
      <c r="I55" s="4">
        <v>2</v>
      </c>
      <c r="J55" s="44">
        <v>45441</v>
      </c>
      <c r="K55" s="49">
        <v>27</v>
      </c>
    </row>
    <row r="56" spans="1:11" x14ac:dyDescent="0.25">
      <c r="A56" s="4">
        <v>2</v>
      </c>
      <c r="B56" s="4">
        <v>6</v>
      </c>
      <c r="C56" s="4">
        <v>3</v>
      </c>
      <c r="D56" s="4">
        <v>23</v>
      </c>
      <c r="E56" s="4">
        <v>11</v>
      </c>
      <c r="F56" s="4" t="s">
        <v>30</v>
      </c>
      <c r="G56" t="s">
        <v>31</v>
      </c>
      <c r="H56" s="4">
        <v>206</v>
      </c>
      <c r="I56" s="4">
        <v>2</v>
      </c>
      <c r="J56" s="44">
        <v>45441</v>
      </c>
      <c r="K56" s="49">
        <v>42</v>
      </c>
    </row>
    <row r="57" spans="1:11" x14ac:dyDescent="0.25">
      <c r="A57" s="4">
        <v>1</v>
      </c>
      <c r="B57" s="4">
        <v>6</v>
      </c>
      <c r="C57" s="4">
        <v>3</v>
      </c>
      <c r="D57" s="4">
        <v>24</v>
      </c>
      <c r="E57" s="4">
        <v>6</v>
      </c>
      <c r="F57" s="4" t="s">
        <v>30</v>
      </c>
      <c r="G57" t="s">
        <v>29</v>
      </c>
      <c r="H57" s="4">
        <v>106</v>
      </c>
      <c r="I57" s="4">
        <v>2</v>
      </c>
      <c r="J57" s="44">
        <v>45441</v>
      </c>
      <c r="K57" s="49">
        <v>37</v>
      </c>
    </row>
    <row r="58" spans="1:11" x14ac:dyDescent="0.25">
      <c r="A58" s="4">
        <v>1</v>
      </c>
      <c r="B58" s="4">
        <v>7</v>
      </c>
      <c r="C58" s="4">
        <v>4</v>
      </c>
      <c r="D58" s="4">
        <v>25</v>
      </c>
      <c r="E58" s="4">
        <v>7</v>
      </c>
      <c r="F58" s="4" t="s">
        <v>25</v>
      </c>
      <c r="G58" t="s">
        <v>29</v>
      </c>
      <c r="H58" s="4">
        <v>107</v>
      </c>
      <c r="I58" s="4">
        <v>2</v>
      </c>
      <c r="J58" s="38">
        <v>45412</v>
      </c>
      <c r="K58" s="4">
        <v>17</v>
      </c>
    </row>
    <row r="59" spans="1:11" x14ac:dyDescent="0.25">
      <c r="A59" s="4">
        <v>2</v>
      </c>
      <c r="B59" s="4">
        <v>7</v>
      </c>
      <c r="C59" s="4">
        <v>4</v>
      </c>
      <c r="D59" s="4">
        <v>26</v>
      </c>
      <c r="E59" s="4">
        <v>10</v>
      </c>
      <c r="F59" s="4" t="s">
        <v>25</v>
      </c>
      <c r="G59" t="s">
        <v>28</v>
      </c>
      <c r="H59" s="4">
        <v>207</v>
      </c>
      <c r="I59" s="4">
        <v>2</v>
      </c>
      <c r="J59" s="38">
        <v>45412</v>
      </c>
      <c r="K59" s="4">
        <v>4</v>
      </c>
    </row>
    <row r="60" spans="1:11" x14ac:dyDescent="0.25">
      <c r="A60" s="4">
        <v>3</v>
      </c>
      <c r="B60" s="4">
        <v>7</v>
      </c>
      <c r="C60" s="4">
        <v>4</v>
      </c>
      <c r="D60" s="4">
        <v>27</v>
      </c>
      <c r="E60" s="4">
        <v>23</v>
      </c>
      <c r="F60" s="4" t="s">
        <v>25</v>
      </c>
      <c r="G60" t="s">
        <v>27</v>
      </c>
      <c r="H60" s="4">
        <v>307</v>
      </c>
      <c r="I60" s="4">
        <v>2</v>
      </c>
      <c r="J60" s="38">
        <v>45412</v>
      </c>
      <c r="K60" s="4">
        <v>12</v>
      </c>
    </row>
    <row r="61" spans="1:11" x14ac:dyDescent="0.25">
      <c r="A61" s="4">
        <v>4</v>
      </c>
      <c r="B61" s="4">
        <v>7</v>
      </c>
      <c r="C61" s="4">
        <v>4</v>
      </c>
      <c r="D61" s="4">
        <v>28</v>
      </c>
      <c r="E61" s="4">
        <v>26</v>
      </c>
      <c r="F61" s="4" t="s">
        <v>25</v>
      </c>
      <c r="G61" t="s">
        <v>26</v>
      </c>
      <c r="H61" s="4">
        <v>407</v>
      </c>
      <c r="I61" s="4">
        <v>2</v>
      </c>
      <c r="J61" s="38">
        <v>45412</v>
      </c>
      <c r="K61" s="4">
        <v>31</v>
      </c>
    </row>
    <row r="62" spans="1:11" x14ac:dyDescent="0.25">
      <c r="A62" s="4">
        <v>4</v>
      </c>
      <c r="B62" s="4">
        <v>8</v>
      </c>
      <c r="C62" s="4">
        <v>4</v>
      </c>
      <c r="D62" s="4">
        <v>29</v>
      </c>
      <c r="E62" s="4">
        <v>25</v>
      </c>
      <c r="F62" s="4" t="s">
        <v>30</v>
      </c>
      <c r="G62" t="s">
        <v>31</v>
      </c>
      <c r="H62" s="4">
        <v>408</v>
      </c>
      <c r="I62" s="4">
        <v>2</v>
      </c>
      <c r="J62" s="44">
        <v>45441</v>
      </c>
      <c r="K62" s="49">
        <v>39</v>
      </c>
    </row>
    <row r="63" spans="1:11" x14ac:dyDescent="0.25">
      <c r="A63" s="4">
        <v>3</v>
      </c>
      <c r="B63" s="4">
        <v>8</v>
      </c>
      <c r="C63" s="4">
        <v>4</v>
      </c>
      <c r="D63" s="4">
        <v>30</v>
      </c>
      <c r="E63" s="4">
        <v>24</v>
      </c>
      <c r="F63" s="4" t="s">
        <v>30</v>
      </c>
      <c r="G63" t="s">
        <v>28</v>
      </c>
      <c r="H63" s="4">
        <v>308</v>
      </c>
      <c r="I63" s="4">
        <v>2</v>
      </c>
      <c r="J63" s="44">
        <v>45441</v>
      </c>
      <c r="K63" s="49">
        <v>53</v>
      </c>
    </row>
    <row r="64" spans="1:11" x14ac:dyDescent="0.25">
      <c r="A64" s="4">
        <v>2</v>
      </c>
      <c r="B64" s="4">
        <v>8</v>
      </c>
      <c r="C64" s="4">
        <v>4</v>
      </c>
      <c r="D64" s="4">
        <v>31</v>
      </c>
      <c r="E64" s="4">
        <v>9</v>
      </c>
      <c r="F64" s="4" t="s">
        <v>30</v>
      </c>
      <c r="G64" t="s">
        <v>29</v>
      </c>
      <c r="H64" s="4">
        <v>208</v>
      </c>
      <c r="I64" s="4">
        <v>2</v>
      </c>
      <c r="J64" s="44">
        <v>45441</v>
      </c>
      <c r="K64" s="49">
        <v>25</v>
      </c>
    </row>
    <row r="65" spans="1:11" x14ac:dyDescent="0.25">
      <c r="A65" s="4">
        <v>1</v>
      </c>
      <c r="B65" s="4">
        <v>8</v>
      </c>
      <c r="C65" s="4">
        <v>4</v>
      </c>
      <c r="D65" s="4">
        <v>32</v>
      </c>
      <c r="E65" s="4">
        <v>8</v>
      </c>
      <c r="F65" s="4" t="s">
        <v>30</v>
      </c>
      <c r="G65" t="s">
        <v>32</v>
      </c>
      <c r="H65" s="4">
        <v>108</v>
      </c>
      <c r="I65" s="4">
        <v>2</v>
      </c>
      <c r="J65" s="44">
        <v>45441</v>
      </c>
      <c r="K65" s="49">
        <v>30</v>
      </c>
    </row>
    <row r="66" spans="1:11" x14ac:dyDescent="0.25">
      <c r="A66" s="4">
        <v>1</v>
      </c>
      <c r="B66" s="4">
        <v>1</v>
      </c>
      <c r="C66" s="4">
        <v>1</v>
      </c>
      <c r="D66" s="4">
        <v>1</v>
      </c>
      <c r="E66" s="4">
        <v>1</v>
      </c>
      <c r="F66" s="4" t="s">
        <v>25</v>
      </c>
      <c r="G66" t="s">
        <v>26</v>
      </c>
      <c r="H66" s="4">
        <v>101</v>
      </c>
      <c r="I66" s="4">
        <v>3</v>
      </c>
      <c r="J66" s="38">
        <v>45418</v>
      </c>
      <c r="K66" s="4">
        <v>39</v>
      </c>
    </row>
    <row r="67" spans="1:11" x14ac:dyDescent="0.25">
      <c r="A67" s="4">
        <v>2</v>
      </c>
      <c r="B67" s="4">
        <v>1</v>
      </c>
      <c r="C67" s="4">
        <v>1</v>
      </c>
      <c r="D67" s="4">
        <v>2</v>
      </c>
      <c r="E67" s="4">
        <v>16</v>
      </c>
      <c r="F67" s="4" t="s">
        <v>25</v>
      </c>
      <c r="G67" t="s">
        <v>27</v>
      </c>
      <c r="H67" s="4">
        <v>201</v>
      </c>
      <c r="I67" s="4">
        <v>3</v>
      </c>
      <c r="J67" s="38">
        <v>45418</v>
      </c>
      <c r="K67" s="4">
        <v>40</v>
      </c>
    </row>
    <row r="68" spans="1:11" x14ac:dyDescent="0.25">
      <c r="A68" s="4">
        <v>3</v>
      </c>
      <c r="B68" s="4">
        <v>1</v>
      </c>
      <c r="C68" s="4">
        <v>1</v>
      </c>
      <c r="D68" s="4">
        <v>3</v>
      </c>
      <c r="E68" s="4">
        <v>17</v>
      </c>
      <c r="F68" s="4" t="s">
        <v>25</v>
      </c>
      <c r="G68" t="s">
        <v>28</v>
      </c>
      <c r="H68" s="4">
        <v>301</v>
      </c>
      <c r="I68" s="4">
        <v>3</v>
      </c>
      <c r="J68" s="38">
        <v>45418</v>
      </c>
      <c r="K68" s="4">
        <v>43</v>
      </c>
    </row>
    <row r="69" spans="1:11" x14ac:dyDescent="0.25">
      <c r="A69" s="4">
        <v>4</v>
      </c>
      <c r="B69" s="4">
        <v>1</v>
      </c>
      <c r="C69" s="4">
        <v>1</v>
      </c>
      <c r="D69" s="4">
        <v>4</v>
      </c>
      <c r="E69" s="4">
        <v>32</v>
      </c>
      <c r="F69" s="4" t="s">
        <v>25</v>
      </c>
      <c r="G69" t="s">
        <v>29</v>
      </c>
      <c r="H69" s="4">
        <v>401</v>
      </c>
      <c r="I69" s="4">
        <v>3</v>
      </c>
      <c r="J69" s="38">
        <v>45418</v>
      </c>
      <c r="K69" s="4">
        <v>20</v>
      </c>
    </row>
    <row r="70" spans="1:11" x14ac:dyDescent="0.25">
      <c r="A70" s="4">
        <v>4</v>
      </c>
      <c r="B70" s="4">
        <v>2</v>
      </c>
      <c r="C70" s="4">
        <v>1</v>
      </c>
      <c r="D70" s="4">
        <v>5</v>
      </c>
      <c r="E70" s="4">
        <v>31</v>
      </c>
      <c r="F70" s="4" t="s">
        <v>30</v>
      </c>
      <c r="G70" t="s">
        <v>32</v>
      </c>
      <c r="H70" s="4">
        <v>402</v>
      </c>
      <c r="I70" s="4">
        <v>3</v>
      </c>
      <c r="J70" s="44">
        <v>45443</v>
      </c>
      <c r="K70" s="49">
        <v>37</v>
      </c>
    </row>
    <row r="71" spans="1:11" x14ac:dyDescent="0.25">
      <c r="A71" s="4">
        <v>3</v>
      </c>
      <c r="B71" s="4">
        <v>2</v>
      </c>
      <c r="C71" s="4">
        <v>1</v>
      </c>
      <c r="D71" s="4">
        <v>6</v>
      </c>
      <c r="E71" s="4">
        <v>18</v>
      </c>
      <c r="F71" s="4" t="s">
        <v>30</v>
      </c>
      <c r="G71" t="s">
        <v>29</v>
      </c>
      <c r="H71" s="4">
        <v>302</v>
      </c>
      <c r="I71" s="4">
        <v>3</v>
      </c>
      <c r="J71" s="44">
        <v>45443</v>
      </c>
      <c r="K71" s="49">
        <v>37</v>
      </c>
    </row>
    <row r="72" spans="1:11" x14ac:dyDescent="0.25">
      <c r="A72" s="4">
        <v>2</v>
      </c>
      <c r="B72" s="4">
        <v>2</v>
      </c>
      <c r="C72" s="4">
        <v>1</v>
      </c>
      <c r="D72" s="4">
        <v>7</v>
      </c>
      <c r="E72" s="4">
        <v>15</v>
      </c>
      <c r="F72" s="4" t="s">
        <v>30</v>
      </c>
      <c r="G72" t="s">
        <v>28</v>
      </c>
      <c r="H72" s="4">
        <v>202</v>
      </c>
      <c r="I72" s="4">
        <v>3</v>
      </c>
      <c r="J72" s="44">
        <v>45443</v>
      </c>
      <c r="K72" s="49">
        <v>34</v>
      </c>
    </row>
    <row r="73" spans="1:11" x14ac:dyDescent="0.25">
      <c r="A73" s="4">
        <v>1</v>
      </c>
      <c r="B73" s="4">
        <v>2</v>
      </c>
      <c r="C73" s="4">
        <v>1</v>
      </c>
      <c r="D73" s="4">
        <v>8</v>
      </c>
      <c r="E73" s="4">
        <v>2</v>
      </c>
      <c r="F73" s="4" t="s">
        <v>30</v>
      </c>
      <c r="G73" t="s">
        <v>31</v>
      </c>
      <c r="H73" s="4">
        <v>102</v>
      </c>
      <c r="I73" s="4">
        <v>3</v>
      </c>
      <c r="J73" s="44">
        <v>45443</v>
      </c>
      <c r="K73" s="49">
        <v>34</v>
      </c>
    </row>
    <row r="74" spans="1:11" x14ac:dyDescent="0.25">
      <c r="A74" s="4">
        <v>1</v>
      </c>
      <c r="B74" s="4">
        <v>3</v>
      </c>
      <c r="C74" s="4">
        <v>2</v>
      </c>
      <c r="D74" s="4">
        <v>9</v>
      </c>
      <c r="E74" s="4">
        <v>3</v>
      </c>
      <c r="F74" s="4" t="s">
        <v>25</v>
      </c>
      <c r="G74" t="s">
        <v>27</v>
      </c>
      <c r="H74" s="4">
        <v>103</v>
      </c>
      <c r="I74" s="4">
        <v>3</v>
      </c>
      <c r="J74" s="38">
        <v>45418</v>
      </c>
      <c r="K74" s="4">
        <v>30</v>
      </c>
    </row>
    <row r="75" spans="1:11" x14ac:dyDescent="0.25">
      <c r="A75" s="4">
        <v>2</v>
      </c>
      <c r="B75" s="4">
        <v>3</v>
      </c>
      <c r="C75" s="4">
        <v>2</v>
      </c>
      <c r="D75" s="4">
        <v>10</v>
      </c>
      <c r="E75" s="4">
        <v>14</v>
      </c>
      <c r="F75" s="4" t="s">
        <v>25</v>
      </c>
      <c r="G75" t="s">
        <v>29</v>
      </c>
      <c r="H75" s="4">
        <v>203</v>
      </c>
      <c r="I75" s="4">
        <v>3</v>
      </c>
      <c r="J75" s="38">
        <v>45418</v>
      </c>
      <c r="K75" s="4">
        <v>20</v>
      </c>
    </row>
    <row r="76" spans="1:11" x14ac:dyDescent="0.25">
      <c r="A76" s="4">
        <v>3</v>
      </c>
      <c r="B76" s="4">
        <v>3</v>
      </c>
      <c r="C76" s="4">
        <v>2</v>
      </c>
      <c r="D76" s="4">
        <v>11</v>
      </c>
      <c r="E76" s="4">
        <v>19</v>
      </c>
      <c r="F76" s="4" t="s">
        <v>25</v>
      </c>
      <c r="G76" t="s">
        <v>26</v>
      </c>
      <c r="H76" s="4">
        <v>303</v>
      </c>
      <c r="I76" s="4">
        <v>3</v>
      </c>
      <c r="J76" s="38">
        <v>45418</v>
      </c>
      <c r="K76" s="4">
        <v>33</v>
      </c>
    </row>
    <row r="77" spans="1:11" x14ac:dyDescent="0.25">
      <c r="A77" s="4">
        <v>4</v>
      </c>
      <c r="B77" s="4">
        <v>3</v>
      </c>
      <c r="C77" s="4">
        <v>2</v>
      </c>
      <c r="D77" s="4">
        <v>12</v>
      </c>
      <c r="E77" s="4">
        <v>30</v>
      </c>
      <c r="F77" s="4" t="s">
        <v>25</v>
      </c>
      <c r="G77" t="s">
        <v>28</v>
      </c>
      <c r="H77" s="4">
        <v>403</v>
      </c>
      <c r="I77" s="4">
        <v>3</v>
      </c>
      <c r="J77" s="38">
        <v>45418</v>
      </c>
      <c r="K77" s="4">
        <v>32</v>
      </c>
    </row>
    <row r="78" spans="1:11" x14ac:dyDescent="0.25">
      <c r="A78" s="4">
        <v>4</v>
      </c>
      <c r="B78" s="4">
        <v>4</v>
      </c>
      <c r="C78" s="4">
        <v>2</v>
      </c>
      <c r="D78" s="4">
        <v>13</v>
      </c>
      <c r="E78" s="4">
        <v>29</v>
      </c>
      <c r="F78" s="4" t="s">
        <v>30</v>
      </c>
      <c r="G78" t="s">
        <v>29</v>
      </c>
      <c r="H78" s="4">
        <v>404</v>
      </c>
      <c r="I78" s="4">
        <v>3</v>
      </c>
      <c r="J78" s="44">
        <v>45443</v>
      </c>
      <c r="K78" s="49">
        <v>35</v>
      </c>
    </row>
    <row r="79" spans="1:11" x14ac:dyDescent="0.25">
      <c r="A79" s="4">
        <v>3</v>
      </c>
      <c r="B79" s="4">
        <v>4</v>
      </c>
      <c r="C79" s="4">
        <v>2</v>
      </c>
      <c r="D79" s="4">
        <v>14</v>
      </c>
      <c r="E79" s="4">
        <v>20</v>
      </c>
      <c r="F79" s="4" t="s">
        <v>30</v>
      </c>
      <c r="G79" t="s">
        <v>31</v>
      </c>
      <c r="H79" s="4">
        <v>304</v>
      </c>
      <c r="I79" s="4">
        <v>3</v>
      </c>
      <c r="J79" s="44">
        <v>45443</v>
      </c>
      <c r="K79" s="49">
        <v>46</v>
      </c>
    </row>
    <row r="80" spans="1:11" x14ac:dyDescent="0.25">
      <c r="A80" s="4">
        <v>2</v>
      </c>
      <c r="B80" s="4">
        <v>4</v>
      </c>
      <c r="C80" s="4">
        <v>2</v>
      </c>
      <c r="D80" s="4">
        <v>15</v>
      </c>
      <c r="E80" s="4">
        <v>13</v>
      </c>
      <c r="F80" s="4" t="s">
        <v>30</v>
      </c>
      <c r="G80" t="s">
        <v>32</v>
      </c>
      <c r="H80" s="4">
        <v>204</v>
      </c>
      <c r="I80" s="4">
        <v>3</v>
      </c>
      <c r="J80" s="44">
        <v>45443</v>
      </c>
      <c r="K80" s="49">
        <v>31</v>
      </c>
    </row>
    <row r="81" spans="1:11" x14ac:dyDescent="0.25">
      <c r="A81" s="4">
        <v>1</v>
      </c>
      <c r="B81" s="4">
        <v>4</v>
      </c>
      <c r="C81" s="4">
        <v>2</v>
      </c>
      <c r="D81" s="4">
        <v>16</v>
      </c>
      <c r="E81" s="4">
        <v>4</v>
      </c>
      <c r="F81" s="4" t="s">
        <v>30</v>
      </c>
      <c r="G81" t="s">
        <v>28</v>
      </c>
      <c r="H81" s="4">
        <v>104</v>
      </c>
      <c r="I81" s="4">
        <v>3</v>
      </c>
      <c r="J81" s="44">
        <v>45443</v>
      </c>
      <c r="K81" s="49">
        <v>41</v>
      </c>
    </row>
    <row r="82" spans="1:11" x14ac:dyDescent="0.25">
      <c r="A82" s="4">
        <v>1</v>
      </c>
      <c r="B82" s="4">
        <v>5</v>
      </c>
      <c r="C82" s="4">
        <v>3</v>
      </c>
      <c r="D82" s="4">
        <v>17</v>
      </c>
      <c r="E82" s="4">
        <v>5</v>
      </c>
      <c r="F82" s="4" t="s">
        <v>25</v>
      </c>
      <c r="G82" t="s">
        <v>28</v>
      </c>
      <c r="H82" s="4">
        <v>105</v>
      </c>
      <c r="I82" s="4">
        <v>3</v>
      </c>
      <c r="J82" s="38">
        <v>45418</v>
      </c>
      <c r="K82" s="4">
        <v>20</v>
      </c>
    </row>
    <row r="83" spans="1:11" x14ac:dyDescent="0.25">
      <c r="A83" s="4">
        <v>2</v>
      </c>
      <c r="B83" s="4">
        <v>5</v>
      </c>
      <c r="C83" s="4">
        <v>3</v>
      </c>
      <c r="D83" s="4">
        <v>18</v>
      </c>
      <c r="E83" s="4">
        <v>12</v>
      </c>
      <c r="F83" s="4" t="s">
        <v>25</v>
      </c>
      <c r="G83" t="s">
        <v>26</v>
      </c>
      <c r="H83" s="4">
        <v>205</v>
      </c>
      <c r="I83" s="4">
        <v>3</v>
      </c>
      <c r="J83" s="38">
        <v>45418</v>
      </c>
      <c r="K83" s="4">
        <v>28</v>
      </c>
    </row>
    <row r="84" spans="1:11" x14ac:dyDescent="0.25">
      <c r="A84" s="4">
        <v>3</v>
      </c>
      <c r="B84" s="4">
        <v>5</v>
      </c>
      <c r="C84" s="4">
        <v>3</v>
      </c>
      <c r="D84" s="4">
        <v>19</v>
      </c>
      <c r="E84" s="4">
        <v>21</v>
      </c>
      <c r="F84" s="4" t="s">
        <v>25</v>
      </c>
      <c r="G84" t="s">
        <v>29</v>
      </c>
      <c r="H84" s="4">
        <v>305</v>
      </c>
      <c r="I84" s="4">
        <v>3</v>
      </c>
      <c r="J84" s="38">
        <v>45418</v>
      </c>
      <c r="K84" s="4">
        <v>27</v>
      </c>
    </row>
    <row r="85" spans="1:11" x14ac:dyDescent="0.25">
      <c r="A85" s="4">
        <v>4</v>
      </c>
      <c r="B85" s="4">
        <v>5</v>
      </c>
      <c r="C85" s="4">
        <v>3</v>
      </c>
      <c r="D85" s="4">
        <v>20</v>
      </c>
      <c r="E85" s="4">
        <v>28</v>
      </c>
      <c r="F85" s="4" t="s">
        <v>25</v>
      </c>
      <c r="G85" t="s">
        <v>27</v>
      </c>
      <c r="H85" s="4">
        <v>405</v>
      </c>
      <c r="I85" s="4">
        <v>3</v>
      </c>
      <c r="J85" s="38">
        <v>45418</v>
      </c>
      <c r="K85" s="4">
        <v>29</v>
      </c>
    </row>
    <row r="86" spans="1:11" x14ac:dyDescent="0.25">
      <c r="A86" s="4">
        <v>4</v>
      </c>
      <c r="B86" s="4">
        <v>6</v>
      </c>
      <c r="C86" s="4">
        <v>3</v>
      </c>
      <c r="D86" s="4">
        <v>21</v>
      </c>
      <c r="E86" s="4">
        <v>27</v>
      </c>
      <c r="F86" s="4" t="s">
        <v>30</v>
      </c>
      <c r="G86" t="s">
        <v>28</v>
      </c>
      <c r="H86" s="4">
        <v>406</v>
      </c>
      <c r="I86" s="4">
        <v>3</v>
      </c>
      <c r="J86" s="44">
        <v>45443</v>
      </c>
      <c r="K86" s="49">
        <v>23</v>
      </c>
    </row>
    <row r="87" spans="1:11" x14ac:dyDescent="0.25">
      <c r="A87" s="4">
        <v>3</v>
      </c>
      <c r="B87" s="4">
        <v>6</v>
      </c>
      <c r="C87" s="4">
        <v>3</v>
      </c>
      <c r="D87" s="4">
        <v>22</v>
      </c>
      <c r="E87" s="4">
        <v>22</v>
      </c>
      <c r="F87" s="4" t="s">
        <v>30</v>
      </c>
      <c r="G87" t="s">
        <v>32</v>
      </c>
      <c r="H87" s="4">
        <v>306</v>
      </c>
      <c r="I87" s="4">
        <v>3</v>
      </c>
      <c r="J87" s="44">
        <v>45443</v>
      </c>
      <c r="K87" s="49">
        <v>30</v>
      </c>
    </row>
    <row r="88" spans="1:11" x14ac:dyDescent="0.25">
      <c r="A88" s="4">
        <v>2</v>
      </c>
      <c r="B88" s="4">
        <v>6</v>
      </c>
      <c r="C88" s="4">
        <v>3</v>
      </c>
      <c r="D88" s="4">
        <v>23</v>
      </c>
      <c r="E88" s="4">
        <v>11</v>
      </c>
      <c r="F88" s="4" t="s">
        <v>30</v>
      </c>
      <c r="G88" t="s">
        <v>31</v>
      </c>
      <c r="H88" s="4">
        <v>206</v>
      </c>
      <c r="I88" s="4">
        <v>3</v>
      </c>
      <c r="J88" s="44">
        <v>45443</v>
      </c>
      <c r="K88" s="49">
        <v>44</v>
      </c>
    </row>
    <row r="89" spans="1:11" x14ac:dyDescent="0.25">
      <c r="A89" s="4">
        <v>1</v>
      </c>
      <c r="B89" s="4">
        <v>6</v>
      </c>
      <c r="C89" s="4">
        <v>3</v>
      </c>
      <c r="D89" s="4">
        <v>24</v>
      </c>
      <c r="E89" s="4">
        <v>6</v>
      </c>
      <c r="F89" s="4" t="s">
        <v>30</v>
      </c>
      <c r="G89" t="s">
        <v>29</v>
      </c>
      <c r="H89" s="4">
        <v>106</v>
      </c>
      <c r="I89" s="4">
        <v>3</v>
      </c>
      <c r="J89" s="44">
        <v>45443</v>
      </c>
      <c r="K89" s="49">
        <v>39</v>
      </c>
    </row>
    <row r="90" spans="1:11" x14ac:dyDescent="0.25">
      <c r="A90" s="4">
        <v>1</v>
      </c>
      <c r="B90" s="4">
        <v>7</v>
      </c>
      <c r="C90" s="4">
        <v>4</v>
      </c>
      <c r="D90" s="4">
        <v>25</v>
      </c>
      <c r="E90" s="4">
        <v>7</v>
      </c>
      <c r="F90" s="4" t="s">
        <v>25</v>
      </c>
      <c r="G90" t="s">
        <v>29</v>
      </c>
      <c r="H90" s="4">
        <v>107</v>
      </c>
      <c r="I90" s="4">
        <v>3</v>
      </c>
      <c r="J90" s="38">
        <v>45418</v>
      </c>
      <c r="K90" s="4">
        <v>18</v>
      </c>
    </row>
    <row r="91" spans="1:11" x14ac:dyDescent="0.25">
      <c r="A91" s="4">
        <v>2</v>
      </c>
      <c r="B91" s="4">
        <v>7</v>
      </c>
      <c r="C91" s="4">
        <v>4</v>
      </c>
      <c r="D91" s="4">
        <v>26</v>
      </c>
      <c r="E91" s="4">
        <v>10</v>
      </c>
      <c r="F91" s="4" t="s">
        <v>25</v>
      </c>
      <c r="G91" t="s">
        <v>28</v>
      </c>
      <c r="H91" s="4">
        <v>207</v>
      </c>
      <c r="I91" s="4">
        <v>3</v>
      </c>
      <c r="J91" s="38">
        <v>45418</v>
      </c>
      <c r="K91" s="4">
        <v>11</v>
      </c>
    </row>
    <row r="92" spans="1:11" x14ac:dyDescent="0.25">
      <c r="A92" s="4">
        <v>3</v>
      </c>
      <c r="B92" s="4">
        <v>7</v>
      </c>
      <c r="C92" s="4">
        <v>4</v>
      </c>
      <c r="D92" s="4">
        <v>27</v>
      </c>
      <c r="E92" s="4">
        <v>23</v>
      </c>
      <c r="F92" s="4" t="s">
        <v>25</v>
      </c>
      <c r="G92" t="s">
        <v>27</v>
      </c>
      <c r="H92" s="4">
        <v>307</v>
      </c>
      <c r="I92" s="4">
        <v>3</v>
      </c>
      <c r="J92" s="38">
        <v>45418</v>
      </c>
      <c r="K92" s="4">
        <v>19</v>
      </c>
    </row>
    <row r="93" spans="1:11" x14ac:dyDescent="0.25">
      <c r="A93" s="4">
        <v>4</v>
      </c>
      <c r="B93" s="4">
        <v>7</v>
      </c>
      <c r="C93" s="4">
        <v>4</v>
      </c>
      <c r="D93" s="4">
        <v>28</v>
      </c>
      <c r="E93" s="4">
        <v>26</v>
      </c>
      <c r="F93" s="4" t="s">
        <v>25</v>
      </c>
      <c r="G93" t="s">
        <v>26</v>
      </c>
      <c r="H93" s="4">
        <v>407</v>
      </c>
      <c r="I93" s="4">
        <v>3</v>
      </c>
      <c r="J93" s="38">
        <v>45418</v>
      </c>
      <c r="K93" s="4">
        <v>39</v>
      </c>
    </row>
    <row r="94" spans="1:11" x14ac:dyDescent="0.25">
      <c r="A94" s="4">
        <v>4</v>
      </c>
      <c r="B94" s="4">
        <v>8</v>
      </c>
      <c r="C94" s="4">
        <v>4</v>
      </c>
      <c r="D94" s="4">
        <v>29</v>
      </c>
      <c r="E94" s="4">
        <v>25</v>
      </c>
      <c r="F94" s="4" t="s">
        <v>30</v>
      </c>
      <c r="G94" t="s">
        <v>31</v>
      </c>
      <c r="H94" s="4">
        <v>408</v>
      </c>
      <c r="I94" s="4">
        <v>3</v>
      </c>
      <c r="J94" s="44">
        <v>45443</v>
      </c>
      <c r="K94" s="49">
        <v>42</v>
      </c>
    </row>
    <row r="95" spans="1:11" x14ac:dyDescent="0.25">
      <c r="A95" s="4">
        <v>3</v>
      </c>
      <c r="B95" s="4">
        <v>8</v>
      </c>
      <c r="C95" s="4">
        <v>4</v>
      </c>
      <c r="D95" s="4">
        <v>30</v>
      </c>
      <c r="E95" s="4">
        <v>24</v>
      </c>
      <c r="F95" s="4" t="s">
        <v>30</v>
      </c>
      <c r="G95" t="s">
        <v>28</v>
      </c>
      <c r="H95" s="4">
        <v>308</v>
      </c>
      <c r="I95" s="4">
        <v>3</v>
      </c>
      <c r="J95" s="44">
        <v>45443</v>
      </c>
      <c r="K95" s="49">
        <v>57</v>
      </c>
    </row>
    <row r="96" spans="1:11" x14ac:dyDescent="0.25">
      <c r="A96" s="4">
        <v>2</v>
      </c>
      <c r="B96" s="4">
        <v>8</v>
      </c>
      <c r="C96" s="4">
        <v>4</v>
      </c>
      <c r="D96" s="4">
        <v>31</v>
      </c>
      <c r="E96" s="4">
        <v>9</v>
      </c>
      <c r="F96" s="4" t="s">
        <v>30</v>
      </c>
      <c r="G96" t="s">
        <v>29</v>
      </c>
      <c r="H96" s="4">
        <v>208</v>
      </c>
      <c r="I96" s="4">
        <v>3</v>
      </c>
      <c r="J96" s="44">
        <v>45443</v>
      </c>
      <c r="K96" s="49">
        <v>27</v>
      </c>
    </row>
    <row r="97" spans="1:11" x14ac:dyDescent="0.25">
      <c r="A97" s="4">
        <v>1</v>
      </c>
      <c r="B97" s="4">
        <v>8</v>
      </c>
      <c r="C97" s="4">
        <v>4</v>
      </c>
      <c r="D97" s="4">
        <v>32</v>
      </c>
      <c r="E97" s="4">
        <v>8</v>
      </c>
      <c r="F97" s="4" t="s">
        <v>30</v>
      </c>
      <c r="G97" t="s">
        <v>32</v>
      </c>
      <c r="H97" s="4">
        <v>108</v>
      </c>
      <c r="I97" s="4">
        <v>3</v>
      </c>
      <c r="J97" s="44">
        <v>45443</v>
      </c>
      <c r="K97" s="49">
        <v>32</v>
      </c>
    </row>
    <row r="98" spans="1:11" x14ac:dyDescent="0.25">
      <c r="A98" s="4">
        <v>1</v>
      </c>
      <c r="B98" s="4">
        <v>1</v>
      </c>
      <c r="C98" s="4">
        <v>1</v>
      </c>
      <c r="D98" s="4">
        <v>1</v>
      </c>
      <c r="E98" s="4">
        <v>1</v>
      </c>
      <c r="F98" s="4" t="s">
        <v>25</v>
      </c>
      <c r="G98" t="s">
        <v>26</v>
      </c>
      <c r="H98" s="4">
        <v>101</v>
      </c>
      <c r="I98" s="4">
        <v>4</v>
      </c>
      <c r="J98" s="38">
        <v>45420</v>
      </c>
      <c r="K98" s="4">
        <v>45</v>
      </c>
    </row>
    <row r="99" spans="1:11" x14ac:dyDescent="0.25">
      <c r="A99" s="4">
        <v>2</v>
      </c>
      <c r="B99" s="4">
        <v>1</v>
      </c>
      <c r="C99" s="4">
        <v>1</v>
      </c>
      <c r="D99" s="4">
        <v>2</v>
      </c>
      <c r="E99" s="4">
        <v>16</v>
      </c>
      <c r="F99" s="4" t="s">
        <v>25</v>
      </c>
      <c r="G99" t="s">
        <v>27</v>
      </c>
      <c r="H99" s="4">
        <v>201</v>
      </c>
      <c r="I99" s="4">
        <v>4</v>
      </c>
      <c r="J99" s="38">
        <v>45420</v>
      </c>
      <c r="K99" s="4">
        <v>41</v>
      </c>
    </row>
    <row r="100" spans="1:11" x14ac:dyDescent="0.25">
      <c r="A100" s="4">
        <v>3</v>
      </c>
      <c r="B100" s="4">
        <v>1</v>
      </c>
      <c r="C100" s="4">
        <v>1</v>
      </c>
      <c r="D100" s="4">
        <v>3</v>
      </c>
      <c r="E100" s="4">
        <v>17</v>
      </c>
      <c r="F100" s="4" t="s">
        <v>25</v>
      </c>
      <c r="G100" t="s">
        <v>28</v>
      </c>
      <c r="H100" s="4">
        <v>301</v>
      </c>
      <c r="I100" s="4">
        <v>4</v>
      </c>
      <c r="J100" s="38">
        <v>45420</v>
      </c>
      <c r="K100" s="4">
        <v>48</v>
      </c>
    </row>
    <row r="101" spans="1:11" x14ac:dyDescent="0.25">
      <c r="A101" s="4">
        <v>4</v>
      </c>
      <c r="B101" s="4">
        <v>1</v>
      </c>
      <c r="C101" s="4">
        <v>1</v>
      </c>
      <c r="D101" s="4">
        <v>4</v>
      </c>
      <c r="E101" s="4">
        <v>32</v>
      </c>
      <c r="F101" s="4" t="s">
        <v>25</v>
      </c>
      <c r="G101" t="s">
        <v>29</v>
      </c>
      <c r="H101" s="4">
        <v>401</v>
      </c>
      <c r="I101" s="4">
        <v>4</v>
      </c>
      <c r="J101" s="38">
        <v>45420</v>
      </c>
      <c r="K101" s="4">
        <v>20</v>
      </c>
    </row>
    <row r="102" spans="1:11" x14ac:dyDescent="0.25">
      <c r="A102" s="4">
        <v>4</v>
      </c>
      <c r="B102" s="4">
        <v>2</v>
      </c>
      <c r="C102" s="4">
        <v>1</v>
      </c>
      <c r="D102" s="4">
        <v>5</v>
      </c>
      <c r="E102" s="4">
        <v>31</v>
      </c>
      <c r="F102" s="4" t="s">
        <v>30</v>
      </c>
      <c r="G102" t="s">
        <v>32</v>
      </c>
      <c r="H102" s="4">
        <v>402</v>
      </c>
      <c r="I102" s="4">
        <v>4</v>
      </c>
      <c r="J102" s="44">
        <v>45447</v>
      </c>
      <c r="K102" s="4">
        <v>37</v>
      </c>
    </row>
    <row r="103" spans="1:11" x14ac:dyDescent="0.25">
      <c r="A103" s="4">
        <v>3</v>
      </c>
      <c r="B103" s="4">
        <v>2</v>
      </c>
      <c r="C103" s="4">
        <v>1</v>
      </c>
      <c r="D103" s="4">
        <v>6</v>
      </c>
      <c r="E103" s="4">
        <v>18</v>
      </c>
      <c r="F103" s="4" t="s">
        <v>30</v>
      </c>
      <c r="G103" t="s">
        <v>29</v>
      </c>
      <c r="H103" s="4">
        <v>302</v>
      </c>
      <c r="I103" s="4">
        <v>4</v>
      </c>
      <c r="J103" s="44">
        <v>45447</v>
      </c>
      <c r="K103" s="4">
        <v>36</v>
      </c>
    </row>
    <row r="104" spans="1:11" x14ac:dyDescent="0.25">
      <c r="A104" s="4">
        <v>2</v>
      </c>
      <c r="B104" s="4">
        <v>2</v>
      </c>
      <c r="C104" s="4">
        <v>1</v>
      </c>
      <c r="D104" s="4">
        <v>7</v>
      </c>
      <c r="E104" s="4">
        <v>15</v>
      </c>
      <c r="F104" s="4" t="s">
        <v>30</v>
      </c>
      <c r="G104" t="s">
        <v>28</v>
      </c>
      <c r="H104" s="4">
        <v>202</v>
      </c>
      <c r="I104" s="4">
        <v>4</v>
      </c>
      <c r="J104" s="44">
        <v>45447</v>
      </c>
      <c r="K104" s="4">
        <v>34</v>
      </c>
    </row>
    <row r="105" spans="1:11" x14ac:dyDescent="0.25">
      <c r="A105" s="4">
        <v>1</v>
      </c>
      <c r="B105" s="4">
        <v>2</v>
      </c>
      <c r="C105" s="4">
        <v>1</v>
      </c>
      <c r="D105" s="4">
        <v>8</v>
      </c>
      <c r="E105" s="4">
        <v>2</v>
      </c>
      <c r="F105" s="4" t="s">
        <v>30</v>
      </c>
      <c r="G105" t="s">
        <v>31</v>
      </c>
      <c r="H105" s="4">
        <v>102</v>
      </c>
      <c r="I105" s="4">
        <v>4</v>
      </c>
      <c r="J105" s="44">
        <v>45447</v>
      </c>
      <c r="K105" s="4">
        <v>33</v>
      </c>
    </row>
    <row r="106" spans="1:11" x14ac:dyDescent="0.25">
      <c r="A106" s="4">
        <v>1</v>
      </c>
      <c r="B106" s="4">
        <v>3</v>
      </c>
      <c r="C106" s="4">
        <v>2</v>
      </c>
      <c r="D106" s="4">
        <v>9</v>
      </c>
      <c r="E106" s="4">
        <v>3</v>
      </c>
      <c r="F106" s="4" t="s">
        <v>25</v>
      </c>
      <c r="G106" t="s">
        <v>27</v>
      </c>
      <c r="H106" s="4">
        <v>103</v>
      </c>
      <c r="I106" s="4">
        <v>4</v>
      </c>
      <c r="J106" s="38">
        <v>45420</v>
      </c>
      <c r="K106" s="4">
        <v>35</v>
      </c>
    </row>
    <row r="107" spans="1:11" x14ac:dyDescent="0.25">
      <c r="A107" s="4">
        <v>2</v>
      </c>
      <c r="B107" s="4">
        <v>3</v>
      </c>
      <c r="C107" s="4">
        <v>2</v>
      </c>
      <c r="D107" s="4">
        <v>10</v>
      </c>
      <c r="E107" s="4">
        <v>14</v>
      </c>
      <c r="F107" s="4" t="s">
        <v>25</v>
      </c>
      <c r="G107" t="s">
        <v>29</v>
      </c>
      <c r="H107" s="4">
        <v>203</v>
      </c>
      <c r="I107" s="4">
        <v>4</v>
      </c>
      <c r="J107" s="38">
        <v>45420</v>
      </c>
      <c r="K107" s="4">
        <v>20</v>
      </c>
    </row>
    <row r="108" spans="1:11" x14ac:dyDescent="0.25">
      <c r="A108" s="4">
        <v>3</v>
      </c>
      <c r="B108" s="4">
        <v>3</v>
      </c>
      <c r="C108" s="4">
        <v>2</v>
      </c>
      <c r="D108" s="4">
        <v>11</v>
      </c>
      <c r="E108" s="4">
        <v>19</v>
      </c>
      <c r="F108" s="4" t="s">
        <v>25</v>
      </c>
      <c r="G108" t="s">
        <v>26</v>
      </c>
      <c r="H108" s="4">
        <v>303</v>
      </c>
      <c r="I108" s="4">
        <v>4</v>
      </c>
      <c r="J108" s="38">
        <v>45420</v>
      </c>
      <c r="K108" s="4">
        <v>34</v>
      </c>
    </row>
    <row r="109" spans="1:11" x14ac:dyDescent="0.25">
      <c r="A109" s="4">
        <v>4</v>
      </c>
      <c r="B109" s="4">
        <v>3</v>
      </c>
      <c r="C109" s="4">
        <v>2</v>
      </c>
      <c r="D109" s="4">
        <v>12</v>
      </c>
      <c r="E109" s="4">
        <v>30</v>
      </c>
      <c r="F109" s="4" t="s">
        <v>25</v>
      </c>
      <c r="G109" t="s">
        <v>28</v>
      </c>
      <c r="H109" s="4">
        <v>403</v>
      </c>
      <c r="I109" s="4">
        <v>4</v>
      </c>
      <c r="J109" s="38">
        <v>45420</v>
      </c>
      <c r="K109" s="4">
        <v>34</v>
      </c>
    </row>
    <row r="110" spans="1:11" x14ac:dyDescent="0.25">
      <c r="A110" s="4">
        <v>4</v>
      </c>
      <c r="B110" s="4">
        <v>4</v>
      </c>
      <c r="C110" s="4">
        <v>2</v>
      </c>
      <c r="D110" s="4">
        <v>13</v>
      </c>
      <c r="E110" s="4">
        <v>29</v>
      </c>
      <c r="F110" s="4" t="s">
        <v>30</v>
      </c>
      <c r="G110" t="s">
        <v>29</v>
      </c>
      <c r="H110" s="4">
        <v>404</v>
      </c>
      <c r="I110" s="4">
        <v>4</v>
      </c>
      <c r="J110" s="44">
        <v>45447</v>
      </c>
      <c r="K110" s="4">
        <v>36</v>
      </c>
    </row>
    <row r="111" spans="1:11" x14ac:dyDescent="0.25">
      <c r="A111" s="4">
        <v>3</v>
      </c>
      <c r="B111" s="4">
        <v>4</v>
      </c>
      <c r="C111" s="4">
        <v>2</v>
      </c>
      <c r="D111" s="4">
        <v>14</v>
      </c>
      <c r="E111" s="4">
        <v>20</v>
      </c>
      <c r="F111" s="4" t="s">
        <v>30</v>
      </c>
      <c r="G111" t="s">
        <v>31</v>
      </c>
      <c r="H111" s="4">
        <v>304</v>
      </c>
      <c r="I111" s="4">
        <v>4</v>
      </c>
      <c r="J111" s="44">
        <v>45447</v>
      </c>
      <c r="K111" s="4">
        <v>45</v>
      </c>
    </row>
    <row r="112" spans="1:11" x14ac:dyDescent="0.25">
      <c r="A112" s="4">
        <v>2</v>
      </c>
      <c r="B112" s="4">
        <v>4</v>
      </c>
      <c r="C112" s="4">
        <v>2</v>
      </c>
      <c r="D112" s="4">
        <v>15</v>
      </c>
      <c r="E112" s="4">
        <v>13</v>
      </c>
      <c r="F112" s="4" t="s">
        <v>30</v>
      </c>
      <c r="G112" t="s">
        <v>32</v>
      </c>
      <c r="H112" s="4">
        <v>204</v>
      </c>
      <c r="I112" s="4">
        <v>4</v>
      </c>
      <c r="J112" s="44">
        <v>45447</v>
      </c>
      <c r="K112" s="4">
        <v>30</v>
      </c>
    </row>
    <row r="113" spans="1:11" x14ac:dyDescent="0.25">
      <c r="A113" s="4">
        <v>1</v>
      </c>
      <c r="B113" s="4">
        <v>4</v>
      </c>
      <c r="C113" s="4">
        <v>2</v>
      </c>
      <c r="D113" s="4">
        <v>16</v>
      </c>
      <c r="E113" s="4">
        <v>4</v>
      </c>
      <c r="F113" s="4" t="s">
        <v>30</v>
      </c>
      <c r="G113" t="s">
        <v>28</v>
      </c>
      <c r="H113" s="4">
        <v>104</v>
      </c>
      <c r="I113" s="4">
        <v>4</v>
      </c>
      <c r="J113" s="44">
        <v>45447</v>
      </c>
      <c r="K113" s="4">
        <v>42</v>
      </c>
    </row>
    <row r="114" spans="1:11" x14ac:dyDescent="0.25">
      <c r="A114" s="4">
        <v>1</v>
      </c>
      <c r="B114" s="4">
        <v>5</v>
      </c>
      <c r="C114" s="4">
        <v>3</v>
      </c>
      <c r="D114" s="4">
        <v>17</v>
      </c>
      <c r="E114" s="4">
        <v>5</v>
      </c>
      <c r="F114" s="4" t="s">
        <v>25</v>
      </c>
      <c r="G114" t="s">
        <v>28</v>
      </c>
      <c r="H114" s="4">
        <v>105</v>
      </c>
      <c r="I114" s="4">
        <v>4</v>
      </c>
      <c r="J114" s="38">
        <v>45420</v>
      </c>
      <c r="K114" s="4">
        <v>19</v>
      </c>
    </row>
    <row r="115" spans="1:11" x14ac:dyDescent="0.25">
      <c r="A115" s="4">
        <v>2</v>
      </c>
      <c r="B115" s="4">
        <v>5</v>
      </c>
      <c r="C115" s="4">
        <v>3</v>
      </c>
      <c r="D115" s="4">
        <v>18</v>
      </c>
      <c r="E115" s="4">
        <v>12</v>
      </c>
      <c r="F115" s="4" t="s">
        <v>25</v>
      </c>
      <c r="G115" t="s">
        <v>26</v>
      </c>
      <c r="H115" s="4">
        <v>205</v>
      </c>
      <c r="I115" s="4">
        <v>4</v>
      </c>
      <c r="J115" s="38">
        <v>45420</v>
      </c>
      <c r="K115" s="4">
        <v>28</v>
      </c>
    </row>
    <row r="116" spans="1:11" x14ac:dyDescent="0.25">
      <c r="A116" s="4">
        <v>3</v>
      </c>
      <c r="B116" s="4">
        <v>5</v>
      </c>
      <c r="C116" s="4">
        <v>3</v>
      </c>
      <c r="D116" s="4">
        <v>19</v>
      </c>
      <c r="E116" s="4">
        <v>21</v>
      </c>
      <c r="F116" s="4" t="s">
        <v>25</v>
      </c>
      <c r="G116" t="s">
        <v>29</v>
      </c>
      <c r="H116" s="4">
        <v>305</v>
      </c>
      <c r="I116" s="4">
        <v>4</v>
      </c>
      <c r="J116" s="38">
        <v>45420</v>
      </c>
      <c r="K116" s="4">
        <v>26</v>
      </c>
    </row>
    <row r="117" spans="1:11" x14ac:dyDescent="0.25">
      <c r="A117" s="4">
        <v>4</v>
      </c>
      <c r="B117" s="4">
        <v>5</v>
      </c>
      <c r="C117" s="4">
        <v>3</v>
      </c>
      <c r="D117" s="4">
        <v>20</v>
      </c>
      <c r="E117" s="4">
        <v>28</v>
      </c>
      <c r="F117" s="4" t="s">
        <v>25</v>
      </c>
      <c r="G117" t="s">
        <v>27</v>
      </c>
      <c r="H117" s="4">
        <v>405</v>
      </c>
      <c r="I117" s="4">
        <v>4</v>
      </c>
      <c r="J117" s="38">
        <v>45420</v>
      </c>
      <c r="K117" s="4">
        <v>27</v>
      </c>
    </row>
    <row r="118" spans="1:11" x14ac:dyDescent="0.25">
      <c r="A118" s="4">
        <v>4</v>
      </c>
      <c r="B118" s="4">
        <v>6</v>
      </c>
      <c r="C118" s="4">
        <v>3</v>
      </c>
      <c r="D118" s="4">
        <v>21</v>
      </c>
      <c r="E118" s="4">
        <v>27</v>
      </c>
      <c r="F118" s="4" t="s">
        <v>30</v>
      </c>
      <c r="G118" t="s">
        <v>28</v>
      </c>
      <c r="H118" s="4">
        <v>406</v>
      </c>
      <c r="I118" s="4">
        <v>4</v>
      </c>
      <c r="J118" s="44">
        <v>45447</v>
      </c>
      <c r="K118" s="4">
        <v>24</v>
      </c>
    </row>
    <row r="119" spans="1:11" x14ac:dyDescent="0.25">
      <c r="A119" s="4">
        <v>3</v>
      </c>
      <c r="B119" s="4">
        <v>6</v>
      </c>
      <c r="C119" s="4">
        <v>3</v>
      </c>
      <c r="D119" s="4">
        <v>22</v>
      </c>
      <c r="E119" s="4">
        <v>22</v>
      </c>
      <c r="F119" s="4" t="s">
        <v>30</v>
      </c>
      <c r="G119" t="s">
        <v>32</v>
      </c>
      <c r="H119" s="4">
        <v>306</v>
      </c>
      <c r="I119" s="4">
        <v>4</v>
      </c>
      <c r="J119" s="44">
        <v>45447</v>
      </c>
      <c r="K119" s="4">
        <v>29</v>
      </c>
    </row>
    <row r="120" spans="1:11" x14ac:dyDescent="0.25">
      <c r="A120" s="4">
        <v>2</v>
      </c>
      <c r="B120" s="4">
        <v>6</v>
      </c>
      <c r="C120" s="4">
        <v>3</v>
      </c>
      <c r="D120" s="4">
        <v>23</v>
      </c>
      <c r="E120" s="4">
        <v>11</v>
      </c>
      <c r="F120" s="4" t="s">
        <v>30</v>
      </c>
      <c r="G120" t="s">
        <v>31</v>
      </c>
      <c r="H120" s="4">
        <v>206</v>
      </c>
      <c r="I120" s="4">
        <v>4</v>
      </c>
      <c r="J120" s="44">
        <v>45447</v>
      </c>
      <c r="K120" s="4">
        <v>44</v>
      </c>
    </row>
    <row r="121" spans="1:11" x14ac:dyDescent="0.25">
      <c r="A121" s="4">
        <v>1</v>
      </c>
      <c r="B121" s="4">
        <v>6</v>
      </c>
      <c r="C121" s="4">
        <v>3</v>
      </c>
      <c r="D121" s="4">
        <v>24</v>
      </c>
      <c r="E121" s="4">
        <v>6</v>
      </c>
      <c r="F121" s="4" t="s">
        <v>30</v>
      </c>
      <c r="G121" t="s">
        <v>29</v>
      </c>
      <c r="H121" s="4">
        <v>106</v>
      </c>
      <c r="I121" s="4">
        <v>4</v>
      </c>
      <c r="J121" s="44">
        <v>45447</v>
      </c>
      <c r="K121" s="4">
        <v>40</v>
      </c>
    </row>
    <row r="122" spans="1:11" x14ac:dyDescent="0.25">
      <c r="A122" s="4">
        <v>1</v>
      </c>
      <c r="B122" s="4">
        <v>7</v>
      </c>
      <c r="C122" s="4">
        <v>4</v>
      </c>
      <c r="D122" s="4">
        <v>25</v>
      </c>
      <c r="E122" s="4">
        <v>7</v>
      </c>
      <c r="F122" s="4" t="s">
        <v>25</v>
      </c>
      <c r="G122" t="s">
        <v>29</v>
      </c>
      <c r="H122" s="4">
        <v>107</v>
      </c>
      <c r="I122" s="4">
        <v>4</v>
      </c>
      <c r="J122" s="38">
        <v>45420</v>
      </c>
      <c r="K122" s="4">
        <v>22</v>
      </c>
    </row>
    <row r="123" spans="1:11" x14ac:dyDescent="0.25">
      <c r="A123" s="4">
        <v>2</v>
      </c>
      <c r="B123" s="4">
        <v>7</v>
      </c>
      <c r="C123" s="4">
        <v>4</v>
      </c>
      <c r="D123" s="4">
        <v>26</v>
      </c>
      <c r="E123" s="4">
        <v>10</v>
      </c>
      <c r="F123" s="4" t="s">
        <v>25</v>
      </c>
      <c r="G123" t="s">
        <v>28</v>
      </c>
      <c r="H123" s="4">
        <v>207</v>
      </c>
      <c r="I123" s="4">
        <v>4</v>
      </c>
      <c r="J123" s="38">
        <v>45420</v>
      </c>
      <c r="K123" s="4">
        <v>12</v>
      </c>
    </row>
    <row r="124" spans="1:11" x14ac:dyDescent="0.25">
      <c r="A124" s="4">
        <v>3</v>
      </c>
      <c r="B124" s="4">
        <v>7</v>
      </c>
      <c r="C124" s="4">
        <v>4</v>
      </c>
      <c r="D124" s="4">
        <v>27</v>
      </c>
      <c r="E124" s="4">
        <v>23</v>
      </c>
      <c r="F124" s="4" t="s">
        <v>25</v>
      </c>
      <c r="G124" t="s">
        <v>27</v>
      </c>
      <c r="H124" s="4">
        <v>307</v>
      </c>
      <c r="I124" s="4">
        <v>4</v>
      </c>
      <c r="J124" s="38">
        <v>45420</v>
      </c>
      <c r="K124" s="4">
        <v>26</v>
      </c>
    </row>
    <row r="125" spans="1:11" x14ac:dyDescent="0.25">
      <c r="A125" s="4">
        <v>4</v>
      </c>
      <c r="B125" s="4">
        <v>7</v>
      </c>
      <c r="C125" s="4">
        <v>4</v>
      </c>
      <c r="D125" s="4">
        <v>28</v>
      </c>
      <c r="E125" s="4">
        <v>26</v>
      </c>
      <c r="F125" s="4" t="s">
        <v>25</v>
      </c>
      <c r="G125" t="s">
        <v>26</v>
      </c>
      <c r="H125" s="4">
        <v>407</v>
      </c>
      <c r="I125" s="4">
        <v>4</v>
      </c>
      <c r="J125" s="38">
        <v>45420</v>
      </c>
      <c r="K125" s="4">
        <v>39</v>
      </c>
    </row>
    <row r="126" spans="1:11" x14ac:dyDescent="0.25">
      <c r="A126" s="4">
        <v>4</v>
      </c>
      <c r="B126" s="4">
        <v>8</v>
      </c>
      <c r="C126" s="4">
        <v>4</v>
      </c>
      <c r="D126" s="4">
        <v>29</v>
      </c>
      <c r="E126" s="4">
        <v>25</v>
      </c>
      <c r="F126" s="4" t="s">
        <v>30</v>
      </c>
      <c r="G126" t="s">
        <v>31</v>
      </c>
      <c r="H126" s="4">
        <v>408</v>
      </c>
      <c r="I126" s="4">
        <v>4</v>
      </c>
      <c r="J126" s="44">
        <v>45447</v>
      </c>
      <c r="K126" s="4">
        <v>45</v>
      </c>
    </row>
    <row r="127" spans="1:11" x14ac:dyDescent="0.25">
      <c r="A127" s="4">
        <v>3</v>
      </c>
      <c r="B127" s="4">
        <v>8</v>
      </c>
      <c r="C127" s="4">
        <v>4</v>
      </c>
      <c r="D127" s="4">
        <v>30</v>
      </c>
      <c r="E127" s="4">
        <v>24</v>
      </c>
      <c r="F127" s="4" t="s">
        <v>30</v>
      </c>
      <c r="G127" t="s">
        <v>28</v>
      </c>
      <c r="H127" s="4">
        <v>308</v>
      </c>
      <c r="I127" s="4">
        <v>4</v>
      </c>
      <c r="J127" s="44">
        <v>45447</v>
      </c>
      <c r="K127" s="4">
        <v>59</v>
      </c>
    </row>
    <row r="128" spans="1:11" x14ac:dyDescent="0.25">
      <c r="A128" s="4">
        <v>2</v>
      </c>
      <c r="B128" s="4">
        <v>8</v>
      </c>
      <c r="C128" s="4">
        <v>4</v>
      </c>
      <c r="D128" s="4">
        <v>31</v>
      </c>
      <c r="E128" s="4">
        <v>9</v>
      </c>
      <c r="F128" s="4" t="s">
        <v>30</v>
      </c>
      <c r="G128" t="s">
        <v>29</v>
      </c>
      <c r="H128" s="4">
        <v>208</v>
      </c>
      <c r="I128" s="4">
        <v>4</v>
      </c>
      <c r="J128" s="44">
        <v>45447</v>
      </c>
      <c r="K128" s="4">
        <v>29</v>
      </c>
    </row>
    <row r="129" spans="1:11" x14ac:dyDescent="0.25">
      <c r="A129" s="4">
        <v>1</v>
      </c>
      <c r="B129" s="4">
        <v>8</v>
      </c>
      <c r="C129" s="4">
        <v>4</v>
      </c>
      <c r="D129" s="4">
        <v>32</v>
      </c>
      <c r="E129" s="4">
        <v>8</v>
      </c>
      <c r="F129" s="4" t="s">
        <v>30</v>
      </c>
      <c r="G129" t="s">
        <v>32</v>
      </c>
      <c r="H129" s="4">
        <v>108</v>
      </c>
      <c r="I129" s="4">
        <v>4</v>
      </c>
      <c r="J129" s="44">
        <v>45447</v>
      </c>
      <c r="K129" s="4">
        <v>31</v>
      </c>
    </row>
    <row r="130" spans="1:11" x14ac:dyDescent="0.25">
      <c r="A130" s="4">
        <v>1</v>
      </c>
      <c r="B130" s="4">
        <v>1</v>
      </c>
      <c r="C130" s="4">
        <v>1</v>
      </c>
      <c r="D130" s="4">
        <v>1</v>
      </c>
      <c r="E130" s="4">
        <v>1</v>
      </c>
      <c r="F130" s="4" t="s">
        <v>25</v>
      </c>
      <c r="G130" t="s">
        <v>26</v>
      </c>
      <c r="H130" s="4">
        <v>101</v>
      </c>
      <c r="I130" s="4">
        <v>5</v>
      </c>
      <c r="J130" s="38">
        <v>45427</v>
      </c>
      <c r="K130" s="4">
        <v>45</v>
      </c>
    </row>
    <row r="131" spans="1:11" x14ac:dyDescent="0.25">
      <c r="A131" s="4">
        <v>2</v>
      </c>
      <c r="B131" s="4">
        <v>1</v>
      </c>
      <c r="C131" s="4">
        <v>1</v>
      </c>
      <c r="D131" s="4">
        <v>2</v>
      </c>
      <c r="E131" s="4">
        <v>16</v>
      </c>
      <c r="F131" s="4" t="s">
        <v>25</v>
      </c>
      <c r="G131" t="s">
        <v>27</v>
      </c>
      <c r="H131" s="4">
        <v>201</v>
      </c>
      <c r="I131" s="4">
        <v>5</v>
      </c>
      <c r="J131" s="38">
        <v>45427</v>
      </c>
      <c r="K131" s="4">
        <v>46</v>
      </c>
    </row>
    <row r="132" spans="1:11" x14ac:dyDescent="0.25">
      <c r="A132" s="4">
        <v>3</v>
      </c>
      <c r="B132" s="4">
        <v>1</v>
      </c>
      <c r="C132" s="4">
        <v>1</v>
      </c>
      <c r="D132" s="4">
        <v>3</v>
      </c>
      <c r="E132" s="4">
        <v>17</v>
      </c>
      <c r="F132" s="4" t="s">
        <v>25</v>
      </c>
      <c r="G132" t="s">
        <v>28</v>
      </c>
      <c r="H132" s="4">
        <v>301</v>
      </c>
      <c r="I132" s="4">
        <v>5</v>
      </c>
      <c r="J132" s="38">
        <v>45427</v>
      </c>
      <c r="K132" s="4">
        <v>50</v>
      </c>
    </row>
    <row r="133" spans="1:11" x14ac:dyDescent="0.25">
      <c r="A133" s="4">
        <v>4</v>
      </c>
      <c r="B133" s="4">
        <v>1</v>
      </c>
      <c r="C133" s="4">
        <v>1</v>
      </c>
      <c r="D133" s="4">
        <v>4</v>
      </c>
      <c r="E133" s="4">
        <v>32</v>
      </c>
      <c r="F133" s="4" t="s">
        <v>25</v>
      </c>
      <c r="G133" t="s">
        <v>29</v>
      </c>
      <c r="H133" s="4">
        <v>401</v>
      </c>
      <c r="I133" s="4">
        <v>5</v>
      </c>
      <c r="J133" s="38">
        <v>45427</v>
      </c>
      <c r="K133" s="4">
        <v>21</v>
      </c>
    </row>
    <row r="134" spans="1:11" x14ac:dyDescent="0.25">
      <c r="A134" s="4">
        <v>4</v>
      </c>
      <c r="B134" s="4">
        <v>2</v>
      </c>
      <c r="C134" s="4">
        <v>1</v>
      </c>
      <c r="D134" s="4">
        <v>5</v>
      </c>
      <c r="E134" s="4">
        <v>31</v>
      </c>
      <c r="F134" s="4" t="s">
        <v>30</v>
      </c>
      <c r="G134" t="s">
        <v>32</v>
      </c>
      <c r="H134" s="4">
        <v>402</v>
      </c>
      <c r="I134" s="4">
        <v>5</v>
      </c>
      <c r="J134" s="38"/>
    </row>
    <row r="135" spans="1:11" x14ac:dyDescent="0.25">
      <c r="A135" s="4">
        <v>3</v>
      </c>
      <c r="B135" s="4">
        <v>2</v>
      </c>
      <c r="C135" s="4">
        <v>1</v>
      </c>
      <c r="D135" s="4">
        <v>6</v>
      </c>
      <c r="E135" s="4">
        <v>18</v>
      </c>
      <c r="F135" s="4" t="s">
        <v>30</v>
      </c>
      <c r="G135" t="s">
        <v>29</v>
      </c>
      <c r="H135" s="4">
        <v>302</v>
      </c>
      <c r="I135" s="4">
        <v>5</v>
      </c>
      <c r="J135" s="38"/>
    </row>
    <row r="136" spans="1:11" x14ac:dyDescent="0.25">
      <c r="A136" s="4">
        <v>2</v>
      </c>
      <c r="B136" s="4">
        <v>2</v>
      </c>
      <c r="C136" s="4">
        <v>1</v>
      </c>
      <c r="D136" s="4">
        <v>7</v>
      </c>
      <c r="E136" s="4">
        <v>15</v>
      </c>
      <c r="F136" s="4" t="s">
        <v>30</v>
      </c>
      <c r="G136" t="s">
        <v>28</v>
      </c>
      <c r="H136" s="4">
        <v>202</v>
      </c>
      <c r="I136" s="4">
        <v>5</v>
      </c>
      <c r="J136" s="38"/>
    </row>
    <row r="137" spans="1:11" x14ac:dyDescent="0.25">
      <c r="A137" s="4">
        <v>1</v>
      </c>
      <c r="B137" s="4">
        <v>2</v>
      </c>
      <c r="C137" s="4">
        <v>1</v>
      </c>
      <c r="D137" s="4">
        <v>8</v>
      </c>
      <c r="E137" s="4">
        <v>2</v>
      </c>
      <c r="F137" s="4" t="s">
        <v>30</v>
      </c>
      <c r="G137" t="s">
        <v>31</v>
      </c>
      <c r="H137" s="4">
        <v>102</v>
      </c>
      <c r="I137" s="4">
        <v>5</v>
      </c>
      <c r="J137" s="38"/>
    </row>
    <row r="138" spans="1:11" x14ac:dyDescent="0.25">
      <c r="A138" s="4">
        <v>1</v>
      </c>
      <c r="B138" s="4">
        <v>3</v>
      </c>
      <c r="C138" s="4">
        <v>2</v>
      </c>
      <c r="D138" s="4">
        <v>9</v>
      </c>
      <c r="E138" s="4">
        <v>3</v>
      </c>
      <c r="F138" s="4" t="s">
        <v>25</v>
      </c>
      <c r="G138" t="s">
        <v>27</v>
      </c>
      <c r="H138" s="4">
        <v>103</v>
      </c>
      <c r="I138" s="4">
        <v>5</v>
      </c>
      <c r="J138" s="38">
        <v>45427</v>
      </c>
      <c r="K138" s="4">
        <v>38</v>
      </c>
    </row>
    <row r="139" spans="1:11" x14ac:dyDescent="0.25">
      <c r="A139" s="4">
        <v>2</v>
      </c>
      <c r="B139" s="4">
        <v>3</v>
      </c>
      <c r="C139" s="4">
        <v>2</v>
      </c>
      <c r="D139" s="4">
        <v>10</v>
      </c>
      <c r="E139" s="4">
        <v>14</v>
      </c>
      <c r="F139" s="4" t="s">
        <v>25</v>
      </c>
      <c r="G139" t="s">
        <v>29</v>
      </c>
      <c r="H139" s="4">
        <v>203</v>
      </c>
      <c r="I139" s="4">
        <v>5</v>
      </c>
      <c r="J139" s="38">
        <v>45427</v>
      </c>
      <c r="K139" s="4">
        <v>35</v>
      </c>
    </row>
    <row r="140" spans="1:11" x14ac:dyDescent="0.25">
      <c r="A140" s="4">
        <v>3</v>
      </c>
      <c r="B140" s="4">
        <v>3</v>
      </c>
      <c r="C140" s="4">
        <v>2</v>
      </c>
      <c r="D140" s="4">
        <v>11</v>
      </c>
      <c r="E140" s="4">
        <v>19</v>
      </c>
      <c r="F140" s="4" t="s">
        <v>25</v>
      </c>
      <c r="G140" t="s">
        <v>26</v>
      </c>
      <c r="H140" s="4">
        <v>303</v>
      </c>
      <c r="I140" s="4">
        <v>5</v>
      </c>
      <c r="J140" s="38">
        <v>45427</v>
      </c>
      <c r="K140" s="4">
        <v>36</v>
      </c>
    </row>
    <row r="141" spans="1:11" x14ac:dyDescent="0.25">
      <c r="A141" s="4">
        <v>4</v>
      </c>
      <c r="B141" s="4">
        <v>3</v>
      </c>
      <c r="C141" s="4">
        <v>2</v>
      </c>
      <c r="D141" s="4">
        <v>12</v>
      </c>
      <c r="E141" s="4">
        <v>30</v>
      </c>
      <c r="F141" s="4" t="s">
        <v>25</v>
      </c>
      <c r="G141" t="s">
        <v>28</v>
      </c>
      <c r="H141" s="4">
        <v>403</v>
      </c>
      <c r="I141" s="4">
        <v>5</v>
      </c>
      <c r="J141" s="38">
        <v>45427</v>
      </c>
      <c r="K141" s="4">
        <v>34</v>
      </c>
    </row>
    <row r="142" spans="1:11" x14ac:dyDescent="0.25">
      <c r="A142" s="4">
        <v>4</v>
      </c>
      <c r="B142" s="4">
        <v>4</v>
      </c>
      <c r="C142" s="4">
        <v>2</v>
      </c>
      <c r="D142" s="4">
        <v>13</v>
      </c>
      <c r="E142" s="4">
        <v>29</v>
      </c>
      <c r="F142" s="4" t="s">
        <v>30</v>
      </c>
      <c r="G142" t="s">
        <v>29</v>
      </c>
      <c r="H142" s="4">
        <v>404</v>
      </c>
      <c r="I142" s="4">
        <v>5</v>
      </c>
      <c r="J142" s="38"/>
    </row>
    <row r="143" spans="1:11" x14ac:dyDescent="0.25">
      <c r="A143" s="4">
        <v>3</v>
      </c>
      <c r="B143" s="4">
        <v>4</v>
      </c>
      <c r="C143" s="4">
        <v>2</v>
      </c>
      <c r="D143" s="4">
        <v>14</v>
      </c>
      <c r="E143" s="4">
        <v>20</v>
      </c>
      <c r="F143" s="4" t="s">
        <v>30</v>
      </c>
      <c r="G143" t="s">
        <v>31</v>
      </c>
      <c r="H143" s="4">
        <v>304</v>
      </c>
      <c r="I143" s="4">
        <v>5</v>
      </c>
      <c r="J143" s="38"/>
    </row>
    <row r="144" spans="1:11" x14ac:dyDescent="0.25">
      <c r="A144" s="4">
        <v>2</v>
      </c>
      <c r="B144" s="4">
        <v>4</v>
      </c>
      <c r="C144" s="4">
        <v>2</v>
      </c>
      <c r="D144" s="4">
        <v>15</v>
      </c>
      <c r="E144" s="4">
        <v>13</v>
      </c>
      <c r="F144" s="4" t="s">
        <v>30</v>
      </c>
      <c r="G144" t="s">
        <v>32</v>
      </c>
      <c r="H144" s="4">
        <v>204</v>
      </c>
      <c r="I144" s="4">
        <v>5</v>
      </c>
      <c r="J144" s="38"/>
    </row>
    <row r="145" spans="1:11" x14ac:dyDescent="0.25">
      <c r="A145" s="4">
        <v>1</v>
      </c>
      <c r="B145" s="4">
        <v>4</v>
      </c>
      <c r="C145" s="4">
        <v>2</v>
      </c>
      <c r="D145" s="4">
        <v>16</v>
      </c>
      <c r="E145" s="4">
        <v>4</v>
      </c>
      <c r="F145" s="4" t="s">
        <v>30</v>
      </c>
      <c r="G145" t="s">
        <v>28</v>
      </c>
      <c r="H145" s="4">
        <v>104</v>
      </c>
      <c r="I145" s="4">
        <v>5</v>
      </c>
      <c r="J145" s="38"/>
    </row>
    <row r="146" spans="1:11" x14ac:dyDescent="0.25">
      <c r="A146" s="4">
        <v>1</v>
      </c>
      <c r="B146" s="4">
        <v>5</v>
      </c>
      <c r="C146" s="4">
        <v>3</v>
      </c>
      <c r="D146" s="4">
        <v>17</v>
      </c>
      <c r="E146" s="4">
        <v>5</v>
      </c>
      <c r="F146" s="4" t="s">
        <v>25</v>
      </c>
      <c r="G146" t="s">
        <v>28</v>
      </c>
      <c r="H146" s="4">
        <v>105</v>
      </c>
      <c r="I146" s="4">
        <v>5</v>
      </c>
      <c r="J146" s="38">
        <v>45427</v>
      </c>
      <c r="K146" s="4">
        <v>21</v>
      </c>
    </row>
    <row r="147" spans="1:11" x14ac:dyDescent="0.25">
      <c r="A147" s="4">
        <v>2</v>
      </c>
      <c r="B147" s="4">
        <v>5</v>
      </c>
      <c r="C147" s="4">
        <v>3</v>
      </c>
      <c r="D147" s="4">
        <v>18</v>
      </c>
      <c r="E147" s="4">
        <v>12</v>
      </c>
      <c r="F147" s="4" t="s">
        <v>25</v>
      </c>
      <c r="G147" t="s">
        <v>26</v>
      </c>
      <c r="H147" s="4">
        <v>205</v>
      </c>
      <c r="I147" s="4">
        <v>5</v>
      </c>
      <c r="J147" s="38">
        <v>45427</v>
      </c>
      <c r="K147" s="4">
        <v>31</v>
      </c>
    </row>
    <row r="148" spans="1:11" x14ac:dyDescent="0.25">
      <c r="A148" s="4">
        <v>3</v>
      </c>
      <c r="B148" s="4">
        <v>5</v>
      </c>
      <c r="C148" s="4">
        <v>3</v>
      </c>
      <c r="D148" s="4">
        <v>19</v>
      </c>
      <c r="E148" s="4">
        <v>21</v>
      </c>
      <c r="F148" s="4" t="s">
        <v>25</v>
      </c>
      <c r="G148" t="s">
        <v>29</v>
      </c>
      <c r="H148" s="4">
        <v>305</v>
      </c>
      <c r="I148" s="4">
        <v>5</v>
      </c>
      <c r="J148" s="38">
        <v>45427</v>
      </c>
      <c r="K148" s="4">
        <v>28</v>
      </c>
    </row>
    <row r="149" spans="1:11" x14ac:dyDescent="0.25">
      <c r="A149" s="4">
        <v>4</v>
      </c>
      <c r="B149" s="4">
        <v>5</v>
      </c>
      <c r="C149" s="4">
        <v>3</v>
      </c>
      <c r="D149" s="4">
        <v>20</v>
      </c>
      <c r="E149" s="4">
        <v>28</v>
      </c>
      <c r="F149" s="4" t="s">
        <v>25</v>
      </c>
      <c r="G149" t="s">
        <v>27</v>
      </c>
      <c r="H149" s="4">
        <v>405</v>
      </c>
      <c r="I149" s="4">
        <v>5</v>
      </c>
      <c r="J149" s="38">
        <v>45427</v>
      </c>
      <c r="K149" s="4">
        <v>30</v>
      </c>
    </row>
    <row r="150" spans="1:11" x14ac:dyDescent="0.25">
      <c r="A150" s="4">
        <v>4</v>
      </c>
      <c r="B150" s="4">
        <v>6</v>
      </c>
      <c r="C150" s="4">
        <v>3</v>
      </c>
      <c r="D150" s="4">
        <v>21</v>
      </c>
      <c r="E150" s="4">
        <v>27</v>
      </c>
      <c r="F150" s="4" t="s">
        <v>30</v>
      </c>
      <c r="G150" t="s">
        <v>28</v>
      </c>
      <c r="H150" s="4">
        <v>406</v>
      </c>
      <c r="I150" s="4">
        <v>5</v>
      </c>
      <c r="J150" s="38"/>
    </row>
    <row r="151" spans="1:11" x14ac:dyDescent="0.25">
      <c r="A151" s="4">
        <v>3</v>
      </c>
      <c r="B151" s="4">
        <v>6</v>
      </c>
      <c r="C151" s="4">
        <v>3</v>
      </c>
      <c r="D151" s="4">
        <v>22</v>
      </c>
      <c r="E151" s="4">
        <v>22</v>
      </c>
      <c r="F151" s="4" t="s">
        <v>30</v>
      </c>
      <c r="G151" t="s">
        <v>32</v>
      </c>
      <c r="H151" s="4">
        <v>306</v>
      </c>
      <c r="I151" s="4">
        <v>5</v>
      </c>
      <c r="J151" s="38"/>
    </row>
    <row r="152" spans="1:11" x14ac:dyDescent="0.25">
      <c r="A152" s="4">
        <v>2</v>
      </c>
      <c r="B152" s="4">
        <v>6</v>
      </c>
      <c r="C152" s="4">
        <v>3</v>
      </c>
      <c r="D152" s="4">
        <v>23</v>
      </c>
      <c r="E152" s="4">
        <v>11</v>
      </c>
      <c r="F152" s="4" t="s">
        <v>30</v>
      </c>
      <c r="G152" t="s">
        <v>31</v>
      </c>
      <c r="H152" s="4">
        <v>206</v>
      </c>
      <c r="I152" s="4">
        <v>5</v>
      </c>
      <c r="J152" s="38"/>
    </row>
    <row r="153" spans="1:11" x14ac:dyDescent="0.25">
      <c r="A153" s="4">
        <v>1</v>
      </c>
      <c r="B153" s="4">
        <v>6</v>
      </c>
      <c r="C153" s="4">
        <v>3</v>
      </c>
      <c r="D153" s="4">
        <v>24</v>
      </c>
      <c r="E153" s="4">
        <v>6</v>
      </c>
      <c r="F153" s="4" t="s">
        <v>30</v>
      </c>
      <c r="G153" t="s">
        <v>29</v>
      </c>
      <c r="H153" s="4">
        <v>106</v>
      </c>
      <c r="I153" s="4">
        <v>5</v>
      </c>
      <c r="J153" s="38"/>
    </row>
    <row r="154" spans="1:11" x14ac:dyDescent="0.25">
      <c r="A154" s="4">
        <v>1</v>
      </c>
      <c r="B154" s="4">
        <v>7</v>
      </c>
      <c r="C154" s="4">
        <v>4</v>
      </c>
      <c r="D154" s="4">
        <v>25</v>
      </c>
      <c r="E154" s="4">
        <v>7</v>
      </c>
      <c r="F154" s="4" t="s">
        <v>25</v>
      </c>
      <c r="G154" t="s">
        <v>29</v>
      </c>
      <c r="H154" s="4">
        <v>107</v>
      </c>
      <c r="I154" s="4">
        <v>5</v>
      </c>
      <c r="J154" s="38">
        <v>45427</v>
      </c>
      <c r="K154" s="4">
        <v>22</v>
      </c>
    </row>
    <row r="155" spans="1:11" x14ac:dyDescent="0.25">
      <c r="A155" s="4">
        <v>2</v>
      </c>
      <c r="B155" s="4">
        <v>7</v>
      </c>
      <c r="C155" s="4">
        <v>4</v>
      </c>
      <c r="D155" s="4">
        <v>26</v>
      </c>
      <c r="E155" s="4">
        <v>10</v>
      </c>
      <c r="F155" s="4" t="s">
        <v>25</v>
      </c>
      <c r="G155" t="s">
        <v>28</v>
      </c>
      <c r="H155" s="4">
        <v>207</v>
      </c>
      <c r="I155" s="4">
        <v>5</v>
      </c>
      <c r="J155" s="38">
        <v>45427</v>
      </c>
      <c r="K155" s="4">
        <v>12</v>
      </c>
    </row>
    <row r="156" spans="1:11" x14ac:dyDescent="0.25">
      <c r="A156" s="4">
        <v>3</v>
      </c>
      <c r="B156" s="4">
        <v>7</v>
      </c>
      <c r="C156" s="4">
        <v>4</v>
      </c>
      <c r="D156" s="4">
        <v>27</v>
      </c>
      <c r="E156" s="4">
        <v>23</v>
      </c>
      <c r="F156" s="4" t="s">
        <v>25</v>
      </c>
      <c r="G156" t="s">
        <v>27</v>
      </c>
      <c r="H156" s="4">
        <v>307</v>
      </c>
      <c r="I156" s="4">
        <v>5</v>
      </c>
      <c r="J156" s="38">
        <v>45427</v>
      </c>
      <c r="K156" s="4">
        <v>26</v>
      </c>
    </row>
    <row r="157" spans="1:11" x14ac:dyDescent="0.25">
      <c r="A157" s="4">
        <v>4</v>
      </c>
      <c r="B157" s="4">
        <v>7</v>
      </c>
      <c r="C157" s="4">
        <v>4</v>
      </c>
      <c r="D157" s="4">
        <v>28</v>
      </c>
      <c r="E157" s="4">
        <v>26</v>
      </c>
      <c r="F157" s="4" t="s">
        <v>25</v>
      </c>
      <c r="G157" t="s">
        <v>26</v>
      </c>
      <c r="H157" s="4">
        <v>407</v>
      </c>
      <c r="I157" s="4">
        <v>5</v>
      </c>
      <c r="J157" s="38">
        <v>45427</v>
      </c>
      <c r="K157" s="4">
        <v>42</v>
      </c>
    </row>
    <row r="158" spans="1:11" x14ac:dyDescent="0.25">
      <c r="A158" s="4">
        <v>4</v>
      </c>
      <c r="B158" s="4">
        <v>8</v>
      </c>
      <c r="C158" s="4">
        <v>4</v>
      </c>
      <c r="D158" s="4">
        <v>29</v>
      </c>
      <c r="E158" s="4">
        <v>25</v>
      </c>
      <c r="F158" s="4" t="s">
        <v>30</v>
      </c>
      <c r="G158" t="s">
        <v>31</v>
      </c>
      <c r="H158" s="4">
        <v>408</v>
      </c>
      <c r="I158" s="4">
        <v>5</v>
      </c>
      <c r="J158" s="38"/>
    </row>
    <row r="159" spans="1:11" x14ac:dyDescent="0.25">
      <c r="A159" s="4">
        <v>3</v>
      </c>
      <c r="B159" s="4">
        <v>8</v>
      </c>
      <c r="C159" s="4">
        <v>4</v>
      </c>
      <c r="D159" s="4">
        <v>30</v>
      </c>
      <c r="E159" s="4">
        <v>24</v>
      </c>
      <c r="F159" s="4" t="s">
        <v>30</v>
      </c>
      <c r="G159" t="s">
        <v>28</v>
      </c>
      <c r="H159" s="4">
        <v>308</v>
      </c>
      <c r="I159" s="4">
        <v>5</v>
      </c>
      <c r="J159" s="38"/>
    </row>
    <row r="160" spans="1:11" x14ac:dyDescent="0.25">
      <c r="A160" s="4">
        <v>2</v>
      </c>
      <c r="B160" s="4">
        <v>8</v>
      </c>
      <c r="C160" s="4">
        <v>4</v>
      </c>
      <c r="D160" s="4">
        <v>31</v>
      </c>
      <c r="E160" s="4">
        <v>9</v>
      </c>
      <c r="F160" s="4" t="s">
        <v>30</v>
      </c>
      <c r="G160" t="s">
        <v>29</v>
      </c>
      <c r="H160" s="4">
        <v>208</v>
      </c>
      <c r="I160" s="4">
        <v>5</v>
      </c>
      <c r="J160" s="38"/>
    </row>
    <row r="161" spans="1:10" x14ac:dyDescent="0.25">
      <c r="A161" s="4">
        <v>1</v>
      </c>
      <c r="B161" s="4">
        <v>8</v>
      </c>
      <c r="C161" s="4">
        <v>4</v>
      </c>
      <c r="D161" s="4">
        <v>32</v>
      </c>
      <c r="E161" s="4">
        <v>8</v>
      </c>
      <c r="F161" s="4" t="s">
        <v>30</v>
      </c>
      <c r="G161" t="s">
        <v>32</v>
      </c>
      <c r="H161" s="4">
        <v>108</v>
      </c>
      <c r="I161" s="4">
        <v>5</v>
      </c>
      <c r="J161" s="38"/>
    </row>
  </sheetData>
  <printOptions gridLines="1"/>
  <pageMargins left="0.25" right="0.25"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F6094-9298-4AC3-AC58-56715B64BEE4}">
  <dimension ref="A1:S33"/>
  <sheetViews>
    <sheetView workbookViewId="0">
      <selection activeCell="R7" sqref="R7:R32"/>
    </sheetView>
  </sheetViews>
  <sheetFormatPr defaultRowHeight="15" x14ac:dyDescent="0.25"/>
  <cols>
    <col min="1" max="1" width="8.42578125" style="4" customWidth="1"/>
    <col min="2" max="2" width="5.5703125" style="4" customWidth="1"/>
    <col min="3" max="3" width="6.7109375" style="4" customWidth="1"/>
    <col min="4" max="4" width="7" style="4" customWidth="1"/>
    <col min="5" max="5" width="6.5703125" style="4" customWidth="1"/>
    <col min="6" max="6" width="11.42578125" style="4" customWidth="1"/>
    <col min="7" max="7" width="13.42578125" customWidth="1"/>
    <col min="8" max="8" width="6.42578125" style="4" customWidth="1"/>
    <col min="9" max="9" width="13.5703125" customWidth="1"/>
    <col min="10" max="10" width="12.42578125" customWidth="1"/>
    <col min="11" max="11" width="12" customWidth="1"/>
    <col min="12" max="12" width="11.7109375" customWidth="1"/>
    <col min="13" max="15" width="12.42578125" customWidth="1"/>
    <col min="16" max="16" width="11.5703125" customWidth="1"/>
    <col min="18" max="18" width="12" customWidth="1"/>
  </cols>
  <sheetData>
    <row r="1" spans="1:19" ht="69.75" customHeight="1" x14ac:dyDescent="0.25">
      <c r="A1" s="10" t="s">
        <v>23</v>
      </c>
      <c r="B1" s="10" t="s">
        <v>24</v>
      </c>
      <c r="C1" s="10" t="s">
        <v>281</v>
      </c>
      <c r="D1" s="10" t="s">
        <v>282</v>
      </c>
      <c r="E1" s="10" t="s">
        <v>77</v>
      </c>
      <c r="F1" s="10" t="s">
        <v>21</v>
      </c>
      <c r="G1" s="6" t="s">
        <v>22</v>
      </c>
      <c r="H1" s="10" t="s">
        <v>76</v>
      </c>
      <c r="I1" s="10" t="s">
        <v>284</v>
      </c>
      <c r="J1" s="10" t="s">
        <v>294</v>
      </c>
      <c r="K1" s="10" t="s">
        <v>295</v>
      </c>
      <c r="L1" s="10" t="s">
        <v>296</v>
      </c>
      <c r="M1" s="10" t="s">
        <v>297</v>
      </c>
      <c r="N1" s="10" t="s">
        <v>298</v>
      </c>
      <c r="O1" s="10" t="s">
        <v>299</v>
      </c>
      <c r="P1" s="10" t="s">
        <v>300</v>
      </c>
      <c r="Q1" s="10" t="s">
        <v>301</v>
      </c>
      <c r="R1" s="10" t="s">
        <v>302</v>
      </c>
    </row>
    <row r="2" spans="1:19" x14ac:dyDescent="0.25">
      <c r="A2" s="4">
        <v>1</v>
      </c>
      <c r="B2" s="4">
        <v>1</v>
      </c>
      <c r="C2" s="4">
        <v>1</v>
      </c>
      <c r="D2" s="4">
        <v>1</v>
      </c>
      <c r="E2" s="4">
        <v>1</v>
      </c>
      <c r="F2" s="4" t="s">
        <v>25</v>
      </c>
      <c r="G2" t="s">
        <v>26</v>
      </c>
      <c r="H2" s="4">
        <v>101</v>
      </c>
      <c r="I2" s="41">
        <v>45428</v>
      </c>
      <c r="J2" s="55">
        <v>16</v>
      </c>
      <c r="K2" s="55">
        <v>20</v>
      </c>
      <c r="L2" s="55">
        <v>23</v>
      </c>
      <c r="M2" s="55">
        <v>43</v>
      </c>
      <c r="N2" s="55">
        <v>43</v>
      </c>
      <c r="O2" s="55">
        <v>45</v>
      </c>
      <c r="P2" s="56">
        <f>AVERAGE(J2:O2)</f>
        <v>31.666666666666668</v>
      </c>
      <c r="Q2" s="55">
        <v>0.25</v>
      </c>
      <c r="R2" s="56">
        <f>P2*(1/Q2)</f>
        <v>126.66666666666667</v>
      </c>
      <c r="S2" s="60"/>
    </row>
    <row r="3" spans="1:19" x14ac:dyDescent="0.25">
      <c r="A3" s="4">
        <v>2</v>
      </c>
      <c r="B3" s="4">
        <v>1</v>
      </c>
      <c r="C3" s="4">
        <v>1</v>
      </c>
      <c r="D3" s="4">
        <v>2</v>
      </c>
      <c r="E3" s="4">
        <v>16</v>
      </c>
      <c r="F3" s="4" t="s">
        <v>25</v>
      </c>
      <c r="G3" t="s">
        <v>27</v>
      </c>
      <c r="H3" s="4">
        <v>201</v>
      </c>
      <c r="I3" s="41">
        <v>45428</v>
      </c>
      <c r="J3" s="55">
        <v>11</v>
      </c>
      <c r="K3" s="55">
        <v>29</v>
      </c>
      <c r="L3" s="55">
        <v>39</v>
      </c>
      <c r="M3" s="55">
        <v>43</v>
      </c>
      <c r="N3" s="55">
        <v>15</v>
      </c>
      <c r="O3" s="55">
        <v>46</v>
      </c>
      <c r="P3" s="56">
        <f t="shared" ref="P3:P29" si="0">AVERAGE(J3:O3)</f>
        <v>30.5</v>
      </c>
      <c r="Q3" s="55">
        <v>0.25</v>
      </c>
      <c r="R3" s="56">
        <f t="shared" ref="R3:R29" si="1">P3*(1/Q3)</f>
        <v>122</v>
      </c>
    </row>
    <row r="4" spans="1:19" x14ac:dyDescent="0.25">
      <c r="A4" s="4">
        <v>3</v>
      </c>
      <c r="B4" s="4">
        <v>1</v>
      </c>
      <c r="C4" s="4">
        <v>1</v>
      </c>
      <c r="D4" s="4">
        <v>3</v>
      </c>
      <c r="E4" s="4">
        <v>17</v>
      </c>
      <c r="F4" s="4" t="s">
        <v>25</v>
      </c>
      <c r="G4" t="s">
        <v>28</v>
      </c>
      <c r="H4" s="4">
        <v>301</v>
      </c>
      <c r="I4" s="41">
        <v>45428</v>
      </c>
      <c r="J4" s="55">
        <v>38</v>
      </c>
      <c r="K4" s="55">
        <v>22</v>
      </c>
      <c r="L4" s="55">
        <v>23</v>
      </c>
      <c r="M4" s="55">
        <v>37</v>
      </c>
      <c r="N4" s="55">
        <v>22</v>
      </c>
      <c r="O4" s="55">
        <v>50</v>
      </c>
      <c r="P4" s="56">
        <f t="shared" si="0"/>
        <v>32</v>
      </c>
      <c r="Q4" s="55">
        <v>0.25</v>
      </c>
      <c r="R4" s="56">
        <f t="shared" si="1"/>
        <v>128</v>
      </c>
    </row>
    <row r="5" spans="1:19" x14ac:dyDescent="0.25">
      <c r="A5" s="4">
        <v>4</v>
      </c>
      <c r="B5" s="4">
        <v>1</v>
      </c>
      <c r="C5" s="4">
        <v>1</v>
      </c>
      <c r="D5" s="4">
        <v>4</v>
      </c>
      <c r="E5" s="4">
        <v>32</v>
      </c>
      <c r="F5" s="4" t="s">
        <v>25</v>
      </c>
      <c r="G5" t="s">
        <v>29</v>
      </c>
      <c r="H5" s="4">
        <v>401</v>
      </c>
      <c r="I5" s="41">
        <v>45428</v>
      </c>
      <c r="J5" s="55">
        <v>18</v>
      </c>
      <c r="K5" s="55">
        <v>42</v>
      </c>
      <c r="L5" s="55">
        <v>44</v>
      </c>
      <c r="M5" s="55">
        <v>8</v>
      </c>
      <c r="N5" s="55">
        <v>25</v>
      </c>
      <c r="O5" s="55">
        <v>21</v>
      </c>
      <c r="P5" s="56">
        <f t="shared" si="0"/>
        <v>26.333333333333332</v>
      </c>
      <c r="Q5" s="55">
        <v>0.25</v>
      </c>
      <c r="R5" s="56">
        <f t="shared" si="1"/>
        <v>105.33333333333333</v>
      </c>
    </row>
    <row r="6" spans="1:19" s="54" customFormat="1" x14ac:dyDescent="0.25">
      <c r="A6" s="49">
        <v>4</v>
      </c>
      <c r="B6" s="49">
        <v>2</v>
      </c>
      <c r="C6" s="49">
        <v>1</v>
      </c>
      <c r="D6" s="49">
        <v>5</v>
      </c>
      <c r="E6" s="49">
        <v>31</v>
      </c>
      <c r="F6" s="49" t="s">
        <v>30</v>
      </c>
      <c r="G6" s="54" t="s">
        <v>32</v>
      </c>
      <c r="H6" s="49">
        <v>402</v>
      </c>
      <c r="I6" s="57">
        <v>45457</v>
      </c>
      <c r="J6" s="58">
        <v>37</v>
      </c>
      <c r="K6" s="58">
        <v>32</v>
      </c>
      <c r="L6" s="58">
        <v>39</v>
      </c>
      <c r="M6" s="58">
        <v>34</v>
      </c>
      <c r="N6" s="58">
        <v>42</v>
      </c>
      <c r="O6" s="58">
        <v>36</v>
      </c>
      <c r="P6" s="59">
        <f>AVERAGE(J6:O6)</f>
        <v>36.666666666666664</v>
      </c>
      <c r="Q6" s="58">
        <v>0.25</v>
      </c>
      <c r="R6" s="59">
        <f>P6*(1/Q6)</f>
        <v>146.66666666666666</v>
      </c>
    </row>
    <row r="7" spans="1:19" s="54" customFormat="1" x14ac:dyDescent="0.25">
      <c r="A7" s="49">
        <v>3</v>
      </c>
      <c r="B7" s="49">
        <v>2</v>
      </c>
      <c r="C7" s="49">
        <v>1</v>
      </c>
      <c r="D7" s="49">
        <v>6</v>
      </c>
      <c r="E7" s="49">
        <v>18</v>
      </c>
      <c r="F7" s="49" t="s">
        <v>30</v>
      </c>
      <c r="G7" s="54" t="s">
        <v>29</v>
      </c>
      <c r="H7" s="49">
        <v>302</v>
      </c>
      <c r="I7" s="57">
        <v>45457</v>
      </c>
      <c r="J7" s="58">
        <v>35</v>
      </c>
      <c r="K7" s="58">
        <v>31</v>
      </c>
      <c r="L7" s="58">
        <v>31</v>
      </c>
      <c r="M7" s="58">
        <v>38</v>
      </c>
      <c r="N7" s="58">
        <v>29</v>
      </c>
      <c r="O7" s="58">
        <v>30</v>
      </c>
      <c r="P7" s="59">
        <f>AVERAGE(J7:O7)</f>
        <v>32.333333333333336</v>
      </c>
      <c r="Q7" s="58">
        <v>0.25</v>
      </c>
      <c r="R7" s="59">
        <f>P7*(1/Q7)</f>
        <v>129.33333333333334</v>
      </c>
    </row>
    <row r="8" spans="1:19" s="54" customFormat="1" x14ac:dyDescent="0.25">
      <c r="A8" s="49">
        <v>2</v>
      </c>
      <c r="B8" s="49">
        <v>2</v>
      </c>
      <c r="C8" s="49">
        <v>1</v>
      </c>
      <c r="D8" s="49">
        <v>7</v>
      </c>
      <c r="E8" s="49">
        <v>15</v>
      </c>
      <c r="F8" s="49" t="s">
        <v>30</v>
      </c>
      <c r="G8" s="54" t="s">
        <v>28</v>
      </c>
      <c r="H8" s="49">
        <v>202</v>
      </c>
      <c r="I8" s="57">
        <v>45457</v>
      </c>
      <c r="J8" s="58">
        <v>25</v>
      </c>
      <c r="K8" s="58">
        <v>19</v>
      </c>
      <c r="L8" s="58">
        <v>35</v>
      </c>
      <c r="M8" s="58">
        <v>27</v>
      </c>
      <c r="N8" s="58">
        <v>41</v>
      </c>
      <c r="O8" s="58">
        <v>39</v>
      </c>
      <c r="P8" s="59">
        <f>AVERAGE(J8:O8)</f>
        <v>31</v>
      </c>
      <c r="Q8" s="58">
        <v>0.25</v>
      </c>
      <c r="R8" s="59">
        <f>P8*(1/Q8)</f>
        <v>124</v>
      </c>
    </row>
    <row r="9" spans="1:19" s="54" customFormat="1" x14ac:dyDescent="0.25">
      <c r="A9" s="49">
        <v>1</v>
      </c>
      <c r="B9" s="49">
        <v>2</v>
      </c>
      <c r="C9" s="49">
        <v>1</v>
      </c>
      <c r="D9" s="49">
        <v>8</v>
      </c>
      <c r="E9" s="49">
        <v>2</v>
      </c>
      <c r="F9" s="49" t="s">
        <v>30</v>
      </c>
      <c r="G9" s="54" t="s">
        <v>31</v>
      </c>
      <c r="H9" s="49">
        <v>102</v>
      </c>
      <c r="I9" s="57">
        <v>45457</v>
      </c>
      <c r="J9" s="58">
        <v>31</v>
      </c>
      <c r="K9" s="58">
        <v>39</v>
      </c>
      <c r="L9" s="58">
        <v>46</v>
      </c>
      <c r="M9" s="58">
        <v>29</v>
      </c>
      <c r="N9" s="58">
        <v>43</v>
      </c>
      <c r="O9" s="58">
        <v>45</v>
      </c>
      <c r="P9" s="59">
        <f>AVERAGE(J9:O9)</f>
        <v>38.833333333333336</v>
      </c>
      <c r="Q9" s="58">
        <v>0.25</v>
      </c>
      <c r="R9" s="59">
        <f>P9*(1/Q9)</f>
        <v>155.33333333333334</v>
      </c>
    </row>
    <row r="10" spans="1:19" x14ac:dyDescent="0.25">
      <c r="A10" s="4">
        <v>1</v>
      </c>
      <c r="B10" s="4">
        <v>3</v>
      </c>
      <c r="C10" s="4">
        <v>2</v>
      </c>
      <c r="D10" s="4">
        <v>9</v>
      </c>
      <c r="E10" s="4">
        <v>3</v>
      </c>
      <c r="F10" s="4" t="s">
        <v>25</v>
      </c>
      <c r="G10" t="s">
        <v>27</v>
      </c>
      <c r="H10" s="4">
        <v>103</v>
      </c>
      <c r="I10" s="41">
        <v>45428</v>
      </c>
      <c r="J10" s="55">
        <v>17</v>
      </c>
      <c r="K10" s="55">
        <v>32</v>
      </c>
      <c r="L10" s="55">
        <v>41</v>
      </c>
      <c r="M10" s="55">
        <v>25</v>
      </c>
      <c r="N10" s="55">
        <v>39</v>
      </c>
      <c r="O10" s="55">
        <v>38</v>
      </c>
      <c r="P10" s="56">
        <f t="shared" si="0"/>
        <v>32</v>
      </c>
      <c r="Q10" s="55">
        <v>0.25</v>
      </c>
      <c r="R10" s="56">
        <f t="shared" si="1"/>
        <v>128</v>
      </c>
    </row>
    <row r="11" spans="1:19" x14ac:dyDescent="0.25">
      <c r="A11" s="4">
        <v>2</v>
      </c>
      <c r="B11" s="4">
        <v>3</v>
      </c>
      <c r="C11" s="4">
        <v>2</v>
      </c>
      <c r="D11" s="4">
        <v>10</v>
      </c>
      <c r="E11" s="4">
        <v>14</v>
      </c>
      <c r="F11" s="4" t="s">
        <v>25</v>
      </c>
      <c r="G11" t="s">
        <v>29</v>
      </c>
      <c r="H11" s="4">
        <v>203</v>
      </c>
      <c r="I11" s="41">
        <v>45428</v>
      </c>
      <c r="J11" s="55">
        <v>29</v>
      </c>
      <c r="K11" s="55">
        <v>16</v>
      </c>
      <c r="L11" s="55">
        <v>20</v>
      </c>
      <c r="M11" s="55">
        <v>6</v>
      </c>
      <c r="N11" s="55">
        <v>31</v>
      </c>
      <c r="O11" s="55">
        <v>29</v>
      </c>
      <c r="P11" s="56">
        <f t="shared" si="0"/>
        <v>21.833333333333332</v>
      </c>
      <c r="Q11" s="55">
        <v>0.25</v>
      </c>
      <c r="R11" s="56">
        <f t="shared" si="1"/>
        <v>87.333333333333329</v>
      </c>
    </row>
    <row r="12" spans="1:19" x14ac:dyDescent="0.25">
      <c r="A12" s="4">
        <v>3</v>
      </c>
      <c r="B12" s="4">
        <v>3</v>
      </c>
      <c r="C12" s="4">
        <v>2</v>
      </c>
      <c r="D12" s="4">
        <v>11</v>
      </c>
      <c r="E12" s="4">
        <v>19</v>
      </c>
      <c r="F12" s="4" t="s">
        <v>25</v>
      </c>
      <c r="G12" t="s">
        <v>26</v>
      </c>
      <c r="H12" s="4">
        <v>303</v>
      </c>
      <c r="I12" s="41">
        <v>45428</v>
      </c>
      <c r="J12" s="55">
        <v>7</v>
      </c>
      <c r="K12" s="55">
        <v>16</v>
      </c>
      <c r="L12" s="55">
        <v>19</v>
      </c>
      <c r="M12" s="55">
        <v>26</v>
      </c>
      <c r="N12" s="55">
        <v>15</v>
      </c>
      <c r="O12" s="55">
        <v>36</v>
      </c>
      <c r="P12" s="56">
        <f t="shared" si="0"/>
        <v>19.833333333333332</v>
      </c>
      <c r="Q12" s="55">
        <v>0.25</v>
      </c>
      <c r="R12" s="56">
        <f t="shared" si="1"/>
        <v>79.333333333333329</v>
      </c>
    </row>
    <row r="13" spans="1:19" x14ac:dyDescent="0.25">
      <c r="A13" s="4">
        <v>4</v>
      </c>
      <c r="B13" s="4">
        <v>3</v>
      </c>
      <c r="C13" s="4">
        <v>2</v>
      </c>
      <c r="D13" s="4">
        <v>12</v>
      </c>
      <c r="E13" s="4">
        <v>30</v>
      </c>
      <c r="F13" s="4" t="s">
        <v>25</v>
      </c>
      <c r="G13" t="s">
        <v>28</v>
      </c>
      <c r="H13" s="4">
        <v>403</v>
      </c>
      <c r="I13" s="41">
        <v>45428</v>
      </c>
      <c r="J13" s="55">
        <v>25</v>
      </c>
      <c r="K13" s="55">
        <v>15</v>
      </c>
      <c r="L13" s="55">
        <v>12</v>
      </c>
      <c r="M13" s="55">
        <v>31</v>
      </c>
      <c r="N13" s="55">
        <v>34</v>
      </c>
      <c r="O13" s="55">
        <v>24</v>
      </c>
      <c r="P13" s="56">
        <f t="shared" si="0"/>
        <v>23.5</v>
      </c>
      <c r="Q13" s="55">
        <v>0.25</v>
      </c>
      <c r="R13" s="56">
        <f t="shared" si="1"/>
        <v>94</v>
      </c>
    </row>
    <row r="14" spans="1:19" s="54" customFormat="1" x14ac:dyDescent="0.25">
      <c r="A14" s="49">
        <v>4</v>
      </c>
      <c r="B14" s="49">
        <v>4</v>
      </c>
      <c r="C14" s="49">
        <v>2</v>
      </c>
      <c r="D14" s="49">
        <v>13</v>
      </c>
      <c r="E14" s="49">
        <v>29</v>
      </c>
      <c r="F14" s="49" t="s">
        <v>30</v>
      </c>
      <c r="G14" s="54" t="s">
        <v>29</v>
      </c>
      <c r="H14" s="49">
        <v>404</v>
      </c>
      <c r="I14" s="57">
        <v>45457</v>
      </c>
      <c r="J14" s="58">
        <v>24</v>
      </c>
      <c r="K14" s="58">
        <v>34</v>
      </c>
      <c r="L14" s="58">
        <v>25</v>
      </c>
      <c r="M14" s="58">
        <v>37</v>
      </c>
      <c r="N14" s="58">
        <v>35</v>
      </c>
      <c r="O14" s="58">
        <v>38</v>
      </c>
      <c r="P14" s="59">
        <f>AVERAGE(J14:O14)</f>
        <v>32.166666666666664</v>
      </c>
      <c r="Q14" s="58">
        <v>0.25</v>
      </c>
      <c r="R14" s="59">
        <f>P14*(1/Q14)</f>
        <v>128.66666666666666</v>
      </c>
    </row>
    <row r="15" spans="1:19" s="54" customFormat="1" x14ac:dyDescent="0.25">
      <c r="A15" s="49">
        <v>3</v>
      </c>
      <c r="B15" s="49">
        <v>4</v>
      </c>
      <c r="C15" s="49">
        <v>2</v>
      </c>
      <c r="D15" s="49">
        <v>14</v>
      </c>
      <c r="E15" s="49">
        <v>20</v>
      </c>
      <c r="F15" s="49" t="s">
        <v>30</v>
      </c>
      <c r="G15" s="54" t="s">
        <v>31</v>
      </c>
      <c r="H15" s="49">
        <v>304</v>
      </c>
      <c r="I15" s="57">
        <v>45457</v>
      </c>
      <c r="J15" s="58">
        <v>45</v>
      </c>
      <c r="K15" s="58">
        <v>31</v>
      </c>
      <c r="L15" s="58">
        <v>22</v>
      </c>
      <c r="M15" s="58">
        <v>30</v>
      </c>
      <c r="N15" s="58">
        <v>38</v>
      </c>
      <c r="O15" s="58">
        <v>33</v>
      </c>
      <c r="P15" s="59">
        <f>AVERAGE(J15:O15)</f>
        <v>33.166666666666664</v>
      </c>
      <c r="Q15" s="58">
        <v>0.25</v>
      </c>
      <c r="R15" s="59">
        <f>P15*(1/Q15)</f>
        <v>132.66666666666666</v>
      </c>
    </row>
    <row r="16" spans="1:19" s="54" customFormat="1" x14ac:dyDescent="0.25">
      <c r="A16" s="49">
        <v>2</v>
      </c>
      <c r="B16" s="49">
        <v>4</v>
      </c>
      <c r="C16" s="49">
        <v>2</v>
      </c>
      <c r="D16" s="49">
        <v>15</v>
      </c>
      <c r="E16" s="49">
        <v>13</v>
      </c>
      <c r="F16" s="49" t="s">
        <v>30</v>
      </c>
      <c r="G16" s="54" t="s">
        <v>32</v>
      </c>
      <c r="H16" s="49">
        <v>204</v>
      </c>
      <c r="I16" s="57">
        <v>45457</v>
      </c>
      <c r="J16" s="58">
        <v>22</v>
      </c>
      <c r="K16" s="58">
        <v>32</v>
      </c>
      <c r="L16" s="58">
        <v>42</v>
      </c>
      <c r="M16" s="58">
        <v>54</v>
      </c>
      <c r="N16" s="58">
        <v>26</v>
      </c>
      <c r="O16" s="58">
        <v>31</v>
      </c>
      <c r="P16" s="59">
        <f>AVERAGE(J16:O16)</f>
        <v>34.5</v>
      </c>
      <c r="Q16" s="58">
        <v>0.25</v>
      </c>
      <c r="R16" s="59">
        <f>P16*(1/Q16)</f>
        <v>138</v>
      </c>
    </row>
    <row r="17" spans="1:18" s="54" customFormat="1" x14ac:dyDescent="0.25">
      <c r="A17" s="49">
        <v>1</v>
      </c>
      <c r="B17" s="49">
        <v>4</v>
      </c>
      <c r="C17" s="49">
        <v>2</v>
      </c>
      <c r="D17" s="49">
        <v>16</v>
      </c>
      <c r="E17" s="49">
        <v>4</v>
      </c>
      <c r="F17" s="49" t="s">
        <v>30</v>
      </c>
      <c r="G17" s="54" t="s">
        <v>28</v>
      </c>
      <c r="H17" s="49">
        <v>104</v>
      </c>
      <c r="I17" s="57">
        <v>45457</v>
      </c>
      <c r="J17" s="58">
        <v>42</v>
      </c>
      <c r="K17" s="58">
        <v>29</v>
      </c>
      <c r="L17" s="58">
        <v>39</v>
      </c>
      <c r="M17" s="58">
        <v>30</v>
      </c>
      <c r="N17" s="58">
        <v>34</v>
      </c>
      <c r="O17" s="58">
        <v>34</v>
      </c>
      <c r="P17" s="59">
        <f>AVERAGE(J17:O17)</f>
        <v>34.666666666666664</v>
      </c>
      <c r="Q17" s="58">
        <v>0.25</v>
      </c>
      <c r="R17" s="59">
        <f>P17*(1/Q17)</f>
        <v>138.66666666666666</v>
      </c>
    </row>
    <row r="18" spans="1:18" x14ac:dyDescent="0.25">
      <c r="A18" s="4">
        <v>1</v>
      </c>
      <c r="B18" s="4">
        <v>5</v>
      </c>
      <c r="C18" s="4">
        <v>3</v>
      </c>
      <c r="D18" s="4">
        <v>17</v>
      </c>
      <c r="E18" s="4">
        <v>5</v>
      </c>
      <c r="F18" s="4" t="s">
        <v>25</v>
      </c>
      <c r="G18" t="s">
        <v>28</v>
      </c>
      <c r="H18" s="4">
        <v>105</v>
      </c>
      <c r="I18" s="41">
        <v>45428</v>
      </c>
      <c r="J18" s="55">
        <v>22</v>
      </c>
      <c r="K18" s="55">
        <v>19</v>
      </c>
      <c r="L18" s="55">
        <v>11</v>
      </c>
      <c r="M18" s="55">
        <v>36</v>
      </c>
      <c r="N18" s="55">
        <v>36</v>
      </c>
      <c r="O18" s="55">
        <v>21</v>
      </c>
      <c r="P18" s="56">
        <f t="shared" si="0"/>
        <v>24.166666666666668</v>
      </c>
      <c r="Q18" s="55">
        <v>0.25</v>
      </c>
      <c r="R18" s="56">
        <f t="shared" si="1"/>
        <v>96.666666666666671</v>
      </c>
    </row>
    <row r="19" spans="1:18" x14ac:dyDescent="0.25">
      <c r="A19" s="4">
        <v>2</v>
      </c>
      <c r="B19" s="4">
        <v>5</v>
      </c>
      <c r="C19" s="4">
        <v>3</v>
      </c>
      <c r="D19" s="4">
        <v>18</v>
      </c>
      <c r="E19" s="4">
        <v>12</v>
      </c>
      <c r="F19" s="4" t="s">
        <v>25</v>
      </c>
      <c r="G19" t="s">
        <v>26</v>
      </c>
      <c r="H19" s="4">
        <v>205</v>
      </c>
      <c r="I19" s="41">
        <v>45428</v>
      </c>
      <c r="J19" s="55">
        <v>29</v>
      </c>
      <c r="K19" s="55">
        <v>24</v>
      </c>
      <c r="L19" s="55">
        <v>29</v>
      </c>
      <c r="M19" s="55">
        <v>12</v>
      </c>
      <c r="N19" s="55">
        <v>21</v>
      </c>
      <c r="O19" s="55">
        <v>31</v>
      </c>
      <c r="P19" s="56">
        <f t="shared" si="0"/>
        <v>24.333333333333332</v>
      </c>
      <c r="Q19" s="55">
        <v>0.25</v>
      </c>
      <c r="R19" s="56">
        <f t="shared" si="1"/>
        <v>97.333333333333329</v>
      </c>
    </row>
    <row r="20" spans="1:18" x14ac:dyDescent="0.25">
      <c r="A20" s="4">
        <v>3</v>
      </c>
      <c r="B20" s="4">
        <v>5</v>
      </c>
      <c r="C20" s="4">
        <v>3</v>
      </c>
      <c r="D20" s="4">
        <v>19</v>
      </c>
      <c r="E20" s="4">
        <v>21</v>
      </c>
      <c r="F20" s="4" t="s">
        <v>25</v>
      </c>
      <c r="G20" t="s">
        <v>29</v>
      </c>
      <c r="H20" s="4">
        <v>305</v>
      </c>
      <c r="I20" s="41">
        <v>45428</v>
      </c>
      <c r="J20" s="55">
        <v>26</v>
      </c>
      <c r="K20" s="55">
        <v>20</v>
      </c>
      <c r="L20" s="55">
        <v>33</v>
      </c>
      <c r="M20" s="55">
        <v>16</v>
      </c>
      <c r="N20" s="55">
        <v>11</v>
      </c>
      <c r="O20" s="55">
        <v>18</v>
      </c>
      <c r="P20" s="56">
        <f t="shared" si="0"/>
        <v>20.666666666666668</v>
      </c>
      <c r="Q20" s="55">
        <v>0.25</v>
      </c>
      <c r="R20" s="56">
        <f t="shared" si="1"/>
        <v>82.666666666666671</v>
      </c>
    </row>
    <row r="21" spans="1:18" x14ac:dyDescent="0.25">
      <c r="A21" s="4">
        <v>4</v>
      </c>
      <c r="B21" s="4">
        <v>5</v>
      </c>
      <c r="C21" s="4">
        <v>3</v>
      </c>
      <c r="D21" s="4">
        <v>20</v>
      </c>
      <c r="E21" s="4">
        <v>28</v>
      </c>
      <c r="F21" s="4" t="s">
        <v>25</v>
      </c>
      <c r="G21" t="s">
        <v>27</v>
      </c>
      <c r="H21" s="4">
        <v>405</v>
      </c>
      <c r="I21" s="41">
        <v>45428</v>
      </c>
      <c r="J21" s="55">
        <v>26</v>
      </c>
      <c r="K21" s="55">
        <v>36</v>
      </c>
      <c r="L21" s="55">
        <v>23</v>
      </c>
      <c r="M21" s="55">
        <v>39</v>
      </c>
      <c r="N21" s="55">
        <v>26</v>
      </c>
      <c r="O21" s="55">
        <v>40</v>
      </c>
      <c r="P21" s="56">
        <f t="shared" si="0"/>
        <v>31.666666666666668</v>
      </c>
      <c r="Q21" s="55">
        <v>0.25</v>
      </c>
      <c r="R21" s="56">
        <f t="shared" si="1"/>
        <v>126.66666666666667</v>
      </c>
    </row>
    <row r="22" spans="1:18" s="54" customFormat="1" x14ac:dyDescent="0.25">
      <c r="A22" s="49">
        <v>4</v>
      </c>
      <c r="B22" s="49">
        <v>6</v>
      </c>
      <c r="C22" s="49">
        <v>3</v>
      </c>
      <c r="D22" s="49">
        <v>21</v>
      </c>
      <c r="E22" s="49">
        <v>27</v>
      </c>
      <c r="F22" s="49" t="s">
        <v>30</v>
      </c>
      <c r="G22" s="54" t="s">
        <v>28</v>
      </c>
      <c r="H22" s="49">
        <v>406</v>
      </c>
      <c r="I22" s="57">
        <v>45457</v>
      </c>
      <c r="J22" s="58">
        <v>31</v>
      </c>
      <c r="K22" s="58">
        <v>33</v>
      </c>
      <c r="L22" s="58">
        <v>34</v>
      </c>
      <c r="M22" s="58">
        <v>29</v>
      </c>
      <c r="N22" s="58">
        <v>37</v>
      </c>
      <c r="O22" s="58">
        <v>35</v>
      </c>
      <c r="P22" s="59">
        <f>AVERAGE(J22:O22)</f>
        <v>33.166666666666664</v>
      </c>
      <c r="Q22" s="58">
        <v>0.25</v>
      </c>
      <c r="R22" s="59">
        <f>P22*(1/Q22)</f>
        <v>132.66666666666666</v>
      </c>
    </row>
    <row r="23" spans="1:18" s="54" customFormat="1" x14ac:dyDescent="0.25">
      <c r="A23" s="49">
        <v>3</v>
      </c>
      <c r="B23" s="49">
        <v>6</v>
      </c>
      <c r="C23" s="49">
        <v>3</v>
      </c>
      <c r="D23" s="49">
        <v>22</v>
      </c>
      <c r="E23" s="49">
        <v>22</v>
      </c>
      <c r="F23" s="49" t="s">
        <v>30</v>
      </c>
      <c r="G23" s="54" t="s">
        <v>32</v>
      </c>
      <c r="H23" s="49">
        <v>306</v>
      </c>
      <c r="I23" s="57">
        <v>45457</v>
      </c>
      <c r="J23" s="58">
        <v>32</v>
      </c>
      <c r="K23" s="58">
        <v>38</v>
      </c>
      <c r="L23" s="58">
        <v>36</v>
      </c>
      <c r="M23" s="58">
        <v>36</v>
      </c>
      <c r="N23" s="58">
        <v>30</v>
      </c>
      <c r="O23" s="58">
        <v>38</v>
      </c>
      <c r="P23" s="59">
        <f>AVERAGE(J23:O23)</f>
        <v>35</v>
      </c>
      <c r="Q23" s="58">
        <v>0.25</v>
      </c>
      <c r="R23" s="59">
        <f>P23*(1/Q23)</f>
        <v>140</v>
      </c>
    </row>
    <row r="24" spans="1:18" s="54" customFormat="1" x14ac:dyDescent="0.25">
      <c r="A24" s="49">
        <v>2</v>
      </c>
      <c r="B24" s="49">
        <v>6</v>
      </c>
      <c r="C24" s="49">
        <v>3</v>
      </c>
      <c r="D24" s="49">
        <v>23</v>
      </c>
      <c r="E24" s="49">
        <v>11</v>
      </c>
      <c r="F24" s="49" t="s">
        <v>30</v>
      </c>
      <c r="G24" s="54" t="s">
        <v>31</v>
      </c>
      <c r="H24" s="49">
        <v>206</v>
      </c>
      <c r="I24" s="57">
        <v>45457</v>
      </c>
      <c r="J24" s="58">
        <v>30</v>
      </c>
      <c r="K24" s="58">
        <v>46</v>
      </c>
      <c r="L24" s="58">
        <v>46</v>
      </c>
      <c r="M24" s="58">
        <v>43</v>
      </c>
      <c r="N24" s="58">
        <v>35</v>
      </c>
      <c r="O24" s="58">
        <v>36</v>
      </c>
      <c r="P24" s="59">
        <f>AVERAGE(J24:O24)</f>
        <v>39.333333333333336</v>
      </c>
      <c r="Q24" s="58">
        <v>0.25</v>
      </c>
      <c r="R24" s="59">
        <f>P24*(1/Q24)</f>
        <v>157.33333333333334</v>
      </c>
    </row>
    <row r="25" spans="1:18" s="54" customFormat="1" x14ac:dyDescent="0.25">
      <c r="A25" s="49">
        <v>1</v>
      </c>
      <c r="B25" s="49">
        <v>6</v>
      </c>
      <c r="C25" s="49">
        <v>3</v>
      </c>
      <c r="D25" s="49">
        <v>24</v>
      </c>
      <c r="E25" s="49">
        <v>6</v>
      </c>
      <c r="F25" s="49" t="s">
        <v>30</v>
      </c>
      <c r="G25" s="54" t="s">
        <v>29</v>
      </c>
      <c r="H25" s="49">
        <v>106</v>
      </c>
      <c r="I25" s="57">
        <v>45457</v>
      </c>
      <c r="J25" s="58">
        <v>40</v>
      </c>
      <c r="K25" s="58">
        <v>35</v>
      </c>
      <c r="L25" s="58">
        <v>39</v>
      </c>
      <c r="M25" s="58">
        <v>34</v>
      </c>
      <c r="N25" s="58">
        <v>37</v>
      </c>
      <c r="O25" s="58">
        <v>36</v>
      </c>
      <c r="P25" s="59">
        <f>AVERAGE(J25:O25)</f>
        <v>36.833333333333336</v>
      </c>
      <c r="Q25" s="58">
        <v>0.25</v>
      </c>
      <c r="R25" s="59">
        <f>P25*(1/Q25)</f>
        <v>147.33333333333334</v>
      </c>
    </row>
    <row r="26" spans="1:18" x14ac:dyDescent="0.25">
      <c r="A26" s="4">
        <v>1</v>
      </c>
      <c r="B26" s="4">
        <v>7</v>
      </c>
      <c r="C26" s="4">
        <v>4</v>
      </c>
      <c r="D26" s="4">
        <v>25</v>
      </c>
      <c r="E26" s="4">
        <v>7</v>
      </c>
      <c r="F26" s="4" t="s">
        <v>25</v>
      </c>
      <c r="G26" t="s">
        <v>29</v>
      </c>
      <c r="H26" s="4">
        <v>107</v>
      </c>
      <c r="I26" s="41">
        <v>45428</v>
      </c>
      <c r="J26" s="55">
        <v>26</v>
      </c>
      <c r="K26" s="55">
        <v>11</v>
      </c>
      <c r="L26" s="55">
        <v>15</v>
      </c>
      <c r="M26" s="55">
        <v>38</v>
      </c>
      <c r="N26" s="55">
        <v>33</v>
      </c>
      <c r="O26" s="55">
        <v>21</v>
      </c>
      <c r="P26" s="56">
        <f t="shared" si="0"/>
        <v>24</v>
      </c>
      <c r="Q26" s="55">
        <v>0.25</v>
      </c>
      <c r="R26" s="56">
        <f t="shared" si="1"/>
        <v>96</v>
      </c>
    </row>
    <row r="27" spans="1:18" x14ac:dyDescent="0.25">
      <c r="A27" s="4">
        <v>2</v>
      </c>
      <c r="B27" s="4">
        <v>7</v>
      </c>
      <c r="C27" s="4">
        <v>4</v>
      </c>
      <c r="D27" s="4">
        <v>26</v>
      </c>
      <c r="E27" s="4">
        <v>10</v>
      </c>
      <c r="F27" s="4" t="s">
        <v>25</v>
      </c>
      <c r="G27" t="s">
        <v>28</v>
      </c>
      <c r="H27" s="4">
        <v>207</v>
      </c>
      <c r="I27" s="41">
        <v>45428</v>
      </c>
      <c r="J27" s="55">
        <v>12</v>
      </c>
      <c r="K27" s="55">
        <v>17</v>
      </c>
      <c r="L27" s="55">
        <v>14</v>
      </c>
      <c r="M27" s="55">
        <v>31</v>
      </c>
      <c r="N27" s="55">
        <v>11</v>
      </c>
      <c r="O27" s="55">
        <v>12</v>
      </c>
      <c r="P27" s="56">
        <f t="shared" si="0"/>
        <v>16.166666666666668</v>
      </c>
      <c r="Q27" s="55">
        <v>0.25</v>
      </c>
      <c r="R27" s="56">
        <f t="shared" si="1"/>
        <v>64.666666666666671</v>
      </c>
    </row>
    <row r="28" spans="1:18" x14ac:dyDescent="0.25">
      <c r="A28" s="4">
        <v>3</v>
      </c>
      <c r="B28" s="4">
        <v>7</v>
      </c>
      <c r="C28" s="4">
        <v>4</v>
      </c>
      <c r="D28" s="4">
        <v>27</v>
      </c>
      <c r="E28" s="4">
        <v>23</v>
      </c>
      <c r="F28" s="4" t="s">
        <v>25</v>
      </c>
      <c r="G28" t="s">
        <v>27</v>
      </c>
      <c r="H28" s="4">
        <v>307</v>
      </c>
      <c r="I28" s="41">
        <v>45428</v>
      </c>
      <c r="J28" s="55">
        <v>14</v>
      </c>
      <c r="K28" s="55">
        <v>25</v>
      </c>
      <c r="L28" s="55">
        <v>29</v>
      </c>
      <c r="M28" s="55">
        <v>18</v>
      </c>
      <c r="N28" s="55">
        <v>16</v>
      </c>
      <c r="O28" s="55">
        <v>26</v>
      </c>
      <c r="P28" s="56">
        <f t="shared" si="0"/>
        <v>21.333333333333332</v>
      </c>
      <c r="Q28" s="55">
        <v>0.25</v>
      </c>
      <c r="R28" s="56">
        <f t="shared" si="1"/>
        <v>85.333333333333329</v>
      </c>
    </row>
    <row r="29" spans="1:18" x14ac:dyDescent="0.25">
      <c r="A29" s="4">
        <v>4</v>
      </c>
      <c r="B29" s="4">
        <v>7</v>
      </c>
      <c r="C29" s="4">
        <v>4</v>
      </c>
      <c r="D29" s="4">
        <v>28</v>
      </c>
      <c r="E29" s="4">
        <v>26</v>
      </c>
      <c r="F29" s="4" t="s">
        <v>25</v>
      </c>
      <c r="G29" t="s">
        <v>26</v>
      </c>
      <c r="H29" s="4">
        <v>407</v>
      </c>
      <c r="I29" s="41">
        <v>45428</v>
      </c>
      <c r="J29" s="55">
        <v>34</v>
      </c>
      <c r="K29" s="55">
        <v>13</v>
      </c>
      <c r="L29" s="55">
        <v>39</v>
      </c>
      <c r="M29" s="55">
        <v>22</v>
      </c>
      <c r="N29" s="55">
        <v>17</v>
      </c>
      <c r="O29" s="55">
        <v>42</v>
      </c>
      <c r="P29" s="56">
        <f t="shared" si="0"/>
        <v>27.833333333333332</v>
      </c>
      <c r="Q29" s="55">
        <v>0.25</v>
      </c>
      <c r="R29" s="56">
        <f t="shared" si="1"/>
        <v>111.33333333333333</v>
      </c>
    </row>
    <row r="30" spans="1:18" s="54" customFormat="1" x14ac:dyDescent="0.25">
      <c r="A30" s="49">
        <v>4</v>
      </c>
      <c r="B30" s="49">
        <v>8</v>
      </c>
      <c r="C30" s="49">
        <v>4</v>
      </c>
      <c r="D30" s="49">
        <v>29</v>
      </c>
      <c r="E30" s="49">
        <v>25</v>
      </c>
      <c r="F30" s="49" t="s">
        <v>30</v>
      </c>
      <c r="G30" s="54" t="s">
        <v>31</v>
      </c>
      <c r="H30" s="49">
        <v>408</v>
      </c>
      <c r="I30" s="57">
        <v>45457</v>
      </c>
      <c r="J30" s="58">
        <v>48</v>
      </c>
      <c r="K30" s="58">
        <v>27</v>
      </c>
      <c r="L30" s="58">
        <v>45</v>
      </c>
      <c r="M30" s="58">
        <v>29</v>
      </c>
      <c r="N30" s="58">
        <v>37</v>
      </c>
      <c r="O30" s="58">
        <v>30</v>
      </c>
      <c r="P30" s="58">
        <f>AVERAGE(J30:O30)</f>
        <v>36</v>
      </c>
      <c r="Q30" s="58">
        <v>0.25</v>
      </c>
      <c r="R30" s="59">
        <f>P30*(1/Q30)</f>
        <v>144</v>
      </c>
    </row>
    <row r="31" spans="1:18" s="54" customFormat="1" x14ac:dyDescent="0.25">
      <c r="A31" s="49">
        <v>3</v>
      </c>
      <c r="B31" s="49">
        <v>8</v>
      </c>
      <c r="C31" s="49">
        <v>4</v>
      </c>
      <c r="D31" s="49">
        <v>30</v>
      </c>
      <c r="E31" s="49">
        <v>24</v>
      </c>
      <c r="F31" s="49" t="s">
        <v>30</v>
      </c>
      <c r="G31" s="54" t="s">
        <v>28</v>
      </c>
      <c r="H31" s="49">
        <v>308</v>
      </c>
      <c r="I31" s="57">
        <v>45457</v>
      </c>
      <c r="J31" s="58">
        <v>58</v>
      </c>
      <c r="K31" s="58">
        <v>15</v>
      </c>
      <c r="L31" s="58">
        <v>27</v>
      </c>
      <c r="M31" s="58">
        <v>28</v>
      </c>
      <c r="N31" s="58">
        <v>31</v>
      </c>
      <c r="O31" s="58">
        <v>42</v>
      </c>
      <c r="P31" s="59">
        <f>AVERAGE(J31:O31)</f>
        <v>33.5</v>
      </c>
      <c r="Q31" s="58">
        <v>0.25</v>
      </c>
      <c r="R31" s="59">
        <f>P31*(1/Q31)</f>
        <v>134</v>
      </c>
    </row>
    <row r="32" spans="1:18" s="54" customFormat="1" x14ac:dyDescent="0.25">
      <c r="A32" s="49">
        <v>2</v>
      </c>
      <c r="B32" s="49">
        <v>8</v>
      </c>
      <c r="C32" s="49">
        <v>4</v>
      </c>
      <c r="D32" s="49">
        <v>31</v>
      </c>
      <c r="E32" s="49">
        <v>9</v>
      </c>
      <c r="F32" s="49" t="s">
        <v>30</v>
      </c>
      <c r="G32" s="54" t="s">
        <v>29</v>
      </c>
      <c r="H32" s="49">
        <v>208</v>
      </c>
      <c r="I32" s="57">
        <v>45457</v>
      </c>
      <c r="J32" s="58">
        <v>27</v>
      </c>
      <c r="K32" s="58">
        <v>30</v>
      </c>
      <c r="L32" s="58">
        <v>30</v>
      </c>
      <c r="M32" s="58">
        <v>22</v>
      </c>
      <c r="N32" s="58">
        <v>20</v>
      </c>
      <c r="O32" s="58">
        <v>30</v>
      </c>
      <c r="P32" s="59">
        <f>AVERAGE(J32:O32)</f>
        <v>26.5</v>
      </c>
      <c r="Q32" s="58">
        <v>0.25</v>
      </c>
      <c r="R32" s="59">
        <f>P32*(1/Q32)</f>
        <v>106</v>
      </c>
    </row>
    <row r="33" spans="1:18" s="54" customFormat="1" x14ac:dyDescent="0.25">
      <c r="A33" s="49">
        <v>1</v>
      </c>
      <c r="B33" s="49">
        <v>8</v>
      </c>
      <c r="C33" s="49">
        <v>4</v>
      </c>
      <c r="D33" s="49">
        <v>32</v>
      </c>
      <c r="E33" s="49">
        <v>8</v>
      </c>
      <c r="F33" s="49" t="s">
        <v>30</v>
      </c>
      <c r="G33" s="54" t="s">
        <v>32</v>
      </c>
      <c r="H33" s="49">
        <v>108</v>
      </c>
      <c r="I33" s="57">
        <v>45457</v>
      </c>
      <c r="J33" s="58">
        <v>30</v>
      </c>
      <c r="K33" s="58">
        <v>26</v>
      </c>
      <c r="L33" s="58">
        <v>29</v>
      </c>
      <c r="M33" s="58">
        <v>32</v>
      </c>
      <c r="N33" s="58">
        <v>48</v>
      </c>
      <c r="O33" s="58">
        <v>29</v>
      </c>
      <c r="P33" s="59">
        <f>AVERAGE(J33:O33)</f>
        <v>32.333333333333336</v>
      </c>
      <c r="Q33" s="58">
        <v>0.25</v>
      </c>
      <c r="R33" s="59">
        <f>P33*(1/Q33)</f>
        <v>129.33333333333334</v>
      </c>
    </row>
  </sheetData>
  <autoFilter ref="A1:R33" xr:uid="{597F6094-9298-4AC3-AC58-56715B64BEE4}"/>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06415-65A7-4C09-8106-9D58F9F65B69}">
  <dimension ref="A1:AC353"/>
  <sheetViews>
    <sheetView topLeftCell="F1" workbookViewId="0">
      <selection activeCell="E158" sqref="E158"/>
    </sheetView>
  </sheetViews>
  <sheetFormatPr defaultRowHeight="15" customHeight="1" x14ac:dyDescent="0.25"/>
  <cols>
    <col min="6" max="6" width="12.5703125" customWidth="1"/>
    <col min="7" max="7" width="14.42578125" customWidth="1"/>
    <col min="10" max="10" width="10.5703125" bestFit="1" customWidth="1"/>
    <col min="14" max="14" width="9.28515625" style="43"/>
    <col min="17" max="17" width="26.7109375" bestFit="1" customWidth="1"/>
    <col min="18" max="18" width="19.5703125" bestFit="1" customWidth="1"/>
    <col min="19" max="19" width="9.5703125" bestFit="1" customWidth="1"/>
    <col min="20" max="20" width="10.5703125" bestFit="1" customWidth="1"/>
    <col min="21" max="21" width="7.42578125" bestFit="1" customWidth="1"/>
    <col min="22" max="22" width="10.5703125" bestFit="1" customWidth="1"/>
    <col min="23" max="23" width="9.5703125" bestFit="1" customWidth="1"/>
    <col min="24" max="28" width="10.5703125" bestFit="1" customWidth="1"/>
    <col min="29" max="29" width="9.5703125" bestFit="1" customWidth="1"/>
    <col min="30" max="30" width="13.7109375" bestFit="1" customWidth="1"/>
    <col min="31" max="31" width="12.5703125" bestFit="1" customWidth="1"/>
    <col min="32" max="32" width="15.5703125" bestFit="1" customWidth="1"/>
    <col min="34" max="34" width="6" bestFit="1" customWidth="1"/>
    <col min="35" max="35" width="13.28515625" bestFit="1" customWidth="1"/>
    <col min="36" max="36" width="10.42578125" bestFit="1" customWidth="1"/>
    <col min="37" max="37" width="13.7109375" bestFit="1" customWidth="1"/>
    <col min="38" max="38" width="12.5703125" bestFit="1" customWidth="1"/>
    <col min="39" max="39" width="12.28515625" bestFit="1" customWidth="1"/>
  </cols>
  <sheetData>
    <row r="1" spans="1:29" ht="45" x14ac:dyDescent="0.25">
      <c r="A1" s="10" t="s">
        <v>23</v>
      </c>
      <c r="B1" s="10" t="s">
        <v>24</v>
      </c>
      <c r="C1" s="10" t="s">
        <v>281</v>
      </c>
      <c r="D1" s="10" t="s">
        <v>282</v>
      </c>
      <c r="E1" s="10" t="s">
        <v>77</v>
      </c>
      <c r="F1" s="10" t="s">
        <v>21</v>
      </c>
      <c r="G1" s="6" t="s">
        <v>22</v>
      </c>
      <c r="H1" s="10" t="s">
        <v>76</v>
      </c>
      <c r="I1" s="10" t="s">
        <v>283</v>
      </c>
      <c r="J1" s="10" t="s">
        <v>284</v>
      </c>
      <c r="K1" s="10" t="s">
        <v>303</v>
      </c>
      <c r="L1" s="10" t="s">
        <v>304</v>
      </c>
      <c r="M1" s="10" t="s">
        <v>305</v>
      </c>
      <c r="N1" s="9" t="s">
        <v>306</v>
      </c>
    </row>
    <row r="2" spans="1:29" x14ac:dyDescent="0.25">
      <c r="A2" s="4">
        <v>1</v>
      </c>
      <c r="B2" s="4">
        <v>1</v>
      </c>
      <c r="C2" s="4">
        <v>1</v>
      </c>
      <c r="D2" s="4">
        <v>1</v>
      </c>
      <c r="E2" s="4">
        <v>1</v>
      </c>
      <c r="F2" s="4" t="s">
        <v>25</v>
      </c>
      <c r="G2" t="s">
        <v>26</v>
      </c>
      <c r="H2" s="4">
        <v>101</v>
      </c>
      <c r="I2" s="4">
        <v>1</v>
      </c>
      <c r="J2" s="41">
        <v>45436</v>
      </c>
      <c r="K2" s="4">
        <v>3.9</v>
      </c>
      <c r="L2" s="4">
        <v>4.0999999999999996</v>
      </c>
      <c r="M2" s="4">
        <v>3.7</v>
      </c>
      <c r="N2" s="43">
        <f>AVERAGE(K2:M2)</f>
        <v>3.9</v>
      </c>
    </row>
    <row r="3" spans="1:29" x14ac:dyDescent="0.25">
      <c r="A3" s="4">
        <v>2</v>
      </c>
      <c r="B3" s="4">
        <v>1</v>
      </c>
      <c r="C3" s="4">
        <v>1</v>
      </c>
      <c r="D3" s="4">
        <v>2</v>
      </c>
      <c r="E3" s="4">
        <v>16</v>
      </c>
      <c r="F3" s="4" t="s">
        <v>25</v>
      </c>
      <c r="G3" t="s">
        <v>27</v>
      </c>
      <c r="H3" s="4">
        <v>201</v>
      </c>
      <c r="I3" s="4">
        <v>1</v>
      </c>
      <c r="J3" s="41">
        <v>45436</v>
      </c>
      <c r="K3" s="4">
        <v>4.5</v>
      </c>
      <c r="L3" s="4">
        <v>4.2</v>
      </c>
      <c r="M3" s="4">
        <v>4.2</v>
      </c>
      <c r="N3" s="43">
        <f t="shared" ref="N3:N66" si="0">AVERAGE(K3:M3)</f>
        <v>4.3</v>
      </c>
    </row>
    <row r="4" spans="1:29" x14ac:dyDescent="0.25">
      <c r="A4" s="4">
        <v>3</v>
      </c>
      <c r="B4" s="4">
        <v>1</v>
      </c>
      <c r="C4" s="4">
        <v>1</v>
      </c>
      <c r="D4" s="4">
        <v>3</v>
      </c>
      <c r="E4" s="4">
        <v>17</v>
      </c>
      <c r="F4" s="4" t="s">
        <v>25</v>
      </c>
      <c r="G4" t="s">
        <v>28</v>
      </c>
      <c r="H4" s="4">
        <v>301</v>
      </c>
      <c r="I4" s="4">
        <v>1</v>
      </c>
      <c r="J4" s="41">
        <v>45436</v>
      </c>
      <c r="K4" s="4">
        <v>4.2</v>
      </c>
      <c r="L4" s="4">
        <v>4.5</v>
      </c>
      <c r="M4" s="4">
        <v>4.4000000000000004</v>
      </c>
      <c r="N4" s="43">
        <f t="shared" si="0"/>
        <v>4.3666666666666663</v>
      </c>
    </row>
    <row r="5" spans="1:29" x14ac:dyDescent="0.25">
      <c r="A5" s="4">
        <v>4</v>
      </c>
      <c r="B5" s="4">
        <v>1</v>
      </c>
      <c r="C5" s="4">
        <v>1</v>
      </c>
      <c r="D5" s="4">
        <v>4</v>
      </c>
      <c r="E5" s="4">
        <v>32</v>
      </c>
      <c r="F5" s="4" t="s">
        <v>25</v>
      </c>
      <c r="G5" t="s">
        <v>29</v>
      </c>
      <c r="H5" s="4">
        <v>401</v>
      </c>
      <c r="I5" s="4">
        <v>1</v>
      </c>
      <c r="J5" s="41">
        <v>45436</v>
      </c>
      <c r="K5" s="4">
        <v>4.0999999999999996</v>
      </c>
      <c r="L5" s="4">
        <v>3.8</v>
      </c>
      <c r="M5" s="4">
        <v>4.2</v>
      </c>
      <c r="N5" s="43">
        <f t="shared" si="0"/>
        <v>4.0333333333333332</v>
      </c>
    </row>
    <row r="6" spans="1:29" x14ac:dyDescent="0.25">
      <c r="A6" s="4">
        <v>4</v>
      </c>
      <c r="B6" s="4">
        <v>2</v>
      </c>
      <c r="C6" s="4">
        <v>1</v>
      </c>
      <c r="D6" s="4">
        <v>5</v>
      </c>
      <c r="E6" s="4">
        <v>31</v>
      </c>
      <c r="F6" s="4" t="s">
        <v>30</v>
      </c>
      <c r="G6" t="s">
        <v>32</v>
      </c>
      <c r="H6" s="4">
        <v>402</v>
      </c>
      <c r="I6" s="4">
        <v>1</v>
      </c>
      <c r="J6" s="57">
        <v>45467</v>
      </c>
      <c r="K6">
        <v>3.1</v>
      </c>
      <c r="L6">
        <v>3.2</v>
      </c>
      <c r="M6">
        <v>3.2</v>
      </c>
      <c r="N6" s="43">
        <f t="shared" si="0"/>
        <v>3.1666666666666665</v>
      </c>
      <c r="Q6" s="46" t="s">
        <v>307</v>
      </c>
      <c r="R6" s="46" t="s">
        <v>308</v>
      </c>
    </row>
    <row r="7" spans="1:29" x14ac:dyDescent="0.25">
      <c r="A7" s="4">
        <v>3</v>
      </c>
      <c r="B7" s="4">
        <v>2</v>
      </c>
      <c r="C7" s="4">
        <v>1</v>
      </c>
      <c r="D7" s="4">
        <v>6</v>
      </c>
      <c r="E7" s="4">
        <v>18</v>
      </c>
      <c r="F7" s="4" t="s">
        <v>30</v>
      </c>
      <c r="G7" t="s">
        <v>29</v>
      </c>
      <c r="H7" s="4">
        <v>302</v>
      </c>
      <c r="I7" s="4">
        <v>1</v>
      </c>
      <c r="J7" s="57">
        <v>45467</v>
      </c>
      <c r="K7">
        <v>2.9</v>
      </c>
      <c r="L7">
        <v>3.1</v>
      </c>
      <c r="M7">
        <v>2.9</v>
      </c>
      <c r="N7" s="43">
        <f t="shared" si="0"/>
        <v>2.9666666666666668</v>
      </c>
      <c r="Q7" s="46" t="s">
        <v>309</v>
      </c>
      <c r="R7" s="38">
        <v>45436</v>
      </c>
      <c r="S7" s="38">
        <v>45446</v>
      </c>
      <c r="T7" s="38">
        <v>45457</v>
      </c>
      <c r="U7" t="s">
        <v>310</v>
      </c>
      <c r="V7" s="38">
        <v>45467</v>
      </c>
      <c r="W7" s="38">
        <v>45477</v>
      </c>
      <c r="X7" s="38">
        <v>45468</v>
      </c>
      <c r="Y7" s="38">
        <v>45483</v>
      </c>
      <c r="Z7" s="38">
        <v>45488</v>
      </c>
      <c r="AA7" s="38">
        <v>45499</v>
      </c>
      <c r="AB7" s="38">
        <v>45495</v>
      </c>
      <c r="AC7" s="38">
        <v>45513</v>
      </c>
    </row>
    <row r="8" spans="1:29" x14ac:dyDescent="0.25">
      <c r="A8" s="4">
        <v>2</v>
      </c>
      <c r="B8" s="4">
        <v>2</v>
      </c>
      <c r="C8" s="4">
        <v>1</v>
      </c>
      <c r="D8" s="4">
        <v>7</v>
      </c>
      <c r="E8" s="4">
        <v>15</v>
      </c>
      <c r="F8" s="4" t="s">
        <v>30</v>
      </c>
      <c r="G8" t="s">
        <v>28</v>
      </c>
      <c r="H8" s="4">
        <v>202</v>
      </c>
      <c r="I8" s="4">
        <v>1</v>
      </c>
      <c r="J8" s="57">
        <v>45467</v>
      </c>
      <c r="K8">
        <v>2.9</v>
      </c>
      <c r="L8">
        <v>2.7</v>
      </c>
      <c r="M8">
        <v>3.2</v>
      </c>
      <c r="N8" s="43">
        <f t="shared" si="0"/>
        <v>2.9333333333333336</v>
      </c>
      <c r="Q8" s="52" t="s">
        <v>25</v>
      </c>
      <c r="R8" s="43">
        <v>4.052083333333333</v>
      </c>
      <c r="S8" s="43">
        <v>5.0541666666666654</v>
      </c>
      <c r="T8" s="43">
        <v>6.2249999999999996</v>
      </c>
      <c r="U8" s="43"/>
      <c r="V8" s="43"/>
      <c r="W8" s="43"/>
      <c r="X8" s="43">
        <v>6.7791666666666659</v>
      </c>
      <c r="Y8" s="43">
        <v>7.7166666666666659</v>
      </c>
      <c r="Z8" s="43"/>
      <c r="AA8" s="43"/>
      <c r="AB8" s="43">
        <v>8.5479166666666657</v>
      </c>
      <c r="AC8" s="43">
        <v>9.9583333333333339</v>
      </c>
    </row>
    <row r="9" spans="1:29" x14ac:dyDescent="0.25">
      <c r="A9" s="4">
        <v>1</v>
      </c>
      <c r="B9" s="4">
        <v>2</v>
      </c>
      <c r="C9" s="4">
        <v>1</v>
      </c>
      <c r="D9" s="4">
        <v>8</v>
      </c>
      <c r="E9" s="4">
        <v>2</v>
      </c>
      <c r="F9" s="4" t="s">
        <v>30</v>
      </c>
      <c r="G9" t="s">
        <v>31</v>
      </c>
      <c r="H9" s="4">
        <v>102</v>
      </c>
      <c r="I9" s="4">
        <v>1</v>
      </c>
      <c r="J9" s="57">
        <v>45467</v>
      </c>
      <c r="K9">
        <v>3.4</v>
      </c>
      <c r="L9">
        <v>3.3</v>
      </c>
      <c r="M9">
        <v>3.4</v>
      </c>
      <c r="N9" s="43">
        <f t="shared" si="0"/>
        <v>3.3666666666666667</v>
      </c>
      <c r="Q9" s="53" t="s">
        <v>26</v>
      </c>
      <c r="R9" s="43">
        <v>3.8249999999999997</v>
      </c>
      <c r="S9" s="43">
        <v>4.8916666666666657</v>
      </c>
      <c r="T9" s="43">
        <v>6.0583333333333327</v>
      </c>
      <c r="U9" s="43"/>
      <c r="V9" s="43"/>
      <c r="W9" s="43"/>
      <c r="X9" s="43">
        <v>6.5833333333333339</v>
      </c>
      <c r="Y9" s="43">
        <v>7.4666666666666668</v>
      </c>
      <c r="Z9" s="43"/>
      <c r="AA9" s="43"/>
      <c r="AB9" s="43">
        <v>8.3000000000000007</v>
      </c>
      <c r="AC9" s="43">
        <v>9.4749999999999996</v>
      </c>
    </row>
    <row r="10" spans="1:29" x14ac:dyDescent="0.25">
      <c r="A10" s="4">
        <v>1</v>
      </c>
      <c r="B10" s="4">
        <v>3</v>
      </c>
      <c r="C10" s="4">
        <v>2</v>
      </c>
      <c r="D10" s="4">
        <v>9</v>
      </c>
      <c r="E10" s="4">
        <v>3</v>
      </c>
      <c r="F10" s="4" t="s">
        <v>25</v>
      </c>
      <c r="G10" t="s">
        <v>27</v>
      </c>
      <c r="H10" s="4">
        <v>103</v>
      </c>
      <c r="I10" s="4">
        <v>1</v>
      </c>
      <c r="J10" s="41">
        <v>45436</v>
      </c>
      <c r="K10" s="4">
        <v>4.2</v>
      </c>
      <c r="L10" s="4">
        <v>3.8</v>
      </c>
      <c r="M10" s="4">
        <v>4.0999999999999996</v>
      </c>
      <c r="N10" s="43">
        <f t="shared" si="0"/>
        <v>4.0333333333333332</v>
      </c>
      <c r="Q10" s="53" t="s">
        <v>27</v>
      </c>
      <c r="R10" s="43">
        <v>4</v>
      </c>
      <c r="S10" s="43">
        <v>4.8999999999999995</v>
      </c>
      <c r="T10" s="43">
        <v>6.2833333333333332</v>
      </c>
      <c r="U10" s="43"/>
      <c r="V10" s="43"/>
      <c r="W10" s="43"/>
      <c r="X10" s="43">
        <v>6.7</v>
      </c>
      <c r="Y10" s="43">
        <v>7.6749999999999998</v>
      </c>
      <c r="Z10" s="43"/>
      <c r="AA10" s="43"/>
      <c r="AB10" s="43">
        <v>8.4916666666666654</v>
      </c>
      <c r="AC10" s="43">
        <v>9.8833333333333329</v>
      </c>
    </row>
    <row r="11" spans="1:29" x14ac:dyDescent="0.25">
      <c r="A11" s="4">
        <v>2</v>
      </c>
      <c r="B11" s="4">
        <v>3</v>
      </c>
      <c r="C11" s="4">
        <v>2</v>
      </c>
      <c r="D11" s="4">
        <v>10</v>
      </c>
      <c r="E11" s="4">
        <v>14</v>
      </c>
      <c r="F11" s="4" t="s">
        <v>25</v>
      </c>
      <c r="G11" t="s">
        <v>29</v>
      </c>
      <c r="H11" s="4">
        <v>203</v>
      </c>
      <c r="I11" s="4">
        <v>1</v>
      </c>
      <c r="J11" s="41">
        <v>45436</v>
      </c>
      <c r="K11" s="4">
        <v>4.4000000000000004</v>
      </c>
      <c r="L11" s="4">
        <v>4</v>
      </c>
      <c r="M11" s="4">
        <v>4.0999999999999996</v>
      </c>
      <c r="N11" s="43">
        <f t="shared" si="0"/>
        <v>4.166666666666667</v>
      </c>
      <c r="Q11" s="53" t="s">
        <v>28</v>
      </c>
      <c r="R11" s="43">
        <v>4.1916666666666664</v>
      </c>
      <c r="S11" s="43">
        <v>5.1916666666666673</v>
      </c>
      <c r="T11" s="43">
        <v>6.208333333333333</v>
      </c>
      <c r="U11" s="43"/>
      <c r="V11" s="43"/>
      <c r="W11" s="43"/>
      <c r="X11" s="43">
        <v>6.833333333333333</v>
      </c>
      <c r="Y11" s="43">
        <v>7.7583333333333337</v>
      </c>
      <c r="Z11" s="43"/>
      <c r="AA11" s="43"/>
      <c r="AB11" s="43">
        <v>8.5666666666666664</v>
      </c>
      <c r="AC11" s="43">
        <v>10.200000000000001</v>
      </c>
    </row>
    <row r="12" spans="1:29" x14ac:dyDescent="0.25">
      <c r="A12" s="4">
        <v>3</v>
      </c>
      <c r="B12" s="4">
        <v>3</v>
      </c>
      <c r="C12" s="4">
        <v>2</v>
      </c>
      <c r="D12" s="4">
        <v>11</v>
      </c>
      <c r="E12" s="4">
        <v>19</v>
      </c>
      <c r="F12" s="4" t="s">
        <v>25</v>
      </c>
      <c r="G12" t="s">
        <v>26</v>
      </c>
      <c r="H12" s="4">
        <v>303</v>
      </c>
      <c r="I12" s="4">
        <v>1</v>
      </c>
      <c r="J12" s="41">
        <v>45436</v>
      </c>
      <c r="K12" s="4">
        <v>4.0999999999999996</v>
      </c>
      <c r="L12" s="4">
        <v>3.8</v>
      </c>
      <c r="M12" s="4">
        <v>3.9</v>
      </c>
      <c r="N12" s="43">
        <f t="shared" si="0"/>
        <v>3.9333333333333331</v>
      </c>
      <c r="Q12" s="53" t="s">
        <v>29</v>
      </c>
      <c r="R12" s="43">
        <v>4.1916666666666664</v>
      </c>
      <c r="S12" s="43">
        <v>5.2333333333333334</v>
      </c>
      <c r="T12" s="43">
        <v>6.3500000000000005</v>
      </c>
      <c r="U12" s="43"/>
      <c r="V12" s="43"/>
      <c r="W12" s="43"/>
      <c r="X12" s="43">
        <v>6.9999999999999991</v>
      </c>
      <c r="Y12" s="43">
        <v>7.9666666666666668</v>
      </c>
      <c r="Z12" s="43"/>
      <c r="AA12" s="43"/>
      <c r="AB12" s="43">
        <v>8.8333333333333339</v>
      </c>
      <c r="AC12" s="43">
        <v>10.274999999999999</v>
      </c>
    </row>
    <row r="13" spans="1:29" x14ac:dyDescent="0.25">
      <c r="A13" s="4">
        <v>4</v>
      </c>
      <c r="B13" s="4">
        <v>3</v>
      </c>
      <c r="C13" s="4">
        <v>2</v>
      </c>
      <c r="D13" s="4">
        <v>12</v>
      </c>
      <c r="E13" s="4">
        <v>30</v>
      </c>
      <c r="F13" s="4" t="s">
        <v>25</v>
      </c>
      <c r="G13" t="s">
        <v>28</v>
      </c>
      <c r="H13" s="4">
        <v>403</v>
      </c>
      <c r="I13" s="4">
        <v>1</v>
      </c>
      <c r="J13" s="41">
        <v>45436</v>
      </c>
      <c r="K13" s="4">
        <v>3.7</v>
      </c>
      <c r="L13" s="4">
        <v>4.3</v>
      </c>
      <c r="M13" s="4">
        <v>3.6</v>
      </c>
      <c r="N13" s="43">
        <f t="shared" si="0"/>
        <v>3.8666666666666667</v>
      </c>
      <c r="Q13" s="52" t="s">
        <v>30</v>
      </c>
      <c r="R13" s="43"/>
      <c r="S13" s="43"/>
      <c r="T13" s="43"/>
      <c r="U13" s="43"/>
      <c r="V13" s="43">
        <v>3.0791666666666666</v>
      </c>
      <c r="W13" s="43">
        <v>3.9666666666666663</v>
      </c>
      <c r="X13" s="43"/>
      <c r="Y13" s="43"/>
      <c r="Z13" s="43">
        <v>4.9437499999999996</v>
      </c>
      <c r="AA13" s="43">
        <v>5.9583333333333339</v>
      </c>
      <c r="AB13" s="43"/>
      <c r="AC13" s="43">
        <v>7.0354166666666682</v>
      </c>
    </row>
    <row r="14" spans="1:29" x14ac:dyDescent="0.25">
      <c r="A14" s="4">
        <v>4</v>
      </c>
      <c r="B14" s="4">
        <v>4</v>
      </c>
      <c r="C14" s="4">
        <v>2</v>
      </c>
      <c r="D14" s="4">
        <v>13</v>
      </c>
      <c r="E14" s="4">
        <v>29</v>
      </c>
      <c r="F14" s="4" t="s">
        <v>30</v>
      </c>
      <c r="G14" t="s">
        <v>29</v>
      </c>
      <c r="H14" s="4">
        <v>404</v>
      </c>
      <c r="I14" s="4">
        <v>1</v>
      </c>
      <c r="J14" s="57">
        <v>45467</v>
      </c>
      <c r="K14">
        <v>3.1</v>
      </c>
      <c r="L14">
        <v>2.8</v>
      </c>
      <c r="M14">
        <v>2.9</v>
      </c>
      <c r="N14" s="43">
        <f t="shared" si="0"/>
        <v>2.9333333333333336</v>
      </c>
      <c r="Q14" s="53" t="s">
        <v>32</v>
      </c>
      <c r="R14" s="43"/>
      <c r="S14" s="43"/>
      <c r="T14" s="43"/>
      <c r="U14" s="43"/>
      <c r="V14" s="43">
        <v>3.1583333333333332</v>
      </c>
      <c r="W14" s="43">
        <v>4.2583333333333337</v>
      </c>
      <c r="X14" s="43"/>
      <c r="Y14" s="43"/>
      <c r="Z14" s="43">
        <v>5.3250000000000002</v>
      </c>
      <c r="AA14" s="43">
        <v>6.375</v>
      </c>
      <c r="AB14" s="43"/>
      <c r="AC14" s="43">
        <v>7.4833333333333334</v>
      </c>
    </row>
    <row r="15" spans="1:29" x14ac:dyDescent="0.25">
      <c r="A15" s="4">
        <v>3</v>
      </c>
      <c r="B15" s="4">
        <v>4</v>
      </c>
      <c r="C15" s="4">
        <v>2</v>
      </c>
      <c r="D15" s="4">
        <v>14</v>
      </c>
      <c r="E15" s="4">
        <v>20</v>
      </c>
      <c r="F15" s="4" t="s">
        <v>30</v>
      </c>
      <c r="G15" t="s">
        <v>31</v>
      </c>
      <c r="H15" s="4">
        <v>304</v>
      </c>
      <c r="I15" s="4">
        <v>1</v>
      </c>
      <c r="J15" s="57">
        <v>45467</v>
      </c>
      <c r="K15">
        <v>2.9</v>
      </c>
      <c r="L15">
        <v>2.9</v>
      </c>
      <c r="M15">
        <v>3.1</v>
      </c>
      <c r="N15" s="43">
        <f t="shared" si="0"/>
        <v>2.9666666666666668</v>
      </c>
      <c r="Q15" s="53" t="s">
        <v>31</v>
      </c>
      <c r="R15" s="43"/>
      <c r="S15" s="43"/>
      <c r="T15" s="43"/>
      <c r="U15" s="43"/>
      <c r="V15" s="43">
        <v>3.0666666666666669</v>
      </c>
      <c r="W15" s="43">
        <v>3.8083333333333331</v>
      </c>
      <c r="X15" s="43"/>
      <c r="Y15" s="43"/>
      <c r="Z15" s="43">
        <v>4.6500000000000004</v>
      </c>
      <c r="AA15" s="43">
        <v>5.625</v>
      </c>
      <c r="AB15" s="43"/>
      <c r="AC15" s="43">
        <v>6.65</v>
      </c>
    </row>
    <row r="16" spans="1:29" x14ac:dyDescent="0.25">
      <c r="A16" s="4">
        <v>2</v>
      </c>
      <c r="B16" s="4">
        <v>4</v>
      </c>
      <c r="C16" s="4">
        <v>2</v>
      </c>
      <c r="D16" s="4">
        <v>15</v>
      </c>
      <c r="E16" s="4">
        <v>13</v>
      </c>
      <c r="F16" s="4" t="s">
        <v>30</v>
      </c>
      <c r="G16" t="s">
        <v>32</v>
      </c>
      <c r="H16" s="4">
        <v>204</v>
      </c>
      <c r="I16" s="4">
        <v>1</v>
      </c>
      <c r="J16" s="57">
        <v>45467</v>
      </c>
      <c r="K16">
        <v>3.2</v>
      </c>
      <c r="L16">
        <v>3</v>
      </c>
      <c r="M16">
        <v>3.1</v>
      </c>
      <c r="N16" s="43">
        <f t="shared" si="0"/>
        <v>3.1</v>
      </c>
      <c r="Q16" s="53" t="s">
        <v>28</v>
      </c>
      <c r="R16" s="43"/>
      <c r="S16" s="43"/>
      <c r="T16" s="43"/>
      <c r="U16" s="43"/>
      <c r="V16" s="43">
        <v>3.0416666666666665</v>
      </c>
      <c r="W16" s="43">
        <v>3.875</v>
      </c>
      <c r="X16" s="43"/>
      <c r="Y16" s="43"/>
      <c r="Z16" s="43">
        <v>4.8416666666666659</v>
      </c>
      <c r="AA16" s="43">
        <v>5.8249999999999993</v>
      </c>
      <c r="AB16" s="43"/>
      <c r="AC16" s="43">
        <v>6.8999999999999995</v>
      </c>
    </row>
    <row r="17" spans="1:29" x14ac:dyDescent="0.25">
      <c r="A17" s="4">
        <v>1</v>
      </c>
      <c r="B17" s="4">
        <v>4</v>
      </c>
      <c r="C17" s="4">
        <v>2</v>
      </c>
      <c r="D17" s="4">
        <v>16</v>
      </c>
      <c r="E17" s="4">
        <v>4</v>
      </c>
      <c r="F17" s="4" t="s">
        <v>30</v>
      </c>
      <c r="G17" t="s">
        <v>28</v>
      </c>
      <c r="H17" s="4">
        <v>104</v>
      </c>
      <c r="I17" s="4">
        <v>1</v>
      </c>
      <c r="J17" s="57">
        <v>45467</v>
      </c>
      <c r="K17">
        <v>3.2</v>
      </c>
      <c r="L17">
        <v>3</v>
      </c>
      <c r="M17">
        <v>3.2</v>
      </c>
      <c r="N17" s="43">
        <f t="shared" si="0"/>
        <v>3.1333333333333333</v>
      </c>
      <c r="Q17" s="53" t="s">
        <v>29</v>
      </c>
      <c r="R17" s="43"/>
      <c r="S17" s="43"/>
      <c r="T17" s="43"/>
      <c r="U17" s="43"/>
      <c r="V17" s="43">
        <v>3.05</v>
      </c>
      <c r="W17" s="43">
        <v>3.9249999999999998</v>
      </c>
      <c r="X17" s="43"/>
      <c r="Y17" s="43"/>
      <c r="Z17" s="43">
        <v>4.958333333333333</v>
      </c>
      <c r="AA17" s="43">
        <v>6.0083333333333329</v>
      </c>
      <c r="AB17" s="43"/>
      <c r="AC17" s="43">
        <v>7.1083333333333334</v>
      </c>
    </row>
    <row r="18" spans="1:29" x14ac:dyDescent="0.25">
      <c r="A18" s="4">
        <v>1</v>
      </c>
      <c r="B18" s="4">
        <v>5</v>
      </c>
      <c r="C18" s="4">
        <v>3</v>
      </c>
      <c r="D18" s="4">
        <v>17</v>
      </c>
      <c r="E18" s="4">
        <v>5</v>
      </c>
      <c r="F18" s="4" t="s">
        <v>25</v>
      </c>
      <c r="G18" t="s">
        <v>28</v>
      </c>
      <c r="H18" s="4">
        <v>105</v>
      </c>
      <c r="I18" s="4">
        <v>1</v>
      </c>
      <c r="J18" s="41">
        <v>45436</v>
      </c>
      <c r="K18" s="4">
        <v>4.5</v>
      </c>
      <c r="L18" s="4">
        <v>4.2</v>
      </c>
      <c r="M18" s="4">
        <v>4.2</v>
      </c>
      <c r="N18" s="43">
        <f t="shared" si="0"/>
        <v>4.3</v>
      </c>
    </row>
    <row r="19" spans="1:29" x14ac:dyDescent="0.25">
      <c r="A19" s="4">
        <v>2</v>
      </c>
      <c r="B19" s="4">
        <v>5</v>
      </c>
      <c r="C19" s="4">
        <v>3</v>
      </c>
      <c r="D19" s="4">
        <v>18</v>
      </c>
      <c r="E19" s="4">
        <v>12</v>
      </c>
      <c r="F19" s="4" t="s">
        <v>25</v>
      </c>
      <c r="G19" t="s">
        <v>26</v>
      </c>
      <c r="H19" s="4">
        <v>205</v>
      </c>
      <c r="I19" s="4">
        <v>1</v>
      </c>
      <c r="J19" s="41">
        <v>45436</v>
      </c>
      <c r="K19" s="4">
        <v>4</v>
      </c>
      <c r="L19" s="4">
        <v>3.6</v>
      </c>
      <c r="M19" s="4">
        <v>3.5</v>
      </c>
      <c r="N19" s="43">
        <f t="shared" si="0"/>
        <v>3.6999999999999997</v>
      </c>
    </row>
    <row r="20" spans="1:29" x14ac:dyDescent="0.25">
      <c r="A20" s="4">
        <v>3</v>
      </c>
      <c r="B20" s="4">
        <v>5</v>
      </c>
      <c r="C20" s="4">
        <v>3</v>
      </c>
      <c r="D20" s="4">
        <v>19</v>
      </c>
      <c r="E20" s="4">
        <v>21</v>
      </c>
      <c r="F20" s="4" t="s">
        <v>25</v>
      </c>
      <c r="G20" t="s">
        <v>29</v>
      </c>
      <c r="H20" s="4">
        <v>305</v>
      </c>
      <c r="I20" s="4">
        <v>1</v>
      </c>
      <c r="J20" s="41">
        <v>45436</v>
      </c>
      <c r="K20" s="4">
        <v>3.9</v>
      </c>
      <c r="L20" s="4">
        <v>3.9</v>
      </c>
      <c r="M20" s="4">
        <v>4.4000000000000004</v>
      </c>
      <c r="N20" s="43">
        <f t="shared" si="0"/>
        <v>4.0666666666666664</v>
      </c>
    </row>
    <row r="21" spans="1:29" x14ac:dyDescent="0.25">
      <c r="A21" s="4">
        <v>4</v>
      </c>
      <c r="B21" s="4">
        <v>5</v>
      </c>
      <c r="C21" s="4">
        <v>3</v>
      </c>
      <c r="D21" s="4">
        <v>20</v>
      </c>
      <c r="E21" s="4">
        <v>28</v>
      </c>
      <c r="F21" s="4" t="s">
        <v>25</v>
      </c>
      <c r="G21" t="s">
        <v>27</v>
      </c>
      <c r="H21" s="4">
        <v>405</v>
      </c>
      <c r="I21" s="4">
        <v>1</v>
      </c>
      <c r="J21" s="41">
        <v>45436</v>
      </c>
      <c r="K21" s="4">
        <v>3.5</v>
      </c>
      <c r="L21" s="4">
        <v>3.8</v>
      </c>
      <c r="M21" s="4">
        <v>3.3</v>
      </c>
      <c r="N21" s="43">
        <f t="shared" si="0"/>
        <v>3.5333333333333332</v>
      </c>
    </row>
    <row r="22" spans="1:29" x14ac:dyDescent="0.25">
      <c r="A22" s="4">
        <v>4</v>
      </c>
      <c r="B22" s="4">
        <v>6</v>
      </c>
      <c r="C22" s="4">
        <v>3</v>
      </c>
      <c r="D22" s="4">
        <v>21</v>
      </c>
      <c r="E22" s="4">
        <v>27</v>
      </c>
      <c r="F22" s="4" t="s">
        <v>30</v>
      </c>
      <c r="G22" t="s">
        <v>28</v>
      </c>
      <c r="H22" s="4">
        <v>406</v>
      </c>
      <c r="I22" s="4">
        <v>1</v>
      </c>
      <c r="J22" s="57">
        <v>45467</v>
      </c>
      <c r="K22">
        <v>3</v>
      </c>
      <c r="L22">
        <v>3.2</v>
      </c>
      <c r="M22">
        <v>2.8</v>
      </c>
      <c r="N22" s="43">
        <f t="shared" si="0"/>
        <v>3</v>
      </c>
      <c r="S22" s="43"/>
    </row>
    <row r="23" spans="1:29" x14ac:dyDescent="0.25">
      <c r="A23" s="4">
        <v>3</v>
      </c>
      <c r="B23" s="4">
        <v>6</v>
      </c>
      <c r="C23" s="4">
        <v>3</v>
      </c>
      <c r="D23" s="4">
        <v>22</v>
      </c>
      <c r="E23" s="4">
        <v>22</v>
      </c>
      <c r="F23" s="4" t="s">
        <v>30</v>
      </c>
      <c r="G23" t="s">
        <v>32</v>
      </c>
      <c r="H23" s="4">
        <v>306</v>
      </c>
      <c r="I23" s="4">
        <v>1</v>
      </c>
      <c r="J23" s="57">
        <v>45467</v>
      </c>
      <c r="K23">
        <v>3.2</v>
      </c>
      <c r="L23">
        <v>3.2</v>
      </c>
      <c r="M23">
        <v>2.8</v>
      </c>
      <c r="N23" s="43">
        <f t="shared" si="0"/>
        <v>3.0666666666666664</v>
      </c>
    </row>
    <row r="24" spans="1:29" x14ac:dyDescent="0.25">
      <c r="A24" s="4">
        <v>2</v>
      </c>
      <c r="B24" s="4">
        <v>6</v>
      </c>
      <c r="C24" s="4">
        <v>3</v>
      </c>
      <c r="D24" s="4">
        <v>23</v>
      </c>
      <c r="E24" s="4">
        <v>11</v>
      </c>
      <c r="F24" s="4" t="s">
        <v>30</v>
      </c>
      <c r="G24" t="s">
        <v>31</v>
      </c>
      <c r="H24" s="4">
        <v>206</v>
      </c>
      <c r="I24" s="4">
        <v>1</v>
      </c>
      <c r="J24" s="57">
        <v>45467</v>
      </c>
      <c r="K24">
        <v>2.9</v>
      </c>
      <c r="L24">
        <v>2.8</v>
      </c>
      <c r="M24">
        <v>3.1</v>
      </c>
      <c r="N24" s="43">
        <f t="shared" si="0"/>
        <v>2.9333333333333331</v>
      </c>
    </row>
    <row r="25" spans="1:29" x14ac:dyDescent="0.25">
      <c r="A25" s="4">
        <v>1</v>
      </c>
      <c r="B25" s="4">
        <v>6</v>
      </c>
      <c r="C25" s="4">
        <v>3</v>
      </c>
      <c r="D25" s="4">
        <v>24</v>
      </c>
      <c r="E25" s="4">
        <v>6</v>
      </c>
      <c r="F25" s="4" t="s">
        <v>30</v>
      </c>
      <c r="G25" t="s">
        <v>29</v>
      </c>
      <c r="H25" s="4">
        <v>106</v>
      </c>
      <c r="I25" s="4">
        <v>1</v>
      </c>
      <c r="J25" s="57">
        <v>45467</v>
      </c>
      <c r="K25">
        <v>3.1</v>
      </c>
      <c r="L25">
        <v>3</v>
      </c>
      <c r="M25">
        <v>3.3</v>
      </c>
      <c r="N25" s="43">
        <f t="shared" si="0"/>
        <v>3.1333333333333329</v>
      </c>
    </row>
    <row r="26" spans="1:29" x14ac:dyDescent="0.25">
      <c r="A26" s="4">
        <v>1</v>
      </c>
      <c r="B26" s="4">
        <v>7</v>
      </c>
      <c r="C26" s="4">
        <v>4</v>
      </c>
      <c r="D26" s="4">
        <v>25</v>
      </c>
      <c r="E26" s="4">
        <v>7</v>
      </c>
      <c r="F26" s="4" t="s">
        <v>25</v>
      </c>
      <c r="G26" t="s">
        <v>29</v>
      </c>
      <c r="H26" s="4">
        <v>107</v>
      </c>
      <c r="I26" s="4">
        <v>1</v>
      </c>
      <c r="J26" s="41">
        <v>45436</v>
      </c>
      <c r="K26" s="4">
        <v>4.9000000000000004</v>
      </c>
      <c r="L26" s="4">
        <v>4.5</v>
      </c>
      <c r="M26" s="4">
        <v>4.0999999999999996</v>
      </c>
      <c r="N26" s="43">
        <f t="shared" si="0"/>
        <v>4.5</v>
      </c>
    </row>
    <row r="27" spans="1:29" x14ac:dyDescent="0.25">
      <c r="A27" s="4">
        <v>2</v>
      </c>
      <c r="B27" s="4">
        <v>7</v>
      </c>
      <c r="C27" s="4">
        <v>4</v>
      </c>
      <c r="D27" s="4">
        <v>26</v>
      </c>
      <c r="E27" s="4">
        <v>10</v>
      </c>
      <c r="F27" s="4" t="s">
        <v>25</v>
      </c>
      <c r="G27" t="s">
        <v>28</v>
      </c>
      <c r="H27" s="4">
        <v>207</v>
      </c>
      <c r="I27" s="4">
        <v>1</v>
      </c>
      <c r="J27" s="41">
        <v>45436</v>
      </c>
      <c r="K27" s="4">
        <v>4.3</v>
      </c>
      <c r="L27" s="4">
        <v>4.4000000000000004</v>
      </c>
      <c r="M27" s="4">
        <v>4</v>
      </c>
      <c r="N27" s="43">
        <f t="shared" si="0"/>
        <v>4.2333333333333334</v>
      </c>
    </row>
    <row r="28" spans="1:29" x14ac:dyDescent="0.25">
      <c r="A28" s="4">
        <v>3</v>
      </c>
      <c r="B28" s="4">
        <v>7</v>
      </c>
      <c r="C28" s="4">
        <v>4</v>
      </c>
      <c r="D28" s="4">
        <v>27</v>
      </c>
      <c r="E28" s="4">
        <v>23</v>
      </c>
      <c r="F28" s="4" t="s">
        <v>25</v>
      </c>
      <c r="G28" t="s">
        <v>27</v>
      </c>
      <c r="H28" s="4">
        <v>307</v>
      </c>
      <c r="I28" s="4">
        <v>1</v>
      </c>
      <c r="J28" s="41">
        <v>45436</v>
      </c>
      <c r="K28" s="4">
        <v>4</v>
      </c>
      <c r="L28" s="4">
        <v>4.3</v>
      </c>
      <c r="M28" s="4">
        <v>4.0999999999999996</v>
      </c>
      <c r="N28" s="43">
        <f t="shared" si="0"/>
        <v>4.1333333333333337</v>
      </c>
    </row>
    <row r="29" spans="1:29" x14ac:dyDescent="0.25">
      <c r="A29" s="4">
        <v>4</v>
      </c>
      <c r="B29" s="4">
        <v>7</v>
      </c>
      <c r="C29" s="4">
        <v>4</v>
      </c>
      <c r="D29" s="4">
        <v>28</v>
      </c>
      <c r="E29" s="4">
        <v>26</v>
      </c>
      <c r="F29" s="4" t="s">
        <v>25</v>
      </c>
      <c r="G29" t="s">
        <v>26</v>
      </c>
      <c r="H29" s="4">
        <v>407</v>
      </c>
      <c r="I29" s="4">
        <v>1</v>
      </c>
      <c r="J29" s="41">
        <v>45436</v>
      </c>
      <c r="K29" s="4">
        <v>3.9</v>
      </c>
      <c r="L29" s="4">
        <v>3.8</v>
      </c>
      <c r="M29" s="4">
        <v>3.6</v>
      </c>
      <c r="N29" s="43">
        <f t="shared" si="0"/>
        <v>3.7666666666666662</v>
      </c>
    </row>
    <row r="30" spans="1:29" x14ac:dyDescent="0.25">
      <c r="A30" s="4">
        <v>4</v>
      </c>
      <c r="B30" s="4">
        <v>8</v>
      </c>
      <c r="C30" s="4">
        <v>4</v>
      </c>
      <c r="D30" s="4">
        <v>29</v>
      </c>
      <c r="E30" s="4">
        <v>25</v>
      </c>
      <c r="F30" s="4" t="s">
        <v>30</v>
      </c>
      <c r="G30" t="s">
        <v>31</v>
      </c>
      <c r="H30" s="4">
        <v>408</v>
      </c>
      <c r="I30" s="4">
        <v>1</v>
      </c>
      <c r="J30" s="57">
        <v>45467</v>
      </c>
      <c r="K30">
        <v>2.9</v>
      </c>
      <c r="L30">
        <v>3</v>
      </c>
      <c r="M30">
        <v>3.1</v>
      </c>
      <c r="N30" s="43">
        <f t="shared" si="0"/>
        <v>3</v>
      </c>
    </row>
    <row r="31" spans="1:29" x14ac:dyDescent="0.25">
      <c r="A31" s="4">
        <v>3</v>
      </c>
      <c r="B31" s="4">
        <v>8</v>
      </c>
      <c r="C31" s="4">
        <v>4</v>
      </c>
      <c r="D31" s="4">
        <v>30</v>
      </c>
      <c r="E31" s="4">
        <v>24</v>
      </c>
      <c r="F31" s="4" t="s">
        <v>30</v>
      </c>
      <c r="G31" t="s">
        <v>28</v>
      </c>
      <c r="H31" s="4">
        <v>308</v>
      </c>
      <c r="I31" s="4">
        <v>1</v>
      </c>
      <c r="J31" s="57">
        <v>45467</v>
      </c>
      <c r="K31">
        <v>2.7</v>
      </c>
      <c r="L31">
        <v>3.3</v>
      </c>
      <c r="M31">
        <v>3.3</v>
      </c>
      <c r="N31" s="43">
        <f t="shared" si="0"/>
        <v>3.1</v>
      </c>
    </row>
    <row r="32" spans="1:29" x14ac:dyDescent="0.25">
      <c r="A32" s="4">
        <v>2</v>
      </c>
      <c r="B32" s="4">
        <v>8</v>
      </c>
      <c r="C32" s="4">
        <v>4</v>
      </c>
      <c r="D32" s="4">
        <v>31</v>
      </c>
      <c r="E32" s="4">
        <v>9</v>
      </c>
      <c r="F32" s="4" t="s">
        <v>30</v>
      </c>
      <c r="G32" t="s">
        <v>29</v>
      </c>
      <c r="H32" s="4">
        <v>208</v>
      </c>
      <c r="I32" s="4">
        <v>1</v>
      </c>
      <c r="J32" s="57">
        <v>45467</v>
      </c>
      <c r="K32">
        <v>3.3</v>
      </c>
      <c r="L32">
        <v>3</v>
      </c>
      <c r="M32">
        <v>3.2</v>
      </c>
      <c r="N32" s="43">
        <f t="shared" si="0"/>
        <v>3.1666666666666665</v>
      </c>
    </row>
    <row r="33" spans="1:14" x14ac:dyDescent="0.25">
      <c r="A33" s="4">
        <v>1</v>
      </c>
      <c r="B33" s="4">
        <v>8</v>
      </c>
      <c r="C33" s="4">
        <v>4</v>
      </c>
      <c r="D33" s="4">
        <v>32</v>
      </c>
      <c r="E33" s="4">
        <v>8</v>
      </c>
      <c r="F33" s="4" t="s">
        <v>30</v>
      </c>
      <c r="G33" t="s">
        <v>32</v>
      </c>
      <c r="H33" s="4">
        <v>108</v>
      </c>
      <c r="I33" s="4">
        <v>1</v>
      </c>
      <c r="J33" s="57">
        <v>45467</v>
      </c>
      <c r="K33">
        <v>3.4</v>
      </c>
      <c r="L33">
        <v>3.1</v>
      </c>
      <c r="M33">
        <v>3.4</v>
      </c>
      <c r="N33" s="43">
        <f t="shared" si="0"/>
        <v>3.3000000000000003</v>
      </c>
    </row>
    <row r="34" spans="1:14" x14ac:dyDescent="0.25">
      <c r="A34" s="4">
        <v>1</v>
      </c>
      <c r="B34" s="4">
        <v>1</v>
      </c>
      <c r="C34" s="4">
        <v>1</v>
      </c>
      <c r="D34" s="4">
        <v>1</v>
      </c>
      <c r="E34" s="4">
        <v>1</v>
      </c>
      <c r="F34" s="4" t="s">
        <v>25</v>
      </c>
      <c r="G34" t="s">
        <v>26</v>
      </c>
      <c r="H34" s="4">
        <v>101</v>
      </c>
      <c r="I34" s="4">
        <v>2</v>
      </c>
      <c r="J34" s="51">
        <v>45446</v>
      </c>
      <c r="K34">
        <v>5.2</v>
      </c>
      <c r="L34">
        <v>5.0999999999999996</v>
      </c>
      <c r="M34">
        <v>4.5</v>
      </c>
      <c r="N34" s="43">
        <f t="shared" si="0"/>
        <v>4.9333333333333336</v>
      </c>
    </row>
    <row r="35" spans="1:14" x14ac:dyDescent="0.25">
      <c r="A35" s="4">
        <v>2</v>
      </c>
      <c r="B35" s="4">
        <v>1</v>
      </c>
      <c r="C35" s="4">
        <v>1</v>
      </c>
      <c r="D35" s="4">
        <v>2</v>
      </c>
      <c r="E35" s="4">
        <v>16</v>
      </c>
      <c r="F35" s="4" t="s">
        <v>25</v>
      </c>
      <c r="G35" t="s">
        <v>27</v>
      </c>
      <c r="H35" s="4">
        <v>201</v>
      </c>
      <c r="I35" s="4">
        <v>2</v>
      </c>
      <c r="J35" s="51">
        <v>45446</v>
      </c>
      <c r="K35">
        <v>4.3</v>
      </c>
      <c r="L35">
        <v>5.0999999999999996</v>
      </c>
      <c r="M35">
        <v>5.0999999999999996</v>
      </c>
      <c r="N35" s="43">
        <f t="shared" si="0"/>
        <v>4.833333333333333</v>
      </c>
    </row>
    <row r="36" spans="1:14" x14ac:dyDescent="0.25">
      <c r="A36" s="4">
        <v>3</v>
      </c>
      <c r="B36" s="4">
        <v>1</v>
      </c>
      <c r="C36" s="4">
        <v>1</v>
      </c>
      <c r="D36" s="4">
        <v>3</v>
      </c>
      <c r="E36" s="4">
        <v>17</v>
      </c>
      <c r="F36" s="4" t="s">
        <v>25</v>
      </c>
      <c r="G36" t="s">
        <v>28</v>
      </c>
      <c r="H36" s="4">
        <v>301</v>
      </c>
      <c r="I36" s="4">
        <v>2</v>
      </c>
      <c r="J36" s="51">
        <v>45446</v>
      </c>
      <c r="K36">
        <v>5.3</v>
      </c>
      <c r="L36">
        <v>5.4</v>
      </c>
      <c r="M36">
        <v>5.4</v>
      </c>
      <c r="N36" s="43">
        <f t="shared" si="0"/>
        <v>5.3666666666666671</v>
      </c>
    </row>
    <row r="37" spans="1:14" x14ac:dyDescent="0.25">
      <c r="A37" s="4">
        <v>4</v>
      </c>
      <c r="B37" s="4">
        <v>1</v>
      </c>
      <c r="C37" s="4">
        <v>1</v>
      </c>
      <c r="D37" s="4">
        <v>4</v>
      </c>
      <c r="E37" s="4">
        <v>32</v>
      </c>
      <c r="F37" s="4" t="s">
        <v>25</v>
      </c>
      <c r="G37" t="s">
        <v>29</v>
      </c>
      <c r="H37" s="4">
        <v>401</v>
      </c>
      <c r="I37" s="4">
        <v>2</v>
      </c>
      <c r="J37" s="51">
        <v>45446</v>
      </c>
      <c r="K37">
        <v>5.2</v>
      </c>
      <c r="L37">
        <v>4.5999999999999996</v>
      </c>
      <c r="M37">
        <v>5.3</v>
      </c>
      <c r="N37" s="43">
        <f t="shared" si="0"/>
        <v>5.0333333333333341</v>
      </c>
    </row>
    <row r="38" spans="1:14" x14ac:dyDescent="0.25">
      <c r="A38" s="4">
        <v>4</v>
      </c>
      <c r="B38" s="4">
        <v>2</v>
      </c>
      <c r="C38" s="4">
        <v>1</v>
      </c>
      <c r="D38" s="4">
        <v>5</v>
      </c>
      <c r="E38" s="4">
        <v>31</v>
      </c>
      <c r="F38" s="4" t="s">
        <v>30</v>
      </c>
      <c r="G38" t="s">
        <v>32</v>
      </c>
      <c r="H38" s="4">
        <v>402</v>
      </c>
      <c r="I38" s="4">
        <v>2</v>
      </c>
      <c r="J38" s="44">
        <v>45477</v>
      </c>
      <c r="K38">
        <v>4.3</v>
      </c>
      <c r="L38">
        <v>4.0999999999999996</v>
      </c>
      <c r="M38">
        <v>4.3</v>
      </c>
      <c r="N38" s="43">
        <f t="shared" si="0"/>
        <v>4.2333333333333334</v>
      </c>
    </row>
    <row r="39" spans="1:14" x14ac:dyDescent="0.25">
      <c r="A39" s="4">
        <v>3</v>
      </c>
      <c r="B39" s="4">
        <v>2</v>
      </c>
      <c r="C39" s="4">
        <v>1</v>
      </c>
      <c r="D39" s="4">
        <v>6</v>
      </c>
      <c r="E39" s="4">
        <v>18</v>
      </c>
      <c r="F39" s="4" t="s">
        <v>30</v>
      </c>
      <c r="G39" t="s">
        <v>29</v>
      </c>
      <c r="H39" s="4">
        <v>302</v>
      </c>
      <c r="I39" s="4">
        <v>2</v>
      </c>
      <c r="J39" s="44">
        <v>45477</v>
      </c>
      <c r="K39">
        <v>3.6</v>
      </c>
      <c r="L39">
        <v>4.0999999999999996</v>
      </c>
      <c r="M39">
        <v>3.7</v>
      </c>
      <c r="N39" s="43">
        <f t="shared" si="0"/>
        <v>3.7999999999999994</v>
      </c>
    </row>
    <row r="40" spans="1:14" x14ac:dyDescent="0.25">
      <c r="A40" s="4">
        <v>2</v>
      </c>
      <c r="B40" s="4">
        <v>2</v>
      </c>
      <c r="C40" s="4">
        <v>1</v>
      </c>
      <c r="D40" s="4">
        <v>7</v>
      </c>
      <c r="E40" s="4">
        <v>15</v>
      </c>
      <c r="F40" s="4" t="s">
        <v>30</v>
      </c>
      <c r="G40" t="s">
        <v>28</v>
      </c>
      <c r="H40" s="4">
        <v>202</v>
      </c>
      <c r="I40" s="4">
        <v>2</v>
      </c>
      <c r="J40" s="44">
        <v>45477</v>
      </c>
      <c r="K40">
        <v>3.5</v>
      </c>
      <c r="L40">
        <v>4.0999999999999996</v>
      </c>
      <c r="M40">
        <v>3.4</v>
      </c>
      <c r="N40" s="43">
        <f t="shared" si="0"/>
        <v>3.6666666666666665</v>
      </c>
    </row>
    <row r="41" spans="1:14" x14ac:dyDescent="0.25">
      <c r="A41" s="4">
        <v>1</v>
      </c>
      <c r="B41" s="4">
        <v>2</v>
      </c>
      <c r="C41" s="4">
        <v>1</v>
      </c>
      <c r="D41" s="4">
        <v>8</v>
      </c>
      <c r="E41" s="4">
        <v>2</v>
      </c>
      <c r="F41" s="4" t="s">
        <v>30</v>
      </c>
      <c r="G41" t="s">
        <v>31</v>
      </c>
      <c r="H41" s="4">
        <v>102</v>
      </c>
      <c r="I41" s="4">
        <v>2</v>
      </c>
      <c r="J41" s="44">
        <v>45477</v>
      </c>
      <c r="K41">
        <v>4.3</v>
      </c>
      <c r="L41">
        <v>4.0999999999999996</v>
      </c>
      <c r="M41">
        <v>4.4000000000000004</v>
      </c>
      <c r="N41" s="43">
        <f t="shared" si="0"/>
        <v>4.2666666666666666</v>
      </c>
    </row>
    <row r="42" spans="1:14" x14ac:dyDescent="0.25">
      <c r="A42" s="4">
        <v>1</v>
      </c>
      <c r="B42" s="4">
        <v>3</v>
      </c>
      <c r="C42" s="4">
        <v>2</v>
      </c>
      <c r="D42" s="4">
        <v>9</v>
      </c>
      <c r="E42" s="4">
        <v>3</v>
      </c>
      <c r="F42" s="4" t="s">
        <v>25</v>
      </c>
      <c r="G42" t="s">
        <v>27</v>
      </c>
      <c r="H42" s="4">
        <v>103</v>
      </c>
      <c r="I42" s="4">
        <v>2</v>
      </c>
      <c r="J42" s="51">
        <v>45446</v>
      </c>
      <c r="K42">
        <v>5.3</v>
      </c>
      <c r="L42">
        <v>4.5999999999999996</v>
      </c>
      <c r="M42">
        <v>5.2</v>
      </c>
      <c r="N42" s="43">
        <f t="shared" si="0"/>
        <v>5.0333333333333323</v>
      </c>
    </row>
    <row r="43" spans="1:14" x14ac:dyDescent="0.25">
      <c r="A43" s="4">
        <v>2</v>
      </c>
      <c r="B43" s="4">
        <v>3</v>
      </c>
      <c r="C43" s="4">
        <v>2</v>
      </c>
      <c r="D43" s="4">
        <v>10</v>
      </c>
      <c r="E43" s="4">
        <v>14</v>
      </c>
      <c r="F43" s="4" t="s">
        <v>25</v>
      </c>
      <c r="G43" t="s">
        <v>29</v>
      </c>
      <c r="H43" s="4">
        <v>203</v>
      </c>
      <c r="I43" s="4">
        <v>2</v>
      </c>
      <c r="J43" s="51">
        <v>45446</v>
      </c>
      <c r="K43">
        <v>5.3</v>
      </c>
      <c r="L43">
        <v>5.2</v>
      </c>
      <c r="M43">
        <v>5.2</v>
      </c>
      <c r="N43" s="43">
        <f t="shared" si="0"/>
        <v>5.2333333333333334</v>
      </c>
    </row>
    <row r="44" spans="1:14" x14ac:dyDescent="0.25">
      <c r="A44" s="4">
        <v>3</v>
      </c>
      <c r="B44" s="4">
        <v>3</v>
      </c>
      <c r="C44" s="4">
        <v>2</v>
      </c>
      <c r="D44" s="4">
        <v>11</v>
      </c>
      <c r="E44" s="4">
        <v>19</v>
      </c>
      <c r="F44" s="4" t="s">
        <v>25</v>
      </c>
      <c r="G44" t="s">
        <v>26</v>
      </c>
      <c r="H44" s="4">
        <v>303</v>
      </c>
      <c r="I44" s="4">
        <v>2</v>
      </c>
      <c r="J44" s="51">
        <v>45446</v>
      </c>
      <c r="K44">
        <v>5.3</v>
      </c>
      <c r="L44">
        <v>4.5999999999999996</v>
      </c>
      <c r="M44">
        <v>5</v>
      </c>
      <c r="N44" s="43">
        <f t="shared" si="0"/>
        <v>4.9666666666666659</v>
      </c>
    </row>
    <row r="45" spans="1:14" x14ac:dyDescent="0.25">
      <c r="A45" s="4">
        <v>4</v>
      </c>
      <c r="B45" s="4">
        <v>3</v>
      </c>
      <c r="C45" s="4">
        <v>2</v>
      </c>
      <c r="D45" s="4">
        <v>12</v>
      </c>
      <c r="E45" s="4">
        <v>30</v>
      </c>
      <c r="F45" s="4" t="s">
        <v>25</v>
      </c>
      <c r="G45" t="s">
        <v>28</v>
      </c>
      <c r="H45" s="4">
        <v>403</v>
      </c>
      <c r="I45" s="4">
        <v>2</v>
      </c>
      <c r="J45" s="51">
        <v>45446</v>
      </c>
      <c r="K45">
        <v>4.5999999999999996</v>
      </c>
      <c r="L45">
        <v>5.4</v>
      </c>
      <c r="M45">
        <v>4.4000000000000004</v>
      </c>
      <c r="N45" s="43">
        <f t="shared" si="0"/>
        <v>4.8</v>
      </c>
    </row>
    <row r="46" spans="1:14" x14ac:dyDescent="0.25">
      <c r="A46" s="4">
        <v>4</v>
      </c>
      <c r="B46" s="4">
        <v>4</v>
      </c>
      <c r="C46" s="4">
        <v>2</v>
      </c>
      <c r="D46" s="4">
        <v>13</v>
      </c>
      <c r="E46" s="4">
        <v>29</v>
      </c>
      <c r="F46" s="4" t="s">
        <v>30</v>
      </c>
      <c r="G46" t="s">
        <v>29</v>
      </c>
      <c r="H46" s="4">
        <v>404</v>
      </c>
      <c r="I46" s="4">
        <v>2</v>
      </c>
      <c r="J46" s="44">
        <v>45477</v>
      </c>
      <c r="K46">
        <v>4.0999999999999996</v>
      </c>
      <c r="L46">
        <v>3.6</v>
      </c>
      <c r="M46">
        <v>3.3</v>
      </c>
      <c r="N46" s="43">
        <f t="shared" si="0"/>
        <v>3.6666666666666665</v>
      </c>
    </row>
    <row r="47" spans="1:14" x14ac:dyDescent="0.25">
      <c r="A47" s="4">
        <v>3</v>
      </c>
      <c r="B47" s="4">
        <v>4</v>
      </c>
      <c r="C47" s="4">
        <v>2</v>
      </c>
      <c r="D47" s="4">
        <v>14</v>
      </c>
      <c r="E47" s="4">
        <v>20</v>
      </c>
      <c r="F47" s="4" t="s">
        <v>30</v>
      </c>
      <c r="G47" t="s">
        <v>31</v>
      </c>
      <c r="H47" s="4">
        <v>304</v>
      </c>
      <c r="I47" s="4">
        <v>2</v>
      </c>
      <c r="J47" s="44">
        <v>45477</v>
      </c>
      <c r="K47">
        <v>3.5</v>
      </c>
      <c r="L47">
        <v>3.4</v>
      </c>
      <c r="M47">
        <v>4</v>
      </c>
      <c r="N47" s="43">
        <f t="shared" si="0"/>
        <v>3.6333333333333333</v>
      </c>
    </row>
    <row r="48" spans="1:14" x14ac:dyDescent="0.25">
      <c r="A48" s="4">
        <v>2</v>
      </c>
      <c r="B48" s="4">
        <v>4</v>
      </c>
      <c r="C48" s="4">
        <v>2</v>
      </c>
      <c r="D48" s="4">
        <v>15</v>
      </c>
      <c r="E48" s="4">
        <v>13</v>
      </c>
      <c r="F48" s="4" t="s">
        <v>30</v>
      </c>
      <c r="G48" t="s">
        <v>32</v>
      </c>
      <c r="H48" s="4">
        <v>204</v>
      </c>
      <c r="I48" s="4">
        <v>2</v>
      </c>
      <c r="J48" s="44">
        <v>45477</v>
      </c>
      <c r="K48">
        <v>4.3</v>
      </c>
      <c r="L48">
        <v>4</v>
      </c>
      <c r="M48">
        <v>4.2</v>
      </c>
      <c r="N48" s="43">
        <f t="shared" si="0"/>
        <v>4.166666666666667</v>
      </c>
    </row>
    <row r="49" spans="1:14" x14ac:dyDescent="0.25">
      <c r="A49" s="4">
        <v>1</v>
      </c>
      <c r="B49" s="4">
        <v>4</v>
      </c>
      <c r="C49" s="4">
        <v>2</v>
      </c>
      <c r="D49" s="4">
        <v>16</v>
      </c>
      <c r="E49" s="4">
        <v>4</v>
      </c>
      <c r="F49" s="4" t="s">
        <v>30</v>
      </c>
      <c r="G49" t="s">
        <v>28</v>
      </c>
      <c r="H49" s="4">
        <v>104</v>
      </c>
      <c r="I49" s="4">
        <v>2</v>
      </c>
      <c r="J49" s="44">
        <v>45477</v>
      </c>
      <c r="K49">
        <v>4.0999999999999996</v>
      </c>
      <c r="L49">
        <v>4.0999999999999996</v>
      </c>
      <c r="M49">
        <v>4.0999999999999996</v>
      </c>
      <c r="N49" s="43">
        <f t="shared" si="0"/>
        <v>4.0999999999999996</v>
      </c>
    </row>
    <row r="50" spans="1:14" x14ac:dyDescent="0.25">
      <c r="A50" s="4">
        <v>1</v>
      </c>
      <c r="B50" s="4">
        <v>5</v>
      </c>
      <c r="C50" s="4">
        <v>3</v>
      </c>
      <c r="D50" s="4">
        <v>17</v>
      </c>
      <c r="E50" s="4">
        <v>5</v>
      </c>
      <c r="F50" s="4" t="s">
        <v>25</v>
      </c>
      <c r="G50" t="s">
        <v>28</v>
      </c>
      <c r="H50" s="4">
        <v>105</v>
      </c>
      <c r="I50" s="4">
        <v>2</v>
      </c>
      <c r="J50" s="51">
        <v>45446</v>
      </c>
      <c r="K50">
        <v>5.3</v>
      </c>
      <c r="L50">
        <v>5.2</v>
      </c>
      <c r="M50">
        <v>5.2</v>
      </c>
      <c r="N50" s="43">
        <f t="shared" si="0"/>
        <v>5.2333333333333334</v>
      </c>
    </row>
    <row r="51" spans="1:14" x14ac:dyDescent="0.25">
      <c r="A51" s="4">
        <v>2</v>
      </c>
      <c r="B51" s="4">
        <v>5</v>
      </c>
      <c r="C51" s="4">
        <v>3</v>
      </c>
      <c r="D51" s="4">
        <v>18</v>
      </c>
      <c r="E51" s="4">
        <v>12</v>
      </c>
      <c r="F51" s="4" t="s">
        <v>25</v>
      </c>
      <c r="G51" t="s">
        <v>26</v>
      </c>
      <c r="H51" s="4">
        <v>205</v>
      </c>
      <c r="I51" s="4">
        <v>2</v>
      </c>
      <c r="J51" s="51">
        <v>45446</v>
      </c>
      <c r="K51">
        <v>5.3</v>
      </c>
      <c r="L51">
        <v>4.5999999999999996</v>
      </c>
      <c r="M51">
        <v>4.5999999999999996</v>
      </c>
      <c r="N51" s="43">
        <f t="shared" si="0"/>
        <v>4.833333333333333</v>
      </c>
    </row>
    <row r="52" spans="1:14" x14ac:dyDescent="0.25">
      <c r="A52" s="4">
        <v>3</v>
      </c>
      <c r="B52" s="4">
        <v>5</v>
      </c>
      <c r="C52" s="4">
        <v>3</v>
      </c>
      <c r="D52" s="4">
        <v>19</v>
      </c>
      <c r="E52" s="4">
        <v>21</v>
      </c>
      <c r="F52" s="4" t="s">
        <v>25</v>
      </c>
      <c r="G52" t="s">
        <v>29</v>
      </c>
      <c r="H52" s="4">
        <v>305</v>
      </c>
      <c r="I52" s="4">
        <v>2</v>
      </c>
      <c r="J52" s="51">
        <v>45446</v>
      </c>
      <c r="K52">
        <v>4.5999999999999996</v>
      </c>
      <c r="L52">
        <v>5.0999999999999996</v>
      </c>
      <c r="M52">
        <v>5.5</v>
      </c>
      <c r="N52" s="43">
        <f t="shared" si="0"/>
        <v>5.0666666666666664</v>
      </c>
    </row>
    <row r="53" spans="1:14" x14ac:dyDescent="0.25">
      <c r="A53" s="4">
        <v>4</v>
      </c>
      <c r="B53" s="4">
        <v>5</v>
      </c>
      <c r="C53" s="4">
        <v>3</v>
      </c>
      <c r="D53" s="4">
        <v>20</v>
      </c>
      <c r="E53" s="4">
        <v>28</v>
      </c>
      <c r="F53" s="4" t="s">
        <v>25</v>
      </c>
      <c r="G53" t="s">
        <v>27</v>
      </c>
      <c r="H53" s="4">
        <v>405</v>
      </c>
      <c r="I53" s="4">
        <v>2</v>
      </c>
      <c r="J53" s="51">
        <v>45446</v>
      </c>
      <c r="K53">
        <v>4.5999999999999996</v>
      </c>
      <c r="L53">
        <v>5</v>
      </c>
      <c r="M53">
        <v>4.4000000000000004</v>
      </c>
      <c r="N53" s="43">
        <f t="shared" si="0"/>
        <v>4.666666666666667</v>
      </c>
    </row>
    <row r="54" spans="1:14" x14ac:dyDescent="0.25">
      <c r="A54" s="4">
        <v>4</v>
      </c>
      <c r="B54" s="4">
        <v>6</v>
      </c>
      <c r="C54" s="4">
        <v>3</v>
      </c>
      <c r="D54" s="4">
        <v>21</v>
      </c>
      <c r="E54" s="4">
        <v>27</v>
      </c>
      <c r="F54" s="4" t="s">
        <v>30</v>
      </c>
      <c r="G54" t="s">
        <v>28</v>
      </c>
      <c r="H54" s="4">
        <v>406</v>
      </c>
      <c r="I54" s="4">
        <v>2</v>
      </c>
      <c r="J54" s="44">
        <v>45477</v>
      </c>
      <c r="K54">
        <v>3.7</v>
      </c>
      <c r="L54">
        <v>4.0999999999999996</v>
      </c>
      <c r="M54">
        <v>3.7</v>
      </c>
      <c r="N54" s="43">
        <f t="shared" si="0"/>
        <v>3.8333333333333335</v>
      </c>
    </row>
    <row r="55" spans="1:14" x14ac:dyDescent="0.25">
      <c r="A55" s="4">
        <v>3</v>
      </c>
      <c r="B55" s="4">
        <v>6</v>
      </c>
      <c r="C55" s="4">
        <v>3</v>
      </c>
      <c r="D55" s="4">
        <v>22</v>
      </c>
      <c r="E55" s="4">
        <v>22</v>
      </c>
      <c r="F55" s="4" t="s">
        <v>30</v>
      </c>
      <c r="G55" t="s">
        <v>32</v>
      </c>
      <c r="H55" s="4">
        <v>306</v>
      </c>
      <c r="I55" s="4">
        <v>2</v>
      </c>
      <c r="J55" s="44">
        <v>45477</v>
      </c>
      <c r="K55">
        <v>4.3</v>
      </c>
      <c r="L55">
        <v>4.5</v>
      </c>
      <c r="M55">
        <v>4</v>
      </c>
      <c r="N55" s="43">
        <f t="shared" si="0"/>
        <v>4.2666666666666666</v>
      </c>
    </row>
    <row r="56" spans="1:14" x14ac:dyDescent="0.25">
      <c r="A56" s="4">
        <v>2</v>
      </c>
      <c r="B56" s="4">
        <v>6</v>
      </c>
      <c r="C56" s="4">
        <v>3</v>
      </c>
      <c r="D56" s="4">
        <v>23</v>
      </c>
      <c r="E56" s="4">
        <v>11</v>
      </c>
      <c r="F56" s="4" t="s">
        <v>30</v>
      </c>
      <c r="G56" t="s">
        <v>31</v>
      </c>
      <c r="H56" s="4">
        <v>206</v>
      </c>
      <c r="I56" s="4">
        <v>2</v>
      </c>
      <c r="J56" s="44">
        <v>45477</v>
      </c>
      <c r="K56">
        <v>3.6</v>
      </c>
      <c r="L56">
        <v>3.3</v>
      </c>
      <c r="M56">
        <v>3.9</v>
      </c>
      <c r="N56" s="43">
        <f t="shared" si="0"/>
        <v>3.6</v>
      </c>
    </row>
    <row r="57" spans="1:14" x14ac:dyDescent="0.25">
      <c r="A57" s="4">
        <v>1</v>
      </c>
      <c r="B57" s="4">
        <v>6</v>
      </c>
      <c r="C57" s="4">
        <v>3</v>
      </c>
      <c r="D57" s="4">
        <v>24</v>
      </c>
      <c r="E57" s="4">
        <v>6</v>
      </c>
      <c r="F57" s="4" t="s">
        <v>30</v>
      </c>
      <c r="G57" t="s">
        <v>29</v>
      </c>
      <c r="H57" s="4">
        <v>106</v>
      </c>
      <c r="I57" s="4">
        <v>2</v>
      </c>
      <c r="J57" s="44">
        <v>45477</v>
      </c>
      <c r="K57">
        <v>3.8</v>
      </c>
      <c r="L57">
        <v>4.2</v>
      </c>
      <c r="M57">
        <v>4.3</v>
      </c>
      <c r="N57" s="43">
        <f t="shared" si="0"/>
        <v>4.1000000000000005</v>
      </c>
    </row>
    <row r="58" spans="1:14" x14ac:dyDescent="0.25">
      <c r="A58" s="4">
        <v>1</v>
      </c>
      <c r="B58" s="4">
        <v>7</v>
      </c>
      <c r="C58" s="4">
        <v>4</v>
      </c>
      <c r="D58" s="4">
        <v>25</v>
      </c>
      <c r="E58" s="4">
        <v>7</v>
      </c>
      <c r="F58" s="4" t="s">
        <v>25</v>
      </c>
      <c r="G58" t="s">
        <v>29</v>
      </c>
      <c r="H58" s="4">
        <v>107</v>
      </c>
      <c r="I58" s="4">
        <v>2</v>
      </c>
      <c r="J58" s="51">
        <v>45446</v>
      </c>
      <c r="K58">
        <v>6</v>
      </c>
      <c r="L58">
        <v>5.6</v>
      </c>
      <c r="M58">
        <v>5.2</v>
      </c>
      <c r="N58" s="43">
        <f t="shared" si="0"/>
        <v>5.6000000000000005</v>
      </c>
    </row>
    <row r="59" spans="1:14" x14ac:dyDescent="0.25">
      <c r="A59" s="4">
        <v>2</v>
      </c>
      <c r="B59" s="4">
        <v>7</v>
      </c>
      <c r="C59" s="4">
        <v>4</v>
      </c>
      <c r="D59" s="4">
        <v>26</v>
      </c>
      <c r="E59" s="4">
        <v>10</v>
      </c>
      <c r="F59" s="4" t="s">
        <v>25</v>
      </c>
      <c r="G59" t="s">
        <v>28</v>
      </c>
      <c r="H59" s="4">
        <v>207</v>
      </c>
      <c r="I59" s="4">
        <v>2</v>
      </c>
      <c r="J59" s="51">
        <v>45446</v>
      </c>
      <c r="K59">
        <v>5.5</v>
      </c>
      <c r="L59">
        <v>5.3</v>
      </c>
      <c r="M59">
        <v>5.3</v>
      </c>
      <c r="N59" s="43">
        <f t="shared" si="0"/>
        <v>5.3666666666666671</v>
      </c>
    </row>
    <row r="60" spans="1:14" x14ac:dyDescent="0.25">
      <c r="A60" s="4">
        <v>3</v>
      </c>
      <c r="B60" s="4">
        <v>7</v>
      </c>
      <c r="C60" s="4">
        <v>4</v>
      </c>
      <c r="D60" s="4">
        <v>27</v>
      </c>
      <c r="E60" s="4">
        <v>23</v>
      </c>
      <c r="F60" s="4" t="s">
        <v>25</v>
      </c>
      <c r="G60" t="s">
        <v>27</v>
      </c>
      <c r="H60" s="4">
        <v>307</v>
      </c>
      <c r="I60" s="4">
        <v>2</v>
      </c>
      <c r="J60" s="51">
        <v>45446</v>
      </c>
      <c r="K60">
        <v>4.8</v>
      </c>
      <c r="L60">
        <v>5.2</v>
      </c>
      <c r="M60">
        <v>5.2</v>
      </c>
      <c r="N60" s="43">
        <f t="shared" si="0"/>
        <v>5.0666666666666664</v>
      </c>
    </row>
    <row r="61" spans="1:14" x14ac:dyDescent="0.25">
      <c r="A61" s="4">
        <v>4</v>
      </c>
      <c r="B61" s="4">
        <v>7</v>
      </c>
      <c r="C61" s="4">
        <v>4</v>
      </c>
      <c r="D61" s="4">
        <v>28</v>
      </c>
      <c r="E61" s="4">
        <v>26</v>
      </c>
      <c r="F61" s="4" t="s">
        <v>25</v>
      </c>
      <c r="G61" t="s">
        <v>26</v>
      </c>
      <c r="H61" s="4">
        <v>407</v>
      </c>
      <c r="I61" s="4">
        <v>2</v>
      </c>
      <c r="J61" s="51">
        <v>45446</v>
      </c>
      <c r="K61">
        <v>5.0999999999999996</v>
      </c>
      <c r="L61">
        <v>5</v>
      </c>
      <c r="M61">
        <v>4.4000000000000004</v>
      </c>
      <c r="N61" s="43">
        <f t="shared" si="0"/>
        <v>4.833333333333333</v>
      </c>
    </row>
    <row r="62" spans="1:14" x14ac:dyDescent="0.25">
      <c r="A62" s="4">
        <v>4</v>
      </c>
      <c r="B62" s="4">
        <v>8</v>
      </c>
      <c r="C62" s="4">
        <v>4</v>
      </c>
      <c r="D62" s="4">
        <v>29</v>
      </c>
      <c r="E62" s="4">
        <v>25</v>
      </c>
      <c r="F62" s="4" t="s">
        <v>30</v>
      </c>
      <c r="G62" t="s">
        <v>31</v>
      </c>
      <c r="H62" s="4">
        <v>408</v>
      </c>
      <c r="I62" s="4">
        <v>2</v>
      </c>
      <c r="J62" s="44">
        <v>45477</v>
      </c>
      <c r="K62">
        <v>3.7</v>
      </c>
      <c r="L62">
        <v>3.8</v>
      </c>
      <c r="M62">
        <v>3.7</v>
      </c>
      <c r="N62" s="43">
        <f t="shared" si="0"/>
        <v>3.7333333333333329</v>
      </c>
    </row>
    <row r="63" spans="1:14" x14ac:dyDescent="0.25">
      <c r="A63" s="4">
        <v>3</v>
      </c>
      <c r="B63" s="4">
        <v>8</v>
      </c>
      <c r="C63" s="4">
        <v>4</v>
      </c>
      <c r="D63" s="4">
        <v>30</v>
      </c>
      <c r="E63" s="4">
        <v>24</v>
      </c>
      <c r="F63" s="4" t="s">
        <v>30</v>
      </c>
      <c r="G63" t="s">
        <v>28</v>
      </c>
      <c r="H63" s="4">
        <v>308</v>
      </c>
      <c r="I63" s="4">
        <v>2</v>
      </c>
      <c r="J63" s="44">
        <v>45477</v>
      </c>
      <c r="K63">
        <v>4.2</v>
      </c>
      <c r="L63">
        <v>4.2</v>
      </c>
      <c r="M63">
        <v>3.3</v>
      </c>
      <c r="N63" s="43">
        <f t="shared" si="0"/>
        <v>3.9</v>
      </c>
    </row>
    <row r="64" spans="1:14" x14ac:dyDescent="0.25">
      <c r="A64" s="4">
        <v>2</v>
      </c>
      <c r="B64" s="4">
        <v>8</v>
      </c>
      <c r="C64" s="4">
        <v>4</v>
      </c>
      <c r="D64" s="4">
        <v>31</v>
      </c>
      <c r="E64" s="4">
        <v>9</v>
      </c>
      <c r="F64" s="4" t="s">
        <v>30</v>
      </c>
      <c r="G64" t="s">
        <v>29</v>
      </c>
      <c r="H64" s="4">
        <v>208</v>
      </c>
      <c r="I64" s="4">
        <v>2</v>
      </c>
      <c r="J64" s="44">
        <v>45477</v>
      </c>
      <c r="K64">
        <v>4.2</v>
      </c>
      <c r="L64">
        <v>4</v>
      </c>
      <c r="M64">
        <v>4.2</v>
      </c>
      <c r="N64" s="43">
        <f t="shared" si="0"/>
        <v>4.1333333333333329</v>
      </c>
    </row>
    <row r="65" spans="1:15" x14ac:dyDescent="0.25">
      <c r="A65" s="4">
        <v>1</v>
      </c>
      <c r="B65" s="4">
        <v>8</v>
      </c>
      <c r="C65" s="4">
        <v>4</v>
      </c>
      <c r="D65" s="4">
        <v>32</v>
      </c>
      <c r="E65" s="4">
        <v>8</v>
      </c>
      <c r="F65" s="4" t="s">
        <v>30</v>
      </c>
      <c r="G65" t="s">
        <v>32</v>
      </c>
      <c r="H65" s="4">
        <v>108</v>
      </c>
      <c r="I65" s="4">
        <v>2</v>
      </c>
      <c r="J65" s="44">
        <v>45477</v>
      </c>
      <c r="K65">
        <v>4.4000000000000004</v>
      </c>
      <c r="L65">
        <v>4.3</v>
      </c>
      <c r="M65">
        <v>4.4000000000000004</v>
      </c>
      <c r="N65" s="43">
        <f t="shared" si="0"/>
        <v>4.3666666666666663</v>
      </c>
    </row>
    <row r="66" spans="1:15" x14ac:dyDescent="0.25">
      <c r="A66" s="4">
        <v>1</v>
      </c>
      <c r="B66" s="4">
        <v>1</v>
      </c>
      <c r="C66" s="4">
        <v>1</v>
      </c>
      <c r="D66" s="4">
        <v>1</v>
      </c>
      <c r="E66" s="4">
        <v>1</v>
      </c>
      <c r="F66" s="4" t="s">
        <v>25</v>
      </c>
      <c r="G66" t="s">
        <v>26</v>
      </c>
      <c r="H66" s="4">
        <v>101</v>
      </c>
      <c r="I66" s="4">
        <v>3</v>
      </c>
      <c r="J66" s="38">
        <v>45457</v>
      </c>
      <c r="K66">
        <v>6.4</v>
      </c>
      <c r="L66">
        <v>6.1</v>
      </c>
      <c r="M66">
        <v>5.7</v>
      </c>
      <c r="N66" s="43">
        <f t="shared" si="0"/>
        <v>6.0666666666666664</v>
      </c>
      <c r="O66" s="43"/>
    </row>
    <row r="67" spans="1:15" x14ac:dyDescent="0.25">
      <c r="A67" s="4">
        <v>2</v>
      </c>
      <c r="B67" s="4">
        <v>1</v>
      </c>
      <c r="C67" s="4">
        <v>1</v>
      </c>
      <c r="D67" s="4">
        <v>2</v>
      </c>
      <c r="E67" s="4">
        <v>16</v>
      </c>
      <c r="F67" s="4" t="s">
        <v>25</v>
      </c>
      <c r="G67" t="s">
        <v>27</v>
      </c>
      <c r="H67" s="4">
        <v>201</v>
      </c>
      <c r="I67" s="4">
        <v>3</v>
      </c>
      <c r="J67" s="38">
        <v>45457</v>
      </c>
      <c r="K67">
        <v>6.4</v>
      </c>
      <c r="L67">
        <v>6.2</v>
      </c>
      <c r="M67">
        <v>6</v>
      </c>
      <c r="N67" s="43">
        <f t="shared" ref="N67:N130" si="1">AVERAGE(K67:M67)</f>
        <v>6.2</v>
      </c>
      <c r="O67" s="43"/>
    </row>
    <row r="68" spans="1:15" x14ac:dyDescent="0.25">
      <c r="A68" s="4">
        <v>3</v>
      </c>
      <c r="B68" s="4">
        <v>1</v>
      </c>
      <c r="C68" s="4">
        <v>1</v>
      </c>
      <c r="D68" s="4">
        <v>3</v>
      </c>
      <c r="E68" s="4">
        <v>17</v>
      </c>
      <c r="F68" s="4" t="s">
        <v>25</v>
      </c>
      <c r="G68" t="s">
        <v>28</v>
      </c>
      <c r="H68" s="4">
        <v>301</v>
      </c>
      <c r="I68" s="4">
        <v>3</v>
      </c>
      <c r="J68" s="38">
        <v>45457</v>
      </c>
      <c r="K68">
        <v>6.2</v>
      </c>
      <c r="L68">
        <v>6.3</v>
      </c>
      <c r="M68">
        <v>6.3</v>
      </c>
      <c r="N68" s="43">
        <f t="shared" si="1"/>
        <v>6.2666666666666666</v>
      </c>
      <c r="O68" s="43"/>
    </row>
    <row r="69" spans="1:15" x14ac:dyDescent="0.25">
      <c r="A69" s="4">
        <v>4</v>
      </c>
      <c r="B69" s="4">
        <v>1</v>
      </c>
      <c r="C69" s="4">
        <v>1</v>
      </c>
      <c r="D69" s="4">
        <v>4</v>
      </c>
      <c r="E69" s="4">
        <v>32</v>
      </c>
      <c r="F69" s="4" t="s">
        <v>25</v>
      </c>
      <c r="G69" t="s">
        <v>29</v>
      </c>
      <c r="H69" s="4">
        <v>401</v>
      </c>
      <c r="I69" s="4">
        <v>3</v>
      </c>
      <c r="J69" s="38">
        <v>45457</v>
      </c>
      <c r="K69">
        <v>6.2</v>
      </c>
      <c r="L69">
        <v>5.8</v>
      </c>
      <c r="M69">
        <v>6.6</v>
      </c>
      <c r="N69" s="43">
        <f t="shared" si="1"/>
        <v>6.2</v>
      </c>
      <c r="O69" s="43"/>
    </row>
    <row r="70" spans="1:15" x14ac:dyDescent="0.25">
      <c r="A70" s="4">
        <v>4</v>
      </c>
      <c r="B70" s="4">
        <v>2</v>
      </c>
      <c r="C70" s="4">
        <v>1</v>
      </c>
      <c r="D70" s="4">
        <v>5</v>
      </c>
      <c r="E70" s="4">
        <v>31</v>
      </c>
      <c r="F70" s="4" t="s">
        <v>30</v>
      </c>
      <c r="G70" t="s">
        <v>32</v>
      </c>
      <c r="H70" s="4">
        <v>402</v>
      </c>
      <c r="I70" s="4">
        <v>3</v>
      </c>
      <c r="J70" s="44">
        <v>45488</v>
      </c>
      <c r="K70">
        <v>5.5</v>
      </c>
      <c r="L70">
        <v>5.3</v>
      </c>
      <c r="M70">
        <v>5.3</v>
      </c>
      <c r="N70" s="43">
        <f t="shared" si="1"/>
        <v>5.3666666666666671</v>
      </c>
    </row>
    <row r="71" spans="1:15" x14ac:dyDescent="0.25">
      <c r="A71" s="4">
        <v>3</v>
      </c>
      <c r="B71" s="4">
        <v>2</v>
      </c>
      <c r="C71" s="4">
        <v>1</v>
      </c>
      <c r="D71" s="4">
        <v>6</v>
      </c>
      <c r="E71" s="4">
        <v>18</v>
      </c>
      <c r="F71" s="4" t="s">
        <v>30</v>
      </c>
      <c r="G71" t="s">
        <v>29</v>
      </c>
      <c r="H71" s="4">
        <v>302</v>
      </c>
      <c r="I71" s="4">
        <v>3</v>
      </c>
      <c r="J71" s="44">
        <v>45488</v>
      </c>
      <c r="K71">
        <v>5.0999999999999996</v>
      </c>
      <c r="L71">
        <v>4.7</v>
      </c>
      <c r="M71">
        <v>4.7</v>
      </c>
      <c r="N71" s="43">
        <f t="shared" si="1"/>
        <v>4.833333333333333</v>
      </c>
    </row>
    <row r="72" spans="1:15" x14ac:dyDescent="0.25">
      <c r="A72" s="4">
        <v>2</v>
      </c>
      <c r="B72" s="4">
        <v>2</v>
      </c>
      <c r="C72" s="4">
        <v>1</v>
      </c>
      <c r="D72" s="4">
        <v>7</v>
      </c>
      <c r="E72" s="4">
        <v>15</v>
      </c>
      <c r="F72" s="4" t="s">
        <v>30</v>
      </c>
      <c r="G72" t="s">
        <v>28</v>
      </c>
      <c r="H72" s="4">
        <v>202</v>
      </c>
      <c r="I72" s="4">
        <v>3</v>
      </c>
      <c r="J72" s="44">
        <v>45488</v>
      </c>
      <c r="K72">
        <v>4.4000000000000004</v>
      </c>
      <c r="L72">
        <v>5.0999999999999996</v>
      </c>
      <c r="M72">
        <v>4.4000000000000004</v>
      </c>
      <c r="N72" s="43">
        <f t="shared" si="1"/>
        <v>4.6333333333333337</v>
      </c>
    </row>
    <row r="73" spans="1:15" x14ac:dyDescent="0.25">
      <c r="A73" s="4">
        <v>1</v>
      </c>
      <c r="B73" s="4">
        <v>2</v>
      </c>
      <c r="C73" s="4">
        <v>1</v>
      </c>
      <c r="D73" s="4">
        <v>8</v>
      </c>
      <c r="E73" s="4">
        <v>2</v>
      </c>
      <c r="F73" s="4" t="s">
        <v>30</v>
      </c>
      <c r="G73" t="s">
        <v>31</v>
      </c>
      <c r="H73" s="4">
        <v>102</v>
      </c>
      <c r="I73" s="4">
        <v>3</v>
      </c>
      <c r="J73" s="44">
        <v>45488</v>
      </c>
      <c r="K73">
        <v>5.2</v>
      </c>
      <c r="L73">
        <v>4.8</v>
      </c>
      <c r="M73">
        <v>5.2</v>
      </c>
      <c r="N73" s="43">
        <f t="shared" si="1"/>
        <v>5.0666666666666664</v>
      </c>
    </row>
    <row r="74" spans="1:15" x14ac:dyDescent="0.25">
      <c r="A74" s="4">
        <v>1</v>
      </c>
      <c r="B74" s="4">
        <v>3</v>
      </c>
      <c r="C74" s="4">
        <v>2</v>
      </c>
      <c r="D74" s="4">
        <v>9</v>
      </c>
      <c r="E74" s="4">
        <v>3</v>
      </c>
      <c r="F74" s="4" t="s">
        <v>25</v>
      </c>
      <c r="G74" t="s">
        <v>27</v>
      </c>
      <c r="H74" s="4">
        <v>103</v>
      </c>
      <c r="I74" s="4">
        <v>3</v>
      </c>
      <c r="J74" s="38">
        <v>45457</v>
      </c>
      <c r="K74">
        <v>5.7</v>
      </c>
      <c r="L74">
        <v>6.4</v>
      </c>
      <c r="M74">
        <v>6</v>
      </c>
      <c r="N74" s="43">
        <f t="shared" si="1"/>
        <v>6.0333333333333341</v>
      </c>
    </row>
    <row r="75" spans="1:15" x14ac:dyDescent="0.25">
      <c r="A75" s="4">
        <v>2</v>
      </c>
      <c r="B75" s="4">
        <v>3</v>
      </c>
      <c r="C75" s="4">
        <v>2</v>
      </c>
      <c r="D75" s="4">
        <v>10</v>
      </c>
      <c r="E75" s="4">
        <v>14</v>
      </c>
      <c r="F75" s="4" t="s">
        <v>25</v>
      </c>
      <c r="G75" t="s">
        <v>29</v>
      </c>
      <c r="H75" s="4">
        <v>203</v>
      </c>
      <c r="I75" s="4">
        <v>3</v>
      </c>
      <c r="J75" s="38">
        <v>45457</v>
      </c>
      <c r="K75">
        <v>6.5</v>
      </c>
      <c r="L75">
        <v>6.3</v>
      </c>
      <c r="M75">
        <v>6.2</v>
      </c>
      <c r="N75" s="43">
        <f t="shared" si="1"/>
        <v>6.333333333333333</v>
      </c>
    </row>
    <row r="76" spans="1:15" x14ac:dyDescent="0.25">
      <c r="A76" s="4">
        <v>3</v>
      </c>
      <c r="B76" s="4">
        <v>3</v>
      </c>
      <c r="C76" s="4">
        <v>2</v>
      </c>
      <c r="D76" s="4">
        <v>11</v>
      </c>
      <c r="E76" s="4">
        <v>19</v>
      </c>
      <c r="F76" s="4" t="s">
        <v>25</v>
      </c>
      <c r="G76" t="s">
        <v>26</v>
      </c>
      <c r="H76" s="4">
        <v>303</v>
      </c>
      <c r="I76" s="4">
        <v>3</v>
      </c>
      <c r="J76" s="38">
        <v>45457</v>
      </c>
      <c r="K76">
        <v>6.4</v>
      </c>
      <c r="L76">
        <v>6</v>
      </c>
      <c r="M76">
        <v>6.3</v>
      </c>
      <c r="N76" s="43">
        <f t="shared" si="1"/>
        <v>6.2333333333333334</v>
      </c>
    </row>
    <row r="77" spans="1:15" x14ac:dyDescent="0.25">
      <c r="A77" s="4">
        <v>4</v>
      </c>
      <c r="B77" s="4">
        <v>3</v>
      </c>
      <c r="C77" s="4">
        <v>2</v>
      </c>
      <c r="D77" s="4">
        <v>12</v>
      </c>
      <c r="E77" s="4">
        <v>30</v>
      </c>
      <c r="F77" s="4" t="s">
        <v>25</v>
      </c>
      <c r="G77" t="s">
        <v>28</v>
      </c>
      <c r="H77" s="4">
        <v>403</v>
      </c>
      <c r="I77" s="4">
        <v>3</v>
      </c>
      <c r="J77" s="38">
        <v>45457</v>
      </c>
      <c r="K77">
        <v>6.3</v>
      </c>
      <c r="L77">
        <v>6.4</v>
      </c>
      <c r="M77">
        <v>5.3</v>
      </c>
      <c r="N77" s="43">
        <f t="shared" si="1"/>
        <v>6</v>
      </c>
    </row>
    <row r="78" spans="1:15" x14ac:dyDescent="0.25">
      <c r="A78" s="4">
        <v>4</v>
      </c>
      <c r="B78" s="4">
        <v>4</v>
      </c>
      <c r="C78" s="4">
        <v>2</v>
      </c>
      <c r="D78" s="4">
        <v>13</v>
      </c>
      <c r="E78" s="4">
        <v>29</v>
      </c>
      <c r="F78" s="4" t="s">
        <v>30</v>
      </c>
      <c r="G78" t="s">
        <v>29</v>
      </c>
      <c r="H78" s="4">
        <v>404</v>
      </c>
      <c r="I78" s="4">
        <v>3</v>
      </c>
      <c r="J78" s="44">
        <v>45488</v>
      </c>
      <c r="K78">
        <v>4.5</v>
      </c>
      <c r="L78">
        <v>4.8</v>
      </c>
      <c r="M78">
        <v>5</v>
      </c>
      <c r="N78" s="43">
        <f t="shared" si="1"/>
        <v>4.7666666666666666</v>
      </c>
    </row>
    <row r="79" spans="1:15" x14ac:dyDescent="0.25">
      <c r="A79" s="4">
        <v>3</v>
      </c>
      <c r="B79" s="4">
        <v>4</v>
      </c>
      <c r="C79" s="4">
        <v>2</v>
      </c>
      <c r="D79" s="4">
        <v>14</v>
      </c>
      <c r="E79" s="4">
        <v>20</v>
      </c>
      <c r="F79" s="4" t="s">
        <v>30</v>
      </c>
      <c r="G79" t="s">
        <v>31</v>
      </c>
      <c r="H79" s="4">
        <v>304</v>
      </c>
      <c r="I79" s="4">
        <v>3</v>
      </c>
      <c r="J79" s="44">
        <v>45488</v>
      </c>
      <c r="K79">
        <v>4.8</v>
      </c>
      <c r="L79">
        <v>4.3</v>
      </c>
      <c r="M79">
        <v>4.4000000000000004</v>
      </c>
      <c r="N79" s="43">
        <f t="shared" si="1"/>
        <v>4.5</v>
      </c>
    </row>
    <row r="80" spans="1:15" x14ac:dyDescent="0.25">
      <c r="A80" s="4">
        <v>2</v>
      </c>
      <c r="B80" s="4">
        <v>4</v>
      </c>
      <c r="C80" s="4">
        <v>2</v>
      </c>
      <c r="D80" s="4">
        <v>15</v>
      </c>
      <c r="E80" s="4">
        <v>13</v>
      </c>
      <c r="F80" s="4" t="s">
        <v>30</v>
      </c>
      <c r="G80" t="s">
        <v>32</v>
      </c>
      <c r="H80" s="4">
        <v>204</v>
      </c>
      <c r="I80" s="4">
        <v>3</v>
      </c>
      <c r="J80" s="44">
        <v>45488</v>
      </c>
      <c r="K80">
        <v>5.2</v>
      </c>
      <c r="L80">
        <v>4.8</v>
      </c>
      <c r="M80">
        <v>5.3</v>
      </c>
      <c r="N80" s="43">
        <f t="shared" si="1"/>
        <v>5.1000000000000005</v>
      </c>
    </row>
    <row r="81" spans="1:14" x14ac:dyDescent="0.25">
      <c r="A81" s="4">
        <v>1</v>
      </c>
      <c r="B81" s="4">
        <v>4</v>
      </c>
      <c r="C81" s="4">
        <v>2</v>
      </c>
      <c r="D81" s="4">
        <v>16</v>
      </c>
      <c r="E81" s="4">
        <v>4</v>
      </c>
      <c r="F81" s="4" t="s">
        <v>30</v>
      </c>
      <c r="G81" t="s">
        <v>28</v>
      </c>
      <c r="H81" s="4">
        <v>104</v>
      </c>
      <c r="I81" s="4">
        <v>3</v>
      </c>
      <c r="J81" s="44">
        <v>45488</v>
      </c>
      <c r="K81">
        <v>5.0999999999999996</v>
      </c>
      <c r="L81">
        <v>4.9000000000000004</v>
      </c>
      <c r="M81">
        <v>5</v>
      </c>
      <c r="N81" s="43">
        <f t="shared" si="1"/>
        <v>5</v>
      </c>
    </row>
    <row r="82" spans="1:14" x14ac:dyDescent="0.25">
      <c r="A82" s="4">
        <v>1</v>
      </c>
      <c r="B82" s="4">
        <v>5</v>
      </c>
      <c r="C82" s="4">
        <v>3</v>
      </c>
      <c r="D82" s="4">
        <v>17</v>
      </c>
      <c r="E82" s="4">
        <v>5</v>
      </c>
      <c r="F82" s="4" t="s">
        <v>25</v>
      </c>
      <c r="G82" t="s">
        <v>28</v>
      </c>
      <c r="H82" s="4">
        <v>105</v>
      </c>
      <c r="I82" s="4">
        <v>3</v>
      </c>
      <c r="J82" s="38">
        <v>45457</v>
      </c>
      <c r="K82">
        <v>6.4</v>
      </c>
      <c r="L82">
        <v>6</v>
      </c>
      <c r="M82">
        <v>6.3</v>
      </c>
      <c r="N82" s="43">
        <f t="shared" si="1"/>
        <v>6.2333333333333334</v>
      </c>
    </row>
    <row r="83" spans="1:14" x14ac:dyDescent="0.25">
      <c r="A83" s="4">
        <v>2</v>
      </c>
      <c r="B83" s="4">
        <v>5</v>
      </c>
      <c r="C83" s="4">
        <v>3</v>
      </c>
      <c r="D83" s="4">
        <v>18</v>
      </c>
      <c r="E83" s="4">
        <v>12</v>
      </c>
      <c r="F83" s="4" t="s">
        <v>25</v>
      </c>
      <c r="G83" t="s">
        <v>26</v>
      </c>
      <c r="H83" s="4">
        <v>205</v>
      </c>
      <c r="I83" s="4">
        <v>3</v>
      </c>
      <c r="J83" s="38">
        <v>45457</v>
      </c>
      <c r="K83">
        <v>6.2</v>
      </c>
      <c r="L83">
        <v>6</v>
      </c>
      <c r="M83">
        <v>5.7</v>
      </c>
      <c r="N83" s="43">
        <f t="shared" si="1"/>
        <v>5.9666666666666659</v>
      </c>
    </row>
    <row r="84" spans="1:14" x14ac:dyDescent="0.25">
      <c r="A84" s="4">
        <v>3</v>
      </c>
      <c r="B84" s="4">
        <v>5</v>
      </c>
      <c r="C84" s="4">
        <v>3</v>
      </c>
      <c r="D84" s="4">
        <v>19</v>
      </c>
      <c r="E84" s="4">
        <v>21</v>
      </c>
      <c r="F84" s="4" t="s">
        <v>25</v>
      </c>
      <c r="G84" t="s">
        <v>29</v>
      </c>
      <c r="H84" s="4">
        <v>305</v>
      </c>
      <c r="I84" s="4">
        <v>3</v>
      </c>
      <c r="J84" s="38">
        <v>45457</v>
      </c>
      <c r="K84">
        <v>5.8</v>
      </c>
      <c r="L84">
        <v>6.3</v>
      </c>
      <c r="M84">
        <v>6.5</v>
      </c>
      <c r="N84" s="43">
        <f t="shared" si="1"/>
        <v>6.2</v>
      </c>
    </row>
    <row r="85" spans="1:14" x14ac:dyDescent="0.25">
      <c r="A85" s="4">
        <v>4</v>
      </c>
      <c r="B85" s="4">
        <v>5</v>
      </c>
      <c r="C85" s="4">
        <v>3</v>
      </c>
      <c r="D85" s="4">
        <v>20</v>
      </c>
      <c r="E85" s="4">
        <v>28</v>
      </c>
      <c r="F85" s="4" t="s">
        <v>25</v>
      </c>
      <c r="G85" t="s">
        <v>27</v>
      </c>
      <c r="H85" s="4">
        <v>405</v>
      </c>
      <c r="I85" s="4">
        <v>3</v>
      </c>
      <c r="J85" s="38">
        <v>45457</v>
      </c>
      <c r="K85" s="54">
        <v>6.6</v>
      </c>
      <c r="L85" s="54">
        <v>6.8</v>
      </c>
      <c r="M85" s="54">
        <v>6.5</v>
      </c>
      <c r="N85" s="43">
        <f t="shared" si="1"/>
        <v>6.6333333333333329</v>
      </c>
    </row>
    <row r="86" spans="1:14" x14ac:dyDescent="0.25">
      <c r="A86" s="4">
        <v>4</v>
      </c>
      <c r="B86" s="4">
        <v>6</v>
      </c>
      <c r="C86" s="4">
        <v>3</v>
      </c>
      <c r="D86" s="4">
        <v>21</v>
      </c>
      <c r="E86" s="4">
        <v>27</v>
      </c>
      <c r="F86" s="4" t="s">
        <v>30</v>
      </c>
      <c r="G86" t="s">
        <v>28</v>
      </c>
      <c r="H86" s="4">
        <v>406</v>
      </c>
      <c r="I86" s="4">
        <v>3</v>
      </c>
      <c r="J86" s="44">
        <v>45488</v>
      </c>
      <c r="K86">
        <v>4.5999999999999996</v>
      </c>
      <c r="L86">
        <v>5.0999999999999996</v>
      </c>
      <c r="M86">
        <v>4.8</v>
      </c>
      <c r="N86" s="43">
        <f t="shared" si="1"/>
        <v>4.833333333333333</v>
      </c>
    </row>
    <row r="87" spans="1:14" x14ac:dyDescent="0.25">
      <c r="A87" s="4">
        <v>3</v>
      </c>
      <c r="B87" s="4">
        <v>6</v>
      </c>
      <c r="C87" s="4">
        <v>3</v>
      </c>
      <c r="D87" s="4">
        <v>22</v>
      </c>
      <c r="E87" s="4">
        <v>22</v>
      </c>
      <c r="F87" s="4" t="s">
        <v>30</v>
      </c>
      <c r="G87" t="s">
        <v>32</v>
      </c>
      <c r="H87" s="4">
        <v>306</v>
      </c>
      <c r="I87" s="4">
        <v>3</v>
      </c>
      <c r="J87" s="44">
        <v>45488</v>
      </c>
      <c r="K87">
        <v>5.0999999999999996</v>
      </c>
      <c r="L87">
        <v>5.5</v>
      </c>
      <c r="M87">
        <v>5.4</v>
      </c>
      <c r="N87" s="43">
        <f t="shared" si="1"/>
        <v>5.333333333333333</v>
      </c>
    </row>
    <row r="88" spans="1:14" x14ac:dyDescent="0.25">
      <c r="A88" s="4">
        <v>2</v>
      </c>
      <c r="B88" s="4">
        <v>6</v>
      </c>
      <c r="C88" s="4">
        <v>3</v>
      </c>
      <c r="D88" s="4">
        <v>23</v>
      </c>
      <c r="E88" s="4">
        <v>11</v>
      </c>
      <c r="F88" s="4" t="s">
        <v>30</v>
      </c>
      <c r="G88" t="s">
        <v>31</v>
      </c>
      <c r="H88" s="4">
        <v>206</v>
      </c>
      <c r="I88" s="4">
        <v>3</v>
      </c>
      <c r="J88" s="44">
        <v>45488</v>
      </c>
      <c r="K88">
        <v>4.7</v>
      </c>
      <c r="L88">
        <v>4.3</v>
      </c>
      <c r="M88">
        <v>4.5</v>
      </c>
      <c r="N88" s="43">
        <f t="shared" si="1"/>
        <v>4.5</v>
      </c>
    </row>
    <row r="89" spans="1:14" x14ac:dyDescent="0.25">
      <c r="A89" s="4">
        <v>1</v>
      </c>
      <c r="B89" s="4">
        <v>6</v>
      </c>
      <c r="C89" s="4">
        <v>3</v>
      </c>
      <c r="D89" s="4">
        <v>24</v>
      </c>
      <c r="E89" s="4">
        <v>6</v>
      </c>
      <c r="F89" s="4" t="s">
        <v>30</v>
      </c>
      <c r="G89" t="s">
        <v>29</v>
      </c>
      <c r="H89" s="4">
        <v>106</v>
      </c>
      <c r="I89" s="4">
        <v>3</v>
      </c>
      <c r="J89" s="44">
        <v>45488</v>
      </c>
      <c r="K89">
        <v>5.4</v>
      </c>
      <c r="L89">
        <v>4.8</v>
      </c>
      <c r="M89">
        <v>5.3</v>
      </c>
      <c r="N89" s="43">
        <f t="shared" si="1"/>
        <v>5.166666666666667</v>
      </c>
    </row>
    <row r="90" spans="1:14" x14ac:dyDescent="0.25">
      <c r="A90" s="4">
        <v>1</v>
      </c>
      <c r="B90" s="4">
        <v>7</v>
      </c>
      <c r="C90" s="4">
        <v>4</v>
      </c>
      <c r="D90" s="4">
        <v>25</v>
      </c>
      <c r="E90" s="4">
        <v>7</v>
      </c>
      <c r="F90" s="4" t="s">
        <v>25</v>
      </c>
      <c r="G90" t="s">
        <v>29</v>
      </c>
      <c r="H90" s="4">
        <v>107</v>
      </c>
      <c r="I90" s="4">
        <v>3</v>
      </c>
      <c r="J90" s="38">
        <v>45457</v>
      </c>
      <c r="K90" s="54">
        <v>7</v>
      </c>
      <c r="L90" s="54">
        <v>6.8</v>
      </c>
      <c r="M90" s="54">
        <v>6.2</v>
      </c>
      <c r="N90" s="43">
        <f t="shared" si="1"/>
        <v>6.666666666666667</v>
      </c>
    </row>
    <row r="91" spans="1:14" x14ac:dyDescent="0.25">
      <c r="A91" s="4">
        <v>2</v>
      </c>
      <c r="B91" s="4">
        <v>7</v>
      </c>
      <c r="C91" s="4">
        <v>4</v>
      </c>
      <c r="D91" s="4">
        <v>26</v>
      </c>
      <c r="E91" s="4">
        <v>10</v>
      </c>
      <c r="F91" s="4" t="s">
        <v>25</v>
      </c>
      <c r="G91" t="s">
        <v>28</v>
      </c>
      <c r="H91" s="4">
        <v>207</v>
      </c>
      <c r="I91" s="4">
        <v>3</v>
      </c>
      <c r="J91" s="38">
        <v>45457</v>
      </c>
      <c r="K91">
        <v>6.1</v>
      </c>
      <c r="L91">
        <v>6.4</v>
      </c>
      <c r="M91">
        <v>6.5</v>
      </c>
      <c r="N91" s="43">
        <f t="shared" si="1"/>
        <v>6.333333333333333</v>
      </c>
    </row>
    <row r="92" spans="1:14" x14ac:dyDescent="0.25">
      <c r="A92" s="4">
        <v>3</v>
      </c>
      <c r="B92" s="4">
        <v>7</v>
      </c>
      <c r="C92" s="4">
        <v>4</v>
      </c>
      <c r="D92" s="4">
        <v>27</v>
      </c>
      <c r="E92" s="4">
        <v>23</v>
      </c>
      <c r="F92" s="4" t="s">
        <v>25</v>
      </c>
      <c r="G92" t="s">
        <v>27</v>
      </c>
      <c r="H92" s="4">
        <v>307</v>
      </c>
      <c r="I92" s="4">
        <v>3</v>
      </c>
      <c r="J92" s="38">
        <v>45457</v>
      </c>
      <c r="K92">
        <v>6.5</v>
      </c>
      <c r="L92">
        <v>6.2</v>
      </c>
      <c r="M92">
        <v>6.1</v>
      </c>
      <c r="N92" s="43">
        <f t="shared" si="1"/>
        <v>6.2666666666666657</v>
      </c>
    </row>
    <row r="93" spans="1:14" x14ac:dyDescent="0.25">
      <c r="A93" s="4">
        <v>4</v>
      </c>
      <c r="B93" s="4">
        <v>7</v>
      </c>
      <c r="C93" s="4">
        <v>4</v>
      </c>
      <c r="D93" s="4">
        <v>28</v>
      </c>
      <c r="E93" s="4">
        <v>26</v>
      </c>
      <c r="F93" s="4" t="s">
        <v>25</v>
      </c>
      <c r="G93" t="s">
        <v>26</v>
      </c>
      <c r="H93" s="4">
        <v>407</v>
      </c>
      <c r="I93" s="4">
        <v>3</v>
      </c>
      <c r="J93" s="38">
        <v>45457</v>
      </c>
      <c r="K93">
        <v>6.1</v>
      </c>
      <c r="L93">
        <v>5.8</v>
      </c>
      <c r="M93">
        <v>6</v>
      </c>
      <c r="N93" s="43">
        <f t="shared" si="1"/>
        <v>5.9666666666666659</v>
      </c>
    </row>
    <row r="94" spans="1:14" x14ac:dyDescent="0.25">
      <c r="A94" s="4">
        <v>4</v>
      </c>
      <c r="B94" s="4">
        <v>8</v>
      </c>
      <c r="C94" s="4">
        <v>4</v>
      </c>
      <c r="D94" s="4">
        <v>29</v>
      </c>
      <c r="E94" s="4">
        <v>25</v>
      </c>
      <c r="F94" s="4" t="s">
        <v>30</v>
      </c>
      <c r="G94" t="s">
        <v>31</v>
      </c>
      <c r="H94" s="4">
        <v>408</v>
      </c>
      <c r="I94" s="4">
        <v>3</v>
      </c>
      <c r="J94" s="44">
        <v>45488</v>
      </c>
      <c r="K94">
        <v>4.5</v>
      </c>
      <c r="L94">
        <v>4.5999999999999996</v>
      </c>
      <c r="M94">
        <v>4.5</v>
      </c>
      <c r="N94" s="43">
        <f t="shared" si="1"/>
        <v>4.5333333333333332</v>
      </c>
    </row>
    <row r="95" spans="1:14" x14ac:dyDescent="0.25">
      <c r="A95" s="4">
        <v>3</v>
      </c>
      <c r="B95" s="4">
        <v>8</v>
      </c>
      <c r="C95" s="4">
        <v>4</v>
      </c>
      <c r="D95" s="4">
        <v>30</v>
      </c>
      <c r="E95" s="4">
        <v>24</v>
      </c>
      <c r="F95" s="4" t="s">
        <v>30</v>
      </c>
      <c r="G95" t="s">
        <v>28</v>
      </c>
      <c r="H95" s="4">
        <v>308</v>
      </c>
      <c r="I95" s="4">
        <v>3</v>
      </c>
      <c r="J95" s="44">
        <v>45488</v>
      </c>
      <c r="K95">
        <v>4.5</v>
      </c>
      <c r="L95">
        <v>5.0999999999999996</v>
      </c>
      <c r="M95">
        <v>5.0999999999999996</v>
      </c>
      <c r="N95" s="43">
        <f t="shared" si="1"/>
        <v>4.8999999999999995</v>
      </c>
    </row>
    <row r="96" spans="1:14" x14ac:dyDescent="0.25">
      <c r="A96" s="4">
        <v>2</v>
      </c>
      <c r="B96" s="4">
        <v>8</v>
      </c>
      <c r="C96" s="4">
        <v>4</v>
      </c>
      <c r="D96" s="4">
        <v>31</v>
      </c>
      <c r="E96" s="4">
        <v>9</v>
      </c>
      <c r="F96" s="4" t="s">
        <v>30</v>
      </c>
      <c r="G96" t="s">
        <v>29</v>
      </c>
      <c r="H96" s="4">
        <v>208</v>
      </c>
      <c r="I96" s="4">
        <v>3</v>
      </c>
      <c r="J96" s="44">
        <v>45488</v>
      </c>
      <c r="K96">
        <v>5.2</v>
      </c>
      <c r="L96">
        <v>4.9000000000000004</v>
      </c>
      <c r="M96">
        <v>5.0999999999999996</v>
      </c>
      <c r="N96" s="43">
        <f t="shared" si="1"/>
        <v>5.0666666666666673</v>
      </c>
    </row>
    <row r="97" spans="1:14" x14ac:dyDescent="0.25">
      <c r="A97" s="4">
        <v>1</v>
      </c>
      <c r="B97" s="4">
        <v>8</v>
      </c>
      <c r="C97" s="4">
        <v>4</v>
      </c>
      <c r="D97" s="4">
        <v>32</v>
      </c>
      <c r="E97" s="4">
        <v>8</v>
      </c>
      <c r="F97" s="4" t="s">
        <v>30</v>
      </c>
      <c r="G97" t="s">
        <v>32</v>
      </c>
      <c r="H97" s="4">
        <v>108</v>
      </c>
      <c r="I97" s="4">
        <v>3</v>
      </c>
      <c r="J97" s="44">
        <v>45488</v>
      </c>
      <c r="K97">
        <v>5.5</v>
      </c>
      <c r="L97">
        <v>5.4</v>
      </c>
      <c r="M97">
        <v>5.6</v>
      </c>
      <c r="N97" s="43">
        <f t="shared" si="1"/>
        <v>5.5</v>
      </c>
    </row>
    <row r="98" spans="1:14" x14ac:dyDescent="0.25">
      <c r="A98" s="4">
        <v>1</v>
      </c>
      <c r="B98" s="4">
        <v>1</v>
      </c>
      <c r="C98" s="4">
        <v>1</v>
      </c>
      <c r="D98" s="4">
        <v>1</v>
      </c>
      <c r="E98" s="4">
        <v>1</v>
      </c>
      <c r="F98" s="4" t="s">
        <v>25</v>
      </c>
      <c r="G98" t="s">
        <v>26</v>
      </c>
      <c r="H98" s="4">
        <v>101</v>
      </c>
      <c r="I98" s="4">
        <v>4</v>
      </c>
      <c r="J98" s="38">
        <v>45468</v>
      </c>
      <c r="K98">
        <v>6.8</v>
      </c>
      <c r="L98">
        <v>6.5</v>
      </c>
      <c r="M98">
        <v>6.4</v>
      </c>
      <c r="N98" s="43">
        <f t="shared" si="1"/>
        <v>6.5666666666666673</v>
      </c>
    </row>
    <row r="99" spans="1:14" x14ac:dyDescent="0.25">
      <c r="A99" s="4">
        <v>2</v>
      </c>
      <c r="B99" s="4">
        <v>1</v>
      </c>
      <c r="C99" s="4">
        <v>1</v>
      </c>
      <c r="D99" s="4">
        <v>2</v>
      </c>
      <c r="E99" s="4">
        <v>16</v>
      </c>
      <c r="F99" s="4" t="s">
        <v>25</v>
      </c>
      <c r="G99" t="s">
        <v>27</v>
      </c>
      <c r="H99" s="4">
        <v>201</v>
      </c>
      <c r="I99" s="4">
        <v>4</v>
      </c>
      <c r="J99" s="38">
        <v>45468</v>
      </c>
      <c r="K99">
        <v>6.8</v>
      </c>
      <c r="L99">
        <v>6.7</v>
      </c>
      <c r="M99">
        <v>6.4</v>
      </c>
      <c r="N99" s="43">
        <f t="shared" si="1"/>
        <v>6.6333333333333329</v>
      </c>
    </row>
    <row r="100" spans="1:14" x14ac:dyDescent="0.25">
      <c r="A100" s="4">
        <v>3</v>
      </c>
      <c r="B100" s="4">
        <v>1</v>
      </c>
      <c r="C100" s="4">
        <v>1</v>
      </c>
      <c r="D100" s="4">
        <v>3</v>
      </c>
      <c r="E100" s="4">
        <v>17</v>
      </c>
      <c r="F100" s="4" t="s">
        <v>25</v>
      </c>
      <c r="G100" t="s">
        <v>28</v>
      </c>
      <c r="H100" s="4">
        <v>301</v>
      </c>
      <c r="I100" s="4">
        <v>4</v>
      </c>
      <c r="J100" s="38">
        <v>45468</v>
      </c>
      <c r="K100">
        <v>6.8</v>
      </c>
      <c r="L100">
        <v>6.8</v>
      </c>
      <c r="M100">
        <v>6.9</v>
      </c>
      <c r="N100" s="43">
        <f t="shared" si="1"/>
        <v>6.833333333333333</v>
      </c>
    </row>
    <row r="101" spans="1:14" x14ac:dyDescent="0.25">
      <c r="A101" s="4">
        <v>4</v>
      </c>
      <c r="B101" s="4">
        <v>1</v>
      </c>
      <c r="C101" s="4">
        <v>1</v>
      </c>
      <c r="D101" s="4">
        <v>4</v>
      </c>
      <c r="E101" s="4">
        <v>32</v>
      </c>
      <c r="F101" s="4" t="s">
        <v>25</v>
      </c>
      <c r="G101" t="s">
        <v>29</v>
      </c>
      <c r="H101" s="4">
        <v>401</v>
      </c>
      <c r="I101" s="4">
        <v>4</v>
      </c>
      <c r="J101" s="38">
        <v>45468</v>
      </c>
      <c r="K101">
        <v>6.8</v>
      </c>
      <c r="L101">
        <v>6.4</v>
      </c>
      <c r="M101">
        <v>7.3</v>
      </c>
      <c r="N101" s="43">
        <f t="shared" si="1"/>
        <v>6.833333333333333</v>
      </c>
    </row>
    <row r="102" spans="1:14" x14ac:dyDescent="0.25">
      <c r="A102" s="4">
        <v>4</v>
      </c>
      <c r="B102" s="4">
        <v>2</v>
      </c>
      <c r="C102" s="4">
        <v>1</v>
      </c>
      <c r="D102" s="4">
        <v>5</v>
      </c>
      <c r="E102" s="4">
        <v>31</v>
      </c>
      <c r="F102" s="4" t="s">
        <v>30</v>
      </c>
      <c r="G102" t="s">
        <v>32</v>
      </c>
      <c r="H102" s="4">
        <v>402</v>
      </c>
      <c r="I102" s="4">
        <v>4</v>
      </c>
      <c r="J102" s="44">
        <v>45499</v>
      </c>
      <c r="K102">
        <v>6.3</v>
      </c>
      <c r="L102">
        <v>6.4</v>
      </c>
      <c r="M102">
        <v>6</v>
      </c>
      <c r="N102" s="43">
        <f t="shared" si="1"/>
        <v>6.2333333333333334</v>
      </c>
    </row>
    <row r="103" spans="1:14" x14ac:dyDescent="0.25">
      <c r="A103" s="4">
        <v>3</v>
      </c>
      <c r="B103" s="4">
        <v>2</v>
      </c>
      <c r="C103" s="4">
        <v>1</v>
      </c>
      <c r="D103" s="4">
        <v>6</v>
      </c>
      <c r="E103" s="4">
        <v>18</v>
      </c>
      <c r="F103" s="4" t="s">
        <v>30</v>
      </c>
      <c r="G103" t="s">
        <v>29</v>
      </c>
      <c r="H103" s="4">
        <v>302</v>
      </c>
      <c r="I103" s="4">
        <v>4</v>
      </c>
      <c r="J103" s="44">
        <v>45499</v>
      </c>
      <c r="K103">
        <v>5.7</v>
      </c>
      <c r="L103">
        <v>6.2</v>
      </c>
      <c r="M103">
        <v>5.7</v>
      </c>
      <c r="N103" s="43">
        <f t="shared" si="1"/>
        <v>5.8666666666666671</v>
      </c>
    </row>
    <row r="104" spans="1:14" x14ac:dyDescent="0.25">
      <c r="A104" s="4">
        <v>2</v>
      </c>
      <c r="B104" s="4">
        <v>2</v>
      </c>
      <c r="C104" s="4">
        <v>1</v>
      </c>
      <c r="D104" s="4">
        <v>7</v>
      </c>
      <c r="E104" s="4">
        <v>15</v>
      </c>
      <c r="F104" s="4" t="s">
        <v>30</v>
      </c>
      <c r="G104" t="s">
        <v>28</v>
      </c>
      <c r="H104" s="4">
        <v>202</v>
      </c>
      <c r="I104" s="4">
        <v>4</v>
      </c>
      <c r="J104" s="44">
        <v>45499</v>
      </c>
      <c r="K104">
        <v>5.2</v>
      </c>
      <c r="L104">
        <v>6.2</v>
      </c>
      <c r="M104">
        <v>5.5</v>
      </c>
      <c r="N104" s="43">
        <f t="shared" si="1"/>
        <v>5.6333333333333329</v>
      </c>
    </row>
    <row r="105" spans="1:14" x14ac:dyDescent="0.25">
      <c r="A105" s="4">
        <v>1</v>
      </c>
      <c r="B105" s="4">
        <v>2</v>
      </c>
      <c r="C105" s="4">
        <v>1</v>
      </c>
      <c r="D105" s="4">
        <v>8</v>
      </c>
      <c r="E105" s="4">
        <v>2</v>
      </c>
      <c r="F105" s="4" t="s">
        <v>30</v>
      </c>
      <c r="G105" t="s">
        <v>31</v>
      </c>
      <c r="H105" s="4">
        <v>102</v>
      </c>
      <c r="I105" s="4">
        <v>4</v>
      </c>
      <c r="J105" s="44">
        <v>45499</v>
      </c>
      <c r="K105">
        <v>5.8</v>
      </c>
      <c r="L105">
        <v>5.6</v>
      </c>
      <c r="M105">
        <v>6.4</v>
      </c>
      <c r="N105" s="43">
        <f t="shared" si="1"/>
        <v>5.9333333333333327</v>
      </c>
    </row>
    <row r="106" spans="1:14" x14ac:dyDescent="0.25">
      <c r="A106" s="4">
        <v>1</v>
      </c>
      <c r="B106" s="4">
        <v>3</v>
      </c>
      <c r="C106" s="4">
        <v>2</v>
      </c>
      <c r="D106" s="4">
        <v>9</v>
      </c>
      <c r="E106" s="4">
        <v>3</v>
      </c>
      <c r="F106" s="4" t="s">
        <v>25</v>
      </c>
      <c r="G106" t="s">
        <v>27</v>
      </c>
      <c r="H106" s="4">
        <v>103</v>
      </c>
      <c r="I106" s="4">
        <v>4</v>
      </c>
      <c r="J106" s="38">
        <v>45468</v>
      </c>
      <c r="K106">
        <v>7.1</v>
      </c>
      <c r="L106">
        <v>6.4</v>
      </c>
      <c r="M106">
        <v>6.5</v>
      </c>
      <c r="N106" s="43">
        <f t="shared" si="1"/>
        <v>6.666666666666667</v>
      </c>
    </row>
    <row r="107" spans="1:14" x14ac:dyDescent="0.25">
      <c r="A107" s="4">
        <v>2</v>
      </c>
      <c r="B107" s="4">
        <v>3</v>
      </c>
      <c r="C107" s="4">
        <v>2</v>
      </c>
      <c r="D107" s="4">
        <v>10</v>
      </c>
      <c r="E107" s="4">
        <v>14</v>
      </c>
      <c r="F107" s="4" t="s">
        <v>25</v>
      </c>
      <c r="G107" t="s">
        <v>29</v>
      </c>
      <c r="H107" s="4">
        <v>203</v>
      </c>
      <c r="I107" s="4">
        <v>4</v>
      </c>
      <c r="J107" s="38">
        <v>45468</v>
      </c>
      <c r="K107">
        <v>7.3</v>
      </c>
      <c r="L107">
        <v>6.9</v>
      </c>
      <c r="M107">
        <v>6.8</v>
      </c>
      <c r="N107" s="43">
        <f t="shared" si="1"/>
        <v>7</v>
      </c>
    </row>
    <row r="108" spans="1:14" x14ac:dyDescent="0.25">
      <c r="A108" s="4">
        <v>3</v>
      </c>
      <c r="B108" s="4">
        <v>3</v>
      </c>
      <c r="C108" s="4">
        <v>2</v>
      </c>
      <c r="D108" s="4">
        <v>11</v>
      </c>
      <c r="E108" s="4">
        <v>19</v>
      </c>
      <c r="F108" s="4" t="s">
        <v>25</v>
      </c>
      <c r="G108" t="s">
        <v>26</v>
      </c>
      <c r="H108" s="4">
        <v>303</v>
      </c>
      <c r="I108" s="4">
        <v>4</v>
      </c>
      <c r="J108" s="38">
        <v>45468</v>
      </c>
      <c r="K108">
        <v>7</v>
      </c>
      <c r="L108">
        <v>6.5</v>
      </c>
      <c r="M108">
        <v>6.7</v>
      </c>
      <c r="N108" s="43">
        <f t="shared" si="1"/>
        <v>6.7333333333333334</v>
      </c>
    </row>
    <row r="109" spans="1:14" x14ac:dyDescent="0.25">
      <c r="A109" s="4">
        <v>4</v>
      </c>
      <c r="B109" s="4">
        <v>3</v>
      </c>
      <c r="C109" s="4">
        <v>2</v>
      </c>
      <c r="D109" s="4">
        <v>12</v>
      </c>
      <c r="E109" s="4">
        <v>30</v>
      </c>
      <c r="F109" s="4" t="s">
        <v>25</v>
      </c>
      <c r="G109" t="s">
        <v>28</v>
      </c>
      <c r="H109" s="4">
        <v>403</v>
      </c>
      <c r="I109" s="4">
        <v>4</v>
      </c>
      <c r="J109" s="38">
        <v>45468</v>
      </c>
      <c r="K109">
        <v>6.8</v>
      </c>
      <c r="L109">
        <v>7</v>
      </c>
      <c r="M109">
        <v>6.2</v>
      </c>
      <c r="N109" s="43">
        <f t="shared" si="1"/>
        <v>6.666666666666667</v>
      </c>
    </row>
    <row r="110" spans="1:14" x14ac:dyDescent="0.25">
      <c r="A110" s="4">
        <v>4</v>
      </c>
      <c r="B110" s="4">
        <v>4</v>
      </c>
      <c r="C110" s="4">
        <v>2</v>
      </c>
      <c r="D110" s="4">
        <v>13</v>
      </c>
      <c r="E110" s="4">
        <v>29</v>
      </c>
      <c r="F110" s="4" t="s">
        <v>30</v>
      </c>
      <c r="G110" t="s">
        <v>29</v>
      </c>
      <c r="H110" s="4">
        <v>404</v>
      </c>
      <c r="I110" s="4">
        <v>4</v>
      </c>
      <c r="J110" s="44">
        <v>45499</v>
      </c>
      <c r="K110">
        <v>5.8</v>
      </c>
      <c r="L110">
        <v>6.1</v>
      </c>
      <c r="M110">
        <v>5.7</v>
      </c>
      <c r="N110" s="43">
        <f t="shared" si="1"/>
        <v>5.8666666666666663</v>
      </c>
    </row>
    <row r="111" spans="1:14" x14ac:dyDescent="0.25">
      <c r="A111" s="4">
        <v>3</v>
      </c>
      <c r="B111" s="4">
        <v>4</v>
      </c>
      <c r="C111" s="4">
        <v>2</v>
      </c>
      <c r="D111" s="4">
        <v>14</v>
      </c>
      <c r="E111" s="4">
        <v>20</v>
      </c>
      <c r="F111" s="4" t="s">
        <v>30</v>
      </c>
      <c r="G111" t="s">
        <v>31</v>
      </c>
      <c r="H111" s="4">
        <v>304</v>
      </c>
      <c r="I111" s="4">
        <v>4</v>
      </c>
      <c r="J111" s="44">
        <v>45499</v>
      </c>
      <c r="K111">
        <v>5.5</v>
      </c>
      <c r="L111">
        <v>5.4</v>
      </c>
      <c r="M111">
        <v>5.8</v>
      </c>
      <c r="N111" s="43">
        <f t="shared" si="1"/>
        <v>5.5666666666666664</v>
      </c>
    </row>
    <row r="112" spans="1:14" x14ac:dyDescent="0.25">
      <c r="A112" s="4">
        <v>2</v>
      </c>
      <c r="B112" s="4">
        <v>4</v>
      </c>
      <c r="C112" s="4">
        <v>2</v>
      </c>
      <c r="D112" s="4">
        <v>15</v>
      </c>
      <c r="E112" s="4">
        <v>13</v>
      </c>
      <c r="F112" s="4" t="s">
        <v>30</v>
      </c>
      <c r="G112" t="s">
        <v>32</v>
      </c>
      <c r="H112" s="4">
        <v>204</v>
      </c>
      <c r="I112" s="4">
        <v>4</v>
      </c>
      <c r="J112" s="44">
        <v>45499</v>
      </c>
      <c r="K112">
        <v>6.4</v>
      </c>
      <c r="L112">
        <v>5.8</v>
      </c>
      <c r="M112">
        <v>6.3</v>
      </c>
      <c r="N112" s="43">
        <f t="shared" si="1"/>
        <v>6.166666666666667</v>
      </c>
    </row>
    <row r="113" spans="1:14" x14ac:dyDescent="0.25">
      <c r="A113" s="4">
        <v>1</v>
      </c>
      <c r="B113" s="4">
        <v>4</v>
      </c>
      <c r="C113" s="4">
        <v>2</v>
      </c>
      <c r="D113" s="4">
        <v>16</v>
      </c>
      <c r="E113" s="4">
        <v>4</v>
      </c>
      <c r="F113" s="4" t="s">
        <v>30</v>
      </c>
      <c r="G113" t="s">
        <v>28</v>
      </c>
      <c r="H113" s="4">
        <v>104</v>
      </c>
      <c r="I113" s="4">
        <v>4</v>
      </c>
      <c r="J113" s="44">
        <v>45499</v>
      </c>
      <c r="K113">
        <v>6</v>
      </c>
      <c r="L113">
        <v>5.4</v>
      </c>
      <c r="M113">
        <v>6.1</v>
      </c>
      <c r="N113" s="43">
        <f t="shared" si="1"/>
        <v>5.833333333333333</v>
      </c>
    </row>
    <row r="114" spans="1:14" x14ac:dyDescent="0.25">
      <c r="A114" s="4">
        <v>1</v>
      </c>
      <c r="B114" s="4">
        <v>5</v>
      </c>
      <c r="C114" s="4">
        <v>3</v>
      </c>
      <c r="D114" s="4">
        <v>17</v>
      </c>
      <c r="E114" s="4">
        <v>5</v>
      </c>
      <c r="F114" s="4" t="s">
        <v>25</v>
      </c>
      <c r="G114" t="s">
        <v>28</v>
      </c>
      <c r="H114" s="4">
        <v>105</v>
      </c>
      <c r="I114" s="4">
        <v>4</v>
      </c>
      <c r="J114" s="38">
        <v>45468</v>
      </c>
      <c r="K114">
        <v>7.1</v>
      </c>
      <c r="L114">
        <v>6.8</v>
      </c>
      <c r="M114">
        <v>6.7</v>
      </c>
      <c r="N114" s="43">
        <f t="shared" si="1"/>
        <v>6.8666666666666663</v>
      </c>
    </row>
    <row r="115" spans="1:14" x14ac:dyDescent="0.25">
      <c r="A115" s="4">
        <v>2</v>
      </c>
      <c r="B115" s="4">
        <v>5</v>
      </c>
      <c r="C115" s="4">
        <v>3</v>
      </c>
      <c r="D115" s="4">
        <v>18</v>
      </c>
      <c r="E115" s="4">
        <v>12</v>
      </c>
      <c r="F115" s="4" t="s">
        <v>25</v>
      </c>
      <c r="G115" t="s">
        <v>26</v>
      </c>
      <c r="H115" s="4">
        <v>205</v>
      </c>
      <c r="I115" s="4">
        <v>4</v>
      </c>
      <c r="J115" s="38">
        <v>45468</v>
      </c>
      <c r="K115">
        <v>6.7</v>
      </c>
      <c r="L115">
        <v>6.6</v>
      </c>
      <c r="M115">
        <v>6.2</v>
      </c>
      <c r="N115" s="43">
        <f t="shared" si="1"/>
        <v>6.5</v>
      </c>
    </row>
    <row r="116" spans="1:14" x14ac:dyDescent="0.25">
      <c r="A116" s="4">
        <v>3</v>
      </c>
      <c r="B116" s="4">
        <v>5</v>
      </c>
      <c r="C116" s="4">
        <v>3</v>
      </c>
      <c r="D116" s="4">
        <v>19</v>
      </c>
      <c r="E116" s="4">
        <v>21</v>
      </c>
      <c r="F116" s="4" t="s">
        <v>25</v>
      </c>
      <c r="G116" t="s">
        <v>29</v>
      </c>
      <c r="H116" s="4">
        <v>305</v>
      </c>
      <c r="I116" s="4">
        <v>4</v>
      </c>
      <c r="J116" s="38">
        <v>45468</v>
      </c>
      <c r="K116">
        <v>6.4</v>
      </c>
      <c r="L116">
        <v>6.8</v>
      </c>
      <c r="M116">
        <v>7.3</v>
      </c>
      <c r="N116" s="43">
        <f t="shared" si="1"/>
        <v>6.833333333333333</v>
      </c>
    </row>
    <row r="117" spans="1:14" x14ac:dyDescent="0.25">
      <c r="A117" s="4">
        <v>4</v>
      </c>
      <c r="B117" s="4">
        <v>5</v>
      </c>
      <c r="C117" s="4">
        <v>3</v>
      </c>
      <c r="D117" s="4">
        <v>20</v>
      </c>
      <c r="E117" s="4">
        <v>28</v>
      </c>
      <c r="F117" s="4" t="s">
        <v>25</v>
      </c>
      <c r="G117" t="s">
        <v>27</v>
      </c>
      <c r="H117" s="4">
        <v>405</v>
      </c>
      <c r="I117" s="4">
        <v>4</v>
      </c>
      <c r="J117" s="38">
        <v>45468</v>
      </c>
      <c r="K117" s="54">
        <v>6.4</v>
      </c>
      <c r="L117" s="54">
        <v>6.5</v>
      </c>
      <c r="M117" s="54">
        <v>7.1</v>
      </c>
      <c r="N117" s="43">
        <f t="shared" si="1"/>
        <v>6.666666666666667</v>
      </c>
    </row>
    <row r="118" spans="1:14" x14ac:dyDescent="0.25">
      <c r="A118" s="4">
        <v>4</v>
      </c>
      <c r="B118" s="4">
        <v>6</v>
      </c>
      <c r="C118" s="4">
        <v>3</v>
      </c>
      <c r="D118" s="4">
        <v>21</v>
      </c>
      <c r="E118" s="4">
        <v>27</v>
      </c>
      <c r="F118" s="4" t="s">
        <v>30</v>
      </c>
      <c r="G118" t="s">
        <v>28</v>
      </c>
      <c r="H118" s="4">
        <v>406</v>
      </c>
      <c r="I118" s="4">
        <v>4</v>
      </c>
      <c r="J118" s="44">
        <v>45499</v>
      </c>
      <c r="K118">
        <v>6.1</v>
      </c>
      <c r="L118">
        <v>5.7</v>
      </c>
      <c r="M118">
        <v>5.8</v>
      </c>
      <c r="N118" s="43">
        <f t="shared" si="1"/>
        <v>5.8666666666666671</v>
      </c>
    </row>
    <row r="119" spans="1:14" x14ac:dyDescent="0.25">
      <c r="A119" s="4">
        <v>3</v>
      </c>
      <c r="B119" s="4">
        <v>6</v>
      </c>
      <c r="C119" s="4">
        <v>3</v>
      </c>
      <c r="D119" s="4">
        <v>22</v>
      </c>
      <c r="E119" s="4">
        <v>22</v>
      </c>
      <c r="F119" s="4" t="s">
        <v>30</v>
      </c>
      <c r="G119" t="s">
        <v>32</v>
      </c>
      <c r="H119" s="4">
        <v>306</v>
      </c>
      <c r="I119" s="4">
        <v>4</v>
      </c>
      <c r="J119" s="44">
        <v>45499</v>
      </c>
      <c r="K119">
        <v>6.3</v>
      </c>
      <c r="L119">
        <v>6.5</v>
      </c>
      <c r="M119">
        <v>6.6</v>
      </c>
      <c r="N119" s="43">
        <f t="shared" si="1"/>
        <v>6.4666666666666659</v>
      </c>
    </row>
    <row r="120" spans="1:14" x14ac:dyDescent="0.25">
      <c r="A120" s="4">
        <v>2</v>
      </c>
      <c r="B120" s="4">
        <v>6</v>
      </c>
      <c r="C120" s="4">
        <v>3</v>
      </c>
      <c r="D120" s="4">
        <v>23</v>
      </c>
      <c r="E120" s="4">
        <v>11</v>
      </c>
      <c r="F120" s="4" t="s">
        <v>30</v>
      </c>
      <c r="G120" t="s">
        <v>31</v>
      </c>
      <c r="H120" s="4">
        <v>206</v>
      </c>
      <c r="I120" s="4">
        <v>4</v>
      </c>
      <c r="J120" s="44">
        <v>45499</v>
      </c>
      <c r="K120">
        <v>5.6</v>
      </c>
      <c r="L120">
        <v>5.4</v>
      </c>
      <c r="M120">
        <v>5.4</v>
      </c>
      <c r="N120" s="43">
        <f t="shared" si="1"/>
        <v>5.4666666666666659</v>
      </c>
    </row>
    <row r="121" spans="1:14" x14ac:dyDescent="0.25">
      <c r="A121" s="4">
        <v>1</v>
      </c>
      <c r="B121" s="4">
        <v>6</v>
      </c>
      <c r="C121" s="4">
        <v>3</v>
      </c>
      <c r="D121" s="4">
        <v>24</v>
      </c>
      <c r="E121" s="4">
        <v>6</v>
      </c>
      <c r="F121" s="4" t="s">
        <v>30</v>
      </c>
      <c r="G121" t="s">
        <v>29</v>
      </c>
      <c r="H121" s="4">
        <v>106</v>
      </c>
      <c r="I121" s="4">
        <v>4</v>
      </c>
      <c r="J121" s="44">
        <v>45499</v>
      </c>
      <c r="K121">
        <v>6.4</v>
      </c>
      <c r="L121">
        <v>6.4</v>
      </c>
      <c r="M121">
        <v>5.8</v>
      </c>
      <c r="N121" s="43">
        <f t="shared" si="1"/>
        <v>6.2</v>
      </c>
    </row>
    <row r="122" spans="1:14" x14ac:dyDescent="0.25">
      <c r="A122" s="4">
        <v>1</v>
      </c>
      <c r="B122" s="4">
        <v>7</v>
      </c>
      <c r="C122" s="4">
        <v>4</v>
      </c>
      <c r="D122" s="4">
        <v>25</v>
      </c>
      <c r="E122" s="4">
        <v>7</v>
      </c>
      <c r="F122" s="4" t="s">
        <v>25</v>
      </c>
      <c r="G122" t="s">
        <v>29</v>
      </c>
      <c r="H122" s="4">
        <v>107</v>
      </c>
      <c r="I122" s="4">
        <v>4</v>
      </c>
      <c r="J122" s="38">
        <v>45468</v>
      </c>
      <c r="K122">
        <v>7.6</v>
      </c>
      <c r="L122">
        <v>7.6</v>
      </c>
      <c r="M122">
        <v>6.8</v>
      </c>
      <c r="N122" s="43">
        <f t="shared" si="1"/>
        <v>7.333333333333333</v>
      </c>
    </row>
    <row r="123" spans="1:14" x14ac:dyDescent="0.25">
      <c r="A123" s="4">
        <v>2</v>
      </c>
      <c r="B123" s="4">
        <v>7</v>
      </c>
      <c r="C123" s="4">
        <v>4</v>
      </c>
      <c r="D123" s="4">
        <v>26</v>
      </c>
      <c r="E123" s="4">
        <v>10</v>
      </c>
      <c r="F123" s="4" t="s">
        <v>25</v>
      </c>
      <c r="G123" t="s">
        <v>28</v>
      </c>
      <c r="H123" s="4">
        <v>207</v>
      </c>
      <c r="I123" s="4">
        <v>4</v>
      </c>
      <c r="J123" s="38">
        <v>45468</v>
      </c>
      <c r="K123">
        <v>7.3</v>
      </c>
      <c r="L123">
        <v>7</v>
      </c>
      <c r="M123">
        <v>6.6</v>
      </c>
      <c r="N123" s="43">
        <f t="shared" si="1"/>
        <v>6.9666666666666659</v>
      </c>
    </row>
    <row r="124" spans="1:14" x14ac:dyDescent="0.25">
      <c r="A124" s="4">
        <v>3</v>
      </c>
      <c r="B124" s="4">
        <v>7</v>
      </c>
      <c r="C124" s="4">
        <v>4</v>
      </c>
      <c r="D124" s="4">
        <v>27</v>
      </c>
      <c r="E124" s="4">
        <v>23</v>
      </c>
      <c r="F124" s="4" t="s">
        <v>25</v>
      </c>
      <c r="G124" t="s">
        <v>27</v>
      </c>
      <c r="H124" s="4">
        <v>307</v>
      </c>
      <c r="I124" s="4">
        <v>4</v>
      </c>
      <c r="J124" s="38">
        <v>45468</v>
      </c>
      <c r="K124">
        <v>7.1</v>
      </c>
      <c r="L124">
        <v>6.7</v>
      </c>
      <c r="M124">
        <v>6.7</v>
      </c>
      <c r="N124" s="43">
        <f t="shared" si="1"/>
        <v>6.833333333333333</v>
      </c>
    </row>
    <row r="125" spans="1:14" x14ac:dyDescent="0.25">
      <c r="A125" s="4">
        <v>4</v>
      </c>
      <c r="B125" s="4">
        <v>7</v>
      </c>
      <c r="C125" s="4">
        <v>4</v>
      </c>
      <c r="D125" s="4">
        <v>28</v>
      </c>
      <c r="E125" s="4">
        <v>26</v>
      </c>
      <c r="F125" s="4" t="s">
        <v>25</v>
      </c>
      <c r="G125" t="s">
        <v>26</v>
      </c>
      <c r="H125" s="4">
        <v>407</v>
      </c>
      <c r="I125" s="4">
        <v>4</v>
      </c>
      <c r="J125" s="38">
        <v>45468</v>
      </c>
      <c r="K125">
        <v>6.5</v>
      </c>
      <c r="L125">
        <v>6.4</v>
      </c>
      <c r="M125">
        <v>6.7</v>
      </c>
      <c r="N125" s="43">
        <f t="shared" si="1"/>
        <v>6.5333333333333341</v>
      </c>
    </row>
    <row r="126" spans="1:14" x14ac:dyDescent="0.25">
      <c r="A126" s="4">
        <v>4</v>
      </c>
      <c r="B126" s="4">
        <v>8</v>
      </c>
      <c r="C126" s="4">
        <v>4</v>
      </c>
      <c r="D126" s="4">
        <v>29</v>
      </c>
      <c r="E126" s="4">
        <v>25</v>
      </c>
      <c r="F126" s="4" t="s">
        <v>30</v>
      </c>
      <c r="G126" t="s">
        <v>31</v>
      </c>
      <c r="H126" s="4">
        <v>408</v>
      </c>
      <c r="I126" s="4">
        <v>4</v>
      </c>
      <c r="J126" s="44">
        <v>45499</v>
      </c>
      <c r="K126">
        <v>5.6</v>
      </c>
      <c r="L126">
        <v>5.5</v>
      </c>
      <c r="M126">
        <v>5.5</v>
      </c>
      <c r="N126" s="43">
        <f t="shared" si="1"/>
        <v>5.5333333333333341</v>
      </c>
    </row>
    <row r="127" spans="1:14" x14ac:dyDescent="0.25">
      <c r="A127" s="4">
        <v>3</v>
      </c>
      <c r="B127" s="4">
        <v>8</v>
      </c>
      <c r="C127" s="4">
        <v>4</v>
      </c>
      <c r="D127" s="4">
        <v>30</v>
      </c>
      <c r="E127" s="4">
        <v>24</v>
      </c>
      <c r="F127" s="4" t="s">
        <v>30</v>
      </c>
      <c r="G127" t="s">
        <v>28</v>
      </c>
      <c r="H127" s="4">
        <v>308</v>
      </c>
      <c r="I127" s="4">
        <v>4</v>
      </c>
      <c r="J127" s="44">
        <v>45499</v>
      </c>
      <c r="K127">
        <v>5.6</v>
      </c>
      <c r="L127">
        <v>6.2</v>
      </c>
      <c r="M127">
        <v>6.1</v>
      </c>
      <c r="N127" s="43">
        <f t="shared" si="1"/>
        <v>5.9666666666666659</v>
      </c>
    </row>
    <row r="128" spans="1:14" x14ac:dyDescent="0.25">
      <c r="A128" s="4">
        <v>2</v>
      </c>
      <c r="B128" s="4">
        <v>8</v>
      </c>
      <c r="C128" s="4">
        <v>4</v>
      </c>
      <c r="D128" s="4">
        <v>31</v>
      </c>
      <c r="E128" s="4">
        <v>9</v>
      </c>
      <c r="F128" s="4" t="s">
        <v>30</v>
      </c>
      <c r="G128" t="s">
        <v>29</v>
      </c>
      <c r="H128" s="4">
        <v>208</v>
      </c>
      <c r="I128" s="4">
        <v>4</v>
      </c>
      <c r="J128" s="44">
        <v>45499</v>
      </c>
      <c r="K128">
        <v>6.3</v>
      </c>
      <c r="L128">
        <v>5.9</v>
      </c>
      <c r="M128">
        <v>6.1</v>
      </c>
      <c r="N128" s="43">
        <f t="shared" si="1"/>
        <v>6.0999999999999988</v>
      </c>
    </row>
    <row r="129" spans="1:14" x14ac:dyDescent="0.25">
      <c r="A129" s="4">
        <v>1</v>
      </c>
      <c r="B129" s="4">
        <v>8</v>
      </c>
      <c r="C129" s="4">
        <v>4</v>
      </c>
      <c r="D129" s="4">
        <v>32</v>
      </c>
      <c r="E129" s="4">
        <v>8</v>
      </c>
      <c r="F129" s="4" t="s">
        <v>30</v>
      </c>
      <c r="G129" t="s">
        <v>32</v>
      </c>
      <c r="H129" s="4">
        <v>108</v>
      </c>
      <c r="I129" s="4">
        <v>4</v>
      </c>
      <c r="J129" s="44">
        <v>45499</v>
      </c>
      <c r="K129">
        <v>6.8</v>
      </c>
      <c r="L129">
        <v>6.5</v>
      </c>
      <c r="M129">
        <v>6.6</v>
      </c>
      <c r="N129" s="43">
        <f t="shared" si="1"/>
        <v>6.6333333333333329</v>
      </c>
    </row>
    <row r="130" spans="1:14" x14ac:dyDescent="0.25">
      <c r="A130" s="4">
        <v>1</v>
      </c>
      <c r="B130" s="4">
        <v>1</v>
      </c>
      <c r="C130" s="4">
        <v>1</v>
      </c>
      <c r="D130" s="4">
        <v>1</v>
      </c>
      <c r="E130" s="4">
        <v>1</v>
      </c>
      <c r="F130" s="4" t="s">
        <v>25</v>
      </c>
      <c r="G130" t="s">
        <v>26</v>
      </c>
      <c r="H130" s="4">
        <v>101</v>
      </c>
      <c r="I130" s="4">
        <v>5</v>
      </c>
      <c r="J130" s="38">
        <v>45483</v>
      </c>
      <c r="K130">
        <v>7.7</v>
      </c>
      <c r="L130">
        <v>7.3</v>
      </c>
      <c r="M130">
        <v>7.3</v>
      </c>
      <c r="N130" s="43">
        <f t="shared" si="1"/>
        <v>7.4333333333333336</v>
      </c>
    </row>
    <row r="131" spans="1:14" x14ac:dyDescent="0.25">
      <c r="A131" s="4">
        <v>2</v>
      </c>
      <c r="B131" s="4">
        <v>1</v>
      </c>
      <c r="C131" s="4">
        <v>1</v>
      </c>
      <c r="D131" s="4">
        <v>2</v>
      </c>
      <c r="E131" s="4">
        <v>16</v>
      </c>
      <c r="F131" s="4" t="s">
        <v>25</v>
      </c>
      <c r="G131" t="s">
        <v>27</v>
      </c>
      <c r="H131" s="4">
        <v>201</v>
      </c>
      <c r="I131" s="4">
        <v>5</v>
      </c>
      <c r="J131" s="38">
        <v>45483</v>
      </c>
      <c r="K131">
        <v>8</v>
      </c>
      <c r="L131">
        <v>7.8</v>
      </c>
      <c r="M131">
        <v>7.4</v>
      </c>
      <c r="N131" s="43">
        <f t="shared" ref="N131:N194" si="2">AVERAGE(K131:M131)</f>
        <v>7.7333333333333343</v>
      </c>
    </row>
    <row r="132" spans="1:14" x14ac:dyDescent="0.25">
      <c r="A132" s="4">
        <v>3</v>
      </c>
      <c r="B132" s="4">
        <v>1</v>
      </c>
      <c r="C132" s="4">
        <v>1</v>
      </c>
      <c r="D132" s="4">
        <v>3</v>
      </c>
      <c r="E132" s="4">
        <v>17</v>
      </c>
      <c r="F132" s="4" t="s">
        <v>25</v>
      </c>
      <c r="G132" t="s">
        <v>28</v>
      </c>
      <c r="H132" s="4">
        <v>301</v>
      </c>
      <c r="I132" s="4">
        <v>5</v>
      </c>
      <c r="J132" s="38">
        <v>45483</v>
      </c>
      <c r="K132">
        <v>7.9</v>
      </c>
      <c r="L132">
        <v>7.9</v>
      </c>
      <c r="M132">
        <v>7.8</v>
      </c>
      <c r="N132" s="43">
        <f t="shared" si="2"/>
        <v>7.8666666666666671</v>
      </c>
    </row>
    <row r="133" spans="1:14" x14ac:dyDescent="0.25">
      <c r="A133" s="4">
        <v>4</v>
      </c>
      <c r="B133" s="4">
        <v>1</v>
      </c>
      <c r="C133" s="4">
        <v>1</v>
      </c>
      <c r="D133" s="4">
        <v>4</v>
      </c>
      <c r="E133" s="4">
        <v>32</v>
      </c>
      <c r="F133" s="4" t="s">
        <v>25</v>
      </c>
      <c r="G133" t="s">
        <v>29</v>
      </c>
      <c r="H133" s="4">
        <v>401</v>
      </c>
      <c r="I133" s="4">
        <v>5</v>
      </c>
      <c r="J133" s="38">
        <v>45483</v>
      </c>
      <c r="K133">
        <v>7.8</v>
      </c>
      <c r="L133">
        <v>7.4</v>
      </c>
      <c r="M133">
        <v>8.1999999999999993</v>
      </c>
      <c r="N133" s="43">
        <f t="shared" si="2"/>
        <v>7.8</v>
      </c>
    </row>
    <row r="134" spans="1:14" x14ac:dyDescent="0.25">
      <c r="A134" s="4">
        <v>4</v>
      </c>
      <c r="B134" s="4">
        <v>2</v>
      </c>
      <c r="C134" s="4">
        <v>1</v>
      </c>
      <c r="D134" s="4">
        <v>5</v>
      </c>
      <c r="E134" s="4">
        <v>31</v>
      </c>
      <c r="F134" s="4" t="s">
        <v>30</v>
      </c>
      <c r="G134" t="s">
        <v>32</v>
      </c>
      <c r="H134" s="4">
        <v>402</v>
      </c>
      <c r="I134" s="4">
        <v>5</v>
      </c>
      <c r="J134" s="44">
        <v>45513</v>
      </c>
      <c r="K134">
        <v>7.5</v>
      </c>
      <c r="L134">
        <v>7.5</v>
      </c>
      <c r="M134">
        <v>7.4</v>
      </c>
      <c r="N134" s="43">
        <f t="shared" si="2"/>
        <v>7.4666666666666659</v>
      </c>
    </row>
    <row r="135" spans="1:14" x14ac:dyDescent="0.25">
      <c r="A135" s="4">
        <v>3</v>
      </c>
      <c r="B135" s="4">
        <v>2</v>
      </c>
      <c r="C135" s="4">
        <v>1</v>
      </c>
      <c r="D135" s="4">
        <v>6</v>
      </c>
      <c r="E135" s="4">
        <v>18</v>
      </c>
      <c r="F135" s="4" t="s">
        <v>30</v>
      </c>
      <c r="G135" t="s">
        <v>29</v>
      </c>
      <c r="H135" s="4">
        <v>302</v>
      </c>
      <c r="I135" s="4">
        <v>5</v>
      </c>
      <c r="J135" s="44">
        <v>45513</v>
      </c>
      <c r="K135">
        <v>6.9</v>
      </c>
      <c r="L135">
        <v>7.1</v>
      </c>
      <c r="M135">
        <v>7.2</v>
      </c>
      <c r="N135" s="43">
        <f t="shared" si="2"/>
        <v>7.0666666666666664</v>
      </c>
    </row>
    <row r="136" spans="1:14" x14ac:dyDescent="0.25">
      <c r="A136" s="4">
        <v>2</v>
      </c>
      <c r="B136" s="4">
        <v>2</v>
      </c>
      <c r="C136" s="4">
        <v>1</v>
      </c>
      <c r="D136" s="4">
        <v>7</v>
      </c>
      <c r="E136" s="4">
        <v>15</v>
      </c>
      <c r="F136" s="4" t="s">
        <v>30</v>
      </c>
      <c r="G136" t="s">
        <v>28</v>
      </c>
      <c r="H136" s="4">
        <v>202</v>
      </c>
      <c r="I136" s="4">
        <v>5</v>
      </c>
      <c r="J136" s="44">
        <v>45513</v>
      </c>
      <c r="K136">
        <v>6.6</v>
      </c>
      <c r="L136">
        <v>7</v>
      </c>
      <c r="M136">
        <v>6.5</v>
      </c>
      <c r="N136" s="43">
        <f t="shared" si="2"/>
        <v>6.7</v>
      </c>
    </row>
    <row r="137" spans="1:14" x14ac:dyDescent="0.25">
      <c r="A137" s="4">
        <v>1</v>
      </c>
      <c r="B137" s="4">
        <v>2</v>
      </c>
      <c r="C137" s="4">
        <v>1</v>
      </c>
      <c r="D137" s="4">
        <v>8</v>
      </c>
      <c r="E137" s="4">
        <v>2</v>
      </c>
      <c r="F137" s="4" t="s">
        <v>30</v>
      </c>
      <c r="G137" t="s">
        <v>31</v>
      </c>
      <c r="H137" s="4">
        <v>102</v>
      </c>
      <c r="I137" s="4">
        <v>5</v>
      </c>
      <c r="J137" s="44">
        <v>45513</v>
      </c>
      <c r="K137">
        <v>7.2</v>
      </c>
      <c r="L137">
        <v>7.1</v>
      </c>
      <c r="M137">
        <v>6.7</v>
      </c>
      <c r="N137" s="43">
        <f t="shared" si="2"/>
        <v>7</v>
      </c>
    </row>
    <row r="138" spans="1:14" x14ac:dyDescent="0.25">
      <c r="A138" s="4">
        <v>1</v>
      </c>
      <c r="B138" s="4">
        <v>3</v>
      </c>
      <c r="C138" s="4">
        <v>2</v>
      </c>
      <c r="D138" s="4">
        <v>9</v>
      </c>
      <c r="E138" s="4">
        <v>3</v>
      </c>
      <c r="F138" s="4" t="s">
        <v>25</v>
      </c>
      <c r="G138" t="s">
        <v>27</v>
      </c>
      <c r="H138" s="4">
        <v>103</v>
      </c>
      <c r="I138" s="4">
        <v>5</v>
      </c>
      <c r="J138" s="38">
        <v>45483</v>
      </c>
      <c r="K138">
        <v>8</v>
      </c>
      <c r="L138">
        <v>7.3</v>
      </c>
      <c r="M138">
        <v>7.4</v>
      </c>
      <c r="N138" s="43">
        <f t="shared" si="2"/>
        <v>7.5666666666666673</v>
      </c>
    </row>
    <row r="139" spans="1:14" x14ac:dyDescent="0.25">
      <c r="A139" s="4">
        <v>2</v>
      </c>
      <c r="B139" s="4">
        <v>3</v>
      </c>
      <c r="C139" s="4">
        <v>2</v>
      </c>
      <c r="D139" s="4">
        <v>10</v>
      </c>
      <c r="E139" s="4">
        <v>14</v>
      </c>
      <c r="F139" s="4" t="s">
        <v>25</v>
      </c>
      <c r="G139" t="s">
        <v>29</v>
      </c>
      <c r="H139" s="4">
        <v>203</v>
      </c>
      <c r="I139" s="4">
        <v>5</v>
      </c>
      <c r="J139" s="38">
        <v>45483</v>
      </c>
      <c r="K139">
        <v>8.3000000000000007</v>
      </c>
      <c r="L139">
        <v>7.8</v>
      </c>
      <c r="M139">
        <v>7.7</v>
      </c>
      <c r="N139" s="43">
        <f t="shared" si="2"/>
        <v>7.9333333333333336</v>
      </c>
    </row>
    <row r="140" spans="1:14" x14ac:dyDescent="0.25">
      <c r="A140" s="4">
        <v>3</v>
      </c>
      <c r="B140" s="4">
        <v>3</v>
      </c>
      <c r="C140" s="4">
        <v>2</v>
      </c>
      <c r="D140" s="4">
        <v>11</v>
      </c>
      <c r="E140" s="4">
        <v>19</v>
      </c>
      <c r="F140" s="4" t="s">
        <v>25</v>
      </c>
      <c r="G140" t="s">
        <v>26</v>
      </c>
      <c r="H140" s="4">
        <v>303</v>
      </c>
      <c r="I140" s="4">
        <v>5</v>
      </c>
      <c r="J140" s="38">
        <v>45483</v>
      </c>
      <c r="K140">
        <v>8</v>
      </c>
      <c r="L140">
        <v>7.3</v>
      </c>
      <c r="M140">
        <v>7.6</v>
      </c>
      <c r="N140" s="43">
        <f t="shared" si="2"/>
        <v>7.6333333333333329</v>
      </c>
    </row>
    <row r="141" spans="1:14" x14ac:dyDescent="0.25">
      <c r="A141" s="4">
        <v>4</v>
      </c>
      <c r="B141" s="4">
        <v>3</v>
      </c>
      <c r="C141" s="4">
        <v>2</v>
      </c>
      <c r="D141" s="4">
        <v>12</v>
      </c>
      <c r="E141" s="4">
        <v>30</v>
      </c>
      <c r="F141" s="4" t="s">
        <v>25</v>
      </c>
      <c r="G141" t="s">
        <v>28</v>
      </c>
      <c r="H141" s="4">
        <v>403</v>
      </c>
      <c r="I141" s="4">
        <v>5</v>
      </c>
      <c r="J141" s="38">
        <v>45483</v>
      </c>
      <c r="K141">
        <v>7.7</v>
      </c>
      <c r="L141">
        <v>7.8</v>
      </c>
      <c r="M141">
        <v>7.1</v>
      </c>
      <c r="N141" s="43">
        <f t="shared" si="2"/>
        <v>7.5333333333333341</v>
      </c>
    </row>
    <row r="142" spans="1:14" x14ac:dyDescent="0.25">
      <c r="A142" s="4">
        <v>4</v>
      </c>
      <c r="B142" s="4">
        <v>4</v>
      </c>
      <c r="C142" s="4">
        <v>2</v>
      </c>
      <c r="D142" s="4">
        <v>13</v>
      </c>
      <c r="E142" s="4">
        <v>29</v>
      </c>
      <c r="F142" s="4" t="s">
        <v>30</v>
      </c>
      <c r="G142" t="s">
        <v>29</v>
      </c>
      <c r="H142" s="4">
        <v>404</v>
      </c>
      <c r="I142" s="4">
        <v>5</v>
      </c>
      <c r="J142" s="44">
        <v>45513</v>
      </c>
      <c r="K142">
        <v>7.2</v>
      </c>
      <c r="L142">
        <v>6.8</v>
      </c>
      <c r="M142">
        <v>6.8</v>
      </c>
      <c r="N142" s="43">
        <f t="shared" si="2"/>
        <v>6.9333333333333336</v>
      </c>
    </row>
    <row r="143" spans="1:14" x14ac:dyDescent="0.25">
      <c r="A143" s="4">
        <v>3</v>
      </c>
      <c r="B143" s="4">
        <v>4</v>
      </c>
      <c r="C143" s="4">
        <v>2</v>
      </c>
      <c r="D143" s="4">
        <v>14</v>
      </c>
      <c r="E143" s="4">
        <v>20</v>
      </c>
      <c r="F143" s="4" t="s">
        <v>30</v>
      </c>
      <c r="G143" t="s">
        <v>31</v>
      </c>
      <c r="H143" s="4">
        <v>304</v>
      </c>
      <c r="I143" s="4">
        <v>5</v>
      </c>
      <c r="J143" s="44">
        <v>45513</v>
      </c>
      <c r="K143">
        <v>6.6</v>
      </c>
      <c r="L143">
        <v>6.5</v>
      </c>
      <c r="M143">
        <v>6.7</v>
      </c>
      <c r="N143" s="43">
        <f t="shared" si="2"/>
        <v>6.6000000000000005</v>
      </c>
    </row>
    <row r="144" spans="1:14" x14ac:dyDescent="0.25">
      <c r="A144" s="4">
        <v>2</v>
      </c>
      <c r="B144" s="4">
        <v>4</v>
      </c>
      <c r="C144" s="4">
        <v>2</v>
      </c>
      <c r="D144" s="4">
        <v>15</v>
      </c>
      <c r="E144" s="4">
        <v>13</v>
      </c>
      <c r="F144" s="4" t="s">
        <v>30</v>
      </c>
      <c r="G144" t="s">
        <v>32</v>
      </c>
      <c r="H144" s="4">
        <v>204</v>
      </c>
      <c r="I144" s="4">
        <v>5</v>
      </c>
      <c r="J144" s="44">
        <v>45513</v>
      </c>
      <c r="K144">
        <v>7.6</v>
      </c>
      <c r="L144">
        <v>7</v>
      </c>
      <c r="M144">
        <v>7.4</v>
      </c>
      <c r="N144" s="43">
        <f t="shared" si="2"/>
        <v>7.333333333333333</v>
      </c>
    </row>
    <row r="145" spans="1:14" x14ac:dyDescent="0.25">
      <c r="A145" s="4">
        <v>1</v>
      </c>
      <c r="B145" s="4">
        <v>4</v>
      </c>
      <c r="C145" s="4">
        <v>2</v>
      </c>
      <c r="D145" s="4">
        <v>16</v>
      </c>
      <c r="E145" s="4">
        <v>4</v>
      </c>
      <c r="F145" s="4" t="s">
        <v>30</v>
      </c>
      <c r="G145" t="s">
        <v>28</v>
      </c>
      <c r="H145" s="4">
        <v>104</v>
      </c>
      <c r="I145" s="4">
        <v>5</v>
      </c>
      <c r="J145" s="44">
        <v>45513</v>
      </c>
      <c r="K145">
        <v>7.2</v>
      </c>
      <c r="L145">
        <v>6.9</v>
      </c>
      <c r="M145">
        <v>7.1</v>
      </c>
      <c r="N145" s="43">
        <f t="shared" si="2"/>
        <v>7.0666666666666673</v>
      </c>
    </row>
    <row r="146" spans="1:14" x14ac:dyDescent="0.25">
      <c r="A146" s="4">
        <v>1</v>
      </c>
      <c r="B146" s="4">
        <v>5</v>
      </c>
      <c r="C146" s="4">
        <v>3</v>
      </c>
      <c r="D146" s="4">
        <v>17</v>
      </c>
      <c r="E146" s="4">
        <v>5</v>
      </c>
      <c r="F146" s="4" t="s">
        <v>25</v>
      </c>
      <c r="G146" t="s">
        <v>28</v>
      </c>
      <c r="H146" s="4">
        <v>105</v>
      </c>
      <c r="I146" s="4">
        <v>5</v>
      </c>
      <c r="J146" s="38">
        <v>45483</v>
      </c>
      <c r="K146">
        <v>8.1</v>
      </c>
      <c r="L146">
        <v>7.7</v>
      </c>
      <c r="M146">
        <v>7.5</v>
      </c>
      <c r="N146" s="43">
        <f t="shared" si="2"/>
        <v>7.7666666666666666</v>
      </c>
    </row>
    <row r="147" spans="1:14" x14ac:dyDescent="0.25">
      <c r="A147" s="4">
        <v>2</v>
      </c>
      <c r="B147" s="4">
        <v>5</v>
      </c>
      <c r="C147" s="4">
        <v>3</v>
      </c>
      <c r="D147" s="4">
        <v>18</v>
      </c>
      <c r="E147" s="4">
        <v>12</v>
      </c>
      <c r="F147" s="4" t="s">
        <v>25</v>
      </c>
      <c r="G147" t="s">
        <v>26</v>
      </c>
      <c r="H147" s="4">
        <v>205</v>
      </c>
      <c r="I147" s="4">
        <v>5</v>
      </c>
      <c r="J147" s="38">
        <v>45483</v>
      </c>
      <c r="K147">
        <v>7.5</v>
      </c>
      <c r="L147">
        <v>7.4</v>
      </c>
      <c r="M147">
        <v>7.2</v>
      </c>
      <c r="N147" s="43">
        <f t="shared" si="2"/>
        <v>7.3666666666666671</v>
      </c>
    </row>
    <row r="148" spans="1:14" x14ac:dyDescent="0.25">
      <c r="A148" s="4">
        <v>3</v>
      </c>
      <c r="B148" s="4">
        <v>5</v>
      </c>
      <c r="C148" s="4">
        <v>3</v>
      </c>
      <c r="D148" s="4">
        <v>19</v>
      </c>
      <c r="E148" s="4">
        <v>21</v>
      </c>
      <c r="F148" s="4" t="s">
        <v>25</v>
      </c>
      <c r="G148" t="s">
        <v>29</v>
      </c>
      <c r="H148" s="4">
        <v>305</v>
      </c>
      <c r="I148" s="4">
        <v>5</v>
      </c>
      <c r="J148" s="38">
        <v>45483</v>
      </c>
      <c r="K148">
        <v>7.4</v>
      </c>
      <c r="L148">
        <v>7.7</v>
      </c>
      <c r="M148">
        <v>8.3000000000000007</v>
      </c>
      <c r="N148" s="43">
        <f t="shared" si="2"/>
        <v>7.8000000000000007</v>
      </c>
    </row>
    <row r="149" spans="1:14" x14ac:dyDescent="0.25">
      <c r="A149" s="4">
        <v>4</v>
      </c>
      <c r="B149" s="4">
        <v>5</v>
      </c>
      <c r="C149" s="4">
        <v>3</v>
      </c>
      <c r="D149" s="4">
        <v>20</v>
      </c>
      <c r="E149" s="4">
        <v>28</v>
      </c>
      <c r="F149" s="4" t="s">
        <v>25</v>
      </c>
      <c r="G149" t="s">
        <v>27</v>
      </c>
      <c r="H149" s="4">
        <v>405</v>
      </c>
      <c r="I149" s="4">
        <v>5</v>
      </c>
      <c r="J149" s="38">
        <v>45483</v>
      </c>
      <c r="K149">
        <v>7.4</v>
      </c>
      <c r="L149">
        <v>7.3</v>
      </c>
      <c r="M149">
        <v>8</v>
      </c>
      <c r="N149" s="43">
        <f t="shared" si="2"/>
        <v>7.5666666666666664</v>
      </c>
    </row>
    <row r="150" spans="1:14" x14ac:dyDescent="0.25">
      <c r="A150" s="4">
        <v>4</v>
      </c>
      <c r="B150" s="4">
        <v>6</v>
      </c>
      <c r="C150" s="4">
        <v>3</v>
      </c>
      <c r="D150" s="4">
        <v>21</v>
      </c>
      <c r="E150" s="4">
        <v>27</v>
      </c>
      <c r="F150" s="4" t="s">
        <v>30</v>
      </c>
      <c r="G150" t="s">
        <v>28</v>
      </c>
      <c r="H150" s="4">
        <v>406</v>
      </c>
      <c r="I150" s="4">
        <v>5</v>
      </c>
      <c r="J150" s="44">
        <v>45513</v>
      </c>
      <c r="K150">
        <v>6.9</v>
      </c>
      <c r="L150">
        <v>7.1</v>
      </c>
      <c r="M150">
        <v>6.6</v>
      </c>
      <c r="N150" s="43">
        <f t="shared" si="2"/>
        <v>6.8666666666666671</v>
      </c>
    </row>
    <row r="151" spans="1:14" x14ac:dyDescent="0.25">
      <c r="A151" s="4">
        <v>3</v>
      </c>
      <c r="B151" s="4">
        <v>6</v>
      </c>
      <c r="C151" s="4">
        <v>3</v>
      </c>
      <c r="D151" s="4">
        <v>22</v>
      </c>
      <c r="E151" s="4">
        <v>22</v>
      </c>
      <c r="F151" s="4" t="s">
        <v>30</v>
      </c>
      <c r="G151" t="s">
        <v>32</v>
      </c>
      <c r="H151" s="4">
        <v>306</v>
      </c>
      <c r="I151" s="4">
        <v>5</v>
      </c>
      <c r="J151" s="44">
        <v>45513</v>
      </c>
      <c r="K151">
        <v>7.7</v>
      </c>
      <c r="L151">
        <v>7.6</v>
      </c>
      <c r="M151">
        <v>7.4</v>
      </c>
      <c r="N151" s="43">
        <f t="shared" si="2"/>
        <v>7.5666666666666673</v>
      </c>
    </row>
    <row r="152" spans="1:14" x14ac:dyDescent="0.25">
      <c r="A152" s="4">
        <v>2</v>
      </c>
      <c r="B152" s="4">
        <v>6</v>
      </c>
      <c r="C152" s="4">
        <v>3</v>
      </c>
      <c r="D152" s="4">
        <v>23</v>
      </c>
      <c r="E152" s="4">
        <v>11</v>
      </c>
      <c r="F152" s="4" t="s">
        <v>30</v>
      </c>
      <c r="G152" t="s">
        <v>31</v>
      </c>
      <c r="H152" s="4">
        <v>206</v>
      </c>
      <c r="I152" s="4">
        <v>5</v>
      </c>
      <c r="J152" s="44">
        <v>45513</v>
      </c>
      <c r="K152">
        <v>6.5</v>
      </c>
      <c r="L152">
        <v>6.2</v>
      </c>
      <c r="M152">
        <v>6.8</v>
      </c>
      <c r="N152" s="43">
        <f t="shared" si="2"/>
        <v>6.5</v>
      </c>
    </row>
    <row r="153" spans="1:14" x14ac:dyDescent="0.25">
      <c r="A153" s="4">
        <v>1</v>
      </c>
      <c r="B153" s="4">
        <v>6</v>
      </c>
      <c r="C153" s="4">
        <v>3</v>
      </c>
      <c r="D153" s="4">
        <v>24</v>
      </c>
      <c r="E153" s="4">
        <v>6</v>
      </c>
      <c r="F153" s="4" t="s">
        <v>30</v>
      </c>
      <c r="G153" t="s">
        <v>29</v>
      </c>
      <c r="H153" s="4">
        <v>106</v>
      </c>
      <c r="I153" s="4">
        <v>5</v>
      </c>
      <c r="J153" s="44">
        <v>45513</v>
      </c>
      <c r="K153">
        <v>7.4</v>
      </c>
      <c r="L153">
        <v>7</v>
      </c>
      <c r="M153">
        <v>7.5</v>
      </c>
      <c r="N153" s="43">
        <f t="shared" si="2"/>
        <v>7.3</v>
      </c>
    </row>
    <row r="154" spans="1:14" x14ac:dyDescent="0.25">
      <c r="A154" s="4">
        <v>1</v>
      </c>
      <c r="B154" s="4">
        <v>7</v>
      </c>
      <c r="C154" s="4">
        <v>4</v>
      </c>
      <c r="D154" s="4">
        <v>25</v>
      </c>
      <c r="E154" s="4">
        <v>7</v>
      </c>
      <c r="F154" s="4" t="s">
        <v>25</v>
      </c>
      <c r="G154" t="s">
        <v>29</v>
      </c>
      <c r="H154" s="4">
        <v>107</v>
      </c>
      <c r="I154" s="4">
        <v>5</v>
      </c>
      <c r="J154" s="38">
        <v>45483</v>
      </c>
      <c r="K154">
        <v>8.6999999999999993</v>
      </c>
      <c r="L154">
        <v>8.6</v>
      </c>
      <c r="M154">
        <v>7.7</v>
      </c>
      <c r="N154" s="43">
        <f t="shared" si="2"/>
        <v>8.3333333333333321</v>
      </c>
    </row>
    <row r="155" spans="1:14" x14ac:dyDescent="0.25">
      <c r="A155" s="4">
        <v>2</v>
      </c>
      <c r="B155" s="4">
        <v>7</v>
      </c>
      <c r="C155" s="4">
        <v>4</v>
      </c>
      <c r="D155" s="4">
        <v>26</v>
      </c>
      <c r="E155" s="4">
        <v>10</v>
      </c>
      <c r="F155" s="4" t="s">
        <v>25</v>
      </c>
      <c r="G155" t="s">
        <v>28</v>
      </c>
      <c r="H155" s="4">
        <v>207</v>
      </c>
      <c r="I155" s="4">
        <v>5</v>
      </c>
      <c r="J155" s="38">
        <v>45483</v>
      </c>
      <c r="K155">
        <v>8.1</v>
      </c>
      <c r="L155">
        <v>8</v>
      </c>
      <c r="M155">
        <v>7.5</v>
      </c>
      <c r="N155" s="43">
        <f t="shared" si="2"/>
        <v>7.8666666666666671</v>
      </c>
    </row>
    <row r="156" spans="1:14" x14ac:dyDescent="0.25">
      <c r="A156" s="4">
        <v>3</v>
      </c>
      <c r="B156" s="4">
        <v>7</v>
      </c>
      <c r="C156" s="4">
        <v>4</v>
      </c>
      <c r="D156" s="4">
        <v>27</v>
      </c>
      <c r="E156" s="4">
        <v>23</v>
      </c>
      <c r="F156" s="4" t="s">
        <v>25</v>
      </c>
      <c r="G156" t="s">
        <v>27</v>
      </c>
      <c r="H156" s="4">
        <v>307</v>
      </c>
      <c r="I156" s="4">
        <v>5</v>
      </c>
      <c r="J156" s="38">
        <v>45483</v>
      </c>
      <c r="K156">
        <v>8.1999999999999993</v>
      </c>
      <c r="L156">
        <v>7.7</v>
      </c>
      <c r="M156">
        <v>7.6</v>
      </c>
      <c r="N156" s="43">
        <f t="shared" si="2"/>
        <v>7.833333333333333</v>
      </c>
    </row>
    <row r="157" spans="1:14" x14ac:dyDescent="0.25">
      <c r="A157" s="4">
        <v>4</v>
      </c>
      <c r="B157" s="4">
        <v>7</v>
      </c>
      <c r="C157" s="4">
        <v>4</v>
      </c>
      <c r="D157" s="4">
        <v>28</v>
      </c>
      <c r="E157" s="4">
        <v>26</v>
      </c>
      <c r="F157" s="4" t="s">
        <v>25</v>
      </c>
      <c r="G157" t="s">
        <v>26</v>
      </c>
      <c r="H157" s="4">
        <v>407</v>
      </c>
      <c r="I157" s="4">
        <v>5</v>
      </c>
      <c r="J157" s="38">
        <v>45483</v>
      </c>
      <c r="K157">
        <v>7.4</v>
      </c>
      <c r="L157">
        <v>7.3</v>
      </c>
      <c r="M157">
        <v>7.6</v>
      </c>
      <c r="N157" s="43">
        <f t="shared" si="2"/>
        <v>7.4333333333333327</v>
      </c>
    </row>
    <row r="158" spans="1:14" x14ac:dyDescent="0.25">
      <c r="A158" s="4">
        <v>4</v>
      </c>
      <c r="B158" s="4">
        <v>8</v>
      </c>
      <c r="C158" s="4">
        <v>4</v>
      </c>
      <c r="D158" s="4">
        <v>29</v>
      </c>
      <c r="E158" s="4">
        <v>25</v>
      </c>
      <c r="F158" s="4" t="s">
        <v>30</v>
      </c>
      <c r="G158" t="s">
        <v>31</v>
      </c>
      <c r="H158" s="4">
        <v>408</v>
      </c>
      <c r="I158" s="4">
        <v>5</v>
      </c>
      <c r="J158" s="44">
        <v>45513</v>
      </c>
      <c r="K158">
        <v>6.5</v>
      </c>
      <c r="L158">
        <v>6.5</v>
      </c>
      <c r="M158">
        <v>6.5</v>
      </c>
      <c r="N158" s="43">
        <f t="shared" si="2"/>
        <v>6.5</v>
      </c>
    </row>
    <row r="159" spans="1:14" x14ac:dyDescent="0.25">
      <c r="A159" s="4">
        <v>3</v>
      </c>
      <c r="B159" s="4">
        <v>8</v>
      </c>
      <c r="C159" s="4">
        <v>4</v>
      </c>
      <c r="D159" s="4">
        <v>30</v>
      </c>
      <c r="E159" s="4">
        <v>24</v>
      </c>
      <c r="F159" s="4" t="s">
        <v>30</v>
      </c>
      <c r="G159" t="s">
        <v>28</v>
      </c>
      <c r="H159" s="4">
        <v>308</v>
      </c>
      <c r="I159" s="4">
        <v>5</v>
      </c>
      <c r="J159" s="44">
        <v>45513</v>
      </c>
      <c r="K159">
        <v>6.7</v>
      </c>
      <c r="L159">
        <v>7.1</v>
      </c>
      <c r="M159">
        <v>7.1</v>
      </c>
      <c r="N159" s="43">
        <f t="shared" si="2"/>
        <v>6.9666666666666659</v>
      </c>
    </row>
    <row r="160" spans="1:14" x14ac:dyDescent="0.25">
      <c r="A160" s="4">
        <v>2</v>
      </c>
      <c r="B160" s="4">
        <v>8</v>
      </c>
      <c r="C160" s="4">
        <v>4</v>
      </c>
      <c r="D160" s="4">
        <v>31</v>
      </c>
      <c r="E160" s="4">
        <v>9</v>
      </c>
      <c r="F160" s="4" t="s">
        <v>30</v>
      </c>
      <c r="G160" t="s">
        <v>29</v>
      </c>
      <c r="H160" s="4">
        <v>208</v>
      </c>
      <c r="I160" s="4">
        <v>5</v>
      </c>
      <c r="J160" s="44">
        <v>45513</v>
      </c>
      <c r="K160">
        <v>6.9</v>
      </c>
      <c r="L160">
        <v>7.4</v>
      </c>
      <c r="M160">
        <v>7.1</v>
      </c>
      <c r="N160" s="43">
        <f t="shared" si="2"/>
        <v>7.1333333333333329</v>
      </c>
    </row>
    <row r="161" spans="1:14" x14ac:dyDescent="0.25">
      <c r="A161" s="4">
        <v>1</v>
      </c>
      <c r="B161" s="4">
        <v>8</v>
      </c>
      <c r="C161" s="4">
        <v>4</v>
      </c>
      <c r="D161" s="4">
        <v>32</v>
      </c>
      <c r="E161" s="4">
        <v>8</v>
      </c>
      <c r="F161" s="4" t="s">
        <v>30</v>
      </c>
      <c r="G161" t="s">
        <v>32</v>
      </c>
      <c r="H161" s="4">
        <v>108</v>
      </c>
      <c r="I161" s="4">
        <v>5</v>
      </c>
      <c r="J161" s="44">
        <v>45513</v>
      </c>
      <c r="K161">
        <v>7.5</v>
      </c>
      <c r="L161">
        <v>7.4</v>
      </c>
      <c r="M161">
        <v>7.8</v>
      </c>
      <c r="N161" s="43">
        <f t="shared" si="2"/>
        <v>7.5666666666666664</v>
      </c>
    </row>
    <row r="162" spans="1:14" x14ac:dyDescent="0.25">
      <c r="A162" s="4">
        <v>1</v>
      </c>
      <c r="B162" s="4">
        <v>1</v>
      </c>
      <c r="C162" s="4">
        <v>1</v>
      </c>
      <c r="D162" s="4">
        <v>1</v>
      </c>
      <c r="E162" s="4">
        <v>1</v>
      </c>
      <c r="F162" s="4" t="s">
        <v>25</v>
      </c>
      <c r="G162" t="s">
        <v>26</v>
      </c>
      <c r="H162" s="4">
        <v>101</v>
      </c>
      <c r="I162" s="4">
        <v>6</v>
      </c>
      <c r="J162" s="38">
        <v>45495</v>
      </c>
      <c r="K162">
        <v>8.4</v>
      </c>
      <c r="L162">
        <v>8.3000000000000007</v>
      </c>
      <c r="M162">
        <v>8.1</v>
      </c>
      <c r="N162" s="43">
        <f t="shared" si="2"/>
        <v>8.2666666666666675</v>
      </c>
    </row>
    <row r="163" spans="1:14" x14ac:dyDescent="0.25">
      <c r="A163" s="4">
        <v>2</v>
      </c>
      <c r="B163" s="4">
        <v>1</v>
      </c>
      <c r="C163" s="4">
        <v>1</v>
      </c>
      <c r="D163" s="4">
        <v>2</v>
      </c>
      <c r="E163" s="4">
        <v>16</v>
      </c>
      <c r="F163" s="4" t="s">
        <v>25</v>
      </c>
      <c r="G163" t="s">
        <v>27</v>
      </c>
      <c r="H163" s="4">
        <v>201</v>
      </c>
      <c r="I163" s="4">
        <v>6</v>
      </c>
      <c r="J163" s="38">
        <v>45495</v>
      </c>
      <c r="K163">
        <v>8.6999999999999993</v>
      </c>
      <c r="L163">
        <v>8.6999999999999993</v>
      </c>
      <c r="M163">
        <v>8.3000000000000007</v>
      </c>
      <c r="N163" s="43">
        <f t="shared" si="2"/>
        <v>8.5666666666666664</v>
      </c>
    </row>
    <row r="164" spans="1:14" x14ac:dyDescent="0.25">
      <c r="A164" s="4">
        <v>3</v>
      </c>
      <c r="B164" s="4">
        <v>1</v>
      </c>
      <c r="C164" s="4">
        <v>1</v>
      </c>
      <c r="D164" s="4">
        <v>3</v>
      </c>
      <c r="E164" s="4">
        <v>17</v>
      </c>
      <c r="F164" s="4" t="s">
        <v>25</v>
      </c>
      <c r="G164" t="s">
        <v>28</v>
      </c>
      <c r="H164" s="4">
        <v>301</v>
      </c>
      <c r="I164" s="4">
        <v>6</v>
      </c>
      <c r="J164" s="38">
        <v>45495</v>
      </c>
      <c r="K164">
        <v>8.8000000000000007</v>
      </c>
      <c r="L164">
        <v>8.6999999999999993</v>
      </c>
      <c r="M164">
        <v>8.6999999999999993</v>
      </c>
      <c r="N164" s="43">
        <f t="shared" si="2"/>
        <v>8.7333333333333325</v>
      </c>
    </row>
    <row r="165" spans="1:14" x14ac:dyDescent="0.25">
      <c r="A165" s="4">
        <v>4</v>
      </c>
      <c r="B165" s="4">
        <v>1</v>
      </c>
      <c r="C165" s="4">
        <v>1</v>
      </c>
      <c r="D165" s="4">
        <v>4</v>
      </c>
      <c r="E165" s="4">
        <v>32</v>
      </c>
      <c r="F165" s="4" t="s">
        <v>25</v>
      </c>
      <c r="G165" t="s">
        <v>29</v>
      </c>
      <c r="H165" s="4">
        <v>401</v>
      </c>
      <c r="I165" s="4">
        <v>6</v>
      </c>
      <c r="J165" s="38">
        <v>45495</v>
      </c>
      <c r="K165">
        <v>8.6999999999999993</v>
      </c>
      <c r="L165">
        <v>8.4</v>
      </c>
      <c r="M165">
        <v>9</v>
      </c>
      <c r="N165" s="43">
        <f t="shared" si="2"/>
        <v>8.7000000000000011</v>
      </c>
    </row>
    <row r="166" spans="1:14" x14ac:dyDescent="0.25">
      <c r="A166" s="4">
        <v>4</v>
      </c>
      <c r="B166" s="4">
        <v>2</v>
      </c>
      <c r="C166" s="4">
        <v>1</v>
      </c>
      <c r="D166" s="4">
        <v>5</v>
      </c>
      <c r="E166" s="4">
        <v>31</v>
      </c>
      <c r="F166" s="4" t="s">
        <v>30</v>
      </c>
      <c r="G166" t="s">
        <v>32</v>
      </c>
      <c r="H166" s="4">
        <v>402</v>
      </c>
      <c r="I166" s="4">
        <v>6</v>
      </c>
      <c r="J166" s="44">
        <v>45523</v>
      </c>
      <c r="K166">
        <v>8.6</v>
      </c>
      <c r="L166">
        <v>8.4</v>
      </c>
      <c r="M166">
        <v>8.6</v>
      </c>
      <c r="N166" s="43">
        <f t="shared" si="2"/>
        <v>8.5333333333333332</v>
      </c>
    </row>
    <row r="167" spans="1:14" x14ac:dyDescent="0.25">
      <c r="A167" s="4">
        <v>3</v>
      </c>
      <c r="B167" s="4">
        <v>2</v>
      </c>
      <c r="C167" s="4">
        <v>1</v>
      </c>
      <c r="D167" s="4">
        <v>6</v>
      </c>
      <c r="E167" s="4">
        <v>18</v>
      </c>
      <c r="F167" s="4" t="s">
        <v>30</v>
      </c>
      <c r="G167" t="s">
        <v>29</v>
      </c>
      <c r="H167" s="4">
        <v>302</v>
      </c>
      <c r="I167" s="4">
        <v>6</v>
      </c>
      <c r="J167" s="44">
        <v>45523</v>
      </c>
      <c r="K167">
        <v>8.3000000000000007</v>
      </c>
      <c r="L167">
        <v>8.1999999999999993</v>
      </c>
      <c r="M167">
        <v>8</v>
      </c>
      <c r="N167" s="43">
        <f t="shared" si="2"/>
        <v>8.1666666666666661</v>
      </c>
    </row>
    <row r="168" spans="1:14" x14ac:dyDescent="0.25">
      <c r="A168" s="4">
        <v>2</v>
      </c>
      <c r="B168" s="4">
        <v>2</v>
      </c>
      <c r="C168" s="4">
        <v>1</v>
      </c>
      <c r="D168" s="4">
        <v>7</v>
      </c>
      <c r="E168" s="4">
        <v>15</v>
      </c>
      <c r="F168" s="4" t="s">
        <v>30</v>
      </c>
      <c r="G168" t="s">
        <v>28</v>
      </c>
      <c r="H168" s="4">
        <v>202</v>
      </c>
      <c r="I168" s="4">
        <v>6</v>
      </c>
      <c r="J168" s="44">
        <v>45523</v>
      </c>
      <c r="K168">
        <v>7.8</v>
      </c>
      <c r="L168">
        <v>8.4</v>
      </c>
      <c r="M168">
        <v>7.7</v>
      </c>
      <c r="N168" s="43">
        <f t="shared" si="2"/>
        <v>7.9666666666666659</v>
      </c>
    </row>
    <row r="169" spans="1:14" x14ac:dyDescent="0.25">
      <c r="A169" s="4">
        <v>1</v>
      </c>
      <c r="B169" s="4">
        <v>2</v>
      </c>
      <c r="C169" s="4">
        <v>1</v>
      </c>
      <c r="D169" s="4">
        <v>8</v>
      </c>
      <c r="E169" s="4">
        <v>2</v>
      </c>
      <c r="F169" s="4" t="s">
        <v>30</v>
      </c>
      <c r="G169" t="s">
        <v>31</v>
      </c>
      <c r="H169" s="4">
        <v>102</v>
      </c>
      <c r="I169" s="4">
        <v>6</v>
      </c>
      <c r="J169" s="44">
        <v>45523</v>
      </c>
      <c r="K169">
        <v>8.3000000000000007</v>
      </c>
      <c r="L169">
        <v>7.8</v>
      </c>
      <c r="M169">
        <v>8.3000000000000007</v>
      </c>
      <c r="N169" s="43">
        <f t="shared" si="2"/>
        <v>8.1333333333333346</v>
      </c>
    </row>
    <row r="170" spans="1:14" x14ac:dyDescent="0.25">
      <c r="A170" s="4">
        <v>1</v>
      </c>
      <c r="B170" s="4">
        <v>3</v>
      </c>
      <c r="C170" s="4">
        <v>2</v>
      </c>
      <c r="D170" s="4">
        <v>9</v>
      </c>
      <c r="E170" s="4">
        <v>3</v>
      </c>
      <c r="F170" s="4" t="s">
        <v>25</v>
      </c>
      <c r="G170" t="s">
        <v>27</v>
      </c>
      <c r="H170" s="4">
        <v>103</v>
      </c>
      <c r="I170" s="4">
        <v>6</v>
      </c>
      <c r="J170" s="38">
        <v>45495</v>
      </c>
      <c r="K170">
        <v>8.6999999999999993</v>
      </c>
      <c r="L170">
        <v>8.1</v>
      </c>
      <c r="M170">
        <v>8.3000000000000007</v>
      </c>
      <c r="N170" s="43">
        <f t="shared" si="2"/>
        <v>8.3666666666666654</v>
      </c>
    </row>
    <row r="171" spans="1:14" x14ac:dyDescent="0.25">
      <c r="A171" s="4">
        <v>2</v>
      </c>
      <c r="B171" s="4">
        <v>3</v>
      </c>
      <c r="C171" s="4">
        <v>2</v>
      </c>
      <c r="D171" s="4">
        <v>10</v>
      </c>
      <c r="E171" s="4">
        <v>14</v>
      </c>
      <c r="F171" s="4" t="s">
        <v>25</v>
      </c>
      <c r="G171" t="s">
        <v>29</v>
      </c>
      <c r="H171" s="4">
        <v>203</v>
      </c>
      <c r="I171" s="4">
        <v>6</v>
      </c>
      <c r="J171" s="38">
        <v>45495</v>
      </c>
      <c r="K171">
        <v>8.6999999999999993</v>
      </c>
      <c r="L171">
        <v>9.1</v>
      </c>
      <c r="M171">
        <v>8.6999999999999993</v>
      </c>
      <c r="N171" s="43">
        <f t="shared" si="2"/>
        <v>8.8333333333333321</v>
      </c>
    </row>
    <row r="172" spans="1:14" x14ac:dyDescent="0.25">
      <c r="A172" s="4">
        <v>3</v>
      </c>
      <c r="B172" s="4">
        <v>3</v>
      </c>
      <c r="C172" s="4">
        <v>2</v>
      </c>
      <c r="D172" s="4">
        <v>11</v>
      </c>
      <c r="E172" s="4">
        <v>19</v>
      </c>
      <c r="F172" s="4" t="s">
        <v>25</v>
      </c>
      <c r="G172" t="s">
        <v>26</v>
      </c>
      <c r="H172" s="4">
        <v>303</v>
      </c>
      <c r="I172" s="4">
        <v>6</v>
      </c>
      <c r="J172" s="38">
        <v>45495</v>
      </c>
      <c r="K172">
        <v>8.6</v>
      </c>
      <c r="L172">
        <v>8.1999999999999993</v>
      </c>
      <c r="M172">
        <v>8.4</v>
      </c>
      <c r="N172" s="43">
        <f t="shared" si="2"/>
        <v>8.3999999999999986</v>
      </c>
    </row>
    <row r="173" spans="1:14" x14ac:dyDescent="0.25">
      <c r="A173" s="4">
        <v>4</v>
      </c>
      <c r="B173" s="4">
        <v>3</v>
      </c>
      <c r="C173" s="4">
        <v>2</v>
      </c>
      <c r="D173" s="4">
        <v>12</v>
      </c>
      <c r="E173" s="4">
        <v>30</v>
      </c>
      <c r="F173" s="4" t="s">
        <v>25</v>
      </c>
      <c r="G173" t="s">
        <v>28</v>
      </c>
      <c r="H173" s="4">
        <v>403</v>
      </c>
      <c r="I173" s="4">
        <v>6</v>
      </c>
      <c r="J173" s="38">
        <v>45495</v>
      </c>
      <c r="K173">
        <v>8.6</v>
      </c>
      <c r="L173">
        <v>8.6999999999999993</v>
      </c>
      <c r="M173">
        <v>7.8</v>
      </c>
      <c r="N173" s="43">
        <f t="shared" si="2"/>
        <v>8.3666666666666654</v>
      </c>
    </row>
    <row r="174" spans="1:14" x14ac:dyDescent="0.25">
      <c r="A174" s="4">
        <v>4</v>
      </c>
      <c r="B174" s="4">
        <v>4</v>
      </c>
      <c r="C174" s="4">
        <v>2</v>
      </c>
      <c r="D174" s="4">
        <v>13</v>
      </c>
      <c r="E174" s="4">
        <v>29</v>
      </c>
      <c r="F174" s="4" t="s">
        <v>30</v>
      </c>
      <c r="G174" t="s">
        <v>29</v>
      </c>
      <c r="H174" s="4">
        <v>404</v>
      </c>
      <c r="I174" s="4">
        <v>6</v>
      </c>
      <c r="J174" s="44">
        <v>45523</v>
      </c>
      <c r="K174">
        <v>7.8</v>
      </c>
      <c r="L174">
        <v>7.8</v>
      </c>
      <c r="M174">
        <v>8.4</v>
      </c>
      <c r="N174" s="43">
        <f t="shared" si="2"/>
        <v>8</v>
      </c>
    </row>
    <row r="175" spans="1:14" x14ac:dyDescent="0.25">
      <c r="A175" s="4">
        <v>3</v>
      </c>
      <c r="B175" s="4">
        <v>4</v>
      </c>
      <c r="C175" s="4">
        <v>2</v>
      </c>
      <c r="D175" s="4">
        <v>14</v>
      </c>
      <c r="E175" s="4">
        <v>20</v>
      </c>
      <c r="F175" s="4" t="s">
        <v>30</v>
      </c>
      <c r="G175" t="s">
        <v>31</v>
      </c>
      <c r="H175" s="4">
        <v>304</v>
      </c>
      <c r="I175" s="4">
        <v>6</v>
      </c>
      <c r="J175" s="44">
        <v>45523</v>
      </c>
      <c r="K175">
        <v>7.7</v>
      </c>
      <c r="L175">
        <v>7.6</v>
      </c>
      <c r="M175">
        <v>7.7</v>
      </c>
      <c r="N175" s="43">
        <f t="shared" si="2"/>
        <v>7.666666666666667</v>
      </c>
    </row>
    <row r="176" spans="1:14" x14ac:dyDescent="0.25">
      <c r="A176" s="4">
        <v>2</v>
      </c>
      <c r="B176" s="4">
        <v>4</v>
      </c>
      <c r="C176" s="4">
        <v>2</v>
      </c>
      <c r="D176" s="4">
        <v>15</v>
      </c>
      <c r="E176" s="4">
        <v>13</v>
      </c>
      <c r="F176" s="4" t="s">
        <v>30</v>
      </c>
      <c r="G176" t="s">
        <v>32</v>
      </c>
      <c r="H176" s="4">
        <v>204</v>
      </c>
      <c r="I176" s="4">
        <v>6</v>
      </c>
      <c r="J176" s="44">
        <v>45523</v>
      </c>
      <c r="K176">
        <v>8.5</v>
      </c>
      <c r="L176">
        <v>8</v>
      </c>
      <c r="M176">
        <v>8.4</v>
      </c>
      <c r="N176" s="43">
        <f t="shared" si="2"/>
        <v>8.2999999999999989</v>
      </c>
    </row>
    <row r="177" spans="1:14" x14ac:dyDescent="0.25">
      <c r="A177" s="4">
        <v>1</v>
      </c>
      <c r="B177" s="4">
        <v>4</v>
      </c>
      <c r="C177" s="4">
        <v>2</v>
      </c>
      <c r="D177" s="4">
        <v>16</v>
      </c>
      <c r="E177" s="4">
        <v>4</v>
      </c>
      <c r="F177" s="4" t="s">
        <v>30</v>
      </c>
      <c r="G177" t="s">
        <v>28</v>
      </c>
      <c r="H177" s="4">
        <v>104</v>
      </c>
      <c r="I177" s="4">
        <v>6</v>
      </c>
      <c r="J177" s="44">
        <v>45523</v>
      </c>
      <c r="K177">
        <v>8.3000000000000007</v>
      </c>
      <c r="L177">
        <v>8</v>
      </c>
      <c r="M177">
        <v>8.4</v>
      </c>
      <c r="N177" s="43">
        <f t="shared" si="2"/>
        <v>8.2333333333333343</v>
      </c>
    </row>
    <row r="178" spans="1:14" x14ac:dyDescent="0.25">
      <c r="A178" s="4">
        <v>1</v>
      </c>
      <c r="B178" s="4">
        <v>5</v>
      </c>
      <c r="C178" s="4">
        <v>3</v>
      </c>
      <c r="D178" s="4">
        <v>17</v>
      </c>
      <c r="E178" s="4">
        <v>5</v>
      </c>
      <c r="F178" s="4" t="s">
        <v>25</v>
      </c>
      <c r="G178" t="s">
        <v>28</v>
      </c>
      <c r="H178" s="4">
        <v>105</v>
      </c>
      <c r="I178" s="4">
        <v>6</v>
      </c>
      <c r="J178" s="38">
        <v>45495</v>
      </c>
      <c r="K178">
        <v>8.6999999999999993</v>
      </c>
      <c r="L178">
        <v>8.4</v>
      </c>
      <c r="M178">
        <v>8.4</v>
      </c>
      <c r="N178" s="43">
        <f t="shared" si="2"/>
        <v>8.5</v>
      </c>
    </row>
    <row r="179" spans="1:14" x14ac:dyDescent="0.25">
      <c r="A179" s="4">
        <v>2</v>
      </c>
      <c r="B179" s="4">
        <v>5</v>
      </c>
      <c r="C179" s="4">
        <v>3</v>
      </c>
      <c r="D179" s="4">
        <v>18</v>
      </c>
      <c r="E179" s="4">
        <v>12</v>
      </c>
      <c r="F179" s="4" t="s">
        <v>25</v>
      </c>
      <c r="G179" t="s">
        <v>26</v>
      </c>
      <c r="H179" s="4">
        <v>205</v>
      </c>
      <c r="I179" s="4">
        <v>6</v>
      </c>
      <c r="J179" s="38">
        <v>45495</v>
      </c>
      <c r="K179">
        <v>8.3000000000000007</v>
      </c>
      <c r="L179">
        <v>8.1999999999999993</v>
      </c>
      <c r="M179">
        <v>8.1</v>
      </c>
      <c r="N179" s="43">
        <f t="shared" si="2"/>
        <v>8.2000000000000011</v>
      </c>
    </row>
    <row r="180" spans="1:14" x14ac:dyDescent="0.25">
      <c r="A180" s="4">
        <v>3</v>
      </c>
      <c r="B180" s="4">
        <v>5</v>
      </c>
      <c r="C180" s="4">
        <v>3</v>
      </c>
      <c r="D180" s="4">
        <v>19</v>
      </c>
      <c r="E180" s="4">
        <v>21</v>
      </c>
      <c r="F180" s="4" t="s">
        <v>25</v>
      </c>
      <c r="G180" t="s">
        <v>29</v>
      </c>
      <c r="H180" s="4">
        <v>305</v>
      </c>
      <c r="I180" s="4">
        <v>6</v>
      </c>
      <c r="J180" s="38">
        <v>45495</v>
      </c>
      <c r="K180">
        <v>8.3000000000000007</v>
      </c>
      <c r="L180">
        <v>8.5</v>
      </c>
      <c r="M180">
        <v>9</v>
      </c>
      <c r="N180" s="43">
        <f t="shared" si="2"/>
        <v>8.6</v>
      </c>
    </row>
    <row r="181" spans="1:14" x14ac:dyDescent="0.25">
      <c r="A181" s="4">
        <v>4</v>
      </c>
      <c r="B181" s="4">
        <v>5</v>
      </c>
      <c r="C181" s="4">
        <v>3</v>
      </c>
      <c r="D181" s="4">
        <v>20</v>
      </c>
      <c r="E181" s="4">
        <v>28</v>
      </c>
      <c r="F181" s="4" t="s">
        <v>25</v>
      </c>
      <c r="G181" t="s">
        <v>27</v>
      </c>
      <c r="H181" s="4">
        <v>405</v>
      </c>
      <c r="I181" s="4">
        <v>6</v>
      </c>
      <c r="J181" s="38">
        <v>45495</v>
      </c>
      <c r="K181">
        <v>8.1</v>
      </c>
      <c r="L181">
        <v>8.3000000000000007</v>
      </c>
      <c r="M181">
        <v>8.8000000000000007</v>
      </c>
      <c r="N181" s="43">
        <f t="shared" si="2"/>
        <v>8.4</v>
      </c>
    </row>
    <row r="182" spans="1:14" x14ac:dyDescent="0.25">
      <c r="A182" s="4">
        <v>4</v>
      </c>
      <c r="B182" s="4">
        <v>6</v>
      </c>
      <c r="C182" s="4">
        <v>3</v>
      </c>
      <c r="D182" s="4">
        <v>21</v>
      </c>
      <c r="E182" s="4">
        <v>27</v>
      </c>
      <c r="F182" s="4" t="s">
        <v>30</v>
      </c>
      <c r="G182" t="s">
        <v>28</v>
      </c>
      <c r="H182" s="4">
        <v>406</v>
      </c>
      <c r="I182" s="4">
        <v>6</v>
      </c>
      <c r="J182" s="44">
        <v>45523</v>
      </c>
      <c r="K182">
        <v>7.8</v>
      </c>
      <c r="L182">
        <v>8.5</v>
      </c>
      <c r="M182">
        <v>8</v>
      </c>
      <c r="N182" s="43">
        <f t="shared" si="2"/>
        <v>8.1</v>
      </c>
    </row>
    <row r="183" spans="1:14" x14ac:dyDescent="0.25">
      <c r="A183" s="4">
        <v>3</v>
      </c>
      <c r="B183" s="4">
        <v>6</v>
      </c>
      <c r="C183" s="4">
        <v>3</v>
      </c>
      <c r="D183" s="4">
        <v>22</v>
      </c>
      <c r="E183" s="4">
        <v>22</v>
      </c>
      <c r="F183" s="4" t="s">
        <v>30</v>
      </c>
      <c r="G183" t="s">
        <v>32</v>
      </c>
      <c r="H183" s="4">
        <v>306</v>
      </c>
      <c r="I183" s="4">
        <v>6</v>
      </c>
      <c r="J183" s="44">
        <v>45523</v>
      </c>
      <c r="K183">
        <v>9</v>
      </c>
      <c r="L183">
        <v>8.6</v>
      </c>
      <c r="M183">
        <v>8.5</v>
      </c>
      <c r="N183" s="43">
        <f t="shared" si="2"/>
        <v>8.7000000000000011</v>
      </c>
    </row>
    <row r="184" spans="1:14" x14ac:dyDescent="0.25">
      <c r="A184" s="4">
        <v>2</v>
      </c>
      <c r="B184" s="4">
        <v>6</v>
      </c>
      <c r="C184" s="4">
        <v>3</v>
      </c>
      <c r="D184" s="4">
        <v>23</v>
      </c>
      <c r="E184" s="4">
        <v>11</v>
      </c>
      <c r="F184" s="4" t="s">
        <v>30</v>
      </c>
      <c r="G184" t="s">
        <v>31</v>
      </c>
      <c r="H184" s="4">
        <v>206</v>
      </c>
      <c r="I184" s="4">
        <v>6</v>
      </c>
      <c r="J184" s="44">
        <v>45523</v>
      </c>
      <c r="K184">
        <v>7.8</v>
      </c>
      <c r="L184">
        <v>7.5</v>
      </c>
      <c r="M184">
        <v>7.1</v>
      </c>
      <c r="N184" s="43">
        <f t="shared" si="2"/>
        <v>7.4666666666666659</v>
      </c>
    </row>
    <row r="185" spans="1:14" x14ac:dyDescent="0.25">
      <c r="A185" s="4">
        <v>1</v>
      </c>
      <c r="B185" s="4">
        <v>6</v>
      </c>
      <c r="C185" s="4">
        <v>3</v>
      </c>
      <c r="D185" s="4">
        <v>24</v>
      </c>
      <c r="E185" s="4">
        <v>6</v>
      </c>
      <c r="F185" s="4" t="s">
        <v>30</v>
      </c>
      <c r="G185" t="s">
        <v>29</v>
      </c>
      <c r="H185" s="4">
        <v>106</v>
      </c>
      <c r="I185" s="4">
        <v>6</v>
      </c>
      <c r="J185" s="44">
        <v>45523</v>
      </c>
      <c r="K185">
        <v>8.5</v>
      </c>
      <c r="L185">
        <v>8</v>
      </c>
      <c r="M185">
        <v>8.6</v>
      </c>
      <c r="N185" s="43">
        <f t="shared" si="2"/>
        <v>8.3666666666666671</v>
      </c>
    </row>
    <row r="186" spans="1:14" x14ac:dyDescent="0.25">
      <c r="A186" s="4">
        <v>1</v>
      </c>
      <c r="B186" s="4">
        <v>7</v>
      </c>
      <c r="C186" s="4">
        <v>4</v>
      </c>
      <c r="D186" s="4">
        <v>25</v>
      </c>
      <c r="E186" s="4">
        <v>7</v>
      </c>
      <c r="F186" s="4" t="s">
        <v>25</v>
      </c>
      <c r="G186" t="s">
        <v>29</v>
      </c>
      <c r="H186" s="4">
        <v>107</v>
      </c>
      <c r="I186" s="4">
        <v>6</v>
      </c>
      <c r="J186" s="38">
        <v>45495</v>
      </c>
      <c r="K186">
        <v>9.5</v>
      </c>
      <c r="L186">
        <v>9.5</v>
      </c>
      <c r="M186">
        <v>8.6</v>
      </c>
      <c r="N186" s="43">
        <f t="shared" si="2"/>
        <v>9.2000000000000011</v>
      </c>
    </row>
    <row r="187" spans="1:14" x14ac:dyDescent="0.25">
      <c r="A187" s="4">
        <v>2</v>
      </c>
      <c r="B187" s="4">
        <v>7</v>
      </c>
      <c r="C187" s="4">
        <v>4</v>
      </c>
      <c r="D187" s="4">
        <v>26</v>
      </c>
      <c r="E187" s="4">
        <v>10</v>
      </c>
      <c r="F187" s="4" t="s">
        <v>25</v>
      </c>
      <c r="G187" t="s">
        <v>28</v>
      </c>
      <c r="H187" s="4">
        <v>207</v>
      </c>
      <c r="I187" s="4">
        <v>6</v>
      </c>
      <c r="J187" s="38">
        <v>45495</v>
      </c>
      <c r="K187">
        <v>8.8000000000000007</v>
      </c>
      <c r="L187">
        <v>8.8000000000000007</v>
      </c>
      <c r="M187">
        <v>8.4</v>
      </c>
      <c r="N187" s="43">
        <f t="shared" si="2"/>
        <v>8.6666666666666661</v>
      </c>
    </row>
    <row r="188" spans="1:14" x14ac:dyDescent="0.25">
      <c r="A188" s="4">
        <v>3</v>
      </c>
      <c r="B188" s="4">
        <v>7</v>
      </c>
      <c r="C188" s="4">
        <v>4</v>
      </c>
      <c r="D188" s="4">
        <v>27</v>
      </c>
      <c r="E188" s="4">
        <v>23</v>
      </c>
      <c r="F188" s="4" t="s">
        <v>25</v>
      </c>
      <c r="G188" t="s">
        <v>27</v>
      </c>
      <c r="H188" s="4">
        <v>307</v>
      </c>
      <c r="I188" s="4">
        <v>6</v>
      </c>
      <c r="J188" s="38">
        <v>45495</v>
      </c>
      <c r="K188">
        <v>8.8000000000000007</v>
      </c>
      <c r="L188">
        <v>8.6999999999999993</v>
      </c>
      <c r="M188">
        <v>8.4</v>
      </c>
      <c r="N188" s="43">
        <f t="shared" si="2"/>
        <v>8.6333333333333329</v>
      </c>
    </row>
    <row r="189" spans="1:14" x14ac:dyDescent="0.25">
      <c r="A189" s="4">
        <v>4</v>
      </c>
      <c r="B189" s="4">
        <v>7</v>
      </c>
      <c r="C189" s="4">
        <v>4</v>
      </c>
      <c r="D189" s="4">
        <v>28</v>
      </c>
      <c r="E189" s="4">
        <v>26</v>
      </c>
      <c r="F189" s="4" t="s">
        <v>25</v>
      </c>
      <c r="G189" t="s">
        <v>26</v>
      </c>
      <c r="H189" s="4">
        <v>407</v>
      </c>
      <c r="I189" s="4">
        <v>6</v>
      </c>
      <c r="J189" s="38">
        <v>45495</v>
      </c>
      <c r="K189">
        <v>8.3000000000000007</v>
      </c>
      <c r="L189">
        <v>8.1</v>
      </c>
      <c r="M189">
        <v>8.6</v>
      </c>
      <c r="N189" s="43">
        <f t="shared" si="2"/>
        <v>8.3333333333333339</v>
      </c>
    </row>
    <row r="190" spans="1:14" x14ac:dyDescent="0.25">
      <c r="A190" s="4">
        <v>4</v>
      </c>
      <c r="B190" s="4">
        <v>8</v>
      </c>
      <c r="C190" s="4">
        <v>4</v>
      </c>
      <c r="D190" s="4">
        <v>29</v>
      </c>
      <c r="E190" s="4">
        <v>25</v>
      </c>
      <c r="F190" s="4" t="s">
        <v>30</v>
      </c>
      <c r="G190" t="s">
        <v>31</v>
      </c>
      <c r="H190" s="4">
        <v>408</v>
      </c>
      <c r="I190" s="4">
        <v>6</v>
      </c>
      <c r="J190" s="44">
        <v>45523</v>
      </c>
      <c r="K190">
        <v>7.4</v>
      </c>
      <c r="L190">
        <v>7.6</v>
      </c>
      <c r="M190">
        <v>7.5</v>
      </c>
      <c r="N190" s="43">
        <f t="shared" si="2"/>
        <v>7.5</v>
      </c>
    </row>
    <row r="191" spans="1:14" x14ac:dyDescent="0.25">
      <c r="A191" s="4">
        <v>3</v>
      </c>
      <c r="B191" s="4">
        <v>8</v>
      </c>
      <c r="C191" s="4">
        <v>4</v>
      </c>
      <c r="D191" s="4">
        <v>30</v>
      </c>
      <c r="E191" s="4">
        <v>24</v>
      </c>
      <c r="F191" s="4" t="s">
        <v>30</v>
      </c>
      <c r="G191" t="s">
        <v>28</v>
      </c>
      <c r="H191" s="4">
        <v>308</v>
      </c>
      <c r="I191" s="4">
        <v>6</v>
      </c>
      <c r="J191" s="44">
        <v>45523</v>
      </c>
      <c r="K191">
        <v>8.4</v>
      </c>
      <c r="L191">
        <v>8.3000000000000007</v>
      </c>
      <c r="M191">
        <v>7.7</v>
      </c>
      <c r="N191" s="43">
        <f t="shared" si="2"/>
        <v>8.1333333333333346</v>
      </c>
    </row>
    <row r="192" spans="1:14" x14ac:dyDescent="0.25">
      <c r="A192" s="4">
        <v>2</v>
      </c>
      <c r="B192" s="4">
        <v>8</v>
      </c>
      <c r="C192" s="4">
        <v>4</v>
      </c>
      <c r="D192" s="4">
        <v>31</v>
      </c>
      <c r="E192" s="4">
        <v>9</v>
      </c>
      <c r="F192" s="4" t="s">
        <v>30</v>
      </c>
      <c r="G192" t="s">
        <v>29</v>
      </c>
      <c r="H192" s="4">
        <v>208</v>
      </c>
      <c r="I192" s="4">
        <v>6</v>
      </c>
      <c r="J192" s="44">
        <v>45523</v>
      </c>
      <c r="K192">
        <v>8.4</v>
      </c>
      <c r="L192">
        <v>8.6</v>
      </c>
      <c r="M192">
        <v>8.1</v>
      </c>
      <c r="N192" s="43">
        <f t="shared" si="2"/>
        <v>8.3666666666666671</v>
      </c>
    </row>
    <row r="193" spans="1:14" x14ac:dyDescent="0.25">
      <c r="A193" s="4">
        <v>1</v>
      </c>
      <c r="B193" s="4">
        <v>8</v>
      </c>
      <c r="C193" s="4">
        <v>4</v>
      </c>
      <c r="D193" s="4">
        <v>32</v>
      </c>
      <c r="E193" s="4">
        <v>8</v>
      </c>
      <c r="F193" s="4" t="s">
        <v>30</v>
      </c>
      <c r="G193" t="s">
        <v>32</v>
      </c>
      <c r="H193" s="4">
        <v>108</v>
      </c>
      <c r="I193" s="4">
        <v>6</v>
      </c>
      <c r="J193" s="44">
        <v>45523</v>
      </c>
      <c r="K193">
        <v>8.8000000000000007</v>
      </c>
      <c r="L193">
        <v>8.3000000000000007</v>
      </c>
      <c r="M193">
        <v>8.5</v>
      </c>
      <c r="N193" s="43">
        <f t="shared" si="2"/>
        <v>8.5333333333333332</v>
      </c>
    </row>
    <row r="194" spans="1:14" x14ac:dyDescent="0.25">
      <c r="A194" s="4">
        <v>1</v>
      </c>
      <c r="B194" s="4">
        <v>1</v>
      </c>
      <c r="C194" s="4">
        <v>1</v>
      </c>
      <c r="D194" s="4">
        <v>1</v>
      </c>
      <c r="E194" s="4">
        <v>1</v>
      </c>
      <c r="F194" s="4" t="s">
        <v>25</v>
      </c>
      <c r="G194" t="s">
        <v>26</v>
      </c>
      <c r="H194" s="4">
        <v>101</v>
      </c>
      <c r="I194" s="4">
        <v>7</v>
      </c>
      <c r="J194" s="38">
        <v>45513</v>
      </c>
      <c r="K194">
        <v>9.8000000000000007</v>
      </c>
      <c r="L194">
        <v>9.4</v>
      </c>
      <c r="M194">
        <v>9.4</v>
      </c>
      <c r="N194" s="43">
        <f t="shared" si="2"/>
        <v>9.5333333333333332</v>
      </c>
    </row>
    <row r="195" spans="1:14" x14ac:dyDescent="0.25">
      <c r="A195" s="4">
        <v>2</v>
      </c>
      <c r="B195" s="4">
        <v>1</v>
      </c>
      <c r="C195" s="4">
        <v>1</v>
      </c>
      <c r="D195" s="4">
        <v>2</v>
      </c>
      <c r="E195" s="4">
        <v>16</v>
      </c>
      <c r="F195" s="4" t="s">
        <v>25</v>
      </c>
      <c r="G195" t="s">
        <v>27</v>
      </c>
      <c r="H195" s="4">
        <v>201</v>
      </c>
      <c r="I195" s="4">
        <v>7</v>
      </c>
      <c r="J195" s="38">
        <v>45513</v>
      </c>
      <c r="K195">
        <v>9.9</v>
      </c>
      <c r="L195">
        <v>10.199999999999999</v>
      </c>
      <c r="M195">
        <v>9.8000000000000007</v>
      </c>
      <c r="N195" s="43">
        <f t="shared" ref="N195:N258" si="3">AVERAGE(K195:M195)</f>
        <v>9.9666666666666668</v>
      </c>
    </row>
    <row r="196" spans="1:14" x14ac:dyDescent="0.25">
      <c r="A196" s="4">
        <v>3</v>
      </c>
      <c r="B196" s="4">
        <v>1</v>
      </c>
      <c r="C196" s="4">
        <v>1</v>
      </c>
      <c r="D196" s="4">
        <v>3</v>
      </c>
      <c r="E196" s="4">
        <v>17</v>
      </c>
      <c r="F196" s="4" t="s">
        <v>25</v>
      </c>
      <c r="G196" t="s">
        <v>28</v>
      </c>
      <c r="H196" s="4">
        <v>301</v>
      </c>
      <c r="I196" s="4">
        <v>7</v>
      </c>
      <c r="J196" s="38">
        <v>45513</v>
      </c>
      <c r="K196">
        <v>10.3</v>
      </c>
      <c r="L196">
        <v>10.1</v>
      </c>
      <c r="M196">
        <v>10.1</v>
      </c>
      <c r="N196" s="43">
        <f t="shared" si="3"/>
        <v>10.166666666666666</v>
      </c>
    </row>
    <row r="197" spans="1:14" x14ac:dyDescent="0.25">
      <c r="A197" s="4">
        <v>4</v>
      </c>
      <c r="B197" s="4">
        <v>1</v>
      </c>
      <c r="C197" s="4">
        <v>1</v>
      </c>
      <c r="D197" s="4">
        <v>4</v>
      </c>
      <c r="E197" s="4">
        <v>32</v>
      </c>
      <c r="F197" s="4" t="s">
        <v>25</v>
      </c>
      <c r="G197" t="s">
        <v>29</v>
      </c>
      <c r="H197" s="4">
        <v>401</v>
      </c>
      <c r="I197" s="4">
        <v>7</v>
      </c>
      <c r="J197" s="38">
        <v>45513</v>
      </c>
      <c r="K197">
        <v>10.4</v>
      </c>
      <c r="L197">
        <v>9.9</v>
      </c>
      <c r="M197">
        <v>10.4</v>
      </c>
      <c r="N197" s="43">
        <f t="shared" si="3"/>
        <v>10.233333333333334</v>
      </c>
    </row>
    <row r="198" spans="1:14" x14ac:dyDescent="0.25">
      <c r="A198" s="4">
        <v>4</v>
      </c>
      <c r="B198" s="4">
        <v>2</v>
      </c>
      <c r="C198" s="4">
        <v>1</v>
      </c>
      <c r="D198" s="4">
        <v>5</v>
      </c>
      <c r="E198" s="4">
        <v>31</v>
      </c>
      <c r="F198" s="4" t="s">
        <v>30</v>
      </c>
      <c r="G198" t="s">
        <v>32</v>
      </c>
      <c r="H198" s="4">
        <v>402</v>
      </c>
      <c r="I198" s="4">
        <v>7</v>
      </c>
      <c r="J198" s="38">
        <v>45535</v>
      </c>
      <c r="K198">
        <v>9.8000000000000007</v>
      </c>
      <c r="L198">
        <v>10</v>
      </c>
      <c r="M198">
        <v>9.8000000000000007</v>
      </c>
      <c r="N198" s="43">
        <f t="shared" si="3"/>
        <v>9.8666666666666671</v>
      </c>
    </row>
    <row r="199" spans="1:14" x14ac:dyDescent="0.25">
      <c r="A199" s="4">
        <v>3</v>
      </c>
      <c r="B199" s="4">
        <v>2</v>
      </c>
      <c r="C199" s="4">
        <v>1</v>
      </c>
      <c r="D199" s="4">
        <v>6</v>
      </c>
      <c r="E199" s="4">
        <v>18</v>
      </c>
      <c r="F199" s="4" t="s">
        <v>30</v>
      </c>
      <c r="G199" t="s">
        <v>29</v>
      </c>
      <c r="H199" s="4">
        <v>302</v>
      </c>
      <c r="I199" s="4">
        <v>7</v>
      </c>
      <c r="J199" s="38">
        <v>45535</v>
      </c>
      <c r="K199">
        <v>9.6999999999999993</v>
      </c>
      <c r="L199">
        <v>9.6</v>
      </c>
      <c r="M199">
        <v>9.6</v>
      </c>
      <c r="N199" s="43">
        <f t="shared" si="3"/>
        <v>9.6333333333333329</v>
      </c>
    </row>
    <row r="200" spans="1:14" x14ac:dyDescent="0.25">
      <c r="A200" s="4">
        <v>2</v>
      </c>
      <c r="B200" s="4">
        <v>2</v>
      </c>
      <c r="C200" s="4">
        <v>1</v>
      </c>
      <c r="D200" s="4">
        <v>7</v>
      </c>
      <c r="E200" s="4">
        <v>15</v>
      </c>
      <c r="F200" s="4" t="s">
        <v>30</v>
      </c>
      <c r="G200" t="s">
        <v>28</v>
      </c>
      <c r="H200" s="4">
        <v>202</v>
      </c>
      <c r="I200" s="4">
        <v>7</v>
      </c>
      <c r="J200" s="38">
        <v>45535</v>
      </c>
      <c r="K200">
        <v>9</v>
      </c>
      <c r="L200">
        <v>8.9</v>
      </c>
      <c r="M200">
        <v>9.6999999999999993</v>
      </c>
      <c r="N200" s="43">
        <f t="shared" si="3"/>
        <v>9.1999999999999993</v>
      </c>
    </row>
    <row r="201" spans="1:14" x14ac:dyDescent="0.25">
      <c r="A201" s="4">
        <v>1</v>
      </c>
      <c r="B201" s="4">
        <v>2</v>
      </c>
      <c r="C201" s="4">
        <v>1</v>
      </c>
      <c r="D201" s="4">
        <v>8</v>
      </c>
      <c r="E201" s="4">
        <v>2</v>
      </c>
      <c r="F201" s="4" t="s">
        <v>30</v>
      </c>
      <c r="G201" t="s">
        <v>31</v>
      </c>
      <c r="H201" s="4">
        <v>102</v>
      </c>
      <c r="I201" s="4">
        <v>7</v>
      </c>
      <c r="J201" s="38">
        <v>45535</v>
      </c>
      <c r="K201">
        <v>9.3000000000000007</v>
      </c>
      <c r="L201">
        <v>9</v>
      </c>
      <c r="M201">
        <v>9.9</v>
      </c>
      <c r="N201" s="43">
        <f t="shared" si="3"/>
        <v>9.4</v>
      </c>
    </row>
    <row r="202" spans="1:14" x14ac:dyDescent="0.25">
      <c r="A202" s="4">
        <v>1</v>
      </c>
      <c r="B202" s="4">
        <v>3</v>
      </c>
      <c r="C202" s="4">
        <v>2</v>
      </c>
      <c r="D202" s="4">
        <v>9</v>
      </c>
      <c r="E202" s="4">
        <v>3</v>
      </c>
      <c r="F202" s="4" t="s">
        <v>25</v>
      </c>
      <c r="G202" t="s">
        <v>27</v>
      </c>
      <c r="H202" s="4">
        <v>103</v>
      </c>
      <c r="I202" s="4">
        <v>7</v>
      </c>
      <c r="J202" s="38">
        <v>45513</v>
      </c>
      <c r="K202">
        <v>9.6999999999999993</v>
      </c>
      <c r="L202">
        <v>9.6999999999999993</v>
      </c>
      <c r="M202">
        <v>10</v>
      </c>
      <c r="N202" s="43">
        <f t="shared" si="3"/>
        <v>9.7999999999999989</v>
      </c>
    </row>
    <row r="203" spans="1:14" x14ac:dyDescent="0.25">
      <c r="A203" s="4">
        <v>2</v>
      </c>
      <c r="B203" s="4">
        <v>3</v>
      </c>
      <c r="C203" s="4">
        <v>2</v>
      </c>
      <c r="D203" s="4">
        <v>10</v>
      </c>
      <c r="E203" s="4">
        <v>14</v>
      </c>
      <c r="F203" s="4" t="s">
        <v>25</v>
      </c>
      <c r="G203" t="s">
        <v>29</v>
      </c>
      <c r="H203" s="4">
        <v>203</v>
      </c>
      <c r="I203" s="4">
        <v>7</v>
      </c>
      <c r="J203" s="38">
        <v>45513</v>
      </c>
      <c r="K203">
        <v>9.9</v>
      </c>
      <c r="L203">
        <v>10.199999999999999</v>
      </c>
      <c r="M203">
        <v>10.7</v>
      </c>
      <c r="N203" s="43">
        <f t="shared" si="3"/>
        <v>10.266666666666667</v>
      </c>
    </row>
    <row r="204" spans="1:14" x14ac:dyDescent="0.25">
      <c r="A204" s="4">
        <v>3</v>
      </c>
      <c r="B204" s="4">
        <v>3</v>
      </c>
      <c r="C204" s="4">
        <v>2</v>
      </c>
      <c r="D204" s="4">
        <v>11</v>
      </c>
      <c r="E204" s="4">
        <v>19</v>
      </c>
      <c r="F204" s="4" t="s">
        <v>25</v>
      </c>
      <c r="G204" t="s">
        <v>26</v>
      </c>
      <c r="H204" s="4">
        <v>303</v>
      </c>
      <c r="I204" s="4">
        <v>7</v>
      </c>
      <c r="J204" s="38">
        <v>45513</v>
      </c>
      <c r="K204">
        <v>9.6</v>
      </c>
      <c r="L204">
        <v>9.1999999999999993</v>
      </c>
      <c r="M204">
        <v>9.8000000000000007</v>
      </c>
      <c r="N204" s="43">
        <f t="shared" si="3"/>
        <v>9.5333333333333332</v>
      </c>
    </row>
    <row r="205" spans="1:14" x14ac:dyDescent="0.25">
      <c r="A205" s="4">
        <v>4</v>
      </c>
      <c r="B205" s="4">
        <v>3</v>
      </c>
      <c r="C205" s="4">
        <v>2</v>
      </c>
      <c r="D205" s="4">
        <v>12</v>
      </c>
      <c r="E205" s="4">
        <v>30</v>
      </c>
      <c r="F205" s="4" t="s">
        <v>25</v>
      </c>
      <c r="G205" t="s">
        <v>28</v>
      </c>
      <c r="H205" s="4">
        <v>403</v>
      </c>
      <c r="I205" s="4">
        <v>7</v>
      </c>
      <c r="J205" s="38">
        <v>45513</v>
      </c>
      <c r="K205">
        <v>10.5</v>
      </c>
      <c r="L205">
        <v>10.4</v>
      </c>
      <c r="M205">
        <v>10</v>
      </c>
      <c r="N205" s="43">
        <f t="shared" si="3"/>
        <v>10.299999999999999</v>
      </c>
    </row>
    <row r="206" spans="1:14" x14ac:dyDescent="0.25">
      <c r="A206" s="4">
        <v>4</v>
      </c>
      <c r="B206" s="4">
        <v>4</v>
      </c>
      <c r="C206" s="4">
        <v>2</v>
      </c>
      <c r="D206" s="4">
        <v>13</v>
      </c>
      <c r="E206" s="4">
        <v>29</v>
      </c>
      <c r="F206" s="4" t="s">
        <v>30</v>
      </c>
      <c r="G206" t="s">
        <v>29</v>
      </c>
      <c r="H206" s="4">
        <v>404</v>
      </c>
      <c r="I206" s="4">
        <v>7</v>
      </c>
      <c r="J206" s="38">
        <v>45535</v>
      </c>
      <c r="K206">
        <v>10</v>
      </c>
      <c r="L206">
        <v>9.5</v>
      </c>
      <c r="M206">
        <v>9.4</v>
      </c>
      <c r="N206" s="43">
        <f t="shared" si="3"/>
        <v>9.6333333333333329</v>
      </c>
    </row>
    <row r="207" spans="1:14" x14ac:dyDescent="0.25">
      <c r="A207" s="4">
        <v>3</v>
      </c>
      <c r="B207" s="4">
        <v>4</v>
      </c>
      <c r="C207" s="4">
        <v>2</v>
      </c>
      <c r="D207" s="4">
        <v>14</v>
      </c>
      <c r="E207" s="4">
        <v>20</v>
      </c>
      <c r="F207" s="4" t="s">
        <v>30</v>
      </c>
      <c r="G207" t="s">
        <v>31</v>
      </c>
      <c r="H207" s="4">
        <v>304</v>
      </c>
      <c r="I207" s="4">
        <v>7</v>
      </c>
      <c r="J207" s="38">
        <v>45535</v>
      </c>
      <c r="K207">
        <v>9</v>
      </c>
      <c r="L207">
        <v>8.9</v>
      </c>
      <c r="M207">
        <v>9.1</v>
      </c>
      <c r="N207" s="43">
        <f t="shared" si="3"/>
        <v>9</v>
      </c>
    </row>
    <row r="208" spans="1:14" x14ac:dyDescent="0.25">
      <c r="A208" s="4">
        <v>2</v>
      </c>
      <c r="B208" s="4">
        <v>4</v>
      </c>
      <c r="C208" s="4">
        <v>2</v>
      </c>
      <c r="D208" s="4">
        <v>15</v>
      </c>
      <c r="E208" s="4">
        <v>13</v>
      </c>
      <c r="F208" s="4" t="s">
        <v>30</v>
      </c>
      <c r="G208" t="s">
        <v>32</v>
      </c>
      <c r="H208" s="4">
        <v>204</v>
      </c>
      <c r="I208" s="4">
        <v>7</v>
      </c>
      <c r="J208" s="38">
        <v>45535</v>
      </c>
      <c r="K208">
        <v>9.6999999999999993</v>
      </c>
      <c r="L208">
        <v>9.4</v>
      </c>
      <c r="M208">
        <v>9.6999999999999993</v>
      </c>
      <c r="N208" s="43">
        <f t="shared" si="3"/>
        <v>9.6</v>
      </c>
    </row>
    <row r="209" spans="1:14" x14ac:dyDescent="0.25">
      <c r="A209" s="4">
        <v>1</v>
      </c>
      <c r="B209" s="4">
        <v>4</v>
      </c>
      <c r="C209" s="4">
        <v>2</v>
      </c>
      <c r="D209" s="4">
        <v>16</v>
      </c>
      <c r="E209" s="4">
        <v>4</v>
      </c>
      <c r="F209" s="4" t="s">
        <v>30</v>
      </c>
      <c r="G209" t="s">
        <v>28</v>
      </c>
      <c r="H209" s="4">
        <v>104</v>
      </c>
      <c r="I209" s="4">
        <v>7</v>
      </c>
      <c r="J209" s="38">
        <v>45535</v>
      </c>
      <c r="K209">
        <v>9.8000000000000007</v>
      </c>
      <c r="L209">
        <v>9.5</v>
      </c>
      <c r="M209">
        <v>9.9</v>
      </c>
      <c r="N209" s="43">
        <f t="shared" si="3"/>
        <v>9.7333333333333343</v>
      </c>
    </row>
    <row r="210" spans="1:14" x14ac:dyDescent="0.25">
      <c r="A210" s="4">
        <v>1</v>
      </c>
      <c r="B210" s="4">
        <v>5</v>
      </c>
      <c r="C210" s="4">
        <v>3</v>
      </c>
      <c r="D210" s="4">
        <v>17</v>
      </c>
      <c r="E210" s="4">
        <v>5</v>
      </c>
      <c r="F210" s="4" t="s">
        <v>25</v>
      </c>
      <c r="G210" t="s">
        <v>28</v>
      </c>
      <c r="H210" s="4">
        <v>105</v>
      </c>
      <c r="I210" s="4">
        <v>7</v>
      </c>
      <c r="J210" s="38">
        <v>45513</v>
      </c>
      <c r="K210">
        <v>10.3</v>
      </c>
      <c r="L210">
        <v>9.9</v>
      </c>
      <c r="M210">
        <v>9.8000000000000007</v>
      </c>
      <c r="N210" s="43">
        <f t="shared" si="3"/>
        <v>10.000000000000002</v>
      </c>
    </row>
    <row r="211" spans="1:14" x14ac:dyDescent="0.25">
      <c r="A211" s="4">
        <v>2</v>
      </c>
      <c r="B211" s="4">
        <v>5</v>
      </c>
      <c r="C211" s="4">
        <v>3</v>
      </c>
      <c r="D211" s="4">
        <v>18</v>
      </c>
      <c r="E211" s="4">
        <v>12</v>
      </c>
      <c r="F211" s="4" t="s">
        <v>25</v>
      </c>
      <c r="G211" t="s">
        <v>26</v>
      </c>
      <c r="H211" s="4">
        <v>205</v>
      </c>
      <c r="I211" s="4">
        <v>7</v>
      </c>
      <c r="J211" s="38">
        <v>45513</v>
      </c>
      <c r="K211">
        <v>9.4</v>
      </c>
      <c r="L211">
        <v>9.5</v>
      </c>
      <c r="M211">
        <v>9.1999999999999993</v>
      </c>
      <c r="N211" s="43">
        <f t="shared" si="3"/>
        <v>9.3666666666666654</v>
      </c>
    </row>
    <row r="212" spans="1:14" x14ac:dyDescent="0.25">
      <c r="A212" s="4">
        <v>3</v>
      </c>
      <c r="B212" s="4">
        <v>5</v>
      </c>
      <c r="C212" s="4">
        <v>3</v>
      </c>
      <c r="D212" s="4">
        <v>19</v>
      </c>
      <c r="E212" s="4">
        <v>21</v>
      </c>
      <c r="F212" s="4" t="s">
        <v>25</v>
      </c>
      <c r="G212" t="s">
        <v>29</v>
      </c>
      <c r="H212" s="4">
        <v>305</v>
      </c>
      <c r="I212" s="4">
        <v>7</v>
      </c>
      <c r="J212" s="38">
        <v>45513</v>
      </c>
      <c r="K212">
        <v>9.6999999999999993</v>
      </c>
      <c r="L212">
        <v>9.9</v>
      </c>
      <c r="M212">
        <v>10.5</v>
      </c>
      <c r="N212" s="43">
        <f t="shared" si="3"/>
        <v>10.033333333333333</v>
      </c>
    </row>
    <row r="213" spans="1:14" x14ac:dyDescent="0.25">
      <c r="A213" s="4">
        <v>4</v>
      </c>
      <c r="B213" s="4">
        <v>5</v>
      </c>
      <c r="C213" s="4">
        <v>3</v>
      </c>
      <c r="D213" s="4">
        <v>20</v>
      </c>
      <c r="E213" s="4">
        <v>28</v>
      </c>
      <c r="F213" s="4" t="s">
        <v>25</v>
      </c>
      <c r="G213" t="s">
        <v>27</v>
      </c>
      <c r="H213" s="4">
        <v>405</v>
      </c>
      <c r="I213" s="4">
        <v>7</v>
      </c>
      <c r="J213" s="38">
        <v>45513</v>
      </c>
      <c r="K213">
        <v>9.6999999999999993</v>
      </c>
      <c r="L213">
        <v>9.8000000000000007</v>
      </c>
      <c r="M213">
        <v>10.199999999999999</v>
      </c>
      <c r="N213" s="43">
        <f t="shared" si="3"/>
        <v>9.9</v>
      </c>
    </row>
    <row r="214" spans="1:14" x14ac:dyDescent="0.25">
      <c r="A214" s="4">
        <v>4</v>
      </c>
      <c r="B214" s="4">
        <v>6</v>
      </c>
      <c r="C214" s="4">
        <v>3</v>
      </c>
      <c r="D214" s="4">
        <v>21</v>
      </c>
      <c r="E214" s="4">
        <v>27</v>
      </c>
      <c r="F214" s="4" t="s">
        <v>30</v>
      </c>
      <c r="G214" t="s">
        <v>28</v>
      </c>
      <c r="H214" s="4">
        <v>406</v>
      </c>
      <c r="I214" s="4">
        <v>7</v>
      </c>
      <c r="J214" s="38">
        <v>45535</v>
      </c>
      <c r="K214">
        <v>9.1</v>
      </c>
      <c r="L214">
        <v>9.9</v>
      </c>
      <c r="M214">
        <v>9.6</v>
      </c>
      <c r="N214" s="43">
        <f t="shared" si="3"/>
        <v>9.5333333333333332</v>
      </c>
    </row>
    <row r="215" spans="1:14" x14ac:dyDescent="0.25">
      <c r="A215" s="4">
        <v>3</v>
      </c>
      <c r="B215" s="4">
        <v>6</v>
      </c>
      <c r="C215" s="4">
        <v>3</v>
      </c>
      <c r="D215" s="4">
        <v>22</v>
      </c>
      <c r="E215" s="4">
        <v>22</v>
      </c>
      <c r="F215" s="4" t="s">
        <v>30</v>
      </c>
      <c r="G215" t="s">
        <v>32</v>
      </c>
      <c r="H215" s="4">
        <v>306</v>
      </c>
      <c r="I215" s="4">
        <v>7</v>
      </c>
      <c r="J215" s="38">
        <v>45535</v>
      </c>
      <c r="K215">
        <v>10.3</v>
      </c>
      <c r="L215">
        <v>10</v>
      </c>
      <c r="M215">
        <v>9.8000000000000007</v>
      </c>
      <c r="N215" s="43">
        <f t="shared" si="3"/>
        <v>10.033333333333333</v>
      </c>
    </row>
    <row r="216" spans="1:14" x14ac:dyDescent="0.25">
      <c r="A216" s="4">
        <v>2</v>
      </c>
      <c r="B216" s="4">
        <v>6</v>
      </c>
      <c r="C216" s="4">
        <v>3</v>
      </c>
      <c r="D216" s="4">
        <v>23</v>
      </c>
      <c r="E216" s="4">
        <v>11</v>
      </c>
      <c r="F216" s="4" t="s">
        <v>30</v>
      </c>
      <c r="G216" t="s">
        <v>31</v>
      </c>
      <c r="H216" s="4">
        <v>206</v>
      </c>
      <c r="I216" s="4">
        <v>7</v>
      </c>
      <c r="J216" s="38">
        <v>45535</v>
      </c>
      <c r="K216">
        <v>8.5</v>
      </c>
      <c r="L216">
        <v>8.8000000000000007</v>
      </c>
      <c r="M216">
        <v>9</v>
      </c>
      <c r="N216" s="43">
        <f t="shared" si="3"/>
        <v>8.7666666666666675</v>
      </c>
    </row>
    <row r="217" spans="1:14" x14ac:dyDescent="0.25">
      <c r="A217" s="4">
        <v>1</v>
      </c>
      <c r="B217" s="4">
        <v>6</v>
      </c>
      <c r="C217" s="4">
        <v>3</v>
      </c>
      <c r="D217" s="4">
        <v>24</v>
      </c>
      <c r="E217" s="4">
        <v>6</v>
      </c>
      <c r="F217" s="4" t="s">
        <v>30</v>
      </c>
      <c r="G217" t="s">
        <v>29</v>
      </c>
      <c r="H217" s="4">
        <v>106</v>
      </c>
      <c r="I217" s="4">
        <v>7</v>
      </c>
      <c r="J217" s="38">
        <v>45535</v>
      </c>
      <c r="K217">
        <v>10.3</v>
      </c>
      <c r="L217">
        <v>9.6</v>
      </c>
      <c r="M217">
        <v>10.4</v>
      </c>
      <c r="N217" s="43">
        <f t="shared" si="3"/>
        <v>10.1</v>
      </c>
    </row>
    <row r="218" spans="1:14" x14ac:dyDescent="0.25">
      <c r="A218" s="4">
        <v>1</v>
      </c>
      <c r="B218" s="4">
        <v>7</v>
      </c>
      <c r="C218" s="4">
        <v>4</v>
      </c>
      <c r="D218" s="4">
        <v>25</v>
      </c>
      <c r="E218" s="4">
        <v>7</v>
      </c>
      <c r="F218" s="4" t="s">
        <v>25</v>
      </c>
      <c r="G218" t="s">
        <v>29</v>
      </c>
      <c r="H218" s="4">
        <v>107</v>
      </c>
      <c r="I218" s="4">
        <v>7</v>
      </c>
      <c r="J218" s="38">
        <v>45513</v>
      </c>
      <c r="K218">
        <v>9.9</v>
      </c>
      <c r="L218">
        <v>11</v>
      </c>
      <c r="M218">
        <v>10.8</v>
      </c>
      <c r="N218" s="43">
        <f t="shared" si="3"/>
        <v>10.566666666666666</v>
      </c>
    </row>
    <row r="219" spans="1:14" x14ac:dyDescent="0.25">
      <c r="A219" s="4">
        <v>2</v>
      </c>
      <c r="B219" s="4">
        <v>7</v>
      </c>
      <c r="C219" s="4">
        <v>4</v>
      </c>
      <c r="D219" s="4">
        <v>26</v>
      </c>
      <c r="E219" s="4">
        <v>10</v>
      </c>
      <c r="F219" s="4" t="s">
        <v>25</v>
      </c>
      <c r="G219" t="s">
        <v>28</v>
      </c>
      <c r="H219" s="4">
        <v>207</v>
      </c>
      <c r="I219" s="4">
        <v>7</v>
      </c>
      <c r="J219" s="38">
        <v>45513</v>
      </c>
      <c r="K219">
        <v>9.8000000000000007</v>
      </c>
      <c r="L219">
        <v>10.5</v>
      </c>
      <c r="M219">
        <v>10.7</v>
      </c>
      <c r="N219" s="43">
        <f t="shared" si="3"/>
        <v>10.333333333333334</v>
      </c>
    </row>
    <row r="220" spans="1:14" x14ac:dyDescent="0.25">
      <c r="A220" s="4">
        <v>3</v>
      </c>
      <c r="B220" s="4">
        <v>7</v>
      </c>
      <c r="C220" s="4">
        <v>4</v>
      </c>
      <c r="D220" s="4">
        <v>27</v>
      </c>
      <c r="E220" s="4">
        <v>23</v>
      </c>
      <c r="F220" s="4" t="s">
        <v>25</v>
      </c>
      <c r="G220" t="s">
        <v>27</v>
      </c>
      <c r="H220" s="4">
        <v>307</v>
      </c>
      <c r="I220" s="4">
        <v>7</v>
      </c>
      <c r="J220" s="38">
        <v>45513</v>
      </c>
      <c r="K220">
        <v>9.6</v>
      </c>
      <c r="L220">
        <v>10</v>
      </c>
      <c r="M220">
        <v>10</v>
      </c>
      <c r="N220" s="43">
        <f t="shared" si="3"/>
        <v>9.8666666666666671</v>
      </c>
    </row>
    <row r="221" spans="1:14" x14ac:dyDescent="0.25">
      <c r="A221" s="4">
        <v>4</v>
      </c>
      <c r="B221" s="4">
        <v>7</v>
      </c>
      <c r="C221" s="4">
        <v>4</v>
      </c>
      <c r="D221" s="4">
        <v>28</v>
      </c>
      <c r="E221" s="4">
        <v>26</v>
      </c>
      <c r="F221" s="4" t="s">
        <v>25</v>
      </c>
      <c r="G221" t="s">
        <v>26</v>
      </c>
      <c r="H221" s="4">
        <v>407</v>
      </c>
      <c r="I221" s="4">
        <v>7</v>
      </c>
      <c r="J221" s="38">
        <v>45513</v>
      </c>
      <c r="K221">
        <v>9.8000000000000007</v>
      </c>
      <c r="L221">
        <v>9.1999999999999993</v>
      </c>
      <c r="M221">
        <v>9.4</v>
      </c>
      <c r="N221" s="43">
        <f t="shared" si="3"/>
        <v>9.4666666666666668</v>
      </c>
    </row>
    <row r="222" spans="1:14" x14ac:dyDescent="0.25">
      <c r="A222" s="4">
        <v>4</v>
      </c>
      <c r="B222" s="4">
        <v>8</v>
      </c>
      <c r="C222" s="4">
        <v>4</v>
      </c>
      <c r="D222" s="4">
        <v>29</v>
      </c>
      <c r="E222" s="4">
        <v>25</v>
      </c>
      <c r="F222" s="4" t="s">
        <v>30</v>
      </c>
      <c r="G222" t="s">
        <v>31</v>
      </c>
      <c r="H222" s="4">
        <v>408</v>
      </c>
      <c r="I222" s="4">
        <v>7</v>
      </c>
      <c r="J222" s="38">
        <v>45535</v>
      </c>
      <c r="K222">
        <v>8.8000000000000007</v>
      </c>
      <c r="L222">
        <v>8.8000000000000007</v>
      </c>
      <c r="M222">
        <v>9</v>
      </c>
      <c r="N222" s="43">
        <f t="shared" si="3"/>
        <v>8.8666666666666671</v>
      </c>
    </row>
    <row r="223" spans="1:14" x14ac:dyDescent="0.25">
      <c r="A223" s="4">
        <v>3</v>
      </c>
      <c r="B223" s="4">
        <v>8</v>
      </c>
      <c r="C223" s="4">
        <v>4</v>
      </c>
      <c r="D223" s="4">
        <v>30</v>
      </c>
      <c r="E223" s="4">
        <v>24</v>
      </c>
      <c r="F223" s="4" t="s">
        <v>30</v>
      </c>
      <c r="G223" t="s">
        <v>28</v>
      </c>
      <c r="H223" s="4">
        <v>308</v>
      </c>
      <c r="I223" s="4">
        <v>7</v>
      </c>
      <c r="J223" s="38">
        <v>45535</v>
      </c>
      <c r="K223">
        <v>9</v>
      </c>
      <c r="L223">
        <v>9.6999999999999993</v>
      </c>
      <c r="M223">
        <v>9.9</v>
      </c>
      <c r="N223" s="43">
        <f t="shared" si="3"/>
        <v>9.5333333333333332</v>
      </c>
    </row>
    <row r="224" spans="1:14" x14ac:dyDescent="0.25">
      <c r="A224" s="4">
        <v>2</v>
      </c>
      <c r="B224" s="4">
        <v>8</v>
      </c>
      <c r="C224" s="4">
        <v>4</v>
      </c>
      <c r="D224" s="4">
        <v>31</v>
      </c>
      <c r="E224" s="4">
        <v>9</v>
      </c>
      <c r="F224" s="4" t="s">
        <v>30</v>
      </c>
      <c r="G224" t="s">
        <v>29</v>
      </c>
      <c r="H224" s="4">
        <v>208</v>
      </c>
      <c r="I224" s="4">
        <v>7</v>
      </c>
      <c r="J224" s="38">
        <v>45535</v>
      </c>
      <c r="K224">
        <v>10.3</v>
      </c>
      <c r="L224">
        <v>9.9</v>
      </c>
      <c r="M224">
        <v>9.6</v>
      </c>
      <c r="N224" s="43">
        <f t="shared" si="3"/>
        <v>9.9333333333333353</v>
      </c>
    </row>
    <row r="225" spans="1:14" x14ac:dyDescent="0.25">
      <c r="A225" s="4">
        <v>1</v>
      </c>
      <c r="B225" s="4">
        <v>8</v>
      </c>
      <c r="C225" s="4">
        <v>4</v>
      </c>
      <c r="D225" s="4">
        <v>32</v>
      </c>
      <c r="E225" s="4">
        <v>8</v>
      </c>
      <c r="F225" s="4" t="s">
        <v>30</v>
      </c>
      <c r="G225" t="s">
        <v>32</v>
      </c>
      <c r="H225" s="4">
        <v>108</v>
      </c>
      <c r="I225" s="4">
        <v>7</v>
      </c>
      <c r="J225" s="38">
        <v>45535</v>
      </c>
      <c r="K225">
        <v>10.3</v>
      </c>
      <c r="L225">
        <v>9.6999999999999993</v>
      </c>
      <c r="M225">
        <v>10</v>
      </c>
      <c r="N225" s="43">
        <f t="shared" si="3"/>
        <v>10</v>
      </c>
    </row>
    <row r="226" spans="1:14" x14ac:dyDescent="0.25">
      <c r="A226" s="4">
        <v>1</v>
      </c>
      <c r="B226" s="4">
        <v>1</v>
      </c>
      <c r="C226" s="4">
        <v>1</v>
      </c>
      <c r="D226" s="4">
        <v>1</v>
      </c>
      <c r="E226" s="4">
        <v>1</v>
      </c>
      <c r="F226" s="4" t="s">
        <v>25</v>
      </c>
      <c r="G226" t="s">
        <v>26</v>
      </c>
      <c r="H226" s="4">
        <v>101</v>
      </c>
      <c r="I226" s="4">
        <v>8</v>
      </c>
      <c r="J226" s="38">
        <v>45522</v>
      </c>
      <c r="K226">
        <v>10.6</v>
      </c>
      <c r="L226">
        <v>10.3</v>
      </c>
      <c r="M226">
        <v>10.199999999999999</v>
      </c>
      <c r="N226" s="43">
        <f t="shared" si="3"/>
        <v>10.366666666666665</v>
      </c>
    </row>
    <row r="227" spans="1:14" x14ac:dyDescent="0.25">
      <c r="A227" s="4">
        <v>2</v>
      </c>
      <c r="B227" s="4">
        <v>1</v>
      </c>
      <c r="C227" s="4">
        <v>1</v>
      </c>
      <c r="D227" s="4">
        <v>2</v>
      </c>
      <c r="E227" s="4">
        <v>16</v>
      </c>
      <c r="F227" s="4" t="s">
        <v>25</v>
      </c>
      <c r="G227" t="s">
        <v>27</v>
      </c>
      <c r="H227" s="4">
        <v>201</v>
      </c>
      <c r="I227" s="4">
        <v>8</v>
      </c>
      <c r="J227" s="38">
        <v>45522</v>
      </c>
      <c r="K227">
        <v>10.9</v>
      </c>
      <c r="L227">
        <v>11.3</v>
      </c>
      <c r="M227">
        <v>10.7</v>
      </c>
      <c r="N227" s="43">
        <f t="shared" si="3"/>
        <v>10.966666666666669</v>
      </c>
    </row>
    <row r="228" spans="1:14" x14ac:dyDescent="0.25">
      <c r="A228" s="4">
        <v>3</v>
      </c>
      <c r="B228" s="4">
        <v>1</v>
      </c>
      <c r="C228" s="4">
        <v>1</v>
      </c>
      <c r="D228" s="4">
        <v>3</v>
      </c>
      <c r="E228" s="4">
        <v>17</v>
      </c>
      <c r="F228" s="4" t="s">
        <v>25</v>
      </c>
      <c r="G228" t="s">
        <v>28</v>
      </c>
      <c r="H228" s="4">
        <v>301</v>
      </c>
      <c r="I228" s="4">
        <v>8</v>
      </c>
      <c r="J228" s="38">
        <v>45522</v>
      </c>
      <c r="K228">
        <v>10.9</v>
      </c>
      <c r="L228">
        <v>10.7</v>
      </c>
      <c r="M228">
        <v>10.9</v>
      </c>
      <c r="N228" s="43">
        <f t="shared" si="3"/>
        <v>10.833333333333334</v>
      </c>
    </row>
    <row r="229" spans="1:14" x14ac:dyDescent="0.25">
      <c r="A229" s="4">
        <v>4</v>
      </c>
      <c r="B229" s="4">
        <v>1</v>
      </c>
      <c r="C229" s="4">
        <v>1</v>
      </c>
      <c r="D229" s="4">
        <v>4</v>
      </c>
      <c r="E229" s="4">
        <v>32</v>
      </c>
      <c r="F229" s="4" t="s">
        <v>25</v>
      </c>
      <c r="G229" t="s">
        <v>29</v>
      </c>
      <c r="H229" s="4">
        <v>401</v>
      </c>
      <c r="I229" s="4">
        <v>8</v>
      </c>
      <c r="J229" s="38">
        <v>45522</v>
      </c>
      <c r="K229">
        <v>11.2</v>
      </c>
      <c r="L229">
        <v>10.8</v>
      </c>
      <c r="M229">
        <v>11.4</v>
      </c>
      <c r="N229" s="43">
        <f t="shared" si="3"/>
        <v>11.133333333333333</v>
      </c>
    </row>
    <row r="230" spans="1:14" x14ac:dyDescent="0.25">
      <c r="A230" s="4">
        <v>4</v>
      </c>
      <c r="B230" s="4">
        <v>2</v>
      </c>
      <c r="C230" s="4">
        <v>1</v>
      </c>
      <c r="D230" s="4">
        <v>5</v>
      </c>
      <c r="E230" s="4">
        <v>31</v>
      </c>
      <c r="F230" s="4" t="s">
        <v>30</v>
      </c>
      <c r="G230" t="s">
        <v>32</v>
      </c>
      <c r="H230" s="4">
        <v>402</v>
      </c>
      <c r="I230" s="4">
        <v>8</v>
      </c>
      <c r="J230" s="38">
        <v>45550</v>
      </c>
      <c r="K230">
        <v>11</v>
      </c>
      <c r="L230">
        <v>11.4</v>
      </c>
      <c r="M230">
        <v>11.5</v>
      </c>
      <c r="N230" s="43">
        <f t="shared" si="3"/>
        <v>11.299999999999999</v>
      </c>
    </row>
    <row r="231" spans="1:14" x14ac:dyDescent="0.25">
      <c r="A231" s="4">
        <v>3</v>
      </c>
      <c r="B231" s="4">
        <v>2</v>
      </c>
      <c r="C231" s="4">
        <v>1</v>
      </c>
      <c r="D231" s="4">
        <v>6</v>
      </c>
      <c r="E231" s="4">
        <v>18</v>
      </c>
      <c r="F231" s="4" t="s">
        <v>30</v>
      </c>
      <c r="G231" t="s">
        <v>29</v>
      </c>
      <c r="H231" s="4">
        <v>302</v>
      </c>
      <c r="I231" s="4">
        <v>8</v>
      </c>
      <c r="J231" s="38">
        <v>45550</v>
      </c>
      <c r="K231">
        <v>11</v>
      </c>
      <c r="L231">
        <v>11</v>
      </c>
      <c r="M231">
        <v>11.3</v>
      </c>
      <c r="N231" s="43">
        <f t="shared" si="3"/>
        <v>11.1</v>
      </c>
    </row>
    <row r="232" spans="1:14" x14ac:dyDescent="0.25">
      <c r="A232" s="4">
        <v>2</v>
      </c>
      <c r="B232" s="4">
        <v>2</v>
      </c>
      <c r="C232" s="4">
        <v>1</v>
      </c>
      <c r="D232" s="4">
        <v>7</v>
      </c>
      <c r="E232" s="4">
        <v>15</v>
      </c>
      <c r="F232" s="4" t="s">
        <v>30</v>
      </c>
      <c r="G232" t="s">
        <v>28</v>
      </c>
      <c r="H232" s="4">
        <v>202</v>
      </c>
      <c r="I232" s="4">
        <v>8</v>
      </c>
      <c r="J232" s="38">
        <v>45550</v>
      </c>
      <c r="K232">
        <v>11</v>
      </c>
      <c r="L232">
        <v>10</v>
      </c>
      <c r="M232">
        <v>10</v>
      </c>
      <c r="N232" s="43">
        <f t="shared" si="3"/>
        <v>10.333333333333334</v>
      </c>
    </row>
    <row r="233" spans="1:14" x14ac:dyDescent="0.25">
      <c r="A233" s="4">
        <v>1</v>
      </c>
      <c r="B233" s="4">
        <v>2</v>
      </c>
      <c r="C233" s="4">
        <v>1</v>
      </c>
      <c r="D233" s="4">
        <v>8</v>
      </c>
      <c r="E233" s="4">
        <v>2</v>
      </c>
      <c r="F233" s="4" t="s">
        <v>30</v>
      </c>
      <c r="G233" t="s">
        <v>31</v>
      </c>
      <c r="H233" s="4">
        <v>102</v>
      </c>
      <c r="I233" s="4">
        <v>8</v>
      </c>
      <c r="J233" s="38">
        <v>45550</v>
      </c>
      <c r="K233">
        <v>11</v>
      </c>
      <c r="L233">
        <v>10</v>
      </c>
      <c r="M233">
        <v>10</v>
      </c>
      <c r="N233" s="43">
        <f t="shared" si="3"/>
        <v>10.333333333333334</v>
      </c>
    </row>
    <row r="234" spans="1:14" x14ac:dyDescent="0.25">
      <c r="A234" s="4">
        <v>1</v>
      </c>
      <c r="B234" s="4">
        <v>3</v>
      </c>
      <c r="C234" s="4">
        <v>2</v>
      </c>
      <c r="D234" s="4">
        <v>9</v>
      </c>
      <c r="E234" s="4">
        <v>3</v>
      </c>
      <c r="F234" s="4" t="s">
        <v>25</v>
      </c>
      <c r="G234" t="s">
        <v>27</v>
      </c>
      <c r="H234" s="4">
        <v>103</v>
      </c>
      <c r="I234" s="4">
        <v>8</v>
      </c>
      <c r="J234" s="38">
        <v>45522</v>
      </c>
      <c r="K234">
        <v>11</v>
      </c>
      <c r="L234">
        <v>10.3</v>
      </c>
      <c r="M234">
        <v>10.4</v>
      </c>
      <c r="N234" s="43">
        <f t="shared" si="3"/>
        <v>10.566666666666668</v>
      </c>
    </row>
    <row r="235" spans="1:14" x14ac:dyDescent="0.25">
      <c r="A235" s="4">
        <v>2</v>
      </c>
      <c r="B235" s="4">
        <v>3</v>
      </c>
      <c r="C235" s="4">
        <v>2</v>
      </c>
      <c r="D235" s="4">
        <v>10</v>
      </c>
      <c r="E235" s="4">
        <v>14</v>
      </c>
      <c r="F235" s="4" t="s">
        <v>25</v>
      </c>
      <c r="G235" t="s">
        <v>29</v>
      </c>
      <c r="H235" s="4">
        <v>203</v>
      </c>
      <c r="I235" s="4">
        <v>8</v>
      </c>
      <c r="J235" s="38">
        <v>45522</v>
      </c>
      <c r="K235">
        <v>11.7</v>
      </c>
      <c r="L235">
        <v>11.3</v>
      </c>
      <c r="M235">
        <v>10.9</v>
      </c>
      <c r="N235" s="43">
        <f t="shared" si="3"/>
        <v>11.299999999999999</v>
      </c>
    </row>
    <row r="236" spans="1:14" x14ac:dyDescent="0.25">
      <c r="A236" s="4">
        <v>3</v>
      </c>
      <c r="B236" s="4">
        <v>3</v>
      </c>
      <c r="C236" s="4">
        <v>2</v>
      </c>
      <c r="D236" s="4">
        <v>11</v>
      </c>
      <c r="E236" s="4">
        <v>19</v>
      </c>
      <c r="F236" s="4" t="s">
        <v>25</v>
      </c>
      <c r="G236" t="s">
        <v>26</v>
      </c>
      <c r="H236" s="4">
        <v>303</v>
      </c>
      <c r="I236" s="4">
        <v>8</v>
      </c>
      <c r="J236" s="38">
        <v>45522</v>
      </c>
      <c r="K236">
        <v>10.6</v>
      </c>
      <c r="L236">
        <v>10</v>
      </c>
      <c r="M236">
        <v>10.3</v>
      </c>
      <c r="N236" s="43">
        <f t="shared" si="3"/>
        <v>10.3</v>
      </c>
    </row>
    <row r="237" spans="1:14" x14ac:dyDescent="0.25">
      <c r="A237" s="4">
        <v>4</v>
      </c>
      <c r="B237" s="4">
        <v>3</v>
      </c>
      <c r="C237" s="4">
        <v>2</v>
      </c>
      <c r="D237" s="4">
        <v>12</v>
      </c>
      <c r="E237" s="4">
        <v>30</v>
      </c>
      <c r="F237" s="4" t="s">
        <v>25</v>
      </c>
      <c r="G237" t="s">
        <v>28</v>
      </c>
      <c r="H237" s="4">
        <v>403</v>
      </c>
      <c r="I237" s="4">
        <v>8</v>
      </c>
      <c r="J237" s="38">
        <v>45522</v>
      </c>
      <c r="K237">
        <v>10.9</v>
      </c>
      <c r="L237">
        <v>10.9</v>
      </c>
      <c r="M237">
        <v>11.1</v>
      </c>
      <c r="N237" s="43">
        <f t="shared" si="3"/>
        <v>10.966666666666667</v>
      </c>
    </row>
    <row r="238" spans="1:14" x14ac:dyDescent="0.25">
      <c r="A238" s="4">
        <v>4</v>
      </c>
      <c r="B238" s="4">
        <v>4</v>
      </c>
      <c r="C238" s="4">
        <v>2</v>
      </c>
      <c r="D238" s="4">
        <v>13</v>
      </c>
      <c r="E238" s="4">
        <v>29</v>
      </c>
      <c r="F238" s="4" t="s">
        <v>30</v>
      </c>
      <c r="G238" t="s">
        <v>29</v>
      </c>
      <c r="H238" s="4">
        <v>404</v>
      </c>
      <c r="I238" s="4">
        <v>8</v>
      </c>
      <c r="J238" s="38">
        <v>45550</v>
      </c>
      <c r="K238">
        <v>10.7</v>
      </c>
      <c r="L238">
        <v>11</v>
      </c>
      <c r="M238">
        <v>11.5</v>
      </c>
      <c r="N238" s="43">
        <f t="shared" si="3"/>
        <v>11.066666666666668</v>
      </c>
    </row>
    <row r="239" spans="1:14" x14ac:dyDescent="0.25">
      <c r="A239" s="4">
        <v>3</v>
      </c>
      <c r="B239" s="4">
        <v>4</v>
      </c>
      <c r="C239" s="4">
        <v>2</v>
      </c>
      <c r="D239" s="4">
        <v>14</v>
      </c>
      <c r="E239" s="4">
        <v>20</v>
      </c>
      <c r="F239" s="4" t="s">
        <v>30</v>
      </c>
      <c r="G239" t="s">
        <v>31</v>
      </c>
      <c r="H239" s="4">
        <v>304</v>
      </c>
      <c r="I239" s="4">
        <v>8</v>
      </c>
      <c r="J239" s="38">
        <v>45550</v>
      </c>
      <c r="K239">
        <v>10</v>
      </c>
      <c r="L239">
        <v>10</v>
      </c>
      <c r="M239">
        <v>10</v>
      </c>
      <c r="N239" s="43">
        <f t="shared" si="3"/>
        <v>10</v>
      </c>
    </row>
    <row r="240" spans="1:14" x14ac:dyDescent="0.25">
      <c r="A240" s="4">
        <v>2</v>
      </c>
      <c r="B240" s="4">
        <v>4</v>
      </c>
      <c r="C240" s="4">
        <v>2</v>
      </c>
      <c r="D240" s="4">
        <v>15</v>
      </c>
      <c r="E240" s="4">
        <v>13</v>
      </c>
      <c r="F240" s="4" t="s">
        <v>30</v>
      </c>
      <c r="G240" t="s">
        <v>32</v>
      </c>
      <c r="H240" s="4">
        <v>204</v>
      </c>
      <c r="I240" s="4">
        <v>8</v>
      </c>
      <c r="J240" s="38">
        <v>45550</v>
      </c>
      <c r="K240">
        <v>11</v>
      </c>
      <c r="L240">
        <v>11</v>
      </c>
      <c r="M240">
        <v>10.6</v>
      </c>
      <c r="N240" s="43">
        <f t="shared" si="3"/>
        <v>10.866666666666667</v>
      </c>
    </row>
    <row r="241" spans="1:14" x14ac:dyDescent="0.25">
      <c r="A241" s="4">
        <v>1</v>
      </c>
      <c r="B241" s="4">
        <v>4</v>
      </c>
      <c r="C241" s="4">
        <v>2</v>
      </c>
      <c r="D241" s="4">
        <v>16</v>
      </c>
      <c r="E241" s="4">
        <v>4</v>
      </c>
      <c r="F241" s="4" t="s">
        <v>30</v>
      </c>
      <c r="G241" t="s">
        <v>28</v>
      </c>
      <c r="H241" s="4">
        <v>104</v>
      </c>
      <c r="I241" s="4">
        <v>8</v>
      </c>
      <c r="J241" s="38">
        <v>45550</v>
      </c>
      <c r="K241">
        <v>11</v>
      </c>
      <c r="L241">
        <v>10.5</v>
      </c>
      <c r="M241">
        <v>11</v>
      </c>
      <c r="N241" s="43">
        <f t="shared" si="3"/>
        <v>10.833333333333334</v>
      </c>
    </row>
    <row r="242" spans="1:14" x14ac:dyDescent="0.25">
      <c r="A242" s="4">
        <v>1</v>
      </c>
      <c r="B242" s="4">
        <v>5</v>
      </c>
      <c r="C242" s="4">
        <v>3</v>
      </c>
      <c r="D242" s="4">
        <v>17</v>
      </c>
      <c r="E242" s="4">
        <v>5</v>
      </c>
      <c r="F242" s="4" t="s">
        <v>25</v>
      </c>
      <c r="G242" t="s">
        <v>28</v>
      </c>
      <c r="H242" s="4">
        <v>105</v>
      </c>
      <c r="I242" s="4">
        <v>8</v>
      </c>
      <c r="J242" s="38">
        <v>45522</v>
      </c>
      <c r="K242">
        <v>11.4</v>
      </c>
      <c r="L242">
        <v>10.8</v>
      </c>
      <c r="M242">
        <v>10.7</v>
      </c>
      <c r="N242" s="43">
        <f t="shared" si="3"/>
        <v>10.966666666666669</v>
      </c>
    </row>
    <row r="243" spans="1:14" x14ac:dyDescent="0.25">
      <c r="A243" s="4">
        <v>2</v>
      </c>
      <c r="B243" s="4">
        <v>5</v>
      </c>
      <c r="C243" s="4">
        <v>3</v>
      </c>
      <c r="D243" s="4">
        <v>18</v>
      </c>
      <c r="E243" s="4">
        <v>12</v>
      </c>
      <c r="F243" s="4" t="s">
        <v>25</v>
      </c>
      <c r="G243" t="s">
        <v>26</v>
      </c>
      <c r="H243" s="4">
        <v>205</v>
      </c>
      <c r="I243" s="4">
        <v>8</v>
      </c>
      <c r="J243" s="38">
        <v>45522</v>
      </c>
      <c r="K243">
        <v>10.1</v>
      </c>
      <c r="L243">
        <v>10.3</v>
      </c>
      <c r="M243">
        <v>9.8000000000000007</v>
      </c>
      <c r="N243" s="43">
        <f t="shared" si="3"/>
        <v>10.066666666666666</v>
      </c>
    </row>
    <row r="244" spans="1:14" x14ac:dyDescent="0.25">
      <c r="A244" s="4">
        <v>3</v>
      </c>
      <c r="B244" s="4">
        <v>5</v>
      </c>
      <c r="C244" s="4">
        <v>3</v>
      </c>
      <c r="D244" s="4">
        <v>19</v>
      </c>
      <c r="E244" s="4">
        <v>21</v>
      </c>
      <c r="F244" s="4" t="s">
        <v>25</v>
      </c>
      <c r="G244" t="s">
        <v>29</v>
      </c>
      <c r="H244" s="4">
        <v>305</v>
      </c>
      <c r="I244" s="4">
        <v>8</v>
      </c>
      <c r="J244" s="38">
        <v>45522</v>
      </c>
      <c r="K244">
        <v>10.8</v>
      </c>
      <c r="L244">
        <v>10.8</v>
      </c>
      <c r="M244">
        <v>11.5</v>
      </c>
      <c r="N244" s="43">
        <f t="shared" si="3"/>
        <v>11.033333333333333</v>
      </c>
    </row>
    <row r="245" spans="1:14" x14ac:dyDescent="0.25">
      <c r="A245" s="4">
        <v>4</v>
      </c>
      <c r="B245" s="4">
        <v>5</v>
      </c>
      <c r="C245" s="4">
        <v>3</v>
      </c>
      <c r="D245" s="4">
        <v>20</v>
      </c>
      <c r="E245" s="4">
        <v>28</v>
      </c>
      <c r="F245" s="4" t="s">
        <v>25</v>
      </c>
      <c r="G245" t="s">
        <v>27</v>
      </c>
      <c r="H245" s="4">
        <v>405</v>
      </c>
      <c r="I245" s="4">
        <v>8</v>
      </c>
      <c r="J245" s="38">
        <v>45522</v>
      </c>
      <c r="K245">
        <v>10.6</v>
      </c>
      <c r="L245">
        <v>10.5</v>
      </c>
      <c r="M245">
        <v>11.2</v>
      </c>
      <c r="N245" s="43">
        <f t="shared" si="3"/>
        <v>10.766666666666666</v>
      </c>
    </row>
    <row r="246" spans="1:14" x14ac:dyDescent="0.25">
      <c r="A246" s="4">
        <v>4</v>
      </c>
      <c r="B246" s="4">
        <v>6</v>
      </c>
      <c r="C246" s="4">
        <v>3</v>
      </c>
      <c r="D246" s="4">
        <v>21</v>
      </c>
      <c r="E246" s="4">
        <v>27</v>
      </c>
      <c r="F246" s="4" t="s">
        <v>30</v>
      </c>
      <c r="G246" t="s">
        <v>28</v>
      </c>
      <c r="H246" s="4">
        <v>406</v>
      </c>
      <c r="I246" s="4">
        <v>8</v>
      </c>
      <c r="J246" s="38">
        <v>45550</v>
      </c>
      <c r="K246">
        <v>10</v>
      </c>
      <c r="L246">
        <v>11</v>
      </c>
      <c r="M246">
        <v>10.8</v>
      </c>
      <c r="N246" s="43">
        <f t="shared" si="3"/>
        <v>10.6</v>
      </c>
    </row>
    <row r="247" spans="1:14" x14ac:dyDescent="0.25">
      <c r="A247" s="4">
        <v>3</v>
      </c>
      <c r="B247" s="4">
        <v>6</v>
      </c>
      <c r="C247" s="4">
        <v>3</v>
      </c>
      <c r="D247" s="4">
        <v>22</v>
      </c>
      <c r="E247" s="4">
        <v>22</v>
      </c>
      <c r="F247" s="4" t="s">
        <v>30</v>
      </c>
      <c r="G247" t="s">
        <v>32</v>
      </c>
      <c r="H247" s="4">
        <v>306</v>
      </c>
      <c r="I247" s="4">
        <v>8</v>
      </c>
      <c r="J247" s="38">
        <v>45550</v>
      </c>
      <c r="K247">
        <v>11.4</v>
      </c>
      <c r="L247">
        <v>11.5</v>
      </c>
      <c r="M247">
        <v>11.3</v>
      </c>
      <c r="N247" s="43">
        <f t="shared" si="3"/>
        <v>11.4</v>
      </c>
    </row>
    <row r="248" spans="1:14" x14ac:dyDescent="0.25">
      <c r="A248" s="4">
        <v>2</v>
      </c>
      <c r="B248" s="4">
        <v>6</v>
      </c>
      <c r="C248" s="4">
        <v>3</v>
      </c>
      <c r="D248" s="4">
        <v>23</v>
      </c>
      <c r="E248" s="4">
        <v>11</v>
      </c>
      <c r="F248" s="4" t="s">
        <v>30</v>
      </c>
      <c r="G248" t="s">
        <v>31</v>
      </c>
      <c r="H248" s="4">
        <v>206</v>
      </c>
      <c r="I248" s="4">
        <v>8</v>
      </c>
      <c r="J248" s="38">
        <v>45550</v>
      </c>
      <c r="K248">
        <v>10</v>
      </c>
      <c r="L248">
        <v>10</v>
      </c>
      <c r="M248">
        <v>10</v>
      </c>
      <c r="N248" s="43">
        <f t="shared" si="3"/>
        <v>10</v>
      </c>
    </row>
    <row r="249" spans="1:14" x14ac:dyDescent="0.25">
      <c r="A249" s="4">
        <v>1</v>
      </c>
      <c r="B249" s="4">
        <v>6</v>
      </c>
      <c r="C249" s="4">
        <v>3</v>
      </c>
      <c r="D249" s="4">
        <v>24</v>
      </c>
      <c r="E249" s="4">
        <v>6</v>
      </c>
      <c r="F249" s="4" t="s">
        <v>30</v>
      </c>
      <c r="G249" t="s">
        <v>29</v>
      </c>
      <c r="H249" s="4">
        <v>106</v>
      </c>
      <c r="I249" s="4">
        <v>8</v>
      </c>
      <c r="J249" s="38">
        <v>45550</v>
      </c>
      <c r="K249">
        <v>11.7</v>
      </c>
      <c r="L249">
        <v>11.5</v>
      </c>
      <c r="M249">
        <v>11</v>
      </c>
      <c r="N249" s="43">
        <f t="shared" si="3"/>
        <v>11.4</v>
      </c>
    </row>
    <row r="250" spans="1:14" x14ac:dyDescent="0.25">
      <c r="A250" s="4">
        <v>1</v>
      </c>
      <c r="B250" s="4">
        <v>7</v>
      </c>
      <c r="C250" s="4">
        <v>4</v>
      </c>
      <c r="D250" s="4">
        <v>25</v>
      </c>
      <c r="E250" s="4">
        <v>7</v>
      </c>
      <c r="F250" s="4" t="s">
        <v>25</v>
      </c>
      <c r="G250" t="s">
        <v>29</v>
      </c>
      <c r="H250" s="4">
        <v>107</v>
      </c>
      <c r="I250" s="4">
        <v>8</v>
      </c>
      <c r="J250" s="38">
        <v>45522</v>
      </c>
      <c r="K250">
        <v>11.6</v>
      </c>
      <c r="L250">
        <v>12.2</v>
      </c>
      <c r="M250">
        <v>10.9</v>
      </c>
      <c r="N250" s="43">
        <f t="shared" si="3"/>
        <v>11.566666666666665</v>
      </c>
    </row>
    <row r="251" spans="1:14" x14ac:dyDescent="0.25">
      <c r="A251" s="4">
        <v>2</v>
      </c>
      <c r="B251" s="4">
        <v>7</v>
      </c>
      <c r="C251" s="4">
        <v>4</v>
      </c>
      <c r="D251" s="4">
        <v>26</v>
      </c>
      <c r="E251" s="4">
        <v>10</v>
      </c>
      <c r="F251" s="4" t="s">
        <v>25</v>
      </c>
      <c r="G251" t="s">
        <v>28</v>
      </c>
      <c r="H251" s="4">
        <v>207</v>
      </c>
      <c r="I251" s="4">
        <v>8</v>
      </c>
      <c r="J251" s="38">
        <v>45522</v>
      </c>
      <c r="K251">
        <v>11.5</v>
      </c>
      <c r="L251">
        <v>11</v>
      </c>
      <c r="M251">
        <v>10.6</v>
      </c>
      <c r="N251" s="43">
        <f t="shared" si="3"/>
        <v>11.033333333333333</v>
      </c>
    </row>
    <row r="252" spans="1:14" x14ac:dyDescent="0.25">
      <c r="A252" s="4">
        <v>3</v>
      </c>
      <c r="B252" s="4">
        <v>7</v>
      </c>
      <c r="C252" s="4">
        <v>4</v>
      </c>
      <c r="D252" s="4">
        <v>27</v>
      </c>
      <c r="E252" s="4">
        <v>23</v>
      </c>
      <c r="F252" s="4" t="s">
        <v>25</v>
      </c>
      <c r="G252" t="s">
        <v>27</v>
      </c>
      <c r="H252" s="4">
        <v>307</v>
      </c>
      <c r="I252" s="4">
        <v>8</v>
      </c>
      <c r="J252" s="38">
        <v>45522</v>
      </c>
      <c r="K252">
        <v>10.9</v>
      </c>
      <c r="L252">
        <v>10.8</v>
      </c>
      <c r="M252">
        <v>10.4</v>
      </c>
      <c r="N252" s="43">
        <f t="shared" si="3"/>
        <v>10.700000000000001</v>
      </c>
    </row>
    <row r="253" spans="1:14" x14ac:dyDescent="0.25">
      <c r="A253" s="4">
        <v>4</v>
      </c>
      <c r="B253" s="4">
        <v>7</v>
      </c>
      <c r="C253" s="4">
        <v>4</v>
      </c>
      <c r="D253" s="4">
        <v>28</v>
      </c>
      <c r="E253" s="4">
        <v>26</v>
      </c>
      <c r="F253" s="4" t="s">
        <v>25</v>
      </c>
      <c r="G253" t="s">
        <v>26</v>
      </c>
      <c r="H253" s="4">
        <v>407</v>
      </c>
      <c r="I253" s="4">
        <v>8</v>
      </c>
      <c r="J253" s="38">
        <v>45522</v>
      </c>
      <c r="K253">
        <v>10.4</v>
      </c>
      <c r="L253">
        <v>9.8000000000000007</v>
      </c>
      <c r="M253">
        <v>10.7</v>
      </c>
      <c r="N253" s="43">
        <f t="shared" si="3"/>
        <v>10.3</v>
      </c>
    </row>
    <row r="254" spans="1:14" x14ac:dyDescent="0.25">
      <c r="A254" s="4">
        <v>4</v>
      </c>
      <c r="B254" s="4">
        <v>8</v>
      </c>
      <c r="C254" s="4">
        <v>4</v>
      </c>
      <c r="D254" s="4">
        <v>29</v>
      </c>
      <c r="E254" s="4">
        <v>25</v>
      </c>
      <c r="F254" s="4" t="s">
        <v>30</v>
      </c>
      <c r="G254" t="s">
        <v>31</v>
      </c>
      <c r="H254" s="4">
        <v>408</v>
      </c>
      <c r="I254" s="4">
        <v>8</v>
      </c>
      <c r="J254" s="38">
        <v>45550</v>
      </c>
      <c r="K254">
        <v>10</v>
      </c>
      <c r="L254">
        <v>10</v>
      </c>
      <c r="M254">
        <v>10</v>
      </c>
      <c r="N254" s="43">
        <f t="shared" si="3"/>
        <v>10</v>
      </c>
    </row>
    <row r="255" spans="1:14" x14ac:dyDescent="0.25">
      <c r="A255" s="4">
        <v>3</v>
      </c>
      <c r="B255" s="4">
        <v>8</v>
      </c>
      <c r="C255" s="4">
        <v>4</v>
      </c>
      <c r="D255" s="4">
        <v>30</v>
      </c>
      <c r="E255" s="4">
        <v>24</v>
      </c>
      <c r="F255" s="4" t="s">
        <v>30</v>
      </c>
      <c r="G255" t="s">
        <v>28</v>
      </c>
      <c r="H255" s="4">
        <v>308</v>
      </c>
      <c r="I255" s="4">
        <v>8</v>
      </c>
      <c r="J255" s="38">
        <v>45550</v>
      </c>
      <c r="K255">
        <v>11</v>
      </c>
      <c r="L255">
        <v>11</v>
      </c>
      <c r="M255">
        <v>10</v>
      </c>
      <c r="N255" s="43">
        <f t="shared" si="3"/>
        <v>10.666666666666666</v>
      </c>
    </row>
    <row r="256" spans="1:14" x14ac:dyDescent="0.25">
      <c r="A256" s="4">
        <v>2</v>
      </c>
      <c r="B256" s="4">
        <v>8</v>
      </c>
      <c r="C256" s="4">
        <v>4</v>
      </c>
      <c r="D256" s="4">
        <v>31</v>
      </c>
      <c r="E256" s="4">
        <v>9</v>
      </c>
      <c r="F256" s="4" t="s">
        <v>30</v>
      </c>
      <c r="G256" t="s">
        <v>29</v>
      </c>
      <c r="H256" s="4">
        <v>208</v>
      </c>
      <c r="I256" s="4">
        <v>8</v>
      </c>
      <c r="J256" s="38">
        <v>45550</v>
      </c>
      <c r="K256">
        <v>12</v>
      </c>
      <c r="L256">
        <v>11</v>
      </c>
      <c r="M256">
        <v>11.5</v>
      </c>
      <c r="N256" s="43">
        <f t="shared" si="3"/>
        <v>11.5</v>
      </c>
    </row>
    <row r="257" spans="1:14" x14ac:dyDescent="0.25">
      <c r="A257" s="4">
        <v>1</v>
      </c>
      <c r="B257" s="4">
        <v>8</v>
      </c>
      <c r="C257" s="4">
        <v>4</v>
      </c>
      <c r="D257" s="4">
        <v>32</v>
      </c>
      <c r="E257" s="4">
        <v>8</v>
      </c>
      <c r="F257" s="4" t="s">
        <v>30</v>
      </c>
      <c r="G257" t="s">
        <v>32</v>
      </c>
      <c r="H257" s="4">
        <v>108</v>
      </c>
      <c r="I257" s="4">
        <v>8</v>
      </c>
      <c r="J257" s="38">
        <v>45550</v>
      </c>
      <c r="K257">
        <v>11.4</v>
      </c>
      <c r="L257">
        <v>11</v>
      </c>
      <c r="M257">
        <v>11.4</v>
      </c>
      <c r="N257" s="43">
        <f t="shared" si="3"/>
        <v>11.266666666666666</v>
      </c>
    </row>
    <row r="258" spans="1:14" x14ac:dyDescent="0.25">
      <c r="A258" s="4">
        <v>1</v>
      </c>
      <c r="B258" s="4">
        <v>1</v>
      </c>
      <c r="C258" s="4">
        <v>1</v>
      </c>
      <c r="D258" s="4">
        <v>1</v>
      </c>
      <c r="E258" s="4">
        <v>1</v>
      </c>
      <c r="F258" s="4" t="s">
        <v>25</v>
      </c>
      <c r="G258" t="s">
        <v>26</v>
      </c>
      <c r="H258" s="4">
        <v>101</v>
      </c>
      <c r="I258" s="4">
        <v>9</v>
      </c>
      <c r="J258" s="38">
        <v>45532</v>
      </c>
      <c r="K258">
        <v>11.9</v>
      </c>
      <c r="L258">
        <v>11.7</v>
      </c>
      <c r="M258">
        <v>11.5</v>
      </c>
      <c r="N258" s="43">
        <f t="shared" si="3"/>
        <v>11.700000000000001</v>
      </c>
    </row>
    <row r="259" spans="1:14" x14ac:dyDescent="0.25">
      <c r="A259" s="4">
        <v>2</v>
      </c>
      <c r="B259" s="4">
        <v>1</v>
      </c>
      <c r="C259" s="4">
        <v>1</v>
      </c>
      <c r="D259" s="4">
        <v>2</v>
      </c>
      <c r="E259" s="4">
        <v>16</v>
      </c>
      <c r="F259" s="4" t="s">
        <v>25</v>
      </c>
      <c r="G259" t="s">
        <v>27</v>
      </c>
      <c r="H259" s="4">
        <v>201</v>
      </c>
      <c r="I259" s="4">
        <v>9</v>
      </c>
      <c r="J259" s="38">
        <v>45532</v>
      </c>
      <c r="K259">
        <v>12.1</v>
      </c>
      <c r="L259">
        <v>12.4</v>
      </c>
      <c r="M259">
        <v>11.9</v>
      </c>
      <c r="N259" s="43">
        <f t="shared" ref="N259:N264" si="4">AVERAGE(K259:M259)</f>
        <v>12.133333333333333</v>
      </c>
    </row>
    <row r="260" spans="1:14" x14ac:dyDescent="0.25">
      <c r="A260" s="4">
        <v>3</v>
      </c>
      <c r="B260" s="4">
        <v>1</v>
      </c>
      <c r="C260" s="4">
        <v>1</v>
      </c>
      <c r="D260" s="4">
        <v>3</v>
      </c>
      <c r="E260" s="4">
        <v>17</v>
      </c>
      <c r="F260" s="4" t="s">
        <v>25</v>
      </c>
      <c r="G260" t="s">
        <v>28</v>
      </c>
      <c r="H260" s="4">
        <v>301</v>
      </c>
      <c r="I260" s="4">
        <v>9</v>
      </c>
      <c r="J260" s="38">
        <v>45532</v>
      </c>
      <c r="K260">
        <v>11.7</v>
      </c>
      <c r="L260">
        <v>11.5</v>
      </c>
      <c r="M260">
        <v>11.6</v>
      </c>
      <c r="N260" s="43">
        <f t="shared" si="4"/>
        <v>11.6</v>
      </c>
    </row>
    <row r="261" spans="1:14" x14ac:dyDescent="0.25">
      <c r="A261" s="4">
        <v>4</v>
      </c>
      <c r="B261" s="4">
        <v>1</v>
      </c>
      <c r="C261" s="4">
        <v>1</v>
      </c>
      <c r="D261" s="4">
        <v>4</v>
      </c>
      <c r="E261" s="4">
        <v>32</v>
      </c>
      <c r="F261" s="4" t="s">
        <v>25</v>
      </c>
      <c r="G261" t="s">
        <v>29</v>
      </c>
      <c r="H261" s="4">
        <v>401</v>
      </c>
      <c r="I261" s="4">
        <v>9</v>
      </c>
      <c r="J261" s="38">
        <v>45532</v>
      </c>
      <c r="K261">
        <v>12.3</v>
      </c>
      <c r="L261">
        <v>12.3</v>
      </c>
      <c r="M261">
        <v>12.8</v>
      </c>
      <c r="N261" s="43">
        <f t="shared" si="4"/>
        <v>12.466666666666669</v>
      </c>
    </row>
    <row r="262" spans="1:14" x14ac:dyDescent="0.25">
      <c r="A262" s="4">
        <v>4</v>
      </c>
      <c r="B262" s="4">
        <v>2</v>
      </c>
      <c r="C262" s="4">
        <v>1</v>
      </c>
      <c r="D262" s="4">
        <v>5</v>
      </c>
      <c r="E262" s="4">
        <v>31</v>
      </c>
      <c r="F262" s="4" t="s">
        <v>30</v>
      </c>
      <c r="G262" t="s">
        <v>32</v>
      </c>
      <c r="H262" s="4">
        <v>402</v>
      </c>
      <c r="I262" s="4">
        <v>9</v>
      </c>
      <c r="J262" s="38">
        <v>45559</v>
      </c>
      <c r="K262" s="35">
        <v>11</v>
      </c>
      <c r="L262">
        <v>12</v>
      </c>
      <c r="M262">
        <v>12</v>
      </c>
      <c r="N262" s="43">
        <f t="shared" si="4"/>
        <v>11.666666666666666</v>
      </c>
    </row>
    <row r="263" spans="1:14" x14ac:dyDescent="0.25">
      <c r="A263" s="4">
        <v>3</v>
      </c>
      <c r="B263" s="4">
        <v>2</v>
      </c>
      <c r="C263" s="4">
        <v>1</v>
      </c>
      <c r="D263" s="4">
        <v>6</v>
      </c>
      <c r="E263" s="4">
        <v>18</v>
      </c>
      <c r="F263" s="4" t="s">
        <v>30</v>
      </c>
      <c r="G263" t="s">
        <v>29</v>
      </c>
      <c r="H263" s="4">
        <v>302</v>
      </c>
      <c r="I263" s="4">
        <v>9</v>
      </c>
      <c r="J263" s="38">
        <v>45559</v>
      </c>
      <c r="K263" s="141">
        <v>11</v>
      </c>
      <c r="L263" s="141">
        <v>11</v>
      </c>
      <c r="M263">
        <v>12</v>
      </c>
      <c r="N263" s="43">
        <f t="shared" si="4"/>
        <v>11.333333333333334</v>
      </c>
    </row>
    <row r="264" spans="1:14" x14ac:dyDescent="0.25">
      <c r="A264" s="4">
        <v>2</v>
      </c>
      <c r="B264" s="4">
        <v>2</v>
      </c>
      <c r="C264" s="4">
        <v>1</v>
      </c>
      <c r="D264" s="4">
        <v>7</v>
      </c>
      <c r="E264" s="4">
        <v>15</v>
      </c>
      <c r="F264" s="4" t="s">
        <v>30</v>
      </c>
      <c r="G264" t="s">
        <v>28</v>
      </c>
      <c r="H264" s="4">
        <v>202</v>
      </c>
      <c r="I264" s="4">
        <v>9</v>
      </c>
      <c r="J264" s="38">
        <v>45559</v>
      </c>
      <c r="K264" s="141">
        <v>11</v>
      </c>
      <c r="L264" s="141">
        <v>10</v>
      </c>
      <c r="M264" s="141">
        <v>10</v>
      </c>
      <c r="N264" s="43">
        <f t="shared" si="4"/>
        <v>10.333333333333334</v>
      </c>
    </row>
    <row r="265" spans="1:14" x14ac:dyDescent="0.25">
      <c r="A265" s="4">
        <v>1</v>
      </c>
      <c r="B265" s="4">
        <v>2</v>
      </c>
      <c r="C265" s="4">
        <v>1</v>
      </c>
      <c r="D265" s="4">
        <v>8</v>
      </c>
      <c r="E265" s="4">
        <v>2</v>
      </c>
      <c r="F265" s="4" t="s">
        <v>30</v>
      </c>
      <c r="G265" t="s">
        <v>31</v>
      </c>
      <c r="H265" s="4">
        <v>102</v>
      </c>
      <c r="I265" s="4">
        <v>9</v>
      </c>
      <c r="J265" s="38">
        <v>45559</v>
      </c>
    </row>
    <row r="266" spans="1:14" x14ac:dyDescent="0.25">
      <c r="A266" s="4">
        <v>1</v>
      </c>
      <c r="B266" s="4">
        <v>3</v>
      </c>
      <c r="C266" s="4">
        <v>2</v>
      </c>
      <c r="D266" s="4">
        <v>9</v>
      </c>
      <c r="E266" s="4">
        <v>3</v>
      </c>
      <c r="F266" s="4" t="s">
        <v>25</v>
      </c>
      <c r="G266" t="s">
        <v>27</v>
      </c>
      <c r="H266" s="4">
        <v>103</v>
      </c>
      <c r="I266" s="4">
        <v>9</v>
      </c>
      <c r="J266" s="38">
        <v>45532</v>
      </c>
      <c r="K266">
        <v>12.3</v>
      </c>
      <c r="L266">
        <v>11.4</v>
      </c>
      <c r="M266">
        <v>11.4</v>
      </c>
      <c r="N266" s="43">
        <f>AVERAGE(K266:M266)</f>
        <v>11.700000000000001</v>
      </c>
    </row>
    <row r="267" spans="1:14" x14ac:dyDescent="0.25">
      <c r="A267" s="4">
        <v>2</v>
      </c>
      <c r="B267" s="4">
        <v>3</v>
      </c>
      <c r="C267" s="4">
        <v>2</v>
      </c>
      <c r="D267" s="4">
        <v>10</v>
      </c>
      <c r="E267" s="4">
        <v>14</v>
      </c>
      <c r="F267" s="4" t="s">
        <v>25</v>
      </c>
      <c r="G267" t="s">
        <v>29</v>
      </c>
      <c r="H267" s="4">
        <v>203</v>
      </c>
      <c r="I267" s="4">
        <v>9</v>
      </c>
      <c r="J267" s="38">
        <v>45532</v>
      </c>
      <c r="K267">
        <v>12.7</v>
      </c>
      <c r="L267">
        <v>12.4</v>
      </c>
      <c r="M267">
        <v>12</v>
      </c>
      <c r="N267" s="43">
        <f>AVERAGE(K267:M267)</f>
        <v>12.366666666666667</v>
      </c>
    </row>
    <row r="268" spans="1:14" x14ac:dyDescent="0.25">
      <c r="A268" s="4">
        <v>3</v>
      </c>
      <c r="B268" s="4">
        <v>3</v>
      </c>
      <c r="C268" s="4">
        <v>2</v>
      </c>
      <c r="D268" s="4">
        <v>11</v>
      </c>
      <c r="E268" s="4">
        <v>19</v>
      </c>
      <c r="F268" s="4" t="s">
        <v>25</v>
      </c>
      <c r="G268" t="s">
        <v>26</v>
      </c>
      <c r="H268" s="4">
        <v>303</v>
      </c>
      <c r="I268" s="4">
        <v>9</v>
      </c>
      <c r="J268" s="38">
        <v>45532</v>
      </c>
      <c r="K268">
        <v>11.8</v>
      </c>
      <c r="L268">
        <v>11.4</v>
      </c>
      <c r="M268">
        <v>11.6</v>
      </c>
      <c r="N268" s="43">
        <f>AVERAGE(K268:M268)</f>
        <v>11.600000000000001</v>
      </c>
    </row>
    <row r="269" spans="1:14" x14ac:dyDescent="0.25">
      <c r="A269" s="4">
        <v>4</v>
      </c>
      <c r="B269" s="4">
        <v>3</v>
      </c>
      <c r="C269" s="4">
        <v>2</v>
      </c>
      <c r="D269" s="4">
        <v>12</v>
      </c>
      <c r="E269" s="4">
        <v>30</v>
      </c>
      <c r="F269" s="4" t="s">
        <v>25</v>
      </c>
      <c r="G269" t="s">
        <v>28</v>
      </c>
      <c r="H269" s="4">
        <v>403</v>
      </c>
      <c r="I269" s="4">
        <v>9</v>
      </c>
      <c r="J269" s="38">
        <v>45532</v>
      </c>
      <c r="K269">
        <v>11.7</v>
      </c>
      <c r="L269">
        <v>11.8</v>
      </c>
      <c r="M269">
        <v>11.8</v>
      </c>
      <c r="N269" s="43">
        <f>AVERAGE(K269:M269)</f>
        <v>11.766666666666666</v>
      </c>
    </row>
    <row r="270" spans="1:14" x14ac:dyDescent="0.25">
      <c r="A270" s="4">
        <v>4</v>
      </c>
      <c r="B270" s="4">
        <v>4</v>
      </c>
      <c r="C270" s="4">
        <v>2</v>
      </c>
      <c r="D270" s="4">
        <v>13</v>
      </c>
      <c r="E270" s="4">
        <v>29</v>
      </c>
      <c r="F270" s="4" t="s">
        <v>30</v>
      </c>
      <c r="G270" t="s">
        <v>29</v>
      </c>
      <c r="H270" s="4">
        <v>404</v>
      </c>
      <c r="I270" s="4">
        <v>9</v>
      </c>
      <c r="J270" s="38">
        <v>45559</v>
      </c>
      <c r="K270">
        <v>11</v>
      </c>
      <c r="L270" s="141">
        <v>11</v>
      </c>
      <c r="M270">
        <v>12</v>
      </c>
      <c r="N270" s="43">
        <f>AVERAGE(K270:M270)</f>
        <v>11.333333333333334</v>
      </c>
    </row>
    <row r="271" spans="1:14" x14ac:dyDescent="0.25">
      <c r="A271" s="4">
        <v>3</v>
      </c>
      <c r="B271" s="4">
        <v>4</v>
      </c>
      <c r="C271" s="4">
        <v>2</v>
      </c>
      <c r="D271" s="4">
        <v>14</v>
      </c>
      <c r="E271" s="4">
        <v>20</v>
      </c>
      <c r="F271" s="4" t="s">
        <v>30</v>
      </c>
      <c r="G271" t="s">
        <v>31</v>
      </c>
      <c r="H271" s="4">
        <v>304</v>
      </c>
      <c r="I271" s="4">
        <v>9</v>
      </c>
      <c r="J271" s="38">
        <v>45559</v>
      </c>
    </row>
    <row r="272" spans="1:14" x14ac:dyDescent="0.25">
      <c r="A272" s="4">
        <v>2</v>
      </c>
      <c r="B272" s="4">
        <v>4</v>
      </c>
      <c r="C272" s="4">
        <v>2</v>
      </c>
      <c r="D272" s="4">
        <v>15</v>
      </c>
      <c r="E272" s="4">
        <v>13</v>
      </c>
      <c r="F272" s="4" t="s">
        <v>30</v>
      </c>
      <c r="G272" t="s">
        <v>32</v>
      </c>
      <c r="H272" s="4">
        <v>204</v>
      </c>
      <c r="I272" s="4">
        <v>9</v>
      </c>
      <c r="J272" s="38">
        <v>45559</v>
      </c>
      <c r="K272" s="35">
        <v>11</v>
      </c>
      <c r="L272" s="35">
        <v>11</v>
      </c>
      <c r="M272">
        <v>11</v>
      </c>
      <c r="N272" s="43">
        <f>AVERAGE(M272)</f>
        <v>11</v>
      </c>
    </row>
    <row r="273" spans="1:14" x14ac:dyDescent="0.25">
      <c r="A273" s="4">
        <v>1</v>
      </c>
      <c r="B273" s="4">
        <v>4</v>
      </c>
      <c r="C273" s="4">
        <v>2</v>
      </c>
      <c r="D273" s="4">
        <v>16</v>
      </c>
      <c r="E273" s="4">
        <v>4</v>
      </c>
      <c r="F273" s="4" t="s">
        <v>30</v>
      </c>
      <c r="G273" t="s">
        <v>28</v>
      </c>
      <c r="H273" s="4">
        <v>104</v>
      </c>
      <c r="I273" s="4">
        <v>9</v>
      </c>
      <c r="J273" s="38">
        <v>45559</v>
      </c>
      <c r="K273" s="141">
        <v>11</v>
      </c>
      <c r="L273">
        <v>11</v>
      </c>
      <c r="M273" s="141">
        <v>11</v>
      </c>
      <c r="N273" s="43">
        <f t="shared" ref="N273" si="5">AVERAGE(K273:M273)</f>
        <v>11</v>
      </c>
    </row>
    <row r="274" spans="1:14" x14ac:dyDescent="0.25">
      <c r="A274" s="4">
        <v>1</v>
      </c>
      <c r="B274" s="4">
        <v>5</v>
      </c>
      <c r="C274" s="4">
        <v>3</v>
      </c>
      <c r="D274" s="4">
        <v>17</v>
      </c>
      <c r="E274" s="4">
        <v>5</v>
      </c>
      <c r="F274" s="4" t="s">
        <v>25</v>
      </c>
      <c r="G274" t="s">
        <v>28</v>
      </c>
      <c r="H274" s="4">
        <v>105</v>
      </c>
      <c r="I274" s="4">
        <v>9</v>
      </c>
      <c r="J274" s="38">
        <v>45532</v>
      </c>
      <c r="K274">
        <v>12.3</v>
      </c>
      <c r="L274">
        <v>11.7</v>
      </c>
      <c r="M274">
        <v>11.5</v>
      </c>
      <c r="N274" s="43">
        <f>AVERAGE(K274:M274)</f>
        <v>11.833333333333334</v>
      </c>
    </row>
    <row r="275" spans="1:14" x14ac:dyDescent="0.25">
      <c r="A275" s="4">
        <v>2</v>
      </c>
      <c r="B275" s="4">
        <v>5</v>
      </c>
      <c r="C275" s="4">
        <v>3</v>
      </c>
      <c r="D275" s="4">
        <v>18</v>
      </c>
      <c r="E275" s="4">
        <v>12</v>
      </c>
      <c r="F275" s="4" t="s">
        <v>25</v>
      </c>
      <c r="G275" t="s">
        <v>26</v>
      </c>
      <c r="H275" s="4">
        <v>205</v>
      </c>
      <c r="I275" s="4">
        <v>9</v>
      </c>
      <c r="J275" s="38">
        <v>45532</v>
      </c>
      <c r="K275">
        <v>11.4</v>
      </c>
      <c r="L275">
        <v>11.5</v>
      </c>
      <c r="M275">
        <v>11</v>
      </c>
      <c r="N275" s="43">
        <f>AVERAGE(K275:M275)</f>
        <v>11.299999999999999</v>
      </c>
    </row>
    <row r="276" spans="1:14" x14ac:dyDescent="0.25">
      <c r="A276" s="4">
        <v>3</v>
      </c>
      <c r="B276" s="4">
        <v>5</v>
      </c>
      <c r="C276" s="4">
        <v>3</v>
      </c>
      <c r="D276" s="4">
        <v>19</v>
      </c>
      <c r="E276" s="4">
        <v>21</v>
      </c>
      <c r="F276" s="4" t="s">
        <v>25</v>
      </c>
      <c r="G276" t="s">
        <v>29</v>
      </c>
      <c r="H276" s="4">
        <v>305</v>
      </c>
      <c r="I276" s="4">
        <v>9</v>
      </c>
      <c r="J276" s="38">
        <v>45532</v>
      </c>
      <c r="K276">
        <v>12</v>
      </c>
      <c r="L276">
        <v>12.1</v>
      </c>
      <c r="M276">
        <v>12.5</v>
      </c>
      <c r="N276" s="43">
        <f>AVERAGE(K276:M276)</f>
        <v>12.200000000000001</v>
      </c>
    </row>
    <row r="277" spans="1:14" x14ac:dyDescent="0.25">
      <c r="A277" s="4">
        <v>4</v>
      </c>
      <c r="B277" s="4">
        <v>5</v>
      </c>
      <c r="C277" s="4">
        <v>3</v>
      </c>
      <c r="D277" s="4">
        <v>20</v>
      </c>
      <c r="E277" s="4">
        <v>28</v>
      </c>
      <c r="F277" s="4" t="s">
        <v>25</v>
      </c>
      <c r="G277" t="s">
        <v>27</v>
      </c>
      <c r="H277" s="4">
        <v>405</v>
      </c>
      <c r="I277" s="4">
        <v>9</v>
      </c>
      <c r="J277" s="38">
        <v>45532</v>
      </c>
      <c r="K277">
        <v>11.5</v>
      </c>
      <c r="L277">
        <v>11.4</v>
      </c>
      <c r="M277">
        <v>12.2</v>
      </c>
      <c r="N277" s="43">
        <f>AVERAGE(K277:M277)</f>
        <v>11.699999999999998</v>
      </c>
    </row>
    <row r="278" spans="1:14" x14ac:dyDescent="0.25">
      <c r="A278" s="4">
        <v>4</v>
      </c>
      <c r="B278" s="4">
        <v>6</v>
      </c>
      <c r="C278" s="4">
        <v>3</v>
      </c>
      <c r="D278" s="4">
        <v>21</v>
      </c>
      <c r="E278" s="4">
        <v>27</v>
      </c>
      <c r="F278" s="4" t="s">
        <v>30</v>
      </c>
      <c r="G278" t="s">
        <v>28</v>
      </c>
      <c r="H278" s="4">
        <v>406</v>
      </c>
      <c r="I278" s="4">
        <v>9</v>
      </c>
      <c r="J278" s="38">
        <v>45559</v>
      </c>
      <c r="K278" s="141">
        <v>10</v>
      </c>
      <c r="L278" s="141">
        <v>11</v>
      </c>
      <c r="M278">
        <v>11</v>
      </c>
      <c r="N278" s="43">
        <f t="shared" ref="N278" si="6">AVERAGE(K278:M278)</f>
        <v>10.666666666666666</v>
      </c>
    </row>
    <row r="279" spans="1:14" x14ac:dyDescent="0.25">
      <c r="A279" s="4">
        <v>3</v>
      </c>
      <c r="B279" s="4">
        <v>6</v>
      </c>
      <c r="C279" s="4">
        <v>3</v>
      </c>
      <c r="D279" s="4">
        <v>22</v>
      </c>
      <c r="E279" s="4">
        <v>22</v>
      </c>
      <c r="F279" s="4" t="s">
        <v>30</v>
      </c>
      <c r="G279" t="s">
        <v>32</v>
      </c>
      <c r="H279" s="4">
        <v>306</v>
      </c>
      <c r="I279" s="4">
        <v>9</v>
      </c>
      <c r="J279" s="38">
        <v>45559</v>
      </c>
      <c r="K279">
        <v>12</v>
      </c>
      <c r="L279">
        <v>12</v>
      </c>
      <c r="M279">
        <v>12</v>
      </c>
      <c r="N279" s="43">
        <f>AVERAGE(K279:M279)</f>
        <v>12</v>
      </c>
    </row>
    <row r="280" spans="1:14" x14ac:dyDescent="0.25">
      <c r="A280" s="4">
        <v>2</v>
      </c>
      <c r="B280" s="4">
        <v>6</v>
      </c>
      <c r="C280" s="4">
        <v>3</v>
      </c>
      <c r="D280" s="4">
        <v>23</v>
      </c>
      <c r="E280" s="4">
        <v>11</v>
      </c>
      <c r="F280" s="4" t="s">
        <v>30</v>
      </c>
      <c r="G280" t="s">
        <v>31</v>
      </c>
      <c r="H280" s="4">
        <v>206</v>
      </c>
      <c r="I280" s="4">
        <v>9</v>
      </c>
      <c r="J280" s="38">
        <v>45559</v>
      </c>
    </row>
    <row r="281" spans="1:14" x14ac:dyDescent="0.25">
      <c r="A281" s="4">
        <v>1</v>
      </c>
      <c r="B281" s="4">
        <v>6</v>
      </c>
      <c r="C281" s="4">
        <v>3</v>
      </c>
      <c r="D281" s="4">
        <v>24</v>
      </c>
      <c r="E281" s="4">
        <v>6</v>
      </c>
      <c r="F281" s="4" t="s">
        <v>30</v>
      </c>
      <c r="G281" t="s">
        <v>29</v>
      </c>
      <c r="H281" s="4">
        <v>106</v>
      </c>
      <c r="I281" s="4">
        <v>9</v>
      </c>
      <c r="J281" s="38">
        <v>45559</v>
      </c>
      <c r="K281">
        <v>12</v>
      </c>
      <c r="L281">
        <v>12</v>
      </c>
      <c r="M281" s="141">
        <v>11</v>
      </c>
      <c r="N281" s="43">
        <f>AVERAGE(K281:L281)</f>
        <v>12</v>
      </c>
    </row>
    <row r="282" spans="1:14" x14ac:dyDescent="0.25">
      <c r="A282" s="4">
        <v>1</v>
      </c>
      <c r="B282" s="4">
        <v>7</v>
      </c>
      <c r="C282" s="4">
        <v>4</v>
      </c>
      <c r="D282" s="4">
        <v>25</v>
      </c>
      <c r="E282" s="4">
        <v>7</v>
      </c>
      <c r="F282" s="4" t="s">
        <v>25</v>
      </c>
      <c r="G282" t="s">
        <v>29</v>
      </c>
      <c r="H282" s="4">
        <v>107</v>
      </c>
      <c r="I282" s="4">
        <v>9</v>
      </c>
      <c r="J282" s="38">
        <v>45532</v>
      </c>
      <c r="K282">
        <v>13</v>
      </c>
      <c r="L282">
        <v>13.4</v>
      </c>
      <c r="M282">
        <v>12.3</v>
      </c>
      <c r="N282" s="43">
        <f>AVERAGE(K282:M282)</f>
        <v>12.9</v>
      </c>
    </row>
    <row r="283" spans="1:14" x14ac:dyDescent="0.25">
      <c r="A283" s="4">
        <v>2</v>
      </c>
      <c r="B283" s="4">
        <v>7</v>
      </c>
      <c r="C283" s="4">
        <v>4</v>
      </c>
      <c r="D283" s="4">
        <v>26</v>
      </c>
      <c r="E283" s="4">
        <v>10</v>
      </c>
      <c r="F283" s="4" t="s">
        <v>25</v>
      </c>
      <c r="G283" t="s">
        <v>28</v>
      </c>
      <c r="H283" s="4">
        <v>207</v>
      </c>
      <c r="I283" s="4">
        <v>9</v>
      </c>
      <c r="J283" s="38">
        <v>45532</v>
      </c>
      <c r="K283">
        <v>12.4</v>
      </c>
      <c r="L283">
        <v>11.8</v>
      </c>
      <c r="M283">
        <v>11.6</v>
      </c>
      <c r="N283" s="43">
        <f>AVERAGE(K283:M283)</f>
        <v>11.933333333333335</v>
      </c>
    </row>
    <row r="284" spans="1:14" x14ac:dyDescent="0.25">
      <c r="A284" s="4">
        <v>3</v>
      </c>
      <c r="B284" s="4">
        <v>7</v>
      </c>
      <c r="C284" s="4">
        <v>4</v>
      </c>
      <c r="D284" s="4">
        <v>27</v>
      </c>
      <c r="E284" s="4">
        <v>23</v>
      </c>
      <c r="F284" s="4" t="s">
        <v>25</v>
      </c>
      <c r="G284" t="s">
        <v>27</v>
      </c>
      <c r="H284" s="4">
        <v>307</v>
      </c>
      <c r="I284" s="4">
        <v>9</v>
      </c>
      <c r="J284" s="38">
        <v>45532</v>
      </c>
      <c r="K284">
        <v>11.9</v>
      </c>
      <c r="L284">
        <v>12.1</v>
      </c>
      <c r="M284">
        <v>11.4</v>
      </c>
      <c r="N284" s="43">
        <f>AVERAGE(K284:M284)</f>
        <v>11.799999999999999</v>
      </c>
    </row>
    <row r="285" spans="1:14" x14ac:dyDescent="0.25">
      <c r="A285" s="4">
        <v>4</v>
      </c>
      <c r="B285" s="4">
        <v>7</v>
      </c>
      <c r="C285" s="4">
        <v>4</v>
      </c>
      <c r="D285" s="4">
        <v>28</v>
      </c>
      <c r="E285" s="4">
        <v>26</v>
      </c>
      <c r="F285" s="4" t="s">
        <v>25</v>
      </c>
      <c r="G285" t="s">
        <v>26</v>
      </c>
      <c r="H285" s="4">
        <v>407</v>
      </c>
      <c r="I285" s="4">
        <v>9</v>
      </c>
      <c r="J285" s="38">
        <v>45532</v>
      </c>
      <c r="K285">
        <v>11.7</v>
      </c>
      <c r="L285">
        <v>11.3</v>
      </c>
      <c r="M285">
        <v>12</v>
      </c>
      <c r="N285" s="43">
        <f>AVERAGE(K285:M285)</f>
        <v>11.666666666666666</v>
      </c>
    </row>
    <row r="286" spans="1:14" x14ac:dyDescent="0.25">
      <c r="A286" s="4">
        <v>4</v>
      </c>
      <c r="B286" s="4">
        <v>8</v>
      </c>
      <c r="C286" s="4">
        <v>4</v>
      </c>
      <c r="D286" s="4">
        <v>29</v>
      </c>
      <c r="E286" s="4">
        <v>25</v>
      </c>
      <c r="F286" s="4" t="s">
        <v>30</v>
      </c>
      <c r="G286" t="s">
        <v>31</v>
      </c>
      <c r="H286" s="4">
        <v>408</v>
      </c>
      <c r="I286" s="4">
        <v>9</v>
      </c>
      <c r="J286" s="38">
        <v>45559</v>
      </c>
    </row>
    <row r="287" spans="1:14" x14ac:dyDescent="0.25">
      <c r="A287" s="4">
        <v>3</v>
      </c>
      <c r="B287" s="4">
        <v>8</v>
      </c>
      <c r="C287" s="4">
        <v>4</v>
      </c>
      <c r="D287" s="4">
        <v>30</v>
      </c>
      <c r="E287" s="4">
        <v>24</v>
      </c>
      <c r="F287" s="4" t="s">
        <v>30</v>
      </c>
      <c r="G287" t="s">
        <v>28</v>
      </c>
      <c r="H287" s="4">
        <v>308</v>
      </c>
      <c r="I287" s="4">
        <v>9</v>
      </c>
      <c r="J287" s="38">
        <v>45559</v>
      </c>
      <c r="K287" s="141">
        <v>11</v>
      </c>
      <c r="L287" s="141">
        <v>11</v>
      </c>
      <c r="M287" s="141">
        <v>10</v>
      </c>
      <c r="N287" s="43">
        <f t="shared" ref="N287" si="7">AVERAGE(K287:M287)</f>
        <v>10.666666666666666</v>
      </c>
    </row>
    <row r="288" spans="1:14" x14ac:dyDescent="0.25">
      <c r="A288" s="4">
        <v>2</v>
      </c>
      <c r="B288" s="4">
        <v>8</v>
      </c>
      <c r="C288" s="4">
        <v>4</v>
      </c>
      <c r="D288" s="4">
        <v>31</v>
      </c>
      <c r="E288" s="4">
        <v>9</v>
      </c>
      <c r="F288" s="4" t="s">
        <v>30</v>
      </c>
      <c r="G288" t="s">
        <v>29</v>
      </c>
      <c r="H288" s="4">
        <v>208</v>
      </c>
      <c r="I288" s="4">
        <v>9</v>
      </c>
      <c r="J288" s="38">
        <v>45559</v>
      </c>
      <c r="K288" s="141">
        <v>12</v>
      </c>
      <c r="L288" s="141">
        <v>11</v>
      </c>
      <c r="M288">
        <v>12</v>
      </c>
      <c r="N288" s="43">
        <f>AVERAGE(M288)</f>
        <v>12</v>
      </c>
    </row>
    <row r="289" spans="1:14" x14ac:dyDescent="0.25">
      <c r="A289" s="4">
        <v>1</v>
      </c>
      <c r="B289" s="4">
        <v>8</v>
      </c>
      <c r="C289" s="4">
        <v>4</v>
      </c>
      <c r="D289" s="4">
        <v>32</v>
      </c>
      <c r="E289" s="4">
        <v>8</v>
      </c>
      <c r="F289" s="4" t="s">
        <v>30</v>
      </c>
      <c r="G289" t="s">
        <v>32</v>
      </c>
      <c r="H289" s="4">
        <v>108</v>
      </c>
      <c r="I289" s="4">
        <v>9</v>
      </c>
      <c r="J289" s="38">
        <v>45559</v>
      </c>
      <c r="K289">
        <v>12</v>
      </c>
      <c r="L289" s="35">
        <v>11</v>
      </c>
      <c r="M289">
        <v>12</v>
      </c>
      <c r="N289" s="43">
        <f>AVERAGE(K289:M289)</f>
        <v>11.666666666666666</v>
      </c>
    </row>
    <row r="290" spans="1:14" x14ac:dyDescent="0.25">
      <c r="A290" s="4">
        <v>1</v>
      </c>
      <c r="B290" s="4">
        <v>1</v>
      </c>
      <c r="C290" s="4">
        <v>1</v>
      </c>
      <c r="D290" s="4">
        <v>1</v>
      </c>
      <c r="E290" s="4">
        <v>1</v>
      </c>
      <c r="F290" s="4" t="s">
        <v>25</v>
      </c>
      <c r="G290" t="s">
        <v>26</v>
      </c>
      <c r="H290" s="4">
        <v>101</v>
      </c>
      <c r="I290" s="4">
        <v>10</v>
      </c>
      <c r="J290" s="38">
        <v>45550</v>
      </c>
      <c r="K290">
        <v>13</v>
      </c>
      <c r="L290">
        <v>13.6</v>
      </c>
      <c r="M290">
        <v>13.3</v>
      </c>
      <c r="N290" s="43">
        <f>AVERAGE(K290:M290)</f>
        <v>13.300000000000002</v>
      </c>
    </row>
    <row r="291" spans="1:14" x14ac:dyDescent="0.25">
      <c r="A291" s="4">
        <v>2</v>
      </c>
      <c r="B291" s="4">
        <v>1</v>
      </c>
      <c r="C291" s="4">
        <v>1</v>
      </c>
      <c r="D291" s="4">
        <v>2</v>
      </c>
      <c r="E291" s="4">
        <v>16</v>
      </c>
      <c r="F291" s="4" t="s">
        <v>25</v>
      </c>
      <c r="G291" t="s">
        <v>27</v>
      </c>
      <c r="H291" s="4">
        <v>201</v>
      </c>
      <c r="I291" s="4">
        <v>10</v>
      </c>
      <c r="J291" s="38">
        <v>45550</v>
      </c>
      <c r="K291">
        <v>13</v>
      </c>
      <c r="L291">
        <v>13</v>
      </c>
      <c r="M291">
        <v>13</v>
      </c>
      <c r="N291" s="43">
        <f>AVERAGE(K291:M291)</f>
        <v>13</v>
      </c>
    </row>
    <row r="292" spans="1:14" x14ac:dyDescent="0.25">
      <c r="A292" s="4">
        <v>3</v>
      </c>
      <c r="B292" s="4">
        <v>1</v>
      </c>
      <c r="C292" s="4">
        <v>1</v>
      </c>
      <c r="D292" s="4">
        <v>3</v>
      </c>
      <c r="E292" s="4">
        <v>17</v>
      </c>
      <c r="F292" s="4" t="s">
        <v>25</v>
      </c>
      <c r="G292" t="s">
        <v>28</v>
      </c>
      <c r="H292" s="4">
        <v>301</v>
      </c>
      <c r="I292" s="4">
        <v>10</v>
      </c>
      <c r="J292" s="38">
        <v>45550</v>
      </c>
      <c r="K292">
        <v>12</v>
      </c>
      <c r="L292">
        <v>12</v>
      </c>
      <c r="M292">
        <v>12</v>
      </c>
      <c r="N292" s="43">
        <f>AVERAGE(K292:M292)</f>
        <v>12</v>
      </c>
    </row>
    <row r="293" spans="1:14" x14ac:dyDescent="0.25">
      <c r="A293" s="4">
        <v>4</v>
      </c>
      <c r="B293" s="4">
        <v>1</v>
      </c>
      <c r="C293" s="4">
        <v>1</v>
      </c>
      <c r="D293" s="4">
        <v>4</v>
      </c>
      <c r="E293" s="4">
        <v>32</v>
      </c>
      <c r="F293" s="4" t="s">
        <v>25</v>
      </c>
      <c r="G293" t="s">
        <v>29</v>
      </c>
      <c r="H293" s="4">
        <v>401</v>
      </c>
      <c r="I293" s="4">
        <v>10</v>
      </c>
      <c r="J293" s="38">
        <v>45550</v>
      </c>
      <c r="K293">
        <v>13</v>
      </c>
      <c r="L293">
        <v>13</v>
      </c>
      <c r="M293">
        <v>14</v>
      </c>
      <c r="N293" s="43">
        <f>AVERAGE(K293:M293)</f>
        <v>13.333333333333334</v>
      </c>
    </row>
    <row r="294" spans="1:14" x14ac:dyDescent="0.25">
      <c r="A294" s="4">
        <v>4</v>
      </c>
      <c r="B294" s="4">
        <v>2</v>
      </c>
      <c r="C294" s="4">
        <v>1</v>
      </c>
      <c r="D294" s="4">
        <v>5</v>
      </c>
      <c r="E294" s="4">
        <v>31</v>
      </c>
      <c r="F294" s="4" t="s">
        <v>30</v>
      </c>
      <c r="G294" t="s">
        <v>32</v>
      </c>
      <c r="H294" s="4">
        <v>402</v>
      </c>
      <c r="I294" s="4">
        <v>10</v>
      </c>
      <c r="J294" s="38"/>
    </row>
    <row r="295" spans="1:14" x14ac:dyDescent="0.25">
      <c r="A295" s="4">
        <v>3</v>
      </c>
      <c r="B295" s="4">
        <v>2</v>
      </c>
      <c r="C295" s="4">
        <v>1</v>
      </c>
      <c r="D295" s="4">
        <v>6</v>
      </c>
      <c r="E295" s="4">
        <v>18</v>
      </c>
      <c r="F295" s="4" t="s">
        <v>30</v>
      </c>
      <c r="G295" t="s">
        <v>29</v>
      </c>
      <c r="H295" s="4">
        <v>302</v>
      </c>
      <c r="I295" s="4">
        <v>10</v>
      </c>
      <c r="J295" s="38"/>
    </row>
    <row r="296" spans="1:14" x14ac:dyDescent="0.25">
      <c r="A296" s="4">
        <v>2</v>
      </c>
      <c r="B296" s="4">
        <v>2</v>
      </c>
      <c r="C296" s="4">
        <v>1</v>
      </c>
      <c r="D296" s="4">
        <v>7</v>
      </c>
      <c r="E296" s="4">
        <v>15</v>
      </c>
      <c r="F296" s="4" t="s">
        <v>30</v>
      </c>
      <c r="G296" t="s">
        <v>28</v>
      </c>
      <c r="H296" s="4">
        <v>202</v>
      </c>
      <c r="I296" s="4">
        <v>10</v>
      </c>
      <c r="J296" s="38"/>
    </row>
    <row r="297" spans="1:14" x14ac:dyDescent="0.25">
      <c r="A297" s="4">
        <v>1</v>
      </c>
      <c r="B297" s="4">
        <v>2</v>
      </c>
      <c r="C297" s="4">
        <v>1</v>
      </c>
      <c r="D297" s="4">
        <v>8</v>
      </c>
      <c r="E297" s="4">
        <v>2</v>
      </c>
      <c r="F297" s="4" t="s">
        <v>30</v>
      </c>
      <c r="G297" t="s">
        <v>31</v>
      </c>
      <c r="H297" s="4">
        <v>102</v>
      </c>
      <c r="I297" s="4">
        <v>10</v>
      </c>
      <c r="J297" s="38"/>
    </row>
    <row r="298" spans="1:14" x14ac:dyDescent="0.25">
      <c r="A298" s="4">
        <v>1</v>
      </c>
      <c r="B298" s="4">
        <v>3</v>
      </c>
      <c r="C298" s="4">
        <v>2</v>
      </c>
      <c r="D298" s="4">
        <v>9</v>
      </c>
      <c r="E298" s="4">
        <v>3</v>
      </c>
      <c r="F298" s="4" t="s">
        <v>25</v>
      </c>
      <c r="G298" t="s">
        <v>27</v>
      </c>
      <c r="H298" s="4">
        <v>103</v>
      </c>
      <c r="I298" s="4">
        <v>10</v>
      </c>
      <c r="J298" s="38">
        <v>45550</v>
      </c>
      <c r="K298">
        <v>13</v>
      </c>
      <c r="L298">
        <v>12</v>
      </c>
      <c r="M298">
        <v>12</v>
      </c>
      <c r="N298" s="43">
        <f>AVERAGE(K298:M298)</f>
        <v>12.333333333333334</v>
      </c>
    </row>
    <row r="299" spans="1:14" x14ac:dyDescent="0.25">
      <c r="A299" s="4">
        <v>2</v>
      </c>
      <c r="B299" s="4">
        <v>3</v>
      </c>
      <c r="C299" s="4">
        <v>2</v>
      </c>
      <c r="D299" s="4">
        <v>10</v>
      </c>
      <c r="E299" s="4">
        <v>14</v>
      </c>
      <c r="F299" s="4" t="s">
        <v>25</v>
      </c>
      <c r="G299" t="s">
        <v>29</v>
      </c>
      <c r="H299" s="4">
        <v>203</v>
      </c>
      <c r="I299" s="4">
        <v>10</v>
      </c>
      <c r="J299" s="38">
        <v>45550</v>
      </c>
      <c r="K299">
        <v>13</v>
      </c>
      <c r="L299">
        <v>13</v>
      </c>
      <c r="M299">
        <v>13</v>
      </c>
      <c r="N299" s="43">
        <f>AVERAGE(K299:M299)</f>
        <v>13</v>
      </c>
    </row>
    <row r="300" spans="1:14" x14ac:dyDescent="0.25">
      <c r="A300" s="4">
        <v>3</v>
      </c>
      <c r="B300" s="4">
        <v>3</v>
      </c>
      <c r="C300" s="4">
        <v>2</v>
      </c>
      <c r="D300" s="4">
        <v>11</v>
      </c>
      <c r="E300" s="4">
        <v>19</v>
      </c>
      <c r="F300" s="4" t="s">
        <v>25</v>
      </c>
      <c r="G300" t="s">
        <v>26</v>
      </c>
      <c r="H300" s="4">
        <v>303</v>
      </c>
      <c r="I300" s="4">
        <v>10</v>
      </c>
      <c r="J300" s="38">
        <v>45550</v>
      </c>
      <c r="K300">
        <v>13.6</v>
      </c>
      <c r="L300">
        <v>13.3</v>
      </c>
      <c r="M300">
        <v>13.5</v>
      </c>
      <c r="N300" s="43">
        <f>AVERAGE(K300:M300)</f>
        <v>13.466666666666667</v>
      </c>
    </row>
    <row r="301" spans="1:14" x14ac:dyDescent="0.25">
      <c r="A301" s="4">
        <v>4</v>
      </c>
      <c r="B301" s="4">
        <v>3</v>
      </c>
      <c r="C301" s="4">
        <v>2</v>
      </c>
      <c r="D301" s="4">
        <v>12</v>
      </c>
      <c r="E301" s="4">
        <v>30</v>
      </c>
      <c r="F301" s="4" t="s">
        <v>25</v>
      </c>
      <c r="G301" t="s">
        <v>28</v>
      </c>
      <c r="H301" s="4">
        <v>403</v>
      </c>
      <c r="I301" s="4">
        <v>10</v>
      </c>
      <c r="J301" s="38">
        <v>45550</v>
      </c>
      <c r="K301">
        <v>12</v>
      </c>
      <c r="L301">
        <v>12</v>
      </c>
      <c r="M301">
        <v>12</v>
      </c>
      <c r="N301" s="43">
        <f>AVERAGE(K301:M301)</f>
        <v>12</v>
      </c>
    </row>
    <row r="302" spans="1:14" x14ac:dyDescent="0.25">
      <c r="A302" s="4">
        <v>4</v>
      </c>
      <c r="B302" s="4">
        <v>4</v>
      </c>
      <c r="C302" s="4">
        <v>2</v>
      </c>
      <c r="D302" s="4">
        <v>13</v>
      </c>
      <c r="E302" s="4">
        <v>29</v>
      </c>
      <c r="F302" s="4" t="s">
        <v>30</v>
      </c>
      <c r="G302" t="s">
        <v>29</v>
      </c>
      <c r="H302" s="4">
        <v>404</v>
      </c>
      <c r="I302" s="4">
        <v>10</v>
      </c>
      <c r="J302" s="38"/>
    </row>
    <row r="303" spans="1:14" x14ac:dyDescent="0.25">
      <c r="A303" s="4">
        <v>3</v>
      </c>
      <c r="B303" s="4">
        <v>4</v>
      </c>
      <c r="C303" s="4">
        <v>2</v>
      </c>
      <c r="D303" s="4">
        <v>14</v>
      </c>
      <c r="E303" s="4">
        <v>20</v>
      </c>
      <c r="F303" s="4" t="s">
        <v>30</v>
      </c>
      <c r="G303" t="s">
        <v>31</v>
      </c>
      <c r="H303" s="4">
        <v>304</v>
      </c>
      <c r="I303" s="4">
        <v>10</v>
      </c>
      <c r="J303" s="38"/>
    </row>
    <row r="304" spans="1:14" x14ac:dyDescent="0.25">
      <c r="A304" s="4">
        <v>2</v>
      </c>
      <c r="B304" s="4">
        <v>4</v>
      </c>
      <c r="C304" s="4">
        <v>2</v>
      </c>
      <c r="D304" s="4">
        <v>15</v>
      </c>
      <c r="E304" s="4">
        <v>13</v>
      </c>
      <c r="F304" s="4" t="s">
        <v>30</v>
      </c>
      <c r="G304" t="s">
        <v>32</v>
      </c>
      <c r="H304" s="4">
        <v>204</v>
      </c>
      <c r="I304" s="4">
        <v>10</v>
      </c>
      <c r="J304" s="38"/>
    </row>
    <row r="305" spans="1:14" x14ac:dyDescent="0.25">
      <c r="A305" s="4">
        <v>1</v>
      </c>
      <c r="B305" s="4">
        <v>4</v>
      </c>
      <c r="C305" s="4">
        <v>2</v>
      </c>
      <c r="D305" s="4">
        <v>16</v>
      </c>
      <c r="E305" s="4">
        <v>4</v>
      </c>
      <c r="F305" s="4" t="s">
        <v>30</v>
      </c>
      <c r="G305" t="s">
        <v>28</v>
      </c>
      <c r="H305" s="4">
        <v>104</v>
      </c>
      <c r="I305" s="4">
        <v>10</v>
      </c>
      <c r="J305" s="38"/>
    </row>
    <row r="306" spans="1:14" x14ac:dyDescent="0.25">
      <c r="A306" s="4">
        <v>1</v>
      </c>
      <c r="B306" s="4">
        <v>5</v>
      </c>
      <c r="C306" s="4">
        <v>3</v>
      </c>
      <c r="D306" s="4">
        <v>17</v>
      </c>
      <c r="E306" s="4">
        <v>5</v>
      </c>
      <c r="F306" s="4" t="s">
        <v>25</v>
      </c>
      <c r="G306" t="s">
        <v>28</v>
      </c>
      <c r="H306" s="4">
        <v>105</v>
      </c>
      <c r="I306" s="4">
        <v>10</v>
      </c>
      <c r="J306" s="38">
        <v>45550</v>
      </c>
      <c r="K306">
        <v>13</v>
      </c>
      <c r="L306">
        <v>12</v>
      </c>
      <c r="M306">
        <v>12</v>
      </c>
      <c r="N306" s="43">
        <f>AVERAGE(K306:M306)</f>
        <v>12.333333333333334</v>
      </c>
    </row>
    <row r="307" spans="1:14" x14ac:dyDescent="0.25">
      <c r="A307" s="4">
        <v>2</v>
      </c>
      <c r="B307" s="4">
        <v>5</v>
      </c>
      <c r="C307" s="4">
        <v>3</v>
      </c>
      <c r="D307" s="4">
        <v>18</v>
      </c>
      <c r="E307" s="4">
        <v>12</v>
      </c>
      <c r="F307" s="4" t="s">
        <v>25</v>
      </c>
      <c r="G307" t="s">
        <v>26</v>
      </c>
      <c r="H307" s="4">
        <v>205</v>
      </c>
      <c r="I307" s="4">
        <v>10</v>
      </c>
      <c r="J307" s="38">
        <v>45550</v>
      </c>
      <c r="K307">
        <v>13.3</v>
      </c>
      <c r="L307">
        <v>13.3</v>
      </c>
      <c r="M307">
        <v>12.9</v>
      </c>
      <c r="N307" s="43">
        <f>AVERAGE(K307:M307)</f>
        <v>13.166666666666666</v>
      </c>
    </row>
    <row r="308" spans="1:14" x14ac:dyDescent="0.25">
      <c r="A308" s="4">
        <v>3</v>
      </c>
      <c r="B308" s="4">
        <v>5</v>
      </c>
      <c r="C308" s="4">
        <v>3</v>
      </c>
      <c r="D308" s="4">
        <v>19</v>
      </c>
      <c r="E308" s="4">
        <v>21</v>
      </c>
      <c r="F308" s="4" t="s">
        <v>25</v>
      </c>
      <c r="G308" t="s">
        <v>29</v>
      </c>
      <c r="H308" s="4">
        <v>305</v>
      </c>
      <c r="I308" s="4">
        <v>10</v>
      </c>
      <c r="J308" s="38">
        <v>45550</v>
      </c>
      <c r="K308">
        <v>13</v>
      </c>
      <c r="L308">
        <v>13</v>
      </c>
      <c r="M308">
        <v>13</v>
      </c>
      <c r="N308" s="43">
        <f>AVERAGE(K308:M308)</f>
        <v>13</v>
      </c>
    </row>
    <row r="309" spans="1:14" x14ac:dyDescent="0.25">
      <c r="A309" s="4">
        <v>4</v>
      </c>
      <c r="B309" s="4">
        <v>5</v>
      </c>
      <c r="C309" s="4">
        <v>3</v>
      </c>
      <c r="D309" s="4">
        <v>20</v>
      </c>
      <c r="E309" s="4">
        <v>28</v>
      </c>
      <c r="F309" s="4" t="s">
        <v>25</v>
      </c>
      <c r="G309" t="s">
        <v>27</v>
      </c>
      <c r="H309" s="4">
        <v>405</v>
      </c>
      <c r="I309" s="4">
        <v>10</v>
      </c>
      <c r="J309" s="38">
        <v>45550</v>
      </c>
      <c r="K309">
        <v>12</v>
      </c>
      <c r="L309">
        <v>12</v>
      </c>
      <c r="M309">
        <v>13</v>
      </c>
      <c r="N309" s="43">
        <f>AVERAGE(K309:M309)</f>
        <v>12.333333333333334</v>
      </c>
    </row>
    <row r="310" spans="1:14" x14ac:dyDescent="0.25">
      <c r="A310" s="4">
        <v>4</v>
      </c>
      <c r="B310" s="4">
        <v>6</v>
      </c>
      <c r="C310" s="4">
        <v>3</v>
      </c>
      <c r="D310" s="4">
        <v>21</v>
      </c>
      <c r="E310" s="4">
        <v>27</v>
      </c>
      <c r="F310" s="4" t="s">
        <v>30</v>
      </c>
      <c r="G310" t="s">
        <v>28</v>
      </c>
      <c r="H310" s="4">
        <v>406</v>
      </c>
      <c r="I310" s="4">
        <v>10</v>
      </c>
      <c r="J310" s="38"/>
    </row>
    <row r="311" spans="1:14" x14ac:dyDescent="0.25">
      <c r="A311" s="4">
        <v>3</v>
      </c>
      <c r="B311" s="4">
        <v>6</v>
      </c>
      <c r="C311" s="4">
        <v>3</v>
      </c>
      <c r="D311" s="4">
        <v>22</v>
      </c>
      <c r="E311" s="4">
        <v>22</v>
      </c>
      <c r="F311" s="4" t="s">
        <v>30</v>
      </c>
      <c r="G311" t="s">
        <v>32</v>
      </c>
      <c r="H311" s="4">
        <v>306</v>
      </c>
      <c r="I311" s="4">
        <v>10</v>
      </c>
      <c r="J311" s="38"/>
    </row>
    <row r="312" spans="1:14" x14ac:dyDescent="0.25">
      <c r="A312" s="4">
        <v>2</v>
      </c>
      <c r="B312" s="4">
        <v>6</v>
      </c>
      <c r="C312" s="4">
        <v>3</v>
      </c>
      <c r="D312" s="4">
        <v>23</v>
      </c>
      <c r="E312" s="4">
        <v>11</v>
      </c>
      <c r="F312" s="4" t="s">
        <v>30</v>
      </c>
      <c r="G312" t="s">
        <v>31</v>
      </c>
      <c r="H312" s="4">
        <v>206</v>
      </c>
      <c r="I312" s="4">
        <v>10</v>
      </c>
      <c r="J312" s="38"/>
    </row>
    <row r="313" spans="1:14" x14ac:dyDescent="0.25">
      <c r="A313" s="4">
        <v>1</v>
      </c>
      <c r="B313" s="4">
        <v>6</v>
      </c>
      <c r="C313" s="4">
        <v>3</v>
      </c>
      <c r="D313" s="4">
        <v>24</v>
      </c>
      <c r="E313" s="4">
        <v>6</v>
      </c>
      <c r="F313" s="4" t="s">
        <v>30</v>
      </c>
      <c r="G313" t="s">
        <v>29</v>
      </c>
      <c r="H313" s="4">
        <v>106</v>
      </c>
      <c r="I313" s="4">
        <v>10</v>
      </c>
      <c r="J313" s="38"/>
    </row>
    <row r="314" spans="1:14" x14ac:dyDescent="0.25">
      <c r="A314" s="4">
        <v>1</v>
      </c>
      <c r="B314" s="4">
        <v>7</v>
      </c>
      <c r="C314" s="4">
        <v>4</v>
      </c>
      <c r="D314" s="4">
        <v>25</v>
      </c>
      <c r="E314" s="4">
        <v>7</v>
      </c>
      <c r="F314" s="4" t="s">
        <v>25</v>
      </c>
      <c r="G314" t="s">
        <v>29</v>
      </c>
      <c r="H314" s="4">
        <v>107</v>
      </c>
      <c r="I314" s="4">
        <v>10</v>
      </c>
      <c r="J314" s="38">
        <v>45550</v>
      </c>
      <c r="K314">
        <v>14</v>
      </c>
      <c r="L314">
        <v>14</v>
      </c>
      <c r="M314">
        <v>13</v>
      </c>
      <c r="N314" s="43">
        <f>AVERAGE(K314:M314)</f>
        <v>13.666666666666666</v>
      </c>
    </row>
    <row r="315" spans="1:14" x14ac:dyDescent="0.25">
      <c r="A315" s="4">
        <v>2</v>
      </c>
      <c r="B315" s="4">
        <v>7</v>
      </c>
      <c r="C315" s="4">
        <v>4</v>
      </c>
      <c r="D315" s="4">
        <v>26</v>
      </c>
      <c r="E315" s="4">
        <v>10</v>
      </c>
      <c r="F315" s="4" t="s">
        <v>25</v>
      </c>
      <c r="G315" t="s">
        <v>28</v>
      </c>
      <c r="H315" s="4">
        <v>207</v>
      </c>
      <c r="I315" s="4">
        <v>10</v>
      </c>
      <c r="J315" s="38">
        <v>45550</v>
      </c>
      <c r="K315">
        <v>13</v>
      </c>
      <c r="L315">
        <v>12</v>
      </c>
      <c r="M315">
        <v>12</v>
      </c>
      <c r="N315" s="43">
        <f>AVERAGE(K315:M315)</f>
        <v>12.333333333333334</v>
      </c>
    </row>
    <row r="316" spans="1:14" x14ac:dyDescent="0.25">
      <c r="A316" s="4">
        <v>3</v>
      </c>
      <c r="B316" s="4">
        <v>7</v>
      </c>
      <c r="C316" s="4">
        <v>4</v>
      </c>
      <c r="D316" s="4">
        <v>27</v>
      </c>
      <c r="E316" s="4">
        <v>23</v>
      </c>
      <c r="F316" s="4" t="s">
        <v>25</v>
      </c>
      <c r="G316" t="s">
        <v>27</v>
      </c>
      <c r="H316" s="4">
        <v>307</v>
      </c>
      <c r="I316" s="4">
        <v>10</v>
      </c>
      <c r="J316" s="38">
        <v>45550</v>
      </c>
      <c r="K316">
        <v>13</v>
      </c>
      <c r="L316">
        <v>13</v>
      </c>
      <c r="M316">
        <v>12</v>
      </c>
      <c r="N316" s="43">
        <f>AVERAGE(K316:M316)</f>
        <v>12.666666666666666</v>
      </c>
    </row>
    <row r="317" spans="1:14" x14ac:dyDescent="0.25">
      <c r="A317" s="4">
        <v>4</v>
      </c>
      <c r="B317" s="4">
        <v>7</v>
      </c>
      <c r="C317" s="4">
        <v>4</v>
      </c>
      <c r="D317" s="4">
        <v>28</v>
      </c>
      <c r="E317" s="4">
        <v>26</v>
      </c>
      <c r="F317" s="4" t="s">
        <v>25</v>
      </c>
      <c r="G317" t="s">
        <v>26</v>
      </c>
      <c r="H317" s="4">
        <v>407</v>
      </c>
      <c r="I317" s="4">
        <v>10</v>
      </c>
      <c r="J317" s="38">
        <v>45550</v>
      </c>
      <c r="K317">
        <v>13.4</v>
      </c>
      <c r="L317">
        <v>13.3</v>
      </c>
      <c r="M317">
        <v>13.5</v>
      </c>
      <c r="N317" s="43">
        <f>AVERAGE(K317:M317)</f>
        <v>13.4</v>
      </c>
    </row>
    <row r="318" spans="1:14" x14ac:dyDescent="0.25">
      <c r="A318" s="4">
        <v>4</v>
      </c>
      <c r="B318" s="4">
        <v>8</v>
      </c>
      <c r="C318" s="4">
        <v>4</v>
      </c>
      <c r="D318" s="4">
        <v>29</v>
      </c>
      <c r="E318" s="4">
        <v>25</v>
      </c>
      <c r="F318" s="4" t="s">
        <v>30</v>
      </c>
      <c r="G318" t="s">
        <v>31</v>
      </c>
      <c r="H318" s="4">
        <v>408</v>
      </c>
      <c r="I318" s="4">
        <v>10</v>
      </c>
      <c r="J318" s="38"/>
    </row>
    <row r="319" spans="1:14" x14ac:dyDescent="0.25">
      <c r="A319" s="4">
        <v>3</v>
      </c>
      <c r="B319" s="4">
        <v>8</v>
      </c>
      <c r="C319" s="4">
        <v>4</v>
      </c>
      <c r="D319" s="4">
        <v>30</v>
      </c>
      <c r="E319" s="4">
        <v>24</v>
      </c>
      <c r="F319" s="4" t="s">
        <v>30</v>
      </c>
      <c r="G319" t="s">
        <v>28</v>
      </c>
      <c r="H319" s="4">
        <v>308</v>
      </c>
      <c r="I319" s="4">
        <v>10</v>
      </c>
      <c r="J319" s="38"/>
    </row>
    <row r="320" spans="1:14" x14ac:dyDescent="0.25">
      <c r="A320" s="4">
        <v>2</v>
      </c>
      <c r="B320" s="4">
        <v>8</v>
      </c>
      <c r="C320" s="4">
        <v>4</v>
      </c>
      <c r="D320" s="4">
        <v>31</v>
      </c>
      <c r="E320" s="4">
        <v>9</v>
      </c>
      <c r="F320" s="4" t="s">
        <v>30</v>
      </c>
      <c r="G320" t="s">
        <v>29</v>
      </c>
      <c r="H320" s="4">
        <v>208</v>
      </c>
      <c r="I320" s="4">
        <v>10</v>
      </c>
      <c r="J320" s="38"/>
    </row>
    <row r="321" spans="1:14" x14ac:dyDescent="0.25">
      <c r="A321" s="4">
        <v>1</v>
      </c>
      <c r="B321" s="4">
        <v>8</v>
      </c>
      <c r="C321" s="4">
        <v>4</v>
      </c>
      <c r="D321" s="4">
        <v>32</v>
      </c>
      <c r="E321" s="4">
        <v>8</v>
      </c>
      <c r="F321" s="4" t="s">
        <v>30</v>
      </c>
      <c r="G321" t="s">
        <v>32</v>
      </c>
      <c r="H321" s="4">
        <v>108</v>
      </c>
      <c r="I321" s="4">
        <v>10</v>
      </c>
      <c r="J321" s="38"/>
    </row>
    <row r="322" spans="1:14" ht="15" customHeight="1" x14ac:dyDescent="0.25">
      <c r="A322" s="4">
        <v>1</v>
      </c>
      <c r="B322" s="4">
        <v>1</v>
      </c>
      <c r="C322" s="4">
        <v>1</v>
      </c>
      <c r="D322" s="4">
        <v>1</v>
      </c>
      <c r="E322" s="4">
        <v>1</v>
      </c>
      <c r="F322" s="4" t="s">
        <v>25</v>
      </c>
      <c r="G322" t="s">
        <v>26</v>
      </c>
      <c r="H322" s="4">
        <v>101</v>
      </c>
      <c r="I322">
        <v>11</v>
      </c>
      <c r="J322" s="38">
        <v>45559</v>
      </c>
      <c r="K322" s="35">
        <v>13</v>
      </c>
      <c r="L322">
        <v>14</v>
      </c>
      <c r="M322">
        <v>14</v>
      </c>
      <c r="N322" s="43">
        <f>AVERAGE(K322:L322)</f>
        <v>13.5</v>
      </c>
    </row>
    <row r="323" spans="1:14" ht="15" customHeight="1" x14ac:dyDescent="0.25">
      <c r="A323" s="4">
        <v>2</v>
      </c>
      <c r="B323" s="4">
        <v>1</v>
      </c>
      <c r="C323" s="4">
        <v>1</v>
      </c>
      <c r="D323" s="4">
        <v>2</v>
      </c>
      <c r="E323" s="4">
        <v>16</v>
      </c>
      <c r="F323" s="4" t="s">
        <v>25</v>
      </c>
      <c r="G323" t="s">
        <v>27</v>
      </c>
      <c r="H323" s="4">
        <v>201</v>
      </c>
      <c r="I323">
        <v>11</v>
      </c>
      <c r="J323" s="38">
        <v>45559</v>
      </c>
    </row>
    <row r="324" spans="1:14" ht="15" customHeight="1" x14ac:dyDescent="0.25">
      <c r="A324" s="4">
        <v>3</v>
      </c>
      <c r="B324" s="4">
        <v>1</v>
      </c>
      <c r="C324" s="4">
        <v>1</v>
      </c>
      <c r="D324" s="4">
        <v>3</v>
      </c>
      <c r="E324" s="4">
        <v>17</v>
      </c>
      <c r="F324" s="4" t="s">
        <v>25</v>
      </c>
      <c r="G324" t="s">
        <v>28</v>
      </c>
      <c r="H324" s="4">
        <v>301</v>
      </c>
      <c r="I324">
        <v>11</v>
      </c>
      <c r="J324" s="38">
        <v>45559</v>
      </c>
    </row>
    <row r="325" spans="1:14" ht="15" customHeight="1" x14ac:dyDescent="0.25">
      <c r="A325" s="4">
        <v>4</v>
      </c>
      <c r="B325" s="4">
        <v>1</v>
      </c>
      <c r="C325" s="4">
        <v>1</v>
      </c>
      <c r="D325" s="4">
        <v>4</v>
      </c>
      <c r="E325" s="4">
        <v>32</v>
      </c>
      <c r="F325" s="4" t="s">
        <v>25</v>
      </c>
      <c r="G325" t="s">
        <v>29</v>
      </c>
      <c r="H325" s="4">
        <v>401</v>
      </c>
      <c r="I325">
        <v>11</v>
      </c>
      <c r="J325" s="38">
        <v>45559</v>
      </c>
    </row>
    <row r="326" spans="1:14" ht="15" customHeight="1" x14ac:dyDescent="0.25">
      <c r="A326" s="4">
        <v>4</v>
      </c>
      <c r="B326" s="4">
        <v>2</v>
      </c>
      <c r="C326" s="4">
        <v>1</v>
      </c>
      <c r="D326" s="4">
        <v>5</v>
      </c>
      <c r="E326" s="4">
        <v>31</v>
      </c>
      <c r="F326" s="4" t="s">
        <v>30</v>
      </c>
      <c r="G326" t="s">
        <v>32</v>
      </c>
      <c r="H326" s="4">
        <v>402</v>
      </c>
      <c r="I326">
        <v>11</v>
      </c>
    </row>
    <row r="327" spans="1:14" ht="15" customHeight="1" x14ac:dyDescent="0.25">
      <c r="A327" s="4">
        <v>3</v>
      </c>
      <c r="B327" s="4">
        <v>2</v>
      </c>
      <c r="C327" s="4">
        <v>1</v>
      </c>
      <c r="D327" s="4">
        <v>6</v>
      </c>
      <c r="E327" s="4">
        <v>18</v>
      </c>
      <c r="F327" s="4" t="s">
        <v>30</v>
      </c>
      <c r="G327" t="s">
        <v>29</v>
      </c>
      <c r="H327" s="4">
        <v>302</v>
      </c>
      <c r="I327">
        <v>11</v>
      </c>
    </row>
    <row r="328" spans="1:14" ht="15" customHeight="1" x14ac:dyDescent="0.25">
      <c r="A328" s="4">
        <v>2</v>
      </c>
      <c r="B328" s="4">
        <v>2</v>
      </c>
      <c r="C328" s="4">
        <v>1</v>
      </c>
      <c r="D328" s="4">
        <v>7</v>
      </c>
      <c r="E328" s="4">
        <v>15</v>
      </c>
      <c r="F328" s="4" t="s">
        <v>30</v>
      </c>
      <c r="G328" t="s">
        <v>28</v>
      </c>
      <c r="H328" s="4">
        <v>202</v>
      </c>
      <c r="I328">
        <v>11</v>
      </c>
    </row>
    <row r="329" spans="1:14" ht="15" customHeight="1" x14ac:dyDescent="0.25">
      <c r="A329" s="4">
        <v>1</v>
      </c>
      <c r="B329" s="4">
        <v>2</v>
      </c>
      <c r="C329" s="4">
        <v>1</v>
      </c>
      <c r="D329" s="4">
        <v>8</v>
      </c>
      <c r="E329" s="4">
        <v>2</v>
      </c>
      <c r="F329" s="4" t="s">
        <v>30</v>
      </c>
      <c r="G329" t="s">
        <v>31</v>
      </c>
      <c r="H329" s="4">
        <v>102</v>
      </c>
      <c r="I329">
        <v>11</v>
      </c>
    </row>
    <row r="330" spans="1:14" ht="15" customHeight="1" x14ac:dyDescent="0.25">
      <c r="A330" s="4">
        <v>1</v>
      </c>
      <c r="B330" s="4">
        <v>3</v>
      </c>
      <c r="C330" s="4">
        <v>2</v>
      </c>
      <c r="D330" s="4">
        <v>9</v>
      </c>
      <c r="E330" s="4">
        <v>3</v>
      </c>
      <c r="F330" s="4" t="s">
        <v>25</v>
      </c>
      <c r="G330" t="s">
        <v>27</v>
      </c>
      <c r="H330" s="4">
        <v>103</v>
      </c>
      <c r="I330">
        <v>11</v>
      </c>
      <c r="J330" s="38">
        <v>45559</v>
      </c>
    </row>
    <row r="331" spans="1:14" ht="15" customHeight="1" x14ac:dyDescent="0.25">
      <c r="A331" s="4">
        <v>2</v>
      </c>
      <c r="B331" s="4">
        <v>3</v>
      </c>
      <c r="C331" s="4">
        <v>2</v>
      </c>
      <c r="D331" s="4">
        <v>10</v>
      </c>
      <c r="E331" s="4">
        <v>14</v>
      </c>
      <c r="F331" s="4" t="s">
        <v>25</v>
      </c>
      <c r="G331" t="s">
        <v>29</v>
      </c>
      <c r="H331" s="4">
        <v>203</v>
      </c>
      <c r="I331">
        <v>11</v>
      </c>
      <c r="J331" s="38">
        <v>45559</v>
      </c>
    </row>
    <row r="332" spans="1:14" ht="15" customHeight="1" x14ac:dyDescent="0.25">
      <c r="A332" s="4">
        <v>3</v>
      </c>
      <c r="B332" s="4">
        <v>3</v>
      </c>
      <c r="C332" s="4">
        <v>2</v>
      </c>
      <c r="D332" s="4">
        <v>11</v>
      </c>
      <c r="E332" s="4">
        <v>19</v>
      </c>
      <c r="F332" s="4" t="s">
        <v>25</v>
      </c>
      <c r="G332" t="s">
        <v>26</v>
      </c>
      <c r="H332" s="4">
        <v>303</v>
      </c>
      <c r="I332">
        <v>11</v>
      </c>
      <c r="J332" s="38">
        <v>45559</v>
      </c>
      <c r="K332">
        <v>14</v>
      </c>
      <c r="L332">
        <v>14</v>
      </c>
      <c r="M332">
        <v>14</v>
      </c>
      <c r="N332" s="43">
        <f>AVERAGE(K332:M332)</f>
        <v>14</v>
      </c>
    </row>
    <row r="333" spans="1:14" ht="15" customHeight="1" x14ac:dyDescent="0.25">
      <c r="A333" s="4">
        <v>4</v>
      </c>
      <c r="B333" s="4">
        <v>3</v>
      </c>
      <c r="C333" s="4">
        <v>2</v>
      </c>
      <c r="D333" s="4">
        <v>12</v>
      </c>
      <c r="E333" s="4">
        <v>30</v>
      </c>
      <c r="F333" s="4" t="s">
        <v>25</v>
      </c>
      <c r="G333" t="s">
        <v>28</v>
      </c>
      <c r="H333" s="4">
        <v>403</v>
      </c>
      <c r="I333">
        <v>11</v>
      </c>
      <c r="J333" s="38">
        <v>45559</v>
      </c>
    </row>
    <row r="334" spans="1:14" ht="15" customHeight="1" x14ac:dyDescent="0.25">
      <c r="A334" s="4">
        <v>4</v>
      </c>
      <c r="B334" s="4">
        <v>4</v>
      </c>
      <c r="C334" s="4">
        <v>2</v>
      </c>
      <c r="D334" s="4">
        <v>13</v>
      </c>
      <c r="E334" s="4">
        <v>29</v>
      </c>
      <c r="F334" s="4" t="s">
        <v>30</v>
      </c>
      <c r="G334" t="s">
        <v>29</v>
      </c>
      <c r="H334" s="4">
        <v>404</v>
      </c>
      <c r="I334">
        <v>11</v>
      </c>
    </row>
    <row r="335" spans="1:14" ht="15" customHeight="1" x14ac:dyDescent="0.25">
      <c r="A335" s="4">
        <v>3</v>
      </c>
      <c r="B335" s="4">
        <v>4</v>
      </c>
      <c r="C335" s="4">
        <v>2</v>
      </c>
      <c r="D335" s="4">
        <v>14</v>
      </c>
      <c r="E335" s="4">
        <v>20</v>
      </c>
      <c r="F335" s="4" t="s">
        <v>30</v>
      </c>
      <c r="G335" t="s">
        <v>31</v>
      </c>
      <c r="H335" s="4">
        <v>304</v>
      </c>
      <c r="I335">
        <v>11</v>
      </c>
    </row>
    <row r="336" spans="1:14" ht="15" customHeight="1" x14ac:dyDescent="0.25">
      <c r="A336" s="4">
        <v>2</v>
      </c>
      <c r="B336" s="4">
        <v>4</v>
      </c>
      <c r="C336" s="4">
        <v>2</v>
      </c>
      <c r="D336" s="4">
        <v>15</v>
      </c>
      <c r="E336" s="4">
        <v>13</v>
      </c>
      <c r="F336" s="4" t="s">
        <v>30</v>
      </c>
      <c r="G336" t="s">
        <v>32</v>
      </c>
      <c r="H336" s="4">
        <v>204</v>
      </c>
      <c r="I336">
        <v>11</v>
      </c>
    </row>
    <row r="337" spans="1:14" ht="15" customHeight="1" x14ac:dyDescent="0.25">
      <c r="A337" s="4">
        <v>1</v>
      </c>
      <c r="B337" s="4">
        <v>4</v>
      </c>
      <c r="C337" s="4">
        <v>2</v>
      </c>
      <c r="D337" s="4">
        <v>16</v>
      </c>
      <c r="E337" s="4">
        <v>4</v>
      </c>
      <c r="F337" s="4" t="s">
        <v>30</v>
      </c>
      <c r="G337" t="s">
        <v>28</v>
      </c>
      <c r="H337" s="4">
        <v>104</v>
      </c>
      <c r="I337">
        <v>11</v>
      </c>
    </row>
    <row r="338" spans="1:14" ht="15" customHeight="1" x14ac:dyDescent="0.25">
      <c r="A338" s="4">
        <v>1</v>
      </c>
      <c r="B338" s="4">
        <v>5</v>
      </c>
      <c r="C338" s="4">
        <v>3</v>
      </c>
      <c r="D338" s="4">
        <v>17</v>
      </c>
      <c r="E338" s="4">
        <v>5</v>
      </c>
      <c r="F338" s="4" t="s">
        <v>25</v>
      </c>
      <c r="G338" t="s">
        <v>28</v>
      </c>
      <c r="H338" s="4">
        <v>105</v>
      </c>
      <c r="I338">
        <v>11</v>
      </c>
      <c r="J338" s="38">
        <v>45559</v>
      </c>
    </row>
    <row r="339" spans="1:14" ht="15" customHeight="1" x14ac:dyDescent="0.25">
      <c r="A339" s="4">
        <v>2</v>
      </c>
      <c r="B339" s="4">
        <v>5</v>
      </c>
      <c r="C339" s="4">
        <v>3</v>
      </c>
      <c r="D339" s="4">
        <v>18</v>
      </c>
      <c r="E339" s="4">
        <v>12</v>
      </c>
      <c r="F339" s="4" t="s">
        <v>25</v>
      </c>
      <c r="G339" t="s">
        <v>26</v>
      </c>
      <c r="H339" s="4">
        <v>205</v>
      </c>
      <c r="I339">
        <v>11</v>
      </c>
      <c r="J339" s="38">
        <v>45559</v>
      </c>
      <c r="K339">
        <v>14</v>
      </c>
      <c r="L339">
        <v>14</v>
      </c>
      <c r="M339">
        <v>14</v>
      </c>
      <c r="N339" s="43">
        <f>AVERAGE(K339:M339)</f>
        <v>14</v>
      </c>
    </row>
    <row r="340" spans="1:14" ht="15" customHeight="1" x14ac:dyDescent="0.25">
      <c r="A340" s="4">
        <v>3</v>
      </c>
      <c r="B340" s="4">
        <v>5</v>
      </c>
      <c r="C340" s="4">
        <v>3</v>
      </c>
      <c r="D340" s="4">
        <v>19</v>
      </c>
      <c r="E340" s="4">
        <v>21</v>
      </c>
      <c r="F340" s="4" t="s">
        <v>25</v>
      </c>
      <c r="G340" t="s">
        <v>29</v>
      </c>
      <c r="H340" s="4">
        <v>305</v>
      </c>
      <c r="I340">
        <v>11</v>
      </c>
      <c r="J340" s="38">
        <v>45559</v>
      </c>
    </row>
    <row r="341" spans="1:14" ht="15" customHeight="1" x14ac:dyDescent="0.25">
      <c r="A341" s="4">
        <v>4</v>
      </c>
      <c r="B341" s="4">
        <v>5</v>
      </c>
      <c r="C341" s="4">
        <v>3</v>
      </c>
      <c r="D341" s="4">
        <v>20</v>
      </c>
      <c r="E341" s="4">
        <v>28</v>
      </c>
      <c r="F341" s="4" t="s">
        <v>25</v>
      </c>
      <c r="G341" t="s">
        <v>27</v>
      </c>
      <c r="H341" s="4">
        <v>405</v>
      </c>
      <c r="I341">
        <v>11</v>
      </c>
      <c r="J341" s="38">
        <v>45559</v>
      </c>
    </row>
    <row r="342" spans="1:14" ht="15" customHeight="1" x14ac:dyDescent="0.25">
      <c r="A342" s="4">
        <v>4</v>
      </c>
      <c r="B342" s="4">
        <v>6</v>
      </c>
      <c r="C342" s="4">
        <v>3</v>
      </c>
      <c r="D342" s="4">
        <v>21</v>
      </c>
      <c r="E342" s="4">
        <v>27</v>
      </c>
      <c r="F342" s="4" t="s">
        <v>30</v>
      </c>
      <c r="G342" t="s">
        <v>28</v>
      </c>
      <c r="H342" s="4">
        <v>406</v>
      </c>
      <c r="I342">
        <v>11</v>
      </c>
    </row>
    <row r="343" spans="1:14" ht="15" customHeight="1" x14ac:dyDescent="0.25">
      <c r="A343" s="4">
        <v>3</v>
      </c>
      <c r="B343" s="4">
        <v>6</v>
      </c>
      <c r="C343" s="4">
        <v>3</v>
      </c>
      <c r="D343" s="4">
        <v>22</v>
      </c>
      <c r="E343" s="4">
        <v>22</v>
      </c>
      <c r="F343" s="4" t="s">
        <v>30</v>
      </c>
      <c r="G343" t="s">
        <v>32</v>
      </c>
      <c r="H343" s="4">
        <v>306</v>
      </c>
      <c r="I343">
        <v>11</v>
      </c>
    </row>
    <row r="344" spans="1:14" ht="15" customHeight="1" x14ac:dyDescent="0.25">
      <c r="A344" s="4">
        <v>2</v>
      </c>
      <c r="B344" s="4">
        <v>6</v>
      </c>
      <c r="C344" s="4">
        <v>3</v>
      </c>
      <c r="D344" s="4">
        <v>23</v>
      </c>
      <c r="E344" s="4">
        <v>11</v>
      </c>
      <c r="F344" s="4" t="s">
        <v>30</v>
      </c>
      <c r="G344" t="s">
        <v>31</v>
      </c>
      <c r="H344" s="4">
        <v>206</v>
      </c>
      <c r="I344">
        <v>11</v>
      </c>
    </row>
    <row r="345" spans="1:14" ht="15" customHeight="1" x14ac:dyDescent="0.25">
      <c r="A345" s="4">
        <v>1</v>
      </c>
      <c r="B345" s="4">
        <v>6</v>
      </c>
      <c r="C345" s="4">
        <v>3</v>
      </c>
      <c r="D345" s="4">
        <v>24</v>
      </c>
      <c r="E345" s="4">
        <v>6</v>
      </c>
      <c r="F345" s="4" t="s">
        <v>30</v>
      </c>
      <c r="G345" t="s">
        <v>29</v>
      </c>
      <c r="H345" s="4">
        <v>106</v>
      </c>
      <c r="I345">
        <v>11</v>
      </c>
    </row>
    <row r="346" spans="1:14" ht="15" customHeight="1" x14ac:dyDescent="0.25">
      <c r="A346" s="4">
        <v>1</v>
      </c>
      <c r="B346" s="4">
        <v>7</v>
      </c>
      <c r="C346" s="4">
        <v>4</v>
      </c>
      <c r="D346" s="4">
        <v>25</v>
      </c>
      <c r="E346" s="4">
        <v>7</v>
      </c>
      <c r="F346" s="4" t="s">
        <v>25</v>
      </c>
      <c r="G346" t="s">
        <v>29</v>
      </c>
      <c r="H346" s="4">
        <v>107</v>
      </c>
      <c r="I346">
        <v>11</v>
      </c>
      <c r="J346" s="38">
        <v>45559</v>
      </c>
    </row>
    <row r="347" spans="1:14" ht="15" customHeight="1" x14ac:dyDescent="0.25">
      <c r="A347" s="4">
        <v>2</v>
      </c>
      <c r="B347" s="4">
        <v>7</v>
      </c>
      <c r="C347" s="4">
        <v>4</v>
      </c>
      <c r="D347" s="4">
        <v>26</v>
      </c>
      <c r="E347" s="4">
        <v>10</v>
      </c>
      <c r="F347" s="4" t="s">
        <v>25</v>
      </c>
      <c r="G347" t="s">
        <v>28</v>
      </c>
      <c r="H347" s="4">
        <v>207</v>
      </c>
      <c r="I347">
        <v>11</v>
      </c>
      <c r="J347" s="38">
        <v>45559</v>
      </c>
    </row>
    <row r="348" spans="1:14" ht="15" customHeight="1" x14ac:dyDescent="0.25">
      <c r="A348" s="4">
        <v>3</v>
      </c>
      <c r="B348" s="4">
        <v>7</v>
      </c>
      <c r="C348" s="4">
        <v>4</v>
      </c>
      <c r="D348" s="4">
        <v>27</v>
      </c>
      <c r="E348" s="4">
        <v>23</v>
      </c>
      <c r="F348" s="4" t="s">
        <v>25</v>
      </c>
      <c r="G348" t="s">
        <v>27</v>
      </c>
      <c r="H348" s="4">
        <v>307</v>
      </c>
      <c r="I348">
        <v>11</v>
      </c>
      <c r="J348" s="38">
        <v>45559</v>
      </c>
    </row>
    <row r="349" spans="1:14" ht="15" customHeight="1" x14ac:dyDescent="0.25">
      <c r="A349" s="4">
        <v>4</v>
      </c>
      <c r="B349" s="4">
        <v>7</v>
      </c>
      <c r="C349" s="4">
        <v>4</v>
      </c>
      <c r="D349" s="4">
        <v>28</v>
      </c>
      <c r="E349" s="4">
        <v>26</v>
      </c>
      <c r="F349" s="4" t="s">
        <v>25</v>
      </c>
      <c r="G349" t="s">
        <v>26</v>
      </c>
      <c r="H349" s="4">
        <v>407</v>
      </c>
      <c r="I349">
        <v>11</v>
      </c>
      <c r="J349" s="38">
        <v>45559</v>
      </c>
      <c r="K349">
        <v>14</v>
      </c>
      <c r="L349">
        <v>14</v>
      </c>
      <c r="M349">
        <v>14</v>
      </c>
      <c r="N349" s="43">
        <f>AVERAGE(K349:M349)</f>
        <v>14</v>
      </c>
    </row>
    <row r="350" spans="1:14" ht="15" customHeight="1" x14ac:dyDescent="0.25">
      <c r="A350" s="4">
        <v>4</v>
      </c>
      <c r="B350" s="4">
        <v>8</v>
      </c>
      <c r="C350" s="4">
        <v>4</v>
      </c>
      <c r="D350" s="4">
        <v>29</v>
      </c>
      <c r="E350" s="4">
        <v>25</v>
      </c>
      <c r="F350" s="4" t="s">
        <v>30</v>
      </c>
      <c r="G350" t="s">
        <v>31</v>
      </c>
      <c r="H350" s="4">
        <v>408</v>
      </c>
      <c r="I350">
        <v>11</v>
      </c>
    </row>
    <row r="351" spans="1:14" ht="15" customHeight="1" x14ac:dyDescent="0.25">
      <c r="A351" s="4">
        <v>3</v>
      </c>
      <c r="B351" s="4">
        <v>8</v>
      </c>
      <c r="C351" s="4">
        <v>4</v>
      </c>
      <c r="D351" s="4">
        <v>30</v>
      </c>
      <c r="E351" s="4">
        <v>24</v>
      </c>
      <c r="F351" s="4" t="s">
        <v>30</v>
      </c>
      <c r="G351" t="s">
        <v>28</v>
      </c>
      <c r="H351" s="4">
        <v>308</v>
      </c>
      <c r="I351">
        <v>11</v>
      </c>
    </row>
    <row r="352" spans="1:14" ht="15" customHeight="1" x14ac:dyDescent="0.25">
      <c r="A352" s="4">
        <v>2</v>
      </c>
      <c r="B352" s="4">
        <v>8</v>
      </c>
      <c r="C352" s="4">
        <v>4</v>
      </c>
      <c r="D352" s="4">
        <v>31</v>
      </c>
      <c r="E352" s="4">
        <v>9</v>
      </c>
      <c r="F352" s="4" t="s">
        <v>30</v>
      </c>
      <c r="G352" t="s">
        <v>29</v>
      </c>
      <c r="H352" s="4">
        <v>208</v>
      </c>
      <c r="I352">
        <v>11</v>
      </c>
    </row>
    <row r="353" spans="1:9" ht="15" customHeight="1" x14ac:dyDescent="0.25">
      <c r="A353" s="4">
        <v>1</v>
      </c>
      <c r="B353" s="4">
        <v>8</v>
      </c>
      <c r="C353" s="4">
        <v>4</v>
      </c>
      <c r="D353" s="4">
        <v>32</v>
      </c>
      <c r="E353" s="4">
        <v>8</v>
      </c>
      <c r="F353" s="4" t="s">
        <v>30</v>
      </c>
      <c r="G353" t="s">
        <v>32</v>
      </c>
      <c r="H353" s="4">
        <v>108</v>
      </c>
      <c r="I353">
        <v>11</v>
      </c>
    </row>
  </sheetData>
  <autoFilter ref="A1:N353" xr:uid="{95E06415-65A7-4C09-8106-9D58F9F65B69}"/>
  <pageMargins left="0.7" right="0.7" top="0.75" bottom="0.75" header="0.3" footer="0.3"/>
  <pageSetup paperSize="9" orientation="portrait"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3CCDE-5322-4D11-B993-EADDC05CFB4B}">
  <dimension ref="A1:X321"/>
  <sheetViews>
    <sheetView workbookViewId="0">
      <selection activeCell="W23" sqref="W23:W26"/>
    </sheetView>
  </sheetViews>
  <sheetFormatPr defaultRowHeight="15" x14ac:dyDescent="0.25"/>
  <cols>
    <col min="6" max="6" width="12.5703125" customWidth="1"/>
    <col min="7" max="7" width="14.42578125" customWidth="1"/>
    <col min="9" max="9" width="12.42578125" customWidth="1"/>
    <col min="10" max="10" width="13.7109375" customWidth="1"/>
    <col min="12" max="12" width="9.5703125" customWidth="1"/>
    <col min="14" max="14" width="12.5703125" bestFit="1" customWidth="1"/>
    <col min="16" max="16" width="9" customWidth="1"/>
    <col min="18" max="18" width="10.42578125" customWidth="1"/>
    <col min="20" max="20" width="29.5703125" bestFit="1" customWidth="1"/>
    <col min="21" max="21" width="13.7109375" bestFit="1" customWidth="1"/>
    <col min="22" max="23" width="5.5703125" bestFit="1" customWidth="1"/>
    <col min="24" max="25" width="10.5703125" bestFit="1" customWidth="1"/>
    <col min="26" max="27" width="5.7109375" bestFit="1" customWidth="1"/>
    <col min="28" max="28" width="7.42578125" bestFit="1" customWidth="1"/>
    <col min="29" max="29" width="11.42578125" bestFit="1" customWidth="1"/>
  </cols>
  <sheetData>
    <row r="1" spans="1:24" ht="42.75" customHeight="1" x14ac:dyDescent="0.25">
      <c r="A1" s="10" t="s">
        <v>23</v>
      </c>
      <c r="B1" s="10" t="s">
        <v>24</v>
      </c>
      <c r="C1" s="10" t="s">
        <v>281</v>
      </c>
      <c r="D1" s="10" t="s">
        <v>282</v>
      </c>
      <c r="E1" s="10" t="s">
        <v>77</v>
      </c>
      <c r="F1" s="10" t="s">
        <v>21</v>
      </c>
      <c r="G1" s="6" t="s">
        <v>22</v>
      </c>
      <c r="H1" s="10" t="s">
        <v>76</v>
      </c>
      <c r="I1" s="10" t="s">
        <v>311</v>
      </c>
      <c r="J1" s="10" t="s">
        <v>284</v>
      </c>
      <c r="K1" s="10" t="s">
        <v>312</v>
      </c>
      <c r="L1" s="10" t="s">
        <v>313</v>
      </c>
      <c r="M1" s="10" t="s">
        <v>314</v>
      </c>
      <c r="N1" s="10" t="s">
        <v>315</v>
      </c>
      <c r="O1" s="10" t="s">
        <v>316</v>
      </c>
      <c r="P1" s="10" t="s">
        <v>317</v>
      </c>
      <c r="Q1" s="10" t="s">
        <v>318</v>
      </c>
      <c r="R1" s="10" t="s">
        <v>319</v>
      </c>
    </row>
    <row r="2" spans="1:24" x14ac:dyDescent="0.25">
      <c r="A2" s="4">
        <v>1</v>
      </c>
      <c r="B2" s="4">
        <v>1</v>
      </c>
      <c r="C2" s="4">
        <v>1</v>
      </c>
      <c r="D2" s="4">
        <v>1</v>
      </c>
      <c r="E2" s="4">
        <v>1</v>
      </c>
      <c r="F2" s="4" t="s">
        <v>25</v>
      </c>
      <c r="G2" t="s">
        <v>26</v>
      </c>
      <c r="H2" s="4">
        <v>101</v>
      </c>
      <c r="I2" s="4" t="s">
        <v>320</v>
      </c>
      <c r="J2" s="41">
        <v>45464</v>
      </c>
      <c r="K2">
        <v>5</v>
      </c>
      <c r="L2">
        <v>5</v>
      </c>
      <c r="M2">
        <v>5</v>
      </c>
      <c r="N2">
        <f t="shared" ref="N2:N37" si="0">AVERAGE(K2:M2)</f>
        <v>5</v>
      </c>
      <c r="O2">
        <v>18.899999999999999</v>
      </c>
      <c r="P2">
        <v>16.600000000000001</v>
      </c>
      <c r="Q2">
        <v>18.3</v>
      </c>
      <c r="R2" s="43">
        <f t="shared" ref="R2:R37" si="1">AVERAGE(O2:Q2)</f>
        <v>17.933333333333334</v>
      </c>
    </row>
    <row r="3" spans="1:24" x14ac:dyDescent="0.25">
      <c r="A3" s="4">
        <v>2</v>
      </c>
      <c r="B3" s="4">
        <v>1</v>
      </c>
      <c r="C3" s="4">
        <v>1</v>
      </c>
      <c r="D3" s="4">
        <v>2</v>
      </c>
      <c r="E3" s="4">
        <v>16</v>
      </c>
      <c r="F3" s="4" t="s">
        <v>25</v>
      </c>
      <c r="G3" t="s">
        <v>27</v>
      </c>
      <c r="H3" s="4">
        <v>201</v>
      </c>
      <c r="I3" s="4" t="s">
        <v>320</v>
      </c>
      <c r="J3" s="41">
        <v>45464</v>
      </c>
      <c r="K3">
        <v>5</v>
      </c>
      <c r="L3">
        <v>5</v>
      </c>
      <c r="M3">
        <v>4</v>
      </c>
      <c r="N3" s="43">
        <f t="shared" si="0"/>
        <v>4.666666666666667</v>
      </c>
      <c r="O3">
        <v>20</v>
      </c>
      <c r="P3">
        <v>22.5</v>
      </c>
      <c r="Q3">
        <v>19.2</v>
      </c>
      <c r="R3" s="43">
        <f t="shared" si="1"/>
        <v>20.566666666666666</v>
      </c>
    </row>
    <row r="4" spans="1:24" x14ac:dyDescent="0.25">
      <c r="A4" s="4">
        <v>3</v>
      </c>
      <c r="B4" s="4">
        <v>1</v>
      </c>
      <c r="C4" s="4">
        <v>1</v>
      </c>
      <c r="D4" s="4">
        <v>3</v>
      </c>
      <c r="E4" s="4">
        <v>17</v>
      </c>
      <c r="F4" s="4" t="s">
        <v>25</v>
      </c>
      <c r="G4" t="s">
        <v>28</v>
      </c>
      <c r="H4" s="4">
        <v>301</v>
      </c>
      <c r="I4" s="4" t="s">
        <v>320</v>
      </c>
      <c r="J4" s="41">
        <v>45464</v>
      </c>
      <c r="K4">
        <v>4</v>
      </c>
      <c r="L4">
        <v>4</v>
      </c>
      <c r="M4">
        <v>4</v>
      </c>
      <c r="N4">
        <f t="shared" si="0"/>
        <v>4</v>
      </c>
      <c r="O4">
        <v>18.399999999999999</v>
      </c>
      <c r="P4">
        <v>11.3</v>
      </c>
      <c r="Q4">
        <v>18.5</v>
      </c>
      <c r="R4" s="43">
        <f t="shared" si="1"/>
        <v>16.066666666666666</v>
      </c>
      <c r="T4" s="46" t="s">
        <v>321</v>
      </c>
      <c r="U4" s="46" t="s">
        <v>311</v>
      </c>
    </row>
    <row r="5" spans="1:24" x14ac:dyDescent="0.25">
      <c r="A5" s="4">
        <v>4</v>
      </c>
      <c r="B5" s="4">
        <v>1</v>
      </c>
      <c r="C5" s="4">
        <v>1</v>
      </c>
      <c r="D5" s="4">
        <v>4</v>
      </c>
      <c r="E5" s="4">
        <v>32</v>
      </c>
      <c r="F5" s="4" t="s">
        <v>25</v>
      </c>
      <c r="G5" t="s">
        <v>29</v>
      </c>
      <c r="H5" s="4">
        <v>401</v>
      </c>
      <c r="I5" s="4" t="s">
        <v>320</v>
      </c>
      <c r="J5" s="41">
        <v>45464</v>
      </c>
      <c r="K5">
        <v>4</v>
      </c>
      <c r="L5">
        <v>5</v>
      </c>
      <c r="M5">
        <v>5</v>
      </c>
      <c r="N5" s="43">
        <f t="shared" si="0"/>
        <v>4.666666666666667</v>
      </c>
      <c r="O5">
        <v>16.5</v>
      </c>
      <c r="P5">
        <v>15.5</v>
      </c>
      <c r="Q5">
        <v>17.3</v>
      </c>
      <c r="R5" s="43">
        <f t="shared" si="1"/>
        <v>16.433333333333334</v>
      </c>
      <c r="T5" s="46" t="s">
        <v>322</v>
      </c>
      <c r="U5" t="s">
        <v>320</v>
      </c>
      <c r="V5" t="s">
        <v>323</v>
      </c>
      <c r="W5" t="s">
        <v>324</v>
      </c>
      <c r="X5" t="s">
        <v>325</v>
      </c>
    </row>
    <row r="6" spans="1:24" x14ac:dyDescent="0.25">
      <c r="A6" s="4">
        <v>4</v>
      </c>
      <c r="B6" s="4">
        <v>2</v>
      </c>
      <c r="C6" s="4">
        <v>1</v>
      </c>
      <c r="D6" s="4">
        <v>5</v>
      </c>
      <c r="E6" s="4">
        <v>31</v>
      </c>
      <c r="F6" s="4" t="s">
        <v>30</v>
      </c>
      <c r="G6" t="s">
        <v>32</v>
      </c>
      <c r="H6" s="4">
        <v>402</v>
      </c>
      <c r="I6" s="4" t="s">
        <v>320</v>
      </c>
      <c r="J6" s="57">
        <v>45515</v>
      </c>
      <c r="K6">
        <v>5</v>
      </c>
      <c r="L6">
        <v>5</v>
      </c>
      <c r="M6">
        <v>4</v>
      </c>
      <c r="N6" s="43">
        <f t="shared" si="0"/>
        <v>4.666666666666667</v>
      </c>
      <c r="O6">
        <v>13.5</v>
      </c>
      <c r="P6">
        <v>15.7</v>
      </c>
      <c r="Q6">
        <v>16.5</v>
      </c>
      <c r="R6" s="43">
        <f t="shared" si="1"/>
        <v>15.233333333333334</v>
      </c>
      <c r="T6" s="52" t="s">
        <v>25</v>
      </c>
      <c r="U6" s="61">
        <v>4.75</v>
      </c>
      <c r="V6" s="61">
        <v>8.0625</v>
      </c>
      <c r="W6" s="61">
        <v>11.875</v>
      </c>
      <c r="X6" s="61">
        <v>8.2291666666666661</v>
      </c>
    </row>
    <row r="7" spans="1:24" x14ac:dyDescent="0.25">
      <c r="A7" s="4">
        <v>3</v>
      </c>
      <c r="B7" s="4">
        <v>2</v>
      </c>
      <c r="C7" s="4">
        <v>1</v>
      </c>
      <c r="D7" s="4">
        <v>6</v>
      </c>
      <c r="E7" s="4">
        <v>18</v>
      </c>
      <c r="F7" s="4" t="s">
        <v>30</v>
      </c>
      <c r="G7" t="s">
        <v>29</v>
      </c>
      <c r="H7" s="4">
        <v>302</v>
      </c>
      <c r="I7" s="4" t="s">
        <v>320</v>
      </c>
      <c r="J7" s="57">
        <v>45515</v>
      </c>
      <c r="K7">
        <v>5</v>
      </c>
      <c r="L7">
        <v>5</v>
      </c>
      <c r="M7">
        <v>4</v>
      </c>
      <c r="N7" s="43">
        <f t="shared" si="0"/>
        <v>4.666666666666667</v>
      </c>
      <c r="O7">
        <v>13.7</v>
      </c>
      <c r="P7">
        <v>15.8</v>
      </c>
      <c r="Q7">
        <v>13.6</v>
      </c>
      <c r="R7" s="43">
        <f t="shared" si="1"/>
        <v>14.366666666666667</v>
      </c>
      <c r="T7" s="53" t="s">
        <v>26</v>
      </c>
      <c r="U7" s="61">
        <v>4.833333333333333</v>
      </c>
      <c r="V7" s="61">
        <v>6.416666666666667</v>
      </c>
      <c r="W7" s="61">
        <v>8.25</v>
      </c>
      <c r="X7" s="61">
        <v>6.5</v>
      </c>
    </row>
    <row r="8" spans="1:24" x14ac:dyDescent="0.25">
      <c r="A8" s="4">
        <v>2</v>
      </c>
      <c r="B8" s="4">
        <v>2</v>
      </c>
      <c r="C8" s="4">
        <v>1</v>
      </c>
      <c r="D8" s="4">
        <v>7</v>
      </c>
      <c r="E8" s="4">
        <v>15</v>
      </c>
      <c r="F8" s="4" t="s">
        <v>30</v>
      </c>
      <c r="G8" t="s">
        <v>28</v>
      </c>
      <c r="H8" s="4">
        <v>202</v>
      </c>
      <c r="I8" s="4" t="s">
        <v>320</v>
      </c>
      <c r="J8" s="57">
        <v>45515</v>
      </c>
      <c r="K8">
        <v>4</v>
      </c>
      <c r="L8">
        <v>5</v>
      </c>
      <c r="M8">
        <v>6</v>
      </c>
      <c r="N8">
        <f t="shared" si="0"/>
        <v>5</v>
      </c>
      <c r="O8">
        <v>18.5</v>
      </c>
      <c r="P8">
        <v>16.100000000000001</v>
      </c>
      <c r="Q8">
        <v>16.3</v>
      </c>
      <c r="R8" s="43">
        <f t="shared" si="1"/>
        <v>16.966666666666669</v>
      </c>
      <c r="T8" s="53" t="s">
        <v>27</v>
      </c>
      <c r="U8" s="61">
        <v>4.916666666666667</v>
      </c>
      <c r="V8" s="61">
        <v>8.4166666666666661</v>
      </c>
      <c r="W8" s="61">
        <v>13.083333333333334</v>
      </c>
      <c r="X8" s="61">
        <v>8.8055555555555554</v>
      </c>
    </row>
    <row r="9" spans="1:24" x14ac:dyDescent="0.25">
      <c r="A9" s="4">
        <v>1</v>
      </c>
      <c r="B9" s="4">
        <v>2</v>
      </c>
      <c r="C9" s="4">
        <v>1</v>
      </c>
      <c r="D9" s="4">
        <v>8</v>
      </c>
      <c r="E9" s="4">
        <v>2</v>
      </c>
      <c r="F9" s="4" t="s">
        <v>30</v>
      </c>
      <c r="G9" t="s">
        <v>31</v>
      </c>
      <c r="H9" s="4">
        <v>102</v>
      </c>
      <c r="I9" s="4" t="s">
        <v>320</v>
      </c>
      <c r="J9" s="57">
        <v>45515</v>
      </c>
      <c r="K9">
        <v>6</v>
      </c>
      <c r="L9">
        <v>7</v>
      </c>
      <c r="M9">
        <v>7</v>
      </c>
      <c r="N9" s="43">
        <f t="shared" si="0"/>
        <v>6.666666666666667</v>
      </c>
      <c r="O9">
        <v>16.3</v>
      </c>
      <c r="P9">
        <v>17</v>
      </c>
      <c r="Q9">
        <v>16.7</v>
      </c>
      <c r="R9" s="43">
        <f t="shared" si="1"/>
        <v>16.666666666666668</v>
      </c>
      <c r="T9" s="53" t="s">
        <v>28</v>
      </c>
      <c r="U9" s="61">
        <v>4.4999999999999991</v>
      </c>
      <c r="V9" s="61">
        <v>8.75</v>
      </c>
      <c r="W9" s="61">
        <v>13.500000000000002</v>
      </c>
      <c r="X9" s="61">
        <v>8.9166666666666661</v>
      </c>
    </row>
    <row r="10" spans="1:24" x14ac:dyDescent="0.25">
      <c r="A10" s="4">
        <v>1</v>
      </c>
      <c r="B10" s="4">
        <v>3</v>
      </c>
      <c r="C10" s="4">
        <v>2</v>
      </c>
      <c r="D10" s="4">
        <v>9</v>
      </c>
      <c r="E10" s="4">
        <v>3</v>
      </c>
      <c r="F10" s="4" t="s">
        <v>25</v>
      </c>
      <c r="G10" t="s">
        <v>27</v>
      </c>
      <c r="H10" s="4">
        <v>103</v>
      </c>
      <c r="I10" s="4" t="s">
        <v>320</v>
      </c>
      <c r="J10" s="41">
        <v>45464</v>
      </c>
      <c r="K10">
        <v>5</v>
      </c>
      <c r="L10">
        <v>5</v>
      </c>
      <c r="M10">
        <v>5</v>
      </c>
      <c r="N10">
        <f t="shared" si="0"/>
        <v>5</v>
      </c>
      <c r="O10">
        <v>16.5</v>
      </c>
      <c r="P10">
        <v>18.399999999999999</v>
      </c>
      <c r="Q10">
        <v>17.399999999999999</v>
      </c>
      <c r="R10" s="43">
        <f t="shared" si="1"/>
        <v>17.433333333333334</v>
      </c>
      <c r="T10" s="53" t="s">
        <v>29</v>
      </c>
      <c r="U10" s="61">
        <v>4.75</v>
      </c>
      <c r="V10" s="61">
        <v>8.6666666666666661</v>
      </c>
      <c r="W10" s="61">
        <v>12.666666666666668</v>
      </c>
      <c r="X10" s="61">
        <v>8.6944444444444446</v>
      </c>
    </row>
    <row r="11" spans="1:24" x14ac:dyDescent="0.25">
      <c r="A11" s="4">
        <v>2</v>
      </c>
      <c r="B11" s="4">
        <v>3</v>
      </c>
      <c r="C11" s="4">
        <v>2</v>
      </c>
      <c r="D11" s="4">
        <v>10</v>
      </c>
      <c r="E11" s="4">
        <v>14</v>
      </c>
      <c r="F11" s="4" t="s">
        <v>25</v>
      </c>
      <c r="G11" t="s">
        <v>29</v>
      </c>
      <c r="H11" s="4">
        <v>203</v>
      </c>
      <c r="I11" s="4" t="s">
        <v>320</v>
      </c>
      <c r="J11" s="41">
        <v>45464</v>
      </c>
      <c r="K11">
        <v>5</v>
      </c>
      <c r="L11">
        <v>4</v>
      </c>
      <c r="M11">
        <v>4</v>
      </c>
      <c r="N11" s="43">
        <f t="shared" si="0"/>
        <v>4.333333333333333</v>
      </c>
      <c r="O11">
        <v>19.100000000000001</v>
      </c>
      <c r="P11">
        <v>18.8</v>
      </c>
      <c r="Q11">
        <v>16.5</v>
      </c>
      <c r="R11" s="43">
        <f t="shared" si="1"/>
        <v>18.133333333333336</v>
      </c>
      <c r="T11" s="52" t="s">
        <v>30</v>
      </c>
      <c r="U11" s="61">
        <v>5.2708333333333339</v>
      </c>
      <c r="V11" s="61">
        <v>10</v>
      </c>
      <c r="W11" s="61">
        <v>14.64583333333333</v>
      </c>
      <c r="X11" s="61">
        <v>9.9722222222222214</v>
      </c>
    </row>
    <row r="12" spans="1:24" x14ac:dyDescent="0.25">
      <c r="A12" s="4">
        <v>3</v>
      </c>
      <c r="B12" s="4">
        <v>3</v>
      </c>
      <c r="C12" s="4">
        <v>2</v>
      </c>
      <c r="D12" s="4">
        <v>11</v>
      </c>
      <c r="E12" s="4">
        <v>19</v>
      </c>
      <c r="F12" s="4" t="s">
        <v>25</v>
      </c>
      <c r="G12" t="s">
        <v>26</v>
      </c>
      <c r="H12" s="4">
        <v>303</v>
      </c>
      <c r="I12" s="4" t="s">
        <v>320</v>
      </c>
      <c r="J12" s="41">
        <v>45464</v>
      </c>
      <c r="K12">
        <v>5</v>
      </c>
      <c r="L12">
        <v>3</v>
      </c>
      <c r="M12">
        <v>5</v>
      </c>
      <c r="N12" s="43">
        <f t="shared" si="0"/>
        <v>4.333333333333333</v>
      </c>
      <c r="O12">
        <v>20.8</v>
      </c>
      <c r="P12">
        <v>19.5</v>
      </c>
      <c r="Q12">
        <v>17.7</v>
      </c>
      <c r="R12" s="43">
        <f t="shared" si="1"/>
        <v>19.333333333333332</v>
      </c>
      <c r="T12" s="53" t="s">
        <v>32</v>
      </c>
      <c r="U12" s="61">
        <v>5.0833333333333339</v>
      </c>
      <c r="V12" s="61">
        <v>8.25</v>
      </c>
      <c r="W12" s="61">
        <v>13.75</v>
      </c>
      <c r="X12" s="61">
        <v>9.0277777777777768</v>
      </c>
    </row>
    <row r="13" spans="1:24" x14ac:dyDescent="0.25">
      <c r="A13" s="4">
        <v>4</v>
      </c>
      <c r="B13" s="4">
        <v>3</v>
      </c>
      <c r="C13" s="4">
        <v>2</v>
      </c>
      <c r="D13" s="4">
        <v>12</v>
      </c>
      <c r="E13" s="4">
        <v>30</v>
      </c>
      <c r="F13" s="4" t="s">
        <v>25</v>
      </c>
      <c r="G13" t="s">
        <v>28</v>
      </c>
      <c r="H13" s="4">
        <v>403</v>
      </c>
      <c r="I13" s="4" t="s">
        <v>320</v>
      </c>
      <c r="J13" s="41">
        <v>45464</v>
      </c>
      <c r="K13">
        <v>5</v>
      </c>
      <c r="L13">
        <v>4</v>
      </c>
      <c r="M13">
        <v>4</v>
      </c>
      <c r="N13" s="43">
        <f t="shared" si="0"/>
        <v>4.333333333333333</v>
      </c>
      <c r="O13">
        <v>17.600000000000001</v>
      </c>
      <c r="P13">
        <v>19.7</v>
      </c>
      <c r="Q13">
        <v>19.5</v>
      </c>
      <c r="R13" s="43">
        <f t="shared" si="1"/>
        <v>18.933333333333334</v>
      </c>
      <c r="T13" s="53" t="s">
        <v>31</v>
      </c>
      <c r="U13" s="61">
        <v>5.5000000000000009</v>
      </c>
      <c r="V13" s="61">
        <v>12.5</v>
      </c>
      <c r="W13" s="61">
        <v>16.5</v>
      </c>
      <c r="X13" s="61">
        <v>11.5</v>
      </c>
    </row>
    <row r="14" spans="1:24" x14ac:dyDescent="0.25">
      <c r="A14" s="4">
        <v>4</v>
      </c>
      <c r="B14" s="4">
        <v>4</v>
      </c>
      <c r="C14" s="4">
        <v>2</v>
      </c>
      <c r="D14" s="4">
        <v>13</v>
      </c>
      <c r="E14" s="4">
        <v>29</v>
      </c>
      <c r="F14" s="4" t="s">
        <v>30</v>
      </c>
      <c r="G14" t="s">
        <v>29</v>
      </c>
      <c r="H14" s="4">
        <v>404</v>
      </c>
      <c r="I14" s="4" t="s">
        <v>320</v>
      </c>
      <c r="J14" s="57">
        <v>45515</v>
      </c>
      <c r="K14">
        <v>5</v>
      </c>
      <c r="L14">
        <v>6</v>
      </c>
      <c r="M14">
        <v>5</v>
      </c>
      <c r="N14" s="43">
        <f t="shared" si="0"/>
        <v>5.333333333333333</v>
      </c>
      <c r="O14">
        <v>15.7</v>
      </c>
      <c r="P14">
        <v>15.6</v>
      </c>
      <c r="Q14">
        <v>15.4</v>
      </c>
      <c r="R14" s="43">
        <f t="shared" si="1"/>
        <v>15.566666666666665</v>
      </c>
      <c r="T14" s="53" t="s">
        <v>28</v>
      </c>
      <c r="U14" s="61">
        <v>5.083333333333333</v>
      </c>
      <c r="V14" s="61">
        <v>10.083333333333334</v>
      </c>
      <c r="W14" s="61">
        <v>14.416666666666666</v>
      </c>
      <c r="X14" s="61">
        <v>9.8611111111111125</v>
      </c>
    </row>
    <row r="15" spans="1:24" x14ac:dyDescent="0.25">
      <c r="A15" s="4">
        <v>3</v>
      </c>
      <c r="B15" s="4">
        <v>4</v>
      </c>
      <c r="C15" s="4">
        <v>2</v>
      </c>
      <c r="D15" s="4">
        <v>14</v>
      </c>
      <c r="E15" s="4">
        <v>20</v>
      </c>
      <c r="F15" s="4" t="s">
        <v>30</v>
      </c>
      <c r="G15" t="s">
        <v>31</v>
      </c>
      <c r="H15" s="4">
        <v>304</v>
      </c>
      <c r="I15" s="4" t="s">
        <v>320</v>
      </c>
      <c r="J15" s="57">
        <v>45515</v>
      </c>
      <c r="K15">
        <v>6</v>
      </c>
      <c r="L15">
        <v>3</v>
      </c>
      <c r="M15">
        <v>5</v>
      </c>
      <c r="N15" s="43">
        <f t="shared" si="0"/>
        <v>4.666666666666667</v>
      </c>
      <c r="O15">
        <v>19.8</v>
      </c>
      <c r="P15">
        <v>13.7</v>
      </c>
      <c r="Q15">
        <v>19.7</v>
      </c>
      <c r="R15" s="43">
        <f t="shared" si="1"/>
        <v>17.733333333333334</v>
      </c>
      <c r="T15" s="53" t="s">
        <v>29</v>
      </c>
      <c r="U15" s="61">
        <v>5.416666666666667</v>
      </c>
      <c r="V15" s="61">
        <v>9.1666666666666661</v>
      </c>
      <c r="W15" s="61">
        <v>13.916666666666666</v>
      </c>
      <c r="X15" s="61">
        <v>9.5</v>
      </c>
    </row>
    <row r="16" spans="1:24" x14ac:dyDescent="0.25">
      <c r="A16" s="4">
        <v>2</v>
      </c>
      <c r="B16" s="4">
        <v>4</v>
      </c>
      <c r="C16" s="4">
        <v>2</v>
      </c>
      <c r="D16" s="4">
        <v>15</v>
      </c>
      <c r="E16" s="4">
        <v>13</v>
      </c>
      <c r="F16" s="4" t="s">
        <v>30</v>
      </c>
      <c r="G16" t="s">
        <v>32</v>
      </c>
      <c r="H16" s="4">
        <v>204</v>
      </c>
      <c r="I16" s="4" t="s">
        <v>320</v>
      </c>
      <c r="J16" s="57">
        <v>45515</v>
      </c>
      <c r="K16">
        <v>5</v>
      </c>
      <c r="L16">
        <v>5</v>
      </c>
      <c r="M16">
        <v>5</v>
      </c>
      <c r="N16">
        <f t="shared" si="0"/>
        <v>5</v>
      </c>
      <c r="O16">
        <v>14.6</v>
      </c>
      <c r="P16">
        <v>16.399999999999999</v>
      </c>
      <c r="Q16">
        <v>14.1</v>
      </c>
      <c r="R16" s="43">
        <f t="shared" si="1"/>
        <v>15.033333333333333</v>
      </c>
      <c r="T16" s="52" t="s">
        <v>325</v>
      </c>
      <c r="U16" s="61">
        <v>5.010416666666667</v>
      </c>
      <c r="V16" s="61">
        <v>9.03125</v>
      </c>
      <c r="W16" s="61">
        <v>13.26041666666667</v>
      </c>
      <c r="X16" s="61">
        <v>9.1006944444444446</v>
      </c>
    </row>
    <row r="17" spans="1:24" x14ac:dyDescent="0.25">
      <c r="A17" s="4">
        <v>1</v>
      </c>
      <c r="B17" s="4">
        <v>4</v>
      </c>
      <c r="C17" s="4">
        <v>2</v>
      </c>
      <c r="D17" s="4">
        <v>16</v>
      </c>
      <c r="E17" s="4">
        <v>4</v>
      </c>
      <c r="F17" s="4" t="s">
        <v>30</v>
      </c>
      <c r="G17" t="s">
        <v>28</v>
      </c>
      <c r="H17" s="4">
        <v>104</v>
      </c>
      <c r="I17" s="4" t="s">
        <v>320</v>
      </c>
      <c r="J17" s="57">
        <v>45515</v>
      </c>
      <c r="K17">
        <v>5</v>
      </c>
      <c r="L17">
        <v>6</v>
      </c>
      <c r="M17">
        <v>5</v>
      </c>
      <c r="N17" s="43">
        <f t="shared" si="0"/>
        <v>5.333333333333333</v>
      </c>
      <c r="O17">
        <v>16.2</v>
      </c>
      <c r="P17">
        <v>16.3</v>
      </c>
      <c r="Q17">
        <v>17.8</v>
      </c>
      <c r="R17" s="43">
        <f t="shared" si="1"/>
        <v>16.766666666666666</v>
      </c>
    </row>
    <row r="18" spans="1:24" x14ac:dyDescent="0.25">
      <c r="A18" s="4">
        <v>1</v>
      </c>
      <c r="B18" s="4">
        <v>5</v>
      </c>
      <c r="C18" s="4">
        <v>3</v>
      </c>
      <c r="D18" s="4">
        <v>17</v>
      </c>
      <c r="E18" s="4">
        <v>5</v>
      </c>
      <c r="F18" s="4" t="s">
        <v>25</v>
      </c>
      <c r="G18" t="s">
        <v>28</v>
      </c>
      <c r="H18" s="4">
        <v>105</v>
      </c>
      <c r="I18" s="4" t="s">
        <v>320</v>
      </c>
      <c r="J18" s="41">
        <v>45464</v>
      </c>
      <c r="K18">
        <v>4</v>
      </c>
      <c r="L18">
        <v>4</v>
      </c>
      <c r="M18">
        <v>5</v>
      </c>
      <c r="N18" s="43">
        <f t="shared" si="0"/>
        <v>4.333333333333333</v>
      </c>
      <c r="O18">
        <v>18.899999999999999</v>
      </c>
      <c r="P18">
        <v>16.5</v>
      </c>
      <c r="Q18">
        <v>17.5</v>
      </c>
      <c r="R18" s="43">
        <f t="shared" si="1"/>
        <v>17.633333333333333</v>
      </c>
    </row>
    <row r="19" spans="1:24" x14ac:dyDescent="0.25">
      <c r="A19" s="4">
        <v>2</v>
      </c>
      <c r="B19" s="4">
        <v>5</v>
      </c>
      <c r="C19" s="4">
        <v>3</v>
      </c>
      <c r="D19" s="4">
        <v>18</v>
      </c>
      <c r="E19" s="4">
        <v>12</v>
      </c>
      <c r="F19" s="4" t="s">
        <v>25</v>
      </c>
      <c r="G19" t="s">
        <v>26</v>
      </c>
      <c r="H19" s="4">
        <v>205</v>
      </c>
      <c r="I19" s="4" t="s">
        <v>320</v>
      </c>
      <c r="J19" s="41">
        <v>45464</v>
      </c>
      <c r="K19">
        <v>6</v>
      </c>
      <c r="L19">
        <v>5</v>
      </c>
      <c r="M19">
        <v>5</v>
      </c>
      <c r="N19" s="43">
        <f t="shared" si="0"/>
        <v>5.333333333333333</v>
      </c>
      <c r="O19">
        <v>20.2</v>
      </c>
      <c r="P19">
        <v>18.399999999999999</v>
      </c>
      <c r="Q19">
        <v>19.2</v>
      </c>
      <c r="R19" s="43">
        <f t="shared" si="1"/>
        <v>19.266666666666666</v>
      </c>
    </row>
    <row r="20" spans="1:24" x14ac:dyDescent="0.25">
      <c r="A20" s="4">
        <v>3</v>
      </c>
      <c r="B20" s="4">
        <v>5</v>
      </c>
      <c r="C20" s="4">
        <v>3</v>
      </c>
      <c r="D20" s="4">
        <v>19</v>
      </c>
      <c r="E20" s="4">
        <v>21</v>
      </c>
      <c r="F20" s="4" t="s">
        <v>25</v>
      </c>
      <c r="G20" t="s">
        <v>29</v>
      </c>
      <c r="H20" s="4">
        <v>305</v>
      </c>
      <c r="I20" s="4" t="s">
        <v>320</v>
      </c>
      <c r="J20" s="41">
        <v>45464</v>
      </c>
      <c r="K20">
        <v>5</v>
      </c>
      <c r="L20">
        <v>6</v>
      </c>
      <c r="M20">
        <v>5</v>
      </c>
      <c r="N20" s="43">
        <f t="shared" si="0"/>
        <v>5.333333333333333</v>
      </c>
      <c r="O20">
        <v>17.399999999999999</v>
      </c>
      <c r="P20">
        <v>17.2</v>
      </c>
      <c r="Q20">
        <v>19.5</v>
      </c>
      <c r="R20" s="43">
        <f t="shared" si="1"/>
        <v>18.033333333333331</v>
      </c>
      <c r="T20" s="46" t="s">
        <v>326</v>
      </c>
      <c r="U20" s="46" t="s">
        <v>311</v>
      </c>
    </row>
    <row r="21" spans="1:24" x14ac:dyDescent="0.25">
      <c r="A21" s="4">
        <v>4</v>
      </c>
      <c r="B21" s="4">
        <v>5</v>
      </c>
      <c r="C21" s="4">
        <v>3</v>
      </c>
      <c r="D21" s="4">
        <v>20</v>
      </c>
      <c r="E21" s="4">
        <v>28</v>
      </c>
      <c r="F21" s="4" t="s">
        <v>25</v>
      </c>
      <c r="G21" t="s">
        <v>27</v>
      </c>
      <c r="H21" s="4">
        <v>405</v>
      </c>
      <c r="I21" s="4" t="s">
        <v>320</v>
      </c>
      <c r="J21" s="41">
        <v>45464</v>
      </c>
      <c r="K21">
        <v>5</v>
      </c>
      <c r="L21">
        <v>4</v>
      </c>
      <c r="M21">
        <v>5</v>
      </c>
      <c r="N21" s="43">
        <f t="shared" si="0"/>
        <v>4.666666666666667</v>
      </c>
      <c r="O21">
        <v>17.899999999999999</v>
      </c>
      <c r="P21">
        <v>17.100000000000001</v>
      </c>
      <c r="Q21">
        <v>16.2</v>
      </c>
      <c r="R21" s="43">
        <f t="shared" si="1"/>
        <v>17.066666666666666</v>
      </c>
      <c r="T21" s="46" t="s">
        <v>322</v>
      </c>
      <c r="U21" t="s">
        <v>320</v>
      </c>
      <c r="V21" t="s">
        <v>323</v>
      </c>
      <c r="W21" t="s">
        <v>324</v>
      </c>
      <c r="X21" t="s">
        <v>325</v>
      </c>
    </row>
    <row r="22" spans="1:24" x14ac:dyDescent="0.25">
      <c r="A22" s="4">
        <v>4</v>
      </c>
      <c r="B22" s="4">
        <v>6</v>
      </c>
      <c r="C22" s="4">
        <v>3</v>
      </c>
      <c r="D22" s="4">
        <v>21</v>
      </c>
      <c r="E22" s="4">
        <v>27</v>
      </c>
      <c r="F22" s="4" t="s">
        <v>30</v>
      </c>
      <c r="G22" t="s">
        <v>28</v>
      </c>
      <c r="H22" s="4">
        <v>406</v>
      </c>
      <c r="I22" s="4" t="s">
        <v>320</v>
      </c>
      <c r="J22" s="57">
        <v>45515</v>
      </c>
      <c r="K22">
        <v>5</v>
      </c>
      <c r="L22">
        <v>6</v>
      </c>
      <c r="M22">
        <v>5</v>
      </c>
      <c r="N22" s="43">
        <f t="shared" si="0"/>
        <v>5.333333333333333</v>
      </c>
      <c r="O22">
        <v>13.7</v>
      </c>
      <c r="P22">
        <v>16.3</v>
      </c>
      <c r="Q22">
        <v>14</v>
      </c>
      <c r="R22" s="43">
        <f t="shared" si="1"/>
        <v>14.666666666666666</v>
      </c>
      <c r="T22" s="52" t="s">
        <v>25</v>
      </c>
      <c r="U22" s="43">
        <v>17.616666666666667</v>
      </c>
      <c r="V22" s="43">
        <v>18.545833333333334</v>
      </c>
      <c r="W22" s="43">
        <v>22.766666666666669</v>
      </c>
      <c r="X22" s="43">
        <v>19.643055555555552</v>
      </c>
    </row>
    <row r="23" spans="1:24" x14ac:dyDescent="0.25">
      <c r="A23" s="4">
        <v>3</v>
      </c>
      <c r="B23" s="4">
        <v>6</v>
      </c>
      <c r="C23" s="4">
        <v>3</v>
      </c>
      <c r="D23" s="4">
        <v>22</v>
      </c>
      <c r="E23" s="4">
        <v>22</v>
      </c>
      <c r="F23" s="4" t="s">
        <v>30</v>
      </c>
      <c r="G23" t="s">
        <v>32</v>
      </c>
      <c r="H23" s="4">
        <v>306</v>
      </c>
      <c r="I23" s="4" t="s">
        <v>320</v>
      </c>
      <c r="J23" s="57">
        <v>45515</v>
      </c>
      <c r="K23">
        <v>5</v>
      </c>
      <c r="L23">
        <v>5</v>
      </c>
      <c r="M23">
        <v>5</v>
      </c>
      <c r="N23">
        <f t="shared" si="0"/>
        <v>5</v>
      </c>
      <c r="O23">
        <v>14.2</v>
      </c>
      <c r="P23">
        <v>14.5</v>
      </c>
      <c r="Q23">
        <v>13.9</v>
      </c>
      <c r="R23">
        <f t="shared" si="1"/>
        <v>14.200000000000001</v>
      </c>
      <c r="T23" s="53" t="s">
        <v>26</v>
      </c>
      <c r="U23" s="43">
        <v>18.608333333333334</v>
      </c>
      <c r="V23" s="43">
        <v>16.475000000000001</v>
      </c>
      <c r="W23" s="43">
        <v>19.125</v>
      </c>
      <c r="X23" s="43">
        <v>18.069444444444446</v>
      </c>
    </row>
    <row r="24" spans="1:24" x14ac:dyDescent="0.25">
      <c r="A24" s="4">
        <v>2</v>
      </c>
      <c r="B24" s="4">
        <v>6</v>
      </c>
      <c r="C24" s="4">
        <v>3</v>
      </c>
      <c r="D24" s="4">
        <v>23</v>
      </c>
      <c r="E24" s="4">
        <v>11</v>
      </c>
      <c r="F24" s="4" t="s">
        <v>30</v>
      </c>
      <c r="G24" t="s">
        <v>31</v>
      </c>
      <c r="H24" s="4">
        <v>206</v>
      </c>
      <c r="I24" s="4" t="s">
        <v>320</v>
      </c>
      <c r="J24" s="57">
        <v>45515</v>
      </c>
      <c r="K24">
        <v>5</v>
      </c>
      <c r="L24">
        <v>5</v>
      </c>
      <c r="M24">
        <v>5</v>
      </c>
      <c r="N24">
        <f t="shared" si="0"/>
        <v>5</v>
      </c>
      <c r="O24">
        <v>18.5</v>
      </c>
      <c r="P24">
        <v>16.7</v>
      </c>
      <c r="Q24">
        <v>17</v>
      </c>
      <c r="R24">
        <f t="shared" si="1"/>
        <v>17.400000000000002</v>
      </c>
      <c r="T24" s="53" t="s">
        <v>27</v>
      </c>
      <c r="U24" s="43">
        <v>17.758333333333333</v>
      </c>
      <c r="V24" s="43">
        <v>18.316666666666666</v>
      </c>
      <c r="W24" s="43">
        <v>24.9</v>
      </c>
      <c r="X24" s="43">
        <v>20.324999999999999</v>
      </c>
    </row>
    <row r="25" spans="1:24" x14ac:dyDescent="0.25">
      <c r="A25" s="4">
        <v>1</v>
      </c>
      <c r="B25" s="4">
        <v>6</v>
      </c>
      <c r="C25" s="4">
        <v>3</v>
      </c>
      <c r="D25" s="4">
        <v>24</v>
      </c>
      <c r="E25" s="4">
        <v>6</v>
      </c>
      <c r="F25" s="4" t="s">
        <v>30</v>
      </c>
      <c r="G25" t="s">
        <v>29</v>
      </c>
      <c r="H25" s="4">
        <v>106</v>
      </c>
      <c r="I25" s="4" t="s">
        <v>320</v>
      </c>
      <c r="J25" s="57">
        <v>45515</v>
      </c>
      <c r="K25">
        <v>6</v>
      </c>
      <c r="L25">
        <v>6</v>
      </c>
      <c r="M25">
        <v>6</v>
      </c>
      <c r="N25">
        <f t="shared" si="0"/>
        <v>6</v>
      </c>
      <c r="O25">
        <v>14.8</v>
      </c>
      <c r="P25">
        <v>16.5</v>
      </c>
      <c r="Q25">
        <v>12.1</v>
      </c>
      <c r="R25" s="43">
        <f t="shared" si="1"/>
        <v>14.466666666666667</v>
      </c>
      <c r="T25" s="53" t="s">
        <v>28</v>
      </c>
      <c r="U25" s="43">
        <v>17.283333333333331</v>
      </c>
      <c r="V25" s="43">
        <v>20.266666666666666</v>
      </c>
      <c r="W25" s="43">
        <v>23.341666666666665</v>
      </c>
      <c r="X25" s="43">
        <v>20.297222222222221</v>
      </c>
    </row>
    <row r="26" spans="1:24" x14ac:dyDescent="0.25">
      <c r="A26" s="4">
        <v>1</v>
      </c>
      <c r="B26" s="4">
        <v>7</v>
      </c>
      <c r="C26" s="4">
        <v>4</v>
      </c>
      <c r="D26" s="4">
        <v>25</v>
      </c>
      <c r="E26" s="4">
        <v>7</v>
      </c>
      <c r="F26" s="4" t="s">
        <v>25</v>
      </c>
      <c r="G26" t="s">
        <v>29</v>
      </c>
      <c r="H26" s="4">
        <v>107</v>
      </c>
      <c r="I26" s="4" t="s">
        <v>320</v>
      </c>
      <c r="J26" s="41">
        <v>45464</v>
      </c>
      <c r="K26">
        <v>5</v>
      </c>
      <c r="L26">
        <v>5</v>
      </c>
      <c r="M26">
        <v>4</v>
      </c>
      <c r="N26" s="43">
        <f t="shared" si="0"/>
        <v>4.666666666666667</v>
      </c>
      <c r="O26">
        <v>14.4</v>
      </c>
      <c r="P26">
        <v>14.7</v>
      </c>
      <c r="Q26">
        <v>14.9</v>
      </c>
      <c r="R26" s="43">
        <f t="shared" si="1"/>
        <v>14.666666666666666</v>
      </c>
      <c r="T26" s="53" t="s">
        <v>29</v>
      </c>
      <c r="U26" s="43">
        <v>16.816666666666666</v>
      </c>
      <c r="V26" s="43">
        <v>19.125</v>
      </c>
      <c r="W26" s="43">
        <v>23.700000000000003</v>
      </c>
      <c r="X26" s="43">
        <v>19.880555555555556</v>
      </c>
    </row>
    <row r="27" spans="1:24" x14ac:dyDescent="0.25">
      <c r="A27" s="4">
        <v>2</v>
      </c>
      <c r="B27" s="4">
        <v>7</v>
      </c>
      <c r="C27" s="4">
        <v>4</v>
      </c>
      <c r="D27" s="4">
        <v>26</v>
      </c>
      <c r="E27" s="4">
        <v>10</v>
      </c>
      <c r="F27" s="4" t="s">
        <v>25</v>
      </c>
      <c r="G27" t="s">
        <v>28</v>
      </c>
      <c r="H27" s="4">
        <v>207</v>
      </c>
      <c r="I27" s="4" t="s">
        <v>320</v>
      </c>
      <c r="J27" s="41">
        <v>45464</v>
      </c>
      <c r="K27">
        <v>5</v>
      </c>
      <c r="L27">
        <v>5</v>
      </c>
      <c r="M27">
        <v>6</v>
      </c>
      <c r="N27" s="43">
        <f t="shared" si="0"/>
        <v>5.333333333333333</v>
      </c>
      <c r="O27">
        <v>17.399999999999999</v>
      </c>
      <c r="P27">
        <v>13.5</v>
      </c>
      <c r="Q27">
        <v>18.600000000000001</v>
      </c>
      <c r="R27">
        <f t="shared" si="1"/>
        <v>16.5</v>
      </c>
      <c r="T27" s="52" t="s">
        <v>30</v>
      </c>
      <c r="U27" s="43">
        <v>15.764583333333333</v>
      </c>
      <c r="V27" s="43">
        <v>21.066666666666666</v>
      </c>
      <c r="W27" s="43">
        <v>30.354166666666664</v>
      </c>
      <c r="X27" s="43">
        <v>22.395138888888891</v>
      </c>
    </row>
    <row r="28" spans="1:24" x14ac:dyDescent="0.25">
      <c r="A28" s="4">
        <v>3</v>
      </c>
      <c r="B28" s="4">
        <v>7</v>
      </c>
      <c r="C28" s="4">
        <v>4</v>
      </c>
      <c r="D28" s="4">
        <v>27</v>
      </c>
      <c r="E28" s="4">
        <v>23</v>
      </c>
      <c r="F28" s="4" t="s">
        <v>25</v>
      </c>
      <c r="G28" t="s">
        <v>27</v>
      </c>
      <c r="H28" s="4">
        <v>307</v>
      </c>
      <c r="I28" s="4" t="s">
        <v>320</v>
      </c>
      <c r="J28" s="41">
        <v>45464</v>
      </c>
      <c r="K28">
        <v>6</v>
      </c>
      <c r="L28">
        <v>5</v>
      </c>
      <c r="M28">
        <v>5</v>
      </c>
      <c r="N28" s="43">
        <f t="shared" si="0"/>
        <v>5.333333333333333</v>
      </c>
      <c r="O28">
        <v>14.3</v>
      </c>
      <c r="P28">
        <v>19.3</v>
      </c>
      <c r="Q28">
        <v>14.3</v>
      </c>
      <c r="R28" s="43">
        <f t="shared" si="1"/>
        <v>15.966666666666669</v>
      </c>
      <c r="T28" s="53" t="s">
        <v>32</v>
      </c>
      <c r="U28" s="43">
        <v>15.066666666666668</v>
      </c>
      <c r="V28" s="43">
        <v>19.350000000000001</v>
      </c>
      <c r="W28" s="43">
        <v>32.716666666666669</v>
      </c>
      <c r="X28" s="43">
        <v>22.37777777777778</v>
      </c>
    </row>
    <row r="29" spans="1:24" x14ac:dyDescent="0.25">
      <c r="A29" s="4">
        <v>4</v>
      </c>
      <c r="B29" s="4">
        <v>7</v>
      </c>
      <c r="C29" s="4">
        <v>4</v>
      </c>
      <c r="D29" s="4">
        <v>28</v>
      </c>
      <c r="E29" s="4">
        <v>26</v>
      </c>
      <c r="F29" s="4" t="s">
        <v>25</v>
      </c>
      <c r="G29" t="s">
        <v>26</v>
      </c>
      <c r="H29" s="4">
        <v>407</v>
      </c>
      <c r="I29" s="4" t="s">
        <v>320</v>
      </c>
      <c r="J29" s="41">
        <v>45464</v>
      </c>
      <c r="K29">
        <v>5</v>
      </c>
      <c r="L29">
        <v>5</v>
      </c>
      <c r="M29">
        <v>4</v>
      </c>
      <c r="N29" s="43">
        <f t="shared" si="0"/>
        <v>4.666666666666667</v>
      </c>
      <c r="O29">
        <v>20.5</v>
      </c>
      <c r="P29">
        <v>18.8</v>
      </c>
      <c r="Q29">
        <v>14.4</v>
      </c>
      <c r="R29">
        <f t="shared" si="1"/>
        <v>17.899999999999999</v>
      </c>
      <c r="T29" s="53" t="s">
        <v>31</v>
      </c>
      <c r="U29" s="43">
        <v>17.050000000000004</v>
      </c>
      <c r="V29" s="43">
        <v>24.8</v>
      </c>
      <c r="W29" s="43">
        <v>31.166666666666668</v>
      </c>
      <c r="X29" s="43">
        <v>24.338888888888889</v>
      </c>
    </row>
    <row r="30" spans="1:24" x14ac:dyDescent="0.25">
      <c r="A30" s="4">
        <v>4</v>
      </c>
      <c r="B30" s="4">
        <v>8</v>
      </c>
      <c r="C30" s="4">
        <v>4</v>
      </c>
      <c r="D30" s="4">
        <v>29</v>
      </c>
      <c r="E30" s="4">
        <v>25</v>
      </c>
      <c r="F30" s="4" t="s">
        <v>30</v>
      </c>
      <c r="G30" t="s">
        <v>31</v>
      </c>
      <c r="H30" s="4">
        <v>408</v>
      </c>
      <c r="I30" s="4" t="s">
        <v>320</v>
      </c>
      <c r="J30" s="57">
        <v>45515</v>
      </c>
      <c r="K30">
        <v>6</v>
      </c>
      <c r="L30">
        <v>6</v>
      </c>
      <c r="M30">
        <v>5</v>
      </c>
      <c r="N30" s="43">
        <f t="shared" si="0"/>
        <v>5.666666666666667</v>
      </c>
      <c r="O30">
        <v>16.5</v>
      </c>
      <c r="P30">
        <v>17.5</v>
      </c>
      <c r="Q30">
        <v>15.2</v>
      </c>
      <c r="R30">
        <f t="shared" si="1"/>
        <v>16.400000000000002</v>
      </c>
      <c r="T30" s="53" t="s">
        <v>28</v>
      </c>
      <c r="U30" s="43">
        <v>16.05</v>
      </c>
      <c r="V30" s="43">
        <v>20.824999999999999</v>
      </c>
      <c r="W30" s="43">
        <v>27.791666666666668</v>
      </c>
      <c r="X30" s="43">
        <v>21.555555555555557</v>
      </c>
    </row>
    <row r="31" spans="1:24" x14ac:dyDescent="0.25">
      <c r="A31" s="4">
        <v>3</v>
      </c>
      <c r="B31" s="4">
        <v>8</v>
      </c>
      <c r="C31" s="4">
        <v>4</v>
      </c>
      <c r="D31" s="4">
        <v>30</v>
      </c>
      <c r="E31" s="4">
        <v>24</v>
      </c>
      <c r="F31" s="4" t="s">
        <v>30</v>
      </c>
      <c r="G31" t="s">
        <v>28</v>
      </c>
      <c r="H31" s="4">
        <v>308</v>
      </c>
      <c r="I31" s="4" t="s">
        <v>320</v>
      </c>
      <c r="J31" s="57">
        <v>45515</v>
      </c>
      <c r="K31">
        <v>6</v>
      </c>
      <c r="L31">
        <v>4</v>
      </c>
      <c r="M31">
        <v>4</v>
      </c>
      <c r="N31" s="43">
        <f t="shared" si="0"/>
        <v>4.666666666666667</v>
      </c>
      <c r="O31">
        <v>16.100000000000001</v>
      </c>
      <c r="P31">
        <v>17.3</v>
      </c>
      <c r="Q31">
        <v>14</v>
      </c>
      <c r="R31">
        <f t="shared" si="1"/>
        <v>15.800000000000002</v>
      </c>
      <c r="T31" s="53" t="s">
        <v>29</v>
      </c>
      <c r="U31" s="43">
        <v>14.891666666666666</v>
      </c>
      <c r="V31" s="43">
        <v>19.291666666666668</v>
      </c>
      <c r="W31" s="43">
        <v>29.741666666666667</v>
      </c>
      <c r="X31" s="43">
        <v>21.308333333333334</v>
      </c>
    </row>
    <row r="32" spans="1:24" x14ac:dyDescent="0.25">
      <c r="A32" s="4">
        <v>2</v>
      </c>
      <c r="B32" s="4">
        <v>8</v>
      </c>
      <c r="C32" s="4">
        <v>4</v>
      </c>
      <c r="D32" s="4">
        <v>31</v>
      </c>
      <c r="E32" s="4">
        <v>9</v>
      </c>
      <c r="F32" s="4" t="s">
        <v>30</v>
      </c>
      <c r="G32" t="s">
        <v>29</v>
      </c>
      <c r="H32" s="4">
        <v>208</v>
      </c>
      <c r="I32" s="4" t="s">
        <v>320</v>
      </c>
      <c r="J32" s="57">
        <v>45515</v>
      </c>
      <c r="K32">
        <v>6</v>
      </c>
      <c r="L32">
        <v>6</v>
      </c>
      <c r="M32">
        <v>5</v>
      </c>
      <c r="N32" s="43">
        <f t="shared" si="0"/>
        <v>5.666666666666667</v>
      </c>
      <c r="O32">
        <v>14.7</v>
      </c>
      <c r="P32">
        <v>17.2</v>
      </c>
      <c r="Q32">
        <v>13.6</v>
      </c>
      <c r="R32" s="43">
        <f t="shared" si="1"/>
        <v>15.166666666666666</v>
      </c>
      <c r="T32" s="52" t="s">
        <v>325</v>
      </c>
      <c r="U32" s="43">
        <v>16.690625000000001</v>
      </c>
      <c r="V32" s="43">
        <v>19.806250000000002</v>
      </c>
      <c r="W32" s="43">
        <v>26.560416666666665</v>
      </c>
      <c r="X32" s="43">
        <v>21.019097222222221</v>
      </c>
    </row>
    <row r="33" spans="1:18" x14ac:dyDescent="0.25">
      <c r="A33" s="4">
        <v>1</v>
      </c>
      <c r="B33" s="4">
        <v>8</v>
      </c>
      <c r="C33" s="4">
        <v>4</v>
      </c>
      <c r="D33" s="4">
        <v>32</v>
      </c>
      <c r="E33" s="4">
        <v>8</v>
      </c>
      <c r="F33" s="4" t="s">
        <v>30</v>
      </c>
      <c r="G33" t="s">
        <v>32</v>
      </c>
      <c r="H33" s="4">
        <v>108</v>
      </c>
      <c r="I33" s="4" t="s">
        <v>320</v>
      </c>
      <c r="J33" s="57">
        <v>45515</v>
      </c>
      <c r="K33">
        <v>5</v>
      </c>
      <c r="L33">
        <v>6</v>
      </c>
      <c r="M33">
        <v>6</v>
      </c>
      <c r="N33" s="43">
        <f t="shared" si="0"/>
        <v>5.666666666666667</v>
      </c>
      <c r="O33">
        <v>17</v>
      </c>
      <c r="P33">
        <v>15.7</v>
      </c>
      <c r="Q33">
        <v>14.7</v>
      </c>
      <c r="R33">
        <f t="shared" si="1"/>
        <v>15.800000000000002</v>
      </c>
    </row>
    <row r="34" spans="1:18" x14ac:dyDescent="0.25">
      <c r="A34" s="4">
        <v>1</v>
      </c>
      <c r="B34" s="4">
        <v>1</v>
      </c>
      <c r="C34" s="4">
        <v>1</v>
      </c>
      <c r="D34" s="4">
        <v>1</v>
      </c>
      <c r="E34" s="4">
        <v>1</v>
      </c>
      <c r="F34" s="4" t="s">
        <v>25</v>
      </c>
      <c r="G34" t="s">
        <v>26</v>
      </c>
      <c r="H34" s="4">
        <v>101</v>
      </c>
      <c r="I34" s="4" t="s">
        <v>323</v>
      </c>
      <c r="J34" s="41">
        <v>45464</v>
      </c>
      <c r="K34">
        <v>7</v>
      </c>
      <c r="L34">
        <v>6</v>
      </c>
      <c r="M34">
        <v>6</v>
      </c>
      <c r="N34" s="43">
        <f t="shared" si="0"/>
        <v>6.333333333333333</v>
      </c>
      <c r="O34">
        <v>15.9</v>
      </c>
      <c r="P34">
        <v>14.1</v>
      </c>
      <c r="Q34">
        <v>12.9</v>
      </c>
      <c r="R34">
        <f t="shared" si="1"/>
        <v>14.299999999999999</v>
      </c>
    </row>
    <row r="35" spans="1:18" x14ac:dyDescent="0.25">
      <c r="A35" s="4">
        <v>2</v>
      </c>
      <c r="B35" s="4">
        <v>1</v>
      </c>
      <c r="C35" s="4">
        <v>1</v>
      </c>
      <c r="D35" s="4">
        <v>2</v>
      </c>
      <c r="E35" s="4">
        <v>16</v>
      </c>
      <c r="F35" s="4" t="s">
        <v>25</v>
      </c>
      <c r="G35" t="s">
        <v>27</v>
      </c>
      <c r="H35" s="4">
        <v>201</v>
      </c>
      <c r="I35" s="4" t="s">
        <v>323</v>
      </c>
      <c r="J35" s="41">
        <v>45464</v>
      </c>
      <c r="K35">
        <v>10</v>
      </c>
      <c r="L35">
        <v>9</v>
      </c>
      <c r="M35">
        <v>8</v>
      </c>
      <c r="N35">
        <f t="shared" si="0"/>
        <v>9</v>
      </c>
      <c r="O35">
        <v>20.8</v>
      </c>
      <c r="P35">
        <v>22.6</v>
      </c>
      <c r="Q35">
        <v>19.5</v>
      </c>
      <c r="R35" s="43">
        <f t="shared" si="1"/>
        <v>20.966666666666669</v>
      </c>
    </row>
    <row r="36" spans="1:18" x14ac:dyDescent="0.25">
      <c r="A36" s="4">
        <v>3</v>
      </c>
      <c r="B36" s="4">
        <v>1</v>
      </c>
      <c r="C36" s="4">
        <v>1</v>
      </c>
      <c r="D36" s="4">
        <v>3</v>
      </c>
      <c r="E36" s="4">
        <v>17</v>
      </c>
      <c r="F36" s="4" t="s">
        <v>25</v>
      </c>
      <c r="G36" t="s">
        <v>28</v>
      </c>
      <c r="H36" s="4">
        <v>301</v>
      </c>
      <c r="I36" s="4" t="s">
        <v>323</v>
      </c>
      <c r="J36" s="41">
        <v>45464</v>
      </c>
      <c r="K36">
        <v>11</v>
      </c>
      <c r="L36">
        <v>7</v>
      </c>
      <c r="M36">
        <v>9</v>
      </c>
      <c r="N36">
        <f t="shared" si="0"/>
        <v>9</v>
      </c>
      <c r="O36">
        <v>24.3</v>
      </c>
      <c r="P36">
        <v>22.6</v>
      </c>
      <c r="Q36">
        <v>19.899999999999999</v>
      </c>
      <c r="R36" s="43">
        <f t="shared" si="1"/>
        <v>22.266666666666669</v>
      </c>
    </row>
    <row r="37" spans="1:18" x14ac:dyDescent="0.25">
      <c r="A37" s="4">
        <v>4</v>
      </c>
      <c r="B37" s="4">
        <v>1</v>
      </c>
      <c r="C37" s="4">
        <v>1</v>
      </c>
      <c r="D37" s="4">
        <v>4</v>
      </c>
      <c r="E37" s="4">
        <v>32</v>
      </c>
      <c r="F37" s="4" t="s">
        <v>25</v>
      </c>
      <c r="G37" t="s">
        <v>29</v>
      </c>
      <c r="H37" s="4">
        <v>401</v>
      </c>
      <c r="I37" s="4" t="s">
        <v>323</v>
      </c>
      <c r="J37" s="41">
        <v>45464</v>
      </c>
      <c r="K37">
        <v>8</v>
      </c>
      <c r="L37">
        <v>9</v>
      </c>
      <c r="M37">
        <v>7</v>
      </c>
      <c r="N37">
        <f t="shared" si="0"/>
        <v>8</v>
      </c>
      <c r="O37">
        <v>19.899999999999999</v>
      </c>
      <c r="P37">
        <v>17.7</v>
      </c>
      <c r="Q37">
        <v>15.2</v>
      </c>
      <c r="R37">
        <f t="shared" si="1"/>
        <v>17.599999999999998</v>
      </c>
    </row>
    <row r="38" spans="1:18" x14ac:dyDescent="0.25">
      <c r="A38" s="4">
        <v>4</v>
      </c>
      <c r="B38" s="4">
        <v>2</v>
      </c>
      <c r="C38" s="4">
        <v>1</v>
      </c>
      <c r="D38" s="4">
        <v>5</v>
      </c>
      <c r="E38" s="4">
        <v>31</v>
      </c>
      <c r="F38" s="4" t="s">
        <v>30</v>
      </c>
      <c r="G38" t="s">
        <v>32</v>
      </c>
      <c r="H38" s="4">
        <v>402</v>
      </c>
      <c r="I38" s="4" t="s">
        <v>323</v>
      </c>
      <c r="J38" s="41">
        <v>45542</v>
      </c>
      <c r="K38">
        <v>9</v>
      </c>
      <c r="L38">
        <v>8</v>
      </c>
      <c r="M38">
        <v>9</v>
      </c>
      <c r="N38" s="43">
        <f t="shared" ref="N38:N69" si="2">AVERAGE(K38:M38)</f>
        <v>8.6666666666666661</v>
      </c>
      <c r="O38">
        <v>20.8</v>
      </c>
      <c r="P38">
        <v>18.7</v>
      </c>
      <c r="Q38">
        <v>18.600000000000001</v>
      </c>
      <c r="R38" s="43">
        <f t="shared" ref="R38:R69" si="3">AVERAGE(O38:Q38)</f>
        <v>19.366666666666667</v>
      </c>
    </row>
    <row r="39" spans="1:18" x14ac:dyDescent="0.25">
      <c r="A39" s="4">
        <v>3</v>
      </c>
      <c r="B39" s="4">
        <v>2</v>
      </c>
      <c r="C39" s="4">
        <v>1</v>
      </c>
      <c r="D39" s="4">
        <v>6</v>
      </c>
      <c r="E39" s="4">
        <v>18</v>
      </c>
      <c r="F39" s="4" t="s">
        <v>30</v>
      </c>
      <c r="G39" t="s">
        <v>29</v>
      </c>
      <c r="H39" s="4">
        <v>302</v>
      </c>
      <c r="I39" s="4" t="s">
        <v>323</v>
      </c>
      <c r="J39" s="41">
        <v>45542</v>
      </c>
      <c r="K39">
        <v>8</v>
      </c>
      <c r="L39">
        <v>9</v>
      </c>
      <c r="M39">
        <v>9</v>
      </c>
      <c r="N39" s="43">
        <f t="shared" si="2"/>
        <v>8.6666666666666661</v>
      </c>
      <c r="O39">
        <v>16.7</v>
      </c>
      <c r="P39">
        <v>20.100000000000001</v>
      </c>
      <c r="Q39">
        <v>17.600000000000001</v>
      </c>
      <c r="R39" s="43">
        <f t="shared" si="3"/>
        <v>18.133333333333333</v>
      </c>
    </row>
    <row r="40" spans="1:18" x14ac:dyDescent="0.25">
      <c r="A40" s="4">
        <v>2</v>
      </c>
      <c r="B40" s="4">
        <v>2</v>
      </c>
      <c r="C40" s="4">
        <v>1</v>
      </c>
      <c r="D40" s="4">
        <v>7</v>
      </c>
      <c r="E40" s="4">
        <v>15</v>
      </c>
      <c r="F40" s="4" t="s">
        <v>30</v>
      </c>
      <c r="G40" t="s">
        <v>28</v>
      </c>
      <c r="H40" s="4">
        <v>202</v>
      </c>
      <c r="I40" s="4" t="s">
        <v>323</v>
      </c>
      <c r="J40" s="41">
        <v>45542</v>
      </c>
      <c r="K40">
        <v>10</v>
      </c>
      <c r="L40">
        <v>11</v>
      </c>
      <c r="M40">
        <v>10</v>
      </c>
      <c r="N40" s="43">
        <f t="shared" si="2"/>
        <v>10.333333333333334</v>
      </c>
      <c r="O40">
        <v>20.5</v>
      </c>
      <c r="P40">
        <v>23.4</v>
      </c>
      <c r="Q40">
        <v>20.7</v>
      </c>
      <c r="R40" s="43">
        <f t="shared" si="3"/>
        <v>21.533333333333331</v>
      </c>
    </row>
    <row r="41" spans="1:18" x14ac:dyDescent="0.25">
      <c r="A41" s="4">
        <v>1</v>
      </c>
      <c r="B41" s="4">
        <v>2</v>
      </c>
      <c r="C41" s="4">
        <v>1</v>
      </c>
      <c r="D41" s="4">
        <v>8</v>
      </c>
      <c r="E41" s="4">
        <v>2</v>
      </c>
      <c r="F41" s="4" t="s">
        <v>30</v>
      </c>
      <c r="G41" t="s">
        <v>31</v>
      </c>
      <c r="H41" s="4">
        <v>102</v>
      </c>
      <c r="I41" s="4" t="s">
        <v>323</v>
      </c>
      <c r="J41" s="41">
        <v>45542</v>
      </c>
      <c r="K41">
        <v>14</v>
      </c>
      <c r="L41">
        <v>12</v>
      </c>
      <c r="M41">
        <v>14</v>
      </c>
      <c r="N41" s="43">
        <f t="shared" si="2"/>
        <v>13.333333333333334</v>
      </c>
      <c r="O41">
        <v>25.2</v>
      </c>
      <c r="P41">
        <v>24.3</v>
      </c>
      <c r="Q41">
        <v>25.7</v>
      </c>
      <c r="R41" s="43">
        <f t="shared" si="3"/>
        <v>25.066666666666666</v>
      </c>
    </row>
    <row r="42" spans="1:18" x14ac:dyDescent="0.25">
      <c r="A42" s="4">
        <v>1</v>
      </c>
      <c r="B42" s="4">
        <v>3</v>
      </c>
      <c r="C42" s="4">
        <v>2</v>
      </c>
      <c r="D42" s="4">
        <v>9</v>
      </c>
      <c r="E42" s="4">
        <v>3</v>
      </c>
      <c r="F42" s="4" t="s">
        <v>25</v>
      </c>
      <c r="G42" t="s">
        <v>27</v>
      </c>
      <c r="H42" s="4">
        <v>103</v>
      </c>
      <c r="I42" s="4" t="s">
        <v>323</v>
      </c>
      <c r="J42" s="41">
        <v>45464</v>
      </c>
      <c r="K42">
        <v>9</v>
      </c>
      <c r="L42">
        <v>7</v>
      </c>
      <c r="M42">
        <v>10</v>
      </c>
      <c r="N42" s="43">
        <f t="shared" si="2"/>
        <v>8.6666666666666661</v>
      </c>
      <c r="O42">
        <v>19.3</v>
      </c>
      <c r="P42">
        <v>16.5</v>
      </c>
      <c r="Q42">
        <v>20.6</v>
      </c>
      <c r="R42">
        <f t="shared" si="3"/>
        <v>18.8</v>
      </c>
    </row>
    <row r="43" spans="1:18" x14ac:dyDescent="0.25">
      <c r="A43" s="4">
        <v>2</v>
      </c>
      <c r="B43" s="4">
        <v>3</v>
      </c>
      <c r="C43" s="4">
        <v>2</v>
      </c>
      <c r="D43" s="4">
        <v>10</v>
      </c>
      <c r="E43" s="4">
        <v>14</v>
      </c>
      <c r="F43" s="4" t="s">
        <v>25</v>
      </c>
      <c r="G43" t="s">
        <v>29</v>
      </c>
      <c r="H43" s="4">
        <v>203</v>
      </c>
      <c r="I43" s="4" t="s">
        <v>323</v>
      </c>
      <c r="J43" s="41">
        <v>45464</v>
      </c>
      <c r="K43">
        <v>10</v>
      </c>
      <c r="L43">
        <v>9</v>
      </c>
      <c r="M43">
        <v>7</v>
      </c>
      <c r="N43" s="43">
        <f t="shared" si="2"/>
        <v>8.6666666666666661</v>
      </c>
      <c r="O43">
        <v>20.6</v>
      </c>
      <c r="P43">
        <v>19.899999999999999</v>
      </c>
      <c r="Q43">
        <v>15.7</v>
      </c>
      <c r="R43" s="43">
        <f t="shared" si="3"/>
        <v>18.733333333333334</v>
      </c>
    </row>
    <row r="44" spans="1:18" x14ac:dyDescent="0.25">
      <c r="A44" s="4">
        <v>3</v>
      </c>
      <c r="B44" s="4">
        <v>3</v>
      </c>
      <c r="C44" s="4">
        <v>2</v>
      </c>
      <c r="D44" s="4">
        <v>11</v>
      </c>
      <c r="E44" s="4">
        <v>19</v>
      </c>
      <c r="F44" s="4" t="s">
        <v>25</v>
      </c>
      <c r="G44" t="s">
        <v>26</v>
      </c>
      <c r="H44" s="4">
        <v>303</v>
      </c>
      <c r="I44" s="4" t="s">
        <v>323</v>
      </c>
      <c r="J44" s="41">
        <v>45464</v>
      </c>
      <c r="K44">
        <v>6</v>
      </c>
      <c r="L44">
        <v>7</v>
      </c>
      <c r="M44">
        <v>6</v>
      </c>
      <c r="N44" s="43">
        <f t="shared" si="2"/>
        <v>6.333333333333333</v>
      </c>
      <c r="O44">
        <v>17.2</v>
      </c>
      <c r="P44">
        <v>16.8</v>
      </c>
      <c r="Q44">
        <v>14.5</v>
      </c>
      <c r="R44" s="43">
        <f t="shared" si="3"/>
        <v>16.166666666666668</v>
      </c>
    </row>
    <row r="45" spans="1:18" x14ac:dyDescent="0.25">
      <c r="A45" s="4">
        <v>4</v>
      </c>
      <c r="B45" s="4">
        <v>3</v>
      </c>
      <c r="C45" s="4">
        <v>2</v>
      </c>
      <c r="D45" s="4">
        <v>12</v>
      </c>
      <c r="E45" s="4">
        <v>30</v>
      </c>
      <c r="F45" s="4" t="s">
        <v>25</v>
      </c>
      <c r="G45" t="s">
        <v>28</v>
      </c>
      <c r="H45" s="4">
        <v>403</v>
      </c>
      <c r="I45" s="4" t="s">
        <v>323</v>
      </c>
      <c r="J45" s="41">
        <v>45464</v>
      </c>
      <c r="K45">
        <v>6</v>
      </c>
      <c r="L45">
        <v>10</v>
      </c>
      <c r="M45">
        <v>8</v>
      </c>
      <c r="N45">
        <f t="shared" si="2"/>
        <v>8</v>
      </c>
      <c r="O45">
        <v>15.1</v>
      </c>
      <c r="P45">
        <v>22.1</v>
      </c>
      <c r="Q45">
        <v>20.7</v>
      </c>
      <c r="R45">
        <f t="shared" si="3"/>
        <v>19.3</v>
      </c>
    </row>
    <row r="46" spans="1:18" x14ac:dyDescent="0.25">
      <c r="A46" s="4">
        <v>4</v>
      </c>
      <c r="B46" s="4">
        <v>4</v>
      </c>
      <c r="C46" s="4">
        <v>2</v>
      </c>
      <c r="D46" s="4">
        <v>13</v>
      </c>
      <c r="E46" s="4">
        <v>29</v>
      </c>
      <c r="F46" s="4" t="s">
        <v>30</v>
      </c>
      <c r="G46" t="s">
        <v>29</v>
      </c>
      <c r="H46" s="4">
        <v>404</v>
      </c>
      <c r="I46" s="4" t="s">
        <v>323</v>
      </c>
      <c r="J46" s="41">
        <v>45542</v>
      </c>
      <c r="K46">
        <v>11</v>
      </c>
      <c r="L46">
        <v>8</v>
      </c>
      <c r="M46">
        <v>9</v>
      </c>
      <c r="N46" s="43">
        <f t="shared" si="2"/>
        <v>9.3333333333333339</v>
      </c>
      <c r="O46">
        <v>23.3</v>
      </c>
      <c r="P46">
        <v>19.600000000000001</v>
      </c>
      <c r="Q46">
        <v>18.100000000000001</v>
      </c>
      <c r="R46" s="43">
        <f t="shared" si="3"/>
        <v>20.333333333333336</v>
      </c>
    </row>
    <row r="47" spans="1:18" x14ac:dyDescent="0.25">
      <c r="A47" s="4">
        <v>3</v>
      </c>
      <c r="B47" s="4">
        <v>4</v>
      </c>
      <c r="C47" s="4">
        <v>2</v>
      </c>
      <c r="D47" s="4">
        <v>14</v>
      </c>
      <c r="E47" s="4">
        <v>20</v>
      </c>
      <c r="F47" s="4" t="s">
        <v>30</v>
      </c>
      <c r="G47" t="s">
        <v>31</v>
      </c>
      <c r="H47" s="4">
        <v>304</v>
      </c>
      <c r="I47" s="4" t="s">
        <v>323</v>
      </c>
      <c r="J47" s="41">
        <v>45542</v>
      </c>
      <c r="K47">
        <v>12</v>
      </c>
      <c r="L47">
        <v>12</v>
      </c>
      <c r="M47">
        <v>11</v>
      </c>
      <c r="N47" s="43">
        <f t="shared" si="2"/>
        <v>11.666666666666666</v>
      </c>
      <c r="O47">
        <v>26.8</v>
      </c>
      <c r="P47">
        <v>25.3</v>
      </c>
      <c r="Q47">
        <v>20.5</v>
      </c>
      <c r="R47">
        <f t="shared" si="3"/>
        <v>24.2</v>
      </c>
    </row>
    <row r="48" spans="1:18" x14ac:dyDescent="0.25">
      <c r="A48" s="4">
        <v>2</v>
      </c>
      <c r="B48" s="4">
        <v>4</v>
      </c>
      <c r="C48" s="4">
        <v>2</v>
      </c>
      <c r="D48" s="4">
        <v>15</v>
      </c>
      <c r="E48" s="4">
        <v>13</v>
      </c>
      <c r="F48" s="4" t="s">
        <v>30</v>
      </c>
      <c r="G48" t="s">
        <v>32</v>
      </c>
      <c r="H48" s="4">
        <v>204</v>
      </c>
      <c r="I48" s="4" t="s">
        <v>323</v>
      </c>
      <c r="J48" s="41">
        <v>45542</v>
      </c>
      <c r="K48">
        <v>10</v>
      </c>
      <c r="L48">
        <v>11</v>
      </c>
      <c r="M48">
        <v>8</v>
      </c>
      <c r="N48" s="43">
        <f t="shared" si="2"/>
        <v>9.6666666666666661</v>
      </c>
      <c r="O48">
        <v>21.4</v>
      </c>
      <c r="P48">
        <v>22.8</v>
      </c>
      <c r="Q48">
        <v>20.5</v>
      </c>
      <c r="R48" s="43">
        <f t="shared" si="3"/>
        <v>21.566666666666666</v>
      </c>
    </row>
    <row r="49" spans="1:18" x14ac:dyDescent="0.25">
      <c r="A49" s="4">
        <v>1</v>
      </c>
      <c r="B49" s="4">
        <v>4</v>
      </c>
      <c r="C49" s="4">
        <v>2</v>
      </c>
      <c r="D49" s="4">
        <v>16</v>
      </c>
      <c r="E49" s="4">
        <v>4</v>
      </c>
      <c r="F49" s="4" t="s">
        <v>30</v>
      </c>
      <c r="G49" t="s">
        <v>28</v>
      </c>
      <c r="H49" s="4">
        <v>104</v>
      </c>
      <c r="I49" s="4" t="s">
        <v>323</v>
      </c>
      <c r="J49" s="41">
        <v>45542</v>
      </c>
      <c r="K49">
        <v>10</v>
      </c>
      <c r="L49">
        <v>9</v>
      </c>
      <c r="M49">
        <v>11</v>
      </c>
      <c r="N49">
        <f t="shared" si="2"/>
        <v>10</v>
      </c>
      <c r="O49">
        <v>21.9</v>
      </c>
      <c r="P49">
        <v>19.100000000000001</v>
      </c>
      <c r="Q49">
        <v>22.1</v>
      </c>
      <c r="R49" s="43">
        <f t="shared" si="3"/>
        <v>21.033333333333335</v>
      </c>
    </row>
    <row r="50" spans="1:18" x14ac:dyDescent="0.25">
      <c r="A50" s="4">
        <v>1</v>
      </c>
      <c r="B50" s="4">
        <v>5</v>
      </c>
      <c r="C50" s="4">
        <v>3</v>
      </c>
      <c r="D50" s="4">
        <v>17</v>
      </c>
      <c r="E50" s="4">
        <v>5</v>
      </c>
      <c r="F50" s="4" t="s">
        <v>25</v>
      </c>
      <c r="G50" t="s">
        <v>28</v>
      </c>
      <c r="H50" s="4">
        <v>105</v>
      </c>
      <c r="I50" s="4" t="s">
        <v>323</v>
      </c>
      <c r="J50" s="41">
        <v>45464</v>
      </c>
      <c r="K50">
        <v>10</v>
      </c>
      <c r="L50">
        <v>9</v>
      </c>
      <c r="M50">
        <v>9</v>
      </c>
      <c r="N50" s="43">
        <f t="shared" si="2"/>
        <v>9.3333333333333339</v>
      </c>
      <c r="O50">
        <v>20.8</v>
      </c>
      <c r="P50">
        <v>19.3</v>
      </c>
      <c r="Q50">
        <v>18.399999999999999</v>
      </c>
      <c r="R50">
        <f t="shared" si="3"/>
        <v>19.5</v>
      </c>
    </row>
    <row r="51" spans="1:18" x14ac:dyDescent="0.25">
      <c r="A51" s="4">
        <v>2</v>
      </c>
      <c r="B51" s="4">
        <v>5</v>
      </c>
      <c r="C51" s="4">
        <v>3</v>
      </c>
      <c r="D51" s="4">
        <v>18</v>
      </c>
      <c r="E51" s="4">
        <v>12</v>
      </c>
      <c r="F51" s="4" t="s">
        <v>25</v>
      </c>
      <c r="G51" t="s">
        <v>26</v>
      </c>
      <c r="H51" s="4">
        <v>205</v>
      </c>
      <c r="I51" s="4" t="s">
        <v>323</v>
      </c>
      <c r="J51" s="41">
        <v>45464</v>
      </c>
      <c r="K51">
        <v>7</v>
      </c>
      <c r="L51">
        <v>6</v>
      </c>
      <c r="M51">
        <v>6</v>
      </c>
      <c r="N51" s="43">
        <f t="shared" si="2"/>
        <v>6.333333333333333</v>
      </c>
      <c r="O51">
        <v>19.600000000000001</v>
      </c>
      <c r="P51">
        <v>18.899999999999999</v>
      </c>
      <c r="Q51">
        <v>14.7</v>
      </c>
      <c r="R51" s="43">
        <f t="shared" si="3"/>
        <v>17.733333333333334</v>
      </c>
    </row>
    <row r="52" spans="1:18" x14ac:dyDescent="0.25">
      <c r="A52" s="4">
        <v>3</v>
      </c>
      <c r="B52" s="4">
        <v>5</v>
      </c>
      <c r="C52" s="4">
        <v>3</v>
      </c>
      <c r="D52" s="4">
        <v>19</v>
      </c>
      <c r="E52" s="4">
        <v>21</v>
      </c>
      <c r="F52" s="4" t="s">
        <v>25</v>
      </c>
      <c r="G52" t="s">
        <v>29</v>
      </c>
      <c r="H52" s="4">
        <v>305</v>
      </c>
      <c r="I52" s="4" t="s">
        <v>323</v>
      </c>
      <c r="J52" s="41">
        <v>45464</v>
      </c>
      <c r="K52">
        <v>9</v>
      </c>
      <c r="L52">
        <v>9</v>
      </c>
      <c r="M52">
        <v>10</v>
      </c>
      <c r="N52" s="43">
        <f t="shared" si="2"/>
        <v>9.3333333333333339</v>
      </c>
      <c r="O52">
        <v>20.9</v>
      </c>
      <c r="P52">
        <v>18.7</v>
      </c>
      <c r="Q52">
        <v>22.5</v>
      </c>
      <c r="R52">
        <f t="shared" si="3"/>
        <v>20.7</v>
      </c>
    </row>
    <row r="53" spans="1:18" x14ac:dyDescent="0.25">
      <c r="A53" s="4">
        <v>4</v>
      </c>
      <c r="B53" s="4">
        <v>5</v>
      </c>
      <c r="C53" s="4">
        <v>3</v>
      </c>
      <c r="D53" s="4">
        <v>20</v>
      </c>
      <c r="E53" s="4">
        <v>28</v>
      </c>
      <c r="F53" s="4" t="s">
        <v>25</v>
      </c>
      <c r="G53" t="s">
        <v>27</v>
      </c>
      <c r="H53" s="4">
        <v>405</v>
      </c>
      <c r="I53" s="4" t="s">
        <v>323</v>
      </c>
      <c r="J53" s="41">
        <v>45464</v>
      </c>
      <c r="K53">
        <v>8</v>
      </c>
      <c r="L53">
        <v>8</v>
      </c>
      <c r="M53">
        <v>8</v>
      </c>
      <c r="N53">
        <f t="shared" si="2"/>
        <v>8</v>
      </c>
      <c r="O53">
        <v>15.1</v>
      </c>
      <c r="P53">
        <v>18.3</v>
      </c>
      <c r="Q53">
        <v>15</v>
      </c>
      <c r="R53" s="43">
        <f t="shared" si="3"/>
        <v>16.133333333333333</v>
      </c>
    </row>
    <row r="54" spans="1:18" x14ac:dyDescent="0.25">
      <c r="A54" s="4">
        <v>4</v>
      </c>
      <c r="B54" s="4">
        <v>6</v>
      </c>
      <c r="C54" s="4">
        <v>3</v>
      </c>
      <c r="D54" s="4">
        <v>21</v>
      </c>
      <c r="E54" s="4">
        <v>27</v>
      </c>
      <c r="F54" s="4" t="s">
        <v>30</v>
      </c>
      <c r="G54" t="s">
        <v>28</v>
      </c>
      <c r="H54" s="4">
        <v>406</v>
      </c>
      <c r="I54" s="4" t="s">
        <v>323</v>
      </c>
      <c r="J54" s="41">
        <v>45542</v>
      </c>
      <c r="K54">
        <v>8</v>
      </c>
      <c r="L54">
        <v>10</v>
      </c>
      <c r="M54">
        <v>11</v>
      </c>
      <c r="N54" s="43">
        <f t="shared" si="2"/>
        <v>9.6666666666666661</v>
      </c>
      <c r="O54">
        <v>16.600000000000001</v>
      </c>
      <c r="P54">
        <v>21.1</v>
      </c>
      <c r="Q54">
        <v>23.3</v>
      </c>
      <c r="R54" s="43">
        <f t="shared" si="3"/>
        <v>20.333333333333332</v>
      </c>
    </row>
    <row r="55" spans="1:18" x14ac:dyDescent="0.25">
      <c r="A55" s="4">
        <v>3</v>
      </c>
      <c r="B55" s="4">
        <v>6</v>
      </c>
      <c r="C55" s="4">
        <v>3</v>
      </c>
      <c r="D55" s="4">
        <v>22</v>
      </c>
      <c r="E55" s="4">
        <v>22</v>
      </c>
      <c r="F55" s="4" t="s">
        <v>30</v>
      </c>
      <c r="G55" t="s">
        <v>32</v>
      </c>
      <c r="H55" s="4">
        <v>306</v>
      </c>
      <c r="I55" s="4" t="s">
        <v>323</v>
      </c>
      <c r="J55" s="41">
        <v>45542</v>
      </c>
      <c r="K55">
        <v>8</v>
      </c>
      <c r="L55">
        <v>5</v>
      </c>
      <c r="M55">
        <v>8</v>
      </c>
      <c r="N55">
        <f t="shared" si="2"/>
        <v>7</v>
      </c>
      <c r="O55">
        <v>17</v>
      </c>
      <c r="P55">
        <v>18.600000000000001</v>
      </c>
      <c r="Q55">
        <v>20.399999999999999</v>
      </c>
      <c r="R55" s="43">
        <f t="shared" si="3"/>
        <v>18.666666666666668</v>
      </c>
    </row>
    <row r="56" spans="1:18" x14ac:dyDescent="0.25">
      <c r="A56" s="4">
        <v>2</v>
      </c>
      <c r="B56" s="4">
        <v>6</v>
      </c>
      <c r="C56" s="4">
        <v>3</v>
      </c>
      <c r="D56" s="4">
        <v>23</v>
      </c>
      <c r="E56" s="4">
        <v>11</v>
      </c>
      <c r="F56" s="4" t="s">
        <v>30</v>
      </c>
      <c r="G56" t="s">
        <v>31</v>
      </c>
      <c r="H56" s="4">
        <v>206</v>
      </c>
      <c r="I56" s="4" t="s">
        <v>323</v>
      </c>
      <c r="J56" s="41">
        <v>45542</v>
      </c>
      <c r="K56">
        <v>12</v>
      </c>
      <c r="L56">
        <v>12</v>
      </c>
      <c r="M56">
        <v>12</v>
      </c>
      <c r="N56">
        <f t="shared" si="2"/>
        <v>12</v>
      </c>
      <c r="O56">
        <v>25.1</v>
      </c>
      <c r="P56">
        <v>23.8</v>
      </c>
      <c r="Q56">
        <v>23.6</v>
      </c>
      <c r="R56" s="43">
        <f t="shared" si="3"/>
        <v>24.166666666666668</v>
      </c>
    </row>
    <row r="57" spans="1:18" x14ac:dyDescent="0.25">
      <c r="A57" s="4">
        <v>1</v>
      </c>
      <c r="B57" s="4">
        <v>6</v>
      </c>
      <c r="C57" s="4">
        <v>3</v>
      </c>
      <c r="D57" s="4">
        <v>24</v>
      </c>
      <c r="E57" s="4">
        <v>6</v>
      </c>
      <c r="F57" s="4" t="s">
        <v>30</v>
      </c>
      <c r="G57" t="s">
        <v>29</v>
      </c>
      <c r="H57" s="4">
        <v>106</v>
      </c>
      <c r="I57" s="4" t="s">
        <v>323</v>
      </c>
      <c r="J57" s="41">
        <v>45542</v>
      </c>
      <c r="K57">
        <v>10</v>
      </c>
      <c r="L57">
        <v>7</v>
      </c>
      <c r="M57">
        <v>10</v>
      </c>
      <c r="N57">
        <f t="shared" si="2"/>
        <v>9</v>
      </c>
      <c r="O57">
        <v>21.2</v>
      </c>
      <c r="P57">
        <v>19.3</v>
      </c>
      <c r="Q57">
        <v>17.899999999999999</v>
      </c>
      <c r="R57" s="43">
        <f t="shared" si="3"/>
        <v>19.466666666666665</v>
      </c>
    </row>
    <row r="58" spans="1:18" x14ac:dyDescent="0.25">
      <c r="A58" s="4">
        <v>1</v>
      </c>
      <c r="B58" s="4">
        <v>7</v>
      </c>
      <c r="C58" s="4">
        <v>4</v>
      </c>
      <c r="D58" s="4">
        <v>25</v>
      </c>
      <c r="E58" s="4">
        <v>7</v>
      </c>
      <c r="F58" s="4" t="s">
        <v>25</v>
      </c>
      <c r="G58" t="s">
        <v>29</v>
      </c>
      <c r="H58" s="4">
        <v>107</v>
      </c>
      <c r="I58" s="4" t="s">
        <v>323</v>
      </c>
      <c r="J58" s="41">
        <v>45464</v>
      </c>
      <c r="K58">
        <v>8</v>
      </c>
      <c r="L58">
        <v>9</v>
      </c>
      <c r="M58">
        <v>9</v>
      </c>
      <c r="N58" s="43">
        <f t="shared" si="2"/>
        <v>8.6666666666666661</v>
      </c>
      <c r="O58">
        <v>19.8</v>
      </c>
      <c r="P58">
        <v>18.8</v>
      </c>
      <c r="Q58">
        <v>19.8</v>
      </c>
      <c r="R58" s="43">
        <f t="shared" si="3"/>
        <v>19.466666666666669</v>
      </c>
    </row>
    <row r="59" spans="1:18" x14ac:dyDescent="0.25">
      <c r="A59" s="4">
        <v>2</v>
      </c>
      <c r="B59" s="4">
        <v>7</v>
      </c>
      <c r="C59" s="4">
        <v>4</v>
      </c>
      <c r="D59" s="4">
        <v>26</v>
      </c>
      <c r="E59" s="4">
        <v>10</v>
      </c>
      <c r="F59" s="4" t="s">
        <v>25</v>
      </c>
      <c r="G59" t="s">
        <v>28</v>
      </c>
      <c r="H59" s="4">
        <v>207</v>
      </c>
      <c r="I59" s="4" t="s">
        <v>323</v>
      </c>
      <c r="J59" s="41">
        <v>45464</v>
      </c>
      <c r="K59">
        <v>10</v>
      </c>
      <c r="L59">
        <v>9</v>
      </c>
      <c r="M59">
        <v>7</v>
      </c>
      <c r="N59" s="43">
        <f t="shared" si="2"/>
        <v>8.6666666666666661</v>
      </c>
      <c r="O59">
        <v>22.8</v>
      </c>
      <c r="P59">
        <v>19.3</v>
      </c>
      <c r="Q59">
        <v>17.899999999999999</v>
      </c>
      <c r="R59">
        <f t="shared" si="3"/>
        <v>20</v>
      </c>
    </row>
    <row r="60" spans="1:18" x14ac:dyDescent="0.25">
      <c r="A60" s="4">
        <v>3</v>
      </c>
      <c r="B60" s="4">
        <v>7</v>
      </c>
      <c r="C60" s="4">
        <v>4</v>
      </c>
      <c r="D60" s="4">
        <v>27</v>
      </c>
      <c r="E60" s="4">
        <v>23</v>
      </c>
      <c r="F60" s="4" t="s">
        <v>25</v>
      </c>
      <c r="G60" t="s">
        <v>27</v>
      </c>
      <c r="H60" s="4">
        <v>307</v>
      </c>
      <c r="I60" s="4" t="s">
        <v>323</v>
      </c>
      <c r="J60" s="41">
        <v>45464</v>
      </c>
      <c r="K60">
        <v>5</v>
      </c>
      <c r="L60">
        <v>10</v>
      </c>
      <c r="M60">
        <v>9</v>
      </c>
      <c r="N60">
        <f t="shared" si="2"/>
        <v>8</v>
      </c>
      <c r="O60">
        <v>12</v>
      </c>
      <c r="P60">
        <v>20.2</v>
      </c>
      <c r="Q60">
        <v>19.899999999999999</v>
      </c>
      <c r="R60" s="43">
        <f t="shared" si="3"/>
        <v>17.366666666666667</v>
      </c>
    </row>
    <row r="61" spans="1:18" x14ac:dyDescent="0.25">
      <c r="A61" s="4">
        <v>4</v>
      </c>
      <c r="B61" s="4">
        <v>7</v>
      </c>
      <c r="C61" s="4">
        <v>4</v>
      </c>
      <c r="D61" s="4">
        <v>28</v>
      </c>
      <c r="E61" s="4">
        <v>26</v>
      </c>
      <c r="F61" s="4" t="s">
        <v>25</v>
      </c>
      <c r="G61" t="s">
        <v>26</v>
      </c>
      <c r="H61" s="4">
        <v>407</v>
      </c>
      <c r="I61" s="4" t="s">
        <v>323</v>
      </c>
      <c r="J61" s="41">
        <v>45464</v>
      </c>
      <c r="K61">
        <v>7</v>
      </c>
      <c r="L61">
        <v>7</v>
      </c>
      <c r="M61">
        <v>6</v>
      </c>
      <c r="N61" s="43">
        <f t="shared" si="2"/>
        <v>6.666666666666667</v>
      </c>
      <c r="O61">
        <v>16.5</v>
      </c>
      <c r="P61">
        <v>19.5</v>
      </c>
      <c r="Q61">
        <v>17.100000000000001</v>
      </c>
      <c r="R61">
        <f t="shared" si="3"/>
        <v>17.7</v>
      </c>
    </row>
    <row r="62" spans="1:18" x14ac:dyDescent="0.25">
      <c r="A62" s="4">
        <v>4</v>
      </c>
      <c r="B62" s="4">
        <v>8</v>
      </c>
      <c r="C62" s="4">
        <v>4</v>
      </c>
      <c r="D62" s="4">
        <v>29</v>
      </c>
      <c r="E62" s="4">
        <v>25</v>
      </c>
      <c r="F62" s="4" t="s">
        <v>30</v>
      </c>
      <c r="G62" t="s">
        <v>31</v>
      </c>
      <c r="H62" s="4">
        <v>408</v>
      </c>
      <c r="I62" s="4" t="s">
        <v>323</v>
      </c>
      <c r="J62" s="41">
        <v>45542</v>
      </c>
      <c r="K62">
        <v>12</v>
      </c>
      <c r="L62">
        <v>14</v>
      </c>
      <c r="M62">
        <v>13</v>
      </c>
      <c r="N62">
        <f t="shared" si="2"/>
        <v>13</v>
      </c>
      <c r="O62">
        <v>24.5</v>
      </c>
      <c r="P62">
        <v>27.3</v>
      </c>
      <c r="Q62">
        <v>25.5</v>
      </c>
      <c r="R62" s="43">
        <f t="shared" si="3"/>
        <v>25.766666666666666</v>
      </c>
    </row>
    <row r="63" spans="1:18" x14ac:dyDescent="0.25">
      <c r="A63" s="4">
        <v>3</v>
      </c>
      <c r="B63" s="4">
        <v>8</v>
      </c>
      <c r="C63" s="4">
        <v>4</v>
      </c>
      <c r="D63" s="4">
        <v>30</v>
      </c>
      <c r="E63" s="4">
        <v>24</v>
      </c>
      <c r="F63" s="4" t="s">
        <v>30</v>
      </c>
      <c r="G63" t="s">
        <v>28</v>
      </c>
      <c r="H63" s="4">
        <v>308</v>
      </c>
      <c r="I63" s="4" t="s">
        <v>323</v>
      </c>
      <c r="J63" s="41">
        <v>45542</v>
      </c>
      <c r="K63">
        <v>10</v>
      </c>
      <c r="L63">
        <v>10</v>
      </c>
      <c r="M63">
        <v>11</v>
      </c>
      <c r="N63" s="43">
        <f t="shared" si="2"/>
        <v>10.333333333333334</v>
      </c>
      <c r="O63">
        <v>19.5</v>
      </c>
      <c r="P63">
        <v>20.399999999999999</v>
      </c>
      <c r="Q63">
        <v>21.3</v>
      </c>
      <c r="R63">
        <f t="shared" si="3"/>
        <v>20.400000000000002</v>
      </c>
    </row>
    <row r="64" spans="1:18" x14ac:dyDescent="0.25">
      <c r="A64" s="4">
        <v>2</v>
      </c>
      <c r="B64" s="4">
        <v>8</v>
      </c>
      <c r="C64" s="4">
        <v>4</v>
      </c>
      <c r="D64" s="4">
        <v>31</v>
      </c>
      <c r="E64" s="4">
        <v>9</v>
      </c>
      <c r="F64" s="4" t="s">
        <v>30</v>
      </c>
      <c r="G64" t="s">
        <v>29</v>
      </c>
      <c r="H64" s="4">
        <v>208</v>
      </c>
      <c r="I64" s="4" t="s">
        <v>323</v>
      </c>
      <c r="J64" s="41">
        <v>45542</v>
      </c>
      <c r="K64">
        <v>10</v>
      </c>
      <c r="L64">
        <v>9</v>
      </c>
      <c r="M64">
        <v>10</v>
      </c>
      <c r="N64" s="43">
        <f t="shared" si="2"/>
        <v>9.6666666666666661</v>
      </c>
      <c r="O64">
        <v>18.899999999999999</v>
      </c>
      <c r="P64">
        <v>21.7</v>
      </c>
      <c r="Q64">
        <v>17.100000000000001</v>
      </c>
      <c r="R64" s="43">
        <f t="shared" si="3"/>
        <v>19.233333333333331</v>
      </c>
    </row>
    <row r="65" spans="1:18" x14ac:dyDescent="0.25">
      <c r="A65" s="4">
        <v>1</v>
      </c>
      <c r="B65" s="4">
        <v>8</v>
      </c>
      <c r="C65" s="4">
        <v>4</v>
      </c>
      <c r="D65" s="4">
        <v>32</v>
      </c>
      <c r="E65" s="4">
        <v>8</v>
      </c>
      <c r="F65" s="4" t="s">
        <v>30</v>
      </c>
      <c r="G65" t="s">
        <v>32</v>
      </c>
      <c r="H65" s="4">
        <v>108</v>
      </c>
      <c r="I65" s="4" t="s">
        <v>323</v>
      </c>
      <c r="J65" s="41">
        <v>45542</v>
      </c>
      <c r="K65">
        <v>8</v>
      </c>
      <c r="L65">
        <v>6</v>
      </c>
      <c r="M65">
        <v>9</v>
      </c>
      <c r="N65" s="43">
        <f t="shared" si="2"/>
        <v>7.666666666666667</v>
      </c>
      <c r="O65">
        <v>19.7</v>
      </c>
      <c r="P65">
        <v>17.100000000000001</v>
      </c>
      <c r="Q65">
        <v>16.600000000000001</v>
      </c>
      <c r="R65">
        <f t="shared" si="3"/>
        <v>17.8</v>
      </c>
    </row>
    <row r="66" spans="1:18" x14ac:dyDescent="0.25">
      <c r="A66" s="4">
        <v>1</v>
      </c>
      <c r="B66" s="4">
        <v>1</v>
      </c>
      <c r="C66" s="4">
        <v>1</v>
      </c>
      <c r="D66" s="4">
        <v>1</v>
      </c>
      <c r="E66" s="4">
        <v>1</v>
      </c>
      <c r="F66" s="4" t="s">
        <v>25</v>
      </c>
      <c r="G66" t="s">
        <v>26</v>
      </c>
      <c r="H66" s="4">
        <v>101</v>
      </c>
      <c r="I66" s="4" t="s">
        <v>324</v>
      </c>
      <c r="J66" s="38">
        <v>45542</v>
      </c>
      <c r="K66">
        <v>9</v>
      </c>
      <c r="L66">
        <v>8</v>
      </c>
      <c r="M66">
        <v>7</v>
      </c>
      <c r="N66" s="43">
        <f t="shared" si="2"/>
        <v>8</v>
      </c>
      <c r="O66">
        <v>20</v>
      </c>
      <c r="P66">
        <v>15.5</v>
      </c>
      <c r="Q66">
        <v>22.1</v>
      </c>
      <c r="R66">
        <f t="shared" si="3"/>
        <v>19.2</v>
      </c>
    </row>
    <row r="67" spans="1:18" x14ac:dyDescent="0.25">
      <c r="A67" s="4">
        <v>2</v>
      </c>
      <c r="B67" s="4">
        <v>1</v>
      </c>
      <c r="C67" s="4">
        <v>1</v>
      </c>
      <c r="D67" s="4">
        <v>2</v>
      </c>
      <c r="E67" s="4">
        <v>16</v>
      </c>
      <c r="F67" s="4" t="s">
        <v>25</v>
      </c>
      <c r="G67" t="s">
        <v>27</v>
      </c>
      <c r="H67" s="4">
        <v>201</v>
      </c>
      <c r="I67" s="4" t="s">
        <v>324</v>
      </c>
      <c r="J67" s="38">
        <v>45542</v>
      </c>
      <c r="K67">
        <v>13</v>
      </c>
      <c r="L67">
        <v>13</v>
      </c>
      <c r="M67">
        <v>13</v>
      </c>
      <c r="N67" s="43">
        <f t="shared" si="2"/>
        <v>13</v>
      </c>
      <c r="O67">
        <v>24</v>
      </c>
      <c r="P67">
        <v>28</v>
      </c>
      <c r="Q67">
        <v>26.6</v>
      </c>
      <c r="R67">
        <f t="shared" si="3"/>
        <v>26.2</v>
      </c>
    </row>
    <row r="68" spans="1:18" x14ac:dyDescent="0.25">
      <c r="A68" s="4">
        <v>3</v>
      </c>
      <c r="B68" s="4">
        <v>1</v>
      </c>
      <c r="C68" s="4">
        <v>1</v>
      </c>
      <c r="D68" s="4">
        <v>3</v>
      </c>
      <c r="E68" s="4">
        <v>17</v>
      </c>
      <c r="F68" s="4" t="s">
        <v>25</v>
      </c>
      <c r="G68" t="s">
        <v>28</v>
      </c>
      <c r="H68" s="4">
        <v>301</v>
      </c>
      <c r="I68" s="4" t="s">
        <v>324</v>
      </c>
      <c r="J68" s="38">
        <v>45542</v>
      </c>
      <c r="K68">
        <v>14</v>
      </c>
      <c r="L68">
        <v>15</v>
      </c>
      <c r="M68">
        <v>13</v>
      </c>
      <c r="N68" s="43">
        <f t="shared" si="2"/>
        <v>14</v>
      </c>
      <c r="O68">
        <v>24</v>
      </c>
      <c r="P68">
        <v>24.7</v>
      </c>
      <c r="Q68">
        <v>26.2</v>
      </c>
      <c r="R68" s="43">
        <f t="shared" si="3"/>
        <v>24.966666666666669</v>
      </c>
    </row>
    <row r="69" spans="1:18" x14ac:dyDescent="0.25">
      <c r="A69" s="4">
        <v>4</v>
      </c>
      <c r="B69" s="4">
        <v>1</v>
      </c>
      <c r="C69" s="4">
        <v>1</v>
      </c>
      <c r="D69" s="4">
        <v>4</v>
      </c>
      <c r="E69" s="4">
        <v>32</v>
      </c>
      <c r="F69" s="4" t="s">
        <v>25</v>
      </c>
      <c r="G69" t="s">
        <v>29</v>
      </c>
      <c r="H69" s="4">
        <v>401</v>
      </c>
      <c r="I69" s="4" t="s">
        <v>324</v>
      </c>
      <c r="J69" s="38">
        <v>45542</v>
      </c>
      <c r="K69">
        <v>14</v>
      </c>
      <c r="L69">
        <v>12</v>
      </c>
      <c r="M69">
        <v>11</v>
      </c>
      <c r="N69" s="43">
        <f t="shared" si="2"/>
        <v>12.333333333333334</v>
      </c>
      <c r="O69">
        <v>23.5</v>
      </c>
      <c r="P69">
        <v>23.6</v>
      </c>
      <c r="Q69">
        <v>23</v>
      </c>
      <c r="R69" s="43">
        <f t="shared" si="3"/>
        <v>23.366666666666664</v>
      </c>
    </row>
    <row r="70" spans="1:18" x14ac:dyDescent="0.25">
      <c r="A70" s="4">
        <v>4</v>
      </c>
      <c r="B70" s="4">
        <v>2</v>
      </c>
      <c r="C70" s="4">
        <v>1</v>
      </c>
      <c r="D70" s="4">
        <v>5</v>
      </c>
      <c r="E70" s="4">
        <v>31</v>
      </c>
      <c r="F70" s="4" t="s">
        <v>30</v>
      </c>
      <c r="G70" t="s">
        <v>32</v>
      </c>
      <c r="H70" s="4">
        <v>402</v>
      </c>
      <c r="I70" s="4" t="s">
        <v>324</v>
      </c>
      <c r="J70" s="38">
        <v>45563</v>
      </c>
      <c r="K70">
        <v>14</v>
      </c>
      <c r="L70">
        <v>14</v>
      </c>
      <c r="M70">
        <v>15</v>
      </c>
      <c r="N70" s="43">
        <f t="shared" ref="N70:N97" si="4">AVERAGE(K70:M70)</f>
        <v>14.333333333333334</v>
      </c>
      <c r="O70">
        <v>34.4</v>
      </c>
      <c r="P70">
        <v>32.6</v>
      </c>
      <c r="Q70">
        <v>31.3</v>
      </c>
      <c r="R70" s="43">
        <f t="shared" ref="R70:R97" si="5">AVERAGE(O70:Q70)</f>
        <v>32.766666666666666</v>
      </c>
    </row>
    <row r="71" spans="1:18" x14ac:dyDescent="0.25">
      <c r="A71" s="4">
        <v>3</v>
      </c>
      <c r="B71" s="4">
        <v>2</v>
      </c>
      <c r="C71" s="4">
        <v>1</v>
      </c>
      <c r="D71" s="4">
        <v>6</v>
      </c>
      <c r="E71" s="4">
        <v>18</v>
      </c>
      <c r="F71" s="4" t="s">
        <v>30</v>
      </c>
      <c r="G71" t="s">
        <v>29</v>
      </c>
      <c r="H71" s="4">
        <v>302</v>
      </c>
      <c r="I71" s="4" t="s">
        <v>324</v>
      </c>
      <c r="J71" s="38">
        <v>45563</v>
      </c>
      <c r="K71">
        <v>13</v>
      </c>
      <c r="L71">
        <v>14</v>
      </c>
      <c r="M71">
        <v>14</v>
      </c>
      <c r="N71" s="43">
        <f t="shared" si="4"/>
        <v>13.666666666666666</v>
      </c>
      <c r="O71">
        <v>29.6</v>
      </c>
      <c r="P71">
        <v>31.1</v>
      </c>
      <c r="Q71">
        <v>30.5</v>
      </c>
      <c r="R71">
        <f t="shared" si="5"/>
        <v>30.400000000000002</v>
      </c>
    </row>
    <row r="72" spans="1:18" x14ac:dyDescent="0.25">
      <c r="A72" s="4">
        <v>2</v>
      </c>
      <c r="B72" s="4">
        <v>2</v>
      </c>
      <c r="C72" s="4">
        <v>1</v>
      </c>
      <c r="D72" s="4">
        <v>7</v>
      </c>
      <c r="E72" s="4">
        <v>15</v>
      </c>
      <c r="F72" s="4" t="s">
        <v>30</v>
      </c>
      <c r="G72" t="s">
        <v>28</v>
      </c>
      <c r="H72" s="4">
        <v>202</v>
      </c>
      <c r="I72" s="4" t="s">
        <v>324</v>
      </c>
      <c r="J72" s="38">
        <v>45563</v>
      </c>
      <c r="K72">
        <v>14</v>
      </c>
      <c r="L72">
        <v>15</v>
      </c>
      <c r="M72">
        <v>15</v>
      </c>
      <c r="N72" s="43">
        <f t="shared" si="4"/>
        <v>14.666666666666666</v>
      </c>
      <c r="O72">
        <v>29</v>
      </c>
      <c r="P72">
        <v>33</v>
      </c>
      <c r="Q72">
        <v>29.2</v>
      </c>
      <c r="R72">
        <f t="shared" si="5"/>
        <v>30.400000000000002</v>
      </c>
    </row>
    <row r="73" spans="1:18" x14ac:dyDescent="0.25">
      <c r="A73" s="4">
        <v>1</v>
      </c>
      <c r="B73" s="4">
        <v>2</v>
      </c>
      <c r="C73" s="4">
        <v>1</v>
      </c>
      <c r="D73" s="4">
        <v>8</v>
      </c>
      <c r="E73" s="4">
        <v>2</v>
      </c>
      <c r="F73" s="4" t="s">
        <v>30</v>
      </c>
      <c r="G73" t="s">
        <v>31</v>
      </c>
      <c r="H73" s="4">
        <v>102</v>
      </c>
      <c r="I73" s="4" t="s">
        <v>324</v>
      </c>
      <c r="J73" s="38">
        <v>45563</v>
      </c>
      <c r="K73">
        <v>16</v>
      </c>
      <c r="L73">
        <v>14</v>
      </c>
      <c r="M73">
        <v>16</v>
      </c>
      <c r="N73" s="43">
        <f t="shared" si="4"/>
        <v>15.333333333333334</v>
      </c>
      <c r="O73">
        <v>30.8</v>
      </c>
      <c r="P73">
        <v>23.7</v>
      </c>
      <c r="Q73">
        <v>34.6</v>
      </c>
      <c r="R73">
        <f t="shared" si="5"/>
        <v>29.7</v>
      </c>
    </row>
    <row r="74" spans="1:18" x14ac:dyDescent="0.25">
      <c r="A74" s="4">
        <v>1</v>
      </c>
      <c r="B74" s="4">
        <v>3</v>
      </c>
      <c r="C74" s="4">
        <v>2</v>
      </c>
      <c r="D74" s="4">
        <v>9</v>
      </c>
      <c r="E74" s="4">
        <v>3</v>
      </c>
      <c r="F74" s="4" t="s">
        <v>25</v>
      </c>
      <c r="G74" t="s">
        <v>27</v>
      </c>
      <c r="H74" s="4">
        <v>103</v>
      </c>
      <c r="I74" s="4" t="s">
        <v>324</v>
      </c>
      <c r="J74" s="38">
        <v>45542</v>
      </c>
      <c r="K74">
        <v>13</v>
      </c>
      <c r="L74">
        <v>14</v>
      </c>
      <c r="M74">
        <v>15</v>
      </c>
      <c r="N74" s="43">
        <f t="shared" si="4"/>
        <v>14</v>
      </c>
      <c r="O74">
        <v>27.2</v>
      </c>
      <c r="P74">
        <v>24.6</v>
      </c>
      <c r="Q74">
        <v>25.2</v>
      </c>
      <c r="R74" s="43">
        <f t="shared" si="5"/>
        <v>25.666666666666668</v>
      </c>
    </row>
    <row r="75" spans="1:18" x14ac:dyDescent="0.25">
      <c r="A75" s="4">
        <v>2</v>
      </c>
      <c r="B75" s="4">
        <v>3</v>
      </c>
      <c r="C75" s="4">
        <v>2</v>
      </c>
      <c r="D75" s="4">
        <v>10</v>
      </c>
      <c r="E75" s="4">
        <v>14</v>
      </c>
      <c r="F75" s="4" t="s">
        <v>25</v>
      </c>
      <c r="G75" t="s">
        <v>29</v>
      </c>
      <c r="H75" s="4">
        <v>203</v>
      </c>
      <c r="I75" s="4" t="s">
        <v>324</v>
      </c>
      <c r="J75" s="38">
        <v>45542</v>
      </c>
      <c r="K75">
        <v>11</v>
      </c>
      <c r="L75">
        <v>13</v>
      </c>
      <c r="M75">
        <v>15</v>
      </c>
      <c r="N75" s="43">
        <f t="shared" si="4"/>
        <v>13</v>
      </c>
      <c r="O75">
        <v>21.7</v>
      </c>
      <c r="P75">
        <v>22.3</v>
      </c>
      <c r="Q75">
        <v>23.3</v>
      </c>
      <c r="R75" s="43">
        <f t="shared" si="5"/>
        <v>22.433333333333334</v>
      </c>
    </row>
    <row r="76" spans="1:18" x14ac:dyDescent="0.25">
      <c r="A76" s="4">
        <v>3</v>
      </c>
      <c r="B76" s="4">
        <v>3</v>
      </c>
      <c r="C76" s="4">
        <v>2</v>
      </c>
      <c r="D76" s="4">
        <v>11</v>
      </c>
      <c r="E76" s="4">
        <v>19</v>
      </c>
      <c r="F76" s="4" t="s">
        <v>25</v>
      </c>
      <c r="G76" t="s">
        <v>26</v>
      </c>
      <c r="H76" s="4">
        <v>303</v>
      </c>
      <c r="I76" s="4" t="s">
        <v>324</v>
      </c>
      <c r="J76" s="38">
        <v>45542</v>
      </c>
      <c r="K76">
        <v>7</v>
      </c>
      <c r="L76">
        <v>8</v>
      </c>
      <c r="M76">
        <v>8</v>
      </c>
      <c r="N76" s="43">
        <f t="shared" si="4"/>
        <v>7.666666666666667</v>
      </c>
      <c r="O76">
        <v>18.3</v>
      </c>
      <c r="P76">
        <v>19.3</v>
      </c>
      <c r="Q76">
        <v>17.5</v>
      </c>
      <c r="R76" s="43">
        <f t="shared" si="5"/>
        <v>18.366666666666667</v>
      </c>
    </row>
    <row r="77" spans="1:18" x14ac:dyDescent="0.25">
      <c r="A77" s="4">
        <v>4</v>
      </c>
      <c r="B77" s="4">
        <v>3</v>
      </c>
      <c r="C77" s="4">
        <v>2</v>
      </c>
      <c r="D77" s="4">
        <v>12</v>
      </c>
      <c r="E77" s="4">
        <v>30</v>
      </c>
      <c r="F77" s="4" t="s">
        <v>25</v>
      </c>
      <c r="G77" t="s">
        <v>28</v>
      </c>
      <c r="H77" s="4">
        <v>403</v>
      </c>
      <c r="I77" s="4" t="s">
        <v>324</v>
      </c>
      <c r="J77" s="38">
        <v>45542</v>
      </c>
      <c r="K77">
        <v>13</v>
      </c>
      <c r="L77">
        <v>14</v>
      </c>
      <c r="M77">
        <v>13</v>
      </c>
      <c r="N77" s="43">
        <f t="shared" si="4"/>
        <v>13.333333333333334</v>
      </c>
      <c r="O77">
        <v>22.1</v>
      </c>
      <c r="P77">
        <v>24.5</v>
      </c>
      <c r="Q77">
        <v>23.3</v>
      </c>
      <c r="R77">
        <f t="shared" si="5"/>
        <v>23.3</v>
      </c>
    </row>
    <row r="78" spans="1:18" x14ac:dyDescent="0.25">
      <c r="A78" s="4">
        <v>4</v>
      </c>
      <c r="B78" s="4">
        <v>4</v>
      </c>
      <c r="C78" s="4">
        <v>2</v>
      </c>
      <c r="D78" s="4">
        <v>13</v>
      </c>
      <c r="E78" s="4">
        <v>29</v>
      </c>
      <c r="F78" s="4" t="s">
        <v>30</v>
      </c>
      <c r="G78" t="s">
        <v>29</v>
      </c>
      <c r="H78" s="4">
        <v>404</v>
      </c>
      <c r="I78" s="4" t="s">
        <v>324</v>
      </c>
      <c r="J78" s="38">
        <v>45563</v>
      </c>
      <c r="K78">
        <v>14</v>
      </c>
      <c r="L78">
        <v>14</v>
      </c>
      <c r="M78">
        <v>13</v>
      </c>
      <c r="N78" s="43">
        <f t="shared" si="4"/>
        <v>13.666666666666666</v>
      </c>
      <c r="O78">
        <v>31.6</v>
      </c>
      <c r="P78">
        <v>33.4</v>
      </c>
      <c r="Q78">
        <v>30.3</v>
      </c>
      <c r="R78" s="43">
        <f t="shared" si="5"/>
        <v>31.766666666666666</v>
      </c>
    </row>
    <row r="79" spans="1:18" x14ac:dyDescent="0.25">
      <c r="A79" s="4">
        <v>3</v>
      </c>
      <c r="B79" s="4">
        <v>4</v>
      </c>
      <c r="C79" s="4">
        <v>2</v>
      </c>
      <c r="D79" s="4">
        <v>14</v>
      </c>
      <c r="E79" s="4">
        <v>20</v>
      </c>
      <c r="F79" s="4" t="s">
        <v>30</v>
      </c>
      <c r="G79" t="s">
        <v>31</v>
      </c>
      <c r="H79" s="4">
        <v>304</v>
      </c>
      <c r="I79" s="4" t="s">
        <v>324</v>
      </c>
      <c r="J79" s="38">
        <v>45563</v>
      </c>
      <c r="K79">
        <v>18</v>
      </c>
      <c r="L79">
        <v>18</v>
      </c>
      <c r="M79">
        <v>16</v>
      </c>
      <c r="N79" s="43">
        <f t="shared" si="4"/>
        <v>17.333333333333332</v>
      </c>
      <c r="O79">
        <v>33.1</v>
      </c>
      <c r="P79">
        <v>32.4</v>
      </c>
      <c r="Q79">
        <v>31.3</v>
      </c>
      <c r="R79" s="43">
        <f t="shared" si="5"/>
        <v>32.266666666666666</v>
      </c>
    </row>
    <row r="80" spans="1:18" x14ac:dyDescent="0.25">
      <c r="A80" s="4">
        <v>2</v>
      </c>
      <c r="B80" s="4">
        <v>4</v>
      </c>
      <c r="C80" s="4">
        <v>2</v>
      </c>
      <c r="D80" s="4">
        <v>15</v>
      </c>
      <c r="E80" s="4">
        <v>13</v>
      </c>
      <c r="F80" s="4" t="s">
        <v>30</v>
      </c>
      <c r="G80" t="s">
        <v>32</v>
      </c>
      <c r="H80" s="4">
        <v>204</v>
      </c>
      <c r="I80" s="4" t="s">
        <v>324</v>
      </c>
      <c r="J80" s="38">
        <v>45563</v>
      </c>
      <c r="K80">
        <v>14</v>
      </c>
      <c r="L80">
        <v>14</v>
      </c>
      <c r="M80">
        <v>13</v>
      </c>
      <c r="N80" s="43">
        <f t="shared" si="4"/>
        <v>13.666666666666666</v>
      </c>
      <c r="O80">
        <v>33.200000000000003</v>
      </c>
      <c r="P80">
        <v>34</v>
      </c>
      <c r="Q80">
        <v>34.799999999999997</v>
      </c>
      <c r="R80" s="43">
        <f t="shared" si="5"/>
        <v>34</v>
      </c>
    </row>
    <row r="81" spans="1:18" x14ac:dyDescent="0.25">
      <c r="A81" s="4">
        <v>1</v>
      </c>
      <c r="B81" s="4">
        <v>4</v>
      </c>
      <c r="C81" s="4">
        <v>2</v>
      </c>
      <c r="D81" s="4">
        <v>16</v>
      </c>
      <c r="E81" s="4">
        <v>4</v>
      </c>
      <c r="F81" s="4" t="s">
        <v>30</v>
      </c>
      <c r="G81" t="s">
        <v>28</v>
      </c>
      <c r="H81" s="4">
        <v>104</v>
      </c>
      <c r="I81" s="4" t="s">
        <v>324</v>
      </c>
      <c r="J81" s="38">
        <v>45563</v>
      </c>
      <c r="K81">
        <v>16</v>
      </c>
      <c r="L81">
        <v>14</v>
      </c>
      <c r="M81">
        <v>14</v>
      </c>
      <c r="N81" s="43">
        <f t="shared" si="4"/>
        <v>14.666666666666666</v>
      </c>
      <c r="O81">
        <v>25.6</v>
      </c>
      <c r="P81">
        <v>27</v>
      </c>
      <c r="Q81">
        <v>25.6</v>
      </c>
      <c r="R81" s="43">
        <f t="shared" si="5"/>
        <v>26.066666666666666</v>
      </c>
    </row>
    <row r="82" spans="1:18" x14ac:dyDescent="0.25">
      <c r="A82" s="4">
        <v>1</v>
      </c>
      <c r="B82" s="4">
        <v>5</v>
      </c>
      <c r="C82" s="4">
        <v>3</v>
      </c>
      <c r="D82" s="4">
        <v>17</v>
      </c>
      <c r="E82" s="4">
        <v>5</v>
      </c>
      <c r="F82" s="4" t="s">
        <v>25</v>
      </c>
      <c r="G82" t="s">
        <v>28</v>
      </c>
      <c r="H82" s="4">
        <v>105</v>
      </c>
      <c r="I82" s="4" t="s">
        <v>324</v>
      </c>
      <c r="J82" s="38">
        <v>45542</v>
      </c>
      <c r="K82">
        <v>13</v>
      </c>
      <c r="L82">
        <v>14</v>
      </c>
      <c r="M82">
        <v>13</v>
      </c>
      <c r="N82" s="43">
        <f t="shared" si="4"/>
        <v>13.333333333333334</v>
      </c>
      <c r="O82">
        <v>21.2</v>
      </c>
      <c r="P82">
        <v>21.4</v>
      </c>
      <c r="Q82">
        <v>24.3</v>
      </c>
      <c r="R82">
        <f t="shared" si="5"/>
        <v>22.299999999999997</v>
      </c>
    </row>
    <row r="83" spans="1:18" x14ac:dyDescent="0.25">
      <c r="A83" s="4">
        <v>2</v>
      </c>
      <c r="B83" s="4">
        <v>5</v>
      </c>
      <c r="C83" s="4">
        <v>3</v>
      </c>
      <c r="D83" s="4">
        <v>18</v>
      </c>
      <c r="E83" s="4">
        <v>12</v>
      </c>
      <c r="F83" s="4" t="s">
        <v>25</v>
      </c>
      <c r="G83" t="s">
        <v>26</v>
      </c>
      <c r="H83" s="4">
        <v>205</v>
      </c>
      <c r="I83" s="4" t="s">
        <v>324</v>
      </c>
      <c r="J83" s="38">
        <v>45542</v>
      </c>
      <c r="K83">
        <v>8</v>
      </c>
      <c r="L83">
        <v>8</v>
      </c>
      <c r="M83">
        <v>7</v>
      </c>
      <c r="N83" s="43">
        <f t="shared" si="4"/>
        <v>7.666666666666667</v>
      </c>
      <c r="O83">
        <v>21.1</v>
      </c>
      <c r="P83">
        <v>19.899999999999999</v>
      </c>
      <c r="Q83">
        <v>18.399999999999999</v>
      </c>
      <c r="R83">
        <f t="shared" si="5"/>
        <v>19.8</v>
      </c>
    </row>
    <row r="84" spans="1:18" x14ac:dyDescent="0.25">
      <c r="A84" s="4">
        <v>3</v>
      </c>
      <c r="B84" s="4">
        <v>5</v>
      </c>
      <c r="C84" s="4">
        <v>3</v>
      </c>
      <c r="D84" s="4">
        <v>19</v>
      </c>
      <c r="E84" s="4">
        <v>21</v>
      </c>
      <c r="F84" s="4" t="s">
        <v>25</v>
      </c>
      <c r="G84" t="s">
        <v>29</v>
      </c>
      <c r="H84" s="4">
        <v>305</v>
      </c>
      <c r="I84" s="4" t="s">
        <v>324</v>
      </c>
      <c r="J84" s="38">
        <v>45542</v>
      </c>
      <c r="K84">
        <v>13</v>
      </c>
      <c r="L84">
        <v>14</v>
      </c>
      <c r="M84">
        <v>13</v>
      </c>
      <c r="N84" s="43">
        <f t="shared" si="4"/>
        <v>13.333333333333334</v>
      </c>
      <c r="O84">
        <v>22.7</v>
      </c>
      <c r="P84">
        <v>25.5</v>
      </c>
      <c r="Q84">
        <v>25</v>
      </c>
      <c r="R84">
        <f t="shared" si="5"/>
        <v>24.400000000000002</v>
      </c>
    </row>
    <row r="85" spans="1:18" x14ac:dyDescent="0.25">
      <c r="A85" s="4">
        <v>4</v>
      </c>
      <c r="B85" s="4">
        <v>5</v>
      </c>
      <c r="C85" s="4">
        <v>3</v>
      </c>
      <c r="D85" s="4">
        <v>20</v>
      </c>
      <c r="E85" s="4">
        <v>28</v>
      </c>
      <c r="F85" s="4" t="s">
        <v>25</v>
      </c>
      <c r="G85" t="s">
        <v>27</v>
      </c>
      <c r="H85" s="4">
        <v>405</v>
      </c>
      <c r="I85" s="4" t="s">
        <v>324</v>
      </c>
      <c r="J85" s="38">
        <v>45542</v>
      </c>
      <c r="K85">
        <v>12</v>
      </c>
      <c r="L85">
        <v>15</v>
      </c>
      <c r="M85">
        <v>16</v>
      </c>
      <c r="N85" s="43">
        <f t="shared" si="4"/>
        <v>14.333333333333334</v>
      </c>
      <c r="O85">
        <v>22</v>
      </c>
      <c r="P85">
        <v>25</v>
      </c>
      <c r="Q85">
        <v>24.8</v>
      </c>
      <c r="R85" s="43">
        <f t="shared" si="5"/>
        <v>23.933333333333334</v>
      </c>
    </row>
    <row r="86" spans="1:18" x14ac:dyDescent="0.25">
      <c r="A86" s="4">
        <v>4</v>
      </c>
      <c r="B86" s="4">
        <v>6</v>
      </c>
      <c r="C86" s="4">
        <v>3</v>
      </c>
      <c r="D86" s="4">
        <v>21</v>
      </c>
      <c r="E86" s="4">
        <v>27</v>
      </c>
      <c r="F86" s="4" t="s">
        <v>30</v>
      </c>
      <c r="G86" t="s">
        <v>28</v>
      </c>
      <c r="H86" s="4">
        <v>406</v>
      </c>
      <c r="I86" s="4" t="s">
        <v>324</v>
      </c>
      <c r="J86" s="38">
        <v>45563</v>
      </c>
      <c r="K86">
        <v>15</v>
      </c>
      <c r="L86">
        <v>14</v>
      </c>
      <c r="M86">
        <v>12</v>
      </c>
      <c r="N86" s="43">
        <f t="shared" si="4"/>
        <v>13.666666666666666</v>
      </c>
      <c r="O86">
        <v>31.4</v>
      </c>
      <c r="P86">
        <v>27.5</v>
      </c>
      <c r="Q86">
        <v>24</v>
      </c>
      <c r="R86" s="43">
        <f t="shared" si="5"/>
        <v>27.633333333333336</v>
      </c>
    </row>
    <row r="87" spans="1:18" x14ac:dyDescent="0.25">
      <c r="A87" s="4">
        <v>3</v>
      </c>
      <c r="B87" s="4">
        <v>6</v>
      </c>
      <c r="C87" s="4">
        <v>3</v>
      </c>
      <c r="D87" s="4">
        <v>22</v>
      </c>
      <c r="E87" s="4">
        <v>22</v>
      </c>
      <c r="F87" s="4" t="s">
        <v>30</v>
      </c>
      <c r="G87" t="s">
        <v>32</v>
      </c>
      <c r="H87" s="4">
        <v>306</v>
      </c>
      <c r="I87" s="4" t="s">
        <v>324</v>
      </c>
      <c r="J87" s="38">
        <v>45563</v>
      </c>
      <c r="K87">
        <v>14</v>
      </c>
      <c r="L87">
        <v>13</v>
      </c>
      <c r="M87">
        <v>14</v>
      </c>
      <c r="N87" s="43">
        <f t="shared" si="4"/>
        <v>13.666666666666666</v>
      </c>
      <c r="O87">
        <v>33</v>
      </c>
      <c r="P87">
        <v>32.200000000000003</v>
      </c>
      <c r="Q87">
        <v>31.5</v>
      </c>
      <c r="R87" s="43">
        <f t="shared" si="5"/>
        <v>32.233333333333334</v>
      </c>
    </row>
    <row r="88" spans="1:18" x14ac:dyDescent="0.25">
      <c r="A88" s="4">
        <v>2</v>
      </c>
      <c r="B88" s="4">
        <v>6</v>
      </c>
      <c r="C88" s="4">
        <v>3</v>
      </c>
      <c r="D88" s="4">
        <v>23</v>
      </c>
      <c r="E88" s="4">
        <v>11</v>
      </c>
      <c r="F88" s="4" t="s">
        <v>30</v>
      </c>
      <c r="G88" t="s">
        <v>31</v>
      </c>
      <c r="H88" s="4">
        <v>206</v>
      </c>
      <c r="I88" s="4" t="s">
        <v>324</v>
      </c>
      <c r="J88" s="38">
        <v>45563</v>
      </c>
      <c r="K88">
        <v>16</v>
      </c>
      <c r="L88">
        <v>17</v>
      </c>
      <c r="M88">
        <v>17</v>
      </c>
      <c r="N88" s="43">
        <f t="shared" si="4"/>
        <v>16.666666666666668</v>
      </c>
      <c r="O88">
        <v>32.6</v>
      </c>
      <c r="P88">
        <v>29.3</v>
      </c>
      <c r="Q88">
        <v>31.9</v>
      </c>
      <c r="R88" s="43">
        <f t="shared" si="5"/>
        <v>31.266666666666669</v>
      </c>
    </row>
    <row r="89" spans="1:18" x14ac:dyDescent="0.25">
      <c r="A89" s="4">
        <v>1</v>
      </c>
      <c r="B89" s="4">
        <v>6</v>
      </c>
      <c r="C89" s="4">
        <v>3</v>
      </c>
      <c r="D89" s="4">
        <v>24</v>
      </c>
      <c r="E89" s="4">
        <v>6</v>
      </c>
      <c r="F89" s="4" t="s">
        <v>30</v>
      </c>
      <c r="G89" t="s">
        <v>29</v>
      </c>
      <c r="H89" s="4">
        <v>106</v>
      </c>
      <c r="I89" s="4" t="s">
        <v>324</v>
      </c>
      <c r="J89" s="38">
        <v>45563</v>
      </c>
      <c r="K89">
        <v>15</v>
      </c>
      <c r="L89">
        <v>16</v>
      </c>
      <c r="M89">
        <v>11</v>
      </c>
      <c r="N89" s="43">
        <f t="shared" si="4"/>
        <v>14</v>
      </c>
      <c r="O89">
        <v>30</v>
      </c>
      <c r="P89">
        <v>31.5</v>
      </c>
      <c r="Q89">
        <v>21.1</v>
      </c>
      <c r="R89" s="43">
        <f t="shared" si="5"/>
        <v>27.533333333333331</v>
      </c>
    </row>
    <row r="90" spans="1:18" x14ac:dyDescent="0.25">
      <c r="A90" s="4">
        <v>1</v>
      </c>
      <c r="B90" s="4">
        <v>7</v>
      </c>
      <c r="C90" s="4">
        <v>4</v>
      </c>
      <c r="D90" s="4">
        <v>25</v>
      </c>
      <c r="E90" s="4">
        <v>7</v>
      </c>
      <c r="F90" s="4" t="s">
        <v>25</v>
      </c>
      <c r="G90" t="s">
        <v>29</v>
      </c>
      <c r="H90" s="4">
        <v>107</v>
      </c>
      <c r="I90" s="4" t="s">
        <v>324</v>
      </c>
      <c r="J90" s="38">
        <v>45542</v>
      </c>
      <c r="K90">
        <v>12</v>
      </c>
      <c r="L90">
        <v>11</v>
      </c>
      <c r="M90">
        <v>13</v>
      </c>
      <c r="N90">
        <f t="shared" si="4"/>
        <v>12</v>
      </c>
      <c r="O90">
        <v>24.6</v>
      </c>
      <c r="P90">
        <v>24.1</v>
      </c>
      <c r="Q90">
        <v>25.1</v>
      </c>
      <c r="R90">
        <f t="shared" si="5"/>
        <v>24.600000000000005</v>
      </c>
    </row>
    <row r="91" spans="1:18" x14ac:dyDescent="0.25">
      <c r="A91" s="4">
        <v>2</v>
      </c>
      <c r="B91" s="4">
        <v>7</v>
      </c>
      <c r="C91" s="4">
        <v>4</v>
      </c>
      <c r="D91" s="4">
        <v>26</v>
      </c>
      <c r="E91" s="4">
        <v>10</v>
      </c>
      <c r="F91" s="4" t="s">
        <v>25</v>
      </c>
      <c r="G91" t="s">
        <v>28</v>
      </c>
      <c r="H91" s="4">
        <v>207</v>
      </c>
      <c r="I91" s="4" t="s">
        <v>324</v>
      </c>
      <c r="J91" s="38">
        <v>45542</v>
      </c>
      <c r="K91">
        <v>14</v>
      </c>
      <c r="L91">
        <v>14</v>
      </c>
      <c r="M91">
        <v>12</v>
      </c>
      <c r="N91" s="43">
        <f t="shared" si="4"/>
        <v>13.333333333333334</v>
      </c>
      <c r="O91">
        <v>25</v>
      </c>
      <c r="P91">
        <v>22.7</v>
      </c>
      <c r="Q91">
        <v>20.7</v>
      </c>
      <c r="R91">
        <f t="shared" si="5"/>
        <v>22.8</v>
      </c>
    </row>
    <row r="92" spans="1:18" x14ac:dyDescent="0.25">
      <c r="A92" s="4">
        <v>3</v>
      </c>
      <c r="B92" s="4">
        <v>7</v>
      </c>
      <c r="C92" s="4">
        <v>4</v>
      </c>
      <c r="D92" s="4">
        <v>27</v>
      </c>
      <c r="E92" s="4">
        <v>23</v>
      </c>
      <c r="F92" s="4" t="s">
        <v>25</v>
      </c>
      <c r="G92" t="s">
        <v>27</v>
      </c>
      <c r="H92" s="4">
        <v>307</v>
      </c>
      <c r="I92" s="4" t="s">
        <v>324</v>
      </c>
      <c r="J92" s="38">
        <v>45542</v>
      </c>
      <c r="K92">
        <v>12</v>
      </c>
      <c r="L92">
        <v>13</v>
      </c>
      <c r="M92">
        <v>8</v>
      </c>
      <c r="N92">
        <f t="shared" si="4"/>
        <v>11</v>
      </c>
      <c r="O92">
        <v>25.5</v>
      </c>
      <c r="P92">
        <v>25.3</v>
      </c>
      <c r="Q92">
        <v>20.6</v>
      </c>
      <c r="R92">
        <f t="shared" si="5"/>
        <v>23.8</v>
      </c>
    </row>
    <row r="93" spans="1:18" x14ac:dyDescent="0.25">
      <c r="A93" s="4">
        <v>4</v>
      </c>
      <c r="B93" s="4">
        <v>7</v>
      </c>
      <c r="C93" s="4">
        <v>4</v>
      </c>
      <c r="D93" s="4">
        <v>28</v>
      </c>
      <c r="E93" s="4">
        <v>26</v>
      </c>
      <c r="F93" s="4" t="s">
        <v>25</v>
      </c>
      <c r="G93" t="s">
        <v>26</v>
      </c>
      <c r="H93" s="4">
        <v>407</v>
      </c>
      <c r="I93" s="4" t="s">
        <v>324</v>
      </c>
      <c r="J93" s="38">
        <v>45542</v>
      </c>
      <c r="K93">
        <v>8</v>
      </c>
      <c r="L93">
        <v>12</v>
      </c>
      <c r="M93">
        <v>9</v>
      </c>
      <c r="N93" s="43">
        <f t="shared" si="4"/>
        <v>9.6666666666666661</v>
      </c>
      <c r="O93">
        <v>19</v>
      </c>
      <c r="P93">
        <v>16.5</v>
      </c>
      <c r="Q93">
        <v>21.9</v>
      </c>
      <c r="R93" s="43">
        <f t="shared" si="5"/>
        <v>19.133333333333333</v>
      </c>
    </row>
    <row r="94" spans="1:18" x14ac:dyDescent="0.25">
      <c r="A94" s="4">
        <v>4</v>
      </c>
      <c r="B94" s="4">
        <v>8</v>
      </c>
      <c r="C94" s="4">
        <v>4</v>
      </c>
      <c r="D94" s="4">
        <v>29</v>
      </c>
      <c r="E94" s="4">
        <v>25</v>
      </c>
      <c r="F94" s="4" t="s">
        <v>30</v>
      </c>
      <c r="G94" t="s">
        <v>31</v>
      </c>
      <c r="H94" s="4">
        <v>408</v>
      </c>
      <c r="I94" s="4" t="s">
        <v>324</v>
      </c>
      <c r="J94" s="38">
        <v>45563</v>
      </c>
      <c r="K94">
        <v>16</v>
      </c>
      <c r="L94">
        <v>17</v>
      </c>
      <c r="M94">
        <v>17</v>
      </c>
      <c r="N94" s="43">
        <f t="shared" si="4"/>
        <v>16.666666666666668</v>
      </c>
      <c r="O94">
        <v>29.7</v>
      </c>
      <c r="P94">
        <v>30</v>
      </c>
      <c r="Q94">
        <v>34.6</v>
      </c>
      <c r="R94" s="43">
        <f t="shared" si="5"/>
        <v>31.433333333333337</v>
      </c>
    </row>
    <row r="95" spans="1:18" x14ac:dyDescent="0.25">
      <c r="A95" s="4">
        <v>3</v>
      </c>
      <c r="B95" s="4">
        <v>8</v>
      </c>
      <c r="C95" s="4">
        <v>4</v>
      </c>
      <c r="D95" s="4">
        <v>30</v>
      </c>
      <c r="E95" s="4">
        <v>24</v>
      </c>
      <c r="F95" s="4" t="s">
        <v>30</v>
      </c>
      <c r="G95" t="s">
        <v>28</v>
      </c>
      <c r="H95" s="4">
        <v>308</v>
      </c>
      <c r="I95" s="4" t="s">
        <v>324</v>
      </c>
      <c r="J95" s="38">
        <v>45563</v>
      </c>
      <c r="K95">
        <v>16</v>
      </c>
      <c r="L95">
        <v>14</v>
      </c>
      <c r="M95">
        <v>14</v>
      </c>
      <c r="N95" s="43">
        <f t="shared" si="4"/>
        <v>14.666666666666666</v>
      </c>
      <c r="O95">
        <v>31.1</v>
      </c>
      <c r="P95">
        <v>28</v>
      </c>
      <c r="Q95">
        <v>22.1</v>
      </c>
      <c r="R95" s="43">
        <f t="shared" si="5"/>
        <v>27.066666666666666</v>
      </c>
    </row>
    <row r="96" spans="1:18" x14ac:dyDescent="0.25">
      <c r="A96" s="4">
        <v>2</v>
      </c>
      <c r="B96" s="4">
        <v>8</v>
      </c>
      <c r="C96" s="4">
        <v>4</v>
      </c>
      <c r="D96" s="4">
        <v>31</v>
      </c>
      <c r="E96" s="4">
        <v>9</v>
      </c>
      <c r="F96" s="4" t="s">
        <v>30</v>
      </c>
      <c r="G96" t="s">
        <v>29</v>
      </c>
      <c r="H96" s="4">
        <v>208</v>
      </c>
      <c r="I96" s="4" t="s">
        <v>324</v>
      </c>
      <c r="J96" s="38">
        <v>45563</v>
      </c>
      <c r="K96">
        <v>14</v>
      </c>
      <c r="L96">
        <v>15</v>
      </c>
      <c r="M96">
        <v>14</v>
      </c>
      <c r="N96" s="43">
        <f t="shared" si="4"/>
        <v>14.333333333333334</v>
      </c>
      <c r="O96">
        <v>28.1</v>
      </c>
      <c r="P96">
        <v>30.7</v>
      </c>
      <c r="Q96">
        <v>29</v>
      </c>
      <c r="R96" s="43">
        <f t="shared" si="5"/>
        <v>29.266666666666666</v>
      </c>
    </row>
    <row r="97" spans="1:18" x14ac:dyDescent="0.25">
      <c r="A97" s="4">
        <v>1</v>
      </c>
      <c r="B97" s="4">
        <v>8</v>
      </c>
      <c r="C97" s="4">
        <v>4</v>
      </c>
      <c r="D97" s="4">
        <v>32</v>
      </c>
      <c r="E97" s="4">
        <v>8</v>
      </c>
      <c r="F97" s="4" t="s">
        <v>30</v>
      </c>
      <c r="G97" t="s">
        <v>32</v>
      </c>
      <c r="H97" s="4">
        <v>108</v>
      </c>
      <c r="I97" s="4" t="s">
        <v>324</v>
      </c>
      <c r="J97" s="38">
        <v>45563</v>
      </c>
      <c r="K97">
        <v>12</v>
      </c>
      <c r="L97">
        <v>11</v>
      </c>
      <c r="M97">
        <v>17</v>
      </c>
      <c r="N97" s="43">
        <f t="shared" si="4"/>
        <v>13.333333333333334</v>
      </c>
      <c r="O97">
        <v>31.8</v>
      </c>
      <c r="P97">
        <v>30.1</v>
      </c>
      <c r="Q97">
        <v>33.700000000000003</v>
      </c>
      <c r="R97" s="43">
        <f t="shared" si="5"/>
        <v>31.866666666666671</v>
      </c>
    </row>
    <row r="98" spans="1:18" x14ac:dyDescent="0.25">
      <c r="A98" s="4">
        <v>1</v>
      </c>
      <c r="B98" s="4">
        <v>1</v>
      </c>
      <c r="C98" s="4">
        <v>1</v>
      </c>
      <c r="D98" s="4">
        <v>1</v>
      </c>
      <c r="E98" s="4">
        <v>1</v>
      </c>
      <c r="F98" s="4" t="s">
        <v>25</v>
      </c>
      <c r="G98" t="s">
        <v>26</v>
      </c>
      <c r="H98" s="4">
        <v>101</v>
      </c>
      <c r="I98" s="4"/>
    </row>
    <row r="99" spans="1:18" x14ac:dyDescent="0.25">
      <c r="A99" s="4">
        <v>2</v>
      </c>
      <c r="B99" s="4">
        <v>1</v>
      </c>
      <c r="C99" s="4">
        <v>1</v>
      </c>
      <c r="D99" s="4">
        <v>2</v>
      </c>
      <c r="E99" s="4">
        <v>16</v>
      </c>
      <c r="F99" s="4" t="s">
        <v>25</v>
      </c>
      <c r="G99" t="s">
        <v>27</v>
      </c>
      <c r="H99" s="4">
        <v>201</v>
      </c>
      <c r="I99" s="4"/>
    </row>
    <row r="100" spans="1:18" x14ac:dyDescent="0.25">
      <c r="A100" s="4">
        <v>3</v>
      </c>
      <c r="B100" s="4">
        <v>1</v>
      </c>
      <c r="C100" s="4">
        <v>1</v>
      </c>
      <c r="D100" s="4">
        <v>3</v>
      </c>
      <c r="E100" s="4">
        <v>17</v>
      </c>
      <c r="F100" s="4" t="s">
        <v>25</v>
      </c>
      <c r="G100" t="s">
        <v>28</v>
      </c>
      <c r="H100" s="4">
        <v>301</v>
      </c>
      <c r="I100" s="4"/>
    </row>
    <row r="101" spans="1:18" x14ac:dyDescent="0.25">
      <c r="A101" s="4">
        <v>4</v>
      </c>
      <c r="B101" s="4">
        <v>1</v>
      </c>
      <c r="C101" s="4">
        <v>1</v>
      </c>
      <c r="D101" s="4">
        <v>4</v>
      </c>
      <c r="E101" s="4">
        <v>32</v>
      </c>
      <c r="F101" s="4" t="s">
        <v>25</v>
      </c>
      <c r="G101" t="s">
        <v>29</v>
      </c>
      <c r="H101" s="4">
        <v>401</v>
      </c>
      <c r="I101" s="4"/>
    </row>
    <row r="102" spans="1:18" x14ac:dyDescent="0.25">
      <c r="A102" s="4">
        <v>4</v>
      </c>
      <c r="B102" s="4">
        <v>2</v>
      </c>
      <c r="C102" s="4">
        <v>1</v>
      </c>
      <c r="D102" s="4">
        <v>5</v>
      </c>
      <c r="E102" s="4">
        <v>31</v>
      </c>
      <c r="F102" s="4" t="s">
        <v>30</v>
      </c>
      <c r="G102" t="s">
        <v>32</v>
      </c>
      <c r="H102" s="4">
        <v>402</v>
      </c>
      <c r="I102" s="4"/>
    </row>
    <row r="103" spans="1:18" x14ac:dyDescent="0.25">
      <c r="A103" s="4">
        <v>3</v>
      </c>
      <c r="B103" s="4">
        <v>2</v>
      </c>
      <c r="C103" s="4">
        <v>1</v>
      </c>
      <c r="D103" s="4">
        <v>6</v>
      </c>
      <c r="E103" s="4">
        <v>18</v>
      </c>
      <c r="F103" s="4" t="s">
        <v>30</v>
      </c>
      <c r="G103" t="s">
        <v>29</v>
      </c>
      <c r="H103" s="4">
        <v>302</v>
      </c>
      <c r="I103" s="4"/>
    </row>
    <row r="104" spans="1:18" x14ac:dyDescent="0.25">
      <c r="A104" s="4">
        <v>2</v>
      </c>
      <c r="B104" s="4">
        <v>2</v>
      </c>
      <c r="C104" s="4">
        <v>1</v>
      </c>
      <c r="D104" s="4">
        <v>7</v>
      </c>
      <c r="E104" s="4">
        <v>15</v>
      </c>
      <c r="F104" s="4" t="s">
        <v>30</v>
      </c>
      <c r="G104" t="s">
        <v>28</v>
      </c>
      <c r="H104" s="4">
        <v>202</v>
      </c>
      <c r="I104" s="4"/>
    </row>
    <row r="105" spans="1:18" x14ac:dyDescent="0.25">
      <c r="A105" s="4">
        <v>1</v>
      </c>
      <c r="B105" s="4">
        <v>2</v>
      </c>
      <c r="C105" s="4">
        <v>1</v>
      </c>
      <c r="D105" s="4">
        <v>8</v>
      </c>
      <c r="E105" s="4">
        <v>2</v>
      </c>
      <c r="F105" s="4" t="s">
        <v>30</v>
      </c>
      <c r="G105" t="s">
        <v>31</v>
      </c>
      <c r="H105" s="4">
        <v>102</v>
      </c>
      <c r="I105" s="4"/>
    </row>
    <row r="106" spans="1:18" x14ac:dyDescent="0.25">
      <c r="A106" s="4">
        <v>1</v>
      </c>
      <c r="B106" s="4">
        <v>3</v>
      </c>
      <c r="C106" s="4">
        <v>2</v>
      </c>
      <c r="D106" s="4">
        <v>9</v>
      </c>
      <c r="E106" s="4">
        <v>3</v>
      </c>
      <c r="F106" s="4" t="s">
        <v>25</v>
      </c>
      <c r="G106" t="s">
        <v>27</v>
      </c>
      <c r="H106" s="4">
        <v>103</v>
      </c>
      <c r="I106" s="4"/>
    </row>
    <row r="107" spans="1:18" x14ac:dyDescent="0.25">
      <c r="A107" s="4">
        <v>2</v>
      </c>
      <c r="B107" s="4">
        <v>3</v>
      </c>
      <c r="C107" s="4">
        <v>2</v>
      </c>
      <c r="D107" s="4">
        <v>10</v>
      </c>
      <c r="E107" s="4">
        <v>14</v>
      </c>
      <c r="F107" s="4" t="s">
        <v>25</v>
      </c>
      <c r="G107" t="s">
        <v>29</v>
      </c>
      <c r="H107" s="4">
        <v>203</v>
      </c>
      <c r="I107" s="4"/>
    </row>
    <row r="108" spans="1:18" x14ac:dyDescent="0.25">
      <c r="A108" s="4">
        <v>3</v>
      </c>
      <c r="B108" s="4">
        <v>3</v>
      </c>
      <c r="C108" s="4">
        <v>2</v>
      </c>
      <c r="D108" s="4">
        <v>11</v>
      </c>
      <c r="E108" s="4">
        <v>19</v>
      </c>
      <c r="F108" s="4" t="s">
        <v>25</v>
      </c>
      <c r="G108" t="s">
        <v>26</v>
      </c>
      <c r="H108" s="4">
        <v>303</v>
      </c>
      <c r="I108" s="4"/>
    </row>
    <row r="109" spans="1:18" x14ac:dyDescent="0.25">
      <c r="A109" s="4">
        <v>4</v>
      </c>
      <c r="B109" s="4">
        <v>3</v>
      </c>
      <c r="C109" s="4">
        <v>2</v>
      </c>
      <c r="D109" s="4">
        <v>12</v>
      </c>
      <c r="E109" s="4">
        <v>30</v>
      </c>
      <c r="F109" s="4" t="s">
        <v>25</v>
      </c>
      <c r="G109" t="s">
        <v>28</v>
      </c>
      <c r="H109" s="4">
        <v>403</v>
      </c>
      <c r="I109" s="4"/>
    </row>
    <row r="110" spans="1:18" x14ac:dyDescent="0.25">
      <c r="A110" s="4">
        <v>4</v>
      </c>
      <c r="B110" s="4">
        <v>4</v>
      </c>
      <c r="C110" s="4">
        <v>2</v>
      </c>
      <c r="D110" s="4">
        <v>13</v>
      </c>
      <c r="E110" s="4">
        <v>29</v>
      </c>
      <c r="F110" s="4" t="s">
        <v>30</v>
      </c>
      <c r="G110" t="s">
        <v>29</v>
      </c>
      <c r="H110" s="4">
        <v>404</v>
      </c>
      <c r="I110" s="4"/>
    </row>
    <row r="111" spans="1:18" x14ac:dyDescent="0.25">
      <c r="A111" s="4">
        <v>3</v>
      </c>
      <c r="B111" s="4">
        <v>4</v>
      </c>
      <c r="C111" s="4">
        <v>2</v>
      </c>
      <c r="D111" s="4">
        <v>14</v>
      </c>
      <c r="E111" s="4">
        <v>20</v>
      </c>
      <c r="F111" s="4" t="s">
        <v>30</v>
      </c>
      <c r="G111" t="s">
        <v>31</v>
      </c>
      <c r="H111" s="4">
        <v>304</v>
      </c>
      <c r="I111" s="4"/>
    </row>
    <row r="112" spans="1:18" x14ac:dyDescent="0.25">
      <c r="A112" s="4">
        <v>2</v>
      </c>
      <c r="B112" s="4">
        <v>4</v>
      </c>
      <c r="C112" s="4">
        <v>2</v>
      </c>
      <c r="D112" s="4">
        <v>15</v>
      </c>
      <c r="E112" s="4">
        <v>13</v>
      </c>
      <c r="F112" s="4" t="s">
        <v>30</v>
      </c>
      <c r="G112" t="s">
        <v>32</v>
      </c>
      <c r="H112" s="4">
        <v>204</v>
      </c>
      <c r="I112" s="4"/>
    </row>
    <row r="113" spans="1:9" x14ac:dyDescent="0.25">
      <c r="A113" s="4">
        <v>1</v>
      </c>
      <c r="B113" s="4">
        <v>4</v>
      </c>
      <c r="C113" s="4">
        <v>2</v>
      </c>
      <c r="D113" s="4">
        <v>16</v>
      </c>
      <c r="E113" s="4">
        <v>4</v>
      </c>
      <c r="F113" s="4" t="s">
        <v>30</v>
      </c>
      <c r="G113" t="s">
        <v>28</v>
      </c>
      <c r="H113" s="4">
        <v>104</v>
      </c>
      <c r="I113" s="4"/>
    </row>
    <row r="114" spans="1:9" x14ac:dyDescent="0.25">
      <c r="A114" s="4">
        <v>1</v>
      </c>
      <c r="B114" s="4">
        <v>5</v>
      </c>
      <c r="C114" s="4">
        <v>3</v>
      </c>
      <c r="D114" s="4">
        <v>17</v>
      </c>
      <c r="E114" s="4">
        <v>5</v>
      </c>
      <c r="F114" s="4" t="s">
        <v>25</v>
      </c>
      <c r="G114" t="s">
        <v>28</v>
      </c>
      <c r="H114" s="4">
        <v>105</v>
      </c>
      <c r="I114" s="4"/>
    </row>
    <row r="115" spans="1:9" x14ac:dyDescent="0.25">
      <c r="A115" s="4">
        <v>2</v>
      </c>
      <c r="B115" s="4">
        <v>5</v>
      </c>
      <c r="C115" s="4">
        <v>3</v>
      </c>
      <c r="D115" s="4">
        <v>18</v>
      </c>
      <c r="E115" s="4">
        <v>12</v>
      </c>
      <c r="F115" s="4" t="s">
        <v>25</v>
      </c>
      <c r="G115" t="s">
        <v>26</v>
      </c>
      <c r="H115" s="4">
        <v>205</v>
      </c>
      <c r="I115" s="4"/>
    </row>
    <row r="116" spans="1:9" x14ac:dyDescent="0.25">
      <c r="A116" s="4">
        <v>3</v>
      </c>
      <c r="B116" s="4">
        <v>5</v>
      </c>
      <c r="C116" s="4">
        <v>3</v>
      </c>
      <c r="D116" s="4">
        <v>19</v>
      </c>
      <c r="E116" s="4">
        <v>21</v>
      </c>
      <c r="F116" s="4" t="s">
        <v>25</v>
      </c>
      <c r="G116" t="s">
        <v>29</v>
      </c>
      <c r="H116" s="4">
        <v>305</v>
      </c>
      <c r="I116" s="4"/>
    </row>
    <row r="117" spans="1:9" x14ac:dyDescent="0.25">
      <c r="A117" s="4">
        <v>4</v>
      </c>
      <c r="B117" s="4">
        <v>5</v>
      </c>
      <c r="C117" s="4">
        <v>3</v>
      </c>
      <c r="D117" s="4">
        <v>20</v>
      </c>
      <c r="E117" s="4">
        <v>28</v>
      </c>
      <c r="F117" s="4" t="s">
        <v>25</v>
      </c>
      <c r="G117" t="s">
        <v>27</v>
      </c>
      <c r="H117" s="4">
        <v>405</v>
      </c>
      <c r="I117" s="4"/>
    </row>
    <row r="118" spans="1:9" x14ac:dyDescent="0.25">
      <c r="A118" s="4">
        <v>4</v>
      </c>
      <c r="B118" s="4">
        <v>6</v>
      </c>
      <c r="C118" s="4">
        <v>3</v>
      </c>
      <c r="D118" s="4">
        <v>21</v>
      </c>
      <c r="E118" s="4">
        <v>27</v>
      </c>
      <c r="F118" s="4" t="s">
        <v>30</v>
      </c>
      <c r="G118" t="s">
        <v>28</v>
      </c>
      <c r="H118" s="4">
        <v>406</v>
      </c>
      <c r="I118" s="4"/>
    </row>
    <row r="119" spans="1:9" x14ac:dyDescent="0.25">
      <c r="A119" s="4">
        <v>3</v>
      </c>
      <c r="B119" s="4">
        <v>6</v>
      </c>
      <c r="C119" s="4">
        <v>3</v>
      </c>
      <c r="D119" s="4">
        <v>22</v>
      </c>
      <c r="E119" s="4">
        <v>22</v>
      </c>
      <c r="F119" s="4" t="s">
        <v>30</v>
      </c>
      <c r="G119" t="s">
        <v>32</v>
      </c>
      <c r="H119" s="4">
        <v>306</v>
      </c>
      <c r="I119" s="4"/>
    </row>
    <row r="120" spans="1:9" x14ac:dyDescent="0.25">
      <c r="A120" s="4">
        <v>2</v>
      </c>
      <c r="B120" s="4">
        <v>6</v>
      </c>
      <c r="C120" s="4">
        <v>3</v>
      </c>
      <c r="D120" s="4">
        <v>23</v>
      </c>
      <c r="E120" s="4">
        <v>11</v>
      </c>
      <c r="F120" s="4" t="s">
        <v>30</v>
      </c>
      <c r="G120" t="s">
        <v>31</v>
      </c>
      <c r="H120" s="4">
        <v>206</v>
      </c>
      <c r="I120" s="4"/>
    </row>
    <row r="121" spans="1:9" x14ac:dyDescent="0.25">
      <c r="A121" s="4">
        <v>1</v>
      </c>
      <c r="B121" s="4">
        <v>6</v>
      </c>
      <c r="C121" s="4">
        <v>3</v>
      </c>
      <c r="D121" s="4">
        <v>24</v>
      </c>
      <c r="E121" s="4">
        <v>6</v>
      </c>
      <c r="F121" s="4" t="s">
        <v>30</v>
      </c>
      <c r="G121" t="s">
        <v>29</v>
      </c>
      <c r="H121" s="4">
        <v>106</v>
      </c>
      <c r="I121" s="4"/>
    </row>
    <row r="122" spans="1:9" x14ac:dyDescent="0.25">
      <c r="A122" s="4">
        <v>1</v>
      </c>
      <c r="B122" s="4">
        <v>7</v>
      </c>
      <c r="C122" s="4">
        <v>4</v>
      </c>
      <c r="D122" s="4">
        <v>25</v>
      </c>
      <c r="E122" s="4">
        <v>7</v>
      </c>
      <c r="F122" s="4" t="s">
        <v>25</v>
      </c>
      <c r="G122" t="s">
        <v>29</v>
      </c>
      <c r="H122" s="4">
        <v>107</v>
      </c>
      <c r="I122" s="4"/>
    </row>
    <row r="123" spans="1:9" x14ac:dyDescent="0.25">
      <c r="A123" s="4">
        <v>2</v>
      </c>
      <c r="B123" s="4">
        <v>7</v>
      </c>
      <c r="C123" s="4">
        <v>4</v>
      </c>
      <c r="D123" s="4">
        <v>26</v>
      </c>
      <c r="E123" s="4">
        <v>10</v>
      </c>
      <c r="F123" s="4" t="s">
        <v>25</v>
      </c>
      <c r="G123" t="s">
        <v>28</v>
      </c>
      <c r="H123" s="4">
        <v>207</v>
      </c>
      <c r="I123" s="4"/>
    </row>
    <row r="124" spans="1:9" x14ac:dyDescent="0.25">
      <c r="A124" s="4">
        <v>3</v>
      </c>
      <c r="B124" s="4">
        <v>7</v>
      </c>
      <c r="C124" s="4">
        <v>4</v>
      </c>
      <c r="D124" s="4">
        <v>27</v>
      </c>
      <c r="E124" s="4">
        <v>23</v>
      </c>
      <c r="F124" s="4" t="s">
        <v>25</v>
      </c>
      <c r="G124" t="s">
        <v>27</v>
      </c>
      <c r="H124" s="4">
        <v>307</v>
      </c>
      <c r="I124" s="4"/>
    </row>
    <row r="125" spans="1:9" x14ac:dyDescent="0.25">
      <c r="A125" s="4">
        <v>4</v>
      </c>
      <c r="B125" s="4">
        <v>7</v>
      </c>
      <c r="C125" s="4">
        <v>4</v>
      </c>
      <c r="D125" s="4">
        <v>28</v>
      </c>
      <c r="E125" s="4">
        <v>26</v>
      </c>
      <c r="F125" s="4" t="s">
        <v>25</v>
      </c>
      <c r="G125" t="s">
        <v>26</v>
      </c>
      <c r="H125" s="4">
        <v>407</v>
      </c>
      <c r="I125" s="4"/>
    </row>
    <row r="126" spans="1:9" x14ac:dyDescent="0.25">
      <c r="A126" s="4">
        <v>4</v>
      </c>
      <c r="B126" s="4">
        <v>8</v>
      </c>
      <c r="C126" s="4">
        <v>4</v>
      </c>
      <c r="D126" s="4">
        <v>29</v>
      </c>
      <c r="E126" s="4">
        <v>25</v>
      </c>
      <c r="F126" s="4" t="s">
        <v>30</v>
      </c>
      <c r="G126" t="s">
        <v>31</v>
      </c>
      <c r="H126" s="4">
        <v>408</v>
      </c>
      <c r="I126" s="4"/>
    </row>
    <row r="127" spans="1:9" x14ac:dyDescent="0.25">
      <c r="A127" s="4">
        <v>3</v>
      </c>
      <c r="B127" s="4">
        <v>8</v>
      </c>
      <c r="C127" s="4">
        <v>4</v>
      </c>
      <c r="D127" s="4">
        <v>30</v>
      </c>
      <c r="E127" s="4">
        <v>24</v>
      </c>
      <c r="F127" s="4" t="s">
        <v>30</v>
      </c>
      <c r="G127" t="s">
        <v>28</v>
      </c>
      <c r="H127" s="4">
        <v>308</v>
      </c>
      <c r="I127" s="4"/>
    </row>
    <row r="128" spans="1:9" x14ac:dyDescent="0.25">
      <c r="A128" s="4">
        <v>2</v>
      </c>
      <c r="B128" s="4">
        <v>8</v>
      </c>
      <c r="C128" s="4">
        <v>4</v>
      </c>
      <c r="D128" s="4">
        <v>31</v>
      </c>
      <c r="E128" s="4">
        <v>9</v>
      </c>
      <c r="F128" s="4" t="s">
        <v>30</v>
      </c>
      <c r="G128" t="s">
        <v>29</v>
      </c>
      <c r="H128" s="4">
        <v>208</v>
      </c>
      <c r="I128" s="4"/>
    </row>
    <row r="129" spans="1:9" x14ac:dyDescent="0.25">
      <c r="A129" s="4">
        <v>1</v>
      </c>
      <c r="B129" s="4">
        <v>8</v>
      </c>
      <c r="C129" s="4">
        <v>4</v>
      </c>
      <c r="D129" s="4">
        <v>32</v>
      </c>
      <c r="E129" s="4">
        <v>8</v>
      </c>
      <c r="F129" s="4" t="s">
        <v>30</v>
      </c>
      <c r="G129" t="s">
        <v>32</v>
      </c>
      <c r="H129" s="4">
        <v>108</v>
      </c>
      <c r="I129" s="4"/>
    </row>
    <row r="130" spans="1:9" x14ac:dyDescent="0.25">
      <c r="A130" s="4">
        <v>1</v>
      </c>
      <c r="B130" s="4">
        <v>1</v>
      </c>
      <c r="C130" s="4">
        <v>1</v>
      </c>
      <c r="D130" s="4">
        <v>1</v>
      </c>
      <c r="E130" s="4">
        <v>1</v>
      </c>
      <c r="F130" s="4" t="s">
        <v>25</v>
      </c>
      <c r="G130" t="s">
        <v>26</v>
      </c>
      <c r="H130" s="4">
        <v>101</v>
      </c>
      <c r="I130" s="4"/>
    </row>
    <row r="131" spans="1:9" x14ac:dyDescent="0.25">
      <c r="A131" s="4">
        <v>2</v>
      </c>
      <c r="B131" s="4">
        <v>1</v>
      </c>
      <c r="C131" s="4">
        <v>1</v>
      </c>
      <c r="D131" s="4">
        <v>2</v>
      </c>
      <c r="E131" s="4">
        <v>16</v>
      </c>
      <c r="F131" s="4" t="s">
        <v>25</v>
      </c>
      <c r="G131" t="s">
        <v>27</v>
      </c>
      <c r="H131" s="4">
        <v>201</v>
      </c>
      <c r="I131" s="4"/>
    </row>
    <row r="132" spans="1:9" x14ac:dyDescent="0.25">
      <c r="A132" s="4">
        <v>3</v>
      </c>
      <c r="B132" s="4">
        <v>1</v>
      </c>
      <c r="C132" s="4">
        <v>1</v>
      </c>
      <c r="D132" s="4">
        <v>3</v>
      </c>
      <c r="E132" s="4">
        <v>17</v>
      </c>
      <c r="F132" s="4" t="s">
        <v>25</v>
      </c>
      <c r="G132" t="s">
        <v>28</v>
      </c>
      <c r="H132" s="4">
        <v>301</v>
      </c>
      <c r="I132" s="4"/>
    </row>
    <row r="133" spans="1:9" x14ac:dyDescent="0.25">
      <c r="A133" s="4">
        <v>4</v>
      </c>
      <c r="B133" s="4">
        <v>1</v>
      </c>
      <c r="C133" s="4">
        <v>1</v>
      </c>
      <c r="D133" s="4">
        <v>4</v>
      </c>
      <c r="E133" s="4">
        <v>32</v>
      </c>
      <c r="F133" s="4" t="s">
        <v>25</v>
      </c>
      <c r="G133" t="s">
        <v>29</v>
      </c>
      <c r="H133" s="4">
        <v>401</v>
      </c>
      <c r="I133" s="4"/>
    </row>
    <row r="134" spans="1:9" x14ac:dyDescent="0.25">
      <c r="A134" s="4">
        <v>4</v>
      </c>
      <c r="B134" s="4">
        <v>2</v>
      </c>
      <c r="C134" s="4">
        <v>1</v>
      </c>
      <c r="D134" s="4">
        <v>5</v>
      </c>
      <c r="E134" s="4">
        <v>31</v>
      </c>
      <c r="F134" s="4" t="s">
        <v>30</v>
      </c>
      <c r="G134" t="s">
        <v>32</v>
      </c>
      <c r="H134" s="4">
        <v>402</v>
      </c>
      <c r="I134" s="4"/>
    </row>
    <row r="135" spans="1:9" x14ac:dyDescent="0.25">
      <c r="A135" s="4">
        <v>3</v>
      </c>
      <c r="B135" s="4">
        <v>2</v>
      </c>
      <c r="C135" s="4">
        <v>1</v>
      </c>
      <c r="D135" s="4">
        <v>6</v>
      </c>
      <c r="E135" s="4">
        <v>18</v>
      </c>
      <c r="F135" s="4" t="s">
        <v>30</v>
      </c>
      <c r="G135" t="s">
        <v>29</v>
      </c>
      <c r="H135" s="4">
        <v>302</v>
      </c>
      <c r="I135" s="4"/>
    </row>
    <row r="136" spans="1:9" x14ac:dyDescent="0.25">
      <c r="A136" s="4">
        <v>2</v>
      </c>
      <c r="B136" s="4">
        <v>2</v>
      </c>
      <c r="C136" s="4">
        <v>1</v>
      </c>
      <c r="D136" s="4">
        <v>7</v>
      </c>
      <c r="E136" s="4">
        <v>15</v>
      </c>
      <c r="F136" s="4" t="s">
        <v>30</v>
      </c>
      <c r="G136" t="s">
        <v>28</v>
      </c>
      <c r="H136" s="4">
        <v>202</v>
      </c>
      <c r="I136" s="4"/>
    </row>
    <row r="137" spans="1:9" x14ac:dyDescent="0.25">
      <c r="A137" s="4">
        <v>1</v>
      </c>
      <c r="B137" s="4">
        <v>2</v>
      </c>
      <c r="C137" s="4">
        <v>1</v>
      </c>
      <c r="D137" s="4">
        <v>8</v>
      </c>
      <c r="E137" s="4">
        <v>2</v>
      </c>
      <c r="F137" s="4" t="s">
        <v>30</v>
      </c>
      <c r="G137" t="s">
        <v>31</v>
      </c>
      <c r="H137" s="4">
        <v>102</v>
      </c>
      <c r="I137" s="4"/>
    </row>
    <row r="138" spans="1:9" x14ac:dyDescent="0.25">
      <c r="A138" s="4">
        <v>1</v>
      </c>
      <c r="B138" s="4">
        <v>3</v>
      </c>
      <c r="C138" s="4">
        <v>2</v>
      </c>
      <c r="D138" s="4">
        <v>9</v>
      </c>
      <c r="E138" s="4">
        <v>3</v>
      </c>
      <c r="F138" s="4" t="s">
        <v>25</v>
      </c>
      <c r="G138" t="s">
        <v>27</v>
      </c>
      <c r="H138" s="4">
        <v>103</v>
      </c>
      <c r="I138" s="4"/>
    </row>
    <row r="139" spans="1:9" x14ac:dyDescent="0.25">
      <c r="A139" s="4">
        <v>2</v>
      </c>
      <c r="B139" s="4">
        <v>3</v>
      </c>
      <c r="C139" s="4">
        <v>2</v>
      </c>
      <c r="D139" s="4">
        <v>10</v>
      </c>
      <c r="E139" s="4">
        <v>14</v>
      </c>
      <c r="F139" s="4" t="s">
        <v>25</v>
      </c>
      <c r="G139" t="s">
        <v>29</v>
      </c>
      <c r="H139" s="4">
        <v>203</v>
      </c>
      <c r="I139" s="4"/>
    </row>
    <row r="140" spans="1:9" x14ac:dyDescent="0.25">
      <c r="A140" s="4">
        <v>3</v>
      </c>
      <c r="B140" s="4">
        <v>3</v>
      </c>
      <c r="C140" s="4">
        <v>2</v>
      </c>
      <c r="D140" s="4">
        <v>11</v>
      </c>
      <c r="E140" s="4">
        <v>19</v>
      </c>
      <c r="F140" s="4" t="s">
        <v>25</v>
      </c>
      <c r="G140" t="s">
        <v>26</v>
      </c>
      <c r="H140" s="4">
        <v>303</v>
      </c>
      <c r="I140" s="4"/>
    </row>
    <row r="141" spans="1:9" x14ac:dyDescent="0.25">
      <c r="A141" s="4">
        <v>4</v>
      </c>
      <c r="B141" s="4">
        <v>3</v>
      </c>
      <c r="C141" s="4">
        <v>2</v>
      </c>
      <c r="D141" s="4">
        <v>12</v>
      </c>
      <c r="E141" s="4">
        <v>30</v>
      </c>
      <c r="F141" s="4" t="s">
        <v>25</v>
      </c>
      <c r="G141" t="s">
        <v>28</v>
      </c>
      <c r="H141" s="4">
        <v>403</v>
      </c>
      <c r="I141" s="4"/>
    </row>
    <row r="142" spans="1:9" x14ac:dyDescent="0.25">
      <c r="A142" s="4">
        <v>4</v>
      </c>
      <c r="B142" s="4">
        <v>4</v>
      </c>
      <c r="C142" s="4">
        <v>2</v>
      </c>
      <c r="D142" s="4">
        <v>13</v>
      </c>
      <c r="E142" s="4">
        <v>29</v>
      </c>
      <c r="F142" s="4" t="s">
        <v>30</v>
      </c>
      <c r="G142" t="s">
        <v>29</v>
      </c>
      <c r="H142" s="4">
        <v>404</v>
      </c>
      <c r="I142" s="4"/>
    </row>
    <row r="143" spans="1:9" x14ac:dyDescent="0.25">
      <c r="A143" s="4">
        <v>3</v>
      </c>
      <c r="B143" s="4">
        <v>4</v>
      </c>
      <c r="C143" s="4">
        <v>2</v>
      </c>
      <c r="D143" s="4">
        <v>14</v>
      </c>
      <c r="E143" s="4">
        <v>20</v>
      </c>
      <c r="F143" s="4" t="s">
        <v>30</v>
      </c>
      <c r="G143" t="s">
        <v>31</v>
      </c>
      <c r="H143" s="4">
        <v>304</v>
      </c>
      <c r="I143" s="4"/>
    </row>
    <row r="144" spans="1:9" x14ac:dyDescent="0.25">
      <c r="A144" s="4">
        <v>2</v>
      </c>
      <c r="B144" s="4">
        <v>4</v>
      </c>
      <c r="C144" s="4">
        <v>2</v>
      </c>
      <c r="D144" s="4">
        <v>15</v>
      </c>
      <c r="E144" s="4">
        <v>13</v>
      </c>
      <c r="F144" s="4" t="s">
        <v>30</v>
      </c>
      <c r="G144" t="s">
        <v>32</v>
      </c>
      <c r="H144" s="4">
        <v>204</v>
      </c>
      <c r="I144" s="4"/>
    </row>
    <row r="145" spans="1:9" x14ac:dyDescent="0.25">
      <c r="A145" s="4">
        <v>1</v>
      </c>
      <c r="B145" s="4">
        <v>4</v>
      </c>
      <c r="C145" s="4">
        <v>2</v>
      </c>
      <c r="D145" s="4">
        <v>16</v>
      </c>
      <c r="E145" s="4">
        <v>4</v>
      </c>
      <c r="F145" s="4" t="s">
        <v>30</v>
      </c>
      <c r="G145" t="s">
        <v>28</v>
      </c>
      <c r="H145" s="4">
        <v>104</v>
      </c>
      <c r="I145" s="4"/>
    </row>
    <row r="146" spans="1:9" x14ac:dyDescent="0.25">
      <c r="A146" s="4">
        <v>1</v>
      </c>
      <c r="B146" s="4">
        <v>5</v>
      </c>
      <c r="C146" s="4">
        <v>3</v>
      </c>
      <c r="D146" s="4">
        <v>17</v>
      </c>
      <c r="E146" s="4">
        <v>5</v>
      </c>
      <c r="F146" s="4" t="s">
        <v>25</v>
      </c>
      <c r="G146" t="s">
        <v>28</v>
      </c>
      <c r="H146" s="4">
        <v>105</v>
      </c>
      <c r="I146" s="4"/>
    </row>
    <row r="147" spans="1:9" x14ac:dyDescent="0.25">
      <c r="A147" s="4">
        <v>2</v>
      </c>
      <c r="B147" s="4">
        <v>5</v>
      </c>
      <c r="C147" s="4">
        <v>3</v>
      </c>
      <c r="D147" s="4">
        <v>18</v>
      </c>
      <c r="E147" s="4">
        <v>12</v>
      </c>
      <c r="F147" s="4" t="s">
        <v>25</v>
      </c>
      <c r="G147" t="s">
        <v>26</v>
      </c>
      <c r="H147" s="4">
        <v>205</v>
      </c>
      <c r="I147" s="4"/>
    </row>
    <row r="148" spans="1:9" x14ac:dyDescent="0.25">
      <c r="A148" s="4">
        <v>3</v>
      </c>
      <c r="B148" s="4">
        <v>5</v>
      </c>
      <c r="C148" s="4">
        <v>3</v>
      </c>
      <c r="D148" s="4">
        <v>19</v>
      </c>
      <c r="E148" s="4">
        <v>21</v>
      </c>
      <c r="F148" s="4" t="s">
        <v>25</v>
      </c>
      <c r="G148" t="s">
        <v>29</v>
      </c>
      <c r="H148" s="4">
        <v>305</v>
      </c>
      <c r="I148" s="4"/>
    </row>
    <row r="149" spans="1:9" x14ac:dyDescent="0.25">
      <c r="A149" s="4">
        <v>4</v>
      </c>
      <c r="B149" s="4">
        <v>5</v>
      </c>
      <c r="C149" s="4">
        <v>3</v>
      </c>
      <c r="D149" s="4">
        <v>20</v>
      </c>
      <c r="E149" s="4">
        <v>28</v>
      </c>
      <c r="F149" s="4" t="s">
        <v>25</v>
      </c>
      <c r="G149" t="s">
        <v>27</v>
      </c>
      <c r="H149" s="4">
        <v>405</v>
      </c>
      <c r="I149" s="4"/>
    </row>
    <row r="150" spans="1:9" x14ac:dyDescent="0.25">
      <c r="A150" s="4">
        <v>4</v>
      </c>
      <c r="B150" s="4">
        <v>6</v>
      </c>
      <c r="C150" s="4">
        <v>3</v>
      </c>
      <c r="D150" s="4">
        <v>21</v>
      </c>
      <c r="E150" s="4">
        <v>27</v>
      </c>
      <c r="F150" s="4" t="s">
        <v>30</v>
      </c>
      <c r="G150" t="s">
        <v>28</v>
      </c>
      <c r="H150" s="4">
        <v>406</v>
      </c>
      <c r="I150" s="4"/>
    </row>
    <row r="151" spans="1:9" x14ac:dyDescent="0.25">
      <c r="A151" s="4">
        <v>3</v>
      </c>
      <c r="B151" s="4">
        <v>6</v>
      </c>
      <c r="C151" s="4">
        <v>3</v>
      </c>
      <c r="D151" s="4">
        <v>22</v>
      </c>
      <c r="E151" s="4">
        <v>22</v>
      </c>
      <c r="F151" s="4" t="s">
        <v>30</v>
      </c>
      <c r="G151" t="s">
        <v>32</v>
      </c>
      <c r="H151" s="4">
        <v>306</v>
      </c>
      <c r="I151" s="4"/>
    </row>
    <row r="152" spans="1:9" x14ac:dyDescent="0.25">
      <c r="A152" s="4">
        <v>2</v>
      </c>
      <c r="B152" s="4">
        <v>6</v>
      </c>
      <c r="C152" s="4">
        <v>3</v>
      </c>
      <c r="D152" s="4">
        <v>23</v>
      </c>
      <c r="E152" s="4">
        <v>11</v>
      </c>
      <c r="F152" s="4" t="s">
        <v>30</v>
      </c>
      <c r="G152" t="s">
        <v>31</v>
      </c>
      <c r="H152" s="4">
        <v>206</v>
      </c>
      <c r="I152" s="4"/>
    </row>
    <row r="153" spans="1:9" x14ac:dyDescent="0.25">
      <c r="A153" s="4">
        <v>1</v>
      </c>
      <c r="B153" s="4">
        <v>6</v>
      </c>
      <c r="C153" s="4">
        <v>3</v>
      </c>
      <c r="D153" s="4">
        <v>24</v>
      </c>
      <c r="E153" s="4">
        <v>6</v>
      </c>
      <c r="F153" s="4" t="s">
        <v>30</v>
      </c>
      <c r="G153" t="s">
        <v>29</v>
      </c>
      <c r="H153" s="4">
        <v>106</v>
      </c>
      <c r="I153" s="4"/>
    </row>
    <row r="154" spans="1:9" x14ac:dyDescent="0.25">
      <c r="A154" s="4">
        <v>1</v>
      </c>
      <c r="B154" s="4">
        <v>7</v>
      </c>
      <c r="C154" s="4">
        <v>4</v>
      </c>
      <c r="D154" s="4">
        <v>25</v>
      </c>
      <c r="E154" s="4">
        <v>7</v>
      </c>
      <c r="F154" s="4" t="s">
        <v>25</v>
      </c>
      <c r="G154" t="s">
        <v>29</v>
      </c>
      <c r="H154" s="4">
        <v>107</v>
      </c>
      <c r="I154" s="4"/>
    </row>
    <row r="155" spans="1:9" x14ac:dyDescent="0.25">
      <c r="A155" s="4">
        <v>2</v>
      </c>
      <c r="B155" s="4">
        <v>7</v>
      </c>
      <c r="C155" s="4">
        <v>4</v>
      </c>
      <c r="D155" s="4">
        <v>26</v>
      </c>
      <c r="E155" s="4">
        <v>10</v>
      </c>
      <c r="F155" s="4" t="s">
        <v>25</v>
      </c>
      <c r="G155" t="s">
        <v>28</v>
      </c>
      <c r="H155" s="4">
        <v>207</v>
      </c>
      <c r="I155" s="4"/>
    </row>
    <row r="156" spans="1:9" x14ac:dyDescent="0.25">
      <c r="A156" s="4">
        <v>3</v>
      </c>
      <c r="B156" s="4">
        <v>7</v>
      </c>
      <c r="C156" s="4">
        <v>4</v>
      </c>
      <c r="D156" s="4">
        <v>27</v>
      </c>
      <c r="E156" s="4">
        <v>23</v>
      </c>
      <c r="F156" s="4" t="s">
        <v>25</v>
      </c>
      <c r="G156" t="s">
        <v>27</v>
      </c>
      <c r="H156" s="4">
        <v>307</v>
      </c>
      <c r="I156" s="4"/>
    </row>
    <row r="157" spans="1:9" x14ac:dyDescent="0.25">
      <c r="A157" s="4">
        <v>4</v>
      </c>
      <c r="B157" s="4">
        <v>7</v>
      </c>
      <c r="C157" s="4">
        <v>4</v>
      </c>
      <c r="D157" s="4">
        <v>28</v>
      </c>
      <c r="E157" s="4">
        <v>26</v>
      </c>
      <c r="F157" s="4" t="s">
        <v>25</v>
      </c>
      <c r="G157" t="s">
        <v>26</v>
      </c>
      <c r="H157" s="4">
        <v>407</v>
      </c>
      <c r="I157" s="4"/>
    </row>
    <row r="158" spans="1:9" x14ac:dyDescent="0.25">
      <c r="A158" s="4">
        <v>4</v>
      </c>
      <c r="B158" s="4">
        <v>8</v>
      </c>
      <c r="C158" s="4">
        <v>4</v>
      </c>
      <c r="D158" s="4">
        <v>29</v>
      </c>
      <c r="E158" s="4">
        <v>25</v>
      </c>
      <c r="F158" s="4" t="s">
        <v>30</v>
      </c>
      <c r="G158" t="s">
        <v>31</v>
      </c>
      <c r="H158" s="4">
        <v>408</v>
      </c>
      <c r="I158" s="4"/>
    </row>
    <row r="159" spans="1:9" x14ac:dyDescent="0.25">
      <c r="A159" s="4">
        <v>3</v>
      </c>
      <c r="B159" s="4">
        <v>8</v>
      </c>
      <c r="C159" s="4">
        <v>4</v>
      </c>
      <c r="D159" s="4">
        <v>30</v>
      </c>
      <c r="E159" s="4">
        <v>24</v>
      </c>
      <c r="F159" s="4" t="s">
        <v>30</v>
      </c>
      <c r="G159" t="s">
        <v>28</v>
      </c>
      <c r="H159" s="4">
        <v>308</v>
      </c>
      <c r="I159" s="4"/>
    </row>
    <row r="160" spans="1:9" x14ac:dyDescent="0.25">
      <c r="A160" s="4">
        <v>2</v>
      </c>
      <c r="B160" s="4">
        <v>8</v>
      </c>
      <c r="C160" s="4">
        <v>4</v>
      </c>
      <c r="D160" s="4">
        <v>31</v>
      </c>
      <c r="E160" s="4">
        <v>9</v>
      </c>
      <c r="F160" s="4" t="s">
        <v>30</v>
      </c>
      <c r="G160" t="s">
        <v>29</v>
      </c>
      <c r="H160" s="4">
        <v>208</v>
      </c>
      <c r="I160" s="4"/>
    </row>
    <row r="161" spans="1:9" x14ac:dyDescent="0.25">
      <c r="A161" s="4">
        <v>1</v>
      </c>
      <c r="B161" s="4">
        <v>8</v>
      </c>
      <c r="C161" s="4">
        <v>4</v>
      </c>
      <c r="D161" s="4">
        <v>32</v>
      </c>
      <c r="E161" s="4">
        <v>8</v>
      </c>
      <c r="F161" s="4" t="s">
        <v>30</v>
      </c>
      <c r="G161" t="s">
        <v>32</v>
      </c>
      <c r="H161" s="4">
        <v>108</v>
      </c>
      <c r="I161" s="4"/>
    </row>
    <row r="162" spans="1:9" x14ac:dyDescent="0.25">
      <c r="A162" s="4">
        <v>1</v>
      </c>
      <c r="B162" s="4">
        <v>1</v>
      </c>
      <c r="C162" s="4">
        <v>1</v>
      </c>
      <c r="D162" s="4">
        <v>1</v>
      </c>
      <c r="E162" s="4">
        <v>1</v>
      </c>
      <c r="F162" s="4" t="s">
        <v>25</v>
      </c>
      <c r="G162" t="s">
        <v>26</v>
      </c>
      <c r="H162" s="4">
        <v>101</v>
      </c>
      <c r="I162" s="4"/>
    </row>
    <row r="163" spans="1:9" x14ac:dyDescent="0.25">
      <c r="A163" s="4">
        <v>2</v>
      </c>
      <c r="B163" s="4">
        <v>1</v>
      </c>
      <c r="C163" s="4">
        <v>1</v>
      </c>
      <c r="D163" s="4">
        <v>2</v>
      </c>
      <c r="E163" s="4">
        <v>16</v>
      </c>
      <c r="F163" s="4" t="s">
        <v>25</v>
      </c>
      <c r="G163" t="s">
        <v>27</v>
      </c>
      <c r="H163" s="4">
        <v>201</v>
      </c>
      <c r="I163" s="4"/>
    </row>
    <row r="164" spans="1:9" x14ac:dyDescent="0.25">
      <c r="A164" s="4">
        <v>3</v>
      </c>
      <c r="B164" s="4">
        <v>1</v>
      </c>
      <c r="C164" s="4">
        <v>1</v>
      </c>
      <c r="D164" s="4">
        <v>3</v>
      </c>
      <c r="E164" s="4">
        <v>17</v>
      </c>
      <c r="F164" s="4" t="s">
        <v>25</v>
      </c>
      <c r="G164" t="s">
        <v>28</v>
      </c>
      <c r="H164" s="4">
        <v>301</v>
      </c>
      <c r="I164" s="4"/>
    </row>
    <row r="165" spans="1:9" x14ac:dyDescent="0.25">
      <c r="A165" s="4">
        <v>4</v>
      </c>
      <c r="B165" s="4">
        <v>1</v>
      </c>
      <c r="C165" s="4">
        <v>1</v>
      </c>
      <c r="D165" s="4">
        <v>4</v>
      </c>
      <c r="E165" s="4">
        <v>32</v>
      </c>
      <c r="F165" s="4" t="s">
        <v>25</v>
      </c>
      <c r="G165" t="s">
        <v>29</v>
      </c>
      <c r="H165" s="4">
        <v>401</v>
      </c>
      <c r="I165" s="4"/>
    </row>
    <row r="166" spans="1:9" x14ac:dyDescent="0.25">
      <c r="A166" s="4">
        <v>4</v>
      </c>
      <c r="B166" s="4">
        <v>2</v>
      </c>
      <c r="C166" s="4">
        <v>1</v>
      </c>
      <c r="D166" s="4">
        <v>5</v>
      </c>
      <c r="E166" s="4">
        <v>31</v>
      </c>
      <c r="F166" s="4" t="s">
        <v>30</v>
      </c>
      <c r="G166" t="s">
        <v>32</v>
      </c>
      <c r="H166" s="4">
        <v>402</v>
      </c>
      <c r="I166" s="4"/>
    </row>
    <row r="167" spans="1:9" x14ac:dyDescent="0.25">
      <c r="A167" s="4">
        <v>3</v>
      </c>
      <c r="B167" s="4">
        <v>2</v>
      </c>
      <c r="C167" s="4">
        <v>1</v>
      </c>
      <c r="D167" s="4">
        <v>6</v>
      </c>
      <c r="E167" s="4">
        <v>18</v>
      </c>
      <c r="F167" s="4" t="s">
        <v>30</v>
      </c>
      <c r="G167" t="s">
        <v>29</v>
      </c>
      <c r="H167" s="4">
        <v>302</v>
      </c>
      <c r="I167" s="4"/>
    </row>
    <row r="168" spans="1:9" x14ac:dyDescent="0.25">
      <c r="A168" s="4">
        <v>2</v>
      </c>
      <c r="B168" s="4">
        <v>2</v>
      </c>
      <c r="C168" s="4">
        <v>1</v>
      </c>
      <c r="D168" s="4">
        <v>7</v>
      </c>
      <c r="E168" s="4">
        <v>15</v>
      </c>
      <c r="F168" s="4" t="s">
        <v>30</v>
      </c>
      <c r="G168" t="s">
        <v>28</v>
      </c>
      <c r="H168" s="4">
        <v>202</v>
      </c>
      <c r="I168" s="4"/>
    </row>
    <row r="169" spans="1:9" x14ac:dyDescent="0.25">
      <c r="A169" s="4">
        <v>1</v>
      </c>
      <c r="B169" s="4">
        <v>2</v>
      </c>
      <c r="C169" s="4">
        <v>1</v>
      </c>
      <c r="D169" s="4">
        <v>8</v>
      </c>
      <c r="E169" s="4">
        <v>2</v>
      </c>
      <c r="F169" s="4" t="s">
        <v>30</v>
      </c>
      <c r="G169" t="s">
        <v>31</v>
      </c>
      <c r="H169" s="4">
        <v>102</v>
      </c>
      <c r="I169" s="4"/>
    </row>
    <row r="170" spans="1:9" x14ac:dyDescent="0.25">
      <c r="A170" s="4">
        <v>1</v>
      </c>
      <c r="B170" s="4">
        <v>3</v>
      </c>
      <c r="C170" s="4">
        <v>2</v>
      </c>
      <c r="D170" s="4">
        <v>9</v>
      </c>
      <c r="E170" s="4">
        <v>3</v>
      </c>
      <c r="F170" s="4" t="s">
        <v>25</v>
      </c>
      <c r="G170" t="s">
        <v>27</v>
      </c>
      <c r="H170" s="4">
        <v>103</v>
      </c>
      <c r="I170" s="4"/>
    </row>
    <row r="171" spans="1:9" x14ac:dyDescent="0.25">
      <c r="A171" s="4">
        <v>2</v>
      </c>
      <c r="B171" s="4">
        <v>3</v>
      </c>
      <c r="C171" s="4">
        <v>2</v>
      </c>
      <c r="D171" s="4">
        <v>10</v>
      </c>
      <c r="E171" s="4">
        <v>14</v>
      </c>
      <c r="F171" s="4" t="s">
        <v>25</v>
      </c>
      <c r="G171" t="s">
        <v>29</v>
      </c>
      <c r="H171" s="4">
        <v>203</v>
      </c>
      <c r="I171" s="4"/>
    </row>
    <row r="172" spans="1:9" x14ac:dyDescent="0.25">
      <c r="A172" s="4">
        <v>3</v>
      </c>
      <c r="B172" s="4">
        <v>3</v>
      </c>
      <c r="C172" s="4">
        <v>2</v>
      </c>
      <c r="D172" s="4">
        <v>11</v>
      </c>
      <c r="E172" s="4">
        <v>19</v>
      </c>
      <c r="F172" s="4" t="s">
        <v>25</v>
      </c>
      <c r="G172" t="s">
        <v>26</v>
      </c>
      <c r="H172" s="4">
        <v>303</v>
      </c>
      <c r="I172" s="4"/>
    </row>
    <row r="173" spans="1:9" x14ac:dyDescent="0.25">
      <c r="A173" s="4">
        <v>4</v>
      </c>
      <c r="B173" s="4">
        <v>3</v>
      </c>
      <c r="C173" s="4">
        <v>2</v>
      </c>
      <c r="D173" s="4">
        <v>12</v>
      </c>
      <c r="E173" s="4">
        <v>30</v>
      </c>
      <c r="F173" s="4" t="s">
        <v>25</v>
      </c>
      <c r="G173" t="s">
        <v>28</v>
      </c>
      <c r="H173" s="4">
        <v>403</v>
      </c>
      <c r="I173" s="4"/>
    </row>
    <row r="174" spans="1:9" x14ac:dyDescent="0.25">
      <c r="A174" s="4">
        <v>4</v>
      </c>
      <c r="B174" s="4">
        <v>4</v>
      </c>
      <c r="C174" s="4">
        <v>2</v>
      </c>
      <c r="D174" s="4">
        <v>13</v>
      </c>
      <c r="E174" s="4">
        <v>29</v>
      </c>
      <c r="F174" s="4" t="s">
        <v>30</v>
      </c>
      <c r="G174" t="s">
        <v>29</v>
      </c>
      <c r="H174" s="4">
        <v>404</v>
      </c>
      <c r="I174" s="4"/>
    </row>
    <row r="175" spans="1:9" x14ac:dyDescent="0.25">
      <c r="A175" s="4">
        <v>3</v>
      </c>
      <c r="B175" s="4">
        <v>4</v>
      </c>
      <c r="C175" s="4">
        <v>2</v>
      </c>
      <c r="D175" s="4">
        <v>14</v>
      </c>
      <c r="E175" s="4">
        <v>20</v>
      </c>
      <c r="F175" s="4" t="s">
        <v>30</v>
      </c>
      <c r="G175" t="s">
        <v>31</v>
      </c>
      <c r="H175" s="4">
        <v>304</v>
      </c>
      <c r="I175" s="4"/>
    </row>
    <row r="176" spans="1:9" x14ac:dyDescent="0.25">
      <c r="A176" s="4">
        <v>2</v>
      </c>
      <c r="B176" s="4">
        <v>4</v>
      </c>
      <c r="C176" s="4">
        <v>2</v>
      </c>
      <c r="D176" s="4">
        <v>15</v>
      </c>
      <c r="E176" s="4">
        <v>13</v>
      </c>
      <c r="F176" s="4" t="s">
        <v>30</v>
      </c>
      <c r="G176" t="s">
        <v>32</v>
      </c>
      <c r="H176" s="4">
        <v>204</v>
      </c>
      <c r="I176" s="4"/>
    </row>
    <row r="177" spans="1:9" x14ac:dyDescent="0.25">
      <c r="A177" s="4">
        <v>1</v>
      </c>
      <c r="B177" s="4">
        <v>4</v>
      </c>
      <c r="C177" s="4">
        <v>2</v>
      </c>
      <c r="D177" s="4">
        <v>16</v>
      </c>
      <c r="E177" s="4">
        <v>4</v>
      </c>
      <c r="F177" s="4" t="s">
        <v>30</v>
      </c>
      <c r="G177" t="s">
        <v>28</v>
      </c>
      <c r="H177" s="4">
        <v>104</v>
      </c>
      <c r="I177" s="4"/>
    </row>
    <row r="178" spans="1:9" x14ac:dyDescent="0.25">
      <c r="A178" s="4">
        <v>1</v>
      </c>
      <c r="B178" s="4">
        <v>5</v>
      </c>
      <c r="C178" s="4">
        <v>3</v>
      </c>
      <c r="D178" s="4">
        <v>17</v>
      </c>
      <c r="E178" s="4">
        <v>5</v>
      </c>
      <c r="F178" s="4" t="s">
        <v>25</v>
      </c>
      <c r="G178" t="s">
        <v>28</v>
      </c>
      <c r="H178" s="4">
        <v>105</v>
      </c>
      <c r="I178" s="4"/>
    </row>
    <row r="179" spans="1:9" x14ac:dyDescent="0.25">
      <c r="A179" s="4">
        <v>2</v>
      </c>
      <c r="B179" s="4">
        <v>5</v>
      </c>
      <c r="C179" s="4">
        <v>3</v>
      </c>
      <c r="D179" s="4">
        <v>18</v>
      </c>
      <c r="E179" s="4">
        <v>12</v>
      </c>
      <c r="F179" s="4" t="s">
        <v>25</v>
      </c>
      <c r="G179" t="s">
        <v>26</v>
      </c>
      <c r="H179" s="4">
        <v>205</v>
      </c>
      <c r="I179" s="4"/>
    </row>
    <row r="180" spans="1:9" x14ac:dyDescent="0.25">
      <c r="A180" s="4">
        <v>3</v>
      </c>
      <c r="B180" s="4">
        <v>5</v>
      </c>
      <c r="C180" s="4">
        <v>3</v>
      </c>
      <c r="D180" s="4">
        <v>19</v>
      </c>
      <c r="E180" s="4">
        <v>21</v>
      </c>
      <c r="F180" s="4" t="s">
        <v>25</v>
      </c>
      <c r="G180" t="s">
        <v>29</v>
      </c>
      <c r="H180" s="4">
        <v>305</v>
      </c>
      <c r="I180" s="4"/>
    </row>
    <row r="181" spans="1:9" x14ac:dyDescent="0.25">
      <c r="A181" s="4">
        <v>4</v>
      </c>
      <c r="B181" s="4">
        <v>5</v>
      </c>
      <c r="C181" s="4">
        <v>3</v>
      </c>
      <c r="D181" s="4">
        <v>20</v>
      </c>
      <c r="E181" s="4">
        <v>28</v>
      </c>
      <c r="F181" s="4" t="s">
        <v>25</v>
      </c>
      <c r="G181" t="s">
        <v>27</v>
      </c>
      <c r="H181" s="4">
        <v>405</v>
      </c>
      <c r="I181" s="4"/>
    </row>
    <row r="182" spans="1:9" x14ac:dyDescent="0.25">
      <c r="A182" s="4">
        <v>4</v>
      </c>
      <c r="B182" s="4">
        <v>6</v>
      </c>
      <c r="C182" s="4">
        <v>3</v>
      </c>
      <c r="D182" s="4">
        <v>21</v>
      </c>
      <c r="E182" s="4">
        <v>27</v>
      </c>
      <c r="F182" s="4" t="s">
        <v>30</v>
      </c>
      <c r="G182" t="s">
        <v>28</v>
      </c>
      <c r="H182" s="4">
        <v>406</v>
      </c>
      <c r="I182" s="4"/>
    </row>
    <row r="183" spans="1:9" x14ac:dyDescent="0.25">
      <c r="A183" s="4">
        <v>3</v>
      </c>
      <c r="B183" s="4">
        <v>6</v>
      </c>
      <c r="C183" s="4">
        <v>3</v>
      </c>
      <c r="D183" s="4">
        <v>22</v>
      </c>
      <c r="E183" s="4">
        <v>22</v>
      </c>
      <c r="F183" s="4" t="s">
        <v>30</v>
      </c>
      <c r="G183" t="s">
        <v>32</v>
      </c>
      <c r="H183" s="4">
        <v>306</v>
      </c>
      <c r="I183" s="4"/>
    </row>
    <row r="184" spans="1:9" x14ac:dyDescent="0.25">
      <c r="A184" s="4">
        <v>2</v>
      </c>
      <c r="B184" s="4">
        <v>6</v>
      </c>
      <c r="C184" s="4">
        <v>3</v>
      </c>
      <c r="D184" s="4">
        <v>23</v>
      </c>
      <c r="E184" s="4">
        <v>11</v>
      </c>
      <c r="F184" s="4" t="s">
        <v>30</v>
      </c>
      <c r="G184" t="s">
        <v>31</v>
      </c>
      <c r="H184" s="4">
        <v>206</v>
      </c>
      <c r="I184" s="4"/>
    </row>
    <row r="185" spans="1:9" x14ac:dyDescent="0.25">
      <c r="A185" s="4">
        <v>1</v>
      </c>
      <c r="B185" s="4">
        <v>6</v>
      </c>
      <c r="C185" s="4">
        <v>3</v>
      </c>
      <c r="D185" s="4">
        <v>24</v>
      </c>
      <c r="E185" s="4">
        <v>6</v>
      </c>
      <c r="F185" s="4" t="s">
        <v>30</v>
      </c>
      <c r="G185" t="s">
        <v>29</v>
      </c>
      <c r="H185" s="4">
        <v>106</v>
      </c>
      <c r="I185" s="4"/>
    </row>
    <row r="186" spans="1:9" x14ac:dyDescent="0.25">
      <c r="A186" s="4">
        <v>1</v>
      </c>
      <c r="B186" s="4">
        <v>7</v>
      </c>
      <c r="C186" s="4">
        <v>4</v>
      </c>
      <c r="D186" s="4">
        <v>25</v>
      </c>
      <c r="E186" s="4">
        <v>7</v>
      </c>
      <c r="F186" s="4" t="s">
        <v>25</v>
      </c>
      <c r="G186" t="s">
        <v>29</v>
      </c>
      <c r="H186" s="4">
        <v>107</v>
      </c>
      <c r="I186" s="4"/>
    </row>
    <row r="187" spans="1:9" x14ac:dyDescent="0.25">
      <c r="A187" s="4">
        <v>2</v>
      </c>
      <c r="B187" s="4">
        <v>7</v>
      </c>
      <c r="C187" s="4">
        <v>4</v>
      </c>
      <c r="D187" s="4">
        <v>26</v>
      </c>
      <c r="E187" s="4">
        <v>10</v>
      </c>
      <c r="F187" s="4" t="s">
        <v>25</v>
      </c>
      <c r="G187" t="s">
        <v>28</v>
      </c>
      <c r="H187" s="4">
        <v>207</v>
      </c>
      <c r="I187" s="4"/>
    </row>
    <row r="188" spans="1:9" x14ac:dyDescent="0.25">
      <c r="A188" s="4">
        <v>3</v>
      </c>
      <c r="B188" s="4">
        <v>7</v>
      </c>
      <c r="C188" s="4">
        <v>4</v>
      </c>
      <c r="D188" s="4">
        <v>27</v>
      </c>
      <c r="E188" s="4">
        <v>23</v>
      </c>
      <c r="F188" s="4" t="s">
        <v>25</v>
      </c>
      <c r="G188" t="s">
        <v>27</v>
      </c>
      <c r="H188" s="4">
        <v>307</v>
      </c>
      <c r="I188" s="4"/>
    </row>
    <row r="189" spans="1:9" x14ac:dyDescent="0.25">
      <c r="A189" s="4">
        <v>4</v>
      </c>
      <c r="B189" s="4">
        <v>7</v>
      </c>
      <c r="C189" s="4">
        <v>4</v>
      </c>
      <c r="D189" s="4">
        <v>28</v>
      </c>
      <c r="E189" s="4">
        <v>26</v>
      </c>
      <c r="F189" s="4" t="s">
        <v>25</v>
      </c>
      <c r="G189" t="s">
        <v>26</v>
      </c>
      <c r="H189" s="4">
        <v>407</v>
      </c>
      <c r="I189" s="4"/>
    </row>
    <row r="190" spans="1:9" x14ac:dyDescent="0.25">
      <c r="A190" s="4">
        <v>4</v>
      </c>
      <c r="B190" s="4">
        <v>8</v>
      </c>
      <c r="C190" s="4">
        <v>4</v>
      </c>
      <c r="D190" s="4">
        <v>29</v>
      </c>
      <c r="E190" s="4">
        <v>25</v>
      </c>
      <c r="F190" s="4" t="s">
        <v>30</v>
      </c>
      <c r="G190" t="s">
        <v>31</v>
      </c>
      <c r="H190" s="4">
        <v>408</v>
      </c>
      <c r="I190" s="4"/>
    </row>
    <row r="191" spans="1:9" x14ac:dyDescent="0.25">
      <c r="A191" s="4">
        <v>3</v>
      </c>
      <c r="B191" s="4">
        <v>8</v>
      </c>
      <c r="C191" s="4">
        <v>4</v>
      </c>
      <c r="D191" s="4">
        <v>30</v>
      </c>
      <c r="E191" s="4">
        <v>24</v>
      </c>
      <c r="F191" s="4" t="s">
        <v>30</v>
      </c>
      <c r="G191" t="s">
        <v>28</v>
      </c>
      <c r="H191" s="4">
        <v>308</v>
      </c>
      <c r="I191" s="4"/>
    </row>
    <row r="192" spans="1:9" x14ac:dyDescent="0.25">
      <c r="A192" s="4">
        <v>2</v>
      </c>
      <c r="B192" s="4">
        <v>8</v>
      </c>
      <c r="C192" s="4">
        <v>4</v>
      </c>
      <c r="D192" s="4">
        <v>31</v>
      </c>
      <c r="E192" s="4">
        <v>9</v>
      </c>
      <c r="F192" s="4" t="s">
        <v>30</v>
      </c>
      <c r="G192" t="s">
        <v>29</v>
      </c>
      <c r="H192" s="4">
        <v>208</v>
      </c>
      <c r="I192" s="4"/>
    </row>
    <row r="193" spans="1:9" x14ac:dyDescent="0.25">
      <c r="A193" s="4">
        <v>1</v>
      </c>
      <c r="B193" s="4">
        <v>8</v>
      </c>
      <c r="C193" s="4">
        <v>4</v>
      </c>
      <c r="D193" s="4">
        <v>32</v>
      </c>
      <c r="E193" s="4">
        <v>8</v>
      </c>
      <c r="F193" s="4" t="s">
        <v>30</v>
      </c>
      <c r="G193" t="s">
        <v>32</v>
      </c>
      <c r="H193" s="4">
        <v>108</v>
      </c>
      <c r="I193" s="4"/>
    </row>
    <row r="194" spans="1:9" x14ac:dyDescent="0.25">
      <c r="A194" s="4">
        <v>1</v>
      </c>
      <c r="B194" s="4">
        <v>1</v>
      </c>
      <c r="C194" s="4">
        <v>1</v>
      </c>
      <c r="D194" s="4">
        <v>1</v>
      </c>
      <c r="E194" s="4">
        <v>1</v>
      </c>
      <c r="F194" s="4" t="s">
        <v>25</v>
      </c>
      <c r="G194" t="s">
        <v>26</v>
      </c>
      <c r="H194" s="4">
        <v>101</v>
      </c>
      <c r="I194" s="4"/>
    </row>
    <row r="195" spans="1:9" x14ac:dyDescent="0.25">
      <c r="A195" s="4">
        <v>2</v>
      </c>
      <c r="B195" s="4">
        <v>1</v>
      </c>
      <c r="C195" s="4">
        <v>1</v>
      </c>
      <c r="D195" s="4">
        <v>2</v>
      </c>
      <c r="E195" s="4">
        <v>16</v>
      </c>
      <c r="F195" s="4" t="s">
        <v>25</v>
      </c>
      <c r="G195" t="s">
        <v>27</v>
      </c>
      <c r="H195" s="4">
        <v>201</v>
      </c>
      <c r="I195" s="4"/>
    </row>
    <row r="196" spans="1:9" x14ac:dyDescent="0.25">
      <c r="A196" s="4">
        <v>3</v>
      </c>
      <c r="B196" s="4">
        <v>1</v>
      </c>
      <c r="C196" s="4">
        <v>1</v>
      </c>
      <c r="D196" s="4">
        <v>3</v>
      </c>
      <c r="E196" s="4">
        <v>17</v>
      </c>
      <c r="F196" s="4" t="s">
        <v>25</v>
      </c>
      <c r="G196" t="s">
        <v>28</v>
      </c>
      <c r="H196" s="4">
        <v>301</v>
      </c>
      <c r="I196" s="4"/>
    </row>
    <row r="197" spans="1:9" x14ac:dyDescent="0.25">
      <c r="A197" s="4">
        <v>4</v>
      </c>
      <c r="B197" s="4">
        <v>1</v>
      </c>
      <c r="C197" s="4">
        <v>1</v>
      </c>
      <c r="D197" s="4">
        <v>4</v>
      </c>
      <c r="E197" s="4">
        <v>32</v>
      </c>
      <c r="F197" s="4" t="s">
        <v>25</v>
      </c>
      <c r="G197" t="s">
        <v>29</v>
      </c>
      <c r="H197" s="4">
        <v>401</v>
      </c>
      <c r="I197" s="4"/>
    </row>
    <row r="198" spans="1:9" x14ac:dyDescent="0.25">
      <c r="A198" s="4">
        <v>4</v>
      </c>
      <c r="B198" s="4">
        <v>2</v>
      </c>
      <c r="C198" s="4">
        <v>1</v>
      </c>
      <c r="D198" s="4">
        <v>5</v>
      </c>
      <c r="E198" s="4">
        <v>31</v>
      </c>
      <c r="F198" s="4" t="s">
        <v>30</v>
      </c>
      <c r="G198" t="s">
        <v>32</v>
      </c>
      <c r="H198" s="4">
        <v>402</v>
      </c>
      <c r="I198" s="4"/>
    </row>
    <row r="199" spans="1:9" x14ac:dyDescent="0.25">
      <c r="A199" s="4">
        <v>3</v>
      </c>
      <c r="B199" s="4">
        <v>2</v>
      </c>
      <c r="C199" s="4">
        <v>1</v>
      </c>
      <c r="D199" s="4">
        <v>6</v>
      </c>
      <c r="E199" s="4">
        <v>18</v>
      </c>
      <c r="F199" s="4" t="s">
        <v>30</v>
      </c>
      <c r="G199" t="s">
        <v>29</v>
      </c>
      <c r="H199" s="4">
        <v>302</v>
      </c>
      <c r="I199" s="4"/>
    </row>
    <row r="200" spans="1:9" x14ac:dyDescent="0.25">
      <c r="A200" s="4">
        <v>2</v>
      </c>
      <c r="B200" s="4">
        <v>2</v>
      </c>
      <c r="C200" s="4">
        <v>1</v>
      </c>
      <c r="D200" s="4">
        <v>7</v>
      </c>
      <c r="E200" s="4">
        <v>15</v>
      </c>
      <c r="F200" s="4" t="s">
        <v>30</v>
      </c>
      <c r="G200" t="s">
        <v>28</v>
      </c>
      <c r="H200" s="4">
        <v>202</v>
      </c>
      <c r="I200" s="4"/>
    </row>
    <row r="201" spans="1:9" x14ac:dyDescent="0.25">
      <c r="A201" s="4">
        <v>1</v>
      </c>
      <c r="B201" s="4">
        <v>2</v>
      </c>
      <c r="C201" s="4">
        <v>1</v>
      </c>
      <c r="D201" s="4">
        <v>8</v>
      </c>
      <c r="E201" s="4">
        <v>2</v>
      </c>
      <c r="F201" s="4" t="s">
        <v>30</v>
      </c>
      <c r="G201" t="s">
        <v>31</v>
      </c>
      <c r="H201" s="4">
        <v>102</v>
      </c>
      <c r="I201" s="4"/>
    </row>
    <row r="202" spans="1:9" x14ac:dyDescent="0.25">
      <c r="A202" s="4">
        <v>1</v>
      </c>
      <c r="B202" s="4">
        <v>3</v>
      </c>
      <c r="C202" s="4">
        <v>2</v>
      </c>
      <c r="D202" s="4">
        <v>9</v>
      </c>
      <c r="E202" s="4">
        <v>3</v>
      </c>
      <c r="F202" s="4" t="s">
        <v>25</v>
      </c>
      <c r="G202" t="s">
        <v>27</v>
      </c>
      <c r="H202" s="4">
        <v>103</v>
      </c>
      <c r="I202" s="4"/>
    </row>
    <row r="203" spans="1:9" x14ac:dyDescent="0.25">
      <c r="A203" s="4">
        <v>2</v>
      </c>
      <c r="B203" s="4">
        <v>3</v>
      </c>
      <c r="C203" s="4">
        <v>2</v>
      </c>
      <c r="D203" s="4">
        <v>10</v>
      </c>
      <c r="E203" s="4">
        <v>14</v>
      </c>
      <c r="F203" s="4" t="s">
        <v>25</v>
      </c>
      <c r="G203" t="s">
        <v>29</v>
      </c>
      <c r="H203" s="4">
        <v>203</v>
      </c>
      <c r="I203" s="4"/>
    </row>
    <row r="204" spans="1:9" x14ac:dyDescent="0.25">
      <c r="A204" s="4">
        <v>3</v>
      </c>
      <c r="B204" s="4">
        <v>3</v>
      </c>
      <c r="C204" s="4">
        <v>2</v>
      </c>
      <c r="D204" s="4">
        <v>11</v>
      </c>
      <c r="E204" s="4">
        <v>19</v>
      </c>
      <c r="F204" s="4" t="s">
        <v>25</v>
      </c>
      <c r="G204" t="s">
        <v>26</v>
      </c>
      <c r="H204" s="4">
        <v>303</v>
      </c>
      <c r="I204" s="4"/>
    </row>
    <row r="205" spans="1:9" x14ac:dyDescent="0.25">
      <c r="A205" s="4">
        <v>4</v>
      </c>
      <c r="B205" s="4">
        <v>3</v>
      </c>
      <c r="C205" s="4">
        <v>2</v>
      </c>
      <c r="D205" s="4">
        <v>12</v>
      </c>
      <c r="E205" s="4">
        <v>30</v>
      </c>
      <c r="F205" s="4" t="s">
        <v>25</v>
      </c>
      <c r="G205" t="s">
        <v>28</v>
      </c>
      <c r="H205" s="4">
        <v>403</v>
      </c>
      <c r="I205" s="4"/>
    </row>
    <row r="206" spans="1:9" x14ac:dyDescent="0.25">
      <c r="A206" s="4">
        <v>4</v>
      </c>
      <c r="B206" s="4">
        <v>4</v>
      </c>
      <c r="C206" s="4">
        <v>2</v>
      </c>
      <c r="D206" s="4">
        <v>13</v>
      </c>
      <c r="E206" s="4">
        <v>29</v>
      </c>
      <c r="F206" s="4" t="s">
        <v>30</v>
      </c>
      <c r="G206" t="s">
        <v>29</v>
      </c>
      <c r="H206" s="4">
        <v>404</v>
      </c>
      <c r="I206" s="4"/>
    </row>
    <row r="207" spans="1:9" x14ac:dyDescent="0.25">
      <c r="A207" s="4">
        <v>3</v>
      </c>
      <c r="B207" s="4">
        <v>4</v>
      </c>
      <c r="C207" s="4">
        <v>2</v>
      </c>
      <c r="D207" s="4">
        <v>14</v>
      </c>
      <c r="E207" s="4">
        <v>20</v>
      </c>
      <c r="F207" s="4" t="s">
        <v>30</v>
      </c>
      <c r="G207" t="s">
        <v>31</v>
      </c>
      <c r="H207" s="4">
        <v>304</v>
      </c>
      <c r="I207" s="4"/>
    </row>
    <row r="208" spans="1:9" x14ac:dyDescent="0.25">
      <c r="A208" s="4">
        <v>2</v>
      </c>
      <c r="B208" s="4">
        <v>4</v>
      </c>
      <c r="C208" s="4">
        <v>2</v>
      </c>
      <c r="D208" s="4">
        <v>15</v>
      </c>
      <c r="E208" s="4">
        <v>13</v>
      </c>
      <c r="F208" s="4" t="s">
        <v>30</v>
      </c>
      <c r="G208" t="s">
        <v>32</v>
      </c>
      <c r="H208" s="4">
        <v>204</v>
      </c>
      <c r="I208" s="4"/>
    </row>
    <row r="209" spans="1:9" x14ac:dyDescent="0.25">
      <c r="A209" s="4">
        <v>1</v>
      </c>
      <c r="B209" s="4">
        <v>4</v>
      </c>
      <c r="C209" s="4">
        <v>2</v>
      </c>
      <c r="D209" s="4">
        <v>16</v>
      </c>
      <c r="E209" s="4">
        <v>4</v>
      </c>
      <c r="F209" s="4" t="s">
        <v>30</v>
      </c>
      <c r="G209" t="s">
        <v>28</v>
      </c>
      <c r="H209" s="4">
        <v>104</v>
      </c>
      <c r="I209" s="4"/>
    </row>
    <row r="210" spans="1:9" x14ac:dyDescent="0.25">
      <c r="A210" s="4">
        <v>1</v>
      </c>
      <c r="B210" s="4">
        <v>5</v>
      </c>
      <c r="C210" s="4">
        <v>3</v>
      </c>
      <c r="D210" s="4">
        <v>17</v>
      </c>
      <c r="E210" s="4">
        <v>5</v>
      </c>
      <c r="F210" s="4" t="s">
        <v>25</v>
      </c>
      <c r="G210" t="s">
        <v>28</v>
      </c>
      <c r="H210" s="4">
        <v>105</v>
      </c>
      <c r="I210" s="4"/>
    </row>
    <row r="211" spans="1:9" x14ac:dyDescent="0.25">
      <c r="A211" s="4">
        <v>2</v>
      </c>
      <c r="B211" s="4">
        <v>5</v>
      </c>
      <c r="C211" s="4">
        <v>3</v>
      </c>
      <c r="D211" s="4">
        <v>18</v>
      </c>
      <c r="E211" s="4">
        <v>12</v>
      </c>
      <c r="F211" s="4" t="s">
        <v>25</v>
      </c>
      <c r="G211" t="s">
        <v>26</v>
      </c>
      <c r="H211" s="4">
        <v>205</v>
      </c>
      <c r="I211" s="4"/>
    </row>
    <row r="212" spans="1:9" x14ac:dyDescent="0.25">
      <c r="A212" s="4">
        <v>3</v>
      </c>
      <c r="B212" s="4">
        <v>5</v>
      </c>
      <c r="C212" s="4">
        <v>3</v>
      </c>
      <c r="D212" s="4">
        <v>19</v>
      </c>
      <c r="E212" s="4">
        <v>21</v>
      </c>
      <c r="F212" s="4" t="s">
        <v>25</v>
      </c>
      <c r="G212" t="s">
        <v>29</v>
      </c>
      <c r="H212" s="4">
        <v>305</v>
      </c>
      <c r="I212" s="4"/>
    </row>
    <row r="213" spans="1:9" x14ac:dyDescent="0.25">
      <c r="A213" s="4">
        <v>4</v>
      </c>
      <c r="B213" s="4">
        <v>5</v>
      </c>
      <c r="C213" s="4">
        <v>3</v>
      </c>
      <c r="D213" s="4">
        <v>20</v>
      </c>
      <c r="E213" s="4">
        <v>28</v>
      </c>
      <c r="F213" s="4" t="s">
        <v>25</v>
      </c>
      <c r="G213" t="s">
        <v>27</v>
      </c>
      <c r="H213" s="4">
        <v>405</v>
      </c>
      <c r="I213" s="4"/>
    </row>
    <row r="214" spans="1:9" x14ac:dyDescent="0.25">
      <c r="A214" s="4">
        <v>4</v>
      </c>
      <c r="B214" s="4">
        <v>6</v>
      </c>
      <c r="C214" s="4">
        <v>3</v>
      </c>
      <c r="D214" s="4">
        <v>21</v>
      </c>
      <c r="E214" s="4">
        <v>27</v>
      </c>
      <c r="F214" s="4" t="s">
        <v>30</v>
      </c>
      <c r="G214" t="s">
        <v>28</v>
      </c>
      <c r="H214" s="4">
        <v>406</v>
      </c>
      <c r="I214" s="4"/>
    </row>
    <row r="215" spans="1:9" x14ac:dyDescent="0.25">
      <c r="A215" s="4">
        <v>3</v>
      </c>
      <c r="B215" s="4">
        <v>6</v>
      </c>
      <c r="C215" s="4">
        <v>3</v>
      </c>
      <c r="D215" s="4">
        <v>22</v>
      </c>
      <c r="E215" s="4">
        <v>22</v>
      </c>
      <c r="F215" s="4" t="s">
        <v>30</v>
      </c>
      <c r="G215" t="s">
        <v>32</v>
      </c>
      <c r="H215" s="4">
        <v>306</v>
      </c>
      <c r="I215" s="4"/>
    </row>
    <row r="216" spans="1:9" x14ac:dyDescent="0.25">
      <c r="A216" s="4">
        <v>2</v>
      </c>
      <c r="B216" s="4">
        <v>6</v>
      </c>
      <c r="C216" s="4">
        <v>3</v>
      </c>
      <c r="D216" s="4">
        <v>23</v>
      </c>
      <c r="E216" s="4">
        <v>11</v>
      </c>
      <c r="F216" s="4" t="s">
        <v>30</v>
      </c>
      <c r="G216" t="s">
        <v>31</v>
      </c>
      <c r="H216" s="4">
        <v>206</v>
      </c>
      <c r="I216" s="4"/>
    </row>
    <row r="217" spans="1:9" x14ac:dyDescent="0.25">
      <c r="A217" s="4">
        <v>1</v>
      </c>
      <c r="B217" s="4">
        <v>6</v>
      </c>
      <c r="C217" s="4">
        <v>3</v>
      </c>
      <c r="D217" s="4">
        <v>24</v>
      </c>
      <c r="E217" s="4">
        <v>6</v>
      </c>
      <c r="F217" s="4" t="s">
        <v>30</v>
      </c>
      <c r="G217" t="s">
        <v>29</v>
      </c>
      <c r="H217" s="4">
        <v>106</v>
      </c>
      <c r="I217" s="4"/>
    </row>
    <row r="218" spans="1:9" x14ac:dyDescent="0.25">
      <c r="A218" s="4">
        <v>1</v>
      </c>
      <c r="B218" s="4">
        <v>7</v>
      </c>
      <c r="C218" s="4">
        <v>4</v>
      </c>
      <c r="D218" s="4">
        <v>25</v>
      </c>
      <c r="E218" s="4">
        <v>7</v>
      </c>
      <c r="F218" s="4" t="s">
        <v>25</v>
      </c>
      <c r="G218" t="s">
        <v>29</v>
      </c>
      <c r="H218" s="4">
        <v>107</v>
      </c>
      <c r="I218" s="4"/>
    </row>
    <row r="219" spans="1:9" x14ac:dyDescent="0.25">
      <c r="A219" s="4">
        <v>2</v>
      </c>
      <c r="B219" s="4">
        <v>7</v>
      </c>
      <c r="C219" s="4">
        <v>4</v>
      </c>
      <c r="D219" s="4">
        <v>26</v>
      </c>
      <c r="E219" s="4">
        <v>10</v>
      </c>
      <c r="F219" s="4" t="s">
        <v>25</v>
      </c>
      <c r="G219" t="s">
        <v>28</v>
      </c>
      <c r="H219" s="4">
        <v>207</v>
      </c>
      <c r="I219" s="4"/>
    </row>
    <row r="220" spans="1:9" x14ac:dyDescent="0.25">
      <c r="A220" s="4">
        <v>3</v>
      </c>
      <c r="B220" s="4">
        <v>7</v>
      </c>
      <c r="C220" s="4">
        <v>4</v>
      </c>
      <c r="D220" s="4">
        <v>27</v>
      </c>
      <c r="E220" s="4">
        <v>23</v>
      </c>
      <c r="F220" s="4" t="s">
        <v>25</v>
      </c>
      <c r="G220" t="s">
        <v>27</v>
      </c>
      <c r="H220" s="4">
        <v>307</v>
      </c>
      <c r="I220" s="4"/>
    </row>
    <row r="221" spans="1:9" x14ac:dyDescent="0.25">
      <c r="A221" s="4">
        <v>4</v>
      </c>
      <c r="B221" s="4">
        <v>7</v>
      </c>
      <c r="C221" s="4">
        <v>4</v>
      </c>
      <c r="D221" s="4">
        <v>28</v>
      </c>
      <c r="E221" s="4">
        <v>26</v>
      </c>
      <c r="F221" s="4" t="s">
        <v>25</v>
      </c>
      <c r="G221" t="s">
        <v>26</v>
      </c>
      <c r="H221" s="4">
        <v>407</v>
      </c>
      <c r="I221" s="4"/>
    </row>
    <row r="222" spans="1:9" x14ac:dyDescent="0.25">
      <c r="A222" s="4">
        <v>4</v>
      </c>
      <c r="B222" s="4">
        <v>8</v>
      </c>
      <c r="C222" s="4">
        <v>4</v>
      </c>
      <c r="D222" s="4">
        <v>29</v>
      </c>
      <c r="E222" s="4">
        <v>25</v>
      </c>
      <c r="F222" s="4" t="s">
        <v>30</v>
      </c>
      <c r="G222" t="s">
        <v>31</v>
      </c>
      <c r="H222" s="4">
        <v>408</v>
      </c>
      <c r="I222" s="4"/>
    </row>
    <row r="223" spans="1:9" x14ac:dyDescent="0.25">
      <c r="A223" s="4">
        <v>3</v>
      </c>
      <c r="B223" s="4">
        <v>8</v>
      </c>
      <c r="C223" s="4">
        <v>4</v>
      </c>
      <c r="D223" s="4">
        <v>30</v>
      </c>
      <c r="E223" s="4">
        <v>24</v>
      </c>
      <c r="F223" s="4" t="s">
        <v>30</v>
      </c>
      <c r="G223" t="s">
        <v>28</v>
      </c>
      <c r="H223" s="4">
        <v>308</v>
      </c>
      <c r="I223" s="4"/>
    </row>
    <row r="224" spans="1:9" x14ac:dyDescent="0.25">
      <c r="A224" s="4">
        <v>2</v>
      </c>
      <c r="B224" s="4">
        <v>8</v>
      </c>
      <c r="C224" s="4">
        <v>4</v>
      </c>
      <c r="D224" s="4">
        <v>31</v>
      </c>
      <c r="E224" s="4">
        <v>9</v>
      </c>
      <c r="F224" s="4" t="s">
        <v>30</v>
      </c>
      <c r="G224" t="s">
        <v>29</v>
      </c>
      <c r="H224" s="4">
        <v>208</v>
      </c>
      <c r="I224" s="4"/>
    </row>
    <row r="225" spans="1:9" x14ac:dyDescent="0.25">
      <c r="A225" s="4">
        <v>1</v>
      </c>
      <c r="B225" s="4">
        <v>8</v>
      </c>
      <c r="C225" s="4">
        <v>4</v>
      </c>
      <c r="D225" s="4">
        <v>32</v>
      </c>
      <c r="E225" s="4">
        <v>8</v>
      </c>
      <c r="F225" s="4" t="s">
        <v>30</v>
      </c>
      <c r="G225" t="s">
        <v>32</v>
      </c>
      <c r="H225" s="4">
        <v>108</v>
      </c>
      <c r="I225" s="4"/>
    </row>
    <row r="226" spans="1:9" x14ac:dyDescent="0.25">
      <c r="A226" s="4">
        <v>1</v>
      </c>
      <c r="B226" s="4">
        <v>1</v>
      </c>
      <c r="C226" s="4">
        <v>1</v>
      </c>
      <c r="D226" s="4">
        <v>1</v>
      </c>
      <c r="E226" s="4">
        <v>1</v>
      </c>
      <c r="F226" s="4" t="s">
        <v>25</v>
      </c>
      <c r="G226" t="s">
        <v>26</v>
      </c>
      <c r="H226" s="4">
        <v>101</v>
      </c>
      <c r="I226" s="4"/>
    </row>
    <row r="227" spans="1:9" x14ac:dyDescent="0.25">
      <c r="A227" s="4">
        <v>2</v>
      </c>
      <c r="B227" s="4">
        <v>1</v>
      </c>
      <c r="C227" s="4">
        <v>1</v>
      </c>
      <c r="D227" s="4">
        <v>2</v>
      </c>
      <c r="E227" s="4">
        <v>16</v>
      </c>
      <c r="F227" s="4" t="s">
        <v>25</v>
      </c>
      <c r="G227" t="s">
        <v>27</v>
      </c>
      <c r="H227" s="4">
        <v>201</v>
      </c>
      <c r="I227" s="4"/>
    </row>
    <row r="228" spans="1:9" x14ac:dyDescent="0.25">
      <c r="A228" s="4">
        <v>3</v>
      </c>
      <c r="B228" s="4">
        <v>1</v>
      </c>
      <c r="C228" s="4">
        <v>1</v>
      </c>
      <c r="D228" s="4">
        <v>3</v>
      </c>
      <c r="E228" s="4">
        <v>17</v>
      </c>
      <c r="F228" s="4" t="s">
        <v>25</v>
      </c>
      <c r="G228" t="s">
        <v>28</v>
      </c>
      <c r="H228" s="4">
        <v>301</v>
      </c>
      <c r="I228" s="4"/>
    </row>
    <row r="229" spans="1:9" x14ac:dyDescent="0.25">
      <c r="A229" s="4">
        <v>4</v>
      </c>
      <c r="B229" s="4">
        <v>1</v>
      </c>
      <c r="C229" s="4">
        <v>1</v>
      </c>
      <c r="D229" s="4">
        <v>4</v>
      </c>
      <c r="E229" s="4">
        <v>32</v>
      </c>
      <c r="F229" s="4" t="s">
        <v>25</v>
      </c>
      <c r="G229" t="s">
        <v>29</v>
      </c>
      <c r="H229" s="4">
        <v>401</v>
      </c>
      <c r="I229" s="4"/>
    </row>
    <row r="230" spans="1:9" x14ac:dyDescent="0.25">
      <c r="A230" s="4">
        <v>4</v>
      </c>
      <c r="B230" s="4">
        <v>2</v>
      </c>
      <c r="C230" s="4">
        <v>1</v>
      </c>
      <c r="D230" s="4">
        <v>5</v>
      </c>
      <c r="E230" s="4">
        <v>31</v>
      </c>
      <c r="F230" s="4" t="s">
        <v>30</v>
      </c>
      <c r="G230" t="s">
        <v>32</v>
      </c>
      <c r="H230" s="4">
        <v>402</v>
      </c>
      <c r="I230" s="4"/>
    </row>
    <row r="231" spans="1:9" x14ac:dyDescent="0.25">
      <c r="A231" s="4">
        <v>3</v>
      </c>
      <c r="B231" s="4">
        <v>2</v>
      </c>
      <c r="C231" s="4">
        <v>1</v>
      </c>
      <c r="D231" s="4">
        <v>6</v>
      </c>
      <c r="E231" s="4">
        <v>18</v>
      </c>
      <c r="F231" s="4" t="s">
        <v>30</v>
      </c>
      <c r="G231" t="s">
        <v>29</v>
      </c>
      <c r="H231" s="4">
        <v>302</v>
      </c>
      <c r="I231" s="4"/>
    </row>
    <row r="232" spans="1:9" x14ac:dyDescent="0.25">
      <c r="A232" s="4">
        <v>2</v>
      </c>
      <c r="B232" s="4">
        <v>2</v>
      </c>
      <c r="C232" s="4">
        <v>1</v>
      </c>
      <c r="D232" s="4">
        <v>7</v>
      </c>
      <c r="E232" s="4">
        <v>15</v>
      </c>
      <c r="F232" s="4" t="s">
        <v>30</v>
      </c>
      <c r="G232" t="s">
        <v>28</v>
      </c>
      <c r="H232" s="4">
        <v>202</v>
      </c>
      <c r="I232" s="4"/>
    </row>
    <row r="233" spans="1:9" x14ac:dyDescent="0.25">
      <c r="A233" s="4">
        <v>1</v>
      </c>
      <c r="B233" s="4">
        <v>2</v>
      </c>
      <c r="C233" s="4">
        <v>1</v>
      </c>
      <c r="D233" s="4">
        <v>8</v>
      </c>
      <c r="E233" s="4">
        <v>2</v>
      </c>
      <c r="F233" s="4" t="s">
        <v>30</v>
      </c>
      <c r="G233" t="s">
        <v>31</v>
      </c>
      <c r="H233" s="4">
        <v>102</v>
      </c>
      <c r="I233" s="4"/>
    </row>
    <row r="234" spans="1:9" x14ac:dyDescent="0.25">
      <c r="A234" s="4">
        <v>1</v>
      </c>
      <c r="B234" s="4">
        <v>3</v>
      </c>
      <c r="C234" s="4">
        <v>2</v>
      </c>
      <c r="D234" s="4">
        <v>9</v>
      </c>
      <c r="E234" s="4">
        <v>3</v>
      </c>
      <c r="F234" s="4" t="s">
        <v>25</v>
      </c>
      <c r="G234" t="s">
        <v>27</v>
      </c>
      <c r="H234" s="4">
        <v>103</v>
      </c>
      <c r="I234" s="4"/>
    </row>
    <row r="235" spans="1:9" x14ac:dyDescent="0.25">
      <c r="A235" s="4">
        <v>2</v>
      </c>
      <c r="B235" s="4">
        <v>3</v>
      </c>
      <c r="C235" s="4">
        <v>2</v>
      </c>
      <c r="D235" s="4">
        <v>10</v>
      </c>
      <c r="E235" s="4">
        <v>14</v>
      </c>
      <c r="F235" s="4" t="s">
        <v>25</v>
      </c>
      <c r="G235" t="s">
        <v>29</v>
      </c>
      <c r="H235" s="4">
        <v>203</v>
      </c>
      <c r="I235" s="4"/>
    </row>
    <row r="236" spans="1:9" x14ac:dyDescent="0.25">
      <c r="A236" s="4">
        <v>3</v>
      </c>
      <c r="B236" s="4">
        <v>3</v>
      </c>
      <c r="C236" s="4">
        <v>2</v>
      </c>
      <c r="D236" s="4">
        <v>11</v>
      </c>
      <c r="E236" s="4">
        <v>19</v>
      </c>
      <c r="F236" s="4" t="s">
        <v>25</v>
      </c>
      <c r="G236" t="s">
        <v>26</v>
      </c>
      <c r="H236" s="4">
        <v>303</v>
      </c>
      <c r="I236" s="4"/>
    </row>
    <row r="237" spans="1:9" x14ac:dyDescent="0.25">
      <c r="A237" s="4">
        <v>4</v>
      </c>
      <c r="B237" s="4">
        <v>3</v>
      </c>
      <c r="C237" s="4">
        <v>2</v>
      </c>
      <c r="D237" s="4">
        <v>12</v>
      </c>
      <c r="E237" s="4">
        <v>30</v>
      </c>
      <c r="F237" s="4" t="s">
        <v>25</v>
      </c>
      <c r="G237" t="s">
        <v>28</v>
      </c>
      <c r="H237" s="4">
        <v>403</v>
      </c>
      <c r="I237" s="4"/>
    </row>
    <row r="238" spans="1:9" x14ac:dyDescent="0.25">
      <c r="A238" s="4">
        <v>4</v>
      </c>
      <c r="B238" s="4">
        <v>4</v>
      </c>
      <c r="C238" s="4">
        <v>2</v>
      </c>
      <c r="D238" s="4">
        <v>13</v>
      </c>
      <c r="E238" s="4">
        <v>29</v>
      </c>
      <c r="F238" s="4" t="s">
        <v>30</v>
      </c>
      <c r="G238" t="s">
        <v>29</v>
      </c>
      <c r="H238" s="4">
        <v>404</v>
      </c>
      <c r="I238" s="4"/>
    </row>
    <row r="239" spans="1:9" x14ac:dyDescent="0.25">
      <c r="A239" s="4">
        <v>3</v>
      </c>
      <c r="B239" s="4">
        <v>4</v>
      </c>
      <c r="C239" s="4">
        <v>2</v>
      </c>
      <c r="D239" s="4">
        <v>14</v>
      </c>
      <c r="E239" s="4">
        <v>20</v>
      </c>
      <c r="F239" s="4" t="s">
        <v>30</v>
      </c>
      <c r="G239" t="s">
        <v>31</v>
      </c>
      <c r="H239" s="4">
        <v>304</v>
      </c>
      <c r="I239" s="4"/>
    </row>
    <row r="240" spans="1:9" x14ac:dyDescent="0.25">
      <c r="A240" s="4">
        <v>2</v>
      </c>
      <c r="B240" s="4">
        <v>4</v>
      </c>
      <c r="C240" s="4">
        <v>2</v>
      </c>
      <c r="D240" s="4">
        <v>15</v>
      </c>
      <c r="E240" s="4">
        <v>13</v>
      </c>
      <c r="F240" s="4" t="s">
        <v>30</v>
      </c>
      <c r="G240" t="s">
        <v>32</v>
      </c>
      <c r="H240" s="4">
        <v>204</v>
      </c>
      <c r="I240" s="4"/>
    </row>
    <row r="241" spans="1:9" x14ac:dyDescent="0.25">
      <c r="A241" s="4">
        <v>1</v>
      </c>
      <c r="B241" s="4">
        <v>4</v>
      </c>
      <c r="C241" s="4">
        <v>2</v>
      </c>
      <c r="D241" s="4">
        <v>16</v>
      </c>
      <c r="E241" s="4">
        <v>4</v>
      </c>
      <c r="F241" s="4" t="s">
        <v>30</v>
      </c>
      <c r="G241" t="s">
        <v>28</v>
      </c>
      <c r="H241" s="4">
        <v>104</v>
      </c>
      <c r="I241" s="4"/>
    </row>
    <row r="242" spans="1:9" x14ac:dyDescent="0.25">
      <c r="A242" s="4">
        <v>1</v>
      </c>
      <c r="B242" s="4">
        <v>5</v>
      </c>
      <c r="C242" s="4">
        <v>3</v>
      </c>
      <c r="D242" s="4">
        <v>17</v>
      </c>
      <c r="E242" s="4">
        <v>5</v>
      </c>
      <c r="F242" s="4" t="s">
        <v>25</v>
      </c>
      <c r="G242" t="s">
        <v>28</v>
      </c>
      <c r="H242" s="4">
        <v>105</v>
      </c>
      <c r="I242" s="4"/>
    </row>
    <row r="243" spans="1:9" x14ac:dyDescent="0.25">
      <c r="A243" s="4">
        <v>2</v>
      </c>
      <c r="B243" s="4">
        <v>5</v>
      </c>
      <c r="C243" s="4">
        <v>3</v>
      </c>
      <c r="D243" s="4">
        <v>18</v>
      </c>
      <c r="E243" s="4">
        <v>12</v>
      </c>
      <c r="F243" s="4" t="s">
        <v>25</v>
      </c>
      <c r="G243" t="s">
        <v>26</v>
      </c>
      <c r="H243" s="4">
        <v>205</v>
      </c>
      <c r="I243" s="4"/>
    </row>
    <row r="244" spans="1:9" x14ac:dyDescent="0.25">
      <c r="A244" s="4">
        <v>3</v>
      </c>
      <c r="B244" s="4">
        <v>5</v>
      </c>
      <c r="C244" s="4">
        <v>3</v>
      </c>
      <c r="D244" s="4">
        <v>19</v>
      </c>
      <c r="E244" s="4">
        <v>21</v>
      </c>
      <c r="F244" s="4" t="s">
        <v>25</v>
      </c>
      <c r="G244" t="s">
        <v>29</v>
      </c>
      <c r="H244" s="4">
        <v>305</v>
      </c>
      <c r="I244" s="4"/>
    </row>
    <row r="245" spans="1:9" x14ac:dyDescent="0.25">
      <c r="A245" s="4">
        <v>4</v>
      </c>
      <c r="B245" s="4">
        <v>5</v>
      </c>
      <c r="C245" s="4">
        <v>3</v>
      </c>
      <c r="D245" s="4">
        <v>20</v>
      </c>
      <c r="E245" s="4">
        <v>28</v>
      </c>
      <c r="F245" s="4" t="s">
        <v>25</v>
      </c>
      <c r="G245" t="s">
        <v>27</v>
      </c>
      <c r="H245" s="4">
        <v>405</v>
      </c>
      <c r="I245" s="4"/>
    </row>
    <row r="246" spans="1:9" x14ac:dyDescent="0.25">
      <c r="A246" s="4">
        <v>4</v>
      </c>
      <c r="B246" s="4">
        <v>6</v>
      </c>
      <c r="C246" s="4">
        <v>3</v>
      </c>
      <c r="D246" s="4">
        <v>21</v>
      </c>
      <c r="E246" s="4">
        <v>27</v>
      </c>
      <c r="F246" s="4" t="s">
        <v>30</v>
      </c>
      <c r="G246" t="s">
        <v>28</v>
      </c>
      <c r="H246" s="4">
        <v>406</v>
      </c>
      <c r="I246" s="4"/>
    </row>
    <row r="247" spans="1:9" x14ac:dyDescent="0.25">
      <c r="A247" s="4">
        <v>3</v>
      </c>
      <c r="B247" s="4">
        <v>6</v>
      </c>
      <c r="C247" s="4">
        <v>3</v>
      </c>
      <c r="D247" s="4">
        <v>22</v>
      </c>
      <c r="E247" s="4">
        <v>22</v>
      </c>
      <c r="F247" s="4" t="s">
        <v>30</v>
      </c>
      <c r="G247" t="s">
        <v>32</v>
      </c>
      <c r="H247" s="4">
        <v>306</v>
      </c>
      <c r="I247" s="4"/>
    </row>
    <row r="248" spans="1:9" x14ac:dyDescent="0.25">
      <c r="A248" s="4">
        <v>2</v>
      </c>
      <c r="B248" s="4">
        <v>6</v>
      </c>
      <c r="C248" s="4">
        <v>3</v>
      </c>
      <c r="D248" s="4">
        <v>23</v>
      </c>
      <c r="E248" s="4">
        <v>11</v>
      </c>
      <c r="F248" s="4" t="s">
        <v>30</v>
      </c>
      <c r="G248" t="s">
        <v>31</v>
      </c>
      <c r="H248" s="4">
        <v>206</v>
      </c>
      <c r="I248" s="4"/>
    </row>
    <row r="249" spans="1:9" x14ac:dyDescent="0.25">
      <c r="A249" s="4">
        <v>1</v>
      </c>
      <c r="B249" s="4">
        <v>6</v>
      </c>
      <c r="C249" s="4">
        <v>3</v>
      </c>
      <c r="D249" s="4">
        <v>24</v>
      </c>
      <c r="E249" s="4">
        <v>6</v>
      </c>
      <c r="F249" s="4" t="s">
        <v>30</v>
      </c>
      <c r="G249" t="s">
        <v>29</v>
      </c>
      <c r="H249" s="4">
        <v>106</v>
      </c>
      <c r="I249" s="4"/>
    </row>
    <row r="250" spans="1:9" x14ac:dyDescent="0.25">
      <c r="A250" s="4">
        <v>1</v>
      </c>
      <c r="B250" s="4">
        <v>7</v>
      </c>
      <c r="C250" s="4">
        <v>4</v>
      </c>
      <c r="D250" s="4">
        <v>25</v>
      </c>
      <c r="E250" s="4">
        <v>7</v>
      </c>
      <c r="F250" s="4" t="s">
        <v>25</v>
      </c>
      <c r="G250" t="s">
        <v>29</v>
      </c>
      <c r="H250" s="4">
        <v>107</v>
      </c>
      <c r="I250" s="4"/>
    </row>
    <row r="251" spans="1:9" x14ac:dyDescent="0.25">
      <c r="A251" s="4">
        <v>2</v>
      </c>
      <c r="B251" s="4">
        <v>7</v>
      </c>
      <c r="C251" s="4">
        <v>4</v>
      </c>
      <c r="D251" s="4">
        <v>26</v>
      </c>
      <c r="E251" s="4">
        <v>10</v>
      </c>
      <c r="F251" s="4" t="s">
        <v>25</v>
      </c>
      <c r="G251" t="s">
        <v>28</v>
      </c>
      <c r="H251" s="4">
        <v>207</v>
      </c>
      <c r="I251" s="4"/>
    </row>
    <row r="252" spans="1:9" x14ac:dyDescent="0.25">
      <c r="A252" s="4">
        <v>3</v>
      </c>
      <c r="B252" s="4">
        <v>7</v>
      </c>
      <c r="C252" s="4">
        <v>4</v>
      </c>
      <c r="D252" s="4">
        <v>27</v>
      </c>
      <c r="E252" s="4">
        <v>23</v>
      </c>
      <c r="F252" s="4" t="s">
        <v>25</v>
      </c>
      <c r="G252" t="s">
        <v>27</v>
      </c>
      <c r="H252" s="4">
        <v>307</v>
      </c>
      <c r="I252" s="4"/>
    </row>
    <row r="253" spans="1:9" x14ac:dyDescent="0.25">
      <c r="A253" s="4">
        <v>4</v>
      </c>
      <c r="B253" s="4">
        <v>7</v>
      </c>
      <c r="C253" s="4">
        <v>4</v>
      </c>
      <c r="D253" s="4">
        <v>28</v>
      </c>
      <c r="E253" s="4">
        <v>26</v>
      </c>
      <c r="F253" s="4" t="s">
        <v>25</v>
      </c>
      <c r="G253" t="s">
        <v>26</v>
      </c>
      <c r="H253" s="4">
        <v>407</v>
      </c>
      <c r="I253" s="4"/>
    </row>
    <row r="254" spans="1:9" x14ac:dyDescent="0.25">
      <c r="A254" s="4">
        <v>4</v>
      </c>
      <c r="B254" s="4">
        <v>8</v>
      </c>
      <c r="C254" s="4">
        <v>4</v>
      </c>
      <c r="D254" s="4">
        <v>29</v>
      </c>
      <c r="E254" s="4">
        <v>25</v>
      </c>
      <c r="F254" s="4" t="s">
        <v>30</v>
      </c>
      <c r="G254" t="s">
        <v>31</v>
      </c>
      <c r="H254" s="4">
        <v>408</v>
      </c>
      <c r="I254" s="4"/>
    </row>
    <row r="255" spans="1:9" x14ac:dyDescent="0.25">
      <c r="A255" s="4">
        <v>3</v>
      </c>
      <c r="B255" s="4">
        <v>8</v>
      </c>
      <c r="C255" s="4">
        <v>4</v>
      </c>
      <c r="D255" s="4">
        <v>30</v>
      </c>
      <c r="E255" s="4">
        <v>24</v>
      </c>
      <c r="F255" s="4" t="s">
        <v>30</v>
      </c>
      <c r="G255" t="s">
        <v>28</v>
      </c>
      <c r="H255" s="4">
        <v>308</v>
      </c>
      <c r="I255" s="4"/>
    </row>
    <row r="256" spans="1:9" x14ac:dyDescent="0.25">
      <c r="A256" s="4">
        <v>2</v>
      </c>
      <c r="B256" s="4">
        <v>8</v>
      </c>
      <c r="C256" s="4">
        <v>4</v>
      </c>
      <c r="D256" s="4">
        <v>31</v>
      </c>
      <c r="E256" s="4">
        <v>9</v>
      </c>
      <c r="F256" s="4" t="s">
        <v>30</v>
      </c>
      <c r="G256" t="s">
        <v>29</v>
      </c>
      <c r="H256" s="4">
        <v>208</v>
      </c>
      <c r="I256" s="4"/>
    </row>
    <row r="257" spans="1:9" x14ac:dyDescent="0.25">
      <c r="A257" s="4">
        <v>1</v>
      </c>
      <c r="B257" s="4">
        <v>8</v>
      </c>
      <c r="C257" s="4">
        <v>4</v>
      </c>
      <c r="D257" s="4">
        <v>32</v>
      </c>
      <c r="E257" s="4">
        <v>8</v>
      </c>
      <c r="F257" s="4" t="s">
        <v>30</v>
      </c>
      <c r="G257" t="s">
        <v>32</v>
      </c>
      <c r="H257" s="4">
        <v>108</v>
      </c>
      <c r="I257" s="4"/>
    </row>
    <row r="258" spans="1:9" x14ac:dyDescent="0.25">
      <c r="A258" s="4">
        <v>1</v>
      </c>
      <c r="B258" s="4">
        <v>1</v>
      </c>
      <c r="C258" s="4">
        <v>1</v>
      </c>
      <c r="D258" s="4">
        <v>1</v>
      </c>
      <c r="E258" s="4">
        <v>1</v>
      </c>
      <c r="F258" s="4" t="s">
        <v>25</v>
      </c>
      <c r="G258" t="s">
        <v>26</v>
      </c>
      <c r="H258" s="4">
        <v>101</v>
      </c>
      <c r="I258" s="4"/>
    </row>
    <row r="259" spans="1:9" x14ac:dyDescent="0.25">
      <c r="A259" s="4">
        <v>2</v>
      </c>
      <c r="B259" s="4">
        <v>1</v>
      </c>
      <c r="C259" s="4">
        <v>1</v>
      </c>
      <c r="D259" s="4">
        <v>2</v>
      </c>
      <c r="E259" s="4">
        <v>16</v>
      </c>
      <c r="F259" s="4" t="s">
        <v>25</v>
      </c>
      <c r="G259" t="s">
        <v>27</v>
      </c>
      <c r="H259" s="4">
        <v>201</v>
      </c>
      <c r="I259" s="4"/>
    </row>
    <row r="260" spans="1:9" x14ac:dyDescent="0.25">
      <c r="A260" s="4">
        <v>3</v>
      </c>
      <c r="B260" s="4">
        <v>1</v>
      </c>
      <c r="C260" s="4">
        <v>1</v>
      </c>
      <c r="D260" s="4">
        <v>3</v>
      </c>
      <c r="E260" s="4">
        <v>17</v>
      </c>
      <c r="F260" s="4" t="s">
        <v>25</v>
      </c>
      <c r="G260" t="s">
        <v>28</v>
      </c>
      <c r="H260" s="4">
        <v>301</v>
      </c>
      <c r="I260" s="4"/>
    </row>
    <row r="261" spans="1:9" x14ac:dyDescent="0.25">
      <c r="A261" s="4">
        <v>4</v>
      </c>
      <c r="B261" s="4">
        <v>1</v>
      </c>
      <c r="C261" s="4">
        <v>1</v>
      </c>
      <c r="D261" s="4">
        <v>4</v>
      </c>
      <c r="E261" s="4">
        <v>32</v>
      </c>
      <c r="F261" s="4" t="s">
        <v>25</v>
      </c>
      <c r="G261" t="s">
        <v>29</v>
      </c>
      <c r="H261" s="4">
        <v>401</v>
      </c>
      <c r="I261" s="4"/>
    </row>
    <row r="262" spans="1:9" x14ac:dyDescent="0.25">
      <c r="A262" s="4">
        <v>4</v>
      </c>
      <c r="B262" s="4">
        <v>2</v>
      </c>
      <c r="C262" s="4">
        <v>1</v>
      </c>
      <c r="D262" s="4">
        <v>5</v>
      </c>
      <c r="E262" s="4">
        <v>31</v>
      </c>
      <c r="F262" s="4" t="s">
        <v>30</v>
      </c>
      <c r="G262" t="s">
        <v>32</v>
      </c>
      <c r="H262" s="4">
        <v>402</v>
      </c>
      <c r="I262" s="4"/>
    </row>
    <row r="263" spans="1:9" x14ac:dyDescent="0.25">
      <c r="A263" s="4">
        <v>3</v>
      </c>
      <c r="B263" s="4">
        <v>2</v>
      </c>
      <c r="C263" s="4">
        <v>1</v>
      </c>
      <c r="D263" s="4">
        <v>6</v>
      </c>
      <c r="E263" s="4">
        <v>18</v>
      </c>
      <c r="F263" s="4" t="s">
        <v>30</v>
      </c>
      <c r="G263" t="s">
        <v>29</v>
      </c>
      <c r="H263" s="4">
        <v>302</v>
      </c>
      <c r="I263" s="4"/>
    </row>
    <row r="264" spans="1:9" x14ac:dyDescent="0.25">
      <c r="A264" s="4">
        <v>2</v>
      </c>
      <c r="B264" s="4">
        <v>2</v>
      </c>
      <c r="C264" s="4">
        <v>1</v>
      </c>
      <c r="D264" s="4">
        <v>7</v>
      </c>
      <c r="E264" s="4">
        <v>15</v>
      </c>
      <c r="F264" s="4" t="s">
        <v>30</v>
      </c>
      <c r="G264" t="s">
        <v>28</v>
      </c>
      <c r="H264" s="4">
        <v>202</v>
      </c>
      <c r="I264" s="4"/>
    </row>
    <row r="265" spans="1:9" x14ac:dyDescent="0.25">
      <c r="A265" s="4">
        <v>1</v>
      </c>
      <c r="B265" s="4">
        <v>2</v>
      </c>
      <c r="C265" s="4">
        <v>1</v>
      </c>
      <c r="D265" s="4">
        <v>8</v>
      </c>
      <c r="E265" s="4">
        <v>2</v>
      </c>
      <c r="F265" s="4" t="s">
        <v>30</v>
      </c>
      <c r="G265" t="s">
        <v>31</v>
      </c>
      <c r="H265" s="4">
        <v>102</v>
      </c>
      <c r="I265" s="4"/>
    </row>
    <row r="266" spans="1:9" x14ac:dyDescent="0.25">
      <c r="A266" s="4">
        <v>1</v>
      </c>
      <c r="B266" s="4">
        <v>3</v>
      </c>
      <c r="C266" s="4">
        <v>2</v>
      </c>
      <c r="D266" s="4">
        <v>9</v>
      </c>
      <c r="E266" s="4">
        <v>3</v>
      </c>
      <c r="F266" s="4" t="s">
        <v>25</v>
      </c>
      <c r="G266" t="s">
        <v>27</v>
      </c>
      <c r="H266" s="4">
        <v>103</v>
      </c>
      <c r="I266" s="4"/>
    </row>
    <row r="267" spans="1:9" x14ac:dyDescent="0.25">
      <c r="A267" s="4">
        <v>2</v>
      </c>
      <c r="B267" s="4">
        <v>3</v>
      </c>
      <c r="C267" s="4">
        <v>2</v>
      </c>
      <c r="D267" s="4">
        <v>10</v>
      </c>
      <c r="E267" s="4">
        <v>14</v>
      </c>
      <c r="F267" s="4" t="s">
        <v>25</v>
      </c>
      <c r="G267" t="s">
        <v>29</v>
      </c>
      <c r="H267" s="4">
        <v>203</v>
      </c>
      <c r="I267" s="4"/>
    </row>
    <row r="268" spans="1:9" x14ac:dyDescent="0.25">
      <c r="A268" s="4">
        <v>3</v>
      </c>
      <c r="B268" s="4">
        <v>3</v>
      </c>
      <c r="C268" s="4">
        <v>2</v>
      </c>
      <c r="D268" s="4">
        <v>11</v>
      </c>
      <c r="E268" s="4">
        <v>19</v>
      </c>
      <c r="F268" s="4" t="s">
        <v>25</v>
      </c>
      <c r="G268" t="s">
        <v>26</v>
      </c>
      <c r="H268" s="4">
        <v>303</v>
      </c>
      <c r="I268" s="4"/>
    </row>
    <row r="269" spans="1:9" x14ac:dyDescent="0.25">
      <c r="A269" s="4">
        <v>4</v>
      </c>
      <c r="B269" s="4">
        <v>3</v>
      </c>
      <c r="C269" s="4">
        <v>2</v>
      </c>
      <c r="D269" s="4">
        <v>12</v>
      </c>
      <c r="E269" s="4">
        <v>30</v>
      </c>
      <c r="F269" s="4" t="s">
        <v>25</v>
      </c>
      <c r="G269" t="s">
        <v>28</v>
      </c>
      <c r="H269" s="4">
        <v>403</v>
      </c>
      <c r="I269" s="4"/>
    </row>
    <row r="270" spans="1:9" x14ac:dyDescent="0.25">
      <c r="A270" s="4">
        <v>4</v>
      </c>
      <c r="B270" s="4">
        <v>4</v>
      </c>
      <c r="C270" s="4">
        <v>2</v>
      </c>
      <c r="D270" s="4">
        <v>13</v>
      </c>
      <c r="E270" s="4">
        <v>29</v>
      </c>
      <c r="F270" s="4" t="s">
        <v>30</v>
      </c>
      <c r="G270" t="s">
        <v>29</v>
      </c>
      <c r="H270" s="4">
        <v>404</v>
      </c>
      <c r="I270" s="4"/>
    </row>
    <row r="271" spans="1:9" x14ac:dyDescent="0.25">
      <c r="A271" s="4">
        <v>3</v>
      </c>
      <c r="B271" s="4">
        <v>4</v>
      </c>
      <c r="C271" s="4">
        <v>2</v>
      </c>
      <c r="D271" s="4">
        <v>14</v>
      </c>
      <c r="E271" s="4">
        <v>20</v>
      </c>
      <c r="F271" s="4" t="s">
        <v>30</v>
      </c>
      <c r="G271" t="s">
        <v>31</v>
      </c>
      <c r="H271" s="4">
        <v>304</v>
      </c>
      <c r="I271" s="4"/>
    </row>
    <row r="272" spans="1:9" x14ac:dyDescent="0.25">
      <c r="A272" s="4">
        <v>2</v>
      </c>
      <c r="B272" s="4">
        <v>4</v>
      </c>
      <c r="C272" s="4">
        <v>2</v>
      </c>
      <c r="D272" s="4">
        <v>15</v>
      </c>
      <c r="E272" s="4">
        <v>13</v>
      </c>
      <c r="F272" s="4" t="s">
        <v>30</v>
      </c>
      <c r="G272" t="s">
        <v>32</v>
      </c>
      <c r="H272" s="4">
        <v>204</v>
      </c>
      <c r="I272" s="4"/>
    </row>
    <row r="273" spans="1:9" x14ac:dyDescent="0.25">
      <c r="A273" s="4">
        <v>1</v>
      </c>
      <c r="B273" s="4">
        <v>4</v>
      </c>
      <c r="C273" s="4">
        <v>2</v>
      </c>
      <c r="D273" s="4">
        <v>16</v>
      </c>
      <c r="E273" s="4">
        <v>4</v>
      </c>
      <c r="F273" s="4" t="s">
        <v>30</v>
      </c>
      <c r="G273" t="s">
        <v>28</v>
      </c>
      <c r="H273" s="4">
        <v>104</v>
      </c>
      <c r="I273" s="4"/>
    </row>
    <row r="274" spans="1:9" x14ac:dyDescent="0.25">
      <c r="A274" s="4">
        <v>1</v>
      </c>
      <c r="B274" s="4">
        <v>5</v>
      </c>
      <c r="C274" s="4">
        <v>3</v>
      </c>
      <c r="D274" s="4">
        <v>17</v>
      </c>
      <c r="E274" s="4">
        <v>5</v>
      </c>
      <c r="F274" s="4" t="s">
        <v>25</v>
      </c>
      <c r="G274" t="s">
        <v>28</v>
      </c>
      <c r="H274" s="4">
        <v>105</v>
      </c>
      <c r="I274" s="4"/>
    </row>
    <row r="275" spans="1:9" x14ac:dyDescent="0.25">
      <c r="A275" s="4">
        <v>2</v>
      </c>
      <c r="B275" s="4">
        <v>5</v>
      </c>
      <c r="C275" s="4">
        <v>3</v>
      </c>
      <c r="D275" s="4">
        <v>18</v>
      </c>
      <c r="E275" s="4">
        <v>12</v>
      </c>
      <c r="F275" s="4" t="s">
        <v>25</v>
      </c>
      <c r="G275" t="s">
        <v>26</v>
      </c>
      <c r="H275" s="4">
        <v>205</v>
      </c>
      <c r="I275" s="4"/>
    </row>
    <row r="276" spans="1:9" x14ac:dyDescent="0.25">
      <c r="A276" s="4">
        <v>3</v>
      </c>
      <c r="B276" s="4">
        <v>5</v>
      </c>
      <c r="C276" s="4">
        <v>3</v>
      </c>
      <c r="D276" s="4">
        <v>19</v>
      </c>
      <c r="E276" s="4">
        <v>21</v>
      </c>
      <c r="F276" s="4" t="s">
        <v>25</v>
      </c>
      <c r="G276" t="s">
        <v>29</v>
      </c>
      <c r="H276" s="4">
        <v>305</v>
      </c>
      <c r="I276" s="4"/>
    </row>
    <row r="277" spans="1:9" x14ac:dyDescent="0.25">
      <c r="A277" s="4">
        <v>4</v>
      </c>
      <c r="B277" s="4">
        <v>5</v>
      </c>
      <c r="C277" s="4">
        <v>3</v>
      </c>
      <c r="D277" s="4">
        <v>20</v>
      </c>
      <c r="E277" s="4">
        <v>28</v>
      </c>
      <c r="F277" s="4" t="s">
        <v>25</v>
      </c>
      <c r="G277" t="s">
        <v>27</v>
      </c>
      <c r="H277" s="4">
        <v>405</v>
      </c>
      <c r="I277" s="4"/>
    </row>
    <row r="278" spans="1:9" x14ac:dyDescent="0.25">
      <c r="A278" s="4">
        <v>4</v>
      </c>
      <c r="B278" s="4">
        <v>6</v>
      </c>
      <c r="C278" s="4">
        <v>3</v>
      </c>
      <c r="D278" s="4">
        <v>21</v>
      </c>
      <c r="E278" s="4">
        <v>27</v>
      </c>
      <c r="F278" s="4" t="s">
        <v>30</v>
      </c>
      <c r="G278" t="s">
        <v>28</v>
      </c>
      <c r="H278" s="4">
        <v>406</v>
      </c>
      <c r="I278" s="4"/>
    </row>
    <row r="279" spans="1:9" x14ac:dyDescent="0.25">
      <c r="A279" s="4">
        <v>3</v>
      </c>
      <c r="B279" s="4">
        <v>6</v>
      </c>
      <c r="C279" s="4">
        <v>3</v>
      </c>
      <c r="D279" s="4">
        <v>22</v>
      </c>
      <c r="E279" s="4">
        <v>22</v>
      </c>
      <c r="F279" s="4" t="s">
        <v>30</v>
      </c>
      <c r="G279" t="s">
        <v>32</v>
      </c>
      <c r="H279" s="4">
        <v>306</v>
      </c>
      <c r="I279" s="4"/>
    </row>
    <row r="280" spans="1:9" x14ac:dyDescent="0.25">
      <c r="A280" s="4">
        <v>2</v>
      </c>
      <c r="B280" s="4">
        <v>6</v>
      </c>
      <c r="C280" s="4">
        <v>3</v>
      </c>
      <c r="D280" s="4">
        <v>23</v>
      </c>
      <c r="E280" s="4">
        <v>11</v>
      </c>
      <c r="F280" s="4" t="s">
        <v>30</v>
      </c>
      <c r="G280" t="s">
        <v>31</v>
      </c>
      <c r="H280" s="4">
        <v>206</v>
      </c>
      <c r="I280" s="4"/>
    </row>
    <row r="281" spans="1:9" x14ac:dyDescent="0.25">
      <c r="A281" s="4">
        <v>1</v>
      </c>
      <c r="B281" s="4">
        <v>6</v>
      </c>
      <c r="C281" s="4">
        <v>3</v>
      </c>
      <c r="D281" s="4">
        <v>24</v>
      </c>
      <c r="E281" s="4">
        <v>6</v>
      </c>
      <c r="F281" s="4" t="s">
        <v>30</v>
      </c>
      <c r="G281" t="s">
        <v>29</v>
      </c>
      <c r="H281" s="4">
        <v>106</v>
      </c>
      <c r="I281" s="4"/>
    </row>
    <row r="282" spans="1:9" x14ac:dyDescent="0.25">
      <c r="A282" s="4">
        <v>1</v>
      </c>
      <c r="B282" s="4">
        <v>7</v>
      </c>
      <c r="C282" s="4">
        <v>4</v>
      </c>
      <c r="D282" s="4">
        <v>25</v>
      </c>
      <c r="E282" s="4">
        <v>7</v>
      </c>
      <c r="F282" s="4" t="s">
        <v>25</v>
      </c>
      <c r="G282" t="s">
        <v>29</v>
      </c>
      <c r="H282" s="4">
        <v>107</v>
      </c>
      <c r="I282" s="4"/>
    </row>
    <row r="283" spans="1:9" x14ac:dyDescent="0.25">
      <c r="A283" s="4">
        <v>2</v>
      </c>
      <c r="B283" s="4">
        <v>7</v>
      </c>
      <c r="C283" s="4">
        <v>4</v>
      </c>
      <c r="D283" s="4">
        <v>26</v>
      </c>
      <c r="E283" s="4">
        <v>10</v>
      </c>
      <c r="F283" s="4" t="s">
        <v>25</v>
      </c>
      <c r="G283" t="s">
        <v>28</v>
      </c>
      <c r="H283" s="4">
        <v>207</v>
      </c>
      <c r="I283" s="4"/>
    </row>
    <row r="284" spans="1:9" x14ac:dyDescent="0.25">
      <c r="A284" s="4">
        <v>3</v>
      </c>
      <c r="B284" s="4">
        <v>7</v>
      </c>
      <c r="C284" s="4">
        <v>4</v>
      </c>
      <c r="D284" s="4">
        <v>27</v>
      </c>
      <c r="E284" s="4">
        <v>23</v>
      </c>
      <c r="F284" s="4" t="s">
        <v>25</v>
      </c>
      <c r="G284" t="s">
        <v>27</v>
      </c>
      <c r="H284" s="4">
        <v>307</v>
      </c>
      <c r="I284" s="4"/>
    </row>
    <row r="285" spans="1:9" x14ac:dyDescent="0.25">
      <c r="A285" s="4">
        <v>4</v>
      </c>
      <c r="B285" s="4">
        <v>7</v>
      </c>
      <c r="C285" s="4">
        <v>4</v>
      </c>
      <c r="D285" s="4">
        <v>28</v>
      </c>
      <c r="E285" s="4">
        <v>26</v>
      </c>
      <c r="F285" s="4" t="s">
        <v>25</v>
      </c>
      <c r="G285" t="s">
        <v>26</v>
      </c>
      <c r="H285" s="4">
        <v>407</v>
      </c>
      <c r="I285" s="4"/>
    </row>
    <row r="286" spans="1:9" x14ac:dyDescent="0.25">
      <c r="A286" s="4">
        <v>4</v>
      </c>
      <c r="B286" s="4">
        <v>8</v>
      </c>
      <c r="C286" s="4">
        <v>4</v>
      </c>
      <c r="D286" s="4">
        <v>29</v>
      </c>
      <c r="E286" s="4">
        <v>25</v>
      </c>
      <c r="F286" s="4" t="s">
        <v>30</v>
      </c>
      <c r="G286" t="s">
        <v>31</v>
      </c>
      <c r="H286" s="4">
        <v>408</v>
      </c>
      <c r="I286" s="4"/>
    </row>
    <row r="287" spans="1:9" x14ac:dyDescent="0.25">
      <c r="A287" s="4">
        <v>3</v>
      </c>
      <c r="B287" s="4">
        <v>8</v>
      </c>
      <c r="C287" s="4">
        <v>4</v>
      </c>
      <c r="D287" s="4">
        <v>30</v>
      </c>
      <c r="E287" s="4">
        <v>24</v>
      </c>
      <c r="F287" s="4" t="s">
        <v>30</v>
      </c>
      <c r="G287" t="s">
        <v>28</v>
      </c>
      <c r="H287" s="4">
        <v>308</v>
      </c>
      <c r="I287" s="4"/>
    </row>
    <row r="288" spans="1:9" x14ac:dyDescent="0.25">
      <c r="A288" s="4">
        <v>2</v>
      </c>
      <c r="B288" s="4">
        <v>8</v>
      </c>
      <c r="C288" s="4">
        <v>4</v>
      </c>
      <c r="D288" s="4">
        <v>31</v>
      </c>
      <c r="E288" s="4">
        <v>9</v>
      </c>
      <c r="F288" s="4" t="s">
        <v>30</v>
      </c>
      <c r="G288" t="s">
        <v>29</v>
      </c>
      <c r="H288" s="4">
        <v>208</v>
      </c>
      <c r="I288" s="4"/>
    </row>
    <row r="289" spans="1:9" x14ac:dyDescent="0.25">
      <c r="A289" s="4">
        <v>1</v>
      </c>
      <c r="B289" s="4">
        <v>8</v>
      </c>
      <c r="C289" s="4">
        <v>4</v>
      </c>
      <c r="D289" s="4">
        <v>32</v>
      </c>
      <c r="E289" s="4">
        <v>8</v>
      </c>
      <c r="F289" s="4" t="s">
        <v>30</v>
      </c>
      <c r="G289" t="s">
        <v>32</v>
      </c>
      <c r="H289" s="4">
        <v>108</v>
      </c>
      <c r="I289" s="4"/>
    </row>
    <row r="290" spans="1:9" x14ac:dyDescent="0.25">
      <c r="A290" s="4">
        <v>1</v>
      </c>
      <c r="B290" s="4">
        <v>1</v>
      </c>
      <c r="C290" s="4">
        <v>1</v>
      </c>
      <c r="D290" s="4">
        <v>1</v>
      </c>
      <c r="E290" s="4">
        <v>1</v>
      </c>
      <c r="F290" s="4" t="s">
        <v>25</v>
      </c>
      <c r="G290" t="s">
        <v>26</v>
      </c>
      <c r="H290" s="4">
        <v>101</v>
      </c>
    </row>
    <row r="291" spans="1:9" x14ac:dyDescent="0.25">
      <c r="A291" s="4">
        <v>2</v>
      </c>
      <c r="B291" s="4">
        <v>1</v>
      </c>
      <c r="C291" s="4">
        <v>1</v>
      </c>
      <c r="D291" s="4">
        <v>2</v>
      </c>
      <c r="E291" s="4">
        <v>16</v>
      </c>
      <c r="F291" s="4" t="s">
        <v>25</v>
      </c>
      <c r="G291" t="s">
        <v>27</v>
      </c>
      <c r="H291" s="4">
        <v>201</v>
      </c>
    </row>
    <row r="292" spans="1:9" x14ac:dyDescent="0.25">
      <c r="A292" s="4">
        <v>3</v>
      </c>
      <c r="B292" s="4">
        <v>1</v>
      </c>
      <c r="C292" s="4">
        <v>1</v>
      </c>
      <c r="D292" s="4">
        <v>3</v>
      </c>
      <c r="E292" s="4">
        <v>17</v>
      </c>
      <c r="F292" s="4" t="s">
        <v>25</v>
      </c>
      <c r="G292" t="s">
        <v>28</v>
      </c>
      <c r="H292" s="4">
        <v>301</v>
      </c>
    </row>
    <row r="293" spans="1:9" x14ac:dyDescent="0.25">
      <c r="A293" s="4">
        <v>4</v>
      </c>
      <c r="B293" s="4">
        <v>1</v>
      </c>
      <c r="C293" s="4">
        <v>1</v>
      </c>
      <c r="D293" s="4">
        <v>4</v>
      </c>
      <c r="E293" s="4">
        <v>32</v>
      </c>
      <c r="F293" s="4" t="s">
        <v>25</v>
      </c>
      <c r="G293" t="s">
        <v>29</v>
      </c>
      <c r="H293" s="4">
        <v>401</v>
      </c>
    </row>
    <row r="294" spans="1:9" x14ac:dyDescent="0.25">
      <c r="A294" s="4">
        <v>4</v>
      </c>
      <c r="B294" s="4">
        <v>2</v>
      </c>
      <c r="C294" s="4">
        <v>1</v>
      </c>
      <c r="D294" s="4">
        <v>5</v>
      </c>
      <c r="E294" s="4">
        <v>31</v>
      </c>
      <c r="F294" s="4" t="s">
        <v>30</v>
      </c>
      <c r="G294" t="s">
        <v>32</v>
      </c>
      <c r="H294" s="4">
        <v>402</v>
      </c>
    </row>
    <row r="295" spans="1:9" x14ac:dyDescent="0.25">
      <c r="A295" s="4">
        <v>3</v>
      </c>
      <c r="B295" s="4">
        <v>2</v>
      </c>
      <c r="C295" s="4">
        <v>1</v>
      </c>
      <c r="D295" s="4">
        <v>6</v>
      </c>
      <c r="E295" s="4">
        <v>18</v>
      </c>
      <c r="F295" s="4" t="s">
        <v>30</v>
      </c>
      <c r="G295" t="s">
        <v>29</v>
      </c>
      <c r="H295" s="4">
        <v>302</v>
      </c>
    </row>
    <row r="296" spans="1:9" x14ac:dyDescent="0.25">
      <c r="A296" s="4">
        <v>2</v>
      </c>
      <c r="B296" s="4">
        <v>2</v>
      </c>
      <c r="C296" s="4">
        <v>1</v>
      </c>
      <c r="D296" s="4">
        <v>7</v>
      </c>
      <c r="E296" s="4">
        <v>15</v>
      </c>
      <c r="F296" s="4" t="s">
        <v>30</v>
      </c>
      <c r="G296" t="s">
        <v>28</v>
      </c>
      <c r="H296" s="4">
        <v>202</v>
      </c>
    </row>
    <row r="297" spans="1:9" x14ac:dyDescent="0.25">
      <c r="A297" s="4">
        <v>1</v>
      </c>
      <c r="B297" s="4">
        <v>2</v>
      </c>
      <c r="C297" s="4">
        <v>1</v>
      </c>
      <c r="D297" s="4">
        <v>8</v>
      </c>
      <c r="E297" s="4">
        <v>2</v>
      </c>
      <c r="F297" s="4" t="s">
        <v>30</v>
      </c>
      <c r="G297" t="s">
        <v>31</v>
      </c>
      <c r="H297" s="4">
        <v>102</v>
      </c>
    </row>
    <row r="298" spans="1:9" x14ac:dyDescent="0.25">
      <c r="A298" s="4">
        <v>1</v>
      </c>
      <c r="B298" s="4">
        <v>3</v>
      </c>
      <c r="C298" s="4">
        <v>2</v>
      </c>
      <c r="D298" s="4">
        <v>9</v>
      </c>
      <c r="E298" s="4">
        <v>3</v>
      </c>
      <c r="F298" s="4" t="s">
        <v>25</v>
      </c>
      <c r="G298" t="s">
        <v>27</v>
      </c>
      <c r="H298" s="4">
        <v>103</v>
      </c>
    </row>
    <row r="299" spans="1:9" x14ac:dyDescent="0.25">
      <c r="A299" s="4">
        <v>2</v>
      </c>
      <c r="B299" s="4">
        <v>3</v>
      </c>
      <c r="C299" s="4">
        <v>2</v>
      </c>
      <c r="D299" s="4">
        <v>10</v>
      </c>
      <c r="E299" s="4">
        <v>14</v>
      </c>
      <c r="F299" s="4" t="s">
        <v>25</v>
      </c>
      <c r="G299" t="s">
        <v>29</v>
      </c>
      <c r="H299" s="4">
        <v>203</v>
      </c>
    </row>
    <row r="300" spans="1:9" x14ac:dyDescent="0.25">
      <c r="A300" s="4">
        <v>3</v>
      </c>
      <c r="B300" s="4">
        <v>3</v>
      </c>
      <c r="C300" s="4">
        <v>2</v>
      </c>
      <c r="D300" s="4">
        <v>11</v>
      </c>
      <c r="E300" s="4">
        <v>19</v>
      </c>
      <c r="F300" s="4" t="s">
        <v>25</v>
      </c>
      <c r="G300" t="s">
        <v>26</v>
      </c>
      <c r="H300" s="4">
        <v>303</v>
      </c>
    </row>
    <row r="301" spans="1:9" x14ac:dyDescent="0.25">
      <c r="A301" s="4">
        <v>4</v>
      </c>
      <c r="B301" s="4">
        <v>3</v>
      </c>
      <c r="C301" s="4">
        <v>2</v>
      </c>
      <c r="D301" s="4">
        <v>12</v>
      </c>
      <c r="E301" s="4">
        <v>30</v>
      </c>
      <c r="F301" s="4" t="s">
        <v>25</v>
      </c>
      <c r="G301" t="s">
        <v>28</v>
      </c>
      <c r="H301" s="4">
        <v>403</v>
      </c>
    </row>
    <row r="302" spans="1:9" x14ac:dyDescent="0.25">
      <c r="A302" s="4">
        <v>4</v>
      </c>
      <c r="B302" s="4">
        <v>4</v>
      </c>
      <c r="C302" s="4">
        <v>2</v>
      </c>
      <c r="D302" s="4">
        <v>13</v>
      </c>
      <c r="E302" s="4">
        <v>29</v>
      </c>
      <c r="F302" s="4" t="s">
        <v>30</v>
      </c>
      <c r="G302" t="s">
        <v>29</v>
      </c>
      <c r="H302" s="4">
        <v>404</v>
      </c>
    </row>
    <row r="303" spans="1:9" x14ac:dyDescent="0.25">
      <c r="A303" s="4">
        <v>3</v>
      </c>
      <c r="B303" s="4">
        <v>4</v>
      </c>
      <c r="C303" s="4">
        <v>2</v>
      </c>
      <c r="D303" s="4">
        <v>14</v>
      </c>
      <c r="E303" s="4">
        <v>20</v>
      </c>
      <c r="F303" s="4" t="s">
        <v>30</v>
      </c>
      <c r="G303" t="s">
        <v>31</v>
      </c>
      <c r="H303" s="4">
        <v>304</v>
      </c>
    </row>
    <row r="304" spans="1:9" x14ac:dyDescent="0.25">
      <c r="A304" s="4">
        <v>2</v>
      </c>
      <c r="B304" s="4">
        <v>4</v>
      </c>
      <c r="C304" s="4">
        <v>2</v>
      </c>
      <c r="D304" s="4">
        <v>15</v>
      </c>
      <c r="E304" s="4">
        <v>13</v>
      </c>
      <c r="F304" s="4" t="s">
        <v>30</v>
      </c>
      <c r="G304" t="s">
        <v>32</v>
      </c>
      <c r="H304" s="4">
        <v>204</v>
      </c>
    </row>
    <row r="305" spans="1:8" x14ac:dyDescent="0.25">
      <c r="A305" s="4">
        <v>1</v>
      </c>
      <c r="B305" s="4">
        <v>4</v>
      </c>
      <c r="C305" s="4">
        <v>2</v>
      </c>
      <c r="D305" s="4">
        <v>16</v>
      </c>
      <c r="E305" s="4">
        <v>4</v>
      </c>
      <c r="F305" s="4" t="s">
        <v>30</v>
      </c>
      <c r="G305" t="s">
        <v>28</v>
      </c>
      <c r="H305" s="4">
        <v>104</v>
      </c>
    </row>
    <row r="306" spans="1:8" x14ac:dyDescent="0.25">
      <c r="A306" s="4">
        <v>1</v>
      </c>
      <c r="B306" s="4">
        <v>5</v>
      </c>
      <c r="C306" s="4">
        <v>3</v>
      </c>
      <c r="D306" s="4">
        <v>17</v>
      </c>
      <c r="E306" s="4">
        <v>5</v>
      </c>
      <c r="F306" s="4" t="s">
        <v>25</v>
      </c>
      <c r="G306" t="s">
        <v>28</v>
      </c>
      <c r="H306" s="4">
        <v>105</v>
      </c>
    </row>
    <row r="307" spans="1:8" x14ac:dyDescent="0.25">
      <c r="A307" s="4">
        <v>2</v>
      </c>
      <c r="B307" s="4">
        <v>5</v>
      </c>
      <c r="C307" s="4">
        <v>3</v>
      </c>
      <c r="D307" s="4">
        <v>18</v>
      </c>
      <c r="E307" s="4">
        <v>12</v>
      </c>
      <c r="F307" s="4" t="s">
        <v>25</v>
      </c>
      <c r="G307" t="s">
        <v>26</v>
      </c>
      <c r="H307" s="4">
        <v>205</v>
      </c>
    </row>
    <row r="308" spans="1:8" x14ac:dyDescent="0.25">
      <c r="A308" s="4">
        <v>3</v>
      </c>
      <c r="B308" s="4">
        <v>5</v>
      </c>
      <c r="C308" s="4">
        <v>3</v>
      </c>
      <c r="D308" s="4">
        <v>19</v>
      </c>
      <c r="E308" s="4">
        <v>21</v>
      </c>
      <c r="F308" s="4" t="s">
        <v>25</v>
      </c>
      <c r="G308" t="s">
        <v>29</v>
      </c>
      <c r="H308" s="4">
        <v>305</v>
      </c>
    </row>
    <row r="309" spans="1:8" x14ac:dyDescent="0.25">
      <c r="A309" s="4">
        <v>4</v>
      </c>
      <c r="B309" s="4">
        <v>5</v>
      </c>
      <c r="C309" s="4">
        <v>3</v>
      </c>
      <c r="D309" s="4">
        <v>20</v>
      </c>
      <c r="E309" s="4">
        <v>28</v>
      </c>
      <c r="F309" s="4" t="s">
        <v>25</v>
      </c>
      <c r="G309" t="s">
        <v>27</v>
      </c>
      <c r="H309" s="4">
        <v>405</v>
      </c>
    </row>
    <row r="310" spans="1:8" x14ac:dyDescent="0.25">
      <c r="A310" s="4">
        <v>4</v>
      </c>
      <c r="B310" s="4">
        <v>6</v>
      </c>
      <c r="C310" s="4">
        <v>3</v>
      </c>
      <c r="D310" s="4">
        <v>21</v>
      </c>
      <c r="E310" s="4">
        <v>27</v>
      </c>
      <c r="F310" s="4" t="s">
        <v>30</v>
      </c>
      <c r="G310" t="s">
        <v>28</v>
      </c>
      <c r="H310" s="4">
        <v>406</v>
      </c>
    </row>
    <row r="311" spans="1:8" x14ac:dyDescent="0.25">
      <c r="A311" s="4">
        <v>3</v>
      </c>
      <c r="B311" s="4">
        <v>6</v>
      </c>
      <c r="C311" s="4">
        <v>3</v>
      </c>
      <c r="D311" s="4">
        <v>22</v>
      </c>
      <c r="E311" s="4">
        <v>22</v>
      </c>
      <c r="F311" s="4" t="s">
        <v>30</v>
      </c>
      <c r="G311" t="s">
        <v>32</v>
      </c>
      <c r="H311" s="4">
        <v>306</v>
      </c>
    </row>
    <row r="312" spans="1:8" x14ac:dyDescent="0.25">
      <c r="A312" s="4">
        <v>2</v>
      </c>
      <c r="B312" s="4">
        <v>6</v>
      </c>
      <c r="C312" s="4">
        <v>3</v>
      </c>
      <c r="D312" s="4">
        <v>23</v>
      </c>
      <c r="E312" s="4">
        <v>11</v>
      </c>
      <c r="F312" s="4" t="s">
        <v>30</v>
      </c>
      <c r="G312" t="s">
        <v>31</v>
      </c>
      <c r="H312" s="4">
        <v>206</v>
      </c>
    </row>
    <row r="313" spans="1:8" x14ac:dyDescent="0.25">
      <c r="A313" s="4">
        <v>1</v>
      </c>
      <c r="B313" s="4">
        <v>6</v>
      </c>
      <c r="C313" s="4">
        <v>3</v>
      </c>
      <c r="D313" s="4">
        <v>24</v>
      </c>
      <c r="E313" s="4">
        <v>6</v>
      </c>
      <c r="F313" s="4" t="s">
        <v>30</v>
      </c>
      <c r="G313" t="s">
        <v>29</v>
      </c>
      <c r="H313" s="4">
        <v>106</v>
      </c>
    </row>
    <row r="314" spans="1:8" x14ac:dyDescent="0.25">
      <c r="A314" s="4">
        <v>1</v>
      </c>
      <c r="B314" s="4">
        <v>7</v>
      </c>
      <c r="C314" s="4">
        <v>4</v>
      </c>
      <c r="D314" s="4">
        <v>25</v>
      </c>
      <c r="E314" s="4">
        <v>7</v>
      </c>
      <c r="F314" s="4" t="s">
        <v>25</v>
      </c>
      <c r="G314" t="s">
        <v>29</v>
      </c>
      <c r="H314" s="4">
        <v>107</v>
      </c>
    </row>
    <row r="315" spans="1:8" x14ac:dyDescent="0.25">
      <c r="A315" s="4">
        <v>2</v>
      </c>
      <c r="B315" s="4">
        <v>7</v>
      </c>
      <c r="C315" s="4">
        <v>4</v>
      </c>
      <c r="D315" s="4">
        <v>26</v>
      </c>
      <c r="E315" s="4">
        <v>10</v>
      </c>
      <c r="F315" s="4" t="s">
        <v>25</v>
      </c>
      <c r="G315" t="s">
        <v>28</v>
      </c>
      <c r="H315" s="4">
        <v>207</v>
      </c>
    </row>
    <row r="316" spans="1:8" x14ac:dyDescent="0.25">
      <c r="A316" s="4">
        <v>3</v>
      </c>
      <c r="B316" s="4">
        <v>7</v>
      </c>
      <c r="C316" s="4">
        <v>4</v>
      </c>
      <c r="D316" s="4">
        <v>27</v>
      </c>
      <c r="E316" s="4">
        <v>23</v>
      </c>
      <c r="F316" s="4" t="s">
        <v>25</v>
      </c>
      <c r="G316" t="s">
        <v>27</v>
      </c>
      <c r="H316" s="4">
        <v>307</v>
      </c>
    </row>
    <row r="317" spans="1:8" x14ac:dyDescent="0.25">
      <c r="A317" s="4">
        <v>4</v>
      </c>
      <c r="B317" s="4">
        <v>7</v>
      </c>
      <c r="C317" s="4">
        <v>4</v>
      </c>
      <c r="D317" s="4">
        <v>28</v>
      </c>
      <c r="E317" s="4">
        <v>26</v>
      </c>
      <c r="F317" s="4" t="s">
        <v>25</v>
      </c>
      <c r="G317" t="s">
        <v>26</v>
      </c>
      <c r="H317" s="4">
        <v>407</v>
      </c>
    </row>
    <row r="318" spans="1:8" x14ac:dyDescent="0.25">
      <c r="A318" s="4">
        <v>4</v>
      </c>
      <c r="B318" s="4">
        <v>8</v>
      </c>
      <c r="C318" s="4">
        <v>4</v>
      </c>
      <c r="D318" s="4">
        <v>29</v>
      </c>
      <c r="E318" s="4">
        <v>25</v>
      </c>
      <c r="F318" s="4" t="s">
        <v>30</v>
      </c>
      <c r="G318" t="s">
        <v>31</v>
      </c>
      <c r="H318" s="4">
        <v>408</v>
      </c>
    </row>
    <row r="319" spans="1:8" x14ac:dyDescent="0.25">
      <c r="A319" s="4">
        <v>3</v>
      </c>
      <c r="B319" s="4">
        <v>8</v>
      </c>
      <c r="C319" s="4">
        <v>4</v>
      </c>
      <c r="D319" s="4">
        <v>30</v>
      </c>
      <c r="E319" s="4">
        <v>24</v>
      </c>
      <c r="F319" s="4" t="s">
        <v>30</v>
      </c>
      <c r="G319" t="s">
        <v>28</v>
      </c>
      <c r="H319" s="4">
        <v>308</v>
      </c>
    </row>
    <row r="320" spans="1:8" x14ac:dyDescent="0.25">
      <c r="A320" s="4">
        <v>2</v>
      </c>
      <c r="B320" s="4">
        <v>8</v>
      </c>
      <c r="C320" s="4">
        <v>4</v>
      </c>
      <c r="D320" s="4">
        <v>31</v>
      </c>
      <c r="E320" s="4">
        <v>9</v>
      </c>
      <c r="F320" s="4" t="s">
        <v>30</v>
      </c>
      <c r="G320" t="s">
        <v>29</v>
      </c>
      <c r="H320" s="4">
        <v>208</v>
      </c>
    </row>
    <row r="321" spans="1:8" x14ac:dyDescent="0.25">
      <c r="A321" s="4">
        <v>1</v>
      </c>
      <c r="B321" s="4">
        <v>8</v>
      </c>
      <c r="C321" s="4">
        <v>4</v>
      </c>
      <c r="D321" s="4">
        <v>32</v>
      </c>
      <c r="E321" s="4">
        <v>8</v>
      </c>
      <c r="F321" s="4" t="s">
        <v>30</v>
      </c>
      <c r="G321" t="s">
        <v>32</v>
      </c>
      <c r="H321" s="4">
        <v>108</v>
      </c>
    </row>
  </sheetData>
  <conditionalFormatting pivot="1" sqref="U7:U10">
    <cfRule type="colorScale" priority="5">
      <colorScale>
        <cfvo type="min"/>
        <cfvo type="percentile" val="50"/>
        <cfvo type="max"/>
        <color rgb="FFF8696B"/>
        <color rgb="FFFFEB84"/>
        <color rgb="FF63BE7B"/>
      </colorScale>
    </cfRule>
  </conditionalFormatting>
  <conditionalFormatting pivot="1" sqref="V7:V10">
    <cfRule type="colorScale" priority="4">
      <colorScale>
        <cfvo type="min"/>
        <cfvo type="percentile" val="50"/>
        <cfvo type="max"/>
        <color rgb="FFF8696B"/>
        <color rgb="FFFFEB84"/>
        <color rgb="FF63BE7B"/>
      </colorScale>
    </cfRule>
  </conditionalFormatting>
  <conditionalFormatting pivot="1" sqref="U23:U26">
    <cfRule type="colorScale" priority="3">
      <colorScale>
        <cfvo type="min"/>
        <cfvo type="percentile" val="50"/>
        <cfvo type="max"/>
        <color rgb="FFF8696B"/>
        <color rgb="FFFFEB84"/>
        <color rgb="FF63BE7B"/>
      </colorScale>
    </cfRule>
  </conditionalFormatting>
  <conditionalFormatting pivot="1" sqref="V23:V26">
    <cfRule type="colorScale" priority="2">
      <colorScale>
        <cfvo type="min"/>
        <cfvo type="percentile" val="50"/>
        <cfvo type="max"/>
        <color rgb="FFF8696B"/>
        <color rgb="FFFFEB84"/>
        <color rgb="FF63BE7B"/>
      </colorScale>
    </cfRule>
  </conditionalFormatting>
  <conditionalFormatting pivot="1" sqref="W23:W26">
    <cfRule type="colorScale" priority="1">
      <colorScale>
        <cfvo type="min"/>
        <cfvo type="percentile" val="50"/>
        <cfvo type="max"/>
        <color rgb="FFF8696B"/>
        <color rgb="FFFFEB84"/>
        <color rgb="FF63BE7B"/>
      </colorScale>
    </cfRule>
  </conditionalFormatting>
  <pageMargins left="0.7" right="0.7" top="0.75" bottom="0.75" header="0.3" footer="0.3"/>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50629-8BDE-4626-947C-04C42E1CB707}">
  <dimension ref="A1:E15"/>
  <sheetViews>
    <sheetView topLeftCell="B1" workbookViewId="0">
      <selection activeCell="E18" sqref="E18"/>
    </sheetView>
  </sheetViews>
  <sheetFormatPr defaultRowHeight="15" x14ac:dyDescent="0.25"/>
  <cols>
    <col min="1" max="1" width="8.5703125" style="4" bestFit="1" customWidth="1"/>
    <col min="2" max="2" width="11.42578125" style="4" bestFit="1" customWidth="1"/>
    <col min="3" max="3" width="8.5703125" style="4" bestFit="1" customWidth="1"/>
    <col min="4" max="4" width="8.7109375" style="4"/>
    <col min="5" max="5" width="10.42578125" customWidth="1"/>
  </cols>
  <sheetData>
    <row r="1" spans="1:5" s="15" customFormat="1" ht="45" x14ac:dyDescent="0.25">
      <c r="A1" s="10" t="s">
        <v>283</v>
      </c>
      <c r="B1" s="10" t="s">
        <v>284</v>
      </c>
      <c r="C1" s="10" t="s">
        <v>327</v>
      </c>
      <c r="D1" s="10" t="s">
        <v>328</v>
      </c>
      <c r="E1" s="6" t="s">
        <v>81</v>
      </c>
    </row>
    <row r="2" spans="1:5" x14ac:dyDescent="0.25">
      <c r="A2" s="4">
        <v>1</v>
      </c>
      <c r="B2" s="41">
        <v>45443</v>
      </c>
      <c r="C2" s="4">
        <v>0.14000000000000001</v>
      </c>
      <c r="D2" s="4">
        <v>2.72</v>
      </c>
    </row>
    <row r="3" spans="1:5" x14ac:dyDescent="0.25">
      <c r="A3" s="4">
        <v>2</v>
      </c>
      <c r="B3" s="41">
        <v>45460</v>
      </c>
      <c r="C3" s="4">
        <v>0.14000000000000001</v>
      </c>
      <c r="D3" s="4">
        <v>0.99</v>
      </c>
    </row>
    <row r="4" spans="1:5" x14ac:dyDescent="0.25">
      <c r="A4" s="4">
        <v>3</v>
      </c>
      <c r="B4" s="41">
        <v>45474</v>
      </c>
      <c r="C4" s="4">
        <v>0.16</v>
      </c>
      <c r="D4" s="4">
        <v>0.97</v>
      </c>
    </row>
    <row r="5" spans="1:5" x14ac:dyDescent="0.25">
      <c r="A5" s="4">
        <v>4</v>
      </c>
      <c r="B5" s="41">
        <v>45487</v>
      </c>
      <c r="C5" s="3">
        <v>0.19</v>
      </c>
      <c r="D5" s="3">
        <v>1.1499999999999999</v>
      </c>
    </row>
    <row r="6" spans="1:5" x14ac:dyDescent="0.25">
      <c r="A6" s="4">
        <v>5</v>
      </c>
      <c r="B6" s="41">
        <v>45502</v>
      </c>
      <c r="C6" s="3">
        <v>0.13</v>
      </c>
      <c r="D6" s="3">
        <v>1.37</v>
      </c>
    </row>
    <row r="7" spans="1:5" x14ac:dyDescent="0.25">
      <c r="A7" s="4">
        <v>6</v>
      </c>
      <c r="B7" s="41">
        <v>45513</v>
      </c>
      <c r="C7" s="3">
        <v>0.14000000000000001</v>
      </c>
      <c r="D7" s="3">
        <v>0.95</v>
      </c>
    </row>
    <row r="8" spans="1:5" x14ac:dyDescent="0.25">
      <c r="A8" s="4">
        <v>7</v>
      </c>
      <c r="B8" s="41">
        <v>45526</v>
      </c>
      <c r="C8" s="3">
        <v>0.14000000000000001</v>
      </c>
      <c r="D8" s="3">
        <v>1.51</v>
      </c>
    </row>
    <row r="9" spans="1:5" x14ac:dyDescent="0.25">
      <c r="A9" s="4">
        <v>8</v>
      </c>
      <c r="B9" s="41">
        <v>45548</v>
      </c>
      <c r="E9" t="s">
        <v>329</v>
      </c>
    </row>
    <row r="10" spans="1:5" x14ac:dyDescent="0.25">
      <c r="A10" s="4">
        <v>9</v>
      </c>
      <c r="B10" s="41">
        <v>45559</v>
      </c>
      <c r="C10" s="3">
        <v>0.13</v>
      </c>
      <c r="D10" s="3">
        <v>0.96</v>
      </c>
    </row>
    <row r="11" spans="1:5" x14ac:dyDescent="0.25">
      <c r="A11" s="4">
        <v>10</v>
      </c>
      <c r="B11" s="41">
        <v>45571</v>
      </c>
      <c r="C11" s="4">
        <v>0.15</v>
      </c>
      <c r="D11" s="4">
        <v>0.78</v>
      </c>
    </row>
    <row r="12" spans="1:5" x14ac:dyDescent="0.25">
      <c r="A12" s="4">
        <v>11</v>
      </c>
      <c r="B12" s="41">
        <v>45582</v>
      </c>
      <c r="E12" t="s">
        <v>330</v>
      </c>
    </row>
    <row r="13" spans="1:5" x14ac:dyDescent="0.25">
      <c r="A13" s="4">
        <v>12</v>
      </c>
      <c r="B13" s="41">
        <v>45594</v>
      </c>
      <c r="C13" s="91">
        <v>0.11</v>
      </c>
      <c r="D13" s="91">
        <v>2.16</v>
      </c>
    </row>
    <row r="14" spans="1:5" x14ac:dyDescent="0.25">
      <c r="A14" s="4">
        <v>13</v>
      </c>
      <c r="B14" s="41">
        <v>45609</v>
      </c>
      <c r="C14" s="91">
        <v>0.12</v>
      </c>
      <c r="D14" s="91">
        <v>1.92</v>
      </c>
    </row>
    <row r="15" spans="1:5" x14ac:dyDescent="0.25">
      <c r="A15" s="4">
        <v>14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A9415-B1C5-4EC7-AF01-E5B8636D98E8}">
  <dimension ref="A1:CJ417"/>
  <sheetViews>
    <sheetView zoomScale="90" zoomScaleNormal="90" workbookViewId="0">
      <selection activeCell="AQ29" sqref="AQ29"/>
    </sheetView>
  </sheetViews>
  <sheetFormatPr defaultRowHeight="15" x14ac:dyDescent="0.25"/>
  <cols>
    <col min="1" max="3" width="8.5703125" style="4" bestFit="1" customWidth="1"/>
    <col min="4" max="4" width="13.5703125" style="4" customWidth="1"/>
    <col min="5" max="9" width="8.5703125" style="4" bestFit="1" customWidth="1"/>
    <col min="10" max="10" width="11.42578125" style="4" bestFit="1" customWidth="1"/>
    <col min="11" max="11" width="8.5703125" style="4" bestFit="1" customWidth="1"/>
    <col min="12" max="13" width="8.5703125" style="47" bestFit="1" customWidth="1"/>
    <col min="14" max="15" width="8.5703125" bestFit="1" customWidth="1"/>
    <col min="16" max="16" width="15.5703125" bestFit="1" customWidth="1"/>
    <col min="17" max="17" width="13.42578125" bestFit="1" customWidth="1"/>
    <col min="18" max="30" width="19.7109375" bestFit="1" customWidth="1"/>
    <col min="31" max="31" width="11" bestFit="1" customWidth="1"/>
    <col min="32" max="32" width="11.5703125" bestFit="1" customWidth="1"/>
    <col min="33" max="33" width="9.5703125" bestFit="1" customWidth="1"/>
    <col min="34" max="37" width="12.5703125" bestFit="1" customWidth="1"/>
    <col min="38" max="38" width="10.5703125" bestFit="1" customWidth="1"/>
    <col min="39" max="42" width="12.5703125" bestFit="1" customWidth="1"/>
    <col min="43" max="43" width="10.5703125" bestFit="1" customWidth="1"/>
    <col min="44" max="44" width="8.28515625" bestFit="1" customWidth="1"/>
    <col min="45" max="48" width="11.5703125" bestFit="1" customWidth="1"/>
    <col min="49" max="49" width="10.5703125" bestFit="1" customWidth="1"/>
    <col min="50" max="53" width="12.5703125" bestFit="1" customWidth="1"/>
    <col min="54" max="54" width="11.5703125" bestFit="1" customWidth="1"/>
    <col min="55" max="55" width="9" bestFit="1" customWidth="1"/>
    <col min="56" max="59" width="12.5703125" bestFit="1" customWidth="1"/>
    <col min="60" max="60" width="11.42578125" bestFit="1" customWidth="1"/>
    <col min="61" max="64" width="12.5703125" bestFit="1" customWidth="1"/>
    <col min="65" max="65" width="11.42578125" bestFit="1" customWidth="1"/>
    <col min="66" max="66" width="8.7109375" bestFit="1" customWidth="1"/>
    <col min="67" max="70" width="11.5703125" bestFit="1" customWidth="1"/>
    <col min="71" max="71" width="10.42578125" bestFit="1" customWidth="1"/>
    <col min="72" max="75" width="12.5703125" bestFit="1" customWidth="1"/>
    <col min="76" max="76" width="11.42578125" bestFit="1" customWidth="1"/>
    <col min="77" max="80" width="12.5703125" bestFit="1" customWidth="1"/>
    <col min="81" max="81" width="11.42578125" bestFit="1" customWidth="1"/>
    <col min="82" max="82" width="8.5703125" bestFit="1" customWidth="1"/>
    <col min="83" max="86" width="12.5703125" bestFit="1" customWidth="1"/>
    <col min="87" max="87" width="11.5703125" bestFit="1" customWidth="1"/>
    <col min="88" max="88" width="9.28515625" bestFit="1" customWidth="1"/>
  </cols>
  <sheetData>
    <row r="1" spans="1:88" s="15" customFormat="1" ht="45" x14ac:dyDescent="0.25">
      <c r="A1" s="10" t="s">
        <v>23</v>
      </c>
      <c r="B1" s="10" t="s">
        <v>24</v>
      </c>
      <c r="C1" s="10" t="s">
        <v>281</v>
      </c>
      <c r="D1" s="10" t="s">
        <v>282</v>
      </c>
      <c r="E1" s="10" t="s">
        <v>77</v>
      </c>
      <c r="F1" s="10" t="s">
        <v>21</v>
      </c>
      <c r="G1" s="6" t="s">
        <v>22</v>
      </c>
      <c r="H1" s="10" t="s">
        <v>76</v>
      </c>
      <c r="I1" s="10" t="s">
        <v>283</v>
      </c>
      <c r="J1" s="10" t="s">
        <v>284</v>
      </c>
      <c r="K1" s="10" t="s">
        <v>331</v>
      </c>
      <c r="L1" s="48" t="s">
        <v>332</v>
      </c>
      <c r="M1" s="48" t="s">
        <v>333</v>
      </c>
      <c r="P1" s="46" t="s">
        <v>334</v>
      </c>
      <c r="Q1" s="46" t="s">
        <v>335</v>
      </c>
      <c r="R1" s="46" t="s">
        <v>336</v>
      </c>
      <c r="S1" s="46" t="s">
        <v>284</v>
      </c>
      <c r="T1" s="46" t="s">
        <v>23</v>
      </c>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row>
    <row r="2" spans="1:88" x14ac:dyDescent="0.25">
      <c r="A2" s="4">
        <v>1</v>
      </c>
      <c r="B2" s="4">
        <v>1</v>
      </c>
      <c r="C2" s="4">
        <v>1</v>
      </c>
      <c r="D2" s="4">
        <v>1</v>
      </c>
      <c r="E2" s="4">
        <v>1</v>
      </c>
      <c r="F2" s="4" t="s">
        <v>25</v>
      </c>
      <c r="G2" t="s">
        <v>26</v>
      </c>
      <c r="H2" s="4">
        <v>101</v>
      </c>
      <c r="I2" s="4">
        <v>1</v>
      </c>
      <c r="J2" s="38">
        <v>45443</v>
      </c>
      <c r="L2" s="47">
        <v>0.32</v>
      </c>
      <c r="M2" s="47">
        <v>5.4</v>
      </c>
      <c r="Q2" t="s">
        <v>337</v>
      </c>
      <c r="V2" t="s">
        <v>338</v>
      </c>
      <c r="W2" t="s">
        <v>339</v>
      </c>
      <c r="AB2" t="s">
        <v>340</v>
      </c>
      <c r="AC2" t="s">
        <v>341</v>
      </c>
      <c r="AR2" t="s">
        <v>342</v>
      </c>
      <c r="AS2" t="s">
        <v>343</v>
      </c>
      <c r="BC2" t="s">
        <v>344</v>
      </c>
      <c r="BD2" t="s">
        <v>345</v>
      </c>
      <c r="BN2" t="s">
        <v>346</v>
      </c>
      <c r="BO2" t="s">
        <v>537</v>
      </c>
      <c r="CD2" t="s">
        <v>538</v>
      </c>
      <c r="CE2" t="s">
        <v>539</v>
      </c>
      <c r="CJ2" t="s">
        <v>540</v>
      </c>
    </row>
    <row r="3" spans="1:88" x14ac:dyDescent="0.25">
      <c r="A3" s="4">
        <v>2</v>
      </c>
      <c r="B3" s="4">
        <v>1</v>
      </c>
      <c r="C3" s="4">
        <v>1</v>
      </c>
      <c r="D3" s="4">
        <v>2</v>
      </c>
      <c r="E3" s="4">
        <v>16</v>
      </c>
      <c r="F3" s="4" t="s">
        <v>25</v>
      </c>
      <c r="G3" t="s">
        <v>27</v>
      </c>
      <c r="H3" s="4">
        <v>201</v>
      </c>
      <c r="I3" s="4">
        <v>1</v>
      </c>
      <c r="J3" s="38">
        <v>45443</v>
      </c>
      <c r="L3" s="47">
        <v>0.34</v>
      </c>
      <c r="M3" s="47">
        <v>5.73</v>
      </c>
      <c r="Q3" t="s">
        <v>347</v>
      </c>
      <c r="U3" t="s">
        <v>348</v>
      </c>
      <c r="W3" t="s">
        <v>349</v>
      </c>
      <c r="AA3" t="s">
        <v>350</v>
      </c>
      <c r="AC3" t="s">
        <v>351</v>
      </c>
      <c r="AG3" t="s">
        <v>352</v>
      </c>
      <c r="AH3" t="s">
        <v>353</v>
      </c>
      <c r="AL3" t="s">
        <v>354</v>
      </c>
      <c r="AM3" t="s">
        <v>355</v>
      </c>
      <c r="AQ3" t="s">
        <v>356</v>
      </c>
      <c r="AS3" t="s">
        <v>357</v>
      </c>
      <c r="AW3" t="s">
        <v>358</v>
      </c>
      <c r="AX3" t="s">
        <v>359</v>
      </c>
      <c r="BB3" t="s">
        <v>360</v>
      </c>
      <c r="BD3" t="s">
        <v>361</v>
      </c>
      <c r="BH3" t="s">
        <v>362</v>
      </c>
      <c r="BI3" t="s">
        <v>541</v>
      </c>
      <c r="BM3" t="s">
        <v>542</v>
      </c>
      <c r="BO3" t="s">
        <v>543</v>
      </c>
      <c r="BS3" t="s">
        <v>544</v>
      </c>
      <c r="BT3" t="s">
        <v>545</v>
      </c>
      <c r="BX3" t="s">
        <v>546</v>
      </c>
      <c r="BY3" t="s">
        <v>547</v>
      </c>
      <c r="CC3" t="s">
        <v>548</v>
      </c>
      <c r="CE3" t="s">
        <v>549</v>
      </c>
      <c r="CI3" t="s">
        <v>550</v>
      </c>
    </row>
    <row r="4" spans="1:88" x14ac:dyDescent="0.25">
      <c r="A4" s="4">
        <v>3</v>
      </c>
      <c r="B4" s="4">
        <v>1</v>
      </c>
      <c r="C4" s="4">
        <v>1</v>
      </c>
      <c r="D4" s="4">
        <v>3</v>
      </c>
      <c r="E4" s="4">
        <v>17</v>
      </c>
      <c r="F4" s="4" t="s">
        <v>25</v>
      </c>
      <c r="G4" t="s">
        <v>28</v>
      </c>
      <c r="H4" s="4">
        <v>301</v>
      </c>
      <c r="I4" s="4">
        <v>1</v>
      </c>
      <c r="J4" s="38">
        <v>45443</v>
      </c>
      <c r="L4" s="47">
        <v>0.24</v>
      </c>
      <c r="M4" s="47">
        <v>4.1100000000000003</v>
      </c>
      <c r="Q4" s="38">
        <v>45443</v>
      </c>
      <c r="W4" s="38">
        <v>45460</v>
      </c>
      <c r="AC4" s="38">
        <v>45474</v>
      </c>
      <c r="AH4" s="38">
        <v>45487</v>
      </c>
      <c r="AM4" s="38">
        <v>45502</v>
      </c>
      <c r="AS4" s="38">
        <v>45513</v>
      </c>
      <c r="AX4" s="38">
        <v>45526</v>
      </c>
      <c r="BD4" s="38">
        <v>45548</v>
      </c>
      <c r="BI4" s="38">
        <v>45559</v>
      </c>
      <c r="BO4" s="38">
        <v>45571</v>
      </c>
      <c r="BT4" s="38">
        <v>45582</v>
      </c>
      <c r="BY4" s="38">
        <v>45594</v>
      </c>
      <c r="CE4" s="38">
        <v>45609</v>
      </c>
    </row>
    <row r="5" spans="1:88" x14ac:dyDescent="0.25">
      <c r="A5" s="4">
        <v>4</v>
      </c>
      <c r="B5" s="4">
        <v>1</v>
      </c>
      <c r="C5" s="4">
        <v>1</v>
      </c>
      <c r="D5" s="4">
        <v>4</v>
      </c>
      <c r="E5" s="4">
        <v>32</v>
      </c>
      <c r="F5" s="4" t="s">
        <v>25</v>
      </c>
      <c r="G5" t="s">
        <v>29</v>
      </c>
      <c r="H5" s="4">
        <v>401</v>
      </c>
      <c r="I5" s="4">
        <v>1</v>
      </c>
      <c r="J5" s="38">
        <v>45443</v>
      </c>
      <c r="L5" s="47">
        <v>0.26</v>
      </c>
      <c r="M5" s="47">
        <v>3.74</v>
      </c>
      <c r="P5" s="46" t="s">
        <v>24</v>
      </c>
      <c r="Q5">
        <v>1</v>
      </c>
      <c r="R5">
        <v>2</v>
      </c>
      <c r="S5">
        <v>3</v>
      </c>
      <c r="T5">
        <v>4</v>
      </c>
      <c r="W5">
        <v>1</v>
      </c>
      <c r="X5">
        <v>2</v>
      </c>
      <c r="Y5">
        <v>3</v>
      </c>
      <c r="Z5">
        <v>4</v>
      </c>
      <c r="AC5">
        <v>1</v>
      </c>
      <c r="AD5">
        <v>2</v>
      </c>
      <c r="AE5">
        <v>3</v>
      </c>
      <c r="AF5">
        <v>4</v>
      </c>
      <c r="AH5">
        <v>1</v>
      </c>
      <c r="AI5">
        <v>2</v>
      </c>
      <c r="AJ5">
        <v>3</v>
      </c>
      <c r="AK5">
        <v>4</v>
      </c>
      <c r="AM5">
        <v>1</v>
      </c>
      <c r="AN5">
        <v>2</v>
      </c>
      <c r="AO5">
        <v>3</v>
      </c>
      <c r="AP5">
        <v>4</v>
      </c>
      <c r="AS5">
        <v>1</v>
      </c>
      <c r="AT5">
        <v>2</v>
      </c>
      <c r="AU5">
        <v>3</v>
      </c>
      <c r="AV5">
        <v>4</v>
      </c>
      <c r="AX5">
        <v>1</v>
      </c>
      <c r="AY5">
        <v>2</v>
      </c>
      <c r="AZ5">
        <v>3</v>
      </c>
      <c r="BA5">
        <v>4</v>
      </c>
      <c r="BD5">
        <v>1</v>
      </c>
      <c r="BE5">
        <v>2</v>
      </c>
      <c r="BF5">
        <v>3</v>
      </c>
      <c r="BG5">
        <v>4</v>
      </c>
      <c r="BI5">
        <v>1</v>
      </c>
      <c r="BJ5">
        <v>2</v>
      </c>
      <c r="BK5">
        <v>3</v>
      </c>
      <c r="BL5">
        <v>4</v>
      </c>
      <c r="BO5">
        <v>1</v>
      </c>
      <c r="BP5">
        <v>2</v>
      </c>
      <c r="BQ5">
        <v>3</v>
      </c>
      <c r="BR5">
        <v>4</v>
      </c>
      <c r="BT5">
        <v>1</v>
      </c>
      <c r="BU5">
        <v>2</v>
      </c>
      <c r="BV5">
        <v>3</v>
      </c>
      <c r="BW5">
        <v>4</v>
      </c>
      <c r="BY5">
        <v>1</v>
      </c>
      <c r="BZ5">
        <v>2</v>
      </c>
      <c r="CA5">
        <v>3</v>
      </c>
      <c r="CB5">
        <v>4</v>
      </c>
      <c r="CE5">
        <v>1</v>
      </c>
      <c r="CF5">
        <v>2</v>
      </c>
      <c r="CG5">
        <v>3</v>
      </c>
      <c r="CH5">
        <v>4</v>
      </c>
    </row>
    <row r="6" spans="1:88" x14ac:dyDescent="0.25">
      <c r="A6" s="4">
        <v>4</v>
      </c>
      <c r="B6" s="4">
        <v>2</v>
      </c>
      <c r="C6" s="4">
        <v>1</v>
      </c>
      <c r="D6" s="4">
        <v>5</v>
      </c>
      <c r="E6" s="4">
        <v>31</v>
      </c>
      <c r="F6" s="4" t="s">
        <v>30</v>
      </c>
      <c r="G6" t="s">
        <v>32</v>
      </c>
      <c r="H6" s="4">
        <v>402</v>
      </c>
      <c r="I6" s="4">
        <v>1</v>
      </c>
      <c r="J6" s="38">
        <v>45443</v>
      </c>
      <c r="L6" s="47">
        <v>0.18</v>
      </c>
      <c r="M6" s="47">
        <v>2.34</v>
      </c>
      <c r="P6">
        <v>1</v>
      </c>
      <c r="Q6">
        <v>0.32</v>
      </c>
      <c r="R6">
        <v>0.34</v>
      </c>
      <c r="S6">
        <v>0.24</v>
      </c>
      <c r="T6">
        <v>0.26</v>
      </c>
      <c r="U6">
        <v>1.1600000000000001</v>
      </c>
      <c r="V6">
        <v>1.1600000000000001</v>
      </c>
      <c r="W6">
        <v>0.45</v>
      </c>
      <c r="X6">
        <v>0.45</v>
      </c>
      <c r="Y6">
        <v>0.37</v>
      </c>
      <c r="Z6">
        <v>0.33</v>
      </c>
      <c r="AA6">
        <v>1.6</v>
      </c>
      <c r="AB6">
        <v>1.6</v>
      </c>
      <c r="AC6">
        <v>0.56000000000000005</v>
      </c>
      <c r="AD6">
        <v>0.56999999999999995</v>
      </c>
      <c r="AE6">
        <v>0.49</v>
      </c>
      <c r="AF6">
        <v>0.44</v>
      </c>
      <c r="AG6">
        <v>2.06</v>
      </c>
      <c r="AH6">
        <v>0.63</v>
      </c>
      <c r="AI6">
        <v>0.63</v>
      </c>
      <c r="AJ6">
        <v>0.56000000000000005</v>
      </c>
      <c r="AK6">
        <v>0.54</v>
      </c>
      <c r="AL6">
        <v>2.3600000000000003</v>
      </c>
      <c r="AM6">
        <v>0.67</v>
      </c>
      <c r="AN6">
        <v>0.66</v>
      </c>
      <c r="AO6">
        <v>0.59</v>
      </c>
      <c r="AP6">
        <v>0.56999999999999995</v>
      </c>
      <c r="AQ6">
        <v>2.4899999999999998</v>
      </c>
      <c r="AR6">
        <v>6.91</v>
      </c>
      <c r="AS6">
        <v>0.71</v>
      </c>
      <c r="AT6">
        <v>0.71</v>
      </c>
      <c r="AU6">
        <v>0.63</v>
      </c>
      <c r="AV6">
        <v>0.59</v>
      </c>
      <c r="AW6">
        <v>2.6399999999999997</v>
      </c>
      <c r="AX6">
        <v>0.68</v>
      </c>
      <c r="AY6">
        <v>0.63</v>
      </c>
      <c r="AZ6">
        <v>0.5</v>
      </c>
      <c r="BA6">
        <v>0.51</v>
      </c>
      <c r="BB6">
        <v>2.3200000000000003</v>
      </c>
      <c r="BC6">
        <v>4.9599999999999991</v>
      </c>
      <c r="BD6">
        <v>0.81</v>
      </c>
      <c r="BE6">
        <v>0.84</v>
      </c>
      <c r="BF6">
        <v>0.81</v>
      </c>
      <c r="BG6">
        <v>0.81</v>
      </c>
      <c r="BH6">
        <v>3.27</v>
      </c>
      <c r="BI6">
        <v>0.81</v>
      </c>
      <c r="BJ6">
        <v>0.79</v>
      </c>
      <c r="BK6">
        <v>0.77</v>
      </c>
      <c r="BL6">
        <v>0.81</v>
      </c>
      <c r="BM6">
        <v>3.18</v>
      </c>
      <c r="BN6">
        <v>6.4500000000000011</v>
      </c>
      <c r="BO6">
        <v>0.74</v>
      </c>
      <c r="BP6">
        <v>0.73</v>
      </c>
      <c r="BQ6">
        <v>0.73</v>
      </c>
      <c r="BR6">
        <v>0.75</v>
      </c>
      <c r="BS6">
        <v>2.95</v>
      </c>
      <c r="BT6">
        <v>0.6</v>
      </c>
      <c r="BU6">
        <v>0.57999999999999996</v>
      </c>
      <c r="BV6">
        <v>0.51</v>
      </c>
      <c r="BW6">
        <v>0.6</v>
      </c>
      <c r="BX6">
        <v>2.29</v>
      </c>
      <c r="BY6">
        <v>0.48</v>
      </c>
      <c r="BZ6">
        <v>0.36</v>
      </c>
      <c r="CA6">
        <v>0.32</v>
      </c>
      <c r="CB6">
        <v>0.35</v>
      </c>
      <c r="CC6">
        <v>1.5099999999999998</v>
      </c>
      <c r="CD6">
        <v>6.7499999999999991</v>
      </c>
      <c r="CE6">
        <v>0.13</v>
      </c>
      <c r="CF6">
        <v>0.11</v>
      </c>
      <c r="CG6">
        <v>0.11</v>
      </c>
      <c r="CH6">
        <v>0.1</v>
      </c>
      <c r="CI6">
        <v>0.44999999999999996</v>
      </c>
      <c r="CJ6">
        <v>0.44999999999999996</v>
      </c>
    </row>
    <row r="7" spans="1:88" x14ac:dyDescent="0.25">
      <c r="A7" s="4">
        <v>3</v>
      </c>
      <c r="B7" s="4">
        <v>2</v>
      </c>
      <c r="C7" s="4">
        <v>1</v>
      </c>
      <c r="D7" s="4">
        <v>6</v>
      </c>
      <c r="E7" s="4">
        <v>18</v>
      </c>
      <c r="F7" s="4" t="s">
        <v>30</v>
      </c>
      <c r="G7" t="s">
        <v>29</v>
      </c>
      <c r="H7" s="4">
        <v>302</v>
      </c>
      <c r="I7" s="4">
        <v>1</v>
      </c>
      <c r="J7" s="38">
        <v>45443</v>
      </c>
      <c r="L7" s="47">
        <v>0.18</v>
      </c>
      <c r="M7" s="47">
        <v>2.13</v>
      </c>
      <c r="P7">
        <v>2</v>
      </c>
      <c r="Q7">
        <v>0.18</v>
      </c>
      <c r="R7">
        <v>0.18</v>
      </c>
      <c r="S7">
        <v>0.18</v>
      </c>
      <c r="T7">
        <v>0.18</v>
      </c>
      <c r="U7">
        <v>0.72</v>
      </c>
      <c r="V7">
        <v>0.72</v>
      </c>
      <c r="W7">
        <v>0.18</v>
      </c>
      <c r="X7">
        <v>0.18</v>
      </c>
      <c r="Y7">
        <v>0.16</v>
      </c>
      <c r="Z7">
        <v>0.19</v>
      </c>
      <c r="AA7">
        <v>0.71</v>
      </c>
      <c r="AB7">
        <v>0.71</v>
      </c>
      <c r="AC7">
        <v>0.26</v>
      </c>
      <c r="AD7">
        <v>0.23</v>
      </c>
      <c r="AE7">
        <v>0.21</v>
      </c>
      <c r="AF7">
        <v>0.28000000000000003</v>
      </c>
      <c r="AG7">
        <v>0.98</v>
      </c>
      <c r="AH7">
        <v>0.36</v>
      </c>
      <c r="AI7">
        <v>0.28000000000000003</v>
      </c>
      <c r="AJ7">
        <v>0.27</v>
      </c>
      <c r="AK7">
        <v>0.39</v>
      </c>
      <c r="AL7">
        <v>1.3</v>
      </c>
      <c r="AM7">
        <v>0.51</v>
      </c>
      <c r="AN7">
        <v>0.47</v>
      </c>
      <c r="AO7">
        <v>0.41</v>
      </c>
      <c r="AP7">
        <v>0.56000000000000005</v>
      </c>
      <c r="AQ7">
        <v>1.95</v>
      </c>
      <c r="AR7">
        <v>4.2300000000000004</v>
      </c>
      <c r="AS7">
        <v>0.64</v>
      </c>
      <c r="AT7">
        <v>0.52</v>
      </c>
      <c r="AU7">
        <v>0.45</v>
      </c>
      <c r="AV7">
        <v>0.65</v>
      </c>
      <c r="AW7">
        <v>2.2600000000000002</v>
      </c>
      <c r="AX7">
        <v>0.73</v>
      </c>
      <c r="AY7">
        <v>0.67</v>
      </c>
      <c r="AZ7">
        <v>0.56000000000000005</v>
      </c>
      <c r="BA7">
        <v>0.79</v>
      </c>
      <c r="BB7">
        <v>2.75</v>
      </c>
      <c r="BC7">
        <v>5.0100000000000007</v>
      </c>
      <c r="BD7">
        <v>0.85</v>
      </c>
      <c r="BE7">
        <v>0.81</v>
      </c>
      <c r="BF7">
        <v>0.76</v>
      </c>
      <c r="BG7">
        <v>0.83</v>
      </c>
      <c r="BH7">
        <v>3.25</v>
      </c>
      <c r="BI7">
        <v>0.78</v>
      </c>
      <c r="BJ7">
        <v>0.76</v>
      </c>
      <c r="BK7">
        <v>0.74</v>
      </c>
      <c r="BL7">
        <v>0.72</v>
      </c>
      <c r="BM7">
        <v>3</v>
      </c>
      <c r="BN7">
        <v>6.25</v>
      </c>
      <c r="BO7">
        <v>0.74</v>
      </c>
      <c r="BP7">
        <v>0.69</v>
      </c>
      <c r="BQ7">
        <v>0.69</v>
      </c>
      <c r="BR7">
        <v>0.73</v>
      </c>
      <c r="BS7">
        <v>2.85</v>
      </c>
      <c r="BT7">
        <v>0.61</v>
      </c>
      <c r="BU7">
        <v>0.55000000000000004</v>
      </c>
      <c r="BV7">
        <v>0.54</v>
      </c>
      <c r="BW7">
        <v>0.54</v>
      </c>
      <c r="BX7">
        <v>2.2400000000000002</v>
      </c>
      <c r="BY7">
        <v>0.41</v>
      </c>
      <c r="BZ7">
        <v>0.37</v>
      </c>
      <c r="CA7">
        <v>0.4</v>
      </c>
      <c r="CB7">
        <v>0.42</v>
      </c>
      <c r="CC7">
        <v>1.6</v>
      </c>
      <c r="CD7">
        <v>6.69</v>
      </c>
      <c r="CE7">
        <v>0.14000000000000001</v>
      </c>
      <c r="CF7">
        <v>0.12</v>
      </c>
      <c r="CG7">
        <v>0.11</v>
      </c>
      <c r="CH7">
        <v>0.13</v>
      </c>
      <c r="CI7">
        <v>0.5</v>
      </c>
      <c r="CJ7">
        <v>0.5</v>
      </c>
    </row>
    <row r="8" spans="1:88" x14ac:dyDescent="0.25">
      <c r="A8" s="4">
        <v>2</v>
      </c>
      <c r="B8" s="4">
        <v>2</v>
      </c>
      <c r="C8" s="4">
        <v>1</v>
      </c>
      <c r="D8" s="4">
        <v>7</v>
      </c>
      <c r="E8" s="4">
        <v>15</v>
      </c>
      <c r="F8" s="4" t="s">
        <v>30</v>
      </c>
      <c r="G8" t="s">
        <v>28</v>
      </c>
      <c r="H8" s="4">
        <v>202</v>
      </c>
      <c r="I8" s="4">
        <v>1</v>
      </c>
      <c r="J8" s="38">
        <v>45443</v>
      </c>
      <c r="L8" s="47">
        <v>0.18</v>
      </c>
      <c r="M8" s="47">
        <v>2.2999999999999998</v>
      </c>
      <c r="P8">
        <v>3</v>
      </c>
      <c r="Q8">
        <v>0.3</v>
      </c>
      <c r="R8">
        <v>0.31</v>
      </c>
      <c r="S8">
        <v>0.25</v>
      </c>
      <c r="T8">
        <v>0.25</v>
      </c>
      <c r="U8">
        <v>1.1099999999999999</v>
      </c>
      <c r="V8">
        <v>1.1099999999999999</v>
      </c>
      <c r="W8">
        <v>0.37</v>
      </c>
      <c r="X8">
        <v>0.34</v>
      </c>
      <c r="Y8">
        <v>0.41</v>
      </c>
      <c r="Z8">
        <v>0.33</v>
      </c>
      <c r="AA8">
        <v>1.45</v>
      </c>
      <c r="AB8">
        <v>1.45</v>
      </c>
      <c r="AC8">
        <v>0.46</v>
      </c>
      <c r="AD8">
        <v>0.43</v>
      </c>
      <c r="AE8">
        <v>0.49</v>
      </c>
      <c r="AF8">
        <v>0.38</v>
      </c>
      <c r="AG8">
        <v>1.7599999999999998</v>
      </c>
      <c r="AH8">
        <v>0.56000000000000005</v>
      </c>
      <c r="AI8">
        <v>0.47</v>
      </c>
      <c r="AJ8">
        <v>0.56000000000000005</v>
      </c>
      <c r="AK8">
        <v>0.41</v>
      </c>
      <c r="AL8">
        <v>2</v>
      </c>
      <c r="AM8">
        <v>0.6</v>
      </c>
      <c r="AN8">
        <v>0.62</v>
      </c>
      <c r="AO8">
        <v>0.61</v>
      </c>
      <c r="AP8">
        <v>0.54</v>
      </c>
      <c r="AQ8">
        <v>2.37</v>
      </c>
      <c r="AR8">
        <v>6.1300000000000008</v>
      </c>
      <c r="AS8">
        <v>0.68</v>
      </c>
      <c r="AT8">
        <v>0.6</v>
      </c>
      <c r="AU8">
        <v>0.68</v>
      </c>
      <c r="AV8">
        <v>0.6</v>
      </c>
      <c r="AW8">
        <v>2.56</v>
      </c>
      <c r="AX8">
        <v>0.6</v>
      </c>
      <c r="AY8">
        <v>0.62</v>
      </c>
      <c r="AZ8">
        <v>0.64</v>
      </c>
      <c r="BA8">
        <v>0.61</v>
      </c>
      <c r="BB8">
        <v>2.4699999999999998</v>
      </c>
      <c r="BC8">
        <v>5.03</v>
      </c>
      <c r="BD8">
        <v>0.86</v>
      </c>
      <c r="BE8">
        <v>0.79</v>
      </c>
      <c r="BF8">
        <v>0.79</v>
      </c>
      <c r="BG8">
        <v>0.81</v>
      </c>
      <c r="BH8">
        <v>3.25</v>
      </c>
      <c r="BI8">
        <v>0.83</v>
      </c>
      <c r="BJ8">
        <v>0.74</v>
      </c>
      <c r="BK8">
        <v>0.79</v>
      </c>
      <c r="BL8">
        <v>0.73</v>
      </c>
      <c r="BM8">
        <v>3.09</v>
      </c>
      <c r="BN8">
        <v>6.34</v>
      </c>
      <c r="BO8">
        <v>0.75</v>
      </c>
      <c r="BP8">
        <v>0.69</v>
      </c>
      <c r="BQ8">
        <v>0.74</v>
      </c>
      <c r="BR8">
        <v>0.7</v>
      </c>
      <c r="BS8">
        <v>2.88</v>
      </c>
      <c r="BT8">
        <v>0.63</v>
      </c>
      <c r="BU8">
        <v>0.51</v>
      </c>
      <c r="BV8">
        <v>0.59</v>
      </c>
      <c r="BW8">
        <v>0.47</v>
      </c>
      <c r="BX8">
        <v>2.2000000000000002</v>
      </c>
      <c r="BY8">
        <v>0.43</v>
      </c>
      <c r="BZ8">
        <v>0.31</v>
      </c>
      <c r="CA8">
        <v>0.5</v>
      </c>
      <c r="CB8">
        <v>0.28000000000000003</v>
      </c>
      <c r="CC8">
        <v>1.52</v>
      </c>
      <c r="CD8">
        <v>6.5999999999999988</v>
      </c>
      <c r="CE8">
        <v>0.11</v>
      </c>
      <c r="CF8">
        <v>7.0000000000000007E-2</v>
      </c>
      <c r="CG8">
        <v>0.13</v>
      </c>
      <c r="CH8">
        <v>0.12</v>
      </c>
      <c r="CI8">
        <v>0.43</v>
      </c>
      <c r="CJ8">
        <v>0.43</v>
      </c>
    </row>
    <row r="9" spans="1:88" x14ac:dyDescent="0.25">
      <c r="A9" s="4">
        <v>1</v>
      </c>
      <c r="B9" s="4">
        <v>2</v>
      </c>
      <c r="C9" s="4">
        <v>1</v>
      </c>
      <c r="D9" s="4">
        <v>8</v>
      </c>
      <c r="E9" s="4">
        <v>2</v>
      </c>
      <c r="F9" s="4" t="s">
        <v>30</v>
      </c>
      <c r="G9" t="s">
        <v>31</v>
      </c>
      <c r="H9" s="4">
        <v>102</v>
      </c>
      <c r="I9" s="4">
        <v>1</v>
      </c>
      <c r="J9" s="38">
        <v>45443</v>
      </c>
      <c r="L9" s="47">
        <v>0.18</v>
      </c>
      <c r="M9" s="47">
        <v>2.1800000000000002</v>
      </c>
      <c r="P9">
        <v>4</v>
      </c>
      <c r="Q9">
        <v>0.17</v>
      </c>
      <c r="R9">
        <v>0.17</v>
      </c>
      <c r="S9">
        <v>0.17</v>
      </c>
      <c r="T9">
        <v>0.17</v>
      </c>
      <c r="U9">
        <v>0.68</v>
      </c>
      <c r="V9">
        <v>0.68</v>
      </c>
      <c r="W9">
        <v>0.16</v>
      </c>
      <c r="X9">
        <v>0.18</v>
      </c>
      <c r="Y9">
        <v>0.16</v>
      </c>
      <c r="Z9">
        <v>0.16</v>
      </c>
      <c r="AA9">
        <v>0.66</v>
      </c>
      <c r="AB9">
        <v>0.66</v>
      </c>
      <c r="AC9">
        <v>0.24</v>
      </c>
      <c r="AD9">
        <v>0.31</v>
      </c>
      <c r="AE9">
        <v>0.23</v>
      </c>
      <c r="AF9">
        <v>0.21</v>
      </c>
      <c r="AG9">
        <v>0.99</v>
      </c>
      <c r="AH9">
        <v>0.37</v>
      </c>
      <c r="AI9">
        <v>0.42</v>
      </c>
      <c r="AJ9">
        <v>0.36</v>
      </c>
      <c r="AK9">
        <v>0.32</v>
      </c>
      <c r="AL9">
        <v>1.47</v>
      </c>
      <c r="AM9">
        <v>0.47</v>
      </c>
      <c r="AN9">
        <v>0.55000000000000004</v>
      </c>
      <c r="AO9">
        <v>0.45</v>
      </c>
      <c r="AP9">
        <v>0.39</v>
      </c>
      <c r="AQ9">
        <v>1.8599999999999999</v>
      </c>
      <c r="AR9">
        <v>4.3199999999999994</v>
      </c>
      <c r="AS9">
        <v>0.54</v>
      </c>
      <c r="AT9">
        <v>0.62</v>
      </c>
      <c r="AU9">
        <v>0.55000000000000004</v>
      </c>
      <c r="AV9">
        <v>0.53</v>
      </c>
      <c r="AW9">
        <v>2.2400000000000002</v>
      </c>
      <c r="AX9">
        <v>0.64</v>
      </c>
      <c r="AY9">
        <v>0.77</v>
      </c>
      <c r="AZ9">
        <v>0.71</v>
      </c>
      <c r="BA9">
        <v>0.65</v>
      </c>
      <c r="BB9">
        <v>2.77</v>
      </c>
      <c r="BC9">
        <v>5.0100000000000007</v>
      </c>
      <c r="BD9">
        <v>0.81</v>
      </c>
      <c r="BE9">
        <v>0.83</v>
      </c>
      <c r="BF9">
        <v>0.83</v>
      </c>
      <c r="BG9">
        <v>0.77</v>
      </c>
      <c r="BH9">
        <v>3.24</v>
      </c>
      <c r="BI9">
        <v>0.76</v>
      </c>
      <c r="BJ9">
        <v>0.75</v>
      </c>
      <c r="BK9">
        <v>0.77</v>
      </c>
      <c r="BL9">
        <v>0.71</v>
      </c>
      <c r="BM9">
        <v>2.99</v>
      </c>
      <c r="BN9">
        <v>6.2299999999999995</v>
      </c>
      <c r="BO9">
        <v>0.73</v>
      </c>
      <c r="BP9">
        <v>0.75</v>
      </c>
      <c r="BQ9">
        <v>0.75</v>
      </c>
      <c r="BR9">
        <v>0.67</v>
      </c>
      <c r="BS9">
        <v>2.9</v>
      </c>
      <c r="BT9">
        <v>0.6</v>
      </c>
      <c r="BU9">
        <v>0.61</v>
      </c>
      <c r="BV9">
        <v>0.6</v>
      </c>
      <c r="BW9">
        <v>0.45</v>
      </c>
      <c r="BX9">
        <v>2.2600000000000002</v>
      </c>
      <c r="BY9">
        <v>0.43</v>
      </c>
      <c r="BZ9">
        <v>0.41</v>
      </c>
      <c r="CA9">
        <v>0.41</v>
      </c>
      <c r="CB9">
        <v>0.33</v>
      </c>
      <c r="CC9">
        <v>1.58</v>
      </c>
      <c r="CD9">
        <v>6.74</v>
      </c>
      <c r="CE9">
        <v>0.14000000000000001</v>
      </c>
      <c r="CF9">
        <v>0.13</v>
      </c>
      <c r="CG9">
        <v>0.12</v>
      </c>
      <c r="CH9">
        <v>0.12</v>
      </c>
      <c r="CI9">
        <v>0.51</v>
      </c>
      <c r="CJ9">
        <v>0.51</v>
      </c>
    </row>
    <row r="10" spans="1:88" x14ac:dyDescent="0.25">
      <c r="A10" s="4">
        <v>1</v>
      </c>
      <c r="B10" s="4">
        <v>3</v>
      </c>
      <c r="C10" s="4">
        <v>2</v>
      </c>
      <c r="D10" s="4">
        <v>9</v>
      </c>
      <c r="E10" s="4">
        <v>3</v>
      </c>
      <c r="F10" s="4" t="s">
        <v>25</v>
      </c>
      <c r="G10" t="s">
        <v>27</v>
      </c>
      <c r="H10" s="4">
        <v>103</v>
      </c>
      <c r="I10" s="4">
        <v>1</v>
      </c>
      <c r="J10" s="38">
        <v>45443</v>
      </c>
      <c r="L10" s="47">
        <v>0.3</v>
      </c>
      <c r="M10" s="47">
        <v>5.68</v>
      </c>
      <c r="P10">
        <v>5</v>
      </c>
      <c r="Q10">
        <v>0.24</v>
      </c>
      <c r="R10">
        <v>0.28999999999999998</v>
      </c>
      <c r="S10">
        <v>0.25</v>
      </c>
      <c r="T10">
        <v>0.31</v>
      </c>
      <c r="U10">
        <v>1.0900000000000001</v>
      </c>
      <c r="V10">
        <v>1.0900000000000001</v>
      </c>
      <c r="W10">
        <v>0.34</v>
      </c>
      <c r="X10">
        <v>0.41</v>
      </c>
      <c r="Y10">
        <v>0.31</v>
      </c>
      <c r="Z10">
        <v>0.42</v>
      </c>
      <c r="AA10">
        <v>1.48</v>
      </c>
      <c r="AB10">
        <v>1.48</v>
      </c>
      <c r="AC10">
        <v>0.5</v>
      </c>
      <c r="AD10">
        <v>0.6</v>
      </c>
      <c r="AE10">
        <v>0.49</v>
      </c>
      <c r="AF10">
        <v>0.55000000000000004</v>
      </c>
      <c r="AG10">
        <v>2.14</v>
      </c>
      <c r="AH10">
        <v>0.52</v>
      </c>
      <c r="AI10">
        <v>0.69</v>
      </c>
      <c r="AJ10">
        <v>0.54</v>
      </c>
      <c r="AK10">
        <v>0.66</v>
      </c>
      <c r="AL10">
        <v>2.41</v>
      </c>
      <c r="AM10">
        <v>0.57999999999999996</v>
      </c>
      <c r="AN10">
        <v>0.72</v>
      </c>
      <c r="AO10">
        <v>0.51</v>
      </c>
      <c r="AP10">
        <v>0.71</v>
      </c>
      <c r="AQ10">
        <v>2.5199999999999996</v>
      </c>
      <c r="AR10">
        <v>7.0699999999999994</v>
      </c>
      <c r="AS10">
        <v>0.56999999999999995</v>
      </c>
      <c r="AT10">
        <v>0.69</v>
      </c>
      <c r="AU10">
        <v>0.53</v>
      </c>
      <c r="AV10">
        <v>0.73</v>
      </c>
      <c r="AW10">
        <v>2.5199999999999996</v>
      </c>
      <c r="AX10">
        <v>0.69</v>
      </c>
      <c r="AY10">
        <v>0.7</v>
      </c>
      <c r="AZ10">
        <v>0.56000000000000005</v>
      </c>
      <c r="BA10">
        <v>0.68</v>
      </c>
      <c r="BB10">
        <v>2.63</v>
      </c>
      <c r="BC10">
        <v>5.1499999999999986</v>
      </c>
      <c r="BD10">
        <v>0.81</v>
      </c>
      <c r="BE10">
        <v>0.8</v>
      </c>
      <c r="BF10">
        <v>0.8</v>
      </c>
      <c r="BG10">
        <v>0.86</v>
      </c>
      <c r="BH10">
        <v>3.27</v>
      </c>
      <c r="BI10">
        <v>0.79</v>
      </c>
      <c r="BJ10">
        <v>0.81</v>
      </c>
      <c r="BK10">
        <v>0.75</v>
      </c>
      <c r="BL10">
        <v>0.82</v>
      </c>
      <c r="BM10">
        <v>3.17</v>
      </c>
      <c r="BN10">
        <v>6.4400000000000013</v>
      </c>
      <c r="BO10">
        <v>0.74</v>
      </c>
      <c r="BP10">
        <v>0.79</v>
      </c>
      <c r="BQ10">
        <v>0.71</v>
      </c>
      <c r="BR10">
        <v>0.75</v>
      </c>
      <c r="BS10">
        <v>2.99</v>
      </c>
      <c r="BT10">
        <v>0.59</v>
      </c>
      <c r="BU10">
        <v>0.62</v>
      </c>
      <c r="BV10">
        <v>0.56000000000000005</v>
      </c>
      <c r="BW10">
        <v>0.56999999999999995</v>
      </c>
      <c r="BX10">
        <v>2.34</v>
      </c>
      <c r="BY10">
        <v>0.38</v>
      </c>
      <c r="BZ10">
        <v>0.54</v>
      </c>
      <c r="CA10">
        <v>0.33</v>
      </c>
      <c r="CB10">
        <v>0.36</v>
      </c>
      <c r="CC10">
        <v>1.6099999999999999</v>
      </c>
      <c r="CD10">
        <v>6.94</v>
      </c>
      <c r="CE10">
        <v>0.11</v>
      </c>
      <c r="CF10">
        <v>0.12</v>
      </c>
      <c r="CG10">
        <v>0.1</v>
      </c>
      <c r="CH10">
        <v>0.1</v>
      </c>
      <c r="CI10">
        <v>0.42999999999999994</v>
      </c>
      <c r="CJ10">
        <v>0.42999999999999994</v>
      </c>
    </row>
    <row r="11" spans="1:88" x14ac:dyDescent="0.25">
      <c r="A11" s="4">
        <v>2</v>
      </c>
      <c r="B11" s="4">
        <v>3</v>
      </c>
      <c r="C11" s="4">
        <v>2</v>
      </c>
      <c r="D11" s="4">
        <v>10</v>
      </c>
      <c r="E11" s="4">
        <v>14</v>
      </c>
      <c r="F11" s="4" t="s">
        <v>25</v>
      </c>
      <c r="G11" t="s">
        <v>29</v>
      </c>
      <c r="H11" s="4">
        <v>203</v>
      </c>
      <c r="I11" s="4">
        <v>1</v>
      </c>
      <c r="J11" s="38">
        <v>45443</v>
      </c>
      <c r="L11" s="47">
        <v>0.31</v>
      </c>
      <c r="M11" s="47">
        <v>8.59</v>
      </c>
      <c r="P11">
        <v>6</v>
      </c>
      <c r="Q11">
        <v>0.15</v>
      </c>
      <c r="R11">
        <v>0.15</v>
      </c>
      <c r="S11">
        <v>0.18</v>
      </c>
      <c r="T11">
        <v>0.18</v>
      </c>
      <c r="U11">
        <v>0.65999999999999992</v>
      </c>
      <c r="V11">
        <v>0.65999999999999992</v>
      </c>
      <c r="W11">
        <v>0.16</v>
      </c>
      <c r="X11">
        <v>0.16</v>
      </c>
      <c r="Y11">
        <v>0.21</v>
      </c>
      <c r="Z11">
        <v>0.18</v>
      </c>
      <c r="AA11">
        <v>0.71</v>
      </c>
      <c r="AB11">
        <v>0.71</v>
      </c>
      <c r="AC11">
        <v>0.23</v>
      </c>
      <c r="AD11">
        <v>0.26</v>
      </c>
      <c r="AE11">
        <v>0.27</v>
      </c>
      <c r="AF11">
        <v>0.25</v>
      </c>
      <c r="AG11">
        <v>1.01</v>
      </c>
      <c r="AH11">
        <v>0.39</v>
      </c>
      <c r="AI11">
        <v>0.36</v>
      </c>
      <c r="AJ11">
        <v>0.39</v>
      </c>
      <c r="AK11">
        <v>0.36</v>
      </c>
      <c r="AL11">
        <v>1.5</v>
      </c>
      <c r="AM11">
        <v>0.45</v>
      </c>
      <c r="AN11">
        <v>0.48</v>
      </c>
      <c r="AO11">
        <v>0.56000000000000005</v>
      </c>
      <c r="AP11">
        <v>0.51</v>
      </c>
      <c r="AQ11">
        <v>2</v>
      </c>
      <c r="AR11">
        <v>4.51</v>
      </c>
      <c r="AS11">
        <v>0.54</v>
      </c>
      <c r="AT11">
        <v>0.56999999999999995</v>
      </c>
      <c r="AU11">
        <v>0.66</v>
      </c>
      <c r="AV11">
        <v>0.59</v>
      </c>
      <c r="AW11">
        <v>2.36</v>
      </c>
      <c r="AX11">
        <v>0.64</v>
      </c>
      <c r="AY11">
        <v>0.69</v>
      </c>
      <c r="AZ11">
        <v>0.76</v>
      </c>
      <c r="BA11">
        <v>0.66</v>
      </c>
      <c r="BB11">
        <v>2.75</v>
      </c>
      <c r="BC11">
        <v>5.1100000000000003</v>
      </c>
      <c r="BD11">
        <v>0.79</v>
      </c>
      <c r="BE11">
        <v>0.83</v>
      </c>
      <c r="BF11">
        <v>0.82</v>
      </c>
      <c r="BG11">
        <v>0.79</v>
      </c>
      <c r="BH11">
        <v>3.23</v>
      </c>
      <c r="BI11">
        <v>0.78</v>
      </c>
      <c r="BJ11">
        <v>0.79</v>
      </c>
      <c r="BK11">
        <v>0.78</v>
      </c>
      <c r="BL11">
        <v>0.74</v>
      </c>
      <c r="BM11">
        <v>3.09</v>
      </c>
      <c r="BN11">
        <v>6.32</v>
      </c>
      <c r="BO11">
        <v>0.73</v>
      </c>
      <c r="BP11">
        <v>0.76</v>
      </c>
      <c r="BQ11">
        <v>0.77</v>
      </c>
      <c r="BR11">
        <v>0.71</v>
      </c>
      <c r="BS11">
        <v>2.9699999999999998</v>
      </c>
      <c r="BT11">
        <v>0.6</v>
      </c>
      <c r="BU11">
        <v>0.65</v>
      </c>
      <c r="BV11">
        <v>0.62</v>
      </c>
      <c r="BW11">
        <v>0.47</v>
      </c>
      <c r="BX11">
        <v>2.34</v>
      </c>
      <c r="BY11">
        <v>0.47</v>
      </c>
      <c r="BZ11">
        <v>0.44</v>
      </c>
      <c r="CA11">
        <v>0.43</v>
      </c>
      <c r="CB11">
        <v>0.33</v>
      </c>
      <c r="CC11">
        <v>1.67</v>
      </c>
      <c r="CD11">
        <v>6.9799999999999995</v>
      </c>
      <c r="CE11">
        <v>0.13</v>
      </c>
      <c r="CF11">
        <v>0.12</v>
      </c>
      <c r="CG11">
        <v>0.14000000000000001</v>
      </c>
      <c r="CH11">
        <v>0.12</v>
      </c>
      <c r="CI11">
        <v>0.51</v>
      </c>
      <c r="CJ11">
        <v>0.51</v>
      </c>
    </row>
    <row r="12" spans="1:88" x14ac:dyDescent="0.25">
      <c r="A12" s="4">
        <v>3</v>
      </c>
      <c r="B12" s="4">
        <v>3</v>
      </c>
      <c r="C12" s="4">
        <v>2</v>
      </c>
      <c r="D12" s="4">
        <v>11</v>
      </c>
      <c r="E12" s="4">
        <v>19</v>
      </c>
      <c r="F12" s="4" t="s">
        <v>25</v>
      </c>
      <c r="G12" t="s">
        <v>26</v>
      </c>
      <c r="H12" s="4">
        <v>303</v>
      </c>
      <c r="I12" s="4">
        <v>1</v>
      </c>
      <c r="J12" s="38">
        <v>45443</v>
      </c>
      <c r="L12" s="47">
        <v>0.25</v>
      </c>
      <c r="M12" s="47">
        <v>5.83</v>
      </c>
      <c r="P12">
        <v>7</v>
      </c>
      <c r="Q12">
        <v>0.28999999999999998</v>
      </c>
      <c r="R12">
        <v>0.25</v>
      </c>
      <c r="S12">
        <v>0.26</v>
      </c>
      <c r="T12">
        <v>0.31</v>
      </c>
      <c r="U12">
        <v>1.1100000000000001</v>
      </c>
      <c r="V12">
        <v>1.1100000000000001</v>
      </c>
      <c r="W12">
        <v>0.45</v>
      </c>
      <c r="X12">
        <v>0.32</v>
      </c>
      <c r="Y12">
        <v>0.32</v>
      </c>
      <c r="Z12">
        <v>0.37</v>
      </c>
      <c r="AA12">
        <v>1.46</v>
      </c>
      <c r="AB12">
        <v>1.46</v>
      </c>
      <c r="AC12">
        <v>0.59</v>
      </c>
      <c r="AD12">
        <v>0.41</v>
      </c>
      <c r="AE12">
        <v>0.46</v>
      </c>
      <c r="AF12">
        <v>0.44</v>
      </c>
      <c r="AG12">
        <v>1.9</v>
      </c>
      <c r="AH12">
        <v>0.59</v>
      </c>
      <c r="AI12">
        <v>0.43</v>
      </c>
      <c r="AJ12">
        <v>0.49</v>
      </c>
      <c r="AK12">
        <v>0.53</v>
      </c>
      <c r="AL12">
        <v>2.04</v>
      </c>
      <c r="AM12">
        <v>0.66</v>
      </c>
      <c r="AN12">
        <v>0.57999999999999996</v>
      </c>
      <c r="AO12">
        <v>0.63</v>
      </c>
      <c r="AP12">
        <v>0.61</v>
      </c>
      <c r="AQ12">
        <v>2.48</v>
      </c>
      <c r="AR12">
        <v>6.4200000000000008</v>
      </c>
      <c r="AS12">
        <v>0.62</v>
      </c>
      <c r="AT12">
        <v>0.61</v>
      </c>
      <c r="AU12">
        <v>0.62</v>
      </c>
      <c r="AV12">
        <v>0.7</v>
      </c>
      <c r="AW12">
        <v>2.5499999999999998</v>
      </c>
      <c r="AX12">
        <v>0.53</v>
      </c>
      <c r="AY12">
        <v>0.57999999999999996</v>
      </c>
      <c r="AZ12">
        <v>0.59</v>
      </c>
      <c r="BA12">
        <v>0.57999999999999996</v>
      </c>
      <c r="BB12">
        <v>2.2799999999999998</v>
      </c>
      <c r="BC12">
        <v>4.83</v>
      </c>
      <c r="BD12">
        <v>0.81</v>
      </c>
      <c r="BE12">
        <v>0.78</v>
      </c>
      <c r="BF12">
        <v>0.81</v>
      </c>
      <c r="BG12">
        <v>0.8</v>
      </c>
      <c r="BH12">
        <v>3.2</v>
      </c>
      <c r="BI12">
        <v>0.8</v>
      </c>
      <c r="BJ12">
        <v>0.72</v>
      </c>
      <c r="BK12">
        <v>0.81</v>
      </c>
      <c r="BL12">
        <v>0.83</v>
      </c>
      <c r="BM12">
        <v>3.16</v>
      </c>
      <c r="BN12">
        <v>6.3599999999999994</v>
      </c>
      <c r="BO12">
        <v>0.74</v>
      </c>
      <c r="BP12">
        <v>0.67</v>
      </c>
      <c r="BQ12">
        <v>0.72</v>
      </c>
      <c r="BR12">
        <v>0.77</v>
      </c>
      <c r="BS12">
        <v>2.9</v>
      </c>
      <c r="BT12">
        <v>0.63</v>
      </c>
      <c r="BU12">
        <v>0.49</v>
      </c>
      <c r="BV12">
        <v>0.53</v>
      </c>
      <c r="BW12">
        <v>0.57999999999999996</v>
      </c>
      <c r="BX12">
        <v>2.23</v>
      </c>
      <c r="BY12">
        <v>0.39</v>
      </c>
      <c r="BZ12">
        <v>0.3</v>
      </c>
      <c r="CA12">
        <v>0.35</v>
      </c>
      <c r="CB12">
        <v>0.47</v>
      </c>
      <c r="CC12">
        <v>1.51</v>
      </c>
      <c r="CD12">
        <v>6.6399999999999988</v>
      </c>
      <c r="CE12">
        <v>0.12</v>
      </c>
      <c r="CF12">
        <v>0.13</v>
      </c>
      <c r="CG12">
        <v>0.1</v>
      </c>
      <c r="CH12">
        <v>0.12</v>
      </c>
      <c r="CI12">
        <v>0.47</v>
      </c>
      <c r="CJ12">
        <v>0.47</v>
      </c>
    </row>
    <row r="13" spans="1:88" x14ac:dyDescent="0.25">
      <c r="A13" s="4">
        <v>4</v>
      </c>
      <c r="B13" s="4">
        <v>3</v>
      </c>
      <c r="C13" s="4">
        <v>2</v>
      </c>
      <c r="D13" s="4">
        <v>12</v>
      </c>
      <c r="E13" s="4">
        <v>30</v>
      </c>
      <c r="F13" s="4" t="s">
        <v>25</v>
      </c>
      <c r="G13" t="s">
        <v>28</v>
      </c>
      <c r="H13" s="4">
        <v>403</v>
      </c>
      <c r="I13" s="4">
        <v>1</v>
      </c>
      <c r="J13" s="38">
        <v>45443</v>
      </c>
      <c r="L13" s="47">
        <v>0.25</v>
      </c>
      <c r="M13" s="47">
        <v>4.07</v>
      </c>
      <c r="P13">
        <v>8</v>
      </c>
      <c r="Q13">
        <v>0.17</v>
      </c>
      <c r="R13">
        <v>0.17</v>
      </c>
      <c r="S13">
        <v>0.16</v>
      </c>
      <c r="T13">
        <v>0.18</v>
      </c>
      <c r="U13">
        <v>0.67999999999999994</v>
      </c>
      <c r="V13">
        <v>0.67999999999999994</v>
      </c>
      <c r="W13">
        <v>0.19</v>
      </c>
      <c r="X13">
        <v>0.15</v>
      </c>
      <c r="Y13">
        <v>0.16</v>
      </c>
      <c r="Z13">
        <v>0.19</v>
      </c>
      <c r="AA13">
        <v>0.69</v>
      </c>
      <c r="AB13">
        <v>0.69</v>
      </c>
      <c r="AC13">
        <v>0.3</v>
      </c>
      <c r="AD13">
        <v>0.21</v>
      </c>
      <c r="AE13">
        <v>0.23</v>
      </c>
      <c r="AF13">
        <v>0.28000000000000003</v>
      </c>
      <c r="AG13">
        <v>1.02</v>
      </c>
      <c r="AH13">
        <v>0.42</v>
      </c>
      <c r="AI13">
        <v>0.28999999999999998</v>
      </c>
      <c r="AJ13">
        <v>0.32</v>
      </c>
      <c r="AK13">
        <v>0.41</v>
      </c>
      <c r="AL13">
        <v>1.44</v>
      </c>
      <c r="AM13">
        <v>0.59</v>
      </c>
      <c r="AN13">
        <v>0.43</v>
      </c>
      <c r="AO13">
        <v>0.51</v>
      </c>
      <c r="AP13">
        <v>0.54</v>
      </c>
      <c r="AQ13">
        <v>2.0700000000000003</v>
      </c>
      <c r="AR13">
        <v>4.53</v>
      </c>
      <c r="AS13">
        <v>0.67</v>
      </c>
      <c r="AT13">
        <v>0.5</v>
      </c>
      <c r="AU13">
        <v>0.53</v>
      </c>
      <c r="AV13">
        <v>0.62</v>
      </c>
      <c r="AW13">
        <v>2.3199999999999998</v>
      </c>
      <c r="AX13">
        <v>0.78</v>
      </c>
      <c r="AY13">
        <v>0.61</v>
      </c>
      <c r="AZ13">
        <v>0.6</v>
      </c>
      <c r="BA13">
        <v>0.71</v>
      </c>
      <c r="BB13">
        <v>2.7</v>
      </c>
      <c r="BC13">
        <v>5.0199999999999996</v>
      </c>
      <c r="BD13">
        <v>0.85</v>
      </c>
      <c r="BE13">
        <v>0.79</v>
      </c>
      <c r="BF13">
        <v>0.78</v>
      </c>
      <c r="BG13">
        <v>0.83</v>
      </c>
      <c r="BH13">
        <v>3.25</v>
      </c>
      <c r="BI13">
        <v>0.79</v>
      </c>
      <c r="BJ13">
        <v>0.76</v>
      </c>
      <c r="BK13">
        <v>0.76</v>
      </c>
      <c r="BL13">
        <v>0.78</v>
      </c>
      <c r="BM13">
        <v>3.09</v>
      </c>
      <c r="BN13">
        <v>6.34</v>
      </c>
      <c r="BO13">
        <v>0.77</v>
      </c>
      <c r="BP13">
        <v>0.72</v>
      </c>
      <c r="BQ13">
        <v>0.73</v>
      </c>
      <c r="BR13">
        <v>0.73</v>
      </c>
      <c r="BS13">
        <v>2.9499999999999997</v>
      </c>
      <c r="BT13">
        <v>0.62</v>
      </c>
      <c r="BU13">
        <v>0.63</v>
      </c>
      <c r="BV13">
        <v>0.57999999999999996</v>
      </c>
      <c r="BW13">
        <v>0.57999999999999996</v>
      </c>
      <c r="BX13">
        <v>2.41</v>
      </c>
      <c r="BY13">
        <v>0.46</v>
      </c>
      <c r="BZ13">
        <v>0.43</v>
      </c>
      <c r="CA13">
        <v>0.42</v>
      </c>
      <c r="CB13">
        <v>0.35</v>
      </c>
      <c r="CC13">
        <v>1.6600000000000001</v>
      </c>
      <c r="CD13">
        <v>7.02</v>
      </c>
      <c r="CE13">
        <v>0.11</v>
      </c>
      <c r="CF13">
        <v>0.13</v>
      </c>
      <c r="CG13">
        <v>0.12</v>
      </c>
      <c r="CH13">
        <v>0.13</v>
      </c>
      <c r="CI13">
        <v>0.49</v>
      </c>
      <c r="CJ13">
        <v>0.49</v>
      </c>
    </row>
    <row r="14" spans="1:88" x14ac:dyDescent="0.25">
      <c r="A14" s="4">
        <v>4</v>
      </c>
      <c r="B14" s="4">
        <v>4</v>
      </c>
      <c r="C14" s="4">
        <v>2</v>
      </c>
      <c r="D14" s="4">
        <v>13</v>
      </c>
      <c r="E14" s="4">
        <v>29</v>
      </c>
      <c r="F14" s="4" t="s">
        <v>30</v>
      </c>
      <c r="G14" t="s">
        <v>29</v>
      </c>
      <c r="H14" s="4">
        <v>404</v>
      </c>
      <c r="I14" s="4">
        <v>1</v>
      </c>
      <c r="J14" s="38">
        <v>45443</v>
      </c>
      <c r="L14" s="47">
        <v>0.17</v>
      </c>
      <c r="M14" s="47">
        <v>2.5099999999999998</v>
      </c>
      <c r="P14" t="s">
        <v>325</v>
      </c>
      <c r="Q14">
        <v>1.8199999999999998</v>
      </c>
      <c r="R14">
        <v>1.8599999999999999</v>
      </c>
      <c r="S14">
        <v>1.6899999999999997</v>
      </c>
      <c r="T14">
        <v>1.8399999999999999</v>
      </c>
      <c r="U14">
        <v>7.2100000000000009</v>
      </c>
      <c r="V14">
        <v>7.2100000000000009</v>
      </c>
      <c r="W14">
        <v>2.2999999999999998</v>
      </c>
      <c r="X14">
        <v>2.1899999999999995</v>
      </c>
      <c r="Y14">
        <v>2.1</v>
      </c>
      <c r="Z14">
        <v>2.17</v>
      </c>
      <c r="AA14">
        <v>8.76</v>
      </c>
      <c r="AB14">
        <v>8.76</v>
      </c>
      <c r="AC14">
        <v>3.1399999999999997</v>
      </c>
      <c r="AD14">
        <v>3.0200000000000005</v>
      </c>
      <c r="AE14">
        <v>2.8699999999999997</v>
      </c>
      <c r="AF14">
        <v>2.83</v>
      </c>
      <c r="AG14">
        <v>11.86</v>
      </c>
      <c r="AH14">
        <v>3.84</v>
      </c>
      <c r="AI14">
        <v>3.57</v>
      </c>
      <c r="AJ14">
        <v>3.4899999999999998</v>
      </c>
      <c r="AK14">
        <v>3.62</v>
      </c>
      <c r="AL14">
        <v>14.519999999999998</v>
      </c>
      <c r="AM14">
        <v>4.53</v>
      </c>
      <c r="AN14">
        <v>4.5099999999999989</v>
      </c>
      <c r="AO14">
        <v>4.2700000000000005</v>
      </c>
      <c r="AP14">
        <v>4.43</v>
      </c>
      <c r="AQ14">
        <v>17.740000000000002</v>
      </c>
      <c r="AR14">
        <v>44.120000000000005</v>
      </c>
      <c r="AS14">
        <v>4.97</v>
      </c>
      <c r="AT14">
        <v>4.82</v>
      </c>
      <c r="AU14">
        <v>4.6500000000000012</v>
      </c>
      <c r="AV14">
        <v>5.01</v>
      </c>
      <c r="AW14">
        <v>19.45</v>
      </c>
      <c r="AX14">
        <v>5.2900000000000009</v>
      </c>
      <c r="AY14">
        <v>5.2700000000000005</v>
      </c>
      <c r="AZ14">
        <v>4.92</v>
      </c>
      <c r="BA14">
        <v>5.19</v>
      </c>
      <c r="BB14">
        <v>20.67</v>
      </c>
      <c r="BC14">
        <v>40.120000000000005</v>
      </c>
      <c r="BD14">
        <v>6.59</v>
      </c>
      <c r="BE14">
        <v>6.4700000000000006</v>
      </c>
      <c r="BF14">
        <v>6.4000000000000012</v>
      </c>
      <c r="BG14">
        <v>6.5</v>
      </c>
      <c r="BH14">
        <v>25.96</v>
      </c>
      <c r="BI14">
        <v>6.34</v>
      </c>
      <c r="BJ14">
        <v>6.12</v>
      </c>
      <c r="BK14">
        <v>6.17</v>
      </c>
      <c r="BL14">
        <v>6.14</v>
      </c>
      <c r="BM14">
        <v>24.77</v>
      </c>
      <c r="BN14">
        <v>50.730000000000004</v>
      </c>
      <c r="BO14">
        <v>5.9399999999999995</v>
      </c>
      <c r="BP14">
        <v>5.8</v>
      </c>
      <c r="BQ14">
        <v>5.84</v>
      </c>
      <c r="BR14">
        <v>5.8100000000000005</v>
      </c>
      <c r="BS14">
        <v>23.389999999999997</v>
      </c>
      <c r="BT14">
        <v>4.88</v>
      </c>
      <c r="BU14">
        <v>4.6399999999999997</v>
      </c>
      <c r="BV14">
        <v>4.53</v>
      </c>
      <c r="BW14">
        <v>4.26</v>
      </c>
      <c r="BX14">
        <v>18.310000000000002</v>
      </c>
      <c r="BY14">
        <v>3.4499999999999997</v>
      </c>
      <c r="BZ14">
        <v>3.16</v>
      </c>
      <c r="CA14">
        <v>3.16</v>
      </c>
      <c r="CB14">
        <v>2.89</v>
      </c>
      <c r="CC14">
        <v>12.66</v>
      </c>
      <c r="CD14">
        <v>54.36</v>
      </c>
      <c r="CE14">
        <v>0.99</v>
      </c>
      <c r="CF14">
        <v>0.93</v>
      </c>
      <c r="CG14">
        <v>0.92999999999999994</v>
      </c>
      <c r="CH14">
        <v>0.94</v>
      </c>
      <c r="CI14">
        <v>3.79</v>
      </c>
      <c r="CJ14">
        <v>3.79</v>
      </c>
    </row>
    <row r="15" spans="1:88" x14ac:dyDescent="0.25">
      <c r="A15" s="4">
        <v>3</v>
      </c>
      <c r="B15" s="4">
        <v>4</v>
      </c>
      <c r="C15" s="4">
        <v>2</v>
      </c>
      <c r="D15" s="4">
        <v>14</v>
      </c>
      <c r="E15" s="4">
        <v>20</v>
      </c>
      <c r="F15" s="4" t="s">
        <v>30</v>
      </c>
      <c r="G15" t="s">
        <v>31</v>
      </c>
      <c r="H15" s="4">
        <v>304</v>
      </c>
      <c r="I15" s="4">
        <v>1</v>
      </c>
      <c r="J15" s="38">
        <v>45443</v>
      </c>
      <c r="L15" s="47">
        <v>0.17</v>
      </c>
      <c r="M15" s="47">
        <v>3.2</v>
      </c>
    </row>
    <row r="16" spans="1:88" x14ac:dyDescent="0.25">
      <c r="A16" s="4">
        <v>2</v>
      </c>
      <c r="B16" s="4">
        <v>4</v>
      </c>
      <c r="C16" s="4">
        <v>2</v>
      </c>
      <c r="D16" s="4">
        <v>15</v>
      </c>
      <c r="E16" s="4">
        <v>13</v>
      </c>
      <c r="F16" s="4" t="s">
        <v>30</v>
      </c>
      <c r="G16" t="s">
        <v>32</v>
      </c>
      <c r="H16" s="4">
        <v>204</v>
      </c>
      <c r="I16" s="4">
        <v>1</v>
      </c>
      <c r="J16" s="38">
        <v>45443</v>
      </c>
      <c r="L16" s="47">
        <v>0.17</v>
      </c>
      <c r="M16" s="47">
        <v>2.52</v>
      </c>
    </row>
    <row r="17" spans="1:31" x14ac:dyDescent="0.25">
      <c r="A17" s="4">
        <v>1</v>
      </c>
      <c r="B17" s="4">
        <v>4</v>
      </c>
      <c r="C17" s="4">
        <v>2</v>
      </c>
      <c r="D17" s="4">
        <v>16</v>
      </c>
      <c r="E17" s="4">
        <v>4</v>
      </c>
      <c r="F17" s="4" t="s">
        <v>30</v>
      </c>
      <c r="G17" t="s">
        <v>28</v>
      </c>
      <c r="H17" s="4">
        <v>104</v>
      </c>
      <c r="I17" s="4">
        <v>1</v>
      </c>
      <c r="J17" s="38">
        <v>45443</v>
      </c>
      <c r="L17" s="47">
        <v>0.17</v>
      </c>
      <c r="M17" s="47">
        <v>2.02</v>
      </c>
      <c r="P17" s="46" t="s">
        <v>363</v>
      </c>
      <c r="R17" s="46" t="s">
        <v>284</v>
      </c>
    </row>
    <row r="18" spans="1:31" x14ac:dyDescent="0.25">
      <c r="A18" s="4">
        <v>1</v>
      </c>
      <c r="B18" s="4">
        <v>5</v>
      </c>
      <c r="C18" s="4">
        <v>3</v>
      </c>
      <c r="D18" s="4">
        <v>17</v>
      </c>
      <c r="E18" s="4">
        <v>5</v>
      </c>
      <c r="F18" s="4" t="s">
        <v>25</v>
      </c>
      <c r="G18" t="s">
        <v>28</v>
      </c>
      <c r="H18" s="4">
        <v>105</v>
      </c>
      <c r="I18" s="4">
        <v>1</v>
      </c>
      <c r="J18" s="38">
        <v>45443</v>
      </c>
      <c r="L18" s="47">
        <v>0.24</v>
      </c>
      <c r="M18" s="47">
        <v>5.63</v>
      </c>
      <c r="P18" s="46" t="s">
        <v>21</v>
      </c>
      <c r="Q18" s="46" t="s">
        <v>22</v>
      </c>
      <c r="R18" s="38">
        <v>45443</v>
      </c>
      <c r="S18" s="38">
        <v>45460</v>
      </c>
      <c r="T18" s="38">
        <v>45474</v>
      </c>
      <c r="U18" s="38">
        <v>45487</v>
      </c>
      <c r="V18" s="38">
        <v>45502</v>
      </c>
      <c r="W18" s="38">
        <v>45513</v>
      </c>
      <c r="X18" s="38">
        <v>45526</v>
      </c>
      <c r="Y18" s="38">
        <v>45548</v>
      </c>
      <c r="Z18" s="38">
        <v>45559</v>
      </c>
      <c r="AA18" s="38">
        <v>45571</v>
      </c>
      <c r="AB18" s="38">
        <v>45582</v>
      </c>
      <c r="AC18" s="38">
        <v>45594</v>
      </c>
      <c r="AD18" s="38">
        <v>45609</v>
      </c>
      <c r="AE18" t="s">
        <v>325</v>
      </c>
    </row>
    <row r="19" spans="1:31" x14ac:dyDescent="0.25">
      <c r="A19" s="4">
        <v>2</v>
      </c>
      <c r="B19" s="4">
        <v>5</v>
      </c>
      <c r="C19" s="4">
        <v>3</v>
      </c>
      <c r="D19" s="4">
        <v>18</v>
      </c>
      <c r="E19" s="4">
        <v>12</v>
      </c>
      <c r="F19" s="4" t="s">
        <v>25</v>
      </c>
      <c r="G19" t="s">
        <v>26</v>
      </c>
      <c r="H19" s="4">
        <v>205</v>
      </c>
      <c r="I19" s="4">
        <v>1</v>
      </c>
      <c r="J19" s="38">
        <v>45443</v>
      </c>
      <c r="L19" s="47">
        <v>0.28999999999999998</v>
      </c>
      <c r="M19" s="47">
        <v>4.75</v>
      </c>
      <c r="P19" t="s">
        <v>25</v>
      </c>
      <c r="Q19" t="s">
        <v>26</v>
      </c>
      <c r="R19" s="61">
        <v>0.29250000000000004</v>
      </c>
      <c r="S19" s="61">
        <v>0.41000000000000003</v>
      </c>
      <c r="T19" s="61">
        <v>0.52249999999999996</v>
      </c>
      <c r="U19" s="61">
        <v>0.60250000000000004</v>
      </c>
      <c r="V19" s="61">
        <v>0.65249999999999997</v>
      </c>
      <c r="W19" s="61">
        <v>0.69500000000000006</v>
      </c>
      <c r="X19" s="61">
        <v>0.65</v>
      </c>
      <c r="Y19" s="61">
        <v>0.8</v>
      </c>
      <c r="Z19" s="61">
        <v>0.81</v>
      </c>
      <c r="AA19" s="61">
        <v>0.76</v>
      </c>
      <c r="AB19" s="61">
        <v>0.59750000000000003</v>
      </c>
      <c r="AC19" s="61">
        <v>0.4975</v>
      </c>
      <c r="AD19" s="61">
        <v>0.125</v>
      </c>
      <c r="AE19" s="61">
        <v>0.57038461538461516</v>
      </c>
    </row>
    <row r="20" spans="1:31" x14ac:dyDescent="0.25">
      <c r="A20" s="4">
        <v>3</v>
      </c>
      <c r="B20" s="4">
        <v>5</v>
      </c>
      <c r="C20" s="4">
        <v>3</v>
      </c>
      <c r="D20" s="4">
        <v>19</v>
      </c>
      <c r="E20" s="4">
        <v>21</v>
      </c>
      <c r="F20" s="4" t="s">
        <v>25</v>
      </c>
      <c r="G20" t="s">
        <v>29</v>
      </c>
      <c r="H20" s="4">
        <v>305</v>
      </c>
      <c r="I20" s="4">
        <v>1</v>
      </c>
      <c r="J20" s="38">
        <v>45443</v>
      </c>
      <c r="L20" s="47">
        <v>0.25</v>
      </c>
      <c r="M20" s="47">
        <v>4.99</v>
      </c>
      <c r="Q20" t="s">
        <v>27</v>
      </c>
      <c r="R20" s="61">
        <v>0.30249999999999999</v>
      </c>
      <c r="S20" s="61">
        <v>0.39</v>
      </c>
      <c r="T20" s="61">
        <v>0.51</v>
      </c>
      <c r="U20" s="61">
        <v>0.58499999999999996</v>
      </c>
      <c r="V20" s="61">
        <v>0.65</v>
      </c>
      <c r="W20" s="61">
        <v>0.68500000000000005</v>
      </c>
      <c r="X20" s="61">
        <v>0.625</v>
      </c>
      <c r="Y20" s="61">
        <v>0.84250000000000003</v>
      </c>
      <c r="Z20" s="61">
        <v>0.8125</v>
      </c>
      <c r="AA20" s="61">
        <v>0.73750000000000004</v>
      </c>
      <c r="AB20" s="61">
        <v>0.5774999999999999</v>
      </c>
      <c r="AC20" s="61">
        <v>0.375</v>
      </c>
      <c r="AD20" s="61">
        <v>0.10500000000000001</v>
      </c>
      <c r="AE20" s="61">
        <v>0.55365384615384605</v>
      </c>
    </row>
    <row r="21" spans="1:31" x14ac:dyDescent="0.25">
      <c r="A21" s="4">
        <v>4</v>
      </c>
      <c r="B21" s="4">
        <v>5</v>
      </c>
      <c r="C21" s="4">
        <v>3</v>
      </c>
      <c r="D21" s="4">
        <v>20</v>
      </c>
      <c r="E21" s="4">
        <v>28</v>
      </c>
      <c r="F21" s="4" t="s">
        <v>25</v>
      </c>
      <c r="G21" t="s">
        <v>27</v>
      </c>
      <c r="H21" s="4">
        <v>405</v>
      </c>
      <c r="I21" s="4">
        <v>1</v>
      </c>
      <c r="J21" s="38">
        <v>45443</v>
      </c>
      <c r="L21" s="47">
        <v>0.31</v>
      </c>
      <c r="M21" s="47">
        <v>4.51</v>
      </c>
      <c r="Q21" t="s">
        <v>28</v>
      </c>
      <c r="R21" s="61">
        <v>0.245</v>
      </c>
      <c r="S21" s="61">
        <v>0.34</v>
      </c>
      <c r="T21" s="61">
        <v>0.44500000000000001</v>
      </c>
      <c r="U21" s="61">
        <v>0.48</v>
      </c>
      <c r="V21" s="61">
        <v>0.57250000000000001</v>
      </c>
      <c r="W21" s="61">
        <v>0.60249999999999992</v>
      </c>
      <c r="X21" s="61">
        <v>0.59499999999999997</v>
      </c>
      <c r="Y21" s="61">
        <v>0.80249999999999999</v>
      </c>
      <c r="Z21" s="61">
        <v>0.75249999999999995</v>
      </c>
      <c r="AA21" s="61">
        <v>0.71</v>
      </c>
      <c r="AB21" s="61">
        <v>0.5149999999999999</v>
      </c>
      <c r="AC21" s="61">
        <v>0.32</v>
      </c>
      <c r="AD21" s="61">
        <v>0.11749999999999999</v>
      </c>
      <c r="AE21" s="61">
        <v>0.49980769230769223</v>
      </c>
    </row>
    <row r="22" spans="1:31" x14ac:dyDescent="0.25">
      <c r="A22" s="4">
        <v>4</v>
      </c>
      <c r="B22" s="4">
        <v>6</v>
      </c>
      <c r="C22" s="4">
        <v>3</v>
      </c>
      <c r="D22" s="4">
        <v>21</v>
      </c>
      <c r="E22" s="4">
        <v>27</v>
      </c>
      <c r="F22" s="4" t="s">
        <v>30</v>
      </c>
      <c r="G22" t="s">
        <v>28</v>
      </c>
      <c r="H22" s="4">
        <v>406</v>
      </c>
      <c r="I22" s="4">
        <v>1</v>
      </c>
      <c r="J22" s="38">
        <v>45443</v>
      </c>
      <c r="L22" s="47">
        <v>0.18</v>
      </c>
      <c r="M22" s="47">
        <v>2.5299999999999998</v>
      </c>
      <c r="Q22" t="s">
        <v>29</v>
      </c>
      <c r="R22" s="61">
        <v>0.27750000000000002</v>
      </c>
      <c r="S22" s="61">
        <v>0.35749999999999998</v>
      </c>
      <c r="T22" s="61">
        <v>0.48749999999999993</v>
      </c>
      <c r="U22" s="61">
        <v>0.53500000000000003</v>
      </c>
      <c r="V22" s="61">
        <v>0.59</v>
      </c>
      <c r="W22" s="61">
        <v>0.58499999999999996</v>
      </c>
      <c r="X22" s="61">
        <v>0.55499999999999994</v>
      </c>
      <c r="Y22" s="61">
        <v>0.8025000000000001</v>
      </c>
      <c r="Z22" s="61">
        <v>0.77499999999999991</v>
      </c>
      <c r="AA22" s="61">
        <v>0.72249999999999992</v>
      </c>
      <c r="AB22" s="61">
        <v>0.57499999999999996</v>
      </c>
      <c r="AC22" s="61">
        <v>0.34499999999999997</v>
      </c>
      <c r="AD22" s="61">
        <v>9.7500000000000003E-2</v>
      </c>
      <c r="AE22" s="61">
        <v>0.51576923076923076</v>
      </c>
    </row>
    <row r="23" spans="1:31" x14ac:dyDescent="0.25">
      <c r="A23" s="4">
        <v>3</v>
      </c>
      <c r="B23" s="4">
        <v>6</v>
      </c>
      <c r="C23" s="4">
        <v>3</v>
      </c>
      <c r="D23" s="4">
        <v>22</v>
      </c>
      <c r="E23" s="4">
        <v>22</v>
      </c>
      <c r="F23" s="4" t="s">
        <v>30</v>
      </c>
      <c r="G23" t="s">
        <v>32</v>
      </c>
      <c r="H23" s="4">
        <v>306</v>
      </c>
      <c r="I23" s="4">
        <v>1</v>
      </c>
      <c r="J23" s="38">
        <v>45443</v>
      </c>
      <c r="L23" s="47">
        <v>0.18</v>
      </c>
      <c r="M23" s="47">
        <v>2.76</v>
      </c>
      <c r="P23" t="s">
        <v>30</v>
      </c>
      <c r="Q23" t="s">
        <v>32</v>
      </c>
      <c r="R23" s="61">
        <v>0.17500000000000002</v>
      </c>
      <c r="S23" s="61">
        <v>0.1925</v>
      </c>
      <c r="T23" s="61">
        <v>0.29000000000000004</v>
      </c>
      <c r="U23" s="61">
        <v>0.40500000000000003</v>
      </c>
      <c r="V23" s="61">
        <v>0.56500000000000006</v>
      </c>
      <c r="W23" s="61">
        <v>0.65</v>
      </c>
      <c r="X23" s="61">
        <v>0.77500000000000013</v>
      </c>
      <c r="Y23" s="61">
        <v>0.83250000000000002</v>
      </c>
      <c r="Z23" s="61">
        <v>0.76</v>
      </c>
      <c r="AA23" s="61">
        <v>0.755</v>
      </c>
      <c r="AB23" s="61">
        <v>0.59750000000000003</v>
      </c>
      <c r="AC23" s="61">
        <v>0.43</v>
      </c>
      <c r="AD23" s="61">
        <v>0.1275</v>
      </c>
      <c r="AE23" s="61">
        <v>0.50423076923076926</v>
      </c>
    </row>
    <row r="24" spans="1:31" x14ac:dyDescent="0.25">
      <c r="A24" s="4">
        <v>2</v>
      </c>
      <c r="B24" s="4">
        <v>6</v>
      </c>
      <c r="C24" s="4">
        <v>3</v>
      </c>
      <c r="D24" s="4">
        <v>23</v>
      </c>
      <c r="E24" s="4">
        <v>11</v>
      </c>
      <c r="F24" s="4" t="s">
        <v>30</v>
      </c>
      <c r="G24" t="s">
        <v>31</v>
      </c>
      <c r="H24" s="4">
        <v>206</v>
      </c>
      <c r="I24" s="4">
        <v>1</v>
      </c>
      <c r="J24" s="38">
        <v>45443</v>
      </c>
      <c r="L24" s="47">
        <v>0.15</v>
      </c>
      <c r="M24" s="47">
        <v>2.36</v>
      </c>
      <c r="Q24" t="s">
        <v>31</v>
      </c>
      <c r="R24" s="61">
        <v>0.16999999999999998</v>
      </c>
      <c r="S24" s="61">
        <v>0.17249999999999999</v>
      </c>
      <c r="T24" s="61">
        <v>0.25750000000000001</v>
      </c>
      <c r="U24" s="61">
        <v>0.3725</v>
      </c>
      <c r="V24" s="61">
        <v>0.495</v>
      </c>
      <c r="W24" s="61">
        <v>0.59499999999999997</v>
      </c>
      <c r="X24" s="61">
        <v>0.71</v>
      </c>
      <c r="Y24" s="61">
        <v>0.83499999999999996</v>
      </c>
      <c r="Z24" s="61">
        <v>0.78</v>
      </c>
      <c r="AA24" s="61">
        <v>0.745</v>
      </c>
      <c r="AB24" s="61">
        <v>0.61</v>
      </c>
      <c r="AC24" s="61">
        <v>0.40249999999999997</v>
      </c>
      <c r="AD24" s="61">
        <v>0.1275</v>
      </c>
      <c r="AE24" s="61">
        <v>0.48250000000000004</v>
      </c>
    </row>
    <row r="25" spans="1:31" x14ac:dyDescent="0.25">
      <c r="A25" s="4">
        <v>1</v>
      </c>
      <c r="B25" s="4">
        <v>6</v>
      </c>
      <c r="C25" s="4">
        <v>3</v>
      </c>
      <c r="D25" s="4">
        <v>24</v>
      </c>
      <c r="E25" s="4">
        <v>6</v>
      </c>
      <c r="F25" s="4" t="s">
        <v>30</v>
      </c>
      <c r="G25" t="s">
        <v>29</v>
      </c>
      <c r="H25" s="4">
        <v>106</v>
      </c>
      <c r="I25" s="4">
        <v>1</v>
      </c>
      <c r="J25" s="38">
        <v>45443</v>
      </c>
      <c r="L25" s="47">
        <v>0.15</v>
      </c>
      <c r="M25" s="47">
        <v>2.99</v>
      </c>
      <c r="Q25" t="s">
        <v>28</v>
      </c>
      <c r="R25" s="61">
        <v>0.17250000000000001</v>
      </c>
      <c r="S25" s="61">
        <v>0.17</v>
      </c>
      <c r="T25" s="61">
        <v>0.23749999999999999</v>
      </c>
      <c r="U25" s="61">
        <v>0.33250000000000002</v>
      </c>
      <c r="V25" s="61">
        <v>0.49</v>
      </c>
      <c r="W25" s="61">
        <v>0.54499999999999993</v>
      </c>
      <c r="X25" s="61">
        <v>0.64250000000000007</v>
      </c>
      <c r="Y25" s="61">
        <v>0.7975000000000001</v>
      </c>
      <c r="Z25" s="61">
        <v>0.75499999999999989</v>
      </c>
      <c r="AA25" s="61">
        <v>0.71499999999999997</v>
      </c>
      <c r="AB25" s="61">
        <v>0.54999999999999993</v>
      </c>
      <c r="AC25" s="61">
        <v>0.38750000000000001</v>
      </c>
      <c r="AD25" s="61">
        <v>0.125</v>
      </c>
      <c r="AE25" s="61">
        <v>0.4553846153846155</v>
      </c>
    </row>
    <row r="26" spans="1:31" x14ac:dyDescent="0.25">
      <c r="A26" s="4">
        <v>1</v>
      </c>
      <c r="B26" s="4">
        <v>7</v>
      </c>
      <c r="C26" s="4">
        <v>4</v>
      </c>
      <c r="D26" s="4">
        <v>25</v>
      </c>
      <c r="E26" s="4">
        <v>7</v>
      </c>
      <c r="F26" s="4" t="s">
        <v>25</v>
      </c>
      <c r="G26" t="s">
        <v>29</v>
      </c>
      <c r="H26" s="4">
        <v>107</v>
      </c>
      <c r="I26" s="4">
        <v>1</v>
      </c>
      <c r="J26" s="38">
        <v>45443</v>
      </c>
      <c r="L26" s="47">
        <v>0.28999999999999998</v>
      </c>
      <c r="M26" s="47">
        <v>4.74</v>
      </c>
      <c r="Q26" t="s">
        <v>29</v>
      </c>
      <c r="R26" s="61">
        <v>0.16750000000000001</v>
      </c>
      <c r="S26" s="61">
        <v>0.1575</v>
      </c>
      <c r="T26" s="61">
        <v>0.215</v>
      </c>
      <c r="U26" s="61">
        <v>0.3175</v>
      </c>
      <c r="V26" s="61">
        <v>0.42</v>
      </c>
      <c r="W26" s="61">
        <v>0.505</v>
      </c>
      <c r="X26" s="61">
        <v>0.61499999999999999</v>
      </c>
      <c r="Y26" s="61">
        <v>0.77750000000000008</v>
      </c>
      <c r="Z26" s="61">
        <v>0.74750000000000005</v>
      </c>
      <c r="AA26" s="61">
        <v>0.7024999999999999</v>
      </c>
      <c r="AB26" s="61">
        <v>0.55499999999999994</v>
      </c>
      <c r="AC26" s="61">
        <v>0.40749999999999997</v>
      </c>
      <c r="AD26" s="61">
        <v>0.1225</v>
      </c>
      <c r="AE26" s="61">
        <v>0.43923076923076909</v>
      </c>
    </row>
    <row r="27" spans="1:31" x14ac:dyDescent="0.25">
      <c r="A27" s="4">
        <v>2</v>
      </c>
      <c r="B27" s="4">
        <v>7</v>
      </c>
      <c r="C27" s="4">
        <v>4</v>
      </c>
      <c r="D27" s="4">
        <v>26</v>
      </c>
      <c r="E27" s="4">
        <v>10</v>
      </c>
      <c r="F27" s="4" t="s">
        <v>25</v>
      </c>
      <c r="G27" t="s">
        <v>28</v>
      </c>
      <c r="H27" s="4">
        <v>207</v>
      </c>
      <c r="I27" s="4">
        <v>1</v>
      </c>
      <c r="J27" s="38">
        <v>45443</v>
      </c>
      <c r="L27" s="47">
        <v>0.25</v>
      </c>
      <c r="M27" s="47">
        <v>5.39</v>
      </c>
      <c r="P27" t="s">
        <v>325</v>
      </c>
      <c r="R27" s="61">
        <v>0.22531249999999994</v>
      </c>
      <c r="S27" s="61">
        <v>0.27375000000000005</v>
      </c>
      <c r="T27" s="61">
        <v>0.37062500000000015</v>
      </c>
      <c r="U27" s="61">
        <v>0.45374999999999988</v>
      </c>
      <c r="V27" s="61">
        <v>0.55437500000000006</v>
      </c>
      <c r="W27" s="61">
        <v>0.60781249999999998</v>
      </c>
      <c r="X27" s="61">
        <v>0.64593749999999994</v>
      </c>
      <c r="Y27" s="61">
        <v>0.81124999999999992</v>
      </c>
      <c r="Z27" s="61">
        <v>0.77406250000000032</v>
      </c>
      <c r="AA27" s="61">
        <v>0.73093750000000013</v>
      </c>
      <c r="AB27" s="61">
        <v>0.57218749999999996</v>
      </c>
      <c r="AC27" s="61">
        <v>0.39562499999999989</v>
      </c>
      <c r="AD27" s="61">
        <v>0.11843750000000001</v>
      </c>
      <c r="AE27" s="61">
        <v>0.50262019230769228</v>
      </c>
    </row>
    <row r="28" spans="1:31" x14ac:dyDescent="0.25">
      <c r="A28" s="4">
        <v>3</v>
      </c>
      <c r="B28" s="4">
        <v>7</v>
      </c>
      <c r="C28" s="4">
        <v>4</v>
      </c>
      <c r="D28" s="4">
        <v>27</v>
      </c>
      <c r="E28" s="4">
        <v>23</v>
      </c>
      <c r="F28" s="4" t="s">
        <v>25</v>
      </c>
      <c r="G28" t="s">
        <v>27</v>
      </c>
      <c r="H28" s="4">
        <v>307</v>
      </c>
      <c r="I28" s="4">
        <v>1</v>
      </c>
      <c r="J28" s="38">
        <v>45443</v>
      </c>
      <c r="L28" s="47">
        <v>0.26</v>
      </c>
      <c r="M28" s="47">
        <v>5.4</v>
      </c>
    </row>
    <row r="29" spans="1:31" x14ac:dyDescent="0.25">
      <c r="A29" s="4">
        <v>4</v>
      </c>
      <c r="B29" s="4">
        <v>7</v>
      </c>
      <c r="C29" s="4">
        <v>4</v>
      </c>
      <c r="D29" s="4">
        <v>28</v>
      </c>
      <c r="E29" s="4">
        <v>26</v>
      </c>
      <c r="F29" s="4" t="s">
        <v>25</v>
      </c>
      <c r="G29" t="s">
        <v>26</v>
      </c>
      <c r="H29" s="4">
        <v>407</v>
      </c>
      <c r="I29" s="4">
        <v>1</v>
      </c>
      <c r="J29" s="38">
        <v>45443</v>
      </c>
      <c r="L29" s="47">
        <v>0.31</v>
      </c>
      <c r="M29" s="47">
        <v>5.0999999999999996</v>
      </c>
    </row>
    <row r="30" spans="1:31" x14ac:dyDescent="0.25">
      <c r="A30" s="4">
        <v>4</v>
      </c>
      <c r="B30" s="4">
        <v>8</v>
      </c>
      <c r="C30" s="4">
        <v>4</v>
      </c>
      <c r="D30" s="4">
        <v>29</v>
      </c>
      <c r="E30" s="4">
        <v>25</v>
      </c>
      <c r="F30" s="4" t="s">
        <v>30</v>
      </c>
      <c r="G30" t="s">
        <v>31</v>
      </c>
      <c r="H30" s="4">
        <v>408</v>
      </c>
      <c r="I30" s="4">
        <v>1</v>
      </c>
      <c r="J30" s="38">
        <v>45443</v>
      </c>
      <c r="L30" s="47">
        <v>0.18</v>
      </c>
      <c r="M30" s="47">
        <v>1.73</v>
      </c>
    </row>
    <row r="31" spans="1:31" x14ac:dyDescent="0.25">
      <c r="A31" s="4">
        <v>3</v>
      </c>
      <c r="B31" s="4">
        <v>8</v>
      </c>
      <c r="C31" s="4">
        <v>4</v>
      </c>
      <c r="D31" s="4">
        <v>30</v>
      </c>
      <c r="E31" s="4">
        <v>24</v>
      </c>
      <c r="F31" s="4" t="s">
        <v>30</v>
      </c>
      <c r="G31" t="s">
        <v>28</v>
      </c>
      <c r="H31" s="4">
        <v>308</v>
      </c>
      <c r="I31" s="4">
        <v>1</v>
      </c>
      <c r="J31" s="38">
        <v>45443</v>
      </c>
      <c r="L31" s="47">
        <v>0.16</v>
      </c>
      <c r="M31" s="47">
        <v>2.91</v>
      </c>
    </row>
    <row r="32" spans="1:31" x14ac:dyDescent="0.25">
      <c r="A32" s="4">
        <v>2</v>
      </c>
      <c r="B32" s="4">
        <v>8</v>
      </c>
      <c r="C32" s="4">
        <v>4</v>
      </c>
      <c r="D32" s="4">
        <v>31</v>
      </c>
      <c r="E32" s="4">
        <v>9</v>
      </c>
      <c r="F32" s="4" t="s">
        <v>30</v>
      </c>
      <c r="G32" t="s">
        <v>29</v>
      </c>
      <c r="H32" s="4">
        <v>208</v>
      </c>
      <c r="I32" s="4">
        <v>1</v>
      </c>
      <c r="J32" s="38">
        <v>45443</v>
      </c>
      <c r="L32" s="47">
        <v>0.17</v>
      </c>
      <c r="M32" s="47">
        <v>2.62</v>
      </c>
    </row>
    <row r="33" spans="1:13" x14ac:dyDescent="0.25">
      <c r="A33" s="4">
        <v>1</v>
      </c>
      <c r="B33" s="4">
        <v>8</v>
      </c>
      <c r="C33" s="4">
        <v>4</v>
      </c>
      <c r="D33" s="4">
        <v>32</v>
      </c>
      <c r="E33" s="4">
        <v>8</v>
      </c>
      <c r="F33" s="4" t="s">
        <v>30</v>
      </c>
      <c r="G33" t="s">
        <v>32</v>
      </c>
      <c r="H33" s="4">
        <v>108</v>
      </c>
      <c r="I33" s="4">
        <v>1</v>
      </c>
      <c r="J33" s="38">
        <v>45443</v>
      </c>
      <c r="L33" s="47">
        <v>0.17</v>
      </c>
      <c r="M33" s="47">
        <v>2.5299999999999998</v>
      </c>
    </row>
    <row r="34" spans="1:13" x14ac:dyDescent="0.25">
      <c r="A34" s="4">
        <v>1</v>
      </c>
      <c r="B34" s="4">
        <v>1</v>
      </c>
      <c r="C34" s="4">
        <v>1</v>
      </c>
      <c r="D34" s="4">
        <v>1</v>
      </c>
      <c r="E34" s="4">
        <v>1</v>
      </c>
      <c r="F34" s="4" t="s">
        <v>25</v>
      </c>
      <c r="G34" t="s">
        <v>26</v>
      </c>
      <c r="H34" s="4">
        <v>101</v>
      </c>
      <c r="I34" s="4">
        <v>2</v>
      </c>
      <c r="J34" s="38">
        <v>45460</v>
      </c>
      <c r="L34" s="47">
        <v>0.45</v>
      </c>
      <c r="M34" s="47">
        <v>5.43</v>
      </c>
    </row>
    <row r="35" spans="1:13" x14ac:dyDescent="0.25">
      <c r="A35" s="4">
        <v>2</v>
      </c>
      <c r="B35" s="4">
        <v>1</v>
      </c>
      <c r="C35" s="4">
        <v>1</v>
      </c>
      <c r="D35" s="4">
        <v>2</v>
      </c>
      <c r="E35" s="4">
        <v>16</v>
      </c>
      <c r="F35" s="4" t="s">
        <v>25</v>
      </c>
      <c r="G35" t="s">
        <v>27</v>
      </c>
      <c r="H35" s="4">
        <v>201</v>
      </c>
      <c r="I35" s="4">
        <v>2</v>
      </c>
      <c r="J35" s="38">
        <v>45460</v>
      </c>
      <c r="L35" s="47">
        <v>0.45</v>
      </c>
      <c r="M35" s="47">
        <v>6.59</v>
      </c>
    </row>
    <row r="36" spans="1:13" x14ac:dyDescent="0.25">
      <c r="A36" s="4">
        <v>3</v>
      </c>
      <c r="B36" s="4">
        <v>1</v>
      </c>
      <c r="C36" s="4">
        <v>1</v>
      </c>
      <c r="D36" s="4">
        <v>3</v>
      </c>
      <c r="E36" s="4">
        <v>17</v>
      </c>
      <c r="F36" s="4" t="s">
        <v>25</v>
      </c>
      <c r="G36" t="s">
        <v>28</v>
      </c>
      <c r="H36" s="4">
        <v>301</v>
      </c>
      <c r="I36" s="4">
        <v>2</v>
      </c>
      <c r="J36" s="38">
        <v>45460</v>
      </c>
      <c r="L36" s="47">
        <v>0.37</v>
      </c>
      <c r="M36" s="47">
        <v>2.67</v>
      </c>
    </row>
    <row r="37" spans="1:13" x14ac:dyDescent="0.25">
      <c r="A37" s="4">
        <v>4</v>
      </c>
      <c r="B37" s="4">
        <v>1</v>
      </c>
      <c r="C37" s="4">
        <v>1</v>
      </c>
      <c r="D37" s="4">
        <v>4</v>
      </c>
      <c r="E37" s="4">
        <v>32</v>
      </c>
      <c r="F37" s="4" t="s">
        <v>25</v>
      </c>
      <c r="G37" t="s">
        <v>29</v>
      </c>
      <c r="H37" s="4">
        <v>401</v>
      </c>
      <c r="I37" s="4">
        <v>2</v>
      </c>
      <c r="J37" s="38">
        <v>45460</v>
      </c>
      <c r="L37" s="47">
        <v>0.33</v>
      </c>
      <c r="M37" s="47">
        <v>5.94</v>
      </c>
    </row>
    <row r="38" spans="1:13" x14ac:dyDescent="0.25">
      <c r="A38" s="4">
        <v>4</v>
      </c>
      <c r="B38" s="4">
        <v>2</v>
      </c>
      <c r="C38" s="4">
        <v>1</v>
      </c>
      <c r="D38" s="4">
        <v>5</v>
      </c>
      <c r="E38" s="4">
        <v>31</v>
      </c>
      <c r="F38" s="4" t="s">
        <v>30</v>
      </c>
      <c r="G38" t="s">
        <v>32</v>
      </c>
      <c r="H38" s="4">
        <v>402</v>
      </c>
      <c r="I38" s="4">
        <v>2</v>
      </c>
      <c r="J38" s="38">
        <v>45460</v>
      </c>
      <c r="L38" s="47">
        <v>0.19</v>
      </c>
      <c r="M38" s="47">
        <v>2.5</v>
      </c>
    </row>
    <row r="39" spans="1:13" x14ac:dyDescent="0.25">
      <c r="A39" s="4">
        <v>3</v>
      </c>
      <c r="B39" s="4">
        <v>2</v>
      </c>
      <c r="C39" s="4">
        <v>1</v>
      </c>
      <c r="D39" s="4">
        <v>6</v>
      </c>
      <c r="E39" s="4">
        <v>18</v>
      </c>
      <c r="F39" s="4" t="s">
        <v>30</v>
      </c>
      <c r="G39" t="s">
        <v>29</v>
      </c>
      <c r="H39" s="4">
        <v>302</v>
      </c>
      <c r="I39" s="4">
        <v>2</v>
      </c>
      <c r="J39" s="38">
        <v>45460</v>
      </c>
      <c r="L39" s="47">
        <v>0.16</v>
      </c>
      <c r="M39" s="47">
        <v>4.4000000000000004</v>
      </c>
    </row>
    <row r="40" spans="1:13" x14ac:dyDescent="0.25">
      <c r="A40" s="4">
        <v>2</v>
      </c>
      <c r="B40" s="4">
        <v>2</v>
      </c>
      <c r="C40" s="4">
        <v>1</v>
      </c>
      <c r="D40" s="4">
        <v>7</v>
      </c>
      <c r="E40" s="4">
        <v>15</v>
      </c>
      <c r="F40" s="4" t="s">
        <v>30</v>
      </c>
      <c r="G40" t="s">
        <v>28</v>
      </c>
      <c r="H40" s="4">
        <v>202</v>
      </c>
      <c r="I40" s="4">
        <v>2</v>
      </c>
      <c r="J40" s="38">
        <v>45460</v>
      </c>
      <c r="L40" s="47">
        <v>0.18</v>
      </c>
      <c r="M40" s="47">
        <v>2.5</v>
      </c>
    </row>
    <row r="41" spans="1:13" x14ac:dyDescent="0.25">
      <c r="A41" s="4">
        <v>1</v>
      </c>
      <c r="B41" s="4">
        <v>2</v>
      </c>
      <c r="C41" s="4">
        <v>1</v>
      </c>
      <c r="D41" s="4">
        <v>8</v>
      </c>
      <c r="E41" s="4">
        <v>2</v>
      </c>
      <c r="F41" s="4" t="s">
        <v>30</v>
      </c>
      <c r="G41" t="s">
        <v>31</v>
      </c>
      <c r="H41" s="4">
        <v>102</v>
      </c>
      <c r="I41" s="4">
        <v>2</v>
      </c>
      <c r="J41" s="38">
        <v>45460</v>
      </c>
      <c r="L41" s="47">
        <v>0.18</v>
      </c>
      <c r="M41" s="47">
        <v>2.8</v>
      </c>
    </row>
    <row r="42" spans="1:13" x14ac:dyDescent="0.25">
      <c r="A42" s="4">
        <v>1</v>
      </c>
      <c r="B42" s="4">
        <v>3</v>
      </c>
      <c r="C42" s="4">
        <v>2</v>
      </c>
      <c r="D42" s="4">
        <v>9</v>
      </c>
      <c r="E42" s="4">
        <v>3</v>
      </c>
      <c r="F42" s="4" t="s">
        <v>25</v>
      </c>
      <c r="G42" t="s">
        <v>27</v>
      </c>
      <c r="H42" s="4">
        <v>103</v>
      </c>
      <c r="I42" s="4">
        <v>2</v>
      </c>
      <c r="J42" s="38">
        <v>45460</v>
      </c>
      <c r="L42" s="47">
        <v>0.37</v>
      </c>
      <c r="M42" s="47">
        <v>7.4</v>
      </c>
    </row>
    <row r="43" spans="1:13" x14ac:dyDescent="0.25">
      <c r="A43" s="4">
        <v>2</v>
      </c>
      <c r="B43" s="4">
        <v>3</v>
      </c>
      <c r="C43" s="4">
        <v>2</v>
      </c>
      <c r="D43" s="4">
        <v>10</v>
      </c>
      <c r="E43" s="4">
        <v>14</v>
      </c>
      <c r="F43" s="4" t="s">
        <v>25</v>
      </c>
      <c r="G43" t="s">
        <v>29</v>
      </c>
      <c r="H43" s="4">
        <v>203</v>
      </c>
      <c r="I43" s="4">
        <v>2</v>
      </c>
      <c r="J43" s="38">
        <v>45460</v>
      </c>
      <c r="L43" s="47">
        <v>0.34</v>
      </c>
      <c r="M43" s="47">
        <v>6.38</v>
      </c>
    </row>
    <row r="44" spans="1:13" x14ac:dyDescent="0.25">
      <c r="A44" s="4">
        <v>3</v>
      </c>
      <c r="B44" s="4">
        <v>3</v>
      </c>
      <c r="C44" s="4">
        <v>2</v>
      </c>
      <c r="D44" s="4">
        <v>11</v>
      </c>
      <c r="E44" s="4">
        <v>19</v>
      </c>
      <c r="F44" s="4" t="s">
        <v>25</v>
      </c>
      <c r="G44" t="s">
        <v>26</v>
      </c>
      <c r="H44" s="4">
        <v>303</v>
      </c>
      <c r="I44" s="4">
        <v>2</v>
      </c>
      <c r="J44" s="38">
        <v>45460</v>
      </c>
      <c r="L44" s="47">
        <v>0.41</v>
      </c>
      <c r="M44" s="47">
        <v>5.32</v>
      </c>
    </row>
    <row r="45" spans="1:13" x14ac:dyDescent="0.25">
      <c r="A45" s="4">
        <v>4</v>
      </c>
      <c r="B45" s="4">
        <v>3</v>
      </c>
      <c r="C45" s="4">
        <v>2</v>
      </c>
      <c r="D45" s="4">
        <v>12</v>
      </c>
      <c r="E45" s="4">
        <v>30</v>
      </c>
      <c r="F45" s="4" t="s">
        <v>25</v>
      </c>
      <c r="G45" t="s">
        <v>28</v>
      </c>
      <c r="H45" s="4">
        <v>403</v>
      </c>
      <c r="I45" s="4">
        <v>2</v>
      </c>
      <c r="J45" s="38">
        <v>45460</v>
      </c>
      <c r="L45" s="47">
        <v>0.33</v>
      </c>
      <c r="M45" s="47">
        <v>6.17</v>
      </c>
    </row>
    <row r="46" spans="1:13" x14ac:dyDescent="0.25">
      <c r="A46" s="4">
        <v>4</v>
      </c>
      <c r="B46" s="4">
        <v>4</v>
      </c>
      <c r="C46" s="4">
        <v>2</v>
      </c>
      <c r="D46" s="4">
        <v>13</v>
      </c>
      <c r="E46" s="4">
        <v>29</v>
      </c>
      <c r="F46" s="4" t="s">
        <v>30</v>
      </c>
      <c r="G46" t="s">
        <v>29</v>
      </c>
      <c r="H46" s="4">
        <v>404</v>
      </c>
      <c r="I46" s="4">
        <v>2</v>
      </c>
      <c r="J46" s="38">
        <v>45460</v>
      </c>
      <c r="L46" s="47">
        <v>0.16</v>
      </c>
      <c r="M46" s="47">
        <v>1.78</v>
      </c>
    </row>
    <row r="47" spans="1:13" x14ac:dyDescent="0.25">
      <c r="A47" s="4">
        <v>3</v>
      </c>
      <c r="B47" s="4">
        <v>4</v>
      </c>
      <c r="C47" s="4">
        <v>2</v>
      </c>
      <c r="D47" s="4">
        <v>14</v>
      </c>
      <c r="E47" s="4">
        <v>20</v>
      </c>
      <c r="F47" s="4" t="s">
        <v>30</v>
      </c>
      <c r="G47" t="s">
        <v>31</v>
      </c>
      <c r="H47" s="4">
        <v>304</v>
      </c>
      <c r="I47" s="4">
        <v>2</v>
      </c>
      <c r="J47" s="38">
        <v>45460</v>
      </c>
      <c r="L47" s="47">
        <v>0.16</v>
      </c>
      <c r="M47" s="47">
        <v>3.43</v>
      </c>
    </row>
    <row r="48" spans="1:13" x14ac:dyDescent="0.25">
      <c r="A48" s="4">
        <v>2</v>
      </c>
      <c r="B48" s="4">
        <v>4</v>
      </c>
      <c r="C48" s="4">
        <v>2</v>
      </c>
      <c r="D48" s="4">
        <v>15</v>
      </c>
      <c r="E48" s="4">
        <v>13</v>
      </c>
      <c r="F48" s="4" t="s">
        <v>30</v>
      </c>
      <c r="G48" t="s">
        <v>32</v>
      </c>
      <c r="H48" s="4">
        <v>204</v>
      </c>
      <c r="I48" s="4">
        <v>2</v>
      </c>
      <c r="J48" s="38">
        <v>45460</v>
      </c>
      <c r="L48" s="47">
        <v>0.18</v>
      </c>
      <c r="M48" s="47">
        <v>2.69</v>
      </c>
    </row>
    <row r="49" spans="1:13" x14ac:dyDescent="0.25">
      <c r="A49" s="4">
        <v>1</v>
      </c>
      <c r="B49" s="4">
        <v>4</v>
      </c>
      <c r="C49" s="4">
        <v>2</v>
      </c>
      <c r="D49" s="4">
        <v>16</v>
      </c>
      <c r="E49" s="4">
        <v>4</v>
      </c>
      <c r="F49" s="4" t="s">
        <v>30</v>
      </c>
      <c r="G49" t="s">
        <v>28</v>
      </c>
      <c r="H49" s="4">
        <v>104</v>
      </c>
      <c r="I49" s="4">
        <v>2</v>
      </c>
      <c r="J49" s="38">
        <v>45460</v>
      </c>
      <c r="L49" s="47">
        <v>0.16</v>
      </c>
      <c r="M49" s="47">
        <v>2.17</v>
      </c>
    </row>
    <row r="50" spans="1:13" x14ac:dyDescent="0.25">
      <c r="A50" s="4">
        <v>1</v>
      </c>
      <c r="B50" s="4">
        <v>5</v>
      </c>
      <c r="C50" s="4">
        <v>3</v>
      </c>
      <c r="D50" s="4">
        <v>17</v>
      </c>
      <c r="E50" s="4">
        <v>5</v>
      </c>
      <c r="F50" s="4" t="s">
        <v>25</v>
      </c>
      <c r="G50" t="s">
        <v>28</v>
      </c>
      <c r="H50" s="4">
        <v>105</v>
      </c>
      <c r="I50" s="4">
        <v>2</v>
      </c>
      <c r="J50" s="38">
        <v>45460</v>
      </c>
      <c r="L50" s="47">
        <v>0.34</v>
      </c>
      <c r="M50" s="47">
        <v>3.45</v>
      </c>
    </row>
    <row r="51" spans="1:13" x14ac:dyDescent="0.25">
      <c r="A51" s="4">
        <v>2</v>
      </c>
      <c r="B51" s="4">
        <v>5</v>
      </c>
      <c r="C51" s="4">
        <v>3</v>
      </c>
      <c r="D51" s="4">
        <v>18</v>
      </c>
      <c r="E51" s="4">
        <v>12</v>
      </c>
      <c r="F51" s="4" t="s">
        <v>25</v>
      </c>
      <c r="G51" t="s">
        <v>26</v>
      </c>
      <c r="H51" s="4">
        <v>205</v>
      </c>
      <c r="I51" s="4">
        <v>2</v>
      </c>
      <c r="J51" s="38">
        <v>45460</v>
      </c>
      <c r="L51" s="47">
        <v>0.41</v>
      </c>
      <c r="M51" s="47">
        <v>6.44</v>
      </c>
    </row>
    <row r="52" spans="1:13" x14ac:dyDescent="0.25">
      <c r="A52" s="4">
        <v>3</v>
      </c>
      <c r="B52" s="4">
        <v>5</v>
      </c>
      <c r="C52" s="4">
        <v>3</v>
      </c>
      <c r="D52" s="4">
        <v>19</v>
      </c>
      <c r="E52" s="4">
        <v>21</v>
      </c>
      <c r="F52" s="4" t="s">
        <v>25</v>
      </c>
      <c r="G52" t="s">
        <v>29</v>
      </c>
      <c r="H52" s="4">
        <v>305</v>
      </c>
      <c r="I52" s="4">
        <v>2</v>
      </c>
      <c r="J52" s="38">
        <v>45460</v>
      </c>
      <c r="L52" s="47">
        <v>0.31</v>
      </c>
      <c r="M52" s="47">
        <v>7.68</v>
      </c>
    </row>
    <row r="53" spans="1:13" x14ac:dyDescent="0.25">
      <c r="A53" s="4">
        <v>4</v>
      </c>
      <c r="B53" s="4">
        <v>5</v>
      </c>
      <c r="C53" s="4">
        <v>3</v>
      </c>
      <c r="D53" s="4">
        <v>20</v>
      </c>
      <c r="E53" s="4">
        <v>28</v>
      </c>
      <c r="F53" s="4" t="s">
        <v>25</v>
      </c>
      <c r="G53" t="s">
        <v>27</v>
      </c>
      <c r="H53" s="4">
        <v>405</v>
      </c>
      <c r="I53" s="4">
        <v>2</v>
      </c>
      <c r="J53" s="38">
        <v>45460</v>
      </c>
      <c r="L53" s="47">
        <v>0.42</v>
      </c>
      <c r="M53" s="47">
        <v>5.26</v>
      </c>
    </row>
    <row r="54" spans="1:13" x14ac:dyDescent="0.25">
      <c r="A54" s="4">
        <v>4</v>
      </c>
      <c r="B54" s="4">
        <v>6</v>
      </c>
      <c r="C54" s="4">
        <v>3</v>
      </c>
      <c r="D54" s="4">
        <v>21</v>
      </c>
      <c r="E54" s="4">
        <v>27</v>
      </c>
      <c r="F54" s="4" t="s">
        <v>30</v>
      </c>
      <c r="G54" t="s">
        <v>28</v>
      </c>
      <c r="H54" s="4">
        <v>406</v>
      </c>
      <c r="I54" s="4">
        <v>2</v>
      </c>
      <c r="J54" s="38">
        <v>45460</v>
      </c>
      <c r="L54" s="47">
        <v>0.18</v>
      </c>
      <c r="M54" s="47">
        <v>1.8</v>
      </c>
    </row>
    <row r="55" spans="1:13" x14ac:dyDescent="0.25">
      <c r="A55" s="4">
        <v>3</v>
      </c>
      <c r="B55" s="4">
        <v>6</v>
      </c>
      <c r="C55" s="4">
        <v>3</v>
      </c>
      <c r="D55" s="4">
        <v>22</v>
      </c>
      <c r="E55" s="4">
        <v>22</v>
      </c>
      <c r="F55" s="4" t="s">
        <v>30</v>
      </c>
      <c r="G55" t="s">
        <v>32</v>
      </c>
      <c r="H55" s="4">
        <v>306</v>
      </c>
      <c r="I55" s="4">
        <v>2</v>
      </c>
      <c r="J55" s="38">
        <v>45460</v>
      </c>
      <c r="L55" s="47">
        <v>0.21</v>
      </c>
      <c r="M55" s="47">
        <v>4.34</v>
      </c>
    </row>
    <row r="56" spans="1:13" x14ac:dyDescent="0.25">
      <c r="A56" s="4">
        <v>2</v>
      </c>
      <c r="B56" s="4">
        <v>6</v>
      </c>
      <c r="C56" s="4">
        <v>3</v>
      </c>
      <c r="D56" s="4">
        <v>23</v>
      </c>
      <c r="E56" s="4">
        <v>11</v>
      </c>
      <c r="F56" s="4" t="s">
        <v>30</v>
      </c>
      <c r="G56" t="s">
        <v>31</v>
      </c>
      <c r="H56" s="4">
        <v>206</v>
      </c>
      <c r="I56" s="4">
        <v>2</v>
      </c>
      <c r="J56" s="38">
        <v>45460</v>
      </c>
      <c r="L56" s="47">
        <v>0.16</v>
      </c>
      <c r="M56" s="47">
        <v>2.82</v>
      </c>
    </row>
    <row r="57" spans="1:13" x14ac:dyDescent="0.25">
      <c r="A57" s="4">
        <v>1</v>
      </c>
      <c r="B57" s="4">
        <v>6</v>
      </c>
      <c r="C57" s="4">
        <v>3</v>
      </c>
      <c r="D57" s="4">
        <v>24</v>
      </c>
      <c r="E57" s="4">
        <v>6</v>
      </c>
      <c r="F57" s="4" t="s">
        <v>30</v>
      </c>
      <c r="G57" t="s">
        <v>29</v>
      </c>
      <c r="H57" s="4">
        <v>106</v>
      </c>
      <c r="I57" s="4">
        <v>2</v>
      </c>
      <c r="J57" s="38">
        <v>45460</v>
      </c>
      <c r="L57" s="47">
        <v>0.16</v>
      </c>
      <c r="M57" s="47">
        <v>2.12</v>
      </c>
    </row>
    <row r="58" spans="1:13" x14ac:dyDescent="0.25">
      <c r="A58" s="4">
        <v>1</v>
      </c>
      <c r="B58" s="4">
        <v>7</v>
      </c>
      <c r="C58" s="4">
        <v>4</v>
      </c>
      <c r="D58" s="4">
        <v>25</v>
      </c>
      <c r="E58" s="4">
        <v>7</v>
      </c>
      <c r="F58" s="4" t="s">
        <v>25</v>
      </c>
      <c r="G58" t="s">
        <v>29</v>
      </c>
      <c r="H58" s="4">
        <v>107</v>
      </c>
      <c r="I58" s="4">
        <v>2</v>
      </c>
      <c r="J58" s="38">
        <v>45460</v>
      </c>
      <c r="L58" s="47">
        <v>0.45</v>
      </c>
      <c r="M58" s="47">
        <v>6.46</v>
      </c>
    </row>
    <row r="59" spans="1:13" x14ac:dyDescent="0.25">
      <c r="A59" s="4">
        <v>2</v>
      </c>
      <c r="B59" s="4">
        <v>7</v>
      </c>
      <c r="C59" s="4">
        <v>4</v>
      </c>
      <c r="D59" s="4">
        <v>26</v>
      </c>
      <c r="E59" s="4">
        <v>10</v>
      </c>
      <c r="F59" s="4" t="s">
        <v>25</v>
      </c>
      <c r="G59" t="s">
        <v>28</v>
      </c>
      <c r="H59" s="4">
        <v>207</v>
      </c>
      <c r="I59" s="4">
        <v>2</v>
      </c>
      <c r="J59" s="38">
        <v>45460</v>
      </c>
      <c r="L59" s="47">
        <v>0.32</v>
      </c>
      <c r="M59" s="47">
        <v>11.68</v>
      </c>
    </row>
    <row r="60" spans="1:13" x14ac:dyDescent="0.25">
      <c r="A60" s="4">
        <v>3</v>
      </c>
      <c r="B60" s="4">
        <v>7</v>
      </c>
      <c r="C60" s="4">
        <v>4</v>
      </c>
      <c r="D60" s="4">
        <v>27</v>
      </c>
      <c r="E60" s="4">
        <v>23</v>
      </c>
      <c r="F60" s="4" t="s">
        <v>25</v>
      </c>
      <c r="G60" t="s">
        <v>27</v>
      </c>
      <c r="H60" s="4">
        <v>307</v>
      </c>
      <c r="I60" s="4">
        <v>2</v>
      </c>
      <c r="J60" s="38">
        <v>45460</v>
      </c>
      <c r="L60" s="47">
        <v>0.32</v>
      </c>
      <c r="M60" s="47">
        <v>5.89</v>
      </c>
    </row>
    <row r="61" spans="1:13" x14ac:dyDescent="0.25">
      <c r="A61" s="4">
        <v>4</v>
      </c>
      <c r="B61" s="4">
        <v>7</v>
      </c>
      <c r="C61" s="4">
        <v>4</v>
      </c>
      <c r="D61" s="4">
        <v>28</v>
      </c>
      <c r="E61" s="4">
        <v>26</v>
      </c>
      <c r="F61" s="4" t="s">
        <v>25</v>
      </c>
      <c r="G61" t="s">
        <v>26</v>
      </c>
      <c r="H61" s="4">
        <v>407</v>
      </c>
      <c r="I61" s="4">
        <v>2</v>
      </c>
      <c r="J61" s="38">
        <v>45460</v>
      </c>
      <c r="L61" s="47">
        <v>0.37</v>
      </c>
      <c r="M61" s="47">
        <v>4.88</v>
      </c>
    </row>
    <row r="62" spans="1:13" x14ac:dyDescent="0.25">
      <c r="A62" s="4">
        <v>4</v>
      </c>
      <c r="B62" s="4">
        <v>8</v>
      </c>
      <c r="C62" s="4">
        <v>4</v>
      </c>
      <c r="D62" s="4">
        <v>29</v>
      </c>
      <c r="E62" s="4">
        <v>25</v>
      </c>
      <c r="F62" s="4" t="s">
        <v>30</v>
      </c>
      <c r="G62" t="s">
        <v>31</v>
      </c>
      <c r="H62" s="4">
        <v>408</v>
      </c>
      <c r="I62" s="4">
        <v>2</v>
      </c>
      <c r="J62" s="38">
        <v>45460</v>
      </c>
      <c r="L62" s="47">
        <v>0.19</v>
      </c>
      <c r="M62" s="47">
        <v>1.9</v>
      </c>
    </row>
    <row r="63" spans="1:13" x14ac:dyDescent="0.25">
      <c r="A63" s="4">
        <v>3</v>
      </c>
      <c r="B63" s="4">
        <v>8</v>
      </c>
      <c r="C63" s="4">
        <v>4</v>
      </c>
      <c r="D63" s="4">
        <v>30</v>
      </c>
      <c r="E63" s="4">
        <v>24</v>
      </c>
      <c r="F63" s="4" t="s">
        <v>30</v>
      </c>
      <c r="G63" t="s">
        <v>28</v>
      </c>
      <c r="H63" s="4">
        <v>308</v>
      </c>
      <c r="I63" s="4">
        <v>2</v>
      </c>
      <c r="J63" s="38">
        <v>45460</v>
      </c>
      <c r="L63" s="47">
        <v>0.16</v>
      </c>
      <c r="M63" s="47">
        <v>2.2999999999999998</v>
      </c>
    </row>
    <row r="64" spans="1:13" x14ac:dyDescent="0.25">
      <c r="A64" s="4">
        <v>2</v>
      </c>
      <c r="B64" s="4">
        <v>8</v>
      </c>
      <c r="C64" s="4">
        <v>4</v>
      </c>
      <c r="D64" s="4">
        <v>31</v>
      </c>
      <c r="E64" s="4">
        <v>9</v>
      </c>
      <c r="F64" s="4" t="s">
        <v>30</v>
      </c>
      <c r="G64" t="s">
        <v>29</v>
      </c>
      <c r="H64" s="4">
        <v>208</v>
      </c>
      <c r="I64" s="4">
        <v>2</v>
      </c>
      <c r="J64" s="38">
        <v>45460</v>
      </c>
      <c r="L64" s="47">
        <v>0.15</v>
      </c>
      <c r="M64" s="47">
        <v>2.66</v>
      </c>
    </row>
    <row r="65" spans="1:13" x14ac:dyDescent="0.25">
      <c r="A65" s="4">
        <v>1</v>
      </c>
      <c r="B65" s="4">
        <v>8</v>
      </c>
      <c r="C65" s="4">
        <v>4</v>
      </c>
      <c r="D65" s="4">
        <v>32</v>
      </c>
      <c r="E65" s="4">
        <v>8</v>
      </c>
      <c r="F65" s="4" t="s">
        <v>30</v>
      </c>
      <c r="G65" t="s">
        <v>32</v>
      </c>
      <c r="H65" s="4">
        <v>108</v>
      </c>
      <c r="I65" s="4">
        <v>2</v>
      </c>
      <c r="J65" s="38">
        <v>45460</v>
      </c>
      <c r="L65" s="47">
        <v>0.19</v>
      </c>
      <c r="M65" s="47">
        <v>2.6</v>
      </c>
    </row>
    <row r="66" spans="1:13" x14ac:dyDescent="0.25">
      <c r="A66" s="4">
        <v>1</v>
      </c>
      <c r="B66" s="4">
        <v>1</v>
      </c>
      <c r="C66" s="4">
        <v>1</v>
      </c>
      <c r="D66" s="4">
        <v>1</v>
      </c>
      <c r="E66" s="4">
        <v>1</v>
      </c>
      <c r="F66" s="4" t="s">
        <v>25</v>
      </c>
      <c r="G66" t="s">
        <v>26</v>
      </c>
      <c r="H66" s="4">
        <v>101</v>
      </c>
      <c r="I66" s="4">
        <v>3</v>
      </c>
      <c r="J66" s="38">
        <v>45474</v>
      </c>
      <c r="L66" s="47">
        <v>0.56000000000000005</v>
      </c>
      <c r="M66" s="47">
        <v>6.48</v>
      </c>
    </row>
    <row r="67" spans="1:13" x14ac:dyDescent="0.25">
      <c r="A67" s="4">
        <v>2</v>
      </c>
      <c r="B67" s="4">
        <v>1</v>
      </c>
      <c r="C67" s="4">
        <v>1</v>
      </c>
      <c r="D67" s="4">
        <v>2</v>
      </c>
      <c r="E67" s="4">
        <v>16</v>
      </c>
      <c r="F67" s="4" t="s">
        <v>25</v>
      </c>
      <c r="G67" t="s">
        <v>27</v>
      </c>
      <c r="H67" s="4">
        <v>201</v>
      </c>
      <c r="I67" s="4">
        <v>3</v>
      </c>
      <c r="J67" s="38">
        <v>45474</v>
      </c>
      <c r="L67" s="47">
        <v>0.56999999999999995</v>
      </c>
      <c r="M67" s="47">
        <v>6.82</v>
      </c>
    </row>
    <row r="68" spans="1:13" x14ac:dyDescent="0.25">
      <c r="A68" s="4">
        <v>3</v>
      </c>
      <c r="B68" s="4">
        <v>1</v>
      </c>
      <c r="C68" s="4">
        <v>1</v>
      </c>
      <c r="D68" s="4">
        <v>3</v>
      </c>
      <c r="E68" s="4">
        <v>17</v>
      </c>
      <c r="F68" s="4" t="s">
        <v>25</v>
      </c>
      <c r="G68" t="s">
        <v>28</v>
      </c>
      <c r="H68" s="4">
        <v>301</v>
      </c>
      <c r="I68" s="4">
        <v>3</v>
      </c>
      <c r="J68" s="38">
        <v>45474</v>
      </c>
      <c r="L68" s="47">
        <v>0.49</v>
      </c>
      <c r="M68" s="47">
        <v>4.5</v>
      </c>
    </row>
    <row r="69" spans="1:13" x14ac:dyDescent="0.25">
      <c r="A69" s="4">
        <v>4</v>
      </c>
      <c r="B69" s="4">
        <v>1</v>
      </c>
      <c r="C69" s="4">
        <v>1</v>
      </c>
      <c r="D69" s="4">
        <v>4</v>
      </c>
      <c r="E69" s="4">
        <v>32</v>
      </c>
      <c r="F69" s="4" t="s">
        <v>25</v>
      </c>
      <c r="G69" t="s">
        <v>29</v>
      </c>
      <c r="H69" s="4">
        <v>401</v>
      </c>
      <c r="I69" s="4">
        <v>3</v>
      </c>
      <c r="J69" s="38">
        <v>45474</v>
      </c>
      <c r="L69" s="47">
        <v>0.44</v>
      </c>
      <c r="M69" s="47">
        <v>5.74</v>
      </c>
    </row>
    <row r="70" spans="1:13" x14ac:dyDescent="0.25">
      <c r="A70" s="4">
        <v>4</v>
      </c>
      <c r="B70" s="4">
        <v>2</v>
      </c>
      <c r="C70" s="4">
        <v>1</v>
      </c>
      <c r="D70" s="4">
        <v>5</v>
      </c>
      <c r="E70" s="4">
        <v>31</v>
      </c>
      <c r="F70" s="4" t="s">
        <v>30</v>
      </c>
      <c r="G70" t="s">
        <v>32</v>
      </c>
      <c r="H70" s="4">
        <v>402</v>
      </c>
      <c r="I70" s="4">
        <v>3</v>
      </c>
      <c r="J70" s="38">
        <v>45474</v>
      </c>
      <c r="L70" s="47">
        <v>0.28000000000000003</v>
      </c>
      <c r="M70" s="47">
        <v>3.35</v>
      </c>
    </row>
    <row r="71" spans="1:13" x14ac:dyDescent="0.25">
      <c r="A71" s="4">
        <v>3</v>
      </c>
      <c r="B71" s="4">
        <v>2</v>
      </c>
      <c r="C71" s="4">
        <v>1</v>
      </c>
      <c r="D71" s="4">
        <v>6</v>
      </c>
      <c r="E71" s="4">
        <v>18</v>
      </c>
      <c r="F71" s="4" t="s">
        <v>30</v>
      </c>
      <c r="G71" t="s">
        <v>29</v>
      </c>
      <c r="H71" s="4">
        <v>302</v>
      </c>
      <c r="I71" s="4">
        <v>3</v>
      </c>
      <c r="J71" s="38">
        <v>45474</v>
      </c>
      <c r="L71" s="47">
        <v>0.21</v>
      </c>
      <c r="M71" s="47">
        <v>3.21</v>
      </c>
    </row>
    <row r="72" spans="1:13" x14ac:dyDescent="0.25">
      <c r="A72" s="4">
        <v>2</v>
      </c>
      <c r="B72" s="4">
        <v>2</v>
      </c>
      <c r="C72" s="4">
        <v>1</v>
      </c>
      <c r="D72" s="4">
        <v>7</v>
      </c>
      <c r="E72" s="4">
        <v>15</v>
      </c>
      <c r="F72" s="4" t="s">
        <v>30</v>
      </c>
      <c r="G72" t="s">
        <v>28</v>
      </c>
      <c r="H72" s="4">
        <v>202</v>
      </c>
      <c r="I72" s="4">
        <v>3</v>
      </c>
      <c r="J72" s="38">
        <v>45474</v>
      </c>
      <c r="L72" s="47">
        <v>0.23</v>
      </c>
      <c r="M72" s="47">
        <v>4.58</v>
      </c>
    </row>
    <row r="73" spans="1:13" x14ac:dyDescent="0.25">
      <c r="A73" s="4">
        <v>1</v>
      </c>
      <c r="B73" s="4">
        <v>2</v>
      </c>
      <c r="C73" s="4">
        <v>1</v>
      </c>
      <c r="D73" s="4">
        <v>8</v>
      </c>
      <c r="E73" s="4">
        <v>2</v>
      </c>
      <c r="F73" s="4" t="s">
        <v>30</v>
      </c>
      <c r="G73" t="s">
        <v>31</v>
      </c>
      <c r="H73" s="4">
        <v>102</v>
      </c>
      <c r="I73" s="4">
        <v>3</v>
      </c>
      <c r="J73" s="38">
        <v>45474</v>
      </c>
      <c r="L73" s="47">
        <v>0.26</v>
      </c>
      <c r="M73" s="47">
        <v>2.4700000000000002</v>
      </c>
    </row>
    <row r="74" spans="1:13" x14ac:dyDescent="0.25">
      <c r="A74" s="4">
        <v>1</v>
      </c>
      <c r="B74" s="4">
        <v>3</v>
      </c>
      <c r="C74" s="4">
        <v>2</v>
      </c>
      <c r="D74" s="4">
        <v>9</v>
      </c>
      <c r="E74" s="4">
        <v>3</v>
      </c>
      <c r="F74" s="4" t="s">
        <v>25</v>
      </c>
      <c r="G74" t="s">
        <v>27</v>
      </c>
      <c r="H74" s="4">
        <v>103</v>
      </c>
      <c r="I74" s="4">
        <v>3</v>
      </c>
      <c r="J74" s="38">
        <v>45474</v>
      </c>
      <c r="L74" s="47">
        <v>0.46</v>
      </c>
      <c r="M74" s="47">
        <v>10.1</v>
      </c>
    </row>
    <row r="75" spans="1:13" x14ac:dyDescent="0.25">
      <c r="A75" s="4">
        <v>2</v>
      </c>
      <c r="B75" s="4">
        <v>3</v>
      </c>
      <c r="C75" s="4">
        <v>2</v>
      </c>
      <c r="D75" s="4">
        <v>10</v>
      </c>
      <c r="E75" s="4">
        <v>14</v>
      </c>
      <c r="F75" s="4" t="s">
        <v>25</v>
      </c>
      <c r="G75" t="s">
        <v>29</v>
      </c>
      <c r="H75" s="4">
        <v>203</v>
      </c>
      <c r="I75" s="4">
        <v>3</v>
      </c>
      <c r="J75" s="38">
        <v>45474</v>
      </c>
      <c r="L75" s="47">
        <v>0.43</v>
      </c>
      <c r="M75" s="47">
        <v>9.9499999999999993</v>
      </c>
    </row>
    <row r="76" spans="1:13" x14ac:dyDescent="0.25">
      <c r="A76" s="4">
        <v>3</v>
      </c>
      <c r="B76" s="4">
        <v>3</v>
      </c>
      <c r="C76" s="4">
        <v>2</v>
      </c>
      <c r="D76" s="4">
        <v>11</v>
      </c>
      <c r="E76" s="4">
        <v>19</v>
      </c>
      <c r="F76" s="4" t="s">
        <v>25</v>
      </c>
      <c r="G76" t="s">
        <v>26</v>
      </c>
      <c r="H76" s="4">
        <v>303</v>
      </c>
      <c r="I76" s="4">
        <v>3</v>
      </c>
      <c r="J76" s="38">
        <v>45474</v>
      </c>
      <c r="L76" s="47">
        <v>0.49</v>
      </c>
      <c r="M76" s="47">
        <v>7.39</v>
      </c>
    </row>
    <row r="77" spans="1:13" x14ac:dyDescent="0.25">
      <c r="A77" s="4">
        <v>4</v>
      </c>
      <c r="B77" s="4">
        <v>3</v>
      </c>
      <c r="C77" s="4">
        <v>2</v>
      </c>
      <c r="D77" s="4">
        <v>12</v>
      </c>
      <c r="E77" s="4">
        <v>30</v>
      </c>
      <c r="F77" s="4" t="s">
        <v>25</v>
      </c>
      <c r="G77" t="s">
        <v>28</v>
      </c>
      <c r="H77" s="4">
        <v>403</v>
      </c>
      <c r="I77" s="4">
        <v>3</v>
      </c>
      <c r="J77" s="38">
        <v>45474</v>
      </c>
      <c r="L77" s="47">
        <v>0.38</v>
      </c>
      <c r="M77" s="47">
        <v>6.94</v>
      </c>
    </row>
    <row r="78" spans="1:13" x14ac:dyDescent="0.25">
      <c r="A78" s="4">
        <v>4</v>
      </c>
      <c r="B78" s="4">
        <v>4</v>
      </c>
      <c r="C78" s="4">
        <v>2</v>
      </c>
      <c r="D78" s="4">
        <v>13</v>
      </c>
      <c r="E78" s="4">
        <v>29</v>
      </c>
      <c r="F78" s="4" t="s">
        <v>30</v>
      </c>
      <c r="G78" t="s">
        <v>29</v>
      </c>
      <c r="H78" s="4">
        <v>404</v>
      </c>
      <c r="I78" s="4">
        <v>3</v>
      </c>
      <c r="J78" s="38">
        <v>45474</v>
      </c>
      <c r="L78" s="47">
        <v>0.21</v>
      </c>
      <c r="M78" s="47">
        <v>4.2699999999999996</v>
      </c>
    </row>
    <row r="79" spans="1:13" x14ac:dyDescent="0.25">
      <c r="A79" s="4">
        <v>3</v>
      </c>
      <c r="B79" s="4">
        <v>4</v>
      </c>
      <c r="C79" s="4">
        <v>2</v>
      </c>
      <c r="D79" s="4">
        <v>14</v>
      </c>
      <c r="E79" s="4">
        <v>20</v>
      </c>
      <c r="F79" s="4" t="s">
        <v>30</v>
      </c>
      <c r="G79" t="s">
        <v>31</v>
      </c>
      <c r="H79" s="4">
        <v>304</v>
      </c>
      <c r="I79" s="4">
        <v>3</v>
      </c>
      <c r="J79" s="38">
        <v>45474</v>
      </c>
      <c r="L79" s="47">
        <v>0.23</v>
      </c>
      <c r="M79" s="47">
        <v>3.96</v>
      </c>
    </row>
    <row r="80" spans="1:13" x14ac:dyDescent="0.25">
      <c r="A80" s="4">
        <v>2</v>
      </c>
      <c r="B80" s="4">
        <v>4</v>
      </c>
      <c r="C80" s="4">
        <v>2</v>
      </c>
      <c r="D80" s="4">
        <v>15</v>
      </c>
      <c r="E80" s="4">
        <v>13</v>
      </c>
      <c r="F80" s="4" t="s">
        <v>30</v>
      </c>
      <c r="G80" t="s">
        <v>32</v>
      </c>
      <c r="H80" s="4">
        <v>204</v>
      </c>
      <c r="I80" s="4">
        <v>3</v>
      </c>
      <c r="J80" s="38">
        <v>45474</v>
      </c>
      <c r="L80" s="47">
        <v>0.31</v>
      </c>
      <c r="M80" s="47">
        <v>5.04</v>
      </c>
    </row>
    <row r="81" spans="1:13" x14ac:dyDescent="0.25">
      <c r="A81" s="4">
        <v>1</v>
      </c>
      <c r="B81" s="4">
        <v>4</v>
      </c>
      <c r="C81" s="4">
        <v>2</v>
      </c>
      <c r="D81" s="4">
        <v>16</v>
      </c>
      <c r="E81" s="4">
        <v>4</v>
      </c>
      <c r="F81" s="4" t="s">
        <v>30</v>
      </c>
      <c r="G81" t="s">
        <v>28</v>
      </c>
      <c r="H81" s="4">
        <v>104</v>
      </c>
      <c r="I81" s="4">
        <v>3</v>
      </c>
      <c r="J81" s="38">
        <v>45474</v>
      </c>
      <c r="L81" s="47">
        <v>0.24</v>
      </c>
      <c r="M81" s="47">
        <v>3.29</v>
      </c>
    </row>
    <row r="82" spans="1:13" x14ac:dyDescent="0.25">
      <c r="A82" s="4">
        <v>1</v>
      </c>
      <c r="B82" s="4">
        <v>5</v>
      </c>
      <c r="C82" s="4">
        <v>3</v>
      </c>
      <c r="D82" s="4">
        <v>17</v>
      </c>
      <c r="E82" s="4">
        <v>5</v>
      </c>
      <c r="F82" s="4" t="s">
        <v>25</v>
      </c>
      <c r="G82" t="s">
        <v>28</v>
      </c>
      <c r="H82" s="4">
        <v>105</v>
      </c>
      <c r="I82" s="4">
        <v>3</v>
      </c>
      <c r="J82" s="38">
        <v>45474</v>
      </c>
      <c r="L82" s="47">
        <v>0.5</v>
      </c>
      <c r="M82" s="47">
        <v>6.01</v>
      </c>
    </row>
    <row r="83" spans="1:13" x14ac:dyDescent="0.25">
      <c r="A83" s="4">
        <v>2</v>
      </c>
      <c r="B83" s="4">
        <v>5</v>
      </c>
      <c r="C83" s="4">
        <v>3</v>
      </c>
      <c r="D83" s="4">
        <v>18</v>
      </c>
      <c r="E83" s="4">
        <v>12</v>
      </c>
      <c r="F83" s="4" t="s">
        <v>25</v>
      </c>
      <c r="G83" t="s">
        <v>26</v>
      </c>
      <c r="H83" s="4">
        <v>205</v>
      </c>
      <c r="I83" s="4">
        <v>3</v>
      </c>
      <c r="J83" s="38">
        <v>45474</v>
      </c>
      <c r="L83" s="47">
        <v>0.6</v>
      </c>
      <c r="M83" s="47">
        <v>7.4</v>
      </c>
    </row>
    <row r="84" spans="1:13" x14ac:dyDescent="0.25">
      <c r="A84" s="4">
        <v>3</v>
      </c>
      <c r="B84" s="4">
        <v>5</v>
      </c>
      <c r="C84" s="4">
        <v>3</v>
      </c>
      <c r="D84" s="4">
        <v>19</v>
      </c>
      <c r="E84" s="4">
        <v>21</v>
      </c>
      <c r="F84" s="4" t="s">
        <v>25</v>
      </c>
      <c r="G84" t="s">
        <v>29</v>
      </c>
      <c r="H84" s="4">
        <v>305</v>
      </c>
      <c r="I84" s="4">
        <v>3</v>
      </c>
      <c r="J84" s="38">
        <v>45474</v>
      </c>
      <c r="L84" s="47">
        <v>0.49</v>
      </c>
      <c r="M84" s="47">
        <v>8.44</v>
      </c>
    </row>
    <row r="85" spans="1:13" x14ac:dyDescent="0.25">
      <c r="A85" s="4">
        <v>4</v>
      </c>
      <c r="B85" s="4">
        <v>5</v>
      </c>
      <c r="C85" s="4">
        <v>3</v>
      </c>
      <c r="D85" s="4">
        <v>20</v>
      </c>
      <c r="E85" s="4">
        <v>28</v>
      </c>
      <c r="F85" s="4" t="s">
        <v>25</v>
      </c>
      <c r="G85" t="s">
        <v>27</v>
      </c>
      <c r="H85" s="4">
        <v>405</v>
      </c>
      <c r="I85" s="4">
        <v>3</v>
      </c>
      <c r="J85" s="38">
        <v>45474</v>
      </c>
      <c r="L85" s="47">
        <v>0.55000000000000004</v>
      </c>
      <c r="M85" s="47">
        <v>5.73</v>
      </c>
    </row>
    <row r="86" spans="1:13" x14ac:dyDescent="0.25">
      <c r="A86" s="4">
        <v>4</v>
      </c>
      <c r="B86" s="4">
        <v>6</v>
      </c>
      <c r="C86" s="4">
        <v>3</v>
      </c>
      <c r="D86" s="4">
        <v>21</v>
      </c>
      <c r="E86" s="4">
        <v>27</v>
      </c>
      <c r="F86" s="4" t="s">
        <v>30</v>
      </c>
      <c r="G86" t="s">
        <v>28</v>
      </c>
      <c r="H86" s="4">
        <v>406</v>
      </c>
      <c r="I86" s="4">
        <v>3</v>
      </c>
      <c r="J86" s="38">
        <v>45474</v>
      </c>
      <c r="L86" s="47">
        <v>0.25</v>
      </c>
      <c r="M86" s="47">
        <v>3.17</v>
      </c>
    </row>
    <row r="87" spans="1:13" x14ac:dyDescent="0.25">
      <c r="A87" s="4">
        <v>3</v>
      </c>
      <c r="B87" s="4">
        <v>6</v>
      </c>
      <c r="C87" s="4">
        <v>3</v>
      </c>
      <c r="D87" s="4">
        <v>22</v>
      </c>
      <c r="E87" s="4">
        <v>22</v>
      </c>
      <c r="F87" s="4" t="s">
        <v>30</v>
      </c>
      <c r="G87" t="s">
        <v>32</v>
      </c>
      <c r="H87" s="4">
        <v>306</v>
      </c>
      <c r="I87" s="4">
        <v>3</v>
      </c>
      <c r="J87" s="38">
        <v>45474</v>
      </c>
      <c r="L87" s="47">
        <v>0.27</v>
      </c>
      <c r="M87" s="47">
        <v>4.25</v>
      </c>
    </row>
    <row r="88" spans="1:13" x14ac:dyDescent="0.25">
      <c r="A88" s="4">
        <v>2</v>
      </c>
      <c r="B88" s="4">
        <v>6</v>
      </c>
      <c r="C88" s="4">
        <v>3</v>
      </c>
      <c r="D88" s="4">
        <v>23</v>
      </c>
      <c r="E88" s="4">
        <v>11</v>
      </c>
      <c r="F88" s="4" t="s">
        <v>30</v>
      </c>
      <c r="G88" t="s">
        <v>31</v>
      </c>
      <c r="H88" s="4">
        <v>206</v>
      </c>
      <c r="I88" s="4">
        <v>3</v>
      </c>
      <c r="J88" s="38">
        <v>45474</v>
      </c>
      <c r="L88" s="47">
        <v>0.26</v>
      </c>
      <c r="M88" s="47">
        <v>5</v>
      </c>
    </row>
    <row r="89" spans="1:13" x14ac:dyDescent="0.25">
      <c r="A89" s="4">
        <v>1</v>
      </c>
      <c r="B89" s="4">
        <v>6</v>
      </c>
      <c r="C89" s="4">
        <v>3</v>
      </c>
      <c r="D89" s="4">
        <v>24</v>
      </c>
      <c r="E89" s="4">
        <v>6</v>
      </c>
      <c r="F89" s="4" t="s">
        <v>30</v>
      </c>
      <c r="G89" t="s">
        <v>29</v>
      </c>
      <c r="H89" s="4">
        <v>106</v>
      </c>
      <c r="I89" s="4">
        <v>3</v>
      </c>
      <c r="J89" s="38">
        <v>45474</v>
      </c>
      <c r="L89" s="47">
        <v>0.23</v>
      </c>
      <c r="M89" s="47">
        <v>1.52</v>
      </c>
    </row>
    <row r="90" spans="1:13" x14ac:dyDescent="0.25">
      <c r="A90" s="4">
        <v>1</v>
      </c>
      <c r="B90" s="4">
        <v>7</v>
      </c>
      <c r="C90" s="4">
        <v>4</v>
      </c>
      <c r="D90" s="4">
        <v>25</v>
      </c>
      <c r="E90" s="4">
        <v>7</v>
      </c>
      <c r="F90" s="4" t="s">
        <v>25</v>
      </c>
      <c r="G90" t="s">
        <v>29</v>
      </c>
      <c r="H90" s="4">
        <v>107</v>
      </c>
      <c r="I90" s="4">
        <v>3</v>
      </c>
      <c r="J90" s="38">
        <v>45474</v>
      </c>
      <c r="L90" s="47">
        <v>0.59</v>
      </c>
      <c r="M90" s="47">
        <v>7.12</v>
      </c>
    </row>
    <row r="91" spans="1:13" x14ac:dyDescent="0.25">
      <c r="A91" s="4">
        <v>2</v>
      </c>
      <c r="B91" s="4">
        <v>7</v>
      </c>
      <c r="C91" s="4">
        <v>4</v>
      </c>
      <c r="D91" s="4">
        <v>26</v>
      </c>
      <c r="E91" s="4">
        <v>10</v>
      </c>
      <c r="F91" s="4" t="s">
        <v>25</v>
      </c>
      <c r="G91" t="s">
        <v>28</v>
      </c>
      <c r="H91" s="4">
        <v>207</v>
      </c>
      <c r="I91" s="4">
        <v>3</v>
      </c>
      <c r="J91" s="38">
        <v>45474</v>
      </c>
      <c r="L91" s="47">
        <v>0.41</v>
      </c>
      <c r="M91" s="47">
        <v>10.72</v>
      </c>
    </row>
    <row r="92" spans="1:13" x14ac:dyDescent="0.25">
      <c r="A92" s="4">
        <v>3</v>
      </c>
      <c r="B92" s="4">
        <v>7</v>
      </c>
      <c r="C92" s="4">
        <v>4</v>
      </c>
      <c r="D92" s="4">
        <v>27</v>
      </c>
      <c r="E92" s="4">
        <v>23</v>
      </c>
      <c r="F92" s="4" t="s">
        <v>25</v>
      </c>
      <c r="G92" t="s">
        <v>27</v>
      </c>
      <c r="H92" s="4">
        <v>307</v>
      </c>
      <c r="I92" s="4">
        <v>3</v>
      </c>
      <c r="J92" s="38">
        <v>45474</v>
      </c>
      <c r="L92" s="47">
        <v>0.46</v>
      </c>
      <c r="M92" s="47">
        <v>8.69</v>
      </c>
    </row>
    <row r="93" spans="1:13" x14ac:dyDescent="0.25">
      <c r="A93" s="4">
        <v>4</v>
      </c>
      <c r="B93" s="4">
        <v>7</v>
      </c>
      <c r="C93" s="4">
        <v>4</v>
      </c>
      <c r="D93" s="4">
        <v>28</v>
      </c>
      <c r="E93" s="4">
        <v>26</v>
      </c>
      <c r="F93" s="4" t="s">
        <v>25</v>
      </c>
      <c r="G93" t="s">
        <v>26</v>
      </c>
      <c r="H93" s="4">
        <v>407</v>
      </c>
      <c r="I93" s="4">
        <v>3</v>
      </c>
      <c r="J93" s="38">
        <v>45474</v>
      </c>
      <c r="L93" s="47">
        <v>0.44</v>
      </c>
      <c r="M93" s="47">
        <v>6.37</v>
      </c>
    </row>
    <row r="94" spans="1:13" x14ac:dyDescent="0.25">
      <c r="A94" s="4">
        <v>4</v>
      </c>
      <c r="B94" s="4">
        <v>8</v>
      </c>
      <c r="C94" s="4">
        <v>4</v>
      </c>
      <c r="D94" s="4">
        <v>29</v>
      </c>
      <c r="E94" s="4">
        <v>25</v>
      </c>
      <c r="F94" s="4" t="s">
        <v>30</v>
      </c>
      <c r="G94" t="s">
        <v>31</v>
      </c>
      <c r="H94" s="4">
        <v>408</v>
      </c>
      <c r="I94" s="4">
        <v>3</v>
      </c>
      <c r="J94" s="38">
        <v>45474</v>
      </c>
      <c r="L94" s="47">
        <v>0.28000000000000003</v>
      </c>
      <c r="M94" s="47">
        <v>3.66</v>
      </c>
    </row>
    <row r="95" spans="1:13" x14ac:dyDescent="0.25">
      <c r="A95" s="4">
        <v>3</v>
      </c>
      <c r="B95" s="4">
        <v>8</v>
      </c>
      <c r="C95" s="4">
        <v>4</v>
      </c>
      <c r="D95" s="4">
        <v>30</v>
      </c>
      <c r="E95" s="4">
        <v>24</v>
      </c>
      <c r="F95" s="4" t="s">
        <v>30</v>
      </c>
      <c r="G95" t="s">
        <v>28</v>
      </c>
      <c r="H95" s="4">
        <v>308</v>
      </c>
      <c r="I95" s="4">
        <v>3</v>
      </c>
      <c r="J95" s="38">
        <v>45474</v>
      </c>
      <c r="L95" s="47">
        <v>0.23</v>
      </c>
      <c r="M95" s="47">
        <v>4.66</v>
      </c>
    </row>
    <row r="96" spans="1:13" x14ac:dyDescent="0.25">
      <c r="A96" s="4">
        <v>2</v>
      </c>
      <c r="B96" s="4">
        <v>8</v>
      </c>
      <c r="C96" s="4">
        <v>4</v>
      </c>
      <c r="D96" s="4">
        <v>31</v>
      </c>
      <c r="E96" s="4">
        <v>9</v>
      </c>
      <c r="F96" s="4" t="s">
        <v>30</v>
      </c>
      <c r="G96" t="s">
        <v>29</v>
      </c>
      <c r="H96" s="4">
        <v>208</v>
      </c>
      <c r="I96" s="4">
        <v>3</v>
      </c>
      <c r="J96" s="38">
        <v>45474</v>
      </c>
      <c r="L96" s="47">
        <v>0.21</v>
      </c>
      <c r="M96" s="47">
        <v>3.36</v>
      </c>
    </row>
    <row r="97" spans="1:13" x14ac:dyDescent="0.25">
      <c r="A97" s="4">
        <v>1</v>
      </c>
      <c r="B97" s="4">
        <v>8</v>
      </c>
      <c r="C97" s="4">
        <v>4</v>
      </c>
      <c r="D97" s="4">
        <v>32</v>
      </c>
      <c r="E97" s="4">
        <v>8</v>
      </c>
      <c r="F97" s="4" t="s">
        <v>30</v>
      </c>
      <c r="G97" t="s">
        <v>32</v>
      </c>
      <c r="H97" s="4">
        <v>108</v>
      </c>
      <c r="I97" s="4">
        <v>3</v>
      </c>
      <c r="J97" s="38">
        <v>45474</v>
      </c>
      <c r="L97" s="47">
        <v>0.3</v>
      </c>
      <c r="M97" s="47">
        <v>3.78</v>
      </c>
    </row>
    <row r="98" spans="1:13" x14ac:dyDescent="0.25">
      <c r="A98" s="4">
        <v>1</v>
      </c>
      <c r="B98" s="4">
        <v>1</v>
      </c>
      <c r="C98" s="4">
        <v>1</v>
      </c>
      <c r="D98" s="4">
        <v>1</v>
      </c>
      <c r="E98" s="4">
        <v>1</v>
      </c>
      <c r="F98" s="4" t="s">
        <v>25</v>
      </c>
      <c r="G98" t="s">
        <v>26</v>
      </c>
      <c r="H98" s="4">
        <v>101</v>
      </c>
      <c r="I98" s="4">
        <v>4</v>
      </c>
      <c r="J98" s="38">
        <v>45487</v>
      </c>
      <c r="L98" s="3">
        <v>0.63</v>
      </c>
      <c r="M98" s="3">
        <v>8.43</v>
      </c>
    </row>
    <row r="99" spans="1:13" x14ac:dyDescent="0.25">
      <c r="A99" s="4">
        <v>2</v>
      </c>
      <c r="B99" s="4">
        <v>1</v>
      </c>
      <c r="C99" s="4">
        <v>1</v>
      </c>
      <c r="D99" s="4">
        <v>2</v>
      </c>
      <c r="E99" s="4">
        <v>16</v>
      </c>
      <c r="F99" s="4" t="s">
        <v>25</v>
      </c>
      <c r="G99" t="s">
        <v>27</v>
      </c>
      <c r="H99" s="4">
        <v>201</v>
      </c>
      <c r="I99" s="4">
        <v>4</v>
      </c>
      <c r="J99" s="38">
        <v>45487</v>
      </c>
      <c r="L99" s="3">
        <v>0.63</v>
      </c>
      <c r="M99" s="3">
        <v>2.93</v>
      </c>
    </row>
    <row r="100" spans="1:13" x14ac:dyDescent="0.25">
      <c r="A100" s="4">
        <v>3</v>
      </c>
      <c r="B100" s="4">
        <v>1</v>
      </c>
      <c r="C100" s="4">
        <v>1</v>
      </c>
      <c r="D100" s="4">
        <v>3</v>
      </c>
      <c r="E100" s="4">
        <v>17</v>
      </c>
      <c r="F100" s="4" t="s">
        <v>25</v>
      </c>
      <c r="G100" t="s">
        <v>28</v>
      </c>
      <c r="H100" s="4">
        <v>301</v>
      </c>
      <c r="I100" s="4">
        <v>4</v>
      </c>
      <c r="J100" s="38">
        <v>45487</v>
      </c>
      <c r="L100" s="3">
        <v>0.56000000000000005</v>
      </c>
      <c r="M100" s="3">
        <v>6.67</v>
      </c>
    </row>
    <row r="101" spans="1:13" x14ac:dyDescent="0.25">
      <c r="A101" s="4">
        <v>4</v>
      </c>
      <c r="B101" s="4">
        <v>1</v>
      </c>
      <c r="C101" s="4">
        <v>1</v>
      </c>
      <c r="D101" s="4">
        <v>4</v>
      </c>
      <c r="E101" s="4">
        <v>32</v>
      </c>
      <c r="F101" s="4" t="s">
        <v>25</v>
      </c>
      <c r="G101" t="s">
        <v>29</v>
      </c>
      <c r="H101" s="4">
        <v>401</v>
      </c>
      <c r="I101" s="4">
        <v>4</v>
      </c>
      <c r="J101" s="38">
        <v>45487</v>
      </c>
      <c r="L101" s="3">
        <v>0.54</v>
      </c>
      <c r="M101" s="3">
        <v>5.77</v>
      </c>
    </row>
    <row r="102" spans="1:13" x14ac:dyDescent="0.25">
      <c r="A102" s="4">
        <v>4</v>
      </c>
      <c r="B102" s="4">
        <v>2</v>
      </c>
      <c r="C102" s="4">
        <v>1</v>
      </c>
      <c r="D102" s="4">
        <v>5</v>
      </c>
      <c r="E102" s="4">
        <v>31</v>
      </c>
      <c r="F102" s="4" t="s">
        <v>30</v>
      </c>
      <c r="G102" t="s">
        <v>32</v>
      </c>
      <c r="H102" s="4">
        <v>402</v>
      </c>
      <c r="I102" s="4">
        <v>4</v>
      </c>
      <c r="J102" s="38">
        <v>45487</v>
      </c>
      <c r="L102" s="3">
        <v>0.39</v>
      </c>
      <c r="M102" s="3">
        <v>6.77</v>
      </c>
    </row>
    <row r="103" spans="1:13" x14ac:dyDescent="0.25">
      <c r="A103" s="4">
        <v>3</v>
      </c>
      <c r="B103" s="4">
        <v>2</v>
      </c>
      <c r="C103" s="4">
        <v>1</v>
      </c>
      <c r="D103" s="4">
        <v>6</v>
      </c>
      <c r="E103" s="4">
        <v>18</v>
      </c>
      <c r="F103" s="4" t="s">
        <v>30</v>
      </c>
      <c r="G103" t="s">
        <v>29</v>
      </c>
      <c r="H103" s="4">
        <v>302</v>
      </c>
      <c r="I103" s="4">
        <v>4</v>
      </c>
      <c r="J103" s="38">
        <v>45487</v>
      </c>
      <c r="L103" s="3">
        <v>0.27</v>
      </c>
      <c r="M103" s="3">
        <v>5.93</v>
      </c>
    </row>
    <row r="104" spans="1:13" x14ac:dyDescent="0.25">
      <c r="A104" s="4">
        <v>2</v>
      </c>
      <c r="B104" s="4">
        <v>2</v>
      </c>
      <c r="C104" s="4">
        <v>1</v>
      </c>
      <c r="D104" s="4">
        <v>7</v>
      </c>
      <c r="E104" s="4">
        <v>15</v>
      </c>
      <c r="F104" s="4" t="s">
        <v>30</v>
      </c>
      <c r="G104" t="s">
        <v>28</v>
      </c>
      <c r="H104" s="4">
        <v>202</v>
      </c>
      <c r="I104" s="4">
        <v>4</v>
      </c>
      <c r="J104" s="38">
        <v>45487</v>
      </c>
      <c r="L104" s="3">
        <v>0.28000000000000003</v>
      </c>
      <c r="M104" s="3">
        <v>7.12</v>
      </c>
    </row>
    <row r="105" spans="1:13" x14ac:dyDescent="0.25">
      <c r="A105" s="4">
        <v>1</v>
      </c>
      <c r="B105" s="4">
        <v>2</v>
      </c>
      <c r="C105" s="4">
        <v>1</v>
      </c>
      <c r="D105" s="4">
        <v>8</v>
      </c>
      <c r="E105" s="4">
        <v>2</v>
      </c>
      <c r="F105" s="4" t="s">
        <v>30</v>
      </c>
      <c r="G105" t="s">
        <v>31</v>
      </c>
      <c r="H105" s="4">
        <v>102</v>
      </c>
      <c r="I105" s="4">
        <v>4</v>
      </c>
      <c r="J105" s="38">
        <v>45487</v>
      </c>
      <c r="L105" s="3">
        <v>0.36</v>
      </c>
      <c r="M105" s="3">
        <v>2.56</v>
      </c>
    </row>
    <row r="106" spans="1:13" x14ac:dyDescent="0.25">
      <c r="A106" s="4">
        <v>1</v>
      </c>
      <c r="B106" s="4">
        <v>3</v>
      </c>
      <c r="C106" s="4">
        <v>2</v>
      </c>
      <c r="D106" s="4">
        <v>9</v>
      </c>
      <c r="E106" s="4">
        <v>3</v>
      </c>
      <c r="F106" s="4" t="s">
        <v>25</v>
      </c>
      <c r="G106" t="s">
        <v>27</v>
      </c>
      <c r="H106" s="4">
        <v>103</v>
      </c>
      <c r="I106" s="4">
        <v>4</v>
      </c>
      <c r="J106" s="38">
        <v>45487</v>
      </c>
      <c r="L106" s="3">
        <v>0.56000000000000005</v>
      </c>
      <c r="M106" s="3">
        <v>8.4600000000000009</v>
      </c>
    </row>
    <row r="107" spans="1:13" x14ac:dyDescent="0.25">
      <c r="A107" s="4">
        <v>2</v>
      </c>
      <c r="B107" s="4">
        <v>3</v>
      </c>
      <c r="C107" s="4">
        <v>2</v>
      </c>
      <c r="D107" s="4">
        <v>10</v>
      </c>
      <c r="E107" s="4">
        <v>14</v>
      </c>
      <c r="F107" s="4" t="s">
        <v>25</v>
      </c>
      <c r="G107" t="s">
        <v>29</v>
      </c>
      <c r="H107" s="4">
        <v>203</v>
      </c>
      <c r="I107" s="4">
        <v>4</v>
      </c>
      <c r="J107" s="38">
        <v>45487</v>
      </c>
      <c r="L107" s="3">
        <v>0.47</v>
      </c>
      <c r="M107" s="3">
        <v>7.54</v>
      </c>
    </row>
    <row r="108" spans="1:13" x14ac:dyDescent="0.25">
      <c r="A108" s="4">
        <v>3</v>
      </c>
      <c r="B108" s="4">
        <v>3</v>
      </c>
      <c r="C108" s="4">
        <v>2</v>
      </c>
      <c r="D108" s="4">
        <v>11</v>
      </c>
      <c r="E108" s="4">
        <v>19</v>
      </c>
      <c r="F108" s="4" t="s">
        <v>25</v>
      </c>
      <c r="G108" t="s">
        <v>26</v>
      </c>
      <c r="H108" s="4">
        <v>303</v>
      </c>
      <c r="I108" s="4">
        <v>4</v>
      </c>
      <c r="J108" s="38">
        <v>45487</v>
      </c>
      <c r="L108" s="3">
        <v>0.56000000000000005</v>
      </c>
      <c r="M108" s="3">
        <v>8.89</v>
      </c>
    </row>
    <row r="109" spans="1:13" x14ac:dyDescent="0.25">
      <c r="A109" s="4">
        <v>4</v>
      </c>
      <c r="B109" s="4">
        <v>3</v>
      </c>
      <c r="C109" s="4">
        <v>2</v>
      </c>
      <c r="D109" s="4">
        <v>12</v>
      </c>
      <c r="E109" s="4">
        <v>30</v>
      </c>
      <c r="F109" s="4" t="s">
        <v>25</v>
      </c>
      <c r="G109" t="s">
        <v>28</v>
      </c>
      <c r="H109" s="4">
        <v>403</v>
      </c>
      <c r="I109" s="4">
        <v>4</v>
      </c>
      <c r="J109" s="38">
        <v>45487</v>
      </c>
      <c r="L109" s="3">
        <v>0.41</v>
      </c>
      <c r="M109" s="3">
        <v>4.87</v>
      </c>
    </row>
    <row r="110" spans="1:13" x14ac:dyDescent="0.25">
      <c r="A110" s="4">
        <v>4</v>
      </c>
      <c r="B110" s="4">
        <v>4</v>
      </c>
      <c r="C110" s="4">
        <v>2</v>
      </c>
      <c r="D110" s="4">
        <v>13</v>
      </c>
      <c r="E110" s="4">
        <v>29</v>
      </c>
      <c r="F110" s="4" t="s">
        <v>30</v>
      </c>
      <c r="G110" t="s">
        <v>29</v>
      </c>
      <c r="H110" s="4">
        <v>404</v>
      </c>
      <c r="I110" s="4">
        <v>4</v>
      </c>
      <c r="J110" s="38">
        <v>45487</v>
      </c>
      <c r="L110" s="3">
        <v>0.32</v>
      </c>
      <c r="M110" s="3">
        <v>10.11</v>
      </c>
    </row>
    <row r="111" spans="1:13" x14ac:dyDescent="0.25">
      <c r="A111" s="4">
        <v>3</v>
      </c>
      <c r="B111" s="4">
        <v>4</v>
      </c>
      <c r="C111" s="4">
        <v>2</v>
      </c>
      <c r="D111" s="4">
        <v>14</v>
      </c>
      <c r="E111" s="4">
        <v>20</v>
      </c>
      <c r="F111" s="4" t="s">
        <v>30</v>
      </c>
      <c r="G111" t="s">
        <v>31</v>
      </c>
      <c r="H111" s="4">
        <v>304</v>
      </c>
      <c r="I111" s="4">
        <v>4</v>
      </c>
      <c r="J111" s="38">
        <v>45487</v>
      </c>
      <c r="L111" s="3">
        <v>0.36</v>
      </c>
      <c r="M111" s="3">
        <v>8.15</v>
      </c>
    </row>
    <row r="112" spans="1:13" x14ac:dyDescent="0.25">
      <c r="A112" s="4">
        <v>2</v>
      </c>
      <c r="B112" s="4">
        <v>4</v>
      </c>
      <c r="C112" s="4">
        <v>2</v>
      </c>
      <c r="D112" s="4">
        <v>15</v>
      </c>
      <c r="E112" s="4">
        <v>13</v>
      </c>
      <c r="F112" s="4" t="s">
        <v>30</v>
      </c>
      <c r="G112" t="s">
        <v>32</v>
      </c>
      <c r="H112" s="4">
        <v>204</v>
      </c>
      <c r="I112" s="4">
        <v>4</v>
      </c>
      <c r="J112" s="38">
        <v>45487</v>
      </c>
      <c r="L112" s="3">
        <v>0.42</v>
      </c>
      <c r="M112" s="3">
        <v>8.6300000000000008</v>
      </c>
    </row>
    <row r="113" spans="1:13" x14ac:dyDescent="0.25">
      <c r="A113" s="4">
        <v>1</v>
      </c>
      <c r="B113" s="4">
        <v>4</v>
      </c>
      <c r="C113" s="4">
        <v>2</v>
      </c>
      <c r="D113" s="4">
        <v>16</v>
      </c>
      <c r="E113" s="4">
        <v>4</v>
      </c>
      <c r="F113" s="4" t="s">
        <v>30</v>
      </c>
      <c r="G113" t="s">
        <v>28</v>
      </c>
      <c r="H113" s="4">
        <v>104</v>
      </c>
      <c r="I113" s="4">
        <v>4</v>
      </c>
      <c r="J113" s="38">
        <v>45487</v>
      </c>
      <c r="L113" s="3">
        <v>0.37</v>
      </c>
      <c r="M113" s="3">
        <v>5.52</v>
      </c>
    </row>
    <row r="114" spans="1:13" x14ac:dyDescent="0.25">
      <c r="A114" s="4">
        <v>1</v>
      </c>
      <c r="B114" s="4">
        <v>5</v>
      </c>
      <c r="C114" s="4">
        <v>3</v>
      </c>
      <c r="D114" s="4">
        <v>17</v>
      </c>
      <c r="E114" s="4">
        <v>5</v>
      </c>
      <c r="F114" s="4" t="s">
        <v>25</v>
      </c>
      <c r="G114" t="s">
        <v>28</v>
      </c>
      <c r="H114" s="4">
        <v>105</v>
      </c>
      <c r="I114" s="4">
        <v>4</v>
      </c>
      <c r="J114" s="38">
        <v>45487</v>
      </c>
      <c r="L114" s="3">
        <v>0.52</v>
      </c>
      <c r="M114" s="3">
        <v>5.78</v>
      </c>
    </row>
    <row r="115" spans="1:13" x14ac:dyDescent="0.25">
      <c r="A115" s="4">
        <v>2</v>
      </c>
      <c r="B115" s="4">
        <v>5</v>
      </c>
      <c r="C115" s="4">
        <v>3</v>
      </c>
      <c r="D115" s="4">
        <v>18</v>
      </c>
      <c r="E115" s="4">
        <v>12</v>
      </c>
      <c r="F115" s="4" t="s">
        <v>25</v>
      </c>
      <c r="G115" t="s">
        <v>26</v>
      </c>
      <c r="H115" s="4">
        <v>205</v>
      </c>
      <c r="I115" s="4">
        <v>4</v>
      </c>
      <c r="J115" s="38">
        <v>45487</v>
      </c>
      <c r="L115" s="3">
        <v>0.69</v>
      </c>
      <c r="M115" s="3">
        <v>8.07</v>
      </c>
    </row>
    <row r="116" spans="1:13" x14ac:dyDescent="0.25">
      <c r="A116" s="4">
        <v>3</v>
      </c>
      <c r="B116" s="4">
        <v>5</v>
      </c>
      <c r="C116" s="4">
        <v>3</v>
      </c>
      <c r="D116" s="4">
        <v>19</v>
      </c>
      <c r="E116" s="4">
        <v>21</v>
      </c>
      <c r="F116" s="4" t="s">
        <v>25</v>
      </c>
      <c r="G116" t="s">
        <v>29</v>
      </c>
      <c r="H116" s="4">
        <v>305</v>
      </c>
      <c r="I116" s="4">
        <v>4</v>
      </c>
      <c r="J116" s="38">
        <v>45487</v>
      </c>
      <c r="L116" s="3">
        <v>0.54</v>
      </c>
      <c r="M116" s="3">
        <v>6.5</v>
      </c>
    </row>
    <row r="117" spans="1:13" x14ac:dyDescent="0.25">
      <c r="A117" s="4">
        <v>4</v>
      </c>
      <c r="B117" s="4">
        <v>5</v>
      </c>
      <c r="C117" s="4">
        <v>3</v>
      </c>
      <c r="D117" s="4">
        <v>20</v>
      </c>
      <c r="E117" s="4">
        <v>28</v>
      </c>
      <c r="F117" s="4" t="s">
        <v>25</v>
      </c>
      <c r="G117" t="s">
        <v>27</v>
      </c>
      <c r="H117" s="4">
        <v>405</v>
      </c>
      <c r="I117" s="4">
        <v>4</v>
      </c>
      <c r="J117" s="38">
        <v>45487</v>
      </c>
      <c r="L117" s="3">
        <v>0.66</v>
      </c>
      <c r="M117" s="3">
        <v>5.62</v>
      </c>
    </row>
    <row r="118" spans="1:13" x14ac:dyDescent="0.25">
      <c r="A118" s="4">
        <v>4</v>
      </c>
      <c r="B118" s="4">
        <v>6</v>
      </c>
      <c r="C118" s="4">
        <v>3</v>
      </c>
      <c r="D118" s="4">
        <v>21</v>
      </c>
      <c r="E118" s="4">
        <v>27</v>
      </c>
      <c r="F118" s="4" t="s">
        <v>30</v>
      </c>
      <c r="G118" t="s">
        <v>28</v>
      </c>
      <c r="H118" s="4">
        <v>406</v>
      </c>
      <c r="I118" s="4">
        <v>4</v>
      </c>
      <c r="J118" s="38">
        <v>45487</v>
      </c>
      <c r="L118" s="3">
        <v>0.36</v>
      </c>
      <c r="M118" s="3">
        <v>4.13</v>
      </c>
    </row>
    <row r="119" spans="1:13" x14ac:dyDescent="0.25">
      <c r="A119" s="4">
        <v>3</v>
      </c>
      <c r="B119" s="4">
        <v>6</v>
      </c>
      <c r="C119" s="4">
        <v>3</v>
      </c>
      <c r="D119" s="4">
        <v>22</v>
      </c>
      <c r="E119" s="4">
        <v>22</v>
      </c>
      <c r="F119" s="4" t="s">
        <v>30</v>
      </c>
      <c r="G119" t="s">
        <v>32</v>
      </c>
      <c r="H119" s="4">
        <v>306</v>
      </c>
      <c r="I119" s="4">
        <v>4</v>
      </c>
      <c r="J119" s="38">
        <v>45487</v>
      </c>
      <c r="L119" s="3">
        <v>0.39</v>
      </c>
      <c r="M119" s="3">
        <v>5.29</v>
      </c>
    </row>
    <row r="120" spans="1:13" x14ac:dyDescent="0.25">
      <c r="A120" s="4">
        <v>2</v>
      </c>
      <c r="B120" s="4">
        <v>6</v>
      </c>
      <c r="C120" s="4">
        <v>3</v>
      </c>
      <c r="D120" s="4">
        <v>23</v>
      </c>
      <c r="E120" s="4">
        <v>11</v>
      </c>
      <c r="F120" s="4" t="s">
        <v>30</v>
      </c>
      <c r="G120" t="s">
        <v>31</v>
      </c>
      <c r="H120" s="4">
        <v>206</v>
      </c>
      <c r="I120" s="4">
        <v>4</v>
      </c>
      <c r="J120" s="38">
        <v>45487</v>
      </c>
      <c r="L120" s="3">
        <v>0.36</v>
      </c>
      <c r="M120" s="3">
        <v>6.98</v>
      </c>
    </row>
    <row r="121" spans="1:13" x14ac:dyDescent="0.25">
      <c r="A121" s="4">
        <v>1</v>
      </c>
      <c r="B121" s="4">
        <v>6</v>
      </c>
      <c r="C121" s="4">
        <v>3</v>
      </c>
      <c r="D121" s="4">
        <v>24</v>
      </c>
      <c r="E121" s="4">
        <v>6</v>
      </c>
      <c r="F121" s="4" t="s">
        <v>30</v>
      </c>
      <c r="G121" t="s">
        <v>29</v>
      </c>
      <c r="H121" s="4">
        <v>106</v>
      </c>
      <c r="I121" s="4">
        <v>4</v>
      </c>
      <c r="J121" s="38">
        <v>45487</v>
      </c>
      <c r="L121" s="3">
        <v>0.39</v>
      </c>
      <c r="M121" s="3">
        <v>3.13</v>
      </c>
    </row>
    <row r="122" spans="1:13" x14ac:dyDescent="0.25">
      <c r="A122" s="4">
        <v>1</v>
      </c>
      <c r="B122" s="4">
        <v>7</v>
      </c>
      <c r="C122" s="4">
        <v>4</v>
      </c>
      <c r="D122" s="4">
        <v>25</v>
      </c>
      <c r="E122" s="4">
        <v>7</v>
      </c>
      <c r="F122" s="4" t="s">
        <v>25</v>
      </c>
      <c r="G122" t="s">
        <v>29</v>
      </c>
      <c r="H122" s="4">
        <v>107</v>
      </c>
      <c r="I122" s="4">
        <v>4</v>
      </c>
      <c r="J122" s="38">
        <v>45487</v>
      </c>
      <c r="L122" s="3">
        <v>0.59</v>
      </c>
      <c r="M122" s="3">
        <v>7.4</v>
      </c>
    </row>
    <row r="123" spans="1:13" x14ac:dyDescent="0.25">
      <c r="A123" s="4">
        <v>2</v>
      </c>
      <c r="B123" s="4">
        <v>7</v>
      </c>
      <c r="C123" s="4">
        <v>4</v>
      </c>
      <c r="D123" s="4">
        <v>26</v>
      </c>
      <c r="E123" s="4">
        <v>10</v>
      </c>
      <c r="F123" s="4" t="s">
        <v>25</v>
      </c>
      <c r="G123" t="s">
        <v>28</v>
      </c>
      <c r="H123" s="4">
        <v>207</v>
      </c>
      <c r="I123" s="4">
        <v>4</v>
      </c>
      <c r="J123" s="38">
        <v>45487</v>
      </c>
      <c r="L123" s="3">
        <v>0.43</v>
      </c>
      <c r="M123" s="3">
        <v>12.63</v>
      </c>
    </row>
    <row r="124" spans="1:13" x14ac:dyDescent="0.25">
      <c r="A124" s="4">
        <v>3</v>
      </c>
      <c r="B124" s="4">
        <v>7</v>
      </c>
      <c r="C124" s="4">
        <v>4</v>
      </c>
      <c r="D124" s="4">
        <v>27</v>
      </c>
      <c r="E124" s="4">
        <v>23</v>
      </c>
      <c r="F124" s="4" t="s">
        <v>25</v>
      </c>
      <c r="G124" t="s">
        <v>27</v>
      </c>
      <c r="H124" s="4">
        <v>307</v>
      </c>
      <c r="I124" s="4">
        <v>4</v>
      </c>
      <c r="J124" s="38">
        <v>45487</v>
      </c>
      <c r="L124" s="3">
        <v>0.49</v>
      </c>
      <c r="M124" s="3">
        <v>6.68</v>
      </c>
    </row>
    <row r="125" spans="1:13" x14ac:dyDescent="0.25">
      <c r="A125" s="4">
        <v>4</v>
      </c>
      <c r="B125" s="4">
        <v>7</v>
      </c>
      <c r="C125" s="4">
        <v>4</v>
      </c>
      <c r="D125" s="4">
        <v>28</v>
      </c>
      <c r="E125" s="4">
        <v>26</v>
      </c>
      <c r="F125" s="4" t="s">
        <v>25</v>
      </c>
      <c r="G125" t="s">
        <v>26</v>
      </c>
      <c r="H125" s="4">
        <v>407</v>
      </c>
      <c r="I125" s="4">
        <v>4</v>
      </c>
      <c r="J125" s="38">
        <v>45487</v>
      </c>
      <c r="L125" s="3">
        <v>0.53</v>
      </c>
      <c r="M125" s="3">
        <v>10.039999999999999</v>
      </c>
    </row>
    <row r="126" spans="1:13" x14ac:dyDescent="0.25">
      <c r="A126" s="4">
        <v>4</v>
      </c>
      <c r="B126" s="4">
        <v>8</v>
      </c>
      <c r="C126" s="4">
        <v>4</v>
      </c>
      <c r="D126" s="4">
        <v>29</v>
      </c>
      <c r="E126" s="4">
        <v>25</v>
      </c>
      <c r="F126" s="4" t="s">
        <v>30</v>
      </c>
      <c r="G126" t="s">
        <v>31</v>
      </c>
      <c r="H126" s="4">
        <v>408</v>
      </c>
      <c r="I126" s="4">
        <v>4</v>
      </c>
      <c r="J126" s="38">
        <v>45487</v>
      </c>
      <c r="L126" s="3">
        <v>0.41</v>
      </c>
      <c r="M126" s="3">
        <v>4.42</v>
      </c>
    </row>
    <row r="127" spans="1:13" x14ac:dyDescent="0.25">
      <c r="A127" s="4">
        <v>3</v>
      </c>
      <c r="B127" s="4">
        <v>8</v>
      </c>
      <c r="C127" s="4">
        <v>4</v>
      </c>
      <c r="D127" s="4">
        <v>30</v>
      </c>
      <c r="E127" s="4">
        <v>24</v>
      </c>
      <c r="F127" s="4" t="s">
        <v>30</v>
      </c>
      <c r="G127" t="s">
        <v>28</v>
      </c>
      <c r="H127" s="4">
        <v>308</v>
      </c>
      <c r="I127" s="4">
        <v>4</v>
      </c>
      <c r="J127" s="38">
        <v>45487</v>
      </c>
      <c r="L127" s="3">
        <v>0.32</v>
      </c>
      <c r="M127" s="3">
        <v>6.87</v>
      </c>
    </row>
    <row r="128" spans="1:13" x14ac:dyDescent="0.25">
      <c r="A128" s="4">
        <v>2</v>
      </c>
      <c r="B128" s="4">
        <v>8</v>
      </c>
      <c r="C128" s="4">
        <v>4</v>
      </c>
      <c r="D128" s="4">
        <v>31</v>
      </c>
      <c r="E128" s="4">
        <v>9</v>
      </c>
      <c r="F128" s="4" t="s">
        <v>30</v>
      </c>
      <c r="G128" t="s">
        <v>29</v>
      </c>
      <c r="H128" s="4">
        <v>208</v>
      </c>
      <c r="I128" s="4">
        <v>4</v>
      </c>
      <c r="J128" s="38">
        <v>45487</v>
      </c>
      <c r="L128" s="3">
        <v>0.28999999999999998</v>
      </c>
      <c r="M128" s="3">
        <v>7.13</v>
      </c>
    </row>
    <row r="129" spans="1:13" x14ac:dyDescent="0.25">
      <c r="A129" s="4">
        <v>1</v>
      </c>
      <c r="B129" s="4">
        <v>8</v>
      </c>
      <c r="C129" s="4">
        <v>4</v>
      </c>
      <c r="D129" s="4">
        <v>32</v>
      </c>
      <c r="E129" s="4">
        <v>8</v>
      </c>
      <c r="F129" s="4" t="s">
        <v>30</v>
      </c>
      <c r="G129" t="s">
        <v>32</v>
      </c>
      <c r="H129" s="4">
        <v>108</v>
      </c>
      <c r="I129" s="4">
        <v>4</v>
      </c>
      <c r="J129" s="38">
        <v>45487</v>
      </c>
      <c r="L129" s="3">
        <v>0.42</v>
      </c>
      <c r="M129" s="3">
        <v>5.62</v>
      </c>
    </row>
    <row r="130" spans="1:13" x14ac:dyDescent="0.25">
      <c r="A130" s="4">
        <v>1</v>
      </c>
      <c r="B130" s="4">
        <v>1</v>
      </c>
      <c r="C130" s="4">
        <v>1</v>
      </c>
      <c r="D130" s="4">
        <v>1</v>
      </c>
      <c r="E130" s="4">
        <v>1</v>
      </c>
      <c r="F130" s="4" t="s">
        <v>25</v>
      </c>
      <c r="G130" t="s">
        <v>26</v>
      </c>
      <c r="H130" s="4">
        <v>101</v>
      </c>
      <c r="I130" s="4">
        <v>5</v>
      </c>
      <c r="J130" s="38">
        <v>45502</v>
      </c>
      <c r="L130" s="3">
        <v>0.67</v>
      </c>
      <c r="M130" s="3">
        <v>6.02</v>
      </c>
    </row>
    <row r="131" spans="1:13" x14ac:dyDescent="0.25">
      <c r="A131" s="4">
        <v>2</v>
      </c>
      <c r="B131" s="4">
        <v>1</v>
      </c>
      <c r="C131" s="4">
        <v>1</v>
      </c>
      <c r="D131" s="4">
        <v>2</v>
      </c>
      <c r="E131" s="4">
        <v>16</v>
      </c>
      <c r="F131" s="4" t="s">
        <v>25</v>
      </c>
      <c r="G131" t="s">
        <v>27</v>
      </c>
      <c r="H131" s="4">
        <v>201</v>
      </c>
      <c r="I131" s="4">
        <v>5</v>
      </c>
      <c r="J131" s="38">
        <v>45502</v>
      </c>
      <c r="L131" s="3">
        <v>0.66</v>
      </c>
      <c r="M131" s="3">
        <v>5.73</v>
      </c>
    </row>
    <row r="132" spans="1:13" x14ac:dyDescent="0.25">
      <c r="A132" s="4">
        <v>3</v>
      </c>
      <c r="B132" s="4">
        <v>1</v>
      </c>
      <c r="C132" s="4">
        <v>1</v>
      </c>
      <c r="D132" s="4">
        <v>3</v>
      </c>
      <c r="E132" s="4">
        <v>17</v>
      </c>
      <c r="F132" s="4" t="s">
        <v>25</v>
      </c>
      <c r="G132" t="s">
        <v>28</v>
      </c>
      <c r="H132" s="4">
        <v>301</v>
      </c>
      <c r="I132" s="4">
        <v>5</v>
      </c>
      <c r="J132" s="38">
        <v>45502</v>
      </c>
      <c r="L132" s="3">
        <v>0.59</v>
      </c>
      <c r="M132" s="3">
        <v>7.93</v>
      </c>
    </row>
    <row r="133" spans="1:13" x14ac:dyDescent="0.25">
      <c r="A133" s="4">
        <v>4</v>
      </c>
      <c r="B133" s="4">
        <v>1</v>
      </c>
      <c r="C133" s="4">
        <v>1</v>
      </c>
      <c r="D133" s="4">
        <v>4</v>
      </c>
      <c r="E133" s="4">
        <v>32</v>
      </c>
      <c r="F133" s="4" t="s">
        <v>25</v>
      </c>
      <c r="G133" t="s">
        <v>29</v>
      </c>
      <c r="H133" s="4">
        <v>401</v>
      </c>
      <c r="I133" s="4">
        <v>5</v>
      </c>
      <c r="J133" s="38">
        <v>45502</v>
      </c>
      <c r="L133" s="3">
        <v>0.56999999999999995</v>
      </c>
      <c r="M133" s="3">
        <v>5.41</v>
      </c>
    </row>
    <row r="134" spans="1:13" x14ac:dyDescent="0.25">
      <c r="A134" s="4">
        <v>4</v>
      </c>
      <c r="B134" s="4">
        <v>2</v>
      </c>
      <c r="C134" s="4">
        <v>1</v>
      </c>
      <c r="D134" s="4">
        <v>5</v>
      </c>
      <c r="E134" s="4">
        <v>31</v>
      </c>
      <c r="F134" s="4" t="s">
        <v>30</v>
      </c>
      <c r="G134" t="s">
        <v>32</v>
      </c>
      <c r="H134" s="4">
        <v>402</v>
      </c>
      <c r="I134" s="4">
        <v>5</v>
      </c>
      <c r="J134" s="38">
        <v>45502</v>
      </c>
      <c r="L134" s="3">
        <v>0.56000000000000005</v>
      </c>
      <c r="M134" s="3">
        <v>4.8</v>
      </c>
    </row>
    <row r="135" spans="1:13" x14ac:dyDescent="0.25">
      <c r="A135" s="4">
        <v>3</v>
      </c>
      <c r="B135" s="4">
        <v>2</v>
      </c>
      <c r="C135" s="4">
        <v>1</v>
      </c>
      <c r="D135" s="4">
        <v>6</v>
      </c>
      <c r="E135" s="4">
        <v>18</v>
      </c>
      <c r="F135" s="4" t="s">
        <v>30</v>
      </c>
      <c r="G135" t="s">
        <v>29</v>
      </c>
      <c r="H135" s="4">
        <v>302</v>
      </c>
      <c r="I135" s="4">
        <v>5</v>
      </c>
      <c r="J135" s="38">
        <v>45502</v>
      </c>
      <c r="L135" s="3">
        <v>0.41</v>
      </c>
      <c r="M135" s="3">
        <v>8.23</v>
      </c>
    </row>
    <row r="136" spans="1:13" x14ac:dyDescent="0.25">
      <c r="A136" s="4">
        <v>2</v>
      </c>
      <c r="B136" s="4">
        <v>2</v>
      </c>
      <c r="C136" s="4">
        <v>1</v>
      </c>
      <c r="D136" s="4">
        <v>7</v>
      </c>
      <c r="E136" s="4">
        <v>15</v>
      </c>
      <c r="F136" s="4" t="s">
        <v>30</v>
      </c>
      <c r="G136" t="s">
        <v>28</v>
      </c>
      <c r="H136" s="4">
        <v>202</v>
      </c>
      <c r="I136" s="4">
        <v>5</v>
      </c>
      <c r="J136" s="38">
        <v>45502</v>
      </c>
      <c r="L136" s="3">
        <v>0.47</v>
      </c>
      <c r="M136" s="3">
        <v>6.76</v>
      </c>
    </row>
    <row r="137" spans="1:13" x14ac:dyDescent="0.25">
      <c r="A137" s="4">
        <v>1</v>
      </c>
      <c r="B137" s="4">
        <v>2</v>
      </c>
      <c r="C137" s="4">
        <v>1</v>
      </c>
      <c r="D137" s="4">
        <v>8</v>
      </c>
      <c r="E137" s="4">
        <v>2</v>
      </c>
      <c r="F137" s="4" t="s">
        <v>30</v>
      </c>
      <c r="G137" t="s">
        <v>31</v>
      </c>
      <c r="H137" s="4">
        <v>102</v>
      </c>
      <c r="I137" s="4">
        <v>5</v>
      </c>
      <c r="J137" s="38">
        <v>45502</v>
      </c>
      <c r="L137" s="3">
        <v>0.51</v>
      </c>
      <c r="M137" s="3">
        <v>4.32</v>
      </c>
    </row>
    <row r="138" spans="1:13" x14ac:dyDescent="0.25">
      <c r="A138" s="4">
        <v>1</v>
      </c>
      <c r="B138" s="4">
        <v>3</v>
      </c>
      <c r="C138" s="4">
        <v>2</v>
      </c>
      <c r="D138" s="4">
        <v>9</v>
      </c>
      <c r="E138" s="4">
        <v>3</v>
      </c>
      <c r="F138" s="4" t="s">
        <v>25</v>
      </c>
      <c r="G138" t="s">
        <v>27</v>
      </c>
      <c r="H138" s="4">
        <v>103</v>
      </c>
      <c r="I138" s="4">
        <v>5</v>
      </c>
      <c r="J138" s="38">
        <v>45502</v>
      </c>
      <c r="L138" s="3">
        <v>0.6</v>
      </c>
      <c r="M138" s="3">
        <v>5.73</v>
      </c>
    </row>
    <row r="139" spans="1:13" x14ac:dyDescent="0.25">
      <c r="A139" s="4">
        <v>2</v>
      </c>
      <c r="B139" s="4">
        <v>3</v>
      </c>
      <c r="C139" s="4">
        <v>2</v>
      </c>
      <c r="D139" s="4">
        <v>10</v>
      </c>
      <c r="E139" s="4">
        <v>14</v>
      </c>
      <c r="F139" s="4" t="s">
        <v>25</v>
      </c>
      <c r="G139" t="s">
        <v>29</v>
      </c>
      <c r="H139" s="4">
        <v>203</v>
      </c>
      <c r="I139" s="4">
        <v>5</v>
      </c>
      <c r="J139" s="38">
        <v>45502</v>
      </c>
      <c r="L139" s="3">
        <v>0.62</v>
      </c>
      <c r="M139" s="3">
        <v>4.57</v>
      </c>
    </row>
    <row r="140" spans="1:13" x14ac:dyDescent="0.25">
      <c r="A140" s="4">
        <v>3</v>
      </c>
      <c r="B140" s="4">
        <v>3</v>
      </c>
      <c r="C140" s="4">
        <v>2</v>
      </c>
      <c r="D140" s="4">
        <v>11</v>
      </c>
      <c r="E140" s="4">
        <v>19</v>
      </c>
      <c r="F140" s="4" t="s">
        <v>25</v>
      </c>
      <c r="G140" t="s">
        <v>26</v>
      </c>
      <c r="H140" s="4">
        <v>303</v>
      </c>
      <c r="I140" s="4">
        <v>5</v>
      </c>
      <c r="J140" s="38">
        <v>45502</v>
      </c>
      <c r="L140" s="3">
        <v>0.61</v>
      </c>
      <c r="M140" s="3">
        <v>9.6199999999999992</v>
      </c>
    </row>
    <row r="141" spans="1:13" x14ac:dyDescent="0.25">
      <c r="A141" s="4">
        <v>4</v>
      </c>
      <c r="B141" s="4">
        <v>3</v>
      </c>
      <c r="C141" s="4">
        <v>2</v>
      </c>
      <c r="D141" s="4">
        <v>12</v>
      </c>
      <c r="E141" s="4">
        <v>30</v>
      </c>
      <c r="F141" s="4" t="s">
        <v>25</v>
      </c>
      <c r="G141" t="s">
        <v>28</v>
      </c>
      <c r="H141" s="4">
        <v>403</v>
      </c>
      <c r="I141" s="4">
        <v>5</v>
      </c>
      <c r="J141" s="38">
        <v>45502</v>
      </c>
      <c r="L141" s="3">
        <v>0.54</v>
      </c>
      <c r="M141" s="3">
        <v>7.38</v>
      </c>
    </row>
    <row r="142" spans="1:13" x14ac:dyDescent="0.25">
      <c r="A142" s="4">
        <v>4</v>
      </c>
      <c r="B142" s="4">
        <v>4</v>
      </c>
      <c r="C142" s="4">
        <v>2</v>
      </c>
      <c r="D142" s="4">
        <v>13</v>
      </c>
      <c r="E142" s="4">
        <v>29</v>
      </c>
      <c r="F142" s="4" t="s">
        <v>30</v>
      </c>
      <c r="G142" t="s">
        <v>29</v>
      </c>
      <c r="H142" s="4">
        <v>404</v>
      </c>
      <c r="I142" s="4">
        <v>5</v>
      </c>
      <c r="J142" s="38">
        <v>45502</v>
      </c>
      <c r="L142" s="3">
        <v>0.39</v>
      </c>
      <c r="M142" s="3">
        <v>6.03</v>
      </c>
    </row>
    <row r="143" spans="1:13" x14ac:dyDescent="0.25">
      <c r="A143" s="4">
        <v>3</v>
      </c>
      <c r="B143" s="4">
        <v>4</v>
      </c>
      <c r="C143" s="4">
        <v>2</v>
      </c>
      <c r="D143" s="4">
        <v>14</v>
      </c>
      <c r="E143" s="4">
        <v>20</v>
      </c>
      <c r="F143" s="4" t="s">
        <v>30</v>
      </c>
      <c r="G143" t="s">
        <v>31</v>
      </c>
      <c r="H143" s="4">
        <v>304</v>
      </c>
      <c r="I143" s="4">
        <v>5</v>
      </c>
      <c r="J143" s="38">
        <v>45502</v>
      </c>
      <c r="L143" s="3">
        <v>0.45</v>
      </c>
      <c r="M143" s="3">
        <v>7.87</v>
      </c>
    </row>
    <row r="144" spans="1:13" x14ac:dyDescent="0.25">
      <c r="A144" s="4">
        <v>2</v>
      </c>
      <c r="B144" s="4">
        <v>4</v>
      </c>
      <c r="C144" s="4">
        <v>2</v>
      </c>
      <c r="D144" s="4">
        <v>15</v>
      </c>
      <c r="E144" s="4">
        <v>13</v>
      </c>
      <c r="F144" s="4" t="s">
        <v>30</v>
      </c>
      <c r="G144" t="s">
        <v>32</v>
      </c>
      <c r="H144" s="4">
        <v>204</v>
      </c>
      <c r="I144" s="4">
        <v>5</v>
      </c>
      <c r="J144" s="38">
        <v>45502</v>
      </c>
      <c r="L144" s="3">
        <v>0.55000000000000004</v>
      </c>
      <c r="M144" s="3">
        <v>7.55</v>
      </c>
    </row>
    <row r="145" spans="1:13" x14ac:dyDescent="0.25">
      <c r="A145" s="4">
        <v>1</v>
      </c>
      <c r="B145" s="4">
        <v>4</v>
      </c>
      <c r="C145" s="4">
        <v>2</v>
      </c>
      <c r="D145" s="4">
        <v>16</v>
      </c>
      <c r="E145" s="4">
        <v>4</v>
      </c>
      <c r="F145" s="4" t="s">
        <v>30</v>
      </c>
      <c r="G145" t="s">
        <v>28</v>
      </c>
      <c r="H145" s="4">
        <v>104</v>
      </c>
      <c r="I145" s="4">
        <v>5</v>
      </c>
      <c r="J145" s="38">
        <v>45502</v>
      </c>
      <c r="L145" s="3">
        <v>0.47</v>
      </c>
      <c r="M145" s="3">
        <v>6.27</v>
      </c>
    </row>
    <row r="146" spans="1:13" x14ac:dyDescent="0.25">
      <c r="A146" s="4">
        <v>1</v>
      </c>
      <c r="B146" s="4">
        <v>5</v>
      </c>
      <c r="C146" s="4">
        <v>3</v>
      </c>
      <c r="D146" s="4">
        <v>17</v>
      </c>
      <c r="E146" s="4">
        <v>5</v>
      </c>
      <c r="F146" s="4" t="s">
        <v>25</v>
      </c>
      <c r="G146" t="s">
        <v>28</v>
      </c>
      <c r="H146" s="4">
        <v>105</v>
      </c>
      <c r="I146" s="4">
        <v>5</v>
      </c>
      <c r="J146" s="38">
        <v>45502</v>
      </c>
      <c r="L146" s="3">
        <v>0.57999999999999996</v>
      </c>
      <c r="M146" s="3">
        <v>4.34</v>
      </c>
    </row>
    <row r="147" spans="1:13" x14ac:dyDescent="0.25">
      <c r="A147" s="4">
        <v>2</v>
      </c>
      <c r="B147" s="4">
        <v>5</v>
      </c>
      <c r="C147" s="4">
        <v>3</v>
      </c>
      <c r="D147" s="4">
        <v>18</v>
      </c>
      <c r="E147" s="4">
        <v>12</v>
      </c>
      <c r="F147" s="4" t="s">
        <v>25</v>
      </c>
      <c r="G147" t="s">
        <v>26</v>
      </c>
      <c r="H147" s="4">
        <v>205</v>
      </c>
      <c r="I147" s="4">
        <v>5</v>
      </c>
      <c r="J147" s="38">
        <v>45502</v>
      </c>
      <c r="L147" s="3">
        <v>0.72</v>
      </c>
      <c r="M147" s="3">
        <v>7.88</v>
      </c>
    </row>
    <row r="148" spans="1:13" x14ac:dyDescent="0.25">
      <c r="A148" s="4">
        <v>3</v>
      </c>
      <c r="B148" s="4">
        <v>5</v>
      </c>
      <c r="C148" s="4">
        <v>3</v>
      </c>
      <c r="D148" s="4">
        <v>19</v>
      </c>
      <c r="E148" s="4">
        <v>21</v>
      </c>
      <c r="F148" s="4" t="s">
        <v>25</v>
      </c>
      <c r="G148" t="s">
        <v>29</v>
      </c>
      <c r="H148" s="4">
        <v>305</v>
      </c>
      <c r="I148" s="4">
        <v>5</v>
      </c>
      <c r="J148" s="38">
        <v>45502</v>
      </c>
      <c r="L148" s="3">
        <v>0.51</v>
      </c>
      <c r="M148" s="3">
        <v>10.199999999999999</v>
      </c>
    </row>
    <row r="149" spans="1:13" x14ac:dyDescent="0.25">
      <c r="A149" s="4">
        <v>4</v>
      </c>
      <c r="B149" s="4">
        <v>5</v>
      </c>
      <c r="C149" s="4">
        <v>3</v>
      </c>
      <c r="D149" s="4">
        <v>20</v>
      </c>
      <c r="E149" s="4">
        <v>28</v>
      </c>
      <c r="F149" s="4" t="s">
        <v>25</v>
      </c>
      <c r="G149" t="s">
        <v>27</v>
      </c>
      <c r="H149" s="4">
        <v>405</v>
      </c>
      <c r="I149" s="4">
        <v>5</v>
      </c>
      <c r="J149" s="38">
        <v>45502</v>
      </c>
      <c r="L149" s="3">
        <v>0.71</v>
      </c>
      <c r="M149" s="3">
        <v>5.55</v>
      </c>
    </row>
    <row r="150" spans="1:13" x14ac:dyDescent="0.25">
      <c r="A150" s="4">
        <v>4</v>
      </c>
      <c r="B150" s="4">
        <v>6</v>
      </c>
      <c r="C150" s="4">
        <v>3</v>
      </c>
      <c r="D150" s="4">
        <v>21</v>
      </c>
      <c r="E150" s="4">
        <v>27</v>
      </c>
      <c r="F150" s="4" t="s">
        <v>30</v>
      </c>
      <c r="G150" t="s">
        <v>28</v>
      </c>
      <c r="H150" s="4">
        <v>406</v>
      </c>
      <c r="I150" s="4">
        <v>5</v>
      </c>
      <c r="J150" s="38">
        <v>45502</v>
      </c>
      <c r="L150" s="3">
        <v>0.51</v>
      </c>
      <c r="M150" s="3">
        <v>4.4400000000000004</v>
      </c>
    </row>
    <row r="151" spans="1:13" x14ac:dyDescent="0.25">
      <c r="A151" s="4">
        <v>3</v>
      </c>
      <c r="B151" s="4">
        <v>6</v>
      </c>
      <c r="C151" s="4">
        <v>3</v>
      </c>
      <c r="D151" s="4">
        <v>22</v>
      </c>
      <c r="E151" s="4">
        <v>22</v>
      </c>
      <c r="F151" s="4" t="s">
        <v>30</v>
      </c>
      <c r="G151" t="s">
        <v>32</v>
      </c>
      <c r="H151" s="4">
        <v>306</v>
      </c>
      <c r="I151" s="4">
        <v>5</v>
      </c>
      <c r="J151" s="38">
        <v>45502</v>
      </c>
      <c r="L151" s="3">
        <v>0.56000000000000005</v>
      </c>
      <c r="M151" s="3">
        <v>4.3899999999999997</v>
      </c>
    </row>
    <row r="152" spans="1:13" x14ac:dyDescent="0.25">
      <c r="A152" s="4">
        <v>2</v>
      </c>
      <c r="B152" s="4">
        <v>6</v>
      </c>
      <c r="C152" s="4">
        <v>3</v>
      </c>
      <c r="D152" s="4">
        <v>23</v>
      </c>
      <c r="E152" s="4">
        <v>11</v>
      </c>
      <c r="F152" s="4" t="s">
        <v>30</v>
      </c>
      <c r="G152" t="s">
        <v>31</v>
      </c>
      <c r="H152" s="4">
        <v>206</v>
      </c>
      <c r="I152" s="4">
        <v>5</v>
      </c>
      <c r="J152" s="38">
        <v>45502</v>
      </c>
      <c r="L152" s="3">
        <v>0.48</v>
      </c>
      <c r="M152" s="3">
        <v>5.46</v>
      </c>
    </row>
    <row r="153" spans="1:13" x14ac:dyDescent="0.25">
      <c r="A153" s="4">
        <v>1</v>
      </c>
      <c r="B153" s="4">
        <v>6</v>
      </c>
      <c r="C153" s="4">
        <v>3</v>
      </c>
      <c r="D153" s="4">
        <v>24</v>
      </c>
      <c r="E153" s="4">
        <v>6</v>
      </c>
      <c r="F153" s="4" t="s">
        <v>30</v>
      </c>
      <c r="G153" t="s">
        <v>29</v>
      </c>
      <c r="H153" s="4">
        <v>106</v>
      </c>
      <c r="I153" s="4">
        <v>5</v>
      </c>
      <c r="J153" s="38">
        <v>45502</v>
      </c>
      <c r="L153" s="3">
        <v>0.45</v>
      </c>
      <c r="M153" s="3">
        <v>5.49</v>
      </c>
    </row>
    <row r="154" spans="1:13" x14ac:dyDescent="0.25">
      <c r="A154" s="4">
        <v>1</v>
      </c>
      <c r="B154" s="4">
        <v>7</v>
      </c>
      <c r="C154" s="4">
        <v>4</v>
      </c>
      <c r="D154" s="4">
        <v>25</v>
      </c>
      <c r="E154" s="4">
        <v>7</v>
      </c>
      <c r="F154" s="4" t="s">
        <v>25</v>
      </c>
      <c r="G154" t="s">
        <v>29</v>
      </c>
      <c r="H154" s="4">
        <v>107</v>
      </c>
      <c r="I154" s="4">
        <v>5</v>
      </c>
      <c r="J154" s="38">
        <v>45502</v>
      </c>
      <c r="L154" s="3">
        <v>0.66</v>
      </c>
      <c r="M154" s="3">
        <v>5.72</v>
      </c>
    </row>
    <row r="155" spans="1:13" x14ac:dyDescent="0.25">
      <c r="A155" s="4">
        <v>2</v>
      </c>
      <c r="B155" s="4">
        <v>7</v>
      </c>
      <c r="C155" s="4">
        <v>4</v>
      </c>
      <c r="D155" s="4">
        <v>26</v>
      </c>
      <c r="E155" s="4">
        <v>10</v>
      </c>
      <c r="F155" s="4" t="s">
        <v>25</v>
      </c>
      <c r="G155" t="s">
        <v>28</v>
      </c>
      <c r="H155" s="4">
        <v>207</v>
      </c>
      <c r="I155" s="4">
        <v>5</v>
      </c>
      <c r="J155" s="38">
        <v>45502</v>
      </c>
      <c r="L155" s="3">
        <v>0.57999999999999996</v>
      </c>
      <c r="M155" s="3">
        <v>9</v>
      </c>
    </row>
    <row r="156" spans="1:13" x14ac:dyDescent="0.25">
      <c r="A156" s="4">
        <v>3</v>
      </c>
      <c r="B156" s="4">
        <v>7</v>
      </c>
      <c r="C156" s="4">
        <v>4</v>
      </c>
      <c r="D156" s="4">
        <v>27</v>
      </c>
      <c r="E156" s="4">
        <v>23</v>
      </c>
      <c r="F156" s="4" t="s">
        <v>25</v>
      </c>
      <c r="G156" t="s">
        <v>27</v>
      </c>
      <c r="H156" s="4">
        <v>307</v>
      </c>
      <c r="I156" s="4">
        <v>5</v>
      </c>
      <c r="J156" s="38">
        <v>45502</v>
      </c>
      <c r="L156" s="3">
        <v>0.63</v>
      </c>
      <c r="M156" s="3">
        <v>8.57</v>
      </c>
    </row>
    <row r="157" spans="1:13" x14ac:dyDescent="0.25">
      <c r="A157" s="4">
        <v>4</v>
      </c>
      <c r="B157" s="4">
        <v>7</v>
      </c>
      <c r="C157" s="4">
        <v>4</v>
      </c>
      <c r="D157" s="4">
        <v>28</v>
      </c>
      <c r="E157" s="4">
        <v>26</v>
      </c>
      <c r="F157" s="4" t="s">
        <v>25</v>
      </c>
      <c r="G157" t="s">
        <v>26</v>
      </c>
      <c r="H157" s="4">
        <v>407</v>
      </c>
      <c r="I157" s="4">
        <v>5</v>
      </c>
      <c r="J157" s="38">
        <v>45502</v>
      </c>
      <c r="L157" s="3">
        <v>0.61</v>
      </c>
      <c r="M157" s="3">
        <v>5.13</v>
      </c>
    </row>
    <row r="158" spans="1:13" x14ac:dyDescent="0.25">
      <c r="A158" s="4">
        <v>4</v>
      </c>
      <c r="B158" s="4">
        <v>8</v>
      </c>
      <c r="C158" s="4">
        <v>4</v>
      </c>
      <c r="D158" s="4">
        <v>29</v>
      </c>
      <c r="E158" s="4">
        <v>25</v>
      </c>
      <c r="F158" s="4" t="s">
        <v>30</v>
      </c>
      <c r="G158" t="s">
        <v>31</v>
      </c>
      <c r="H158" s="4">
        <v>408</v>
      </c>
      <c r="I158" s="4">
        <v>5</v>
      </c>
      <c r="J158" s="38">
        <v>45502</v>
      </c>
      <c r="L158" s="3">
        <v>0.54</v>
      </c>
      <c r="M158" s="3">
        <v>4.79</v>
      </c>
    </row>
    <row r="159" spans="1:13" x14ac:dyDescent="0.25">
      <c r="A159" s="4">
        <v>3</v>
      </c>
      <c r="B159" s="4">
        <v>8</v>
      </c>
      <c r="C159" s="4">
        <v>4</v>
      </c>
      <c r="D159" s="4">
        <v>30</v>
      </c>
      <c r="E159" s="4">
        <v>24</v>
      </c>
      <c r="F159" s="4" t="s">
        <v>30</v>
      </c>
      <c r="G159" t="s">
        <v>28</v>
      </c>
      <c r="H159" s="4">
        <v>308</v>
      </c>
      <c r="I159" s="4">
        <v>5</v>
      </c>
      <c r="J159" s="38">
        <v>45502</v>
      </c>
      <c r="L159" s="3">
        <v>0.51</v>
      </c>
      <c r="M159" s="3">
        <v>10.53</v>
      </c>
    </row>
    <row r="160" spans="1:13" x14ac:dyDescent="0.25">
      <c r="A160" s="4">
        <v>2</v>
      </c>
      <c r="B160" s="4">
        <v>8</v>
      </c>
      <c r="C160" s="4">
        <v>4</v>
      </c>
      <c r="D160" s="4">
        <v>31</v>
      </c>
      <c r="E160" s="4">
        <v>9</v>
      </c>
      <c r="F160" s="4" t="s">
        <v>30</v>
      </c>
      <c r="G160" t="s">
        <v>29</v>
      </c>
      <c r="H160" s="4">
        <v>208</v>
      </c>
      <c r="I160" s="4">
        <v>5</v>
      </c>
      <c r="J160" s="38">
        <v>45502</v>
      </c>
      <c r="L160" s="3">
        <v>0.43</v>
      </c>
      <c r="M160" s="3">
        <v>5.55</v>
      </c>
    </row>
    <row r="161" spans="1:13" x14ac:dyDescent="0.25">
      <c r="A161" s="4">
        <v>1</v>
      </c>
      <c r="B161" s="4">
        <v>8</v>
      </c>
      <c r="C161" s="4">
        <v>4</v>
      </c>
      <c r="D161" s="4">
        <v>32</v>
      </c>
      <c r="E161" s="4">
        <v>8</v>
      </c>
      <c r="F161" s="4" t="s">
        <v>30</v>
      </c>
      <c r="G161" t="s">
        <v>32</v>
      </c>
      <c r="H161" s="4">
        <v>108</v>
      </c>
      <c r="I161" s="4">
        <v>5</v>
      </c>
      <c r="J161" s="38">
        <v>45502</v>
      </c>
      <c r="L161" s="3">
        <v>0.59</v>
      </c>
      <c r="M161" s="3">
        <v>5.56</v>
      </c>
    </row>
    <row r="162" spans="1:13" x14ac:dyDescent="0.25">
      <c r="A162" s="4">
        <v>1</v>
      </c>
      <c r="B162" s="4">
        <v>1</v>
      </c>
      <c r="C162" s="4">
        <v>1</v>
      </c>
      <c r="D162" s="4">
        <v>1</v>
      </c>
      <c r="E162" s="4">
        <v>1</v>
      </c>
      <c r="F162" s="4" t="s">
        <v>25</v>
      </c>
      <c r="G162" t="s">
        <v>26</v>
      </c>
      <c r="H162" s="4">
        <v>101</v>
      </c>
      <c r="I162" s="4">
        <v>6</v>
      </c>
      <c r="J162" s="41">
        <v>45513</v>
      </c>
      <c r="L162" s="3">
        <v>0.71</v>
      </c>
      <c r="M162" s="3">
        <v>4.7</v>
      </c>
    </row>
    <row r="163" spans="1:13" x14ac:dyDescent="0.25">
      <c r="A163" s="4">
        <v>2</v>
      </c>
      <c r="B163" s="4">
        <v>1</v>
      </c>
      <c r="C163" s="4">
        <v>1</v>
      </c>
      <c r="D163" s="4">
        <v>2</v>
      </c>
      <c r="E163" s="4">
        <v>16</v>
      </c>
      <c r="F163" s="4" t="s">
        <v>25</v>
      </c>
      <c r="G163" t="s">
        <v>27</v>
      </c>
      <c r="H163" s="4">
        <v>201</v>
      </c>
      <c r="I163" s="4">
        <v>6</v>
      </c>
      <c r="J163" s="41">
        <v>45513</v>
      </c>
      <c r="L163" s="3">
        <v>0.71</v>
      </c>
      <c r="M163" s="3">
        <v>5.9</v>
      </c>
    </row>
    <row r="164" spans="1:13" x14ac:dyDescent="0.25">
      <c r="A164" s="4">
        <v>3</v>
      </c>
      <c r="B164" s="4">
        <v>1</v>
      </c>
      <c r="C164" s="4">
        <v>1</v>
      </c>
      <c r="D164" s="4">
        <v>3</v>
      </c>
      <c r="E164" s="4">
        <v>17</v>
      </c>
      <c r="F164" s="4" t="s">
        <v>25</v>
      </c>
      <c r="G164" t="s">
        <v>28</v>
      </c>
      <c r="H164" s="4">
        <v>301</v>
      </c>
      <c r="I164" s="4">
        <v>6</v>
      </c>
      <c r="J164" s="41">
        <v>45513</v>
      </c>
      <c r="L164" s="3">
        <v>0.63</v>
      </c>
      <c r="M164" s="3">
        <v>6.45</v>
      </c>
    </row>
    <row r="165" spans="1:13" x14ac:dyDescent="0.25">
      <c r="A165" s="4">
        <v>4</v>
      </c>
      <c r="B165" s="4">
        <v>1</v>
      </c>
      <c r="C165" s="4">
        <v>1</v>
      </c>
      <c r="D165" s="4">
        <v>4</v>
      </c>
      <c r="E165" s="4">
        <v>32</v>
      </c>
      <c r="F165" s="4" t="s">
        <v>25</v>
      </c>
      <c r="G165" t="s">
        <v>29</v>
      </c>
      <c r="H165" s="4">
        <v>401</v>
      </c>
      <c r="I165" s="4">
        <v>6</v>
      </c>
      <c r="J165" s="41">
        <v>45513</v>
      </c>
      <c r="L165" s="3">
        <v>0.59</v>
      </c>
      <c r="M165" s="3">
        <v>6.85</v>
      </c>
    </row>
    <row r="166" spans="1:13" x14ac:dyDescent="0.25">
      <c r="A166" s="4">
        <v>4</v>
      </c>
      <c r="B166" s="4">
        <v>2</v>
      </c>
      <c r="C166" s="4">
        <v>1</v>
      </c>
      <c r="D166" s="4">
        <v>5</v>
      </c>
      <c r="E166" s="4">
        <v>31</v>
      </c>
      <c r="F166" s="4" t="s">
        <v>30</v>
      </c>
      <c r="G166" t="s">
        <v>32</v>
      </c>
      <c r="H166" s="4">
        <v>402</v>
      </c>
      <c r="I166" s="4">
        <v>6</v>
      </c>
      <c r="J166" s="41">
        <v>45513</v>
      </c>
      <c r="L166" s="3">
        <v>0.65</v>
      </c>
      <c r="M166" s="3">
        <v>4.47</v>
      </c>
    </row>
    <row r="167" spans="1:13" x14ac:dyDescent="0.25">
      <c r="A167" s="4">
        <v>3</v>
      </c>
      <c r="B167" s="4">
        <v>2</v>
      </c>
      <c r="C167" s="4">
        <v>1</v>
      </c>
      <c r="D167" s="4">
        <v>6</v>
      </c>
      <c r="E167" s="4">
        <v>18</v>
      </c>
      <c r="F167" s="4" t="s">
        <v>30</v>
      </c>
      <c r="G167" t="s">
        <v>29</v>
      </c>
      <c r="H167" s="4">
        <v>302</v>
      </c>
      <c r="I167" s="4">
        <v>6</v>
      </c>
      <c r="J167" s="41">
        <v>45513</v>
      </c>
      <c r="L167" s="3">
        <v>0.45</v>
      </c>
      <c r="M167" s="3">
        <v>6.08</v>
      </c>
    </row>
    <row r="168" spans="1:13" x14ac:dyDescent="0.25">
      <c r="A168" s="4">
        <v>2</v>
      </c>
      <c r="B168" s="4">
        <v>2</v>
      </c>
      <c r="C168" s="4">
        <v>1</v>
      </c>
      <c r="D168" s="4">
        <v>7</v>
      </c>
      <c r="E168" s="4">
        <v>15</v>
      </c>
      <c r="F168" s="4" t="s">
        <v>30</v>
      </c>
      <c r="G168" t="s">
        <v>28</v>
      </c>
      <c r="H168" s="4">
        <v>202</v>
      </c>
      <c r="I168" s="4">
        <v>6</v>
      </c>
      <c r="J168" s="41">
        <v>45513</v>
      </c>
      <c r="L168" s="3">
        <v>0.52</v>
      </c>
      <c r="M168" s="3">
        <v>5.54</v>
      </c>
    </row>
    <row r="169" spans="1:13" x14ac:dyDescent="0.25">
      <c r="A169" s="4">
        <v>1</v>
      </c>
      <c r="B169" s="4">
        <v>2</v>
      </c>
      <c r="C169" s="4">
        <v>1</v>
      </c>
      <c r="D169" s="4">
        <v>8</v>
      </c>
      <c r="E169" s="4">
        <v>2</v>
      </c>
      <c r="F169" s="4" t="s">
        <v>30</v>
      </c>
      <c r="G169" t="s">
        <v>31</v>
      </c>
      <c r="H169" s="4">
        <v>102</v>
      </c>
      <c r="I169" s="4">
        <v>6</v>
      </c>
      <c r="J169" s="41">
        <v>45513</v>
      </c>
      <c r="L169" s="3">
        <v>0.64</v>
      </c>
      <c r="M169" s="3">
        <v>4.38</v>
      </c>
    </row>
    <row r="170" spans="1:13" x14ac:dyDescent="0.25">
      <c r="A170" s="4">
        <v>1</v>
      </c>
      <c r="B170" s="4">
        <v>3</v>
      </c>
      <c r="C170" s="4">
        <v>2</v>
      </c>
      <c r="D170" s="4">
        <v>9</v>
      </c>
      <c r="E170" s="4">
        <v>3</v>
      </c>
      <c r="F170" s="4" t="s">
        <v>25</v>
      </c>
      <c r="G170" t="s">
        <v>27</v>
      </c>
      <c r="H170" s="4">
        <v>103</v>
      </c>
      <c r="I170" s="4">
        <v>6</v>
      </c>
      <c r="J170" s="41">
        <v>45513</v>
      </c>
      <c r="L170" s="3">
        <v>0.68</v>
      </c>
      <c r="M170" s="3">
        <v>2.17</v>
      </c>
    </row>
    <row r="171" spans="1:13" x14ac:dyDescent="0.25">
      <c r="A171" s="4">
        <v>2</v>
      </c>
      <c r="B171" s="4">
        <v>3</v>
      </c>
      <c r="C171" s="4">
        <v>2</v>
      </c>
      <c r="D171" s="4">
        <v>10</v>
      </c>
      <c r="E171" s="4">
        <v>14</v>
      </c>
      <c r="F171" s="4" t="s">
        <v>25</v>
      </c>
      <c r="G171" t="s">
        <v>29</v>
      </c>
      <c r="H171" s="4">
        <v>203</v>
      </c>
      <c r="I171" s="4">
        <v>6</v>
      </c>
      <c r="J171" s="41">
        <v>45513</v>
      </c>
      <c r="L171" s="3">
        <v>0.6</v>
      </c>
      <c r="M171" s="3">
        <v>5.76</v>
      </c>
    </row>
    <row r="172" spans="1:13" x14ac:dyDescent="0.25">
      <c r="A172" s="4">
        <v>3</v>
      </c>
      <c r="B172" s="4">
        <v>3</v>
      </c>
      <c r="C172" s="4">
        <v>2</v>
      </c>
      <c r="D172" s="4">
        <v>11</v>
      </c>
      <c r="E172" s="4">
        <v>19</v>
      </c>
      <c r="F172" s="4" t="s">
        <v>25</v>
      </c>
      <c r="G172" t="s">
        <v>26</v>
      </c>
      <c r="H172" s="4">
        <v>303</v>
      </c>
      <c r="I172" s="4">
        <v>6</v>
      </c>
      <c r="J172" s="41">
        <v>45513</v>
      </c>
      <c r="L172" s="3">
        <v>0.68</v>
      </c>
      <c r="M172" s="3">
        <v>5.0199999999999996</v>
      </c>
    </row>
    <row r="173" spans="1:13" x14ac:dyDescent="0.25">
      <c r="A173" s="4">
        <v>4</v>
      </c>
      <c r="B173" s="4">
        <v>3</v>
      </c>
      <c r="C173" s="4">
        <v>2</v>
      </c>
      <c r="D173" s="4">
        <v>12</v>
      </c>
      <c r="E173" s="4">
        <v>30</v>
      </c>
      <c r="F173" s="4" t="s">
        <v>25</v>
      </c>
      <c r="G173" t="s">
        <v>28</v>
      </c>
      <c r="H173" s="4">
        <v>403</v>
      </c>
      <c r="I173" s="4">
        <v>6</v>
      </c>
      <c r="J173" s="41">
        <v>45513</v>
      </c>
      <c r="L173" s="3">
        <v>0.6</v>
      </c>
      <c r="M173" s="3">
        <v>6.51</v>
      </c>
    </row>
    <row r="174" spans="1:13" x14ac:dyDescent="0.25">
      <c r="A174" s="4">
        <v>4</v>
      </c>
      <c r="B174" s="4">
        <v>4</v>
      </c>
      <c r="C174" s="4">
        <v>2</v>
      </c>
      <c r="D174" s="4">
        <v>13</v>
      </c>
      <c r="E174" s="4">
        <v>29</v>
      </c>
      <c r="F174" s="4" t="s">
        <v>30</v>
      </c>
      <c r="G174" t="s">
        <v>29</v>
      </c>
      <c r="H174" s="4">
        <v>404</v>
      </c>
      <c r="I174" s="4">
        <v>6</v>
      </c>
      <c r="J174" s="41">
        <v>45513</v>
      </c>
      <c r="L174" s="3">
        <v>0.53</v>
      </c>
      <c r="M174" s="3">
        <v>5.45</v>
      </c>
    </row>
    <row r="175" spans="1:13" x14ac:dyDescent="0.25">
      <c r="A175" s="4">
        <v>3</v>
      </c>
      <c r="B175" s="4">
        <v>4</v>
      </c>
      <c r="C175" s="4">
        <v>2</v>
      </c>
      <c r="D175" s="4">
        <v>14</v>
      </c>
      <c r="E175" s="4">
        <v>20</v>
      </c>
      <c r="F175" s="4" t="s">
        <v>30</v>
      </c>
      <c r="G175" t="s">
        <v>31</v>
      </c>
      <c r="H175" s="4">
        <v>304</v>
      </c>
      <c r="I175" s="4">
        <v>6</v>
      </c>
      <c r="J175" s="41">
        <v>45513</v>
      </c>
      <c r="L175" s="3">
        <v>0.55000000000000004</v>
      </c>
      <c r="M175" s="3">
        <v>7.13</v>
      </c>
    </row>
    <row r="176" spans="1:13" x14ac:dyDescent="0.25">
      <c r="A176" s="4">
        <v>2</v>
      </c>
      <c r="B176" s="4">
        <v>4</v>
      </c>
      <c r="C176" s="4">
        <v>2</v>
      </c>
      <c r="D176" s="4">
        <v>15</v>
      </c>
      <c r="E176" s="4">
        <v>13</v>
      </c>
      <c r="F176" s="4" t="s">
        <v>30</v>
      </c>
      <c r="G176" t="s">
        <v>32</v>
      </c>
      <c r="H176" s="4">
        <v>204</v>
      </c>
      <c r="I176" s="4">
        <v>6</v>
      </c>
      <c r="J176" s="41">
        <v>45513</v>
      </c>
      <c r="L176" s="3">
        <v>0.62</v>
      </c>
      <c r="M176" s="3">
        <v>4.79</v>
      </c>
    </row>
    <row r="177" spans="1:13" x14ac:dyDescent="0.25">
      <c r="A177" s="4">
        <v>1</v>
      </c>
      <c r="B177" s="4">
        <v>4</v>
      </c>
      <c r="C177" s="4">
        <v>2</v>
      </c>
      <c r="D177" s="4">
        <v>16</v>
      </c>
      <c r="E177" s="4">
        <v>4</v>
      </c>
      <c r="F177" s="4" t="s">
        <v>30</v>
      </c>
      <c r="G177" t="s">
        <v>28</v>
      </c>
      <c r="H177" s="4">
        <v>104</v>
      </c>
      <c r="I177" s="4">
        <v>6</v>
      </c>
      <c r="J177" s="41">
        <v>45513</v>
      </c>
      <c r="L177" s="3">
        <v>0.54</v>
      </c>
      <c r="M177" s="3">
        <v>4.82</v>
      </c>
    </row>
    <row r="178" spans="1:13" x14ac:dyDescent="0.25">
      <c r="A178" s="4">
        <v>1</v>
      </c>
      <c r="B178" s="4">
        <v>5</v>
      </c>
      <c r="C178" s="4">
        <v>3</v>
      </c>
      <c r="D178" s="4">
        <v>17</v>
      </c>
      <c r="E178" s="4">
        <v>5</v>
      </c>
      <c r="F178" s="4" t="s">
        <v>25</v>
      </c>
      <c r="G178" t="s">
        <v>28</v>
      </c>
      <c r="H178" s="4">
        <v>105</v>
      </c>
      <c r="I178" s="4">
        <v>6</v>
      </c>
      <c r="J178" s="41">
        <v>45513</v>
      </c>
      <c r="L178" s="3">
        <v>0.56999999999999995</v>
      </c>
      <c r="M178" s="3">
        <v>4.5999999999999996</v>
      </c>
    </row>
    <row r="179" spans="1:13" x14ac:dyDescent="0.25">
      <c r="A179" s="4">
        <v>2</v>
      </c>
      <c r="B179" s="4">
        <v>5</v>
      </c>
      <c r="C179" s="4">
        <v>3</v>
      </c>
      <c r="D179" s="4">
        <v>18</v>
      </c>
      <c r="E179" s="4">
        <v>12</v>
      </c>
      <c r="F179" s="4" t="s">
        <v>25</v>
      </c>
      <c r="G179" t="s">
        <v>26</v>
      </c>
      <c r="H179" s="4">
        <v>205</v>
      </c>
      <c r="I179" s="4">
        <v>6</v>
      </c>
      <c r="J179" s="41">
        <v>45513</v>
      </c>
      <c r="L179" s="3">
        <v>0.69</v>
      </c>
      <c r="M179" s="3">
        <v>5.47</v>
      </c>
    </row>
    <row r="180" spans="1:13" x14ac:dyDescent="0.25">
      <c r="A180" s="4">
        <v>3</v>
      </c>
      <c r="B180" s="4">
        <v>5</v>
      </c>
      <c r="C180" s="4">
        <v>3</v>
      </c>
      <c r="D180" s="4">
        <v>19</v>
      </c>
      <c r="E180" s="4">
        <v>21</v>
      </c>
      <c r="F180" s="4" t="s">
        <v>25</v>
      </c>
      <c r="G180" t="s">
        <v>29</v>
      </c>
      <c r="H180" s="4">
        <v>305</v>
      </c>
      <c r="I180" s="4">
        <v>6</v>
      </c>
      <c r="J180" s="41">
        <v>45513</v>
      </c>
      <c r="L180" s="3">
        <v>0.53</v>
      </c>
      <c r="M180" s="3">
        <v>9.66</v>
      </c>
    </row>
    <row r="181" spans="1:13" x14ac:dyDescent="0.25">
      <c r="A181" s="4">
        <v>4</v>
      </c>
      <c r="B181" s="4">
        <v>5</v>
      </c>
      <c r="C181" s="4">
        <v>3</v>
      </c>
      <c r="D181" s="4">
        <v>20</v>
      </c>
      <c r="E181" s="4">
        <v>28</v>
      </c>
      <c r="F181" s="4" t="s">
        <v>25</v>
      </c>
      <c r="G181" t="s">
        <v>27</v>
      </c>
      <c r="H181" s="4">
        <v>405</v>
      </c>
      <c r="I181" s="4">
        <v>6</v>
      </c>
      <c r="J181" s="41">
        <v>45513</v>
      </c>
      <c r="L181" s="3">
        <v>0.73</v>
      </c>
      <c r="M181" s="3">
        <v>2.76</v>
      </c>
    </row>
    <row r="182" spans="1:13" x14ac:dyDescent="0.25">
      <c r="A182" s="4">
        <v>4</v>
      </c>
      <c r="B182" s="4">
        <v>6</v>
      </c>
      <c r="C182" s="4">
        <v>3</v>
      </c>
      <c r="D182" s="4">
        <v>21</v>
      </c>
      <c r="E182" s="4">
        <v>27</v>
      </c>
      <c r="F182" s="4" t="s">
        <v>30</v>
      </c>
      <c r="G182" t="s">
        <v>28</v>
      </c>
      <c r="H182" s="4">
        <v>406</v>
      </c>
      <c r="I182" s="4">
        <v>6</v>
      </c>
      <c r="J182" s="41">
        <v>45513</v>
      </c>
      <c r="L182" s="3">
        <v>0.59</v>
      </c>
      <c r="M182" s="3">
        <v>3.93</v>
      </c>
    </row>
    <row r="183" spans="1:13" x14ac:dyDescent="0.25">
      <c r="A183" s="4">
        <v>3</v>
      </c>
      <c r="B183" s="4">
        <v>6</v>
      </c>
      <c r="C183" s="4">
        <v>3</v>
      </c>
      <c r="D183" s="4">
        <v>22</v>
      </c>
      <c r="E183" s="4">
        <v>22</v>
      </c>
      <c r="F183" s="4" t="s">
        <v>30</v>
      </c>
      <c r="G183" t="s">
        <v>32</v>
      </c>
      <c r="H183" s="4">
        <v>306</v>
      </c>
      <c r="I183" s="4">
        <v>6</v>
      </c>
      <c r="J183" s="41">
        <v>45513</v>
      </c>
      <c r="L183" s="3">
        <v>0.66</v>
      </c>
      <c r="M183" s="3">
        <v>3.75</v>
      </c>
    </row>
    <row r="184" spans="1:13" x14ac:dyDescent="0.25">
      <c r="A184" s="4">
        <v>2</v>
      </c>
      <c r="B184" s="4">
        <v>6</v>
      </c>
      <c r="C184" s="4">
        <v>3</v>
      </c>
      <c r="D184" s="4">
        <v>23</v>
      </c>
      <c r="E184" s="4">
        <v>11</v>
      </c>
      <c r="F184" s="4" t="s">
        <v>30</v>
      </c>
      <c r="G184" t="s">
        <v>31</v>
      </c>
      <c r="H184" s="4">
        <v>206</v>
      </c>
      <c r="I184" s="4">
        <v>6</v>
      </c>
      <c r="J184" s="41">
        <v>45513</v>
      </c>
      <c r="L184" s="3">
        <v>0.56999999999999995</v>
      </c>
      <c r="M184" s="3">
        <v>5.49</v>
      </c>
    </row>
    <row r="185" spans="1:13" x14ac:dyDescent="0.25">
      <c r="A185" s="4">
        <v>1</v>
      </c>
      <c r="B185" s="4">
        <v>6</v>
      </c>
      <c r="C185" s="4">
        <v>3</v>
      </c>
      <c r="D185" s="4">
        <v>24</v>
      </c>
      <c r="E185" s="4">
        <v>6</v>
      </c>
      <c r="F185" s="4" t="s">
        <v>30</v>
      </c>
      <c r="G185" t="s">
        <v>29</v>
      </c>
      <c r="H185" s="4">
        <v>106</v>
      </c>
      <c r="I185" s="4">
        <v>6</v>
      </c>
      <c r="J185" s="41">
        <v>45513</v>
      </c>
      <c r="L185" s="3">
        <v>0.54</v>
      </c>
      <c r="M185" s="3">
        <v>4.82</v>
      </c>
    </row>
    <row r="186" spans="1:13" x14ac:dyDescent="0.25">
      <c r="A186" s="4">
        <v>1</v>
      </c>
      <c r="B186" s="4">
        <v>7</v>
      </c>
      <c r="C186" s="4">
        <v>4</v>
      </c>
      <c r="D186" s="4">
        <v>25</v>
      </c>
      <c r="E186" s="4">
        <v>7</v>
      </c>
      <c r="F186" s="4" t="s">
        <v>25</v>
      </c>
      <c r="G186" t="s">
        <v>29</v>
      </c>
      <c r="H186" s="4">
        <v>107</v>
      </c>
      <c r="I186" s="4">
        <v>6</v>
      </c>
      <c r="J186" s="41">
        <v>45513</v>
      </c>
      <c r="L186" s="3">
        <v>0.62</v>
      </c>
      <c r="M186" s="3">
        <v>8.4</v>
      </c>
    </row>
    <row r="187" spans="1:13" x14ac:dyDescent="0.25">
      <c r="A187" s="4">
        <v>2</v>
      </c>
      <c r="B187" s="4">
        <v>7</v>
      </c>
      <c r="C187" s="4">
        <v>4</v>
      </c>
      <c r="D187" s="4">
        <v>26</v>
      </c>
      <c r="E187" s="4">
        <v>10</v>
      </c>
      <c r="F187" s="4" t="s">
        <v>25</v>
      </c>
      <c r="G187" t="s">
        <v>28</v>
      </c>
      <c r="H187" s="4">
        <v>207</v>
      </c>
      <c r="I187" s="4">
        <v>6</v>
      </c>
      <c r="J187" s="41">
        <v>45513</v>
      </c>
      <c r="L187" s="3">
        <v>0.61</v>
      </c>
      <c r="M187" s="3">
        <v>6.6</v>
      </c>
    </row>
    <row r="188" spans="1:13" x14ac:dyDescent="0.25">
      <c r="A188" s="4">
        <v>3</v>
      </c>
      <c r="B188" s="4">
        <v>7</v>
      </c>
      <c r="C188" s="4">
        <v>4</v>
      </c>
      <c r="D188" s="4">
        <v>27</v>
      </c>
      <c r="E188" s="4">
        <v>23</v>
      </c>
      <c r="F188" s="4" t="s">
        <v>25</v>
      </c>
      <c r="G188" t="s">
        <v>27</v>
      </c>
      <c r="H188" s="4">
        <v>307</v>
      </c>
      <c r="I188" s="4">
        <v>6</v>
      </c>
      <c r="J188" s="41">
        <v>45513</v>
      </c>
      <c r="L188" s="3">
        <v>0.62</v>
      </c>
      <c r="M188" s="3">
        <v>7.3</v>
      </c>
    </row>
    <row r="189" spans="1:13" x14ac:dyDescent="0.25">
      <c r="A189" s="4">
        <v>4</v>
      </c>
      <c r="B189" s="4">
        <v>7</v>
      </c>
      <c r="C189" s="4">
        <v>4</v>
      </c>
      <c r="D189" s="4">
        <v>28</v>
      </c>
      <c r="E189" s="4">
        <v>26</v>
      </c>
      <c r="F189" s="4" t="s">
        <v>25</v>
      </c>
      <c r="G189" t="s">
        <v>26</v>
      </c>
      <c r="H189" s="4">
        <v>407</v>
      </c>
      <c r="I189" s="4">
        <v>6</v>
      </c>
      <c r="J189" s="41">
        <v>45513</v>
      </c>
      <c r="L189" s="3">
        <v>0.7</v>
      </c>
      <c r="M189" s="3">
        <v>4.3600000000000003</v>
      </c>
    </row>
    <row r="190" spans="1:13" x14ac:dyDescent="0.25">
      <c r="A190" s="4">
        <v>4</v>
      </c>
      <c r="B190" s="4">
        <v>8</v>
      </c>
      <c r="C190" s="4">
        <v>4</v>
      </c>
      <c r="D190" s="4">
        <v>29</v>
      </c>
      <c r="E190" s="4">
        <v>25</v>
      </c>
      <c r="F190" s="4" t="s">
        <v>30</v>
      </c>
      <c r="G190" t="s">
        <v>31</v>
      </c>
      <c r="H190" s="4">
        <v>408</v>
      </c>
      <c r="I190" s="4">
        <v>6</v>
      </c>
      <c r="J190" s="41">
        <v>45513</v>
      </c>
      <c r="L190" s="3">
        <v>0.62</v>
      </c>
      <c r="M190" s="3">
        <v>5.1100000000000003</v>
      </c>
    </row>
    <row r="191" spans="1:13" x14ac:dyDescent="0.25">
      <c r="A191" s="4">
        <v>3</v>
      </c>
      <c r="B191" s="4">
        <v>8</v>
      </c>
      <c r="C191" s="4">
        <v>4</v>
      </c>
      <c r="D191" s="4">
        <v>30</v>
      </c>
      <c r="E191" s="4">
        <v>24</v>
      </c>
      <c r="F191" s="4" t="s">
        <v>30</v>
      </c>
      <c r="G191" t="s">
        <v>28</v>
      </c>
      <c r="H191" s="4">
        <v>308</v>
      </c>
      <c r="I191" s="4">
        <v>6</v>
      </c>
      <c r="J191" s="41">
        <v>45513</v>
      </c>
      <c r="L191" s="3">
        <v>0.53</v>
      </c>
      <c r="M191" s="3">
        <v>7.19</v>
      </c>
    </row>
    <row r="192" spans="1:13" x14ac:dyDescent="0.25">
      <c r="A192" s="4">
        <v>2</v>
      </c>
      <c r="B192" s="4">
        <v>8</v>
      </c>
      <c r="C192" s="4">
        <v>4</v>
      </c>
      <c r="D192" s="4">
        <v>31</v>
      </c>
      <c r="E192" s="4">
        <v>9</v>
      </c>
      <c r="F192" s="4" t="s">
        <v>30</v>
      </c>
      <c r="G192" t="s">
        <v>29</v>
      </c>
      <c r="H192" s="4">
        <v>208</v>
      </c>
      <c r="I192" s="4">
        <v>6</v>
      </c>
      <c r="J192" s="41">
        <v>45513</v>
      </c>
      <c r="L192" s="3">
        <v>0.5</v>
      </c>
      <c r="M192" s="3">
        <v>4.96</v>
      </c>
    </row>
    <row r="193" spans="1:13" x14ac:dyDescent="0.25">
      <c r="A193" s="4">
        <v>1</v>
      </c>
      <c r="B193" s="4">
        <v>8</v>
      </c>
      <c r="C193" s="4">
        <v>4</v>
      </c>
      <c r="D193" s="4">
        <v>32</v>
      </c>
      <c r="E193" s="4">
        <v>8</v>
      </c>
      <c r="F193" s="4" t="s">
        <v>30</v>
      </c>
      <c r="G193" t="s">
        <v>32</v>
      </c>
      <c r="H193" s="4">
        <v>108</v>
      </c>
      <c r="I193" s="4">
        <v>6</v>
      </c>
      <c r="J193" s="41">
        <v>45513</v>
      </c>
      <c r="L193" s="3">
        <v>0.67</v>
      </c>
      <c r="M193" s="3">
        <v>4.0599999999999996</v>
      </c>
    </row>
    <row r="194" spans="1:13" x14ac:dyDescent="0.25">
      <c r="A194" s="4">
        <v>1</v>
      </c>
      <c r="B194" s="4">
        <v>1</v>
      </c>
      <c r="C194" s="4">
        <v>1</v>
      </c>
      <c r="D194" s="4">
        <v>1</v>
      </c>
      <c r="E194" s="4">
        <v>1</v>
      </c>
      <c r="F194" s="4" t="s">
        <v>25</v>
      </c>
      <c r="G194" t="s">
        <v>26</v>
      </c>
      <c r="H194" s="4">
        <v>101</v>
      </c>
      <c r="I194" s="4">
        <v>7</v>
      </c>
      <c r="J194" s="41">
        <v>45526</v>
      </c>
      <c r="L194" s="3">
        <v>0.68</v>
      </c>
      <c r="M194" s="3">
        <v>5.98</v>
      </c>
    </row>
    <row r="195" spans="1:13" x14ac:dyDescent="0.25">
      <c r="A195" s="4">
        <v>2</v>
      </c>
      <c r="B195" s="4">
        <v>1</v>
      </c>
      <c r="C195" s="4">
        <v>1</v>
      </c>
      <c r="D195" s="4">
        <v>2</v>
      </c>
      <c r="E195" s="4">
        <v>16</v>
      </c>
      <c r="F195" s="4" t="s">
        <v>25</v>
      </c>
      <c r="G195" t="s">
        <v>27</v>
      </c>
      <c r="H195" s="4">
        <v>201</v>
      </c>
      <c r="I195" s="4">
        <v>7</v>
      </c>
      <c r="J195" s="41">
        <v>45526</v>
      </c>
      <c r="L195" s="3">
        <v>0.63</v>
      </c>
      <c r="M195" s="3">
        <v>9.17</v>
      </c>
    </row>
    <row r="196" spans="1:13" x14ac:dyDescent="0.25">
      <c r="A196" s="4">
        <v>3</v>
      </c>
      <c r="B196" s="4">
        <v>1</v>
      </c>
      <c r="C196" s="4">
        <v>1</v>
      </c>
      <c r="D196" s="4">
        <v>3</v>
      </c>
      <c r="E196" s="4">
        <v>17</v>
      </c>
      <c r="F196" s="4" t="s">
        <v>25</v>
      </c>
      <c r="G196" t="s">
        <v>28</v>
      </c>
      <c r="H196" s="4">
        <v>301</v>
      </c>
      <c r="I196" s="4">
        <v>7</v>
      </c>
      <c r="J196" s="41">
        <v>45526</v>
      </c>
      <c r="L196" s="3">
        <v>0.5</v>
      </c>
      <c r="M196" s="3">
        <v>5.3</v>
      </c>
    </row>
    <row r="197" spans="1:13" x14ac:dyDescent="0.25">
      <c r="A197" s="4">
        <v>4</v>
      </c>
      <c r="B197" s="4">
        <v>1</v>
      </c>
      <c r="C197" s="4">
        <v>1</v>
      </c>
      <c r="D197" s="4">
        <v>4</v>
      </c>
      <c r="E197" s="4">
        <v>32</v>
      </c>
      <c r="F197" s="4" t="s">
        <v>25</v>
      </c>
      <c r="G197" t="s">
        <v>29</v>
      </c>
      <c r="H197" s="4">
        <v>401</v>
      </c>
      <c r="I197" s="4">
        <v>7</v>
      </c>
      <c r="J197" s="41">
        <v>45526</v>
      </c>
      <c r="L197" s="3">
        <v>0.51</v>
      </c>
      <c r="M197" s="3">
        <v>3.99</v>
      </c>
    </row>
    <row r="198" spans="1:13" x14ac:dyDescent="0.25">
      <c r="A198" s="4">
        <v>4</v>
      </c>
      <c r="B198" s="4">
        <v>2</v>
      </c>
      <c r="C198" s="4">
        <v>1</v>
      </c>
      <c r="D198" s="4">
        <v>5</v>
      </c>
      <c r="E198" s="4">
        <v>31</v>
      </c>
      <c r="F198" s="4" t="s">
        <v>30</v>
      </c>
      <c r="G198" t="s">
        <v>32</v>
      </c>
      <c r="H198" s="4">
        <v>402</v>
      </c>
      <c r="I198" s="4">
        <v>7</v>
      </c>
      <c r="J198" s="41">
        <v>45526</v>
      </c>
      <c r="L198" s="3">
        <v>0.79</v>
      </c>
      <c r="M198" s="3">
        <v>2.35</v>
      </c>
    </row>
    <row r="199" spans="1:13" x14ac:dyDescent="0.25">
      <c r="A199" s="4">
        <v>3</v>
      </c>
      <c r="B199" s="4">
        <v>2</v>
      </c>
      <c r="C199" s="4">
        <v>1</v>
      </c>
      <c r="D199" s="4">
        <v>6</v>
      </c>
      <c r="E199" s="4">
        <v>18</v>
      </c>
      <c r="F199" s="4" t="s">
        <v>30</v>
      </c>
      <c r="G199" t="s">
        <v>29</v>
      </c>
      <c r="H199" s="4">
        <v>302</v>
      </c>
      <c r="I199" s="4">
        <v>7</v>
      </c>
      <c r="J199" s="41">
        <v>45526</v>
      </c>
      <c r="L199" s="3">
        <v>0.56000000000000005</v>
      </c>
      <c r="M199" s="3">
        <v>5.48</v>
      </c>
    </row>
    <row r="200" spans="1:13" x14ac:dyDescent="0.25">
      <c r="A200" s="4">
        <v>2</v>
      </c>
      <c r="B200" s="4">
        <v>2</v>
      </c>
      <c r="C200" s="4">
        <v>1</v>
      </c>
      <c r="D200" s="4">
        <v>7</v>
      </c>
      <c r="E200" s="4">
        <v>15</v>
      </c>
      <c r="F200" s="4" t="s">
        <v>30</v>
      </c>
      <c r="G200" t="s">
        <v>28</v>
      </c>
      <c r="H200" s="4">
        <v>202</v>
      </c>
      <c r="I200" s="4">
        <v>7</v>
      </c>
      <c r="J200" s="41">
        <v>45526</v>
      </c>
      <c r="L200" s="3">
        <v>0.67</v>
      </c>
      <c r="M200" s="3">
        <v>3.71</v>
      </c>
    </row>
    <row r="201" spans="1:13" x14ac:dyDescent="0.25">
      <c r="A201" s="4">
        <v>1</v>
      </c>
      <c r="B201" s="4">
        <v>2</v>
      </c>
      <c r="C201" s="4">
        <v>1</v>
      </c>
      <c r="D201" s="4">
        <v>8</v>
      </c>
      <c r="E201" s="4">
        <v>2</v>
      </c>
      <c r="F201" s="4" t="s">
        <v>30</v>
      </c>
      <c r="G201" t="s">
        <v>31</v>
      </c>
      <c r="H201" s="4">
        <v>102</v>
      </c>
      <c r="I201" s="4">
        <v>7</v>
      </c>
      <c r="J201" s="41">
        <v>45526</v>
      </c>
      <c r="L201" s="3">
        <v>0.73</v>
      </c>
      <c r="M201" s="3">
        <v>4.9400000000000004</v>
      </c>
    </row>
    <row r="202" spans="1:13" x14ac:dyDescent="0.25">
      <c r="A202" s="4">
        <v>1</v>
      </c>
      <c r="B202" s="4">
        <v>3</v>
      </c>
      <c r="C202" s="4">
        <v>2</v>
      </c>
      <c r="D202" s="4">
        <v>9</v>
      </c>
      <c r="E202" s="4">
        <v>3</v>
      </c>
      <c r="F202" s="4" t="s">
        <v>25</v>
      </c>
      <c r="G202" t="s">
        <v>27</v>
      </c>
      <c r="H202" s="4">
        <v>103</v>
      </c>
      <c r="I202" s="4">
        <v>7</v>
      </c>
      <c r="J202" s="41">
        <v>45526</v>
      </c>
      <c r="L202" s="3">
        <v>0.6</v>
      </c>
      <c r="M202" s="3">
        <v>3.91</v>
      </c>
    </row>
    <row r="203" spans="1:13" x14ac:dyDescent="0.25">
      <c r="A203" s="4">
        <v>2</v>
      </c>
      <c r="B203" s="4">
        <v>3</v>
      </c>
      <c r="C203" s="4">
        <v>2</v>
      </c>
      <c r="D203" s="4">
        <v>10</v>
      </c>
      <c r="E203" s="4">
        <v>14</v>
      </c>
      <c r="F203" s="4" t="s">
        <v>25</v>
      </c>
      <c r="G203" t="s">
        <v>29</v>
      </c>
      <c r="H203" s="4">
        <v>203</v>
      </c>
      <c r="I203" s="4">
        <v>7</v>
      </c>
      <c r="J203" s="41">
        <v>45526</v>
      </c>
      <c r="L203" s="3">
        <v>0.62</v>
      </c>
      <c r="M203" s="3">
        <v>8.5</v>
      </c>
    </row>
    <row r="204" spans="1:13" x14ac:dyDescent="0.25">
      <c r="A204" s="4">
        <v>3</v>
      </c>
      <c r="B204" s="4">
        <v>3</v>
      </c>
      <c r="C204" s="4">
        <v>2</v>
      </c>
      <c r="D204" s="4">
        <v>11</v>
      </c>
      <c r="E204" s="4">
        <v>19</v>
      </c>
      <c r="F204" s="4" t="s">
        <v>25</v>
      </c>
      <c r="G204" t="s">
        <v>26</v>
      </c>
      <c r="H204" s="4">
        <v>303</v>
      </c>
      <c r="I204" s="4">
        <v>7</v>
      </c>
      <c r="J204" s="41">
        <v>45526</v>
      </c>
      <c r="L204" s="3">
        <v>0.64</v>
      </c>
      <c r="M204" s="3">
        <v>9.43</v>
      </c>
    </row>
    <row r="205" spans="1:13" x14ac:dyDescent="0.25">
      <c r="A205" s="4">
        <v>4</v>
      </c>
      <c r="B205" s="4">
        <v>3</v>
      </c>
      <c r="C205" s="4">
        <v>2</v>
      </c>
      <c r="D205" s="4">
        <v>12</v>
      </c>
      <c r="E205" s="4">
        <v>30</v>
      </c>
      <c r="F205" s="4" t="s">
        <v>25</v>
      </c>
      <c r="G205" t="s">
        <v>28</v>
      </c>
      <c r="H205" s="4">
        <v>403</v>
      </c>
      <c r="I205" s="4">
        <v>7</v>
      </c>
      <c r="J205" s="41">
        <v>45526</v>
      </c>
      <c r="L205" s="3">
        <v>0.61</v>
      </c>
      <c r="M205" s="3">
        <v>8.1300000000000008</v>
      </c>
    </row>
    <row r="206" spans="1:13" x14ac:dyDescent="0.25">
      <c r="A206" s="4">
        <v>4</v>
      </c>
      <c r="B206" s="4">
        <v>4</v>
      </c>
      <c r="C206" s="4">
        <v>2</v>
      </c>
      <c r="D206" s="4">
        <v>13</v>
      </c>
      <c r="E206" s="4">
        <v>29</v>
      </c>
      <c r="F206" s="4" t="s">
        <v>30</v>
      </c>
      <c r="G206" t="s">
        <v>29</v>
      </c>
      <c r="H206" s="4">
        <v>404</v>
      </c>
      <c r="I206" s="4">
        <v>7</v>
      </c>
      <c r="J206" s="41">
        <v>45526</v>
      </c>
      <c r="L206" s="3">
        <v>0.65</v>
      </c>
      <c r="M206" s="3">
        <v>4.12</v>
      </c>
    </row>
    <row r="207" spans="1:13" x14ac:dyDescent="0.25">
      <c r="A207" s="4">
        <v>3</v>
      </c>
      <c r="B207" s="4">
        <v>4</v>
      </c>
      <c r="C207" s="4">
        <v>2</v>
      </c>
      <c r="D207" s="4">
        <v>14</v>
      </c>
      <c r="E207" s="4">
        <v>20</v>
      </c>
      <c r="F207" s="4" t="s">
        <v>30</v>
      </c>
      <c r="G207" t="s">
        <v>31</v>
      </c>
      <c r="H207" s="4">
        <v>304</v>
      </c>
      <c r="I207" s="4">
        <v>7</v>
      </c>
      <c r="J207" s="41">
        <v>45526</v>
      </c>
      <c r="L207" s="3">
        <v>0.71</v>
      </c>
      <c r="M207" s="3">
        <v>4.62</v>
      </c>
    </row>
    <row r="208" spans="1:13" x14ac:dyDescent="0.25">
      <c r="A208" s="4">
        <v>2</v>
      </c>
      <c r="B208" s="4">
        <v>4</v>
      </c>
      <c r="C208" s="4">
        <v>2</v>
      </c>
      <c r="D208" s="4">
        <v>15</v>
      </c>
      <c r="E208" s="4">
        <v>13</v>
      </c>
      <c r="F208" s="4" t="s">
        <v>30</v>
      </c>
      <c r="G208" t="s">
        <v>32</v>
      </c>
      <c r="H208" s="4">
        <v>204</v>
      </c>
      <c r="I208" s="4">
        <v>7</v>
      </c>
      <c r="J208" s="41">
        <v>45526</v>
      </c>
      <c r="L208" s="3">
        <v>0.77</v>
      </c>
      <c r="M208" s="3">
        <v>2.46</v>
      </c>
    </row>
    <row r="209" spans="1:13" x14ac:dyDescent="0.25">
      <c r="A209" s="4">
        <v>1</v>
      </c>
      <c r="B209" s="4">
        <v>4</v>
      </c>
      <c r="C209" s="4">
        <v>2</v>
      </c>
      <c r="D209" s="4">
        <v>16</v>
      </c>
      <c r="E209" s="4">
        <v>4</v>
      </c>
      <c r="F209" s="4" t="s">
        <v>30</v>
      </c>
      <c r="G209" t="s">
        <v>28</v>
      </c>
      <c r="H209" s="4">
        <v>104</v>
      </c>
      <c r="I209" s="4">
        <v>7</v>
      </c>
      <c r="J209" s="41">
        <v>45526</v>
      </c>
      <c r="L209" s="3">
        <v>0.64</v>
      </c>
      <c r="M209" s="3">
        <v>2.46</v>
      </c>
    </row>
    <row r="210" spans="1:13" x14ac:dyDescent="0.25">
      <c r="A210" s="4">
        <v>1</v>
      </c>
      <c r="B210" s="4">
        <v>5</v>
      </c>
      <c r="C210" s="4">
        <v>3</v>
      </c>
      <c r="D210" s="4">
        <v>17</v>
      </c>
      <c r="E210" s="4">
        <v>5</v>
      </c>
      <c r="F210" s="4" t="s">
        <v>25</v>
      </c>
      <c r="G210" t="s">
        <v>28</v>
      </c>
      <c r="H210" s="4">
        <v>105</v>
      </c>
      <c r="I210" s="4">
        <v>7</v>
      </c>
      <c r="J210" s="41">
        <v>45526</v>
      </c>
      <c r="L210" s="3">
        <v>0.69</v>
      </c>
      <c r="M210" s="3">
        <v>5.57</v>
      </c>
    </row>
    <row r="211" spans="1:13" x14ac:dyDescent="0.25">
      <c r="A211" s="4">
        <v>2</v>
      </c>
      <c r="B211" s="4">
        <v>5</v>
      </c>
      <c r="C211" s="4">
        <v>3</v>
      </c>
      <c r="D211" s="4">
        <v>18</v>
      </c>
      <c r="E211" s="4">
        <v>12</v>
      </c>
      <c r="F211" s="4" t="s">
        <v>25</v>
      </c>
      <c r="G211" t="s">
        <v>26</v>
      </c>
      <c r="H211" s="4">
        <v>205</v>
      </c>
      <c r="I211" s="4">
        <v>7</v>
      </c>
      <c r="J211" s="41">
        <v>45526</v>
      </c>
      <c r="L211" s="3">
        <v>0.7</v>
      </c>
      <c r="M211" s="3">
        <v>5.78</v>
      </c>
    </row>
    <row r="212" spans="1:13" x14ac:dyDescent="0.25">
      <c r="A212" s="4">
        <v>3</v>
      </c>
      <c r="B212" s="4">
        <v>5</v>
      </c>
      <c r="C212" s="4">
        <v>3</v>
      </c>
      <c r="D212" s="4">
        <v>19</v>
      </c>
      <c r="E212" s="4">
        <v>21</v>
      </c>
      <c r="F212" s="4" t="s">
        <v>25</v>
      </c>
      <c r="G212" t="s">
        <v>29</v>
      </c>
      <c r="H212" s="4">
        <v>305</v>
      </c>
      <c r="I212" s="4">
        <v>7</v>
      </c>
      <c r="J212" s="41">
        <v>45526</v>
      </c>
      <c r="L212" s="3">
        <v>0.56000000000000005</v>
      </c>
      <c r="M212" s="3">
        <v>6.99</v>
      </c>
    </row>
    <row r="213" spans="1:13" x14ac:dyDescent="0.25">
      <c r="A213" s="4">
        <v>4</v>
      </c>
      <c r="B213" s="4">
        <v>5</v>
      </c>
      <c r="C213" s="4">
        <v>3</v>
      </c>
      <c r="D213" s="4">
        <v>20</v>
      </c>
      <c r="E213" s="4">
        <v>28</v>
      </c>
      <c r="F213" s="4" t="s">
        <v>25</v>
      </c>
      <c r="G213" t="s">
        <v>27</v>
      </c>
      <c r="H213" s="4">
        <v>405</v>
      </c>
      <c r="I213" s="4">
        <v>7</v>
      </c>
      <c r="J213" s="41">
        <v>45526</v>
      </c>
      <c r="L213" s="3">
        <v>0.68</v>
      </c>
      <c r="M213" s="3">
        <v>5.15</v>
      </c>
    </row>
    <row r="214" spans="1:13" x14ac:dyDescent="0.25">
      <c r="A214" s="4">
        <v>4</v>
      </c>
      <c r="B214" s="4">
        <v>6</v>
      </c>
      <c r="C214" s="4">
        <v>3</v>
      </c>
      <c r="D214" s="4">
        <v>21</v>
      </c>
      <c r="E214" s="4">
        <v>27</v>
      </c>
      <c r="F214" s="4" t="s">
        <v>30</v>
      </c>
      <c r="G214" t="s">
        <v>28</v>
      </c>
      <c r="H214" s="4">
        <v>406</v>
      </c>
      <c r="I214" s="4">
        <v>7</v>
      </c>
      <c r="J214" s="41">
        <v>45526</v>
      </c>
      <c r="L214" s="3">
        <v>0.66</v>
      </c>
      <c r="M214" s="3">
        <v>4.2699999999999996</v>
      </c>
    </row>
    <row r="215" spans="1:13" x14ac:dyDescent="0.25">
      <c r="A215" s="4">
        <v>3</v>
      </c>
      <c r="B215" s="4">
        <v>6</v>
      </c>
      <c r="C215" s="4">
        <v>3</v>
      </c>
      <c r="D215" s="4">
        <v>22</v>
      </c>
      <c r="E215" s="4">
        <v>22</v>
      </c>
      <c r="F215" s="4" t="s">
        <v>30</v>
      </c>
      <c r="G215" t="s">
        <v>32</v>
      </c>
      <c r="H215" s="4">
        <v>306</v>
      </c>
      <c r="I215" s="4">
        <v>7</v>
      </c>
      <c r="J215" s="41">
        <v>45526</v>
      </c>
      <c r="L215" s="3">
        <v>0.76</v>
      </c>
      <c r="M215" s="3">
        <v>2.38</v>
      </c>
    </row>
    <row r="216" spans="1:13" x14ac:dyDescent="0.25">
      <c r="A216" s="4">
        <v>2</v>
      </c>
      <c r="B216" s="4">
        <v>6</v>
      </c>
      <c r="C216" s="4">
        <v>3</v>
      </c>
      <c r="D216" s="4">
        <v>23</v>
      </c>
      <c r="E216" s="4">
        <v>11</v>
      </c>
      <c r="F216" s="4" t="s">
        <v>30</v>
      </c>
      <c r="G216" t="s">
        <v>31</v>
      </c>
      <c r="H216" s="4">
        <v>206</v>
      </c>
      <c r="I216" s="4">
        <v>7</v>
      </c>
      <c r="J216" s="41">
        <v>45526</v>
      </c>
      <c r="L216" s="3">
        <v>0.69</v>
      </c>
      <c r="M216" s="3">
        <v>3.13</v>
      </c>
    </row>
    <row r="217" spans="1:13" x14ac:dyDescent="0.25">
      <c r="A217" s="4">
        <v>1</v>
      </c>
      <c r="B217" s="4">
        <v>6</v>
      </c>
      <c r="C217" s="4">
        <v>3</v>
      </c>
      <c r="D217" s="4">
        <v>24</v>
      </c>
      <c r="E217" s="4">
        <v>6</v>
      </c>
      <c r="F217" s="4" t="s">
        <v>30</v>
      </c>
      <c r="G217" t="s">
        <v>29</v>
      </c>
      <c r="H217" s="4">
        <v>106</v>
      </c>
      <c r="I217" s="4">
        <v>7</v>
      </c>
      <c r="J217" s="41">
        <v>45526</v>
      </c>
      <c r="L217" s="3">
        <v>0.64</v>
      </c>
      <c r="M217" s="3">
        <v>5.67</v>
      </c>
    </row>
    <row r="218" spans="1:13" x14ac:dyDescent="0.25">
      <c r="A218" s="4">
        <v>1</v>
      </c>
      <c r="B218" s="4">
        <v>7</v>
      </c>
      <c r="C218" s="4">
        <v>4</v>
      </c>
      <c r="D218" s="4">
        <v>25</v>
      </c>
      <c r="E218" s="4">
        <v>7</v>
      </c>
      <c r="F218" s="4" t="s">
        <v>25</v>
      </c>
      <c r="G218" t="s">
        <v>29</v>
      </c>
      <c r="H218" s="4">
        <v>107</v>
      </c>
      <c r="I218" s="4">
        <v>7</v>
      </c>
      <c r="J218" s="41">
        <v>45526</v>
      </c>
      <c r="L218" s="3">
        <v>0.53</v>
      </c>
      <c r="M218" s="3">
        <v>7.89</v>
      </c>
    </row>
    <row r="219" spans="1:13" x14ac:dyDescent="0.25">
      <c r="A219" s="4">
        <v>2</v>
      </c>
      <c r="B219" s="4">
        <v>7</v>
      </c>
      <c r="C219" s="4">
        <v>4</v>
      </c>
      <c r="D219" s="4">
        <v>26</v>
      </c>
      <c r="E219" s="4">
        <v>10</v>
      </c>
      <c r="F219" s="4" t="s">
        <v>25</v>
      </c>
      <c r="G219" t="s">
        <v>28</v>
      </c>
      <c r="H219" s="4">
        <v>207</v>
      </c>
      <c r="I219" s="4">
        <v>7</v>
      </c>
      <c r="J219" s="41">
        <v>45526</v>
      </c>
      <c r="L219" s="3">
        <v>0.57999999999999996</v>
      </c>
      <c r="M219" s="3">
        <v>10.99</v>
      </c>
    </row>
    <row r="220" spans="1:13" x14ac:dyDescent="0.25">
      <c r="A220" s="4">
        <v>3</v>
      </c>
      <c r="B220" s="4">
        <v>7</v>
      </c>
      <c r="C220" s="4">
        <v>4</v>
      </c>
      <c r="D220" s="4">
        <v>27</v>
      </c>
      <c r="E220" s="4">
        <v>23</v>
      </c>
      <c r="F220" s="4" t="s">
        <v>25</v>
      </c>
      <c r="G220" t="s">
        <v>27</v>
      </c>
      <c r="H220" s="4">
        <v>307</v>
      </c>
      <c r="I220" s="4">
        <v>7</v>
      </c>
      <c r="J220" s="41">
        <v>45526</v>
      </c>
      <c r="L220" s="3">
        <v>0.59</v>
      </c>
      <c r="M220" s="3">
        <v>8.3699999999999992</v>
      </c>
    </row>
    <row r="221" spans="1:13" x14ac:dyDescent="0.25">
      <c r="A221" s="4">
        <v>4</v>
      </c>
      <c r="B221" s="4">
        <v>7</v>
      </c>
      <c r="C221" s="4">
        <v>4</v>
      </c>
      <c r="D221" s="4">
        <v>28</v>
      </c>
      <c r="E221" s="4">
        <v>26</v>
      </c>
      <c r="F221" s="4" t="s">
        <v>25</v>
      </c>
      <c r="G221" t="s">
        <v>26</v>
      </c>
      <c r="H221" s="4">
        <v>407</v>
      </c>
      <c r="I221" s="4">
        <v>7</v>
      </c>
      <c r="J221" s="41">
        <v>45526</v>
      </c>
      <c r="L221" s="3">
        <v>0.57999999999999996</v>
      </c>
      <c r="M221" s="3">
        <v>6.53</v>
      </c>
    </row>
    <row r="222" spans="1:13" x14ac:dyDescent="0.25">
      <c r="A222" s="4">
        <v>4</v>
      </c>
      <c r="B222" s="4">
        <v>8</v>
      </c>
      <c r="C222" s="4">
        <v>4</v>
      </c>
      <c r="D222" s="4">
        <v>29</v>
      </c>
      <c r="E222" s="4">
        <v>25</v>
      </c>
      <c r="F222" s="4" t="s">
        <v>30</v>
      </c>
      <c r="G222" t="s">
        <v>31</v>
      </c>
      <c r="H222" s="4">
        <v>408</v>
      </c>
      <c r="I222" s="4">
        <v>7</v>
      </c>
      <c r="J222" s="41">
        <v>45526</v>
      </c>
      <c r="L222" s="3">
        <v>0.71</v>
      </c>
      <c r="M222" s="3">
        <v>1.9</v>
      </c>
    </row>
    <row r="223" spans="1:13" x14ac:dyDescent="0.25">
      <c r="A223" s="4">
        <v>3</v>
      </c>
      <c r="B223" s="4">
        <v>8</v>
      </c>
      <c r="C223" s="4">
        <v>4</v>
      </c>
      <c r="D223" s="4">
        <v>30</v>
      </c>
      <c r="E223" s="4">
        <v>24</v>
      </c>
      <c r="F223" s="4" t="s">
        <v>30</v>
      </c>
      <c r="G223" t="s">
        <v>28</v>
      </c>
      <c r="H223" s="4">
        <v>308</v>
      </c>
      <c r="I223" s="4">
        <v>7</v>
      </c>
      <c r="J223" s="41">
        <v>45526</v>
      </c>
      <c r="L223" s="3">
        <v>0.6</v>
      </c>
      <c r="M223" s="3">
        <v>8.2100000000000009</v>
      </c>
    </row>
    <row r="224" spans="1:13" x14ac:dyDescent="0.25">
      <c r="A224" s="4">
        <v>2</v>
      </c>
      <c r="B224" s="4">
        <v>8</v>
      </c>
      <c r="C224" s="4">
        <v>4</v>
      </c>
      <c r="D224" s="4">
        <v>31</v>
      </c>
      <c r="E224" s="4">
        <v>9</v>
      </c>
      <c r="F224" s="4" t="s">
        <v>30</v>
      </c>
      <c r="G224" t="s">
        <v>29</v>
      </c>
      <c r="H224" s="4">
        <v>208</v>
      </c>
      <c r="I224" s="4">
        <v>7</v>
      </c>
      <c r="J224" s="41">
        <v>45526</v>
      </c>
      <c r="L224" s="3">
        <v>0.61</v>
      </c>
      <c r="M224" s="3">
        <v>2.92</v>
      </c>
    </row>
    <row r="225" spans="1:13" x14ac:dyDescent="0.25">
      <c r="A225" s="4">
        <v>1</v>
      </c>
      <c r="B225" s="4">
        <v>8</v>
      </c>
      <c r="C225" s="4">
        <v>4</v>
      </c>
      <c r="D225" s="4">
        <v>32</v>
      </c>
      <c r="E225" s="4">
        <v>8</v>
      </c>
      <c r="F225" s="4" t="s">
        <v>30</v>
      </c>
      <c r="G225" t="s">
        <v>32</v>
      </c>
      <c r="H225" s="4">
        <v>108</v>
      </c>
      <c r="I225" s="4">
        <v>7</v>
      </c>
      <c r="J225" s="41">
        <v>45526</v>
      </c>
      <c r="L225" s="3">
        <v>0.78</v>
      </c>
      <c r="M225" s="3">
        <v>2.2999999999999998</v>
      </c>
    </row>
    <row r="226" spans="1:13" x14ac:dyDescent="0.25">
      <c r="A226" s="4">
        <v>1</v>
      </c>
      <c r="B226" s="4">
        <v>1</v>
      </c>
      <c r="C226" s="4">
        <v>1</v>
      </c>
      <c r="D226" s="4">
        <v>1</v>
      </c>
      <c r="E226" s="4">
        <v>1</v>
      </c>
      <c r="F226" s="4" t="s">
        <v>25</v>
      </c>
      <c r="G226" t="s">
        <v>26</v>
      </c>
      <c r="H226" s="4">
        <v>101</v>
      </c>
      <c r="I226" s="4">
        <v>8</v>
      </c>
      <c r="J226" s="41">
        <v>45548</v>
      </c>
      <c r="L226" s="47">
        <v>0.81</v>
      </c>
      <c r="M226" s="47">
        <v>4.2699999999999996</v>
      </c>
    </row>
    <row r="227" spans="1:13" x14ac:dyDescent="0.25">
      <c r="A227" s="4">
        <v>2</v>
      </c>
      <c r="B227" s="4">
        <v>1</v>
      </c>
      <c r="C227" s="4">
        <v>1</v>
      </c>
      <c r="D227" s="4">
        <v>2</v>
      </c>
      <c r="E227" s="4">
        <v>16</v>
      </c>
      <c r="F227" s="4" t="s">
        <v>25</v>
      </c>
      <c r="G227" t="s">
        <v>27</v>
      </c>
      <c r="H227" s="4">
        <v>201</v>
      </c>
      <c r="I227" s="4">
        <v>8</v>
      </c>
      <c r="J227" s="41">
        <v>45548</v>
      </c>
      <c r="L227" s="47">
        <v>0.84</v>
      </c>
      <c r="M227" s="47">
        <v>1.93</v>
      </c>
    </row>
    <row r="228" spans="1:13" x14ac:dyDescent="0.25">
      <c r="A228" s="4">
        <v>3</v>
      </c>
      <c r="B228" s="4">
        <v>1</v>
      </c>
      <c r="C228" s="4">
        <v>1</v>
      </c>
      <c r="D228" s="4">
        <v>3</v>
      </c>
      <c r="E228" s="4">
        <v>17</v>
      </c>
      <c r="F228" s="4" t="s">
        <v>25</v>
      </c>
      <c r="G228" t="s">
        <v>28</v>
      </c>
      <c r="H228" s="4">
        <v>301</v>
      </c>
      <c r="I228" s="4">
        <v>8</v>
      </c>
      <c r="J228" s="41">
        <v>45548</v>
      </c>
      <c r="L228" s="47">
        <v>0.81</v>
      </c>
      <c r="M228" s="47">
        <v>3.11</v>
      </c>
    </row>
    <row r="229" spans="1:13" x14ac:dyDescent="0.25">
      <c r="A229" s="4">
        <v>4</v>
      </c>
      <c r="B229" s="4">
        <v>1</v>
      </c>
      <c r="C229" s="4">
        <v>1</v>
      </c>
      <c r="D229" s="4">
        <v>4</v>
      </c>
      <c r="E229" s="4">
        <v>32</v>
      </c>
      <c r="F229" s="4" t="s">
        <v>25</v>
      </c>
      <c r="G229" t="s">
        <v>29</v>
      </c>
      <c r="H229" s="4">
        <v>401</v>
      </c>
      <c r="I229" s="4">
        <v>8</v>
      </c>
      <c r="J229" s="41">
        <v>45548</v>
      </c>
      <c r="L229" s="47">
        <v>0.81</v>
      </c>
      <c r="M229" s="47">
        <v>1.5</v>
      </c>
    </row>
    <row r="230" spans="1:13" x14ac:dyDescent="0.25">
      <c r="A230" s="4">
        <v>4</v>
      </c>
      <c r="B230" s="4">
        <v>2</v>
      </c>
      <c r="C230" s="4">
        <v>1</v>
      </c>
      <c r="D230" s="4">
        <v>5</v>
      </c>
      <c r="E230" s="4">
        <v>31</v>
      </c>
      <c r="F230" s="4" t="s">
        <v>30</v>
      </c>
      <c r="G230" t="s">
        <v>32</v>
      </c>
      <c r="H230" s="4">
        <v>402</v>
      </c>
      <c r="I230" s="4">
        <v>8</v>
      </c>
      <c r="J230" s="41">
        <v>45548</v>
      </c>
      <c r="L230" s="47">
        <v>0.83</v>
      </c>
      <c r="M230" s="47">
        <v>3.41</v>
      </c>
    </row>
    <row r="231" spans="1:13" x14ac:dyDescent="0.25">
      <c r="A231" s="4">
        <v>3</v>
      </c>
      <c r="B231" s="4">
        <v>2</v>
      </c>
      <c r="C231" s="4">
        <v>1</v>
      </c>
      <c r="D231" s="4">
        <v>6</v>
      </c>
      <c r="E231" s="4">
        <v>18</v>
      </c>
      <c r="F231" s="4" t="s">
        <v>30</v>
      </c>
      <c r="G231" t="s">
        <v>29</v>
      </c>
      <c r="H231" s="4">
        <v>302</v>
      </c>
      <c r="I231" s="4">
        <v>8</v>
      </c>
      <c r="J231" s="41">
        <v>45548</v>
      </c>
      <c r="L231" s="47">
        <v>0.76</v>
      </c>
      <c r="M231" s="47">
        <v>3.71</v>
      </c>
    </row>
    <row r="232" spans="1:13" x14ac:dyDescent="0.25">
      <c r="A232" s="4">
        <v>2</v>
      </c>
      <c r="B232" s="4">
        <v>2</v>
      </c>
      <c r="C232" s="4">
        <v>1</v>
      </c>
      <c r="D232" s="4">
        <v>7</v>
      </c>
      <c r="E232" s="4">
        <v>15</v>
      </c>
      <c r="F232" s="4" t="s">
        <v>30</v>
      </c>
      <c r="G232" t="s">
        <v>28</v>
      </c>
      <c r="H232" s="4">
        <v>202</v>
      </c>
      <c r="I232" s="4">
        <v>8</v>
      </c>
      <c r="J232" s="41">
        <v>45548</v>
      </c>
      <c r="L232" s="47">
        <v>0.81</v>
      </c>
      <c r="M232" s="47">
        <v>1.87</v>
      </c>
    </row>
    <row r="233" spans="1:13" x14ac:dyDescent="0.25">
      <c r="A233" s="4">
        <v>1</v>
      </c>
      <c r="B233" s="4">
        <v>2</v>
      </c>
      <c r="C233" s="4">
        <v>1</v>
      </c>
      <c r="D233" s="4">
        <v>8</v>
      </c>
      <c r="E233" s="4">
        <v>2</v>
      </c>
      <c r="F233" s="4" t="s">
        <v>30</v>
      </c>
      <c r="G233" t="s">
        <v>31</v>
      </c>
      <c r="H233" s="4">
        <v>102</v>
      </c>
      <c r="I233" s="4">
        <v>8</v>
      </c>
      <c r="J233" s="41">
        <v>45548</v>
      </c>
      <c r="L233" s="47">
        <v>0.85</v>
      </c>
      <c r="M233" s="47">
        <v>1.51</v>
      </c>
    </row>
    <row r="234" spans="1:13" x14ac:dyDescent="0.25">
      <c r="A234" s="4">
        <v>1</v>
      </c>
      <c r="B234" s="4">
        <v>3</v>
      </c>
      <c r="C234" s="4">
        <v>2</v>
      </c>
      <c r="D234" s="4">
        <v>9</v>
      </c>
      <c r="E234" s="4">
        <v>3</v>
      </c>
      <c r="F234" s="4" t="s">
        <v>25</v>
      </c>
      <c r="G234" t="s">
        <v>27</v>
      </c>
      <c r="H234" s="4">
        <v>103</v>
      </c>
      <c r="I234" s="4">
        <v>8</v>
      </c>
      <c r="J234" s="41">
        <v>45548</v>
      </c>
      <c r="L234" s="47">
        <v>0.86</v>
      </c>
      <c r="M234" s="47">
        <v>0.83</v>
      </c>
    </row>
    <row r="235" spans="1:13" x14ac:dyDescent="0.25">
      <c r="A235" s="4">
        <v>2</v>
      </c>
      <c r="B235" s="4">
        <v>3</v>
      </c>
      <c r="C235" s="4">
        <v>2</v>
      </c>
      <c r="D235" s="4">
        <v>10</v>
      </c>
      <c r="E235" s="4">
        <v>14</v>
      </c>
      <c r="F235" s="4" t="s">
        <v>25</v>
      </c>
      <c r="G235" t="s">
        <v>29</v>
      </c>
      <c r="H235" s="4">
        <v>203</v>
      </c>
      <c r="I235" s="4">
        <v>8</v>
      </c>
      <c r="J235" s="41">
        <v>45548</v>
      </c>
      <c r="L235" s="47">
        <v>0.79</v>
      </c>
      <c r="M235" s="47">
        <v>2.0099999999999998</v>
      </c>
    </row>
    <row r="236" spans="1:13" x14ac:dyDescent="0.25">
      <c r="A236" s="4">
        <v>3</v>
      </c>
      <c r="B236" s="4">
        <v>3</v>
      </c>
      <c r="C236" s="4">
        <v>2</v>
      </c>
      <c r="D236" s="4">
        <v>11</v>
      </c>
      <c r="E236" s="4">
        <v>19</v>
      </c>
      <c r="F236" s="4" t="s">
        <v>25</v>
      </c>
      <c r="G236" t="s">
        <v>26</v>
      </c>
      <c r="H236" s="4">
        <v>303</v>
      </c>
      <c r="I236" s="4">
        <v>8</v>
      </c>
      <c r="J236" s="41">
        <v>45548</v>
      </c>
      <c r="L236" s="47">
        <v>0.79</v>
      </c>
      <c r="M236" s="47">
        <v>2.21</v>
      </c>
    </row>
    <row r="237" spans="1:13" x14ac:dyDescent="0.25">
      <c r="A237" s="4">
        <v>4</v>
      </c>
      <c r="B237" s="4">
        <v>3</v>
      </c>
      <c r="C237" s="4">
        <v>2</v>
      </c>
      <c r="D237" s="4">
        <v>12</v>
      </c>
      <c r="E237" s="4">
        <v>30</v>
      </c>
      <c r="F237" s="4" t="s">
        <v>25</v>
      </c>
      <c r="G237" t="s">
        <v>28</v>
      </c>
      <c r="H237" s="4">
        <v>403</v>
      </c>
      <c r="I237" s="4">
        <v>8</v>
      </c>
      <c r="J237" s="41">
        <v>45548</v>
      </c>
      <c r="L237" s="47">
        <v>0.81</v>
      </c>
      <c r="M237" s="47">
        <v>1.8</v>
      </c>
    </row>
    <row r="238" spans="1:13" x14ac:dyDescent="0.25">
      <c r="A238" s="4">
        <v>4</v>
      </c>
      <c r="B238" s="4">
        <v>4</v>
      </c>
      <c r="C238" s="4">
        <v>2</v>
      </c>
      <c r="D238" s="4">
        <v>13</v>
      </c>
      <c r="E238" s="4">
        <v>29</v>
      </c>
      <c r="F238" s="4" t="s">
        <v>30</v>
      </c>
      <c r="G238" t="s">
        <v>29</v>
      </c>
      <c r="H238" s="4">
        <v>404</v>
      </c>
      <c r="I238" s="4">
        <v>8</v>
      </c>
      <c r="J238" s="41">
        <v>45548</v>
      </c>
      <c r="L238" s="47">
        <v>0.77</v>
      </c>
      <c r="M238" s="47">
        <v>4.09</v>
      </c>
    </row>
    <row r="239" spans="1:13" x14ac:dyDescent="0.25">
      <c r="A239" s="4">
        <v>3</v>
      </c>
      <c r="B239" s="4">
        <v>4</v>
      </c>
      <c r="C239" s="4">
        <v>2</v>
      </c>
      <c r="D239" s="4">
        <v>14</v>
      </c>
      <c r="E239" s="4">
        <v>20</v>
      </c>
      <c r="F239" s="4" t="s">
        <v>30</v>
      </c>
      <c r="G239" t="s">
        <v>31</v>
      </c>
      <c r="H239" s="4">
        <v>304</v>
      </c>
      <c r="I239" s="4">
        <v>8</v>
      </c>
      <c r="J239" s="41">
        <v>45548</v>
      </c>
      <c r="L239" s="47">
        <v>0.83</v>
      </c>
      <c r="M239" s="47">
        <v>1.96</v>
      </c>
    </row>
    <row r="240" spans="1:13" x14ac:dyDescent="0.25">
      <c r="A240" s="4">
        <v>2</v>
      </c>
      <c r="B240" s="4">
        <v>4</v>
      </c>
      <c r="C240" s="4">
        <v>2</v>
      </c>
      <c r="D240" s="4">
        <v>15</v>
      </c>
      <c r="E240" s="4">
        <v>13</v>
      </c>
      <c r="F240" s="4" t="s">
        <v>30</v>
      </c>
      <c r="G240" t="s">
        <v>32</v>
      </c>
      <c r="H240" s="4">
        <v>204</v>
      </c>
      <c r="I240" s="4">
        <v>8</v>
      </c>
      <c r="J240" s="41">
        <v>45548</v>
      </c>
      <c r="L240" s="47">
        <v>0.83</v>
      </c>
      <c r="M240" s="47">
        <v>1.87</v>
      </c>
    </row>
    <row r="241" spans="1:13" x14ac:dyDescent="0.25">
      <c r="A241" s="4">
        <v>1</v>
      </c>
      <c r="B241" s="4">
        <v>4</v>
      </c>
      <c r="C241" s="4">
        <v>2</v>
      </c>
      <c r="D241" s="4">
        <v>16</v>
      </c>
      <c r="E241" s="4">
        <v>4</v>
      </c>
      <c r="F241" s="4" t="s">
        <v>30</v>
      </c>
      <c r="G241" t="s">
        <v>28</v>
      </c>
      <c r="H241" s="4">
        <v>104</v>
      </c>
      <c r="I241" s="4">
        <v>8</v>
      </c>
      <c r="J241" s="41">
        <v>45548</v>
      </c>
      <c r="L241" s="47">
        <v>0.81</v>
      </c>
      <c r="M241" s="47">
        <v>1.1100000000000001</v>
      </c>
    </row>
    <row r="242" spans="1:13" x14ac:dyDescent="0.25">
      <c r="A242" s="4">
        <v>1</v>
      </c>
      <c r="B242" s="4">
        <v>5</v>
      </c>
      <c r="C242" s="4">
        <v>3</v>
      </c>
      <c r="D242" s="4">
        <v>17</v>
      </c>
      <c r="E242" s="4">
        <v>5</v>
      </c>
      <c r="F242" s="4" t="s">
        <v>25</v>
      </c>
      <c r="G242" t="s">
        <v>28</v>
      </c>
      <c r="H242" s="4">
        <v>105</v>
      </c>
      <c r="I242" s="4">
        <v>8</v>
      </c>
      <c r="J242" s="41">
        <v>45548</v>
      </c>
      <c r="L242" s="47">
        <v>0.81</v>
      </c>
      <c r="M242" s="47">
        <v>2.2599999999999998</v>
      </c>
    </row>
    <row r="243" spans="1:13" x14ac:dyDescent="0.25">
      <c r="A243" s="4">
        <v>2</v>
      </c>
      <c r="B243" s="4">
        <v>5</v>
      </c>
      <c r="C243" s="4">
        <v>3</v>
      </c>
      <c r="D243" s="4">
        <v>18</v>
      </c>
      <c r="E243" s="4">
        <v>12</v>
      </c>
      <c r="F243" s="4" t="s">
        <v>25</v>
      </c>
      <c r="G243" t="s">
        <v>26</v>
      </c>
      <c r="H243" s="4">
        <v>205</v>
      </c>
      <c r="I243" s="4">
        <v>8</v>
      </c>
      <c r="J243" s="41">
        <v>45548</v>
      </c>
      <c r="L243" s="47">
        <v>0.8</v>
      </c>
      <c r="M243" s="47">
        <v>3.79</v>
      </c>
    </row>
    <row r="244" spans="1:13" x14ac:dyDescent="0.25">
      <c r="A244" s="4">
        <v>3</v>
      </c>
      <c r="B244" s="4">
        <v>5</v>
      </c>
      <c r="C244" s="4">
        <v>3</v>
      </c>
      <c r="D244" s="4">
        <v>19</v>
      </c>
      <c r="E244" s="4">
        <v>21</v>
      </c>
      <c r="F244" s="4" t="s">
        <v>25</v>
      </c>
      <c r="G244" t="s">
        <v>29</v>
      </c>
      <c r="H244" s="4">
        <v>305</v>
      </c>
      <c r="I244" s="4">
        <v>8</v>
      </c>
      <c r="J244" s="41">
        <v>45548</v>
      </c>
      <c r="L244" s="47">
        <v>0.8</v>
      </c>
      <c r="M244" s="47">
        <v>1.06</v>
      </c>
    </row>
    <row r="245" spans="1:13" x14ac:dyDescent="0.25">
      <c r="A245" s="4">
        <v>4</v>
      </c>
      <c r="B245" s="4">
        <v>5</v>
      </c>
      <c r="C245" s="4">
        <v>3</v>
      </c>
      <c r="D245" s="4">
        <v>20</v>
      </c>
      <c r="E245" s="4">
        <v>28</v>
      </c>
      <c r="F245" s="4" t="s">
        <v>25</v>
      </c>
      <c r="G245" t="s">
        <v>27</v>
      </c>
      <c r="H245" s="4">
        <v>405</v>
      </c>
      <c r="I245" s="4">
        <v>8</v>
      </c>
      <c r="J245" s="41">
        <v>45548</v>
      </c>
      <c r="L245" s="47">
        <v>0.86</v>
      </c>
      <c r="M245" s="47">
        <v>1.1399999999999999</v>
      </c>
    </row>
    <row r="246" spans="1:13" x14ac:dyDescent="0.25">
      <c r="A246" s="4">
        <v>4</v>
      </c>
      <c r="B246" s="4">
        <v>6</v>
      </c>
      <c r="C246" s="4">
        <v>3</v>
      </c>
      <c r="D246" s="4">
        <v>21</v>
      </c>
      <c r="E246" s="4">
        <v>27</v>
      </c>
      <c r="F246" s="4" t="s">
        <v>30</v>
      </c>
      <c r="G246" t="s">
        <v>28</v>
      </c>
      <c r="H246" s="4">
        <v>406</v>
      </c>
      <c r="I246" s="4">
        <v>8</v>
      </c>
      <c r="J246" s="41">
        <v>45548</v>
      </c>
      <c r="L246" s="47">
        <v>0.79</v>
      </c>
      <c r="M246" s="47">
        <v>3.97</v>
      </c>
    </row>
    <row r="247" spans="1:13" x14ac:dyDescent="0.25">
      <c r="A247" s="4">
        <v>3</v>
      </c>
      <c r="B247" s="4">
        <v>6</v>
      </c>
      <c r="C247" s="4">
        <v>3</v>
      </c>
      <c r="D247" s="4">
        <v>22</v>
      </c>
      <c r="E247" s="4">
        <v>22</v>
      </c>
      <c r="F247" s="4" t="s">
        <v>30</v>
      </c>
      <c r="G247" t="s">
        <v>32</v>
      </c>
      <c r="H247" s="4">
        <v>306</v>
      </c>
      <c r="I247" s="4">
        <v>8</v>
      </c>
      <c r="J247" s="41">
        <v>45548</v>
      </c>
      <c r="L247" s="47">
        <v>0.82</v>
      </c>
      <c r="M247" s="47">
        <v>2.41</v>
      </c>
    </row>
    <row r="248" spans="1:13" x14ac:dyDescent="0.25">
      <c r="A248" s="4">
        <v>2</v>
      </c>
      <c r="B248" s="4">
        <v>6</v>
      </c>
      <c r="C248" s="4">
        <v>3</v>
      </c>
      <c r="D248" s="4">
        <v>23</v>
      </c>
      <c r="E248" s="4">
        <v>11</v>
      </c>
      <c r="F248" s="4" t="s">
        <v>30</v>
      </c>
      <c r="G248" t="s">
        <v>31</v>
      </c>
      <c r="H248" s="4">
        <v>206</v>
      </c>
      <c r="I248" s="4">
        <v>8</v>
      </c>
      <c r="J248" s="41">
        <v>45548</v>
      </c>
      <c r="L248" s="47">
        <v>0.83</v>
      </c>
      <c r="M248" s="47">
        <v>2.73</v>
      </c>
    </row>
    <row r="249" spans="1:13" x14ac:dyDescent="0.25">
      <c r="A249" s="4">
        <v>1</v>
      </c>
      <c r="B249" s="4">
        <v>6</v>
      </c>
      <c r="C249" s="4">
        <v>3</v>
      </c>
      <c r="D249" s="4">
        <v>24</v>
      </c>
      <c r="E249" s="4">
        <v>6</v>
      </c>
      <c r="F249" s="4" t="s">
        <v>30</v>
      </c>
      <c r="G249" t="s">
        <v>29</v>
      </c>
      <c r="H249" s="4">
        <v>106</v>
      </c>
      <c r="I249" s="4">
        <v>8</v>
      </c>
      <c r="J249" s="41">
        <v>45548</v>
      </c>
      <c r="L249" s="47">
        <v>0.79</v>
      </c>
      <c r="M249" s="47">
        <v>3.46</v>
      </c>
    </row>
    <row r="250" spans="1:13" x14ac:dyDescent="0.25">
      <c r="A250" s="4">
        <v>1</v>
      </c>
      <c r="B250" s="4">
        <v>7</v>
      </c>
      <c r="C250" s="4">
        <v>4</v>
      </c>
      <c r="D250" s="4">
        <v>25</v>
      </c>
      <c r="E250" s="4">
        <v>7</v>
      </c>
      <c r="F250" s="4" t="s">
        <v>25</v>
      </c>
      <c r="G250" t="s">
        <v>29</v>
      </c>
      <c r="H250" s="4">
        <v>107</v>
      </c>
      <c r="I250" s="4">
        <v>8</v>
      </c>
      <c r="J250" s="41">
        <v>45548</v>
      </c>
      <c r="L250" s="47">
        <v>0.81</v>
      </c>
      <c r="M250" s="47">
        <v>2.5099999999999998</v>
      </c>
    </row>
    <row r="251" spans="1:13" x14ac:dyDescent="0.25">
      <c r="A251" s="4">
        <v>2</v>
      </c>
      <c r="B251" s="4">
        <v>7</v>
      </c>
      <c r="C251" s="4">
        <v>4</v>
      </c>
      <c r="D251" s="4">
        <v>26</v>
      </c>
      <c r="E251" s="4">
        <v>10</v>
      </c>
      <c r="F251" s="4" t="s">
        <v>25</v>
      </c>
      <c r="G251" t="s">
        <v>28</v>
      </c>
      <c r="H251" s="4">
        <v>207</v>
      </c>
      <c r="I251" s="4">
        <v>8</v>
      </c>
      <c r="J251" s="41">
        <v>45548</v>
      </c>
      <c r="L251" s="47">
        <v>0.78</v>
      </c>
      <c r="M251" s="47">
        <v>3.17</v>
      </c>
    </row>
    <row r="252" spans="1:13" x14ac:dyDescent="0.25">
      <c r="A252" s="4">
        <v>3</v>
      </c>
      <c r="B252" s="4">
        <v>7</v>
      </c>
      <c r="C252" s="4">
        <v>4</v>
      </c>
      <c r="D252" s="4">
        <v>27</v>
      </c>
      <c r="E252" s="4">
        <v>23</v>
      </c>
      <c r="F252" s="4" t="s">
        <v>25</v>
      </c>
      <c r="G252" t="s">
        <v>27</v>
      </c>
      <c r="H252" s="4">
        <v>307</v>
      </c>
      <c r="I252" s="4">
        <v>8</v>
      </c>
      <c r="J252" s="41">
        <v>45548</v>
      </c>
      <c r="L252" s="47">
        <v>0.81</v>
      </c>
      <c r="M252" s="47">
        <v>3.08</v>
      </c>
    </row>
    <row r="253" spans="1:13" x14ac:dyDescent="0.25">
      <c r="A253" s="4">
        <v>4</v>
      </c>
      <c r="B253" s="4">
        <v>7</v>
      </c>
      <c r="C253" s="4">
        <v>4</v>
      </c>
      <c r="D253" s="4">
        <v>28</v>
      </c>
      <c r="E253" s="4">
        <v>26</v>
      </c>
      <c r="F253" s="4" t="s">
        <v>25</v>
      </c>
      <c r="G253" t="s">
        <v>26</v>
      </c>
      <c r="H253" s="4">
        <v>407</v>
      </c>
      <c r="I253" s="4">
        <v>8</v>
      </c>
      <c r="J253" s="41">
        <v>45548</v>
      </c>
      <c r="L253" s="47">
        <v>0.8</v>
      </c>
      <c r="M253" s="47">
        <v>4.2699999999999996</v>
      </c>
    </row>
    <row r="254" spans="1:13" x14ac:dyDescent="0.25">
      <c r="A254" s="4">
        <v>4</v>
      </c>
      <c r="B254" s="4">
        <v>8</v>
      </c>
      <c r="C254" s="4">
        <v>4</v>
      </c>
      <c r="D254" s="4">
        <v>29</v>
      </c>
      <c r="E254" s="4">
        <v>25</v>
      </c>
      <c r="F254" s="4" t="s">
        <v>30</v>
      </c>
      <c r="G254" t="s">
        <v>31</v>
      </c>
      <c r="H254" s="4">
        <v>408</v>
      </c>
      <c r="I254" s="4">
        <v>8</v>
      </c>
      <c r="J254" s="41">
        <v>45548</v>
      </c>
      <c r="L254" s="47">
        <v>0.83</v>
      </c>
      <c r="M254" s="47">
        <v>1.92</v>
      </c>
    </row>
    <row r="255" spans="1:13" x14ac:dyDescent="0.25">
      <c r="A255" s="4">
        <v>3</v>
      </c>
      <c r="B255" s="4">
        <v>8</v>
      </c>
      <c r="C255" s="4">
        <v>4</v>
      </c>
      <c r="D255" s="4">
        <v>30</v>
      </c>
      <c r="E255" s="4">
        <v>24</v>
      </c>
      <c r="F255" s="4" t="s">
        <v>30</v>
      </c>
      <c r="G255" t="s">
        <v>28</v>
      </c>
      <c r="H255" s="4">
        <v>308</v>
      </c>
      <c r="I255" s="4">
        <v>8</v>
      </c>
      <c r="J255" s="41">
        <v>45548</v>
      </c>
      <c r="L255" s="47">
        <v>0.78</v>
      </c>
      <c r="M255" s="47">
        <v>4.54</v>
      </c>
    </row>
    <row r="256" spans="1:13" x14ac:dyDescent="0.25">
      <c r="A256" s="4">
        <v>2</v>
      </c>
      <c r="B256" s="4">
        <v>8</v>
      </c>
      <c r="C256" s="4">
        <v>4</v>
      </c>
      <c r="D256" s="4">
        <v>31</v>
      </c>
      <c r="E256" s="4">
        <v>9</v>
      </c>
      <c r="F256" s="4" t="s">
        <v>30</v>
      </c>
      <c r="G256" t="s">
        <v>29</v>
      </c>
      <c r="H256" s="4">
        <v>208</v>
      </c>
      <c r="I256" s="4">
        <v>8</v>
      </c>
      <c r="J256" s="41">
        <v>45548</v>
      </c>
      <c r="L256" s="47">
        <v>0.79</v>
      </c>
      <c r="M256" s="47">
        <v>2.66</v>
      </c>
    </row>
    <row r="257" spans="1:13" x14ac:dyDescent="0.25">
      <c r="A257" s="4">
        <v>1</v>
      </c>
      <c r="B257" s="4">
        <v>8</v>
      </c>
      <c r="C257" s="4">
        <v>4</v>
      </c>
      <c r="D257" s="4">
        <v>32</v>
      </c>
      <c r="E257" s="4">
        <v>8</v>
      </c>
      <c r="F257" s="4" t="s">
        <v>30</v>
      </c>
      <c r="G257" t="s">
        <v>32</v>
      </c>
      <c r="H257" s="4">
        <v>108</v>
      </c>
      <c r="I257" s="4">
        <v>8</v>
      </c>
      <c r="J257" s="41">
        <v>45548</v>
      </c>
      <c r="L257" s="47">
        <v>0.85</v>
      </c>
      <c r="M257" s="47">
        <v>1</v>
      </c>
    </row>
    <row r="258" spans="1:13" x14ac:dyDescent="0.25">
      <c r="A258" s="4">
        <v>1</v>
      </c>
      <c r="B258" s="4">
        <v>1</v>
      </c>
      <c r="C258" s="4">
        <v>1</v>
      </c>
      <c r="D258" s="4">
        <v>1</v>
      </c>
      <c r="E258" s="4">
        <v>1</v>
      </c>
      <c r="F258" s="4" t="s">
        <v>25</v>
      </c>
      <c r="G258" t="s">
        <v>26</v>
      </c>
      <c r="H258" s="4">
        <v>101</v>
      </c>
      <c r="I258" s="4">
        <v>9</v>
      </c>
      <c r="J258" s="41">
        <v>45559</v>
      </c>
      <c r="L258" s="3">
        <v>0.81</v>
      </c>
      <c r="M258" s="3">
        <v>4.76</v>
      </c>
    </row>
    <row r="259" spans="1:13" x14ac:dyDescent="0.25">
      <c r="A259" s="4">
        <v>2</v>
      </c>
      <c r="B259" s="4">
        <v>1</v>
      </c>
      <c r="C259" s="4">
        <v>1</v>
      </c>
      <c r="D259" s="4">
        <v>2</v>
      </c>
      <c r="E259" s="4">
        <v>16</v>
      </c>
      <c r="F259" s="4" t="s">
        <v>25</v>
      </c>
      <c r="G259" t="s">
        <v>27</v>
      </c>
      <c r="H259" s="4">
        <v>201</v>
      </c>
      <c r="I259" s="4">
        <v>9</v>
      </c>
      <c r="J259" s="41">
        <v>45559</v>
      </c>
      <c r="L259" s="3">
        <v>0.79</v>
      </c>
      <c r="M259" s="3">
        <v>0.98</v>
      </c>
    </row>
    <row r="260" spans="1:13" x14ac:dyDescent="0.25">
      <c r="A260" s="4">
        <v>3</v>
      </c>
      <c r="B260" s="4">
        <v>1</v>
      </c>
      <c r="C260" s="4">
        <v>1</v>
      </c>
      <c r="D260" s="4">
        <v>3</v>
      </c>
      <c r="E260" s="4">
        <v>17</v>
      </c>
      <c r="F260" s="4" t="s">
        <v>25</v>
      </c>
      <c r="G260" t="s">
        <v>28</v>
      </c>
      <c r="H260" s="4">
        <v>301</v>
      </c>
      <c r="I260" s="4">
        <v>9</v>
      </c>
      <c r="J260" s="41">
        <v>45559</v>
      </c>
      <c r="L260" s="3">
        <v>0.77</v>
      </c>
      <c r="M260" s="3">
        <v>2.21</v>
      </c>
    </row>
    <row r="261" spans="1:13" x14ac:dyDescent="0.25">
      <c r="A261" s="4">
        <v>4</v>
      </c>
      <c r="B261" s="4">
        <v>1</v>
      </c>
      <c r="C261" s="4">
        <v>1</v>
      </c>
      <c r="D261" s="4">
        <v>4</v>
      </c>
      <c r="E261" s="4">
        <v>32</v>
      </c>
      <c r="F261" s="4" t="s">
        <v>25</v>
      </c>
      <c r="G261" t="s">
        <v>29</v>
      </c>
      <c r="H261" s="4">
        <v>401</v>
      </c>
      <c r="I261" s="4">
        <v>9</v>
      </c>
      <c r="J261" s="41">
        <v>45559</v>
      </c>
      <c r="L261" s="3">
        <v>0.81</v>
      </c>
      <c r="M261" s="3">
        <v>1.86</v>
      </c>
    </row>
    <row r="262" spans="1:13" x14ac:dyDescent="0.25">
      <c r="A262" s="4">
        <v>4</v>
      </c>
      <c r="B262" s="4">
        <v>2</v>
      </c>
      <c r="C262" s="4">
        <v>1</v>
      </c>
      <c r="D262" s="4">
        <v>5</v>
      </c>
      <c r="E262" s="4">
        <v>31</v>
      </c>
      <c r="F262" s="4" t="s">
        <v>30</v>
      </c>
      <c r="G262" t="s">
        <v>32</v>
      </c>
      <c r="H262" s="4">
        <v>402</v>
      </c>
      <c r="I262" s="4">
        <v>9</v>
      </c>
      <c r="J262" s="41">
        <v>45559</v>
      </c>
      <c r="L262" s="3">
        <v>0.72</v>
      </c>
      <c r="M262" s="3">
        <v>3.09</v>
      </c>
    </row>
    <row r="263" spans="1:13" x14ac:dyDescent="0.25">
      <c r="A263" s="4">
        <v>3</v>
      </c>
      <c r="B263" s="4">
        <v>2</v>
      </c>
      <c r="C263" s="4">
        <v>1</v>
      </c>
      <c r="D263" s="4">
        <v>6</v>
      </c>
      <c r="E263" s="4">
        <v>18</v>
      </c>
      <c r="F263" s="4" t="s">
        <v>30</v>
      </c>
      <c r="G263" t="s">
        <v>29</v>
      </c>
      <c r="H263" s="4">
        <v>302</v>
      </c>
      <c r="I263" s="4">
        <v>9</v>
      </c>
      <c r="J263" s="41">
        <v>45559</v>
      </c>
      <c r="L263" s="3">
        <v>0.74</v>
      </c>
      <c r="M263" s="3">
        <v>1.1100000000000001</v>
      </c>
    </row>
    <row r="264" spans="1:13" x14ac:dyDescent="0.25">
      <c r="A264" s="4">
        <v>2</v>
      </c>
      <c r="B264" s="4">
        <v>2</v>
      </c>
      <c r="C264" s="4">
        <v>1</v>
      </c>
      <c r="D264" s="4">
        <v>7</v>
      </c>
      <c r="E264" s="4">
        <v>15</v>
      </c>
      <c r="F264" s="4" t="s">
        <v>30</v>
      </c>
      <c r="G264" t="s">
        <v>28</v>
      </c>
      <c r="H264" s="4">
        <v>202</v>
      </c>
      <c r="I264" s="4">
        <v>9</v>
      </c>
      <c r="J264" s="41">
        <v>45559</v>
      </c>
      <c r="L264" s="3">
        <v>0.76</v>
      </c>
      <c r="M264" s="3">
        <v>2.75</v>
      </c>
    </row>
    <row r="265" spans="1:13" x14ac:dyDescent="0.25">
      <c r="A265" s="4">
        <v>1</v>
      </c>
      <c r="B265" s="4">
        <v>2</v>
      </c>
      <c r="C265" s="4">
        <v>1</v>
      </c>
      <c r="D265" s="4">
        <v>8</v>
      </c>
      <c r="E265" s="4">
        <v>2</v>
      </c>
      <c r="F265" s="4" t="s">
        <v>30</v>
      </c>
      <c r="G265" t="s">
        <v>31</v>
      </c>
      <c r="H265" s="4">
        <v>102</v>
      </c>
      <c r="I265" s="4">
        <v>9</v>
      </c>
      <c r="J265" s="41">
        <v>45559</v>
      </c>
      <c r="L265" s="3">
        <v>0.78</v>
      </c>
      <c r="M265" s="3">
        <v>2.71</v>
      </c>
    </row>
    <row r="266" spans="1:13" x14ac:dyDescent="0.25">
      <c r="A266" s="4">
        <v>1</v>
      </c>
      <c r="B266" s="4">
        <v>3</v>
      </c>
      <c r="C266" s="4">
        <v>2</v>
      </c>
      <c r="D266" s="4">
        <v>9</v>
      </c>
      <c r="E266" s="4">
        <v>3</v>
      </c>
      <c r="F266" s="4" t="s">
        <v>25</v>
      </c>
      <c r="G266" t="s">
        <v>27</v>
      </c>
      <c r="H266" s="4">
        <v>103</v>
      </c>
      <c r="I266" s="4">
        <v>9</v>
      </c>
      <c r="J266" s="41">
        <v>45559</v>
      </c>
      <c r="L266" s="3">
        <v>0.83</v>
      </c>
      <c r="M266" s="3">
        <v>1.48</v>
      </c>
    </row>
    <row r="267" spans="1:13" x14ac:dyDescent="0.25">
      <c r="A267" s="4">
        <v>2</v>
      </c>
      <c r="B267" s="4">
        <v>3</v>
      </c>
      <c r="C267" s="4">
        <v>2</v>
      </c>
      <c r="D267" s="4">
        <v>10</v>
      </c>
      <c r="E267" s="4">
        <v>14</v>
      </c>
      <c r="F267" s="4" t="s">
        <v>25</v>
      </c>
      <c r="G267" t="s">
        <v>29</v>
      </c>
      <c r="H267" s="4">
        <v>203</v>
      </c>
      <c r="I267" s="4">
        <v>9</v>
      </c>
      <c r="J267" s="41">
        <v>45559</v>
      </c>
      <c r="L267" s="3">
        <v>0.74</v>
      </c>
      <c r="M267" s="3">
        <v>1.94</v>
      </c>
    </row>
    <row r="268" spans="1:13" x14ac:dyDescent="0.25">
      <c r="A268" s="4">
        <v>3</v>
      </c>
      <c r="B268" s="4">
        <v>3</v>
      </c>
      <c r="C268" s="4">
        <v>2</v>
      </c>
      <c r="D268" s="4">
        <v>11</v>
      </c>
      <c r="E268" s="4">
        <v>19</v>
      </c>
      <c r="F268" s="4" t="s">
        <v>25</v>
      </c>
      <c r="G268" t="s">
        <v>26</v>
      </c>
      <c r="H268" s="4">
        <v>303</v>
      </c>
      <c r="I268" s="4">
        <v>9</v>
      </c>
      <c r="J268" s="41">
        <v>45559</v>
      </c>
      <c r="L268" s="3">
        <v>0.79</v>
      </c>
      <c r="M268" s="3">
        <v>1.72</v>
      </c>
    </row>
    <row r="269" spans="1:13" x14ac:dyDescent="0.25">
      <c r="A269" s="4">
        <v>4</v>
      </c>
      <c r="B269" s="4">
        <v>3</v>
      </c>
      <c r="C269" s="4">
        <v>2</v>
      </c>
      <c r="D269" s="4">
        <v>12</v>
      </c>
      <c r="E269" s="4">
        <v>30</v>
      </c>
      <c r="F269" s="4" t="s">
        <v>25</v>
      </c>
      <c r="G269" t="s">
        <v>28</v>
      </c>
      <c r="H269" s="4">
        <v>403</v>
      </c>
      <c r="I269" s="4">
        <v>9</v>
      </c>
      <c r="J269" s="41">
        <v>45559</v>
      </c>
      <c r="L269" s="3">
        <v>0.73</v>
      </c>
      <c r="M269" s="3">
        <v>2</v>
      </c>
    </row>
    <row r="270" spans="1:13" x14ac:dyDescent="0.25">
      <c r="A270" s="4">
        <v>4</v>
      </c>
      <c r="B270" s="4">
        <v>4</v>
      </c>
      <c r="C270" s="4">
        <v>2</v>
      </c>
      <c r="D270" s="4">
        <v>13</v>
      </c>
      <c r="E270" s="4">
        <v>29</v>
      </c>
      <c r="F270" s="4" t="s">
        <v>30</v>
      </c>
      <c r="G270" t="s">
        <v>29</v>
      </c>
      <c r="H270" s="4">
        <v>404</v>
      </c>
      <c r="I270" s="4">
        <v>9</v>
      </c>
      <c r="J270" s="41">
        <v>45559</v>
      </c>
      <c r="L270" s="3">
        <v>0.71</v>
      </c>
      <c r="M270" s="3">
        <v>4.13</v>
      </c>
    </row>
    <row r="271" spans="1:13" x14ac:dyDescent="0.25">
      <c r="A271" s="4">
        <v>3</v>
      </c>
      <c r="B271" s="4">
        <v>4</v>
      </c>
      <c r="C271" s="4">
        <v>2</v>
      </c>
      <c r="D271" s="4">
        <v>14</v>
      </c>
      <c r="E271" s="4">
        <v>20</v>
      </c>
      <c r="F271" s="4" t="s">
        <v>30</v>
      </c>
      <c r="G271" t="s">
        <v>31</v>
      </c>
      <c r="H271" s="4">
        <v>304</v>
      </c>
      <c r="I271" s="4">
        <v>9</v>
      </c>
      <c r="J271" s="41">
        <v>45559</v>
      </c>
      <c r="L271" s="3">
        <v>0.77</v>
      </c>
      <c r="M271" s="3">
        <v>3.6</v>
      </c>
    </row>
    <row r="272" spans="1:13" x14ac:dyDescent="0.25">
      <c r="A272" s="4">
        <v>2</v>
      </c>
      <c r="B272" s="4">
        <v>4</v>
      </c>
      <c r="C272" s="4">
        <v>2</v>
      </c>
      <c r="D272" s="4">
        <v>15</v>
      </c>
      <c r="E272" s="4">
        <v>13</v>
      </c>
      <c r="F272" s="4" t="s">
        <v>30</v>
      </c>
      <c r="G272" t="s">
        <v>32</v>
      </c>
      <c r="H272" s="4">
        <v>204</v>
      </c>
      <c r="I272" s="4">
        <v>9</v>
      </c>
      <c r="J272" s="41">
        <v>45559</v>
      </c>
      <c r="L272" s="3">
        <v>0.75</v>
      </c>
      <c r="M272" s="3">
        <v>3.05</v>
      </c>
    </row>
    <row r="273" spans="1:13" x14ac:dyDescent="0.25">
      <c r="A273" s="4">
        <v>1</v>
      </c>
      <c r="B273" s="4">
        <v>4</v>
      </c>
      <c r="C273" s="4">
        <v>2</v>
      </c>
      <c r="D273" s="4">
        <v>16</v>
      </c>
      <c r="E273" s="4">
        <v>4</v>
      </c>
      <c r="F273" s="4" t="s">
        <v>30</v>
      </c>
      <c r="G273" t="s">
        <v>28</v>
      </c>
      <c r="H273" s="4">
        <v>104</v>
      </c>
      <c r="I273" s="4">
        <v>9</v>
      </c>
      <c r="J273" s="41">
        <v>45559</v>
      </c>
      <c r="L273" s="3">
        <v>0.76</v>
      </c>
      <c r="M273" s="3">
        <v>2.81</v>
      </c>
    </row>
    <row r="274" spans="1:13" x14ac:dyDescent="0.25">
      <c r="A274" s="4">
        <v>1</v>
      </c>
      <c r="B274" s="4">
        <v>5</v>
      </c>
      <c r="C274" s="4">
        <v>3</v>
      </c>
      <c r="D274" s="4">
        <v>17</v>
      </c>
      <c r="E274" s="4">
        <v>5</v>
      </c>
      <c r="F274" s="4" t="s">
        <v>25</v>
      </c>
      <c r="G274" t="s">
        <v>28</v>
      </c>
      <c r="H274" s="4">
        <v>105</v>
      </c>
      <c r="I274" s="4">
        <v>9</v>
      </c>
      <c r="J274" s="41">
        <v>45559</v>
      </c>
      <c r="L274" s="3">
        <v>0.79</v>
      </c>
      <c r="M274" s="3">
        <v>1.92</v>
      </c>
    </row>
    <row r="275" spans="1:13" x14ac:dyDescent="0.25">
      <c r="A275" s="4">
        <v>2</v>
      </c>
      <c r="B275" s="4">
        <v>5</v>
      </c>
      <c r="C275" s="4">
        <v>3</v>
      </c>
      <c r="D275" s="4">
        <v>18</v>
      </c>
      <c r="E275" s="4">
        <v>12</v>
      </c>
      <c r="F275" s="4" t="s">
        <v>25</v>
      </c>
      <c r="G275" t="s">
        <v>26</v>
      </c>
      <c r="H275" s="4">
        <v>205</v>
      </c>
      <c r="I275" s="4">
        <v>9</v>
      </c>
      <c r="J275" s="41">
        <v>45559</v>
      </c>
      <c r="L275" s="3">
        <v>0.81</v>
      </c>
      <c r="M275" s="3">
        <v>2.77</v>
      </c>
    </row>
    <row r="276" spans="1:13" x14ac:dyDescent="0.25">
      <c r="A276" s="4">
        <v>3</v>
      </c>
      <c r="B276" s="4">
        <v>5</v>
      </c>
      <c r="C276" s="4">
        <v>3</v>
      </c>
      <c r="D276" s="4">
        <v>19</v>
      </c>
      <c r="E276" s="4">
        <v>21</v>
      </c>
      <c r="F276" s="4" t="s">
        <v>25</v>
      </c>
      <c r="G276" t="s">
        <v>29</v>
      </c>
      <c r="H276" s="4">
        <v>305</v>
      </c>
      <c r="I276" s="4">
        <v>9</v>
      </c>
      <c r="J276" s="41">
        <v>45559</v>
      </c>
      <c r="L276" s="3">
        <v>0.75</v>
      </c>
      <c r="M276" s="3">
        <v>3.78</v>
      </c>
    </row>
    <row r="277" spans="1:13" x14ac:dyDescent="0.25">
      <c r="A277" s="4">
        <v>4</v>
      </c>
      <c r="B277" s="4">
        <v>5</v>
      </c>
      <c r="C277" s="4">
        <v>3</v>
      </c>
      <c r="D277" s="4">
        <v>20</v>
      </c>
      <c r="E277" s="4">
        <v>28</v>
      </c>
      <c r="F277" s="4" t="s">
        <v>25</v>
      </c>
      <c r="G277" t="s">
        <v>27</v>
      </c>
      <c r="H277" s="4">
        <v>405</v>
      </c>
      <c r="I277" s="4">
        <v>9</v>
      </c>
      <c r="J277" s="41">
        <v>45559</v>
      </c>
      <c r="L277" s="3">
        <v>0.82</v>
      </c>
      <c r="M277" s="3">
        <v>1.1399999999999999</v>
      </c>
    </row>
    <row r="278" spans="1:13" x14ac:dyDescent="0.25">
      <c r="A278" s="4">
        <v>4</v>
      </c>
      <c r="B278" s="4">
        <v>6</v>
      </c>
      <c r="C278" s="4">
        <v>3</v>
      </c>
      <c r="D278" s="4">
        <v>21</v>
      </c>
      <c r="E278" s="4">
        <v>27</v>
      </c>
      <c r="F278" s="4" t="s">
        <v>30</v>
      </c>
      <c r="G278" t="s">
        <v>28</v>
      </c>
      <c r="H278" s="4">
        <v>406</v>
      </c>
      <c r="I278" s="4">
        <v>9</v>
      </c>
      <c r="J278" s="41">
        <v>45559</v>
      </c>
      <c r="L278" s="3">
        <v>0.74</v>
      </c>
      <c r="M278" s="3">
        <v>2.88</v>
      </c>
    </row>
    <row r="279" spans="1:13" x14ac:dyDescent="0.25">
      <c r="A279" s="4">
        <v>3</v>
      </c>
      <c r="B279" s="4">
        <v>6</v>
      </c>
      <c r="C279" s="4">
        <v>3</v>
      </c>
      <c r="D279" s="4">
        <v>22</v>
      </c>
      <c r="E279" s="4">
        <v>22</v>
      </c>
      <c r="F279" s="4" t="s">
        <v>30</v>
      </c>
      <c r="G279" t="s">
        <v>32</v>
      </c>
      <c r="H279" s="4">
        <v>306</v>
      </c>
      <c r="I279" s="4">
        <v>9</v>
      </c>
      <c r="J279" s="41">
        <v>45559</v>
      </c>
      <c r="L279" s="3">
        <v>0.78</v>
      </c>
      <c r="M279" s="3">
        <v>2.59</v>
      </c>
    </row>
    <row r="280" spans="1:13" x14ac:dyDescent="0.25">
      <c r="A280" s="4">
        <v>2</v>
      </c>
      <c r="B280" s="4">
        <v>6</v>
      </c>
      <c r="C280" s="4">
        <v>3</v>
      </c>
      <c r="D280" s="4">
        <v>23</v>
      </c>
      <c r="E280" s="4">
        <v>11</v>
      </c>
      <c r="F280" s="4" t="s">
        <v>30</v>
      </c>
      <c r="G280" t="s">
        <v>31</v>
      </c>
      <c r="H280" s="4">
        <v>206</v>
      </c>
      <c r="I280" s="4">
        <v>9</v>
      </c>
      <c r="J280" s="41">
        <v>45559</v>
      </c>
      <c r="L280" s="3">
        <v>0.79</v>
      </c>
      <c r="M280" s="3">
        <v>2.4500000000000002</v>
      </c>
    </row>
    <row r="281" spans="1:13" x14ac:dyDescent="0.25">
      <c r="A281" s="4">
        <v>1</v>
      </c>
      <c r="B281" s="4">
        <v>6</v>
      </c>
      <c r="C281" s="4">
        <v>3</v>
      </c>
      <c r="D281" s="4">
        <v>24</v>
      </c>
      <c r="E281" s="4">
        <v>6</v>
      </c>
      <c r="F281" s="4" t="s">
        <v>30</v>
      </c>
      <c r="G281" t="s">
        <v>29</v>
      </c>
      <c r="H281" s="4">
        <v>106</v>
      </c>
      <c r="I281" s="4">
        <v>9</v>
      </c>
      <c r="J281" s="41">
        <v>45559</v>
      </c>
      <c r="L281" s="3">
        <v>0.78</v>
      </c>
      <c r="M281" s="3">
        <v>2.17</v>
      </c>
    </row>
    <row r="282" spans="1:13" x14ac:dyDescent="0.25">
      <c r="A282" s="4">
        <v>1</v>
      </c>
      <c r="B282" s="4">
        <v>7</v>
      </c>
      <c r="C282" s="4">
        <v>4</v>
      </c>
      <c r="D282" s="4">
        <v>25</v>
      </c>
      <c r="E282" s="4">
        <v>7</v>
      </c>
      <c r="F282" s="4" t="s">
        <v>25</v>
      </c>
      <c r="G282" t="s">
        <v>29</v>
      </c>
      <c r="H282" s="4">
        <v>107</v>
      </c>
      <c r="I282" s="4">
        <v>9</v>
      </c>
      <c r="J282" s="41">
        <v>45559</v>
      </c>
      <c r="L282" s="3">
        <v>0.8</v>
      </c>
      <c r="M282" s="3">
        <v>2.61</v>
      </c>
    </row>
    <row r="283" spans="1:13" x14ac:dyDescent="0.25">
      <c r="A283" s="4">
        <v>2</v>
      </c>
      <c r="B283" s="4">
        <v>7</v>
      </c>
      <c r="C283" s="4">
        <v>4</v>
      </c>
      <c r="D283" s="4">
        <v>26</v>
      </c>
      <c r="E283" s="4">
        <v>10</v>
      </c>
      <c r="F283" s="4" t="s">
        <v>25</v>
      </c>
      <c r="G283" t="s">
        <v>28</v>
      </c>
      <c r="H283" s="4">
        <v>207</v>
      </c>
      <c r="I283" s="4">
        <v>9</v>
      </c>
      <c r="J283" s="41">
        <v>45559</v>
      </c>
      <c r="L283" s="3">
        <v>0.72</v>
      </c>
      <c r="M283" s="3">
        <v>3.19</v>
      </c>
    </row>
    <row r="284" spans="1:13" x14ac:dyDescent="0.25">
      <c r="A284" s="4">
        <v>3</v>
      </c>
      <c r="B284" s="4">
        <v>7</v>
      </c>
      <c r="C284" s="4">
        <v>4</v>
      </c>
      <c r="D284" s="4">
        <v>27</v>
      </c>
      <c r="E284" s="4">
        <v>23</v>
      </c>
      <c r="F284" s="4" t="s">
        <v>25</v>
      </c>
      <c r="G284" t="s">
        <v>27</v>
      </c>
      <c r="H284" s="4">
        <v>307</v>
      </c>
      <c r="I284" s="4">
        <v>9</v>
      </c>
      <c r="J284" s="41">
        <v>45559</v>
      </c>
      <c r="L284" s="3">
        <v>0.81</v>
      </c>
      <c r="M284" s="3">
        <v>1</v>
      </c>
    </row>
    <row r="285" spans="1:13" x14ac:dyDescent="0.25">
      <c r="A285" s="4">
        <v>4</v>
      </c>
      <c r="B285" s="4">
        <v>7</v>
      </c>
      <c r="C285" s="4">
        <v>4</v>
      </c>
      <c r="D285" s="4">
        <v>28</v>
      </c>
      <c r="E285" s="4">
        <v>26</v>
      </c>
      <c r="F285" s="4" t="s">
        <v>25</v>
      </c>
      <c r="G285" t="s">
        <v>26</v>
      </c>
      <c r="H285" s="4">
        <v>407</v>
      </c>
      <c r="I285" s="4">
        <v>9</v>
      </c>
      <c r="J285" s="41">
        <v>45559</v>
      </c>
      <c r="L285" s="3">
        <v>0.83</v>
      </c>
      <c r="M285" s="3">
        <v>1.21</v>
      </c>
    </row>
    <row r="286" spans="1:13" x14ac:dyDescent="0.25">
      <c r="A286" s="4">
        <v>4</v>
      </c>
      <c r="B286" s="4">
        <v>8</v>
      </c>
      <c r="C286" s="4">
        <v>4</v>
      </c>
      <c r="D286" s="4">
        <v>29</v>
      </c>
      <c r="E286" s="4">
        <v>25</v>
      </c>
      <c r="F286" s="4" t="s">
        <v>30</v>
      </c>
      <c r="G286" t="s">
        <v>31</v>
      </c>
      <c r="H286" s="4">
        <v>408</v>
      </c>
      <c r="I286" s="4">
        <v>9</v>
      </c>
      <c r="J286" s="41">
        <v>45559</v>
      </c>
      <c r="L286" s="3">
        <v>0.78</v>
      </c>
      <c r="M286" s="3">
        <v>1.21</v>
      </c>
    </row>
    <row r="287" spans="1:13" x14ac:dyDescent="0.25">
      <c r="A287" s="4">
        <v>3</v>
      </c>
      <c r="B287" s="4">
        <v>8</v>
      </c>
      <c r="C287" s="4">
        <v>4</v>
      </c>
      <c r="D287" s="4">
        <v>30</v>
      </c>
      <c r="E287" s="4">
        <v>24</v>
      </c>
      <c r="F287" s="4" t="s">
        <v>30</v>
      </c>
      <c r="G287" t="s">
        <v>28</v>
      </c>
      <c r="H287" s="4">
        <v>308</v>
      </c>
      <c r="I287" s="4">
        <v>9</v>
      </c>
      <c r="J287" s="41">
        <v>45559</v>
      </c>
      <c r="L287" s="3">
        <v>0.76</v>
      </c>
      <c r="M287" s="3">
        <v>3.76</v>
      </c>
    </row>
    <row r="288" spans="1:13" x14ac:dyDescent="0.25">
      <c r="A288" s="4">
        <v>2</v>
      </c>
      <c r="B288" s="4">
        <v>8</v>
      </c>
      <c r="C288" s="4">
        <v>4</v>
      </c>
      <c r="D288" s="4">
        <v>31</v>
      </c>
      <c r="E288" s="4">
        <v>9</v>
      </c>
      <c r="F288" s="4" t="s">
        <v>30</v>
      </c>
      <c r="G288" t="s">
        <v>29</v>
      </c>
      <c r="H288" s="4">
        <v>208</v>
      </c>
      <c r="I288" s="4">
        <v>9</v>
      </c>
      <c r="J288" s="41">
        <v>45559</v>
      </c>
      <c r="L288" s="3">
        <v>0.76</v>
      </c>
      <c r="M288" s="3">
        <v>2.14</v>
      </c>
    </row>
    <row r="289" spans="1:13" x14ac:dyDescent="0.25">
      <c r="A289" s="4">
        <v>1</v>
      </c>
      <c r="B289" s="4">
        <v>8</v>
      </c>
      <c r="C289" s="4">
        <v>4</v>
      </c>
      <c r="D289" s="4">
        <v>32</v>
      </c>
      <c r="E289" s="4">
        <v>8</v>
      </c>
      <c r="F289" s="4" t="s">
        <v>30</v>
      </c>
      <c r="G289" t="s">
        <v>32</v>
      </c>
      <c r="H289" s="4">
        <v>108</v>
      </c>
      <c r="I289" s="4">
        <v>9</v>
      </c>
      <c r="J289" s="41">
        <v>45559</v>
      </c>
      <c r="L289" s="3">
        <v>0.79</v>
      </c>
      <c r="M289" s="3">
        <v>3.3</v>
      </c>
    </row>
    <row r="290" spans="1:13" x14ac:dyDescent="0.25">
      <c r="A290" s="4">
        <v>1</v>
      </c>
      <c r="B290" s="4">
        <v>1</v>
      </c>
      <c r="C290" s="4">
        <v>1</v>
      </c>
      <c r="D290" s="4">
        <v>1</v>
      </c>
      <c r="E290" s="4">
        <v>1</v>
      </c>
      <c r="F290" s="4" t="s">
        <v>25</v>
      </c>
      <c r="G290" t="s">
        <v>26</v>
      </c>
      <c r="H290" s="4">
        <v>101</v>
      </c>
      <c r="I290" s="4">
        <v>10</v>
      </c>
      <c r="J290" s="41">
        <v>45571</v>
      </c>
      <c r="L290" s="3">
        <v>0.74</v>
      </c>
      <c r="M290" s="3">
        <v>1.64</v>
      </c>
    </row>
    <row r="291" spans="1:13" x14ac:dyDescent="0.25">
      <c r="A291" s="4">
        <v>2</v>
      </c>
      <c r="B291" s="4">
        <v>1</v>
      </c>
      <c r="C291" s="4">
        <v>1</v>
      </c>
      <c r="D291" s="4">
        <v>2</v>
      </c>
      <c r="E291" s="4">
        <v>16</v>
      </c>
      <c r="F291" s="4" t="s">
        <v>25</v>
      </c>
      <c r="G291" t="s">
        <v>27</v>
      </c>
      <c r="H291" s="4">
        <v>201</v>
      </c>
      <c r="I291" s="4">
        <v>10</v>
      </c>
      <c r="J291" s="41">
        <v>45571</v>
      </c>
      <c r="L291" s="3">
        <v>0.73</v>
      </c>
      <c r="M291" s="3">
        <v>4.57</v>
      </c>
    </row>
    <row r="292" spans="1:13" x14ac:dyDescent="0.25">
      <c r="A292" s="4">
        <v>3</v>
      </c>
      <c r="B292" s="4">
        <v>1</v>
      </c>
      <c r="C292" s="4">
        <v>1</v>
      </c>
      <c r="D292" s="4">
        <v>3</v>
      </c>
      <c r="E292" s="4">
        <v>17</v>
      </c>
      <c r="F292" s="4" t="s">
        <v>25</v>
      </c>
      <c r="G292" t="s">
        <v>28</v>
      </c>
      <c r="H292" s="4">
        <v>301</v>
      </c>
      <c r="I292" s="4">
        <v>10</v>
      </c>
      <c r="J292" s="41">
        <v>45571</v>
      </c>
      <c r="L292" s="3">
        <v>0.73</v>
      </c>
      <c r="M292" s="3">
        <v>4.1500000000000004</v>
      </c>
    </row>
    <row r="293" spans="1:13" x14ac:dyDescent="0.25">
      <c r="A293" s="4">
        <v>4</v>
      </c>
      <c r="B293" s="4">
        <v>1</v>
      </c>
      <c r="C293" s="4">
        <v>1</v>
      </c>
      <c r="D293" s="4">
        <v>4</v>
      </c>
      <c r="E293" s="4">
        <v>32</v>
      </c>
      <c r="F293" s="4" t="s">
        <v>25</v>
      </c>
      <c r="G293" t="s">
        <v>29</v>
      </c>
      <c r="H293" s="4">
        <v>401</v>
      </c>
      <c r="I293" s="4">
        <v>10</v>
      </c>
      <c r="J293" s="41">
        <v>45571</v>
      </c>
      <c r="L293" s="3">
        <v>0.75</v>
      </c>
      <c r="M293" s="3">
        <v>2.34</v>
      </c>
    </row>
    <row r="294" spans="1:13" x14ac:dyDescent="0.25">
      <c r="A294" s="4">
        <v>4</v>
      </c>
      <c r="B294" s="4">
        <v>2</v>
      </c>
      <c r="C294" s="4">
        <v>1</v>
      </c>
      <c r="D294" s="4">
        <v>5</v>
      </c>
      <c r="E294" s="4">
        <v>31</v>
      </c>
      <c r="F294" s="4" t="s">
        <v>30</v>
      </c>
      <c r="G294" t="s">
        <v>32</v>
      </c>
      <c r="H294" s="4">
        <v>402</v>
      </c>
      <c r="I294" s="4">
        <v>10</v>
      </c>
      <c r="J294" s="41">
        <v>45571</v>
      </c>
      <c r="L294" s="3">
        <v>0.73</v>
      </c>
      <c r="M294" s="3">
        <v>3.27</v>
      </c>
    </row>
    <row r="295" spans="1:13" x14ac:dyDescent="0.25">
      <c r="A295" s="4">
        <v>3</v>
      </c>
      <c r="B295" s="4">
        <v>2</v>
      </c>
      <c r="C295" s="4">
        <v>1</v>
      </c>
      <c r="D295" s="4">
        <v>6</v>
      </c>
      <c r="E295" s="4">
        <v>18</v>
      </c>
      <c r="F295" s="4" t="s">
        <v>30</v>
      </c>
      <c r="G295" t="s">
        <v>29</v>
      </c>
      <c r="H295" s="4">
        <v>302</v>
      </c>
      <c r="I295" s="4">
        <v>10</v>
      </c>
      <c r="J295" s="41">
        <v>45571</v>
      </c>
      <c r="L295" s="3">
        <v>0.69</v>
      </c>
      <c r="M295" s="3">
        <v>3.58</v>
      </c>
    </row>
    <row r="296" spans="1:13" x14ac:dyDescent="0.25">
      <c r="A296" s="4">
        <v>2</v>
      </c>
      <c r="B296" s="4">
        <v>2</v>
      </c>
      <c r="C296" s="4">
        <v>1</v>
      </c>
      <c r="D296" s="4">
        <v>7</v>
      </c>
      <c r="E296" s="4">
        <v>15</v>
      </c>
      <c r="F296" s="4" t="s">
        <v>30</v>
      </c>
      <c r="G296" t="s">
        <v>28</v>
      </c>
      <c r="H296" s="4">
        <v>202</v>
      </c>
      <c r="I296" s="4">
        <v>10</v>
      </c>
      <c r="J296" s="41">
        <v>45571</v>
      </c>
      <c r="L296" s="3">
        <v>0.69</v>
      </c>
      <c r="M296" s="3">
        <v>3.32</v>
      </c>
    </row>
    <row r="297" spans="1:13" x14ac:dyDescent="0.25">
      <c r="A297" s="4">
        <v>1</v>
      </c>
      <c r="B297" s="4">
        <v>2</v>
      </c>
      <c r="C297" s="4">
        <v>1</v>
      </c>
      <c r="D297" s="4">
        <v>8</v>
      </c>
      <c r="E297" s="4">
        <v>2</v>
      </c>
      <c r="F297" s="4" t="s">
        <v>30</v>
      </c>
      <c r="G297" t="s">
        <v>31</v>
      </c>
      <c r="H297" s="4">
        <v>102</v>
      </c>
      <c r="I297" s="4">
        <v>10</v>
      </c>
      <c r="J297" s="41">
        <v>45571</v>
      </c>
      <c r="L297" s="3">
        <v>0.74</v>
      </c>
      <c r="M297" s="3">
        <v>4.71</v>
      </c>
    </row>
    <row r="298" spans="1:13" x14ac:dyDescent="0.25">
      <c r="A298" s="4">
        <v>1</v>
      </c>
      <c r="B298" s="4">
        <v>3</v>
      </c>
      <c r="C298" s="4">
        <v>2</v>
      </c>
      <c r="D298" s="4">
        <v>9</v>
      </c>
      <c r="E298" s="4">
        <v>3</v>
      </c>
      <c r="F298" s="4" t="s">
        <v>25</v>
      </c>
      <c r="G298" t="s">
        <v>27</v>
      </c>
      <c r="H298" s="4">
        <v>103</v>
      </c>
      <c r="I298" s="4">
        <v>10</v>
      </c>
      <c r="J298" s="41">
        <v>45571</v>
      </c>
      <c r="L298" s="3">
        <v>0.75</v>
      </c>
      <c r="M298" s="3">
        <v>2.0699999999999998</v>
      </c>
    </row>
    <row r="299" spans="1:13" x14ac:dyDescent="0.25">
      <c r="A299" s="4">
        <v>2</v>
      </c>
      <c r="B299" s="4">
        <v>3</v>
      </c>
      <c r="C299" s="4">
        <v>2</v>
      </c>
      <c r="D299" s="4">
        <v>10</v>
      </c>
      <c r="E299" s="4">
        <v>14</v>
      </c>
      <c r="F299" s="4" t="s">
        <v>25</v>
      </c>
      <c r="G299" t="s">
        <v>29</v>
      </c>
      <c r="H299" s="4">
        <v>203</v>
      </c>
      <c r="I299" s="4">
        <v>10</v>
      </c>
      <c r="J299" s="41">
        <v>45571</v>
      </c>
      <c r="L299" s="3">
        <v>0.69</v>
      </c>
      <c r="M299" s="3">
        <v>1.67</v>
      </c>
    </row>
    <row r="300" spans="1:13" x14ac:dyDescent="0.25">
      <c r="A300" s="4">
        <v>3</v>
      </c>
      <c r="B300" s="4">
        <v>3</v>
      </c>
      <c r="C300" s="4">
        <v>2</v>
      </c>
      <c r="D300" s="4">
        <v>11</v>
      </c>
      <c r="E300" s="4">
        <v>19</v>
      </c>
      <c r="F300" s="4" t="s">
        <v>25</v>
      </c>
      <c r="G300" t="s">
        <v>26</v>
      </c>
      <c r="H300" s="4">
        <v>303</v>
      </c>
      <c r="I300" s="4">
        <v>10</v>
      </c>
      <c r="J300" s="41">
        <v>45571</v>
      </c>
      <c r="L300" s="3">
        <v>0.74</v>
      </c>
      <c r="M300" s="3">
        <v>1.75</v>
      </c>
    </row>
    <row r="301" spans="1:13" x14ac:dyDescent="0.25">
      <c r="A301" s="4">
        <v>4</v>
      </c>
      <c r="B301" s="4">
        <v>3</v>
      </c>
      <c r="C301" s="4">
        <v>2</v>
      </c>
      <c r="D301" s="4">
        <v>12</v>
      </c>
      <c r="E301" s="4">
        <v>30</v>
      </c>
      <c r="F301" s="4" t="s">
        <v>25</v>
      </c>
      <c r="G301" t="s">
        <v>28</v>
      </c>
      <c r="H301" s="4">
        <v>403</v>
      </c>
      <c r="I301" s="4">
        <v>10</v>
      </c>
      <c r="J301" s="41">
        <v>45571</v>
      </c>
      <c r="L301" s="3">
        <v>0.7</v>
      </c>
      <c r="M301" s="3">
        <v>3.27</v>
      </c>
    </row>
    <row r="302" spans="1:13" x14ac:dyDescent="0.25">
      <c r="A302" s="4">
        <v>4</v>
      </c>
      <c r="B302" s="4">
        <v>4</v>
      </c>
      <c r="C302" s="4">
        <v>2</v>
      </c>
      <c r="D302" s="4">
        <v>13</v>
      </c>
      <c r="E302" s="4">
        <v>29</v>
      </c>
      <c r="F302" s="4" t="s">
        <v>30</v>
      </c>
      <c r="G302" t="s">
        <v>29</v>
      </c>
      <c r="H302" s="4">
        <v>404</v>
      </c>
      <c r="I302" s="4">
        <v>10</v>
      </c>
      <c r="J302" s="41">
        <v>45571</v>
      </c>
      <c r="L302" s="3">
        <v>0.67</v>
      </c>
      <c r="M302" s="3">
        <v>7.05</v>
      </c>
    </row>
    <row r="303" spans="1:13" x14ac:dyDescent="0.25">
      <c r="A303" s="4">
        <v>3</v>
      </c>
      <c r="B303" s="4">
        <v>4</v>
      </c>
      <c r="C303" s="4">
        <v>2</v>
      </c>
      <c r="D303" s="4">
        <v>14</v>
      </c>
      <c r="E303" s="4">
        <v>20</v>
      </c>
      <c r="F303" s="4" t="s">
        <v>30</v>
      </c>
      <c r="G303" t="s">
        <v>31</v>
      </c>
      <c r="H303" s="4">
        <v>304</v>
      </c>
      <c r="I303" s="4">
        <v>10</v>
      </c>
      <c r="J303" s="41">
        <v>45571</v>
      </c>
      <c r="L303" s="3">
        <v>0.75</v>
      </c>
      <c r="M303" s="3">
        <v>1.82</v>
      </c>
    </row>
    <row r="304" spans="1:13" x14ac:dyDescent="0.25">
      <c r="A304" s="4">
        <v>2</v>
      </c>
      <c r="B304" s="4">
        <v>4</v>
      </c>
      <c r="C304" s="4">
        <v>2</v>
      </c>
      <c r="D304" s="4">
        <v>15</v>
      </c>
      <c r="E304" s="4">
        <v>13</v>
      </c>
      <c r="F304" s="4" t="s">
        <v>30</v>
      </c>
      <c r="G304" t="s">
        <v>32</v>
      </c>
      <c r="H304" s="4">
        <v>204</v>
      </c>
      <c r="I304" s="4">
        <v>10</v>
      </c>
      <c r="J304" s="41">
        <v>45571</v>
      </c>
      <c r="L304" s="3">
        <v>0.75</v>
      </c>
      <c r="M304" s="3">
        <v>2.48</v>
      </c>
    </row>
    <row r="305" spans="1:13" x14ac:dyDescent="0.25">
      <c r="A305" s="4">
        <v>1</v>
      </c>
      <c r="B305" s="4">
        <v>4</v>
      </c>
      <c r="C305" s="4">
        <v>2</v>
      </c>
      <c r="D305" s="4">
        <v>16</v>
      </c>
      <c r="E305" s="4">
        <v>4</v>
      </c>
      <c r="F305" s="4" t="s">
        <v>30</v>
      </c>
      <c r="G305" t="s">
        <v>28</v>
      </c>
      <c r="H305" s="4">
        <v>104</v>
      </c>
      <c r="I305" s="4">
        <v>10</v>
      </c>
      <c r="J305" s="41">
        <v>45571</v>
      </c>
      <c r="L305" s="3">
        <v>0.73</v>
      </c>
      <c r="M305" s="3">
        <v>1.64</v>
      </c>
    </row>
    <row r="306" spans="1:13" x14ac:dyDescent="0.25">
      <c r="A306" s="4">
        <v>1</v>
      </c>
      <c r="B306" s="4">
        <v>5</v>
      </c>
      <c r="C306" s="4">
        <v>3</v>
      </c>
      <c r="D306" s="4">
        <v>17</v>
      </c>
      <c r="E306" s="4">
        <v>5</v>
      </c>
      <c r="F306" s="4" t="s">
        <v>25</v>
      </c>
      <c r="G306" t="s">
        <v>28</v>
      </c>
      <c r="H306" s="4">
        <v>105</v>
      </c>
      <c r="I306" s="4">
        <v>10</v>
      </c>
      <c r="J306" s="41">
        <v>45571</v>
      </c>
      <c r="L306" s="3">
        <v>0.74</v>
      </c>
      <c r="M306" s="3">
        <v>3.9</v>
      </c>
    </row>
    <row r="307" spans="1:13" x14ac:dyDescent="0.25">
      <c r="A307" s="4">
        <v>2</v>
      </c>
      <c r="B307" s="4">
        <v>5</v>
      </c>
      <c r="C307" s="4">
        <v>3</v>
      </c>
      <c r="D307" s="4">
        <v>18</v>
      </c>
      <c r="E307" s="4">
        <v>12</v>
      </c>
      <c r="F307" s="4" t="s">
        <v>25</v>
      </c>
      <c r="G307" t="s">
        <v>26</v>
      </c>
      <c r="H307" s="4">
        <v>205</v>
      </c>
      <c r="I307" s="4">
        <v>10</v>
      </c>
      <c r="J307" s="41">
        <v>45571</v>
      </c>
      <c r="L307" s="3">
        <v>0.79</v>
      </c>
      <c r="M307" s="3">
        <v>2.19</v>
      </c>
    </row>
    <row r="308" spans="1:13" x14ac:dyDescent="0.25">
      <c r="A308" s="4">
        <v>3</v>
      </c>
      <c r="B308" s="4">
        <v>5</v>
      </c>
      <c r="C308" s="4">
        <v>3</v>
      </c>
      <c r="D308" s="4">
        <v>19</v>
      </c>
      <c r="E308" s="4">
        <v>21</v>
      </c>
      <c r="F308" s="4" t="s">
        <v>25</v>
      </c>
      <c r="G308" t="s">
        <v>29</v>
      </c>
      <c r="H308" s="4">
        <v>305</v>
      </c>
      <c r="I308" s="4">
        <v>10</v>
      </c>
      <c r="J308" s="41">
        <v>45571</v>
      </c>
      <c r="L308" s="3">
        <v>0.71</v>
      </c>
      <c r="M308" s="3">
        <v>3.36</v>
      </c>
    </row>
    <row r="309" spans="1:13" x14ac:dyDescent="0.25">
      <c r="A309" s="4">
        <v>4</v>
      </c>
      <c r="B309" s="4">
        <v>5</v>
      </c>
      <c r="C309" s="4">
        <v>3</v>
      </c>
      <c r="D309" s="4">
        <v>20</v>
      </c>
      <c r="E309" s="4">
        <v>28</v>
      </c>
      <c r="F309" s="4" t="s">
        <v>25</v>
      </c>
      <c r="G309" t="s">
        <v>27</v>
      </c>
      <c r="H309" s="4">
        <v>405</v>
      </c>
      <c r="I309" s="4">
        <v>10</v>
      </c>
      <c r="J309" s="41">
        <v>45571</v>
      </c>
      <c r="L309" s="3">
        <v>0.75</v>
      </c>
      <c r="M309" s="3">
        <v>1.1399999999999999</v>
      </c>
    </row>
    <row r="310" spans="1:13" x14ac:dyDescent="0.25">
      <c r="A310" s="4">
        <v>4</v>
      </c>
      <c r="B310" s="4">
        <v>6</v>
      </c>
      <c r="C310" s="4">
        <v>3</v>
      </c>
      <c r="D310" s="4">
        <v>21</v>
      </c>
      <c r="E310" s="4">
        <v>27</v>
      </c>
      <c r="F310" s="4" t="s">
        <v>30</v>
      </c>
      <c r="G310" t="s">
        <v>28</v>
      </c>
      <c r="H310" s="4">
        <v>406</v>
      </c>
      <c r="I310" s="4">
        <v>10</v>
      </c>
      <c r="J310" s="41">
        <v>45571</v>
      </c>
      <c r="L310" s="3">
        <v>0.71</v>
      </c>
      <c r="M310" s="3">
        <v>1</v>
      </c>
    </row>
    <row r="311" spans="1:13" x14ac:dyDescent="0.25">
      <c r="A311" s="4">
        <v>3</v>
      </c>
      <c r="B311" s="4">
        <v>6</v>
      </c>
      <c r="C311" s="4">
        <v>3</v>
      </c>
      <c r="D311" s="4">
        <v>22</v>
      </c>
      <c r="E311" s="4">
        <v>22</v>
      </c>
      <c r="F311" s="4" t="s">
        <v>30</v>
      </c>
      <c r="G311" t="s">
        <v>32</v>
      </c>
      <c r="H311" s="4">
        <v>306</v>
      </c>
      <c r="I311" s="4">
        <v>10</v>
      </c>
      <c r="J311" s="41">
        <v>45571</v>
      </c>
      <c r="L311" s="3">
        <v>0.77</v>
      </c>
      <c r="M311" s="3">
        <v>2.04</v>
      </c>
    </row>
    <row r="312" spans="1:13" x14ac:dyDescent="0.25">
      <c r="A312" s="4">
        <v>2</v>
      </c>
      <c r="B312" s="4">
        <v>6</v>
      </c>
      <c r="C312" s="4">
        <v>3</v>
      </c>
      <c r="D312" s="4">
        <v>23</v>
      </c>
      <c r="E312" s="4">
        <v>11</v>
      </c>
      <c r="F312" s="4" t="s">
        <v>30</v>
      </c>
      <c r="G312" t="s">
        <v>31</v>
      </c>
      <c r="H312" s="4">
        <v>206</v>
      </c>
      <c r="I312" s="4">
        <v>10</v>
      </c>
      <c r="J312" s="41">
        <v>45571</v>
      </c>
      <c r="L312" s="3">
        <v>0.76</v>
      </c>
      <c r="M312" s="3">
        <v>2.16</v>
      </c>
    </row>
    <row r="313" spans="1:13" x14ac:dyDescent="0.25">
      <c r="A313" s="4">
        <v>1</v>
      </c>
      <c r="B313" s="4">
        <v>6</v>
      </c>
      <c r="C313" s="4">
        <v>3</v>
      </c>
      <c r="D313" s="4">
        <v>24</v>
      </c>
      <c r="E313" s="4">
        <v>6</v>
      </c>
      <c r="F313" s="4" t="s">
        <v>30</v>
      </c>
      <c r="G313" t="s">
        <v>29</v>
      </c>
      <c r="H313" s="4">
        <v>106</v>
      </c>
      <c r="I313" s="4">
        <v>10</v>
      </c>
      <c r="J313" s="41">
        <v>45571</v>
      </c>
      <c r="L313" s="3">
        <v>0.73</v>
      </c>
      <c r="M313" s="3">
        <v>2.04</v>
      </c>
    </row>
    <row r="314" spans="1:13" x14ac:dyDescent="0.25">
      <c r="A314" s="4">
        <v>1</v>
      </c>
      <c r="B314" s="4">
        <v>7</v>
      </c>
      <c r="C314" s="4">
        <v>4</v>
      </c>
      <c r="D314" s="4">
        <v>25</v>
      </c>
      <c r="E314" s="4">
        <v>7</v>
      </c>
      <c r="F314" s="4" t="s">
        <v>25</v>
      </c>
      <c r="G314" t="s">
        <v>29</v>
      </c>
      <c r="H314" s="4">
        <v>107</v>
      </c>
      <c r="I314" s="4">
        <v>10</v>
      </c>
      <c r="J314" s="41">
        <v>45571</v>
      </c>
      <c r="L314" s="3">
        <v>0.74</v>
      </c>
      <c r="M314" s="3">
        <v>1.89</v>
      </c>
    </row>
    <row r="315" spans="1:13" x14ac:dyDescent="0.25">
      <c r="A315" s="4">
        <v>2</v>
      </c>
      <c r="B315" s="4">
        <v>7</v>
      </c>
      <c r="C315" s="4">
        <v>4</v>
      </c>
      <c r="D315" s="4">
        <v>26</v>
      </c>
      <c r="E315" s="4">
        <v>10</v>
      </c>
      <c r="F315" s="4" t="s">
        <v>25</v>
      </c>
      <c r="G315" t="s">
        <v>28</v>
      </c>
      <c r="H315" s="4">
        <v>207</v>
      </c>
      <c r="I315" s="4">
        <v>10</v>
      </c>
      <c r="J315" s="41">
        <v>45571</v>
      </c>
      <c r="L315" s="3">
        <v>0.67</v>
      </c>
      <c r="M315" s="3">
        <v>0.45</v>
      </c>
    </row>
    <row r="316" spans="1:13" x14ac:dyDescent="0.25">
      <c r="A316" s="4">
        <v>3</v>
      </c>
      <c r="B316" s="4">
        <v>7</v>
      </c>
      <c r="C316" s="4">
        <v>4</v>
      </c>
      <c r="D316" s="4">
        <v>27</v>
      </c>
      <c r="E316" s="4">
        <v>23</v>
      </c>
      <c r="F316" s="4" t="s">
        <v>25</v>
      </c>
      <c r="G316" t="s">
        <v>27</v>
      </c>
      <c r="H316" s="4">
        <v>307</v>
      </c>
      <c r="I316" s="4">
        <v>10</v>
      </c>
      <c r="J316" s="41">
        <v>45571</v>
      </c>
      <c r="L316" s="3">
        <v>0.72</v>
      </c>
      <c r="M316" s="3">
        <v>1.87</v>
      </c>
    </row>
    <row r="317" spans="1:13" x14ac:dyDescent="0.25">
      <c r="A317" s="4">
        <v>4</v>
      </c>
      <c r="B317" s="4">
        <v>7</v>
      </c>
      <c r="C317" s="4">
        <v>4</v>
      </c>
      <c r="D317" s="4">
        <v>28</v>
      </c>
      <c r="E317" s="4">
        <v>26</v>
      </c>
      <c r="F317" s="4" t="s">
        <v>25</v>
      </c>
      <c r="G317" t="s">
        <v>26</v>
      </c>
      <c r="H317" s="4">
        <v>407</v>
      </c>
      <c r="I317" s="4">
        <v>10</v>
      </c>
      <c r="J317" s="41">
        <v>45571</v>
      </c>
      <c r="L317" s="3">
        <v>0.77</v>
      </c>
      <c r="M317" s="3">
        <v>3.02</v>
      </c>
    </row>
    <row r="318" spans="1:13" x14ac:dyDescent="0.25">
      <c r="A318" s="4">
        <v>4</v>
      </c>
      <c r="B318" s="4">
        <v>8</v>
      </c>
      <c r="C318" s="4">
        <v>4</v>
      </c>
      <c r="D318" s="4">
        <v>29</v>
      </c>
      <c r="E318" s="4">
        <v>25</v>
      </c>
      <c r="F318" s="4" t="s">
        <v>30</v>
      </c>
      <c r="G318" t="s">
        <v>31</v>
      </c>
      <c r="H318" s="4">
        <v>408</v>
      </c>
      <c r="I318" s="4">
        <v>10</v>
      </c>
      <c r="J318" s="41">
        <v>45571</v>
      </c>
      <c r="L318" s="3">
        <v>0.73</v>
      </c>
      <c r="M318" s="3">
        <v>1.52</v>
      </c>
    </row>
    <row r="319" spans="1:13" x14ac:dyDescent="0.25">
      <c r="A319" s="4">
        <v>3</v>
      </c>
      <c r="B319" s="4">
        <v>8</v>
      </c>
      <c r="C319" s="4">
        <v>4</v>
      </c>
      <c r="D319" s="4">
        <v>30</v>
      </c>
      <c r="E319" s="4">
        <v>24</v>
      </c>
      <c r="F319" s="4" t="s">
        <v>30</v>
      </c>
      <c r="G319" t="s">
        <v>28</v>
      </c>
      <c r="H319" s="4">
        <v>308</v>
      </c>
      <c r="I319" s="4">
        <v>10</v>
      </c>
      <c r="J319" s="41">
        <v>45571</v>
      </c>
      <c r="L319" s="3">
        <v>0.73</v>
      </c>
      <c r="M319" s="3">
        <v>2.17</v>
      </c>
    </row>
    <row r="320" spans="1:13" x14ac:dyDescent="0.25">
      <c r="A320" s="4">
        <v>2</v>
      </c>
      <c r="B320" s="4">
        <v>8</v>
      </c>
      <c r="C320" s="4">
        <v>4</v>
      </c>
      <c r="D320" s="4">
        <v>31</v>
      </c>
      <c r="E320" s="4">
        <v>9</v>
      </c>
      <c r="F320" s="4" t="s">
        <v>30</v>
      </c>
      <c r="G320" t="s">
        <v>29</v>
      </c>
      <c r="H320" s="4">
        <v>208</v>
      </c>
      <c r="I320" s="4">
        <v>10</v>
      </c>
      <c r="J320" s="41">
        <v>45571</v>
      </c>
      <c r="L320" s="3">
        <v>0.72</v>
      </c>
      <c r="M320" s="3">
        <v>1.52</v>
      </c>
    </row>
    <row r="321" spans="1:13" x14ac:dyDescent="0.25">
      <c r="A321" s="4">
        <v>1</v>
      </c>
      <c r="B321" s="4">
        <v>8</v>
      </c>
      <c r="C321" s="4">
        <v>4</v>
      </c>
      <c r="D321" s="4">
        <v>32</v>
      </c>
      <c r="E321" s="4">
        <v>8</v>
      </c>
      <c r="F321" s="4" t="s">
        <v>30</v>
      </c>
      <c r="G321" t="s">
        <v>32</v>
      </c>
      <c r="H321" s="4">
        <v>108</v>
      </c>
      <c r="I321" s="4">
        <v>10</v>
      </c>
      <c r="J321" s="41">
        <v>45571</v>
      </c>
      <c r="L321" s="3">
        <v>0.77</v>
      </c>
      <c r="M321" s="3">
        <v>2.34</v>
      </c>
    </row>
    <row r="322" spans="1:13" x14ac:dyDescent="0.25">
      <c r="A322" s="4">
        <v>1</v>
      </c>
      <c r="B322" s="4">
        <v>1</v>
      </c>
      <c r="C322" s="4">
        <v>1</v>
      </c>
      <c r="D322" s="4">
        <v>1</v>
      </c>
      <c r="E322" s="4">
        <v>1</v>
      </c>
      <c r="F322" s="4" t="s">
        <v>25</v>
      </c>
      <c r="G322" t="s">
        <v>26</v>
      </c>
      <c r="H322" s="4">
        <v>101</v>
      </c>
      <c r="I322" s="4">
        <v>11</v>
      </c>
      <c r="J322" s="41">
        <v>45582</v>
      </c>
      <c r="L322" s="86">
        <v>0.6</v>
      </c>
      <c r="M322" s="86">
        <v>3.27</v>
      </c>
    </row>
    <row r="323" spans="1:13" x14ac:dyDescent="0.25">
      <c r="A323" s="4">
        <v>2</v>
      </c>
      <c r="B323" s="4">
        <v>1</v>
      </c>
      <c r="C323" s="4">
        <v>1</v>
      </c>
      <c r="D323" s="4">
        <v>2</v>
      </c>
      <c r="E323" s="4">
        <v>16</v>
      </c>
      <c r="F323" s="4" t="s">
        <v>25</v>
      </c>
      <c r="G323" t="s">
        <v>27</v>
      </c>
      <c r="H323" s="4">
        <v>201</v>
      </c>
      <c r="I323" s="4">
        <v>11</v>
      </c>
      <c r="J323" s="41">
        <v>45582</v>
      </c>
      <c r="L323" s="86">
        <v>0.57999999999999996</v>
      </c>
      <c r="M323" s="86">
        <v>5.91</v>
      </c>
    </row>
    <row r="324" spans="1:13" x14ac:dyDescent="0.25">
      <c r="A324" s="4">
        <v>3</v>
      </c>
      <c r="B324" s="4">
        <v>1</v>
      </c>
      <c r="C324" s="4">
        <v>1</v>
      </c>
      <c r="D324" s="4">
        <v>3</v>
      </c>
      <c r="E324" s="4">
        <v>17</v>
      </c>
      <c r="F324" s="4" t="s">
        <v>25</v>
      </c>
      <c r="G324" t="s">
        <v>28</v>
      </c>
      <c r="H324" s="4">
        <v>301</v>
      </c>
      <c r="I324" s="4">
        <v>11</v>
      </c>
      <c r="J324" s="41">
        <v>45582</v>
      </c>
      <c r="L324" s="86">
        <v>0.51</v>
      </c>
      <c r="M324" s="86">
        <v>5.27</v>
      </c>
    </row>
    <row r="325" spans="1:13" x14ac:dyDescent="0.25">
      <c r="A325" s="4">
        <v>4</v>
      </c>
      <c r="B325" s="4">
        <v>1</v>
      </c>
      <c r="C325" s="4">
        <v>1</v>
      </c>
      <c r="D325" s="4">
        <v>4</v>
      </c>
      <c r="E325" s="4">
        <v>32</v>
      </c>
      <c r="F325" s="4" t="s">
        <v>25</v>
      </c>
      <c r="G325" t="s">
        <v>29</v>
      </c>
      <c r="H325" s="4">
        <v>401</v>
      </c>
      <c r="I325" s="4">
        <v>11</v>
      </c>
      <c r="J325" s="41">
        <v>45582</v>
      </c>
      <c r="L325" s="86">
        <v>0.6</v>
      </c>
      <c r="M325" s="86">
        <v>4.97</v>
      </c>
    </row>
    <row r="326" spans="1:13" x14ac:dyDescent="0.25">
      <c r="A326" s="4">
        <v>4</v>
      </c>
      <c r="B326" s="4">
        <v>2</v>
      </c>
      <c r="C326" s="4">
        <v>1</v>
      </c>
      <c r="D326" s="4">
        <v>5</v>
      </c>
      <c r="E326" s="4">
        <v>31</v>
      </c>
      <c r="F326" s="4" t="s">
        <v>30</v>
      </c>
      <c r="G326" t="s">
        <v>32</v>
      </c>
      <c r="H326" s="4">
        <v>402</v>
      </c>
      <c r="I326" s="4">
        <v>11</v>
      </c>
      <c r="J326" s="41">
        <v>45582</v>
      </c>
      <c r="L326" s="86">
        <v>0.54</v>
      </c>
      <c r="M326" s="86">
        <v>2.5099999999999998</v>
      </c>
    </row>
    <row r="327" spans="1:13" x14ac:dyDescent="0.25">
      <c r="A327" s="4">
        <v>3</v>
      </c>
      <c r="B327" s="4">
        <v>2</v>
      </c>
      <c r="C327" s="4">
        <v>1</v>
      </c>
      <c r="D327" s="4">
        <v>6</v>
      </c>
      <c r="E327" s="4">
        <v>18</v>
      </c>
      <c r="F327" s="4" t="s">
        <v>30</v>
      </c>
      <c r="G327" t="s">
        <v>29</v>
      </c>
      <c r="H327" s="4">
        <v>302</v>
      </c>
      <c r="I327" s="4">
        <v>11</v>
      </c>
      <c r="J327" s="41">
        <v>45582</v>
      </c>
      <c r="L327" s="86">
        <v>0.54</v>
      </c>
      <c r="M327" s="86">
        <v>3.56</v>
      </c>
    </row>
    <row r="328" spans="1:13" x14ac:dyDescent="0.25">
      <c r="A328" s="4">
        <v>2</v>
      </c>
      <c r="B328" s="4">
        <v>2</v>
      </c>
      <c r="C328" s="4">
        <v>1</v>
      </c>
      <c r="D328" s="4">
        <v>7</v>
      </c>
      <c r="E328" s="4">
        <v>15</v>
      </c>
      <c r="F328" s="4" t="s">
        <v>30</v>
      </c>
      <c r="G328" t="s">
        <v>28</v>
      </c>
      <c r="H328" s="4">
        <v>202</v>
      </c>
      <c r="I328" s="4">
        <v>11</v>
      </c>
      <c r="J328" s="41">
        <v>45582</v>
      </c>
      <c r="L328" s="86">
        <v>0.55000000000000004</v>
      </c>
      <c r="M328" s="86">
        <v>4.8</v>
      </c>
    </row>
    <row r="329" spans="1:13" x14ac:dyDescent="0.25">
      <c r="A329" s="4">
        <v>1</v>
      </c>
      <c r="B329" s="4">
        <v>2</v>
      </c>
      <c r="C329" s="4">
        <v>1</v>
      </c>
      <c r="D329" s="4">
        <v>8</v>
      </c>
      <c r="E329" s="4">
        <v>2</v>
      </c>
      <c r="F329" s="4" t="s">
        <v>30</v>
      </c>
      <c r="G329" t="s">
        <v>31</v>
      </c>
      <c r="H329" s="4">
        <v>102</v>
      </c>
      <c r="I329" s="4">
        <v>11</v>
      </c>
      <c r="J329" s="41">
        <v>45582</v>
      </c>
      <c r="L329" s="86">
        <v>0.61</v>
      </c>
      <c r="M329" s="86">
        <v>6.57</v>
      </c>
    </row>
    <row r="330" spans="1:13" x14ac:dyDescent="0.25">
      <c r="A330" s="4">
        <v>1</v>
      </c>
      <c r="B330" s="4">
        <v>3</v>
      </c>
      <c r="C330" s="4">
        <v>2</v>
      </c>
      <c r="D330" s="4">
        <v>9</v>
      </c>
      <c r="E330" s="4">
        <v>3</v>
      </c>
      <c r="F330" s="4" t="s">
        <v>25</v>
      </c>
      <c r="G330" t="s">
        <v>27</v>
      </c>
      <c r="H330" s="4">
        <v>103</v>
      </c>
      <c r="I330" s="4">
        <v>11</v>
      </c>
      <c r="J330" s="41">
        <v>45582</v>
      </c>
      <c r="L330" s="86">
        <v>0.63</v>
      </c>
      <c r="M330" s="86">
        <v>4.76</v>
      </c>
    </row>
    <row r="331" spans="1:13" x14ac:dyDescent="0.25">
      <c r="A331" s="4">
        <v>2</v>
      </c>
      <c r="B331" s="4">
        <v>3</v>
      </c>
      <c r="C331" s="4">
        <v>2</v>
      </c>
      <c r="D331" s="4">
        <v>10</v>
      </c>
      <c r="E331" s="4">
        <v>14</v>
      </c>
      <c r="F331" s="4" t="s">
        <v>25</v>
      </c>
      <c r="G331" t="s">
        <v>29</v>
      </c>
      <c r="H331" s="4">
        <v>203</v>
      </c>
      <c r="I331" s="4">
        <v>11</v>
      </c>
      <c r="J331" s="41">
        <v>45582</v>
      </c>
      <c r="L331" s="86">
        <v>0.51</v>
      </c>
      <c r="M331" s="86">
        <v>2.2999999999999998</v>
      </c>
    </row>
    <row r="332" spans="1:13" x14ac:dyDescent="0.25">
      <c r="A332" s="4">
        <v>3</v>
      </c>
      <c r="B332" s="4">
        <v>3</v>
      </c>
      <c r="C332" s="4">
        <v>2</v>
      </c>
      <c r="D332" s="4">
        <v>11</v>
      </c>
      <c r="E332" s="4">
        <v>19</v>
      </c>
      <c r="F332" s="4" t="s">
        <v>25</v>
      </c>
      <c r="G332" t="s">
        <v>26</v>
      </c>
      <c r="H332" s="4">
        <v>303</v>
      </c>
      <c r="I332" s="4">
        <v>11</v>
      </c>
      <c r="J332" s="41">
        <v>45582</v>
      </c>
      <c r="L332" s="86">
        <v>0.59</v>
      </c>
      <c r="M332" s="86">
        <v>1.75</v>
      </c>
    </row>
    <row r="333" spans="1:13" x14ac:dyDescent="0.25">
      <c r="A333" s="4">
        <v>4</v>
      </c>
      <c r="B333" s="4">
        <v>3</v>
      </c>
      <c r="C333" s="4">
        <v>2</v>
      </c>
      <c r="D333" s="4">
        <v>12</v>
      </c>
      <c r="E333" s="4">
        <v>30</v>
      </c>
      <c r="F333" s="4" t="s">
        <v>25</v>
      </c>
      <c r="G333" t="s">
        <v>28</v>
      </c>
      <c r="H333" s="4">
        <v>403</v>
      </c>
      <c r="I333" s="4">
        <v>11</v>
      </c>
      <c r="J333" s="41">
        <v>45582</v>
      </c>
      <c r="L333" s="86">
        <v>0.47</v>
      </c>
      <c r="M333" s="86">
        <v>5.39</v>
      </c>
    </row>
    <row r="334" spans="1:13" x14ac:dyDescent="0.25">
      <c r="A334" s="4">
        <v>4</v>
      </c>
      <c r="B334" s="4">
        <v>4</v>
      </c>
      <c r="C334" s="4">
        <v>2</v>
      </c>
      <c r="D334" s="4">
        <v>13</v>
      </c>
      <c r="E334" s="4">
        <v>29</v>
      </c>
      <c r="F334" s="4" t="s">
        <v>30</v>
      </c>
      <c r="G334" t="s">
        <v>29</v>
      </c>
      <c r="H334" s="4">
        <v>404</v>
      </c>
      <c r="I334" s="4">
        <v>11</v>
      </c>
      <c r="J334" s="41">
        <v>45582</v>
      </c>
      <c r="L334" s="86">
        <v>0.45</v>
      </c>
      <c r="M334" s="86">
        <v>5.19</v>
      </c>
    </row>
    <row r="335" spans="1:13" x14ac:dyDescent="0.25">
      <c r="A335" s="4">
        <v>3</v>
      </c>
      <c r="B335" s="4">
        <v>4</v>
      </c>
      <c r="C335" s="4">
        <v>2</v>
      </c>
      <c r="D335" s="4">
        <v>14</v>
      </c>
      <c r="E335" s="4">
        <v>20</v>
      </c>
      <c r="F335" s="4" t="s">
        <v>30</v>
      </c>
      <c r="G335" t="s">
        <v>31</v>
      </c>
      <c r="H335" s="4">
        <v>304</v>
      </c>
      <c r="I335" s="4">
        <v>11</v>
      </c>
      <c r="J335" s="41">
        <v>45582</v>
      </c>
      <c r="L335" s="86">
        <v>0.6</v>
      </c>
      <c r="M335" s="86">
        <v>3.77</v>
      </c>
    </row>
    <row r="336" spans="1:13" x14ac:dyDescent="0.25">
      <c r="A336" s="4">
        <v>2</v>
      </c>
      <c r="B336" s="4">
        <v>4</v>
      </c>
      <c r="C336" s="4">
        <v>2</v>
      </c>
      <c r="D336" s="4">
        <v>15</v>
      </c>
      <c r="E336" s="4">
        <v>13</v>
      </c>
      <c r="F336" s="4" t="s">
        <v>30</v>
      </c>
      <c r="G336" t="s">
        <v>32</v>
      </c>
      <c r="H336" s="4">
        <v>204</v>
      </c>
      <c r="I336" s="4">
        <v>11</v>
      </c>
      <c r="J336" s="41">
        <v>45582</v>
      </c>
      <c r="L336" s="86">
        <v>0.61</v>
      </c>
      <c r="M336" s="86">
        <v>3.42</v>
      </c>
    </row>
    <row r="337" spans="1:13" x14ac:dyDescent="0.25">
      <c r="A337" s="4">
        <v>1</v>
      </c>
      <c r="B337" s="4">
        <v>4</v>
      </c>
      <c r="C337" s="4">
        <v>2</v>
      </c>
      <c r="D337" s="4">
        <v>16</v>
      </c>
      <c r="E337" s="4">
        <v>4</v>
      </c>
      <c r="F337" s="4" t="s">
        <v>30</v>
      </c>
      <c r="G337" t="s">
        <v>28</v>
      </c>
      <c r="H337" s="4">
        <v>104</v>
      </c>
      <c r="I337" s="4">
        <v>11</v>
      </c>
      <c r="J337" s="41">
        <v>45582</v>
      </c>
      <c r="L337" s="86">
        <v>0.6</v>
      </c>
      <c r="M337" s="86">
        <v>3.39</v>
      </c>
    </row>
    <row r="338" spans="1:13" x14ac:dyDescent="0.25">
      <c r="A338" s="4">
        <v>1</v>
      </c>
      <c r="B338" s="4">
        <v>5</v>
      </c>
      <c r="C338" s="4">
        <v>3</v>
      </c>
      <c r="D338" s="4">
        <v>17</v>
      </c>
      <c r="E338" s="4">
        <v>5</v>
      </c>
      <c r="F338" s="4" t="s">
        <v>25</v>
      </c>
      <c r="G338" t="s">
        <v>28</v>
      </c>
      <c r="H338" s="4">
        <v>105</v>
      </c>
      <c r="I338" s="4">
        <v>11</v>
      </c>
      <c r="J338" s="41">
        <v>45582</v>
      </c>
      <c r="L338" s="86">
        <v>0.59</v>
      </c>
      <c r="M338" s="86">
        <v>4.22</v>
      </c>
    </row>
    <row r="339" spans="1:13" x14ac:dyDescent="0.25">
      <c r="A339" s="4">
        <v>2</v>
      </c>
      <c r="B339" s="4">
        <v>5</v>
      </c>
      <c r="C339" s="4">
        <v>3</v>
      </c>
      <c r="D339" s="4">
        <v>18</v>
      </c>
      <c r="E339" s="4">
        <v>12</v>
      </c>
      <c r="F339" s="4" t="s">
        <v>25</v>
      </c>
      <c r="G339" t="s">
        <v>26</v>
      </c>
      <c r="H339" s="4">
        <v>205</v>
      </c>
      <c r="I339" s="4">
        <v>11</v>
      </c>
      <c r="J339" s="41">
        <v>45582</v>
      </c>
      <c r="L339" s="86">
        <v>0.62</v>
      </c>
      <c r="M339" s="86">
        <v>6.32</v>
      </c>
    </row>
    <row r="340" spans="1:13" x14ac:dyDescent="0.25">
      <c r="A340" s="4">
        <v>3</v>
      </c>
      <c r="B340" s="4">
        <v>5</v>
      </c>
      <c r="C340" s="4">
        <v>3</v>
      </c>
      <c r="D340" s="4">
        <v>19</v>
      </c>
      <c r="E340" s="4">
        <v>21</v>
      </c>
      <c r="F340" s="4" t="s">
        <v>25</v>
      </c>
      <c r="G340" t="s">
        <v>29</v>
      </c>
      <c r="H340" s="4">
        <v>305</v>
      </c>
      <c r="I340" s="4">
        <v>11</v>
      </c>
      <c r="J340" s="41">
        <v>45582</v>
      </c>
      <c r="L340" s="86">
        <v>0.56000000000000005</v>
      </c>
      <c r="M340" s="86">
        <v>1.83</v>
      </c>
    </row>
    <row r="341" spans="1:13" x14ac:dyDescent="0.25">
      <c r="A341" s="4">
        <v>4</v>
      </c>
      <c r="B341" s="4">
        <v>5</v>
      </c>
      <c r="C341" s="4">
        <v>3</v>
      </c>
      <c r="D341" s="4">
        <v>20</v>
      </c>
      <c r="E341" s="4">
        <v>28</v>
      </c>
      <c r="F341" s="4" t="s">
        <v>25</v>
      </c>
      <c r="G341" t="s">
        <v>27</v>
      </c>
      <c r="H341" s="4">
        <v>405</v>
      </c>
      <c r="I341" s="4">
        <v>11</v>
      </c>
      <c r="J341" s="41">
        <v>45582</v>
      </c>
      <c r="L341" s="86">
        <v>0.56999999999999995</v>
      </c>
      <c r="M341" s="86">
        <v>3.5</v>
      </c>
    </row>
    <row r="342" spans="1:13" x14ac:dyDescent="0.25">
      <c r="A342" s="4">
        <v>4</v>
      </c>
      <c r="B342" s="4">
        <v>6</v>
      </c>
      <c r="C342" s="4">
        <v>3</v>
      </c>
      <c r="D342" s="4">
        <v>21</v>
      </c>
      <c r="E342" s="4">
        <v>27</v>
      </c>
      <c r="F342" s="4" t="s">
        <v>30</v>
      </c>
      <c r="G342" t="s">
        <v>28</v>
      </c>
      <c r="H342" s="4">
        <v>406</v>
      </c>
      <c r="I342" s="4">
        <v>11</v>
      </c>
      <c r="J342" s="41">
        <v>45582</v>
      </c>
      <c r="L342" s="86">
        <v>0.47</v>
      </c>
      <c r="M342" s="86">
        <v>2.16</v>
      </c>
    </row>
    <row r="343" spans="1:13" x14ac:dyDescent="0.25">
      <c r="A343" s="4">
        <v>3</v>
      </c>
      <c r="B343" s="4">
        <v>6</v>
      </c>
      <c r="C343" s="4">
        <v>3</v>
      </c>
      <c r="D343" s="4">
        <v>22</v>
      </c>
      <c r="E343" s="4">
        <v>22</v>
      </c>
      <c r="F343" s="4" t="s">
        <v>30</v>
      </c>
      <c r="G343" t="s">
        <v>32</v>
      </c>
      <c r="H343" s="4">
        <v>306</v>
      </c>
      <c r="I343" s="4">
        <v>11</v>
      </c>
      <c r="J343" s="41">
        <v>45582</v>
      </c>
      <c r="L343" s="86">
        <v>0.62</v>
      </c>
      <c r="M343" s="86">
        <v>1.67</v>
      </c>
    </row>
    <row r="344" spans="1:13" x14ac:dyDescent="0.25">
      <c r="A344" s="4">
        <v>2</v>
      </c>
      <c r="B344" s="4">
        <v>6</v>
      </c>
      <c r="C344" s="4">
        <v>3</v>
      </c>
      <c r="D344" s="4">
        <v>23</v>
      </c>
      <c r="E344" s="4">
        <v>11</v>
      </c>
      <c r="F344" s="4" t="s">
        <v>30</v>
      </c>
      <c r="G344" t="s">
        <v>31</v>
      </c>
      <c r="H344" s="4">
        <v>206</v>
      </c>
      <c r="I344" s="4">
        <v>11</v>
      </c>
      <c r="J344" s="41">
        <v>45582</v>
      </c>
      <c r="L344" s="86">
        <v>0.65</v>
      </c>
      <c r="M344" s="86">
        <v>3.08</v>
      </c>
    </row>
    <row r="345" spans="1:13" x14ac:dyDescent="0.25">
      <c r="A345" s="4">
        <v>1</v>
      </c>
      <c r="B345" s="4">
        <v>6</v>
      </c>
      <c r="C345" s="4">
        <v>3</v>
      </c>
      <c r="D345" s="4">
        <v>24</v>
      </c>
      <c r="E345" s="4">
        <v>6</v>
      </c>
      <c r="F345" s="4" t="s">
        <v>30</v>
      </c>
      <c r="G345" t="s">
        <v>29</v>
      </c>
      <c r="H345" s="4">
        <v>106</v>
      </c>
      <c r="I345" s="4">
        <v>11</v>
      </c>
      <c r="J345" s="41">
        <v>45582</v>
      </c>
      <c r="L345" s="86">
        <v>0.6</v>
      </c>
      <c r="M345" s="86">
        <v>1.63</v>
      </c>
    </row>
    <row r="346" spans="1:13" x14ac:dyDescent="0.25">
      <c r="A346" s="4">
        <v>1</v>
      </c>
      <c r="B346" s="4">
        <v>7</v>
      </c>
      <c r="C346" s="4">
        <v>4</v>
      </c>
      <c r="D346" s="4">
        <v>25</v>
      </c>
      <c r="E346" s="4">
        <v>7</v>
      </c>
      <c r="F346" s="4" t="s">
        <v>25</v>
      </c>
      <c r="G346" t="s">
        <v>29</v>
      </c>
      <c r="H346" s="4">
        <v>107</v>
      </c>
      <c r="I346" s="4">
        <v>11</v>
      </c>
      <c r="J346" s="41">
        <v>45582</v>
      </c>
      <c r="L346" s="86">
        <v>0.63</v>
      </c>
      <c r="M346" s="86">
        <v>2.7</v>
      </c>
    </row>
    <row r="347" spans="1:13" x14ac:dyDescent="0.25">
      <c r="A347" s="4">
        <v>2</v>
      </c>
      <c r="B347" s="4">
        <v>7</v>
      </c>
      <c r="C347" s="4">
        <v>4</v>
      </c>
      <c r="D347" s="4">
        <v>26</v>
      </c>
      <c r="E347" s="4">
        <v>10</v>
      </c>
      <c r="F347" s="4" t="s">
        <v>25</v>
      </c>
      <c r="G347" t="s">
        <v>28</v>
      </c>
      <c r="H347" s="4">
        <v>207</v>
      </c>
      <c r="I347" s="4">
        <v>11</v>
      </c>
      <c r="J347" s="41">
        <v>45582</v>
      </c>
      <c r="L347" s="86">
        <v>0.49</v>
      </c>
      <c r="M347" s="86">
        <v>2.7</v>
      </c>
    </row>
    <row r="348" spans="1:13" x14ac:dyDescent="0.25">
      <c r="A348" s="4">
        <v>3</v>
      </c>
      <c r="B348" s="4">
        <v>7</v>
      </c>
      <c r="C348" s="4">
        <v>4</v>
      </c>
      <c r="D348" s="4">
        <v>27</v>
      </c>
      <c r="E348" s="4">
        <v>23</v>
      </c>
      <c r="F348" s="4" t="s">
        <v>25</v>
      </c>
      <c r="G348" t="s">
        <v>27</v>
      </c>
      <c r="H348" s="4">
        <v>307</v>
      </c>
      <c r="I348" s="4">
        <v>11</v>
      </c>
      <c r="J348" s="41">
        <v>45582</v>
      </c>
      <c r="L348" s="86">
        <v>0.53</v>
      </c>
      <c r="M348" s="86">
        <v>8.64</v>
      </c>
    </row>
    <row r="349" spans="1:13" x14ac:dyDescent="0.25">
      <c r="A349" s="4">
        <v>4</v>
      </c>
      <c r="B349" s="4">
        <v>7</v>
      </c>
      <c r="C349" s="4">
        <v>4</v>
      </c>
      <c r="D349" s="4">
        <v>28</v>
      </c>
      <c r="E349" s="4">
        <v>26</v>
      </c>
      <c r="F349" s="4" t="s">
        <v>25</v>
      </c>
      <c r="G349" t="s">
        <v>26</v>
      </c>
      <c r="H349" s="4">
        <v>407</v>
      </c>
      <c r="I349" s="4">
        <v>11</v>
      </c>
      <c r="J349" s="41">
        <v>45582</v>
      </c>
      <c r="L349" s="86">
        <v>0.57999999999999996</v>
      </c>
      <c r="M349" s="86">
        <v>2.14</v>
      </c>
    </row>
    <row r="350" spans="1:13" x14ac:dyDescent="0.25">
      <c r="A350" s="4">
        <v>4</v>
      </c>
      <c r="B350" s="4">
        <v>8</v>
      </c>
      <c r="C350" s="4">
        <v>4</v>
      </c>
      <c r="D350" s="4">
        <v>29</v>
      </c>
      <c r="E350" s="4">
        <v>25</v>
      </c>
      <c r="F350" s="4" t="s">
        <v>30</v>
      </c>
      <c r="G350" t="s">
        <v>31</v>
      </c>
      <c r="H350" s="4">
        <v>408</v>
      </c>
      <c r="I350" s="4">
        <v>11</v>
      </c>
      <c r="J350" s="41">
        <v>45582</v>
      </c>
      <c r="L350" s="86">
        <v>0.57999999999999996</v>
      </c>
      <c r="M350" s="86">
        <v>2.35</v>
      </c>
    </row>
    <row r="351" spans="1:13" x14ac:dyDescent="0.25">
      <c r="A351" s="4">
        <v>3</v>
      </c>
      <c r="B351" s="4">
        <v>8</v>
      </c>
      <c r="C351" s="4">
        <v>4</v>
      </c>
      <c r="D351" s="4">
        <v>30</v>
      </c>
      <c r="E351" s="4">
        <v>24</v>
      </c>
      <c r="F351" s="4" t="s">
        <v>30</v>
      </c>
      <c r="G351" t="s">
        <v>28</v>
      </c>
      <c r="H351" s="4">
        <v>308</v>
      </c>
      <c r="I351" s="4">
        <v>11</v>
      </c>
      <c r="J351" s="41">
        <v>45582</v>
      </c>
      <c r="L351" s="86">
        <v>0.57999999999999996</v>
      </c>
      <c r="M351" s="86">
        <v>5.68</v>
      </c>
    </row>
    <row r="352" spans="1:13" x14ac:dyDescent="0.25">
      <c r="A352" s="4">
        <v>2</v>
      </c>
      <c r="B352" s="4">
        <v>8</v>
      </c>
      <c r="C352" s="4">
        <v>4</v>
      </c>
      <c r="D352" s="4">
        <v>31</v>
      </c>
      <c r="E352" s="4">
        <v>9</v>
      </c>
      <c r="F352" s="4" t="s">
        <v>30</v>
      </c>
      <c r="G352" t="s">
        <v>29</v>
      </c>
      <c r="H352" s="4">
        <v>208</v>
      </c>
      <c r="I352" s="4">
        <v>11</v>
      </c>
      <c r="J352" s="41">
        <v>45582</v>
      </c>
      <c r="L352" s="86">
        <v>0.63</v>
      </c>
      <c r="M352" s="86">
        <v>1.92</v>
      </c>
    </row>
    <row r="353" spans="1:17" x14ac:dyDescent="0.25">
      <c r="A353" s="4">
        <v>1</v>
      </c>
      <c r="B353" s="4">
        <v>8</v>
      </c>
      <c r="C353" s="4">
        <v>4</v>
      </c>
      <c r="D353" s="4">
        <v>32</v>
      </c>
      <c r="E353" s="4">
        <v>8</v>
      </c>
      <c r="F353" s="4" t="s">
        <v>30</v>
      </c>
      <c r="G353" t="s">
        <v>32</v>
      </c>
      <c r="H353" s="4">
        <v>108</v>
      </c>
      <c r="I353" s="4">
        <v>11</v>
      </c>
      <c r="J353" s="41">
        <v>45582</v>
      </c>
      <c r="L353" s="86">
        <v>0.62</v>
      </c>
      <c r="M353" s="86">
        <v>2.8</v>
      </c>
    </row>
    <row r="354" spans="1:17" x14ac:dyDescent="0.25">
      <c r="A354" s="4">
        <v>1</v>
      </c>
      <c r="B354" s="4">
        <v>1</v>
      </c>
      <c r="C354" s="4">
        <v>1</v>
      </c>
      <c r="D354" s="4">
        <v>1</v>
      </c>
      <c r="E354" s="4">
        <v>1</v>
      </c>
      <c r="F354" s="4" t="s">
        <v>25</v>
      </c>
      <c r="G354" t="s">
        <v>26</v>
      </c>
      <c r="H354" s="4">
        <v>101</v>
      </c>
      <c r="I354" s="4">
        <v>12</v>
      </c>
      <c r="J354" s="41">
        <v>45594</v>
      </c>
      <c r="L354" s="91">
        <v>0.48</v>
      </c>
      <c r="M354" s="91">
        <v>3.43</v>
      </c>
      <c r="P354" s="91"/>
      <c r="Q354" s="91"/>
    </row>
    <row r="355" spans="1:17" x14ac:dyDescent="0.25">
      <c r="A355" s="4">
        <v>2</v>
      </c>
      <c r="B355" s="4">
        <v>1</v>
      </c>
      <c r="C355" s="4">
        <v>1</v>
      </c>
      <c r="D355" s="4">
        <v>2</v>
      </c>
      <c r="E355" s="4">
        <v>16</v>
      </c>
      <c r="F355" s="4" t="s">
        <v>25</v>
      </c>
      <c r="G355" t="s">
        <v>27</v>
      </c>
      <c r="H355" s="4">
        <v>201</v>
      </c>
      <c r="I355" s="4">
        <v>12</v>
      </c>
      <c r="J355" s="41">
        <v>45594</v>
      </c>
      <c r="L355" s="91">
        <v>0.36</v>
      </c>
      <c r="M355" s="91">
        <v>4.68</v>
      </c>
      <c r="P355" s="91"/>
      <c r="Q355" s="91"/>
    </row>
    <row r="356" spans="1:17" x14ac:dyDescent="0.25">
      <c r="A356" s="4">
        <v>3</v>
      </c>
      <c r="B356" s="4">
        <v>1</v>
      </c>
      <c r="C356" s="4">
        <v>1</v>
      </c>
      <c r="D356" s="4">
        <v>3</v>
      </c>
      <c r="E356" s="4">
        <v>17</v>
      </c>
      <c r="F356" s="4" t="s">
        <v>25</v>
      </c>
      <c r="G356" t="s">
        <v>28</v>
      </c>
      <c r="H356" s="4">
        <v>301</v>
      </c>
      <c r="I356" s="4">
        <v>12</v>
      </c>
      <c r="J356" s="41">
        <v>45594</v>
      </c>
      <c r="L356" s="91">
        <v>0.32</v>
      </c>
      <c r="M356" s="91">
        <v>5.08</v>
      </c>
      <c r="P356" s="91"/>
      <c r="Q356" s="91"/>
    </row>
    <row r="357" spans="1:17" x14ac:dyDescent="0.25">
      <c r="A357" s="4">
        <v>4</v>
      </c>
      <c r="B357" s="4">
        <v>1</v>
      </c>
      <c r="C357" s="4">
        <v>1</v>
      </c>
      <c r="D357" s="4">
        <v>4</v>
      </c>
      <c r="E357" s="4">
        <v>32</v>
      </c>
      <c r="F357" s="4" t="s">
        <v>25</v>
      </c>
      <c r="G357" t="s">
        <v>29</v>
      </c>
      <c r="H357" s="4">
        <v>401</v>
      </c>
      <c r="I357" s="4">
        <v>12</v>
      </c>
      <c r="J357" s="41">
        <v>45594</v>
      </c>
      <c r="L357" s="91">
        <v>0.35</v>
      </c>
      <c r="M357" s="91">
        <v>4.59</v>
      </c>
      <c r="P357" s="91"/>
      <c r="Q357" s="91"/>
    </row>
    <row r="358" spans="1:17" x14ac:dyDescent="0.25">
      <c r="A358" s="4">
        <v>4</v>
      </c>
      <c r="B358" s="4">
        <v>2</v>
      </c>
      <c r="C358" s="4">
        <v>1</v>
      </c>
      <c r="D358" s="4">
        <v>5</v>
      </c>
      <c r="E358" s="4">
        <v>31</v>
      </c>
      <c r="F358" s="4" t="s">
        <v>30</v>
      </c>
      <c r="G358" t="s">
        <v>32</v>
      </c>
      <c r="H358" s="4">
        <v>402</v>
      </c>
      <c r="I358" s="4">
        <v>12</v>
      </c>
      <c r="J358" s="41">
        <v>45594</v>
      </c>
      <c r="L358" s="91">
        <v>0.42</v>
      </c>
      <c r="M358" s="91">
        <v>4.18</v>
      </c>
      <c r="P358" s="91"/>
      <c r="Q358" s="91"/>
    </row>
    <row r="359" spans="1:17" x14ac:dyDescent="0.25">
      <c r="A359" s="4">
        <v>3</v>
      </c>
      <c r="B359" s="4">
        <v>2</v>
      </c>
      <c r="C359" s="4">
        <v>1</v>
      </c>
      <c r="D359" s="4">
        <v>6</v>
      </c>
      <c r="E359" s="4">
        <v>18</v>
      </c>
      <c r="F359" s="4" t="s">
        <v>30</v>
      </c>
      <c r="G359" t="s">
        <v>29</v>
      </c>
      <c r="H359" s="4">
        <v>302</v>
      </c>
      <c r="I359" s="4">
        <v>12</v>
      </c>
      <c r="J359" s="41">
        <v>45594</v>
      </c>
      <c r="L359" s="91">
        <v>0.4</v>
      </c>
      <c r="M359" s="91">
        <v>5.29</v>
      </c>
      <c r="P359" s="91"/>
      <c r="Q359" s="91"/>
    </row>
    <row r="360" spans="1:17" x14ac:dyDescent="0.25">
      <c r="A360" s="4">
        <v>2</v>
      </c>
      <c r="B360" s="4">
        <v>2</v>
      </c>
      <c r="C360" s="4">
        <v>1</v>
      </c>
      <c r="D360" s="4">
        <v>7</v>
      </c>
      <c r="E360" s="4">
        <v>15</v>
      </c>
      <c r="F360" s="4" t="s">
        <v>30</v>
      </c>
      <c r="G360" t="s">
        <v>28</v>
      </c>
      <c r="H360" s="4">
        <v>202</v>
      </c>
      <c r="I360" s="4">
        <v>12</v>
      </c>
      <c r="J360" s="41">
        <v>45594</v>
      </c>
      <c r="L360" s="91">
        <v>0.37</v>
      </c>
      <c r="M360" s="91">
        <v>3.32</v>
      </c>
      <c r="P360" s="91"/>
      <c r="Q360" s="91"/>
    </row>
    <row r="361" spans="1:17" x14ac:dyDescent="0.25">
      <c r="A361" s="4">
        <v>1</v>
      </c>
      <c r="B361" s="4">
        <v>2</v>
      </c>
      <c r="C361" s="4">
        <v>1</v>
      </c>
      <c r="D361" s="4">
        <v>8</v>
      </c>
      <c r="E361" s="4">
        <v>2</v>
      </c>
      <c r="F361" s="4" t="s">
        <v>30</v>
      </c>
      <c r="G361" t="s">
        <v>31</v>
      </c>
      <c r="H361" s="4">
        <v>102</v>
      </c>
      <c r="I361" s="4">
        <v>12</v>
      </c>
      <c r="J361" s="41">
        <v>45594</v>
      </c>
      <c r="L361" s="91">
        <v>0.41</v>
      </c>
      <c r="M361" s="91">
        <v>5.7</v>
      </c>
      <c r="P361" s="91"/>
      <c r="Q361" s="91"/>
    </row>
    <row r="362" spans="1:17" x14ac:dyDescent="0.25">
      <c r="A362" s="4">
        <v>1</v>
      </c>
      <c r="B362" s="4">
        <v>3</v>
      </c>
      <c r="C362" s="4">
        <v>2</v>
      </c>
      <c r="D362" s="4">
        <v>9</v>
      </c>
      <c r="E362" s="4">
        <v>3</v>
      </c>
      <c r="F362" s="4" t="s">
        <v>25</v>
      </c>
      <c r="G362" t="s">
        <v>27</v>
      </c>
      <c r="H362" s="4">
        <v>103</v>
      </c>
      <c r="I362" s="4">
        <v>12</v>
      </c>
      <c r="J362" s="41">
        <v>45594</v>
      </c>
      <c r="L362" s="91">
        <v>0.43</v>
      </c>
      <c r="M362" s="91">
        <v>5.61</v>
      </c>
      <c r="P362" s="91"/>
      <c r="Q362" s="91"/>
    </row>
    <row r="363" spans="1:17" x14ac:dyDescent="0.25">
      <c r="A363" s="4">
        <v>2</v>
      </c>
      <c r="B363" s="4">
        <v>3</v>
      </c>
      <c r="C363" s="4">
        <v>2</v>
      </c>
      <c r="D363" s="4">
        <v>10</v>
      </c>
      <c r="E363" s="4">
        <v>14</v>
      </c>
      <c r="F363" s="4" t="s">
        <v>25</v>
      </c>
      <c r="G363" t="s">
        <v>29</v>
      </c>
      <c r="H363" s="4">
        <v>203</v>
      </c>
      <c r="I363" s="4">
        <v>12</v>
      </c>
      <c r="J363" s="41">
        <v>45594</v>
      </c>
      <c r="L363" s="91">
        <v>0.31</v>
      </c>
      <c r="M363" s="91">
        <v>1.72</v>
      </c>
      <c r="P363" s="91"/>
      <c r="Q363" s="91"/>
    </row>
    <row r="364" spans="1:17" x14ac:dyDescent="0.25">
      <c r="A364" s="4">
        <v>3</v>
      </c>
      <c r="B364" s="4">
        <v>3</v>
      </c>
      <c r="C364" s="4">
        <v>2</v>
      </c>
      <c r="D364" s="4">
        <v>11</v>
      </c>
      <c r="E364" s="4">
        <v>19</v>
      </c>
      <c r="F364" s="4" t="s">
        <v>25</v>
      </c>
      <c r="G364" t="s">
        <v>26</v>
      </c>
      <c r="H364" s="4">
        <v>303</v>
      </c>
      <c r="I364" s="4">
        <v>12</v>
      </c>
      <c r="J364" s="41">
        <v>45594</v>
      </c>
      <c r="L364" s="91">
        <v>0.5</v>
      </c>
      <c r="M364" s="91">
        <v>1.47</v>
      </c>
      <c r="P364" s="91"/>
      <c r="Q364" s="91"/>
    </row>
    <row r="365" spans="1:17" x14ac:dyDescent="0.25">
      <c r="A365" s="4">
        <v>4</v>
      </c>
      <c r="B365" s="4">
        <v>3</v>
      </c>
      <c r="C365" s="4">
        <v>2</v>
      </c>
      <c r="D365" s="4">
        <v>12</v>
      </c>
      <c r="E365" s="4">
        <v>30</v>
      </c>
      <c r="F365" s="4" t="s">
        <v>25</v>
      </c>
      <c r="G365" t="s">
        <v>28</v>
      </c>
      <c r="H365" s="4">
        <v>403</v>
      </c>
      <c r="I365" s="4">
        <v>12</v>
      </c>
      <c r="J365" s="41">
        <v>45594</v>
      </c>
      <c r="L365" s="91">
        <v>0.28000000000000003</v>
      </c>
      <c r="M365" s="91">
        <v>2.97</v>
      </c>
      <c r="P365" s="91"/>
      <c r="Q365" s="91"/>
    </row>
    <row r="366" spans="1:17" x14ac:dyDescent="0.25">
      <c r="A366" s="4">
        <v>4</v>
      </c>
      <c r="B366" s="4">
        <v>4</v>
      </c>
      <c r="C366" s="4">
        <v>2</v>
      </c>
      <c r="D366" s="4">
        <v>13</v>
      </c>
      <c r="E366" s="4">
        <v>29</v>
      </c>
      <c r="F366" s="4" t="s">
        <v>30</v>
      </c>
      <c r="G366" t="s">
        <v>29</v>
      </c>
      <c r="H366" s="4">
        <v>404</v>
      </c>
      <c r="I366" s="4">
        <v>12</v>
      </c>
      <c r="J366" s="41">
        <v>45594</v>
      </c>
      <c r="L366" s="91">
        <v>0.33</v>
      </c>
      <c r="M366" s="91">
        <v>2.31</v>
      </c>
      <c r="P366" s="91"/>
      <c r="Q366" s="91"/>
    </row>
    <row r="367" spans="1:17" x14ac:dyDescent="0.25">
      <c r="A367" s="4">
        <v>3</v>
      </c>
      <c r="B367" s="4">
        <v>4</v>
      </c>
      <c r="C367" s="4">
        <v>2</v>
      </c>
      <c r="D367" s="4">
        <v>14</v>
      </c>
      <c r="E367" s="4">
        <v>20</v>
      </c>
      <c r="F367" s="4" t="s">
        <v>30</v>
      </c>
      <c r="G367" t="s">
        <v>31</v>
      </c>
      <c r="H367" s="4">
        <v>304</v>
      </c>
      <c r="I367" s="4">
        <v>12</v>
      </c>
      <c r="J367" s="41">
        <v>45594</v>
      </c>
      <c r="L367" s="91">
        <v>0.41</v>
      </c>
      <c r="M367" s="91">
        <v>2.5</v>
      </c>
      <c r="P367" s="91"/>
      <c r="Q367" s="91"/>
    </row>
    <row r="368" spans="1:17" x14ac:dyDescent="0.25">
      <c r="A368" s="4">
        <v>2</v>
      </c>
      <c r="B368" s="4">
        <v>4</v>
      </c>
      <c r="C368" s="4">
        <v>2</v>
      </c>
      <c r="D368" s="4">
        <v>15</v>
      </c>
      <c r="E368" s="4">
        <v>13</v>
      </c>
      <c r="F368" s="4" t="s">
        <v>30</v>
      </c>
      <c r="G368" t="s">
        <v>32</v>
      </c>
      <c r="H368" s="4">
        <v>204</v>
      </c>
      <c r="I368" s="4">
        <v>12</v>
      </c>
      <c r="J368" s="41">
        <v>45594</v>
      </c>
      <c r="L368" s="91">
        <v>0.41</v>
      </c>
      <c r="M368" s="91">
        <v>2.99</v>
      </c>
      <c r="P368" s="91"/>
      <c r="Q368" s="91"/>
    </row>
    <row r="369" spans="1:17" x14ac:dyDescent="0.25">
      <c r="A369" s="4">
        <v>1</v>
      </c>
      <c r="B369" s="4">
        <v>4</v>
      </c>
      <c r="C369" s="4">
        <v>2</v>
      </c>
      <c r="D369" s="4">
        <v>16</v>
      </c>
      <c r="E369" s="4">
        <v>4</v>
      </c>
      <c r="F369" s="4" t="s">
        <v>30</v>
      </c>
      <c r="G369" t="s">
        <v>28</v>
      </c>
      <c r="H369" s="4">
        <v>104</v>
      </c>
      <c r="I369" s="4">
        <v>12</v>
      </c>
      <c r="J369" s="41">
        <v>45594</v>
      </c>
      <c r="L369" s="91">
        <v>0.43</v>
      </c>
      <c r="M369" s="91">
        <v>1.8</v>
      </c>
      <c r="P369" s="91"/>
      <c r="Q369" s="91"/>
    </row>
    <row r="370" spans="1:17" x14ac:dyDescent="0.25">
      <c r="A370" s="4">
        <v>1</v>
      </c>
      <c r="B370" s="4">
        <v>5</v>
      </c>
      <c r="C370" s="4">
        <v>3</v>
      </c>
      <c r="D370" s="4">
        <v>17</v>
      </c>
      <c r="E370" s="4">
        <v>5</v>
      </c>
      <c r="F370" s="4" t="s">
        <v>25</v>
      </c>
      <c r="G370" t="s">
        <v>28</v>
      </c>
      <c r="H370" s="4">
        <v>105</v>
      </c>
      <c r="I370" s="4">
        <v>12</v>
      </c>
      <c r="J370" s="41">
        <v>45594</v>
      </c>
      <c r="L370" s="91">
        <v>0.38</v>
      </c>
      <c r="M370" s="91">
        <v>4.63</v>
      </c>
      <c r="P370" s="91"/>
      <c r="Q370" s="91"/>
    </row>
    <row r="371" spans="1:17" x14ac:dyDescent="0.25">
      <c r="A371" s="4">
        <v>2</v>
      </c>
      <c r="B371" s="4">
        <v>5</v>
      </c>
      <c r="C371" s="4">
        <v>3</v>
      </c>
      <c r="D371" s="4">
        <v>18</v>
      </c>
      <c r="E371" s="4">
        <v>12</v>
      </c>
      <c r="F371" s="4" t="s">
        <v>25</v>
      </c>
      <c r="G371" t="s">
        <v>26</v>
      </c>
      <c r="H371" s="4">
        <v>205</v>
      </c>
      <c r="I371" s="4">
        <v>12</v>
      </c>
      <c r="J371" s="41">
        <v>45594</v>
      </c>
      <c r="L371" s="91">
        <v>0.54</v>
      </c>
      <c r="M371" s="91">
        <v>5.24</v>
      </c>
      <c r="P371" s="91"/>
      <c r="Q371" s="91"/>
    </row>
    <row r="372" spans="1:17" x14ac:dyDescent="0.25">
      <c r="A372" s="4">
        <v>3</v>
      </c>
      <c r="B372" s="4">
        <v>5</v>
      </c>
      <c r="C372" s="4">
        <v>3</v>
      </c>
      <c r="D372" s="4">
        <v>19</v>
      </c>
      <c r="E372" s="4">
        <v>21</v>
      </c>
      <c r="F372" s="4" t="s">
        <v>25</v>
      </c>
      <c r="G372" t="s">
        <v>29</v>
      </c>
      <c r="H372" s="4">
        <v>305</v>
      </c>
      <c r="I372" s="4">
        <v>12</v>
      </c>
      <c r="J372" s="41">
        <v>45594</v>
      </c>
      <c r="L372" s="91">
        <v>0.33</v>
      </c>
      <c r="M372" s="91">
        <v>2.59</v>
      </c>
      <c r="P372" s="91"/>
      <c r="Q372" s="91"/>
    </row>
    <row r="373" spans="1:17" x14ac:dyDescent="0.25">
      <c r="A373" s="4">
        <v>4</v>
      </c>
      <c r="B373" s="4">
        <v>5</v>
      </c>
      <c r="C373" s="4">
        <v>3</v>
      </c>
      <c r="D373" s="4">
        <v>20</v>
      </c>
      <c r="E373" s="4">
        <v>28</v>
      </c>
      <c r="F373" s="4" t="s">
        <v>25</v>
      </c>
      <c r="G373" t="s">
        <v>27</v>
      </c>
      <c r="H373" s="4">
        <v>405</v>
      </c>
      <c r="I373" s="4">
        <v>12</v>
      </c>
      <c r="J373" s="41">
        <v>45594</v>
      </c>
      <c r="L373" s="91">
        <v>0.36</v>
      </c>
      <c r="M373" s="91">
        <v>2.5</v>
      </c>
      <c r="P373" s="91"/>
      <c r="Q373" s="91"/>
    </row>
    <row r="374" spans="1:17" x14ac:dyDescent="0.25">
      <c r="A374" s="4">
        <v>4</v>
      </c>
      <c r="B374" s="4">
        <v>6</v>
      </c>
      <c r="C374" s="4">
        <v>3</v>
      </c>
      <c r="D374" s="4">
        <v>21</v>
      </c>
      <c r="E374" s="4">
        <v>27</v>
      </c>
      <c r="F374" s="4" t="s">
        <v>30</v>
      </c>
      <c r="G374" t="s">
        <v>28</v>
      </c>
      <c r="H374" s="4">
        <v>406</v>
      </c>
      <c r="I374" s="4">
        <v>12</v>
      </c>
      <c r="J374" s="41">
        <v>45594</v>
      </c>
      <c r="L374" s="91">
        <v>0.33</v>
      </c>
      <c r="M374" s="91">
        <v>2.04</v>
      </c>
      <c r="P374" s="91"/>
      <c r="Q374" s="91"/>
    </row>
    <row r="375" spans="1:17" x14ac:dyDescent="0.25">
      <c r="A375" s="4">
        <v>3</v>
      </c>
      <c r="B375" s="4">
        <v>6</v>
      </c>
      <c r="C375" s="4">
        <v>3</v>
      </c>
      <c r="D375" s="4">
        <v>22</v>
      </c>
      <c r="E375" s="4">
        <v>22</v>
      </c>
      <c r="F375" s="4" t="s">
        <v>30</v>
      </c>
      <c r="G375" t="s">
        <v>32</v>
      </c>
      <c r="H375" s="4">
        <v>306</v>
      </c>
      <c r="I375" s="4">
        <v>12</v>
      </c>
      <c r="J375" s="41">
        <v>45594</v>
      </c>
      <c r="L375" s="91">
        <v>0.43</v>
      </c>
      <c r="M375" s="91">
        <v>1.87</v>
      </c>
      <c r="P375" s="91"/>
      <c r="Q375" s="91"/>
    </row>
    <row r="376" spans="1:17" x14ac:dyDescent="0.25">
      <c r="A376" s="4">
        <v>2</v>
      </c>
      <c r="B376" s="4">
        <v>6</v>
      </c>
      <c r="C376" s="4">
        <v>3</v>
      </c>
      <c r="D376" s="4">
        <v>23</v>
      </c>
      <c r="E376" s="4">
        <v>11</v>
      </c>
      <c r="F376" s="4" t="s">
        <v>30</v>
      </c>
      <c r="G376" t="s">
        <v>31</v>
      </c>
      <c r="H376" s="4">
        <v>206</v>
      </c>
      <c r="I376" s="4">
        <v>12</v>
      </c>
      <c r="J376" s="41">
        <v>45594</v>
      </c>
      <c r="L376" s="91">
        <v>0.44</v>
      </c>
      <c r="M376" s="91">
        <v>6.85</v>
      </c>
      <c r="P376" s="91"/>
      <c r="Q376" s="91"/>
    </row>
    <row r="377" spans="1:17" x14ac:dyDescent="0.25">
      <c r="A377" s="4">
        <v>1</v>
      </c>
      <c r="B377" s="4">
        <v>6</v>
      </c>
      <c r="C377" s="4">
        <v>3</v>
      </c>
      <c r="D377" s="4">
        <v>24</v>
      </c>
      <c r="E377" s="4">
        <v>6</v>
      </c>
      <c r="F377" s="4" t="s">
        <v>30</v>
      </c>
      <c r="G377" t="s">
        <v>29</v>
      </c>
      <c r="H377" s="4">
        <v>106</v>
      </c>
      <c r="I377" s="4">
        <v>12</v>
      </c>
      <c r="J377" s="41">
        <v>45594</v>
      </c>
      <c r="L377" s="91">
        <v>0.47</v>
      </c>
      <c r="M377" s="91">
        <v>3.72</v>
      </c>
      <c r="P377" s="91"/>
      <c r="Q377" s="91"/>
    </row>
    <row r="378" spans="1:17" x14ac:dyDescent="0.25">
      <c r="A378" s="4">
        <v>1</v>
      </c>
      <c r="B378" s="4">
        <v>7</v>
      </c>
      <c r="C378" s="4">
        <v>4</v>
      </c>
      <c r="D378" s="4">
        <v>25</v>
      </c>
      <c r="E378" s="4">
        <v>7</v>
      </c>
      <c r="F378" s="4" t="s">
        <v>25</v>
      </c>
      <c r="G378" t="s">
        <v>29</v>
      </c>
      <c r="H378" s="4">
        <v>107</v>
      </c>
      <c r="I378" s="4">
        <v>12</v>
      </c>
      <c r="J378" s="41">
        <v>45594</v>
      </c>
      <c r="L378" s="91">
        <v>0.39</v>
      </c>
      <c r="M378" s="91">
        <v>1.58</v>
      </c>
      <c r="P378" s="91"/>
      <c r="Q378" s="91"/>
    </row>
    <row r="379" spans="1:17" x14ac:dyDescent="0.25">
      <c r="A379" s="4">
        <v>2</v>
      </c>
      <c r="B379" s="4">
        <v>7</v>
      </c>
      <c r="C379" s="4">
        <v>4</v>
      </c>
      <c r="D379" s="4">
        <v>26</v>
      </c>
      <c r="E379" s="4">
        <v>10</v>
      </c>
      <c r="F379" s="4" t="s">
        <v>25</v>
      </c>
      <c r="G379" t="s">
        <v>28</v>
      </c>
      <c r="H379" s="4">
        <v>207</v>
      </c>
      <c r="I379" s="4">
        <v>12</v>
      </c>
      <c r="J379" s="41">
        <v>45594</v>
      </c>
      <c r="L379" s="91">
        <v>0.3</v>
      </c>
      <c r="M379" s="91">
        <v>1.92</v>
      </c>
      <c r="P379" s="91"/>
      <c r="Q379" s="91"/>
    </row>
    <row r="380" spans="1:17" x14ac:dyDescent="0.25">
      <c r="A380" s="4">
        <v>3</v>
      </c>
      <c r="B380" s="4">
        <v>7</v>
      </c>
      <c r="C380" s="4">
        <v>4</v>
      </c>
      <c r="D380" s="4">
        <v>27</v>
      </c>
      <c r="E380" s="4">
        <v>23</v>
      </c>
      <c r="F380" s="4" t="s">
        <v>25</v>
      </c>
      <c r="G380" t="s">
        <v>27</v>
      </c>
      <c r="H380" s="4">
        <v>307</v>
      </c>
      <c r="I380" s="4">
        <v>12</v>
      </c>
      <c r="J380" s="41">
        <v>45594</v>
      </c>
      <c r="L380" s="91">
        <v>0.35</v>
      </c>
      <c r="M380" s="91">
        <v>5.05</v>
      </c>
      <c r="P380" s="91"/>
      <c r="Q380" s="91"/>
    </row>
    <row r="381" spans="1:17" x14ac:dyDescent="0.25">
      <c r="A381" s="4">
        <v>4</v>
      </c>
      <c r="B381" s="4">
        <v>7</v>
      </c>
      <c r="C381" s="4">
        <v>4</v>
      </c>
      <c r="D381" s="4">
        <v>28</v>
      </c>
      <c r="E381" s="4">
        <v>26</v>
      </c>
      <c r="F381" s="4" t="s">
        <v>25</v>
      </c>
      <c r="G381" t="s">
        <v>26</v>
      </c>
      <c r="H381" s="4">
        <v>407</v>
      </c>
      <c r="I381" s="4">
        <v>12</v>
      </c>
      <c r="J381" s="41">
        <v>45594</v>
      </c>
      <c r="L381" s="91">
        <v>0.47</v>
      </c>
      <c r="M381" s="91">
        <v>2.5099999999999998</v>
      </c>
      <c r="P381" s="91"/>
      <c r="Q381" s="91"/>
    </row>
    <row r="382" spans="1:17" x14ac:dyDescent="0.25">
      <c r="A382" s="4">
        <v>4</v>
      </c>
      <c r="B382" s="4">
        <v>8</v>
      </c>
      <c r="C382" s="4">
        <v>4</v>
      </c>
      <c r="D382" s="4">
        <v>29</v>
      </c>
      <c r="E382" s="4">
        <v>25</v>
      </c>
      <c r="F382" s="4" t="s">
        <v>30</v>
      </c>
      <c r="G382" t="s">
        <v>31</v>
      </c>
      <c r="H382" s="4">
        <v>408</v>
      </c>
      <c r="I382" s="4">
        <v>12</v>
      </c>
      <c r="J382" s="41">
        <v>45594</v>
      </c>
      <c r="L382" s="91">
        <v>0.35</v>
      </c>
      <c r="M382" s="91">
        <v>1</v>
      </c>
      <c r="P382" s="91"/>
      <c r="Q382" s="91"/>
    </row>
    <row r="383" spans="1:17" x14ac:dyDescent="0.25">
      <c r="A383" s="4">
        <v>3</v>
      </c>
      <c r="B383" s="4">
        <v>8</v>
      </c>
      <c r="C383" s="4">
        <v>4</v>
      </c>
      <c r="D383" s="4">
        <v>30</v>
      </c>
      <c r="E383" s="4">
        <v>24</v>
      </c>
      <c r="F383" s="4" t="s">
        <v>30</v>
      </c>
      <c r="G383" t="s">
        <v>28</v>
      </c>
      <c r="H383" s="4">
        <v>308</v>
      </c>
      <c r="I383" s="4">
        <v>12</v>
      </c>
      <c r="J383" s="41">
        <v>45594</v>
      </c>
      <c r="L383" s="91">
        <v>0.42</v>
      </c>
      <c r="M383" s="91">
        <v>3.14</v>
      </c>
      <c r="P383" s="91"/>
      <c r="Q383" s="91"/>
    </row>
    <row r="384" spans="1:17" x14ac:dyDescent="0.25">
      <c r="A384" s="4">
        <v>2</v>
      </c>
      <c r="B384" s="4">
        <v>8</v>
      </c>
      <c r="C384" s="4">
        <v>4</v>
      </c>
      <c r="D384" s="4">
        <v>31</v>
      </c>
      <c r="E384" s="4">
        <v>9</v>
      </c>
      <c r="F384" s="4" t="s">
        <v>30</v>
      </c>
      <c r="G384" t="s">
        <v>29</v>
      </c>
      <c r="H384" s="4">
        <v>208</v>
      </c>
      <c r="I384" s="4">
        <v>12</v>
      </c>
      <c r="J384" s="41">
        <v>45594</v>
      </c>
      <c r="L384" s="91">
        <v>0.43</v>
      </c>
      <c r="M384" s="91">
        <v>1.79</v>
      </c>
      <c r="P384" s="91"/>
      <c r="Q384" s="91"/>
    </row>
    <row r="385" spans="1:17" x14ac:dyDescent="0.25">
      <c r="A385" s="4">
        <v>1</v>
      </c>
      <c r="B385" s="4">
        <v>8</v>
      </c>
      <c r="C385" s="4">
        <v>4</v>
      </c>
      <c r="D385" s="4">
        <v>32</v>
      </c>
      <c r="E385" s="4">
        <v>8</v>
      </c>
      <c r="F385" s="4" t="s">
        <v>30</v>
      </c>
      <c r="G385" t="s">
        <v>32</v>
      </c>
      <c r="H385" s="4">
        <v>108</v>
      </c>
      <c r="I385" s="4">
        <v>12</v>
      </c>
      <c r="J385" s="41">
        <v>45594</v>
      </c>
      <c r="L385" s="91">
        <v>0.46</v>
      </c>
      <c r="M385" s="91">
        <v>2.0699999999999998</v>
      </c>
      <c r="P385" s="91"/>
      <c r="Q385" s="91"/>
    </row>
    <row r="386" spans="1:17" x14ac:dyDescent="0.25">
      <c r="A386" s="4">
        <v>1</v>
      </c>
      <c r="B386" s="4">
        <v>1</v>
      </c>
      <c r="C386" s="4">
        <v>1</v>
      </c>
      <c r="D386" s="4">
        <v>1</v>
      </c>
      <c r="E386" s="4">
        <v>1</v>
      </c>
      <c r="F386" s="4" t="s">
        <v>25</v>
      </c>
      <c r="G386" t="s">
        <v>26</v>
      </c>
      <c r="H386" s="4">
        <v>101</v>
      </c>
      <c r="I386" s="4">
        <v>13</v>
      </c>
      <c r="J386" s="41">
        <v>45609</v>
      </c>
      <c r="L386" s="91">
        <v>0.13</v>
      </c>
      <c r="M386" s="91">
        <v>1.34</v>
      </c>
    </row>
    <row r="387" spans="1:17" x14ac:dyDescent="0.25">
      <c r="A387" s="4">
        <v>2</v>
      </c>
      <c r="B387" s="4">
        <v>1</v>
      </c>
      <c r="C387" s="4">
        <v>1</v>
      </c>
      <c r="D387" s="4">
        <v>2</v>
      </c>
      <c r="E387" s="4">
        <v>16</v>
      </c>
      <c r="F387" s="4" t="s">
        <v>25</v>
      </c>
      <c r="G387" t="s">
        <v>27</v>
      </c>
      <c r="H387" s="4">
        <v>201</v>
      </c>
      <c r="I387" s="4">
        <v>13</v>
      </c>
      <c r="J387" s="41">
        <v>45609</v>
      </c>
      <c r="L387" s="91">
        <v>0.11</v>
      </c>
      <c r="M387" s="91">
        <v>1.29</v>
      </c>
    </row>
    <row r="388" spans="1:17" x14ac:dyDescent="0.25">
      <c r="A388" s="4">
        <v>3</v>
      </c>
      <c r="B388" s="4">
        <v>1</v>
      </c>
      <c r="C388" s="4">
        <v>1</v>
      </c>
      <c r="D388" s="4">
        <v>3</v>
      </c>
      <c r="E388" s="4">
        <v>17</v>
      </c>
      <c r="F388" s="4" t="s">
        <v>25</v>
      </c>
      <c r="G388" t="s">
        <v>28</v>
      </c>
      <c r="H388" s="4">
        <v>301</v>
      </c>
      <c r="I388" s="4">
        <v>13</v>
      </c>
      <c r="J388" s="41">
        <v>45609</v>
      </c>
      <c r="L388" s="91">
        <v>0.11</v>
      </c>
      <c r="M388" s="91">
        <v>1.1399999999999999</v>
      </c>
    </row>
    <row r="389" spans="1:17" x14ac:dyDescent="0.25">
      <c r="A389" s="4">
        <v>4</v>
      </c>
      <c r="B389" s="4">
        <v>1</v>
      </c>
      <c r="C389" s="4">
        <v>1</v>
      </c>
      <c r="D389" s="4">
        <v>4</v>
      </c>
      <c r="E389" s="4">
        <v>32</v>
      </c>
      <c r="F389" s="4" t="s">
        <v>25</v>
      </c>
      <c r="G389" t="s">
        <v>29</v>
      </c>
      <c r="H389" s="4">
        <v>401</v>
      </c>
      <c r="I389" s="4">
        <v>13</v>
      </c>
      <c r="J389" s="41">
        <v>45609</v>
      </c>
      <c r="L389" s="91">
        <v>0.1</v>
      </c>
      <c r="M389" s="91">
        <v>1.87</v>
      </c>
    </row>
    <row r="390" spans="1:17" x14ac:dyDescent="0.25">
      <c r="A390" s="4">
        <v>4</v>
      </c>
      <c r="B390" s="4">
        <v>2</v>
      </c>
      <c r="C390" s="4">
        <v>1</v>
      </c>
      <c r="D390" s="4">
        <v>5</v>
      </c>
      <c r="E390" s="4">
        <v>31</v>
      </c>
      <c r="F390" s="4" t="s">
        <v>30</v>
      </c>
      <c r="G390" t="s">
        <v>32</v>
      </c>
      <c r="H390" s="4">
        <v>402</v>
      </c>
      <c r="I390" s="4">
        <v>13</v>
      </c>
      <c r="J390" s="41">
        <v>45609</v>
      </c>
      <c r="L390" s="91">
        <v>0.13</v>
      </c>
      <c r="M390" s="91">
        <v>2.19</v>
      </c>
    </row>
    <row r="391" spans="1:17" x14ac:dyDescent="0.25">
      <c r="A391" s="4">
        <v>3</v>
      </c>
      <c r="B391" s="4">
        <v>2</v>
      </c>
      <c r="C391" s="4">
        <v>1</v>
      </c>
      <c r="D391" s="4">
        <v>6</v>
      </c>
      <c r="E391" s="4">
        <v>18</v>
      </c>
      <c r="F391" s="4" t="s">
        <v>30</v>
      </c>
      <c r="G391" t="s">
        <v>29</v>
      </c>
      <c r="H391" s="4">
        <v>302</v>
      </c>
      <c r="I391" s="4">
        <v>13</v>
      </c>
      <c r="J391" s="41">
        <v>45609</v>
      </c>
      <c r="L391" s="91">
        <v>0.11</v>
      </c>
      <c r="M391" s="91">
        <v>1.92</v>
      </c>
    </row>
    <row r="392" spans="1:17" x14ac:dyDescent="0.25">
      <c r="A392" s="4">
        <v>2</v>
      </c>
      <c r="B392" s="4">
        <v>2</v>
      </c>
      <c r="C392" s="4">
        <v>1</v>
      </c>
      <c r="D392" s="4">
        <v>7</v>
      </c>
      <c r="E392" s="4">
        <v>15</v>
      </c>
      <c r="F392" s="4" t="s">
        <v>30</v>
      </c>
      <c r="G392" t="s">
        <v>28</v>
      </c>
      <c r="H392" s="4">
        <v>202</v>
      </c>
      <c r="I392" s="4">
        <v>13</v>
      </c>
      <c r="J392" s="41">
        <v>45609</v>
      </c>
      <c r="L392" s="91">
        <v>0.12</v>
      </c>
      <c r="M392" s="91">
        <v>1.53</v>
      </c>
    </row>
    <row r="393" spans="1:17" x14ac:dyDescent="0.25">
      <c r="A393" s="4">
        <v>1</v>
      </c>
      <c r="B393" s="4">
        <v>2</v>
      </c>
      <c r="C393" s="4">
        <v>1</v>
      </c>
      <c r="D393" s="4">
        <v>8</v>
      </c>
      <c r="E393" s="4">
        <v>2</v>
      </c>
      <c r="F393" s="4" t="s">
        <v>30</v>
      </c>
      <c r="G393" t="s">
        <v>31</v>
      </c>
      <c r="H393" s="4">
        <v>102</v>
      </c>
      <c r="I393" s="4">
        <v>13</v>
      </c>
      <c r="J393" s="41">
        <v>45609</v>
      </c>
      <c r="L393" s="91">
        <v>0.14000000000000001</v>
      </c>
      <c r="M393" s="91">
        <v>2.2799999999999998</v>
      </c>
    </row>
    <row r="394" spans="1:17" x14ac:dyDescent="0.25">
      <c r="A394" s="4">
        <v>1</v>
      </c>
      <c r="B394" s="4">
        <v>3</v>
      </c>
      <c r="C394" s="4">
        <v>2</v>
      </c>
      <c r="D394" s="4">
        <v>9</v>
      </c>
      <c r="E394" s="4">
        <v>3</v>
      </c>
      <c r="F394" s="4" t="s">
        <v>25</v>
      </c>
      <c r="G394" t="s">
        <v>27</v>
      </c>
      <c r="H394" s="4">
        <v>103</v>
      </c>
      <c r="I394" s="4">
        <v>13</v>
      </c>
      <c r="J394" s="41">
        <v>45609</v>
      </c>
      <c r="L394" s="91">
        <v>0.11</v>
      </c>
      <c r="M394" s="91">
        <v>2.19</v>
      </c>
    </row>
    <row r="395" spans="1:17" x14ac:dyDescent="0.25">
      <c r="A395" s="4">
        <v>2</v>
      </c>
      <c r="B395" s="4">
        <v>3</v>
      </c>
      <c r="C395" s="4">
        <v>2</v>
      </c>
      <c r="D395" s="4">
        <v>10</v>
      </c>
      <c r="E395" s="4">
        <v>14</v>
      </c>
      <c r="F395" s="4" t="s">
        <v>25</v>
      </c>
      <c r="G395" t="s">
        <v>29</v>
      </c>
      <c r="H395" s="4">
        <v>203</v>
      </c>
      <c r="I395" s="4">
        <v>13</v>
      </c>
      <c r="J395" s="41">
        <v>45609</v>
      </c>
      <c r="L395" s="91">
        <v>7.0000000000000007E-2</v>
      </c>
      <c r="M395" s="91">
        <v>3.51</v>
      </c>
    </row>
    <row r="396" spans="1:17" x14ac:dyDescent="0.25">
      <c r="A396" s="4">
        <v>3</v>
      </c>
      <c r="B396" s="4">
        <v>3</v>
      </c>
      <c r="C396" s="4">
        <v>2</v>
      </c>
      <c r="D396" s="4">
        <v>11</v>
      </c>
      <c r="E396" s="4">
        <v>19</v>
      </c>
      <c r="F396" s="4" t="s">
        <v>25</v>
      </c>
      <c r="G396" t="s">
        <v>26</v>
      </c>
      <c r="H396" s="4">
        <v>303</v>
      </c>
      <c r="I396" s="4">
        <v>13</v>
      </c>
      <c r="J396" s="41">
        <v>45609</v>
      </c>
      <c r="L396" s="91">
        <v>0.13</v>
      </c>
      <c r="M396" s="91">
        <v>3.6</v>
      </c>
    </row>
    <row r="397" spans="1:17" x14ac:dyDescent="0.25">
      <c r="A397" s="4">
        <v>4</v>
      </c>
      <c r="B397" s="4">
        <v>3</v>
      </c>
      <c r="C397" s="4">
        <v>2</v>
      </c>
      <c r="D397" s="4">
        <v>12</v>
      </c>
      <c r="E397" s="4">
        <v>30</v>
      </c>
      <c r="F397" s="4" t="s">
        <v>25</v>
      </c>
      <c r="G397" t="s">
        <v>28</v>
      </c>
      <c r="H397" s="4">
        <v>403</v>
      </c>
      <c r="I397" s="4">
        <v>13</v>
      </c>
      <c r="J397" s="41">
        <v>45609</v>
      </c>
      <c r="L397" s="91">
        <v>0.12</v>
      </c>
      <c r="M397" s="91">
        <v>0.98</v>
      </c>
    </row>
    <row r="398" spans="1:17" x14ac:dyDescent="0.25">
      <c r="A398" s="4">
        <v>4</v>
      </c>
      <c r="B398" s="4">
        <v>4</v>
      </c>
      <c r="C398" s="4">
        <v>2</v>
      </c>
      <c r="D398" s="4">
        <v>13</v>
      </c>
      <c r="E398" s="4">
        <v>29</v>
      </c>
      <c r="F398" s="4" t="s">
        <v>30</v>
      </c>
      <c r="G398" t="s">
        <v>29</v>
      </c>
      <c r="H398" s="4">
        <v>404</v>
      </c>
      <c r="I398" s="4">
        <v>13</v>
      </c>
      <c r="J398" s="41">
        <v>45609</v>
      </c>
      <c r="L398" s="91">
        <v>0.12</v>
      </c>
      <c r="M398" s="91">
        <v>1.79</v>
      </c>
    </row>
    <row r="399" spans="1:17" x14ac:dyDescent="0.25">
      <c r="A399" s="4">
        <v>3</v>
      </c>
      <c r="B399" s="4">
        <v>4</v>
      </c>
      <c r="C399" s="4">
        <v>2</v>
      </c>
      <c r="D399" s="4">
        <v>14</v>
      </c>
      <c r="E399" s="4">
        <v>20</v>
      </c>
      <c r="F399" s="4" t="s">
        <v>30</v>
      </c>
      <c r="G399" t="s">
        <v>31</v>
      </c>
      <c r="H399" s="4">
        <v>304</v>
      </c>
      <c r="I399" s="4">
        <v>13</v>
      </c>
      <c r="J399" s="41">
        <v>45609</v>
      </c>
      <c r="L399" s="91">
        <v>0.12</v>
      </c>
      <c r="M399" s="91">
        <v>3.91</v>
      </c>
    </row>
    <row r="400" spans="1:17" x14ac:dyDescent="0.25">
      <c r="A400" s="4">
        <v>2</v>
      </c>
      <c r="B400" s="4">
        <v>4</v>
      </c>
      <c r="C400" s="4">
        <v>2</v>
      </c>
      <c r="D400" s="4">
        <v>15</v>
      </c>
      <c r="E400" s="4">
        <v>13</v>
      </c>
      <c r="F400" s="4" t="s">
        <v>30</v>
      </c>
      <c r="G400" t="s">
        <v>32</v>
      </c>
      <c r="H400" s="4">
        <v>204</v>
      </c>
      <c r="I400" s="4">
        <v>13</v>
      </c>
      <c r="J400" s="41">
        <v>45609</v>
      </c>
      <c r="L400" s="91">
        <v>0.13</v>
      </c>
      <c r="M400" s="91">
        <v>1.87</v>
      </c>
    </row>
    <row r="401" spans="1:13" x14ac:dyDescent="0.25">
      <c r="A401" s="4">
        <v>1</v>
      </c>
      <c r="B401" s="4">
        <v>4</v>
      </c>
      <c r="C401" s="4">
        <v>2</v>
      </c>
      <c r="D401" s="4">
        <v>16</v>
      </c>
      <c r="E401" s="4">
        <v>4</v>
      </c>
      <c r="F401" s="4" t="s">
        <v>30</v>
      </c>
      <c r="G401" t="s">
        <v>28</v>
      </c>
      <c r="H401" s="4">
        <v>104</v>
      </c>
      <c r="I401" s="4">
        <v>13</v>
      </c>
      <c r="J401" s="41">
        <v>45609</v>
      </c>
      <c r="L401" s="91">
        <v>0.14000000000000001</v>
      </c>
      <c r="M401" s="91">
        <v>1.79</v>
      </c>
    </row>
    <row r="402" spans="1:13" x14ac:dyDescent="0.25">
      <c r="A402" s="4">
        <v>1</v>
      </c>
      <c r="B402" s="4">
        <v>5</v>
      </c>
      <c r="C402" s="4">
        <v>3</v>
      </c>
      <c r="D402" s="4">
        <v>17</v>
      </c>
      <c r="E402" s="4">
        <v>5</v>
      </c>
      <c r="F402" s="4" t="s">
        <v>25</v>
      </c>
      <c r="G402" t="s">
        <v>28</v>
      </c>
      <c r="H402" s="4">
        <v>105</v>
      </c>
      <c r="I402" s="4">
        <v>13</v>
      </c>
      <c r="J402" s="41">
        <v>45609</v>
      </c>
      <c r="L402" s="91">
        <v>0.11</v>
      </c>
      <c r="M402" s="91">
        <v>3.13</v>
      </c>
    </row>
    <row r="403" spans="1:13" x14ac:dyDescent="0.25">
      <c r="A403" s="4">
        <v>2</v>
      </c>
      <c r="B403" s="4">
        <v>5</v>
      </c>
      <c r="C403" s="4">
        <v>3</v>
      </c>
      <c r="D403" s="4">
        <v>18</v>
      </c>
      <c r="E403" s="4">
        <v>12</v>
      </c>
      <c r="F403" s="4" t="s">
        <v>25</v>
      </c>
      <c r="G403" t="s">
        <v>26</v>
      </c>
      <c r="H403" s="4">
        <v>205</v>
      </c>
      <c r="I403" s="4">
        <v>13</v>
      </c>
      <c r="J403" s="41">
        <v>45609</v>
      </c>
      <c r="L403" s="91">
        <v>0.12</v>
      </c>
      <c r="M403" s="91">
        <v>1.3</v>
      </c>
    </row>
    <row r="404" spans="1:13" x14ac:dyDescent="0.25">
      <c r="A404" s="4">
        <v>3</v>
      </c>
      <c r="B404" s="4">
        <v>5</v>
      </c>
      <c r="C404" s="4">
        <v>3</v>
      </c>
      <c r="D404" s="4">
        <v>19</v>
      </c>
      <c r="E404" s="4">
        <v>21</v>
      </c>
      <c r="F404" s="4" t="s">
        <v>25</v>
      </c>
      <c r="G404" t="s">
        <v>29</v>
      </c>
      <c r="H404" s="4">
        <v>305</v>
      </c>
      <c r="I404" s="4">
        <v>13</v>
      </c>
      <c r="J404" s="41">
        <v>45609</v>
      </c>
      <c r="L404" s="91">
        <v>0.1</v>
      </c>
      <c r="M404" s="91">
        <v>4.1100000000000003</v>
      </c>
    </row>
    <row r="405" spans="1:13" x14ac:dyDescent="0.25">
      <c r="A405" s="4">
        <v>4</v>
      </c>
      <c r="B405" s="4">
        <v>5</v>
      </c>
      <c r="C405" s="4">
        <v>3</v>
      </c>
      <c r="D405" s="4">
        <v>20</v>
      </c>
      <c r="E405" s="4">
        <v>28</v>
      </c>
      <c r="F405" s="4" t="s">
        <v>25</v>
      </c>
      <c r="G405" t="s">
        <v>27</v>
      </c>
      <c r="H405" s="4">
        <v>405</v>
      </c>
      <c r="I405" s="4">
        <v>13</v>
      </c>
      <c r="J405" s="41">
        <v>45609</v>
      </c>
      <c r="L405" s="91">
        <v>0.1</v>
      </c>
      <c r="M405" s="91">
        <v>1.67</v>
      </c>
    </row>
    <row r="406" spans="1:13" x14ac:dyDescent="0.25">
      <c r="A406" s="4">
        <v>4</v>
      </c>
      <c r="B406" s="4">
        <v>6</v>
      </c>
      <c r="C406" s="4">
        <v>3</v>
      </c>
      <c r="D406" s="4">
        <v>21</v>
      </c>
      <c r="E406" s="4">
        <v>27</v>
      </c>
      <c r="F406" s="4" t="s">
        <v>30</v>
      </c>
      <c r="G406" t="s">
        <v>28</v>
      </c>
      <c r="H406" s="4">
        <v>406</v>
      </c>
      <c r="I406" s="4">
        <v>13</v>
      </c>
      <c r="J406" s="41">
        <v>45609</v>
      </c>
      <c r="L406" s="91">
        <v>0.12</v>
      </c>
      <c r="M406" s="91">
        <v>0</v>
      </c>
    </row>
    <row r="407" spans="1:13" x14ac:dyDescent="0.25">
      <c r="A407" s="4">
        <v>3</v>
      </c>
      <c r="B407" s="4">
        <v>6</v>
      </c>
      <c r="C407" s="4">
        <v>3</v>
      </c>
      <c r="D407" s="4">
        <v>22</v>
      </c>
      <c r="E407" s="4">
        <v>22</v>
      </c>
      <c r="F407" s="4" t="s">
        <v>30</v>
      </c>
      <c r="G407" t="s">
        <v>32</v>
      </c>
      <c r="H407" s="4">
        <v>306</v>
      </c>
      <c r="I407" s="4">
        <v>13</v>
      </c>
      <c r="J407" s="41">
        <v>45609</v>
      </c>
      <c r="L407" s="91">
        <v>0.14000000000000001</v>
      </c>
      <c r="M407" s="91">
        <v>1.64</v>
      </c>
    </row>
    <row r="408" spans="1:13" x14ac:dyDescent="0.25">
      <c r="A408" s="4">
        <v>2</v>
      </c>
      <c r="B408" s="4">
        <v>6</v>
      </c>
      <c r="C408" s="4">
        <v>3</v>
      </c>
      <c r="D408" s="4">
        <v>23</v>
      </c>
      <c r="E408" s="4">
        <v>11</v>
      </c>
      <c r="F408" s="4" t="s">
        <v>30</v>
      </c>
      <c r="G408" t="s">
        <v>31</v>
      </c>
      <c r="H408" s="4">
        <v>206</v>
      </c>
      <c r="I408" s="4">
        <v>13</v>
      </c>
      <c r="J408" s="41">
        <v>45609</v>
      </c>
      <c r="L408" s="91">
        <v>0.12</v>
      </c>
      <c r="M408" s="91">
        <v>3.7</v>
      </c>
    </row>
    <row r="409" spans="1:13" x14ac:dyDescent="0.25">
      <c r="A409" s="4">
        <v>1</v>
      </c>
      <c r="B409" s="4">
        <v>6</v>
      </c>
      <c r="C409" s="4">
        <v>3</v>
      </c>
      <c r="D409" s="4">
        <v>24</v>
      </c>
      <c r="E409" s="4">
        <v>6</v>
      </c>
      <c r="F409" s="4" t="s">
        <v>30</v>
      </c>
      <c r="G409" t="s">
        <v>29</v>
      </c>
      <c r="H409" s="4">
        <v>106</v>
      </c>
      <c r="I409" s="4">
        <v>13</v>
      </c>
      <c r="J409" s="41">
        <v>45609</v>
      </c>
      <c r="L409" s="91">
        <v>0.13</v>
      </c>
      <c r="M409" s="91">
        <v>1.87</v>
      </c>
    </row>
    <row r="410" spans="1:13" x14ac:dyDescent="0.25">
      <c r="A410" s="4">
        <v>1</v>
      </c>
      <c r="B410" s="4">
        <v>7</v>
      </c>
      <c r="C410" s="4">
        <v>4</v>
      </c>
      <c r="D410" s="4">
        <v>25</v>
      </c>
      <c r="E410" s="4">
        <v>7</v>
      </c>
      <c r="F410" s="4" t="s">
        <v>25</v>
      </c>
      <c r="G410" t="s">
        <v>29</v>
      </c>
      <c r="H410" s="4">
        <v>107</v>
      </c>
      <c r="I410" s="4">
        <v>13</v>
      </c>
      <c r="J410" s="41">
        <v>45609</v>
      </c>
      <c r="L410" s="91">
        <v>0.12</v>
      </c>
      <c r="M410" s="91">
        <v>8.77</v>
      </c>
    </row>
    <row r="411" spans="1:13" x14ac:dyDescent="0.25">
      <c r="A411" s="4">
        <v>2</v>
      </c>
      <c r="B411" s="4">
        <v>7</v>
      </c>
      <c r="C411" s="4">
        <v>4</v>
      </c>
      <c r="D411" s="4">
        <v>26</v>
      </c>
      <c r="E411" s="4">
        <v>10</v>
      </c>
      <c r="F411" s="4" t="s">
        <v>25</v>
      </c>
      <c r="G411" t="s">
        <v>28</v>
      </c>
      <c r="H411" s="4">
        <v>207</v>
      </c>
      <c r="I411" s="4">
        <v>13</v>
      </c>
      <c r="J411" s="41">
        <v>45609</v>
      </c>
      <c r="L411" s="91">
        <v>0.13</v>
      </c>
      <c r="M411" s="91">
        <v>3.94</v>
      </c>
    </row>
    <row r="412" spans="1:13" x14ac:dyDescent="0.25">
      <c r="A412" s="4">
        <v>3</v>
      </c>
      <c r="B412" s="4">
        <v>7</v>
      </c>
      <c r="C412" s="4">
        <v>4</v>
      </c>
      <c r="D412" s="4">
        <v>27</v>
      </c>
      <c r="E412" s="4">
        <v>23</v>
      </c>
      <c r="F412" s="4" t="s">
        <v>25</v>
      </c>
      <c r="G412" t="s">
        <v>27</v>
      </c>
      <c r="H412" s="4">
        <v>307</v>
      </c>
      <c r="I412" s="4">
        <v>13</v>
      </c>
      <c r="J412" s="41">
        <v>45609</v>
      </c>
      <c r="L412" s="91">
        <v>0.1</v>
      </c>
      <c r="M412" s="91">
        <v>6.75</v>
      </c>
    </row>
    <row r="413" spans="1:13" x14ac:dyDescent="0.25">
      <c r="A413" s="4">
        <v>4</v>
      </c>
      <c r="B413" s="4">
        <v>7</v>
      </c>
      <c r="C413" s="4">
        <v>4</v>
      </c>
      <c r="D413" s="4">
        <v>28</v>
      </c>
      <c r="E413" s="4">
        <v>26</v>
      </c>
      <c r="F413" s="4" t="s">
        <v>25</v>
      </c>
      <c r="G413" t="s">
        <v>26</v>
      </c>
      <c r="H413" s="4">
        <v>407</v>
      </c>
      <c r="I413" s="4">
        <v>13</v>
      </c>
      <c r="J413" s="41">
        <v>45609</v>
      </c>
      <c r="L413" s="91">
        <v>0.12</v>
      </c>
      <c r="M413" s="91">
        <v>2.39</v>
      </c>
    </row>
    <row r="414" spans="1:13" x14ac:dyDescent="0.25">
      <c r="A414" s="4">
        <v>4</v>
      </c>
      <c r="B414" s="4">
        <v>8</v>
      </c>
      <c r="C414" s="4">
        <v>4</v>
      </c>
      <c r="D414" s="4">
        <v>29</v>
      </c>
      <c r="E414" s="4">
        <v>25</v>
      </c>
      <c r="F414" s="4" t="s">
        <v>30</v>
      </c>
      <c r="G414" t="s">
        <v>31</v>
      </c>
      <c r="H414" s="4">
        <v>408</v>
      </c>
      <c r="I414" s="4">
        <v>13</v>
      </c>
      <c r="J414" s="41">
        <v>45609</v>
      </c>
      <c r="L414" s="91">
        <v>0.13</v>
      </c>
      <c r="M414" s="91">
        <v>1.26</v>
      </c>
    </row>
    <row r="415" spans="1:13" x14ac:dyDescent="0.25">
      <c r="A415" s="4">
        <v>3</v>
      </c>
      <c r="B415" s="4">
        <v>8</v>
      </c>
      <c r="C415" s="4">
        <v>4</v>
      </c>
      <c r="D415" s="4">
        <v>30</v>
      </c>
      <c r="E415" s="4">
        <v>24</v>
      </c>
      <c r="F415" s="4" t="s">
        <v>30</v>
      </c>
      <c r="G415" t="s">
        <v>28</v>
      </c>
      <c r="H415" s="4">
        <v>308</v>
      </c>
      <c r="I415" s="4">
        <v>13</v>
      </c>
      <c r="J415" s="41">
        <v>45609</v>
      </c>
      <c r="L415" s="91">
        <v>0.12</v>
      </c>
      <c r="M415" s="91">
        <v>2.0699999999999998</v>
      </c>
    </row>
    <row r="416" spans="1:13" x14ac:dyDescent="0.25">
      <c r="A416" s="4">
        <v>2</v>
      </c>
      <c r="B416" s="4">
        <v>8</v>
      </c>
      <c r="C416" s="4">
        <v>4</v>
      </c>
      <c r="D416" s="4">
        <v>31</v>
      </c>
      <c r="E416" s="4">
        <v>9</v>
      </c>
      <c r="F416" s="4" t="s">
        <v>30</v>
      </c>
      <c r="G416" t="s">
        <v>29</v>
      </c>
      <c r="H416" s="4">
        <v>208</v>
      </c>
      <c r="I416" s="4">
        <v>13</v>
      </c>
      <c r="J416" s="41">
        <v>45609</v>
      </c>
      <c r="L416" s="91">
        <v>0.13</v>
      </c>
      <c r="M416" s="91">
        <v>1.82</v>
      </c>
    </row>
    <row r="417" spans="1:13" x14ac:dyDescent="0.25">
      <c r="A417" s="4">
        <v>1</v>
      </c>
      <c r="B417" s="4">
        <v>8</v>
      </c>
      <c r="C417" s="4">
        <v>4</v>
      </c>
      <c r="D417" s="4">
        <v>32</v>
      </c>
      <c r="E417" s="4">
        <v>8</v>
      </c>
      <c r="F417" s="4" t="s">
        <v>30</v>
      </c>
      <c r="G417" t="s">
        <v>32</v>
      </c>
      <c r="H417" s="4">
        <v>108</v>
      </c>
      <c r="I417" s="4">
        <v>13</v>
      </c>
      <c r="J417" s="41">
        <v>45609</v>
      </c>
      <c r="L417" s="91">
        <v>0.11</v>
      </c>
      <c r="M417" s="91">
        <v>3.61</v>
      </c>
    </row>
  </sheetData>
  <conditionalFormatting pivot="1" sqref="Q6:CJ13">
    <cfRule type="colorScale" priority="22">
      <colorScale>
        <cfvo type="min"/>
        <cfvo type="percentile" val="50"/>
        <cfvo type="max"/>
        <color rgb="FFF8696B"/>
        <color rgb="FFFFEB84"/>
        <color rgb="FF63BE7B"/>
      </colorScale>
    </cfRule>
  </conditionalFormatting>
  <conditionalFormatting pivot="1" sqref="R19:R22">
    <cfRule type="colorScale" priority="21">
      <colorScale>
        <cfvo type="min"/>
        <cfvo type="percentile" val="50"/>
        <cfvo type="max"/>
        <color rgb="FFF8696B"/>
        <color rgb="FFFFEB84"/>
        <color rgb="FF63BE7B"/>
      </colorScale>
    </cfRule>
  </conditionalFormatting>
  <conditionalFormatting pivot="1" sqref="S19:S22">
    <cfRule type="colorScale" priority="20">
      <colorScale>
        <cfvo type="min"/>
        <cfvo type="percentile" val="50"/>
        <cfvo type="max"/>
        <color rgb="FFF8696B"/>
        <color rgb="FFFFEB84"/>
        <color rgb="FF63BE7B"/>
      </colorScale>
    </cfRule>
  </conditionalFormatting>
  <conditionalFormatting pivot="1" sqref="T19:T22">
    <cfRule type="colorScale" priority="19">
      <colorScale>
        <cfvo type="min"/>
        <cfvo type="percentile" val="50"/>
        <cfvo type="max"/>
        <color rgb="FFF8696B"/>
        <color rgb="FFFFEB84"/>
        <color rgb="FF63BE7B"/>
      </colorScale>
    </cfRule>
  </conditionalFormatting>
  <conditionalFormatting pivot="1" sqref="R23:R26">
    <cfRule type="colorScale" priority="18">
      <colorScale>
        <cfvo type="min"/>
        <cfvo type="percentile" val="50"/>
        <cfvo type="max"/>
        <color rgb="FFF8696B"/>
        <color rgb="FFFFEB84"/>
        <color rgb="FF63BE7B"/>
      </colorScale>
    </cfRule>
  </conditionalFormatting>
  <conditionalFormatting pivot="1" sqref="S23:S26">
    <cfRule type="colorScale" priority="17">
      <colorScale>
        <cfvo type="min"/>
        <cfvo type="percentile" val="50"/>
        <cfvo type="max"/>
        <color rgb="FFF8696B"/>
        <color rgb="FFFFEB84"/>
        <color rgb="FF63BE7B"/>
      </colorScale>
    </cfRule>
  </conditionalFormatting>
  <conditionalFormatting pivot="1" sqref="T23:T26">
    <cfRule type="colorScale" priority="16">
      <colorScale>
        <cfvo type="min"/>
        <cfvo type="percentile" val="50"/>
        <cfvo type="max"/>
        <color rgb="FFF8696B"/>
        <color rgb="FFFFEB84"/>
        <color rgb="FF63BE7B"/>
      </colorScale>
    </cfRule>
  </conditionalFormatting>
  <conditionalFormatting pivot="1" sqref="U19:U22">
    <cfRule type="colorScale" priority="15">
      <colorScale>
        <cfvo type="min"/>
        <cfvo type="percentile" val="50"/>
        <cfvo type="max"/>
        <color rgb="FFF8696B"/>
        <color rgb="FFFFEB84"/>
        <color rgb="FF63BE7B"/>
      </colorScale>
    </cfRule>
  </conditionalFormatting>
  <conditionalFormatting pivot="1" sqref="U23:U26">
    <cfRule type="colorScale" priority="14">
      <colorScale>
        <cfvo type="min"/>
        <cfvo type="percentile" val="50"/>
        <cfvo type="max"/>
        <color rgb="FFF8696B"/>
        <color rgb="FFFFEB84"/>
        <color rgb="FF63BE7B"/>
      </colorScale>
    </cfRule>
  </conditionalFormatting>
  <conditionalFormatting pivot="1" sqref="V19:V22">
    <cfRule type="colorScale" priority="13">
      <colorScale>
        <cfvo type="min"/>
        <cfvo type="percentile" val="50"/>
        <cfvo type="max"/>
        <color rgb="FFF8696B"/>
        <color rgb="FFFFEB84"/>
        <color rgb="FF63BE7B"/>
      </colorScale>
    </cfRule>
  </conditionalFormatting>
  <conditionalFormatting pivot="1" sqref="W19:W22">
    <cfRule type="colorScale" priority="12">
      <colorScale>
        <cfvo type="min"/>
        <cfvo type="percentile" val="50"/>
        <cfvo type="max"/>
        <color rgb="FFF8696B"/>
        <color rgb="FFFFEB84"/>
        <color rgb="FF63BE7B"/>
      </colorScale>
    </cfRule>
  </conditionalFormatting>
  <conditionalFormatting pivot="1" sqref="AE19:AE22">
    <cfRule type="colorScale" priority="11">
      <colorScale>
        <cfvo type="min"/>
        <cfvo type="percentile" val="50"/>
        <cfvo type="max"/>
        <color rgb="FFF8696B"/>
        <color rgb="FFFFEB84"/>
        <color rgb="FF63BE7B"/>
      </colorScale>
    </cfRule>
  </conditionalFormatting>
  <conditionalFormatting pivot="1" sqref="V23:V26">
    <cfRule type="colorScale" priority="10">
      <colorScale>
        <cfvo type="min"/>
        <cfvo type="percentile" val="50"/>
        <cfvo type="max"/>
        <color rgb="FFF8696B"/>
        <color rgb="FFFFEB84"/>
        <color rgb="FF63BE7B"/>
      </colorScale>
    </cfRule>
  </conditionalFormatting>
  <conditionalFormatting pivot="1" sqref="W23:W26">
    <cfRule type="colorScale" priority="9">
      <colorScale>
        <cfvo type="min"/>
        <cfvo type="percentile" val="50"/>
        <cfvo type="max"/>
        <color rgb="FFF8696B"/>
        <color rgb="FFFFEB84"/>
        <color rgb="FF63BE7B"/>
      </colorScale>
    </cfRule>
  </conditionalFormatting>
  <conditionalFormatting pivot="1" sqref="AE23:AE26">
    <cfRule type="colorScale" priority="8">
      <colorScale>
        <cfvo type="min"/>
        <cfvo type="percentile" val="50"/>
        <cfvo type="max"/>
        <color rgb="FFF8696B"/>
        <color rgb="FFFFEB84"/>
        <color rgb="FF63BE7B"/>
      </colorScale>
    </cfRule>
  </conditionalFormatting>
  <conditionalFormatting pivot="1" sqref="X19:X26">
    <cfRule type="colorScale" priority="7">
      <colorScale>
        <cfvo type="min"/>
        <cfvo type="percentile" val="50"/>
        <cfvo type="max"/>
        <color rgb="FFF8696B"/>
        <color rgb="FFFFEB84"/>
        <color rgb="FF63BE7B"/>
      </colorScale>
    </cfRule>
  </conditionalFormatting>
  <conditionalFormatting pivot="1" sqref="Y19:Y26">
    <cfRule type="colorScale" priority="6">
      <colorScale>
        <cfvo type="min"/>
        <cfvo type="percentile" val="50"/>
        <cfvo type="max"/>
        <color rgb="FFF8696B"/>
        <color rgb="FFFFEB84"/>
        <color rgb="FF63BE7B"/>
      </colorScale>
    </cfRule>
  </conditionalFormatting>
  <conditionalFormatting pivot="1" sqref="Z19:Z26">
    <cfRule type="colorScale" priority="5">
      <colorScale>
        <cfvo type="min"/>
        <cfvo type="percentile" val="50"/>
        <cfvo type="max"/>
        <color rgb="FFF8696B"/>
        <color rgb="FFFFEB84"/>
        <color rgb="FF63BE7B"/>
      </colorScale>
    </cfRule>
  </conditionalFormatting>
  <conditionalFormatting pivot="1" sqref="AA19:AA26">
    <cfRule type="colorScale" priority="4">
      <colorScale>
        <cfvo type="min"/>
        <cfvo type="percentile" val="50"/>
        <cfvo type="max"/>
        <color rgb="FFF8696B"/>
        <color rgb="FFFFEB84"/>
        <color rgb="FF63BE7B"/>
      </colorScale>
    </cfRule>
  </conditionalFormatting>
  <conditionalFormatting pivot="1" sqref="AB19:AB26">
    <cfRule type="colorScale" priority="3">
      <colorScale>
        <cfvo type="min"/>
        <cfvo type="percentile" val="50"/>
        <cfvo type="max"/>
        <color rgb="FFF8696B"/>
        <color rgb="FFFFEB84"/>
        <color rgb="FF63BE7B"/>
      </colorScale>
    </cfRule>
  </conditionalFormatting>
  <conditionalFormatting pivot="1" sqref="AC19:AC26">
    <cfRule type="colorScale" priority="2">
      <colorScale>
        <cfvo type="min"/>
        <cfvo type="percentile" val="50"/>
        <cfvo type="max"/>
        <color rgb="FFF8696B"/>
        <color rgb="FFFFEB84"/>
        <color rgb="FF63BE7B"/>
      </colorScale>
    </cfRule>
  </conditionalFormatting>
  <conditionalFormatting pivot="1" sqref="AD19:AD26">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3"/>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DA50E-7C23-4495-936B-4A542A603FB0}">
  <dimension ref="A1:Y33"/>
  <sheetViews>
    <sheetView topLeftCell="H1" workbookViewId="0">
      <selection activeCell="AC11" sqref="AC11"/>
    </sheetView>
  </sheetViews>
  <sheetFormatPr defaultRowHeight="15" x14ac:dyDescent="0.25"/>
  <cols>
    <col min="6" max="6" width="12.5703125" customWidth="1"/>
    <col min="7" max="7" width="13.7109375" customWidth="1"/>
    <col min="9" max="9" width="14.42578125" customWidth="1"/>
    <col min="17" max="17" width="11.42578125" bestFit="1" customWidth="1"/>
    <col min="21" max="21" width="10.42578125" customWidth="1"/>
  </cols>
  <sheetData>
    <row r="1" spans="1:25" ht="45" x14ac:dyDescent="0.25">
      <c r="A1" s="10" t="s">
        <v>23</v>
      </c>
      <c r="B1" s="10" t="s">
        <v>24</v>
      </c>
      <c r="C1" s="10" t="s">
        <v>281</v>
      </c>
      <c r="D1" s="10" t="s">
        <v>282</v>
      </c>
      <c r="E1" s="10" t="s">
        <v>77</v>
      </c>
      <c r="F1" s="10" t="s">
        <v>21</v>
      </c>
      <c r="G1" s="10" t="s">
        <v>22</v>
      </c>
      <c r="H1" s="10" t="s">
        <v>76</v>
      </c>
      <c r="I1" s="10" t="s">
        <v>284</v>
      </c>
      <c r="J1" s="10" t="s">
        <v>364</v>
      </c>
      <c r="K1" s="10" t="s">
        <v>365</v>
      </c>
      <c r="L1" s="10" t="s">
        <v>366</v>
      </c>
      <c r="M1" s="10" t="s">
        <v>367</v>
      </c>
      <c r="N1" s="10" t="s">
        <v>368</v>
      </c>
      <c r="O1" s="10" t="s">
        <v>369</v>
      </c>
      <c r="P1" s="10" t="s">
        <v>370</v>
      </c>
      <c r="Q1" s="10" t="s">
        <v>371</v>
      </c>
      <c r="R1" s="10" t="s">
        <v>372</v>
      </c>
      <c r="S1" s="10" t="s">
        <v>373</v>
      </c>
      <c r="T1" s="10" t="s">
        <v>374</v>
      </c>
      <c r="U1" s="10" t="s">
        <v>375</v>
      </c>
      <c r="V1" s="10" t="s">
        <v>376</v>
      </c>
      <c r="W1" s="10" t="s">
        <v>377</v>
      </c>
      <c r="X1" s="10" t="s">
        <v>378</v>
      </c>
      <c r="Y1" s="10" t="s">
        <v>379</v>
      </c>
    </row>
    <row r="2" spans="1:25" x14ac:dyDescent="0.25">
      <c r="A2" s="63">
        <v>1</v>
      </c>
      <c r="B2" s="63">
        <v>1</v>
      </c>
      <c r="C2" s="63">
        <v>1</v>
      </c>
      <c r="D2" s="63">
        <v>1</v>
      </c>
      <c r="E2" s="63">
        <v>1</v>
      </c>
      <c r="F2" s="63" t="s">
        <v>25</v>
      </c>
      <c r="G2" s="63" t="s">
        <v>26</v>
      </c>
      <c r="H2" s="63">
        <v>101</v>
      </c>
      <c r="I2" s="63" t="s">
        <v>380</v>
      </c>
      <c r="J2">
        <v>0</v>
      </c>
      <c r="K2">
        <v>0</v>
      </c>
      <c r="L2">
        <v>0</v>
      </c>
      <c r="M2" s="92">
        <f t="shared" ref="M2:M23" si="0">AVERAGE(J2:L2)</f>
        <v>0</v>
      </c>
      <c r="N2">
        <v>10.3</v>
      </c>
      <c r="O2">
        <v>19.7</v>
      </c>
      <c r="P2">
        <v>7.5</v>
      </c>
      <c r="Q2" s="1">
        <f t="shared" ref="Q2:Q33" si="1">AVERAGE(N2:P2)</f>
        <v>12.5</v>
      </c>
      <c r="R2">
        <v>8.1999999999999993</v>
      </c>
      <c r="S2">
        <v>17</v>
      </c>
      <c r="T2">
        <v>18.2</v>
      </c>
      <c r="U2" s="93">
        <f t="shared" ref="U2:U33" si="2">AVERAGE(R2:T2)</f>
        <v>14.466666666666667</v>
      </c>
      <c r="V2">
        <v>13.6</v>
      </c>
      <c r="X2">
        <v>49.9</v>
      </c>
      <c r="Y2" s="1">
        <f>AVERAGE(V2:X2)</f>
        <v>31.75</v>
      </c>
    </row>
    <row r="3" spans="1:25" x14ac:dyDescent="0.25">
      <c r="A3" s="63">
        <v>2</v>
      </c>
      <c r="B3" s="63">
        <v>1</v>
      </c>
      <c r="C3" s="63">
        <v>1</v>
      </c>
      <c r="D3" s="63">
        <v>2</v>
      </c>
      <c r="E3" s="63">
        <v>16</v>
      </c>
      <c r="F3" s="63" t="s">
        <v>25</v>
      </c>
      <c r="G3" s="63" t="s">
        <v>27</v>
      </c>
      <c r="H3" s="63">
        <v>201</v>
      </c>
      <c r="I3" s="63" t="s">
        <v>380</v>
      </c>
      <c r="J3">
        <v>58.3</v>
      </c>
      <c r="K3">
        <v>14.1</v>
      </c>
      <c r="L3" s="43">
        <v>40</v>
      </c>
      <c r="M3" s="93">
        <f t="shared" si="0"/>
        <v>37.466666666666661</v>
      </c>
      <c r="N3">
        <v>12.9</v>
      </c>
      <c r="O3">
        <v>12.9</v>
      </c>
      <c r="P3">
        <v>44.2</v>
      </c>
      <c r="Q3" s="93">
        <f t="shared" si="1"/>
        <v>23.333333333333332</v>
      </c>
      <c r="R3">
        <v>15.9</v>
      </c>
      <c r="S3">
        <v>59.4</v>
      </c>
      <c r="T3">
        <v>48.5</v>
      </c>
      <c r="U3" s="93">
        <f t="shared" si="2"/>
        <v>41.266666666666666</v>
      </c>
    </row>
    <row r="4" spans="1:25" x14ac:dyDescent="0.25">
      <c r="A4" s="63">
        <v>3</v>
      </c>
      <c r="B4" s="63">
        <v>1</v>
      </c>
      <c r="C4" s="63">
        <v>1</v>
      </c>
      <c r="D4" s="63">
        <v>3</v>
      </c>
      <c r="E4" s="63">
        <v>17</v>
      </c>
      <c r="F4" s="63" t="s">
        <v>25</v>
      </c>
      <c r="G4" s="63" t="s">
        <v>28</v>
      </c>
      <c r="H4" s="63">
        <v>301</v>
      </c>
      <c r="I4" s="63" t="s">
        <v>380</v>
      </c>
      <c r="J4" s="43">
        <v>20</v>
      </c>
      <c r="K4">
        <v>25.3</v>
      </c>
      <c r="L4">
        <v>34.200000000000003</v>
      </c>
      <c r="M4" s="93">
        <f t="shared" si="0"/>
        <v>26.5</v>
      </c>
      <c r="N4">
        <v>14.9</v>
      </c>
      <c r="O4">
        <v>39.4</v>
      </c>
      <c r="P4">
        <v>40.9</v>
      </c>
      <c r="Q4" s="93">
        <f t="shared" si="1"/>
        <v>31.733333333333331</v>
      </c>
      <c r="R4">
        <v>80.099999999999994</v>
      </c>
      <c r="S4">
        <v>42.1</v>
      </c>
      <c r="T4">
        <v>16.5</v>
      </c>
      <c r="U4" s="93">
        <f t="shared" si="2"/>
        <v>46.233333333333327</v>
      </c>
    </row>
    <row r="5" spans="1:25" x14ac:dyDescent="0.25">
      <c r="A5" s="63">
        <v>4</v>
      </c>
      <c r="B5" s="63">
        <v>1</v>
      </c>
      <c r="C5" s="63">
        <v>1</v>
      </c>
      <c r="D5" s="63">
        <v>4</v>
      </c>
      <c r="E5" s="63">
        <v>32</v>
      </c>
      <c r="F5" s="63" t="s">
        <v>25</v>
      </c>
      <c r="G5" s="63" t="s">
        <v>29</v>
      </c>
      <c r="H5" s="63">
        <v>401</v>
      </c>
      <c r="I5" s="63" t="s">
        <v>380</v>
      </c>
      <c r="J5">
        <v>21.6</v>
      </c>
      <c r="K5">
        <v>17.899999999999999</v>
      </c>
      <c r="L5">
        <v>14.5</v>
      </c>
      <c r="M5" s="1">
        <f t="shared" si="0"/>
        <v>18</v>
      </c>
      <c r="N5">
        <v>23.2</v>
      </c>
      <c r="O5">
        <v>18.600000000000001</v>
      </c>
      <c r="P5">
        <v>19.399999999999999</v>
      </c>
      <c r="Q5" s="1">
        <f t="shared" si="1"/>
        <v>20.399999999999999</v>
      </c>
      <c r="R5" s="43">
        <v>30</v>
      </c>
      <c r="S5">
        <v>23.9</v>
      </c>
      <c r="T5">
        <v>71.2</v>
      </c>
      <c r="U5" s="93">
        <f t="shared" si="2"/>
        <v>41.699999999999996</v>
      </c>
      <c r="X5">
        <v>28.5</v>
      </c>
      <c r="Y5" s="1">
        <f>AVERAGE(V5:X5)</f>
        <v>28.5</v>
      </c>
    </row>
    <row r="6" spans="1:25" x14ac:dyDescent="0.25">
      <c r="A6" s="63">
        <v>4</v>
      </c>
      <c r="B6" s="63">
        <v>2</v>
      </c>
      <c r="C6" s="63">
        <v>1</v>
      </c>
      <c r="D6" s="63">
        <v>5</v>
      </c>
      <c r="E6" s="63">
        <v>31</v>
      </c>
      <c r="F6" s="63" t="s">
        <v>30</v>
      </c>
      <c r="G6" s="63" t="s">
        <v>32</v>
      </c>
      <c r="H6" s="63">
        <v>402</v>
      </c>
      <c r="I6" s="63" t="s">
        <v>380</v>
      </c>
      <c r="J6">
        <v>0</v>
      </c>
      <c r="K6">
        <v>10.7</v>
      </c>
      <c r="L6">
        <v>8.9</v>
      </c>
      <c r="M6" s="93">
        <f t="shared" si="0"/>
        <v>6.5333333333333341</v>
      </c>
      <c r="N6">
        <v>21.4</v>
      </c>
      <c r="O6">
        <v>98.5</v>
      </c>
      <c r="P6">
        <v>21.5</v>
      </c>
      <c r="Q6" s="93">
        <f t="shared" si="1"/>
        <v>47.133333333333333</v>
      </c>
      <c r="R6">
        <v>24.7</v>
      </c>
      <c r="S6">
        <v>18.100000000000001</v>
      </c>
      <c r="T6">
        <v>26.9</v>
      </c>
      <c r="U6" s="93">
        <f t="shared" si="2"/>
        <v>23.233333333333331</v>
      </c>
      <c r="V6">
        <v>27.6</v>
      </c>
      <c r="X6">
        <v>26.3</v>
      </c>
      <c r="Y6" s="1">
        <f>AVERAGE(V6:X6)</f>
        <v>26.950000000000003</v>
      </c>
    </row>
    <row r="7" spans="1:25" x14ac:dyDescent="0.25">
      <c r="A7" s="63">
        <v>3</v>
      </c>
      <c r="B7" s="63">
        <v>2</v>
      </c>
      <c r="C7" s="63">
        <v>1</v>
      </c>
      <c r="D7" s="63">
        <v>6</v>
      </c>
      <c r="E7" s="63">
        <v>18</v>
      </c>
      <c r="F7" s="63" t="s">
        <v>30</v>
      </c>
      <c r="G7" s="63" t="s">
        <v>29</v>
      </c>
      <c r="H7" s="63">
        <v>302</v>
      </c>
      <c r="I7" s="63" t="s">
        <v>380</v>
      </c>
      <c r="J7">
        <v>0</v>
      </c>
      <c r="K7">
        <v>0</v>
      </c>
      <c r="L7">
        <v>0</v>
      </c>
      <c r="M7" s="1">
        <f t="shared" si="0"/>
        <v>0</v>
      </c>
      <c r="N7">
        <v>8.6</v>
      </c>
      <c r="O7">
        <v>19.600000000000001</v>
      </c>
      <c r="P7">
        <v>20.100000000000001</v>
      </c>
      <c r="Q7" s="1">
        <f t="shared" si="1"/>
        <v>16.100000000000001</v>
      </c>
      <c r="R7">
        <v>18.100000000000001</v>
      </c>
      <c r="S7" s="43">
        <v>25.3</v>
      </c>
      <c r="T7">
        <v>29.2</v>
      </c>
      <c r="U7" s="1">
        <f t="shared" si="2"/>
        <v>24.200000000000003</v>
      </c>
      <c r="W7" s="43">
        <v>31</v>
      </c>
      <c r="X7">
        <v>36.4</v>
      </c>
      <c r="Y7" s="93">
        <f>AVERAGE(W7:X7)</f>
        <v>33.700000000000003</v>
      </c>
    </row>
    <row r="8" spans="1:25" x14ac:dyDescent="0.25">
      <c r="A8" s="63">
        <v>2</v>
      </c>
      <c r="B8" s="63">
        <v>2</v>
      </c>
      <c r="C8" s="63">
        <v>1</v>
      </c>
      <c r="D8" s="63">
        <v>7</v>
      </c>
      <c r="E8" s="63">
        <v>15</v>
      </c>
      <c r="F8" s="63" t="s">
        <v>30</v>
      </c>
      <c r="G8" s="63" t="s">
        <v>28</v>
      </c>
      <c r="H8" s="63">
        <v>202</v>
      </c>
      <c r="I8" s="63" t="s">
        <v>380</v>
      </c>
      <c r="J8">
        <v>14.2</v>
      </c>
      <c r="K8">
        <v>20.7</v>
      </c>
      <c r="L8">
        <v>23.5</v>
      </c>
      <c r="M8" s="93">
        <f t="shared" si="0"/>
        <v>19.466666666666665</v>
      </c>
      <c r="N8">
        <v>18.2</v>
      </c>
      <c r="O8">
        <v>23.1</v>
      </c>
      <c r="P8">
        <v>31.8</v>
      </c>
      <c r="Q8" s="93">
        <f t="shared" si="1"/>
        <v>24.366666666666664</v>
      </c>
      <c r="R8">
        <v>21.2</v>
      </c>
      <c r="S8">
        <v>23.9</v>
      </c>
      <c r="T8">
        <v>26.8</v>
      </c>
      <c r="U8" s="93">
        <f t="shared" si="2"/>
        <v>23.966666666666665</v>
      </c>
    </row>
    <row r="9" spans="1:25" x14ac:dyDescent="0.25">
      <c r="A9" s="63">
        <v>1</v>
      </c>
      <c r="B9" s="63">
        <v>2</v>
      </c>
      <c r="C9" s="63">
        <v>1</v>
      </c>
      <c r="D9" s="63">
        <v>8</v>
      </c>
      <c r="E9" s="63">
        <v>2</v>
      </c>
      <c r="F9" s="63" t="s">
        <v>30</v>
      </c>
      <c r="G9" s="63" t="s">
        <v>31</v>
      </c>
      <c r="H9" s="63">
        <v>102</v>
      </c>
      <c r="I9" s="63" t="s">
        <v>380</v>
      </c>
      <c r="J9">
        <v>0</v>
      </c>
      <c r="K9">
        <v>15</v>
      </c>
      <c r="L9">
        <v>0</v>
      </c>
      <c r="M9" s="1">
        <f t="shared" si="0"/>
        <v>5</v>
      </c>
      <c r="N9">
        <v>26.4</v>
      </c>
      <c r="O9">
        <v>51.1</v>
      </c>
      <c r="P9">
        <v>24.6</v>
      </c>
      <c r="Q9" s="93">
        <f t="shared" si="1"/>
        <v>34.033333333333331</v>
      </c>
      <c r="R9">
        <v>79.8</v>
      </c>
      <c r="S9">
        <v>44.3</v>
      </c>
      <c r="T9">
        <v>24.1</v>
      </c>
      <c r="U9" s="1">
        <f t="shared" si="2"/>
        <v>49.4</v>
      </c>
      <c r="V9">
        <v>55.8</v>
      </c>
      <c r="Y9" s="1">
        <f>AVERAGE(V9)</f>
        <v>55.8</v>
      </c>
    </row>
    <row r="10" spans="1:25" x14ac:dyDescent="0.25">
      <c r="A10" s="63">
        <v>1</v>
      </c>
      <c r="B10" s="63">
        <v>3</v>
      </c>
      <c r="C10" s="63">
        <v>2</v>
      </c>
      <c r="D10" s="63">
        <v>9</v>
      </c>
      <c r="E10" s="63">
        <v>3</v>
      </c>
      <c r="F10" s="63" t="s">
        <v>25</v>
      </c>
      <c r="G10" s="63" t="s">
        <v>27</v>
      </c>
      <c r="H10" s="63">
        <v>103</v>
      </c>
      <c r="I10" s="63" t="s">
        <v>380</v>
      </c>
      <c r="J10">
        <v>15</v>
      </c>
      <c r="K10">
        <v>11.2</v>
      </c>
      <c r="L10">
        <v>40.1</v>
      </c>
      <c r="M10" s="1">
        <f t="shared" si="0"/>
        <v>22.099999999999998</v>
      </c>
      <c r="N10">
        <v>51.8</v>
      </c>
      <c r="O10">
        <v>28.1</v>
      </c>
      <c r="P10">
        <v>28.2</v>
      </c>
      <c r="Q10" s="93">
        <f t="shared" si="1"/>
        <v>36.033333333333339</v>
      </c>
      <c r="R10">
        <v>25.3</v>
      </c>
      <c r="S10">
        <v>18.2</v>
      </c>
      <c r="T10">
        <v>20.3</v>
      </c>
      <c r="U10" s="93">
        <f t="shared" si="2"/>
        <v>21.266666666666666</v>
      </c>
    </row>
    <row r="11" spans="1:25" x14ac:dyDescent="0.25">
      <c r="A11" s="63">
        <v>2</v>
      </c>
      <c r="B11" s="63">
        <v>3</v>
      </c>
      <c r="C11" s="63">
        <v>2</v>
      </c>
      <c r="D11" s="63">
        <v>10</v>
      </c>
      <c r="E11" s="63">
        <v>14</v>
      </c>
      <c r="F11" s="63" t="s">
        <v>25</v>
      </c>
      <c r="G11" s="63" t="s">
        <v>29</v>
      </c>
      <c r="H11" s="63">
        <v>203</v>
      </c>
      <c r="I11" s="63" t="s">
        <v>380</v>
      </c>
      <c r="J11">
        <v>16.100000000000001</v>
      </c>
      <c r="K11">
        <v>21.5</v>
      </c>
      <c r="L11">
        <v>10.3</v>
      </c>
      <c r="M11" s="93">
        <f t="shared" si="0"/>
        <v>15.966666666666669</v>
      </c>
      <c r="N11">
        <v>22.8</v>
      </c>
      <c r="O11" s="43">
        <v>20</v>
      </c>
      <c r="P11">
        <v>29.6</v>
      </c>
      <c r="Q11" s="93">
        <f t="shared" si="1"/>
        <v>24.133333333333336</v>
      </c>
      <c r="R11">
        <v>21.3</v>
      </c>
      <c r="S11">
        <v>36.200000000000003</v>
      </c>
      <c r="T11">
        <v>39.4</v>
      </c>
      <c r="U11" s="1">
        <f t="shared" si="2"/>
        <v>32.300000000000004</v>
      </c>
      <c r="X11">
        <v>44.1</v>
      </c>
      <c r="Y11" s="1">
        <f>AVERAGE(V11:X11)</f>
        <v>44.1</v>
      </c>
    </row>
    <row r="12" spans="1:25" x14ac:dyDescent="0.25">
      <c r="A12" s="63">
        <v>3</v>
      </c>
      <c r="B12" s="63">
        <v>3</v>
      </c>
      <c r="C12" s="63">
        <v>2</v>
      </c>
      <c r="D12" s="63">
        <v>11</v>
      </c>
      <c r="E12" s="63">
        <v>19</v>
      </c>
      <c r="F12" s="63" t="s">
        <v>25</v>
      </c>
      <c r="G12" s="63" t="s">
        <v>26</v>
      </c>
      <c r="H12" s="63">
        <v>303</v>
      </c>
      <c r="I12" s="63" t="s">
        <v>380</v>
      </c>
      <c r="J12">
        <v>0</v>
      </c>
      <c r="K12">
        <v>0</v>
      </c>
      <c r="L12">
        <v>0</v>
      </c>
      <c r="M12" s="1">
        <f t="shared" si="0"/>
        <v>0</v>
      </c>
      <c r="N12">
        <v>10.6</v>
      </c>
      <c r="O12">
        <v>6.4</v>
      </c>
      <c r="P12">
        <v>15.6</v>
      </c>
      <c r="Q12" s="93">
        <f t="shared" si="1"/>
        <v>10.866666666666667</v>
      </c>
      <c r="R12">
        <v>9.1</v>
      </c>
      <c r="S12" s="43">
        <v>10</v>
      </c>
      <c r="T12">
        <v>17.2</v>
      </c>
      <c r="U12" s="1">
        <f t="shared" si="2"/>
        <v>12.1</v>
      </c>
      <c r="V12">
        <v>18.100000000000001</v>
      </c>
      <c r="W12">
        <v>13.8</v>
      </c>
      <c r="X12">
        <v>20.5</v>
      </c>
      <c r="Y12" s="93">
        <f>AVERAGE(V12:X12)</f>
        <v>17.466666666666669</v>
      </c>
    </row>
    <row r="13" spans="1:25" x14ac:dyDescent="0.25">
      <c r="A13" s="63">
        <v>4</v>
      </c>
      <c r="B13" s="63">
        <v>3</v>
      </c>
      <c r="C13" s="63">
        <v>2</v>
      </c>
      <c r="D13" s="63">
        <v>12</v>
      </c>
      <c r="E13" s="63">
        <v>30</v>
      </c>
      <c r="F13" s="63" t="s">
        <v>25</v>
      </c>
      <c r="G13" s="63" t="s">
        <v>28</v>
      </c>
      <c r="H13" s="63">
        <v>403</v>
      </c>
      <c r="I13" s="63" t="s">
        <v>380</v>
      </c>
      <c r="J13">
        <v>59.3</v>
      </c>
      <c r="K13">
        <v>24.2</v>
      </c>
      <c r="L13">
        <v>34.200000000000003</v>
      </c>
      <c r="M13" s="93">
        <f t="shared" si="0"/>
        <v>39.233333333333334</v>
      </c>
      <c r="N13">
        <v>28.5</v>
      </c>
      <c r="O13">
        <v>55.3</v>
      </c>
      <c r="P13">
        <v>63.9</v>
      </c>
      <c r="Q13" s="93">
        <f t="shared" si="1"/>
        <v>49.233333333333327</v>
      </c>
      <c r="R13">
        <v>48.5</v>
      </c>
      <c r="S13">
        <v>39.6</v>
      </c>
      <c r="T13">
        <v>30.2</v>
      </c>
      <c r="U13" s="93">
        <f t="shared" si="2"/>
        <v>39.43333333333333</v>
      </c>
    </row>
    <row r="14" spans="1:25" x14ac:dyDescent="0.25">
      <c r="A14" s="63">
        <v>4</v>
      </c>
      <c r="B14" s="63">
        <v>4</v>
      </c>
      <c r="C14" s="63">
        <v>2</v>
      </c>
      <c r="D14" s="63">
        <v>13</v>
      </c>
      <c r="E14" s="63">
        <v>29</v>
      </c>
      <c r="F14" s="63" t="s">
        <v>30</v>
      </c>
      <c r="G14" s="63" t="s">
        <v>29</v>
      </c>
      <c r="H14" s="63">
        <v>404</v>
      </c>
      <c r="I14" s="63" t="s">
        <v>380</v>
      </c>
      <c r="J14">
        <v>0</v>
      </c>
      <c r="K14">
        <v>0</v>
      </c>
      <c r="L14">
        <v>10.9</v>
      </c>
      <c r="M14" s="93">
        <f t="shared" si="0"/>
        <v>3.6333333333333333</v>
      </c>
      <c r="N14">
        <v>18.600000000000001</v>
      </c>
      <c r="O14">
        <v>91.5</v>
      </c>
      <c r="P14" s="43">
        <v>26</v>
      </c>
      <c r="Q14" s="93">
        <f t="shared" si="1"/>
        <v>45.366666666666667</v>
      </c>
      <c r="R14">
        <v>25.3</v>
      </c>
      <c r="S14">
        <v>37.799999999999997</v>
      </c>
      <c r="T14">
        <v>31.8</v>
      </c>
      <c r="U14" s="93">
        <f t="shared" si="2"/>
        <v>31.633333333333329</v>
      </c>
    </row>
    <row r="15" spans="1:25" x14ac:dyDescent="0.25">
      <c r="A15" s="63">
        <v>3</v>
      </c>
      <c r="B15" s="63">
        <v>4</v>
      </c>
      <c r="C15" s="63">
        <v>2</v>
      </c>
      <c r="D15" s="63">
        <v>14</v>
      </c>
      <c r="E15" s="63">
        <v>20</v>
      </c>
      <c r="F15" s="63" t="s">
        <v>30</v>
      </c>
      <c r="G15" s="63" t="s">
        <v>31</v>
      </c>
      <c r="H15" s="63">
        <v>304</v>
      </c>
      <c r="I15" s="63" t="s">
        <v>380</v>
      </c>
      <c r="J15">
        <v>0</v>
      </c>
      <c r="K15">
        <v>12.5</v>
      </c>
      <c r="L15">
        <v>10.7</v>
      </c>
      <c r="M15" s="93">
        <f t="shared" si="0"/>
        <v>7.7333333333333334</v>
      </c>
      <c r="N15">
        <v>23.2</v>
      </c>
      <c r="O15">
        <v>15.3</v>
      </c>
      <c r="P15">
        <v>27.1</v>
      </c>
      <c r="Q15" s="93">
        <f t="shared" si="1"/>
        <v>21.866666666666664</v>
      </c>
      <c r="R15">
        <v>19.3</v>
      </c>
      <c r="S15">
        <v>24.1</v>
      </c>
      <c r="T15">
        <v>33.9</v>
      </c>
      <c r="U15" s="93">
        <f t="shared" si="2"/>
        <v>25.766666666666669</v>
      </c>
      <c r="V15">
        <v>30.6</v>
      </c>
      <c r="Y15" s="1">
        <f>AVERAGE(V15:X15)</f>
        <v>30.6</v>
      </c>
    </row>
    <row r="16" spans="1:25" x14ac:dyDescent="0.25">
      <c r="A16" s="63">
        <v>2</v>
      </c>
      <c r="B16" s="63">
        <v>4</v>
      </c>
      <c r="C16" s="63">
        <v>2</v>
      </c>
      <c r="D16" s="63">
        <v>15</v>
      </c>
      <c r="E16" s="63">
        <v>13</v>
      </c>
      <c r="F16" s="63" t="s">
        <v>30</v>
      </c>
      <c r="G16" s="63" t="s">
        <v>32</v>
      </c>
      <c r="H16" s="63">
        <v>204</v>
      </c>
      <c r="I16" s="63" t="s">
        <v>380</v>
      </c>
      <c r="J16">
        <v>0</v>
      </c>
      <c r="K16">
        <v>11.1</v>
      </c>
      <c r="L16">
        <v>0</v>
      </c>
      <c r="M16" s="1">
        <f t="shared" si="0"/>
        <v>3.6999999999999997</v>
      </c>
      <c r="N16">
        <v>30.6</v>
      </c>
      <c r="O16">
        <v>18.2</v>
      </c>
      <c r="P16">
        <v>14.6</v>
      </c>
      <c r="Q16" s="93">
        <f t="shared" si="1"/>
        <v>21.133333333333333</v>
      </c>
      <c r="R16">
        <v>39.9</v>
      </c>
      <c r="S16">
        <v>14.2</v>
      </c>
      <c r="T16" s="43">
        <v>36</v>
      </c>
      <c r="U16" s="93">
        <f t="shared" si="2"/>
        <v>30.033333333333331</v>
      </c>
      <c r="V16">
        <v>35.5</v>
      </c>
      <c r="X16">
        <v>25.1</v>
      </c>
      <c r="Y16" s="1">
        <f>AVERAGE(V16:X16)</f>
        <v>30.3</v>
      </c>
    </row>
    <row r="17" spans="1:25" x14ac:dyDescent="0.25">
      <c r="A17" s="63">
        <v>1</v>
      </c>
      <c r="B17" s="63">
        <v>4</v>
      </c>
      <c r="C17" s="63">
        <v>2</v>
      </c>
      <c r="D17" s="63">
        <v>16</v>
      </c>
      <c r="E17" s="63">
        <v>4</v>
      </c>
      <c r="F17" s="63" t="s">
        <v>30</v>
      </c>
      <c r="G17" s="63" t="s">
        <v>28</v>
      </c>
      <c r="H17" s="63">
        <v>104</v>
      </c>
      <c r="I17" s="63" t="s">
        <v>380</v>
      </c>
      <c r="J17">
        <v>0</v>
      </c>
      <c r="K17">
        <v>0</v>
      </c>
      <c r="L17">
        <v>92.8</v>
      </c>
      <c r="M17" s="93">
        <f t="shared" si="0"/>
        <v>30.933333333333334</v>
      </c>
      <c r="N17">
        <v>26.6</v>
      </c>
      <c r="O17">
        <v>16.3</v>
      </c>
      <c r="P17">
        <v>47.5</v>
      </c>
      <c r="Q17" s="93">
        <f t="shared" si="1"/>
        <v>30.133333333333336</v>
      </c>
      <c r="R17">
        <v>33.5</v>
      </c>
      <c r="S17">
        <v>27.5</v>
      </c>
      <c r="T17">
        <v>54.3</v>
      </c>
      <c r="U17" s="93">
        <f t="shared" si="2"/>
        <v>38.43333333333333</v>
      </c>
      <c r="V17">
        <v>38.6</v>
      </c>
      <c r="W17">
        <v>31.8</v>
      </c>
      <c r="Y17" s="1">
        <f>AVERAGE(V17:W17)</f>
        <v>35.200000000000003</v>
      </c>
    </row>
    <row r="18" spans="1:25" x14ac:dyDescent="0.25">
      <c r="A18" s="63">
        <v>1</v>
      </c>
      <c r="B18" s="63">
        <v>5</v>
      </c>
      <c r="C18" s="63">
        <v>3</v>
      </c>
      <c r="D18" s="63">
        <v>17</v>
      </c>
      <c r="E18" s="63">
        <v>5</v>
      </c>
      <c r="F18" s="63" t="s">
        <v>25</v>
      </c>
      <c r="G18" s="63" t="s">
        <v>28</v>
      </c>
      <c r="H18" s="63">
        <v>105</v>
      </c>
      <c r="I18" s="63" t="s">
        <v>380</v>
      </c>
      <c r="J18">
        <v>16.3</v>
      </c>
      <c r="K18">
        <v>7.1</v>
      </c>
      <c r="L18">
        <v>48.5</v>
      </c>
      <c r="M18" s="93">
        <f t="shared" si="0"/>
        <v>23.966666666666669</v>
      </c>
      <c r="N18">
        <v>19.5</v>
      </c>
      <c r="O18">
        <v>64.400000000000006</v>
      </c>
      <c r="P18">
        <v>54.2</v>
      </c>
      <c r="Q18" s="93">
        <f t="shared" si="1"/>
        <v>46.033333333333339</v>
      </c>
      <c r="R18">
        <v>37.9</v>
      </c>
      <c r="S18">
        <v>54.6</v>
      </c>
      <c r="T18">
        <v>44.8</v>
      </c>
      <c r="U18" s="93">
        <f t="shared" si="2"/>
        <v>45.766666666666673</v>
      </c>
    </row>
    <row r="19" spans="1:25" x14ac:dyDescent="0.25">
      <c r="A19" s="63">
        <v>2</v>
      </c>
      <c r="B19" s="63">
        <v>5</v>
      </c>
      <c r="C19" s="63">
        <v>3</v>
      </c>
      <c r="D19" s="63">
        <v>18</v>
      </c>
      <c r="E19" s="63">
        <v>12</v>
      </c>
      <c r="F19" s="63" t="s">
        <v>25</v>
      </c>
      <c r="G19" s="63" t="s">
        <v>26</v>
      </c>
      <c r="H19" s="63">
        <v>205</v>
      </c>
      <c r="I19" s="63" t="s">
        <v>380</v>
      </c>
      <c r="J19">
        <v>0</v>
      </c>
      <c r="K19">
        <v>0</v>
      </c>
      <c r="L19">
        <v>0</v>
      </c>
      <c r="M19" s="1">
        <f t="shared" si="0"/>
        <v>0</v>
      </c>
      <c r="N19">
        <v>8.4</v>
      </c>
      <c r="O19">
        <v>9.6</v>
      </c>
      <c r="P19">
        <v>7.5</v>
      </c>
      <c r="Q19" s="1">
        <f t="shared" si="1"/>
        <v>8.5</v>
      </c>
      <c r="R19">
        <v>11.5</v>
      </c>
      <c r="S19">
        <v>17.8</v>
      </c>
      <c r="T19">
        <v>8.6</v>
      </c>
      <c r="U19" s="93">
        <f t="shared" si="2"/>
        <v>12.633333333333333</v>
      </c>
      <c r="V19">
        <v>15.3</v>
      </c>
      <c r="W19">
        <v>25.7</v>
      </c>
      <c r="X19">
        <v>13.3</v>
      </c>
      <c r="Y19" s="1">
        <f>AVERAGE(V19:X19)</f>
        <v>18.099999999999998</v>
      </c>
    </row>
    <row r="20" spans="1:25" x14ac:dyDescent="0.25">
      <c r="A20" s="63">
        <v>3</v>
      </c>
      <c r="B20" s="63">
        <v>5</v>
      </c>
      <c r="C20" s="63">
        <v>3</v>
      </c>
      <c r="D20" s="63">
        <v>19</v>
      </c>
      <c r="E20" s="63">
        <v>21</v>
      </c>
      <c r="F20" s="63" t="s">
        <v>25</v>
      </c>
      <c r="G20" s="63" t="s">
        <v>29</v>
      </c>
      <c r="H20" s="63">
        <v>305</v>
      </c>
      <c r="I20" s="63" t="s">
        <v>380</v>
      </c>
      <c r="J20">
        <v>29.2</v>
      </c>
      <c r="K20">
        <v>10</v>
      </c>
      <c r="L20">
        <v>18.3</v>
      </c>
      <c r="M20" s="93">
        <f t="shared" si="0"/>
        <v>19.166666666666668</v>
      </c>
      <c r="N20">
        <v>39.200000000000003</v>
      </c>
      <c r="O20">
        <v>34.1</v>
      </c>
      <c r="P20">
        <v>24.1</v>
      </c>
      <c r="Q20" s="93">
        <f t="shared" si="1"/>
        <v>32.466666666666669</v>
      </c>
      <c r="R20">
        <v>62.6</v>
      </c>
      <c r="S20">
        <v>26.7</v>
      </c>
      <c r="T20">
        <v>27.8</v>
      </c>
      <c r="U20" s="93">
        <f t="shared" si="2"/>
        <v>39.033333333333331</v>
      </c>
      <c r="X20">
        <v>22.1</v>
      </c>
      <c r="Y20" s="1">
        <f>AVERAGE(V20:X20)</f>
        <v>22.1</v>
      </c>
    </row>
    <row r="21" spans="1:25" x14ac:dyDescent="0.25">
      <c r="A21" s="63">
        <v>4</v>
      </c>
      <c r="B21" s="63">
        <v>5</v>
      </c>
      <c r="C21" s="63">
        <v>3</v>
      </c>
      <c r="D21" s="63">
        <v>20</v>
      </c>
      <c r="E21" s="63">
        <v>28</v>
      </c>
      <c r="F21" s="63" t="s">
        <v>25</v>
      </c>
      <c r="G21" s="63" t="s">
        <v>27</v>
      </c>
      <c r="H21" s="63">
        <v>405</v>
      </c>
      <c r="I21" s="63" t="s">
        <v>380</v>
      </c>
      <c r="J21">
        <v>14.6</v>
      </c>
      <c r="K21">
        <v>11.7</v>
      </c>
      <c r="L21">
        <v>15.1</v>
      </c>
      <c r="M21" s="1">
        <f t="shared" si="0"/>
        <v>13.799999999999999</v>
      </c>
      <c r="N21">
        <v>15.3</v>
      </c>
      <c r="O21">
        <v>25.1</v>
      </c>
      <c r="P21">
        <v>14.2</v>
      </c>
      <c r="Q21" s="1">
        <f t="shared" si="1"/>
        <v>18.200000000000003</v>
      </c>
      <c r="R21">
        <v>20.9</v>
      </c>
      <c r="S21">
        <v>56.6</v>
      </c>
      <c r="T21" s="43">
        <v>32</v>
      </c>
      <c r="U21" s="1">
        <f t="shared" si="2"/>
        <v>36.5</v>
      </c>
    </row>
    <row r="22" spans="1:25" x14ac:dyDescent="0.25">
      <c r="A22" s="63">
        <v>4</v>
      </c>
      <c r="B22" s="63">
        <v>6</v>
      </c>
      <c r="C22" s="63">
        <v>3</v>
      </c>
      <c r="D22" s="63">
        <v>21</v>
      </c>
      <c r="E22" s="63">
        <v>27</v>
      </c>
      <c r="F22" s="63" t="s">
        <v>30</v>
      </c>
      <c r="G22" s="63" t="s">
        <v>28</v>
      </c>
      <c r="H22" s="63">
        <v>406</v>
      </c>
      <c r="I22" s="63" t="s">
        <v>380</v>
      </c>
      <c r="J22">
        <v>34.1</v>
      </c>
      <c r="K22">
        <v>23.2</v>
      </c>
      <c r="L22">
        <v>0</v>
      </c>
      <c r="M22" s="1">
        <f t="shared" si="0"/>
        <v>19.099999999999998</v>
      </c>
      <c r="N22">
        <v>20.9</v>
      </c>
      <c r="O22">
        <v>21.5</v>
      </c>
      <c r="P22">
        <v>23.5</v>
      </c>
      <c r="Q22" s="93">
        <f t="shared" si="1"/>
        <v>21.966666666666669</v>
      </c>
      <c r="R22" s="43">
        <v>23</v>
      </c>
      <c r="S22">
        <v>48.9</v>
      </c>
      <c r="T22">
        <v>21.2</v>
      </c>
      <c r="U22" s="93">
        <f t="shared" si="2"/>
        <v>31.033333333333335</v>
      </c>
    </row>
    <row r="23" spans="1:25" x14ac:dyDescent="0.25">
      <c r="A23" s="63">
        <v>3</v>
      </c>
      <c r="B23" s="63">
        <v>6</v>
      </c>
      <c r="C23" s="63">
        <v>3</v>
      </c>
      <c r="D23" s="63">
        <v>22</v>
      </c>
      <c r="E23" s="63">
        <v>22</v>
      </c>
      <c r="F23" s="63" t="s">
        <v>30</v>
      </c>
      <c r="G23" s="63" t="s">
        <v>32</v>
      </c>
      <c r="H23" s="63">
        <v>306</v>
      </c>
      <c r="I23" s="63" t="s">
        <v>380</v>
      </c>
      <c r="J23">
        <v>0</v>
      </c>
      <c r="K23">
        <v>0</v>
      </c>
      <c r="L23">
        <v>0</v>
      </c>
      <c r="M23" s="1">
        <f t="shared" si="0"/>
        <v>0</v>
      </c>
      <c r="N23">
        <v>20.6</v>
      </c>
      <c r="O23">
        <v>11.6</v>
      </c>
      <c r="P23" s="43">
        <v>13</v>
      </c>
      <c r="Q23" s="93">
        <f t="shared" si="1"/>
        <v>15.066666666666668</v>
      </c>
      <c r="R23">
        <v>19.3</v>
      </c>
      <c r="S23">
        <v>17.2</v>
      </c>
      <c r="T23">
        <v>22.3</v>
      </c>
      <c r="U23" s="1">
        <f t="shared" si="2"/>
        <v>19.599999999999998</v>
      </c>
      <c r="V23">
        <v>48.5</v>
      </c>
      <c r="W23">
        <v>47.4</v>
      </c>
      <c r="X23" s="43">
        <v>16</v>
      </c>
      <c r="Y23" s="1">
        <f>AVERAGE(V23:X23)</f>
        <v>37.300000000000004</v>
      </c>
    </row>
    <row r="24" spans="1:25" x14ac:dyDescent="0.25">
      <c r="A24" s="63">
        <v>2</v>
      </c>
      <c r="B24" s="63">
        <v>6</v>
      </c>
      <c r="C24" s="63">
        <v>3</v>
      </c>
      <c r="D24" s="63">
        <v>23</v>
      </c>
      <c r="E24" s="63">
        <v>11</v>
      </c>
      <c r="F24" s="63" t="s">
        <v>30</v>
      </c>
      <c r="G24" s="63" t="s">
        <v>31</v>
      </c>
      <c r="H24" s="63">
        <v>206</v>
      </c>
      <c r="I24" s="63" t="s">
        <v>380</v>
      </c>
      <c r="J24">
        <v>15.8</v>
      </c>
      <c r="K24">
        <v>137.9</v>
      </c>
      <c r="L24">
        <v>0</v>
      </c>
      <c r="M24" s="94">
        <v>0</v>
      </c>
      <c r="N24">
        <v>19.2</v>
      </c>
      <c r="O24">
        <v>20.2</v>
      </c>
      <c r="P24">
        <v>8.1</v>
      </c>
      <c r="Q24" s="93">
        <f t="shared" si="1"/>
        <v>15.833333333333334</v>
      </c>
      <c r="R24">
        <v>27.9</v>
      </c>
      <c r="S24">
        <v>52.9</v>
      </c>
      <c r="T24">
        <v>31.7</v>
      </c>
      <c r="U24" s="1">
        <f t="shared" si="2"/>
        <v>37.5</v>
      </c>
    </row>
    <row r="25" spans="1:25" x14ac:dyDescent="0.25">
      <c r="A25" s="63">
        <v>1</v>
      </c>
      <c r="B25" s="63">
        <v>6</v>
      </c>
      <c r="C25" s="63">
        <v>3</v>
      </c>
      <c r="D25" s="63">
        <v>24</v>
      </c>
      <c r="E25" s="63">
        <v>6</v>
      </c>
      <c r="F25" s="63" t="s">
        <v>30</v>
      </c>
      <c r="G25" s="63" t="s">
        <v>29</v>
      </c>
      <c r="H25" s="63">
        <v>106</v>
      </c>
      <c r="I25" s="63" t="s">
        <v>380</v>
      </c>
      <c r="J25">
        <v>0</v>
      </c>
      <c r="K25">
        <v>0</v>
      </c>
      <c r="L25">
        <v>0</v>
      </c>
      <c r="M25" s="1">
        <f t="shared" ref="M25:M33" si="3">AVERAGE(J25:L25)</f>
        <v>0</v>
      </c>
      <c r="N25">
        <v>26.5</v>
      </c>
      <c r="O25">
        <v>16.399999999999999</v>
      </c>
      <c r="P25">
        <v>40</v>
      </c>
      <c r="Q25" s="93">
        <f t="shared" si="1"/>
        <v>27.633333333333336</v>
      </c>
      <c r="R25">
        <v>30.4</v>
      </c>
      <c r="S25">
        <v>18.2</v>
      </c>
      <c r="T25">
        <v>34.700000000000003</v>
      </c>
      <c r="U25" s="93">
        <f t="shared" si="2"/>
        <v>27.766666666666666</v>
      </c>
      <c r="V25">
        <v>31.9</v>
      </c>
      <c r="X25">
        <v>27</v>
      </c>
      <c r="Y25" s="93">
        <f>AVERAGE(V25:X25)</f>
        <v>29.45</v>
      </c>
    </row>
    <row r="26" spans="1:25" x14ac:dyDescent="0.25">
      <c r="A26" s="63">
        <v>1</v>
      </c>
      <c r="B26" s="63">
        <v>7</v>
      </c>
      <c r="C26" s="63">
        <v>4</v>
      </c>
      <c r="D26" s="63">
        <v>25</v>
      </c>
      <c r="E26" s="63">
        <v>7</v>
      </c>
      <c r="F26" s="63" t="s">
        <v>25</v>
      </c>
      <c r="G26" s="63" t="s">
        <v>29</v>
      </c>
      <c r="H26" s="63">
        <v>107</v>
      </c>
      <c r="I26" s="63" t="s">
        <v>380</v>
      </c>
      <c r="J26">
        <v>19.600000000000001</v>
      </c>
      <c r="K26">
        <v>0</v>
      </c>
      <c r="L26">
        <v>15.5</v>
      </c>
      <c r="M26" s="1">
        <f t="shared" si="3"/>
        <v>11.700000000000001</v>
      </c>
      <c r="N26">
        <v>21.3</v>
      </c>
      <c r="O26">
        <v>34.1</v>
      </c>
      <c r="P26">
        <v>41.7</v>
      </c>
      <c r="Q26" s="93">
        <f t="shared" si="1"/>
        <v>32.366666666666667</v>
      </c>
      <c r="R26">
        <v>48.7</v>
      </c>
      <c r="S26">
        <v>13.8</v>
      </c>
      <c r="T26">
        <v>11.9</v>
      </c>
      <c r="U26" s="1">
        <f t="shared" si="2"/>
        <v>24.8</v>
      </c>
    </row>
    <row r="27" spans="1:25" x14ac:dyDescent="0.25">
      <c r="A27" s="63">
        <v>2</v>
      </c>
      <c r="B27" s="63">
        <v>7</v>
      </c>
      <c r="C27" s="63">
        <v>4</v>
      </c>
      <c r="D27" s="63">
        <v>26</v>
      </c>
      <c r="E27" s="63">
        <v>10</v>
      </c>
      <c r="F27" s="63" t="s">
        <v>25</v>
      </c>
      <c r="G27" s="63" t="s">
        <v>28</v>
      </c>
      <c r="H27" s="63">
        <v>207</v>
      </c>
      <c r="I27" s="63" t="s">
        <v>380</v>
      </c>
      <c r="J27">
        <v>51.9</v>
      </c>
      <c r="K27">
        <v>30.7</v>
      </c>
      <c r="L27">
        <v>25.5</v>
      </c>
      <c r="M27" s="93">
        <f t="shared" si="3"/>
        <v>36.033333333333331</v>
      </c>
      <c r="N27">
        <v>20.9</v>
      </c>
      <c r="O27">
        <v>21.5</v>
      </c>
      <c r="P27">
        <v>32.5</v>
      </c>
      <c r="Q27" s="93">
        <f t="shared" si="1"/>
        <v>24.966666666666669</v>
      </c>
      <c r="R27">
        <v>49.1</v>
      </c>
      <c r="S27">
        <v>71.400000000000006</v>
      </c>
      <c r="T27">
        <v>33</v>
      </c>
      <c r="U27" s="93">
        <f t="shared" si="2"/>
        <v>51.166666666666664</v>
      </c>
    </row>
    <row r="28" spans="1:25" x14ac:dyDescent="0.25">
      <c r="A28" s="63">
        <v>3</v>
      </c>
      <c r="B28" s="63">
        <v>7</v>
      </c>
      <c r="C28" s="63">
        <v>4</v>
      </c>
      <c r="D28" s="63">
        <v>27</v>
      </c>
      <c r="E28" s="63">
        <v>23</v>
      </c>
      <c r="F28" s="63" t="s">
        <v>25</v>
      </c>
      <c r="G28" s="63" t="s">
        <v>27</v>
      </c>
      <c r="H28" s="63">
        <v>307</v>
      </c>
      <c r="I28" s="63" t="s">
        <v>380</v>
      </c>
      <c r="J28">
        <v>21.5</v>
      </c>
      <c r="K28">
        <v>11.4</v>
      </c>
      <c r="L28">
        <v>37.200000000000003</v>
      </c>
      <c r="M28" s="93">
        <f t="shared" si="3"/>
        <v>23.366666666666664</v>
      </c>
      <c r="N28">
        <v>19.600000000000001</v>
      </c>
      <c r="O28">
        <v>26.7</v>
      </c>
      <c r="P28">
        <v>28.2</v>
      </c>
      <c r="Q28" s="93">
        <f t="shared" si="1"/>
        <v>24.833333333333332</v>
      </c>
      <c r="R28">
        <v>22.9</v>
      </c>
      <c r="S28" s="43">
        <v>27</v>
      </c>
      <c r="T28" s="43">
        <v>31</v>
      </c>
      <c r="U28" s="93">
        <f t="shared" si="2"/>
        <v>26.966666666666669</v>
      </c>
    </row>
    <row r="29" spans="1:25" x14ac:dyDescent="0.25">
      <c r="A29" s="63">
        <v>4</v>
      </c>
      <c r="B29" s="63">
        <v>7</v>
      </c>
      <c r="C29" s="63">
        <v>4</v>
      </c>
      <c r="D29" s="63">
        <v>28</v>
      </c>
      <c r="E29" s="63">
        <v>26</v>
      </c>
      <c r="F29" s="63" t="s">
        <v>25</v>
      </c>
      <c r="G29" s="63" t="s">
        <v>26</v>
      </c>
      <c r="H29" s="63">
        <v>407</v>
      </c>
      <c r="I29" s="63" t="s">
        <v>380</v>
      </c>
      <c r="J29">
        <v>0</v>
      </c>
      <c r="K29">
        <v>0</v>
      </c>
      <c r="L29">
        <v>0</v>
      </c>
      <c r="M29" s="1">
        <f t="shared" si="3"/>
        <v>0</v>
      </c>
      <c r="N29">
        <v>10</v>
      </c>
      <c r="O29">
        <v>11.9</v>
      </c>
      <c r="P29">
        <v>18.100000000000001</v>
      </c>
      <c r="Q29" s="93">
        <f t="shared" si="1"/>
        <v>13.333333333333334</v>
      </c>
      <c r="R29">
        <v>11.9</v>
      </c>
      <c r="S29">
        <v>11.4</v>
      </c>
      <c r="T29">
        <v>26.4</v>
      </c>
      <c r="U29" s="93">
        <f t="shared" si="2"/>
        <v>16.566666666666666</v>
      </c>
      <c r="V29">
        <v>20.399999999999999</v>
      </c>
      <c r="W29">
        <v>31.1</v>
      </c>
      <c r="X29">
        <v>24.2</v>
      </c>
      <c r="Y29" s="93">
        <f>AVERAGE(V29:X29)</f>
        <v>25.233333333333334</v>
      </c>
    </row>
    <row r="30" spans="1:25" x14ac:dyDescent="0.25">
      <c r="A30" s="63">
        <v>4</v>
      </c>
      <c r="B30" s="63">
        <v>8</v>
      </c>
      <c r="C30" s="63">
        <v>4</v>
      </c>
      <c r="D30" s="63">
        <v>29</v>
      </c>
      <c r="E30" s="63">
        <v>25</v>
      </c>
      <c r="F30" s="63" t="s">
        <v>30</v>
      </c>
      <c r="G30" s="63" t="s">
        <v>31</v>
      </c>
      <c r="H30" s="63">
        <v>408</v>
      </c>
      <c r="I30" s="63" t="s">
        <v>380</v>
      </c>
      <c r="J30">
        <v>0</v>
      </c>
      <c r="K30">
        <v>22.7</v>
      </c>
      <c r="L30">
        <v>35.9</v>
      </c>
      <c r="M30" s="93">
        <f t="shared" si="3"/>
        <v>19.533333333333331</v>
      </c>
      <c r="N30">
        <v>16.5</v>
      </c>
      <c r="O30">
        <v>24.2</v>
      </c>
      <c r="P30">
        <v>22.4</v>
      </c>
      <c r="Q30" s="93">
        <f t="shared" si="1"/>
        <v>21.033333333333335</v>
      </c>
      <c r="R30" s="43">
        <v>41</v>
      </c>
      <c r="S30">
        <v>29.1</v>
      </c>
      <c r="T30">
        <v>19.2</v>
      </c>
      <c r="U30" s="93">
        <f t="shared" si="2"/>
        <v>29.766666666666666</v>
      </c>
    </row>
    <row r="31" spans="1:25" x14ac:dyDescent="0.25">
      <c r="A31" s="63">
        <v>3</v>
      </c>
      <c r="B31" s="63">
        <v>8</v>
      </c>
      <c r="C31" s="63">
        <v>4</v>
      </c>
      <c r="D31" s="63">
        <v>30</v>
      </c>
      <c r="E31" s="63">
        <v>24</v>
      </c>
      <c r="F31" s="63" t="s">
        <v>30</v>
      </c>
      <c r="G31" s="63" t="s">
        <v>28</v>
      </c>
      <c r="H31" s="63">
        <v>308</v>
      </c>
      <c r="I31" s="63" t="s">
        <v>380</v>
      </c>
      <c r="J31">
        <v>16.8</v>
      </c>
      <c r="K31">
        <v>30.7</v>
      </c>
      <c r="L31">
        <v>13.5</v>
      </c>
      <c r="M31" s="93">
        <f t="shared" si="3"/>
        <v>20.333333333333332</v>
      </c>
      <c r="N31">
        <v>33.4</v>
      </c>
      <c r="O31">
        <v>21.6</v>
      </c>
      <c r="P31">
        <v>20.5</v>
      </c>
      <c r="Q31" s="93">
        <f t="shared" si="1"/>
        <v>25.166666666666668</v>
      </c>
      <c r="R31" s="43">
        <v>38</v>
      </c>
      <c r="S31">
        <v>48.2</v>
      </c>
      <c r="T31" s="43">
        <v>24</v>
      </c>
      <c r="U31" s="93">
        <f t="shared" si="2"/>
        <v>36.733333333333334</v>
      </c>
    </row>
    <row r="32" spans="1:25" x14ac:dyDescent="0.25">
      <c r="A32" s="63">
        <v>2</v>
      </c>
      <c r="B32" s="63">
        <v>8</v>
      </c>
      <c r="C32" s="63">
        <v>4</v>
      </c>
      <c r="D32" s="63">
        <v>31</v>
      </c>
      <c r="E32" s="63">
        <v>9</v>
      </c>
      <c r="F32" s="63" t="s">
        <v>30</v>
      </c>
      <c r="G32" s="63" t="s">
        <v>29</v>
      </c>
      <c r="H32" s="63">
        <v>208</v>
      </c>
      <c r="I32" s="63" t="s">
        <v>380</v>
      </c>
      <c r="J32">
        <v>0</v>
      </c>
      <c r="K32">
        <v>0</v>
      </c>
      <c r="L32">
        <v>0</v>
      </c>
      <c r="M32" s="1">
        <f t="shared" si="3"/>
        <v>0</v>
      </c>
      <c r="N32">
        <v>28.8</v>
      </c>
      <c r="O32">
        <v>18.8</v>
      </c>
      <c r="P32">
        <v>19.100000000000001</v>
      </c>
      <c r="Q32" s="93">
        <f t="shared" si="1"/>
        <v>22.233333333333334</v>
      </c>
      <c r="R32">
        <v>38.200000000000003</v>
      </c>
      <c r="S32">
        <v>26.9</v>
      </c>
      <c r="T32">
        <v>21.4</v>
      </c>
      <c r="U32" s="93">
        <f t="shared" si="2"/>
        <v>28.833333333333332</v>
      </c>
      <c r="V32">
        <v>35.200000000000003</v>
      </c>
      <c r="X32">
        <v>43.2</v>
      </c>
      <c r="Y32" s="1">
        <f>AVERAGE(V32:X32)</f>
        <v>39.200000000000003</v>
      </c>
    </row>
    <row r="33" spans="1:25" x14ac:dyDescent="0.25">
      <c r="A33" s="63">
        <v>1</v>
      </c>
      <c r="B33" s="63">
        <v>8</v>
      </c>
      <c r="C33" s="63">
        <v>4</v>
      </c>
      <c r="D33" s="63">
        <v>32</v>
      </c>
      <c r="E33" s="63">
        <v>8</v>
      </c>
      <c r="F33" s="63" t="s">
        <v>30</v>
      </c>
      <c r="G33" s="63" t="s">
        <v>32</v>
      </c>
      <c r="H33" s="63">
        <v>108</v>
      </c>
      <c r="I33" s="63" t="s">
        <v>380</v>
      </c>
      <c r="J33">
        <v>0</v>
      </c>
      <c r="K33">
        <v>0</v>
      </c>
      <c r="L33">
        <v>0</v>
      </c>
      <c r="M33" s="1">
        <f t="shared" si="3"/>
        <v>0</v>
      </c>
      <c r="N33">
        <v>7.5</v>
      </c>
      <c r="O33">
        <v>20</v>
      </c>
      <c r="P33">
        <v>22</v>
      </c>
      <c r="Q33" s="1">
        <f t="shared" si="1"/>
        <v>16.5</v>
      </c>
      <c r="R33">
        <v>13.2</v>
      </c>
      <c r="S33">
        <v>34.4</v>
      </c>
      <c r="T33">
        <v>41.5</v>
      </c>
      <c r="U33" s="1">
        <f t="shared" si="2"/>
        <v>29.7</v>
      </c>
      <c r="V33">
        <v>17</v>
      </c>
      <c r="Y33" s="1">
        <f>AVERAGE(V33:X33)</f>
        <v>17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1D64-6F11-4ABD-B799-01598608E985}">
  <dimension ref="A1:CW57"/>
  <sheetViews>
    <sheetView workbookViewId="0">
      <pane xSplit="7" ySplit="1" topLeftCell="BN2" activePane="bottomRight" state="frozen"/>
      <selection pane="topRight" activeCell="H1" sqref="H1"/>
      <selection pane="bottomLeft" activeCell="A2" sqref="A2"/>
      <selection pane="bottomRight" activeCell="BT1" sqref="BT1:CH1"/>
    </sheetView>
  </sheetViews>
  <sheetFormatPr defaultRowHeight="15" x14ac:dyDescent="0.25"/>
  <cols>
    <col min="1" max="6" width="9.28515625" style="4"/>
    <col min="7" max="7" width="17.7109375" style="4" customWidth="1"/>
    <col min="8" max="9" width="9.28515625" style="4"/>
    <col min="10" max="10" width="10.5703125" style="4" bestFit="1" customWidth="1"/>
    <col min="11" max="39" width="9.28515625" style="4"/>
    <col min="40" max="40" width="9.28515625" style="5"/>
    <col min="41" max="46" width="9.28515625" style="4"/>
    <col min="47" max="47" width="10.5703125" style="4" customWidth="1"/>
    <col min="48" max="53" width="9.28515625" style="4"/>
    <col min="54" max="55" width="9.28515625" style="11"/>
    <col min="56" max="56" width="9.28515625" style="47"/>
    <col min="57" max="58" width="9.28515625" style="12"/>
    <col min="59" max="62" width="9.28515625" style="47"/>
    <col min="63" max="66" width="9.28515625" style="4"/>
    <col min="82" max="82" width="10.5703125" customWidth="1"/>
    <col min="86" max="86" width="11" customWidth="1"/>
    <col min="88" max="88" width="17.28515625" bestFit="1" customWidth="1"/>
    <col min="89" max="89" width="13.42578125" bestFit="1" customWidth="1"/>
    <col min="90" max="90" width="23.28515625" style="61" customWidth="1"/>
    <col min="91" max="91" width="19.42578125" customWidth="1"/>
    <col min="92" max="93" width="20.5703125" customWidth="1"/>
    <col min="94" max="94" width="23.5703125" customWidth="1"/>
    <col min="95" max="95" width="42" bestFit="1" customWidth="1"/>
    <col min="96" max="96" width="30.42578125" bestFit="1" customWidth="1"/>
    <col min="97" max="97" width="27" bestFit="1" customWidth="1"/>
    <col min="98" max="98" width="45.28515625" bestFit="1" customWidth="1"/>
    <col min="99" max="99" width="31" bestFit="1" customWidth="1"/>
    <col min="100" max="100" width="41.42578125" bestFit="1" customWidth="1"/>
  </cols>
  <sheetData>
    <row r="1" spans="1:100" ht="121.15" customHeight="1" x14ac:dyDescent="0.25">
      <c r="A1" s="10" t="s">
        <v>23</v>
      </c>
      <c r="B1" s="10" t="s">
        <v>24</v>
      </c>
      <c r="C1" s="10" t="s">
        <v>281</v>
      </c>
      <c r="D1" s="10" t="s">
        <v>282</v>
      </c>
      <c r="E1" s="10" t="s">
        <v>77</v>
      </c>
      <c r="F1" s="10" t="s">
        <v>21</v>
      </c>
      <c r="G1" s="10" t="s">
        <v>22</v>
      </c>
      <c r="H1" s="10" t="s">
        <v>76</v>
      </c>
      <c r="I1" s="10" t="s">
        <v>381</v>
      </c>
      <c r="J1" s="10" t="s">
        <v>284</v>
      </c>
      <c r="K1" s="10" t="s">
        <v>382</v>
      </c>
      <c r="L1" s="10" t="s">
        <v>383</v>
      </c>
      <c r="M1" s="10" t="s">
        <v>384</v>
      </c>
      <c r="N1" s="10" t="s">
        <v>385</v>
      </c>
      <c r="O1" s="10" t="s">
        <v>386</v>
      </c>
      <c r="P1" s="10" t="s">
        <v>387</v>
      </c>
      <c r="Q1" s="10" t="s">
        <v>388</v>
      </c>
      <c r="R1" s="10" t="s">
        <v>389</v>
      </c>
      <c r="S1" s="10" t="s">
        <v>390</v>
      </c>
      <c r="T1" s="10" t="s">
        <v>391</v>
      </c>
      <c r="U1" s="10" t="s">
        <v>392</v>
      </c>
      <c r="V1" s="10" t="s">
        <v>393</v>
      </c>
      <c r="W1" s="10" t="s">
        <v>394</v>
      </c>
      <c r="X1" s="10" t="s">
        <v>395</v>
      </c>
      <c r="Y1" s="10" t="s">
        <v>396</v>
      </c>
      <c r="Z1" s="10" t="s">
        <v>397</v>
      </c>
      <c r="AA1" s="10" t="s">
        <v>398</v>
      </c>
      <c r="AB1" s="10" t="s">
        <v>399</v>
      </c>
      <c r="AC1" s="10" t="s">
        <v>400</v>
      </c>
      <c r="AD1" s="10" t="s">
        <v>401</v>
      </c>
      <c r="AE1" s="10" t="s">
        <v>402</v>
      </c>
      <c r="AF1" s="10" t="s">
        <v>403</v>
      </c>
      <c r="AG1" s="10" t="s">
        <v>404</v>
      </c>
      <c r="AH1" s="10" t="s">
        <v>405</v>
      </c>
      <c r="AI1" s="10" t="s">
        <v>406</v>
      </c>
      <c r="AJ1" s="10" t="s">
        <v>407</v>
      </c>
      <c r="AK1" s="10" t="s">
        <v>408</v>
      </c>
      <c r="AL1" s="10" t="s">
        <v>409</v>
      </c>
      <c r="AM1" s="10" t="s">
        <v>410</v>
      </c>
      <c r="AN1" s="10" t="s">
        <v>331</v>
      </c>
      <c r="AO1" s="10" t="s">
        <v>411</v>
      </c>
      <c r="AP1" s="10" t="s">
        <v>412</v>
      </c>
      <c r="AQ1" s="10" t="s">
        <v>413</v>
      </c>
      <c r="AR1" s="10" t="s">
        <v>414</v>
      </c>
      <c r="AS1" s="10" t="s">
        <v>415</v>
      </c>
      <c r="AT1" s="62" t="s">
        <v>416</v>
      </c>
      <c r="AU1" s="62" t="s">
        <v>417</v>
      </c>
      <c r="AV1" s="62" t="s">
        <v>418</v>
      </c>
      <c r="AW1" s="10" t="s">
        <v>419</v>
      </c>
      <c r="AX1" s="10" t="s">
        <v>420</v>
      </c>
      <c r="AY1" s="10" t="s">
        <v>421</v>
      </c>
      <c r="AZ1" s="10" t="s">
        <v>422</v>
      </c>
      <c r="BA1" s="10" t="s">
        <v>423</v>
      </c>
      <c r="BB1" s="9" t="s">
        <v>424</v>
      </c>
      <c r="BC1" s="9" t="s">
        <v>425</v>
      </c>
      <c r="BD1" s="48" t="s">
        <v>426</v>
      </c>
      <c r="BE1" s="8" t="s">
        <v>427</v>
      </c>
      <c r="BF1" s="8" t="s">
        <v>428</v>
      </c>
      <c r="BG1" s="48" t="s">
        <v>429</v>
      </c>
      <c r="BH1" s="48" t="s">
        <v>430</v>
      </c>
      <c r="BI1" s="48" t="s">
        <v>431</v>
      </c>
      <c r="BJ1" s="48" t="s">
        <v>432</v>
      </c>
      <c r="BK1" s="10" t="s">
        <v>433</v>
      </c>
      <c r="BL1" s="10" t="s">
        <v>434</v>
      </c>
      <c r="BM1" s="10" t="s">
        <v>435</v>
      </c>
      <c r="BN1" s="10" t="s">
        <v>436</v>
      </c>
      <c r="BO1" s="8" t="s">
        <v>437</v>
      </c>
      <c r="BP1" s="8" t="s">
        <v>438</v>
      </c>
      <c r="BQ1" s="8" t="s">
        <v>439</v>
      </c>
      <c r="BR1" s="8" t="s">
        <v>440</v>
      </c>
      <c r="BS1" s="8" t="s">
        <v>441</v>
      </c>
      <c r="BT1" s="144" t="s">
        <v>597</v>
      </c>
      <c r="BU1" s="144" t="s">
        <v>598</v>
      </c>
      <c r="BV1" s="144" t="s">
        <v>599</v>
      </c>
      <c r="BW1" s="144" t="s">
        <v>600</v>
      </c>
      <c r="BX1" s="144" t="s">
        <v>601</v>
      </c>
      <c r="BY1" s="144" t="s">
        <v>602</v>
      </c>
      <c r="BZ1" s="144" t="s">
        <v>603</v>
      </c>
      <c r="CA1" s="144" t="s">
        <v>604</v>
      </c>
      <c r="CB1" s="144" t="s">
        <v>605</v>
      </c>
      <c r="CC1" s="144" t="s">
        <v>606</v>
      </c>
      <c r="CD1" s="144" t="s">
        <v>607</v>
      </c>
      <c r="CE1" s="144" t="s">
        <v>608</v>
      </c>
      <c r="CF1" s="144" t="s">
        <v>609</v>
      </c>
      <c r="CG1" s="144" t="s">
        <v>610</v>
      </c>
      <c r="CH1" s="144" t="s">
        <v>611</v>
      </c>
      <c r="CL1" s="74" t="s">
        <v>442</v>
      </c>
    </row>
    <row r="2" spans="1:100" s="64" customFormat="1" x14ac:dyDescent="0.25">
      <c r="A2" s="63">
        <v>1</v>
      </c>
      <c r="B2" s="63">
        <v>1</v>
      </c>
      <c r="C2" s="63">
        <v>1</v>
      </c>
      <c r="D2" s="63">
        <v>1</v>
      </c>
      <c r="E2" s="63">
        <v>1</v>
      </c>
      <c r="F2" s="63" t="s">
        <v>25</v>
      </c>
      <c r="G2" s="63" t="s">
        <v>26</v>
      </c>
      <c r="H2" s="63">
        <v>101</v>
      </c>
      <c r="I2" s="63" t="str">
        <f>"EVA"&amp;"_"&amp;H2</f>
        <v>EVA_101</v>
      </c>
      <c r="J2" s="66">
        <v>45559</v>
      </c>
      <c r="K2" s="63">
        <v>0.83</v>
      </c>
      <c r="L2" s="65">
        <v>3.6999999999999998E-2</v>
      </c>
      <c r="M2" s="65">
        <v>7.1999999999999995E-2</v>
      </c>
      <c r="N2" s="65">
        <v>0.13300000000000001</v>
      </c>
      <c r="O2" s="65">
        <v>0.221</v>
      </c>
      <c r="P2" s="75">
        <f>1-L2</f>
        <v>0.96299999999999997</v>
      </c>
      <c r="Q2" s="75">
        <f>1-M2</f>
        <v>0.92800000000000005</v>
      </c>
      <c r="R2" s="75">
        <f>1-N2</f>
        <v>0.86699999999999999</v>
      </c>
      <c r="S2" s="75">
        <f>1-O2</f>
        <v>0.77900000000000003</v>
      </c>
      <c r="T2" s="63">
        <v>47.6</v>
      </c>
      <c r="U2" s="63">
        <v>40.9</v>
      </c>
      <c r="V2" s="63">
        <v>45.7</v>
      </c>
      <c r="W2" s="63">
        <v>45</v>
      </c>
      <c r="X2" s="63">
        <v>63.4</v>
      </c>
      <c r="Y2" s="63">
        <v>54.5</v>
      </c>
      <c r="Z2" s="63">
        <v>55.8</v>
      </c>
      <c r="AA2" s="63">
        <v>57.5</v>
      </c>
      <c r="AB2" s="63">
        <v>56.3</v>
      </c>
      <c r="AC2" s="63">
        <v>53.9</v>
      </c>
      <c r="AD2" s="63">
        <v>53.1</v>
      </c>
      <c r="AE2" s="63">
        <v>37.5</v>
      </c>
      <c r="AF2" s="63">
        <v>51.8</v>
      </c>
      <c r="AG2" s="63">
        <v>56.9</v>
      </c>
      <c r="AH2" s="63">
        <v>51.4</v>
      </c>
      <c r="AI2" s="63">
        <v>54.8</v>
      </c>
      <c r="AJ2" s="63">
        <v>54.9</v>
      </c>
      <c r="AK2" s="63">
        <v>48.1</v>
      </c>
      <c r="AL2" s="63">
        <v>49</v>
      </c>
      <c r="AM2" s="63">
        <v>43.2</v>
      </c>
      <c r="AN2" s="67">
        <v>72</v>
      </c>
      <c r="AO2" s="63">
        <v>0.5</v>
      </c>
      <c r="AP2" s="63">
        <v>2192.8000000000002</v>
      </c>
      <c r="AQ2" s="70">
        <f>AP2/AO2</f>
        <v>4385.6000000000004</v>
      </c>
      <c r="AR2" s="63">
        <v>352.3</v>
      </c>
      <c r="AS2" s="63">
        <v>50</v>
      </c>
      <c r="AT2" s="63">
        <v>212.9</v>
      </c>
      <c r="AU2" s="63">
        <v>49.56</v>
      </c>
      <c r="AV2" s="63">
        <v>30</v>
      </c>
      <c r="AW2" s="63">
        <v>9.2799999999999994</v>
      </c>
      <c r="AX2" s="63">
        <v>1.52</v>
      </c>
      <c r="AY2" s="63">
        <v>19.68</v>
      </c>
      <c r="AZ2" s="63">
        <v>3.3</v>
      </c>
      <c r="BA2" s="63">
        <f>SUM(AW2:AZ2)</f>
        <v>33.779999999999994</v>
      </c>
      <c r="BB2" s="68">
        <f>AU2/AV2</f>
        <v>1.6520000000000001</v>
      </c>
      <c r="BC2" s="68">
        <f>AT2/AV2</f>
        <v>7.0966666666666667</v>
      </c>
      <c r="BD2" s="69">
        <f>AU2/AT2</f>
        <v>0.23278534523250352</v>
      </c>
      <c r="BE2" s="70">
        <f>BD2*AP2</f>
        <v>510.45170502583375</v>
      </c>
      <c r="BF2" s="70">
        <f>BE2/AO2</f>
        <v>1020.9034100516675</v>
      </c>
      <c r="BG2" s="69">
        <f>AW2/BA2</f>
        <v>0.27471876850207227</v>
      </c>
      <c r="BH2" s="69">
        <f>AX2/BA2</f>
        <v>4.4997039668442873E-2</v>
      </c>
      <c r="BI2" s="69">
        <f>AY2/BA2</f>
        <v>0.58259325044404986</v>
      </c>
      <c r="BJ2" s="69">
        <f>AZ2/BA2</f>
        <v>9.7690941385435187E-2</v>
      </c>
      <c r="BK2" s="70">
        <f>BG2*$BF2</f>
        <v>280.4613275689602</v>
      </c>
      <c r="BL2" s="70">
        <f>BH2*$BF2</f>
        <v>45.937631239743482</v>
      </c>
      <c r="BM2" s="70">
        <f>BI2*$BF2</f>
        <v>594.77143605141566</v>
      </c>
      <c r="BN2" s="70">
        <f>BJ2*$BF2</f>
        <v>99.733015191548347</v>
      </c>
      <c r="BO2" s="73">
        <f>AVERAGE(T2:W2)</f>
        <v>44.8</v>
      </c>
      <c r="BP2" s="73">
        <f>AVERAGE(X2:AA2)</f>
        <v>57.8</v>
      </c>
      <c r="BQ2" s="73">
        <f>AVERAGE(AB2:AE2)</f>
        <v>50.199999999999996</v>
      </c>
      <c r="BR2" s="73">
        <f>AVERAGE(AF2:AI2)</f>
        <v>53.724999999999994</v>
      </c>
      <c r="BS2" s="73">
        <f>AVERAGE(AJ2:AM2)</f>
        <v>48.8</v>
      </c>
      <c r="BT2" s="145">
        <v>18.187000000000001</v>
      </c>
      <c r="BU2" s="145">
        <v>31.783000000000001</v>
      </c>
      <c r="BV2" s="73">
        <v>13.317</v>
      </c>
      <c r="BW2" s="73">
        <v>19.210999999999999</v>
      </c>
      <c r="BX2" s="73">
        <v>18.634</v>
      </c>
      <c r="BY2" s="73">
        <v>159</v>
      </c>
      <c r="BZ2" s="73">
        <v>116.7</v>
      </c>
      <c r="CA2" s="73">
        <v>90.1</v>
      </c>
      <c r="CB2" s="73">
        <v>128.9</v>
      </c>
      <c r="CC2" s="73">
        <v>274.89999999999998</v>
      </c>
      <c r="CD2" s="146">
        <v>-24.35</v>
      </c>
      <c r="CE2" s="146">
        <v>-24.01</v>
      </c>
      <c r="CF2" s="146">
        <v>-24.33</v>
      </c>
      <c r="CG2" s="146">
        <v>-25.29</v>
      </c>
      <c r="CH2" s="146">
        <v>-23.89</v>
      </c>
      <c r="CJ2" s="71" t="s">
        <v>21</v>
      </c>
      <c r="CK2" s="71" t="s">
        <v>22</v>
      </c>
      <c r="CL2" t="s">
        <v>443</v>
      </c>
      <c r="CM2" s="72" t="s">
        <v>444</v>
      </c>
      <c r="CN2" t="s">
        <v>445</v>
      </c>
      <c r="CO2" t="s">
        <v>446</v>
      </c>
      <c r="CP2" t="s">
        <v>447</v>
      </c>
      <c r="CQ2" t="s">
        <v>448</v>
      </c>
      <c r="CR2" t="s">
        <v>449</v>
      </c>
      <c r="CS2" t="s">
        <v>450</v>
      </c>
      <c r="CT2" t="s">
        <v>451</v>
      </c>
      <c r="CU2" t="s">
        <v>452</v>
      </c>
    </row>
    <row r="3" spans="1:100" s="64" customFormat="1" x14ac:dyDescent="0.25">
      <c r="A3" s="63">
        <v>1</v>
      </c>
      <c r="B3" s="63">
        <v>2</v>
      </c>
      <c r="C3" s="63">
        <v>1</v>
      </c>
      <c r="D3" s="63">
        <v>8</v>
      </c>
      <c r="E3" s="63">
        <v>2</v>
      </c>
      <c r="F3" s="63" t="s">
        <v>30</v>
      </c>
      <c r="G3" s="63" t="s">
        <v>31</v>
      </c>
      <c r="H3" s="63">
        <v>102</v>
      </c>
      <c r="I3" s="63" t="str">
        <f>"EVA"&amp;"_"&amp;H3</f>
        <v>EVA_102</v>
      </c>
      <c r="J3" s="66">
        <v>45548</v>
      </c>
      <c r="K3" s="63">
        <v>0.85</v>
      </c>
      <c r="L3" s="65">
        <v>0.01</v>
      </c>
      <c r="M3" s="65">
        <v>2.1999999999999999E-2</v>
      </c>
      <c r="N3" s="65">
        <v>5.8999999999999997E-2</v>
      </c>
      <c r="O3" s="65">
        <v>0.247</v>
      </c>
      <c r="P3" s="75">
        <f>1-L3</f>
        <v>0.99</v>
      </c>
      <c r="Q3" s="75">
        <f>1-M3</f>
        <v>0.97799999999999998</v>
      </c>
      <c r="R3" s="75">
        <f>1-N3</f>
        <v>0.94100000000000006</v>
      </c>
      <c r="S3" s="75">
        <f>1-O3</f>
        <v>0.753</v>
      </c>
      <c r="T3" s="63">
        <v>12.6</v>
      </c>
      <c r="U3" s="63">
        <v>42.6</v>
      </c>
      <c r="V3" s="63">
        <v>23.9</v>
      </c>
      <c r="W3" s="63">
        <v>41.4</v>
      </c>
      <c r="X3" s="63">
        <v>45.4</v>
      </c>
      <c r="Y3" s="63">
        <v>44.1</v>
      </c>
      <c r="Z3" s="63">
        <v>40.4</v>
      </c>
      <c r="AA3" s="63">
        <v>48.8</v>
      </c>
      <c r="AB3" s="63">
        <v>45.6</v>
      </c>
      <c r="AC3" s="63">
        <v>53.1</v>
      </c>
      <c r="AD3" s="63">
        <v>53</v>
      </c>
      <c r="AE3" s="63">
        <v>49.8</v>
      </c>
      <c r="AF3" s="63">
        <v>44.6</v>
      </c>
      <c r="AG3" s="63">
        <v>51.3</v>
      </c>
      <c r="AH3" s="63">
        <v>51.5</v>
      </c>
      <c r="AI3" s="63">
        <v>50.7</v>
      </c>
      <c r="AJ3" s="63">
        <v>37.4</v>
      </c>
      <c r="AK3" s="63">
        <v>45.6</v>
      </c>
      <c r="AL3" s="63">
        <v>42.5</v>
      </c>
      <c r="AM3" s="63">
        <v>41.7</v>
      </c>
      <c r="AN3" s="67">
        <v>68</v>
      </c>
      <c r="AO3" s="63">
        <v>0.5</v>
      </c>
      <c r="AP3" s="63">
        <v>1703.5</v>
      </c>
      <c r="AQ3" s="70">
        <f>AP3/AO3</f>
        <v>3407</v>
      </c>
      <c r="AR3" s="63">
        <v>469.9</v>
      </c>
      <c r="AS3" s="63">
        <v>50</v>
      </c>
      <c r="AT3" s="63">
        <v>280.3</v>
      </c>
      <c r="AU3" s="63">
        <v>52.42</v>
      </c>
      <c r="AV3" s="63">
        <v>30</v>
      </c>
      <c r="AW3" s="63">
        <v>12.7</v>
      </c>
      <c r="AX3" s="63">
        <v>0.6</v>
      </c>
      <c r="AY3" s="63">
        <v>20.8</v>
      </c>
      <c r="AZ3" s="63">
        <v>1.85</v>
      </c>
      <c r="BA3" s="63">
        <f>SUM(AW3:AZ3)</f>
        <v>35.950000000000003</v>
      </c>
      <c r="BB3" s="68">
        <f>AU3/AV3</f>
        <v>1.7473333333333334</v>
      </c>
      <c r="BC3" s="68">
        <f>AT3/AV3</f>
        <v>9.3433333333333337</v>
      </c>
      <c r="BD3" s="69">
        <f>AU3/AT3</f>
        <v>0.1870139136639315</v>
      </c>
      <c r="BE3" s="70">
        <f>BD3*AP3</f>
        <v>318.57820192650729</v>
      </c>
      <c r="BF3" s="70">
        <f>BE3/AO3</f>
        <v>637.15640385301458</v>
      </c>
      <c r="BG3" s="69">
        <f>AW3/BA3</f>
        <v>0.35326842837273986</v>
      </c>
      <c r="BH3" s="69">
        <f>AX3/BA3</f>
        <v>1.6689847009735741E-2</v>
      </c>
      <c r="BI3" s="69">
        <f>AY3/BA3</f>
        <v>0.5785813630041724</v>
      </c>
      <c r="BJ3" s="69">
        <f>AZ3/BA3</f>
        <v>5.1460361613351879E-2</v>
      </c>
      <c r="BK3" s="70">
        <f>BG3*$BF3</f>
        <v>225.08724141678118</v>
      </c>
      <c r="BL3" s="70">
        <f>BH3*$BF3</f>
        <v>10.634042901580214</v>
      </c>
      <c r="BM3" s="70">
        <f>BI3*$BF3</f>
        <v>368.64682058811411</v>
      </c>
      <c r="BN3" s="70">
        <f>BJ3*$BF3</f>
        <v>32.788298946539001</v>
      </c>
      <c r="BO3" s="73">
        <f>AVERAGE(T3:W3)</f>
        <v>30.125</v>
      </c>
      <c r="BP3" s="73">
        <f>AVERAGE(X3:AA3)</f>
        <v>44.674999999999997</v>
      </c>
      <c r="BQ3" s="73">
        <f>AVERAGE(AB3:AE3)</f>
        <v>50.375</v>
      </c>
      <c r="BR3" s="73">
        <f>AVERAGE(AF3:AI3)</f>
        <v>49.525000000000006</v>
      </c>
      <c r="BS3" s="73">
        <f>AVERAGE(AJ3:AM3)</f>
        <v>41.8</v>
      </c>
      <c r="BT3" s="145">
        <v>27.44</v>
      </c>
      <c r="BU3" s="145">
        <v>44.405000000000001</v>
      </c>
      <c r="BV3" s="73">
        <v>26.791999999999998</v>
      </c>
      <c r="BW3" s="73">
        <v>17.863</v>
      </c>
      <c r="BX3" s="73">
        <v>23.241</v>
      </c>
      <c r="BY3" s="73">
        <v>123.3</v>
      </c>
      <c r="BZ3" s="73">
        <v>60.099999999999994</v>
      </c>
      <c r="CA3" s="73">
        <v>41.4</v>
      </c>
      <c r="CB3" s="73">
        <v>154.70000000000002</v>
      </c>
      <c r="CC3" s="73">
        <v>244.3</v>
      </c>
      <c r="CD3" s="146">
        <v>-24.84</v>
      </c>
      <c r="CE3" s="146">
        <v>-24.81</v>
      </c>
      <c r="CF3" s="146">
        <v>-25.31</v>
      </c>
      <c r="CG3" s="146">
        <v>-24.94</v>
      </c>
      <c r="CH3" s="146">
        <v>-23.76</v>
      </c>
      <c r="CJ3" s="64" t="s">
        <v>25</v>
      </c>
      <c r="CK3" s="64" t="s">
        <v>26</v>
      </c>
      <c r="CL3" s="73">
        <v>71</v>
      </c>
      <c r="CM3" s="73">
        <v>0.8075</v>
      </c>
      <c r="CN3" s="73">
        <v>44.1</v>
      </c>
      <c r="CO3" s="73">
        <v>53.608333333333327</v>
      </c>
      <c r="CP3" s="73">
        <v>53.68333333333333</v>
      </c>
      <c r="CQ3" s="73">
        <v>52.883333333333333</v>
      </c>
      <c r="CR3" s="73">
        <v>47.941666666666663</v>
      </c>
      <c r="CS3" s="103">
        <v>45559</v>
      </c>
      <c r="CT3" s="88">
        <v>916.27334421231978</v>
      </c>
      <c r="CU3" s="88">
        <v>60.888654410591535</v>
      </c>
    </row>
    <row r="4" spans="1:100" s="64" customFormat="1" x14ac:dyDescent="0.25">
      <c r="A4" s="63">
        <v>1</v>
      </c>
      <c r="B4" s="63">
        <v>3</v>
      </c>
      <c r="C4" s="63">
        <v>2</v>
      </c>
      <c r="D4" s="63">
        <v>9</v>
      </c>
      <c r="E4" s="63">
        <v>3</v>
      </c>
      <c r="F4" s="63" t="s">
        <v>25</v>
      </c>
      <c r="G4" s="63" t="s">
        <v>27</v>
      </c>
      <c r="H4" s="63">
        <v>103</v>
      </c>
      <c r="I4" s="63" t="str">
        <f>"EVA"&amp;"_"&amp;H4</f>
        <v>EVA_103</v>
      </c>
      <c r="J4" s="66">
        <v>45544</v>
      </c>
      <c r="K4" s="63">
        <v>0.86</v>
      </c>
      <c r="L4" s="65">
        <v>3.3000000000000002E-2</v>
      </c>
      <c r="M4" s="65">
        <v>6.5000000000000002E-2</v>
      </c>
      <c r="N4" s="65">
        <v>0.161</v>
      </c>
      <c r="O4" s="65">
        <v>0.19</v>
      </c>
      <c r="P4" s="75">
        <f>1-L4</f>
        <v>0.96699999999999997</v>
      </c>
      <c r="Q4" s="75">
        <f>1-M4</f>
        <v>0.93500000000000005</v>
      </c>
      <c r="R4" s="75">
        <f>1-N4</f>
        <v>0.83899999999999997</v>
      </c>
      <c r="S4" s="75">
        <f>1-O4</f>
        <v>0.81</v>
      </c>
      <c r="T4" s="63">
        <v>36.9</v>
      </c>
      <c r="U4" s="63">
        <v>48.1</v>
      </c>
      <c r="V4" s="63">
        <v>10.9</v>
      </c>
      <c r="W4" s="63">
        <v>14.4</v>
      </c>
      <c r="X4" s="63">
        <v>46.4</v>
      </c>
      <c r="Y4" s="63">
        <v>52.4</v>
      </c>
      <c r="Z4" s="63">
        <v>39.1</v>
      </c>
      <c r="AA4" s="63">
        <v>44</v>
      </c>
      <c r="AB4" s="63">
        <v>53</v>
      </c>
      <c r="AC4" s="63">
        <v>53</v>
      </c>
      <c r="AD4" s="63">
        <v>47.5</v>
      </c>
      <c r="AE4" s="63">
        <v>53.1</v>
      </c>
      <c r="AF4" s="63">
        <v>53.7</v>
      </c>
      <c r="AG4" s="63">
        <v>49.6</v>
      </c>
      <c r="AH4" s="63">
        <v>52.4</v>
      </c>
      <c r="AI4" s="63">
        <v>52.9</v>
      </c>
      <c r="AJ4" s="63">
        <v>44.4</v>
      </c>
      <c r="AK4" s="63">
        <v>46</v>
      </c>
      <c r="AL4" s="63">
        <v>47.6</v>
      </c>
      <c r="AM4" s="63">
        <v>48</v>
      </c>
      <c r="AN4" s="67">
        <v>60</v>
      </c>
      <c r="AO4" s="63">
        <v>0.5</v>
      </c>
      <c r="AP4" s="63">
        <v>1468.2</v>
      </c>
      <c r="AQ4" s="70">
        <f>AP4/AO4</f>
        <v>2936.4</v>
      </c>
      <c r="AR4" s="63">
        <v>358.6</v>
      </c>
      <c r="AS4" s="63">
        <v>50</v>
      </c>
      <c r="AT4" s="63">
        <v>226.9</v>
      </c>
      <c r="AU4" s="63">
        <v>43.85</v>
      </c>
      <c r="AV4" s="63">
        <v>30</v>
      </c>
      <c r="AW4" s="63">
        <v>11.1</v>
      </c>
      <c r="AX4" s="63">
        <v>0.68</v>
      </c>
      <c r="AY4" s="63">
        <v>12.9</v>
      </c>
      <c r="AZ4" s="63">
        <v>1.08</v>
      </c>
      <c r="BA4" s="63">
        <f>SUM(AW4:AZ4)</f>
        <v>25.759999999999998</v>
      </c>
      <c r="BB4" s="68">
        <f>AU4/AV4</f>
        <v>1.4616666666666667</v>
      </c>
      <c r="BC4" s="68">
        <f>AT4/AV4</f>
        <v>7.5633333333333335</v>
      </c>
      <c r="BD4" s="69">
        <f>AU4/AT4</f>
        <v>0.19325694138386953</v>
      </c>
      <c r="BE4" s="70">
        <f>BD4*AP4</f>
        <v>283.73984133979724</v>
      </c>
      <c r="BF4" s="70">
        <f>BE4/AO4</f>
        <v>567.47968267959448</v>
      </c>
      <c r="BG4" s="69">
        <f>AW4/BA4</f>
        <v>0.43090062111801242</v>
      </c>
      <c r="BH4" s="69">
        <f>AX4/BA4</f>
        <v>2.6397515527950315E-2</v>
      </c>
      <c r="BI4" s="69">
        <f>AY4/BA4</f>
        <v>0.50077639751552805</v>
      </c>
      <c r="BJ4" s="69">
        <f>AZ4/BA4</f>
        <v>4.192546583850932E-2</v>
      </c>
      <c r="BK4" s="70">
        <f>BG4*$BF4</f>
        <v>244.52734773848985</v>
      </c>
      <c r="BL4" s="70">
        <f>BH4*$BF4</f>
        <v>14.980053735330912</v>
      </c>
      <c r="BM4" s="70">
        <f>BI4*$BF4</f>
        <v>284.18043115554229</v>
      </c>
      <c r="BN4" s="70">
        <f>BJ4*$BF4</f>
        <v>23.791850050231446</v>
      </c>
      <c r="BO4" s="73">
        <f>AVERAGE(T4:W4)</f>
        <v>27.575000000000003</v>
      </c>
      <c r="BP4" s="73">
        <f>AVERAGE(X4:AA4)</f>
        <v>45.475000000000001</v>
      </c>
      <c r="BQ4" s="73">
        <f>AVERAGE(AB4:AE4)</f>
        <v>51.65</v>
      </c>
      <c r="BR4" s="73">
        <f>AVERAGE(AF4:AI4)</f>
        <v>52.150000000000006</v>
      </c>
      <c r="BS4" s="73">
        <f>AVERAGE(AJ4:AM4)</f>
        <v>46.5</v>
      </c>
      <c r="BT4" s="145">
        <v>31.019000000000002</v>
      </c>
      <c r="BU4" s="145">
        <v>43.956000000000003</v>
      </c>
      <c r="BV4" s="73">
        <v>24.234000000000002</v>
      </c>
      <c r="BW4" s="73">
        <v>18.024000000000001</v>
      </c>
      <c r="BX4" s="73">
        <v>25.495000000000001</v>
      </c>
      <c r="BY4" s="73">
        <v>109.7</v>
      </c>
      <c r="BZ4" s="73">
        <v>90.199999999999989</v>
      </c>
      <c r="CA4" s="73">
        <v>60.099999999999994</v>
      </c>
      <c r="CB4" s="73">
        <v>182.7</v>
      </c>
      <c r="CC4" s="73">
        <v>264.3</v>
      </c>
      <c r="CD4" s="146">
        <v>-24.78</v>
      </c>
      <c r="CE4" s="146">
        <v>-24.75</v>
      </c>
      <c r="CF4" s="146">
        <v>-24.65</v>
      </c>
      <c r="CG4" s="146">
        <v>-24.86</v>
      </c>
      <c r="CH4" s="146">
        <v>-23.35</v>
      </c>
      <c r="CK4" s="64" t="s">
        <v>27</v>
      </c>
      <c r="CL4" s="73">
        <v>60</v>
      </c>
      <c r="CM4" s="73">
        <v>0.84749999999999992</v>
      </c>
      <c r="CN4" s="73">
        <v>30.4375</v>
      </c>
      <c r="CO4" s="73">
        <v>41.787499999999994</v>
      </c>
      <c r="CP4" s="73">
        <v>50.900000000000006</v>
      </c>
      <c r="CQ4" s="73">
        <v>52.012499999999996</v>
      </c>
      <c r="CR4" s="73">
        <v>47.131250000000001</v>
      </c>
      <c r="CS4" s="103">
        <v>45544</v>
      </c>
      <c r="CT4" s="88">
        <v>616.1125544133572</v>
      </c>
      <c r="CU4" s="88">
        <v>35.839836166008226</v>
      </c>
    </row>
    <row r="5" spans="1:100" s="64" customFormat="1" x14ac:dyDescent="0.25">
      <c r="A5" s="63">
        <v>1</v>
      </c>
      <c r="B5" s="63">
        <v>4</v>
      </c>
      <c r="C5" s="63">
        <v>2</v>
      </c>
      <c r="D5" s="63">
        <v>16</v>
      </c>
      <c r="E5" s="63">
        <v>4</v>
      </c>
      <c r="F5" s="63" t="s">
        <v>30</v>
      </c>
      <c r="G5" s="63" t="s">
        <v>28</v>
      </c>
      <c r="H5" s="63">
        <v>104</v>
      </c>
      <c r="I5" s="63" t="str">
        <f>"EVA"&amp;"_"&amp;H5</f>
        <v>EVA_104</v>
      </c>
      <c r="J5" s="66">
        <v>45551</v>
      </c>
      <c r="K5" s="63">
        <v>0.8</v>
      </c>
      <c r="L5" s="65">
        <v>5.5E-2</v>
      </c>
      <c r="M5" s="65">
        <v>0.112</v>
      </c>
      <c r="N5" s="65">
        <v>0.20599999999999999</v>
      </c>
      <c r="O5" s="65">
        <v>0.38900000000000001</v>
      </c>
      <c r="P5" s="75">
        <f>1-L5</f>
        <v>0.94499999999999995</v>
      </c>
      <c r="Q5" s="75">
        <f>1-M5</f>
        <v>0.88800000000000001</v>
      </c>
      <c r="R5" s="75">
        <f>1-N5</f>
        <v>0.79400000000000004</v>
      </c>
      <c r="S5" s="75">
        <f>1-O5</f>
        <v>0.61099999999999999</v>
      </c>
      <c r="T5" s="63">
        <v>48.9</v>
      </c>
      <c r="U5" s="63">
        <v>49.2</v>
      </c>
      <c r="V5" s="63">
        <v>25.4</v>
      </c>
      <c r="W5" s="63">
        <v>28.1</v>
      </c>
      <c r="X5" s="63">
        <v>54.1</v>
      </c>
      <c r="Y5" s="63">
        <v>50.3</v>
      </c>
      <c r="Z5" s="63">
        <v>41</v>
      </c>
      <c r="AA5" s="63">
        <v>41.3</v>
      </c>
      <c r="AB5" s="63">
        <v>54.1</v>
      </c>
      <c r="AC5" s="63">
        <v>53.5</v>
      </c>
      <c r="AD5" s="63">
        <v>48.4</v>
      </c>
      <c r="AE5" s="63">
        <v>47</v>
      </c>
      <c r="AF5" s="63">
        <v>52.5</v>
      </c>
      <c r="AG5" s="63">
        <v>53.6</v>
      </c>
      <c r="AH5" s="63">
        <v>47</v>
      </c>
      <c r="AI5" s="63">
        <v>49</v>
      </c>
      <c r="AJ5" s="63">
        <v>45.8</v>
      </c>
      <c r="AK5" s="63">
        <v>50</v>
      </c>
      <c r="AL5" s="63">
        <v>46.3</v>
      </c>
      <c r="AM5" s="63">
        <v>44.4</v>
      </c>
      <c r="AN5" s="67">
        <v>53</v>
      </c>
      <c r="AO5" s="63">
        <v>0.5</v>
      </c>
      <c r="AP5" s="63">
        <v>1257</v>
      </c>
      <c r="AQ5" s="70">
        <f>AP5/AO5</f>
        <v>2514</v>
      </c>
      <c r="AR5" s="63">
        <v>281.10000000000002</v>
      </c>
      <c r="AS5" s="63">
        <v>50</v>
      </c>
      <c r="AT5" s="63">
        <v>176.7</v>
      </c>
      <c r="AU5" s="63">
        <v>36.700000000000003</v>
      </c>
      <c r="AV5" s="63">
        <v>30</v>
      </c>
      <c r="AW5" s="63">
        <v>9.91</v>
      </c>
      <c r="AX5" s="63">
        <v>0.2</v>
      </c>
      <c r="AY5" s="63">
        <v>9.39</v>
      </c>
      <c r="AZ5" s="63">
        <v>1.2</v>
      </c>
      <c r="BA5" s="63">
        <f>SUM(AW5:AZ5)</f>
        <v>20.7</v>
      </c>
      <c r="BB5" s="68">
        <f>AU5/AV5</f>
        <v>1.2233333333333334</v>
      </c>
      <c r="BC5" s="68">
        <f>AT5/AV5</f>
        <v>5.89</v>
      </c>
      <c r="BD5" s="69">
        <f>AU5/AT5</f>
        <v>0.20769666100735712</v>
      </c>
      <c r="BE5" s="70">
        <f>BD5*AP5</f>
        <v>261.07470288624791</v>
      </c>
      <c r="BF5" s="70">
        <f>BE5/AO5</f>
        <v>522.14940577249581</v>
      </c>
      <c r="BG5" s="69">
        <f>AW5/BA5</f>
        <v>0.47874396135265701</v>
      </c>
      <c r="BH5" s="69">
        <f>AX5/BA5</f>
        <v>9.6618357487922718E-3</v>
      </c>
      <c r="BI5" s="69">
        <f>AY5/BA5</f>
        <v>0.45362318840579713</v>
      </c>
      <c r="BJ5" s="69">
        <f>AZ5/BA5</f>
        <v>5.7971014492753624E-2</v>
      </c>
      <c r="BK5" s="70">
        <f>BG5*$BF5</f>
        <v>249.97587493746056</v>
      </c>
      <c r="BL5" s="70">
        <f>BH5*$BF5</f>
        <v>5.0449217949033418</v>
      </c>
      <c r="BM5" s="70">
        <f>BI5*$BF5</f>
        <v>236.85907827071188</v>
      </c>
      <c r="BN5" s="70">
        <f>BJ5*$BF5</f>
        <v>30.269530769420047</v>
      </c>
      <c r="BO5" s="73">
        <f>AVERAGE(T5:W5)</f>
        <v>37.9</v>
      </c>
      <c r="BP5" s="73">
        <f>AVERAGE(X5:AA5)</f>
        <v>46.674999999999997</v>
      </c>
      <c r="BQ5" s="73">
        <f>AVERAGE(AB5:AE5)</f>
        <v>50.75</v>
      </c>
      <c r="BR5" s="73">
        <f>AVERAGE(AF5:AI5)</f>
        <v>50.524999999999999</v>
      </c>
      <c r="BS5" s="73">
        <f>AVERAGE(AJ5:AM5)</f>
        <v>46.625</v>
      </c>
      <c r="BT5" s="145">
        <v>34.692999999999998</v>
      </c>
      <c r="BU5" s="145">
        <v>42.344000000000001</v>
      </c>
      <c r="BV5" s="73">
        <v>23.78</v>
      </c>
      <c r="BW5" s="73">
        <v>17.416</v>
      </c>
      <c r="BX5" s="73">
        <v>25.256</v>
      </c>
      <c r="BY5" s="73">
        <v>143.19999999999999</v>
      </c>
      <c r="BZ5" s="73">
        <v>77.2</v>
      </c>
      <c r="CA5" s="73">
        <v>59.5</v>
      </c>
      <c r="CB5" s="73">
        <v>189.4</v>
      </c>
      <c r="CC5" s="73">
        <v>247</v>
      </c>
      <c r="CD5" s="146">
        <v>-24.56</v>
      </c>
      <c r="CE5" s="146">
        <v>-24.95</v>
      </c>
      <c r="CF5" s="146">
        <v>-24.94</v>
      </c>
      <c r="CG5" s="146">
        <v>-24.75</v>
      </c>
      <c r="CH5" s="146">
        <v>-23.31</v>
      </c>
      <c r="CK5" s="64" t="s">
        <v>28</v>
      </c>
      <c r="CL5" s="73">
        <v>56.75</v>
      </c>
      <c r="CM5" s="73">
        <v>0.79749999999999999</v>
      </c>
      <c r="CN5" s="73">
        <v>31.075000000000003</v>
      </c>
      <c r="CO5" s="73">
        <v>48.831249999999997</v>
      </c>
      <c r="CP5" s="73">
        <v>51.575000000000003</v>
      </c>
      <c r="CQ5" s="73">
        <v>51.118749999999991</v>
      </c>
      <c r="CR5" s="73">
        <v>49.975000000000001</v>
      </c>
      <c r="CS5" s="103">
        <v>45541</v>
      </c>
      <c r="CT5" s="88">
        <v>632.85086588856393</v>
      </c>
      <c r="CU5" s="88">
        <v>62.748999492773294</v>
      </c>
    </row>
    <row r="6" spans="1:100" s="64" customFormat="1" x14ac:dyDescent="0.25">
      <c r="A6" s="63">
        <v>1</v>
      </c>
      <c r="B6" s="63">
        <v>5</v>
      </c>
      <c r="C6" s="63">
        <v>3</v>
      </c>
      <c r="D6" s="63">
        <v>17</v>
      </c>
      <c r="E6" s="63">
        <v>5</v>
      </c>
      <c r="F6" s="63" t="s">
        <v>25</v>
      </c>
      <c r="G6" s="63" t="s">
        <v>28</v>
      </c>
      <c r="H6" s="63">
        <v>105</v>
      </c>
      <c r="I6" s="63" t="str">
        <f>"EVA"&amp;"_"&amp;H6</f>
        <v>EVA_105</v>
      </c>
      <c r="J6" s="66">
        <v>45541</v>
      </c>
      <c r="K6" s="63">
        <v>0.86</v>
      </c>
      <c r="L6" s="65">
        <v>4.8000000000000001E-2</v>
      </c>
      <c r="M6" s="65">
        <v>5.6000000000000001E-2</v>
      </c>
      <c r="N6" s="65">
        <v>0.10100000000000001</v>
      </c>
      <c r="O6" s="65">
        <v>0.26900000000000002</v>
      </c>
      <c r="P6" s="75">
        <f>1-L6</f>
        <v>0.95199999999999996</v>
      </c>
      <c r="Q6" s="75">
        <f>1-M6</f>
        <v>0.94399999999999995</v>
      </c>
      <c r="R6" s="75">
        <f>1-N6</f>
        <v>0.89900000000000002</v>
      </c>
      <c r="S6" s="75">
        <f>1-O6</f>
        <v>0.73099999999999998</v>
      </c>
      <c r="T6" s="63">
        <v>46.8</v>
      </c>
      <c r="U6" s="63">
        <v>0.8</v>
      </c>
      <c r="V6" s="63">
        <v>49.9</v>
      </c>
      <c r="W6" s="63">
        <v>49.8</v>
      </c>
      <c r="X6" s="63">
        <v>48.3</v>
      </c>
      <c r="Y6" s="63">
        <v>46.5</v>
      </c>
      <c r="Z6" s="63">
        <v>54.3</v>
      </c>
      <c r="AA6" s="63">
        <v>52.4</v>
      </c>
      <c r="AB6" s="63">
        <v>47.2</v>
      </c>
      <c r="AC6" s="63">
        <v>54.7</v>
      </c>
      <c r="AD6" s="63">
        <v>55.8</v>
      </c>
      <c r="AE6" s="63">
        <v>57.9</v>
      </c>
      <c r="AF6" s="63">
        <v>51.1</v>
      </c>
      <c r="AG6" s="63">
        <v>48.5</v>
      </c>
      <c r="AH6" s="63">
        <v>51.6</v>
      </c>
      <c r="AI6" s="63">
        <v>54.6</v>
      </c>
      <c r="AJ6" s="63">
        <v>50.5</v>
      </c>
      <c r="AK6" s="63">
        <v>47.8</v>
      </c>
      <c r="AL6" s="63">
        <v>53.8</v>
      </c>
      <c r="AM6" s="63">
        <v>50.4</v>
      </c>
      <c r="AN6" s="67">
        <v>60</v>
      </c>
      <c r="AO6" s="63">
        <v>0.5</v>
      </c>
      <c r="AP6" s="63">
        <v>1504.4</v>
      </c>
      <c r="AQ6" s="70">
        <f>AP6/AO6</f>
        <v>3008.8</v>
      </c>
      <c r="AR6" s="63">
        <v>363.5</v>
      </c>
      <c r="AS6" s="63">
        <v>50</v>
      </c>
      <c r="AT6" s="63">
        <v>210.4</v>
      </c>
      <c r="AU6" s="63">
        <v>45.7</v>
      </c>
      <c r="AV6" s="63">
        <v>30</v>
      </c>
      <c r="AW6" s="63">
        <v>12</v>
      </c>
      <c r="AX6" s="63">
        <v>0.56000000000000005</v>
      </c>
      <c r="AY6" s="63">
        <v>16.989999999999998</v>
      </c>
      <c r="AZ6" s="63">
        <v>3.73</v>
      </c>
      <c r="BA6" s="63">
        <f>SUM(AW6:AZ6)</f>
        <v>33.279999999999994</v>
      </c>
      <c r="BB6" s="68">
        <f>AU6/AV6</f>
        <v>1.5233333333333334</v>
      </c>
      <c r="BC6" s="68">
        <f>AT6/AV6</f>
        <v>7.0133333333333336</v>
      </c>
      <c r="BD6" s="69">
        <f>AU6/AT6</f>
        <v>0.21720532319391636</v>
      </c>
      <c r="BE6" s="70">
        <f>BD6*AP6</f>
        <v>326.76368821292778</v>
      </c>
      <c r="BF6" s="70">
        <f>BE6/AO6</f>
        <v>653.52737642585555</v>
      </c>
      <c r="BG6" s="69">
        <f>AW6/BA6</f>
        <v>0.36057692307692313</v>
      </c>
      <c r="BH6" s="69">
        <f>AX6/BA6</f>
        <v>1.6826923076923083E-2</v>
      </c>
      <c r="BI6" s="69">
        <f>AY6/BA6</f>
        <v>0.51051682692307698</v>
      </c>
      <c r="BJ6" s="69">
        <f>AZ6/BA6</f>
        <v>0.11207932692307694</v>
      </c>
      <c r="BK6" s="70">
        <f>BG6*$BF6</f>
        <v>235.64689053816909</v>
      </c>
      <c r="BL6" s="70">
        <f>BH6*$BF6</f>
        <v>10.996854891781227</v>
      </c>
      <c r="BM6" s="70">
        <f>BI6*$BF6</f>
        <v>333.63672252029107</v>
      </c>
      <c r="BN6" s="70">
        <f>BJ6*$BF6</f>
        <v>73.246908475614234</v>
      </c>
      <c r="BO6" s="73">
        <f>AVERAGE(T6:W6)</f>
        <v>36.825000000000003</v>
      </c>
      <c r="BP6" s="73">
        <f>AVERAGE(X6:AA6)</f>
        <v>50.375</v>
      </c>
      <c r="BQ6" s="73">
        <f>AVERAGE(AB6:AE6)</f>
        <v>53.9</v>
      </c>
      <c r="BR6" s="73">
        <f>AVERAGE(AF6:AI6)</f>
        <v>51.449999999999996</v>
      </c>
      <c r="BS6" s="73">
        <f>AVERAGE(AJ6:AM6)</f>
        <v>50.625</v>
      </c>
      <c r="BT6" s="145">
        <v>27.806000000000001</v>
      </c>
      <c r="BU6" s="145">
        <v>39.53</v>
      </c>
      <c r="BV6" s="73">
        <v>24.264000000000003</v>
      </c>
      <c r="BW6" s="73">
        <v>16.916</v>
      </c>
      <c r="BX6" s="73">
        <v>19.657</v>
      </c>
      <c r="BY6" s="73">
        <v>135.80000000000001</v>
      </c>
      <c r="BZ6" s="73">
        <v>82.8</v>
      </c>
      <c r="CA6" s="73">
        <v>67.8</v>
      </c>
      <c r="CB6" s="73">
        <v>66.399999999999991</v>
      </c>
      <c r="CC6" s="73">
        <v>233.4</v>
      </c>
      <c r="CD6" s="146">
        <v>-24.83</v>
      </c>
      <c r="CE6" s="146">
        <v>-25.19</v>
      </c>
      <c r="CF6" s="146">
        <v>-25.02</v>
      </c>
      <c r="CG6" s="146">
        <v>-24.85</v>
      </c>
      <c r="CH6" s="146">
        <v>-23.95</v>
      </c>
      <c r="CK6" s="64" t="s">
        <v>29</v>
      </c>
      <c r="CL6" s="73">
        <v>68.75</v>
      </c>
      <c r="CM6" s="73">
        <v>0.83499999999999996</v>
      </c>
      <c r="CN6" s="73">
        <v>30.556249999999999</v>
      </c>
      <c r="CO6" s="73">
        <v>48.024999999999991</v>
      </c>
      <c r="CP6" s="73">
        <v>50.03125</v>
      </c>
      <c r="CQ6" s="73">
        <v>52.868749999999999</v>
      </c>
      <c r="CR6" s="73">
        <v>52.356250000000003</v>
      </c>
      <c r="CS6" s="103">
        <v>45541</v>
      </c>
      <c r="CT6" s="88">
        <v>685.64020014753169</v>
      </c>
      <c r="CU6" s="88">
        <v>39.273120931761554</v>
      </c>
    </row>
    <row r="7" spans="1:100" s="64" customFormat="1" x14ac:dyDescent="0.25">
      <c r="A7" s="63">
        <v>1</v>
      </c>
      <c r="B7" s="63">
        <v>6</v>
      </c>
      <c r="C7" s="63">
        <v>3</v>
      </c>
      <c r="D7" s="63">
        <v>24</v>
      </c>
      <c r="E7" s="63">
        <v>6</v>
      </c>
      <c r="F7" s="63" t="s">
        <v>30</v>
      </c>
      <c r="G7" s="63" t="s">
        <v>29</v>
      </c>
      <c r="H7" s="63">
        <v>106</v>
      </c>
      <c r="I7" s="63" t="str">
        <f>"EVA"&amp;"_"&amp;H7</f>
        <v>EVA_106</v>
      </c>
      <c r="J7" s="66">
        <v>45551</v>
      </c>
      <c r="K7" s="63">
        <v>0.83</v>
      </c>
      <c r="L7" s="65">
        <v>8.8999999999999996E-2</v>
      </c>
      <c r="M7" s="65">
        <v>0.125</v>
      </c>
      <c r="N7" s="65">
        <v>0.189</v>
      </c>
      <c r="O7" s="65">
        <v>0.316</v>
      </c>
      <c r="P7" s="75">
        <f>1-L7</f>
        <v>0.91100000000000003</v>
      </c>
      <c r="Q7" s="75">
        <f>1-M7</f>
        <v>0.875</v>
      </c>
      <c r="R7" s="75">
        <f>1-N7</f>
        <v>0.81099999999999994</v>
      </c>
      <c r="S7" s="75">
        <f>1-O7</f>
        <v>0.68399999999999994</v>
      </c>
      <c r="T7" s="63">
        <v>36.5</v>
      </c>
      <c r="U7" s="63">
        <v>23</v>
      </c>
      <c r="V7" s="63">
        <v>41.1</v>
      </c>
      <c r="W7" s="63">
        <v>42.7</v>
      </c>
      <c r="X7" s="63">
        <v>47.8</v>
      </c>
      <c r="Y7" s="63">
        <v>44.2</v>
      </c>
      <c r="Z7" s="63">
        <v>49.4</v>
      </c>
      <c r="AA7" s="63">
        <v>42.9</v>
      </c>
      <c r="AB7" s="63">
        <v>44.1</v>
      </c>
      <c r="AC7" s="63">
        <v>47.3</v>
      </c>
      <c r="AD7" s="63">
        <v>47.7</v>
      </c>
      <c r="AE7" s="63">
        <v>48.1</v>
      </c>
      <c r="AF7" s="63">
        <v>52.6</v>
      </c>
      <c r="AG7" s="63">
        <v>49.3</v>
      </c>
      <c r="AH7" s="63">
        <v>48.1</v>
      </c>
      <c r="AI7" s="63">
        <v>48.3</v>
      </c>
      <c r="AJ7" s="63">
        <v>47.6</v>
      </c>
      <c r="AK7" s="63">
        <v>49.2</v>
      </c>
      <c r="AL7" s="63">
        <v>47</v>
      </c>
      <c r="AM7" s="63">
        <v>47.8</v>
      </c>
      <c r="AN7" s="67">
        <v>62</v>
      </c>
      <c r="AO7" s="63">
        <v>0.5</v>
      </c>
      <c r="AP7" s="63">
        <v>1536.9</v>
      </c>
      <c r="AQ7" s="70">
        <f>AP7/AO7</f>
        <v>3073.8</v>
      </c>
      <c r="AR7" s="63">
        <v>330.4</v>
      </c>
      <c r="AS7" s="63">
        <v>50</v>
      </c>
      <c r="AT7" s="63">
        <v>200.8</v>
      </c>
      <c r="AU7" s="63">
        <v>43.65</v>
      </c>
      <c r="AV7" s="63">
        <v>30</v>
      </c>
      <c r="AW7" s="63">
        <v>9.23</v>
      </c>
      <c r="AX7" s="63">
        <v>0.87</v>
      </c>
      <c r="AY7" s="63">
        <v>15.11</v>
      </c>
      <c r="AZ7" s="63">
        <v>1.58</v>
      </c>
      <c r="BA7" s="63">
        <f>SUM(AW7:AZ7)</f>
        <v>26.79</v>
      </c>
      <c r="BB7" s="68">
        <f>AU7/AV7</f>
        <v>1.4549999999999998</v>
      </c>
      <c r="BC7" s="68">
        <f>AT7/AV7</f>
        <v>6.6933333333333334</v>
      </c>
      <c r="BD7" s="69">
        <f>AU7/AT7</f>
        <v>0.21738047808764938</v>
      </c>
      <c r="BE7" s="70">
        <f>BD7*AP7</f>
        <v>334.09205677290834</v>
      </c>
      <c r="BF7" s="70">
        <f>BE7/AO7</f>
        <v>668.18411354581667</v>
      </c>
      <c r="BG7" s="69">
        <f>AW7/BA7</f>
        <v>0.34453154162000749</v>
      </c>
      <c r="BH7" s="69">
        <f>AX7/BA7</f>
        <v>3.2474804031354984E-2</v>
      </c>
      <c r="BI7" s="69">
        <f>AY7/BA7</f>
        <v>0.56401642403882046</v>
      </c>
      <c r="BJ7" s="69">
        <f>AZ7/BA7</f>
        <v>5.8977230309817101E-2</v>
      </c>
      <c r="BK7" s="70">
        <f>BG7*$BF7</f>
        <v>230.21050272593834</v>
      </c>
      <c r="BL7" s="70">
        <f>BH7*$BF7</f>
        <v>21.699148144265045</v>
      </c>
      <c r="BM7" s="70">
        <f>BI7*$BF7</f>
        <v>376.86681432166068</v>
      </c>
      <c r="BN7" s="70">
        <f>BJ7*$BF7</f>
        <v>39.407648353952609</v>
      </c>
      <c r="BO7" s="73">
        <f>AVERAGE(T7:W7)</f>
        <v>35.825000000000003</v>
      </c>
      <c r="BP7" s="73">
        <f>AVERAGE(X7:AA7)</f>
        <v>46.075000000000003</v>
      </c>
      <c r="BQ7" s="73">
        <f>AVERAGE(AB7:AE7)</f>
        <v>46.800000000000004</v>
      </c>
      <c r="BR7" s="73">
        <f>AVERAGE(AF7:AI7)</f>
        <v>49.575000000000003</v>
      </c>
      <c r="BS7" s="73">
        <f>AVERAGE(AJ7:AM7)</f>
        <v>47.900000000000006</v>
      </c>
      <c r="BT7" s="145">
        <v>32.284999999999997</v>
      </c>
      <c r="BU7" s="145">
        <v>48.344999999999999</v>
      </c>
      <c r="BV7" s="73">
        <v>30.861000000000001</v>
      </c>
      <c r="BW7" s="73">
        <v>21.161999999999999</v>
      </c>
      <c r="BX7" s="73">
        <v>23.227000000000004</v>
      </c>
      <c r="BY7" s="73">
        <v>135.1</v>
      </c>
      <c r="BZ7" s="73">
        <v>63.7</v>
      </c>
      <c r="CA7" s="73">
        <v>49.1</v>
      </c>
      <c r="CB7" s="73">
        <v>180.39999999999998</v>
      </c>
      <c r="CC7" s="73">
        <v>255.9</v>
      </c>
      <c r="CD7" s="146">
        <v>-24.55</v>
      </c>
      <c r="CE7" s="146">
        <v>-25.06</v>
      </c>
      <c r="CF7" s="146">
        <v>-24.82</v>
      </c>
      <c r="CG7" s="146">
        <v>-24.79</v>
      </c>
      <c r="CH7" s="146">
        <v>-23.46</v>
      </c>
      <c r="CJ7" s="64" t="s">
        <v>30</v>
      </c>
      <c r="CK7" s="64" t="s">
        <v>32</v>
      </c>
      <c r="CL7" s="73">
        <v>63</v>
      </c>
      <c r="CM7" s="73">
        <v>0.84333333333333327</v>
      </c>
      <c r="CN7" s="73">
        <v>41.591666666666669</v>
      </c>
      <c r="CO7" s="73">
        <v>45.458333333333336</v>
      </c>
      <c r="CP7" s="73">
        <v>48.866666666666667</v>
      </c>
      <c r="CQ7" s="73">
        <v>49.375</v>
      </c>
      <c r="CR7" s="73">
        <v>43.133333333333333</v>
      </c>
      <c r="CS7" s="103">
        <v>45551</v>
      </c>
      <c r="CT7" s="88">
        <v>677.4041179371294</v>
      </c>
      <c r="CU7" s="88">
        <v>17.561506272293542</v>
      </c>
    </row>
    <row r="8" spans="1:100" s="64" customFormat="1" x14ac:dyDescent="0.25">
      <c r="A8" s="63">
        <v>1</v>
      </c>
      <c r="B8" s="63">
        <v>7</v>
      </c>
      <c r="C8" s="63">
        <v>4</v>
      </c>
      <c r="D8" s="63">
        <v>25</v>
      </c>
      <c r="E8" s="63">
        <v>7</v>
      </c>
      <c r="F8" s="63" t="s">
        <v>25</v>
      </c>
      <c r="G8" s="63" t="s">
        <v>29</v>
      </c>
      <c r="H8" s="63">
        <v>107</v>
      </c>
      <c r="I8" s="63" t="str">
        <f>"EVA"&amp;"_"&amp;H8</f>
        <v>EVA_107</v>
      </c>
      <c r="J8" s="66">
        <v>45541</v>
      </c>
      <c r="K8" s="63">
        <v>0.81</v>
      </c>
      <c r="L8" s="65">
        <v>2.7E-2</v>
      </c>
      <c r="M8" s="65">
        <v>0.108</v>
      </c>
      <c r="N8" s="65">
        <v>0.107</v>
      </c>
      <c r="O8" s="65">
        <v>0.23</v>
      </c>
      <c r="P8" s="75">
        <f>1-L8</f>
        <v>0.97299999999999998</v>
      </c>
      <c r="Q8" s="75">
        <f>1-M8</f>
        <v>0.89200000000000002</v>
      </c>
      <c r="R8" s="75">
        <f>1-N8</f>
        <v>0.89300000000000002</v>
      </c>
      <c r="S8" s="75">
        <f>1-O8</f>
        <v>0.77</v>
      </c>
      <c r="T8" s="63">
        <v>46.4</v>
      </c>
      <c r="U8" s="63">
        <v>47.8</v>
      </c>
      <c r="V8" s="63">
        <v>14.8</v>
      </c>
      <c r="W8" s="63">
        <v>47</v>
      </c>
      <c r="X8" s="63">
        <v>48.8</v>
      </c>
      <c r="Y8" s="63">
        <v>52.9</v>
      </c>
      <c r="Z8" s="63">
        <v>49.2</v>
      </c>
      <c r="AA8" s="63">
        <v>53.4</v>
      </c>
      <c r="AB8" s="63">
        <v>49.6</v>
      </c>
      <c r="AC8" s="63">
        <v>53.6</v>
      </c>
      <c r="AD8" s="63">
        <v>47.8</v>
      </c>
      <c r="AE8" s="63">
        <v>50.8</v>
      </c>
      <c r="AF8" s="63">
        <v>51.7</v>
      </c>
      <c r="AG8" s="63">
        <v>57</v>
      </c>
      <c r="AH8" s="63">
        <v>53.9</v>
      </c>
      <c r="AI8" s="63">
        <v>55</v>
      </c>
      <c r="AJ8" s="63">
        <v>48.3</v>
      </c>
      <c r="AK8" s="63">
        <v>52.5</v>
      </c>
      <c r="AL8" s="63">
        <v>54</v>
      </c>
      <c r="AM8" s="63">
        <v>48.6</v>
      </c>
      <c r="AN8" s="67">
        <v>68</v>
      </c>
      <c r="AO8" s="63">
        <v>0.375</v>
      </c>
      <c r="AP8" s="63">
        <v>1446.4</v>
      </c>
      <c r="AQ8" s="70">
        <f>AP8/AO8</f>
        <v>3857.0666666666671</v>
      </c>
      <c r="AR8" s="63">
        <v>423</v>
      </c>
      <c r="AS8" s="63">
        <v>50</v>
      </c>
      <c r="AT8" s="63">
        <v>251.9</v>
      </c>
      <c r="AU8" s="63">
        <v>49.7</v>
      </c>
      <c r="AV8" s="63">
        <v>30</v>
      </c>
      <c r="AW8" s="63">
        <v>13.06</v>
      </c>
      <c r="AX8" s="63">
        <v>0.88</v>
      </c>
      <c r="AY8" s="63">
        <v>18.14</v>
      </c>
      <c r="AZ8" s="63">
        <v>1.74</v>
      </c>
      <c r="BA8" s="63">
        <f>SUM(AW8:AZ8)</f>
        <v>33.82</v>
      </c>
      <c r="BB8" s="68">
        <f>AU8/AV8</f>
        <v>1.6566666666666667</v>
      </c>
      <c r="BC8" s="68">
        <f>AT8/AV8</f>
        <v>8.3966666666666665</v>
      </c>
      <c r="BD8" s="69">
        <f>AU8/AT8</f>
        <v>0.19730051607780866</v>
      </c>
      <c r="BE8" s="70">
        <f>BD8*AP8</f>
        <v>285.37546645494245</v>
      </c>
      <c r="BF8" s="70">
        <f>BE8/AO8</f>
        <v>761.00124387984658</v>
      </c>
      <c r="BG8" s="69">
        <f>AW8/BA8</f>
        <v>0.38616203429923124</v>
      </c>
      <c r="BH8" s="69">
        <f>AX8/BA8</f>
        <v>2.6020106445890007E-2</v>
      </c>
      <c r="BI8" s="69">
        <f>AY8/BA8</f>
        <v>0.53636901241868717</v>
      </c>
      <c r="BJ8" s="69">
        <f>AZ8/BA8</f>
        <v>5.1448846836191602E-2</v>
      </c>
      <c r="BK8" s="70">
        <f>BG8*$BF8</f>
        <v>293.86978844088696</v>
      </c>
      <c r="BL8" s="70">
        <f>BH8*$BF8</f>
        <v>19.801333371208308</v>
      </c>
      <c r="BM8" s="70">
        <f>BI8*$BF8</f>
        <v>408.17748562922583</v>
      </c>
      <c r="BN8" s="70">
        <f>BJ8*$BF8</f>
        <v>39.152636438525519</v>
      </c>
      <c r="BO8" s="73">
        <f>AVERAGE(T8:W8)</f>
        <v>39</v>
      </c>
      <c r="BP8" s="73">
        <f>AVERAGE(X8:AA8)</f>
        <v>51.074999999999996</v>
      </c>
      <c r="BQ8" s="73">
        <f>AVERAGE(AB8:AE8)</f>
        <v>50.45</v>
      </c>
      <c r="BR8" s="73">
        <f>AVERAGE(AF8:AI8)</f>
        <v>54.4</v>
      </c>
      <c r="BS8" s="73">
        <f>AVERAGE(AJ8:AM8)</f>
        <v>50.85</v>
      </c>
      <c r="BT8" s="145">
        <v>29.305</v>
      </c>
      <c r="BU8" s="145">
        <v>44.446000000000005</v>
      </c>
      <c r="BV8" s="73">
        <v>22.970000000000002</v>
      </c>
      <c r="BW8" s="73">
        <v>18.657999999999998</v>
      </c>
      <c r="BX8" s="73">
        <v>26.974</v>
      </c>
      <c r="BY8" s="73">
        <v>105.9</v>
      </c>
      <c r="BZ8" s="73">
        <v>70.8</v>
      </c>
      <c r="CA8" s="73">
        <v>64.099999999999994</v>
      </c>
      <c r="CB8" s="73">
        <v>140.29999999999998</v>
      </c>
      <c r="CC8" s="73">
        <v>299.8</v>
      </c>
      <c r="CD8" s="146">
        <v>-25.01</v>
      </c>
      <c r="CE8" s="146">
        <v>-25.12</v>
      </c>
      <c r="CF8" s="146">
        <v>-24.93</v>
      </c>
      <c r="CG8" s="146">
        <v>-25.69</v>
      </c>
      <c r="CH8" s="146">
        <v>-23.8</v>
      </c>
      <c r="CK8" s="64" t="s">
        <v>31</v>
      </c>
      <c r="CL8" s="73">
        <v>68.5</v>
      </c>
      <c r="CM8" s="73">
        <v>0.84</v>
      </c>
      <c r="CN8" s="73">
        <v>25.293749999999999</v>
      </c>
      <c r="CO8" s="73">
        <v>45.024999999999991</v>
      </c>
      <c r="CP8" s="73">
        <v>49.762500000000003</v>
      </c>
      <c r="CQ8" s="73">
        <v>49.768750000000004</v>
      </c>
      <c r="CR8" s="73">
        <v>44.974999999999994</v>
      </c>
      <c r="CS8" s="103">
        <v>45548</v>
      </c>
      <c r="CT8" s="88">
        <v>642.75124189907228</v>
      </c>
      <c r="CU8" s="88">
        <v>32.451262390143462</v>
      </c>
    </row>
    <row r="9" spans="1:100" s="64" customFormat="1" x14ac:dyDescent="0.25">
      <c r="A9" s="63">
        <v>1</v>
      </c>
      <c r="B9" s="63">
        <v>8</v>
      </c>
      <c r="C9" s="63">
        <v>4</v>
      </c>
      <c r="D9" s="63">
        <v>32</v>
      </c>
      <c r="E9" s="63">
        <v>8</v>
      </c>
      <c r="F9" s="63" t="s">
        <v>30</v>
      </c>
      <c r="G9" s="63" t="s">
        <v>32</v>
      </c>
      <c r="H9" s="63">
        <v>108</v>
      </c>
      <c r="I9" s="63" t="str">
        <f>"EVA"&amp;"_"&amp;H9</f>
        <v>EVA_108</v>
      </c>
      <c r="J9" s="66">
        <v>45551</v>
      </c>
      <c r="K9" s="63">
        <v>0.86</v>
      </c>
      <c r="L9" s="65">
        <v>0.03</v>
      </c>
      <c r="M9" s="65">
        <v>7.6999999999999999E-2</v>
      </c>
      <c r="N9" s="65">
        <v>0.13100000000000001</v>
      </c>
      <c r="O9" s="65">
        <v>0.21299999999999999</v>
      </c>
      <c r="P9" s="75">
        <f>1-L9</f>
        <v>0.97</v>
      </c>
      <c r="Q9" s="75">
        <f>1-M9</f>
        <v>0.92300000000000004</v>
      </c>
      <c r="R9" s="75">
        <f>1-N9</f>
        <v>0.86899999999999999</v>
      </c>
      <c r="S9" s="75">
        <f>1-O9</f>
        <v>0.78700000000000003</v>
      </c>
      <c r="T9" s="63">
        <v>47.3</v>
      </c>
      <c r="U9" s="63">
        <v>46.3</v>
      </c>
      <c r="V9" s="63">
        <v>48.1</v>
      </c>
      <c r="W9" s="63">
        <v>39.4</v>
      </c>
      <c r="X9" s="63">
        <v>51.9</v>
      </c>
      <c r="Y9" s="63">
        <v>57.2</v>
      </c>
      <c r="Z9" s="63">
        <v>37.700000000000003</v>
      </c>
      <c r="AA9" s="63">
        <v>43.3</v>
      </c>
      <c r="AB9" s="63">
        <v>45.8</v>
      </c>
      <c r="AC9" s="63">
        <v>52.1</v>
      </c>
      <c r="AD9" s="63">
        <v>55.1</v>
      </c>
      <c r="AE9" s="63">
        <v>54.5</v>
      </c>
      <c r="AF9" s="63">
        <v>49.8</v>
      </c>
      <c r="AG9" s="63">
        <v>54.3</v>
      </c>
      <c r="AH9" s="63">
        <v>56.2</v>
      </c>
      <c r="AI9" s="63">
        <v>47.1</v>
      </c>
      <c r="AJ9" s="63">
        <v>42.6</v>
      </c>
      <c r="AK9" s="63">
        <v>42.4</v>
      </c>
      <c r="AL9" s="63">
        <v>45.4</v>
      </c>
      <c r="AM9" s="63">
        <v>52.2</v>
      </c>
      <c r="AN9" s="67">
        <v>61</v>
      </c>
      <c r="AO9" s="63">
        <v>0.5</v>
      </c>
      <c r="AP9" s="63">
        <v>1417.2</v>
      </c>
      <c r="AQ9" s="70">
        <f>AP9/AO9</f>
        <v>2834.4</v>
      </c>
      <c r="AR9" s="63">
        <v>341.5</v>
      </c>
      <c r="AS9" s="63">
        <v>50</v>
      </c>
      <c r="AT9" s="63">
        <v>188.3</v>
      </c>
      <c r="AU9" s="63">
        <v>41.83</v>
      </c>
      <c r="AV9" s="63">
        <v>30</v>
      </c>
      <c r="AW9" s="63">
        <v>13.7</v>
      </c>
      <c r="AX9" s="63">
        <v>0.28999999999999998</v>
      </c>
      <c r="AY9" s="63">
        <v>20.6</v>
      </c>
      <c r="AZ9" s="63">
        <v>1.1299999999999999</v>
      </c>
      <c r="BA9" s="63">
        <f>SUM(AW9:AZ9)</f>
        <v>35.720000000000006</v>
      </c>
      <c r="BB9" s="68">
        <f>AU9/AV9</f>
        <v>1.3943333333333332</v>
      </c>
      <c r="BC9" s="68">
        <f>AT9/AV9</f>
        <v>6.2766666666666673</v>
      </c>
      <c r="BD9" s="69">
        <f>AU9/AT9</f>
        <v>0.22214551248008496</v>
      </c>
      <c r="BE9" s="70">
        <f>BD9*AP9</f>
        <v>314.82462028677639</v>
      </c>
      <c r="BF9" s="70">
        <f>BE9/AO9</f>
        <v>629.64924057355279</v>
      </c>
      <c r="BG9" s="69">
        <f>AW9/BA9</f>
        <v>0.38353863381858894</v>
      </c>
      <c r="BH9" s="69">
        <f>AX9/BA9</f>
        <v>8.1187010078387443E-3</v>
      </c>
      <c r="BI9" s="69">
        <f>AY9/BA9</f>
        <v>0.57670772676371773</v>
      </c>
      <c r="BJ9" s="69">
        <f>AZ9/BA9</f>
        <v>3.1634938409854416E-2</v>
      </c>
      <c r="BK9" s="70">
        <f>BG9*$BF9</f>
        <v>241.49480951449249</v>
      </c>
      <c r="BL9" s="70">
        <f>BH9*$BF9</f>
        <v>5.1119339240294028</v>
      </c>
      <c r="BM9" s="70">
        <f>BI9*$BF9</f>
        <v>363.12358218967483</v>
      </c>
      <c r="BN9" s="70">
        <f>BJ9*$BF9</f>
        <v>19.918914945355947</v>
      </c>
      <c r="BO9" s="73">
        <f>AVERAGE(T9:W9)</f>
        <v>45.274999999999999</v>
      </c>
      <c r="BP9" s="73">
        <f>AVERAGE(X9:AA9)</f>
        <v>47.525000000000006</v>
      </c>
      <c r="BQ9" s="73">
        <f>AVERAGE(AB9:AE9)</f>
        <v>51.875</v>
      </c>
      <c r="BR9" s="73">
        <f>AVERAGE(AF9:AI9)</f>
        <v>51.85</v>
      </c>
      <c r="BS9" s="73">
        <f>AVERAGE(AJ9:AM9)</f>
        <v>45.650000000000006</v>
      </c>
      <c r="BT9" s="145">
        <v>37.259</v>
      </c>
      <c r="BU9" s="145">
        <v>44.756</v>
      </c>
      <c r="BV9" s="73">
        <v>24.138000000000002</v>
      </c>
      <c r="BW9" s="73">
        <v>15.662000000000001</v>
      </c>
      <c r="BX9" s="73">
        <v>19.911000000000001</v>
      </c>
      <c r="BY9" s="73">
        <v>146.1</v>
      </c>
      <c r="BZ9" s="73">
        <v>89</v>
      </c>
      <c r="CA9" s="73">
        <v>46.8</v>
      </c>
      <c r="CB9" s="73">
        <v>193.2</v>
      </c>
      <c r="CC9" s="73">
        <v>270.7</v>
      </c>
      <c r="CD9" s="146">
        <v>-24.39</v>
      </c>
      <c r="CE9" s="146">
        <v>-24.76</v>
      </c>
      <c r="CF9" s="146">
        <v>-24.6</v>
      </c>
      <c r="CG9" s="146">
        <v>-24.77</v>
      </c>
      <c r="CH9" s="146">
        <v>-23.53</v>
      </c>
      <c r="CK9" s="64" t="s">
        <v>28</v>
      </c>
      <c r="CL9" s="73">
        <v>52.5</v>
      </c>
      <c r="CM9" s="73">
        <v>0.80249999999999999</v>
      </c>
      <c r="CN9" s="73">
        <v>28.749999999999996</v>
      </c>
      <c r="CO9" s="73">
        <v>45.706249999999997</v>
      </c>
      <c r="CP9" s="73">
        <v>49.387500000000003</v>
      </c>
      <c r="CQ9" s="73">
        <v>49.637500000000003</v>
      </c>
      <c r="CR9" s="73">
        <v>48</v>
      </c>
      <c r="CS9" s="103">
        <v>45551</v>
      </c>
      <c r="CT9" s="88">
        <v>547.27620276717471</v>
      </c>
      <c r="CU9" s="88">
        <v>48.686760023628651</v>
      </c>
    </row>
    <row r="10" spans="1:100" s="64" customFormat="1" x14ac:dyDescent="0.25">
      <c r="A10" s="63">
        <v>2</v>
      </c>
      <c r="B10" s="63">
        <v>1</v>
      </c>
      <c r="C10" s="63">
        <v>1</v>
      </c>
      <c r="D10" s="63">
        <v>2</v>
      </c>
      <c r="E10" s="63">
        <v>16</v>
      </c>
      <c r="F10" s="63" t="s">
        <v>25</v>
      </c>
      <c r="G10" s="63" t="s">
        <v>27</v>
      </c>
      <c r="H10" s="63">
        <v>201</v>
      </c>
      <c r="I10" s="63" t="str">
        <f>"EVA"&amp;"_"&amp;H10</f>
        <v>EVA_201</v>
      </c>
      <c r="J10" s="66">
        <v>45544</v>
      </c>
      <c r="K10" s="63">
        <v>0.86</v>
      </c>
      <c r="L10" s="65">
        <v>3.6999999999999998E-2</v>
      </c>
      <c r="M10" s="65">
        <v>5.1999999999999998E-2</v>
      </c>
      <c r="N10" s="65">
        <v>8.7999999999999995E-2</v>
      </c>
      <c r="O10" s="65">
        <v>0.13500000000000001</v>
      </c>
      <c r="P10" s="75">
        <f>1-L10</f>
        <v>0.96299999999999997</v>
      </c>
      <c r="Q10" s="75">
        <f>1-M10</f>
        <v>0.94799999999999995</v>
      </c>
      <c r="R10" s="75">
        <f>1-N10</f>
        <v>0.91200000000000003</v>
      </c>
      <c r="S10" s="75">
        <f>1-O10</f>
        <v>0.86499999999999999</v>
      </c>
      <c r="T10" s="63">
        <v>11.1</v>
      </c>
      <c r="U10" s="63">
        <v>27.7</v>
      </c>
      <c r="V10" s="63">
        <v>34.299999999999997</v>
      </c>
      <c r="W10" s="63">
        <v>9.6</v>
      </c>
      <c r="X10" s="63">
        <v>21.7</v>
      </c>
      <c r="Y10" s="63">
        <v>29.2</v>
      </c>
      <c r="Z10" s="63">
        <v>40.799999999999997</v>
      </c>
      <c r="AA10" s="63">
        <v>15.7</v>
      </c>
      <c r="AB10" s="63">
        <v>48.5</v>
      </c>
      <c r="AC10" s="63">
        <v>47.3</v>
      </c>
      <c r="AD10" s="63">
        <v>45.5</v>
      </c>
      <c r="AE10" s="63">
        <v>44.9</v>
      </c>
      <c r="AF10" s="63">
        <v>48.6</v>
      </c>
      <c r="AG10" s="63">
        <v>49.6</v>
      </c>
      <c r="AH10" s="63">
        <v>48.3</v>
      </c>
      <c r="AI10" s="63">
        <v>52.2</v>
      </c>
      <c r="AJ10" s="63">
        <v>46.4</v>
      </c>
      <c r="AK10" s="63">
        <v>44.4</v>
      </c>
      <c r="AL10" s="63">
        <v>46.7</v>
      </c>
      <c r="AM10" s="63">
        <v>50.7</v>
      </c>
      <c r="AN10" s="67">
        <v>67</v>
      </c>
      <c r="AO10" s="63">
        <v>0.5</v>
      </c>
      <c r="AP10" s="63">
        <v>1899.2</v>
      </c>
      <c r="AQ10" s="70">
        <f>AP10/AO10</f>
        <v>3798.4</v>
      </c>
      <c r="AR10" s="63">
        <v>411.6</v>
      </c>
      <c r="AS10" s="63">
        <v>50</v>
      </c>
      <c r="AT10" s="63">
        <v>247.9</v>
      </c>
      <c r="AU10" s="63">
        <v>51.88</v>
      </c>
      <c r="AV10" s="63">
        <v>30</v>
      </c>
      <c r="AW10" s="63">
        <v>11.49</v>
      </c>
      <c r="AX10" s="63">
        <v>1.35</v>
      </c>
      <c r="AY10" s="63">
        <v>18.329999999999998</v>
      </c>
      <c r="AZ10" s="63">
        <v>2.13</v>
      </c>
      <c r="BA10" s="63">
        <f>SUM(AW10:AZ10)</f>
        <v>33.299999999999997</v>
      </c>
      <c r="BB10" s="68">
        <f>AU10/AV10</f>
        <v>1.7293333333333334</v>
      </c>
      <c r="BC10" s="68">
        <f>AT10/AV10</f>
        <v>8.2633333333333336</v>
      </c>
      <c r="BD10" s="69">
        <f>AU10/AT10</f>
        <v>0.20927793465106898</v>
      </c>
      <c r="BE10" s="70">
        <f>BD10*AP10</f>
        <v>397.46065348931023</v>
      </c>
      <c r="BF10" s="70">
        <f>BE10/AO10</f>
        <v>794.92130697862046</v>
      </c>
      <c r="BG10" s="69">
        <f>AW10/BA10</f>
        <v>0.34504504504504507</v>
      </c>
      <c r="BH10" s="69">
        <f>AX10/BA10</f>
        <v>4.054054054054055E-2</v>
      </c>
      <c r="BI10" s="69">
        <f>AY10/BA10</f>
        <v>0.55045045045045049</v>
      </c>
      <c r="BJ10" s="69">
        <f>AZ10/BA10</f>
        <v>6.3963963963963963E-2</v>
      </c>
      <c r="BK10" s="70">
        <f>BG10*$BF10</f>
        <v>274.28365817370423</v>
      </c>
      <c r="BL10" s="70">
        <f>BH10*$BF10</f>
        <v>32.226539472106239</v>
      </c>
      <c r="BM10" s="70">
        <f>BI10*$BF10</f>
        <v>437.56479149904249</v>
      </c>
      <c r="BN10" s="70">
        <f>BJ10*$BF10</f>
        <v>50.846317833767614</v>
      </c>
      <c r="BO10" s="73">
        <f>AVERAGE(T10:W10)</f>
        <v>20.674999999999997</v>
      </c>
      <c r="BP10" s="73">
        <f>AVERAGE(X10:AA10)</f>
        <v>26.849999999999998</v>
      </c>
      <c r="BQ10" s="73">
        <f>AVERAGE(AB10:AE10)</f>
        <v>46.550000000000004</v>
      </c>
      <c r="BR10" s="73">
        <f>AVERAGE(AF10:AI10)</f>
        <v>49.674999999999997</v>
      </c>
      <c r="BS10" s="73">
        <f>AVERAGE(AJ10:AM10)</f>
        <v>47.05</v>
      </c>
      <c r="BT10" s="145">
        <v>23.363</v>
      </c>
      <c r="BU10" s="145">
        <v>39.359000000000002</v>
      </c>
      <c r="BV10" s="73">
        <v>17.327999999999999</v>
      </c>
      <c r="BW10" s="73">
        <v>14.285</v>
      </c>
      <c r="BX10" s="73">
        <v>22.116</v>
      </c>
      <c r="BY10" s="73">
        <v>136.80000000000001</v>
      </c>
      <c r="BZ10" s="73">
        <v>101.89999999999999</v>
      </c>
      <c r="CA10" s="73">
        <v>77.099999999999994</v>
      </c>
      <c r="CB10" s="73">
        <v>170.10000000000002</v>
      </c>
      <c r="CC10" s="73">
        <v>254.1</v>
      </c>
      <c r="CD10" s="146">
        <v>-24.63</v>
      </c>
      <c r="CE10" s="146">
        <v>-24.36</v>
      </c>
      <c r="CF10" s="146">
        <v>-23.98</v>
      </c>
      <c r="CG10" s="146">
        <v>-25.09</v>
      </c>
      <c r="CH10" s="146">
        <v>-23.45</v>
      </c>
      <c r="CK10" s="64" t="s">
        <v>29</v>
      </c>
      <c r="CL10" s="73">
        <v>58</v>
      </c>
      <c r="CM10" s="73">
        <v>0.79249999999999998</v>
      </c>
      <c r="CN10" s="73">
        <v>34.825000000000003</v>
      </c>
      <c r="CO10" s="73">
        <v>46.518750000000004</v>
      </c>
      <c r="CP10" s="73">
        <v>48.306250000000006</v>
      </c>
      <c r="CQ10" s="73">
        <v>50.712500000000006</v>
      </c>
      <c r="CR10" s="73">
        <v>47.8125</v>
      </c>
      <c r="CS10" s="103">
        <v>45551</v>
      </c>
      <c r="CT10" s="88">
        <v>577.29387306501985</v>
      </c>
      <c r="CU10" s="88">
        <v>29.8698997468404</v>
      </c>
    </row>
    <row r="11" spans="1:100" s="64" customFormat="1" x14ac:dyDescent="0.25">
      <c r="A11" s="63">
        <v>2</v>
      </c>
      <c r="B11" s="63">
        <v>2</v>
      </c>
      <c r="C11" s="63">
        <v>1</v>
      </c>
      <c r="D11" s="63">
        <v>7</v>
      </c>
      <c r="E11" s="63">
        <v>15</v>
      </c>
      <c r="F11" s="63" t="s">
        <v>30</v>
      </c>
      <c r="G11" s="63" t="s">
        <v>28</v>
      </c>
      <c r="H11" s="63">
        <v>202</v>
      </c>
      <c r="I11" s="63" t="str">
        <f>"EVA"&amp;"_"&amp;H11</f>
        <v>EVA_202</v>
      </c>
      <c r="J11" s="66">
        <v>45551</v>
      </c>
      <c r="K11" s="63">
        <v>0.84</v>
      </c>
      <c r="L11" s="65">
        <v>0.06</v>
      </c>
      <c r="M11" s="65">
        <v>0.13100000000000001</v>
      </c>
      <c r="N11" s="65">
        <v>0.21299999999999999</v>
      </c>
      <c r="O11" s="65">
        <v>0.30199999999999999</v>
      </c>
      <c r="P11" s="75">
        <f>1-L11</f>
        <v>0.94</v>
      </c>
      <c r="Q11" s="75">
        <f>1-M11</f>
        <v>0.86899999999999999</v>
      </c>
      <c r="R11" s="75">
        <f>1-N11</f>
        <v>0.78700000000000003</v>
      </c>
      <c r="S11" s="75">
        <f>1-O11</f>
        <v>0.69799999999999995</v>
      </c>
      <c r="T11" s="63">
        <v>39</v>
      </c>
      <c r="U11" s="63">
        <v>27.7</v>
      </c>
      <c r="V11" s="63">
        <v>30.9</v>
      </c>
      <c r="W11" s="63">
        <v>34.200000000000003</v>
      </c>
      <c r="X11" s="63">
        <v>45.4</v>
      </c>
      <c r="Y11" s="63">
        <v>45.6</v>
      </c>
      <c r="Z11" s="63">
        <v>42.5</v>
      </c>
      <c r="AA11" s="63">
        <v>46.3</v>
      </c>
      <c r="AB11" s="63">
        <v>45</v>
      </c>
      <c r="AC11" s="63">
        <v>51.5</v>
      </c>
      <c r="AD11" s="63">
        <v>53.8</v>
      </c>
      <c r="AE11" s="63">
        <v>44.9</v>
      </c>
      <c r="AF11" s="63">
        <v>48.1</v>
      </c>
      <c r="AG11" s="63">
        <v>49.9</v>
      </c>
      <c r="AH11" s="63">
        <v>51.4</v>
      </c>
      <c r="AI11" s="63">
        <v>48.4</v>
      </c>
      <c r="AJ11" s="63">
        <v>45.1</v>
      </c>
      <c r="AK11" s="63">
        <v>48.6</v>
      </c>
      <c r="AL11" s="63">
        <v>47.9</v>
      </c>
      <c r="AM11" s="63">
        <v>49.1</v>
      </c>
      <c r="AN11" s="67">
        <v>55</v>
      </c>
      <c r="AO11" s="63">
        <v>0.5</v>
      </c>
      <c r="AP11" s="63">
        <v>1348.2</v>
      </c>
      <c r="AQ11" s="70">
        <f>AP11/AO11</f>
        <v>2696.4</v>
      </c>
      <c r="AR11" s="63">
        <v>290.5</v>
      </c>
      <c r="AS11" s="63">
        <v>50</v>
      </c>
      <c r="AT11" s="63">
        <v>172</v>
      </c>
      <c r="AU11" s="63">
        <v>35.840000000000003</v>
      </c>
      <c r="AV11" s="63">
        <v>30</v>
      </c>
      <c r="AW11" s="63">
        <v>10.75</v>
      </c>
      <c r="AX11" s="63">
        <v>0.3</v>
      </c>
      <c r="AY11" s="63">
        <v>11.98</v>
      </c>
      <c r="AZ11" s="63">
        <v>2.2000000000000002</v>
      </c>
      <c r="BA11" s="63">
        <f>SUM(AW11:AZ11)</f>
        <v>25.23</v>
      </c>
      <c r="BB11" s="68">
        <f>AU11/AV11</f>
        <v>1.1946666666666668</v>
      </c>
      <c r="BC11" s="68">
        <f>AT11/AV11</f>
        <v>5.7333333333333334</v>
      </c>
      <c r="BD11" s="69">
        <f>AU11/AT11</f>
        <v>0.20837209302325582</v>
      </c>
      <c r="BE11" s="70">
        <f>BD11*AP11</f>
        <v>280.92725581395354</v>
      </c>
      <c r="BF11" s="70">
        <f>BE11/AO11</f>
        <v>561.85451162790707</v>
      </c>
      <c r="BG11" s="69">
        <f>AW11/BA11</f>
        <v>0.42608006341656757</v>
      </c>
      <c r="BH11" s="69">
        <f>AX11/BA11</f>
        <v>1.1890606420927466E-2</v>
      </c>
      <c r="BI11" s="69">
        <f>AY11/BA11</f>
        <v>0.47483154974237018</v>
      </c>
      <c r="BJ11" s="69">
        <f>AZ11/BA11</f>
        <v>8.7197780420134763E-2</v>
      </c>
      <c r="BK11" s="70">
        <f>BG11*$BF11</f>
        <v>239.39500594530324</v>
      </c>
      <c r="BL11" s="70">
        <f>BH11*$BF11</f>
        <v>6.6807908635898574</v>
      </c>
      <c r="BM11" s="70">
        <f>BI11*$BF11</f>
        <v>266.78624848602169</v>
      </c>
      <c r="BN11" s="70">
        <f>BJ11*$BF11</f>
        <v>48.992466332992294</v>
      </c>
      <c r="BO11" s="73">
        <f>AVERAGE(T11:W11)</f>
        <v>32.950000000000003</v>
      </c>
      <c r="BP11" s="73">
        <f>AVERAGE(X11:AA11)</f>
        <v>44.95</v>
      </c>
      <c r="BQ11" s="73">
        <f>AVERAGE(AB11:AE11)</f>
        <v>48.800000000000004</v>
      </c>
      <c r="BR11" s="73">
        <f>AVERAGE(AF11:AI11)</f>
        <v>49.45</v>
      </c>
      <c r="BS11" s="73">
        <f>AVERAGE(AJ11:AM11)</f>
        <v>47.674999999999997</v>
      </c>
      <c r="BT11" s="145">
        <v>30.764999999999997</v>
      </c>
      <c r="BU11" s="145">
        <v>42.103999999999999</v>
      </c>
      <c r="BV11" s="73">
        <v>22.250999999999998</v>
      </c>
      <c r="BW11" s="73">
        <v>16.497999999999998</v>
      </c>
      <c r="BX11" s="73">
        <v>24.905000000000001</v>
      </c>
      <c r="BY11" s="73">
        <v>173</v>
      </c>
      <c r="BZ11" s="73">
        <v>97.300000000000011</v>
      </c>
      <c r="CA11" s="73">
        <v>61.1</v>
      </c>
      <c r="CB11" s="73">
        <v>195.3</v>
      </c>
      <c r="CC11" s="73">
        <v>290.39999999999998</v>
      </c>
      <c r="CD11" s="146">
        <v>-24.38</v>
      </c>
      <c r="CE11" s="146">
        <v>-24.79</v>
      </c>
      <c r="CF11" s="146">
        <v>-24.61</v>
      </c>
      <c r="CG11" s="146">
        <v>-24.95</v>
      </c>
      <c r="CH11" s="146">
        <v>-24.25</v>
      </c>
      <c r="CJ11"/>
      <c r="CK11"/>
      <c r="CL11"/>
      <c r="CM11"/>
      <c r="CN11"/>
      <c r="CO11"/>
      <c r="CP11"/>
      <c r="CQ11"/>
      <c r="CR11"/>
    </row>
    <row r="12" spans="1:100" s="134" customFormat="1" x14ac:dyDescent="0.25">
      <c r="A12" s="63">
        <v>2</v>
      </c>
      <c r="B12" s="63">
        <v>3</v>
      </c>
      <c r="C12" s="63">
        <v>2</v>
      </c>
      <c r="D12" s="63">
        <v>10</v>
      </c>
      <c r="E12" s="63">
        <v>14</v>
      </c>
      <c r="F12" s="63" t="s">
        <v>25</v>
      </c>
      <c r="G12" s="63" t="s">
        <v>29</v>
      </c>
      <c r="H12" s="63">
        <v>203</v>
      </c>
      <c r="I12" s="63" t="str">
        <f>"EVA"&amp;"_"&amp;H12</f>
        <v>EVA_203</v>
      </c>
      <c r="J12" s="66">
        <v>45541</v>
      </c>
      <c r="K12" s="63">
        <v>0.84</v>
      </c>
      <c r="L12" s="65">
        <v>2.9000000000000001E-2</v>
      </c>
      <c r="M12" s="65">
        <v>0.106</v>
      </c>
      <c r="N12" s="65">
        <v>0.12</v>
      </c>
      <c r="O12" s="65">
        <v>0.185</v>
      </c>
      <c r="P12" s="75">
        <f>1-L12</f>
        <v>0.97099999999999997</v>
      </c>
      <c r="Q12" s="75">
        <f>1-M12</f>
        <v>0.89400000000000002</v>
      </c>
      <c r="R12" s="75">
        <f>1-N12</f>
        <v>0.88</v>
      </c>
      <c r="S12" s="75">
        <f>1-O12</f>
        <v>0.81499999999999995</v>
      </c>
      <c r="T12" s="63">
        <v>4</v>
      </c>
      <c r="U12" s="63">
        <v>48.1</v>
      </c>
      <c r="V12" s="63">
        <v>45.8</v>
      </c>
      <c r="W12" s="63">
        <v>48.5</v>
      </c>
      <c r="X12" s="63">
        <v>52.7</v>
      </c>
      <c r="Y12" s="63">
        <v>48.5</v>
      </c>
      <c r="Z12" s="63">
        <v>50.3</v>
      </c>
      <c r="AA12" s="63">
        <v>48.7</v>
      </c>
      <c r="AB12" s="63">
        <v>49.7</v>
      </c>
      <c r="AC12" s="63">
        <v>49.6</v>
      </c>
      <c r="AD12" s="63">
        <v>50.1</v>
      </c>
      <c r="AE12" s="63">
        <v>50.9</v>
      </c>
      <c r="AF12" s="63">
        <v>51.4</v>
      </c>
      <c r="AG12" s="63">
        <v>52.2</v>
      </c>
      <c r="AH12" s="63">
        <v>55.4</v>
      </c>
      <c r="AI12" s="63">
        <v>54.8</v>
      </c>
      <c r="AJ12" s="63">
        <v>51.6</v>
      </c>
      <c r="AK12" s="63">
        <v>52.3</v>
      </c>
      <c r="AL12" s="63">
        <v>53.7</v>
      </c>
      <c r="AM12" s="63">
        <v>50.1</v>
      </c>
      <c r="AN12" s="67">
        <v>70</v>
      </c>
      <c r="AO12" s="63">
        <v>0.5</v>
      </c>
      <c r="AP12" s="63">
        <v>1567.4</v>
      </c>
      <c r="AQ12" s="70">
        <f>AP12/AO12</f>
        <v>3134.8</v>
      </c>
      <c r="AR12" s="63">
        <v>388.6</v>
      </c>
      <c r="AS12" s="63">
        <v>50</v>
      </c>
      <c r="AT12" s="63">
        <v>231.8</v>
      </c>
      <c r="AU12" s="63">
        <v>48</v>
      </c>
      <c r="AV12" s="63">
        <v>30</v>
      </c>
      <c r="AW12" s="63">
        <v>10.17</v>
      </c>
      <c r="AX12" s="63">
        <v>1.41</v>
      </c>
      <c r="AY12" s="63">
        <v>17.329999999999998</v>
      </c>
      <c r="AZ12" s="63">
        <v>1.98</v>
      </c>
      <c r="BA12" s="63">
        <f>SUM(AW12:AZ12)</f>
        <v>30.889999999999997</v>
      </c>
      <c r="BB12" s="68">
        <f>AU12/AV12</f>
        <v>1.6</v>
      </c>
      <c r="BC12" s="68">
        <f>AT12/AV12</f>
        <v>7.7266666666666675</v>
      </c>
      <c r="BD12" s="69">
        <f>AU12/AT12</f>
        <v>0.20707506471095771</v>
      </c>
      <c r="BE12" s="70">
        <f>BD12*AP12</f>
        <v>324.56945642795512</v>
      </c>
      <c r="BF12" s="70">
        <f>BE12/AO12</f>
        <v>649.13891285591023</v>
      </c>
      <c r="BG12" s="69">
        <f>AW12/BA12</f>
        <v>0.32923276141146007</v>
      </c>
      <c r="BH12" s="69">
        <f>AX12/BA12</f>
        <v>4.5645840077695052E-2</v>
      </c>
      <c r="BI12" s="69">
        <f>AY12/BA12</f>
        <v>0.56102298478472001</v>
      </c>
      <c r="BJ12" s="69">
        <f>AZ12/BA12</f>
        <v>6.4098413726124959E-2</v>
      </c>
      <c r="BK12" s="70">
        <f>BG12*$BF12</f>
        <v>213.71779681918446</v>
      </c>
      <c r="BL12" s="70">
        <f>BH12*$BF12</f>
        <v>29.630491004429704</v>
      </c>
      <c r="BM12" s="70">
        <f>BI12*$BF12</f>
        <v>364.181850430331</v>
      </c>
      <c r="BN12" s="70">
        <f>BJ12*$BF12</f>
        <v>41.608774601965109</v>
      </c>
      <c r="BO12" s="73">
        <f>AVERAGE(T12:W12)</f>
        <v>36.6</v>
      </c>
      <c r="BP12" s="73">
        <f>AVERAGE(X12:AA12)</f>
        <v>50.05</v>
      </c>
      <c r="BQ12" s="73">
        <f>AVERAGE(AB12:AE12)</f>
        <v>50.075000000000003</v>
      </c>
      <c r="BR12" s="73">
        <f>AVERAGE(AF12:AI12)</f>
        <v>53.45</v>
      </c>
      <c r="BS12" s="73">
        <f>AVERAGE(AJ12:AM12)</f>
        <v>51.925000000000004</v>
      </c>
      <c r="BT12" s="145">
        <v>24.779</v>
      </c>
      <c r="BU12" s="145">
        <v>40.262</v>
      </c>
      <c r="BV12" s="73">
        <v>18.469000000000001</v>
      </c>
      <c r="BW12" s="73">
        <v>11.459</v>
      </c>
      <c r="BX12" s="73">
        <v>24.937999999999999</v>
      </c>
      <c r="BY12" s="73">
        <v>138.1</v>
      </c>
      <c r="BZ12" s="73">
        <v>88.6</v>
      </c>
      <c r="CA12" s="73">
        <v>75.099999999999994</v>
      </c>
      <c r="CB12" s="73">
        <v>141.1</v>
      </c>
      <c r="CC12" s="73">
        <v>289.40000000000003</v>
      </c>
      <c r="CD12" s="146">
        <v>-24.89</v>
      </c>
      <c r="CE12" s="146">
        <v>-24.6</v>
      </c>
      <c r="CF12" s="146">
        <v>-24.16</v>
      </c>
      <c r="CG12" s="146">
        <v>-25.65</v>
      </c>
      <c r="CH12" s="146">
        <v>-23.88</v>
      </c>
      <c r="CI12" s="64"/>
    </row>
    <row r="13" spans="1:100" s="64" customFormat="1" x14ac:dyDescent="0.25">
      <c r="A13" s="63">
        <v>2</v>
      </c>
      <c r="B13" s="63">
        <v>4</v>
      </c>
      <c r="C13" s="63">
        <v>2</v>
      </c>
      <c r="D13" s="63">
        <v>15</v>
      </c>
      <c r="E13" s="63">
        <v>13</v>
      </c>
      <c r="F13" s="63" t="s">
        <v>30</v>
      </c>
      <c r="G13" s="63" t="s">
        <v>32</v>
      </c>
      <c r="H13" s="63">
        <v>204</v>
      </c>
      <c r="I13" s="63" t="str">
        <f>"EVA"&amp;"_"&amp;H13</f>
        <v>EVA_204</v>
      </c>
      <c r="J13" s="66">
        <v>45551</v>
      </c>
      <c r="K13" s="63">
        <v>0.84</v>
      </c>
      <c r="L13" s="65">
        <v>2.9000000000000001E-2</v>
      </c>
      <c r="M13" s="65">
        <v>7.8E-2</v>
      </c>
      <c r="N13" s="65">
        <v>0.09</v>
      </c>
      <c r="O13" s="65">
        <v>0.17199999999999999</v>
      </c>
      <c r="P13" s="75">
        <f>1-L13</f>
        <v>0.97099999999999997</v>
      </c>
      <c r="Q13" s="75">
        <f>1-M13</f>
        <v>0.92200000000000004</v>
      </c>
      <c r="R13" s="75">
        <f>1-N13</f>
        <v>0.91</v>
      </c>
      <c r="S13" s="75">
        <f>1-O13</f>
        <v>0.82800000000000007</v>
      </c>
      <c r="T13" s="63">
        <v>34.4</v>
      </c>
      <c r="U13" s="63">
        <v>48.1</v>
      </c>
      <c r="V13" s="63">
        <v>42.2</v>
      </c>
      <c r="W13" s="63">
        <v>31.2</v>
      </c>
      <c r="X13" s="63">
        <v>47.3</v>
      </c>
      <c r="Y13" s="63">
        <v>50.2</v>
      </c>
      <c r="Z13" s="63">
        <v>48.5</v>
      </c>
      <c r="AA13" s="63">
        <v>48.2</v>
      </c>
      <c r="AB13" s="63">
        <v>47.4</v>
      </c>
      <c r="AC13" s="63">
        <v>48.4</v>
      </c>
      <c r="AD13" s="63">
        <v>49.4</v>
      </c>
      <c r="AE13" s="63">
        <v>49</v>
      </c>
      <c r="AF13" s="63">
        <v>44.9</v>
      </c>
      <c r="AG13" s="63">
        <v>46.5</v>
      </c>
      <c r="AH13" s="63">
        <v>45.6</v>
      </c>
      <c r="AI13" s="63">
        <v>48.7</v>
      </c>
      <c r="AJ13" s="63">
        <v>37.700000000000003</v>
      </c>
      <c r="AK13" s="63">
        <v>43.7</v>
      </c>
      <c r="AL13" s="63">
        <v>42.2</v>
      </c>
      <c r="AM13" s="63">
        <v>40</v>
      </c>
      <c r="AN13" s="67">
        <v>64</v>
      </c>
      <c r="AO13" s="63">
        <v>0.5</v>
      </c>
      <c r="AP13" s="63">
        <v>1332.8</v>
      </c>
      <c r="AQ13" s="70">
        <f>AP13/AO13</f>
        <v>2665.6</v>
      </c>
      <c r="AR13" s="63">
        <v>299.5</v>
      </c>
      <c r="AS13" s="63">
        <v>50</v>
      </c>
      <c r="AT13" s="63">
        <v>181.6</v>
      </c>
      <c r="AU13" s="63">
        <v>45.38</v>
      </c>
      <c r="AV13" s="63">
        <v>30</v>
      </c>
      <c r="AW13" s="63">
        <v>11.45</v>
      </c>
      <c r="AX13" s="63">
        <v>0.32</v>
      </c>
      <c r="AY13" s="63">
        <v>16.100000000000001</v>
      </c>
      <c r="AZ13" s="63">
        <v>0.59</v>
      </c>
      <c r="BA13" s="63">
        <f>SUM(AW13:AZ13)</f>
        <v>28.46</v>
      </c>
      <c r="BB13" s="68">
        <f>AU13/AV13</f>
        <v>1.5126666666666668</v>
      </c>
      <c r="BC13" s="68">
        <f>AT13/AV13</f>
        <v>6.0533333333333328</v>
      </c>
      <c r="BD13" s="69">
        <f>AU13/AT13</f>
        <v>0.24988986784140971</v>
      </c>
      <c r="BE13" s="70">
        <f>BD13*AP13</f>
        <v>333.05321585903084</v>
      </c>
      <c r="BF13" s="70">
        <f>BE13/AO13</f>
        <v>666.10643171806169</v>
      </c>
      <c r="BG13" s="69">
        <f>AW13/BA13</f>
        <v>0.40231904427266335</v>
      </c>
      <c r="BH13" s="69">
        <f>AX13/BA13</f>
        <v>1.1243851018973999E-2</v>
      </c>
      <c r="BI13" s="69">
        <f>AY13/BA13</f>
        <v>0.56570625439212929</v>
      </c>
      <c r="BJ13" s="69">
        <f>AZ13/BA13</f>
        <v>2.0730850316233309E-2</v>
      </c>
      <c r="BK13" s="70">
        <f>BG13*$BF13</f>
        <v>267.98730299268465</v>
      </c>
      <c r="BL13" s="70">
        <f>BH13*$BF13</f>
        <v>7.4896014810182621</v>
      </c>
      <c r="BM13" s="70">
        <f>BI13*$BF13</f>
        <v>376.82057451373129</v>
      </c>
      <c r="BN13" s="70">
        <f>BJ13*$BF13</f>
        <v>13.80895273062742</v>
      </c>
      <c r="BO13" s="73">
        <f>AVERAGE(T13:W13)</f>
        <v>38.975000000000001</v>
      </c>
      <c r="BP13" s="73">
        <f>AVERAGE(X13:AA13)</f>
        <v>48.55</v>
      </c>
      <c r="BQ13" s="73">
        <f>AVERAGE(AB13:AE13)</f>
        <v>48.55</v>
      </c>
      <c r="BR13" s="73">
        <f>AVERAGE(AF13:AI13)</f>
        <v>46.424999999999997</v>
      </c>
      <c r="BS13" s="73">
        <f>AVERAGE(AJ13:AM13)</f>
        <v>40.900000000000006</v>
      </c>
      <c r="BT13" s="145">
        <v>29.363999999999997</v>
      </c>
      <c r="BU13" s="145">
        <v>43.994</v>
      </c>
      <c r="BV13" s="73">
        <v>28.563000000000002</v>
      </c>
      <c r="BW13" s="73">
        <v>19.236999999999998</v>
      </c>
      <c r="BX13" s="73">
        <v>21.972999999999999</v>
      </c>
      <c r="BY13" s="73">
        <v>179</v>
      </c>
      <c r="BZ13" s="73">
        <v>91</v>
      </c>
      <c r="CA13" s="73">
        <v>51.8</v>
      </c>
      <c r="CB13" s="73">
        <v>188</v>
      </c>
      <c r="CC13" s="73">
        <v>285.89999999999998</v>
      </c>
      <c r="CD13" s="146">
        <v>-24.49</v>
      </c>
      <c r="CE13" s="146">
        <v>-24.81</v>
      </c>
      <c r="CF13" s="146">
        <v>-24.73</v>
      </c>
      <c r="CG13" s="146">
        <v>-24.87</v>
      </c>
      <c r="CH13" s="146">
        <v>-23.87</v>
      </c>
      <c r="CL13" s="72"/>
    </row>
    <row r="14" spans="1:100" s="64" customFormat="1" x14ac:dyDescent="0.25">
      <c r="A14" s="63">
        <v>2</v>
      </c>
      <c r="B14" s="63">
        <v>5</v>
      </c>
      <c r="C14" s="63">
        <v>3</v>
      </c>
      <c r="D14" s="63">
        <v>18</v>
      </c>
      <c r="E14" s="63">
        <v>12</v>
      </c>
      <c r="F14" s="63" t="s">
        <v>25</v>
      </c>
      <c r="G14" s="63" t="s">
        <v>26</v>
      </c>
      <c r="H14" s="63">
        <v>205</v>
      </c>
      <c r="I14" s="63" t="str">
        <f>"EVA"&amp;"_"&amp;H14</f>
        <v>EVA_205</v>
      </c>
      <c r="J14" s="66">
        <v>45559</v>
      </c>
      <c r="K14" s="63">
        <v>0.83</v>
      </c>
      <c r="L14" s="123">
        <v>5.2999999999999999E-2</v>
      </c>
      <c r="M14" s="123">
        <v>7.0999999999999994E-2</v>
      </c>
      <c r="N14" s="123">
        <v>0.114</v>
      </c>
      <c r="O14" s="123">
        <v>0.186</v>
      </c>
      <c r="P14" s="75">
        <f>1-L14</f>
        <v>0.94699999999999995</v>
      </c>
      <c r="Q14" s="75">
        <f>1-M14</f>
        <v>0.92900000000000005</v>
      </c>
      <c r="R14" s="75">
        <f>1-N14</f>
        <v>0.88600000000000001</v>
      </c>
      <c r="S14" s="75">
        <f>1-O14</f>
        <v>0.81400000000000006</v>
      </c>
      <c r="T14" s="63">
        <v>44.2</v>
      </c>
      <c r="U14" s="63">
        <v>51.7</v>
      </c>
      <c r="V14" s="63">
        <v>44.8</v>
      </c>
      <c r="W14" s="63">
        <v>47</v>
      </c>
      <c r="X14" s="63">
        <v>51</v>
      </c>
      <c r="Y14" s="63">
        <v>58.3</v>
      </c>
      <c r="Z14" s="63">
        <v>57.3</v>
      </c>
      <c r="AA14" s="63">
        <v>53.9</v>
      </c>
      <c r="AB14" s="63">
        <v>51.9</v>
      </c>
      <c r="AC14" s="63">
        <v>56.7</v>
      </c>
      <c r="AD14" s="63">
        <v>56.3</v>
      </c>
      <c r="AE14" s="63">
        <v>55.7</v>
      </c>
      <c r="AF14" s="63">
        <v>51.6</v>
      </c>
      <c r="AG14" s="63">
        <v>51.6</v>
      </c>
      <c r="AH14" s="63">
        <v>55.7</v>
      </c>
      <c r="AI14" s="63">
        <v>52.3</v>
      </c>
      <c r="AJ14" s="63">
        <v>43</v>
      </c>
      <c r="AK14" s="63">
        <v>41</v>
      </c>
      <c r="AL14" s="63">
        <v>45.9</v>
      </c>
      <c r="AM14" s="63">
        <v>48.4</v>
      </c>
      <c r="AN14" s="67">
        <v>72</v>
      </c>
      <c r="AO14" s="63">
        <v>0.5</v>
      </c>
      <c r="AP14" s="63">
        <v>2313.6999999999998</v>
      </c>
      <c r="AQ14" s="70">
        <f>AP14/AO14</f>
        <v>4627.3999999999996</v>
      </c>
      <c r="AR14" s="63">
        <v>369.6</v>
      </c>
      <c r="AS14" s="63">
        <v>50</v>
      </c>
      <c r="AT14" s="63">
        <v>221.6</v>
      </c>
      <c r="AU14" s="63">
        <v>48.31</v>
      </c>
      <c r="AV14" s="63">
        <v>30</v>
      </c>
      <c r="AW14" s="63">
        <v>9.6300000000000008</v>
      </c>
      <c r="AX14" s="63">
        <v>2.93</v>
      </c>
      <c r="AY14" s="63">
        <v>17.989999999999998</v>
      </c>
      <c r="AZ14" s="63">
        <v>1.32</v>
      </c>
      <c r="BA14" s="63">
        <f>SUM(AW14:AZ14)</f>
        <v>31.869999999999997</v>
      </c>
      <c r="BB14" s="68">
        <f>AU14/AV14</f>
        <v>1.6103333333333334</v>
      </c>
      <c r="BC14" s="68">
        <f>AT14/AV14</f>
        <v>7.3866666666666667</v>
      </c>
      <c r="BD14" s="69">
        <f>AU14/AT14</f>
        <v>0.21800541516245489</v>
      </c>
      <c r="BE14" s="70">
        <f>BD14*AP14</f>
        <v>504.39912906137187</v>
      </c>
      <c r="BF14" s="70">
        <f>BE14/AO14</f>
        <v>1008.7982581227437</v>
      </c>
      <c r="BG14" s="69">
        <f>AW14/BA14</f>
        <v>0.30216504549733297</v>
      </c>
      <c r="BH14" s="69">
        <f>AX14/BA14</f>
        <v>9.1935989959209305E-2</v>
      </c>
      <c r="BI14" s="69">
        <f>AY14/BA14</f>
        <v>0.5644807028553499</v>
      </c>
      <c r="BJ14" s="69">
        <f>AZ14/BA14</f>
        <v>4.1418261688107944E-2</v>
      </c>
      <c r="BK14" s="70">
        <f>BG14*$BF14</f>
        <v>304.82357156328914</v>
      </c>
      <c r="BL14" s="70">
        <f>BH14*$BF14</f>
        <v>92.744866529640404</v>
      </c>
      <c r="BM14" s="70">
        <f>BI14*$BF14</f>
        <v>569.44714978437912</v>
      </c>
      <c r="BN14" s="70">
        <f>BJ14*$BF14</f>
        <v>41.782670245435263</v>
      </c>
      <c r="BO14" s="73">
        <f>AVERAGE(T14:W14)</f>
        <v>46.924999999999997</v>
      </c>
      <c r="BP14" s="73">
        <f>AVERAGE(X14:AA14)</f>
        <v>55.125</v>
      </c>
      <c r="BQ14" s="73">
        <f>AVERAGE(AB14:AE14)</f>
        <v>55.149999999999991</v>
      </c>
      <c r="BR14" s="73">
        <f>AVERAGE(AF14:AI14)</f>
        <v>52.8</v>
      </c>
      <c r="BS14" s="73">
        <f>AVERAGE(AJ14:AM14)</f>
        <v>44.575000000000003</v>
      </c>
      <c r="BT14" s="145">
        <v>22.076999999999998</v>
      </c>
      <c r="BU14" s="145">
        <v>43.047000000000004</v>
      </c>
      <c r="BV14" s="73">
        <v>22.713999999999999</v>
      </c>
      <c r="BW14" s="73">
        <v>15.359</v>
      </c>
      <c r="BX14" s="73">
        <v>17.081</v>
      </c>
      <c r="BY14" s="73">
        <v>160</v>
      </c>
      <c r="BZ14" s="73">
        <v>86.4</v>
      </c>
      <c r="CA14" s="73">
        <v>45.199999999999996</v>
      </c>
      <c r="CB14" s="73">
        <v>200.6</v>
      </c>
      <c r="CC14" s="73">
        <v>246.8</v>
      </c>
      <c r="CD14" s="146">
        <v>-24.91</v>
      </c>
      <c r="CE14" s="146">
        <v>-24.98</v>
      </c>
      <c r="CF14" s="146">
        <v>-24.74</v>
      </c>
      <c r="CG14" s="146">
        <v>-25.1</v>
      </c>
      <c r="CH14" s="146">
        <v>-24.11</v>
      </c>
      <c r="CL14" s="72"/>
    </row>
    <row r="15" spans="1:100" s="64" customFormat="1" x14ac:dyDescent="0.25">
      <c r="A15" s="63">
        <v>2</v>
      </c>
      <c r="B15" s="63">
        <v>6</v>
      </c>
      <c r="C15" s="63">
        <v>3</v>
      </c>
      <c r="D15" s="63">
        <v>23</v>
      </c>
      <c r="E15" s="63">
        <v>11</v>
      </c>
      <c r="F15" s="63" t="s">
        <v>30</v>
      </c>
      <c r="G15" s="63" t="s">
        <v>31</v>
      </c>
      <c r="H15" s="63">
        <v>206</v>
      </c>
      <c r="I15" s="63" t="str">
        <f>"EVA"&amp;"_"&amp;H15</f>
        <v>EVA_206</v>
      </c>
      <c r="J15" s="66">
        <v>45548</v>
      </c>
      <c r="K15" s="63">
        <v>0.85</v>
      </c>
      <c r="L15" s="65">
        <v>1.0999999999999999E-2</v>
      </c>
      <c r="M15" s="65">
        <v>2.5999999999999999E-2</v>
      </c>
      <c r="N15" s="65">
        <v>9.8000000000000004E-2</v>
      </c>
      <c r="O15" s="65">
        <v>0.186</v>
      </c>
      <c r="P15" s="75">
        <f>1-L15</f>
        <v>0.98899999999999999</v>
      </c>
      <c r="Q15" s="75">
        <f>1-M15</f>
        <v>0.97399999999999998</v>
      </c>
      <c r="R15" s="75">
        <f>1-N15</f>
        <v>0.90200000000000002</v>
      </c>
      <c r="S15" s="75">
        <f>1-O15</f>
        <v>0.81400000000000006</v>
      </c>
      <c r="T15" s="63">
        <v>49.9</v>
      </c>
      <c r="U15" s="63">
        <v>34.1</v>
      </c>
      <c r="V15" s="63">
        <v>36.299999999999997</v>
      </c>
      <c r="W15" s="63">
        <v>20.9</v>
      </c>
      <c r="X15" s="63">
        <v>53.1</v>
      </c>
      <c r="Y15" s="63">
        <v>48</v>
      </c>
      <c r="Z15" s="63">
        <v>53.8</v>
      </c>
      <c r="AA15" s="63">
        <v>46.3</v>
      </c>
      <c r="AB15" s="63">
        <v>54.6</v>
      </c>
      <c r="AC15" s="63">
        <v>49.2</v>
      </c>
      <c r="AD15" s="63">
        <v>49.4</v>
      </c>
      <c r="AE15" s="63">
        <v>48.2</v>
      </c>
      <c r="AF15" s="63">
        <v>51.5</v>
      </c>
      <c r="AG15" s="63">
        <v>52.1</v>
      </c>
      <c r="AH15" s="63">
        <v>52.2</v>
      </c>
      <c r="AI15" s="63">
        <v>47.6</v>
      </c>
      <c r="AJ15" s="63">
        <v>44.1</v>
      </c>
      <c r="AK15" s="63">
        <v>43.5</v>
      </c>
      <c r="AL15" s="63">
        <v>45.1</v>
      </c>
      <c r="AM15" s="63">
        <v>43.1</v>
      </c>
      <c r="AN15" s="67">
        <v>69</v>
      </c>
      <c r="AO15" s="63">
        <v>0.5</v>
      </c>
      <c r="AP15" s="63">
        <v>1768.7</v>
      </c>
      <c r="AQ15" s="70">
        <f>AP15/AO15</f>
        <v>3537.4</v>
      </c>
      <c r="AR15" s="63">
        <v>422.5</v>
      </c>
      <c r="AS15" s="63">
        <v>50</v>
      </c>
      <c r="AT15" s="63">
        <v>248.9</v>
      </c>
      <c r="AU15" s="63">
        <v>47.45</v>
      </c>
      <c r="AV15" s="63">
        <v>30</v>
      </c>
      <c r="AW15" s="63">
        <v>11.97</v>
      </c>
      <c r="AX15" s="63">
        <v>1.5</v>
      </c>
      <c r="AY15" s="63">
        <v>18.86</v>
      </c>
      <c r="AZ15" s="63">
        <v>1.1399999999999999</v>
      </c>
      <c r="BA15" s="63">
        <f>SUM(AW15:AZ15)</f>
        <v>33.47</v>
      </c>
      <c r="BB15" s="68">
        <f>AU15/AV15</f>
        <v>1.5816666666666668</v>
      </c>
      <c r="BC15" s="68">
        <f>AT15/AV15</f>
        <v>8.2966666666666669</v>
      </c>
      <c r="BD15" s="69">
        <f>AU15/AT15</f>
        <v>0.19063881076737646</v>
      </c>
      <c r="BE15" s="70">
        <f>BD15*AP15</f>
        <v>337.18286460425873</v>
      </c>
      <c r="BF15" s="70">
        <f>BE15/AO15</f>
        <v>674.36572920851745</v>
      </c>
      <c r="BG15" s="69">
        <f>AW15/BA15</f>
        <v>0.35763370182252768</v>
      </c>
      <c r="BH15" s="69">
        <f>AX15/BA15</f>
        <v>4.4816253361219006E-2</v>
      </c>
      <c r="BI15" s="69">
        <f>AY15/BA15</f>
        <v>0.56348969226172696</v>
      </c>
      <c r="BJ15" s="69">
        <f>AZ15/BA15</f>
        <v>3.4060352554526441E-2</v>
      </c>
      <c r="BK15" s="70">
        <f>BG15*$BF15</f>
        <v>241.17591211909038</v>
      </c>
      <c r="BL15" s="70">
        <f>BH15*$BF15</f>
        <v>30.222545378332125</v>
      </c>
      <c r="BM15" s="70">
        <f>BI15*$BF15</f>
        <v>379.99813722356259</v>
      </c>
      <c r="BN15" s="70">
        <f>BJ15*$BF15</f>
        <v>22.969134487532415</v>
      </c>
      <c r="BO15" s="73">
        <f>AVERAGE(T15:W15)</f>
        <v>35.299999999999997</v>
      </c>
      <c r="BP15" s="73">
        <f>AVERAGE(X15:AA15)</f>
        <v>50.3</v>
      </c>
      <c r="BQ15" s="73">
        <f>AVERAGE(AB15:AE15)</f>
        <v>50.350000000000009</v>
      </c>
      <c r="BR15" s="73">
        <f>AVERAGE(AF15:AI15)</f>
        <v>50.85</v>
      </c>
      <c r="BS15" s="73">
        <f>AVERAGE(AJ15:AM15)</f>
        <v>43.949999999999996</v>
      </c>
      <c r="BT15" s="145">
        <v>31.093000000000004</v>
      </c>
      <c r="BU15" s="145">
        <v>44.198000000000008</v>
      </c>
      <c r="BV15" s="73">
        <v>24.891999999999999</v>
      </c>
      <c r="BW15" s="73">
        <v>21.103999999999999</v>
      </c>
      <c r="BX15" s="73">
        <v>24.192999999999998</v>
      </c>
      <c r="BY15" s="73">
        <v>132</v>
      </c>
      <c r="BZ15" s="73">
        <v>70.900000000000006</v>
      </c>
      <c r="CA15" s="73">
        <v>47.199999999999996</v>
      </c>
      <c r="CB15" s="73">
        <v>143.6</v>
      </c>
      <c r="CC15" s="73">
        <v>253.70000000000002</v>
      </c>
      <c r="CD15" s="146">
        <v>-24.83</v>
      </c>
      <c r="CE15" s="146">
        <v>-24.94</v>
      </c>
      <c r="CF15" s="146">
        <v>-24.85</v>
      </c>
      <c r="CG15" s="146">
        <v>-25.39</v>
      </c>
      <c r="CH15" s="146">
        <v>-24.01</v>
      </c>
      <c r="CJ15"/>
      <c r="CK15"/>
      <c r="CL15" s="61" t="s">
        <v>442</v>
      </c>
      <c r="CM15"/>
      <c r="CN15"/>
      <c r="CO15"/>
      <c r="CP15"/>
      <c r="CQ15"/>
      <c r="CR15"/>
      <c r="CS15"/>
      <c r="CT15"/>
      <c r="CU15"/>
      <c r="CV15"/>
    </row>
    <row r="16" spans="1:100" s="64" customFormat="1" x14ac:dyDescent="0.25">
      <c r="A16" s="63">
        <v>2</v>
      </c>
      <c r="B16" s="63">
        <v>7</v>
      </c>
      <c r="C16" s="63">
        <v>4</v>
      </c>
      <c r="D16" s="63">
        <v>26</v>
      </c>
      <c r="E16" s="63">
        <v>10</v>
      </c>
      <c r="F16" s="63" t="s">
        <v>25</v>
      </c>
      <c r="G16" s="63" t="s">
        <v>28</v>
      </c>
      <c r="H16" s="63">
        <v>207</v>
      </c>
      <c r="I16" s="63" t="str">
        <f>"EVA"&amp;"_"&amp;H16</f>
        <v>EVA_207</v>
      </c>
      <c r="J16" s="66">
        <v>45541</v>
      </c>
      <c r="K16" s="63">
        <v>0.77</v>
      </c>
      <c r="L16" s="65">
        <v>5.3999999999999999E-2</v>
      </c>
      <c r="M16" s="65">
        <v>0.106</v>
      </c>
      <c r="N16" s="65">
        <v>0.13500000000000001</v>
      </c>
      <c r="O16" s="65">
        <v>0.16800000000000001</v>
      </c>
      <c r="P16" s="75">
        <f>1-L16</f>
        <v>0.94599999999999995</v>
      </c>
      <c r="Q16" s="75">
        <f>1-M16</f>
        <v>0.89400000000000002</v>
      </c>
      <c r="R16" s="75">
        <f>1-N16</f>
        <v>0.86499999999999999</v>
      </c>
      <c r="S16" s="75">
        <f>1-O16</f>
        <v>0.83199999999999996</v>
      </c>
      <c r="T16" s="63">
        <v>45.1</v>
      </c>
      <c r="U16" s="63">
        <v>43.6</v>
      </c>
      <c r="V16" s="63">
        <v>31.7</v>
      </c>
      <c r="W16" s="63">
        <v>49.1</v>
      </c>
      <c r="X16" s="63">
        <v>53.5</v>
      </c>
      <c r="Y16" s="63">
        <v>53.2</v>
      </c>
      <c r="Z16" s="63">
        <v>46.7</v>
      </c>
      <c r="AA16" s="63">
        <v>54</v>
      </c>
      <c r="AB16" s="63">
        <v>52.6</v>
      </c>
      <c r="AC16" s="63">
        <v>55.2</v>
      </c>
      <c r="AD16" s="63">
        <v>47.8</v>
      </c>
      <c r="AE16" s="63">
        <v>49.6</v>
      </c>
      <c r="AF16" s="63">
        <v>52.8</v>
      </c>
      <c r="AG16" s="63">
        <v>55.5</v>
      </c>
      <c r="AH16" s="63">
        <v>47.7</v>
      </c>
      <c r="AI16" s="63">
        <v>48.7</v>
      </c>
      <c r="AJ16" s="63">
        <v>52.1</v>
      </c>
      <c r="AK16" s="63">
        <v>51.4</v>
      </c>
      <c r="AL16" s="63">
        <v>47.1</v>
      </c>
      <c r="AM16" s="63">
        <v>48.3</v>
      </c>
      <c r="AN16" s="67">
        <v>53</v>
      </c>
      <c r="AO16" s="63">
        <v>0.5</v>
      </c>
      <c r="AP16" s="63">
        <v>1649.5</v>
      </c>
      <c r="AQ16" s="70">
        <f>AP16/AO16</f>
        <v>3299</v>
      </c>
      <c r="AR16" s="63">
        <v>363</v>
      </c>
      <c r="AS16" s="63">
        <v>50</v>
      </c>
      <c r="AT16" s="63">
        <v>198.4</v>
      </c>
      <c r="AU16" s="63">
        <v>43.8</v>
      </c>
      <c r="AV16" s="63">
        <v>30</v>
      </c>
      <c r="AW16" s="63">
        <v>12.45</v>
      </c>
      <c r="AX16" s="63">
        <v>0.76</v>
      </c>
      <c r="AY16" s="63">
        <v>18.97</v>
      </c>
      <c r="AZ16" s="63">
        <v>4.22</v>
      </c>
      <c r="BA16" s="63">
        <f>SUM(AW16:AZ16)</f>
        <v>36.4</v>
      </c>
      <c r="BB16" s="68">
        <f>AU16/AV16</f>
        <v>1.46</v>
      </c>
      <c r="BC16" s="68">
        <f>AT16/AV16</f>
        <v>6.6133333333333333</v>
      </c>
      <c r="BD16" s="69">
        <f>AU16/AT16</f>
        <v>0.22076612903225803</v>
      </c>
      <c r="BE16" s="70">
        <f>BD16*AP16</f>
        <v>364.15372983870964</v>
      </c>
      <c r="BF16" s="70">
        <f>BE16/AO16</f>
        <v>728.30745967741927</v>
      </c>
      <c r="BG16" s="69">
        <f>AW16/BA16</f>
        <v>0.34203296703296704</v>
      </c>
      <c r="BH16" s="69">
        <f>AX16/BA16</f>
        <v>2.0879120879120881E-2</v>
      </c>
      <c r="BI16" s="69">
        <f>AY16/BA16</f>
        <v>0.52115384615384619</v>
      </c>
      <c r="BJ16" s="69">
        <f>AZ16/BA16</f>
        <v>0.11593406593406594</v>
      </c>
      <c r="BK16" s="70">
        <f>BG16*$BF16</f>
        <v>249.10516134571071</v>
      </c>
      <c r="BL16" s="70">
        <f>BH16*$BF16</f>
        <v>15.206419487770294</v>
      </c>
      <c r="BM16" s="70">
        <f>BI16*$BF16</f>
        <v>379.56023379342429</v>
      </c>
      <c r="BN16" s="70">
        <f>BJ16*$BF16</f>
        <v>84.435645050513997</v>
      </c>
      <c r="BO16" s="73">
        <f>AVERAGE(T16:W16)</f>
        <v>42.375</v>
      </c>
      <c r="BP16" s="73">
        <f>AVERAGE(X16:AA16)</f>
        <v>51.85</v>
      </c>
      <c r="BQ16" s="73">
        <f>AVERAGE(AB16:AE16)</f>
        <v>51.300000000000004</v>
      </c>
      <c r="BR16" s="73">
        <f>AVERAGE(AF16:AI16)</f>
        <v>51.174999999999997</v>
      </c>
      <c r="BS16" s="73">
        <f>AVERAGE(AJ16:AM16)</f>
        <v>49.724999999999994</v>
      </c>
      <c r="BT16" s="145">
        <v>29.424999999999997</v>
      </c>
      <c r="BU16" s="145">
        <v>39.963999999999999</v>
      </c>
      <c r="BV16" s="73">
        <v>19.853999999999999</v>
      </c>
      <c r="BW16" s="73">
        <v>13.784000000000001</v>
      </c>
      <c r="BX16" s="73">
        <v>24.190999999999999</v>
      </c>
      <c r="BY16" s="73">
        <v>147.79999999999998</v>
      </c>
      <c r="BZ16" s="73">
        <v>87.100000000000009</v>
      </c>
      <c r="CA16" s="73">
        <v>84.800000000000011</v>
      </c>
      <c r="CB16" s="73">
        <v>211.70000000000002</v>
      </c>
      <c r="CC16" s="73">
        <v>271.10000000000002</v>
      </c>
      <c r="CD16" s="146">
        <v>-24.5</v>
      </c>
      <c r="CE16" s="146">
        <v>-25.18</v>
      </c>
      <c r="CF16" s="146">
        <v>-24.35</v>
      </c>
      <c r="CG16" s="146">
        <v>-25.06</v>
      </c>
      <c r="CH16" s="146">
        <v>-24.18</v>
      </c>
      <c r="CJ16" s="64" t="s">
        <v>21</v>
      </c>
      <c r="CK16" s="64" t="s">
        <v>22</v>
      </c>
      <c r="CL16" t="s">
        <v>453</v>
      </c>
      <c r="CM16" t="s">
        <v>454</v>
      </c>
      <c r="CN16" t="s">
        <v>455</v>
      </c>
      <c r="CO16" t="s">
        <v>456</v>
      </c>
      <c r="CP16" t="s">
        <v>457</v>
      </c>
      <c r="CQ16"/>
      <c r="CR16"/>
      <c r="CS16"/>
      <c r="CT16"/>
      <c r="CU16"/>
      <c r="CV16"/>
    </row>
    <row r="17" spans="1:101" s="64" customFormat="1" x14ac:dyDescent="0.25">
      <c r="A17" s="63">
        <v>2</v>
      </c>
      <c r="B17" s="63">
        <v>8</v>
      </c>
      <c r="C17" s="63">
        <v>4</v>
      </c>
      <c r="D17" s="63">
        <v>31</v>
      </c>
      <c r="E17" s="63">
        <v>9</v>
      </c>
      <c r="F17" s="63" t="s">
        <v>30</v>
      </c>
      <c r="G17" s="63" t="s">
        <v>29</v>
      </c>
      <c r="H17" s="63">
        <v>208</v>
      </c>
      <c r="I17" s="63" t="str">
        <f>"EVA"&amp;"_"&amp;H17</f>
        <v>EVA_208</v>
      </c>
      <c r="J17" s="66">
        <v>45551</v>
      </c>
      <c r="K17" s="63">
        <v>0.77</v>
      </c>
      <c r="L17" s="65">
        <v>9.7000000000000003E-2</v>
      </c>
      <c r="M17" s="65">
        <v>0.127</v>
      </c>
      <c r="N17" s="65">
        <v>0.26700000000000002</v>
      </c>
      <c r="O17" s="65">
        <v>0.41499999999999998</v>
      </c>
      <c r="P17" s="75">
        <f>1-L17</f>
        <v>0.90300000000000002</v>
      </c>
      <c r="Q17" s="75">
        <f>1-M17</f>
        <v>0.873</v>
      </c>
      <c r="R17" s="75">
        <f>1-N17</f>
        <v>0.73299999999999998</v>
      </c>
      <c r="S17" s="75">
        <f>1-O17</f>
        <v>0.58499999999999996</v>
      </c>
      <c r="T17" s="63">
        <v>43.2</v>
      </c>
      <c r="U17" s="63">
        <v>32.4</v>
      </c>
      <c r="V17" s="63">
        <v>39.4</v>
      </c>
      <c r="W17" s="63">
        <v>42.5</v>
      </c>
      <c r="X17" s="63">
        <v>45.8</v>
      </c>
      <c r="Y17" s="63">
        <v>45.7</v>
      </c>
      <c r="Z17" s="63">
        <v>44.5</v>
      </c>
      <c r="AA17" s="63">
        <v>51.9</v>
      </c>
      <c r="AB17" s="63">
        <v>49.9</v>
      </c>
      <c r="AC17" s="63">
        <v>48.3</v>
      </c>
      <c r="AD17" s="63">
        <v>51.4</v>
      </c>
      <c r="AE17" s="63">
        <v>53.2</v>
      </c>
      <c r="AF17" s="63">
        <v>53.5</v>
      </c>
      <c r="AG17" s="63">
        <v>51.5</v>
      </c>
      <c r="AH17" s="63">
        <v>49.3</v>
      </c>
      <c r="AI17" s="63">
        <v>53.4</v>
      </c>
      <c r="AJ17" s="63">
        <v>46.9</v>
      </c>
      <c r="AK17" s="63">
        <v>49.2</v>
      </c>
      <c r="AL17" s="63">
        <v>47</v>
      </c>
      <c r="AM17" s="63">
        <v>49.5</v>
      </c>
      <c r="AN17" s="63">
        <v>58</v>
      </c>
      <c r="AO17" s="67">
        <v>0.5</v>
      </c>
      <c r="AP17" s="63">
        <v>1345.4</v>
      </c>
      <c r="AQ17" s="70">
        <f>AP17/AO17</f>
        <v>2690.8</v>
      </c>
      <c r="AR17" s="63">
        <v>303.2</v>
      </c>
      <c r="AS17" s="63">
        <v>50</v>
      </c>
      <c r="AT17" s="63">
        <v>186.7</v>
      </c>
      <c r="AU17" s="63">
        <v>39.159999999999997</v>
      </c>
      <c r="AV17" s="63">
        <v>30</v>
      </c>
      <c r="AW17" s="63">
        <v>9.81</v>
      </c>
      <c r="AX17" s="63">
        <v>0.5</v>
      </c>
      <c r="AY17" s="63">
        <v>12.28</v>
      </c>
      <c r="AZ17" s="63">
        <v>0.8</v>
      </c>
      <c r="BA17" s="63">
        <f>SUM(AW17:AZ17)</f>
        <v>23.39</v>
      </c>
      <c r="BB17" s="68">
        <f>AV17/AW17</f>
        <v>3.0581039755351682</v>
      </c>
      <c r="BC17" s="68">
        <f>AU17/AW17</f>
        <v>3.9918450560652392</v>
      </c>
      <c r="BD17" s="69">
        <f>AU17/AT17</f>
        <v>0.20974825923942153</v>
      </c>
      <c r="BE17" s="70">
        <f>BD17*AP17</f>
        <v>282.19530798071776</v>
      </c>
      <c r="BF17" s="70">
        <f>BE17/AO17</f>
        <v>564.39061596143551</v>
      </c>
      <c r="BG17" s="69">
        <f>AW17/BA17</f>
        <v>0.41941000427533137</v>
      </c>
      <c r="BH17" s="69">
        <f>AX17/BA17</f>
        <v>2.1376656690893545E-2</v>
      </c>
      <c r="BI17" s="69">
        <f>AY17/BA17</f>
        <v>0.52501068832834541</v>
      </c>
      <c r="BJ17" s="69">
        <f>AZ17/BA17</f>
        <v>3.4202650705429674E-2</v>
      </c>
      <c r="BK17" s="70">
        <f>BG17*$BF17</f>
        <v>236.71107065334257</v>
      </c>
      <c r="BL17" s="70">
        <f>BH17*$BF17</f>
        <v>12.06478443696955</v>
      </c>
      <c r="BM17" s="70">
        <f>BI17*$BF17</f>
        <v>296.31110577197211</v>
      </c>
      <c r="BN17" s="70">
        <f>BJ17*$BF17</f>
        <v>19.303655099151282</v>
      </c>
      <c r="BO17" s="73">
        <f>AVERAGE(T17:W17)</f>
        <v>39.375</v>
      </c>
      <c r="BP17" s="73">
        <f>AVERAGE(X17:AA17)</f>
        <v>46.975000000000001</v>
      </c>
      <c r="BQ17" s="73">
        <f>AVERAGE(AB17:AE17)</f>
        <v>50.7</v>
      </c>
      <c r="BR17" s="73">
        <f>AVERAGE(AF17:AI17)</f>
        <v>51.925000000000004</v>
      </c>
      <c r="BS17" s="73">
        <f>AVERAGE(AJ17:AM17)</f>
        <v>48.15</v>
      </c>
      <c r="BT17" s="145">
        <v>33.650000000000006</v>
      </c>
      <c r="BU17" s="145">
        <v>49.696999999999996</v>
      </c>
      <c r="BV17" s="73">
        <v>27.919999999999998</v>
      </c>
      <c r="BW17" s="73">
        <v>21.451999999999998</v>
      </c>
      <c r="BX17" s="73">
        <v>26.543999999999997</v>
      </c>
      <c r="BY17" s="73">
        <v>157.79999999999998</v>
      </c>
      <c r="BZ17" s="73">
        <v>65</v>
      </c>
      <c r="CA17" s="73">
        <v>55.599999999999994</v>
      </c>
      <c r="CB17" s="73">
        <v>173.79999999999998</v>
      </c>
      <c r="CC17" s="73">
        <v>294.5</v>
      </c>
      <c r="CD17" s="146">
        <v>-24.75</v>
      </c>
      <c r="CE17" s="146">
        <v>-25.16</v>
      </c>
      <c r="CF17" s="146">
        <v>-24.79</v>
      </c>
      <c r="CG17" s="146">
        <v>-25.19</v>
      </c>
      <c r="CH17" s="146">
        <v>-23.77</v>
      </c>
      <c r="CJ17" s="73" t="s">
        <v>25</v>
      </c>
      <c r="CK17" s="73" t="s">
        <v>26</v>
      </c>
      <c r="CL17" s="72">
        <v>0.93674999999999997</v>
      </c>
      <c r="CM17" s="73">
        <v>0.89249999999999996</v>
      </c>
      <c r="CN17" s="73">
        <v>0.82225000000000004</v>
      </c>
      <c r="CO17" s="73">
        <v>0.72199999999999998</v>
      </c>
      <c r="CP17" s="73">
        <v>3947.35</v>
      </c>
      <c r="CQ17"/>
      <c r="CR17"/>
      <c r="CS17"/>
      <c r="CT17"/>
      <c r="CU17"/>
      <c r="CV17"/>
    </row>
    <row r="18" spans="1:101" s="64" customFormat="1" x14ac:dyDescent="0.25">
      <c r="A18" s="63">
        <v>3</v>
      </c>
      <c r="B18" s="63">
        <v>1</v>
      </c>
      <c r="C18" s="63">
        <v>1</v>
      </c>
      <c r="D18" s="63">
        <v>3</v>
      </c>
      <c r="E18" s="63">
        <v>17</v>
      </c>
      <c r="F18" s="63" t="s">
        <v>25</v>
      </c>
      <c r="G18" s="63" t="s">
        <v>28</v>
      </c>
      <c r="H18" s="63">
        <v>301</v>
      </c>
      <c r="I18" s="63" t="str">
        <f>"EVA"&amp;"_"&amp;H18</f>
        <v>EVA_301</v>
      </c>
      <c r="J18" s="66">
        <v>45541</v>
      </c>
      <c r="K18" s="63">
        <v>0.78</v>
      </c>
      <c r="L18" s="65">
        <v>9.7000000000000003E-2</v>
      </c>
      <c r="M18" s="65">
        <v>8.8999999999999996E-2</v>
      </c>
      <c r="N18" s="65">
        <v>0.17</v>
      </c>
      <c r="O18" s="65">
        <v>0.249</v>
      </c>
      <c r="P18" s="75">
        <f>1-L18</f>
        <v>0.90300000000000002</v>
      </c>
      <c r="Q18" s="75">
        <f>1-M18</f>
        <v>0.91100000000000003</v>
      </c>
      <c r="R18" s="75">
        <f>1-N18</f>
        <v>0.83</v>
      </c>
      <c r="S18" s="75">
        <f>1-O18</f>
        <v>0.751</v>
      </c>
      <c r="T18" s="63">
        <v>9.8000000000000007</v>
      </c>
      <c r="U18" s="63">
        <v>16.600000000000001</v>
      </c>
      <c r="V18" s="63">
        <v>2.9</v>
      </c>
      <c r="W18" s="63">
        <v>49.8</v>
      </c>
      <c r="X18" s="63">
        <v>50.4</v>
      </c>
      <c r="Y18" s="63">
        <v>51.5</v>
      </c>
      <c r="Z18" s="63">
        <v>27.1</v>
      </c>
      <c r="AA18" s="63">
        <v>53.4</v>
      </c>
      <c r="AB18" s="63">
        <v>52.5</v>
      </c>
      <c r="AC18" s="63">
        <v>50.9</v>
      </c>
      <c r="AD18" s="63">
        <v>50</v>
      </c>
      <c r="AE18" s="63">
        <v>50.7</v>
      </c>
      <c r="AF18" s="63">
        <v>47.7</v>
      </c>
      <c r="AG18" s="63">
        <v>48.1</v>
      </c>
      <c r="AH18" s="63">
        <v>45.8</v>
      </c>
      <c r="AI18" s="63">
        <v>48.9</v>
      </c>
      <c r="AJ18" s="63">
        <v>50.9</v>
      </c>
      <c r="AK18" s="63">
        <v>44.6</v>
      </c>
      <c r="AL18" s="63">
        <v>46.7</v>
      </c>
      <c r="AM18" s="63">
        <v>49.9</v>
      </c>
      <c r="AN18" s="67">
        <v>58</v>
      </c>
      <c r="AO18" s="63">
        <v>0.5</v>
      </c>
      <c r="AP18" s="63">
        <v>1359.5</v>
      </c>
      <c r="AQ18" s="70">
        <f>AP18/AO18</f>
        <v>2719</v>
      </c>
      <c r="AR18" s="63">
        <v>318.10000000000002</v>
      </c>
      <c r="AS18" s="63">
        <v>50</v>
      </c>
      <c r="AT18" s="63">
        <v>188.7</v>
      </c>
      <c r="AU18" s="63">
        <v>40.5</v>
      </c>
      <c r="AV18" s="63">
        <v>30</v>
      </c>
      <c r="AW18" s="63">
        <v>10.68</v>
      </c>
      <c r="AX18" s="63">
        <v>0.95</v>
      </c>
      <c r="AY18" s="63">
        <v>14.14</v>
      </c>
      <c r="AZ18" s="63">
        <v>2.37</v>
      </c>
      <c r="BA18" s="63">
        <f>SUM(AW18:AZ18)</f>
        <v>28.14</v>
      </c>
      <c r="BB18" s="68">
        <f>AU18/AV18</f>
        <v>1.35</v>
      </c>
      <c r="BC18" s="68">
        <f>AT18/AV18</f>
        <v>6.29</v>
      </c>
      <c r="BD18" s="69">
        <f>AU18/AT18</f>
        <v>0.21462639109697934</v>
      </c>
      <c r="BE18" s="70">
        <f>BD18*AP18</f>
        <v>291.78457869634343</v>
      </c>
      <c r="BF18" s="70">
        <f>BE18/AO18</f>
        <v>583.56915739268686</v>
      </c>
      <c r="BG18" s="69">
        <f>AW18/BA18</f>
        <v>0.37953091684434964</v>
      </c>
      <c r="BH18" s="69">
        <f>AX18/BA18</f>
        <v>3.375977256574271E-2</v>
      </c>
      <c r="BI18" s="69">
        <f>AY18/BA18</f>
        <v>0.50248756218905477</v>
      </c>
      <c r="BJ18" s="69">
        <f>AZ18/BA18</f>
        <v>8.4221748400852878E-2</v>
      </c>
      <c r="BK18" s="70">
        <f>BG18*$BF18</f>
        <v>221.48253734733103</v>
      </c>
      <c r="BL18" s="70">
        <f>BH18*$BF18</f>
        <v>19.701162029959221</v>
      </c>
      <c r="BM18" s="70">
        <f>BI18*$BF18</f>
        <v>293.23624326697205</v>
      </c>
      <c r="BN18" s="70">
        <f>BJ18*$BF18</f>
        <v>49.149214748424583</v>
      </c>
      <c r="BO18" s="73">
        <f>AVERAGE(T18:W18)</f>
        <v>19.774999999999999</v>
      </c>
      <c r="BP18" s="73">
        <f>AVERAGE(X18:AA18)</f>
        <v>45.6</v>
      </c>
      <c r="BQ18" s="73">
        <f>AVERAGE(AB18:AE18)</f>
        <v>51.025000000000006</v>
      </c>
      <c r="BR18" s="73">
        <f>AVERAGE(AF18:AI18)</f>
        <v>47.625000000000007</v>
      </c>
      <c r="BS18" s="73">
        <f>AVERAGE(AJ18:AM18)</f>
        <v>48.024999999999999</v>
      </c>
      <c r="BT18" s="145">
        <v>26.856000000000002</v>
      </c>
      <c r="BU18" s="145">
        <v>38.558</v>
      </c>
      <c r="BV18" s="73">
        <v>27.670999999999999</v>
      </c>
      <c r="BW18" s="73">
        <v>15.812999999999999</v>
      </c>
      <c r="BX18" s="73">
        <v>27.623000000000001</v>
      </c>
      <c r="BY18" s="73">
        <v>135.69999999999999</v>
      </c>
      <c r="BZ18" s="73">
        <v>86.6</v>
      </c>
      <c r="CA18" s="73">
        <v>64.2</v>
      </c>
      <c r="CB18" s="73">
        <v>184.4</v>
      </c>
      <c r="CC18" s="73">
        <v>259</v>
      </c>
      <c r="CD18" s="146">
        <v>-24.85</v>
      </c>
      <c r="CE18" s="146">
        <v>-25.28</v>
      </c>
      <c r="CF18" s="146">
        <v>-24.73</v>
      </c>
      <c r="CG18" s="146">
        <v>-25.05</v>
      </c>
      <c r="CH18" s="146">
        <v>-24.05</v>
      </c>
      <c r="CJ18" s="73"/>
      <c r="CK18" s="73" t="s">
        <v>27</v>
      </c>
      <c r="CL18" s="72">
        <v>0.95899999999999996</v>
      </c>
      <c r="CM18" s="73">
        <v>0.92749999999999999</v>
      </c>
      <c r="CN18" s="73">
        <v>0.86875000000000002</v>
      </c>
      <c r="CO18" s="73">
        <v>0.82099999999999995</v>
      </c>
      <c r="CP18" s="73">
        <v>3028.25</v>
      </c>
      <c r="CQ18"/>
      <c r="CR18"/>
      <c r="CS18"/>
      <c r="CT18"/>
      <c r="CU18"/>
      <c r="CV18"/>
    </row>
    <row r="19" spans="1:101" s="64" customFormat="1" x14ac:dyDescent="0.25">
      <c r="A19" s="63">
        <v>3</v>
      </c>
      <c r="B19" s="63">
        <v>2</v>
      </c>
      <c r="C19" s="63">
        <v>1</v>
      </c>
      <c r="D19" s="63">
        <v>6</v>
      </c>
      <c r="E19" s="63">
        <v>18</v>
      </c>
      <c r="F19" s="63" t="s">
        <v>30</v>
      </c>
      <c r="G19" s="63" t="s">
        <v>29</v>
      </c>
      <c r="H19" s="63">
        <v>302</v>
      </c>
      <c r="I19" s="63" t="str">
        <f>"EVA"&amp;"_"&amp;H19</f>
        <v>EVA_302</v>
      </c>
      <c r="J19" s="66">
        <v>45551</v>
      </c>
      <c r="K19" s="63">
        <v>0.79</v>
      </c>
      <c r="L19" s="65">
        <v>6.3E-2</v>
      </c>
      <c r="M19" s="65">
        <v>0.17399999999999999</v>
      </c>
      <c r="N19" s="65">
        <v>0.222</v>
      </c>
      <c r="O19" s="65">
        <v>0.47899999999999998</v>
      </c>
      <c r="P19" s="75">
        <f>1-L19</f>
        <v>0.93700000000000006</v>
      </c>
      <c r="Q19" s="75">
        <f>1-M19</f>
        <v>0.82600000000000007</v>
      </c>
      <c r="R19" s="75">
        <f>1-N19</f>
        <v>0.77800000000000002</v>
      </c>
      <c r="S19" s="75">
        <f>1-O19</f>
        <v>0.52100000000000002</v>
      </c>
      <c r="T19" s="63">
        <v>44.8</v>
      </c>
      <c r="U19" s="63">
        <v>38.6</v>
      </c>
      <c r="V19" s="63">
        <v>27.1</v>
      </c>
      <c r="W19" s="63">
        <v>36.299999999999997</v>
      </c>
      <c r="X19" s="63">
        <v>46.7</v>
      </c>
      <c r="Y19" s="63">
        <v>48.1</v>
      </c>
      <c r="Z19" s="63">
        <v>46.4</v>
      </c>
      <c r="AA19" s="63">
        <v>44.4</v>
      </c>
      <c r="AB19" s="63">
        <v>49.9</v>
      </c>
      <c r="AC19" s="63">
        <v>48.1</v>
      </c>
      <c r="AD19" s="63">
        <v>50.7</v>
      </c>
      <c r="AE19" s="63">
        <v>43.6</v>
      </c>
      <c r="AF19" s="63">
        <v>50.3</v>
      </c>
      <c r="AG19" s="63">
        <v>48</v>
      </c>
      <c r="AH19" s="63">
        <v>50.7</v>
      </c>
      <c r="AI19" s="63">
        <v>53.2</v>
      </c>
      <c r="AJ19" s="63">
        <v>47.3</v>
      </c>
      <c r="AK19" s="63">
        <v>43.3</v>
      </c>
      <c r="AL19" s="63">
        <v>45.6</v>
      </c>
      <c r="AM19" s="63">
        <v>50</v>
      </c>
      <c r="AN19" s="67">
        <v>58</v>
      </c>
      <c r="AO19" s="63">
        <v>0.5</v>
      </c>
      <c r="AP19" s="63">
        <v>1146.5999999999999</v>
      </c>
      <c r="AQ19" s="70">
        <f>AP19/AO19</f>
        <v>2293.1999999999998</v>
      </c>
      <c r="AR19" s="63">
        <v>284.10000000000002</v>
      </c>
      <c r="AS19" s="63">
        <v>50</v>
      </c>
      <c r="AT19" s="63">
        <v>167.8</v>
      </c>
      <c r="AU19" s="63">
        <v>37.79</v>
      </c>
      <c r="AV19" s="63">
        <v>30</v>
      </c>
      <c r="AW19" s="63">
        <v>9.2799999999999994</v>
      </c>
      <c r="AX19" s="63">
        <v>0.82</v>
      </c>
      <c r="AY19" s="63">
        <v>13.67</v>
      </c>
      <c r="AZ19" s="63">
        <v>1.18</v>
      </c>
      <c r="BA19" s="63">
        <f>SUM(AW19:AZ19)</f>
        <v>24.95</v>
      </c>
      <c r="BB19" s="68">
        <f>AU19/AV19</f>
        <v>1.2596666666666667</v>
      </c>
      <c r="BC19" s="68">
        <f>AT19/AV19</f>
        <v>5.5933333333333337</v>
      </c>
      <c r="BD19" s="69">
        <f>AU19/AT19</f>
        <v>0.22520858164481525</v>
      </c>
      <c r="BE19" s="70">
        <f>BD19*AP19</f>
        <v>258.22415971394514</v>
      </c>
      <c r="BF19" s="70">
        <f>BE19/AO19</f>
        <v>516.44831942789028</v>
      </c>
      <c r="BG19" s="69">
        <f>AW19/BA19</f>
        <v>0.3719438877755511</v>
      </c>
      <c r="BH19" s="69">
        <f>AX19/BA19</f>
        <v>3.2865731462925853E-2</v>
      </c>
      <c r="BI19" s="69">
        <f>AY19/BA19</f>
        <v>0.54789579158316637</v>
      </c>
      <c r="BJ19" s="69">
        <f>AZ19/BA19</f>
        <v>4.7294589178356709E-2</v>
      </c>
      <c r="BK19" s="70">
        <f>BG19*$BF19</f>
        <v>192.0897957631592</v>
      </c>
      <c r="BL19" s="70">
        <f>BH19*$BF19</f>
        <v>16.973451780796395</v>
      </c>
      <c r="BM19" s="70">
        <f>BI19*$BF19</f>
        <v>282.95986078473993</v>
      </c>
      <c r="BN19" s="70">
        <f>BJ19*$BF19</f>
        <v>24.425211099194808</v>
      </c>
      <c r="BO19" s="73">
        <f>AVERAGE(T19:W19)</f>
        <v>36.700000000000003</v>
      </c>
      <c r="BP19" s="73">
        <f>AVERAGE(X19:AA19)</f>
        <v>46.400000000000006</v>
      </c>
      <c r="BQ19" s="73">
        <f>AVERAGE(AB19:AE19)</f>
        <v>48.074999999999996</v>
      </c>
      <c r="BR19" s="73">
        <f>AVERAGE(AF19:AI19)</f>
        <v>50.55</v>
      </c>
      <c r="BS19" s="73">
        <f>AVERAGE(AJ19:AM19)</f>
        <v>46.55</v>
      </c>
      <c r="BT19" s="145">
        <v>29.613999999999997</v>
      </c>
      <c r="BU19" s="145">
        <v>46.433</v>
      </c>
      <c r="BV19" s="73">
        <v>15.014000000000001</v>
      </c>
      <c r="BW19" s="73">
        <v>16.924999999999997</v>
      </c>
      <c r="BX19" s="73">
        <v>27.507000000000001</v>
      </c>
      <c r="BY19" s="73">
        <v>163.70000000000002</v>
      </c>
      <c r="BZ19" s="73">
        <v>72.8</v>
      </c>
      <c r="CA19" s="73">
        <v>82.699999999999989</v>
      </c>
      <c r="CB19" s="73">
        <v>192.60000000000002</v>
      </c>
      <c r="CC19" s="73">
        <v>294.10000000000002</v>
      </c>
      <c r="CD19" s="146">
        <v>-24.5</v>
      </c>
      <c r="CE19" s="146">
        <v>-24.84</v>
      </c>
      <c r="CF19" s="146">
        <v>-24.28</v>
      </c>
      <c r="CG19" s="146">
        <v>-25.02</v>
      </c>
      <c r="CH19" s="146">
        <v>-23.64</v>
      </c>
      <c r="CJ19" s="73"/>
      <c r="CK19" s="73" t="s">
        <v>28</v>
      </c>
      <c r="CL19" s="72">
        <v>0.94425000000000003</v>
      </c>
      <c r="CM19" s="73">
        <v>0.91525000000000001</v>
      </c>
      <c r="CN19" s="73">
        <v>0.86899999999999999</v>
      </c>
      <c r="CO19" s="73">
        <v>0.78474999999999995</v>
      </c>
      <c r="CP19" s="73">
        <v>2964.95</v>
      </c>
      <c r="CQ19"/>
      <c r="CR19"/>
      <c r="CS19"/>
      <c r="CT19"/>
      <c r="CU19"/>
      <c r="CV19"/>
    </row>
    <row r="20" spans="1:101" s="64" customFormat="1" x14ac:dyDescent="0.25">
      <c r="A20" s="122">
        <v>3</v>
      </c>
      <c r="B20" s="122">
        <v>3</v>
      </c>
      <c r="C20" s="122">
        <v>2</v>
      </c>
      <c r="D20" s="122">
        <v>11</v>
      </c>
      <c r="E20" s="122">
        <v>19</v>
      </c>
      <c r="F20" s="122" t="s">
        <v>25</v>
      </c>
      <c r="G20" s="122" t="s">
        <v>26</v>
      </c>
      <c r="H20" s="122">
        <v>303</v>
      </c>
      <c r="I20" s="122" t="str">
        <f>"EVA"&amp;"_"&amp;H20</f>
        <v>EVA_303</v>
      </c>
      <c r="J20" s="127">
        <v>45559</v>
      </c>
      <c r="K20" s="122">
        <v>0.75</v>
      </c>
      <c r="L20" s="128">
        <v>9.7000000000000003E-2</v>
      </c>
      <c r="M20" s="128">
        <v>0.17899999999999999</v>
      </c>
      <c r="N20" s="128">
        <v>0.27500000000000002</v>
      </c>
      <c r="O20" s="128">
        <v>0.443</v>
      </c>
      <c r="P20" s="129">
        <f>1-L20</f>
        <v>0.90300000000000002</v>
      </c>
      <c r="Q20" s="129">
        <f>1-M20</f>
        <v>0.82099999999999995</v>
      </c>
      <c r="R20" s="129">
        <f>1-N20</f>
        <v>0.72499999999999998</v>
      </c>
      <c r="S20" s="129">
        <f>1-O20</f>
        <v>0.55699999999999994</v>
      </c>
      <c r="T20" s="122">
        <v>28.8</v>
      </c>
      <c r="U20" s="122">
        <v>23.9</v>
      </c>
      <c r="V20" s="122">
        <v>43.4</v>
      </c>
      <c r="W20" s="122">
        <v>49.7</v>
      </c>
      <c r="X20" s="122">
        <v>49.9</v>
      </c>
      <c r="Y20" s="122">
        <v>40.4</v>
      </c>
      <c r="Z20" s="122">
        <v>51.6</v>
      </c>
      <c r="AA20" s="122">
        <v>56</v>
      </c>
      <c r="AB20" s="122">
        <v>51.9</v>
      </c>
      <c r="AC20" s="122">
        <v>50.2</v>
      </c>
      <c r="AD20" s="122">
        <v>47.8</v>
      </c>
      <c r="AE20" s="122">
        <v>51.6</v>
      </c>
      <c r="AF20" s="122">
        <v>55.9</v>
      </c>
      <c r="AG20" s="122">
        <v>49</v>
      </c>
      <c r="AH20" s="122">
        <v>53.9</v>
      </c>
      <c r="AI20" s="122">
        <v>50.1</v>
      </c>
      <c r="AJ20" s="122">
        <v>52.8</v>
      </c>
      <c r="AK20" s="122">
        <v>51.5</v>
      </c>
      <c r="AL20" s="122">
        <v>46.4</v>
      </c>
      <c r="AM20" s="122">
        <v>47.7</v>
      </c>
      <c r="AN20" s="122">
        <v>69</v>
      </c>
      <c r="AO20" s="122">
        <v>0.5</v>
      </c>
      <c r="AP20" s="122">
        <v>1582.4</v>
      </c>
      <c r="AQ20" s="130">
        <f>AP20/AO20</f>
        <v>3164.8</v>
      </c>
      <c r="AR20" s="122">
        <v>289.7</v>
      </c>
      <c r="AS20" s="122">
        <v>50</v>
      </c>
      <c r="AT20" s="122">
        <v>172.4</v>
      </c>
      <c r="AU20" s="122">
        <v>40.799999999999997</v>
      </c>
      <c r="AV20" s="122">
        <v>30</v>
      </c>
      <c r="AW20" s="122">
        <v>7.25</v>
      </c>
      <c r="AX20" s="122">
        <v>2.3199999999999998</v>
      </c>
      <c r="AY20" s="122">
        <v>16.46</v>
      </c>
      <c r="AZ20" s="122">
        <v>1.51</v>
      </c>
      <c r="BA20" s="122">
        <f>SUM(AW20:AZ20)</f>
        <v>27.540000000000003</v>
      </c>
      <c r="BB20" s="131">
        <f>AU20/AV20</f>
        <v>1.3599999999999999</v>
      </c>
      <c r="BC20" s="131">
        <f>AT20/AV20</f>
        <v>5.746666666666667</v>
      </c>
      <c r="BD20" s="132">
        <f>AU20/AT20</f>
        <v>0.23665893271461713</v>
      </c>
      <c r="BE20" s="130">
        <f>BD20*AP20</f>
        <v>374.4890951276102</v>
      </c>
      <c r="BF20" s="130">
        <f>BE20/AO20</f>
        <v>748.9781902552204</v>
      </c>
      <c r="BG20" s="132">
        <f>AW20/BA20</f>
        <v>0.26325344952795932</v>
      </c>
      <c r="BH20" s="132">
        <f>AX20/BA20</f>
        <v>8.4241103848946966E-2</v>
      </c>
      <c r="BI20" s="132">
        <f>AY20/BA20</f>
        <v>0.59767610748002897</v>
      </c>
      <c r="BJ20" s="132">
        <f>AZ20/BA20</f>
        <v>5.4829339143064627E-2</v>
      </c>
      <c r="BK20" s="130">
        <f>BG20*$BF20</f>
        <v>197.17109220589498</v>
      </c>
      <c r="BL20" s="130">
        <f>BH20*$BF20</f>
        <v>63.094749505886377</v>
      </c>
      <c r="BM20" s="130">
        <f>BI20*$BF20</f>
        <v>447.64636933917672</v>
      </c>
      <c r="BN20" s="130">
        <f>BJ20*$BF20</f>
        <v>41.065979204262263</v>
      </c>
      <c r="BO20" s="133">
        <f>AVERAGE(T20:W20)</f>
        <v>36.450000000000003</v>
      </c>
      <c r="BP20" s="133">
        <f>AVERAGE(X20:AA20)</f>
        <v>49.475000000000001</v>
      </c>
      <c r="BQ20" s="133">
        <f>AVERAGE(AB20:AE20)</f>
        <v>50.374999999999993</v>
      </c>
      <c r="BR20" s="133">
        <f>AVERAGE(AF20:AI20)</f>
        <v>52.225000000000001</v>
      </c>
      <c r="BS20" s="133">
        <f>AVERAGE(AJ20:AM20)</f>
        <v>49.599999999999994</v>
      </c>
      <c r="BT20" s="145">
        <v>20.013000000000002</v>
      </c>
      <c r="BU20" s="145">
        <v>34.384</v>
      </c>
      <c r="BV20" s="133">
        <v>16.602</v>
      </c>
      <c r="BW20" s="133">
        <v>10.927</v>
      </c>
      <c r="BX20" s="133">
        <v>28.218</v>
      </c>
      <c r="BY20" s="133">
        <v>194</v>
      </c>
      <c r="BZ20" s="133">
        <v>103.10000000000001</v>
      </c>
      <c r="CA20" s="133">
        <v>80.600000000000009</v>
      </c>
      <c r="CB20" s="133">
        <v>238.6</v>
      </c>
      <c r="CC20" s="133">
        <v>281.2</v>
      </c>
      <c r="CD20" s="146">
        <v>-23.96</v>
      </c>
      <c r="CE20" s="146">
        <v>-24.35</v>
      </c>
      <c r="CF20" s="146">
        <v>-24.23</v>
      </c>
      <c r="CG20" s="146">
        <v>-24.75</v>
      </c>
      <c r="CH20" s="146">
        <v>-23.62</v>
      </c>
      <c r="CI20" s="134"/>
      <c r="CJ20" s="73"/>
      <c r="CK20" s="73" t="s">
        <v>29</v>
      </c>
      <c r="CL20" s="72">
        <v>0.93825000000000003</v>
      </c>
      <c r="CM20" s="73">
        <v>0.89174999999999993</v>
      </c>
      <c r="CN20" s="73">
        <v>0.85075000000000012</v>
      </c>
      <c r="CO20" s="73">
        <v>0.76224999999999998</v>
      </c>
      <c r="CP20" s="73">
        <v>3471.0666666666671</v>
      </c>
      <c r="CQ20"/>
      <c r="CR20"/>
      <c r="CS20"/>
      <c r="CT20"/>
      <c r="CU20"/>
      <c r="CV20"/>
    </row>
    <row r="21" spans="1:101" s="64" customFormat="1" x14ac:dyDescent="0.25">
      <c r="A21" s="63">
        <v>3</v>
      </c>
      <c r="B21" s="63">
        <v>4</v>
      </c>
      <c r="C21" s="63">
        <v>2</v>
      </c>
      <c r="D21" s="63">
        <v>14</v>
      </c>
      <c r="E21" s="63">
        <v>20</v>
      </c>
      <c r="F21" s="63" t="s">
        <v>30</v>
      </c>
      <c r="G21" s="63" t="s">
        <v>31</v>
      </c>
      <c r="H21" s="63">
        <v>304</v>
      </c>
      <c r="I21" s="63" t="str">
        <f>"EVA"&amp;"_"&amp;H21</f>
        <v>EVA_304</v>
      </c>
      <c r="J21" s="66">
        <v>45548</v>
      </c>
      <c r="K21" s="63">
        <v>0.82</v>
      </c>
      <c r="L21" s="65">
        <v>1.9E-2</v>
      </c>
      <c r="M21" s="65">
        <v>4.8000000000000001E-2</v>
      </c>
      <c r="N21" s="65">
        <v>0.10299999999999999</v>
      </c>
      <c r="O21" s="65">
        <v>0.184</v>
      </c>
      <c r="P21" s="75">
        <f>1-L21</f>
        <v>0.98099999999999998</v>
      </c>
      <c r="Q21" s="75">
        <f>1-M21</f>
        <v>0.95199999999999996</v>
      </c>
      <c r="R21" s="75">
        <f>1-N21</f>
        <v>0.89700000000000002</v>
      </c>
      <c r="S21" s="75">
        <f>1-O21</f>
        <v>0.81600000000000006</v>
      </c>
      <c r="T21" s="63">
        <v>1.4</v>
      </c>
      <c r="U21" s="63">
        <v>29.3</v>
      </c>
      <c r="V21" s="63">
        <v>12.3</v>
      </c>
      <c r="W21" s="63">
        <v>13.5</v>
      </c>
      <c r="X21" s="63">
        <v>47.1</v>
      </c>
      <c r="Y21" s="63">
        <v>44.5</v>
      </c>
      <c r="Z21" s="63">
        <v>51.3</v>
      </c>
      <c r="AA21" s="63">
        <v>40.799999999999997</v>
      </c>
      <c r="AB21" s="63">
        <v>46.7</v>
      </c>
      <c r="AC21" s="63">
        <v>46.8</v>
      </c>
      <c r="AD21" s="63">
        <v>53.9</v>
      </c>
      <c r="AE21" s="63">
        <v>45.9</v>
      </c>
      <c r="AF21" s="63">
        <v>47.4</v>
      </c>
      <c r="AG21" s="63">
        <v>55.1</v>
      </c>
      <c r="AH21" s="63">
        <v>45.8</v>
      </c>
      <c r="AI21" s="63">
        <v>49.9</v>
      </c>
      <c r="AJ21" s="63">
        <v>49.6</v>
      </c>
      <c r="AK21" s="63">
        <v>46</v>
      </c>
      <c r="AL21" s="63">
        <v>47.3</v>
      </c>
      <c r="AM21" s="63">
        <v>46.6</v>
      </c>
      <c r="AN21" s="67">
        <v>69</v>
      </c>
      <c r="AO21" s="63">
        <v>0.5</v>
      </c>
      <c r="AP21" s="63">
        <v>1455.7</v>
      </c>
      <c r="AQ21" s="70">
        <f>AP21/AO21</f>
        <v>2911.4</v>
      </c>
      <c r="AR21" s="63">
        <v>392.1</v>
      </c>
      <c r="AS21" s="63">
        <v>50</v>
      </c>
      <c r="AT21" s="63">
        <v>232.9</v>
      </c>
      <c r="AU21" s="63">
        <v>48.86</v>
      </c>
      <c r="AV21" s="63">
        <v>30</v>
      </c>
      <c r="AW21" s="63">
        <v>10.66</v>
      </c>
      <c r="AX21" s="63">
        <v>0.3</v>
      </c>
      <c r="AY21" s="63">
        <v>18.8</v>
      </c>
      <c r="AZ21" s="63">
        <v>1.62</v>
      </c>
      <c r="BA21" s="63">
        <f>SUM(AW21:AZ21)</f>
        <v>31.380000000000003</v>
      </c>
      <c r="BB21" s="68">
        <f>AU21/AV21</f>
        <v>1.6286666666666667</v>
      </c>
      <c r="BC21" s="68">
        <f>AT21/AV21</f>
        <v>7.7633333333333336</v>
      </c>
      <c r="BD21" s="69">
        <f>AU21/AT21</f>
        <v>0.20978960927436668</v>
      </c>
      <c r="BE21" s="70">
        <f>BD21*AP21</f>
        <v>305.39073422069561</v>
      </c>
      <c r="BF21" s="70">
        <f>BE21/AO21</f>
        <v>610.78146844139121</v>
      </c>
      <c r="BG21" s="69">
        <f>AW21/BA21</f>
        <v>0.33970681963033778</v>
      </c>
      <c r="BH21" s="69">
        <f>AX21/BA21</f>
        <v>9.5602294455066905E-3</v>
      </c>
      <c r="BI21" s="69">
        <f>AY21/BA21</f>
        <v>0.59910771191841938</v>
      </c>
      <c r="BJ21" s="69">
        <f>AZ21/BA21</f>
        <v>5.1625239005736137E-2</v>
      </c>
      <c r="BK21" s="70">
        <f>BG21*$BF21</f>
        <v>207.48663013337253</v>
      </c>
      <c r="BL21" s="70">
        <f>BH21*$BF21</f>
        <v>5.8392109793632034</v>
      </c>
      <c r="BM21" s="70">
        <f>BI21*$BF21</f>
        <v>365.92388804009414</v>
      </c>
      <c r="BN21" s="70">
        <f>BJ21*$BF21</f>
        <v>31.531739288561305</v>
      </c>
      <c r="BO21" s="73">
        <f>AVERAGE(T21:W21)</f>
        <v>14.125</v>
      </c>
      <c r="BP21" s="73">
        <f>AVERAGE(X21:AA21)</f>
        <v>45.924999999999997</v>
      </c>
      <c r="BQ21" s="73">
        <f>AVERAGE(AB21:AE21)</f>
        <v>48.325000000000003</v>
      </c>
      <c r="BR21" s="73">
        <f>AVERAGE(AF21:AI21)</f>
        <v>49.550000000000004</v>
      </c>
      <c r="BS21" s="73">
        <f>AVERAGE(AJ21:AM21)</f>
        <v>47.374999999999993</v>
      </c>
      <c r="BT21" s="145">
        <v>20.603999999999999</v>
      </c>
      <c r="BU21" s="145">
        <v>34.350999999999999</v>
      </c>
      <c r="BV21" s="73">
        <v>18.844000000000001</v>
      </c>
      <c r="BW21" s="73">
        <v>13.924000000000001</v>
      </c>
      <c r="BX21" s="73">
        <v>28.046000000000003</v>
      </c>
      <c r="BY21" s="73">
        <v>177.10000000000002</v>
      </c>
      <c r="BZ21" s="73">
        <v>80.7</v>
      </c>
      <c r="CA21" s="73">
        <v>91.899999999999991</v>
      </c>
      <c r="CB21" s="73">
        <v>168.29999999999998</v>
      </c>
      <c r="CC21" s="73">
        <v>277</v>
      </c>
      <c r="CD21" s="146">
        <v>-24.36</v>
      </c>
      <c r="CE21" s="146">
        <v>-24.4</v>
      </c>
      <c r="CF21" s="146">
        <v>-24.13</v>
      </c>
      <c r="CG21" s="146">
        <v>-25.19</v>
      </c>
      <c r="CH21" s="146">
        <v>-23.53</v>
      </c>
      <c r="CJ21" s="73" t="s">
        <v>30</v>
      </c>
      <c r="CK21" s="73" t="s">
        <v>32</v>
      </c>
      <c r="CL21" s="72">
        <v>0.96233333333333315</v>
      </c>
      <c r="CM21" s="73">
        <v>0.93133333333333335</v>
      </c>
      <c r="CN21" s="73">
        <v>0.89266666666666661</v>
      </c>
      <c r="CO21" s="73">
        <v>0.79333333333333333</v>
      </c>
      <c r="CP21" s="73">
        <v>2919.2666666666664</v>
      </c>
      <c r="CQ21"/>
      <c r="CR21"/>
      <c r="CS21"/>
      <c r="CT21"/>
      <c r="CU21"/>
      <c r="CV21"/>
    </row>
    <row r="22" spans="1:101" s="64" customFormat="1" x14ac:dyDescent="0.25">
      <c r="A22" s="63">
        <v>3</v>
      </c>
      <c r="B22" s="63">
        <v>5</v>
      </c>
      <c r="C22" s="63">
        <v>3</v>
      </c>
      <c r="D22" s="63">
        <v>19</v>
      </c>
      <c r="E22" s="63">
        <v>21</v>
      </c>
      <c r="F22" s="63" t="s">
        <v>25</v>
      </c>
      <c r="G22" s="63" t="s">
        <v>29</v>
      </c>
      <c r="H22" s="63">
        <v>305</v>
      </c>
      <c r="I22" s="63" t="str">
        <f>"EVA"&amp;"_"&amp;H22</f>
        <v>EVA_305</v>
      </c>
      <c r="J22" s="66">
        <v>45541</v>
      </c>
      <c r="K22" s="63">
        <v>0.86</v>
      </c>
      <c r="L22" s="65">
        <v>0.114</v>
      </c>
      <c r="M22" s="65">
        <v>0.125</v>
      </c>
      <c r="N22" s="65">
        <v>0.255</v>
      </c>
      <c r="O22" s="65">
        <v>0.35299999999999998</v>
      </c>
      <c r="P22" s="75">
        <f>1-L22</f>
        <v>0.88600000000000001</v>
      </c>
      <c r="Q22" s="75">
        <f>1-M22</f>
        <v>0.875</v>
      </c>
      <c r="R22" s="75">
        <f>1-N22</f>
        <v>0.745</v>
      </c>
      <c r="S22" s="75">
        <f>1-O22</f>
        <v>0.64700000000000002</v>
      </c>
      <c r="T22" s="63">
        <v>43.7</v>
      </c>
      <c r="U22" s="63">
        <v>9.6999999999999993</v>
      </c>
      <c r="V22" s="63">
        <v>7.4</v>
      </c>
      <c r="W22" s="63">
        <v>29.1</v>
      </c>
      <c r="X22" s="63">
        <v>36.1</v>
      </c>
      <c r="Y22" s="63">
        <v>50.1</v>
      </c>
      <c r="Z22" s="63">
        <v>46.4</v>
      </c>
      <c r="AA22" s="63">
        <v>34.6</v>
      </c>
      <c r="AB22" s="63">
        <v>49.4</v>
      </c>
      <c r="AC22" s="63">
        <v>51.1</v>
      </c>
      <c r="AD22" s="63">
        <v>51.1</v>
      </c>
      <c r="AE22" s="63">
        <v>48.6</v>
      </c>
      <c r="AF22" s="63">
        <v>50</v>
      </c>
      <c r="AG22" s="63">
        <v>51.8</v>
      </c>
      <c r="AH22" s="63">
        <v>54.7</v>
      </c>
      <c r="AI22" s="63">
        <v>49.9</v>
      </c>
      <c r="AJ22" s="63">
        <v>54.6</v>
      </c>
      <c r="AK22" s="63">
        <v>54.8</v>
      </c>
      <c r="AL22" s="63">
        <v>54.1</v>
      </c>
      <c r="AM22" s="63">
        <v>54</v>
      </c>
      <c r="AN22" s="67">
        <v>66</v>
      </c>
      <c r="AO22" s="63">
        <v>0.375</v>
      </c>
      <c r="AP22" s="63">
        <v>1309.2</v>
      </c>
      <c r="AQ22" s="70">
        <f>AP22/AO22</f>
        <v>3491.2000000000003</v>
      </c>
      <c r="AR22" s="63">
        <v>375.1</v>
      </c>
      <c r="AS22" s="63">
        <v>50</v>
      </c>
      <c r="AT22" s="63">
        <v>220.4</v>
      </c>
      <c r="AU22" s="63">
        <v>42.7</v>
      </c>
      <c r="AV22" s="63">
        <v>30</v>
      </c>
      <c r="AW22" s="63">
        <v>10.95</v>
      </c>
      <c r="AX22" s="63">
        <v>0.61</v>
      </c>
      <c r="AY22" s="63">
        <v>15.69</v>
      </c>
      <c r="AZ22" s="63">
        <v>1.29</v>
      </c>
      <c r="BA22" s="63">
        <f>SUM(AW22:AZ22)</f>
        <v>28.54</v>
      </c>
      <c r="BB22" s="68">
        <f>AU22/AV22</f>
        <v>1.4233333333333333</v>
      </c>
      <c r="BC22" s="68">
        <f>AT22/AV22</f>
        <v>7.3466666666666667</v>
      </c>
      <c r="BD22" s="69">
        <f>AU22/AT22</f>
        <v>0.19373865698729584</v>
      </c>
      <c r="BE22" s="70">
        <f>BD22*AP22</f>
        <v>253.64264972776772</v>
      </c>
      <c r="BF22" s="70">
        <f>BE22/AO22</f>
        <v>676.38039927404725</v>
      </c>
      <c r="BG22" s="69">
        <f>AW22/BA22</f>
        <v>0.38367203924316745</v>
      </c>
      <c r="BH22" s="69">
        <f>AX22/BA22</f>
        <v>2.1373510861948143E-2</v>
      </c>
      <c r="BI22" s="69">
        <f>AY22/BA22</f>
        <v>0.54975473020322352</v>
      </c>
      <c r="BJ22" s="69">
        <f>AZ22/BA22</f>
        <v>4.5199719691660832E-2</v>
      </c>
      <c r="BK22" s="70">
        <f>BG22*$BF22</f>
        <v>259.50824709358153</v>
      </c>
      <c r="BL22" s="70">
        <f>BH22*$BF22</f>
        <v>14.456623810692671</v>
      </c>
      <c r="BM22" s="70">
        <f>BI22*$BF22</f>
        <v>371.84332391765247</v>
      </c>
      <c r="BN22" s="70">
        <f>BJ22*$BF22</f>
        <v>30.57220445212057</v>
      </c>
      <c r="BO22" s="73">
        <f>AVERAGE(T22:W22)</f>
        <v>22.475000000000001</v>
      </c>
      <c r="BP22" s="73">
        <f>AVERAGE(X22:AA22)</f>
        <v>41.8</v>
      </c>
      <c r="BQ22" s="73">
        <f>AVERAGE(AB22:AE22)</f>
        <v>50.05</v>
      </c>
      <c r="BR22" s="73">
        <f>AVERAGE(AF22:AI22)</f>
        <v>51.6</v>
      </c>
      <c r="BS22" s="73">
        <f>AVERAGE(AJ22:AM22)</f>
        <v>54.375</v>
      </c>
      <c r="BT22" s="145">
        <v>28.584</v>
      </c>
      <c r="BU22" s="145">
        <v>40.403000000000006</v>
      </c>
      <c r="BV22" s="73">
        <v>20.874000000000002</v>
      </c>
      <c r="BW22" s="73">
        <v>17.582999999999998</v>
      </c>
      <c r="BX22" s="73">
        <v>29.462000000000003</v>
      </c>
      <c r="BY22" s="73">
        <v>145.29999999999998</v>
      </c>
      <c r="BZ22" s="73">
        <v>84.3</v>
      </c>
      <c r="CA22" s="73">
        <v>52.599999999999994</v>
      </c>
      <c r="CB22" s="73">
        <v>151.6</v>
      </c>
      <c r="CC22" s="73">
        <v>282.39999999999998</v>
      </c>
      <c r="CD22" s="146">
        <v>-24.59</v>
      </c>
      <c r="CE22" s="146">
        <v>-24.77</v>
      </c>
      <c r="CF22" s="146">
        <v>-24.59</v>
      </c>
      <c r="CG22" s="146">
        <v>-25.29</v>
      </c>
      <c r="CH22" s="146">
        <v>-23.43</v>
      </c>
      <c r="CJ22" s="73"/>
      <c r="CK22" s="73" t="s">
        <v>31</v>
      </c>
      <c r="CL22" s="72">
        <v>0.98649999999999993</v>
      </c>
      <c r="CM22" s="73">
        <v>0.96025000000000005</v>
      </c>
      <c r="CN22" s="73">
        <v>0.9</v>
      </c>
      <c r="CO22" s="73">
        <v>0.77424999999999999</v>
      </c>
      <c r="CP22" s="73">
        <v>3205.75</v>
      </c>
      <c r="CQ22"/>
      <c r="CR22"/>
      <c r="CS22"/>
      <c r="CT22"/>
      <c r="CU22"/>
      <c r="CV22"/>
    </row>
    <row r="23" spans="1:101" s="64" customFormat="1" x14ac:dyDescent="0.25">
      <c r="A23" s="63">
        <v>3</v>
      </c>
      <c r="B23" s="63">
        <v>6</v>
      </c>
      <c r="C23" s="63">
        <v>3</v>
      </c>
      <c r="D23" s="63">
        <v>22</v>
      </c>
      <c r="E23" s="63">
        <v>22</v>
      </c>
      <c r="F23" s="63" t="s">
        <v>30</v>
      </c>
      <c r="G23" s="63" t="s">
        <v>32</v>
      </c>
      <c r="H23" s="63">
        <v>306</v>
      </c>
      <c r="I23" s="63" t="str">
        <f>"EVA"&amp;"_"&amp;H23</f>
        <v>EVA_306</v>
      </c>
      <c r="J23" s="66">
        <v>45551</v>
      </c>
      <c r="K23" s="63">
        <v>0.85</v>
      </c>
      <c r="L23" s="65">
        <v>5.8000000000000003E-2</v>
      </c>
      <c r="M23" s="65">
        <v>7.5999999999999998E-2</v>
      </c>
      <c r="N23" s="65">
        <v>0.122</v>
      </c>
      <c r="O23" s="65">
        <v>0.254</v>
      </c>
      <c r="P23" s="75">
        <f>1-L23</f>
        <v>0.94199999999999995</v>
      </c>
      <c r="Q23" s="75">
        <f>1-M23</f>
        <v>0.92400000000000004</v>
      </c>
      <c r="R23" s="75">
        <f>1-N23</f>
        <v>0.878</v>
      </c>
      <c r="S23" s="75">
        <f>1-O23</f>
        <v>0.746</v>
      </c>
      <c r="T23" s="63">
        <v>49</v>
      </c>
      <c r="U23" s="63">
        <v>42.9</v>
      </c>
      <c r="V23" s="63">
        <v>31.5</v>
      </c>
      <c r="W23" s="63">
        <v>45.1</v>
      </c>
      <c r="X23" s="63">
        <v>45.8</v>
      </c>
      <c r="Y23" s="63">
        <v>49.8</v>
      </c>
      <c r="Z23" s="63">
        <v>48.8</v>
      </c>
      <c r="AA23" s="63">
        <v>53.9</v>
      </c>
      <c r="AB23" s="63">
        <v>47.9</v>
      </c>
      <c r="AC23" s="63">
        <v>47.1</v>
      </c>
      <c r="AD23" s="63">
        <v>50.5</v>
      </c>
      <c r="AE23" s="63">
        <v>54.4</v>
      </c>
      <c r="AF23" s="63">
        <v>48.1</v>
      </c>
      <c r="AG23" s="63">
        <v>49</v>
      </c>
      <c r="AH23" s="63">
        <v>48</v>
      </c>
      <c r="AI23" s="63">
        <v>53.8</v>
      </c>
      <c r="AJ23" s="63">
        <v>42.2</v>
      </c>
      <c r="AK23" s="63">
        <v>46.2</v>
      </c>
      <c r="AL23" s="63">
        <v>40.299999999999997</v>
      </c>
      <c r="AM23" s="63">
        <v>46.1</v>
      </c>
      <c r="AN23" s="67">
        <v>64</v>
      </c>
      <c r="AO23" s="63">
        <v>0.5</v>
      </c>
      <c r="AP23" s="63">
        <v>1381.6</v>
      </c>
      <c r="AQ23" s="70">
        <f>AP23/AO23</f>
        <v>2763.2</v>
      </c>
      <c r="AR23" s="63">
        <v>323.10000000000002</v>
      </c>
      <c r="AS23" s="63">
        <v>50</v>
      </c>
      <c r="AT23" s="63">
        <v>200.9</v>
      </c>
      <c r="AU23" s="63">
        <v>48.36</v>
      </c>
      <c r="AV23" s="63">
        <v>30</v>
      </c>
      <c r="AW23" s="63">
        <v>10.74</v>
      </c>
      <c r="AX23" s="63">
        <v>0.94</v>
      </c>
      <c r="AY23" s="63">
        <v>16.59</v>
      </c>
      <c r="AZ23" s="63">
        <v>0.75</v>
      </c>
      <c r="BA23" s="63">
        <f>SUM(AW23:AZ23)</f>
        <v>29.02</v>
      </c>
      <c r="BB23" s="68">
        <f>AU23/AV23</f>
        <v>1.6119999999999999</v>
      </c>
      <c r="BC23" s="68">
        <f>AT23/AV23</f>
        <v>6.6966666666666672</v>
      </c>
      <c r="BD23" s="69">
        <f>AU23/AT23</f>
        <v>0.2407167745146839</v>
      </c>
      <c r="BE23" s="70">
        <f>BD23*AP23</f>
        <v>332.57429566948724</v>
      </c>
      <c r="BF23" s="70">
        <f>BE23/AO23</f>
        <v>665.14859133897448</v>
      </c>
      <c r="BG23" s="69">
        <f>AW23/BA23</f>
        <v>0.37008959338387321</v>
      </c>
      <c r="BH23" s="69">
        <f>AX23/BA23</f>
        <v>3.2391454169538252E-2</v>
      </c>
      <c r="BI23" s="69">
        <f>AY23/BA23</f>
        <v>0.57167470709855273</v>
      </c>
      <c r="BJ23" s="69">
        <f>AZ23/BA23</f>
        <v>2.5844245348035838E-2</v>
      </c>
      <c r="BK23" s="70">
        <f>BG23*$BF23</f>
        <v>246.16457170849711</v>
      </c>
      <c r="BL23" s="70">
        <f>BH23*$BF23</f>
        <v>21.545130112289321</v>
      </c>
      <c r="BM23" s="70">
        <f>BI23*$BF23</f>
        <v>380.24862613072321</v>
      </c>
      <c r="BN23" s="70">
        <f>BJ23*$BF23</f>
        <v>17.190263387464881</v>
      </c>
      <c r="BO23" s="73">
        <f>AVERAGE(T23:W23)</f>
        <v>42.125</v>
      </c>
      <c r="BP23" s="73">
        <f>AVERAGE(X23:AA23)</f>
        <v>49.574999999999996</v>
      </c>
      <c r="BQ23" s="73">
        <f>AVERAGE(AB23:AE23)</f>
        <v>49.975000000000001</v>
      </c>
      <c r="BR23" s="73">
        <f>AVERAGE(AF23:AI23)</f>
        <v>49.724999999999994</v>
      </c>
      <c r="BS23" s="73">
        <f>AVERAGE(AJ23:AM23)</f>
        <v>43.699999999999996</v>
      </c>
      <c r="BT23" s="145">
        <v>25.558</v>
      </c>
      <c r="BU23" s="145">
        <v>38.090000000000003</v>
      </c>
      <c r="BV23" s="73">
        <v>10.757000000000001</v>
      </c>
      <c r="BW23" s="73">
        <v>16.398</v>
      </c>
      <c r="BX23" s="73">
        <v>25.471</v>
      </c>
      <c r="BY23" s="73">
        <v>192.60000000000002</v>
      </c>
      <c r="BZ23" s="73">
        <v>92.6</v>
      </c>
      <c r="CA23" s="73">
        <v>77.8</v>
      </c>
      <c r="CB23" s="73">
        <v>187.8</v>
      </c>
      <c r="CC23" s="73">
        <v>321.10000000000002</v>
      </c>
      <c r="CD23" s="146">
        <v>-24.19</v>
      </c>
      <c r="CE23" s="146">
        <v>-24.65</v>
      </c>
      <c r="CF23" s="146">
        <v>-24.54</v>
      </c>
      <c r="CG23" s="146">
        <v>-24.72</v>
      </c>
      <c r="CH23" s="146">
        <v>-23.55</v>
      </c>
      <c r="CJ23" s="73"/>
      <c r="CK23" s="73" t="s">
        <v>28</v>
      </c>
      <c r="CL23" s="72">
        <v>0.9222499999999999</v>
      </c>
      <c r="CM23" s="73">
        <v>0.88</v>
      </c>
      <c r="CN23" s="73">
        <v>0.82174999999999998</v>
      </c>
      <c r="CO23" s="73">
        <v>0.65625</v>
      </c>
      <c r="CP23" s="73">
        <v>2544.6</v>
      </c>
      <c r="CQ23"/>
      <c r="CR23"/>
      <c r="CS23"/>
      <c r="CT23"/>
      <c r="CU23"/>
      <c r="CV23"/>
    </row>
    <row r="24" spans="1:101" s="64" customFormat="1" x14ac:dyDescent="0.25">
      <c r="A24" s="63">
        <v>3</v>
      </c>
      <c r="B24" s="63">
        <v>7</v>
      </c>
      <c r="C24" s="63">
        <v>4</v>
      </c>
      <c r="D24" s="63">
        <v>27</v>
      </c>
      <c r="E24" s="63">
        <v>23</v>
      </c>
      <c r="F24" s="63" t="s">
        <v>25</v>
      </c>
      <c r="G24" s="63" t="s">
        <v>27</v>
      </c>
      <c r="H24" s="63">
        <v>307</v>
      </c>
      <c r="I24" s="63" t="str">
        <f>"EVA"&amp;"_"&amp;H24</f>
        <v>EVA_307</v>
      </c>
      <c r="J24" s="66">
        <v>45544</v>
      </c>
      <c r="K24" s="63">
        <v>0.84</v>
      </c>
      <c r="L24" s="65">
        <v>5.0999999999999997E-2</v>
      </c>
      <c r="M24" s="65">
        <v>8.7999999999999995E-2</v>
      </c>
      <c r="N24" s="65">
        <v>0.14199999999999999</v>
      </c>
      <c r="O24" s="65">
        <v>0.184</v>
      </c>
      <c r="P24" s="75">
        <f>1-L24</f>
        <v>0.94899999999999995</v>
      </c>
      <c r="Q24" s="75">
        <f>1-M24</f>
        <v>0.91200000000000003</v>
      </c>
      <c r="R24" s="75">
        <f>1-N24</f>
        <v>0.85799999999999998</v>
      </c>
      <c r="S24" s="75">
        <f>1-O24</f>
        <v>0.81600000000000006</v>
      </c>
      <c r="T24" s="63">
        <v>41.8</v>
      </c>
      <c r="U24" s="63">
        <v>45.4</v>
      </c>
      <c r="V24" s="63">
        <v>40.9</v>
      </c>
      <c r="W24" s="63">
        <v>29.2</v>
      </c>
      <c r="X24" s="63">
        <v>29.7</v>
      </c>
      <c r="Y24" s="63">
        <v>51</v>
      </c>
      <c r="Z24" s="63">
        <v>48</v>
      </c>
      <c r="AA24" s="63">
        <v>51</v>
      </c>
      <c r="AB24" s="63">
        <v>50.5</v>
      </c>
      <c r="AC24" s="63">
        <v>51.8</v>
      </c>
      <c r="AD24" s="63">
        <v>51.3</v>
      </c>
      <c r="AE24" s="63">
        <v>56.7</v>
      </c>
      <c r="AF24" s="63">
        <v>54.8</v>
      </c>
      <c r="AG24" s="63">
        <v>52.7</v>
      </c>
      <c r="AH24" s="63">
        <v>51.5</v>
      </c>
      <c r="AI24" s="63">
        <v>53.9</v>
      </c>
      <c r="AJ24" s="63">
        <v>42.8</v>
      </c>
      <c r="AK24" s="63">
        <v>49.2</v>
      </c>
      <c r="AL24" s="63">
        <v>47.5</v>
      </c>
      <c r="AM24" s="63">
        <v>50.1</v>
      </c>
      <c r="AN24" s="67">
        <v>55</v>
      </c>
      <c r="AO24" s="63">
        <v>0.5</v>
      </c>
      <c r="AP24" s="63">
        <v>1403.5</v>
      </c>
      <c r="AQ24" s="70">
        <f>AP24/AO24</f>
        <v>2807</v>
      </c>
      <c r="AR24" s="63">
        <v>326</v>
      </c>
      <c r="AS24" s="63">
        <v>50</v>
      </c>
      <c r="AT24" s="63">
        <v>183</v>
      </c>
      <c r="AU24" s="63">
        <v>37.520000000000003</v>
      </c>
      <c r="AV24" s="63">
        <v>30</v>
      </c>
      <c r="AW24" s="63">
        <v>10.9</v>
      </c>
      <c r="AX24" s="63">
        <v>0.35</v>
      </c>
      <c r="AY24" s="63">
        <v>16.21</v>
      </c>
      <c r="AZ24" s="63">
        <v>1.84</v>
      </c>
      <c r="BA24" s="63">
        <f>SUM(AW24:AZ24)</f>
        <v>29.3</v>
      </c>
      <c r="BB24" s="68">
        <f>AU24/AV24</f>
        <v>1.2506666666666668</v>
      </c>
      <c r="BC24" s="68">
        <f>AT24/AV24</f>
        <v>6.1</v>
      </c>
      <c r="BD24" s="69">
        <f>AU24/AT24</f>
        <v>0.2050273224043716</v>
      </c>
      <c r="BE24" s="70">
        <f>BD24*AP24</f>
        <v>287.75584699453555</v>
      </c>
      <c r="BF24" s="70">
        <f>BE24/AO24</f>
        <v>575.51169398907109</v>
      </c>
      <c r="BG24" s="69">
        <f>AW24/BA24</f>
        <v>0.37201365187713309</v>
      </c>
      <c r="BH24" s="69">
        <f>AX24/BA24</f>
        <v>1.1945392491467576E-2</v>
      </c>
      <c r="BI24" s="69">
        <f>AY24/BA24</f>
        <v>0.55324232081911262</v>
      </c>
      <c r="BJ24" s="69">
        <f>AZ24/BA24</f>
        <v>6.2798634812286688E-2</v>
      </c>
      <c r="BK24" s="70">
        <f>BG24*$BF24</f>
        <v>214.09820697886943</v>
      </c>
      <c r="BL24" s="70">
        <f>BH24*$BF24</f>
        <v>6.8747130681288349</v>
      </c>
      <c r="BM24" s="70">
        <f>BI24*$BF24</f>
        <v>318.39742524105264</v>
      </c>
      <c r="BN24" s="70">
        <f>BJ24*$BF24</f>
        <v>36.141348701020164</v>
      </c>
      <c r="BO24" s="73">
        <f>AVERAGE(T24:W24)</f>
        <v>39.324999999999996</v>
      </c>
      <c r="BP24" s="73">
        <f>AVERAGE(X24:AA24)</f>
        <v>44.924999999999997</v>
      </c>
      <c r="BQ24" s="73">
        <f>AVERAGE(AB24:AE24)</f>
        <v>52.575000000000003</v>
      </c>
      <c r="BR24" s="73">
        <f>AVERAGE(AF24:AI24)</f>
        <v>53.225000000000001</v>
      </c>
      <c r="BS24" s="73">
        <f>AVERAGE(AJ24:AM24)</f>
        <v>47.4</v>
      </c>
      <c r="BT24" s="145">
        <v>24.992000000000001</v>
      </c>
      <c r="BU24" s="145">
        <v>34.275999999999996</v>
      </c>
      <c r="BV24" s="73">
        <v>20.192</v>
      </c>
      <c r="BW24" s="73">
        <v>14.409000000000001</v>
      </c>
      <c r="BX24" s="73">
        <v>23.812000000000001</v>
      </c>
      <c r="BY24" s="73">
        <v>158.19999999999999</v>
      </c>
      <c r="BZ24" s="73">
        <v>100.5</v>
      </c>
      <c r="CA24" s="73">
        <v>59</v>
      </c>
      <c r="CB24" s="73">
        <v>205.9</v>
      </c>
      <c r="CC24" s="73">
        <v>306.70000000000005</v>
      </c>
      <c r="CD24" s="146">
        <v>-24.4</v>
      </c>
      <c r="CE24" s="146">
        <v>-24.77</v>
      </c>
      <c r="CF24" s="146">
        <v>-24.95</v>
      </c>
      <c r="CG24" s="146">
        <v>-24.77</v>
      </c>
      <c r="CH24" s="146">
        <v>-23.87</v>
      </c>
      <c r="CJ24" s="73"/>
      <c r="CK24" s="73" t="s">
        <v>29</v>
      </c>
      <c r="CL24" s="72">
        <v>0.92525000000000002</v>
      </c>
      <c r="CM24" s="73">
        <v>0.87525000000000008</v>
      </c>
      <c r="CN24" s="73">
        <v>0.77600000000000002</v>
      </c>
      <c r="CO24" s="73">
        <v>0.60175000000000001</v>
      </c>
      <c r="CP24" s="73">
        <v>2625.05</v>
      </c>
      <c r="CQ24"/>
      <c r="CR24"/>
      <c r="CS24"/>
      <c r="CT24"/>
      <c r="CU24"/>
      <c r="CV24"/>
    </row>
    <row r="25" spans="1:101" s="64" customFormat="1" x14ac:dyDescent="0.25">
      <c r="A25" s="63">
        <v>3</v>
      </c>
      <c r="B25" s="63">
        <v>8</v>
      </c>
      <c r="C25" s="63">
        <v>4</v>
      </c>
      <c r="D25" s="63">
        <v>30</v>
      </c>
      <c r="E25" s="63">
        <v>24</v>
      </c>
      <c r="F25" s="63" t="s">
        <v>30</v>
      </c>
      <c r="G25" s="63" t="s">
        <v>28</v>
      </c>
      <c r="H25" s="63">
        <v>308</v>
      </c>
      <c r="I25" s="63" t="str">
        <f>"EVA"&amp;"_"&amp;H25</f>
        <v>EVA_308</v>
      </c>
      <c r="J25" s="66">
        <v>45551</v>
      </c>
      <c r="K25" s="63">
        <v>0.76</v>
      </c>
      <c r="L25" s="65">
        <v>8.1000000000000003E-2</v>
      </c>
      <c r="M25" s="65">
        <v>9.7000000000000003E-2</v>
      </c>
      <c r="N25" s="65">
        <v>0.113</v>
      </c>
      <c r="O25" s="65">
        <v>0.311</v>
      </c>
      <c r="P25" s="75">
        <f>1-L25</f>
        <v>0.91900000000000004</v>
      </c>
      <c r="Q25" s="75">
        <f>1-M25</f>
        <v>0.90300000000000002</v>
      </c>
      <c r="R25" s="75">
        <f>1-N25</f>
        <v>0.88700000000000001</v>
      </c>
      <c r="S25" s="75">
        <f>1-O25</f>
        <v>0.68900000000000006</v>
      </c>
      <c r="T25" s="63">
        <v>37.9</v>
      </c>
      <c r="U25" s="63">
        <v>32.6</v>
      </c>
      <c r="V25" s="63">
        <v>1.8</v>
      </c>
      <c r="W25" s="63">
        <v>0.9</v>
      </c>
      <c r="X25" s="63">
        <v>48.9</v>
      </c>
      <c r="Y25" s="63">
        <v>49.6</v>
      </c>
      <c r="Z25" s="63">
        <v>42.2</v>
      </c>
      <c r="AA25" s="63">
        <v>46.8</v>
      </c>
      <c r="AB25" s="63">
        <v>47.7</v>
      </c>
      <c r="AC25" s="63">
        <v>49.7</v>
      </c>
      <c r="AD25" s="63">
        <v>47.8</v>
      </c>
      <c r="AE25" s="63">
        <v>50.1</v>
      </c>
      <c r="AF25" s="63">
        <v>48.5</v>
      </c>
      <c r="AG25" s="63">
        <v>46.5</v>
      </c>
      <c r="AH25" s="63">
        <v>48.9</v>
      </c>
      <c r="AI25" s="63">
        <v>50.9</v>
      </c>
      <c r="AJ25" s="63">
        <v>46.1</v>
      </c>
      <c r="AK25" s="63">
        <v>46</v>
      </c>
      <c r="AL25" s="63">
        <v>46.1</v>
      </c>
      <c r="AM25" s="63">
        <v>49.9</v>
      </c>
      <c r="AN25" s="67">
        <v>51</v>
      </c>
      <c r="AO25" s="63">
        <v>0.5</v>
      </c>
      <c r="AP25" s="63">
        <v>1328.5</v>
      </c>
      <c r="AQ25" s="70">
        <f>AP25/AO25</f>
        <v>2657</v>
      </c>
      <c r="AR25" s="63">
        <v>278.60000000000002</v>
      </c>
      <c r="AS25" s="63">
        <v>50</v>
      </c>
      <c r="AT25" s="63">
        <v>167.7</v>
      </c>
      <c r="AU25" s="63">
        <v>37.619999999999997</v>
      </c>
      <c r="AV25" s="63">
        <v>30</v>
      </c>
      <c r="AW25" s="63">
        <v>9.9499999999999993</v>
      </c>
      <c r="AX25" s="63">
        <v>0.43</v>
      </c>
      <c r="AY25" s="63">
        <v>11.87</v>
      </c>
      <c r="AZ25" s="63">
        <v>2.27</v>
      </c>
      <c r="BA25" s="63">
        <f>SUM(AW25:AZ25)</f>
        <v>24.52</v>
      </c>
      <c r="BB25" s="68">
        <f>AU25/AV25</f>
        <v>1.254</v>
      </c>
      <c r="BC25" s="68">
        <f>AT25/AV25</f>
        <v>5.59</v>
      </c>
      <c r="BD25" s="69">
        <f>AU25/AT25</f>
        <v>0.22432915921288013</v>
      </c>
      <c r="BE25" s="70">
        <f>BD25*AP25</f>
        <v>298.02128801431127</v>
      </c>
      <c r="BF25" s="70">
        <f>BE25/AO25</f>
        <v>596.04257602862253</v>
      </c>
      <c r="BG25" s="69">
        <f>AW25/BA25</f>
        <v>0.4057911908646003</v>
      </c>
      <c r="BH25" s="69">
        <f>AX25/BA25</f>
        <v>1.7536704730831975E-2</v>
      </c>
      <c r="BI25" s="69">
        <f>AY25/BA25</f>
        <v>0.48409461663947795</v>
      </c>
      <c r="BJ25" s="69">
        <f>AZ25/BA25</f>
        <v>9.2577487765089728E-2</v>
      </c>
      <c r="BK25" s="70">
        <f>BG25*$BF25</f>
        <v>241.86882673265882</v>
      </c>
      <c r="BL25" s="70">
        <f>BH25*$BF25</f>
        <v>10.452622662818422</v>
      </c>
      <c r="BM25" s="70">
        <f>BI25*$BF25</f>
        <v>288.5410023433829</v>
      </c>
      <c r="BN25" s="70">
        <f>BJ25*$BF25</f>
        <v>55.180124289762368</v>
      </c>
      <c r="BO25" s="73">
        <f>AVERAGE(T25:W25)</f>
        <v>18.3</v>
      </c>
      <c r="BP25" s="73">
        <f>AVERAGE(X25:AA25)</f>
        <v>46.875</v>
      </c>
      <c r="BQ25" s="73">
        <f>AVERAGE(AB25:AE25)</f>
        <v>48.824999999999996</v>
      </c>
      <c r="BR25" s="73">
        <f>AVERAGE(AF25:AI25)</f>
        <v>48.7</v>
      </c>
      <c r="BS25" s="73">
        <f>AVERAGE(AJ25:AM25)</f>
        <v>47.024999999999999</v>
      </c>
      <c r="BT25" s="145">
        <v>28.113</v>
      </c>
      <c r="BU25" s="145">
        <v>42.507000000000005</v>
      </c>
      <c r="BV25" s="73">
        <v>20.369999999999997</v>
      </c>
      <c r="BW25" s="73">
        <v>15.79</v>
      </c>
      <c r="BX25" s="73">
        <v>25.070999999999998</v>
      </c>
      <c r="BY25" s="73">
        <v>153</v>
      </c>
      <c r="BZ25" s="73">
        <v>76.5</v>
      </c>
      <c r="CA25" s="73">
        <v>64.7</v>
      </c>
      <c r="CB25" s="73">
        <v>204.7</v>
      </c>
      <c r="CC25" s="73">
        <v>294.89999999999998</v>
      </c>
      <c r="CD25" s="146">
        <v>-24.47</v>
      </c>
      <c r="CE25" s="146">
        <v>-25.04</v>
      </c>
      <c r="CF25" s="146">
        <v>-24.72</v>
      </c>
      <c r="CG25" s="146">
        <v>-24.98</v>
      </c>
      <c r="CH25" s="146">
        <v>-23.91</v>
      </c>
      <c r="CJ25"/>
      <c r="CK25"/>
      <c r="CL25"/>
      <c r="CM25"/>
      <c r="CN25"/>
      <c r="CO25"/>
      <c r="CP25"/>
      <c r="CQ25"/>
      <c r="CR25"/>
      <c r="CS25"/>
      <c r="CT25"/>
      <c r="CU25"/>
      <c r="CV25"/>
    </row>
    <row r="26" spans="1:101" s="64" customFormat="1" x14ac:dyDescent="0.25">
      <c r="A26" s="63">
        <v>4</v>
      </c>
      <c r="B26" s="63">
        <v>1</v>
      </c>
      <c r="C26" s="63">
        <v>1</v>
      </c>
      <c r="D26" s="63">
        <v>4</v>
      </c>
      <c r="E26" s="63">
        <v>32</v>
      </c>
      <c r="F26" s="63" t="s">
        <v>25</v>
      </c>
      <c r="G26" s="63" t="s">
        <v>29</v>
      </c>
      <c r="H26" s="63">
        <v>401</v>
      </c>
      <c r="I26" s="63" t="str">
        <f>"EVA"&amp;"_"&amp;H26</f>
        <v>EVA_401</v>
      </c>
      <c r="J26" s="66">
        <v>45541</v>
      </c>
      <c r="K26" s="63">
        <v>0.83</v>
      </c>
      <c r="L26" s="65">
        <v>7.6999999999999999E-2</v>
      </c>
      <c r="M26" s="65">
        <v>9.4E-2</v>
      </c>
      <c r="N26" s="65">
        <v>0.115</v>
      </c>
      <c r="O26" s="65">
        <v>0.183</v>
      </c>
      <c r="P26" s="75">
        <f>1-L26</f>
        <v>0.92300000000000004</v>
      </c>
      <c r="Q26" s="75">
        <f>1-M26</f>
        <v>0.90600000000000003</v>
      </c>
      <c r="R26" s="75">
        <f>1-N26</f>
        <v>0.88500000000000001</v>
      </c>
      <c r="S26" s="75">
        <f>1-O26</f>
        <v>0.81699999999999995</v>
      </c>
      <c r="T26" s="63">
        <v>29.7</v>
      </c>
      <c r="U26" s="63">
        <v>14.8</v>
      </c>
      <c r="V26" s="63">
        <v>22.7</v>
      </c>
      <c r="W26" s="63">
        <v>29.4</v>
      </c>
      <c r="X26" s="63">
        <v>48.4</v>
      </c>
      <c r="Y26" s="63">
        <v>49.4</v>
      </c>
      <c r="Z26" s="63">
        <v>50.8</v>
      </c>
      <c r="AA26" s="63">
        <v>48.1</v>
      </c>
      <c r="AB26" s="63">
        <v>51</v>
      </c>
      <c r="AC26" s="63">
        <v>50.3</v>
      </c>
      <c r="AD26" s="63">
        <v>45</v>
      </c>
      <c r="AE26" s="63">
        <v>51.9</v>
      </c>
      <c r="AF26" s="63">
        <v>53.6</v>
      </c>
      <c r="AG26" s="63">
        <v>50.1</v>
      </c>
      <c r="AH26" s="63">
        <v>51.3</v>
      </c>
      <c r="AI26" s="63">
        <v>53.1</v>
      </c>
      <c r="AJ26" s="63">
        <v>54.8</v>
      </c>
      <c r="AK26" s="63">
        <v>55.6</v>
      </c>
      <c r="AL26" s="63">
        <v>50.9</v>
      </c>
      <c r="AM26" s="63">
        <v>47.8</v>
      </c>
      <c r="AN26" s="67">
        <v>71</v>
      </c>
      <c r="AO26" s="63">
        <v>0.5</v>
      </c>
      <c r="AP26" s="63">
        <v>1700.6</v>
      </c>
      <c r="AQ26" s="70">
        <f>AP26/AO26</f>
        <v>3401.2</v>
      </c>
      <c r="AR26" s="63">
        <v>318.39999999999998</v>
      </c>
      <c r="AS26" s="63">
        <v>50</v>
      </c>
      <c r="AT26" s="63">
        <v>179.9</v>
      </c>
      <c r="AU26" s="63">
        <v>34.700000000000003</v>
      </c>
      <c r="AV26" s="63">
        <v>30</v>
      </c>
      <c r="AW26" s="63">
        <v>9.89</v>
      </c>
      <c r="AX26" s="63">
        <v>0.8</v>
      </c>
      <c r="AY26" s="63">
        <v>14.25</v>
      </c>
      <c r="AZ26" s="63">
        <v>1.87</v>
      </c>
      <c r="BA26" s="63">
        <f>SUM(AW26:AZ26)</f>
        <v>26.810000000000002</v>
      </c>
      <c r="BB26" s="68">
        <f>AU26/AV26</f>
        <v>1.1566666666666667</v>
      </c>
      <c r="BC26" s="68">
        <f>AT26/AV26</f>
        <v>5.996666666666667</v>
      </c>
      <c r="BD26" s="69">
        <f>AU26/AT26</f>
        <v>0.19288493607559756</v>
      </c>
      <c r="BE26" s="70">
        <f>BD26*AP26</f>
        <v>328.02012229016123</v>
      </c>
      <c r="BF26" s="70">
        <f>BE26/AO26</f>
        <v>656.04024458032245</v>
      </c>
      <c r="BG26" s="69">
        <f>AW26/BA26</f>
        <v>0.36889220440134279</v>
      </c>
      <c r="BH26" s="69">
        <f>AX26/BA26</f>
        <v>2.9839612085042894E-2</v>
      </c>
      <c r="BI26" s="69">
        <f>AY26/BA26</f>
        <v>0.53151809026482655</v>
      </c>
      <c r="BJ26" s="69">
        <f>AZ26/BA26</f>
        <v>6.9750093248787767E-2</v>
      </c>
      <c r="BK26" s="70">
        <f>BG26*$BF26</f>
        <v>242.00813199923124</v>
      </c>
      <c r="BL26" s="70">
        <f>BH26*$BF26</f>
        <v>19.575986410453485</v>
      </c>
      <c r="BM26" s="70">
        <f>BI26*$BF26</f>
        <v>348.69725793620273</v>
      </c>
      <c r="BN26" s="70">
        <f>BJ26*$BF26</f>
        <v>45.758868234435027</v>
      </c>
      <c r="BO26" s="73">
        <f>AVERAGE(T26:W26)</f>
        <v>24.15</v>
      </c>
      <c r="BP26" s="73">
        <f>AVERAGE(X26:AA26)</f>
        <v>49.174999999999997</v>
      </c>
      <c r="BQ26" s="73">
        <f>AVERAGE(AB26:AE26)</f>
        <v>49.550000000000004</v>
      </c>
      <c r="BR26" s="73">
        <f>AVERAGE(AF26:AI26)</f>
        <v>52.024999999999999</v>
      </c>
      <c r="BS26" s="73">
        <f>AVERAGE(AJ26:AM26)</f>
        <v>52.275000000000006</v>
      </c>
      <c r="BT26" s="145">
        <v>31.751000000000001</v>
      </c>
      <c r="BU26" s="145">
        <v>39.197000000000003</v>
      </c>
      <c r="BV26" s="73">
        <v>24.207000000000001</v>
      </c>
      <c r="BW26" s="73">
        <v>17.364000000000001</v>
      </c>
      <c r="BX26" s="73">
        <v>28.062999999999999</v>
      </c>
      <c r="BY26" s="73">
        <v>127.10000000000001</v>
      </c>
      <c r="BZ26" s="73">
        <v>77.900000000000006</v>
      </c>
      <c r="CA26" s="73">
        <v>54.2</v>
      </c>
      <c r="CB26" s="73">
        <v>134.80000000000001</v>
      </c>
      <c r="CC26" s="73">
        <v>288.60000000000002</v>
      </c>
      <c r="CD26" s="146">
        <v>-24.74</v>
      </c>
      <c r="CE26" s="146">
        <v>-24.93</v>
      </c>
      <c r="CF26" s="146">
        <v>-24.66</v>
      </c>
      <c r="CG26" s="146">
        <v>-25.42</v>
      </c>
      <c r="CH26" s="146">
        <v>-23.77</v>
      </c>
      <c r="CJ26"/>
      <c r="CK26"/>
      <c r="CL26"/>
      <c r="CM26"/>
      <c r="CN26"/>
      <c r="CO26"/>
      <c r="CP26"/>
    </row>
    <row r="27" spans="1:101" s="64" customFormat="1" x14ac:dyDescent="0.25">
      <c r="A27" s="63">
        <v>4</v>
      </c>
      <c r="B27" s="63">
        <v>2</v>
      </c>
      <c r="C27" s="63">
        <v>1</v>
      </c>
      <c r="D27" s="63">
        <v>5</v>
      </c>
      <c r="E27" s="63">
        <v>31</v>
      </c>
      <c r="F27" s="63" t="s">
        <v>30</v>
      </c>
      <c r="G27" s="63" t="s">
        <v>32</v>
      </c>
      <c r="H27" s="63">
        <v>402</v>
      </c>
      <c r="I27" s="63" t="str">
        <f>"EVA"&amp;"_"&amp;H27</f>
        <v>EVA_402</v>
      </c>
      <c r="J27" s="66">
        <v>45551</v>
      </c>
      <c r="K27" s="63">
        <v>0.84</v>
      </c>
      <c r="L27" s="65">
        <v>2.5999999999999999E-2</v>
      </c>
      <c r="M27" s="65">
        <v>5.1999999999999998E-2</v>
      </c>
      <c r="N27" s="65">
        <v>0.11</v>
      </c>
      <c r="O27" s="65">
        <v>0.19400000000000001</v>
      </c>
      <c r="P27" s="75">
        <f>1-L27</f>
        <v>0.97399999999999998</v>
      </c>
      <c r="Q27" s="75">
        <f>1-M27</f>
        <v>0.94799999999999995</v>
      </c>
      <c r="R27" s="75">
        <f>1-N27</f>
        <v>0.89</v>
      </c>
      <c r="S27" s="75">
        <f>1-O27</f>
        <v>0.80600000000000005</v>
      </c>
      <c r="T27" s="63">
        <v>23.1</v>
      </c>
      <c r="U27" s="63">
        <v>48.4</v>
      </c>
      <c r="V27" s="63">
        <v>51.8</v>
      </c>
      <c r="W27" s="63">
        <v>51.4</v>
      </c>
      <c r="X27" s="63">
        <v>49</v>
      </c>
      <c r="Y27" s="63">
        <v>42.7</v>
      </c>
      <c r="Z27" s="63">
        <v>49.1</v>
      </c>
      <c r="AA27" s="63">
        <v>12.2</v>
      </c>
      <c r="AB27" s="63">
        <v>52.2</v>
      </c>
      <c r="AC27" s="63">
        <v>48.7</v>
      </c>
      <c r="AD27" s="63">
        <v>52.2</v>
      </c>
      <c r="AE27" s="63">
        <v>39.200000000000003</v>
      </c>
      <c r="AF27" s="63">
        <v>51.3</v>
      </c>
      <c r="AG27" s="63">
        <v>49.1</v>
      </c>
      <c r="AH27" s="63">
        <v>51.3</v>
      </c>
      <c r="AI27" s="63">
        <v>56.2</v>
      </c>
      <c r="AJ27" s="63">
        <v>47.9</v>
      </c>
      <c r="AK27" s="63">
        <v>46.3</v>
      </c>
      <c r="AL27" s="63">
        <v>43.6</v>
      </c>
      <c r="AM27" s="63">
        <v>41.4</v>
      </c>
      <c r="AN27" s="67">
        <v>61</v>
      </c>
      <c r="AO27" s="63">
        <v>0.5</v>
      </c>
      <c r="AP27" s="63">
        <v>1664.5</v>
      </c>
      <c r="AQ27" s="70">
        <f>AP27/AO27</f>
        <v>3329</v>
      </c>
      <c r="AR27" s="63">
        <v>419.3</v>
      </c>
      <c r="AS27" s="63">
        <v>50</v>
      </c>
      <c r="AT27" s="63">
        <v>258.5</v>
      </c>
      <c r="AU27" s="63">
        <v>54.43</v>
      </c>
      <c r="AV27" s="63">
        <v>30</v>
      </c>
      <c r="AW27" s="63">
        <v>13.43</v>
      </c>
      <c r="AX27" s="63">
        <v>0.28999999999999998</v>
      </c>
      <c r="AY27" s="63">
        <v>20.11</v>
      </c>
      <c r="AZ27" s="63">
        <v>1.08</v>
      </c>
      <c r="BA27" s="63">
        <f>SUM(AW27:AZ27)</f>
        <v>34.909999999999997</v>
      </c>
      <c r="BB27" s="68">
        <f>AU27/AV27</f>
        <v>1.8143333333333334</v>
      </c>
      <c r="BC27" s="68">
        <f>AT27/AV27</f>
        <v>8.6166666666666671</v>
      </c>
      <c r="BD27" s="69">
        <f>AU27/AT27</f>
        <v>0.21056092843326885</v>
      </c>
      <c r="BE27" s="70">
        <f>BD27*AP27</f>
        <v>350.47866537717601</v>
      </c>
      <c r="BF27" s="70">
        <f>BE27/AO27</f>
        <v>700.95733075435203</v>
      </c>
      <c r="BG27" s="69">
        <f>AW27/BA27</f>
        <v>0.38470352334574626</v>
      </c>
      <c r="BH27" s="69">
        <f>AX27/BA27</f>
        <v>8.3070753365797768E-3</v>
      </c>
      <c r="BI27" s="69">
        <f>AY27/BA27</f>
        <v>0.57605270696075628</v>
      </c>
      <c r="BJ27" s="69">
        <f>AZ27/BA27</f>
        <v>3.0936694356917795E-2</v>
      </c>
      <c r="BK27" s="70">
        <f>BG27*$BF27</f>
        <v>269.66075485622883</v>
      </c>
      <c r="BL27" s="70">
        <f>BH27*$BF27</f>
        <v>5.8229053543042708</v>
      </c>
      <c r="BM27" s="70">
        <f>BI27*$BF27</f>
        <v>403.78836784503068</v>
      </c>
      <c r="BN27" s="70">
        <f>BJ27*$BF27</f>
        <v>21.685302698788323</v>
      </c>
      <c r="BO27" s="73">
        <f>AVERAGE(T27:W27)</f>
        <v>43.674999999999997</v>
      </c>
      <c r="BP27" s="73">
        <f>AVERAGE(X27:AA27)</f>
        <v>38.25</v>
      </c>
      <c r="BQ27" s="73">
        <f>AVERAGE(AB27:AE27)</f>
        <v>48.075000000000003</v>
      </c>
      <c r="BR27" s="73">
        <f>AVERAGE(AF27:AI27)</f>
        <v>51.974999999999994</v>
      </c>
      <c r="BS27" s="73">
        <f>AVERAGE(AJ27:AM27)</f>
        <v>44.8</v>
      </c>
      <c r="BT27" s="145">
        <v>29.834</v>
      </c>
      <c r="BU27" s="145">
        <v>41.805000000000007</v>
      </c>
      <c r="BV27" s="73">
        <v>22.625999999999998</v>
      </c>
      <c r="BW27" s="73">
        <v>16.963999999999999</v>
      </c>
      <c r="BX27" s="73">
        <v>26.073</v>
      </c>
      <c r="BY27" s="73">
        <v>175.79999999999998</v>
      </c>
      <c r="BZ27" s="73">
        <v>91.300000000000011</v>
      </c>
      <c r="CA27" s="73">
        <v>75.900000000000006</v>
      </c>
      <c r="CB27" s="73">
        <v>196.1</v>
      </c>
      <c r="CC27" s="73">
        <v>327</v>
      </c>
      <c r="CD27" s="146">
        <v>-24.29</v>
      </c>
      <c r="CE27" s="146">
        <v>-24.69</v>
      </c>
      <c r="CF27" s="146">
        <v>-24.72</v>
      </c>
      <c r="CG27" s="146">
        <v>-24.92</v>
      </c>
      <c r="CH27" s="146">
        <v>-23.69</v>
      </c>
      <c r="CL27" s="72"/>
    </row>
    <row r="28" spans="1:101" s="64" customFormat="1" x14ac:dyDescent="0.25">
      <c r="A28" s="63">
        <v>4</v>
      </c>
      <c r="B28" s="63">
        <v>3</v>
      </c>
      <c r="C28" s="63">
        <v>2</v>
      </c>
      <c r="D28" s="63">
        <v>12</v>
      </c>
      <c r="E28" s="63">
        <v>30</v>
      </c>
      <c r="F28" s="63" t="s">
        <v>25</v>
      </c>
      <c r="G28" s="63" t="s">
        <v>28</v>
      </c>
      <c r="H28" s="63">
        <v>403</v>
      </c>
      <c r="I28" s="63" t="str">
        <f>"EVA"&amp;"_"&amp;H28</f>
        <v>EVA_403</v>
      </c>
      <c r="J28" s="66">
        <v>45541</v>
      </c>
      <c r="K28" s="63">
        <v>0.78</v>
      </c>
      <c r="L28" s="65">
        <v>2.4E-2</v>
      </c>
      <c r="M28" s="65">
        <v>8.7999999999999995E-2</v>
      </c>
      <c r="N28" s="65">
        <v>0.11799999999999999</v>
      </c>
      <c r="O28" s="65">
        <v>0.17499999999999999</v>
      </c>
      <c r="P28" s="75">
        <f>1-L28</f>
        <v>0.97599999999999998</v>
      </c>
      <c r="Q28" s="75">
        <f>1-M28</f>
        <v>0.91200000000000003</v>
      </c>
      <c r="R28" s="75">
        <f>1-N28</f>
        <v>0.88200000000000001</v>
      </c>
      <c r="S28" s="75">
        <f>1-O28</f>
        <v>0.82499999999999996</v>
      </c>
      <c r="T28" s="63">
        <v>2.1</v>
      </c>
      <c r="U28" s="63">
        <v>47.8</v>
      </c>
      <c r="V28" s="63">
        <v>43.5</v>
      </c>
      <c r="W28" s="63">
        <v>7.9</v>
      </c>
      <c r="X28" s="63">
        <v>50</v>
      </c>
      <c r="Y28" s="63">
        <v>51.5</v>
      </c>
      <c r="Z28" s="63">
        <v>41</v>
      </c>
      <c r="AA28" s="63">
        <v>47.5</v>
      </c>
      <c r="AB28" s="63">
        <v>54.1</v>
      </c>
      <c r="AC28" s="63">
        <v>50.8</v>
      </c>
      <c r="AD28" s="63">
        <v>51.6</v>
      </c>
      <c r="AE28" s="63">
        <v>43.8</v>
      </c>
      <c r="AF28" s="63">
        <v>56.7</v>
      </c>
      <c r="AG28" s="63">
        <v>51.2</v>
      </c>
      <c r="AH28" s="63">
        <v>55.8</v>
      </c>
      <c r="AI28" s="63">
        <v>53.2</v>
      </c>
      <c r="AJ28" s="63">
        <v>54.8</v>
      </c>
      <c r="AK28" s="63">
        <v>49</v>
      </c>
      <c r="AL28" s="63">
        <v>51.9</v>
      </c>
      <c r="AM28" s="63">
        <v>50.4</v>
      </c>
      <c r="AN28" s="67">
        <v>56</v>
      </c>
      <c r="AO28" s="63">
        <v>0.5</v>
      </c>
      <c r="AP28" s="63">
        <v>1416.5</v>
      </c>
      <c r="AQ28" s="70">
        <f>AP28/AO28</f>
        <v>2833</v>
      </c>
      <c r="AR28" s="63">
        <v>314.5</v>
      </c>
      <c r="AS28" s="63">
        <v>50</v>
      </c>
      <c r="AT28" s="63">
        <v>188.7</v>
      </c>
      <c r="AU28" s="63">
        <v>37.700000000000003</v>
      </c>
      <c r="AV28" s="63">
        <v>30</v>
      </c>
      <c r="AW28" s="63">
        <v>10.77</v>
      </c>
      <c r="AX28" s="63">
        <v>0.16</v>
      </c>
      <c r="AY28" s="63">
        <v>11.52</v>
      </c>
      <c r="AZ28" s="63">
        <v>1.9</v>
      </c>
      <c r="BA28" s="63">
        <f>SUM(AW28:AZ28)</f>
        <v>24.349999999999998</v>
      </c>
      <c r="BB28" s="68">
        <f>AU28/AV28</f>
        <v>1.2566666666666668</v>
      </c>
      <c r="BC28" s="68">
        <f>AT28/AV28</f>
        <v>6.29</v>
      </c>
      <c r="BD28" s="69">
        <f>AU28/AT28</f>
        <v>0.19978802331743512</v>
      </c>
      <c r="BE28" s="70">
        <f>BD28*AP28</f>
        <v>282.99973502914685</v>
      </c>
      <c r="BF28" s="70">
        <f>BE28/AO28</f>
        <v>565.9994700582937</v>
      </c>
      <c r="BG28" s="69">
        <f>AW28/BA28</f>
        <v>0.44229979466119096</v>
      </c>
      <c r="BH28" s="69">
        <f>AX28/BA28</f>
        <v>6.5708418891170439E-3</v>
      </c>
      <c r="BI28" s="69">
        <f>AY28/BA28</f>
        <v>0.47310061601642711</v>
      </c>
      <c r="BJ28" s="69">
        <f>AZ28/BA28</f>
        <v>7.8028747433264892E-2</v>
      </c>
      <c r="BK28" s="70">
        <f>BG28*$BF28</f>
        <v>250.3414493851262</v>
      </c>
      <c r="BL28" s="70">
        <f>BH28*$BF28</f>
        <v>3.7190930270770841</v>
      </c>
      <c r="BM28" s="70">
        <f>BI28*$BF28</f>
        <v>267.77469794955005</v>
      </c>
      <c r="BN28" s="70">
        <f>BJ28*$BF28</f>
        <v>44.164229696540374</v>
      </c>
      <c r="BO28" s="73">
        <f>AVERAGE(T28:W28)</f>
        <v>25.325000000000003</v>
      </c>
      <c r="BP28" s="73">
        <f>AVERAGE(X28:AA28)</f>
        <v>47.5</v>
      </c>
      <c r="BQ28" s="73">
        <f>AVERAGE(AB28:AE28)</f>
        <v>50.075000000000003</v>
      </c>
      <c r="BR28" s="73">
        <f>AVERAGE(AF28:AI28)</f>
        <v>54.224999999999994</v>
      </c>
      <c r="BS28" s="73">
        <f>AVERAGE(AJ28:AM28)</f>
        <v>51.524999999999999</v>
      </c>
      <c r="BT28" s="145">
        <v>30.076000000000001</v>
      </c>
      <c r="BU28" s="145">
        <v>39.200000000000003</v>
      </c>
      <c r="BV28" s="73">
        <v>21.943000000000001</v>
      </c>
      <c r="BW28" s="73">
        <v>17.313000000000002</v>
      </c>
      <c r="BX28" s="73">
        <v>30.240000000000002</v>
      </c>
      <c r="BY28" s="73">
        <v>142.79999999999998</v>
      </c>
      <c r="BZ28" s="73">
        <v>72.099999999999994</v>
      </c>
      <c r="CA28" s="73">
        <v>60.5</v>
      </c>
      <c r="CB28" s="73">
        <v>180.6</v>
      </c>
      <c r="CC28" s="73">
        <v>290</v>
      </c>
      <c r="CD28" s="146">
        <v>-24.81</v>
      </c>
      <c r="CE28" s="146">
        <v>-24.95</v>
      </c>
      <c r="CF28" s="146">
        <v>-24.95</v>
      </c>
      <c r="CG28" s="146">
        <v>-25.07</v>
      </c>
      <c r="CH28" s="146">
        <v>-23.81</v>
      </c>
      <c r="CJ28" s="61"/>
      <c r="CK28" s="74" t="s">
        <v>290</v>
      </c>
      <c r="CL28" s="61"/>
      <c r="CM28" s="61"/>
      <c r="CN28" s="61"/>
      <c r="CO28" s="61"/>
      <c r="CP28" s="61"/>
      <c r="CQ28" s="61"/>
      <c r="CR28" s="61"/>
      <c r="CS28" s="61"/>
      <c r="CT28" s="61"/>
      <c r="CU28"/>
      <c r="CV28"/>
      <c r="CW28" s="72"/>
    </row>
    <row r="29" spans="1:101" s="64" customFormat="1" x14ac:dyDescent="0.25">
      <c r="A29" s="63">
        <v>4</v>
      </c>
      <c r="B29" s="63">
        <v>4</v>
      </c>
      <c r="C29" s="63">
        <v>2</v>
      </c>
      <c r="D29" s="63">
        <v>13</v>
      </c>
      <c r="E29" s="63">
        <v>29</v>
      </c>
      <c r="F29" s="63" t="s">
        <v>30</v>
      </c>
      <c r="G29" s="63" t="s">
        <v>29</v>
      </c>
      <c r="H29" s="63">
        <v>404</v>
      </c>
      <c r="I29" s="63" t="str">
        <f>"EVA"&amp;"_"&amp;H29</f>
        <v>EVA_404</v>
      </c>
      <c r="J29" s="66">
        <v>45551</v>
      </c>
      <c r="K29" s="63">
        <v>0.78</v>
      </c>
      <c r="L29" s="65">
        <v>0.05</v>
      </c>
      <c r="M29" s="65">
        <v>7.2999999999999995E-2</v>
      </c>
      <c r="N29" s="65">
        <v>0.218</v>
      </c>
      <c r="O29" s="65">
        <v>0.38300000000000001</v>
      </c>
      <c r="P29" s="75">
        <f>1-L29</f>
        <v>0.95</v>
      </c>
      <c r="Q29" s="75">
        <f>1-M29</f>
        <v>0.92700000000000005</v>
      </c>
      <c r="R29" s="75">
        <f>1-N29</f>
        <v>0.78200000000000003</v>
      </c>
      <c r="S29" s="75">
        <f>1-O29</f>
        <v>0.61699999999999999</v>
      </c>
      <c r="T29" s="63">
        <v>28.4</v>
      </c>
      <c r="U29" s="63">
        <v>38.4</v>
      </c>
      <c r="V29" s="63">
        <v>1.8</v>
      </c>
      <c r="W29" s="63">
        <v>41</v>
      </c>
      <c r="X29" s="63">
        <v>46.1</v>
      </c>
      <c r="Y29" s="63">
        <v>47</v>
      </c>
      <c r="Z29" s="63">
        <v>47.7</v>
      </c>
      <c r="AA29" s="63">
        <v>45.7</v>
      </c>
      <c r="AB29" s="63">
        <v>48.9</v>
      </c>
      <c r="AC29" s="63">
        <v>47.7</v>
      </c>
      <c r="AD29" s="63">
        <v>48</v>
      </c>
      <c r="AE29" s="63">
        <v>46</v>
      </c>
      <c r="AF29" s="63">
        <v>50.4</v>
      </c>
      <c r="AG29" s="63">
        <v>52.9</v>
      </c>
      <c r="AH29" s="63">
        <v>50.8</v>
      </c>
      <c r="AI29" s="63">
        <v>49.1</v>
      </c>
      <c r="AJ29" s="63">
        <v>49.4</v>
      </c>
      <c r="AK29" s="63">
        <v>50.3</v>
      </c>
      <c r="AL29" s="63">
        <v>48.3</v>
      </c>
      <c r="AM29" s="63">
        <v>46.6</v>
      </c>
      <c r="AN29" s="67">
        <v>54</v>
      </c>
      <c r="AO29" s="63">
        <v>0.5</v>
      </c>
      <c r="AP29" s="63">
        <v>1221.2</v>
      </c>
      <c r="AQ29" s="70">
        <f>AP29/AO29</f>
        <v>2442.4</v>
      </c>
      <c r="AR29" s="63">
        <v>261</v>
      </c>
      <c r="AS29" s="63">
        <v>50</v>
      </c>
      <c r="AT29" s="63">
        <v>158.80000000000001</v>
      </c>
      <c r="AU29" s="63">
        <v>36.42</v>
      </c>
      <c r="AV29" s="63">
        <v>30</v>
      </c>
      <c r="AW29" s="63">
        <v>8.93</v>
      </c>
      <c r="AX29" s="63">
        <v>0.79</v>
      </c>
      <c r="AY29" s="63">
        <v>12.62</v>
      </c>
      <c r="AZ29" s="63">
        <v>1.55</v>
      </c>
      <c r="BA29" s="63">
        <f>SUM(AW29:AZ29)</f>
        <v>23.889999999999997</v>
      </c>
      <c r="BB29" s="68">
        <f>AU29/AV29</f>
        <v>1.214</v>
      </c>
      <c r="BC29" s="68">
        <f>AT29/AV29</f>
        <v>5.2933333333333339</v>
      </c>
      <c r="BD29" s="69">
        <f>AU29/AT29</f>
        <v>0.22934508816120905</v>
      </c>
      <c r="BE29" s="70">
        <f>BD29*AP29</f>
        <v>280.07622166246853</v>
      </c>
      <c r="BF29" s="70">
        <f>BE29/AO29</f>
        <v>560.15244332493705</v>
      </c>
      <c r="BG29" s="69">
        <f>AW29/BA29</f>
        <v>0.37379656760150692</v>
      </c>
      <c r="BH29" s="69">
        <f>AX29/BA29</f>
        <v>3.3068229384679786E-2</v>
      </c>
      <c r="BI29" s="69">
        <f>AY29/BA29</f>
        <v>0.52825449979070749</v>
      </c>
      <c r="BJ29" s="69">
        <f>AZ29/BA29</f>
        <v>6.4880703223105907E-2</v>
      </c>
      <c r="BK29" s="70">
        <f>BG29*$BF29</f>
        <v>209.38306064845912</v>
      </c>
      <c r="BL29" s="70">
        <f>BH29*$BF29</f>
        <v>18.52324948625786</v>
      </c>
      <c r="BM29" s="70">
        <f>BI29*$BF29</f>
        <v>295.90304875515727</v>
      </c>
      <c r="BN29" s="70">
        <f>BJ29*$BF29</f>
        <v>36.343084435062892</v>
      </c>
      <c r="BO29" s="73">
        <f>AVERAGE(T29:W29)</f>
        <v>27.4</v>
      </c>
      <c r="BP29" s="73">
        <f>AVERAGE(X29:AA29)</f>
        <v>46.625</v>
      </c>
      <c r="BQ29" s="73">
        <f>AVERAGE(AB29:AE29)</f>
        <v>47.65</v>
      </c>
      <c r="BR29" s="73">
        <f>AVERAGE(AF29:AI29)</f>
        <v>50.8</v>
      </c>
      <c r="BS29" s="73">
        <f>AVERAGE(AJ29:AM29)</f>
        <v>48.65</v>
      </c>
      <c r="BT29" s="145">
        <v>22.085000000000001</v>
      </c>
      <c r="BU29" s="145">
        <v>35.863999999999997</v>
      </c>
      <c r="BV29" s="73">
        <v>19.093</v>
      </c>
      <c r="BW29" s="73"/>
      <c r="BX29" s="73">
        <v>25.933</v>
      </c>
      <c r="BY29" s="73">
        <v>215.9</v>
      </c>
      <c r="BZ29" s="73">
        <v>106.30000000000001</v>
      </c>
      <c r="CA29" s="73">
        <v>80.3</v>
      </c>
      <c r="CB29" s="73"/>
      <c r="CC29" s="73">
        <v>320.20000000000005</v>
      </c>
      <c r="CD29" s="146">
        <v>-24.08</v>
      </c>
      <c r="CE29" s="146">
        <v>-24.19</v>
      </c>
      <c r="CF29" s="146">
        <v>-24.68</v>
      </c>
      <c r="CG29" s="146"/>
      <c r="CH29" s="146">
        <v>-23.64</v>
      </c>
      <c r="CJ29" s="61"/>
      <c r="CK29" s="61" t="s">
        <v>451</v>
      </c>
      <c r="CL29" s="61"/>
      <c r="CM29" s="61"/>
      <c r="CN29" s="61"/>
      <c r="CO29" s="61" t="s">
        <v>458</v>
      </c>
      <c r="CP29" s="61"/>
      <c r="CQ29" s="61"/>
      <c r="CR29" s="61"/>
      <c r="CS29" s="61" t="s">
        <v>459</v>
      </c>
      <c r="CT29" s="61" t="s">
        <v>460</v>
      </c>
      <c r="CU29"/>
      <c r="CV29"/>
      <c r="CW29" s="72"/>
    </row>
    <row r="30" spans="1:101" s="64" customFormat="1" x14ac:dyDescent="0.25">
      <c r="A30" s="63">
        <v>4</v>
      </c>
      <c r="B30" s="63">
        <v>5</v>
      </c>
      <c r="C30" s="63">
        <v>3</v>
      </c>
      <c r="D30" s="63">
        <v>20</v>
      </c>
      <c r="E30" s="63">
        <v>28</v>
      </c>
      <c r="F30" s="63" t="s">
        <v>25</v>
      </c>
      <c r="G30" s="63" t="s">
        <v>27</v>
      </c>
      <c r="H30" s="63">
        <v>405</v>
      </c>
      <c r="I30" s="63" t="str">
        <f>"EVA"&amp;"_"&amp;H30</f>
        <v>EVA_405</v>
      </c>
      <c r="J30" s="66">
        <v>45544</v>
      </c>
      <c r="K30" s="63">
        <v>0.83</v>
      </c>
      <c r="L30" s="65">
        <v>4.2999999999999997E-2</v>
      </c>
      <c r="M30" s="65">
        <v>8.5000000000000006E-2</v>
      </c>
      <c r="N30" s="65">
        <v>0.13400000000000001</v>
      </c>
      <c r="O30" s="65">
        <v>0.20699999999999999</v>
      </c>
      <c r="P30" s="75">
        <f>1-L30</f>
        <v>0.95699999999999996</v>
      </c>
      <c r="Q30" s="75">
        <f>1-M30</f>
        <v>0.91500000000000004</v>
      </c>
      <c r="R30" s="75">
        <f>1-N30</f>
        <v>0.86599999999999999</v>
      </c>
      <c r="S30" s="75">
        <f>1-O30</f>
        <v>0.79300000000000004</v>
      </c>
      <c r="T30" s="63">
        <v>8.1999999999999993</v>
      </c>
      <c r="U30" s="63">
        <v>48.2</v>
      </c>
      <c r="V30" s="63">
        <v>46.9</v>
      </c>
      <c r="W30" s="63">
        <v>33.4</v>
      </c>
      <c r="X30" s="63">
        <v>43.2</v>
      </c>
      <c r="Y30" s="63">
        <v>51.9</v>
      </c>
      <c r="Z30" s="63">
        <v>53.4</v>
      </c>
      <c r="AA30" s="63">
        <v>51.1</v>
      </c>
      <c r="AB30" s="63">
        <v>53.9</v>
      </c>
      <c r="AC30" s="63">
        <v>48.7</v>
      </c>
      <c r="AD30" s="63">
        <v>54.4</v>
      </c>
      <c r="AE30" s="63">
        <v>54.3</v>
      </c>
      <c r="AF30" s="63">
        <v>51.2</v>
      </c>
      <c r="AG30" s="63">
        <v>53</v>
      </c>
      <c r="AH30" s="63">
        <v>52.6</v>
      </c>
      <c r="AI30" s="63">
        <v>55.2</v>
      </c>
      <c r="AJ30" s="63">
        <v>53</v>
      </c>
      <c r="AK30" s="63">
        <v>45.8</v>
      </c>
      <c r="AL30" s="63">
        <v>45.6</v>
      </c>
      <c r="AM30" s="63">
        <v>45.9</v>
      </c>
      <c r="AN30" s="67">
        <v>58</v>
      </c>
      <c r="AO30" s="63">
        <v>0.5</v>
      </c>
      <c r="AP30" s="63">
        <v>1285.5999999999999</v>
      </c>
      <c r="AQ30" s="70">
        <f>AP30/AO30</f>
        <v>2571.1999999999998</v>
      </c>
      <c r="AR30" s="63">
        <v>377.2</v>
      </c>
      <c r="AS30" s="63">
        <v>50</v>
      </c>
      <c r="AT30" s="63">
        <v>227.9</v>
      </c>
      <c r="AU30" s="63">
        <v>46.67</v>
      </c>
      <c r="AV30" s="63">
        <v>30</v>
      </c>
      <c r="AW30" s="63">
        <v>11.73</v>
      </c>
      <c r="AX30" s="63">
        <v>0.5</v>
      </c>
      <c r="AY30" s="63">
        <v>16.88</v>
      </c>
      <c r="AZ30" s="63">
        <v>1.92</v>
      </c>
      <c r="BA30" s="63">
        <f>SUM(AW30:AZ30)</f>
        <v>31.03</v>
      </c>
      <c r="BB30" s="68">
        <f>AU30/AV30</f>
        <v>1.5556666666666668</v>
      </c>
      <c r="BC30" s="68">
        <f>AT30/AV30</f>
        <v>7.5966666666666667</v>
      </c>
      <c r="BD30" s="69">
        <f>AU30/AT30</f>
        <v>0.20478279947345326</v>
      </c>
      <c r="BE30" s="70">
        <f>BD30*AP30</f>
        <v>263.2687670030715</v>
      </c>
      <c r="BF30" s="70">
        <f>BE30/AO30</f>
        <v>526.53753400614301</v>
      </c>
      <c r="BG30" s="69">
        <f>AW30/BA30</f>
        <v>0.37802126973896227</v>
      </c>
      <c r="BH30" s="69">
        <f>AX30/BA30</f>
        <v>1.6113438607798902E-2</v>
      </c>
      <c r="BI30" s="69">
        <f>AY30/BA30</f>
        <v>0.54398968739929099</v>
      </c>
      <c r="BJ30" s="69">
        <f>AZ30/BA30</f>
        <v>6.1875604253947787E-2</v>
      </c>
      <c r="BK30" s="70">
        <f>BG30*$BF30</f>
        <v>199.0423871702242</v>
      </c>
      <c r="BL30" s="70">
        <f>BH30*$BF30</f>
        <v>8.4843302289098119</v>
      </c>
      <c r="BM30" s="70">
        <f>BI30*$BF30</f>
        <v>286.43098852799528</v>
      </c>
      <c r="BN30" s="70">
        <f>BJ30*$BF30</f>
        <v>32.57982807901368</v>
      </c>
      <c r="BO30" s="73">
        <f>AVERAGE(T30:W30)</f>
        <v>34.175000000000004</v>
      </c>
      <c r="BP30" s="73">
        <f>AVERAGE(X30:AA30)</f>
        <v>49.9</v>
      </c>
      <c r="BQ30" s="73">
        <f>AVERAGE(AB30:AE30)</f>
        <v>52.825000000000003</v>
      </c>
      <c r="BR30" s="73">
        <f>AVERAGE(AF30:AI30)</f>
        <v>53</v>
      </c>
      <c r="BS30" s="73">
        <f>AVERAGE(AJ30:AM30)</f>
        <v>47.575000000000003</v>
      </c>
      <c r="BT30" s="145">
        <v>24.441000000000003</v>
      </c>
      <c r="BU30" s="145">
        <v>34.484000000000002</v>
      </c>
      <c r="BV30" s="73">
        <v>25.597999999999999</v>
      </c>
      <c r="BW30" s="73">
        <v>13.654</v>
      </c>
      <c r="BX30" s="73">
        <v>22.681000000000001</v>
      </c>
      <c r="BY30" s="73">
        <v>176</v>
      </c>
      <c r="BZ30" s="73">
        <v>111.30000000000001</v>
      </c>
      <c r="CA30" s="73">
        <v>62.9</v>
      </c>
      <c r="CB30" s="73">
        <v>196.20000000000002</v>
      </c>
      <c r="CC30" s="73">
        <v>286.90000000000003</v>
      </c>
      <c r="CD30" s="146">
        <v>-24.37</v>
      </c>
      <c r="CE30" s="146">
        <v>-24.33</v>
      </c>
      <c r="CF30" s="146">
        <v>-24.95</v>
      </c>
      <c r="CG30" s="147">
        <v>-24.85</v>
      </c>
      <c r="CH30" s="146">
        <v>-23.62</v>
      </c>
      <c r="CJ30" s="74" t="s">
        <v>291</v>
      </c>
      <c r="CK30" s="61">
        <v>1</v>
      </c>
      <c r="CL30" s="61">
        <v>2</v>
      </c>
      <c r="CM30" s="61">
        <v>3</v>
      </c>
      <c r="CN30" s="61">
        <v>4</v>
      </c>
      <c r="CO30" s="61">
        <v>1</v>
      </c>
      <c r="CP30" s="61">
        <v>2</v>
      </c>
      <c r="CQ30" s="61">
        <v>3</v>
      </c>
      <c r="CR30" s="61">
        <v>4</v>
      </c>
      <c r="CS30" s="61"/>
      <c r="CT30" s="61"/>
      <c r="CU30"/>
      <c r="CV30"/>
      <c r="CW30" s="72"/>
    </row>
    <row r="31" spans="1:101" s="64" customFormat="1" x14ac:dyDescent="0.25">
      <c r="A31" s="63">
        <v>4</v>
      </c>
      <c r="B31" s="63">
        <v>6</v>
      </c>
      <c r="C31" s="63">
        <v>3</v>
      </c>
      <c r="D31" s="63">
        <v>21</v>
      </c>
      <c r="E31" s="63">
        <v>27</v>
      </c>
      <c r="F31" s="63" t="s">
        <v>30</v>
      </c>
      <c r="G31" s="63" t="s">
        <v>28</v>
      </c>
      <c r="H31" s="63">
        <v>406</v>
      </c>
      <c r="I31" s="63" t="str">
        <f>"EVA"&amp;"_"&amp;H31</f>
        <v>EVA_406</v>
      </c>
      <c r="J31" s="66">
        <v>45551</v>
      </c>
      <c r="K31" s="63">
        <v>0.81</v>
      </c>
      <c r="L31" s="65">
        <v>0.115</v>
      </c>
      <c r="M31" s="65">
        <v>0.14000000000000001</v>
      </c>
      <c r="N31" s="65">
        <v>0.18099999999999999</v>
      </c>
      <c r="O31" s="65">
        <v>0.373</v>
      </c>
      <c r="P31" s="75">
        <f>1-L31</f>
        <v>0.88500000000000001</v>
      </c>
      <c r="Q31" s="75">
        <f>1-M31</f>
        <v>0.86</v>
      </c>
      <c r="R31" s="75">
        <f>1-N31</f>
        <v>0.81899999999999995</v>
      </c>
      <c r="S31" s="75">
        <f>1-O31</f>
        <v>0.627</v>
      </c>
      <c r="T31" s="63">
        <v>21.4</v>
      </c>
      <c r="U31" s="63">
        <v>38.799999999999997</v>
      </c>
      <c r="V31" s="63">
        <v>11.5</v>
      </c>
      <c r="W31" s="63">
        <v>31.7</v>
      </c>
      <c r="X31" s="63">
        <v>45.1</v>
      </c>
      <c r="Y31" s="63">
        <v>45.6</v>
      </c>
      <c r="Z31" s="63">
        <v>40.5</v>
      </c>
      <c r="AA31" s="63">
        <v>46.1</v>
      </c>
      <c r="AB31" s="63">
        <v>48.2</v>
      </c>
      <c r="AC31" s="63">
        <v>49.4</v>
      </c>
      <c r="AD31" s="63">
        <v>48.5</v>
      </c>
      <c r="AE31" s="63">
        <v>50.6</v>
      </c>
      <c r="AF31" s="63">
        <v>48.9</v>
      </c>
      <c r="AG31" s="63">
        <v>47.6</v>
      </c>
      <c r="AH31" s="63">
        <v>48.9</v>
      </c>
      <c r="AI31" s="63">
        <v>54.1</v>
      </c>
      <c r="AJ31" s="63">
        <v>50.9</v>
      </c>
      <c r="AK31" s="63">
        <v>49.6</v>
      </c>
      <c r="AL31" s="63">
        <v>50.1</v>
      </c>
      <c r="AM31" s="63">
        <v>52.1</v>
      </c>
      <c r="AN31" s="67">
        <v>51</v>
      </c>
      <c r="AO31" s="63">
        <v>0.5</v>
      </c>
      <c r="AP31" s="63">
        <v>1155.5</v>
      </c>
      <c r="AQ31" s="70">
        <f>AP31/AO31</f>
        <v>2311</v>
      </c>
      <c r="AR31" s="63">
        <v>256.89999999999998</v>
      </c>
      <c r="AS31" s="63">
        <v>50</v>
      </c>
      <c r="AT31" s="63">
        <v>159.30000000000001</v>
      </c>
      <c r="AU31" s="63">
        <v>35.090000000000003</v>
      </c>
      <c r="AV31" s="63">
        <v>30</v>
      </c>
      <c r="AW31" s="63">
        <v>8.52</v>
      </c>
      <c r="AX31" s="63">
        <v>0.41</v>
      </c>
      <c r="AY31" s="63">
        <v>10.119999999999999</v>
      </c>
      <c r="AZ31" s="63">
        <v>2.56</v>
      </c>
      <c r="BA31" s="63">
        <f>SUM(AW31:AZ31)</f>
        <v>21.609999999999996</v>
      </c>
      <c r="BB31" s="68">
        <f>AU31/AV31</f>
        <v>1.1696666666666669</v>
      </c>
      <c r="BC31" s="68">
        <f>AT31/AV31</f>
        <v>5.3100000000000005</v>
      </c>
      <c r="BD31" s="69">
        <f>AU31/AT31</f>
        <v>0.22027620841180165</v>
      </c>
      <c r="BE31" s="70">
        <f>BD31*AP31</f>
        <v>254.52915881983679</v>
      </c>
      <c r="BF31" s="70">
        <f>BE31/AO31</f>
        <v>509.05831763967359</v>
      </c>
      <c r="BG31" s="69">
        <f>AW31/BA31</f>
        <v>0.39426191577973169</v>
      </c>
      <c r="BH31" s="69">
        <f>AX31/BA31</f>
        <v>1.8972697825080983E-2</v>
      </c>
      <c r="BI31" s="69">
        <f>AY31/BA31</f>
        <v>0.4683017121702916</v>
      </c>
      <c r="BJ31" s="69">
        <f>AZ31/BA31</f>
        <v>0.11846367422489591</v>
      </c>
      <c r="BK31" s="70">
        <f>BG31*$BF31</f>
        <v>200.70230755622489</v>
      </c>
      <c r="BL31" s="70">
        <f>BH31*$BF31</f>
        <v>9.6582096359216187</v>
      </c>
      <c r="BM31" s="70">
        <f>BI31*$BF31</f>
        <v>238.39288174518728</v>
      </c>
      <c r="BN31" s="70">
        <f>BJ31*$BF31</f>
        <v>60.304918702339876</v>
      </c>
      <c r="BO31" s="73">
        <f>AVERAGE(T31:W31)</f>
        <v>25.849999999999998</v>
      </c>
      <c r="BP31" s="73">
        <f>AVERAGE(X31:AA31)</f>
        <v>44.324999999999996</v>
      </c>
      <c r="BQ31" s="73">
        <f>AVERAGE(AB31:AE31)</f>
        <v>49.174999999999997</v>
      </c>
      <c r="BR31" s="73">
        <f>AVERAGE(AF31:AI31)</f>
        <v>49.875</v>
      </c>
      <c r="BS31" s="73">
        <f>AVERAGE(AJ31:AM31)</f>
        <v>50.674999999999997</v>
      </c>
      <c r="BT31" s="145">
        <v>25.548000000000002</v>
      </c>
      <c r="BU31" s="145">
        <v>33.972999999999999</v>
      </c>
      <c r="BV31" s="73">
        <v>14.55</v>
      </c>
      <c r="BW31" s="73">
        <v>13.039000000000001</v>
      </c>
      <c r="BX31" s="73">
        <v>24.277000000000001</v>
      </c>
      <c r="BY31" s="73">
        <v>167.2</v>
      </c>
      <c r="BZ31" s="73">
        <v>103.80000000000001</v>
      </c>
      <c r="CA31" s="73">
        <v>79.599999999999994</v>
      </c>
      <c r="CB31" s="73">
        <v>218</v>
      </c>
      <c r="CC31" s="73">
        <v>276.60000000000002</v>
      </c>
      <c r="CD31" s="146">
        <v>-24.21</v>
      </c>
      <c r="CE31" s="146">
        <v>-24.24</v>
      </c>
      <c r="CF31" s="146">
        <v>-24.47</v>
      </c>
      <c r="CG31" s="147">
        <v>-24.75</v>
      </c>
      <c r="CH31" s="146">
        <v>-23.97</v>
      </c>
      <c r="CJ31" s="78" t="s">
        <v>25</v>
      </c>
      <c r="CK31" s="43">
        <v>750.72792825924103</v>
      </c>
      <c r="CL31" s="43">
        <v>795.29148440867345</v>
      </c>
      <c r="CM31" s="43">
        <v>646.10986022775637</v>
      </c>
      <c r="CN31" s="43">
        <v>658.74769176610164</v>
      </c>
      <c r="CO31" s="61">
        <v>1.5734166666666667</v>
      </c>
      <c r="CP31" s="61">
        <v>1.5999166666666667</v>
      </c>
      <c r="CQ31" s="61">
        <v>1.3460000000000001</v>
      </c>
      <c r="CR31" s="61">
        <v>1.3753333333333333</v>
      </c>
      <c r="CS31" s="61">
        <v>712.71924116544312</v>
      </c>
      <c r="CT31" s="61">
        <v>1.4736666666666667</v>
      </c>
      <c r="CU31"/>
      <c r="CV31"/>
      <c r="CW31" s="72"/>
    </row>
    <row r="32" spans="1:101" s="64" customFormat="1" x14ac:dyDescent="0.25">
      <c r="A32" s="63">
        <v>4</v>
      </c>
      <c r="B32" s="63">
        <v>7</v>
      </c>
      <c r="C32" s="63">
        <v>4</v>
      </c>
      <c r="D32" s="63">
        <v>28</v>
      </c>
      <c r="E32" s="63">
        <v>26</v>
      </c>
      <c r="F32" s="63" t="s">
        <v>25</v>
      </c>
      <c r="G32" s="63" t="s">
        <v>26</v>
      </c>
      <c r="H32" s="63">
        <v>407</v>
      </c>
      <c r="I32" s="63" t="str">
        <f>"EVA"&amp;"_"&amp;H32</f>
        <v>EVA_407</v>
      </c>
      <c r="J32" s="66">
        <v>45559</v>
      </c>
      <c r="K32" s="63">
        <v>0.82</v>
      </c>
      <c r="L32" s="65">
        <v>6.6000000000000003E-2</v>
      </c>
      <c r="M32" s="65">
        <v>0.108</v>
      </c>
      <c r="N32" s="65">
        <v>0.189</v>
      </c>
      <c r="O32" s="65">
        <v>0.26200000000000001</v>
      </c>
      <c r="P32" s="75">
        <f>1-L32</f>
        <v>0.93399999999999994</v>
      </c>
      <c r="Q32" s="75">
        <f>1-M32</f>
        <v>0.89200000000000002</v>
      </c>
      <c r="R32" s="75">
        <f>1-N32</f>
        <v>0.81099999999999994</v>
      </c>
      <c r="S32" s="75">
        <f>1-O32</f>
        <v>0.73799999999999999</v>
      </c>
      <c r="T32" s="63">
        <v>39.6</v>
      </c>
      <c r="U32" s="63">
        <v>49.4</v>
      </c>
      <c r="V32" s="63">
        <v>48.8</v>
      </c>
      <c r="W32" s="63">
        <v>57.9</v>
      </c>
      <c r="X32" s="63">
        <v>58.2</v>
      </c>
      <c r="Y32" s="63">
        <v>54.4</v>
      </c>
      <c r="Z32" s="63">
        <v>57.7</v>
      </c>
      <c r="AA32" s="63">
        <v>54.6</v>
      </c>
      <c r="AB32" s="63">
        <v>57.1</v>
      </c>
      <c r="AC32" s="63">
        <v>53.7</v>
      </c>
      <c r="AD32" s="63">
        <v>54.4</v>
      </c>
      <c r="AE32" s="63">
        <v>56.9</v>
      </c>
      <c r="AF32" s="63">
        <v>56.3</v>
      </c>
      <c r="AG32" s="63">
        <v>52</v>
      </c>
      <c r="AH32" s="63">
        <v>53.1</v>
      </c>
      <c r="AI32" s="63">
        <v>53.1</v>
      </c>
      <c r="AJ32" s="63">
        <v>49.2</v>
      </c>
      <c r="AK32" s="63">
        <v>53.3</v>
      </c>
      <c r="AL32" s="63">
        <v>45.7</v>
      </c>
      <c r="AM32" s="63">
        <v>50.4</v>
      </c>
      <c r="AN32" s="67">
        <v>71</v>
      </c>
      <c r="AO32" s="63">
        <v>0.5</v>
      </c>
      <c r="AP32" s="63">
        <v>1805.8</v>
      </c>
      <c r="AQ32" s="70">
        <f>AP32/AO32</f>
        <v>3611.6</v>
      </c>
      <c r="AR32" s="63">
        <v>328</v>
      </c>
      <c r="AS32" s="63">
        <v>50</v>
      </c>
      <c r="AT32" s="63">
        <v>187.3</v>
      </c>
      <c r="AU32" s="63">
        <v>45.97</v>
      </c>
      <c r="AV32" s="63">
        <v>30</v>
      </c>
      <c r="AW32" s="63">
        <v>9.3699999999999992</v>
      </c>
      <c r="AX32" s="63">
        <v>1.95</v>
      </c>
      <c r="AY32" s="63">
        <v>20.9</v>
      </c>
      <c r="AZ32" s="63">
        <v>2.38</v>
      </c>
      <c r="BA32" s="63">
        <f>SUM(AW32:AZ32)</f>
        <v>34.6</v>
      </c>
      <c r="BB32" s="68">
        <f>AU32/AV32</f>
        <v>1.5323333333333333</v>
      </c>
      <c r="BC32" s="68">
        <f>AT32/AV32</f>
        <v>6.2433333333333341</v>
      </c>
      <c r="BD32" s="69">
        <f>AU32/AT32</f>
        <v>0.24543513080619325</v>
      </c>
      <c r="BE32" s="70">
        <f>BD32*AP32</f>
        <v>443.20675920982376</v>
      </c>
      <c r="BF32" s="70">
        <f>BE32/AO32</f>
        <v>886.41351841964752</v>
      </c>
      <c r="BG32" s="69">
        <f>AW32/BA32</f>
        <v>0.27080924855491328</v>
      </c>
      <c r="BH32" s="69">
        <f>AX32/BA32</f>
        <v>5.6358381502890173E-2</v>
      </c>
      <c r="BI32" s="69">
        <f>AY32/BA32</f>
        <v>0.60404624277456642</v>
      </c>
      <c r="BJ32" s="69">
        <f>AZ32/BA32</f>
        <v>6.8786127167630051E-2</v>
      </c>
      <c r="BK32" s="70">
        <f>BG32*$BF32</f>
        <v>240.04897883214153</v>
      </c>
      <c r="BL32" s="70">
        <f>BH32*$BF32</f>
        <v>49.956831240413663</v>
      </c>
      <c r="BM32" s="70">
        <f>BI32*$BF32</f>
        <v>535.43475534597201</v>
      </c>
      <c r="BN32" s="70">
        <f>BJ32*$BF32</f>
        <v>60.97295300112026</v>
      </c>
      <c r="BO32" s="73">
        <f>AVERAGE(T32:W32)</f>
        <v>48.925000000000004</v>
      </c>
      <c r="BP32" s="73">
        <f>AVERAGE(X32:AA32)</f>
        <v>56.225000000000001</v>
      </c>
      <c r="BQ32" s="73">
        <f>AVERAGE(AB32:AE32)</f>
        <v>55.525000000000006</v>
      </c>
      <c r="BR32" s="73">
        <f>AVERAGE(AF32:AI32)</f>
        <v>53.625</v>
      </c>
      <c r="BS32" s="73">
        <f>AVERAGE(AJ32:AM32)</f>
        <v>49.65</v>
      </c>
      <c r="BT32" s="145">
        <v>23.887999999999998</v>
      </c>
      <c r="BU32" s="145">
        <v>37.928000000000004</v>
      </c>
      <c r="BV32" s="73">
        <v>14.528</v>
      </c>
      <c r="BW32" s="73">
        <v>12.108000000000001</v>
      </c>
      <c r="BX32" s="73">
        <v>18.827000000000002</v>
      </c>
      <c r="BY32" s="73">
        <v>193.2</v>
      </c>
      <c r="BZ32" s="73">
        <v>107.69999999999999</v>
      </c>
      <c r="CA32" s="73">
        <v>63.9</v>
      </c>
      <c r="CB32" s="73">
        <v>203.4</v>
      </c>
      <c r="CC32" s="73">
        <v>260.5</v>
      </c>
      <c r="CD32" s="146">
        <v>-24.22</v>
      </c>
      <c r="CE32" s="146">
        <v>-24.32</v>
      </c>
      <c r="CF32" s="146">
        <v>-25.11</v>
      </c>
      <c r="CG32" s="147">
        <v>-24.64</v>
      </c>
      <c r="CH32" s="146">
        <v>-23.62</v>
      </c>
      <c r="CJ32" s="79" t="s">
        <v>26</v>
      </c>
      <c r="CK32" s="43">
        <v>1020.9034100516675</v>
      </c>
      <c r="CL32" s="43">
        <v>1008.7982581227437</v>
      </c>
      <c r="CM32" s="43">
        <v>748.9781902552204</v>
      </c>
      <c r="CN32" s="43">
        <v>886.41351841964752</v>
      </c>
      <c r="CO32" s="61">
        <v>1.6520000000000001</v>
      </c>
      <c r="CP32" s="61">
        <v>1.6103333333333334</v>
      </c>
      <c r="CQ32" s="61">
        <v>1.3599999999999999</v>
      </c>
      <c r="CR32" s="61">
        <v>1.5323333333333333</v>
      </c>
      <c r="CS32" s="61">
        <v>916.27334421231978</v>
      </c>
      <c r="CT32" s="61">
        <v>1.5386666666666668</v>
      </c>
      <c r="CU32"/>
      <c r="CV32"/>
      <c r="CW32" s="72"/>
    </row>
    <row r="33" spans="1:101" s="64" customFormat="1" x14ac:dyDescent="0.25">
      <c r="A33" s="63">
        <v>4</v>
      </c>
      <c r="B33" s="63">
        <v>8</v>
      </c>
      <c r="C33" s="63">
        <v>4</v>
      </c>
      <c r="D33" s="63">
        <v>29</v>
      </c>
      <c r="E33" s="63">
        <v>25</v>
      </c>
      <c r="F33" s="63" t="s">
        <v>30</v>
      </c>
      <c r="G33" s="63" t="s">
        <v>31</v>
      </c>
      <c r="H33" s="63">
        <v>408</v>
      </c>
      <c r="I33" s="63" t="str">
        <f>"EVA"&amp;"_"&amp;H33</f>
        <v>EVA_408</v>
      </c>
      <c r="J33" s="66">
        <v>45548</v>
      </c>
      <c r="K33" s="63">
        <v>0.84</v>
      </c>
      <c r="L33" s="65">
        <v>1.4E-2</v>
      </c>
      <c r="M33" s="65">
        <v>6.3E-2</v>
      </c>
      <c r="N33" s="65">
        <v>0.14000000000000001</v>
      </c>
      <c r="O33" s="65">
        <v>0.28599999999999998</v>
      </c>
      <c r="P33" s="75">
        <f>1-L33</f>
        <v>0.98599999999999999</v>
      </c>
      <c r="Q33" s="75">
        <f>1-M33</f>
        <v>0.93700000000000006</v>
      </c>
      <c r="R33" s="75">
        <f>1-N33</f>
        <v>0.86</v>
      </c>
      <c r="S33" s="75">
        <f>1-O33</f>
        <v>0.71399999999999997</v>
      </c>
      <c r="T33" s="63">
        <v>5.4</v>
      </c>
      <c r="U33" s="63">
        <v>36.1</v>
      </c>
      <c r="V33" s="63">
        <v>21.3</v>
      </c>
      <c r="W33" s="63">
        <v>23.7</v>
      </c>
      <c r="X33" s="63">
        <v>32.299999999999997</v>
      </c>
      <c r="Y33" s="63">
        <v>42.6</v>
      </c>
      <c r="Z33" s="63">
        <v>42.7</v>
      </c>
      <c r="AA33" s="63">
        <v>39.200000000000003</v>
      </c>
      <c r="AB33" s="63">
        <v>42.8</v>
      </c>
      <c r="AC33" s="63">
        <v>54.5</v>
      </c>
      <c r="AD33" s="63">
        <v>54.3</v>
      </c>
      <c r="AE33" s="63">
        <v>48.4</v>
      </c>
      <c r="AF33" s="63">
        <v>44.9</v>
      </c>
      <c r="AG33" s="63">
        <v>54.8</v>
      </c>
      <c r="AH33" s="63">
        <v>47.3</v>
      </c>
      <c r="AI33" s="63">
        <v>49.6</v>
      </c>
      <c r="AJ33" s="63">
        <v>48</v>
      </c>
      <c r="AK33" s="63">
        <v>44.7</v>
      </c>
      <c r="AL33" s="63">
        <v>46.6</v>
      </c>
      <c r="AM33" s="63">
        <v>47.8</v>
      </c>
      <c r="AN33" s="67">
        <v>68</v>
      </c>
      <c r="AO33" s="63">
        <v>0.5</v>
      </c>
      <c r="AP33" s="63">
        <v>1483.6</v>
      </c>
      <c r="AQ33" s="70">
        <f>AP33/AO33</f>
        <v>2967.2</v>
      </c>
      <c r="AR33" s="63">
        <v>318.5</v>
      </c>
      <c r="AS33" s="63">
        <v>50</v>
      </c>
      <c r="AT33" s="63">
        <v>203.5</v>
      </c>
      <c r="AU33" s="63">
        <v>44.49</v>
      </c>
      <c r="AV33" s="63">
        <v>30</v>
      </c>
      <c r="AW33" s="63">
        <v>8.32</v>
      </c>
      <c r="AX33" s="63">
        <v>0.59</v>
      </c>
      <c r="AY33" s="63">
        <v>13.76</v>
      </c>
      <c r="AZ33" s="63">
        <v>1.59</v>
      </c>
      <c r="BA33" s="63">
        <f>SUM(AW33:AZ33)</f>
        <v>24.26</v>
      </c>
      <c r="BB33" s="68">
        <f>AU33/AV33</f>
        <v>1.4830000000000001</v>
      </c>
      <c r="BC33" s="68">
        <f>AT33/AV33</f>
        <v>6.7833333333333332</v>
      </c>
      <c r="BD33" s="69">
        <f>AU33/AT33</f>
        <v>0.21862407862407862</v>
      </c>
      <c r="BE33" s="70">
        <f>BD33*AP33</f>
        <v>324.350683046683</v>
      </c>
      <c r="BF33" s="70">
        <f>BE33/AO33</f>
        <v>648.701366093366</v>
      </c>
      <c r="BG33" s="69">
        <f>AW33/BA33</f>
        <v>0.34295136026380874</v>
      </c>
      <c r="BH33" s="69">
        <f>AX33/BA33</f>
        <v>2.4319868095630665E-2</v>
      </c>
      <c r="BI33" s="69">
        <f>AY33/BA33</f>
        <v>0.56718878812860674</v>
      </c>
      <c r="BJ33" s="69">
        <f>AZ33/BA33</f>
        <v>6.5539983511953837E-2</v>
      </c>
      <c r="BK33" s="70">
        <f>BG33*$BF33</f>
        <v>222.47301590671086</v>
      </c>
      <c r="BL33" s="70">
        <f>BH33*$BF33</f>
        <v>15.776331656846081</v>
      </c>
      <c r="BM33" s="70">
        <f>BI33*$BF33</f>
        <v>367.93614169186793</v>
      </c>
      <c r="BN33" s="70">
        <f>BJ33*$BF33</f>
        <v>42.515876837941136</v>
      </c>
      <c r="BO33" s="73">
        <f>AVERAGE(T33:W33)</f>
        <v>21.625</v>
      </c>
      <c r="BP33" s="73">
        <f>AVERAGE(X33:AA33)</f>
        <v>39.200000000000003</v>
      </c>
      <c r="BQ33" s="73">
        <f>AVERAGE(AB33:AE33)</f>
        <v>50</v>
      </c>
      <c r="BR33" s="73">
        <f>AVERAGE(AF33:AI33)</f>
        <v>49.15</v>
      </c>
      <c r="BS33" s="73">
        <f>AVERAGE(AJ33:AM33)</f>
        <v>46.775000000000006</v>
      </c>
      <c r="BT33" s="145">
        <v>24.851999999999997</v>
      </c>
      <c r="BU33" s="145">
        <v>35.540999999999997</v>
      </c>
      <c r="BV33" s="73">
        <v>8.9841999999999995</v>
      </c>
      <c r="BW33" s="73">
        <v>13.464</v>
      </c>
      <c r="BX33" s="73">
        <v>23.838000000000001</v>
      </c>
      <c r="BY33" s="73">
        <v>159.30000000000001</v>
      </c>
      <c r="BZ33" s="73">
        <v>79</v>
      </c>
      <c r="CA33" s="73">
        <v>191.29999999999998</v>
      </c>
      <c r="CB33" s="73">
        <v>142.20000000000002</v>
      </c>
      <c r="CC33" s="73">
        <v>234.89999999999998</v>
      </c>
      <c r="CD33" s="146">
        <v>-24.56</v>
      </c>
      <c r="CE33" s="146">
        <v>-24.46</v>
      </c>
      <c r="CF33" s="146">
        <v>-24.97</v>
      </c>
      <c r="CG33" s="147">
        <v>-25.34</v>
      </c>
      <c r="CH33" s="146">
        <v>-23.33</v>
      </c>
      <c r="CJ33" s="79" t="s">
        <v>27</v>
      </c>
      <c r="CK33" s="43">
        <v>567.47968267959448</v>
      </c>
      <c r="CL33" s="43">
        <v>794.92130697862046</v>
      </c>
      <c r="CM33" s="43">
        <v>575.51169398907109</v>
      </c>
      <c r="CN33" s="43">
        <v>526.53753400614301</v>
      </c>
      <c r="CO33" s="61">
        <v>1.4616666666666667</v>
      </c>
      <c r="CP33" s="61">
        <v>1.7293333333333334</v>
      </c>
      <c r="CQ33" s="61">
        <v>1.2506666666666668</v>
      </c>
      <c r="CR33" s="61">
        <v>1.5556666666666668</v>
      </c>
      <c r="CS33" s="61">
        <v>616.1125544133572</v>
      </c>
      <c r="CT33" s="61">
        <v>1.4993333333333334</v>
      </c>
      <c r="CU33"/>
      <c r="CV33"/>
      <c r="CW33" s="72"/>
    </row>
    <row r="34" spans="1:101" s="64" customFormat="1" x14ac:dyDescent="0.25">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7"/>
      <c r="AO34" s="63"/>
      <c r="AP34" s="63"/>
      <c r="AQ34" s="63"/>
      <c r="AR34" s="63"/>
      <c r="AS34" s="63"/>
      <c r="AT34" s="63"/>
      <c r="AU34" s="63"/>
      <c r="AV34" s="63"/>
      <c r="AW34" s="63"/>
      <c r="AX34" s="63"/>
      <c r="AY34" s="63"/>
      <c r="AZ34" s="63"/>
      <c r="BA34" s="63"/>
      <c r="BB34" s="68"/>
      <c r="BC34" s="68"/>
      <c r="BD34" s="69"/>
      <c r="BE34" s="70"/>
      <c r="BF34" s="70"/>
      <c r="BG34" s="69"/>
      <c r="BH34" s="69"/>
      <c r="BI34" s="69"/>
      <c r="BJ34" s="69"/>
      <c r="BK34" s="63"/>
      <c r="BL34" s="63"/>
      <c r="BM34" s="63"/>
      <c r="BN34" s="63"/>
      <c r="CJ34" s="79" t="s">
        <v>28</v>
      </c>
      <c r="CK34" s="43">
        <v>653.52737642585555</v>
      </c>
      <c r="CL34" s="43">
        <v>728.30745967741927</v>
      </c>
      <c r="CM34" s="43">
        <v>583.56915739268686</v>
      </c>
      <c r="CN34" s="43">
        <v>565.9994700582937</v>
      </c>
      <c r="CO34" s="61">
        <v>1.5233333333333334</v>
      </c>
      <c r="CP34" s="61">
        <v>1.46</v>
      </c>
      <c r="CQ34" s="61">
        <v>1.35</v>
      </c>
      <c r="CR34" s="61">
        <v>1.2566666666666668</v>
      </c>
      <c r="CS34" s="61">
        <v>632.85086588856393</v>
      </c>
      <c r="CT34" s="61">
        <v>1.3975000000000002</v>
      </c>
      <c r="CU34"/>
      <c r="CV34"/>
      <c r="CW34" s="72"/>
    </row>
    <row r="35" spans="1:101" x14ac:dyDescent="0.25">
      <c r="CJ35" s="79" t="s">
        <v>29</v>
      </c>
      <c r="CK35" s="43">
        <v>761.00124387984658</v>
      </c>
      <c r="CL35" s="43">
        <v>649.13891285591023</v>
      </c>
      <c r="CM35" s="43">
        <v>676.38039927404725</v>
      </c>
      <c r="CN35" s="43">
        <v>656.04024458032245</v>
      </c>
      <c r="CO35" s="61">
        <v>1.6566666666666667</v>
      </c>
      <c r="CP35" s="61">
        <v>1.6</v>
      </c>
      <c r="CQ35" s="61">
        <v>1.4233333333333333</v>
      </c>
      <c r="CR35" s="61">
        <v>1.1566666666666667</v>
      </c>
      <c r="CS35" s="61">
        <v>685.64020014753157</v>
      </c>
      <c r="CT35" s="61">
        <v>1.4591666666666665</v>
      </c>
      <c r="CW35" s="61"/>
    </row>
    <row r="36" spans="1:101" x14ac:dyDescent="0.25">
      <c r="CJ36" s="78" t="s">
        <v>30</v>
      </c>
      <c r="CK36" s="43">
        <v>614.28479093621991</v>
      </c>
      <c r="CL36" s="43">
        <v>616.6793221289804</v>
      </c>
      <c r="CM36" s="43">
        <v>597.1052388092196</v>
      </c>
      <c r="CN36" s="43">
        <v>604.71736445308215</v>
      </c>
      <c r="CO36" s="61">
        <v>1.4550000000000001</v>
      </c>
      <c r="CP36" s="61">
        <v>1.8367759938837922</v>
      </c>
      <c r="CQ36" s="61">
        <v>1.4385833333333335</v>
      </c>
      <c r="CR36" s="61">
        <v>1.4202500000000002</v>
      </c>
      <c r="CS36" s="61">
        <v>608.19667908187557</v>
      </c>
      <c r="CT36" s="61">
        <v>1.5376523318042814</v>
      </c>
      <c r="CW36" s="61"/>
    </row>
    <row r="37" spans="1:101" x14ac:dyDescent="0.25">
      <c r="CJ37" s="79" t="s">
        <v>32</v>
      </c>
      <c r="CK37" s="43">
        <v>629.64924057355279</v>
      </c>
      <c r="CL37" s="43">
        <v>666.10643171806169</v>
      </c>
      <c r="CM37" s="43">
        <v>665.14859133897448</v>
      </c>
      <c r="CN37" s="43">
        <v>700.95733075435203</v>
      </c>
      <c r="CO37" s="61">
        <v>1.3943333333333332</v>
      </c>
      <c r="CP37" s="61">
        <v>1.5126666666666668</v>
      </c>
      <c r="CQ37" s="61">
        <v>1.6119999999999999</v>
      </c>
      <c r="CR37" s="61">
        <v>1.8143333333333334</v>
      </c>
      <c r="CS37" s="61">
        <v>665.46539859623522</v>
      </c>
      <c r="CT37" s="61">
        <v>1.5833333333333335</v>
      </c>
      <c r="CW37" s="61"/>
    </row>
    <row r="38" spans="1:101" x14ac:dyDescent="0.25">
      <c r="CJ38" s="79" t="s">
        <v>31</v>
      </c>
      <c r="CK38" s="43">
        <v>637.15640385301458</v>
      </c>
      <c r="CL38" s="43">
        <v>674.36572920851745</v>
      </c>
      <c r="CM38" s="43">
        <v>610.78146844139121</v>
      </c>
      <c r="CN38" s="43">
        <v>648.701366093366</v>
      </c>
      <c r="CO38" s="61">
        <v>1.7473333333333334</v>
      </c>
      <c r="CP38" s="61">
        <v>1.5816666666666668</v>
      </c>
      <c r="CQ38" s="61">
        <v>1.6286666666666667</v>
      </c>
      <c r="CR38" s="61">
        <v>1.4830000000000001</v>
      </c>
      <c r="CS38" s="61">
        <v>642.75124189907228</v>
      </c>
      <c r="CT38" s="61">
        <v>1.6101666666666667</v>
      </c>
      <c r="CW38" s="61"/>
    </row>
    <row r="39" spans="1:101" x14ac:dyDescent="0.25">
      <c r="CJ39" s="79" t="s">
        <v>28</v>
      </c>
      <c r="CK39" s="43">
        <v>522.14940577249581</v>
      </c>
      <c r="CL39" s="43">
        <v>561.85451162790707</v>
      </c>
      <c r="CM39" s="43">
        <v>596.04257602862253</v>
      </c>
      <c r="CN39" s="43">
        <v>509.05831763967359</v>
      </c>
      <c r="CO39" s="61">
        <v>1.2233333333333334</v>
      </c>
      <c r="CP39" s="61">
        <v>1.1946666666666668</v>
      </c>
      <c r="CQ39" s="61">
        <v>1.254</v>
      </c>
      <c r="CR39" s="61">
        <v>1.1696666666666669</v>
      </c>
      <c r="CS39" s="61">
        <v>547.27620276717471</v>
      </c>
      <c r="CT39" s="61">
        <v>1.2104166666666667</v>
      </c>
      <c r="CW39" s="61"/>
    </row>
    <row r="40" spans="1:101" x14ac:dyDescent="0.25">
      <c r="CJ40" s="79" t="s">
        <v>29</v>
      </c>
      <c r="CK40" s="43">
        <v>668.18411354581667</v>
      </c>
      <c r="CL40" s="43">
        <v>564.39061596143551</v>
      </c>
      <c r="CM40" s="43">
        <v>516.44831942789028</v>
      </c>
      <c r="CN40" s="43">
        <v>560.15244332493705</v>
      </c>
      <c r="CO40" s="61">
        <v>1.4549999999999998</v>
      </c>
      <c r="CP40" s="61">
        <v>3.0581039755351682</v>
      </c>
      <c r="CQ40" s="61">
        <v>1.2596666666666667</v>
      </c>
      <c r="CR40" s="61">
        <v>1.214</v>
      </c>
      <c r="CS40" s="61">
        <v>577.29387306501985</v>
      </c>
      <c r="CT40" s="61">
        <v>1.7466926605504587</v>
      </c>
      <c r="CW40" s="61"/>
    </row>
    <row r="41" spans="1:101" x14ac:dyDescent="0.25">
      <c r="CJ41" s="78" t="s">
        <v>325</v>
      </c>
      <c r="CK41" s="43">
        <v>682.50635959773035</v>
      </c>
      <c r="CL41" s="43">
        <v>705.98540326882699</v>
      </c>
      <c r="CM41" s="43">
        <v>621.60754951848787</v>
      </c>
      <c r="CN41" s="43">
        <v>631.73252810959195</v>
      </c>
      <c r="CO41" s="61">
        <v>1.5142083333333332</v>
      </c>
      <c r="CP41" s="61">
        <v>1.7183463302752293</v>
      </c>
      <c r="CQ41" s="61">
        <v>1.3922916666666665</v>
      </c>
      <c r="CR41" s="61">
        <v>1.3977916666666668</v>
      </c>
      <c r="CS41" s="61">
        <v>660.4579601236594</v>
      </c>
      <c r="CT41" s="61">
        <v>1.5056594992354739</v>
      </c>
      <c r="CW41" s="61"/>
    </row>
    <row r="42" spans="1:101" x14ac:dyDescent="0.25">
      <c r="CL42"/>
      <c r="CW42" s="61"/>
    </row>
    <row r="43" spans="1:101" x14ac:dyDescent="0.25">
      <c r="CL43"/>
      <c r="CW43" s="61"/>
    </row>
    <row r="44" spans="1:101" x14ac:dyDescent="0.25">
      <c r="CJ44" s="74" t="s">
        <v>291</v>
      </c>
      <c r="CK44" s="61" t="s">
        <v>461</v>
      </c>
      <c r="CL44" s="61" t="s">
        <v>462</v>
      </c>
      <c r="CM44" s="61" t="s">
        <v>463</v>
      </c>
      <c r="CN44" s="61" t="s">
        <v>464</v>
      </c>
    </row>
    <row r="45" spans="1:101" x14ac:dyDescent="0.25">
      <c r="CJ45" s="78" t="s">
        <v>25</v>
      </c>
      <c r="CK45" s="61" t="e">
        <v>#DIV/0!</v>
      </c>
      <c r="CL45" s="61" t="e">
        <v>#DIV/0!</v>
      </c>
      <c r="CM45" s="61" t="e">
        <v>#DIV/0!</v>
      </c>
      <c r="CN45" s="61" t="e">
        <v>#DIV/0!</v>
      </c>
    </row>
    <row r="46" spans="1:101" x14ac:dyDescent="0.25">
      <c r="CJ46" s="79" t="s">
        <v>26</v>
      </c>
      <c r="CK46" s="61" t="e">
        <v>#DIV/0!</v>
      </c>
      <c r="CL46" s="61" t="e">
        <v>#DIV/0!</v>
      </c>
      <c r="CM46" s="61" t="e">
        <v>#DIV/0!</v>
      </c>
      <c r="CN46" s="61" t="e">
        <v>#DIV/0!</v>
      </c>
    </row>
    <row r="47" spans="1:101" x14ac:dyDescent="0.25">
      <c r="CJ47" s="79" t="s">
        <v>27</v>
      </c>
      <c r="CK47" s="61">
        <v>5.7640917217176943E-2</v>
      </c>
      <c r="CL47" s="61">
        <v>0.53711471404609556</v>
      </c>
      <c r="CM47" s="61">
        <v>0.3814951469447882</v>
      </c>
      <c r="CN47" s="61">
        <v>2.3749221791939334E-2</v>
      </c>
    </row>
    <row r="48" spans="1:101" x14ac:dyDescent="0.25">
      <c r="CJ48" s="79" t="s">
        <v>28</v>
      </c>
      <c r="CK48" s="61" t="e">
        <v>#DIV/0!</v>
      </c>
      <c r="CL48" s="61" t="e">
        <v>#DIV/0!</v>
      </c>
      <c r="CM48" s="61" t="e">
        <v>#DIV/0!</v>
      </c>
      <c r="CN48" s="61" t="e">
        <v>#DIV/0!</v>
      </c>
    </row>
    <row r="49" spans="88:92" x14ac:dyDescent="0.25">
      <c r="CJ49" s="79" t="s">
        <v>29</v>
      </c>
      <c r="CK49" s="61" t="e">
        <v>#DIV/0!</v>
      </c>
      <c r="CL49" s="61" t="e">
        <v>#DIV/0!</v>
      </c>
      <c r="CM49" s="61" t="e">
        <v>#DIV/0!</v>
      </c>
      <c r="CN49" s="61" t="e">
        <v>#DIV/0!</v>
      </c>
    </row>
    <row r="50" spans="88:92" x14ac:dyDescent="0.25">
      <c r="CJ50" s="78" t="s">
        <v>30</v>
      </c>
      <c r="CK50" s="61">
        <v>5.458736221476207E-2</v>
      </c>
      <c r="CL50" s="61">
        <v>0.54028358882669114</v>
      </c>
      <c r="CM50" s="61">
        <v>0.38429813984976491</v>
      </c>
      <c r="CN50" s="61">
        <v>2.0830909108781857E-2</v>
      </c>
    </row>
    <row r="51" spans="88:92" x14ac:dyDescent="0.25">
      <c r="CJ51" s="79" t="s">
        <v>32</v>
      </c>
      <c r="CK51" s="61">
        <v>2.7286682107760338E-2</v>
      </c>
      <c r="CL51" s="61">
        <v>0.57253534880378898</v>
      </c>
      <c r="CM51" s="61">
        <v>0.38516269870521791</v>
      </c>
      <c r="CN51" s="61">
        <v>1.5015270383232693E-2</v>
      </c>
    </row>
    <row r="52" spans="88:92" x14ac:dyDescent="0.25">
      <c r="CJ52" s="79" t="s">
        <v>31</v>
      </c>
      <c r="CK52" s="61">
        <v>5.067148417139207E-2</v>
      </c>
      <c r="CL52" s="61">
        <v>0.57709188882823137</v>
      </c>
      <c r="CM52" s="61">
        <v>0.34839007752235351</v>
      </c>
      <c r="CN52" s="61">
        <v>2.3846549478023026E-2</v>
      </c>
    </row>
    <row r="53" spans="88:92" x14ac:dyDescent="0.25">
      <c r="CJ53" s="79" t="s">
        <v>28</v>
      </c>
      <c r="CK53" s="61">
        <v>8.9052489225718512E-2</v>
      </c>
      <c r="CL53" s="61">
        <v>0.4702127667394842</v>
      </c>
      <c r="CM53" s="61">
        <v>0.42621928285338917</v>
      </c>
      <c r="CN53" s="61">
        <v>1.4515461181408174E-2</v>
      </c>
    </row>
    <row r="54" spans="88:92" x14ac:dyDescent="0.25">
      <c r="CJ54" s="79" t="s">
        <v>29</v>
      </c>
      <c r="CK54" s="61">
        <v>5.1338793354177348E-2</v>
      </c>
      <c r="CL54" s="61">
        <v>0.5412943509352599</v>
      </c>
      <c r="CM54" s="61">
        <v>0.37742050031809926</v>
      </c>
      <c r="CN54" s="61">
        <v>2.9946355392463542E-2</v>
      </c>
    </row>
    <row r="55" spans="88:92" x14ac:dyDescent="0.25">
      <c r="CJ55" s="78" t="s">
        <v>310</v>
      </c>
      <c r="CK55" s="61"/>
      <c r="CM55" s="61"/>
      <c r="CN55" s="61"/>
    </row>
    <row r="56" spans="88:92" x14ac:dyDescent="0.25">
      <c r="CJ56" s="79" t="s">
        <v>310</v>
      </c>
      <c r="CK56" s="61"/>
      <c r="CM56" s="61"/>
      <c r="CN56" s="61"/>
    </row>
    <row r="57" spans="88:92" x14ac:dyDescent="0.25">
      <c r="CJ57" s="78" t="s">
        <v>325</v>
      </c>
      <c r="CK57" s="61" t="e">
        <v>#DIV/0!</v>
      </c>
      <c r="CL57" s="61" t="e">
        <v>#DIV/0!</v>
      </c>
      <c r="CM57" s="61" t="e">
        <v>#DIV/0!</v>
      </c>
      <c r="CN57" s="61" t="e">
        <v>#DIV/0!</v>
      </c>
    </row>
  </sheetData>
  <autoFilter ref="A1:BN33" xr:uid="{DFEC1D64-6F11-4ABD-B799-01598608E985}">
    <sortState xmlns:xlrd2="http://schemas.microsoft.com/office/spreadsheetml/2017/richdata2" ref="A2:BN33">
      <sortCondition ref="D1:D33"/>
    </sortState>
  </autoFilter>
  <sortState xmlns:xlrd2="http://schemas.microsoft.com/office/spreadsheetml/2017/richdata2" ref="A2:CI57">
    <sortCondition ref="A2:A57"/>
    <sortCondition ref="B2:B57"/>
  </sortState>
  <conditionalFormatting pivot="1">
    <cfRule type="colorScale" priority="7">
      <colorScale>
        <cfvo type="min"/>
        <cfvo type="percentile" val="50"/>
        <cfvo type="max"/>
        <color rgb="FFF8696B"/>
        <color rgb="FFFFEB84"/>
        <color rgb="FF63BE7B"/>
      </colorScale>
    </cfRule>
  </conditionalFormatting>
  <conditionalFormatting pivot="1">
    <cfRule type="colorScale" priority="6">
      <colorScale>
        <cfvo type="min"/>
        <cfvo type="percentile" val="50"/>
        <cfvo type="max"/>
        <color rgb="FF63BE7B"/>
        <color rgb="FFFFEB84"/>
        <color rgb="FFF8696B"/>
      </colorScale>
    </cfRule>
  </conditionalFormatting>
  <conditionalFormatting pivot="1">
    <cfRule type="colorScale" priority="5">
      <colorScale>
        <cfvo type="min"/>
        <cfvo type="percentile" val="50"/>
        <cfvo type="max"/>
        <color rgb="FFF8696B"/>
        <color rgb="FFFFEB84"/>
        <color rgb="FF63BE7B"/>
      </colorScale>
    </cfRule>
  </conditionalFormatting>
  <conditionalFormatting pivot="1">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5"/>
  <legacyDrawing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935F-2035-4DCA-9CB6-4C2E29EA0CD5}">
  <dimension ref="A1:AC289"/>
  <sheetViews>
    <sheetView topLeftCell="J1" workbookViewId="0">
      <selection activeCell="V18" sqref="V18"/>
    </sheetView>
  </sheetViews>
  <sheetFormatPr defaultRowHeight="15" x14ac:dyDescent="0.25"/>
  <cols>
    <col min="7" max="7" width="12.5703125" customWidth="1"/>
    <col min="10" max="10" width="10.5703125" bestFit="1" customWidth="1"/>
    <col min="11" max="11" width="10.5703125" style="12" customWidth="1"/>
    <col min="12" max="12" width="10.42578125" style="12" customWidth="1"/>
    <col min="13" max="13" width="9.28515625" style="60"/>
    <col min="17" max="17" width="12.7109375" bestFit="1" customWidth="1"/>
    <col min="18" max="18" width="13.42578125" bestFit="1" customWidth="1"/>
    <col min="19" max="19" width="19.42578125" bestFit="1" customWidth="1"/>
    <col min="20" max="21" width="9.5703125" bestFit="1" customWidth="1"/>
    <col min="22" max="28" width="10.5703125" bestFit="1" customWidth="1"/>
  </cols>
  <sheetData>
    <row r="1" spans="1:29" ht="90" x14ac:dyDescent="0.25">
      <c r="A1" s="10" t="s">
        <v>23</v>
      </c>
      <c r="B1" s="10" t="s">
        <v>24</v>
      </c>
      <c r="C1" s="10" t="s">
        <v>281</v>
      </c>
      <c r="D1" s="10" t="s">
        <v>282</v>
      </c>
      <c r="E1" s="10" t="s">
        <v>77</v>
      </c>
      <c r="F1" s="10" t="s">
        <v>21</v>
      </c>
      <c r="G1" s="6" t="s">
        <v>22</v>
      </c>
      <c r="H1" s="10" t="s">
        <v>76</v>
      </c>
      <c r="I1" s="10" t="s">
        <v>283</v>
      </c>
      <c r="J1" s="10" t="s">
        <v>284</v>
      </c>
      <c r="K1" s="8" t="s">
        <v>465</v>
      </c>
      <c r="L1" s="8" t="s">
        <v>466</v>
      </c>
      <c r="M1" s="8" t="s">
        <v>467</v>
      </c>
      <c r="Q1" s="46" t="s">
        <v>468</v>
      </c>
      <c r="S1" s="46" t="s">
        <v>284</v>
      </c>
      <c r="AC1" t="s">
        <v>469</v>
      </c>
    </row>
    <row r="2" spans="1:29" x14ac:dyDescent="0.25">
      <c r="A2" s="4">
        <v>1</v>
      </c>
      <c r="B2" s="4">
        <v>1</v>
      </c>
      <c r="C2" s="4">
        <v>1</v>
      </c>
      <c r="D2" s="4">
        <v>1</v>
      </c>
      <c r="E2" s="4">
        <v>1</v>
      </c>
      <c r="F2" s="4" t="s">
        <v>25</v>
      </c>
      <c r="G2" t="s">
        <v>26</v>
      </c>
      <c r="H2" s="4">
        <v>101</v>
      </c>
      <c r="I2" s="4">
        <v>1</v>
      </c>
      <c r="J2" s="38">
        <v>45538</v>
      </c>
      <c r="K2" s="12">
        <v>50</v>
      </c>
      <c r="L2" s="12">
        <v>0</v>
      </c>
      <c r="M2" s="60">
        <f t="shared" ref="M2:M33" si="0">(L2/K2)*100</f>
        <v>0</v>
      </c>
      <c r="Q2" s="46" t="s">
        <v>21</v>
      </c>
      <c r="R2" s="46" t="s">
        <v>22</v>
      </c>
      <c r="S2" s="38">
        <v>45538</v>
      </c>
      <c r="T2" s="38">
        <v>45540</v>
      </c>
      <c r="U2" s="38">
        <v>45543</v>
      </c>
      <c r="V2" s="38">
        <v>45546</v>
      </c>
      <c r="W2" s="38">
        <v>45548</v>
      </c>
      <c r="X2" s="38">
        <v>45551</v>
      </c>
      <c r="Y2" s="38">
        <v>45553</v>
      </c>
      <c r="Z2" s="38">
        <v>45555</v>
      </c>
      <c r="AA2" s="38">
        <v>45558</v>
      </c>
    </row>
    <row r="3" spans="1:29" x14ac:dyDescent="0.25">
      <c r="A3" s="4">
        <v>1</v>
      </c>
      <c r="B3" s="4">
        <v>2</v>
      </c>
      <c r="C3" s="4">
        <v>1</v>
      </c>
      <c r="D3" s="4">
        <v>8</v>
      </c>
      <c r="E3" s="4">
        <v>2</v>
      </c>
      <c r="F3" s="4" t="s">
        <v>30</v>
      </c>
      <c r="G3" t="s">
        <v>31</v>
      </c>
      <c r="H3" s="4">
        <v>102</v>
      </c>
      <c r="I3" s="4">
        <v>1</v>
      </c>
      <c r="J3" s="38">
        <v>45538</v>
      </c>
      <c r="K3" s="12">
        <v>39</v>
      </c>
      <c r="L3" s="12">
        <v>0</v>
      </c>
      <c r="M3" s="60">
        <f t="shared" si="0"/>
        <v>0</v>
      </c>
      <c r="Q3" t="s">
        <v>25</v>
      </c>
      <c r="R3" t="s">
        <v>26</v>
      </c>
      <c r="S3" s="60">
        <v>0</v>
      </c>
      <c r="T3" s="60">
        <v>0</v>
      </c>
      <c r="U3" s="60">
        <v>0</v>
      </c>
      <c r="V3" s="60">
        <v>0</v>
      </c>
      <c r="W3" s="60">
        <v>0</v>
      </c>
      <c r="X3" s="60">
        <v>0.86232530478739222</v>
      </c>
      <c r="Y3" s="60">
        <v>3.0107047279214987</v>
      </c>
      <c r="Z3" s="60">
        <v>13.042818911685995</v>
      </c>
      <c r="AA3" s="60">
        <v>46.699992200562534</v>
      </c>
      <c r="AC3" s="102">
        <v>45558</v>
      </c>
    </row>
    <row r="4" spans="1:29" x14ac:dyDescent="0.25">
      <c r="A4" s="4">
        <v>1</v>
      </c>
      <c r="B4" s="4">
        <v>3</v>
      </c>
      <c r="C4" s="4">
        <v>2</v>
      </c>
      <c r="D4" s="4">
        <v>9</v>
      </c>
      <c r="E4" s="4">
        <v>3</v>
      </c>
      <c r="F4" s="4" t="s">
        <v>25</v>
      </c>
      <c r="G4" t="s">
        <v>27</v>
      </c>
      <c r="H4" s="4">
        <v>103</v>
      </c>
      <c r="I4" s="4">
        <v>1</v>
      </c>
      <c r="J4" s="38">
        <v>45538</v>
      </c>
      <c r="K4" s="12">
        <v>38</v>
      </c>
      <c r="L4" s="12">
        <v>2</v>
      </c>
      <c r="M4" s="60">
        <f t="shared" si="0"/>
        <v>5.2631578947368416</v>
      </c>
      <c r="R4" s="64" t="s">
        <v>27</v>
      </c>
      <c r="S4" s="60">
        <v>11.102721291866029</v>
      </c>
      <c r="T4" s="60">
        <v>21.914249401913874</v>
      </c>
      <c r="U4" s="60">
        <v>53.215460526315788</v>
      </c>
      <c r="V4" s="60">
        <v>78.55674342105263</v>
      </c>
      <c r="W4" s="60"/>
      <c r="X4" s="60"/>
      <c r="Y4" s="60"/>
      <c r="Z4" s="60"/>
      <c r="AA4" s="60"/>
      <c r="AC4" s="102">
        <v>45543</v>
      </c>
    </row>
    <row r="5" spans="1:29" x14ac:dyDescent="0.25">
      <c r="A5" s="4">
        <v>1</v>
      </c>
      <c r="B5" s="4">
        <v>4</v>
      </c>
      <c r="C5" s="4">
        <v>2</v>
      </c>
      <c r="D5" s="4">
        <v>16</v>
      </c>
      <c r="E5" s="4">
        <v>4</v>
      </c>
      <c r="F5" s="4" t="s">
        <v>30</v>
      </c>
      <c r="G5" t="s">
        <v>28</v>
      </c>
      <c r="H5" s="4">
        <v>104</v>
      </c>
      <c r="I5" s="4">
        <v>1</v>
      </c>
      <c r="J5" s="38">
        <v>45538</v>
      </c>
      <c r="K5" s="12">
        <v>38</v>
      </c>
      <c r="L5" s="12">
        <v>0</v>
      </c>
      <c r="M5" s="60">
        <f t="shared" si="0"/>
        <v>0</v>
      </c>
      <c r="R5" s="64" t="s">
        <v>28</v>
      </c>
      <c r="S5" s="60">
        <v>48.3740381398461</v>
      </c>
      <c r="T5" s="60">
        <v>55.324523251923722</v>
      </c>
      <c r="U5" s="60">
        <v>71.055536968885917</v>
      </c>
      <c r="V5" s="60">
        <v>91.712947474071598</v>
      </c>
      <c r="W5" s="60"/>
      <c r="X5" s="60"/>
      <c r="Y5" s="60"/>
      <c r="Z5" s="60"/>
      <c r="AA5" s="60"/>
      <c r="AC5" s="102">
        <v>45539</v>
      </c>
    </row>
    <row r="6" spans="1:29" x14ac:dyDescent="0.25">
      <c r="A6" s="4">
        <v>1</v>
      </c>
      <c r="B6" s="4">
        <v>5</v>
      </c>
      <c r="C6" s="4">
        <v>3</v>
      </c>
      <c r="D6" s="4">
        <v>17</v>
      </c>
      <c r="E6" s="4">
        <v>5</v>
      </c>
      <c r="F6" s="4" t="s">
        <v>25</v>
      </c>
      <c r="G6" t="s">
        <v>28</v>
      </c>
      <c r="H6" s="4">
        <v>105</v>
      </c>
      <c r="I6" s="4">
        <v>1</v>
      </c>
      <c r="J6" s="38">
        <v>45538</v>
      </c>
      <c r="K6" s="12">
        <v>61</v>
      </c>
      <c r="L6" s="12">
        <v>35</v>
      </c>
      <c r="M6" s="60">
        <f t="shared" si="0"/>
        <v>57.377049180327866</v>
      </c>
      <c r="R6" s="64" t="s">
        <v>29</v>
      </c>
      <c r="S6" s="60">
        <v>23.316457730633239</v>
      </c>
      <c r="T6" s="60">
        <v>38.685310189649627</v>
      </c>
      <c r="U6" s="60">
        <v>66.895692703310829</v>
      </c>
      <c r="V6" s="60">
        <v>82.176149148183868</v>
      </c>
      <c r="W6" s="60"/>
      <c r="X6" s="60"/>
      <c r="Y6" s="60"/>
      <c r="Z6" s="60"/>
      <c r="AA6" s="60"/>
      <c r="AC6" s="102">
        <v>45541</v>
      </c>
    </row>
    <row r="7" spans="1:29" x14ac:dyDescent="0.25">
      <c r="A7" s="4">
        <v>1</v>
      </c>
      <c r="B7" s="4">
        <v>6</v>
      </c>
      <c r="C7" s="4">
        <v>3</v>
      </c>
      <c r="D7" s="4">
        <v>24</v>
      </c>
      <c r="E7" s="4">
        <v>6</v>
      </c>
      <c r="F7" s="4" t="s">
        <v>30</v>
      </c>
      <c r="G7" t="s">
        <v>29</v>
      </c>
      <c r="H7" s="4">
        <v>106</v>
      </c>
      <c r="I7" s="4">
        <v>1</v>
      </c>
      <c r="J7" s="38">
        <v>45538</v>
      </c>
      <c r="K7" s="12">
        <v>85</v>
      </c>
      <c r="L7" s="12">
        <v>0</v>
      </c>
      <c r="M7" s="60">
        <f t="shared" si="0"/>
        <v>0</v>
      </c>
      <c r="Q7" t="s">
        <v>30</v>
      </c>
      <c r="R7" t="s">
        <v>32</v>
      </c>
      <c r="S7" s="60">
        <v>0</v>
      </c>
      <c r="T7" s="60">
        <v>0</v>
      </c>
      <c r="U7" s="60">
        <v>0</v>
      </c>
      <c r="V7" s="60">
        <v>0.48076923076923078</v>
      </c>
      <c r="W7" s="76">
        <v>7.366174920969442</v>
      </c>
      <c r="X7" s="60">
        <v>44.713915117140928</v>
      </c>
      <c r="Y7" s="60"/>
      <c r="Z7" s="60"/>
      <c r="AA7" s="60"/>
      <c r="AC7" s="102">
        <v>45551</v>
      </c>
    </row>
    <row r="8" spans="1:29" x14ac:dyDescent="0.25">
      <c r="A8" s="4">
        <v>1</v>
      </c>
      <c r="B8" s="4">
        <v>7</v>
      </c>
      <c r="C8" s="4">
        <v>4</v>
      </c>
      <c r="D8" s="4">
        <v>25</v>
      </c>
      <c r="E8" s="4">
        <v>7</v>
      </c>
      <c r="F8" s="4" t="s">
        <v>25</v>
      </c>
      <c r="G8" t="s">
        <v>29</v>
      </c>
      <c r="H8" s="4">
        <v>107</v>
      </c>
      <c r="I8" s="4">
        <v>1</v>
      </c>
      <c r="J8" s="38">
        <v>45538</v>
      </c>
      <c r="K8" s="12">
        <v>34</v>
      </c>
      <c r="L8" s="12">
        <v>7</v>
      </c>
      <c r="M8" s="60">
        <f t="shared" si="0"/>
        <v>20.588235294117645</v>
      </c>
      <c r="R8" t="s">
        <v>31</v>
      </c>
      <c r="S8" s="60">
        <v>0</v>
      </c>
      <c r="T8" s="60">
        <v>1.1904761904761905</v>
      </c>
      <c r="U8" s="60">
        <v>9.3103319745317883</v>
      </c>
      <c r="V8" s="60">
        <v>32.696585714624568</v>
      </c>
      <c r="W8" s="60">
        <v>71.037873628067899</v>
      </c>
      <c r="X8" s="60"/>
      <c r="Y8" s="60"/>
      <c r="Z8" s="60"/>
      <c r="AA8" s="60"/>
      <c r="AC8" s="102">
        <v>45547</v>
      </c>
    </row>
    <row r="9" spans="1:29" x14ac:dyDescent="0.25">
      <c r="A9" s="4">
        <v>1</v>
      </c>
      <c r="B9" s="4">
        <v>8</v>
      </c>
      <c r="C9" s="4">
        <v>4</v>
      </c>
      <c r="D9" s="4">
        <v>32</v>
      </c>
      <c r="E9" s="4">
        <v>8</v>
      </c>
      <c r="F9" s="4" t="s">
        <v>30</v>
      </c>
      <c r="G9" t="s">
        <v>32</v>
      </c>
      <c r="H9" s="4">
        <v>108</v>
      </c>
      <c r="I9" s="4">
        <v>1</v>
      </c>
      <c r="J9" s="38">
        <v>45538</v>
      </c>
      <c r="K9" s="12">
        <v>75</v>
      </c>
      <c r="L9" s="12">
        <v>0</v>
      </c>
      <c r="M9" s="60">
        <f t="shared" si="0"/>
        <v>0</v>
      </c>
      <c r="R9" t="s">
        <v>28</v>
      </c>
      <c r="S9" s="60">
        <v>0</v>
      </c>
      <c r="T9" s="60">
        <v>0</v>
      </c>
      <c r="U9" s="60">
        <v>0.46296296296296291</v>
      </c>
      <c r="V9" s="60">
        <v>5.9425096738529568</v>
      </c>
      <c r="W9" s="60">
        <v>33.141992886444967</v>
      </c>
      <c r="X9" s="60">
        <v>67.13535756888075</v>
      </c>
      <c r="Y9" s="60"/>
      <c r="Z9" s="60"/>
      <c r="AA9" s="60"/>
      <c r="AC9" s="102">
        <v>45550</v>
      </c>
    </row>
    <row r="10" spans="1:29" x14ac:dyDescent="0.25">
      <c r="A10" s="4">
        <v>2</v>
      </c>
      <c r="B10" s="4">
        <v>8</v>
      </c>
      <c r="C10" s="4">
        <v>4</v>
      </c>
      <c r="D10" s="4">
        <v>31</v>
      </c>
      <c r="E10" s="4">
        <v>9</v>
      </c>
      <c r="F10" s="4" t="s">
        <v>30</v>
      </c>
      <c r="G10" t="s">
        <v>29</v>
      </c>
      <c r="H10" s="4">
        <v>208</v>
      </c>
      <c r="I10" s="4">
        <v>1</v>
      </c>
      <c r="J10" s="38">
        <v>45538</v>
      </c>
      <c r="K10" s="12">
        <v>79</v>
      </c>
      <c r="L10" s="12">
        <v>0</v>
      </c>
      <c r="M10" s="60">
        <f t="shared" si="0"/>
        <v>0</v>
      </c>
      <c r="R10" t="s">
        <v>29</v>
      </c>
      <c r="S10" s="60">
        <v>0</v>
      </c>
      <c r="T10" s="60">
        <v>0</v>
      </c>
      <c r="U10" s="60">
        <v>0</v>
      </c>
      <c r="V10" s="60">
        <v>3.475935828877005</v>
      </c>
      <c r="W10" s="60">
        <v>16.870494313951127</v>
      </c>
      <c r="X10" s="60">
        <v>53.019162210338685</v>
      </c>
      <c r="Y10" s="60"/>
      <c r="Z10" s="60"/>
      <c r="AA10" s="60"/>
      <c r="AC10" s="102">
        <v>45551</v>
      </c>
    </row>
    <row r="11" spans="1:29" x14ac:dyDescent="0.25">
      <c r="A11" s="4">
        <v>2</v>
      </c>
      <c r="B11" s="4">
        <v>7</v>
      </c>
      <c r="C11" s="4">
        <v>4</v>
      </c>
      <c r="D11" s="4">
        <v>26</v>
      </c>
      <c r="E11" s="4">
        <v>10</v>
      </c>
      <c r="F11" s="4" t="s">
        <v>25</v>
      </c>
      <c r="G11" t="s">
        <v>28</v>
      </c>
      <c r="H11" s="4">
        <v>207</v>
      </c>
      <c r="I11" s="4">
        <v>1</v>
      </c>
      <c r="J11" s="38">
        <v>45538</v>
      </c>
      <c r="K11" s="12">
        <v>49</v>
      </c>
      <c r="L11" s="12">
        <v>16</v>
      </c>
      <c r="M11" s="60">
        <f t="shared" si="0"/>
        <v>32.653061224489797</v>
      </c>
      <c r="Q11" t="s">
        <v>325</v>
      </c>
      <c r="S11" s="60">
        <v>10.34915214529317</v>
      </c>
      <c r="T11" s="60">
        <v>14.639319879245424</v>
      </c>
      <c r="U11" s="60">
        <v>25.117498142000908</v>
      </c>
      <c r="V11" s="60">
        <v>36.880205061428981</v>
      </c>
      <c r="W11" s="60">
        <v>25.683307149886684</v>
      </c>
      <c r="X11" s="60">
        <v>41.432690050286936</v>
      </c>
      <c r="Y11" s="60">
        <v>3.0107047279214987</v>
      </c>
      <c r="Z11" s="60">
        <v>13.042818911685995</v>
      </c>
      <c r="AA11" s="60">
        <v>46.699992200562534</v>
      </c>
    </row>
    <row r="12" spans="1:29" x14ac:dyDescent="0.25">
      <c r="A12" s="4">
        <v>2</v>
      </c>
      <c r="B12" s="4">
        <v>6</v>
      </c>
      <c r="C12" s="4">
        <v>3</v>
      </c>
      <c r="D12" s="4">
        <v>23</v>
      </c>
      <c r="E12" s="4">
        <v>11</v>
      </c>
      <c r="F12" s="4" t="s">
        <v>30</v>
      </c>
      <c r="G12" t="s">
        <v>31</v>
      </c>
      <c r="H12" s="4">
        <v>206</v>
      </c>
      <c r="I12" s="4">
        <v>1</v>
      </c>
      <c r="J12" s="38">
        <v>45538</v>
      </c>
      <c r="K12" s="12">
        <v>42</v>
      </c>
      <c r="L12" s="12">
        <v>0</v>
      </c>
      <c r="M12" s="60">
        <f t="shared" si="0"/>
        <v>0</v>
      </c>
    </row>
    <row r="13" spans="1:29" x14ac:dyDescent="0.25">
      <c r="A13" s="4">
        <v>2</v>
      </c>
      <c r="B13" s="4">
        <v>5</v>
      </c>
      <c r="C13" s="4">
        <v>3</v>
      </c>
      <c r="D13" s="4">
        <v>18</v>
      </c>
      <c r="E13" s="4">
        <v>12</v>
      </c>
      <c r="F13" s="4" t="s">
        <v>25</v>
      </c>
      <c r="G13" t="s">
        <v>26</v>
      </c>
      <c r="H13" s="4">
        <v>205</v>
      </c>
      <c r="I13" s="4">
        <v>1</v>
      </c>
      <c r="J13" s="38">
        <v>45538</v>
      </c>
      <c r="K13" s="12">
        <v>61</v>
      </c>
      <c r="L13" s="12">
        <v>0</v>
      </c>
      <c r="M13" s="60">
        <f t="shared" si="0"/>
        <v>0</v>
      </c>
    </row>
    <row r="14" spans="1:29" x14ac:dyDescent="0.25">
      <c r="A14" s="4">
        <v>2</v>
      </c>
      <c r="B14" s="4">
        <v>4</v>
      </c>
      <c r="C14" s="4">
        <v>2</v>
      </c>
      <c r="D14" s="4">
        <v>15</v>
      </c>
      <c r="E14" s="4">
        <v>13</v>
      </c>
      <c r="F14" s="4" t="s">
        <v>30</v>
      </c>
      <c r="G14" t="s">
        <v>32</v>
      </c>
      <c r="H14" s="4">
        <v>204</v>
      </c>
      <c r="I14" s="4">
        <v>1</v>
      </c>
      <c r="J14" s="38">
        <v>45538</v>
      </c>
      <c r="K14" s="12">
        <v>52</v>
      </c>
      <c r="L14" s="12">
        <v>0</v>
      </c>
      <c r="M14" s="60">
        <f t="shared" si="0"/>
        <v>0</v>
      </c>
    </row>
    <row r="15" spans="1:29" x14ac:dyDescent="0.25">
      <c r="A15" s="4">
        <v>2</v>
      </c>
      <c r="B15" s="4">
        <v>3</v>
      </c>
      <c r="C15" s="4">
        <v>2</v>
      </c>
      <c r="D15" s="4">
        <v>10</v>
      </c>
      <c r="E15" s="4">
        <v>14</v>
      </c>
      <c r="F15" s="4" t="s">
        <v>25</v>
      </c>
      <c r="G15" t="s">
        <v>29</v>
      </c>
      <c r="H15" s="4">
        <v>203</v>
      </c>
      <c r="I15" s="4">
        <v>1</v>
      </c>
      <c r="J15" s="38">
        <v>45538</v>
      </c>
      <c r="K15" s="12">
        <v>51</v>
      </c>
      <c r="L15" s="12">
        <v>5</v>
      </c>
      <c r="M15" s="60">
        <f t="shared" si="0"/>
        <v>9.8039215686274517</v>
      </c>
    </row>
    <row r="16" spans="1:29" x14ac:dyDescent="0.25">
      <c r="A16" s="4">
        <v>2</v>
      </c>
      <c r="B16" s="4">
        <v>2</v>
      </c>
      <c r="C16" s="4">
        <v>1</v>
      </c>
      <c r="D16" s="4">
        <v>7</v>
      </c>
      <c r="E16" s="4">
        <v>15</v>
      </c>
      <c r="F16" s="4" t="s">
        <v>30</v>
      </c>
      <c r="G16" t="s">
        <v>28</v>
      </c>
      <c r="H16" s="4">
        <v>202</v>
      </c>
      <c r="I16" s="4">
        <v>1</v>
      </c>
      <c r="J16" s="38">
        <v>45538</v>
      </c>
      <c r="K16" s="12">
        <v>67</v>
      </c>
      <c r="L16" s="12">
        <v>0</v>
      </c>
      <c r="M16" s="60">
        <f t="shared" si="0"/>
        <v>0</v>
      </c>
    </row>
    <row r="17" spans="1:13" x14ac:dyDescent="0.25">
      <c r="A17" s="4">
        <v>2</v>
      </c>
      <c r="B17" s="4">
        <v>1</v>
      </c>
      <c r="C17" s="4">
        <v>1</v>
      </c>
      <c r="D17" s="4">
        <v>2</v>
      </c>
      <c r="E17" s="4">
        <v>16</v>
      </c>
      <c r="F17" s="4" t="s">
        <v>25</v>
      </c>
      <c r="G17" t="s">
        <v>27</v>
      </c>
      <c r="H17" s="4">
        <v>201</v>
      </c>
      <c r="I17" s="4">
        <v>1</v>
      </c>
      <c r="J17" s="38">
        <v>45538</v>
      </c>
      <c r="K17" s="12">
        <v>55</v>
      </c>
      <c r="L17" s="12">
        <v>7</v>
      </c>
      <c r="M17" s="60">
        <f t="shared" si="0"/>
        <v>12.727272727272727</v>
      </c>
    </row>
    <row r="18" spans="1:13" x14ac:dyDescent="0.25">
      <c r="A18" s="4">
        <v>3</v>
      </c>
      <c r="B18" s="4">
        <v>1</v>
      </c>
      <c r="C18" s="4">
        <v>1</v>
      </c>
      <c r="D18" s="4">
        <v>3</v>
      </c>
      <c r="E18" s="4">
        <v>17</v>
      </c>
      <c r="F18" s="4" t="s">
        <v>25</v>
      </c>
      <c r="G18" t="s">
        <v>28</v>
      </c>
      <c r="H18" s="4">
        <v>301</v>
      </c>
      <c r="I18" s="4">
        <v>1</v>
      </c>
      <c r="J18" s="38">
        <v>45538</v>
      </c>
      <c r="K18" s="12">
        <v>35</v>
      </c>
      <c r="L18" s="12">
        <v>19</v>
      </c>
      <c r="M18" s="60">
        <f t="shared" si="0"/>
        <v>54.285714285714285</v>
      </c>
    </row>
    <row r="19" spans="1:13" x14ac:dyDescent="0.25">
      <c r="A19" s="4">
        <v>3</v>
      </c>
      <c r="B19" s="4">
        <v>2</v>
      </c>
      <c r="C19" s="4">
        <v>1</v>
      </c>
      <c r="D19" s="4">
        <v>6</v>
      </c>
      <c r="E19" s="4">
        <v>18</v>
      </c>
      <c r="F19" s="4" t="s">
        <v>30</v>
      </c>
      <c r="G19" t="s">
        <v>29</v>
      </c>
      <c r="H19" s="4">
        <v>302</v>
      </c>
      <c r="I19" s="4">
        <v>1</v>
      </c>
      <c r="J19" s="38">
        <v>45538</v>
      </c>
      <c r="K19" s="12">
        <v>55</v>
      </c>
      <c r="L19" s="12">
        <v>0</v>
      </c>
      <c r="M19" s="60">
        <f t="shared" si="0"/>
        <v>0</v>
      </c>
    </row>
    <row r="20" spans="1:13" x14ac:dyDescent="0.25">
      <c r="A20" s="4">
        <v>3</v>
      </c>
      <c r="B20" s="4">
        <v>3</v>
      </c>
      <c r="C20" s="4">
        <v>2</v>
      </c>
      <c r="D20" s="4">
        <v>11</v>
      </c>
      <c r="E20" s="4">
        <v>19</v>
      </c>
      <c r="F20" s="4" t="s">
        <v>25</v>
      </c>
      <c r="G20" t="s">
        <v>26</v>
      </c>
      <c r="H20" s="4">
        <v>303</v>
      </c>
      <c r="I20" s="4">
        <v>1</v>
      </c>
      <c r="J20" s="38">
        <v>45538</v>
      </c>
      <c r="K20" s="12">
        <v>59</v>
      </c>
      <c r="L20" s="12">
        <v>0</v>
      </c>
      <c r="M20" s="60">
        <f t="shared" si="0"/>
        <v>0</v>
      </c>
    </row>
    <row r="21" spans="1:13" x14ac:dyDescent="0.25">
      <c r="A21" s="4">
        <v>3</v>
      </c>
      <c r="B21" s="4">
        <v>4</v>
      </c>
      <c r="C21" s="4">
        <v>2</v>
      </c>
      <c r="D21" s="4">
        <v>14</v>
      </c>
      <c r="E21" s="4">
        <v>20</v>
      </c>
      <c r="F21" s="4" t="s">
        <v>30</v>
      </c>
      <c r="G21" t="s">
        <v>31</v>
      </c>
      <c r="H21" s="4">
        <v>304</v>
      </c>
      <c r="I21" s="4">
        <v>1</v>
      </c>
      <c r="J21" s="38">
        <v>45538</v>
      </c>
      <c r="K21" s="12">
        <v>46</v>
      </c>
      <c r="L21" s="12">
        <v>0</v>
      </c>
      <c r="M21" s="60">
        <f t="shared" si="0"/>
        <v>0</v>
      </c>
    </row>
    <row r="22" spans="1:13" x14ac:dyDescent="0.25">
      <c r="A22" s="4">
        <v>3</v>
      </c>
      <c r="B22" s="4">
        <v>5</v>
      </c>
      <c r="C22" s="4">
        <v>3</v>
      </c>
      <c r="D22" s="4">
        <v>19</v>
      </c>
      <c r="E22" s="4">
        <v>21</v>
      </c>
      <c r="F22" s="4" t="s">
        <v>25</v>
      </c>
      <c r="G22" t="s">
        <v>29</v>
      </c>
      <c r="H22" s="4">
        <v>305</v>
      </c>
      <c r="I22" s="4">
        <v>1</v>
      </c>
      <c r="J22" s="38">
        <v>45538</v>
      </c>
      <c r="K22" s="12">
        <v>61</v>
      </c>
      <c r="L22" s="12">
        <v>24</v>
      </c>
      <c r="M22" s="60">
        <f t="shared" si="0"/>
        <v>39.344262295081968</v>
      </c>
    </row>
    <row r="23" spans="1:13" x14ac:dyDescent="0.25">
      <c r="A23" s="4">
        <v>3</v>
      </c>
      <c r="B23" s="4">
        <v>6</v>
      </c>
      <c r="C23" s="4">
        <v>3</v>
      </c>
      <c r="D23" s="4">
        <v>22</v>
      </c>
      <c r="E23" s="4">
        <v>22</v>
      </c>
      <c r="F23" s="4" t="s">
        <v>30</v>
      </c>
      <c r="G23" t="s">
        <v>32</v>
      </c>
      <c r="H23" s="4">
        <v>306</v>
      </c>
      <c r="I23" s="4">
        <v>1</v>
      </c>
      <c r="J23" s="38">
        <v>45538</v>
      </c>
      <c r="K23" s="12">
        <v>73</v>
      </c>
      <c r="L23" s="12">
        <v>0</v>
      </c>
      <c r="M23" s="60">
        <f t="shared" si="0"/>
        <v>0</v>
      </c>
    </row>
    <row r="24" spans="1:13" x14ac:dyDescent="0.25">
      <c r="A24" s="4">
        <v>3</v>
      </c>
      <c r="B24" s="4">
        <v>7</v>
      </c>
      <c r="C24" s="4">
        <v>4</v>
      </c>
      <c r="D24" s="4">
        <v>27</v>
      </c>
      <c r="E24" s="4">
        <v>23</v>
      </c>
      <c r="F24" s="4" t="s">
        <v>25</v>
      </c>
      <c r="G24" t="s">
        <v>27</v>
      </c>
      <c r="H24" s="4">
        <v>307</v>
      </c>
      <c r="I24" s="4">
        <v>1</v>
      </c>
      <c r="J24" s="38">
        <v>45538</v>
      </c>
      <c r="K24" s="12">
        <v>44</v>
      </c>
      <c r="L24" s="12">
        <v>2</v>
      </c>
      <c r="M24" s="60">
        <f t="shared" si="0"/>
        <v>4.5454545454545459</v>
      </c>
    </row>
    <row r="25" spans="1:13" x14ac:dyDescent="0.25">
      <c r="A25" s="4">
        <v>3</v>
      </c>
      <c r="B25" s="4">
        <v>8</v>
      </c>
      <c r="C25" s="4">
        <v>4</v>
      </c>
      <c r="D25" s="4">
        <v>30</v>
      </c>
      <c r="E25" s="4">
        <v>24</v>
      </c>
      <c r="F25" s="4" t="s">
        <v>30</v>
      </c>
      <c r="G25" t="s">
        <v>28</v>
      </c>
      <c r="H25" s="4">
        <v>308</v>
      </c>
      <c r="I25" s="4">
        <v>1</v>
      </c>
      <c r="J25" s="38">
        <v>45538</v>
      </c>
      <c r="K25" s="12">
        <v>64</v>
      </c>
      <c r="L25" s="12">
        <v>0</v>
      </c>
      <c r="M25" s="60">
        <f t="shared" si="0"/>
        <v>0</v>
      </c>
    </row>
    <row r="26" spans="1:13" x14ac:dyDescent="0.25">
      <c r="A26" s="4">
        <v>4</v>
      </c>
      <c r="B26" s="4">
        <v>8</v>
      </c>
      <c r="C26" s="4">
        <v>4</v>
      </c>
      <c r="D26" s="4">
        <v>29</v>
      </c>
      <c r="E26" s="4">
        <v>25</v>
      </c>
      <c r="F26" s="4" t="s">
        <v>30</v>
      </c>
      <c r="G26" t="s">
        <v>31</v>
      </c>
      <c r="H26" s="4">
        <v>408</v>
      </c>
      <c r="I26" s="4">
        <v>1</v>
      </c>
      <c r="J26" s="38">
        <v>45538</v>
      </c>
      <c r="K26" s="12">
        <v>47</v>
      </c>
      <c r="L26" s="12">
        <v>0</v>
      </c>
      <c r="M26" s="60">
        <f t="shared" si="0"/>
        <v>0</v>
      </c>
    </row>
    <row r="27" spans="1:13" x14ac:dyDescent="0.25">
      <c r="A27" s="4">
        <v>4</v>
      </c>
      <c r="B27" s="4">
        <v>7</v>
      </c>
      <c r="C27" s="4">
        <v>4</v>
      </c>
      <c r="D27" s="4">
        <v>28</v>
      </c>
      <c r="E27" s="4">
        <v>26</v>
      </c>
      <c r="F27" s="4" t="s">
        <v>25</v>
      </c>
      <c r="G27" t="s">
        <v>26</v>
      </c>
      <c r="H27" s="4">
        <v>407</v>
      </c>
      <c r="I27" s="4">
        <v>1</v>
      </c>
      <c r="J27" s="38">
        <v>45538</v>
      </c>
      <c r="K27" s="12">
        <v>57</v>
      </c>
      <c r="L27" s="12">
        <v>0</v>
      </c>
      <c r="M27" s="60">
        <f t="shared" si="0"/>
        <v>0</v>
      </c>
    </row>
    <row r="28" spans="1:13" x14ac:dyDescent="0.25">
      <c r="A28" s="4">
        <v>4</v>
      </c>
      <c r="B28" s="4">
        <v>6</v>
      </c>
      <c r="C28" s="4">
        <v>3</v>
      </c>
      <c r="D28" s="4">
        <v>21</v>
      </c>
      <c r="E28" s="4">
        <v>27</v>
      </c>
      <c r="F28" s="4" t="s">
        <v>30</v>
      </c>
      <c r="G28" t="s">
        <v>28</v>
      </c>
      <c r="H28" s="4">
        <v>406</v>
      </c>
      <c r="I28" s="4">
        <v>1</v>
      </c>
      <c r="J28" s="38">
        <v>45538</v>
      </c>
      <c r="K28" s="12">
        <v>54</v>
      </c>
      <c r="L28" s="12">
        <v>0</v>
      </c>
      <c r="M28" s="60">
        <f t="shared" si="0"/>
        <v>0</v>
      </c>
    </row>
    <row r="29" spans="1:13" x14ac:dyDescent="0.25">
      <c r="A29" s="4">
        <v>4</v>
      </c>
      <c r="B29" s="4">
        <v>5</v>
      </c>
      <c r="C29" s="4">
        <v>3</v>
      </c>
      <c r="D29" s="4">
        <v>20</v>
      </c>
      <c r="E29" s="4">
        <v>28</v>
      </c>
      <c r="F29" s="4" t="s">
        <v>25</v>
      </c>
      <c r="G29" t="s">
        <v>27</v>
      </c>
      <c r="H29" s="4">
        <v>405</v>
      </c>
      <c r="I29" s="4">
        <v>1</v>
      </c>
      <c r="J29" s="38">
        <v>45538</v>
      </c>
      <c r="K29" s="12">
        <v>64</v>
      </c>
      <c r="L29" s="12">
        <v>14</v>
      </c>
      <c r="M29" s="60">
        <f t="shared" si="0"/>
        <v>21.875</v>
      </c>
    </row>
    <row r="30" spans="1:13" x14ac:dyDescent="0.25">
      <c r="A30" s="4">
        <v>4</v>
      </c>
      <c r="B30" s="4">
        <v>4</v>
      </c>
      <c r="C30" s="4">
        <v>2</v>
      </c>
      <c r="D30" s="4">
        <v>13</v>
      </c>
      <c r="E30" s="4">
        <v>29</v>
      </c>
      <c r="F30" s="4" t="s">
        <v>30</v>
      </c>
      <c r="G30" t="s">
        <v>29</v>
      </c>
      <c r="H30" s="4">
        <v>404</v>
      </c>
      <c r="I30" s="4">
        <v>1</v>
      </c>
      <c r="J30" s="38">
        <v>45538</v>
      </c>
      <c r="K30" s="12">
        <v>64</v>
      </c>
      <c r="L30" s="12">
        <v>0</v>
      </c>
      <c r="M30" s="60">
        <f t="shared" si="0"/>
        <v>0</v>
      </c>
    </row>
    <row r="31" spans="1:13" x14ac:dyDescent="0.25">
      <c r="A31" s="4">
        <v>4</v>
      </c>
      <c r="B31" s="4">
        <v>3</v>
      </c>
      <c r="C31" s="4">
        <v>2</v>
      </c>
      <c r="D31" s="4">
        <v>12</v>
      </c>
      <c r="E31" s="4">
        <v>30</v>
      </c>
      <c r="F31" s="4" t="s">
        <v>25</v>
      </c>
      <c r="G31" t="s">
        <v>28</v>
      </c>
      <c r="H31" s="4">
        <v>403</v>
      </c>
      <c r="I31" s="4">
        <v>1</v>
      </c>
      <c r="J31" s="38">
        <v>45538</v>
      </c>
      <c r="K31" s="12">
        <v>61</v>
      </c>
      <c r="L31" s="12">
        <v>30</v>
      </c>
      <c r="M31" s="60">
        <f t="shared" si="0"/>
        <v>49.180327868852459</v>
      </c>
    </row>
    <row r="32" spans="1:13" x14ac:dyDescent="0.25">
      <c r="A32" s="4">
        <v>4</v>
      </c>
      <c r="B32" s="4">
        <v>2</v>
      </c>
      <c r="C32" s="4">
        <v>1</v>
      </c>
      <c r="D32" s="4">
        <v>5</v>
      </c>
      <c r="E32" s="4">
        <v>31</v>
      </c>
      <c r="F32" s="4" t="s">
        <v>30</v>
      </c>
      <c r="G32" t="s">
        <v>32</v>
      </c>
      <c r="H32" s="4">
        <v>402</v>
      </c>
      <c r="I32" s="4">
        <v>1</v>
      </c>
      <c r="J32" s="38">
        <v>45538</v>
      </c>
      <c r="K32" s="12">
        <v>66</v>
      </c>
      <c r="L32" s="12">
        <v>0</v>
      </c>
      <c r="M32" s="60">
        <f t="shared" si="0"/>
        <v>0</v>
      </c>
    </row>
    <row r="33" spans="1:13" x14ac:dyDescent="0.25">
      <c r="A33" s="4">
        <v>4</v>
      </c>
      <c r="B33" s="4">
        <v>1</v>
      </c>
      <c r="C33" s="4">
        <v>1</v>
      </c>
      <c r="D33" s="4">
        <v>4</v>
      </c>
      <c r="E33" s="4">
        <v>32</v>
      </c>
      <c r="F33" s="4" t="s">
        <v>25</v>
      </c>
      <c r="G33" t="s">
        <v>29</v>
      </c>
      <c r="H33" s="4">
        <v>401</v>
      </c>
      <c r="I33" s="4">
        <v>1</v>
      </c>
      <c r="J33" s="38">
        <v>45538</v>
      </c>
      <c r="K33" s="12">
        <v>51</v>
      </c>
      <c r="L33" s="12">
        <v>12</v>
      </c>
      <c r="M33" s="60">
        <f t="shared" si="0"/>
        <v>23.52941176470588</v>
      </c>
    </row>
    <row r="34" spans="1:13" x14ac:dyDescent="0.25">
      <c r="A34" s="4">
        <v>1</v>
      </c>
      <c r="B34" s="4">
        <v>1</v>
      </c>
      <c r="C34" s="4">
        <v>1</v>
      </c>
      <c r="D34" s="4">
        <v>1</v>
      </c>
      <c r="E34" s="4">
        <v>1</v>
      </c>
      <c r="F34" s="4" t="s">
        <v>25</v>
      </c>
      <c r="G34" t="s">
        <v>26</v>
      </c>
      <c r="H34" s="4">
        <v>101</v>
      </c>
      <c r="I34" s="4">
        <v>2</v>
      </c>
      <c r="J34" s="38">
        <v>45540</v>
      </c>
      <c r="K34" s="12">
        <v>50</v>
      </c>
      <c r="L34" s="12">
        <v>0</v>
      </c>
      <c r="M34" s="60">
        <f t="shared" ref="M34:M97" si="1">(L34/K34)*100</f>
        <v>0</v>
      </c>
    </row>
    <row r="35" spans="1:13" x14ac:dyDescent="0.25">
      <c r="A35" s="4">
        <v>1</v>
      </c>
      <c r="B35" s="4">
        <v>2</v>
      </c>
      <c r="C35" s="4">
        <v>1</v>
      </c>
      <c r="D35" s="4">
        <v>8</v>
      </c>
      <c r="E35" s="4">
        <v>2</v>
      </c>
      <c r="F35" s="4" t="s">
        <v>30</v>
      </c>
      <c r="G35" t="s">
        <v>31</v>
      </c>
      <c r="H35" s="4">
        <v>102</v>
      </c>
      <c r="I35" s="4">
        <v>2</v>
      </c>
      <c r="J35" s="38">
        <v>45540</v>
      </c>
      <c r="K35" s="12">
        <v>39</v>
      </c>
      <c r="L35" s="12">
        <v>0</v>
      </c>
      <c r="M35" s="60">
        <f t="shared" si="1"/>
        <v>0</v>
      </c>
    </row>
    <row r="36" spans="1:13" x14ac:dyDescent="0.25">
      <c r="A36" s="4">
        <v>1</v>
      </c>
      <c r="B36" s="4">
        <v>3</v>
      </c>
      <c r="C36" s="4">
        <v>2</v>
      </c>
      <c r="D36" s="4">
        <v>9</v>
      </c>
      <c r="E36" s="4">
        <v>3</v>
      </c>
      <c r="F36" s="4" t="s">
        <v>25</v>
      </c>
      <c r="G36" t="s">
        <v>27</v>
      </c>
      <c r="H36" s="4">
        <v>103</v>
      </c>
      <c r="I36" s="4">
        <v>2</v>
      </c>
      <c r="J36" s="38">
        <v>45540</v>
      </c>
      <c r="K36" s="12">
        <v>38</v>
      </c>
      <c r="L36" s="12">
        <v>4</v>
      </c>
      <c r="M36" s="60">
        <f t="shared" si="1"/>
        <v>10.526315789473683</v>
      </c>
    </row>
    <row r="37" spans="1:13" x14ac:dyDescent="0.25">
      <c r="A37" s="4">
        <v>1</v>
      </c>
      <c r="B37" s="4">
        <v>4</v>
      </c>
      <c r="C37" s="4">
        <v>2</v>
      </c>
      <c r="D37" s="4">
        <v>16</v>
      </c>
      <c r="E37" s="4">
        <v>4</v>
      </c>
      <c r="F37" s="4" t="s">
        <v>30</v>
      </c>
      <c r="G37" t="s">
        <v>28</v>
      </c>
      <c r="H37" s="4">
        <v>104</v>
      </c>
      <c r="I37" s="4">
        <v>2</v>
      </c>
      <c r="J37" s="38">
        <v>45540</v>
      </c>
      <c r="K37" s="12">
        <v>38</v>
      </c>
      <c r="L37" s="12">
        <v>0</v>
      </c>
      <c r="M37" s="60">
        <f t="shared" si="1"/>
        <v>0</v>
      </c>
    </row>
    <row r="38" spans="1:13" x14ac:dyDescent="0.25">
      <c r="A38" s="4">
        <v>1</v>
      </c>
      <c r="B38" s="4">
        <v>5</v>
      </c>
      <c r="C38" s="4">
        <v>3</v>
      </c>
      <c r="D38" s="4">
        <v>17</v>
      </c>
      <c r="E38" s="4">
        <v>5</v>
      </c>
      <c r="F38" s="4" t="s">
        <v>25</v>
      </c>
      <c r="G38" t="s">
        <v>28</v>
      </c>
      <c r="H38" s="4">
        <v>105</v>
      </c>
      <c r="I38" s="4">
        <v>2</v>
      </c>
      <c r="J38" s="38">
        <v>45540</v>
      </c>
      <c r="K38" s="12">
        <v>61</v>
      </c>
      <c r="L38" s="12">
        <v>37</v>
      </c>
      <c r="M38" s="60">
        <f t="shared" si="1"/>
        <v>60.655737704918032</v>
      </c>
    </row>
    <row r="39" spans="1:13" x14ac:dyDescent="0.25">
      <c r="A39" s="4">
        <v>1</v>
      </c>
      <c r="B39" s="4">
        <v>6</v>
      </c>
      <c r="C39" s="4">
        <v>3</v>
      </c>
      <c r="D39" s="4">
        <v>24</v>
      </c>
      <c r="E39" s="4">
        <v>6</v>
      </c>
      <c r="F39" s="4" t="s">
        <v>30</v>
      </c>
      <c r="G39" t="s">
        <v>29</v>
      </c>
      <c r="H39" s="4">
        <v>106</v>
      </c>
      <c r="I39" s="4">
        <v>2</v>
      </c>
      <c r="J39" s="38">
        <v>45540</v>
      </c>
      <c r="K39" s="12">
        <v>85</v>
      </c>
      <c r="L39" s="12">
        <v>0</v>
      </c>
      <c r="M39" s="60">
        <f t="shared" si="1"/>
        <v>0</v>
      </c>
    </row>
    <row r="40" spans="1:13" x14ac:dyDescent="0.25">
      <c r="A40" s="4">
        <v>1</v>
      </c>
      <c r="B40" s="4">
        <v>7</v>
      </c>
      <c r="C40" s="4">
        <v>4</v>
      </c>
      <c r="D40" s="4">
        <v>25</v>
      </c>
      <c r="E40" s="4">
        <v>7</v>
      </c>
      <c r="F40" s="4" t="s">
        <v>25</v>
      </c>
      <c r="G40" t="s">
        <v>29</v>
      </c>
      <c r="H40" s="4">
        <v>107</v>
      </c>
      <c r="I40" s="4">
        <v>2</v>
      </c>
      <c r="J40" s="38">
        <v>45540</v>
      </c>
      <c r="K40" s="12">
        <v>34</v>
      </c>
      <c r="L40" s="12">
        <v>16</v>
      </c>
      <c r="M40" s="60">
        <f t="shared" si="1"/>
        <v>47.058823529411761</v>
      </c>
    </row>
    <row r="41" spans="1:13" x14ac:dyDescent="0.25">
      <c r="A41" s="4">
        <v>1</v>
      </c>
      <c r="B41" s="4">
        <v>8</v>
      </c>
      <c r="C41" s="4">
        <v>4</v>
      </c>
      <c r="D41" s="4">
        <v>32</v>
      </c>
      <c r="E41" s="4">
        <v>8</v>
      </c>
      <c r="F41" s="4" t="s">
        <v>30</v>
      </c>
      <c r="G41" t="s">
        <v>32</v>
      </c>
      <c r="H41" s="4">
        <v>108</v>
      </c>
      <c r="I41" s="4">
        <v>2</v>
      </c>
      <c r="J41" s="38">
        <v>45540</v>
      </c>
      <c r="K41" s="12">
        <v>75</v>
      </c>
      <c r="L41" s="12">
        <v>0</v>
      </c>
      <c r="M41" s="60">
        <f t="shared" si="1"/>
        <v>0</v>
      </c>
    </row>
    <row r="42" spans="1:13" x14ac:dyDescent="0.25">
      <c r="A42" s="4">
        <v>2</v>
      </c>
      <c r="B42" s="4">
        <v>8</v>
      </c>
      <c r="C42" s="4">
        <v>4</v>
      </c>
      <c r="D42" s="4">
        <v>31</v>
      </c>
      <c r="E42" s="4">
        <v>9</v>
      </c>
      <c r="F42" s="4" t="s">
        <v>30</v>
      </c>
      <c r="G42" t="s">
        <v>29</v>
      </c>
      <c r="H42" s="4">
        <v>208</v>
      </c>
      <c r="I42" s="4">
        <v>2</v>
      </c>
      <c r="J42" s="38">
        <v>45540</v>
      </c>
      <c r="K42" s="12">
        <v>79</v>
      </c>
      <c r="L42" s="12">
        <v>0</v>
      </c>
      <c r="M42" s="60">
        <f t="shared" si="1"/>
        <v>0</v>
      </c>
    </row>
    <row r="43" spans="1:13" x14ac:dyDescent="0.25">
      <c r="A43" s="4">
        <v>2</v>
      </c>
      <c r="B43" s="4">
        <v>7</v>
      </c>
      <c r="C43" s="4">
        <v>4</v>
      </c>
      <c r="D43" s="4">
        <v>26</v>
      </c>
      <c r="E43" s="4">
        <v>10</v>
      </c>
      <c r="F43" s="4" t="s">
        <v>25</v>
      </c>
      <c r="G43" t="s">
        <v>28</v>
      </c>
      <c r="H43" s="4">
        <v>207</v>
      </c>
      <c r="I43" s="4">
        <v>2</v>
      </c>
      <c r="J43" s="38">
        <v>45540</v>
      </c>
      <c r="K43" s="12">
        <v>49</v>
      </c>
      <c r="L43" s="12">
        <v>24</v>
      </c>
      <c r="M43" s="60">
        <f t="shared" si="1"/>
        <v>48.979591836734691</v>
      </c>
    </row>
    <row r="44" spans="1:13" x14ac:dyDescent="0.25">
      <c r="A44" s="4">
        <v>2</v>
      </c>
      <c r="B44" s="4">
        <v>6</v>
      </c>
      <c r="C44" s="4">
        <v>3</v>
      </c>
      <c r="D44" s="4">
        <v>23</v>
      </c>
      <c r="E44" s="4">
        <v>11</v>
      </c>
      <c r="F44" s="4" t="s">
        <v>30</v>
      </c>
      <c r="G44" t="s">
        <v>31</v>
      </c>
      <c r="H44" s="4">
        <v>206</v>
      </c>
      <c r="I44" s="4">
        <v>2</v>
      </c>
      <c r="J44" s="38">
        <v>45540</v>
      </c>
      <c r="K44" s="12">
        <v>42</v>
      </c>
      <c r="L44" s="12">
        <v>2</v>
      </c>
      <c r="M44" s="60">
        <f t="shared" si="1"/>
        <v>4.7619047619047619</v>
      </c>
    </row>
    <row r="45" spans="1:13" x14ac:dyDescent="0.25">
      <c r="A45" s="4">
        <v>2</v>
      </c>
      <c r="B45" s="4">
        <v>5</v>
      </c>
      <c r="C45" s="4">
        <v>3</v>
      </c>
      <c r="D45" s="4">
        <v>18</v>
      </c>
      <c r="E45" s="4">
        <v>12</v>
      </c>
      <c r="F45" s="4" t="s">
        <v>25</v>
      </c>
      <c r="G45" t="s">
        <v>26</v>
      </c>
      <c r="H45" s="4">
        <v>205</v>
      </c>
      <c r="I45" s="4">
        <v>2</v>
      </c>
      <c r="J45" s="38">
        <v>45540</v>
      </c>
      <c r="K45" s="12">
        <v>61</v>
      </c>
      <c r="L45" s="12">
        <v>0</v>
      </c>
      <c r="M45" s="60">
        <f t="shared" si="1"/>
        <v>0</v>
      </c>
    </row>
    <row r="46" spans="1:13" x14ac:dyDescent="0.25">
      <c r="A46" s="4">
        <v>2</v>
      </c>
      <c r="B46" s="4">
        <v>4</v>
      </c>
      <c r="C46" s="4">
        <v>2</v>
      </c>
      <c r="D46" s="4">
        <v>15</v>
      </c>
      <c r="E46" s="4">
        <v>13</v>
      </c>
      <c r="F46" s="4" t="s">
        <v>30</v>
      </c>
      <c r="G46" t="s">
        <v>32</v>
      </c>
      <c r="H46" s="4">
        <v>204</v>
      </c>
      <c r="I46" s="4">
        <v>2</v>
      </c>
      <c r="J46" s="38">
        <v>45540</v>
      </c>
      <c r="K46" s="12">
        <v>52</v>
      </c>
      <c r="L46" s="12">
        <v>0</v>
      </c>
      <c r="M46" s="60">
        <f t="shared" si="1"/>
        <v>0</v>
      </c>
    </row>
    <row r="47" spans="1:13" x14ac:dyDescent="0.25">
      <c r="A47" s="4">
        <v>2</v>
      </c>
      <c r="B47" s="4">
        <v>3</v>
      </c>
      <c r="C47" s="4">
        <v>2</v>
      </c>
      <c r="D47" s="4">
        <v>10</v>
      </c>
      <c r="E47" s="4">
        <v>14</v>
      </c>
      <c r="F47" s="4" t="s">
        <v>25</v>
      </c>
      <c r="G47" t="s">
        <v>29</v>
      </c>
      <c r="H47" s="4">
        <v>203</v>
      </c>
      <c r="I47" s="4">
        <v>2</v>
      </c>
      <c r="J47" s="38">
        <v>45540</v>
      </c>
      <c r="K47" s="12">
        <v>51</v>
      </c>
      <c r="L47" s="12">
        <v>12</v>
      </c>
      <c r="M47" s="60">
        <f t="shared" si="1"/>
        <v>23.52941176470588</v>
      </c>
    </row>
    <row r="48" spans="1:13" x14ac:dyDescent="0.25">
      <c r="A48" s="4">
        <v>2</v>
      </c>
      <c r="B48" s="4">
        <v>2</v>
      </c>
      <c r="C48" s="4">
        <v>1</v>
      </c>
      <c r="D48" s="4">
        <v>7</v>
      </c>
      <c r="E48" s="4">
        <v>15</v>
      </c>
      <c r="F48" s="4" t="s">
        <v>30</v>
      </c>
      <c r="G48" t="s">
        <v>28</v>
      </c>
      <c r="H48" s="4">
        <v>202</v>
      </c>
      <c r="I48" s="4">
        <v>2</v>
      </c>
      <c r="J48" s="38">
        <v>45540</v>
      </c>
      <c r="K48" s="12">
        <v>67</v>
      </c>
      <c r="L48" s="12">
        <v>0</v>
      </c>
      <c r="M48" s="60">
        <f t="shared" si="1"/>
        <v>0</v>
      </c>
    </row>
    <row r="49" spans="1:13" x14ac:dyDescent="0.25">
      <c r="A49" s="4">
        <v>2</v>
      </c>
      <c r="B49" s="4">
        <v>1</v>
      </c>
      <c r="C49" s="4">
        <v>1</v>
      </c>
      <c r="D49" s="4">
        <v>2</v>
      </c>
      <c r="E49" s="4">
        <v>16</v>
      </c>
      <c r="F49" s="4" t="s">
        <v>25</v>
      </c>
      <c r="G49" t="s">
        <v>27</v>
      </c>
      <c r="H49" s="4">
        <v>201</v>
      </c>
      <c r="I49" s="4">
        <v>2</v>
      </c>
      <c r="J49" s="38">
        <v>45540</v>
      </c>
      <c r="K49" s="12">
        <v>55</v>
      </c>
      <c r="L49" s="12">
        <v>15</v>
      </c>
      <c r="M49" s="60">
        <f t="shared" si="1"/>
        <v>27.27272727272727</v>
      </c>
    </row>
    <row r="50" spans="1:13" x14ac:dyDescent="0.25">
      <c r="A50" s="4">
        <v>3</v>
      </c>
      <c r="B50" s="4">
        <v>1</v>
      </c>
      <c r="C50" s="4">
        <v>1</v>
      </c>
      <c r="D50" s="4">
        <v>3</v>
      </c>
      <c r="E50" s="4">
        <v>17</v>
      </c>
      <c r="F50" s="4" t="s">
        <v>25</v>
      </c>
      <c r="G50" t="s">
        <v>28</v>
      </c>
      <c r="H50" s="4">
        <v>301</v>
      </c>
      <c r="I50" s="4">
        <v>2</v>
      </c>
      <c r="J50" s="38">
        <v>45540</v>
      </c>
      <c r="K50" s="12">
        <v>35</v>
      </c>
      <c r="L50" s="12">
        <v>19</v>
      </c>
      <c r="M50" s="60">
        <f t="shared" si="1"/>
        <v>54.285714285714285</v>
      </c>
    </row>
    <row r="51" spans="1:13" x14ac:dyDescent="0.25">
      <c r="A51" s="4">
        <v>3</v>
      </c>
      <c r="B51" s="4">
        <v>2</v>
      </c>
      <c r="C51" s="4">
        <v>1</v>
      </c>
      <c r="D51" s="4">
        <v>6</v>
      </c>
      <c r="E51" s="4">
        <v>18</v>
      </c>
      <c r="F51" s="4" t="s">
        <v>30</v>
      </c>
      <c r="G51" t="s">
        <v>29</v>
      </c>
      <c r="H51" s="4">
        <v>302</v>
      </c>
      <c r="I51" s="4">
        <v>2</v>
      </c>
      <c r="J51" s="38">
        <v>45540</v>
      </c>
      <c r="K51" s="12">
        <v>55</v>
      </c>
      <c r="L51" s="12">
        <v>0</v>
      </c>
      <c r="M51" s="60">
        <f t="shared" si="1"/>
        <v>0</v>
      </c>
    </row>
    <row r="52" spans="1:13" x14ac:dyDescent="0.25">
      <c r="A52" s="4">
        <v>3</v>
      </c>
      <c r="B52" s="4">
        <v>3</v>
      </c>
      <c r="C52" s="4">
        <v>2</v>
      </c>
      <c r="D52" s="4">
        <v>11</v>
      </c>
      <c r="E52" s="4">
        <v>19</v>
      </c>
      <c r="F52" s="4" t="s">
        <v>25</v>
      </c>
      <c r="G52" t="s">
        <v>26</v>
      </c>
      <c r="H52" s="4">
        <v>303</v>
      </c>
      <c r="I52" s="4">
        <v>2</v>
      </c>
      <c r="J52" s="38">
        <v>45540</v>
      </c>
      <c r="K52" s="12">
        <v>59</v>
      </c>
      <c r="L52" s="12">
        <v>0</v>
      </c>
      <c r="M52" s="60">
        <f t="shared" si="1"/>
        <v>0</v>
      </c>
    </row>
    <row r="53" spans="1:13" x14ac:dyDescent="0.25">
      <c r="A53" s="4">
        <v>3</v>
      </c>
      <c r="B53" s="4">
        <v>4</v>
      </c>
      <c r="C53" s="4">
        <v>2</v>
      </c>
      <c r="D53" s="4">
        <v>14</v>
      </c>
      <c r="E53" s="4">
        <v>20</v>
      </c>
      <c r="F53" s="4" t="s">
        <v>30</v>
      </c>
      <c r="G53" t="s">
        <v>31</v>
      </c>
      <c r="H53" s="4">
        <v>304</v>
      </c>
      <c r="I53" s="4">
        <v>2</v>
      </c>
      <c r="J53" s="38">
        <v>45540</v>
      </c>
      <c r="K53" s="12">
        <v>46</v>
      </c>
      <c r="L53" s="12">
        <v>0</v>
      </c>
      <c r="M53" s="60">
        <f t="shared" si="1"/>
        <v>0</v>
      </c>
    </row>
    <row r="54" spans="1:13" x14ac:dyDescent="0.25">
      <c r="A54" s="4">
        <v>3</v>
      </c>
      <c r="B54" s="4">
        <v>5</v>
      </c>
      <c r="C54" s="4">
        <v>3</v>
      </c>
      <c r="D54" s="4">
        <v>19</v>
      </c>
      <c r="E54" s="4">
        <v>21</v>
      </c>
      <c r="F54" s="4" t="s">
        <v>25</v>
      </c>
      <c r="G54" t="s">
        <v>29</v>
      </c>
      <c r="H54" s="4">
        <v>305</v>
      </c>
      <c r="I54" s="4">
        <v>2</v>
      </c>
      <c r="J54" s="38">
        <v>45540</v>
      </c>
      <c r="K54" s="12">
        <v>61</v>
      </c>
      <c r="L54" s="12">
        <v>31</v>
      </c>
      <c r="M54" s="60">
        <f t="shared" si="1"/>
        <v>50.819672131147541</v>
      </c>
    </row>
    <row r="55" spans="1:13" x14ac:dyDescent="0.25">
      <c r="A55" s="4">
        <v>3</v>
      </c>
      <c r="B55" s="4">
        <v>6</v>
      </c>
      <c r="C55" s="4">
        <v>3</v>
      </c>
      <c r="D55" s="4">
        <v>22</v>
      </c>
      <c r="E55" s="4">
        <v>22</v>
      </c>
      <c r="F55" s="4" t="s">
        <v>30</v>
      </c>
      <c r="G55" t="s">
        <v>32</v>
      </c>
      <c r="H55" s="4">
        <v>306</v>
      </c>
      <c r="I55" s="4">
        <v>2</v>
      </c>
      <c r="J55" s="38">
        <v>45540</v>
      </c>
      <c r="K55" s="12">
        <v>73</v>
      </c>
      <c r="L55" s="12">
        <v>0</v>
      </c>
      <c r="M55" s="60">
        <f t="shared" si="1"/>
        <v>0</v>
      </c>
    </row>
    <row r="56" spans="1:13" x14ac:dyDescent="0.25">
      <c r="A56" s="4">
        <v>3</v>
      </c>
      <c r="B56" s="4">
        <v>7</v>
      </c>
      <c r="C56" s="4">
        <v>4</v>
      </c>
      <c r="D56" s="4">
        <v>27</v>
      </c>
      <c r="E56" s="4">
        <v>23</v>
      </c>
      <c r="F56" s="4" t="s">
        <v>25</v>
      </c>
      <c r="G56" t="s">
        <v>27</v>
      </c>
      <c r="H56" s="4">
        <v>307</v>
      </c>
      <c r="I56" s="4">
        <v>2</v>
      </c>
      <c r="J56" s="38">
        <v>45540</v>
      </c>
      <c r="K56" s="12">
        <v>44</v>
      </c>
      <c r="L56" s="12">
        <v>2</v>
      </c>
      <c r="M56" s="60">
        <f t="shared" si="1"/>
        <v>4.5454545454545459</v>
      </c>
    </row>
    <row r="57" spans="1:13" x14ac:dyDescent="0.25">
      <c r="A57" s="4">
        <v>3</v>
      </c>
      <c r="B57" s="4">
        <v>8</v>
      </c>
      <c r="C57" s="4">
        <v>4</v>
      </c>
      <c r="D57" s="4">
        <v>30</v>
      </c>
      <c r="E57" s="4">
        <v>24</v>
      </c>
      <c r="F57" s="4" t="s">
        <v>30</v>
      </c>
      <c r="G57" t="s">
        <v>28</v>
      </c>
      <c r="H57" s="4">
        <v>308</v>
      </c>
      <c r="I57" s="4">
        <v>2</v>
      </c>
      <c r="J57" s="38">
        <v>45540</v>
      </c>
      <c r="K57" s="12">
        <v>64</v>
      </c>
      <c r="L57" s="12">
        <v>0</v>
      </c>
      <c r="M57" s="60">
        <f t="shared" si="1"/>
        <v>0</v>
      </c>
    </row>
    <row r="58" spans="1:13" x14ac:dyDescent="0.25">
      <c r="A58" s="4">
        <v>4</v>
      </c>
      <c r="B58" s="4">
        <v>8</v>
      </c>
      <c r="C58" s="4">
        <v>4</v>
      </c>
      <c r="D58" s="4">
        <v>29</v>
      </c>
      <c r="E58" s="4">
        <v>25</v>
      </c>
      <c r="F58" s="4" t="s">
        <v>30</v>
      </c>
      <c r="G58" t="s">
        <v>31</v>
      </c>
      <c r="H58" s="4">
        <v>408</v>
      </c>
      <c r="I58" s="4">
        <v>2</v>
      </c>
      <c r="J58" s="38">
        <v>45540</v>
      </c>
      <c r="K58" s="12">
        <v>47</v>
      </c>
      <c r="L58" s="12">
        <v>0</v>
      </c>
      <c r="M58" s="60">
        <f t="shared" si="1"/>
        <v>0</v>
      </c>
    </row>
    <row r="59" spans="1:13" x14ac:dyDescent="0.25">
      <c r="A59" s="4">
        <v>4</v>
      </c>
      <c r="B59" s="4">
        <v>7</v>
      </c>
      <c r="C59" s="4">
        <v>4</v>
      </c>
      <c r="D59" s="4">
        <v>28</v>
      </c>
      <c r="E59" s="4">
        <v>26</v>
      </c>
      <c r="F59" s="4" t="s">
        <v>25</v>
      </c>
      <c r="G59" t="s">
        <v>26</v>
      </c>
      <c r="H59" s="4">
        <v>407</v>
      </c>
      <c r="I59" s="4">
        <v>2</v>
      </c>
      <c r="J59" s="38">
        <v>45540</v>
      </c>
      <c r="K59" s="12">
        <v>57</v>
      </c>
      <c r="L59" s="12">
        <v>0</v>
      </c>
      <c r="M59" s="60">
        <f t="shared" si="1"/>
        <v>0</v>
      </c>
    </row>
    <row r="60" spans="1:13" x14ac:dyDescent="0.25">
      <c r="A60" s="4">
        <v>4</v>
      </c>
      <c r="B60" s="4">
        <v>6</v>
      </c>
      <c r="C60" s="4">
        <v>3</v>
      </c>
      <c r="D60" s="4">
        <v>21</v>
      </c>
      <c r="E60" s="4">
        <v>27</v>
      </c>
      <c r="F60" s="4" t="s">
        <v>30</v>
      </c>
      <c r="G60" t="s">
        <v>28</v>
      </c>
      <c r="H60" s="4">
        <v>406</v>
      </c>
      <c r="I60" s="4">
        <v>2</v>
      </c>
      <c r="J60" s="38">
        <v>45540</v>
      </c>
      <c r="K60" s="12">
        <v>54</v>
      </c>
      <c r="L60" s="12">
        <v>0</v>
      </c>
      <c r="M60" s="60">
        <f t="shared" si="1"/>
        <v>0</v>
      </c>
    </row>
    <row r="61" spans="1:13" x14ac:dyDescent="0.25">
      <c r="A61" s="4">
        <v>4</v>
      </c>
      <c r="B61" s="4">
        <v>5</v>
      </c>
      <c r="C61" s="4">
        <v>3</v>
      </c>
      <c r="D61" s="4">
        <v>20</v>
      </c>
      <c r="E61" s="4">
        <v>28</v>
      </c>
      <c r="F61" s="4" t="s">
        <v>25</v>
      </c>
      <c r="G61" t="s">
        <v>27</v>
      </c>
      <c r="H61" s="4">
        <v>405</v>
      </c>
      <c r="I61" s="4">
        <v>2</v>
      </c>
      <c r="J61" s="38">
        <v>45540</v>
      </c>
      <c r="K61" s="12">
        <v>64</v>
      </c>
      <c r="L61" s="12">
        <v>29</v>
      </c>
      <c r="M61" s="60">
        <f t="shared" si="1"/>
        <v>45.3125</v>
      </c>
    </row>
    <row r="62" spans="1:13" x14ac:dyDescent="0.25">
      <c r="A62" s="4">
        <v>4</v>
      </c>
      <c r="B62" s="4">
        <v>4</v>
      </c>
      <c r="C62" s="4">
        <v>2</v>
      </c>
      <c r="D62" s="4">
        <v>13</v>
      </c>
      <c r="E62" s="4">
        <v>29</v>
      </c>
      <c r="F62" s="4" t="s">
        <v>30</v>
      </c>
      <c r="G62" t="s">
        <v>29</v>
      </c>
      <c r="H62" s="4">
        <v>404</v>
      </c>
      <c r="I62" s="4">
        <v>2</v>
      </c>
      <c r="J62" s="38">
        <v>45540</v>
      </c>
      <c r="K62" s="12">
        <v>64</v>
      </c>
      <c r="L62" s="12">
        <v>0</v>
      </c>
      <c r="M62" s="60">
        <f t="shared" si="1"/>
        <v>0</v>
      </c>
    </row>
    <row r="63" spans="1:13" x14ac:dyDescent="0.25">
      <c r="A63" s="4">
        <v>4</v>
      </c>
      <c r="B63" s="4">
        <v>3</v>
      </c>
      <c r="C63" s="4">
        <v>2</v>
      </c>
      <c r="D63" s="4">
        <v>12</v>
      </c>
      <c r="E63" s="4">
        <v>30</v>
      </c>
      <c r="F63" s="4" t="s">
        <v>25</v>
      </c>
      <c r="G63" t="s">
        <v>28</v>
      </c>
      <c r="H63" s="4">
        <v>403</v>
      </c>
      <c r="I63" s="4">
        <v>2</v>
      </c>
      <c r="J63" s="38">
        <v>45540</v>
      </c>
      <c r="K63" s="12">
        <v>61</v>
      </c>
      <c r="L63" s="12">
        <v>35</v>
      </c>
      <c r="M63" s="60">
        <f t="shared" si="1"/>
        <v>57.377049180327866</v>
      </c>
    </row>
    <row r="64" spans="1:13" x14ac:dyDescent="0.25">
      <c r="A64" s="4">
        <v>4</v>
      </c>
      <c r="B64" s="4">
        <v>2</v>
      </c>
      <c r="C64" s="4">
        <v>1</v>
      </c>
      <c r="D64" s="4">
        <v>5</v>
      </c>
      <c r="E64" s="4">
        <v>31</v>
      </c>
      <c r="F64" s="4" t="s">
        <v>30</v>
      </c>
      <c r="G64" t="s">
        <v>32</v>
      </c>
      <c r="H64" s="4">
        <v>402</v>
      </c>
      <c r="I64" s="4">
        <v>2</v>
      </c>
      <c r="J64" s="38">
        <v>45540</v>
      </c>
      <c r="K64" s="12">
        <v>66</v>
      </c>
      <c r="L64" s="12">
        <v>0</v>
      </c>
      <c r="M64" s="60">
        <f t="shared" si="1"/>
        <v>0</v>
      </c>
    </row>
    <row r="65" spans="1:13" x14ac:dyDescent="0.25">
      <c r="A65" s="4">
        <v>4</v>
      </c>
      <c r="B65" s="4">
        <v>1</v>
      </c>
      <c r="C65" s="4">
        <v>1</v>
      </c>
      <c r="D65" s="4">
        <v>4</v>
      </c>
      <c r="E65" s="4">
        <v>32</v>
      </c>
      <c r="F65" s="4" t="s">
        <v>25</v>
      </c>
      <c r="G65" t="s">
        <v>29</v>
      </c>
      <c r="H65" s="4">
        <v>401</v>
      </c>
      <c r="I65" s="4">
        <v>2</v>
      </c>
      <c r="J65" s="38">
        <v>45540</v>
      </c>
      <c r="K65" s="12">
        <v>51</v>
      </c>
      <c r="L65" s="12">
        <v>17</v>
      </c>
      <c r="M65" s="60">
        <f t="shared" si="1"/>
        <v>33.333333333333329</v>
      </c>
    </row>
    <row r="66" spans="1:13" x14ac:dyDescent="0.25">
      <c r="A66" s="4">
        <v>1</v>
      </c>
      <c r="B66" s="4">
        <v>1</v>
      </c>
      <c r="C66" s="4">
        <v>1</v>
      </c>
      <c r="D66" s="4">
        <v>1</v>
      </c>
      <c r="E66" s="4">
        <v>1</v>
      </c>
      <c r="F66" s="4" t="s">
        <v>25</v>
      </c>
      <c r="G66" t="s">
        <v>26</v>
      </c>
      <c r="H66" s="4">
        <v>101</v>
      </c>
      <c r="I66">
        <v>3</v>
      </c>
      <c r="J66" s="38">
        <v>45543</v>
      </c>
      <c r="K66" s="12">
        <v>50</v>
      </c>
      <c r="L66" s="12">
        <v>0</v>
      </c>
      <c r="M66" s="60">
        <f t="shared" si="1"/>
        <v>0</v>
      </c>
    </row>
    <row r="67" spans="1:13" x14ac:dyDescent="0.25">
      <c r="A67" s="4">
        <v>1</v>
      </c>
      <c r="B67" s="4">
        <v>2</v>
      </c>
      <c r="C67" s="4">
        <v>1</v>
      </c>
      <c r="D67" s="4">
        <v>8</v>
      </c>
      <c r="E67" s="4">
        <v>2</v>
      </c>
      <c r="F67" s="4" t="s">
        <v>30</v>
      </c>
      <c r="G67" t="s">
        <v>31</v>
      </c>
      <c r="H67" s="4">
        <v>102</v>
      </c>
      <c r="I67">
        <v>3</v>
      </c>
      <c r="J67" s="38">
        <v>45543</v>
      </c>
      <c r="K67" s="12">
        <v>39</v>
      </c>
      <c r="L67" s="12">
        <v>2</v>
      </c>
      <c r="M67" s="60">
        <f t="shared" si="1"/>
        <v>5.1282051282051277</v>
      </c>
    </row>
    <row r="68" spans="1:13" x14ac:dyDescent="0.25">
      <c r="A68" s="4">
        <v>1</v>
      </c>
      <c r="B68" s="4">
        <v>3</v>
      </c>
      <c r="C68" s="4">
        <v>2</v>
      </c>
      <c r="D68" s="4">
        <v>9</v>
      </c>
      <c r="E68" s="4">
        <v>3</v>
      </c>
      <c r="F68" s="4" t="s">
        <v>25</v>
      </c>
      <c r="G68" t="s">
        <v>27</v>
      </c>
      <c r="H68" s="4">
        <v>103</v>
      </c>
      <c r="I68">
        <v>3</v>
      </c>
      <c r="J68" s="38">
        <v>45543</v>
      </c>
      <c r="K68" s="12">
        <v>38</v>
      </c>
      <c r="L68" s="12">
        <v>17</v>
      </c>
      <c r="M68" s="60">
        <f t="shared" si="1"/>
        <v>44.736842105263158</v>
      </c>
    </row>
    <row r="69" spans="1:13" x14ac:dyDescent="0.25">
      <c r="A69" s="4">
        <v>1</v>
      </c>
      <c r="B69" s="4">
        <v>4</v>
      </c>
      <c r="C69" s="4">
        <v>2</v>
      </c>
      <c r="D69" s="4">
        <v>16</v>
      </c>
      <c r="E69" s="4">
        <v>4</v>
      </c>
      <c r="F69" s="4" t="s">
        <v>30</v>
      </c>
      <c r="G69" t="s">
        <v>28</v>
      </c>
      <c r="H69" s="4">
        <v>104</v>
      </c>
      <c r="I69">
        <v>3</v>
      </c>
      <c r="J69" s="38">
        <v>45543</v>
      </c>
      <c r="K69" s="12">
        <v>38</v>
      </c>
      <c r="L69" s="12">
        <v>0</v>
      </c>
      <c r="M69" s="60">
        <f t="shared" si="1"/>
        <v>0</v>
      </c>
    </row>
    <row r="70" spans="1:13" x14ac:dyDescent="0.25">
      <c r="A70" s="4">
        <v>1</v>
      </c>
      <c r="B70" s="4">
        <v>5</v>
      </c>
      <c r="C70" s="4">
        <v>3</v>
      </c>
      <c r="D70" s="4">
        <v>17</v>
      </c>
      <c r="E70" s="4">
        <v>5</v>
      </c>
      <c r="F70" s="4" t="s">
        <v>25</v>
      </c>
      <c r="G70" t="s">
        <v>28</v>
      </c>
      <c r="H70" s="4">
        <v>105</v>
      </c>
      <c r="I70">
        <v>3</v>
      </c>
      <c r="J70" s="38">
        <v>45543</v>
      </c>
      <c r="K70" s="12">
        <v>61</v>
      </c>
      <c r="L70" s="12">
        <v>45</v>
      </c>
      <c r="M70" s="60">
        <f t="shared" si="1"/>
        <v>73.770491803278688</v>
      </c>
    </row>
    <row r="71" spans="1:13" x14ac:dyDescent="0.25">
      <c r="A71" s="4">
        <v>1</v>
      </c>
      <c r="B71" s="4">
        <v>6</v>
      </c>
      <c r="C71" s="4">
        <v>3</v>
      </c>
      <c r="D71" s="4">
        <v>24</v>
      </c>
      <c r="E71" s="4">
        <v>6</v>
      </c>
      <c r="F71" s="4" t="s">
        <v>30</v>
      </c>
      <c r="G71" t="s">
        <v>29</v>
      </c>
      <c r="H71" s="4">
        <v>106</v>
      </c>
      <c r="I71">
        <v>3</v>
      </c>
      <c r="J71" s="38">
        <v>45543</v>
      </c>
      <c r="K71" s="12">
        <v>85</v>
      </c>
      <c r="L71" s="12">
        <v>0</v>
      </c>
      <c r="M71" s="60">
        <f t="shared" si="1"/>
        <v>0</v>
      </c>
    </row>
    <row r="72" spans="1:13" x14ac:dyDescent="0.25">
      <c r="A72" s="4">
        <v>1</v>
      </c>
      <c r="B72" s="4">
        <v>7</v>
      </c>
      <c r="C72" s="4">
        <v>4</v>
      </c>
      <c r="D72" s="4">
        <v>25</v>
      </c>
      <c r="E72" s="4">
        <v>7</v>
      </c>
      <c r="F72" s="4" t="s">
        <v>25</v>
      </c>
      <c r="G72" t="s">
        <v>29</v>
      </c>
      <c r="H72" s="4">
        <v>107</v>
      </c>
      <c r="I72">
        <v>3</v>
      </c>
      <c r="J72" s="38">
        <v>45543</v>
      </c>
      <c r="K72" s="12">
        <v>34</v>
      </c>
      <c r="L72" s="12">
        <v>27</v>
      </c>
      <c r="M72" s="60">
        <f t="shared" si="1"/>
        <v>79.411764705882348</v>
      </c>
    </row>
    <row r="73" spans="1:13" x14ac:dyDescent="0.25">
      <c r="A73" s="4">
        <v>1</v>
      </c>
      <c r="B73" s="4">
        <v>8</v>
      </c>
      <c r="C73" s="4">
        <v>4</v>
      </c>
      <c r="D73" s="4">
        <v>32</v>
      </c>
      <c r="E73" s="4">
        <v>8</v>
      </c>
      <c r="F73" s="4" t="s">
        <v>30</v>
      </c>
      <c r="G73" t="s">
        <v>32</v>
      </c>
      <c r="H73" s="4">
        <v>108</v>
      </c>
      <c r="I73">
        <v>3</v>
      </c>
      <c r="J73" s="38">
        <v>45543</v>
      </c>
      <c r="K73" s="12">
        <v>75</v>
      </c>
      <c r="L73" s="12">
        <v>0</v>
      </c>
      <c r="M73" s="60">
        <f t="shared" si="1"/>
        <v>0</v>
      </c>
    </row>
    <row r="74" spans="1:13" x14ac:dyDescent="0.25">
      <c r="A74" s="4">
        <v>2</v>
      </c>
      <c r="B74" s="4">
        <v>8</v>
      </c>
      <c r="C74" s="4">
        <v>4</v>
      </c>
      <c r="D74" s="4">
        <v>31</v>
      </c>
      <c r="E74" s="4">
        <v>9</v>
      </c>
      <c r="F74" s="4" t="s">
        <v>30</v>
      </c>
      <c r="G74" t="s">
        <v>29</v>
      </c>
      <c r="H74" s="4">
        <v>208</v>
      </c>
      <c r="I74">
        <v>3</v>
      </c>
      <c r="J74" s="38">
        <v>45543</v>
      </c>
      <c r="K74" s="12">
        <v>79</v>
      </c>
      <c r="L74" s="12">
        <v>0</v>
      </c>
      <c r="M74" s="60">
        <f t="shared" si="1"/>
        <v>0</v>
      </c>
    </row>
    <row r="75" spans="1:13" x14ac:dyDescent="0.25">
      <c r="A75" s="4">
        <v>2</v>
      </c>
      <c r="B75" s="4">
        <v>7</v>
      </c>
      <c r="C75" s="4">
        <v>4</v>
      </c>
      <c r="D75" s="4">
        <v>26</v>
      </c>
      <c r="E75" s="4">
        <v>10</v>
      </c>
      <c r="F75" s="4" t="s">
        <v>25</v>
      </c>
      <c r="G75" t="s">
        <v>28</v>
      </c>
      <c r="H75" s="4">
        <v>207</v>
      </c>
      <c r="I75">
        <v>3</v>
      </c>
      <c r="J75" s="38">
        <v>45543</v>
      </c>
      <c r="K75" s="12">
        <v>49</v>
      </c>
      <c r="L75" s="12">
        <v>44</v>
      </c>
      <c r="M75" s="60">
        <f t="shared" si="1"/>
        <v>89.795918367346943</v>
      </c>
    </row>
    <row r="76" spans="1:13" x14ac:dyDescent="0.25">
      <c r="A76" s="4">
        <v>2</v>
      </c>
      <c r="B76" s="4">
        <v>6</v>
      </c>
      <c r="C76" s="4">
        <v>3</v>
      </c>
      <c r="D76" s="4">
        <v>23</v>
      </c>
      <c r="E76" s="4">
        <v>11</v>
      </c>
      <c r="F76" s="4" t="s">
        <v>30</v>
      </c>
      <c r="G76" t="s">
        <v>31</v>
      </c>
      <c r="H76" s="4">
        <v>206</v>
      </c>
      <c r="I76">
        <v>3</v>
      </c>
      <c r="J76" s="38">
        <v>45543</v>
      </c>
      <c r="K76" s="12">
        <v>42</v>
      </c>
      <c r="L76" s="12">
        <v>9</v>
      </c>
      <c r="M76" s="60">
        <f t="shared" si="1"/>
        <v>21.428571428571427</v>
      </c>
    </row>
    <row r="77" spans="1:13" x14ac:dyDescent="0.25">
      <c r="A77" s="4">
        <v>2</v>
      </c>
      <c r="B77" s="4">
        <v>5</v>
      </c>
      <c r="C77" s="4">
        <v>3</v>
      </c>
      <c r="D77" s="4">
        <v>18</v>
      </c>
      <c r="E77" s="4">
        <v>12</v>
      </c>
      <c r="F77" s="4" t="s">
        <v>25</v>
      </c>
      <c r="G77" t="s">
        <v>26</v>
      </c>
      <c r="H77" s="4">
        <v>205</v>
      </c>
      <c r="I77">
        <v>3</v>
      </c>
      <c r="J77" s="38">
        <v>45543</v>
      </c>
      <c r="K77" s="12">
        <v>61</v>
      </c>
      <c r="L77" s="12">
        <v>0</v>
      </c>
      <c r="M77" s="60">
        <f t="shared" si="1"/>
        <v>0</v>
      </c>
    </row>
    <row r="78" spans="1:13" x14ac:dyDescent="0.25">
      <c r="A78" s="4">
        <v>2</v>
      </c>
      <c r="B78" s="4">
        <v>4</v>
      </c>
      <c r="C78" s="4">
        <v>2</v>
      </c>
      <c r="D78" s="4">
        <v>15</v>
      </c>
      <c r="E78" s="4">
        <v>13</v>
      </c>
      <c r="F78" s="4" t="s">
        <v>30</v>
      </c>
      <c r="G78" t="s">
        <v>32</v>
      </c>
      <c r="H78" s="4">
        <v>204</v>
      </c>
      <c r="I78">
        <v>3</v>
      </c>
      <c r="J78" s="38">
        <v>45543</v>
      </c>
      <c r="K78" s="12">
        <v>52</v>
      </c>
      <c r="L78" s="12">
        <v>0</v>
      </c>
      <c r="M78" s="60">
        <f t="shared" si="1"/>
        <v>0</v>
      </c>
    </row>
    <row r="79" spans="1:13" x14ac:dyDescent="0.25">
      <c r="A79" s="4">
        <v>2</v>
      </c>
      <c r="B79" s="4">
        <v>3</v>
      </c>
      <c r="C79" s="4">
        <v>2</v>
      </c>
      <c r="D79" s="4">
        <v>10</v>
      </c>
      <c r="E79" s="4">
        <v>14</v>
      </c>
      <c r="F79" s="4" t="s">
        <v>25</v>
      </c>
      <c r="G79" t="s">
        <v>29</v>
      </c>
      <c r="H79" s="4">
        <v>203</v>
      </c>
      <c r="I79">
        <v>3</v>
      </c>
      <c r="J79" s="38">
        <v>45543</v>
      </c>
      <c r="K79" s="12">
        <v>51</v>
      </c>
      <c r="L79" s="12">
        <v>26</v>
      </c>
      <c r="M79" s="60">
        <f t="shared" si="1"/>
        <v>50.980392156862742</v>
      </c>
    </row>
    <row r="80" spans="1:13" x14ac:dyDescent="0.25">
      <c r="A80" s="4">
        <v>2</v>
      </c>
      <c r="B80" s="4">
        <v>2</v>
      </c>
      <c r="C80" s="4">
        <v>1</v>
      </c>
      <c r="D80" s="4">
        <v>7</v>
      </c>
      <c r="E80" s="4">
        <v>15</v>
      </c>
      <c r="F80" s="4" t="s">
        <v>30</v>
      </c>
      <c r="G80" t="s">
        <v>28</v>
      </c>
      <c r="H80" s="4">
        <v>202</v>
      </c>
      <c r="I80">
        <v>3</v>
      </c>
      <c r="J80" s="38">
        <v>45543</v>
      </c>
      <c r="K80" s="12">
        <v>67</v>
      </c>
      <c r="L80" s="12">
        <v>0</v>
      </c>
      <c r="M80" s="60">
        <f t="shared" si="1"/>
        <v>0</v>
      </c>
    </row>
    <row r="81" spans="1:13" x14ac:dyDescent="0.25">
      <c r="A81" s="4">
        <v>2</v>
      </c>
      <c r="B81" s="4">
        <v>1</v>
      </c>
      <c r="C81" s="4">
        <v>1</v>
      </c>
      <c r="D81" s="4">
        <v>2</v>
      </c>
      <c r="E81" s="4">
        <v>16</v>
      </c>
      <c r="F81" s="4" t="s">
        <v>25</v>
      </c>
      <c r="G81" t="s">
        <v>27</v>
      </c>
      <c r="H81" s="4">
        <v>201</v>
      </c>
      <c r="I81">
        <v>3</v>
      </c>
      <c r="J81" s="38">
        <v>45543</v>
      </c>
      <c r="K81" s="12">
        <v>55</v>
      </c>
      <c r="L81" s="12">
        <v>27</v>
      </c>
      <c r="M81" s="60">
        <f t="shared" si="1"/>
        <v>49.090909090909093</v>
      </c>
    </row>
    <row r="82" spans="1:13" x14ac:dyDescent="0.25">
      <c r="A82" s="4">
        <v>3</v>
      </c>
      <c r="B82" s="4">
        <v>1</v>
      </c>
      <c r="C82" s="4">
        <v>1</v>
      </c>
      <c r="D82" s="4">
        <v>3</v>
      </c>
      <c r="E82" s="4">
        <v>17</v>
      </c>
      <c r="F82" s="4" t="s">
        <v>25</v>
      </c>
      <c r="G82" t="s">
        <v>28</v>
      </c>
      <c r="H82" s="4">
        <v>301</v>
      </c>
      <c r="I82">
        <v>3</v>
      </c>
      <c r="J82" s="38">
        <v>45543</v>
      </c>
      <c r="K82" s="12">
        <v>35</v>
      </c>
      <c r="L82" s="12">
        <v>21</v>
      </c>
      <c r="M82" s="60">
        <f t="shared" si="1"/>
        <v>60</v>
      </c>
    </row>
    <row r="83" spans="1:13" x14ac:dyDescent="0.25">
      <c r="A83" s="4">
        <v>3</v>
      </c>
      <c r="B83" s="4">
        <v>2</v>
      </c>
      <c r="C83" s="4">
        <v>1</v>
      </c>
      <c r="D83" s="4">
        <v>6</v>
      </c>
      <c r="E83" s="4">
        <v>18</v>
      </c>
      <c r="F83" s="4" t="s">
        <v>30</v>
      </c>
      <c r="G83" t="s">
        <v>29</v>
      </c>
      <c r="H83" s="4">
        <v>302</v>
      </c>
      <c r="I83">
        <v>3</v>
      </c>
      <c r="J83" s="38">
        <v>45543</v>
      </c>
      <c r="K83" s="12">
        <v>55</v>
      </c>
      <c r="L83" s="12">
        <v>0</v>
      </c>
      <c r="M83" s="60">
        <f t="shared" si="1"/>
        <v>0</v>
      </c>
    </row>
    <row r="84" spans="1:13" x14ac:dyDescent="0.25">
      <c r="A84" s="4">
        <v>3</v>
      </c>
      <c r="B84" s="4">
        <v>3</v>
      </c>
      <c r="C84" s="4">
        <v>2</v>
      </c>
      <c r="D84" s="4">
        <v>11</v>
      </c>
      <c r="E84" s="4">
        <v>19</v>
      </c>
      <c r="F84" s="4" t="s">
        <v>25</v>
      </c>
      <c r="G84" t="s">
        <v>26</v>
      </c>
      <c r="H84" s="4">
        <v>303</v>
      </c>
      <c r="I84">
        <v>3</v>
      </c>
      <c r="J84" s="38">
        <v>45543</v>
      </c>
      <c r="K84" s="12">
        <v>59</v>
      </c>
      <c r="L84" s="12">
        <v>0</v>
      </c>
      <c r="M84" s="60">
        <f t="shared" si="1"/>
        <v>0</v>
      </c>
    </row>
    <row r="85" spans="1:13" x14ac:dyDescent="0.25">
      <c r="A85" s="4">
        <v>3</v>
      </c>
      <c r="B85" s="4">
        <v>4</v>
      </c>
      <c r="C85" s="4">
        <v>2</v>
      </c>
      <c r="D85" s="4">
        <v>14</v>
      </c>
      <c r="E85" s="4">
        <v>20</v>
      </c>
      <c r="F85" s="4" t="s">
        <v>30</v>
      </c>
      <c r="G85" t="s">
        <v>31</v>
      </c>
      <c r="H85" s="4">
        <v>304</v>
      </c>
      <c r="I85">
        <v>3</v>
      </c>
      <c r="J85" s="38">
        <v>45543</v>
      </c>
      <c r="K85" s="12">
        <v>46</v>
      </c>
      <c r="L85" s="12">
        <v>1</v>
      </c>
      <c r="M85" s="60">
        <f t="shared" si="1"/>
        <v>2.1739130434782608</v>
      </c>
    </row>
    <row r="86" spans="1:13" x14ac:dyDescent="0.25">
      <c r="A86" s="4">
        <v>3</v>
      </c>
      <c r="B86" s="4">
        <v>5</v>
      </c>
      <c r="C86" s="4">
        <v>3</v>
      </c>
      <c r="D86" s="4">
        <v>19</v>
      </c>
      <c r="E86" s="4">
        <v>21</v>
      </c>
      <c r="F86" s="4" t="s">
        <v>25</v>
      </c>
      <c r="G86" t="s">
        <v>29</v>
      </c>
      <c r="H86" s="4">
        <v>305</v>
      </c>
      <c r="I86">
        <v>3</v>
      </c>
      <c r="J86" s="38">
        <v>45543</v>
      </c>
      <c r="K86" s="12">
        <v>61</v>
      </c>
      <c r="L86" s="12">
        <v>49</v>
      </c>
      <c r="M86" s="60">
        <f t="shared" si="1"/>
        <v>80.327868852459019</v>
      </c>
    </row>
    <row r="87" spans="1:13" x14ac:dyDescent="0.25">
      <c r="A87" s="4">
        <v>3</v>
      </c>
      <c r="B87" s="4">
        <v>6</v>
      </c>
      <c r="C87" s="4">
        <v>3</v>
      </c>
      <c r="D87" s="4">
        <v>22</v>
      </c>
      <c r="E87" s="4">
        <v>22</v>
      </c>
      <c r="F87" s="4" t="s">
        <v>30</v>
      </c>
      <c r="G87" t="s">
        <v>32</v>
      </c>
      <c r="H87" s="4">
        <v>306</v>
      </c>
      <c r="I87">
        <v>3</v>
      </c>
      <c r="J87" s="38">
        <v>45543</v>
      </c>
      <c r="K87" s="12">
        <v>73</v>
      </c>
      <c r="L87" s="12">
        <v>0</v>
      </c>
      <c r="M87" s="60">
        <f t="shared" si="1"/>
        <v>0</v>
      </c>
    </row>
    <row r="88" spans="1:13" x14ac:dyDescent="0.25">
      <c r="A88" s="4">
        <v>3</v>
      </c>
      <c r="B88" s="4">
        <v>7</v>
      </c>
      <c r="C88" s="4">
        <v>4</v>
      </c>
      <c r="D88" s="4">
        <v>27</v>
      </c>
      <c r="E88" s="4">
        <v>23</v>
      </c>
      <c r="F88" s="4" t="s">
        <v>25</v>
      </c>
      <c r="G88" t="s">
        <v>27</v>
      </c>
      <c r="H88" s="4">
        <v>307</v>
      </c>
      <c r="I88">
        <v>3</v>
      </c>
      <c r="J88" s="38">
        <v>45543</v>
      </c>
      <c r="K88" s="12">
        <v>44</v>
      </c>
      <c r="L88" s="12">
        <v>18</v>
      </c>
      <c r="M88" s="60">
        <f t="shared" si="1"/>
        <v>40.909090909090914</v>
      </c>
    </row>
    <row r="89" spans="1:13" x14ac:dyDescent="0.25">
      <c r="A89" s="4">
        <v>3</v>
      </c>
      <c r="B89" s="4">
        <v>8</v>
      </c>
      <c r="C89" s="4">
        <v>4</v>
      </c>
      <c r="D89" s="4">
        <v>30</v>
      </c>
      <c r="E89" s="4">
        <v>24</v>
      </c>
      <c r="F89" s="4" t="s">
        <v>30</v>
      </c>
      <c r="G89" t="s">
        <v>28</v>
      </c>
      <c r="H89" s="4">
        <v>308</v>
      </c>
      <c r="I89">
        <v>3</v>
      </c>
      <c r="J89" s="38">
        <v>45543</v>
      </c>
      <c r="K89" s="12">
        <v>64</v>
      </c>
      <c r="L89" s="12">
        <v>0</v>
      </c>
      <c r="M89" s="60">
        <f t="shared" si="1"/>
        <v>0</v>
      </c>
    </row>
    <row r="90" spans="1:13" x14ac:dyDescent="0.25">
      <c r="A90" s="4">
        <v>4</v>
      </c>
      <c r="B90" s="4">
        <v>8</v>
      </c>
      <c r="C90" s="4">
        <v>4</v>
      </c>
      <c r="D90" s="4">
        <v>29</v>
      </c>
      <c r="E90" s="4">
        <v>25</v>
      </c>
      <c r="F90" s="4" t="s">
        <v>30</v>
      </c>
      <c r="G90" t="s">
        <v>31</v>
      </c>
      <c r="H90" s="4">
        <v>408</v>
      </c>
      <c r="I90">
        <v>3</v>
      </c>
      <c r="J90" s="38">
        <v>45543</v>
      </c>
      <c r="K90" s="12">
        <v>47</v>
      </c>
      <c r="L90" s="12">
        <v>4</v>
      </c>
      <c r="M90" s="60">
        <f t="shared" si="1"/>
        <v>8.5106382978723403</v>
      </c>
    </row>
    <row r="91" spans="1:13" x14ac:dyDescent="0.25">
      <c r="A91" s="4">
        <v>4</v>
      </c>
      <c r="B91" s="4">
        <v>7</v>
      </c>
      <c r="C91" s="4">
        <v>4</v>
      </c>
      <c r="D91" s="4">
        <v>28</v>
      </c>
      <c r="E91" s="4">
        <v>26</v>
      </c>
      <c r="F91" s="4" t="s">
        <v>25</v>
      </c>
      <c r="G91" t="s">
        <v>26</v>
      </c>
      <c r="H91" s="4">
        <v>407</v>
      </c>
      <c r="I91">
        <v>3</v>
      </c>
      <c r="J91" s="38">
        <v>45543</v>
      </c>
      <c r="K91" s="12">
        <v>57</v>
      </c>
      <c r="L91" s="12">
        <v>0</v>
      </c>
      <c r="M91" s="60">
        <f t="shared" si="1"/>
        <v>0</v>
      </c>
    </row>
    <row r="92" spans="1:13" x14ac:dyDescent="0.25">
      <c r="A92" s="4">
        <v>4</v>
      </c>
      <c r="B92" s="4">
        <v>6</v>
      </c>
      <c r="C92" s="4">
        <v>3</v>
      </c>
      <c r="D92" s="4">
        <v>21</v>
      </c>
      <c r="E92" s="4">
        <v>27</v>
      </c>
      <c r="F92" s="4" t="s">
        <v>30</v>
      </c>
      <c r="G92" t="s">
        <v>28</v>
      </c>
      <c r="H92" s="4">
        <v>406</v>
      </c>
      <c r="I92">
        <v>3</v>
      </c>
      <c r="J92" s="38">
        <v>45543</v>
      </c>
      <c r="K92" s="12">
        <v>54</v>
      </c>
      <c r="L92" s="12">
        <v>1</v>
      </c>
      <c r="M92" s="60">
        <f t="shared" si="1"/>
        <v>1.8518518518518516</v>
      </c>
    </row>
    <row r="93" spans="1:13" x14ac:dyDescent="0.25">
      <c r="A93" s="4">
        <v>4</v>
      </c>
      <c r="B93" s="4">
        <v>5</v>
      </c>
      <c r="C93" s="4">
        <v>3</v>
      </c>
      <c r="D93" s="4">
        <v>20</v>
      </c>
      <c r="E93" s="4">
        <v>28</v>
      </c>
      <c r="F93" s="4" t="s">
        <v>25</v>
      </c>
      <c r="G93" t="s">
        <v>27</v>
      </c>
      <c r="H93" s="4">
        <v>405</v>
      </c>
      <c r="I93">
        <v>3</v>
      </c>
      <c r="J93" s="38">
        <v>45543</v>
      </c>
      <c r="K93" s="12">
        <v>64</v>
      </c>
      <c r="L93" s="12">
        <v>50</v>
      </c>
      <c r="M93" s="60">
        <f t="shared" si="1"/>
        <v>78.125</v>
      </c>
    </row>
    <row r="94" spans="1:13" x14ac:dyDescent="0.25">
      <c r="A94" s="4">
        <v>4</v>
      </c>
      <c r="B94" s="4">
        <v>4</v>
      </c>
      <c r="C94" s="4">
        <v>2</v>
      </c>
      <c r="D94" s="4">
        <v>13</v>
      </c>
      <c r="E94" s="4">
        <v>29</v>
      </c>
      <c r="F94" s="4" t="s">
        <v>30</v>
      </c>
      <c r="G94" t="s">
        <v>29</v>
      </c>
      <c r="H94" s="4">
        <v>404</v>
      </c>
      <c r="I94">
        <v>3</v>
      </c>
      <c r="J94" s="38">
        <v>45543</v>
      </c>
      <c r="K94" s="12">
        <v>64</v>
      </c>
      <c r="L94" s="12">
        <v>0</v>
      </c>
      <c r="M94" s="60">
        <f t="shared" si="1"/>
        <v>0</v>
      </c>
    </row>
    <row r="95" spans="1:13" x14ac:dyDescent="0.25">
      <c r="A95" s="4">
        <v>4</v>
      </c>
      <c r="B95" s="4">
        <v>3</v>
      </c>
      <c r="C95" s="4">
        <v>2</v>
      </c>
      <c r="D95" s="4">
        <v>12</v>
      </c>
      <c r="E95" s="4">
        <v>30</v>
      </c>
      <c r="F95" s="4" t="s">
        <v>25</v>
      </c>
      <c r="G95" t="s">
        <v>28</v>
      </c>
      <c r="H95" s="4">
        <v>403</v>
      </c>
      <c r="I95">
        <v>3</v>
      </c>
      <c r="J95" s="38">
        <v>45543</v>
      </c>
      <c r="K95" s="12">
        <v>61</v>
      </c>
      <c r="L95" s="12">
        <v>37</v>
      </c>
      <c r="M95" s="60">
        <f t="shared" si="1"/>
        <v>60.655737704918032</v>
      </c>
    </row>
    <row r="96" spans="1:13" x14ac:dyDescent="0.25">
      <c r="A96" s="4">
        <v>4</v>
      </c>
      <c r="B96" s="4">
        <v>2</v>
      </c>
      <c r="C96" s="4">
        <v>1</v>
      </c>
      <c r="D96" s="4">
        <v>5</v>
      </c>
      <c r="E96" s="4">
        <v>31</v>
      </c>
      <c r="F96" s="4" t="s">
        <v>30</v>
      </c>
      <c r="G96" t="s">
        <v>32</v>
      </c>
      <c r="H96" s="4">
        <v>402</v>
      </c>
      <c r="I96">
        <v>3</v>
      </c>
      <c r="J96" s="38">
        <v>45543</v>
      </c>
      <c r="K96" s="12">
        <v>66</v>
      </c>
      <c r="L96" s="12">
        <v>0</v>
      </c>
      <c r="M96" s="60">
        <f t="shared" si="1"/>
        <v>0</v>
      </c>
    </row>
    <row r="97" spans="1:13" x14ac:dyDescent="0.25">
      <c r="A97" s="4">
        <v>4</v>
      </c>
      <c r="B97" s="4">
        <v>1</v>
      </c>
      <c r="C97" s="4">
        <v>1</v>
      </c>
      <c r="D97" s="4">
        <v>4</v>
      </c>
      <c r="E97" s="4">
        <v>32</v>
      </c>
      <c r="F97" s="4" t="s">
        <v>25</v>
      </c>
      <c r="G97" t="s">
        <v>29</v>
      </c>
      <c r="H97" s="4">
        <v>401</v>
      </c>
      <c r="I97">
        <v>3</v>
      </c>
      <c r="J97" s="38">
        <v>45543</v>
      </c>
      <c r="K97" s="12">
        <v>51</v>
      </c>
      <c r="L97" s="12">
        <v>29</v>
      </c>
      <c r="M97" s="60">
        <f t="shared" si="1"/>
        <v>56.862745098039213</v>
      </c>
    </row>
    <row r="98" spans="1:13" x14ac:dyDescent="0.25">
      <c r="A98" s="4">
        <v>1</v>
      </c>
      <c r="B98" s="4">
        <v>1</v>
      </c>
      <c r="C98" s="4">
        <v>1</v>
      </c>
      <c r="D98" s="4">
        <v>1</v>
      </c>
      <c r="E98" s="4">
        <v>1</v>
      </c>
      <c r="F98" s="4" t="s">
        <v>25</v>
      </c>
      <c r="G98" t="s">
        <v>26</v>
      </c>
      <c r="H98" s="4">
        <v>101</v>
      </c>
      <c r="I98" s="4">
        <v>4</v>
      </c>
      <c r="J98" s="38">
        <v>45546</v>
      </c>
      <c r="K98" s="12">
        <v>50</v>
      </c>
      <c r="L98" s="12">
        <v>0</v>
      </c>
      <c r="M98" s="60">
        <f t="shared" ref="M98:M158" si="2">(L98/K98)*100</f>
        <v>0</v>
      </c>
    </row>
    <row r="99" spans="1:13" x14ac:dyDescent="0.25">
      <c r="A99" s="4">
        <v>1</v>
      </c>
      <c r="B99" s="4">
        <v>2</v>
      </c>
      <c r="C99" s="4">
        <v>1</v>
      </c>
      <c r="D99" s="4">
        <v>8</v>
      </c>
      <c r="E99" s="4">
        <v>2</v>
      </c>
      <c r="F99" s="4" t="s">
        <v>30</v>
      </c>
      <c r="G99" t="s">
        <v>31</v>
      </c>
      <c r="H99" s="4">
        <v>102</v>
      </c>
      <c r="I99" s="4">
        <v>4</v>
      </c>
      <c r="J99" s="38">
        <v>45546</v>
      </c>
      <c r="K99" s="12">
        <v>39</v>
      </c>
      <c r="L99" s="12">
        <v>17</v>
      </c>
      <c r="M99" s="60">
        <f t="shared" si="2"/>
        <v>43.589743589743591</v>
      </c>
    </row>
    <row r="100" spans="1:13" x14ac:dyDescent="0.25">
      <c r="A100" s="4">
        <v>1</v>
      </c>
      <c r="B100" s="4">
        <v>3</v>
      </c>
      <c r="C100" s="4">
        <v>2</v>
      </c>
      <c r="D100" s="4">
        <v>9</v>
      </c>
      <c r="E100" s="4">
        <v>3</v>
      </c>
      <c r="F100" s="4" t="s">
        <v>25</v>
      </c>
      <c r="G100" t="s">
        <v>27</v>
      </c>
      <c r="H100" s="4">
        <v>103</v>
      </c>
      <c r="I100" s="4">
        <v>4</v>
      </c>
      <c r="J100" s="38">
        <v>45546</v>
      </c>
      <c r="K100" s="12">
        <v>38</v>
      </c>
      <c r="L100" s="12">
        <v>25</v>
      </c>
      <c r="M100" s="60">
        <f t="shared" si="2"/>
        <v>65.789473684210535</v>
      </c>
    </row>
    <row r="101" spans="1:13" x14ac:dyDescent="0.25">
      <c r="A101" s="4">
        <v>1</v>
      </c>
      <c r="B101" s="4">
        <v>4</v>
      </c>
      <c r="C101" s="4">
        <v>2</v>
      </c>
      <c r="D101" s="4">
        <v>16</v>
      </c>
      <c r="E101" s="4">
        <v>4</v>
      </c>
      <c r="F101" s="4" t="s">
        <v>30</v>
      </c>
      <c r="G101" t="s">
        <v>28</v>
      </c>
      <c r="H101" s="4">
        <v>104</v>
      </c>
      <c r="I101" s="4">
        <v>4</v>
      </c>
      <c r="J101" s="38">
        <v>45546</v>
      </c>
      <c r="K101" s="12">
        <v>38</v>
      </c>
      <c r="L101" s="12">
        <v>0</v>
      </c>
      <c r="M101" s="60">
        <f t="shared" si="2"/>
        <v>0</v>
      </c>
    </row>
    <row r="102" spans="1:13" x14ac:dyDescent="0.25">
      <c r="A102" s="4">
        <v>1</v>
      </c>
      <c r="B102" s="4">
        <v>5</v>
      </c>
      <c r="C102" s="4">
        <v>3</v>
      </c>
      <c r="D102" s="4">
        <v>17</v>
      </c>
      <c r="E102" s="4">
        <v>5</v>
      </c>
      <c r="F102" s="4" t="s">
        <v>25</v>
      </c>
      <c r="G102" t="s">
        <v>28</v>
      </c>
      <c r="H102" s="4">
        <v>105</v>
      </c>
      <c r="I102" s="4">
        <v>4</v>
      </c>
      <c r="J102" s="38">
        <v>45546</v>
      </c>
      <c r="K102" s="12">
        <v>61</v>
      </c>
      <c r="L102" s="12">
        <v>58</v>
      </c>
      <c r="M102" s="60">
        <f t="shared" si="2"/>
        <v>95.081967213114751</v>
      </c>
    </row>
    <row r="103" spans="1:13" x14ac:dyDescent="0.25">
      <c r="A103" s="4">
        <v>1</v>
      </c>
      <c r="B103" s="4">
        <v>6</v>
      </c>
      <c r="C103" s="4">
        <v>3</v>
      </c>
      <c r="D103" s="4">
        <v>24</v>
      </c>
      <c r="E103" s="4">
        <v>6</v>
      </c>
      <c r="F103" s="4" t="s">
        <v>30</v>
      </c>
      <c r="G103" t="s">
        <v>29</v>
      </c>
      <c r="H103" s="4">
        <v>106</v>
      </c>
      <c r="I103" s="4">
        <v>4</v>
      </c>
      <c r="J103" s="38">
        <v>45546</v>
      </c>
      <c r="K103" s="12">
        <v>85</v>
      </c>
      <c r="L103" s="12">
        <v>1</v>
      </c>
      <c r="M103" s="60">
        <f t="shared" si="2"/>
        <v>1.1764705882352942</v>
      </c>
    </row>
    <row r="104" spans="1:13" x14ac:dyDescent="0.25">
      <c r="A104" s="4">
        <v>1</v>
      </c>
      <c r="B104" s="4">
        <v>7</v>
      </c>
      <c r="C104" s="4">
        <v>4</v>
      </c>
      <c r="D104" s="4">
        <v>25</v>
      </c>
      <c r="E104" s="4">
        <v>7</v>
      </c>
      <c r="F104" s="4" t="s">
        <v>25</v>
      </c>
      <c r="G104" t="s">
        <v>29</v>
      </c>
      <c r="H104" s="4">
        <v>107</v>
      </c>
      <c r="I104" s="4">
        <v>4</v>
      </c>
      <c r="J104" s="38">
        <v>45546</v>
      </c>
      <c r="K104" s="12">
        <v>34</v>
      </c>
      <c r="L104" s="12">
        <v>32</v>
      </c>
      <c r="M104" s="60">
        <f t="shared" si="2"/>
        <v>94.117647058823522</v>
      </c>
    </row>
    <row r="105" spans="1:13" x14ac:dyDescent="0.25">
      <c r="A105" s="4">
        <v>1</v>
      </c>
      <c r="B105" s="4">
        <v>8</v>
      </c>
      <c r="C105" s="4">
        <v>4</v>
      </c>
      <c r="D105" s="4">
        <v>32</v>
      </c>
      <c r="E105" s="4">
        <v>8</v>
      </c>
      <c r="F105" s="4" t="s">
        <v>30</v>
      </c>
      <c r="G105" t="s">
        <v>32</v>
      </c>
      <c r="H105" s="4">
        <v>108</v>
      </c>
      <c r="I105" s="4">
        <v>4</v>
      </c>
      <c r="J105" s="38">
        <v>45546</v>
      </c>
      <c r="K105" s="12">
        <v>75</v>
      </c>
      <c r="L105" s="12">
        <v>0</v>
      </c>
      <c r="M105" s="60">
        <f t="shared" si="2"/>
        <v>0</v>
      </c>
    </row>
    <row r="106" spans="1:13" x14ac:dyDescent="0.25">
      <c r="A106" s="4">
        <v>2</v>
      </c>
      <c r="B106" s="4">
        <v>8</v>
      </c>
      <c r="C106" s="4">
        <v>4</v>
      </c>
      <c r="D106" s="4">
        <v>31</v>
      </c>
      <c r="E106" s="4">
        <v>9</v>
      </c>
      <c r="F106" s="4" t="s">
        <v>30</v>
      </c>
      <c r="G106" t="s">
        <v>29</v>
      </c>
      <c r="H106" s="4">
        <v>208</v>
      </c>
      <c r="I106" s="4">
        <v>4</v>
      </c>
      <c r="J106" s="38">
        <v>45546</v>
      </c>
      <c r="K106" s="12">
        <v>79</v>
      </c>
      <c r="L106" s="12">
        <v>0</v>
      </c>
      <c r="M106" s="60">
        <f t="shared" si="2"/>
        <v>0</v>
      </c>
    </row>
    <row r="107" spans="1:13" x14ac:dyDescent="0.25">
      <c r="A107" s="4">
        <v>2</v>
      </c>
      <c r="B107" s="4">
        <v>7</v>
      </c>
      <c r="C107" s="4">
        <v>4</v>
      </c>
      <c r="D107" s="4">
        <v>26</v>
      </c>
      <c r="E107" s="4">
        <v>10</v>
      </c>
      <c r="F107" s="4" t="s">
        <v>25</v>
      </c>
      <c r="G107" t="s">
        <v>28</v>
      </c>
      <c r="H107" s="4">
        <v>207</v>
      </c>
      <c r="I107" s="4">
        <v>4</v>
      </c>
      <c r="J107" s="38">
        <v>45546</v>
      </c>
      <c r="K107" s="12">
        <v>49</v>
      </c>
      <c r="L107" s="12">
        <v>53</v>
      </c>
      <c r="M107" s="60">
        <f t="shared" si="2"/>
        <v>108.16326530612245</v>
      </c>
    </row>
    <row r="108" spans="1:13" x14ac:dyDescent="0.25">
      <c r="A108" s="4">
        <v>2</v>
      </c>
      <c r="B108" s="4">
        <v>6</v>
      </c>
      <c r="C108" s="4">
        <v>3</v>
      </c>
      <c r="D108" s="4">
        <v>23</v>
      </c>
      <c r="E108" s="4">
        <v>11</v>
      </c>
      <c r="F108" s="4" t="s">
        <v>30</v>
      </c>
      <c r="G108" t="s">
        <v>31</v>
      </c>
      <c r="H108" s="4">
        <v>206</v>
      </c>
      <c r="I108" s="4">
        <v>4</v>
      </c>
      <c r="J108" s="38">
        <v>45546</v>
      </c>
      <c r="K108" s="12">
        <v>42</v>
      </c>
      <c r="L108" s="12">
        <v>13</v>
      </c>
      <c r="M108" s="60">
        <f t="shared" si="2"/>
        <v>30.952380952380953</v>
      </c>
    </row>
    <row r="109" spans="1:13" x14ac:dyDescent="0.25">
      <c r="A109" s="4">
        <v>2</v>
      </c>
      <c r="B109" s="4">
        <v>5</v>
      </c>
      <c r="C109" s="4">
        <v>3</v>
      </c>
      <c r="D109" s="4">
        <v>18</v>
      </c>
      <c r="E109" s="4">
        <v>12</v>
      </c>
      <c r="F109" s="4" t="s">
        <v>25</v>
      </c>
      <c r="G109" t="s">
        <v>26</v>
      </c>
      <c r="H109" s="4">
        <v>205</v>
      </c>
      <c r="I109" s="4">
        <v>4</v>
      </c>
      <c r="J109" s="38">
        <v>45546</v>
      </c>
      <c r="K109" s="12">
        <v>61</v>
      </c>
      <c r="L109" s="12">
        <v>0</v>
      </c>
      <c r="M109" s="60">
        <f t="shared" si="2"/>
        <v>0</v>
      </c>
    </row>
    <row r="110" spans="1:13" x14ac:dyDescent="0.25">
      <c r="A110" s="4">
        <v>2</v>
      </c>
      <c r="B110" s="4">
        <v>4</v>
      </c>
      <c r="C110" s="4">
        <v>2</v>
      </c>
      <c r="D110" s="4">
        <v>15</v>
      </c>
      <c r="E110" s="4">
        <v>13</v>
      </c>
      <c r="F110" s="4" t="s">
        <v>30</v>
      </c>
      <c r="G110" t="s">
        <v>32</v>
      </c>
      <c r="H110" s="4">
        <v>204</v>
      </c>
      <c r="I110" s="4">
        <v>4</v>
      </c>
      <c r="J110" s="38">
        <v>45546</v>
      </c>
      <c r="K110" s="12">
        <v>52</v>
      </c>
      <c r="L110" s="12">
        <v>1</v>
      </c>
      <c r="M110" s="60">
        <f t="shared" si="2"/>
        <v>1.9230769230769231</v>
      </c>
    </row>
    <row r="111" spans="1:13" x14ac:dyDescent="0.25">
      <c r="A111" s="4">
        <v>2</v>
      </c>
      <c r="B111" s="4">
        <v>3</v>
      </c>
      <c r="C111" s="4">
        <v>2</v>
      </c>
      <c r="D111" s="4">
        <v>10</v>
      </c>
      <c r="E111" s="4">
        <v>14</v>
      </c>
      <c r="F111" s="4" t="s">
        <v>25</v>
      </c>
      <c r="G111" t="s">
        <v>29</v>
      </c>
      <c r="H111" s="4">
        <v>203</v>
      </c>
      <c r="I111" s="4">
        <v>4</v>
      </c>
      <c r="J111" s="38">
        <v>45546</v>
      </c>
      <c r="K111" s="12">
        <v>51</v>
      </c>
      <c r="L111" s="12">
        <v>35</v>
      </c>
      <c r="M111" s="60">
        <f t="shared" si="2"/>
        <v>68.627450980392155</v>
      </c>
    </row>
    <row r="112" spans="1:13" x14ac:dyDescent="0.25">
      <c r="A112" s="4">
        <v>2</v>
      </c>
      <c r="B112" s="4">
        <v>2</v>
      </c>
      <c r="C112" s="4">
        <v>1</v>
      </c>
      <c r="D112" s="4">
        <v>7</v>
      </c>
      <c r="E112" s="4">
        <v>15</v>
      </c>
      <c r="F112" s="4" t="s">
        <v>30</v>
      </c>
      <c r="G112" t="s">
        <v>28</v>
      </c>
      <c r="H112" s="4">
        <v>202</v>
      </c>
      <c r="I112" s="4">
        <v>4</v>
      </c>
      <c r="J112" s="38">
        <v>45546</v>
      </c>
      <c r="K112" s="12">
        <v>67</v>
      </c>
      <c r="L112" s="12">
        <v>6</v>
      </c>
      <c r="M112" s="60">
        <f t="shared" si="2"/>
        <v>8.9552238805970141</v>
      </c>
    </row>
    <row r="113" spans="1:13" x14ac:dyDescent="0.25">
      <c r="A113" s="4">
        <v>2</v>
      </c>
      <c r="B113" s="4">
        <v>1</v>
      </c>
      <c r="C113" s="4">
        <v>1</v>
      </c>
      <c r="D113" s="4">
        <v>2</v>
      </c>
      <c r="E113" s="4">
        <v>16</v>
      </c>
      <c r="F113" s="4" t="s">
        <v>25</v>
      </c>
      <c r="G113" t="s">
        <v>27</v>
      </c>
      <c r="H113" s="4">
        <v>201</v>
      </c>
      <c r="I113" s="4">
        <v>4</v>
      </c>
      <c r="J113" s="38">
        <v>45546</v>
      </c>
      <c r="K113" s="12">
        <v>55</v>
      </c>
      <c r="L113" s="12">
        <v>45</v>
      </c>
      <c r="M113" s="60">
        <f t="shared" si="2"/>
        <v>81.818181818181827</v>
      </c>
    </row>
    <row r="114" spans="1:13" x14ac:dyDescent="0.25">
      <c r="A114" s="4">
        <v>3</v>
      </c>
      <c r="B114" s="4">
        <v>1</v>
      </c>
      <c r="C114" s="4">
        <v>1</v>
      </c>
      <c r="D114" s="4">
        <v>3</v>
      </c>
      <c r="E114" s="4">
        <v>17</v>
      </c>
      <c r="F114" s="4" t="s">
        <v>25</v>
      </c>
      <c r="G114" t="s">
        <v>28</v>
      </c>
      <c r="H114" s="4">
        <v>301</v>
      </c>
      <c r="I114" s="4">
        <v>4</v>
      </c>
      <c r="J114" s="38">
        <v>45546</v>
      </c>
      <c r="K114" s="12">
        <v>35</v>
      </c>
      <c r="L114" s="12">
        <v>28</v>
      </c>
      <c r="M114" s="60">
        <f t="shared" si="2"/>
        <v>80</v>
      </c>
    </row>
    <row r="115" spans="1:13" x14ac:dyDescent="0.25">
      <c r="A115" s="4">
        <v>3</v>
      </c>
      <c r="B115" s="4">
        <v>2</v>
      </c>
      <c r="C115" s="4">
        <v>1</v>
      </c>
      <c r="D115" s="4">
        <v>6</v>
      </c>
      <c r="E115" s="4">
        <v>18</v>
      </c>
      <c r="F115" s="4" t="s">
        <v>30</v>
      </c>
      <c r="G115" t="s">
        <v>29</v>
      </c>
      <c r="H115" s="4">
        <v>302</v>
      </c>
      <c r="I115" s="4">
        <v>4</v>
      </c>
      <c r="J115" s="38">
        <v>45546</v>
      </c>
      <c r="K115" s="12">
        <v>55</v>
      </c>
      <c r="L115" s="12">
        <v>7</v>
      </c>
      <c r="M115" s="60">
        <f t="shared" si="2"/>
        <v>12.727272727272727</v>
      </c>
    </row>
    <row r="116" spans="1:13" x14ac:dyDescent="0.25">
      <c r="A116" s="4">
        <v>3</v>
      </c>
      <c r="B116" s="4">
        <v>3</v>
      </c>
      <c r="C116" s="4">
        <v>2</v>
      </c>
      <c r="D116" s="4">
        <v>11</v>
      </c>
      <c r="E116" s="4">
        <v>19</v>
      </c>
      <c r="F116" s="4" t="s">
        <v>25</v>
      </c>
      <c r="G116" t="s">
        <v>26</v>
      </c>
      <c r="H116" s="4">
        <v>303</v>
      </c>
      <c r="I116" s="4">
        <v>4</v>
      </c>
      <c r="J116" s="38">
        <v>45546</v>
      </c>
      <c r="K116" s="12">
        <v>59</v>
      </c>
      <c r="L116" s="12">
        <v>0</v>
      </c>
      <c r="M116" s="60">
        <f t="shared" si="2"/>
        <v>0</v>
      </c>
    </row>
    <row r="117" spans="1:13" x14ac:dyDescent="0.25">
      <c r="A117" s="4">
        <v>3</v>
      </c>
      <c r="B117" s="4">
        <v>4</v>
      </c>
      <c r="C117" s="4">
        <v>2</v>
      </c>
      <c r="D117" s="4">
        <v>14</v>
      </c>
      <c r="E117" s="4">
        <v>20</v>
      </c>
      <c r="F117" s="4" t="s">
        <v>30</v>
      </c>
      <c r="G117" t="s">
        <v>31</v>
      </c>
      <c r="H117" s="4">
        <v>304</v>
      </c>
      <c r="I117" s="4">
        <v>4</v>
      </c>
      <c r="J117" s="38">
        <v>45546</v>
      </c>
      <c r="K117" s="12">
        <v>46</v>
      </c>
      <c r="L117" s="12">
        <v>20</v>
      </c>
      <c r="M117" s="60">
        <f t="shared" si="2"/>
        <v>43.478260869565219</v>
      </c>
    </row>
    <row r="118" spans="1:13" x14ac:dyDescent="0.25">
      <c r="A118" s="4">
        <v>3</v>
      </c>
      <c r="B118" s="4">
        <v>5</v>
      </c>
      <c r="C118" s="4">
        <v>3</v>
      </c>
      <c r="D118" s="4">
        <v>19</v>
      </c>
      <c r="E118" s="4">
        <v>21</v>
      </c>
      <c r="F118" s="4" t="s">
        <v>25</v>
      </c>
      <c r="G118" t="s">
        <v>29</v>
      </c>
      <c r="H118" s="4">
        <v>305</v>
      </c>
      <c r="I118" s="4">
        <v>4</v>
      </c>
      <c r="J118" s="38">
        <v>45546</v>
      </c>
      <c r="K118" s="12">
        <v>61</v>
      </c>
      <c r="L118" s="12">
        <v>51</v>
      </c>
      <c r="M118" s="60">
        <f t="shared" si="2"/>
        <v>83.606557377049185</v>
      </c>
    </row>
    <row r="119" spans="1:13" x14ac:dyDescent="0.25">
      <c r="A119" s="4">
        <v>3</v>
      </c>
      <c r="B119" s="4">
        <v>6</v>
      </c>
      <c r="C119" s="4">
        <v>3</v>
      </c>
      <c r="D119" s="4">
        <v>22</v>
      </c>
      <c r="E119" s="4">
        <v>22</v>
      </c>
      <c r="F119" s="4" t="s">
        <v>30</v>
      </c>
      <c r="G119" t="s">
        <v>32</v>
      </c>
      <c r="H119" s="4">
        <v>306</v>
      </c>
      <c r="I119" s="4">
        <v>4</v>
      </c>
      <c r="J119" s="38">
        <v>45546</v>
      </c>
      <c r="K119" s="12">
        <v>73</v>
      </c>
      <c r="L119" s="12">
        <v>0</v>
      </c>
      <c r="M119" s="60">
        <f t="shared" si="2"/>
        <v>0</v>
      </c>
    </row>
    <row r="120" spans="1:13" x14ac:dyDescent="0.25">
      <c r="A120" s="4">
        <v>3</v>
      </c>
      <c r="B120" s="4">
        <v>7</v>
      </c>
      <c r="C120" s="4">
        <v>4</v>
      </c>
      <c r="D120" s="4">
        <v>27</v>
      </c>
      <c r="E120" s="4">
        <v>23</v>
      </c>
      <c r="F120" s="4" t="s">
        <v>25</v>
      </c>
      <c r="G120" t="s">
        <v>27</v>
      </c>
      <c r="H120" s="4">
        <v>307</v>
      </c>
      <c r="I120" s="4">
        <v>4</v>
      </c>
      <c r="J120" s="38">
        <v>45546</v>
      </c>
      <c r="K120" s="12">
        <v>44</v>
      </c>
      <c r="L120" s="12">
        <v>30</v>
      </c>
      <c r="M120" s="60">
        <f t="shared" si="2"/>
        <v>68.181818181818173</v>
      </c>
    </row>
    <row r="121" spans="1:13" x14ac:dyDescent="0.25">
      <c r="A121" s="4">
        <v>3</v>
      </c>
      <c r="B121" s="4">
        <v>8</v>
      </c>
      <c r="C121" s="4">
        <v>4</v>
      </c>
      <c r="D121" s="4">
        <v>30</v>
      </c>
      <c r="E121" s="4">
        <v>24</v>
      </c>
      <c r="F121" s="4" t="s">
        <v>30</v>
      </c>
      <c r="G121" t="s">
        <v>28</v>
      </c>
      <c r="H121" s="4">
        <v>308</v>
      </c>
      <c r="I121" s="4">
        <v>4</v>
      </c>
      <c r="J121" s="38">
        <v>45546</v>
      </c>
      <c r="K121" s="12">
        <v>64</v>
      </c>
      <c r="L121" s="12">
        <v>0</v>
      </c>
      <c r="M121" s="60">
        <f t="shared" si="2"/>
        <v>0</v>
      </c>
    </row>
    <row r="122" spans="1:13" x14ac:dyDescent="0.25">
      <c r="A122" s="4">
        <v>4</v>
      </c>
      <c r="B122" s="4">
        <v>8</v>
      </c>
      <c r="C122" s="4">
        <v>4</v>
      </c>
      <c r="D122" s="4">
        <v>29</v>
      </c>
      <c r="E122" s="4">
        <v>25</v>
      </c>
      <c r="F122" s="4" t="s">
        <v>30</v>
      </c>
      <c r="G122" t="s">
        <v>31</v>
      </c>
      <c r="H122" s="4">
        <v>408</v>
      </c>
      <c r="I122" s="4">
        <v>4</v>
      </c>
      <c r="J122" s="38">
        <v>45546</v>
      </c>
      <c r="K122" s="12">
        <v>47</v>
      </c>
      <c r="L122" s="12">
        <v>6</v>
      </c>
      <c r="M122" s="60">
        <f t="shared" si="2"/>
        <v>12.76595744680851</v>
      </c>
    </row>
    <row r="123" spans="1:13" x14ac:dyDescent="0.25">
      <c r="A123" s="4">
        <v>4</v>
      </c>
      <c r="B123" s="4">
        <v>7</v>
      </c>
      <c r="C123" s="4">
        <v>4</v>
      </c>
      <c r="D123" s="4">
        <v>28</v>
      </c>
      <c r="E123" s="4">
        <v>26</v>
      </c>
      <c r="F123" s="4" t="s">
        <v>25</v>
      </c>
      <c r="G123" t="s">
        <v>26</v>
      </c>
      <c r="H123" s="4">
        <v>407</v>
      </c>
      <c r="I123" s="4">
        <v>4</v>
      </c>
      <c r="J123" s="38">
        <v>45546</v>
      </c>
      <c r="K123" s="12">
        <v>57</v>
      </c>
      <c r="L123" s="12">
        <v>0</v>
      </c>
      <c r="M123" s="60">
        <f t="shared" si="2"/>
        <v>0</v>
      </c>
    </row>
    <row r="124" spans="1:13" x14ac:dyDescent="0.25">
      <c r="A124" s="4">
        <v>4</v>
      </c>
      <c r="B124" s="4">
        <v>6</v>
      </c>
      <c r="C124" s="4">
        <v>3</v>
      </c>
      <c r="D124" s="4">
        <v>21</v>
      </c>
      <c r="E124" s="4">
        <v>27</v>
      </c>
      <c r="F124" s="4" t="s">
        <v>30</v>
      </c>
      <c r="G124" t="s">
        <v>28</v>
      </c>
      <c r="H124" s="4">
        <v>406</v>
      </c>
      <c r="I124" s="4">
        <v>4</v>
      </c>
      <c r="J124" s="38">
        <v>45546</v>
      </c>
      <c r="K124" s="12">
        <v>54</v>
      </c>
      <c r="L124" s="12">
        <v>8</v>
      </c>
      <c r="M124" s="60">
        <f t="shared" si="2"/>
        <v>14.814814814814813</v>
      </c>
    </row>
    <row r="125" spans="1:13" x14ac:dyDescent="0.25">
      <c r="A125" s="4">
        <v>4</v>
      </c>
      <c r="B125" s="4">
        <v>5</v>
      </c>
      <c r="C125" s="4">
        <v>3</v>
      </c>
      <c r="D125" s="4">
        <v>20</v>
      </c>
      <c r="E125" s="4">
        <v>28</v>
      </c>
      <c r="F125" s="4" t="s">
        <v>25</v>
      </c>
      <c r="G125" t="s">
        <v>27</v>
      </c>
      <c r="H125" s="4">
        <v>405</v>
      </c>
      <c r="I125" s="4">
        <v>4</v>
      </c>
      <c r="J125" s="38">
        <v>45546</v>
      </c>
      <c r="K125" s="12">
        <v>64</v>
      </c>
      <c r="L125" s="12">
        <v>63</v>
      </c>
      <c r="M125" s="60">
        <f t="shared" si="2"/>
        <v>98.4375</v>
      </c>
    </row>
    <row r="126" spans="1:13" x14ac:dyDescent="0.25">
      <c r="A126" s="4">
        <v>4</v>
      </c>
      <c r="B126" s="4">
        <v>4</v>
      </c>
      <c r="C126" s="4">
        <v>2</v>
      </c>
      <c r="D126" s="4">
        <v>13</v>
      </c>
      <c r="E126" s="4">
        <v>29</v>
      </c>
      <c r="F126" s="4" t="s">
        <v>30</v>
      </c>
      <c r="G126" t="s">
        <v>29</v>
      </c>
      <c r="H126" s="4">
        <v>404</v>
      </c>
      <c r="I126" s="4">
        <v>4</v>
      </c>
      <c r="J126" s="38">
        <v>45546</v>
      </c>
      <c r="K126" s="12">
        <v>64</v>
      </c>
      <c r="L126" s="12">
        <v>0</v>
      </c>
      <c r="M126" s="60">
        <f t="shared" si="2"/>
        <v>0</v>
      </c>
    </row>
    <row r="127" spans="1:13" x14ac:dyDescent="0.25">
      <c r="A127" s="4">
        <v>4</v>
      </c>
      <c r="B127" s="4">
        <v>3</v>
      </c>
      <c r="C127" s="4">
        <v>2</v>
      </c>
      <c r="D127" s="4">
        <v>12</v>
      </c>
      <c r="E127" s="4">
        <v>30</v>
      </c>
      <c r="F127" s="4" t="s">
        <v>25</v>
      </c>
      <c r="G127" t="s">
        <v>28</v>
      </c>
      <c r="H127" s="4">
        <v>403</v>
      </c>
      <c r="I127" s="4">
        <v>4</v>
      </c>
      <c r="J127" s="38">
        <v>45546</v>
      </c>
      <c r="K127" s="12">
        <v>61</v>
      </c>
      <c r="L127" s="12">
        <v>51</v>
      </c>
      <c r="M127" s="60">
        <f t="shared" si="2"/>
        <v>83.606557377049185</v>
      </c>
    </row>
    <row r="128" spans="1:13" x14ac:dyDescent="0.25">
      <c r="A128" s="4">
        <v>4</v>
      </c>
      <c r="B128" s="4">
        <v>2</v>
      </c>
      <c r="C128" s="4">
        <v>1</v>
      </c>
      <c r="D128" s="4">
        <v>5</v>
      </c>
      <c r="E128" s="4">
        <v>31</v>
      </c>
      <c r="F128" s="4" t="s">
        <v>30</v>
      </c>
      <c r="G128" t="s">
        <v>32</v>
      </c>
      <c r="H128" s="4">
        <v>402</v>
      </c>
      <c r="I128" s="4">
        <v>4</v>
      </c>
      <c r="J128" s="38">
        <v>45546</v>
      </c>
      <c r="K128" s="12">
        <v>66</v>
      </c>
      <c r="L128" s="12">
        <v>0</v>
      </c>
      <c r="M128" s="60">
        <f t="shared" si="2"/>
        <v>0</v>
      </c>
    </row>
    <row r="129" spans="1:13" x14ac:dyDescent="0.25">
      <c r="A129" s="4">
        <v>4</v>
      </c>
      <c r="B129" s="4">
        <v>1</v>
      </c>
      <c r="C129" s="4">
        <v>1</v>
      </c>
      <c r="D129" s="4">
        <v>4</v>
      </c>
      <c r="E129" s="4">
        <v>32</v>
      </c>
      <c r="F129" s="4" t="s">
        <v>25</v>
      </c>
      <c r="G129" t="s">
        <v>29</v>
      </c>
      <c r="H129" s="4">
        <v>401</v>
      </c>
      <c r="I129" s="4">
        <v>4</v>
      </c>
      <c r="J129" s="38">
        <v>45546</v>
      </c>
      <c r="K129" s="12">
        <v>51</v>
      </c>
      <c r="L129" s="12">
        <v>42</v>
      </c>
      <c r="M129" s="60">
        <f t="shared" si="2"/>
        <v>82.35294117647058</v>
      </c>
    </row>
    <row r="130" spans="1:13" x14ac:dyDescent="0.25">
      <c r="A130" s="4">
        <v>1</v>
      </c>
      <c r="B130" s="4">
        <v>1</v>
      </c>
      <c r="C130" s="4">
        <v>1</v>
      </c>
      <c r="D130" s="4">
        <v>1</v>
      </c>
      <c r="E130" s="4">
        <v>1</v>
      </c>
      <c r="F130" s="4" t="s">
        <v>25</v>
      </c>
      <c r="G130" t="s">
        <v>26</v>
      </c>
      <c r="H130" s="4">
        <v>101</v>
      </c>
      <c r="I130" s="4">
        <v>5</v>
      </c>
      <c r="J130" s="38">
        <v>45548</v>
      </c>
      <c r="K130" s="12">
        <v>50</v>
      </c>
      <c r="L130" s="12">
        <v>0</v>
      </c>
      <c r="M130" s="60">
        <f t="shared" si="2"/>
        <v>0</v>
      </c>
    </row>
    <row r="131" spans="1:13" x14ac:dyDescent="0.25">
      <c r="A131" s="4">
        <v>1</v>
      </c>
      <c r="B131" s="4">
        <v>2</v>
      </c>
      <c r="C131" s="4">
        <v>1</v>
      </c>
      <c r="D131" s="4">
        <v>8</v>
      </c>
      <c r="E131" s="4">
        <v>2</v>
      </c>
      <c r="F131" s="4" t="s">
        <v>30</v>
      </c>
      <c r="G131" t="s">
        <v>31</v>
      </c>
      <c r="H131" s="4">
        <v>102</v>
      </c>
      <c r="I131" s="4">
        <v>5</v>
      </c>
      <c r="J131" s="38">
        <v>45548</v>
      </c>
      <c r="K131" s="12">
        <v>39</v>
      </c>
      <c r="L131" s="12">
        <v>29</v>
      </c>
      <c r="M131" s="60">
        <f t="shared" si="2"/>
        <v>74.358974358974365</v>
      </c>
    </row>
    <row r="132" spans="1:13" x14ac:dyDescent="0.25">
      <c r="A132" s="4">
        <v>1</v>
      </c>
      <c r="B132" s="4">
        <v>3</v>
      </c>
      <c r="C132" s="4">
        <v>2</v>
      </c>
      <c r="D132" s="4">
        <v>9</v>
      </c>
      <c r="E132" s="4">
        <v>3</v>
      </c>
      <c r="F132" s="4" t="s">
        <v>25</v>
      </c>
      <c r="G132" t="s">
        <v>27</v>
      </c>
      <c r="H132" s="4">
        <v>103</v>
      </c>
      <c r="I132" s="4">
        <v>5</v>
      </c>
      <c r="J132" s="38">
        <v>45548</v>
      </c>
      <c r="K132" s="12">
        <v>38</v>
      </c>
    </row>
    <row r="133" spans="1:13" x14ac:dyDescent="0.25">
      <c r="A133" s="4">
        <v>1</v>
      </c>
      <c r="B133" s="4">
        <v>4</v>
      </c>
      <c r="C133" s="4">
        <v>2</v>
      </c>
      <c r="D133" s="4">
        <v>16</v>
      </c>
      <c r="E133" s="4">
        <v>4</v>
      </c>
      <c r="F133" s="4" t="s">
        <v>30</v>
      </c>
      <c r="G133" t="s">
        <v>28</v>
      </c>
      <c r="H133" s="4">
        <v>104</v>
      </c>
      <c r="I133" s="4">
        <v>5</v>
      </c>
      <c r="J133" s="38">
        <v>45548</v>
      </c>
      <c r="K133" s="12">
        <v>38</v>
      </c>
      <c r="L133" s="12">
        <v>8</v>
      </c>
      <c r="M133" s="60">
        <f t="shared" si="2"/>
        <v>21.052631578947366</v>
      </c>
    </row>
    <row r="134" spans="1:13" x14ac:dyDescent="0.25">
      <c r="A134" s="4">
        <v>1</v>
      </c>
      <c r="B134" s="4">
        <v>5</v>
      </c>
      <c r="C134" s="4">
        <v>3</v>
      </c>
      <c r="D134" s="4">
        <v>17</v>
      </c>
      <c r="E134" s="4">
        <v>5</v>
      </c>
      <c r="F134" s="4" t="s">
        <v>25</v>
      </c>
      <c r="G134" t="s">
        <v>28</v>
      </c>
      <c r="H134" s="4">
        <v>105</v>
      </c>
      <c r="I134" s="4">
        <v>5</v>
      </c>
      <c r="J134" s="38">
        <v>45548</v>
      </c>
      <c r="K134" s="12">
        <v>61</v>
      </c>
    </row>
    <row r="135" spans="1:13" x14ac:dyDescent="0.25">
      <c r="A135" s="4">
        <v>1</v>
      </c>
      <c r="B135" s="4">
        <v>6</v>
      </c>
      <c r="C135" s="4">
        <v>3</v>
      </c>
      <c r="D135" s="4">
        <v>24</v>
      </c>
      <c r="E135" s="4">
        <v>6</v>
      </c>
      <c r="F135" s="4" t="s">
        <v>30</v>
      </c>
      <c r="G135" t="s">
        <v>29</v>
      </c>
      <c r="H135" s="4">
        <v>106</v>
      </c>
      <c r="I135" s="4">
        <v>5</v>
      </c>
      <c r="J135" s="38">
        <v>45548</v>
      </c>
      <c r="K135" s="12">
        <v>85</v>
      </c>
      <c r="L135" s="12">
        <v>13</v>
      </c>
      <c r="M135" s="60">
        <f t="shared" si="2"/>
        <v>15.294117647058824</v>
      </c>
    </row>
    <row r="136" spans="1:13" x14ac:dyDescent="0.25">
      <c r="A136" s="4">
        <v>1</v>
      </c>
      <c r="B136" s="4">
        <v>7</v>
      </c>
      <c r="C136" s="4">
        <v>4</v>
      </c>
      <c r="D136" s="4">
        <v>25</v>
      </c>
      <c r="E136" s="4">
        <v>7</v>
      </c>
      <c r="F136" s="4" t="s">
        <v>25</v>
      </c>
      <c r="G136" t="s">
        <v>29</v>
      </c>
      <c r="H136" s="4">
        <v>107</v>
      </c>
      <c r="I136" s="4">
        <v>5</v>
      </c>
      <c r="J136" s="38">
        <v>45548</v>
      </c>
      <c r="K136" s="12">
        <v>34</v>
      </c>
    </row>
    <row r="137" spans="1:13" x14ac:dyDescent="0.25">
      <c r="A137" s="4">
        <v>1</v>
      </c>
      <c r="B137" s="4">
        <v>8</v>
      </c>
      <c r="C137" s="4">
        <v>4</v>
      </c>
      <c r="D137" s="4">
        <v>32</v>
      </c>
      <c r="E137" s="4">
        <v>8</v>
      </c>
      <c r="F137" s="4" t="s">
        <v>30</v>
      </c>
      <c r="G137" t="s">
        <v>32</v>
      </c>
      <c r="H137" s="4">
        <v>108</v>
      </c>
      <c r="I137" s="4">
        <v>5</v>
      </c>
      <c r="J137" s="38">
        <v>45548</v>
      </c>
      <c r="K137" s="12">
        <v>75</v>
      </c>
      <c r="L137" s="12">
        <v>0</v>
      </c>
      <c r="M137" s="60">
        <f t="shared" si="2"/>
        <v>0</v>
      </c>
    </row>
    <row r="138" spans="1:13" x14ac:dyDescent="0.25">
      <c r="A138" s="4">
        <v>2</v>
      </c>
      <c r="B138" s="4">
        <v>8</v>
      </c>
      <c r="C138" s="4">
        <v>4</v>
      </c>
      <c r="D138" s="4">
        <v>31</v>
      </c>
      <c r="E138" s="4">
        <v>9</v>
      </c>
      <c r="F138" s="4" t="s">
        <v>30</v>
      </c>
      <c r="G138" t="s">
        <v>29</v>
      </c>
      <c r="H138" s="4">
        <v>208</v>
      </c>
      <c r="I138" s="4">
        <v>5</v>
      </c>
      <c r="J138" s="38">
        <v>45548</v>
      </c>
      <c r="K138" s="12">
        <v>79</v>
      </c>
      <c r="L138" s="12">
        <v>9</v>
      </c>
      <c r="M138" s="60">
        <f t="shared" si="2"/>
        <v>11.39240506329114</v>
      </c>
    </row>
    <row r="139" spans="1:13" x14ac:dyDescent="0.25">
      <c r="A139" s="4">
        <v>2</v>
      </c>
      <c r="B139" s="4">
        <v>7</v>
      </c>
      <c r="C139" s="4">
        <v>4</v>
      </c>
      <c r="D139" s="4">
        <v>26</v>
      </c>
      <c r="E139" s="4">
        <v>10</v>
      </c>
      <c r="F139" s="4" t="s">
        <v>25</v>
      </c>
      <c r="G139" t="s">
        <v>28</v>
      </c>
      <c r="H139" s="4">
        <v>207</v>
      </c>
      <c r="I139" s="4">
        <v>5</v>
      </c>
      <c r="J139" s="38">
        <v>45548</v>
      </c>
      <c r="K139" s="12">
        <v>49</v>
      </c>
    </row>
    <row r="140" spans="1:13" x14ac:dyDescent="0.25">
      <c r="A140" s="4">
        <v>2</v>
      </c>
      <c r="B140" s="4">
        <v>6</v>
      </c>
      <c r="C140" s="4">
        <v>3</v>
      </c>
      <c r="D140" s="4">
        <v>23</v>
      </c>
      <c r="E140" s="4">
        <v>11</v>
      </c>
      <c r="F140" s="4" t="s">
        <v>30</v>
      </c>
      <c r="G140" t="s">
        <v>31</v>
      </c>
      <c r="H140" s="4">
        <v>206</v>
      </c>
      <c r="I140" s="4">
        <v>5</v>
      </c>
      <c r="J140" s="38">
        <v>45548</v>
      </c>
      <c r="K140" s="12">
        <v>42</v>
      </c>
      <c r="L140" s="12">
        <v>33</v>
      </c>
      <c r="M140" s="60">
        <f t="shared" si="2"/>
        <v>78.571428571428569</v>
      </c>
    </row>
    <row r="141" spans="1:13" x14ac:dyDescent="0.25">
      <c r="A141" s="4">
        <v>2</v>
      </c>
      <c r="B141" s="4">
        <v>5</v>
      </c>
      <c r="C141" s="4">
        <v>3</v>
      </c>
      <c r="D141" s="4">
        <v>18</v>
      </c>
      <c r="E141" s="4">
        <v>12</v>
      </c>
      <c r="F141" s="4" t="s">
        <v>25</v>
      </c>
      <c r="G141" t="s">
        <v>26</v>
      </c>
      <c r="H141" s="4">
        <v>205</v>
      </c>
      <c r="I141" s="4">
        <v>5</v>
      </c>
      <c r="J141" s="38">
        <v>45548</v>
      </c>
      <c r="K141" s="12">
        <v>61</v>
      </c>
      <c r="L141" s="12">
        <v>0</v>
      </c>
      <c r="M141" s="60">
        <f t="shared" si="2"/>
        <v>0</v>
      </c>
    </row>
    <row r="142" spans="1:13" x14ac:dyDescent="0.25">
      <c r="A142" s="4">
        <v>2</v>
      </c>
      <c r="B142" s="4">
        <v>4</v>
      </c>
      <c r="C142" s="4">
        <v>2</v>
      </c>
      <c r="D142" s="4">
        <v>15</v>
      </c>
      <c r="E142" s="4">
        <v>13</v>
      </c>
      <c r="F142" s="4" t="s">
        <v>30</v>
      </c>
      <c r="G142" t="s">
        <v>32</v>
      </c>
      <c r="H142" s="4">
        <v>204</v>
      </c>
      <c r="I142" s="4">
        <v>5</v>
      </c>
      <c r="J142" s="38">
        <v>45548</v>
      </c>
      <c r="K142" s="12">
        <v>52</v>
      </c>
      <c r="L142" s="12">
        <v>5</v>
      </c>
      <c r="M142" s="60">
        <f t="shared" si="2"/>
        <v>9.6153846153846168</v>
      </c>
    </row>
    <row r="143" spans="1:13" x14ac:dyDescent="0.25">
      <c r="A143" s="4">
        <v>2</v>
      </c>
      <c r="B143" s="4">
        <v>3</v>
      </c>
      <c r="C143" s="4">
        <v>2</v>
      </c>
      <c r="D143" s="4">
        <v>10</v>
      </c>
      <c r="E143" s="4">
        <v>14</v>
      </c>
      <c r="F143" s="4" t="s">
        <v>25</v>
      </c>
      <c r="G143" t="s">
        <v>29</v>
      </c>
      <c r="H143" s="4">
        <v>203</v>
      </c>
      <c r="I143" s="4">
        <v>5</v>
      </c>
      <c r="J143" s="38">
        <v>45548</v>
      </c>
      <c r="K143" s="12">
        <v>51</v>
      </c>
    </row>
    <row r="144" spans="1:13" x14ac:dyDescent="0.25">
      <c r="A144" s="4">
        <v>2</v>
      </c>
      <c r="B144" s="4">
        <v>2</v>
      </c>
      <c r="C144" s="4">
        <v>1</v>
      </c>
      <c r="D144" s="4">
        <v>7</v>
      </c>
      <c r="E144" s="4">
        <v>15</v>
      </c>
      <c r="F144" s="4" t="s">
        <v>30</v>
      </c>
      <c r="G144" t="s">
        <v>28</v>
      </c>
      <c r="H144" s="4">
        <v>202</v>
      </c>
      <c r="I144" s="4">
        <v>5</v>
      </c>
      <c r="J144" s="38">
        <v>45548</v>
      </c>
      <c r="K144" s="12">
        <v>67</v>
      </c>
      <c r="L144" s="12">
        <v>24</v>
      </c>
      <c r="M144" s="60">
        <f t="shared" si="2"/>
        <v>35.820895522388057</v>
      </c>
    </row>
    <row r="145" spans="1:13" x14ac:dyDescent="0.25">
      <c r="A145" s="4">
        <v>2</v>
      </c>
      <c r="B145" s="4">
        <v>1</v>
      </c>
      <c r="C145" s="4">
        <v>1</v>
      </c>
      <c r="D145" s="4">
        <v>2</v>
      </c>
      <c r="E145" s="4">
        <v>16</v>
      </c>
      <c r="F145" s="4" t="s">
        <v>25</v>
      </c>
      <c r="G145" t="s">
        <v>27</v>
      </c>
      <c r="H145" s="4">
        <v>201</v>
      </c>
      <c r="I145" s="4">
        <v>5</v>
      </c>
      <c r="J145" s="38">
        <v>45548</v>
      </c>
      <c r="K145" s="12">
        <v>55</v>
      </c>
    </row>
    <row r="146" spans="1:13" x14ac:dyDescent="0.25">
      <c r="A146" s="4">
        <v>3</v>
      </c>
      <c r="B146" s="4">
        <v>1</v>
      </c>
      <c r="C146" s="4">
        <v>1</v>
      </c>
      <c r="D146" s="4">
        <v>3</v>
      </c>
      <c r="E146" s="4">
        <v>17</v>
      </c>
      <c r="F146" s="4" t="s">
        <v>25</v>
      </c>
      <c r="G146" t="s">
        <v>28</v>
      </c>
      <c r="H146" s="4">
        <v>301</v>
      </c>
      <c r="I146" s="4">
        <v>5</v>
      </c>
      <c r="J146" s="38">
        <v>45548</v>
      </c>
      <c r="K146" s="12">
        <v>35</v>
      </c>
    </row>
    <row r="147" spans="1:13" x14ac:dyDescent="0.25">
      <c r="A147" s="4">
        <v>3</v>
      </c>
      <c r="B147" s="4">
        <v>2</v>
      </c>
      <c r="C147" s="4">
        <v>1</v>
      </c>
      <c r="D147" s="4">
        <v>6</v>
      </c>
      <c r="E147" s="4">
        <v>18</v>
      </c>
      <c r="F147" s="4" t="s">
        <v>30</v>
      </c>
      <c r="G147" t="s">
        <v>29</v>
      </c>
      <c r="H147" s="4">
        <v>302</v>
      </c>
      <c r="I147" s="4">
        <v>5</v>
      </c>
      <c r="J147" s="38">
        <v>45548</v>
      </c>
      <c r="K147" s="12">
        <v>55</v>
      </c>
      <c r="L147" s="12">
        <v>19</v>
      </c>
      <c r="M147" s="60">
        <f t="shared" si="2"/>
        <v>34.545454545454547</v>
      </c>
    </row>
    <row r="148" spans="1:13" x14ac:dyDescent="0.25">
      <c r="A148" s="4">
        <v>3</v>
      </c>
      <c r="B148" s="4">
        <v>3</v>
      </c>
      <c r="C148" s="4">
        <v>2</v>
      </c>
      <c r="D148" s="4">
        <v>11</v>
      </c>
      <c r="E148" s="4">
        <v>19</v>
      </c>
      <c r="F148" s="4" t="s">
        <v>25</v>
      </c>
      <c r="G148" t="s">
        <v>26</v>
      </c>
      <c r="H148" s="4">
        <v>303</v>
      </c>
      <c r="I148" s="4">
        <v>5</v>
      </c>
      <c r="J148" s="38">
        <v>45548</v>
      </c>
      <c r="K148" s="12">
        <v>59</v>
      </c>
      <c r="L148" s="12">
        <v>0</v>
      </c>
      <c r="M148" s="60">
        <f t="shared" si="2"/>
        <v>0</v>
      </c>
    </row>
    <row r="149" spans="1:13" x14ac:dyDescent="0.25">
      <c r="A149" s="4">
        <v>3</v>
      </c>
      <c r="B149" s="4">
        <v>4</v>
      </c>
      <c r="C149" s="4">
        <v>2</v>
      </c>
      <c r="D149" s="4">
        <v>14</v>
      </c>
      <c r="E149" s="4">
        <v>20</v>
      </c>
      <c r="F149" s="4" t="s">
        <v>30</v>
      </c>
      <c r="G149" t="s">
        <v>31</v>
      </c>
      <c r="H149" s="4">
        <v>304</v>
      </c>
      <c r="I149" s="4">
        <v>5</v>
      </c>
      <c r="J149" s="38">
        <v>45548</v>
      </c>
      <c r="K149" s="12">
        <v>46</v>
      </c>
      <c r="L149" s="12">
        <v>31</v>
      </c>
      <c r="M149" s="60">
        <f t="shared" si="2"/>
        <v>67.391304347826093</v>
      </c>
    </row>
    <row r="150" spans="1:13" x14ac:dyDescent="0.25">
      <c r="A150" s="4">
        <v>3</v>
      </c>
      <c r="B150" s="4">
        <v>5</v>
      </c>
      <c r="C150" s="4">
        <v>3</v>
      </c>
      <c r="D150" s="4">
        <v>19</v>
      </c>
      <c r="E150" s="4">
        <v>21</v>
      </c>
      <c r="F150" s="4" t="s">
        <v>25</v>
      </c>
      <c r="G150" t="s">
        <v>29</v>
      </c>
      <c r="H150" s="4">
        <v>305</v>
      </c>
      <c r="I150" s="4">
        <v>5</v>
      </c>
      <c r="J150" s="38">
        <v>45548</v>
      </c>
      <c r="K150" s="12">
        <v>61</v>
      </c>
    </row>
    <row r="151" spans="1:13" x14ac:dyDescent="0.25">
      <c r="A151" s="4">
        <v>3</v>
      </c>
      <c r="B151" s="4">
        <v>6</v>
      </c>
      <c r="C151" s="4">
        <v>3</v>
      </c>
      <c r="D151" s="4">
        <v>22</v>
      </c>
      <c r="E151" s="4">
        <v>22</v>
      </c>
      <c r="F151" s="4" t="s">
        <v>30</v>
      </c>
      <c r="G151" t="s">
        <v>32</v>
      </c>
      <c r="H151" s="4">
        <v>306</v>
      </c>
      <c r="I151" s="4">
        <v>5</v>
      </c>
      <c r="J151" s="38">
        <v>45548</v>
      </c>
      <c r="K151" s="12">
        <v>73</v>
      </c>
      <c r="L151" s="12">
        <v>5</v>
      </c>
      <c r="M151" s="60">
        <f t="shared" si="2"/>
        <v>6.8493150684931505</v>
      </c>
    </row>
    <row r="152" spans="1:13" x14ac:dyDescent="0.25">
      <c r="A152" s="4">
        <v>3</v>
      </c>
      <c r="B152" s="4">
        <v>7</v>
      </c>
      <c r="C152" s="4">
        <v>4</v>
      </c>
      <c r="D152" s="4">
        <v>27</v>
      </c>
      <c r="E152" s="4">
        <v>23</v>
      </c>
      <c r="F152" s="4" t="s">
        <v>25</v>
      </c>
      <c r="G152" t="s">
        <v>27</v>
      </c>
      <c r="H152" s="4">
        <v>307</v>
      </c>
      <c r="I152" s="4">
        <v>5</v>
      </c>
      <c r="J152" s="38">
        <v>45548</v>
      </c>
      <c r="K152" s="12">
        <v>44</v>
      </c>
    </row>
    <row r="153" spans="1:13" x14ac:dyDescent="0.25">
      <c r="A153" s="4">
        <v>3</v>
      </c>
      <c r="B153" s="4">
        <v>8</v>
      </c>
      <c r="C153" s="4">
        <v>4</v>
      </c>
      <c r="D153" s="4">
        <v>30</v>
      </c>
      <c r="E153" s="4">
        <v>24</v>
      </c>
      <c r="F153" s="4" t="s">
        <v>30</v>
      </c>
      <c r="G153" t="s">
        <v>28</v>
      </c>
      <c r="H153" s="4">
        <v>308</v>
      </c>
      <c r="I153" s="4">
        <v>5</v>
      </c>
      <c r="J153" s="38">
        <v>45548</v>
      </c>
      <c r="K153" s="12">
        <v>64</v>
      </c>
      <c r="L153" s="12">
        <v>20</v>
      </c>
      <c r="M153" s="60">
        <f t="shared" si="2"/>
        <v>31.25</v>
      </c>
    </row>
    <row r="154" spans="1:13" x14ac:dyDescent="0.25">
      <c r="A154" s="4">
        <v>4</v>
      </c>
      <c r="B154" s="4">
        <v>8</v>
      </c>
      <c r="C154" s="4">
        <v>4</v>
      </c>
      <c r="D154" s="4">
        <v>29</v>
      </c>
      <c r="E154" s="4">
        <v>25</v>
      </c>
      <c r="F154" s="4" t="s">
        <v>30</v>
      </c>
      <c r="G154" t="s">
        <v>31</v>
      </c>
      <c r="H154" s="4">
        <v>408</v>
      </c>
      <c r="I154" s="4">
        <v>5</v>
      </c>
      <c r="J154" s="38">
        <v>45548</v>
      </c>
      <c r="K154" s="12">
        <v>47</v>
      </c>
      <c r="L154" s="12">
        <v>30</v>
      </c>
      <c r="M154" s="60">
        <f t="shared" si="2"/>
        <v>63.829787234042556</v>
      </c>
    </row>
    <row r="155" spans="1:13" x14ac:dyDescent="0.25">
      <c r="A155" s="4">
        <v>4</v>
      </c>
      <c r="B155" s="4">
        <v>7</v>
      </c>
      <c r="C155" s="4">
        <v>4</v>
      </c>
      <c r="D155" s="4">
        <v>28</v>
      </c>
      <c r="E155" s="4">
        <v>26</v>
      </c>
      <c r="F155" s="4" t="s">
        <v>25</v>
      </c>
      <c r="G155" t="s">
        <v>26</v>
      </c>
      <c r="H155" s="4">
        <v>407</v>
      </c>
      <c r="I155" s="4">
        <v>5</v>
      </c>
      <c r="J155" s="38">
        <v>45548</v>
      </c>
      <c r="K155" s="12">
        <v>57</v>
      </c>
      <c r="L155" s="12">
        <v>0</v>
      </c>
      <c r="M155" s="60">
        <f t="shared" si="2"/>
        <v>0</v>
      </c>
    </row>
    <row r="156" spans="1:13" x14ac:dyDescent="0.25">
      <c r="A156" s="4">
        <v>4</v>
      </c>
      <c r="B156" s="4">
        <v>6</v>
      </c>
      <c r="C156" s="4">
        <v>3</v>
      </c>
      <c r="D156" s="4">
        <v>21</v>
      </c>
      <c r="E156" s="4">
        <v>27</v>
      </c>
      <c r="F156" s="4" t="s">
        <v>30</v>
      </c>
      <c r="G156" t="s">
        <v>28</v>
      </c>
      <c r="H156" s="4">
        <v>406</v>
      </c>
      <c r="I156" s="4">
        <v>5</v>
      </c>
      <c r="J156" s="38">
        <v>45548</v>
      </c>
      <c r="K156" s="12">
        <v>54</v>
      </c>
      <c r="L156" s="12">
        <v>24</v>
      </c>
      <c r="M156" s="60">
        <f t="shared" si="2"/>
        <v>44.444444444444443</v>
      </c>
    </row>
    <row r="157" spans="1:13" x14ac:dyDescent="0.25">
      <c r="A157" s="4">
        <v>4</v>
      </c>
      <c r="B157" s="4">
        <v>5</v>
      </c>
      <c r="C157" s="4">
        <v>3</v>
      </c>
      <c r="D157" s="4">
        <v>20</v>
      </c>
      <c r="E157" s="4">
        <v>28</v>
      </c>
      <c r="F157" s="4" t="s">
        <v>25</v>
      </c>
      <c r="G157" t="s">
        <v>27</v>
      </c>
      <c r="H157" s="4">
        <v>405</v>
      </c>
      <c r="I157" s="4">
        <v>5</v>
      </c>
      <c r="J157" s="38">
        <v>45548</v>
      </c>
      <c r="K157" s="12">
        <v>64</v>
      </c>
    </row>
    <row r="158" spans="1:13" x14ac:dyDescent="0.25">
      <c r="A158" s="4">
        <v>4</v>
      </c>
      <c r="B158" s="4">
        <v>4</v>
      </c>
      <c r="C158" s="4">
        <v>2</v>
      </c>
      <c r="D158" s="4">
        <v>13</v>
      </c>
      <c r="E158" s="4">
        <v>29</v>
      </c>
      <c r="F158" s="4" t="s">
        <v>30</v>
      </c>
      <c r="G158" t="s">
        <v>29</v>
      </c>
      <c r="H158" s="4">
        <v>404</v>
      </c>
      <c r="I158" s="4">
        <v>5</v>
      </c>
      <c r="J158" s="38">
        <v>45548</v>
      </c>
      <c r="K158" s="12">
        <v>64</v>
      </c>
      <c r="L158" s="12">
        <v>4</v>
      </c>
      <c r="M158" s="60">
        <f t="shared" si="2"/>
        <v>6.25</v>
      </c>
    </row>
    <row r="159" spans="1:13" x14ac:dyDescent="0.25">
      <c r="A159" s="4">
        <v>4</v>
      </c>
      <c r="B159" s="4">
        <v>3</v>
      </c>
      <c r="C159" s="4">
        <v>2</v>
      </c>
      <c r="D159" s="4">
        <v>12</v>
      </c>
      <c r="E159" s="4">
        <v>30</v>
      </c>
      <c r="F159" s="4" t="s">
        <v>25</v>
      </c>
      <c r="G159" t="s">
        <v>28</v>
      </c>
      <c r="H159" s="4">
        <v>403</v>
      </c>
      <c r="I159" s="4">
        <v>5</v>
      </c>
      <c r="J159" s="38">
        <v>45548</v>
      </c>
      <c r="K159" s="12">
        <v>61</v>
      </c>
    </row>
    <row r="160" spans="1:13" x14ac:dyDescent="0.25">
      <c r="A160" s="4">
        <v>4</v>
      </c>
      <c r="B160" s="4">
        <v>2</v>
      </c>
      <c r="C160" s="4">
        <v>1</v>
      </c>
      <c r="D160" s="4">
        <v>5</v>
      </c>
      <c r="E160" s="4">
        <v>31</v>
      </c>
      <c r="F160" s="4" t="s">
        <v>30</v>
      </c>
      <c r="G160" t="s">
        <v>32</v>
      </c>
      <c r="H160" s="4">
        <v>402</v>
      </c>
      <c r="I160" s="4">
        <v>5</v>
      </c>
      <c r="J160" s="38">
        <v>45548</v>
      </c>
      <c r="K160" s="12">
        <v>66</v>
      </c>
      <c r="L160" s="12">
        <v>2</v>
      </c>
      <c r="M160" s="60">
        <v>13</v>
      </c>
    </row>
    <row r="161" spans="1:13" x14ac:dyDescent="0.25">
      <c r="A161" s="4">
        <v>4</v>
      </c>
      <c r="B161" s="4">
        <v>1</v>
      </c>
      <c r="C161" s="4">
        <v>1</v>
      </c>
      <c r="D161" s="4">
        <v>4</v>
      </c>
      <c r="E161" s="4">
        <v>32</v>
      </c>
      <c r="F161" s="4" t="s">
        <v>25</v>
      </c>
      <c r="G161" t="s">
        <v>29</v>
      </c>
      <c r="H161" s="4">
        <v>401</v>
      </c>
      <c r="I161" s="4">
        <v>5</v>
      </c>
      <c r="J161" s="38">
        <v>45548</v>
      </c>
      <c r="K161" s="12">
        <v>51</v>
      </c>
    </row>
    <row r="162" spans="1:13" x14ac:dyDescent="0.25">
      <c r="A162" s="4">
        <v>1</v>
      </c>
      <c r="B162" s="4">
        <v>1</v>
      </c>
      <c r="C162" s="4">
        <v>1</v>
      </c>
      <c r="D162" s="4">
        <v>1</v>
      </c>
      <c r="E162" s="4">
        <v>1</v>
      </c>
      <c r="F162" s="4" t="s">
        <v>25</v>
      </c>
      <c r="G162" t="s">
        <v>26</v>
      </c>
      <c r="H162" s="4">
        <v>101</v>
      </c>
      <c r="I162" s="4">
        <v>6</v>
      </c>
      <c r="J162" s="38">
        <v>45551</v>
      </c>
      <c r="K162" s="12">
        <v>50</v>
      </c>
      <c r="L162" s="12">
        <v>0</v>
      </c>
      <c r="M162" s="60">
        <f t="shared" ref="M162:M167" si="3">(L162/K162)*100</f>
        <v>0</v>
      </c>
    </row>
    <row r="163" spans="1:13" x14ac:dyDescent="0.25">
      <c r="A163" s="4">
        <v>1</v>
      </c>
      <c r="B163" s="4">
        <v>2</v>
      </c>
      <c r="C163" s="4">
        <v>1</v>
      </c>
      <c r="D163" s="4">
        <v>8</v>
      </c>
      <c r="E163" s="4">
        <v>2</v>
      </c>
      <c r="F163" s="4" t="s">
        <v>30</v>
      </c>
      <c r="G163" t="s">
        <v>31</v>
      </c>
      <c r="H163" s="4">
        <v>102</v>
      </c>
      <c r="I163" s="4">
        <v>6</v>
      </c>
      <c r="J163" s="38">
        <v>45551</v>
      </c>
      <c r="K163" s="12">
        <v>39</v>
      </c>
    </row>
    <row r="164" spans="1:13" x14ac:dyDescent="0.25">
      <c r="A164" s="4">
        <v>1</v>
      </c>
      <c r="B164" s="4">
        <v>3</v>
      </c>
      <c r="C164" s="4">
        <v>2</v>
      </c>
      <c r="D164" s="4">
        <v>9</v>
      </c>
      <c r="E164" s="4">
        <v>3</v>
      </c>
      <c r="F164" s="4" t="s">
        <v>25</v>
      </c>
      <c r="G164" t="s">
        <v>27</v>
      </c>
      <c r="H164" s="4">
        <v>103</v>
      </c>
      <c r="I164" s="4">
        <v>6</v>
      </c>
      <c r="J164" s="38">
        <v>45551</v>
      </c>
      <c r="K164" s="12">
        <v>38</v>
      </c>
    </row>
    <row r="165" spans="1:13" x14ac:dyDescent="0.25">
      <c r="A165" s="4">
        <v>1</v>
      </c>
      <c r="B165" s="4">
        <v>4</v>
      </c>
      <c r="C165" s="4">
        <v>2</v>
      </c>
      <c r="D165" s="4">
        <v>16</v>
      </c>
      <c r="E165" s="4">
        <v>4</v>
      </c>
      <c r="F165" s="4" t="s">
        <v>30</v>
      </c>
      <c r="G165" t="s">
        <v>28</v>
      </c>
      <c r="H165" s="4">
        <v>104</v>
      </c>
      <c r="I165" s="4">
        <v>6</v>
      </c>
      <c r="J165" s="38">
        <v>45551</v>
      </c>
      <c r="K165" s="12">
        <v>38</v>
      </c>
      <c r="L165" s="12">
        <v>17</v>
      </c>
      <c r="M165" s="60">
        <f t="shared" si="3"/>
        <v>44.736842105263158</v>
      </c>
    </row>
    <row r="166" spans="1:13" x14ac:dyDescent="0.25">
      <c r="A166" s="4">
        <v>1</v>
      </c>
      <c r="B166" s="4">
        <v>5</v>
      </c>
      <c r="C166" s="4">
        <v>3</v>
      </c>
      <c r="D166" s="4">
        <v>17</v>
      </c>
      <c r="E166" s="4">
        <v>5</v>
      </c>
      <c r="F166" s="4" t="s">
        <v>25</v>
      </c>
      <c r="G166" t="s">
        <v>28</v>
      </c>
      <c r="H166" s="4">
        <v>105</v>
      </c>
      <c r="I166" s="4">
        <v>6</v>
      </c>
      <c r="J166" s="38">
        <v>45551</v>
      </c>
      <c r="K166" s="12">
        <v>61</v>
      </c>
    </row>
    <row r="167" spans="1:13" x14ac:dyDescent="0.25">
      <c r="A167" s="4">
        <v>1</v>
      </c>
      <c r="B167" s="4">
        <v>6</v>
      </c>
      <c r="C167" s="4">
        <v>3</v>
      </c>
      <c r="D167" s="4">
        <v>24</v>
      </c>
      <c r="E167" s="4">
        <v>6</v>
      </c>
      <c r="F167" s="4" t="s">
        <v>30</v>
      </c>
      <c r="G167" t="s">
        <v>29</v>
      </c>
      <c r="H167" s="4">
        <v>106</v>
      </c>
      <c r="I167" s="4">
        <v>6</v>
      </c>
      <c r="J167" s="38">
        <v>45551</v>
      </c>
      <c r="K167" s="12">
        <v>85</v>
      </c>
      <c r="L167" s="12">
        <v>31</v>
      </c>
      <c r="M167" s="60">
        <f t="shared" si="3"/>
        <v>36.470588235294116</v>
      </c>
    </row>
    <row r="168" spans="1:13" x14ac:dyDescent="0.25">
      <c r="A168" s="4">
        <v>1</v>
      </c>
      <c r="B168" s="4">
        <v>7</v>
      </c>
      <c r="C168" s="4">
        <v>4</v>
      </c>
      <c r="D168" s="4">
        <v>25</v>
      </c>
      <c r="E168" s="4">
        <v>7</v>
      </c>
      <c r="F168" s="4" t="s">
        <v>25</v>
      </c>
      <c r="G168" t="s">
        <v>29</v>
      </c>
      <c r="H168" s="4">
        <v>107</v>
      </c>
      <c r="I168" s="4">
        <v>6</v>
      </c>
      <c r="J168" s="38">
        <v>45551</v>
      </c>
      <c r="K168" s="12">
        <v>34</v>
      </c>
    </row>
    <row r="169" spans="1:13" x14ac:dyDescent="0.25">
      <c r="A169" s="4">
        <v>1</v>
      </c>
      <c r="B169" s="4">
        <v>8</v>
      </c>
      <c r="C169" s="4">
        <v>4</v>
      </c>
      <c r="D169" s="4">
        <v>32</v>
      </c>
      <c r="E169" s="4">
        <v>8</v>
      </c>
      <c r="F169" s="4" t="s">
        <v>30</v>
      </c>
      <c r="G169" t="s">
        <v>32</v>
      </c>
      <c r="H169" s="4">
        <v>108</v>
      </c>
      <c r="I169" s="4">
        <v>6</v>
      </c>
      <c r="J169" s="38">
        <v>45551</v>
      </c>
      <c r="K169" s="12">
        <v>75</v>
      </c>
      <c r="L169" s="12">
        <v>16</v>
      </c>
      <c r="M169" s="60">
        <f>16*100/31</f>
        <v>51.612903225806448</v>
      </c>
    </row>
    <row r="170" spans="1:13" x14ac:dyDescent="0.25">
      <c r="A170" s="4">
        <v>2</v>
      </c>
      <c r="B170" s="4">
        <v>8</v>
      </c>
      <c r="C170" s="4">
        <v>4</v>
      </c>
      <c r="D170" s="4">
        <v>31</v>
      </c>
      <c r="E170" s="4">
        <v>9</v>
      </c>
      <c r="F170" s="4" t="s">
        <v>30</v>
      </c>
      <c r="G170" t="s">
        <v>29</v>
      </c>
      <c r="H170" s="4">
        <v>208</v>
      </c>
      <c r="I170" s="4">
        <v>6</v>
      </c>
      <c r="J170" s="38">
        <v>45551</v>
      </c>
      <c r="K170" s="12">
        <v>79</v>
      </c>
      <c r="L170" s="12">
        <v>19</v>
      </c>
      <c r="M170" s="60">
        <v>50</v>
      </c>
    </row>
    <row r="171" spans="1:13" x14ac:dyDescent="0.25">
      <c r="A171" s="4">
        <v>2</v>
      </c>
      <c r="B171" s="4">
        <v>7</v>
      </c>
      <c r="C171" s="4">
        <v>4</v>
      </c>
      <c r="D171" s="4">
        <v>26</v>
      </c>
      <c r="E171" s="4">
        <v>10</v>
      </c>
      <c r="F171" s="4" t="s">
        <v>25</v>
      </c>
      <c r="G171" t="s">
        <v>28</v>
      </c>
      <c r="H171" s="4">
        <v>207</v>
      </c>
      <c r="I171" s="4">
        <v>6</v>
      </c>
      <c r="J171" s="38">
        <v>45551</v>
      </c>
      <c r="K171" s="12">
        <v>49</v>
      </c>
    </row>
    <row r="172" spans="1:13" x14ac:dyDescent="0.25">
      <c r="A172" s="4">
        <v>2</v>
      </c>
      <c r="B172" s="4">
        <v>6</v>
      </c>
      <c r="C172" s="4">
        <v>3</v>
      </c>
      <c r="D172" s="4">
        <v>23</v>
      </c>
      <c r="E172" s="4">
        <v>11</v>
      </c>
      <c r="F172" s="4" t="s">
        <v>30</v>
      </c>
      <c r="G172" t="s">
        <v>31</v>
      </c>
      <c r="H172" s="4">
        <v>206</v>
      </c>
      <c r="I172" s="4">
        <v>6</v>
      </c>
      <c r="J172" s="38">
        <v>45551</v>
      </c>
      <c r="K172" s="12">
        <v>42</v>
      </c>
    </row>
    <row r="173" spans="1:13" x14ac:dyDescent="0.25">
      <c r="A173" s="4">
        <v>2</v>
      </c>
      <c r="B173" s="4">
        <v>5</v>
      </c>
      <c r="C173" s="4">
        <v>3</v>
      </c>
      <c r="D173" s="4">
        <v>18</v>
      </c>
      <c r="E173" s="4">
        <v>12</v>
      </c>
      <c r="F173" s="4" t="s">
        <v>25</v>
      </c>
      <c r="G173" t="s">
        <v>26</v>
      </c>
      <c r="H173" s="4">
        <v>205</v>
      </c>
      <c r="I173" s="4">
        <v>6</v>
      </c>
      <c r="J173" s="38">
        <v>45551</v>
      </c>
      <c r="K173" s="12">
        <v>61</v>
      </c>
      <c r="L173" s="12">
        <v>0</v>
      </c>
      <c r="M173" s="60">
        <f t="shared" ref="M173:M174" si="4">(L173/K173)*100</f>
        <v>0</v>
      </c>
    </row>
    <row r="174" spans="1:13" x14ac:dyDescent="0.25">
      <c r="A174" s="4">
        <v>2</v>
      </c>
      <c r="B174" s="4">
        <v>4</v>
      </c>
      <c r="C174" s="4">
        <v>2</v>
      </c>
      <c r="D174" s="4">
        <v>15</v>
      </c>
      <c r="E174" s="4">
        <v>13</v>
      </c>
      <c r="F174" s="4" t="s">
        <v>30</v>
      </c>
      <c r="G174" t="s">
        <v>32</v>
      </c>
      <c r="H174" s="4">
        <v>204</v>
      </c>
      <c r="I174" s="4">
        <v>6</v>
      </c>
      <c r="J174" s="38">
        <v>45551</v>
      </c>
      <c r="K174" s="12">
        <v>52</v>
      </c>
      <c r="L174" s="12">
        <v>22</v>
      </c>
      <c r="M174" s="60">
        <f t="shared" si="4"/>
        <v>42.307692307692307</v>
      </c>
    </row>
    <row r="175" spans="1:13" x14ac:dyDescent="0.25">
      <c r="A175" s="4">
        <v>2</v>
      </c>
      <c r="B175" s="4">
        <v>3</v>
      </c>
      <c r="C175" s="4">
        <v>2</v>
      </c>
      <c r="D175" s="4">
        <v>10</v>
      </c>
      <c r="E175" s="4">
        <v>14</v>
      </c>
      <c r="F175" s="4" t="s">
        <v>25</v>
      </c>
      <c r="G175" t="s">
        <v>29</v>
      </c>
      <c r="H175" s="4">
        <v>203</v>
      </c>
      <c r="I175" s="4">
        <v>6</v>
      </c>
      <c r="J175" s="38">
        <v>45551</v>
      </c>
      <c r="K175" s="12">
        <v>51</v>
      </c>
    </row>
    <row r="176" spans="1:13" x14ac:dyDescent="0.25">
      <c r="A176" s="4">
        <v>2</v>
      </c>
      <c r="B176" s="4">
        <v>2</v>
      </c>
      <c r="C176" s="4">
        <v>1</v>
      </c>
      <c r="D176" s="4">
        <v>7</v>
      </c>
      <c r="E176" s="4">
        <v>15</v>
      </c>
      <c r="F176" s="4" t="s">
        <v>30</v>
      </c>
      <c r="G176" t="s">
        <v>28</v>
      </c>
      <c r="H176" s="4">
        <v>202</v>
      </c>
      <c r="I176" s="4">
        <v>6</v>
      </c>
      <c r="J176" s="38">
        <v>45551</v>
      </c>
      <c r="K176" s="12">
        <v>67</v>
      </c>
      <c r="L176" s="12">
        <v>51</v>
      </c>
      <c r="M176" s="60">
        <f t="shared" ref="M176:M180" si="5">(L176/K176)*100</f>
        <v>76.119402985074629</v>
      </c>
    </row>
    <row r="177" spans="1:13" x14ac:dyDescent="0.25">
      <c r="A177" s="4">
        <v>2</v>
      </c>
      <c r="B177" s="4">
        <v>1</v>
      </c>
      <c r="C177" s="4">
        <v>1</v>
      </c>
      <c r="D177" s="4">
        <v>2</v>
      </c>
      <c r="E177" s="4">
        <v>16</v>
      </c>
      <c r="F177" s="4" t="s">
        <v>25</v>
      </c>
      <c r="G177" t="s">
        <v>27</v>
      </c>
      <c r="H177" s="4">
        <v>201</v>
      </c>
      <c r="I177" s="4">
        <v>6</v>
      </c>
      <c r="J177" s="38">
        <v>45551</v>
      </c>
      <c r="K177" s="12">
        <v>55</v>
      </c>
    </row>
    <row r="178" spans="1:13" x14ac:dyDescent="0.25">
      <c r="A178" s="4">
        <v>3</v>
      </c>
      <c r="B178" s="4">
        <v>1</v>
      </c>
      <c r="C178" s="4">
        <v>1</v>
      </c>
      <c r="D178" s="4">
        <v>3</v>
      </c>
      <c r="E178" s="4">
        <v>17</v>
      </c>
      <c r="F178" s="4" t="s">
        <v>25</v>
      </c>
      <c r="G178" t="s">
        <v>28</v>
      </c>
      <c r="H178" s="4">
        <v>301</v>
      </c>
      <c r="I178" s="4">
        <v>6</v>
      </c>
      <c r="J178" s="38">
        <v>45551</v>
      </c>
      <c r="K178" s="12">
        <v>35</v>
      </c>
    </row>
    <row r="179" spans="1:13" x14ac:dyDescent="0.25">
      <c r="A179" s="4">
        <v>3</v>
      </c>
      <c r="B179" s="4">
        <v>2</v>
      </c>
      <c r="C179" s="4">
        <v>1</v>
      </c>
      <c r="D179" s="4">
        <v>6</v>
      </c>
      <c r="E179" s="4">
        <v>18</v>
      </c>
      <c r="F179" s="4" t="s">
        <v>30</v>
      </c>
      <c r="G179" t="s">
        <v>29</v>
      </c>
      <c r="H179" s="4">
        <v>302</v>
      </c>
      <c r="I179" s="4">
        <v>6</v>
      </c>
      <c r="J179" s="38">
        <v>45551</v>
      </c>
      <c r="K179" s="12">
        <v>55</v>
      </c>
      <c r="L179" s="12">
        <v>37</v>
      </c>
      <c r="M179" s="60">
        <f t="shared" si="5"/>
        <v>67.272727272727266</v>
      </c>
    </row>
    <row r="180" spans="1:13" x14ac:dyDescent="0.25">
      <c r="A180" s="4">
        <v>3</v>
      </c>
      <c r="B180" s="4">
        <v>3</v>
      </c>
      <c r="C180" s="4">
        <v>2</v>
      </c>
      <c r="D180" s="4">
        <v>11</v>
      </c>
      <c r="E180" s="4">
        <v>19</v>
      </c>
      <c r="F180" s="4" t="s">
        <v>25</v>
      </c>
      <c r="G180" t="s">
        <v>26</v>
      </c>
      <c r="H180" s="4">
        <v>303</v>
      </c>
      <c r="I180" s="4">
        <v>6</v>
      </c>
      <c r="J180" s="38">
        <v>45551</v>
      </c>
      <c r="K180" s="12">
        <v>59</v>
      </c>
      <c r="L180" s="12">
        <v>1</v>
      </c>
      <c r="M180" s="60">
        <f t="shared" si="5"/>
        <v>1.6949152542372881</v>
      </c>
    </row>
    <row r="181" spans="1:13" x14ac:dyDescent="0.25">
      <c r="A181" s="4">
        <v>3</v>
      </c>
      <c r="B181" s="4">
        <v>4</v>
      </c>
      <c r="C181" s="4">
        <v>2</v>
      </c>
      <c r="D181" s="4">
        <v>14</v>
      </c>
      <c r="E181" s="4">
        <v>20</v>
      </c>
      <c r="F181" s="4" t="s">
        <v>30</v>
      </c>
      <c r="G181" t="s">
        <v>31</v>
      </c>
      <c r="H181" s="4">
        <v>304</v>
      </c>
      <c r="I181" s="4">
        <v>6</v>
      </c>
      <c r="J181" s="38">
        <v>45551</v>
      </c>
      <c r="K181" s="12">
        <v>46</v>
      </c>
    </row>
    <row r="182" spans="1:13" x14ac:dyDescent="0.25">
      <c r="A182" s="4">
        <v>3</v>
      </c>
      <c r="B182" s="4">
        <v>5</v>
      </c>
      <c r="C182" s="4">
        <v>3</v>
      </c>
      <c r="D182" s="4">
        <v>19</v>
      </c>
      <c r="E182" s="4">
        <v>21</v>
      </c>
      <c r="F182" s="4" t="s">
        <v>25</v>
      </c>
      <c r="G182" t="s">
        <v>29</v>
      </c>
      <c r="H182" s="4">
        <v>305</v>
      </c>
      <c r="I182" s="4">
        <v>6</v>
      </c>
      <c r="J182" s="38">
        <v>45551</v>
      </c>
      <c r="K182" s="12">
        <v>61</v>
      </c>
    </row>
    <row r="183" spans="1:13" x14ac:dyDescent="0.25">
      <c r="A183" s="4">
        <v>3</v>
      </c>
      <c r="B183" s="4">
        <v>6</v>
      </c>
      <c r="C183" s="4">
        <v>3</v>
      </c>
      <c r="D183" s="4">
        <v>22</v>
      </c>
      <c r="E183" s="4">
        <v>22</v>
      </c>
      <c r="F183" s="4" t="s">
        <v>30</v>
      </c>
      <c r="G183" t="s">
        <v>32</v>
      </c>
      <c r="H183" s="4">
        <v>306</v>
      </c>
      <c r="I183" s="4">
        <v>6</v>
      </c>
      <c r="J183" s="38">
        <v>45551</v>
      </c>
      <c r="K183" s="12">
        <v>73</v>
      </c>
      <c r="L183" s="12">
        <v>11</v>
      </c>
      <c r="M183" s="60">
        <f>34*100/70</f>
        <v>48.571428571428569</v>
      </c>
    </row>
    <row r="184" spans="1:13" x14ac:dyDescent="0.25">
      <c r="A184" s="4">
        <v>3</v>
      </c>
      <c r="B184" s="4">
        <v>7</v>
      </c>
      <c r="C184" s="4">
        <v>4</v>
      </c>
      <c r="D184" s="4">
        <v>27</v>
      </c>
      <c r="E184" s="4">
        <v>23</v>
      </c>
      <c r="F184" s="4" t="s">
        <v>25</v>
      </c>
      <c r="G184" t="s">
        <v>27</v>
      </c>
      <c r="H184" s="4">
        <v>307</v>
      </c>
      <c r="I184" s="4">
        <v>6</v>
      </c>
      <c r="J184" s="38">
        <v>45551</v>
      </c>
      <c r="K184" s="12">
        <v>44</v>
      </c>
    </row>
    <row r="185" spans="1:13" x14ac:dyDescent="0.25">
      <c r="A185" s="4">
        <v>3</v>
      </c>
      <c r="B185" s="4">
        <v>8</v>
      </c>
      <c r="C185" s="4">
        <v>4</v>
      </c>
      <c r="D185" s="4">
        <v>30</v>
      </c>
      <c r="E185" s="4">
        <v>24</v>
      </c>
      <c r="F185" s="4" t="s">
        <v>30</v>
      </c>
      <c r="G185" t="s">
        <v>28</v>
      </c>
      <c r="H185" s="4">
        <v>308</v>
      </c>
      <c r="I185" s="4">
        <v>6</v>
      </c>
      <c r="J185" s="38">
        <v>45551</v>
      </c>
      <c r="K185" s="12">
        <v>64</v>
      </c>
      <c r="L185" s="12">
        <v>40</v>
      </c>
      <c r="M185" s="60">
        <f t="shared" ref="M185:M188" si="6">(L185/K185)*100</f>
        <v>62.5</v>
      </c>
    </row>
    <row r="186" spans="1:13" x14ac:dyDescent="0.25">
      <c r="A186" s="4">
        <v>4</v>
      </c>
      <c r="B186" s="4">
        <v>8</v>
      </c>
      <c r="C186" s="4">
        <v>4</v>
      </c>
      <c r="D186" s="4">
        <v>29</v>
      </c>
      <c r="E186" s="4">
        <v>25</v>
      </c>
      <c r="F186" s="4" t="s">
        <v>30</v>
      </c>
      <c r="G186" t="s">
        <v>31</v>
      </c>
      <c r="H186" s="4">
        <v>408</v>
      </c>
      <c r="I186" s="4">
        <v>6</v>
      </c>
      <c r="J186" s="38">
        <v>45551</v>
      </c>
      <c r="K186" s="12">
        <v>47</v>
      </c>
    </row>
    <row r="187" spans="1:13" x14ac:dyDescent="0.25">
      <c r="A187" s="4">
        <v>4</v>
      </c>
      <c r="B187" s="4">
        <v>7</v>
      </c>
      <c r="C187" s="4">
        <v>4</v>
      </c>
      <c r="D187" s="4">
        <v>28</v>
      </c>
      <c r="E187" s="4">
        <v>26</v>
      </c>
      <c r="F187" s="4" t="s">
        <v>25</v>
      </c>
      <c r="G187" t="s">
        <v>26</v>
      </c>
      <c r="H187" s="4">
        <v>407</v>
      </c>
      <c r="I187" s="4">
        <v>6</v>
      </c>
      <c r="J187" s="38">
        <v>45551</v>
      </c>
      <c r="K187" s="12">
        <v>57</v>
      </c>
      <c r="L187" s="12">
        <v>1</v>
      </c>
      <c r="M187" s="60">
        <f t="shared" si="6"/>
        <v>1.7543859649122806</v>
      </c>
    </row>
    <row r="188" spans="1:13" x14ac:dyDescent="0.25">
      <c r="A188" s="4">
        <v>4</v>
      </c>
      <c r="B188" s="4">
        <v>6</v>
      </c>
      <c r="C188" s="4">
        <v>3</v>
      </c>
      <c r="D188" s="4">
        <v>21</v>
      </c>
      <c r="E188" s="4">
        <v>27</v>
      </c>
      <c r="F188" s="4" t="s">
        <v>30</v>
      </c>
      <c r="G188" t="s">
        <v>28</v>
      </c>
      <c r="H188" s="4">
        <v>406</v>
      </c>
      <c r="I188" s="4">
        <v>6</v>
      </c>
      <c r="J188" s="38">
        <v>45551</v>
      </c>
      <c r="K188" s="12">
        <v>54</v>
      </c>
      <c r="L188" s="12">
        <v>46</v>
      </c>
      <c r="M188" s="60">
        <f t="shared" si="6"/>
        <v>85.18518518518519</v>
      </c>
    </row>
    <row r="189" spans="1:13" x14ac:dyDescent="0.25">
      <c r="A189" s="4">
        <v>4</v>
      </c>
      <c r="B189" s="4">
        <v>5</v>
      </c>
      <c r="C189" s="4">
        <v>3</v>
      </c>
      <c r="D189" s="4">
        <v>20</v>
      </c>
      <c r="E189" s="4">
        <v>28</v>
      </c>
      <c r="F189" s="4" t="s">
        <v>25</v>
      </c>
      <c r="G189" t="s">
        <v>27</v>
      </c>
      <c r="H189" s="4">
        <v>405</v>
      </c>
      <c r="I189" s="4">
        <v>6</v>
      </c>
      <c r="J189" s="38">
        <v>45551</v>
      </c>
      <c r="K189" s="12">
        <v>64</v>
      </c>
    </row>
    <row r="190" spans="1:13" x14ac:dyDescent="0.25">
      <c r="A190" s="4">
        <v>4</v>
      </c>
      <c r="B190" s="4">
        <v>4</v>
      </c>
      <c r="C190" s="4">
        <v>2</v>
      </c>
      <c r="D190" s="4">
        <v>13</v>
      </c>
      <c r="E190" s="4">
        <v>29</v>
      </c>
      <c r="F190" s="4" t="s">
        <v>30</v>
      </c>
      <c r="G190" t="s">
        <v>29</v>
      </c>
      <c r="H190" s="4">
        <v>404</v>
      </c>
      <c r="I190" s="4">
        <v>6</v>
      </c>
      <c r="J190" s="38">
        <v>45551</v>
      </c>
      <c r="K190" s="12">
        <v>64</v>
      </c>
      <c r="L190" s="12">
        <v>17</v>
      </c>
      <c r="M190" s="60">
        <f>56*100/96</f>
        <v>58.333333333333336</v>
      </c>
    </row>
    <row r="191" spans="1:13" x14ac:dyDescent="0.25">
      <c r="A191" s="4">
        <v>4</v>
      </c>
      <c r="B191" s="4">
        <v>3</v>
      </c>
      <c r="C191" s="4">
        <v>2</v>
      </c>
      <c r="D191" s="4">
        <v>12</v>
      </c>
      <c r="E191" s="4">
        <v>30</v>
      </c>
      <c r="F191" s="4" t="s">
        <v>25</v>
      </c>
      <c r="G191" t="s">
        <v>28</v>
      </c>
      <c r="H191" s="4">
        <v>403</v>
      </c>
      <c r="I191" s="4">
        <v>6</v>
      </c>
      <c r="J191" s="38">
        <v>45551</v>
      </c>
      <c r="K191" s="12">
        <v>61</v>
      </c>
    </row>
    <row r="192" spans="1:13" x14ac:dyDescent="0.25">
      <c r="A192" s="4">
        <v>4</v>
      </c>
      <c r="B192" s="4">
        <v>2</v>
      </c>
      <c r="C192" s="4">
        <v>1</v>
      </c>
      <c r="D192" s="4">
        <v>5</v>
      </c>
      <c r="E192" s="4">
        <v>31</v>
      </c>
      <c r="F192" s="4" t="s">
        <v>30</v>
      </c>
      <c r="G192" t="s">
        <v>32</v>
      </c>
      <c r="H192" s="4">
        <v>402</v>
      </c>
      <c r="I192" s="4">
        <v>6</v>
      </c>
      <c r="J192" s="38">
        <v>45551</v>
      </c>
      <c r="K192" s="12">
        <v>66</v>
      </c>
      <c r="L192" s="12">
        <v>24</v>
      </c>
      <c r="M192" s="60">
        <f t="shared" ref="M192" si="7">(L192/K192)*100</f>
        <v>36.363636363636367</v>
      </c>
    </row>
    <row r="193" spans="1:13" x14ac:dyDescent="0.25">
      <c r="A193" s="4">
        <v>4</v>
      </c>
      <c r="B193" s="4">
        <v>1</v>
      </c>
      <c r="C193" s="4">
        <v>1</v>
      </c>
      <c r="D193" s="4">
        <v>4</v>
      </c>
      <c r="E193" s="4">
        <v>32</v>
      </c>
      <c r="F193" s="4" t="s">
        <v>25</v>
      </c>
      <c r="G193" t="s">
        <v>29</v>
      </c>
      <c r="H193" s="4">
        <v>401</v>
      </c>
      <c r="I193" s="4">
        <v>6</v>
      </c>
      <c r="J193" s="38">
        <v>45551</v>
      </c>
      <c r="K193" s="12">
        <v>51</v>
      </c>
    </row>
    <row r="194" spans="1:13" x14ac:dyDescent="0.25">
      <c r="A194" s="4">
        <v>1</v>
      </c>
      <c r="B194" s="4">
        <v>1</v>
      </c>
      <c r="C194" s="4">
        <v>1</v>
      </c>
      <c r="D194" s="4">
        <v>1</v>
      </c>
      <c r="E194" s="4">
        <v>1</v>
      </c>
      <c r="F194" s="4" t="s">
        <v>25</v>
      </c>
      <c r="G194" t="s">
        <v>26</v>
      </c>
      <c r="H194" s="4">
        <v>101</v>
      </c>
      <c r="I194" s="4">
        <v>7</v>
      </c>
      <c r="J194" s="38">
        <v>45553</v>
      </c>
      <c r="K194" s="12">
        <v>50</v>
      </c>
      <c r="L194" s="12">
        <v>0</v>
      </c>
      <c r="M194" s="60">
        <f t="shared" ref="M194:M219" si="8">(L194/K194)*100</f>
        <v>0</v>
      </c>
    </row>
    <row r="195" spans="1:13" x14ac:dyDescent="0.25">
      <c r="A195" s="4">
        <v>1</v>
      </c>
      <c r="B195" s="4">
        <v>2</v>
      </c>
      <c r="C195" s="4">
        <v>1</v>
      </c>
      <c r="D195" s="4">
        <v>8</v>
      </c>
      <c r="E195" s="4">
        <v>2</v>
      </c>
      <c r="F195" s="4" t="s">
        <v>30</v>
      </c>
      <c r="G195" t="s">
        <v>31</v>
      </c>
      <c r="H195" s="4">
        <v>102</v>
      </c>
      <c r="I195" s="4">
        <v>7</v>
      </c>
      <c r="J195" s="38">
        <v>45553</v>
      </c>
    </row>
    <row r="196" spans="1:13" x14ac:dyDescent="0.25">
      <c r="A196" s="4">
        <v>1</v>
      </c>
      <c r="B196" s="4">
        <v>3</v>
      </c>
      <c r="C196" s="4">
        <v>2</v>
      </c>
      <c r="D196" s="4">
        <v>9</v>
      </c>
      <c r="E196" s="4">
        <v>3</v>
      </c>
      <c r="F196" s="4" t="s">
        <v>25</v>
      </c>
      <c r="G196" t="s">
        <v>27</v>
      </c>
      <c r="H196" s="4">
        <v>103</v>
      </c>
      <c r="I196" s="4">
        <v>7</v>
      </c>
      <c r="J196" s="38">
        <v>45553</v>
      </c>
    </row>
    <row r="197" spans="1:13" x14ac:dyDescent="0.25">
      <c r="A197" s="4">
        <v>1</v>
      </c>
      <c r="B197" s="4">
        <v>4</v>
      </c>
      <c r="C197" s="4">
        <v>2</v>
      </c>
      <c r="D197" s="4">
        <v>16</v>
      </c>
      <c r="E197" s="4">
        <v>4</v>
      </c>
      <c r="F197" s="4" t="s">
        <v>30</v>
      </c>
      <c r="G197" t="s">
        <v>28</v>
      </c>
      <c r="H197" s="4">
        <v>104</v>
      </c>
      <c r="I197" s="4">
        <v>7</v>
      </c>
      <c r="J197" s="38">
        <v>45553</v>
      </c>
    </row>
    <row r="198" spans="1:13" x14ac:dyDescent="0.25">
      <c r="A198" s="4">
        <v>1</v>
      </c>
      <c r="B198" s="4">
        <v>5</v>
      </c>
      <c r="C198" s="4">
        <v>3</v>
      </c>
      <c r="D198" s="4">
        <v>17</v>
      </c>
      <c r="E198" s="4">
        <v>5</v>
      </c>
      <c r="F198" s="4" t="s">
        <v>25</v>
      </c>
      <c r="G198" t="s">
        <v>28</v>
      </c>
      <c r="H198" s="4">
        <v>105</v>
      </c>
      <c r="I198" s="4">
        <v>7</v>
      </c>
      <c r="J198" s="38">
        <v>45553</v>
      </c>
    </row>
    <row r="199" spans="1:13" x14ac:dyDescent="0.25">
      <c r="A199" s="4">
        <v>1</v>
      </c>
      <c r="B199" s="4">
        <v>6</v>
      </c>
      <c r="C199" s="4">
        <v>3</v>
      </c>
      <c r="D199" s="4">
        <v>24</v>
      </c>
      <c r="E199" s="4">
        <v>6</v>
      </c>
      <c r="F199" s="4" t="s">
        <v>30</v>
      </c>
      <c r="G199" t="s">
        <v>29</v>
      </c>
      <c r="H199" s="4">
        <v>106</v>
      </c>
      <c r="I199" s="4">
        <v>7</v>
      </c>
      <c r="J199" s="38">
        <v>45553</v>
      </c>
    </row>
    <row r="200" spans="1:13" x14ac:dyDescent="0.25">
      <c r="A200" s="4">
        <v>1</v>
      </c>
      <c r="B200" s="4">
        <v>7</v>
      </c>
      <c r="C200" s="4">
        <v>4</v>
      </c>
      <c r="D200" s="4">
        <v>25</v>
      </c>
      <c r="E200" s="4">
        <v>7</v>
      </c>
      <c r="F200" s="4" t="s">
        <v>25</v>
      </c>
      <c r="G200" t="s">
        <v>29</v>
      </c>
      <c r="H200" s="4">
        <v>107</v>
      </c>
      <c r="I200" s="4">
        <v>7</v>
      </c>
      <c r="J200" s="38">
        <v>45553</v>
      </c>
    </row>
    <row r="201" spans="1:13" x14ac:dyDescent="0.25">
      <c r="A201" s="4">
        <v>1</v>
      </c>
      <c r="B201" s="4">
        <v>8</v>
      </c>
      <c r="C201" s="4">
        <v>4</v>
      </c>
      <c r="D201" s="4">
        <v>32</v>
      </c>
      <c r="E201" s="4">
        <v>8</v>
      </c>
      <c r="F201" s="4" t="s">
        <v>30</v>
      </c>
      <c r="G201" t="s">
        <v>32</v>
      </c>
      <c r="H201" s="4">
        <v>108</v>
      </c>
      <c r="I201" s="4">
        <v>7</v>
      </c>
      <c r="J201" s="38">
        <v>45553</v>
      </c>
    </row>
    <row r="202" spans="1:13" x14ac:dyDescent="0.25">
      <c r="A202" s="4">
        <v>2</v>
      </c>
      <c r="B202" s="4">
        <v>8</v>
      </c>
      <c r="C202" s="4">
        <v>4</v>
      </c>
      <c r="D202" s="4">
        <v>31</v>
      </c>
      <c r="E202" s="4">
        <v>9</v>
      </c>
      <c r="F202" s="4" t="s">
        <v>30</v>
      </c>
      <c r="G202" t="s">
        <v>29</v>
      </c>
      <c r="H202" s="4">
        <v>208</v>
      </c>
      <c r="I202" s="4">
        <v>7</v>
      </c>
      <c r="J202" s="38">
        <v>45553</v>
      </c>
    </row>
    <row r="203" spans="1:13" x14ac:dyDescent="0.25">
      <c r="A203" s="4">
        <v>2</v>
      </c>
      <c r="B203" s="4">
        <v>7</v>
      </c>
      <c r="C203" s="4">
        <v>4</v>
      </c>
      <c r="D203" s="4">
        <v>26</v>
      </c>
      <c r="E203" s="4">
        <v>10</v>
      </c>
      <c r="F203" s="4" t="s">
        <v>25</v>
      </c>
      <c r="G203" t="s">
        <v>28</v>
      </c>
      <c r="H203" s="4">
        <v>207</v>
      </c>
      <c r="I203" s="4">
        <v>7</v>
      </c>
      <c r="J203" s="38">
        <v>45553</v>
      </c>
    </row>
    <row r="204" spans="1:13" x14ac:dyDescent="0.25">
      <c r="A204" s="4">
        <v>2</v>
      </c>
      <c r="B204" s="4">
        <v>6</v>
      </c>
      <c r="C204" s="4">
        <v>3</v>
      </c>
      <c r="D204" s="4">
        <v>23</v>
      </c>
      <c r="E204" s="4">
        <v>11</v>
      </c>
      <c r="F204" s="4" t="s">
        <v>30</v>
      </c>
      <c r="G204" t="s">
        <v>31</v>
      </c>
      <c r="H204" s="4">
        <v>206</v>
      </c>
      <c r="I204" s="4">
        <v>7</v>
      </c>
      <c r="J204" s="38">
        <v>45553</v>
      </c>
    </row>
    <row r="205" spans="1:13" x14ac:dyDescent="0.25">
      <c r="A205" s="4">
        <v>2</v>
      </c>
      <c r="B205" s="4">
        <v>5</v>
      </c>
      <c r="C205" s="4">
        <v>3</v>
      </c>
      <c r="D205" s="4">
        <v>18</v>
      </c>
      <c r="E205" s="4">
        <v>12</v>
      </c>
      <c r="F205" s="4" t="s">
        <v>25</v>
      </c>
      <c r="G205" t="s">
        <v>26</v>
      </c>
      <c r="H205" s="4">
        <v>205</v>
      </c>
      <c r="I205" s="4">
        <v>7</v>
      </c>
      <c r="J205" s="38">
        <v>45553</v>
      </c>
      <c r="K205" s="12">
        <v>61</v>
      </c>
      <c r="L205" s="12">
        <v>0</v>
      </c>
      <c r="M205" s="60">
        <f t="shared" si="8"/>
        <v>0</v>
      </c>
    </row>
    <row r="206" spans="1:13" x14ac:dyDescent="0.25">
      <c r="A206" s="4">
        <v>2</v>
      </c>
      <c r="B206" s="4">
        <v>4</v>
      </c>
      <c r="C206" s="4">
        <v>2</v>
      </c>
      <c r="D206" s="4">
        <v>15</v>
      </c>
      <c r="E206" s="4">
        <v>13</v>
      </c>
      <c r="F206" s="4" t="s">
        <v>30</v>
      </c>
      <c r="G206" t="s">
        <v>32</v>
      </c>
      <c r="H206" s="4">
        <v>204</v>
      </c>
      <c r="I206" s="4">
        <v>7</v>
      </c>
      <c r="J206" s="38">
        <v>45553</v>
      </c>
    </row>
    <row r="207" spans="1:13" x14ac:dyDescent="0.25">
      <c r="A207" s="4">
        <v>2</v>
      </c>
      <c r="B207" s="4">
        <v>3</v>
      </c>
      <c r="C207" s="4">
        <v>2</v>
      </c>
      <c r="D207" s="4">
        <v>10</v>
      </c>
      <c r="E207" s="4">
        <v>14</v>
      </c>
      <c r="F207" s="4" t="s">
        <v>25</v>
      </c>
      <c r="G207" t="s">
        <v>29</v>
      </c>
      <c r="H207" s="4">
        <v>203</v>
      </c>
      <c r="I207" s="4">
        <v>7</v>
      </c>
      <c r="J207" s="38">
        <v>45553</v>
      </c>
    </row>
    <row r="208" spans="1:13" x14ac:dyDescent="0.25">
      <c r="A208" s="4">
        <v>2</v>
      </c>
      <c r="B208" s="4">
        <v>2</v>
      </c>
      <c r="C208" s="4">
        <v>1</v>
      </c>
      <c r="D208" s="4">
        <v>7</v>
      </c>
      <c r="E208" s="4">
        <v>15</v>
      </c>
      <c r="F208" s="4" t="s">
        <v>30</v>
      </c>
      <c r="G208" t="s">
        <v>28</v>
      </c>
      <c r="H208" s="4">
        <v>202</v>
      </c>
      <c r="I208" s="4">
        <v>7</v>
      </c>
      <c r="J208" s="38">
        <v>45553</v>
      </c>
    </row>
    <row r="209" spans="1:13" x14ac:dyDescent="0.25">
      <c r="A209" s="4">
        <v>2</v>
      </c>
      <c r="B209" s="4">
        <v>1</v>
      </c>
      <c r="C209" s="4">
        <v>1</v>
      </c>
      <c r="D209" s="4">
        <v>2</v>
      </c>
      <c r="E209" s="4">
        <v>16</v>
      </c>
      <c r="F209" s="4" t="s">
        <v>25</v>
      </c>
      <c r="G209" t="s">
        <v>27</v>
      </c>
      <c r="H209" s="4">
        <v>201</v>
      </c>
      <c r="I209" s="4">
        <v>7</v>
      </c>
      <c r="J209" s="38">
        <v>45553</v>
      </c>
    </row>
    <row r="210" spans="1:13" x14ac:dyDescent="0.25">
      <c r="A210" s="4">
        <v>3</v>
      </c>
      <c r="B210" s="4">
        <v>1</v>
      </c>
      <c r="C210" s="4">
        <v>1</v>
      </c>
      <c r="D210" s="4">
        <v>3</v>
      </c>
      <c r="E210" s="4">
        <v>17</v>
      </c>
      <c r="F210" s="4" t="s">
        <v>25</v>
      </c>
      <c r="G210" t="s">
        <v>28</v>
      </c>
      <c r="H210" s="4">
        <v>301</v>
      </c>
      <c r="I210" s="4">
        <v>7</v>
      </c>
      <c r="J210" s="38">
        <v>45553</v>
      </c>
    </row>
    <row r="211" spans="1:13" x14ac:dyDescent="0.25">
      <c r="A211" s="4">
        <v>3</v>
      </c>
      <c r="B211" s="4">
        <v>2</v>
      </c>
      <c r="C211" s="4">
        <v>1</v>
      </c>
      <c r="D211" s="4">
        <v>6</v>
      </c>
      <c r="E211" s="4">
        <v>18</v>
      </c>
      <c r="F211" s="4" t="s">
        <v>30</v>
      </c>
      <c r="G211" t="s">
        <v>29</v>
      </c>
      <c r="H211" s="4">
        <v>302</v>
      </c>
      <c r="I211" s="4">
        <v>7</v>
      </c>
      <c r="J211" s="38">
        <v>45553</v>
      </c>
    </row>
    <row r="212" spans="1:13" x14ac:dyDescent="0.25">
      <c r="A212" s="4">
        <v>3</v>
      </c>
      <c r="B212" s="4">
        <v>3</v>
      </c>
      <c r="C212" s="4">
        <v>2</v>
      </c>
      <c r="D212" s="4">
        <v>11</v>
      </c>
      <c r="E212" s="4">
        <v>19</v>
      </c>
      <c r="F212" s="4" t="s">
        <v>25</v>
      </c>
      <c r="G212" t="s">
        <v>26</v>
      </c>
      <c r="H212" s="4">
        <v>303</v>
      </c>
      <c r="I212" s="4">
        <v>7</v>
      </c>
      <c r="J212" s="38">
        <v>45553</v>
      </c>
      <c r="K212" s="12">
        <v>59</v>
      </c>
      <c r="L212" s="12">
        <v>4</v>
      </c>
      <c r="M212" s="60">
        <f t="shared" si="8"/>
        <v>6.7796610169491522</v>
      </c>
    </row>
    <row r="213" spans="1:13" x14ac:dyDescent="0.25">
      <c r="A213" s="4">
        <v>3</v>
      </c>
      <c r="B213" s="4">
        <v>4</v>
      </c>
      <c r="C213" s="4">
        <v>2</v>
      </c>
      <c r="D213" s="4">
        <v>14</v>
      </c>
      <c r="E213" s="4">
        <v>20</v>
      </c>
      <c r="F213" s="4" t="s">
        <v>30</v>
      </c>
      <c r="G213" t="s">
        <v>31</v>
      </c>
      <c r="H213" s="4">
        <v>304</v>
      </c>
      <c r="I213" s="4">
        <v>7</v>
      </c>
      <c r="J213" s="38">
        <v>45553</v>
      </c>
    </row>
    <row r="214" spans="1:13" x14ac:dyDescent="0.25">
      <c r="A214" s="4">
        <v>3</v>
      </c>
      <c r="B214" s="4">
        <v>5</v>
      </c>
      <c r="C214" s="4">
        <v>3</v>
      </c>
      <c r="D214" s="4">
        <v>19</v>
      </c>
      <c r="E214" s="4">
        <v>21</v>
      </c>
      <c r="F214" s="4" t="s">
        <v>25</v>
      </c>
      <c r="G214" t="s">
        <v>29</v>
      </c>
      <c r="H214" s="4">
        <v>305</v>
      </c>
      <c r="I214" s="4">
        <v>7</v>
      </c>
      <c r="J214" s="38">
        <v>45553</v>
      </c>
    </row>
    <row r="215" spans="1:13" x14ac:dyDescent="0.25">
      <c r="A215" s="4">
        <v>3</v>
      </c>
      <c r="B215" s="4">
        <v>6</v>
      </c>
      <c r="C215" s="4">
        <v>3</v>
      </c>
      <c r="D215" s="4">
        <v>22</v>
      </c>
      <c r="E215" s="4">
        <v>22</v>
      </c>
      <c r="F215" s="4" t="s">
        <v>30</v>
      </c>
      <c r="G215" t="s">
        <v>32</v>
      </c>
      <c r="H215" s="4">
        <v>306</v>
      </c>
      <c r="I215" s="4">
        <v>7</v>
      </c>
      <c r="J215" s="38">
        <v>45553</v>
      </c>
    </row>
    <row r="216" spans="1:13" x14ac:dyDescent="0.25">
      <c r="A216" s="4">
        <v>3</v>
      </c>
      <c r="B216" s="4">
        <v>7</v>
      </c>
      <c r="C216" s="4">
        <v>4</v>
      </c>
      <c r="D216" s="4">
        <v>27</v>
      </c>
      <c r="E216" s="4">
        <v>23</v>
      </c>
      <c r="F216" s="4" t="s">
        <v>25</v>
      </c>
      <c r="G216" t="s">
        <v>27</v>
      </c>
      <c r="H216" s="4">
        <v>307</v>
      </c>
      <c r="I216" s="4">
        <v>7</v>
      </c>
      <c r="J216" s="38">
        <v>45553</v>
      </c>
    </row>
    <row r="217" spans="1:13" x14ac:dyDescent="0.25">
      <c r="A217" s="4">
        <v>3</v>
      </c>
      <c r="B217" s="4">
        <v>8</v>
      </c>
      <c r="C217" s="4">
        <v>4</v>
      </c>
      <c r="D217" s="4">
        <v>30</v>
      </c>
      <c r="E217" s="4">
        <v>24</v>
      </c>
      <c r="F217" s="4" t="s">
        <v>30</v>
      </c>
      <c r="G217" t="s">
        <v>28</v>
      </c>
      <c r="H217" s="4">
        <v>308</v>
      </c>
      <c r="I217" s="4">
        <v>7</v>
      </c>
      <c r="J217" s="38">
        <v>45553</v>
      </c>
    </row>
    <row r="218" spans="1:13" x14ac:dyDescent="0.25">
      <c r="A218" s="4">
        <v>4</v>
      </c>
      <c r="B218" s="4">
        <v>8</v>
      </c>
      <c r="C218" s="4">
        <v>4</v>
      </c>
      <c r="D218" s="4">
        <v>29</v>
      </c>
      <c r="E218" s="4">
        <v>25</v>
      </c>
      <c r="F218" s="4" t="s">
        <v>30</v>
      </c>
      <c r="G218" t="s">
        <v>31</v>
      </c>
      <c r="H218" s="4">
        <v>408</v>
      </c>
      <c r="I218" s="4">
        <v>7</v>
      </c>
      <c r="J218" s="38">
        <v>45553</v>
      </c>
    </row>
    <row r="219" spans="1:13" x14ac:dyDescent="0.25">
      <c r="A219" s="4">
        <v>4</v>
      </c>
      <c r="B219" s="4">
        <v>7</v>
      </c>
      <c r="C219" s="4">
        <v>4</v>
      </c>
      <c r="D219" s="4">
        <v>28</v>
      </c>
      <c r="E219" s="4">
        <v>26</v>
      </c>
      <c r="F219" s="4" t="s">
        <v>25</v>
      </c>
      <c r="G219" t="s">
        <v>26</v>
      </c>
      <c r="H219" s="4">
        <v>407</v>
      </c>
      <c r="I219" s="4">
        <v>7</v>
      </c>
      <c r="J219" s="38">
        <v>45553</v>
      </c>
      <c r="K219" s="12">
        <v>57</v>
      </c>
      <c r="L219" s="12">
        <v>3</v>
      </c>
      <c r="M219" s="60">
        <f t="shared" si="8"/>
        <v>5.2631578947368416</v>
      </c>
    </row>
    <row r="220" spans="1:13" x14ac:dyDescent="0.25">
      <c r="A220" s="4">
        <v>4</v>
      </c>
      <c r="B220" s="4">
        <v>6</v>
      </c>
      <c r="C220" s="4">
        <v>3</v>
      </c>
      <c r="D220" s="4">
        <v>21</v>
      </c>
      <c r="E220" s="4">
        <v>27</v>
      </c>
      <c r="F220" s="4" t="s">
        <v>30</v>
      </c>
      <c r="G220" t="s">
        <v>28</v>
      </c>
      <c r="H220" s="4">
        <v>406</v>
      </c>
      <c r="I220" s="4">
        <v>7</v>
      </c>
      <c r="J220" s="38">
        <v>45553</v>
      </c>
    </row>
    <row r="221" spans="1:13" x14ac:dyDescent="0.25">
      <c r="A221" s="4">
        <v>4</v>
      </c>
      <c r="B221" s="4">
        <v>5</v>
      </c>
      <c r="C221" s="4">
        <v>3</v>
      </c>
      <c r="D221" s="4">
        <v>20</v>
      </c>
      <c r="E221" s="4">
        <v>28</v>
      </c>
      <c r="F221" s="4" t="s">
        <v>25</v>
      </c>
      <c r="G221" t="s">
        <v>27</v>
      </c>
      <c r="H221" s="4">
        <v>405</v>
      </c>
      <c r="I221" s="4">
        <v>7</v>
      </c>
      <c r="J221" s="38">
        <v>45553</v>
      </c>
    </row>
    <row r="222" spans="1:13" x14ac:dyDescent="0.25">
      <c r="A222" s="4">
        <v>4</v>
      </c>
      <c r="B222" s="4">
        <v>4</v>
      </c>
      <c r="C222" s="4">
        <v>2</v>
      </c>
      <c r="D222" s="4">
        <v>13</v>
      </c>
      <c r="E222" s="4">
        <v>29</v>
      </c>
      <c r="F222" s="4" t="s">
        <v>30</v>
      </c>
      <c r="G222" t="s">
        <v>29</v>
      </c>
      <c r="H222" s="4">
        <v>404</v>
      </c>
      <c r="I222" s="4">
        <v>7</v>
      </c>
      <c r="J222" s="38">
        <v>45553</v>
      </c>
    </row>
    <row r="223" spans="1:13" x14ac:dyDescent="0.25">
      <c r="A223" s="4">
        <v>4</v>
      </c>
      <c r="B223" s="4">
        <v>3</v>
      </c>
      <c r="C223" s="4">
        <v>2</v>
      </c>
      <c r="D223" s="4">
        <v>12</v>
      </c>
      <c r="E223" s="4">
        <v>30</v>
      </c>
      <c r="F223" s="4" t="s">
        <v>25</v>
      </c>
      <c r="G223" t="s">
        <v>28</v>
      </c>
      <c r="H223" s="4">
        <v>403</v>
      </c>
      <c r="I223" s="4">
        <v>7</v>
      </c>
      <c r="J223" s="38">
        <v>45553</v>
      </c>
    </row>
    <row r="224" spans="1:13" x14ac:dyDescent="0.25">
      <c r="A224" s="4">
        <v>4</v>
      </c>
      <c r="B224" s="4">
        <v>2</v>
      </c>
      <c r="C224" s="4">
        <v>1</v>
      </c>
      <c r="D224" s="4">
        <v>5</v>
      </c>
      <c r="E224" s="4">
        <v>31</v>
      </c>
      <c r="F224" s="4" t="s">
        <v>30</v>
      </c>
      <c r="G224" t="s">
        <v>32</v>
      </c>
      <c r="H224" s="4">
        <v>402</v>
      </c>
      <c r="I224" s="4">
        <v>7</v>
      </c>
      <c r="J224" s="38">
        <v>45553</v>
      </c>
    </row>
    <row r="225" spans="1:13" x14ac:dyDescent="0.25">
      <c r="A225" s="4">
        <v>4</v>
      </c>
      <c r="B225" s="4">
        <v>1</v>
      </c>
      <c r="C225" s="4">
        <v>1</v>
      </c>
      <c r="D225" s="4">
        <v>4</v>
      </c>
      <c r="E225" s="4">
        <v>32</v>
      </c>
      <c r="F225" s="4" t="s">
        <v>25</v>
      </c>
      <c r="G225" t="s">
        <v>29</v>
      </c>
      <c r="H225" s="4">
        <v>401</v>
      </c>
      <c r="I225" s="4">
        <v>7</v>
      </c>
      <c r="J225" s="38">
        <v>45553</v>
      </c>
    </row>
    <row r="226" spans="1:13" x14ac:dyDescent="0.25">
      <c r="E226" s="4">
        <v>1</v>
      </c>
      <c r="F226" s="4" t="s">
        <v>25</v>
      </c>
      <c r="G226" t="s">
        <v>26</v>
      </c>
      <c r="H226" s="4">
        <v>101</v>
      </c>
      <c r="I226" s="4">
        <v>8</v>
      </c>
      <c r="J226" s="38">
        <v>45555</v>
      </c>
      <c r="K226" s="12">
        <v>50</v>
      </c>
      <c r="L226" s="12">
        <v>2</v>
      </c>
      <c r="M226" s="60">
        <f>(L226/K226)*100</f>
        <v>4</v>
      </c>
    </row>
    <row r="227" spans="1:13" x14ac:dyDescent="0.25">
      <c r="E227" s="4">
        <v>2</v>
      </c>
      <c r="F227" s="4" t="s">
        <v>30</v>
      </c>
      <c r="G227" t="s">
        <v>31</v>
      </c>
      <c r="H227" s="4">
        <v>102</v>
      </c>
      <c r="I227" s="4">
        <v>8</v>
      </c>
      <c r="J227" s="38">
        <v>45555</v>
      </c>
    </row>
    <row r="228" spans="1:13" x14ac:dyDescent="0.25">
      <c r="E228" s="4">
        <v>3</v>
      </c>
      <c r="F228" s="4" t="s">
        <v>25</v>
      </c>
      <c r="G228" t="s">
        <v>27</v>
      </c>
      <c r="H228" s="4">
        <v>103</v>
      </c>
      <c r="I228" s="4">
        <v>8</v>
      </c>
      <c r="J228" s="38">
        <v>45555</v>
      </c>
    </row>
    <row r="229" spans="1:13" x14ac:dyDescent="0.25">
      <c r="E229" s="4">
        <v>4</v>
      </c>
      <c r="F229" s="4" t="s">
        <v>30</v>
      </c>
      <c r="G229" t="s">
        <v>28</v>
      </c>
      <c r="H229" s="4">
        <v>104</v>
      </c>
      <c r="I229" s="4">
        <v>8</v>
      </c>
      <c r="J229" s="38">
        <v>45555</v>
      </c>
    </row>
    <row r="230" spans="1:13" x14ac:dyDescent="0.25">
      <c r="E230" s="4">
        <v>5</v>
      </c>
      <c r="F230" s="4" t="s">
        <v>25</v>
      </c>
      <c r="G230" t="s">
        <v>28</v>
      </c>
      <c r="H230" s="4">
        <v>105</v>
      </c>
      <c r="I230" s="4">
        <v>8</v>
      </c>
      <c r="J230" s="38">
        <v>45555</v>
      </c>
    </row>
    <row r="231" spans="1:13" x14ac:dyDescent="0.25">
      <c r="E231" s="4">
        <v>6</v>
      </c>
      <c r="F231" s="4" t="s">
        <v>30</v>
      </c>
      <c r="G231" t="s">
        <v>29</v>
      </c>
      <c r="H231" s="4">
        <v>106</v>
      </c>
      <c r="I231" s="4">
        <v>8</v>
      </c>
      <c r="J231" s="38">
        <v>45555</v>
      </c>
    </row>
    <row r="232" spans="1:13" x14ac:dyDescent="0.25">
      <c r="E232" s="4">
        <v>7</v>
      </c>
      <c r="F232" s="4" t="s">
        <v>25</v>
      </c>
      <c r="G232" t="s">
        <v>29</v>
      </c>
      <c r="H232" s="4">
        <v>107</v>
      </c>
      <c r="I232" s="4">
        <v>8</v>
      </c>
      <c r="J232" s="38">
        <v>45555</v>
      </c>
    </row>
    <row r="233" spans="1:13" x14ac:dyDescent="0.25">
      <c r="E233" s="4">
        <v>8</v>
      </c>
      <c r="F233" s="4" t="s">
        <v>30</v>
      </c>
      <c r="G233" t="s">
        <v>32</v>
      </c>
      <c r="H233" s="4">
        <v>108</v>
      </c>
      <c r="I233" s="4">
        <v>8</v>
      </c>
      <c r="J233" s="38">
        <v>45555</v>
      </c>
    </row>
    <row r="234" spans="1:13" x14ac:dyDescent="0.25">
      <c r="E234" s="4">
        <v>9</v>
      </c>
      <c r="F234" s="4" t="s">
        <v>30</v>
      </c>
      <c r="G234" t="s">
        <v>29</v>
      </c>
      <c r="H234" s="4">
        <v>208</v>
      </c>
      <c r="I234" s="4">
        <v>8</v>
      </c>
      <c r="J234" s="38">
        <v>45555</v>
      </c>
    </row>
    <row r="235" spans="1:13" x14ac:dyDescent="0.25">
      <c r="E235" s="4">
        <v>10</v>
      </c>
      <c r="F235" s="4" t="s">
        <v>25</v>
      </c>
      <c r="G235" t="s">
        <v>28</v>
      </c>
      <c r="H235" s="4">
        <v>207</v>
      </c>
      <c r="I235" s="4">
        <v>8</v>
      </c>
      <c r="J235" s="38">
        <v>45555</v>
      </c>
    </row>
    <row r="236" spans="1:13" x14ac:dyDescent="0.25">
      <c r="E236" s="4">
        <v>11</v>
      </c>
      <c r="F236" s="4" t="s">
        <v>30</v>
      </c>
      <c r="G236" t="s">
        <v>31</v>
      </c>
      <c r="H236" s="4">
        <v>206</v>
      </c>
      <c r="I236" s="4">
        <v>8</v>
      </c>
      <c r="J236" s="38">
        <v>45555</v>
      </c>
    </row>
    <row r="237" spans="1:13" x14ac:dyDescent="0.25">
      <c r="E237" s="4">
        <v>12</v>
      </c>
      <c r="F237" s="4" t="s">
        <v>25</v>
      </c>
      <c r="G237" t="s">
        <v>26</v>
      </c>
      <c r="H237" s="4">
        <v>205</v>
      </c>
      <c r="I237" s="4">
        <v>8</v>
      </c>
      <c r="J237" s="38">
        <v>45555</v>
      </c>
      <c r="K237" s="12">
        <v>61</v>
      </c>
      <c r="L237" s="12">
        <v>0</v>
      </c>
      <c r="M237" s="60">
        <f>(L237/K237)*100</f>
        <v>0</v>
      </c>
    </row>
    <row r="238" spans="1:13" x14ac:dyDescent="0.25">
      <c r="E238" s="4">
        <v>13</v>
      </c>
      <c r="F238" s="4" t="s">
        <v>30</v>
      </c>
      <c r="G238" t="s">
        <v>32</v>
      </c>
      <c r="H238" s="4">
        <v>204</v>
      </c>
      <c r="I238" s="4">
        <v>8</v>
      </c>
      <c r="J238" s="38">
        <v>45555</v>
      </c>
    </row>
    <row r="239" spans="1:13" x14ac:dyDescent="0.25">
      <c r="E239" s="4">
        <v>14</v>
      </c>
      <c r="F239" s="4" t="s">
        <v>25</v>
      </c>
      <c r="G239" t="s">
        <v>29</v>
      </c>
      <c r="H239" s="4">
        <v>203</v>
      </c>
      <c r="I239" s="4">
        <v>8</v>
      </c>
      <c r="J239" s="38">
        <v>45555</v>
      </c>
    </row>
    <row r="240" spans="1:13" x14ac:dyDescent="0.25">
      <c r="E240" s="4">
        <v>15</v>
      </c>
      <c r="F240" s="4" t="s">
        <v>30</v>
      </c>
      <c r="G240" t="s">
        <v>28</v>
      </c>
      <c r="H240" s="4">
        <v>202</v>
      </c>
      <c r="I240" s="4">
        <v>8</v>
      </c>
      <c r="J240" s="38">
        <v>45555</v>
      </c>
    </row>
    <row r="241" spans="5:13" x14ac:dyDescent="0.25">
      <c r="E241" s="4">
        <v>16</v>
      </c>
      <c r="F241" s="4" t="s">
        <v>25</v>
      </c>
      <c r="G241" t="s">
        <v>27</v>
      </c>
      <c r="H241" s="4">
        <v>201</v>
      </c>
      <c r="I241" s="4">
        <v>8</v>
      </c>
      <c r="J241" s="38">
        <v>45555</v>
      </c>
    </row>
    <row r="242" spans="5:13" x14ac:dyDescent="0.25">
      <c r="E242" s="4">
        <v>17</v>
      </c>
      <c r="F242" s="4" t="s">
        <v>25</v>
      </c>
      <c r="G242" t="s">
        <v>28</v>
      </c>
      <c r="H242" s="4">
        <v>301</v>
      </c>
      <c r="I242" s="4">
        <v>8</v>
      </c>
      <c r="J242" s="38">
        <v>45555</v>
      </c>
    </row>
    <row r="243" spans="5:13" x14ac:dyDescent="0.25">
      <c r="E243" s="4">
        <v>18</v>
      </c>
      <c r="F243" s="4" t="s">
        <v>30</v>
      </c>
      <c r="G243" t="s">
        <v>29</v>
      </c>
      <c r="H243" s="4">
        <v>302</v>
      </c>
      <c r="I243" s="4">
        <v>8</v>
      </c>
      <c r="J243" s="38">
        <v>45555</v>
      </c>
    </row>
    <row r="244" spans="5:13" x14ac:dyDescent="0.25">
      <c r="E244" s="4">
        <v>19</v>
      </c>
      <c r="F244" s="4" t="s">
        <v>25</v>
      </c>
      <c r="G244" t="s">
        <v>26</v>
      </c>
      <c r="H244" s="4">
        <v>303</v>
      </c>
      <c r="I244" s="4">
        <v>8</v>
      </c>
      <c r="J244" s="38">
        <v>45555</v>
      </c>
      <c r="K244" s="12">
        <v>59</v>
      </c>
      <c r="L244" s="12">
        <v>16</v>
      </c>
      <c r="M244" s="60">
        <f>(L244/K244)*100</f>
        <v>27.118644067796609</v>
      </c>
    </row>
    <row r="245" spans="5:13" x14ac:dyDescent="0.25">
      <c r="E245" s="4">
        <v>20</v>
      </c>
      <c r="F245" s="4" t="s">
        <v>30</v>
      </c>
      <c r="G245" t="s">
        <v>31</v>
      </c>
      <c r="H245" s="4">
        <v>304</v>
      </c>
      <c r="I245" s="4">
        <v>8</v>
      </c>
      <c r="J245" s="38">
        <v>45555</v>
      </c>
    </row>
    <row r="246" spans="5:13" x14ac:dyDescent="0.25">
      <c r="E246" s="4">
        <v>21</v>
      </c>
      <c r="F246" s="4" t="s">
        <v>25</v>
      </c>
      <c r="G246" t="s">
        <v>29</v>
      </c>
      <c r="H246" s="4">
        <v>305</v>
      </c>
      <c r="I246" s="4">
        <v>8</v>
      </c>
      <c r="J246" s="38">
        <v>45555</v>
      </c>
    </row>
    <row r="247" spans="5:13" x14ac:dyDescent="0.25">
      <c r="E247" s="4">
        <v>22</v>
      </c>
      <c r="F247" s="4" t="s">
        <v>30</v>
      </c>
      <c r="G247" t="s">
        <v>32</v>
      </c>
      <c r="H247" s="4">
        <v>306</v>
      </c>
      <c r="I247" s="4">
        <v>8</v>
      </c>
      <c r="J247" s="38">
        <v>45555</v>
      </c>
    </row>
    <row r="248" spans="5:13" x14ac:dyDescent="0.25">
      <c r="E248" s="4">
        <v>23</v>
      </c>
      <c r="F248" s="4" t="s">
        <v>25</v>
      </c>
      <c r="G248" t="s">
        <v>27</v>
      </c>
      <c r="H248" s="4">
        <v>307</v>
      </c>
      <c r="I248" s="4">
        <v>8</v>
      </c>
      <c r="J248" s="38">
        <v>45555</v>
      </c>
    </row>
    <row r="249" spans="5:13" x14ac:dyDescent="0.25">
      <c r="E249" s="4">
        <v>24</v>
      </c>
      <c r="F249" s="4" t="s">
        <v>30</v>
      </c>
      <c r="G249" t="s">
        <v>28</v>
      </c>
      <c r="H249" s="4">
        <v>308</v>
      </c>
      <c r="I249" s="4">
        <v>8</v>
      </c>
      <c r="J249" s="38">
        <v>45555</v>
      </c>
    </row>
    <row r="250" spans="5:13" x14ac:dyDescent="0.25">
      <c r="E250" s="4">
        <v>25</v>
      </c>
      <c r="F250" s="4" t="s">
        <v>30</v>
      </c>
      <c r="G250" t="s">
        <v>31</v>
      </c>
      <c r="H250" s="4">
        <v>408</v>
      </c>
      <c r="I250" s="4">
        <v>8</v>
      </c>
      <c r="J250" s="38">
        <v>45555</v>
      </c>
    </row>
    <row r="251" spans="5:13" x14ac:dyDescent="0.25">
      <c r="E251" s="4">
        <v>26</v>
      </c>
      <c r="F251" s="4" t="s">
        <v>25</v>
      </c>
      <c r="G251" t="s">
        <v>26</v>
      </c>
      <c r="H251" s="4">
        <v>407</v>
      </c>
      <c r="I251" s="4">
        <v>8</v>
      </c>
      <c r="J251" s="38">
        <v>45555</v>
      </c>
      <c r="K251" s="12">
        <v>57</v>
      </c>
      <c r="L251" s="12">
        <v>12</v>
      </c>
      <c r="M251" s="60">
        <f>(L251/K251)*100</f>
        <v>21.052631578947366</v>
      </c>
    </row>
    <row r="252" spans="5:13" x14ac:dyDescent="0.25">
      <c r="E252" s="4">
        <v>27</v>
      </c>
      <c r="F252" s="4" t="s">
        <v>30</v>
      </c>
      <c r="G252" t="s">
        <v>28</v>
      </c>
      <c r="H252" s="4">
        <v>406</v>
      </c>
      <c r="I252" s="4">
        <v>8</v>
      </c>
      <c r="J252" s="38">
        <v>45555</v>
      </c>
    </row>
    <row r="253" spans="5:13" x14ac:dyDescent="0.25">
      <c r="E253" s="4">
        <v>28</v>
      </c>
      <c r="F253" s="4" t="s">
        <v>25</v>
      </c>
      <c r="G253" t="s">
        <v>27</v>
      </c>
      <c r="H253" s="4">
        <v>405</v>
      </c>
      <c r="I253" s="4">
        <v>8</v>
      </c>
      <c r="J253" s="38">
        <v>45555</v>
      </c>
    </row>
    <row r="254" spans="5:13" x14ac:dyDescent="0.25">
      <c r="E254" s="4">
        <v>29</v>
      </c>
      <c r="F254" s="4" t="s">
        <v>30</v>
      </c>
      <c r="G254" t="s">
        <v>29</v>
      </c>
      <c r="H254" s="4">
        <v>404</v>
      </c>
      <c r="I254" s="4">
        <v>8</v>
      </c>
      <c r="J254" s="38">
        <v>45555</v>
      </c>
    </row>
    <row r="255" spans="5:13" x14ac:dyDescent="0.25">
      <c r="E255" s="4">
        <v>30</v>
      </c>
      <c r="F255" s="4" t="s">
        <v>25</v>
      </c>
      <c r="G255" t="s">
        <v>28</v>
      </c>
      <c r="H255" s="4">
        <v>403</v>
      </c>
      <c r="I255" s="4">
        <v>8</v>
      </c>
      <c r="J255" s="38">
        <v>45555</v>
      </c>
    </row>
    <row r="256" spans="5:13" x14ac:dyDescent="0.25">
      <c r="E256" s="4">
        <v>31</v>
      </c>
      <c r="F256" s="4" t="s">
        <v>30</v>
      </c>
      <c r="G256" t="s">
        <v>32</v>
      </c>
      <c r="H256" s="4">
        <v>402</v>
      </c>
      <c r="I256" s="4">
        <v>8</v>
      </c>
      <c r="J256" s="38">
        <v>45555</v>
      </c>
    </row>
    <row r="257" spans="2:13" x14ac:dyDescent="0.25">
      <c r="E257" s="4">
        <v>32</v>
      </c>
      <c r="F257" s="4" t="s">
        <v>25</v>
      </c>
      <c r="G257" t="s">
        <v>29</v>
      </c>
      <c r="H257" s="4">
        <v>401</v>
      </c>
      <c r="I257" s="4">
        <v>8</v>
      </c>
      <c r="J257" s="38">
        <v>45555</v>
      </c>
    </row>
    <row r="258" spans="2:13" x14ac:dyDescent="0.25">
      <c r="B258" s="4">
        <v>1</v>
      </c>
      <c r="C258" s="4">
        <v>1</v>
      </c>
      <c r="D258" s="4">
        <v>1</v>
      </c>
      <c r="E258" s="4">
        <v>1</v>
      </c>
      <c r="F258" s="4" t="s">
        <v>25</v>
      </c>
      <c r="G258" t="s">
        <v>26</v>
      </c>
      <c r="H258" s="4">
        <v>101</v>
      </c>
      <c r="I258" s="4">
        <v>9</v>
      </c>
      <c r="J258" s="38">
        <v>45558</v>
      </c>
      <c r="K258" s="12">
        <v>50</v>
      </c>
      <c r="L258" s="12">
        <v>21</v>
      </c>
      <c r="M258" s="60">
        <f t="shared" ref="M258:M276" si="9">(L258/K258)*100</f>
        <v>42</v>
      </c>
    </row>
    <row r="259" spans="2:13" x14ac:dyDescent="0.25">
      <c r="B259" s="4">
        <v>2</v>
      </c>
      <c r="C259" s="4">
        <v>1</v>
      </c>
      <c r="D259" s="4">
        <v>8</v>
      </c>
      <c r="E259" s="4">
        <v>2</v>
      </c>
      <c r="F259" s="4" t="s">
        <v>30</v>
      </c>
      <c r="G259" t="s">
        <v>31</v>
      </c>
      <c r="H259" s="4">
        <v>102</v>
      </c>
      <c r="I259" s="4">
        <v>9</v>
      </c>
      <c r="J259" s="38"/>
    </row>
    <row r="260" spans="2:13" x14ac:dyDescent="0.25">
      <c r="B260" s="4">
        <v>3</v>
      </c>
      <c r="C260" s="4">
        <v>2</v>
      </c>
      <c r="D260" s="4">
        <v>9</v>
      </c>
      <c r="E260" s="4">
        <v>3</v>
      </c>
      <c r="F260" s="4" t="s">
        <v>25</v>
      </c>
      <c r="G260" t="s">
        <v>27</v>
      </c>
      <c r="H260" s="4">
        <v>103</v>
      </c>
      <c r="I260" s="4">
        <v>9</v>
      </c>
      <c r="J260" s="38"/>
    </row>
    <row r="261" spans="2:13" x14ac:dyDescent="0.25">
      <c r="B261" s="4">
        <v>4</v>
      </c>
      <c r="C261" s="4">
        <v>2</v>
      </c>
      <c r="D261" s="4">
        <v>16</v>
      </c>
      <c r="E261" s="4">
        <v>4</v>
      </c>
      <c r="F261" s="4" t="s">
        <v>30</v>
      </c>
      <c r="G261" t="s">
        <v>28</v>
      </c>
      <c r="H261" s="4">
        <v>104</v>
      </c>
      <c r="I261" s="4">
        <v>9</v>
      </c>
      <c r="J261" s="38"/>
    </row>
    <row r="262" spans="2:13" x14ac:dyDescent="0.25">
      <c r="B262" s="4">
        <v>5</v>
      </c>
      <c r="C262" s="4">
        <v>3</v>
      </c>
      <c r="D262" s="4">
        <v>17</v>
      </c>
      <c r="E262" s="4">
        <v>5</v>
      </c>
      <c r="F262" s="4" t="s">
        <v>25</v>
      </c>
      <c r="G262" t="s">
        <v>28</v>
      </c>
      <c r="H262" s="4">
        <v>105</v>
      </c>
      <c r="I262" s="4">
        <v>9</v>
      </c>
      <c r="J262" s="38"/>
    </row>
    <row r="263" spans="2:13" x14ac:dyDescent="0.25">
      <c r="B263" s="4">
        <v>6</v>
      </c>
      <c r="C263" s="4">
        <v>3</v>
      </c>
      <c r="D263" s="4">
        <v>24</v>
      </c>
      <c r="E263" s="4">
        <v>6</v>
      </c>
      <c r="F263" s="4" t="s">
        <v>30</v>
      </c>
      <c r="G263" t="s">
        <v>29</v>
      </c>
      <c r="H263" s="4">
        <v>106</v>
      </c>
      <c r="I263" s="4">
        <v>9</v>
      </c>
      <c r="J263" s="38"/>
    </row>
    <row r="264" spans="2:13" x14ac:dyDescent="0.25">
      <c r="B264" s="4">
        <v>7</v>
      </c>
      <c r="C264" s="4">
        <v>4</v>
      </c>
      <c r="D264" s="4">
        <v>25</v>
      </c>
      <c r="E264" s="4">
        <v>7</v>
      </c>
      <c r="F264" s="4" t="s">
        <v>25</v>
      </c>
      <c r="G264" t="s">
        <v>29</v>
      </c>
      <c r="H264" s="4">
        <v>107</v>
      </c>
      <c r="I264" s="4">
        <v>9</v>
      </c>
      <c r="J264" s="38"/>
    </row>
    <row r="265" spans="2:13" x14ac:dyDescent="0.25">
      <c r="B265" s="4">
        <v>8</v>
      </c>
      <c r="C265" s="4">
        <v>4</v>
      </c>
      <c r="D265" s="4">
        <v>32</v>
      </c>
      <c r="E265" s="4">
        <v>8</v>
      </c>
      <c r="F265" s="4" t="s">
        <v>30</v>
      </c>
      <c r="G265" t="s">
        <v>32</v>
      </c>
      <c r="H265" s="4">
        <v>108</v>
      </c>
      <c r="I265" s="4">
        <v>9</v>
      </c>
      <c r="J265" s="38"/>
    </row>
    <row r="266" spans="2:13" x14ac:dyDescent="0.25">
      <c r="B266" s="4">
        <v>8</v>
      </c>
      <c r="C266" s="4">
        <v>4</v>
      </c>
      <c r="D266" s="4">
        <v>31</v>
      </c>
      <c r="E266" s="4">
        <v>9</v>
      </c>
      <c r="F266" s="4" t="s">
        <v>30</v>
      </c>
      <c r="G266" t="s">
        <v>29</v>
      </c>
      <c r="H266" s="4">
        <v>208</v>
      </c>
      <c r="I266" s="4">
        <v>9</v>
      </c>
      <c r="J266" s="38"/>
    </row>
    <row r="267" spans="2:13" x14ac:dyDescent="0.25">
      <c r="B267" s="4">
        <v>7</v>
      </c>
      <c r="C267" s="4">
        <v>4</v>
      </c>
      <c r="D267" s="4">
        <v>26</v>
      </c>
      <c r="E267" s="4">
        <v>10</v>
      </c>
      <c r="F267" s="4" t="s">
        <v>25</v>
      </c>
      <c r="G267" t="s">
        <v>28</v>
      </c>
      <c r="H267" s="4">
        <v>207</v>
      </c>
      <c r="I267" s="4">
        <v>9</v>
      </c>
      <c r="J267" s="38"/>
    </row>
    <row r="268" spans="2:13" x14ac:dyDescent="0.25">
      <c r="B268" s="4">
        <v>6</v>
      </c>
      <c r="C268" s="4">
        <v>3</v>
      </c>
      <c r="D268" s="4">
        <v>23</v>
      </c>
      <c r="E268" s="4">
        <v>11</v>
      </c>
      <c r="F268" s="4" t="s">
        <v>30</v>
      </c>
      <c r="G268" t="s">
        <v>31</v>
      </c>
      <c r="H268" s="4">
        <v>206</v>
      </c>
      <c r="I268" s="4">
        <v>9</v>
      </c>
      <c r="J268" s="38"/>
    </row>
    <row r="269" spans="2:13" x14ac:dyDescent="0.25">
      <c r="B269" s="4">
        <v>5</v>
      </c>
      <c r="C269" s="4">
        <v>3</v>
      </c>
      <c r="D269" s="4">
        <v>18</v>
      </c>
      <c r="E269" s="4">
        <v>12</v>
      </c>
      <c r="F269" s="4" t="s">
        <v>25</v>
      </c>
      <c r="G269" t="s">
        <v>26</v>
      </c>
      <c r="H269" s="4">
        <v>205</v>
      </c>
      <c r="I269" s="4">
        <v>9</v>
      </c>
      <c r="J269" s="38">
        <v>45558</v>
      </c>
      <c r="K269" s="12">
        <v>61</v>
      </c>
      <c r="L269" s="12">
        <v>20</v>
      </c>
      <c r="M269" s="60">
        <f t="shared" si="9"/>
        <v>32.786885245901637</v>
      </c>
    </row>
    <row r="270" spans="2:13" x14ac:dyDescent="0.25">
      <c r="B270" s="4">
        <v>4</v>
      </c>
      <c r="C270" s="4">
        <v>2</v>
      </c>
      <c r="D270" s="4">
        <v>15</v>
      </c>
      <c r="E270" s="4">
        <v>13</v>
      </c>
      <c r="F270" s="4" t="s">
        <v>30</v>
      </c>
      <c r="G270" t="s">
        <v>32</v>
      </c>
      <c r="H270" s="4">
        <v>204</v>
      </c>
      <c r="I270" s="4">
        <v>9</v>
      </c>
      <c r="J270" s="38"/>
    </row>
    <row r="271" spans="2:13" x14ac:dyDescent="0.25">
      <c r="B271" s="4">
        <v>3</v>
      </c>
      <c r="C271" s="4">
        <v>2</v>
      </c>
      <c r="D271" s="4">
        <v>10</v>
      </c>
      <c r="E271" s="4">
        <v>14</v>
      </c>
      <c r="F271" s="4" t="s">
        <v>25</v>
      </c>
      <c r="G271" t="s">
        <v>29</v>
      </c>
      <c r="H271" s="4">
        <v>203</v>
      </c>
      <c r="I271" s="4">
        <v>9</v>
      </c>
      <c r="J271" s="38"/>
    </row>
    <row r="272" spans="2:13" x14ac:dyDescent="0.25">
      <c r="B272" s="4">
        <v>2</v>
      </c>
      <c r="C272" s="4">
        <v>1</v>
      </c>
      <c r="D272" s="4">
        <v>7</v>
      </c>
      <c r="E272" s="4">
        <v>15</v>
      </c>
      <c r="F272" s="4" t="s">
        <v>30</v>
      </c>
      <c r="G272" t="s">
        <v>28</v>
      </c>
      <c r="H272" s="4">
        <v>202</v>
      </c>
      <c r="I272" s="4">
        <v>9</v>
      </c>
      <c r="J272" s="38"/>
    </row>
    <row r="273" spans="2:13" x14ac:dyDescent="0.25">
      <c r="B273" s="4">
        <v>1</v>
      </c>
      <c r="C273" s="4">
        <v>1</v>
      </c>
      <c r="D273" s="4">
        <v>2</v>
      </c>
      <c r="E273" s="4">
        <v>16</v>
      </c>
      <c r="F273" s="4" t="s">
        <v>25</v>
      </c>
      <c r="G273" t="s">
        <v>27</v>
      </c>
      <c r="H273" s="4">
        <v>201</v>
      </c>
      <c r="I273" s="4">
        <v>9</v>
      </c>
      <c r="J273" s="38"/>
    </row>
    <row r="274" spans="2:13" x14ac:dyDescent="0.25">
      <c r="B274" s="4">
        <v>1</v>
      </c>
      <c r="C274" s="4">
        <v>1</v>
      </c>
      <c r="D274" s="4">
        <v>3</v>
      </c>
      <c r="E274" s="4">
        <v>17</v>
      </c>
      <c r="F274" s="4" t="s">
        <v>25</v>
      </c>
      <c r="G274" t="s">
        <v>28</v>
      </c>
      <c r="H274" s="4">
        <v>301</v>
      </c>
      <c r="I274" s="4">
        <v>9</v>
      </c>
      <c r="J274" s="38"/>
    </row>
    <row r="275" spans="2:13" x14ac:dyDescent="0.25">
      <c r="B275" s="4">
        <v>2</v>
      </c>
      <c r="C275" s="4">
        <v>1</v>
      </c>
      <c r="D275" s="4">
        <v>6</v>
      </c>
      <c r="E275" s="4">
        <v>18</v>
      </c>
      <c r="F275" s="4" t="s">
        <v>30</v>
      </c>
      <c r="G275" t="s">
        <v>29</v>
      </c>
      <c r="H275" s="4">
        <v>302</v>
      </c>
      <c r="I275" s="4">
        <v>9</v>
      </c>
      <c r="J275" s="38"/>
    </row>
    <row r="276" spans="2:13" x14ac:dyDescent="0.25">
      <c r="B276" s="4">
        <v>3</v>
      </c>
      <c r="C276" s="4">
        <v>2</v>
      </c>
      <c r="D276" s="4">
        <v>11</v>
      </c>
      <c r="E276" s="4">
        <v>19</v>
      </c>
      <c r="F276" s="4" t="s">
        <v>25</v>
      </c>
      <c r="G276" t="s">
        <v>26</v>
      </c>
      <c r="H276" s="4">
        <v>303</v>
      </c>
      <c r="I276" s="4">
        <v>9</v>
      </c>
      <c r="J276" s="38">
        <v>45558</v>
      </c>
      <c r="K276" s="12">
        <v>59</v>
      </c>
      <c r="L276" s="12">
        <v>34</v>
      </c>
      <c r="M276" s="60">
        <f t="shared" si="9"/>
        <v>57.627118644067799</v>
      </c>
    </row>
    <row r="277" spans="2:13" x14ac:dyDescent="0.25">
      <c r="B277" s="4">
        <v>4</v>
      </c>
      <c r="C277" s="4">
        <v>2</v>
      </c>
      <c r="D277" s="4">
        <v>14</v>
      </c>
      <c r="E277" s="4">
        <v>20</v>
      </c>
      <c r="F277" s="4" t="s">
        <v>30</v>
      </c>
      <c r="G277" t="s">
        <v>31</v>
      </c>
      <c r="H277" s="4">
        <v>304</v>
      </c>
      <c r="I277" s="4">
        <v>9</v>
      </c>
      <c r="J277" s="38"/>
    </row>
    <row r="278" spans="2:13" x14ac:dyDescent="0.25">
      <c r="B278" s="4">
        <v>5</v>
      </c>
      <c r="C278" s="4">
        <v>3</v>
      </c>
      <c r="D278" s="4">
        <v>19</v>
      </c>
      <c r="E278" s="4">
        <v>21</v>
      </c>
      <c r="F278" s="4" t="s">
        <v>25</v>
      </c>
      <c r="G278" t="s">
        <v>29</v>
      </c>
      <c r="H278" s="4">
        <v>305</v>
      </c>
      <c r="I278" s="4">
        <v>9</v>
      </c>
      <c r="J278" s="38"/>
    </row>
    <row r="279" spans="2:13" x14ac:dyDescent="0.25">
      <c r="B279" s="4">
        <v>6</v>
      </c>
      <c r="C279" s="4">
        <v>3</v>
      </c>
      <c r="D279" s="4">
        <v>22</v>
      </c>
      <c r="E279" s="4">
        <v>22</v>
      </c>
      <c r="F279" s="4" t="s">
        <v>30</v>
      </c>
      <c r="G279" t="s">
        <v>32</v>
      </c>
      <c r="H279" s="4">
        <v>306</v>
      </c>
      <c r="I279" s="4">
        <v>9</v>
      </c>
      <c r="J279" s="38"/>
    </row>
    <row r="280" spans="2:13" x14ac:dyDescent="0.25">
      <c r="B280" s="4">
        <v>7</v>
      </c>
      <c r="C280" s="4">
        <v>4</v>
      </c>
      <c r="D280" s="4">
        <v>27</v>
      </c>
      <c r="E280" s="4">
        <v>23</v>
      </c>
      <c r="F280" s="4" t="s">
        <v>25</v>
      </c>
      <c r="G280" t="s">
        <v>27</v>
      </c>
      <c r="H280" s="4">
        <v>307</v>
      </c>
      <c r="I280" s="4">
        <v>9</v>
      </c>
      <c r="J280" s="38"/>
    </row>
    <row r="281" spans="2:13" x14ac:dyDescent="0.25">
      <c r="B281" s="4">
        <v>8</v>
      </c>
      <c r="C281" s="4">
        <v>4</v>
      </c>
      <c r="D281" s="4">
        <v>30</v>
      </c>
      <c r="E281" s="4">
        <v>24</v>
      </c>
      <c r="F281" s="4" t="s">
        <v>30</v>
      </c>
      <c r="G281" t="s">
        <v>28</v>
      </c>
      <c r="H281" s="4">
        <v>308</v>
      </c>
      <c r="I281" s="4">
        <v>9</v>
      </c>
      <c r="J281" s="38"/>
    </row>
    <row r="282" spans="2:13" x14ac:dyDescent="0.25">
      <c r="B282" s="4">
        <v>8</v>
      </c>
      <c r="C282" s="4">
        <v>4</v>
      </c>
      <c r="D282" s="4">
        <v>29</v>
      </c>
      <c r="E282" s="4">
        <v>25</v>
      </c>
      <c r="F282" s="4" t="s">
        <v>30</v>
      </c>
      <c r="G282" t="s">
        <v>31</v>
      </c>
      <c r="H282" s="4">
        <v>408</v>
      </c>
      <c r="I282" s="4">
        <v>9</v>
      </c>
      <c r="J282" s="38"/>
    </row>
    <row r="283" spans="2:13" x14ac:dyDescent="0.25">
      <c r="B283" s="4">
        <v>7</v>
      </c>
      <c r="C283" s="4">
        <v>4</v>
      </c>
      <c r="D283" s="4">
        <v>28</v>
      </c>
      <c r="E283" s="4">
        <v>26</v>
      </c>
      <c r="F283" s="4" t="s">
        <v>25</v>
      </c>
      <c r="G283" t="s">
        <v>26</v>
      </c>
      <c r="H283" s="4">
        <v>407</v>
      </c>
      <c r="I283" s="4">
        <v>9</v>
      </c>
      <c r="J283" s="38">
        <v>45558</v>
      </c>
      <c r="K283" s="12">
        <v>57</v>
      </c>
      <c r="L283" s="12">
        <v>31</v>
      </c>
      <c r="M283" s="60">
        <f>(L283/K283)*100</f>
        <v>54.385964912280706</v>
      </c>
    </row>
    <row r="284" spans="2:13" x14ac:dyDescent="0.25">
      <c r="B284" s="4">
        <v>6</v>
      </c>
      <c r="C284" s="4">
        <v>3</v>
      </c>
      <c r="D284" s="4">
        <v>21</v>
      </c>
      <c r="E284" s="4">
        <v>27</v>
      </c>
      <c r="F284" s="4" t="s">
        <v>30</v>
      </c>
      <c r="G284" t="s">
        <v>28</v>
      </c>
      <c r="H284" s="4">
        <v>406</v>
      </c>
      <c r="I284" s="4">
        <v>9</v>
      </c>
      <c r="J284" s="38"/>
    </row>
    <row r="285" spans="2:13" x14ac:dyDescent="0.25">
      <c r="B285" s="4">
        <v>5</v>
      </c>
      <c r="C285" s="4">
        <v>3</v>
      </c>
      <c r="D285" s="4">
        <v>20</v>
      </c>
      <c r="E285" s="4">
        <v>28</v>
      </c>
      <c r="F285" s="4" t="s">
        <v>25</v>
      </c>
      <c r="G285" t="s">
        <v>27</v>
      </c>
      <c r="H285" s="4">
        <v>405</v>
      </c>
      <c r="I285" s="4">
        <v>9</v>
      </c>
      <c r="J285" s="38"/>
    </row>
    <row r="286" spans="2:13" x14ac:dyDescent="0.25">
      <c r="B286" s="4">
        <v>4</v>
      </c>
      <c r="C286" s="4">
        <v>2</v>
      </c>
      <c r="D286" s="4">
        <v>13</v>
      </c>
      <c r="E286" s="4">
        <v>29</v>
      </c>
      <c r="F286" s="4" t="s">
        <v>30</v>
      </c>
      <c r="G286" t="s">
        <v>29</v>
      </c>
      <c r="H286" s="4">
        <v>404</v>
      </c>
      <c r="I286" s="4">
        <v>9</v>
      </c>
      <c r="J286" s="38"/>
    </row>
    <row r="287" spans="2:13" x14ac:dyDescent="0.25">
      <c r="B287" s="4">
        <v>3</v>
      </c>
      <c r="C287" s="4">
        <v>2</v>
      </c>
      <c r="D287" s="4">
        <v>12</v>
      </c>
      <c r="E287" s="4">
        <v>30</v>
      </c>
      <c r="F287" s="4" t="s">
        <v>25</v>
      </c>
      <c r="G287" t="s">
        <v>28</v>
      </c>
      <c r="H287" s="4">
        <v>403</v>
      </c>
      <c r="I287" s="4">
        <v>9</v>
      </c>
      <c r="J287" s="38"/>
    </row>
    <row r="288" spans="2:13" x14ac:dyDescent="0.25">
      <c r="B288" s="4">
        <v>2</v>
      </c>
      <c r="C288" s="4">
        <v>1</v>
      </c>
      <c r="D288" s="4">
        <v>5</v>
      </c>
      <c r="E288" s="4">
        <v>31</v>
      </c>
      <c r="F288" s="4" t="s">
        <v>30</v>
      </c>
      <c r="G288" t="s">
        <v>32</v>
      </c>
      <c r="H288" s="4">
        <v>402</v>
      </c>
      <c r="I288" s="4">
        <v>9</v>
      </c>
      <c r="J288" s="38"/>
    </row>
    <row r="289" spans="2:10" x14ac:dyDescent="0.25">
      <c r="B289" s="4">
        <v>1</v>
      </c>
      <c r="C289" s="4">
        <v>1</v>
      </c>
      <c r="D289" s="4">
        <v>4</v>
      </c>
      <c r="E289" s="4">
        <v>32</v>
      </c>
      <c r="F289" s="4" t="s">
        <v>25</v>
      </c>
      <c r="G289" t="s">
        <v>29</v>
      </c>
      <c r="H289" s="4">
        <v>401</v>
      </c>
      <c r="I289" s="4">
        <v>9</v>
      </c>
      <c r="J289" s="38"/>
    </row>
  </sheetData>
  <sortState xmlns:xlrd2="http://schemas.microsoft.com/office/spreadsheetml/2017/richdata2" ref="A2:M33">
    <sortCondition ref="E2:E33"/>
  </sortState>
  <pageMargins left="0.7" right="0.7" top="0.75" bottom="0.75" header="0.3" footer="0.3"/>
  <pageSetup paperSize="9" orientation="portrait"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F50E2-2A25-4ED5-BF44-84ACC076E308}">
  <dimension ref="A1:Z289"/>
  <sheetViews>
    <sheetView workbookViewId="0">
      <selection activeCell="S27" sqref="S27"/>
    </sheetView>
  </sheetViews>
  <sheetFormatPr defaultRowHeight="15" x14ac:dyDescent="0.25"/>
  <cols>
    <col min="7" max="7" width="12.5703125" customWidth="1"/>
    <col min="10" max="10" width="10.5703125" bestFit="1" customWidth="1"/>
    <col min="11" max="11" width="10.5703125" style="12" customWidth="1"/>
    <col min="13" max="13" width="9.5703125" style="43" customWidth="1"/>
    <col min="15" max="15" width="19.5703125" bestFit="1" customWidth="1"/>
    <col min="16" max="16" width="13.42578125" bestFit="1" customWidth="1"/>
    <col min="17" max="17" width="12.5703125" bestFit="1" customWidth="1"/>
    <col min="18" max="20" width="10.5703125" bestFit="1" customWidth="1"/>
    <col min="21" max="24" width="9.5703125" bestFit="1" customWidth="1"/>
    <col min="25" max="25" width="10.5703125" bestFit="1" customWidth="1"/>
  </cols>
  <sheetData>
    <row r="1" spans="1:26" ht="120" x14ac:dyDescent="0.25">
      <c r="A1" s="10" t="s">
        <v>23</v>
      </c>
      <c r="B1" s="10" t="s">
        <v>24</v>
      </c>
      <c r="C1" s="10" t="s">
        <v>281</v>
      </c>
      <c r="D1" s="10" t="s">
        <v>282</v>
      </c>
      <c r="E1" s="10" t="s">
        <v>77</v>
      </c>
      <c r="F1" s="10" t="s">
        <v>21</v>
      </c>
      <c r="G1" s="6" t="s">
        <v>22</v>
      </c>
      <c r="H1" s="10" t="s">
        <v>76</v>
      </c>
      <c r="I1" s="10" t="s">
        <v>283</v>
      </c>
      <c r="J1" s="10" t="s">
        <v>470</v>
      </c>
      <c r="K1" s="8" t="s">
        <v>465</v>
      </c>
      <c r="L1" s="10" t="s">
        <v>471</v>
      </c>
      <c r="M1" s="9" t="s">
        <v>472</v>
      </c>
    </row>
    <row r="2" spans="1:26" x14ac:dyDescent="0.25">
      <c r="A2" s="4">
        <v>1</v>
      </c>
      <c r="B2" s="4">
        <v>1</v>
      </c>
      <c r="C2" s="4">
        <v>1</v>
      </c>
      <c r="D2" s="4">
        <v>1</v>
      </c>
      <c r="E2" s="4">
        <v>1</v>
      </c>
      <c r="F2" s="4" t="s">
        <v>25</v>
      </c>
      <c r="G2" t="s">
        <v>26</v>
      </c>
      <c r="H2" s="4">
        <v>101</v>
      </c>
      <c r="I2" s="4">
        <v>1</v>
      </c>
      <c r="J2" s="38">
        <v>45558</v>
      </c>
      <c r="K2" s="12">
        <v>50</v>
      </c>
      <c r="L2">
        <v>0</v>
      </c>
      <c r="M2" s="43">
        <f>(L2/K2)*100</f>
        <v>0</v>
      </c>
    </row>
    <row r="3" spans="1:26" x14ac:dyDescent="0.25">
      <c r="A3" s="4">
        <v>1</v>
      </c>
      <c r="B3" s="4">
        <v>2</v>
      </c>
      <c r="C3" s="4">
        <v>1</v>
      </c>
      <c r="D3" s="4">
        <v>8</v>
      </c>
      <c r="E3" s="4">
        <v>2</v>
      </c>
      <c r="F3" s="4" t="s">
        <v>30</v>
      </c>
      <c r="G3" t="s">
        <v>31</v>
      </c>
      <c r="H3" s="4">
        <v>102</v>
      </c>
      <c r="I3" s="4">
        <v>1</v>
      </c>
      <c r="J3" s="38">
        <v>45558</v>
      </c>
      <c r="K3" s="12">
        <v>39</v>
      </c>
      <c r="L3">
        <v>0</v>
      </c>
      <c r="M3" s="43">
        <f t="shared" ref="M3:M65" si="0">(L3/K3)*100</f>
        <v>0</v>
      </c>
    </row>
    <row r="4" spans="1:26" x14ac:dyDescent="0.25">
      <c r="A4" s="4">
        <v>1</v>
      </c>
      <c r="B4" s="4">
        <v>3</v>
      </c>
      <c r="C4" s="4">
        <v>2</v>
      </c>
      <c r="D4" s="4">
        <v>9</v>
      </c>
      <c r="E4" s="4">
        <v>3</v>
      </c>
      <c r="F4" s="4" t="s">
        <v>25</v>
      </c>
      <c r="G4" t="s">
        <v>27</v>
      </c>
      <c r="H4" s="4">
        <v>103</v>
      </c>
      <c r="I4" s="4">
        <v>1</v>
      </c>
      <c r="J4" s="38">
        <v>45558</v>
      </c>
      <c r="K4" s="12">
        <v>38</v>
      </c>
      <c r="L4">
        <v>0</v>
      </c>
      <c r="M4" s="43">
        <f t="shared" si="0"/>
        <v>0</v>
      </c>
    </row>
    <row r="5" spans="1:26" x14ac:dyDescent="0.25">
      <c r="A5" s="4">
        <v>1</v>
      </c>
      <c r="B5" s="4">
        <v>4</v>
      </c>
      <c r="C5" s="4">
        <v>2</v>
      </c>
      <c r="D5" s="4">
        <v>16</v>
      </c>
      <c r="E5" s="4">
        <v>4</v>
      </c>
      <c r="F5" s="4" t="s">
        <v>30</v>
      </c>
      <c r="G5" t="s">
        <v>28</v>
      </c>
      <c r="H5" s="4">
        <v>104</v>
      </c>
      <c r="I5" s="4">
        <v>1</v>
      </c>
      <c r="J5" s="38">
        <v>45558</v>
      </c>
      <c r="K5" s="12">
        <v>38</v>
      </c>
      <c r="L5">
        <v>0</v>
      </c>
      <c r="M5" s="43">
        <f t="shared" si="0"/>
        <v>0</v>
      </c>
      <c r="O5" s="46" t="s">
        <v>473</v>
      </c>
      <c r="Q5" s="46" t="s">
        <v>470</v>
      </c>
    </row>
    <row r="6" spans="1:26" x14ac:dyDescent="0.25">
      <c r="A6" s="4">
        <v>1</v>
      </c>
      <c r="B6" s="4">
        <v>5</v>
      </c>
      <c r="C6" s="4">
        <v>3</v>
      </c>
      <c r="D6" s="4">
        <v>17</v>
      </c>
      <c r="E6" s="4">
        <v>5</v>
      </c>
      <c r="F6" s="4" t="s">
        <v>25</v>
      </c>
      <c r="G6" t="s">
        <v>28</v>
      </c>
      <c r="H6" s="4">
        <v>105</v>
      </c>
      <c r="I6" s="4">
        <v>1</v>
      </c>
      <c r="J6" s="38">
        <v>45558</v>
      </c>
      <c r="K6" s="12">
        <v>61</v>
      </c>
      <c r="L6">
        <v>9</v>
      </c>
      <c r="M6" s="43">
        <f t="shared" si="0"/>
        <v>14.754098360655737</v>
      </c>
      <c r="O6" s="46" t="s">
        <v>21</v>
      </c>
      <c r="P6" s="46" t="s">
        <v>22</v>
      </c>
      <c r="Q6" s="38">
        <v>45558</v>
      </c>
      <c r="R6" s="38">
        <v>45560</v>
      </c>
      <c r="S6" s="38">
        <v>45561</v>
      </c>
      <c r="T6" s="38">
        <v>45565</v>
      </c>
      <c r="U6" s="38">
        <v>45567</v>
      </c>
      <c r="V6" s="38">
        <v>45569</v>
      </c>
      <c r="W6" s="38">
        <v>45572</v>
      </c>
      <c r="X6" s="38">
        <v>45573</v>
      </c>
      <c r="Y6" s="38">
        <v>45575</v>
      </c>
      <c r="Z6" t="s">
        <v>474</v>
      </c>
    </row>
    <row r="7" spans="1:26" x14ac:dyDescent="0.25">
      <c r="A7" s="4">
        <v>1</v>
      </c>
      <c r="B7" s="4">
        <v>6</v>
      </c>
      <c r="C7" s="4">
        <v>3</v>
      </c>
      <c r="D7" s="4">
        <v>24</v>
      </c>
      <c r="E7" s="4">
        <v>6</v>
      </c>
      <c r="F7" s="4" t="s">
        <v>30</v>
      </c>
      <c r="G7" t="s">
        <v>29</v>
      </c>
      <c r="H7" s="4">
        <v>106</v>
      </c>
      <c r="I7" s="4">
        <v>1</v>
      </c>
      <c r="J7" s="38">
        <v>45558</v>
      </c>
      <c r="K7" s="12">
        <v>85</v>
      </c>
      <c r="L7">
        <v>0</v>
      </c>
      <c r="M7" s="43">
        <f t="shared" si="0"/>
        <v>0</v>
      </c>
      <c r="O7" t="s">
        <v>25</v>
      </c>
      <c r="P7" t="s">
        <v>26</v>
      </c>
      <c r="Q7" s="43">
        <v>0</v>
      </c>
      <c r="R7" s="43">
        <v>0</v>
      </c>
      <c r="S7" s="43"/>
      <c r="T7" s="43">
        <v>0</v>
      </c>
      <c r="U7" s="43">
        <v>0</v>
      </c>
      <c r="V7" s="43">
        <v>0.43859649122807015</v>
      </c>
      <c r="W7" s="43">
        <v>20.414315867468058</v>
      </c>
      <c r="X7" s="43">
        <v>41.410072486021946</v>
      </c>
      <c r="Y7" s="43">
        <v>65.582656975865618</v>
      </c>
      <c r="Z7" s="102">
        <v>45574</v>
      </c>
    </row>
    <row r="8" spans="1:26" x14ac:dyDescent="0.25">
      <c r="A8" s="4">
        <v>1</v>
      </c>
      <c r="B8" s="4">
        <v>7</v>
      </c>
      <c r="C8" s="4">
        <v>4</v>
      </c>
      <c r="D8" s="4">
        <v>25</v>
      </c>
      <c r="E8" s="4">
        <v>7</v>
      </c>
      <c r="F8" s="4" t="s">
        <v>25</v>
      </c>
      <c r="G8" t="s">
        <v>29</v>
      </c>
      <c r="H8" s="4">
        <v>107</v>
      </c>
      <c r="I8" s="4">
        <v>1</v>
      </c>
      <c r="J8" s="38">
        <v>45558</v>
      </c>
      <c r="K8" s="12">
        <v>34</v>
      </c>
      <c r="L8">
        <v>0</v>
      </c>
      <c r="M8" s="43">
        <f t="shared" si="0"/>
        <v>0</v>
      </c>
      <c r="P8" s="104" t="s">
        <v>27</v>
      </c>
      <c r="Q8" s="81">
        <v>0</v>
      </c>
      <c r="R8" s="81">
        <v>0.78125</v>
      </c>
      <c r="S8" s="81"/>
      <c r="T8" s="81">
        <v>43.737664473684212</v>
      </c>
      <c r="U8" s="81"/>
      <c r="V8" s="81"/>
      <c r="W8" s="81"/>
      <c r="X8" s="81"/>
      <c r="Y8" s="81"/>
      <c r="Z8" s="102">
        <v>45566</v>
      </c>
    </row>
    <row r="9" spans="1:26" x14ac:dyDescent="0.25">
      <c r="A9" s="4">
        <v>1</v>
      </c>
      <c r="B9" s="4">
        <v>8</v>
      </c>
      <c r="C9" s="4">
        <v>4</v>
      </c>
      <c r="D9" s="4">
        <v>32</v>
      </c>
      <c r="E9" s="4">
        <v>8</v>
      </c>
      <c r="F9" s="4" t="s">
        <v>30</v>
      </c>
      <c r="G9" t="s">
        <v>32</v>
      </c>
      <c r="H9" s="4">
        <v>108</v>
      </c>
      <c r="I9" s="4">
        <v>1</v>
      </c>
      <c r="J9" s="38">
        <v>45558</v>
      </c>
      <c r="K9" s="12">
        <v>75</v>
      </c>
      <c r="L9">
        <v>0</v>
      </c>
      <c r="M9" s="43">
        <f t="shared" si="0"/>
        <v>0</v>
      </c>
      <c r="P9" s="54" t="s">
        <v>28</v>
      </c>
      <c r="Q9" s="50">
        <v>17.480762796922047</v>
      </c>
      <c r="R9" s="50">
        <v>53.153228504516555</v>
      </c>
      <c r="S9" s="43"/>
      <c r="T9" s="43"/>
      <c r="U9" s="43"/>
      <c r="V9" s="43"/>
      <c r="W9" s="43"/>
      <c r="X9" s="43"/>
      <c r="Y9" s="43"/>
      <c r="Z9" s="102">
        <v>45560</v>
      </c>
    </row>
    <row r="10" spans="1:26" x14ac:dyDescent="0.25">
      <c r="A10" s="4">
        <v>2</v>
      </c>
      <c r="B10" s="4">
        <v>8</v>
      </c>
      <c r="C10" s="4">
        <v>4</v>
      </c>
      <c r="D10" s="4">
        <v>31</v>
      </c>
      <c r="E10" s="4">
        <v>9</v>
      </c>
      <c r="F10" s="4" t="s">
        <v>30</v>
      </c>
      <c r="G10" t="s">
        <v>29</v>
      </c>
      <c r="H10" s="4">
        <v>208</v>
      </c>
      <c r="I10" s="4">
        <v>1</v>
      </c>
      <c r="J10" s="38">
        <v>45558</v>
      </c>
      <c r="K10" s="12">
        <v>79</v>
      </c>
      <c r="L10">
        <v>0</v>
      </c>
      <c r="M10" s="43">
        <f t="shared" si="0"/>
        <v>0</v>
      </c>
      <c r="P10" s="54" t="s">
        <v>29</v>
      </c>
      <c r="Q10" s="50">
        <v>2.8688524590163933</v>
      </c>
      <c r="R10" s="50">
        <v>16.128254580520732</v>
      </c>
      <c r="S10" s="50">
        <v>52.575538412086146</v>
      </c>
      <c r="T10" s="50"/>
      <c r="U10" s="50"/>
      <c r="V10" s="50"/>
      <c r="W10" s="50"/>
      <c r="X10" s="50"/>
      <c r="Y10" s="50"/>
      <c r="Z10" s="102">
        <v>45561</v>
      </c>
    </row>
    <row r="11" spans="1:26" x14ac:dyDescent="0.25">
      <c r="A11" s="4">
        <v>2</v>
      </c>
      <c r="B11" s="4">
        <v>7</v>
      </c>
      <c r="C11" s="4">
        <v>4</v>
      </c>
      <c r="D11" s="4">
        <v>26</v>
      </c>
      <c r="E11" s="4">
        <v>10</v>
      </c>
      <c r="F11" s="4" t="s">
        <v>25</v>
      </c>
      <c r="G11" t="s">
        <v>28</v>
      </c>
      <c r="H11" s="4">
        <v>207</v>
      </c>
      <c r="I11" s="4">
        <v>1</v>
      </c>
      <c r="J11" s="38">
        <v>45558</v>
      </c>
      <c r="K11" s="12">
        <v>49</v>
      </c>
      <c r="L11">
        <v>12</v>
      </c>
      <c r="M11" s="43">
        <f t="shared" si="0"/>
        <v>24.489795918367346</v>
      </c>
      <c r="O11" t="s">
        <v>30</v>
      </c>
      <c r="P11" t="s">
        <v>32</v>
      </c>
      <c r="Q11" s="43">
        <v>0</v>
      </c>
      <c r="R11" s="43">
        <v>0</v>
      </c>
      <c r="S11" s="43"/>
      <c r="T11" s="43">
        <v>0</v>
      </c>
      <c r="U11" s="43">
        <v>0.96153846153846156</v>
      </c>
      <c r="V11" s="43">
        <v>17.410663537375864</v>
      </c>
      <c r="W11" s="43">
        <v>54.841380081106109</v>
      </c>
      <c r="X11" s="43"/>
      <c r="Y11" s="43"/>
      <c r="Z11" s="102">
        <v>45572</v>
      </c>
    </row>
    <row r="12" spans="1:26" x14ac:dyDescent="0.25">
      <c r="A12" s="4">
        <v>2</v>
      </c>
      <c r="B12" s="4">
        <v>6</v>
      </c>
      <c r="C12" s="4">
        <v>3</v>
      </c>
      <c r="D12" s="4">
        <v>23</v>
      </c>
      <c r="E12" s="4">
        <v>11</v>
      </c>
      <c r="F12" s="4" t="s">
        <v>30</v>
      </c>
      <c r="G12" t="s">
        <v>31</v>
      </c>
      <c r="H12" s="4">
        <v>206</v>
      </c>
      <c r="I12" s="4">
        <v>1</v>
      </c>
      <c r="J12" s="38">
        <v>45558</v>
      </c>
      <c r="K12" s="12">
        <v>42</v>
      </c>
      <c r="L12">
        <v>0</v>
      </c>
      <c r="M12" s="43">
        <f t="shared" si="0"/>
        <v>0</v>
      </c>
      <c r="P12" t="s">
        <v>31</v>
      </c>
      <c r="Q12" s="43">
        <v>0</v>
      </c>
      <c r="R12" s="43">
        <v>0</v>
      </c>
      <c r="S12" s="43"/>
      <c r="T12" s="43">
        <v>0.59523809523809523</v>
      </c>
      <c r="U12" s="43">
        <v>28.740008064707418</v>
      </c>
      <c r="V12" s="43"/>
      <c r="W12" s="43"/>
      <c r="X12" s="43"/>
      <c r="Y12" s="43"/>
      <c r="Z12" s="102">
        <v>45568</v>
      </c>
    </row>
    <row r="13" spans="1:26" x14ac:dyDescent="0.25">
      <c r="A13" s="4">
        <v>2</v>
      </c>
      <c r="B13" s="4">
        <v>5</v>
      </c>
      <c r="C13" s="4">
        <v>3</v>
      </c>
      <c r="D13" s="4">
        <v>18</v>
      </c>
      <c r="E13" s="4">
        <v>12</v>
      </c>
      <c r="F13" s="4" t="s">
        <v>25</v>
      </c>
      <c r="G13" t="s">
        <v>26</v>
      </c>
      <c r="H13" s="4">
        <v>205</v>
      </c>
      <c r="I13" s="4">
        <v>1</v>
      </c>
      <c r="J13" s="38">
        <v>45558</v>
      </c>
      <c r="K13" s="12">
        <v>61</v>
      </c>
      <c r="L13">
        <v>0</v>
      </c>
      <c r="M13" s="43">
        <f t="shared" si="0"/>
        <v>0</v>
      </c>
      <c r="P13" t="s">
        <v>28</v>
      </c>
      <c r="Q13" s="43">
        <v>0</v>
      </c>
      <c r="R13" s="43">
        <v>0</v>
      </c>
      <c r="S13" s="43"/>
      <c r="T13" s="43">
        <v>5.5555555555555554</v>
      </c>
      <c r="U13" s="43">
        <v>31.648182697622996</v>
      </c>
      <c r="V13" s="43"/>
      <c r="W13" s="43"/>
      <c r="X13" s="43"/>
      <c r="Y13" s="43"/>
      <c r="Z13" s="102">
        <v>45569</v>
      </c>
    </row>
    <row r="14" spans="1:26" x14ac:dyDescent="0.25">
      <c r="A14" s="4">
        <v>2</v>
      </c>
      <c r="B14" s="4">
        <v>4</v>
      </c>
      <c r="C14" s="4">
        <v>2</v>
      </c>
      <c r="D14" s="4">
        <v>15</v>
      </c>
      <c r="E14" s="4">
        <v>13</v>
      </c>
      <c r="F14" s="4" t="s">
        <v>30</v>
      </c>
      <c r="G14" t="s">
        <v>32</v>
      </c>
      <c r="H14" s="4">
        <v>204</v>
      </c>
      <c r="I14" s="4">
        <v>1</v>
      </c>
      <c r="J14" s="38">
        <v>45558</v>
      </c>
      <c r="K14" s="12">
        <v>52</v>
      </c>
      <c r="L14">
        <v>0</v>
      </c>
      <c r="M14" s="43">
        <f t="shared" si="0"/>
        <v>0</v>
      </c>
      <c r="P14" t="s">
        <v>29</v>
      </c>
      <c r="Q14" s="43">
        <v>0</v>
      </c>
      <c r="R14" s="43">
        <v>0</v>
      </c>
      <c r="S14" s="43"/>
      <c r="T14" s="43">
        <v>0.45454545454545453</v>
      </c>
      <c r="U14" s="43">
        <v>6.5522511507479857</v>
      </c>
      <c r="V14" s="43">
        <v>38.356683222771274</v>
      </c>
      <c r="W14" s="43">
        <v>77.517784767819677</v>
      </c>
      <c r="X14" s="43"/>
      <c r="Y14" s="43"/>
      <c r="Z14" s="102">
        <v>45570</v>
      </c>
    </row>
    <row r="15" spans="1:26" x14ac:dyDescent="0.25">
      <c r="A15" s="4">
        <v>2</v>
      </c>
      <c r="B15" s="4">
        <v>3</v>
      </c>
      <c r="C15" s="4">
        <v>2</v>
      </c>
      <c r="D15" s="4">
        <v>10</v>
      </c>
      <c r="E15" s="4">
        <v>14</v>
      </c>
      <c r="F15" s="4" t="s">
        <v>25</v>
      </c>
      <c r="G15" t="s">
        <v>29</v>
      </c>
      <c r="H15" s="4">
        <v>203</v>
      </c>
      <c r="I15" s="4">
        <v>1</v>
      </c>
      <c r="J15" s="38">
        <v>45558</v>
      </c>
      <c r="K15" s="12">
        <v>51</v>
      </c>
      <c r="L15">
        <v>0</v>
      </c>
      <c r="M15" s="43">
        <f t="shared" si="0"/>
        <v>0</v>
      </c>
    </row>
    <row r="16" spans="1:26" x14ac:dyDescent="0.25">
      <c r="A16" s="4">
        <v>2</v>
      </c>
      <c r="B16" s="4">
        <v>2</v>
      </c>
      <c r="C16" s="4">
        <v>1</v>
      </c>
      <c r="D16" s="4">
        <v>7</v>
      </c>
      <c r="E16" s="4">
        <v>15</v>
      </c>
      <c r="F16" s="4" t="s">
        <v>30</v>
      </c>
      <c r="G16" t="s">
        <v>28</v>
      </c>
      <c r="H16" s="4">
        <v>202</v>
      </c>
      <c r="I16" s="4">
        <v>1</v>
      </c>
      <c r="J16" s="38">
        <v>45558</v>
      </c>
      <c r="K16" s="12">
        <v>67</v>
      </c>
      <c r="L16">
        <v>0</v>
      </c>
      <c r="M16" s="43">
        <f t="shared" si="0"/>
        <v>0</v>
      </c>
    </row>
    <row r="17" spans="1:13" x14ac:dyDescent="0.25">
      <c r="A17" s="4">
        <v>2</v>
      </c>
      <c r="B17" s="4">
        <v>1</v>
      </c>
      <c r="C17" s="4">
        <v>1</v>
      </c>
      <c r="D17" s="4">
        <v>2</v>
      </c>
      <c r="E17" s="4">
        <v>16</v>
      </c>
      <c r="F17" s="4" t="s">
        <v>25</v>
      </c>
      <c r="G17" t="s">
        <v>27</v>
      </c>
      <c r="H17" s="4">
        <v>201</v>
      </c>
      <c r="I17" s="4">
        <v>1</v>
      </c>
      <c r="J17" s="38">
        <v>45558</v>
      </c>
      <c r="K17" s="12">
        <v>55</v>
      </c>
      <c r="L17">
        <v>0</v>
      </c>
      <c r="M17" s="43">
        <f t="shared" si="0"/>
        <v>0</v>
      </c>
    </row>
    <row r="18" spans="1:13" x14ac:dyDescent="0.25">
      <c r="A18" s="4">
        <v>3</v>
      </c>
      <c r="B18" s="4">
        <v>1</v>
      </c>
      <c r="C18" s="4">
        <v>1</v>
      </c>
      <c r="D18" s="4">
        <v>3</v>
      </c>
      <c r="E18" s="4">
        <v>17</v>
      </c>
      <c r="F18" s="4" t="s">
        <v>25</v>
      </c>
      <c r="G18" t="s">
        <v>28</v>
      </c>
      <c r="H18" s="4">
        <v>301</v>
      </c>
      <c r="I18" s="4">
        <v>1</v>
      </c>
      <c r="J18" s="38">
        <v>45558</v>
      </c>
      <c r="K18" s="12">
        <v>35</v>
      </c>
      <c r="L18">
        <v>5</v>
      </c>
      <c r="M18" s="43">
        <f t="shared" si="0"/>
        <v>14.285714285714285</v>
      </c>
    </row>
    <row r="19" spans="1:13" x14ac:dyDescent="0.25">
      <c r="A19" s="4">
        <v>3</v>
      </c>
      <c r="B19" s="4">
        <v>2</v>
      </c>
      <c r="C19" s="4">
        <v>1</v>
      </c>
      <c r="D19" s="4">
        <v>6</v>
      </c>
      <c r="E19" s="4">
        <v>18</v>
      </c>
      <c r="F19" s="4" t="s">
        <v>30</v>
      </c>
      <c r="G19" t="s">
        <v>29</v>
      </c>
      <c r="H19" s="4">
        <v>302</v>
      </c>
      <c r="I19" s="4">
        <v>1</v>
      </c>
      <c r="J19" s="38">
        <v>45558</v>
      </c>
      <c r="K19" s="12">
        <v>55</v>
      </c>
      <c r="L19">
        <v>0</v>
      </c>
      <c r="M19" s="43">
        <f t="shared" si="0"/>
        <v>0</v>
      </c>
    </row>
    <row r="20" spans="1:13" x14ac:dyDescent="0.25">
      <c r="A20" s="4">
        <v>3</v>
      </c>
      <c r="B20" s="4">
        <v>3</v>
      </c>
      <c r="C20" s="4">
        <v>2</v>
      </c>
      <c r="D20" s="4">
        <v>11</v>
      </c>
      <c r="E20" s="4">
        <v>19</v>
      </c>
      <c r="F20" s="4" t="s">
        <v>25</v>
      </c>
      <c r="G20" t="s">
        <v>26</v>
      </c>
      <c r="H20" s="4">
        <v>303</v>
      </c>
      <c r="I20" s="4">
        <v>1</v>
      </c>
      <c r="J20" s="38">
        <v>45558</v>
      </c>
      <c r="K20" s="12">
        <v>59</v>
      </c>
      <c r="L20">
        <v>0</v>
      </c>
      <c r="M20" s="43">
        <f t="shared" si="0"/>
        <v>0</v>
      </c>
    </row>
    <row r="21" spans="1:13" x14ac:dyDescent="0.25">
      <c r="A21" s="4">
        <v>3</v>
      </c>
      <c r="B21" s="4">
        <v>4</v>
      </c>
      <c r="C21" s="4">
        <v>2</v>
      </c>
      <c r="D21" s="4">
        <v>14</v>
      </c>
      <c r="E21" s="4">
        <v>20</v>
      </c>
      <c r="F21" s="4" t="s">
        <v>30</v>
      </c>
      <c r="G21" t="s">
        <v>31</v>
      </c>
      <c r="H21" s="4">
        <v>304</v>
      </c>
      <c r="I21" s="4">
        <v>1</v>
      </c>
      <c r="J21" s="38">
        <v>45558</v>
      </c>
      <c r="K21" s="12">
        <v>46</v>
      </c>
      <c r="L21">
        <v>0</v>
      </c>
      <c r="M21" s="43">
        <f t="shared" si="0"/>
        <v>0</v>
      </c>
    </row>
    <row r="22" spans="1:13" x14ac:dyDescent="0.25">
      <c r="A22" s="4">
        <v>3</v>
      </c>
      <c r="B22" s="4">
        <v>5</v>
      </c>
      <c r="C22" s="4">
        <v>3</v>
      </c>
      <c r="D22" s="4">
        <v>19</v>
      </c>
      <c r="E22" s="4">
        <v>21</v>
      </c>
      <c r="F22" s="4" t="s">
        <v>25</v>
      </c>
      <c r="G22" t="s">
        <v>29</v>
      </c>
      <c r="H22" s="4">
        <v>305</v>
      </c>
      <c r="I22" s="4">
        <v>1</v>
      </c>
      <c r="J22" s="38">
        <v>45558</v>
      </c>
      <c r="K22" s="12">
        <v>61</v>
      </c>
      <c r="L22">
        <v>7</v>
      </c>
      <c r="M22" s="43">
        <f t="shared" si="0"/>
        <v>11.475409836065573</v>
      </c>
    </row>
    <row r="23" spans="1:13" x14ac:dyDescent="0.25">
      <c r="A23" s="4">
        <v>3</v>
      </c>
      <c r="B23" s="4">
        <v>6</v>
      </c>
      <c r="C23" s="4">
        <v>3</v>
      </c>
      <c r="D23" s="4">
        <v>22</v>
      </c>
      <c r="E23" s="4">
        <v>22</v>
      </c>
      <c r="F23" s="4" t="s">
        <v>30</v>
      </c>
      <c r="G23" t="s">
        <v>32</v>
      </c>
      <c r="H23" s="4">
        <v>306</v>
      </c>
      <c r="I23" s="4">
        <v>1</v>
      </c>
      <c r="J23" s="38">
        <v>45558</v>
      </c>
      <c r="K23" s="12">
        <v>73</v>
      </c>
      <c r="L23">
        <v>0</v>
      </c>
      <c r="M23" s="43">
        <f t="shared" si="0"/>
        <v>0</v>
      </c>
    </row>
    <row r="24" spans="1:13" x14ac:dyDescent="0.25">
      <c r="A24" s="4">
        <v>3</v>
      </c>
      <c r="B24" s="4">
        <v>7</v>
      </c>
      <c r="C24" s="4">
        <v>4</v>
      </c>
      <c r="D24" s="4">
        <v>27</v>
      </c>
      <c r="E24" s="4">
        <v>23</v>
      </c>
      <c r="F24" s="4" t="s">
        <v>25</v>
      </c>
      <c r="G24" t="s">
        <v>27</v>
      </c>
      <c r="H24" s="4">
        <v>307</v>
      </c>
      <c r="I24" s="4">
        <v>1</v>
      </c>
      <c r="J24" s="38">
        <v>45558</v>
      </c>
      <c r="K24" s="12">
        <v>44</v>
      </c>
      <c r="L24">
        <v>0</v>
      </c>
      <c r="M24" s="43">
        <f t="shared" si="0"/>
        <v>0</v>
      </c>
    </row>
    <row r="25" spans="1:13" x14ac:dyDescent="0.25">
      <c r="A25" s="4">
        <v>3</v>
      </c>
      <c r="B25" s="4">
        <v>8</v>
      </c>
      <c r="C25" s="4">
        <v>4</v>
      </c>
      <c r="D25" s="4">
        <v>30</v>
      </c>
      <c r="E25" s="4">
        <v>24</v>
      </c>
      <c r="F25" s="4" t="s">
        <v>30</v>
      </c>
      <c r="G25" t="s">
        <v>28</v>
      </c>
      <c r="H25" s="4">
        <v>308</v>
      </c>
      <c r="I25" s="4">
        <v>1</v>
      </c>
      <c r="J25" s="38">
        <v>45558</v>
      </c>
      <c r="K25" s="12">
        <v>64</v>
      </c>
      <c r="L25">
        <v>0</v>
      </c>
      <c r="M25" s="43">
        <f t="shared" si="0"/>
        <v>0</v>
      </c>
    </row>
    <row r="26" spans="1:13" x14ac:dyDescent="0.25">
      <c r="A26" s="4">
        <v>4</v>
      </c>
      <c r="B26" s="4">
        <v>8</v>
      </c>
      <c r="C26" s="4">
        <v>4</v>
      </c>
      <c r="D26" s="4">
        <v>29</v>
      </c>
      <c r="E26" s="4">
        <v>25</v>
      </c>
      <c r="F26" s="4" t="s">
        <v>30</v>
      </c>
      <c r="G26" t="s">
        <v>31</v>
      </c>
      <c r="H26" s="4">
        <v>408</v>
      </c>
      <c r="I26" s="4">
        <v>1</v>
      </c>
      <c r="J26" s="38">
        <v>45558</v>
      </c>
      <c r="K26" s="12">
        <v>47</v>
      </c>
      <c r="L26">
        <v>0</v>
      </c>
      <c r="M26" s="43">
        <f t="shared" si="0"/>
        <v>0</v>
      </c>
    </row>
    <row r="27" spans="1:13" x14ac:dyDescent="0.25">
      <c r="A27" s="4">
        <v>4</v>
      </c>
      <c r="B27" s="4">
        <v>7</v>
      </c>
      <c r="C27" s="4">
        <v>4</v>
      </c>
      <c r="D27" s="4">
        <v>28</v>
      </c>
      <c r="E27" s="4">
        <v>26</v>
      </c>
      <c r="F27" s="4" t="s">
        <v>25</v>
      </c>
      <c r="G27" t="s">
        <v>26</v>
      </c>
      <c r="H27" s="4">
        <v>407</v>
      </c>
      <c r="I27" s="4">
        <v>1</v>
      </c>
      <c r="J27" s="38">
        <v>45558</v>
      </c>
      <c r="K27" s="12">
        <v>57</v>
      </c>
      <c r="L27">
        <v>0</v>
      </c>
      <c r="M27" s="43">
        <f t="shared" si="0"/>
        <v>0</v>
      </c>
    </row>
    <row r="28" spans="1:13" x14ac:dyDescent="0.25">
      <c r="A28" s="4">
        <v>4</v>
      </c>
      <c r="B28" s="4">
        <v>6</v>
      </c>
      <c r="C28" s="4">
        <v>3</v>
      </c>
      <c r="D28" s="4">
        <v>21</v>
      </c>
      <c r="E28" s="4">
        <v>27</v>
      </c>
      <c r="F28" s="4" t="s">
        <v>30</v>
      </c>
      <c r="G28" t="s">
        <v>28</v>
      </c>
      <c r="H28" s="4">
        <v>406</v>
      </c>
      <c r="I28" s="4">
        <v>1</v>
      </c>
      <c r="J28" s="38">
        <v>45558</v>
      </c>
      <c r="K28" s="12">
        <v>54</v>
      </c>
      <c r="L28">
        <v>0</v>
      </c>
      <c r="M28" s="43">
        <f t="shared" si="0"/>
        <v>0</v>
      </c>
    </row>
    <row r="29" spans="1:13" x14ac:dyDescent="0.25">
      <c r="A29" s="4">
        <v>4</v>
      </c>
      <c r="B29" s="4">
        <v>5</v>
      </c>
      <c r="C29" s="4">
        <v>3</v>
      </c>
      <c r="D29" s="4">
        <v>20</v>
      </c>
      <c r="E29" s="4">
        <v>28</v>
      </c>
      <c r="F29" s="4" t="s">
        <v>25</v>
      </c>
      <c r="G29" t="s">
        <v>27</v>
      </c>
      <c r="H29" s="4">
        <v>405</v>
      </c>
      <c r="I29" s="4">
        <v>1</v>
      </c>
      <c r="J29" s="38">
        <v>45558</v>
      </c>
      <c r="K29" s="12">
        <v>64</v>
      </c>
      <c r="L29">
        <v>0</v>
      </c>
      <c r="M29" s="43">
        <f t="shared" si="0"/>
        <v>0</v>
      </c>
    </row>
    <row r="30" spans="1:13" x14ac:dyDescent="0.25">
      <c r="A30" s="4">
        <v>4</v>
      </c>
      <c r="B30" s="4">
        <v>4</v>
      </c>
      <c r="C30" s="4">
        <v>2</v>
      </c>
      <c r="D30" s="4">
        <v>13</v>
      </c>
      <c r="E30" s="4">
        <v>29</v>
      </c>
      <c r="F30" s="4" t="s">
        <v>30</v>
      </c>
      <c r="G30" t="s">
        <v>29</v>
      </c>
      <c r="H30" s="4">
        <v>404</v>
      </c>
      <c r="I30" s="4">
        <v>1</v>
      </c>
      <c r="J30" s="38">
        <v>45558</v>
      </c>
      <c r="K30" s="12">
        <v>64</v>
      </c>
      <c r="L30">
        <v>0</v>
      </c>
      <c r="M30" s="43">
        <f t="shared" si="0"/>
        <v>0</v>
      </c>
    </row>
    <row r="31" spans="1:13" x14ac:dyDescent="0.25">
      <c r="A31" s="4">
        <v>4</v>
      </c>
      <c r="B31" s="4">
        <v>3</v>
      </c>
      <c r="C31" s="4">
        <v>2</v>
      </c>
      <c r="D31" s="4">
        <v>12</v>
      </c>
      <c r="E31" s="4">
        <v>30</v>
      </c>
      <c r="F31" s="4" t="s">
        <v>25</v>
      </c>
      <c r="G31" t="s">
        <v>28</v>
      </c>
      <c r="H31" s="4">
        <v>403</v>
      </c>
      <c r="I31" s="4">
        <v>1</v>
      </c>
      <c r="J31" s="38">
        <v>45558</v>
      </c>
      <c r="K31" s="12">
        <v>61</v>
      </c>
      <c r="L31">
        <v>10</v>
      </c>
      <c r="M31" s="43">
        <f t="shared" si="0"/>
        <v>16.393442622950818</v>
      </c>
    </row>
    <row r="32" spans="1:13" x14ac:dyDescent="0.25">
      <c r="A32" s="4">
        <v>4</v>
      </c>
      <c r="B32" s="4">
        <v>2</v>
      </c>
      <c r="C32" s="4">
        <v>1</v>
      </c>
      <c r="D32" s="4">
        <v>5</v>
      </c>
      <c r="E32" s="4">
        <v>31</v>
      </c>
      <c r="F32" s="4" t="s">
        <v>30</v>
      </c>
      <c r="G32" t="s">
        <v>32</v>
      </c>
      <c r="H32" s="4">
        <v>402</v>
      </c>
      <c r="I32" s="4">
        <v>1</v>
      </c>
      <c r="J32" s="38">
        <v>45558</v>
      </c>
      <c r="K32" s="12">
        <v>66</v>
      </c>
      <c r="L32">
        <v>0</v>
      </c>
      <c r="M32" s="43">
        <f t="shared" si="0"/>
        <v>0</v>
      </c>
    </row>
    <row r="33" spans="1:13" x14ac:dyDescent="0.25">
      <c r="A33" s="4">
        <v>4</v>
      </c>
      <c r="B33" s="4">
        <v>1</v>
      </c>
      <c r="C33" s="4">
        <v>1</v>
      </c>
      <c r="D33" s="4">
        <v>4</v>
      </c>
      <c r="E33" s="4">
        <v>32</v>
      </c>
      <c r="F33" s="4" t="s">
        <v>25</v>
      </c>
      <c r="G33" t="s">
        <v>29</v>
      </c>
      <c r="H33" s="4">
        <v>401</v>
      </c>
      <c r="I33" s="4">
        <v>1</v>
      </c>
      <c r="J33" s="38">
        <v>45558</v>
      </c>
      <c r="K33" s="12">
        <v>51</v>
      </c>
      <c r="L33">
        <v>0</v>
      </c>
      <c r="M33" s="43">
        <f t="shared" si="0"/>
        <v>0</v>
      </c>
    </row>
    <row r="34" spans="1:13" x14ac:dyDescent="0.25">
      <c r="A34" s="4">
        <v>1</v>
      </c>
      <c r="B34" s="4">
        <v>1</v>
      </c>
      <c r="C34" s="4">
        <v>1</v>
      </c>
      <c r="D34" s="4">
        <v>1</v>
      </c>
      <c r="E34" s="4">
        <v>1</v>
      </c>
      <c r="F34" s="4" t="s">
        <v>25</v>
      </c>
      <c r="G34" t="s">
        <v>26</v>
      </c>
      <c r="H34" s="4">
        <v>101</v>
      </c>
      <c r="I34" s="4">
        <v>2</v>
      </c>
      <c r="J34" s="38">
        <v>45560</v>
      </c>
      <c r="K34" s="12">
        <v>50</v>
      </c>
      <c r="L34">
        <v>0</v>
      </c>
      <c r="M34" s="43">
        <f t="shared" si="0"/>
        <v>0</v>
      </c>
    </row>
    <row r="35" spans="1:13" x14ac:dyDescent="0.25">
      <c r="A35" s="4">
        <v>1</v>
      </c>
      <c r="B35" s="4">
        <v>2</v>
      </c>
      <c r="C35" s="4">
        <v>1</v>
      </c>
      <c r="D35" s="4">
        <v>8</v>
      </c>
      <c r="E35" s="4">
        <v>2</v>
      </c>
      <c r="F35" s="4" t="s">
        <v>30</v>
      </c>
      <c r="G35" t="s">
        <v>31</v>
      </c>
      <c r="H35" s="4">
        <v>102</v>
      </c>
      <c r="I35" s="4">
        <v>2</v>
      </c>
      <c r="J35" s="38">
        <v>45560</v>
      </c>
      <c r="K35" s="12">
        <v>39</v>
      </c>
      <c r="L35">
        <v>0</v>
      </c>
      <c r="M35" s="43">
        <f t="shared" si="0"/>
        <v>0</v>
      </c>
    </row>
    <row r="36" spans="1:13" x14ac:dyDescent="0.25">
      <c r="A36" s="4">
        <v>1</v>
      </c>
      <c r="B36" s="4">
        <v>3</v>
      </c>
      <c r="C36" s="4">
        <v>2</v>
      </c>
      <c r="D36" s="4">
        <v>9</v>
      </c>
      <c r="E36" s="4">
        <v>3</v>
      </c>
      <c r="F36" s="4" t="s">
        <v>25</v>
      </c>
      <c r="G36" t="s">
        <v>27</v>
      </c>
      <c r="H36" s="4">
        <v>103</v>
      </c>
      <c r="I36" s="4">
        <v>2</v>
      </c>
      <c r="J36" s="38">
        <v>45560</v>
      </c>
      <c r="K36" s="12">
        <v>38</v>
      </c>
      <c r="L36">
        <v>0</v>
      </c>
      <c r="M36" s="43">
        <f t="shared" si="0"/>
        <v>0</v>
      </c>
    </row>
    <row r="37" spans="1:13" x14ac:dyDescent="0.25">
      <c r="A37" s="4">
        <v>1</v>
      </c>
      <c r="B37" s="4">
        <v>4</v>
      </c>
      <c r="C37" s="4">
        <v>2</v>
      </c>
      <c r="D37" s="4">
        <v>16</v>
      </c>
      <c r="E37" s="4">
        <v>4</v>
      </c>
      <c r="F37" s="4" t="s">
        <v>30</v>
      </c>
      <c r="G37" t="s">
        <v>28</v>
      </c>
      <c r="H37" s="4">
        <v>104</v>
      </c>
      <c r="I37" s="4">
        <v>2</v>
      </c>
      <c r="J37" s="38">
        <v>45560</v>
      </c>
      <c r="K37" s="12">
        <v>38</v>
      </c>
      <c r="L37">
        <v>0</v>
      </c>
      <c r="M37" s="43">
        <f t="shared" si="0"/>
        <v>0</v>
      </c>
    </row>
    <row r="38" spans="1:13" x14ac:dyDescent="0.25">
      <c r="A38" s="4">
        <v>1</v>
      </c>
      <c r="B38" s="4">
        <v>5</v>
      </c>
      <c r="C38" s="4">
        <v>3</v>
      </c>
      <c r="D38" s="4">
        <v>17</v>
      </c>
      <c r="E38" s="4">
        <v>5</v>
      </c>
      <c r="F38" s="4" t="s">
        <v>25</v>
      </c>
      <c r="G38" t="s">
        <v>28</v>
      </c>
      <c r="H38" s="4">
        <v>105</v>
      </c>
      <c r="I38" s="4">
        <v>2</v>
      </c>
      <c r="J38" s="38">
        <v>45560</v>
      </c>
      <c r="K38" s="12">
        <v>61</v>
      </c>
      <c r="L38">
        <v>27</v>
      </c>
      <c r="M38" s="43">
        <f t="shared" si="0"/>
        <v>44.26229508196721</v>
      </c>
    </row>
    <row r="39" spans="1:13" x14ac:dyDescent="0.25">
      <c r="A39" s="4">
        <v>1</v>
      </c>
      <c r="B39" s="4">
        <v>6</v>
      </c>
      <c r="C39" s="4">
        <v>3</v>
      </c>
      <c r="D39" s="4">
        <v>24</v>
      </c>
      <c r="E39" s="4">
        <v>6</v>
      </c>
      <c r="F39" s="4" t="s">
        <v>30</v>
      </c>
      <c r="G39" t="s">
        <v>29</v>
      </c>
      <c r="H39" s="4">
        <v>106</v>
      </c>
      <c r="I39" s="4">
        <v>2</v>
      </c>
      <c r="J39" s="38">
        <v>45560</v>
      </c>
      <c r="K39" s="12">
        <v>85</v>
      </c>
      <c r="L39">
        <v>0</v>
      </c>
      <c r="M39" s="43">
        <f t="shared" si="0"/>
        <v>0</v>
      </c>
    </row>
    <row r="40" spans="1:13" x14ac:dyDescent="0.25">
      <c r="A40" s="4">
        <v>1</v>
      </c>
      <c r="B40" s="4">
        <v>7</v>
      </c>
      <c r="C40" s="4">
        <v>4</v>
      </c>
      <c r="D40" s="4">
        <v>25</v>
      </c>
      <c r="E40" s="4">
        <v>7</v>
      </c>
      <c r="F40" s="4" t="s">
        <v>25</v>
      </c>
      <c r="G40" t="s">
        <v>29</v>
      </c>
      <c r="H40" s="4">
        <v>107</v>
      </c>
      <c r="I40" s="4">
        <v>2</v>
      </c>
      <c r="J40" s="38">
        <v>45560</v>
      </c>
      <c r="K40" s="12">
        <v>34</v>
      </c>
      <c r="L40">
        <v>4</v>
      </c>
      <c r="M40" s="43">
        <f t="shared" si="0"/>
        <v>11.76470588235294</v>
      </c>
    </row>
    <row r="41" spans="1:13" x14ac:dyDescent="0.25">
      <c r="A41" s="4">
        <v>1</v>
      </c>
      <c r="B41" s="4">
        <v>8</v>
      </c>
      <c r="C41" s="4">
        <v>4</v>
      </c>
      <c r="D41" s="4">
        <v>32</v>
      </c>
      <c r="E41" s="4">
        <v>8</v>
      </c>
      <c r="F41" s="4" t="s">
        <v>30</v>
      </c>
      <c r="G41" t="s">
        <v>32</v>
      </c>
      <c r="H41" s="4">
        <v>108</v>
      </c>
      <c r="I41" s="4">
        <v>2</v>
      </c>
      <c r="J41" s="38">
        <v>45560</v>
      </c>
      <c r="K41" s="12">
        <v>75</v>
      </c>
      <c r="L41">
        <v>0</v>
      </c>
      <c r="M41" s="43">
        <f t="shared" si="0"/>
        <v>0</v>
      </c>
    </row>
    <row r="42" spans="1:13" x14ac:dyDescent="0.25">
      <c r="A42" s="4">
        <v>2</v>
      </c>
      <c r="B42" s="4">
        <v>8</v>
      </c>
      <c r="C42" s="4">
        <v>4</v>
      </c>
      <c r="D42" s="4">
        <v>31</v>
      </c>
      <c r="E42" s="4">
        <v>9</v>
      </c>
      <c r="F42" s="4" t="s">
        <v>30</v>
      </c>
      <c r="G42" t="s">
        <v>29</v>
      </c>
      <c r="H42" s="4">
        <v>208</v>
      </c>
      <c r="I42" s="4">
        <v>2</v>
      </c>
      <c r="J42" s="38">
        <v>45560</v>
      </c>
      <c r="K42" s="12">
        <v>79</v>
      </c>
      <c r="L42">
        <v>0</v>
      </c>
      <c r="M42" s="43">
        <f t="shared" si="0"/>
        <v>0</v>
      </c>
    </row>
    <row r="43" spans="1:13" x14ac:dyDescent="0.25">
      <c r="A43" s="4">
        <v>2</v>
      </c>
      <c r="B43" s="4">
        <v>7</v>
      </c>
      <c r="C43" s="4">
        <v>4</v>
      </c>
      <c r="D43" s="4">
        <v>26</v>
      </c>
      <c r="E43" s="4">
        <v>10</v>
      </c>
      <c r="F43" s="4" t="s">
        <v>25</v>
      </c>
      <c r="G43" t="s">
        <v>28</v>
      </c>
      <c r="H43" s="4">
        <v>207</v>
      </c>
      <c r="I43" s="4">
        <v>2</v>
      </c>
      <c r="J43" s="38">
        <v>45560</v>
      </c>
      <c r="K43" s="12">
        <v>49</v>
      </c>
      <c r="L43">
        <v>32</v>
      </c>
      <c r="M43" s="43">
        <f t="shared" si="0"/>
        <v>65.306122448979593</v>
      </c>
    </row>
    <row r="44" spans="1:13" x14ac:dyDescent="0.25">
      <c r="A44" s="4">
        <v>2</v>
      </c>
      <c r="B44" s="4">
        <v>6</v>
      </c>
      <c r="C44" s="4">
        <v>3</v>
      </c>
      <c r="D44" s="4">
        <v>23</v>
      </c>
      <c r="E44" s="4">
        <v>11</v>
      </c>
      <c r="F44" s="4" t="s">
        <v>30</v>
      </c>
      <c r="G44" t="s">
        <v>31</v>
      </c>
      <c r="H44" s="4">
        <v>206</v>
      </c>
      <c r="I44" s="4">
        <v>2</v>
      </c>
      <c r="J44" s="38">
        <v>45560</v>
      </c>
      <c r="K44" s="12">
        <v>42</v>
      </c>
      <c r="L44">
        <v>0</v>
      </c>
      <c r="M44" s="43">
        <f t="shared" si="0"/>
        <v>0</v>
      </c>
    </row>
    <row r="45" spans="1:13" x14ac:dyDescent="0.25">
      <c r="A45" s="4">
        <v>2</v>
      </c>
      <c r="B45" s="4">
        <v>5</v>
      </c>
      <c r="C45" s="4">
        <v>3</v>
      </c>
      <c r="D45" s="4">
        <v>18</v>
      </c>
      <c r="E45" s="4">
        <v>12</v>
      </c>
      <c r="F45" s="4" t="s">
        <v>25</v>
      </c>
      <c r="G45" t="s">
        <v>26</v>
      </c>
      <c r="H45" s="4">
        <v>205</v>
      </c>
      <c r="I45" s="4">
        <v>2</v>
      </c>
      <c r="J45" s="38">
        <v>45560</v>
      </c>
      <c r="K45" s="12">
        <v>61</v>
      </c>
      <c r="L45">
        <v>0</v>
      </c>
      <c r="M45" s="43">
        <f t="shared" si="0"/>
        <v>0</v>
      </c>
    </row>
    <row r="46" spans="1:13" x14ac:dyDescent="0.25">
      <c r="A46" s="4">
        <v>2</v>
      </c>
      <c r="B46" s="4">
        <v>4</v>
      </c>
      <c r="C46" s="4">
        <v>2</v>
      </c>
      <c r="D46" s="4">
        <v>15</v>
      </c>
      <c r="E46" s="4">
        <v>13</v>
      </c>
      <c r="F46" s="4" t="s">
        <v>30</v>
      </c>
      <c r="G46" t="s">
        <v>32</v>
      </c>
      <c r="H46" s="4">
        <v>204</v>
      </c>
      <c r="I46" s="4">
        <v>2</v>
      </c>
      <c r="J46" s="38">
        <v>45560</v>
      </c>
      <c r="K46" s="12">
        <v>52</v>
      </c>
      <c r="L46">
        <v>0</v>
      </c>
      <c r="M46" s="43">
        <f t="shared" si="0"/>
        <v>0</v>
      </c>
    </row>
    <row r="47" spans="1:13" x14ac:dyDescent="0.25">
      <c r="A47" s="4">
        <v>2</v>
      </c>
      <c r="B47" s="4">
        <v>3</v>
      </c>
      <c r="C47" s="4">
        <v>2</v>
      </c>
      <c r="D47" s="4">
        <v>10</v>
      </c>
      <c r="E47" s="4">
        <v>14</v>
      </c>
      <c r="F47" s="4" t="s">
        <v>25</v>
      </c>
      <c r="G47" t="s">
        <v>29</v>
      </c>
      <c r="H47" s="4">
        <v>203</v>
      </c>
      <c r="I47" s="4">
        <v>2</v>
      </c>
      <c r="J47" s="38">
        <v>45560</v>
      </c>
      <c r="K47" s="12">
        <v>51</v>
      </c>
      <c r="L47">
        <v>4</v>
      </c>
      <c r="M47" s="43">
        <f t="shared" si="0"/>
        <v>7.8431372549019605</v>
      </c>
    </row>
    <row r="48" spans="1:13" x14ac:dyDescent="0.25">
      <c r="A48" s="4">
        <v>2</v>
      </c>
      <c r="B48" s="4">
        <v>2</v>
      </c>
      <c r="C48" s="4">
        <v>1</v>
      </c>
      <c r="D48" s="4">
        <v>7</v>
      </c>
      <c r="E48" s="4">
        <v>15</v>
      </c>
      <c r="F48" s="4" t="s">
        <v>30</v>
      </c>
      <c r="G48" t="s">
        <v>28</v>
      </c>
      <c r="H48" s="4">
        <v>202</v>
      </c>
      <c r="I48" s="4">
        <v>2</v>
      </c>
      <c r="J48" s="38">
        <v>45560</v>
      </c>
      <c r="K48" s="12">
        <v>67</v>
      </c>
      <c r="L48">
        <v>0</v>
      </c>
      <c r="M48" s="43">
        <f t="shared" si="0"/>
        <v>0</v>
      </c>
    </row>
    <row r="49" spans="1:13" x14ac:dyDescent="0.25">
      <c r="A49" s="4">
        <v>2</v>
      </c>
      <c r="B49" s="4">
        <v>1</v>
      </c>
      <c r="C49" s="4">
        <v>1</v>
      </c>
      <c r="D49" s="4">
        <v>2</v>
      </c>
      <c r="E49" s="4">
        <v>16</v>
      </c>
      <c r="F49" s="4" t="s">
        <v>25</v>
      </c>
      <c r="G49" t="s">
        <v>27</v>
      </c>
      <c r="H49" s="4">
        <v>201</v>
      </c>
      <c r="I49" s="4">
        <v>2</v>
      </c>
      <c r="J49" s="38">
        <v>45560</v>
      </c>
      <c r="K49" s="12">
        <v>55</v>
      </c>
      <c r="L49">
        <v>0</v>
      </c>
      <c r="M49" s="43">
        <f t="shared" si="0"/>
        <v>0</v>
      </c>
    </row>
    <row r="50" spans="1:13" x14ac:dyDescent="0.25">
      <c r="A50" s="4">
        <v>3</v>
      </c>
      <c r="B50" s="4">
        <v>1</v>
      </c>
      <c r="C50" s="4">
        <v>1</v>
      </c>
      <c r="D50" s="4">
        <v>3</v>
      </c>
      <c r="E50" s="4">
        <v>17</v>
      </c>
      <c r="F50" s="4" t="s">
        <v>25</v>
      </c>
      <c r="G50" t="s">
        <v>28</v>
      </c>
      <c r="H50" s="4">
        <v>301</v>
      </c>
      <c r="I50" s="4">
        <v>2</v>
      </c>
      <c r="J50" s="38">
        <v>45560</v>
      </c>
      <c r="K50" s="12">
        <v>35</v>
      </c>
      <c r="L50">
        <v>20</v>
      </c>
      <c r="M50" s="43">
        <f t="shared" si="0"/>
        <v>57.142857142857139</v>
      </c>
    </row>
    <row r="51" spans="1:13" x14ac:dyDescent="0.25">
      <c r="A51" s="4">
        <v>3</v>
      </c>
      <c r="B51" s="4">
        <v>2</v>
      </c>
      <c r="C51" s="4">
        <v>1</v>
      </c>
      <c r="D51" s="4">
        <v>6</v>
      </c>
      <c r="E51" s="4">
        <v>18</v>
      </c>
      <c r="F51" s="4" t="s">
        <v>30</v>
      </c>
      <c r="G51" t="s">
        <v>29</v>
      </c>
      <c r="H51" s="4">
        <v>302</v>
      </c>
      <c r="I51" s="4">
        <v>2</v>
      </c>
      <c r="J51" s="38">
        <v>45560</v>
      </c>
      <c r="K51" s="12">
        <v>55</v>
      </c>
      <c r="L51">
        <v>0</v>
      </c>
      <c r="M51" s="43">
        <f t="shared" si="0"/>
        <v>0</v>
      </c>
    </row>
    <row r="52" spans="1:13" x14ac:dyDescent="0.25">
      <c r="A52" s="4">
        <v>3</v>
      </c>
      <c r="B52" s="4">
        <v>3</v>
      </c>
      <c r="C52" s="4">
        <v>2</v>
      </c>
      <c r="D52" s="4">
        <v>11</v>
      </c>
      <c r="E52" s="4">
        <v>19</v>
      </c>
      <c r="F52" s="4" t="s">
        <v>25</v>
      </c>
      <c r="G52" t="s">
        <v>26</v>
      </c>
      <c r="H52" s="4">
        <v>303</v>
      </c>
      <c r="I52" s="4">
        <v>2</v>
      </c>
      <c r="J52" s="38">
        <v>45560</v>
      </c>
      <c r="K52" s="12">
        <v>59</v>
      </c>
      <c r="L52">
        <v>0</v>
      </c>
      <c r="M52" s="43">
        <f t="shared" si="0"/>
        <v>0</v>
      </c>
    </row>
    <row r="53" spans="1:13" x14ac:dyDescent="0.25">
      <c r="A53" s="4">
        <v>3</v>
      </c>
      <c r="B53" s="4">
        <v>4</v>
      </c>
      <c r="C53" s="4">
        <v>2</v>
      </c>
      <c r="D53" s="4">
        <v>14</v>
      </c>
      <c r="E53" s="4">
        <v>20</v>
      </c>
      <c r="F53" s="4" t="s">
        <v>30</v>
      </c>
      <c r="G53" t="s">
        <v>31</v>
      </c>
      <c r="H53" s="4">
        <v>304</v>
      </c>
      <c r="I53" s="4">
        <v>2</v>
      </c>
      <c r="J53" s="38">
        <v>45560</v>
      </c>
      <c r="K53" s="12">
        <v>46</v>
      </c>
      <c r="L53">
        <v>0</v>
      </c>
      <c r="M53" s="43">
        <f t="shared" si="0"/>
        <v>0</v>
      </c>
    </row>
    <row r="54" spans="1:13" x14ac:dyDescent="0.25">
      <c r="A54" s="4">
        <v>3</v>
      </c>
      <c r="B54" s="4">
        <v>5</v>
      </c>
      <c r="C54" s="4">
        <v>3</v>
      </c>
      <c r="D54" s="4">
        <v>19</v>
      </c>
      <c r="E54" s="4">
        <v>21</v>
      </c>
      <c r="F54" s="4" t="s">
        <v>25</v>
      </c>
      <c r="G54" t="s">
        <v>29</v>
      </c>
      <c r="H54" s="4">
        <v>305</v>
      </c>
      <c r="I54" s="4">
        <v>2</v>
      </c>
      <c r="J54" s="38">
        <v>45560</v>
      </c>
      <c r="K54" s="12">
        <v>61</v>
      </c>
      <c r="L54">
        <v>25</v>
      </c>
      <c r="M54" s="43">
        <f t="shared" si="0"/>
        <v>40.983606557377051</v>
      </c>
    </row>
    <row r="55" spans="1:13" x14ac:dyDescent="0.25">
      <c r="A55" s="4">
        <v>3</v>
      </c>
      <c r="B55" s="4">
        <v>6</v>
      </c>
      <c r="C55" s="4">
        <v>3</v>
      </c>
      <c r="D55" s="4">
        <v>22</v>
      </c>
      <c r="E55" s="4">
        <v>22</v>
      </c>
      <c r="F55" s="4" t="s">
        <v>30</v>
      </c>
      <c r="G55" t="s">
        <v>32</v>
      </c>
      <c r="H55" s="4">
        <v>306</v>
      </c>
      <c r="I55" s="4">
        <v>2</v>
      </c>
      <c r="J55" s="38">
        <v>45560</v>
      </c>
      <c r="K55" s="12">
        <v>73</v>
      </c>
      <c r="L55">
        <v>0</v>
      </c>
      <c r="M55" s="43">
        <f t="shared" si="0"/>
        <v>0</v>
      </c>
    </row>
    <row r="56" spans="1:13" x14ac:dyDescent="0.25">
      <c r="A56" s="4">
        <v>3</v>
      </c>
      <c r="B56" s="4">
        <v>7</v>
      </c>
      <c r="C56" s="4">
        <v>4</v>
      </c>
      <c r="D56" s="4">
        <v>27</v>
      </c>
      <c r="E56" s="4">
        <v>23</v>
      </c>
      <c r="F56" s="4" t="s">
        <v>25</v>
      </c>
      <c r="G56" t="s">
        <v>27</v>
      </c>
      <c r="H56" s="4">
        <v>307</v>
      </c>
      <c r="I56" s="4">
        <v>2</v>
      </c>
      <c r="J56" s="38">
        <v>45560</v>
      </c>
      <c r="K56" s="12">
        <v>44</v>
      </c>
      <c r="L56">
        <v>0</v>
      </c>
      <c r="M56" s="43">
        <f t="shared" si="0"/>
        <v>0</v>
      </c>
    </row>
    <row r="57" spans="1:13" x14ac:dyDescent="0.25">
      <c r="A57" s="4">
        <v>3</v>
      </c>
      <c r="B57" s="4">
        <v>8</v>
      </c>
      <c r="C57" s="4">
        <v>4</v>
      </c>
      <c r="D57" s="4">
        <v>30</v>
      </c>
      <c r="E57" s="4">
        <v>24</v>
      </c>
      <c r="F57" s="4" t="s">
        <v>30</v>
      </c>
      <c r="G57" t="s">
        <v>28</v>
      </c>
      <c r="H57" s="4">
        <v>308</v>
      </c>
      <c r="I57" s="4">
        <v>2</v>
      </c>
      <c r="J57" s="38">
        <v>45560</v>
      </c>
      <c r="K57" s="12">
        <v>64</v>
      </c>
      <c r="L57">
        <v>0</v>
      </c>
      <c r="M57" s="43">
        <f t="shared" si="0"/>
        <v>0</v>
      </c>
    </row>
    <row r="58" spans="1:13" x14ac:dyDescent="0.25">
      <c r="A58" s="4">
        <v>4</v>
      </c>
      <c r="B58" s="4">
        <v>8</v>
      </c>
      <c r="C58" s="4">
        <v>4</v>
      </c>
      <c r="D58" s="4">
        <v>29</v>
      </c>
      <c r="E58" s="4">
        <v>25</v>
      </c>
      <c r="F58" s="4" t="s">
        <v>30</v>
      </c>
      <c r="G58" t="s">
        <v>31</v>
      </c>
      <c r="H58" s="4">
        <v>408</v>
      </c>
      <c r="I58" s="4">
        <v>2</v>
      </c>
      <c r="J58" s="38">
        <v>45560</v>
      </c>
      <c r="K58" s="12">
        <v>47</v>
      </c>
      <c r="L58">
        <v>0</v>
      </c>
      <c r="M58" s="43">
        <f t="shared" si="0"/>
        <v>0</v>
      </c>
    </row>
    <row r="59" spans="1:13" x14ac:dyDescent="0.25">
      <c r="A59" s="4">
        <v>4</v>
      </c>
      <c r="B59" s="4">
        <v>7</v>
      </c>
      <c r="C59" s="4">
        <v>4</v>
      </c>
      <c r="D59" s="4">
        <v>28</v>
      </c>
      <c r="E59" s="4">
        <v>26</v>
      </c>
      <c r="F59" s="4" t="s">
        <v>25</v>
      </c>
      <c r="G59" t="s">
        <v>26</v>
      </c>
      <c r="H59" s="4">
        <v>407</v>
      </c>
      <c r="I59" s="4">
        <v>2</v>
      </c>
      <c r="J59" s="38">
        <v>45560</v>
      </c>
      <c r="K59" s="12">
        <v>57</v>
      </c>
      <c r="L59">
        <v>0</v>
      </c>
      <c r="M59" s="43">
        <f t="shared" si="0"/>
        <v>0</v>
      </c>
    </row>
    <row r="60" spans="1:13" x14ac:dyDescent="0.25">
      <c r="A60" s="4">
        <v>4</v>
      </c>
      <c r="B60" s="4">
        <v>6</v>
      </c>
      <c r="C60" s="4">
        <v>3</v>
      </c>
      <c r="D60" s="4">
        <v>21</v>
      </c>
      <c r="E60" s="4">
        <v>27</v>
      </c>
      <c r="F60" s="4" t="s">
        <v>30</v>
      </c>
      <c r="G60" t="s">
        <v>28</v>
      </c>
      <c r="H60" s="4">
        <v>406</v>
      </c>
      <c r="I60" s="4">
        <v>2</v>
      </c>
      <c r="J60" s="38">
        <v>45560</v>
      </c>
      <c r="K60" s="12">
        <v>54</v>
      </c>
      <c r="L60">
        <v>0</v>
      </c>
      <c r="M60" s="43">
        <f t="shared" si="0"/>
        <v>0</v>
      </c>
    </row>
    <row r="61" spans="1:13" x14ac:dyDescent="0.25">
      <c r="A61" s="4">
        <v>4</v>
      </c>
      <c r="B61" s="4">
        <v>5</v>
      </c>
      <c r="C61" s="4">
        <v>3</v>
      </c>
      <c r="D61" s="4">
        <v>20</v>
      </c>
      <c r="E61" s="4">
        <v>28</v>
      </c>
      <c r="F61" s="4" t="s">
        <v>25</v>
      </c>
      <c r="G61" t="s">
        <v>27</v>
      </c>
      <c r="H61" s="4">
        <v>405</v>
      </c>
      <c r="I61" s="4">
        <v>2</v>
      </c>
      <c r="J61" s="38">
        <v>45560</v>
      </c>
      <c r="K61" s="12">
        <v>64</v>
      </c>
      <c r="L61">
        <v>2</v>
      </c>
      <c r="M61" s="43">
        <f t="shared" si="0"/>
        <v>3.125</v>
      </c>
    </row>
    <row r="62" spans="1:13" x14ac:dyDescent="0.25">
      <c r="A62" s="4">
        <v>4</v>
      </c>
      <c r="B62" s="4">
        <v>4</v>
      </c>
      <c r="C62" s="4">
        <v>2</v>
      </c>
      <c r="D62" s="4">
        <v>13</v>
      </c>
      <c r="E62" s="4">
        <v>29</v>
      </c>
      <c r="F62" s="4" t="s">
        <v>30</v>
      </c>
      <c r="G62" t="s">
        <v>29</v>
      </c>
      <c r="H62" s="4">
        <v>404</v>
      </c>
      <c r="I62" s="4">
        <v>2</v>
      </c>
      <c r="J62" s="38">
        <v>45560</v>
      </c>
      <c r="K62" s="12">
        <v>64</v>
      </c>
      <c r="L62">
        <v>0</v>
      </c>
      <c r="M62" s="43">
        <f t="shared" si="0"/>
        <v>0</v>
      </c>
    </row>
    <row r="63" spans="1:13" x14ac:dyDescent="0.25">
      <c r="A63" s="4">
        <v>4</v>
      </c>
      <c r="B63" s="4">
        <v>3</v>
      </c>
      <c r="C63" s="4">
        <v>2</v>
      </c>
      <c r="D63" s="4">
        <v>12</v>
      </c>
      <c r="E63" s="4">
        <v>30</v>
      </c>
      <c r="F63" s="4" t="s">
        <v>25</v>
      </c>
      <c r="G63" t="s">
        <v>28</v>
      </c>
      <c r="H63" s="4">
        <v>403</v>
      </c>
      <c r="I63" s="4">
        <v>2</v>
      </c>
      <c r="J63" s="38">
        <v>45560</v>
      </c>
      <c r="K63" s="12">
        <v>61</v>
      </c>
      <c r="L63">
        <v>28</v>
      </c>
      <c r="M63" s="43">
        <f t="shared" si="0"/>
        <v>45.901639344262293</v>
      </c>
    </row>
    <row r="64" spans="1:13" x14ac:dyDescent="0.25">
      <c r="A64" s="4">
        <v>4</v>
      </c>
      <c r="B64" s="4">
        <v>2</v>
      </c>
      <c r="C64" s="4">
        <v>1</v>
      </c>
      <c r="D64" s="4">
        <v>5</v>
      </c>
      <c r="E64" s="4">
        <v>31</v>
      </c>
      <c r="F64" s="4" t="s">
        <v>30</v>
      </c>
      <c r="G64" t="s">
        <v>32</v>
      </c>
      <c r="H64" s="4">
        <v>402</v>
      </c>
      <c r="I64" s="4">
        <v>2</v>
      </c>
      <c r="J64" s="38">
        <v>45560</v>
      </c>
      <c r="K64" s="12">
        <v>66</v>
      </c>
      <c r="L64">
        <v>0</v>
      </c>
      <c r="M64" s="43">
        <f t="shared" si="0"/>
        <v>0</v>
      </c>
    </row>
    <row r="65" spans="1:13" x14ac:dyDescent="0.25">
      <c r="A65" s="4">
        <v>4</v>
      </c>
      <c r="B65" s="4">
        <v>1</v>
      </c>
      <c r="C65" s="4">
        <v>1</v>
      </c>
      <c r="D65" s="4">
        <v>4</v>
      </c>
      <c r="E65" s="4">
        <v>32</v>
      </c>
      <c r="F65" s="4" t="s">
        <v>25</v>
      </c>
      <c r="G65" t="s">
        <v>29</v>
      </c>
      <c r="H65" s="4">
        <v>401</v>
      </c>
      <c r="I65" s="4">
        <v>2</v>
      </c>
      <c r="J65" s="38">
        <v>45560</v>
      </c>
      <c r="K65" s="12">
        <v>51</v>
      </c>
      <c r="L65">
        <v>2</v>
      </c>
      <c r="M65" s="43">
        <f t="shared" si="0"/>
        <v>3.9215686274509802</v>
      </c>
    </row>
    <row r="66" spans="1:13" x14ac:dyDescent="0.25">
      <c r="A66" s="4">
        <v>1</v>
      </c>
      <c r="B66" s="4">
        <v>1</v>
      </c>
      <c r="C66" s="4">
        <v>1</v>
      </c>
      <c r="D66" s="4">
        <v>1</v>
      </c>
      <c r="E66" s="4">
        <v>1</v>
      </c>
      <c r="F66" s="4" t="s">
        <v>25</v>
      </c>
      <c r="G66" t="s">
        <v>26</v>
      </c>
      <c r="H66" s="4">
        <v>101</v>
      </c>
      <c r="I66">
        <v>3</v>
      </c>
      <c r="J66" s="38"/>
      <c r="K66" s="12">
        <v>50</v>
      </c>
    </row>
    <row r="67" spans="1:13" x14ac:dyDescent="0.25">
      <c r="A67" s="4">
        <v>1</v>
      </c>
      <c r="B67" s="4">
        <v>2</v>
      </c>
      <c r="C67" s="4">
        <v>1</v>
      </c>
      <c r="D67" s="4">
        <v>8</v>
      </c>
      <c r="E67" s="4">
        <v>2</v>
      </c>
      <c r="F67" s="4" t="s">
        <v>30</v>
      </c>
      <c r="G67" t="s">
        <v>31</v>
      </c>
      <c r="H67" s="4">
        <v>102</v>
      </c>
      <c r="I67">
        <v>3</v>
      </c>
      <c r="J67" s="38"/>
      <c r="K67" s="12">
        <v>39</v>
      </c>
    </row>
    <row r="68" spans="1:13" x14ac:dyDescent="0.25">
      <c r="A68" s="4">
        <v>1</v>
      </c>
      <c r="B68" s="4">
        <v>3</v>
      </c>
      <c r="C68" s="4">
        <v>2</v>
      </c>
      <c r="D68" s="4">
        <v>9</v>
      </c>
      <c r="E68" s="4">
        <v>3</v>
      </c>
      <c r="F68" s="4" t="s">
        <v>25</v>
      </c>
      <c r="G68" t="s">
        <v>27</v>
      </c>
      <c r="H68" s="4">
        <v>103</v>
      </c>
      <c r="I68">
        <v>3</v>
      </c>
      <c r="J68" s="38"/>
      <c r="K68" s="12">
        <v>38</v>
      </c>
    </row>
    <row r="69" spans="1:13" x14ac:dyDescent="0.25">
      <c r="A69" s="4">
        <v>1</v>
      </c>
      <c r="B69" s="4">
        <v>4</v>
      </c>
      <c r="C69" s="4">
        <v>2</v>
      </c>
      <c r="D69" s="4">
        <v>16</v>
      </c>
      <c r="E69" s="4">
        <v>4</v>
      </c>
      <c r="F69" s="4" t="s">
        <v>30</v>
      </c>
      <c r="G69" t="s">
        <v>28</v>
      </c>
      <c r="H69" s="4">
        <v>104</v>
      </c>
      <c r="I69">
        <v>3</v>
      </c>
      <c r="J69" s="38"/>
      <c r="K69" s="12">
        <v>38</v>
      </c>
    </row>
    <row r="70" spans="1:13" x14ac:dyDescent="0.25">
      <c r="A70" s="4">
        <v>1</v>
      </c>
      <c r="B70" s="4">
        <v>5</v>
      </c>
      <c r="C70" s="4">
        <v>3</v>
      </c>
      <c r="D70" s="4">
        <v>17</v>
      </c>
      <c r="E70" s="4">
        <v>5</v>
      </c>
      <c r="F70" s="4" t="s">
        <v>25</v>
      </c>
      <c r="G70" t="s">
        <v>28</v>
      </c>
      <c r="H70" s="4">
        <v>105</v>
      </c>
      <c r="I70">
        <v>3</v>
      </c>
      <c r="J70" s="38"/>
      <c r="K70" s="12">
        <v>61</v>
      </c>
    </row>
    <row r="71" spans="1:13" x14ac:dyDescent="0.25">
      <c r="A71" s="4">
        <v>1</v>
      </c>
      <c r="B71" s="4">
        <v>6</v>
      </c>
      <c r="C71" s="4">
        <v>3</v>
      </c>
      <c r="D71" s="4">
        <v>24</v>
      </c>
      <c r="E71" s="4">
        <v>6</v>
      </c>
      <c r="F71" s="4" t="s">
        <v>30</v>
      </c>
      <c r="G71" t="s">
        <v>29</v>
      </c>
      <c r="H71" s="4">
        <v>106</v>
      </c>
      <c r="I71">
        <v>3</v>
      </c>
      <c r="J71" s="38"/>
      <c r="K71" s="12">
        <v>85</v>
      </c>
    </row>
    <row r="72" spans="1:13" x14ac:dyDescent="0.25">
      <c r="A72" s="4">
        <v>1</v>
      </c>
      <c r="B72" s="4">
        <v>7</v>
      </c>
      <c r="C72" s="4">
        <v>4</v>
      </c>
      <c r="D72" s="4">
        <v>25</v>
      </c>
      <c r="E72" s="4">
        <v>7</v>
      </c>
      <c r="F72" s="4" t="s">
        <v>25</v>
      </c>
      <c r="G72" t="s">
        <v>29</v>
      </c>
      <c r="H72" s="4">
        <v>107</v>
      </c>
      <c r="I72">
        <v>3</v>
      </c>
      <c r="J72" s="38">
        <v>45561</v>
      </c>
      <c r="K72" s="12">
        <v>34</v>
      </c>
      <c r="L72">
        <v>15</v>
      </c>
      <c r="M72" s="43">
        <f t="shared" ref="M72:M126" si="1">(L72/K72)*100</f>
        <v>44.117647058823529</v>
      </c>
    </row>
    <row r="73" spans="1:13" x14ac:dyDescent="0.25">
      <c r="A73" s="4">
        <v>1</v>
      </c>
      <c r="B73" s="4">
        <v>8</v>
      </c>
      <c r="C73" s="4">
        <v>4</v>
      </c>
      <c r="D73" s="4">
        <v>32</v>
      </c>
      <c r="E73" s="4">
        <v>8</v>
      </c>
      <c r="F73" s="4" t="s">
        <v>30</v>
      </c>
      <c r="G73" t="s">
        <v>32</v>
      </c>
      <c r="H73" s="4">
        <v>108</v>
      </c>
      <c r="I73">
        <v>3</v>
      </c>
      <c r="J73" s="38"/>
      <c r="K73" s="12">
        <v>75</v>
      </c>
    </row>
    <row r="74" spans="1:13" x14ac:dyDescent="0.25">
      <c r="A74" s="4">
        <v>2</v>
      </c>
      <c r="B74" s="4">
        <v>8</v>
      </c>
      <c r="C74" s="4">
        <v>4</v>
      </c>
      <c r="D74" s="4">
        <v>31</v>
      </c>
      <c r="E74" s="4">
        <v>9</v>
      </c>
      <c r="F74" s="4" t="s">
        <v>30</v>
      </c>
      <c r="G74" t="s">
        <v>29</v>
      </c>
      <c r="H74" s="4">
        <v>208</v>
      </c>
      <c r="I74">
        <v>3</v>
      </c>
      <c r="J74" s="38"/>
      <c r="K74" s="12">
        <v>79</v>
      </c>
    </row>
    <row r="75" spans="1:13" x14ac:dyDescent="0.25">
      <c r="A75" s="4">
        <v>2</v>
      </c>
      <c r="B75" s="4">
        <v>7</v>
      </c>
      <c r="C75" s="4">
        <v>4</v>
      </c>
      <c r="D75" s="4">
        <v>26</v>
      </c>
      <c r="E75" s="4">
        <v>10</v>
      </c>
      <c r="F75" s="4" t="s">
        <v>25</v>
      </c>
      <c r="G75" t="s">
        <v>28</v>
      </c>
      <c r="H75" s="4">
        <v>207</v>
      </c>
      <c r="I75">
        <v>3</v>
      </c>
      <c r="J75" s="38"/>
      <c r="K75" s="12">
        <v>49</v>
      </c>
    </row>
    <row r="76" spans="1:13" x14ac:dyDescent="0.25">
      <c r="A76" s="4">
        <v>2</v>
      </c>
      <c r="B76" s="4">
        <v>6</v>
      </c>
      <c r="C76" s="4">
        <v>3</v>
      </c>
      <c r="D76" s="4">
        <v>23</v>
      </c>
      <c r="E76" s="4">
        <v>11</v>
      </c>
      <c r="F76" s="4" t="s">
        <v>30</v>
      </c>
      <c r="G76" t="s">
        <v>31</v>
      </c>
      <c r="H76" s="4">
        <v>206</v>
      </c>
      <c r="I76">
        <v>3</v>
      </c>
      <c r="J76" s="38"/>
      <c r="K76" s="12">
        <v>42</v>
      </c>
    </row>
    <row r="77" spans="1:13" x14ac:dyDescent="0.25">
      <c r="A77" s="4">
        <v>2</v>
      </c>
      <c r="B77" s="4">
        <v>5</v>
      </c>
      <c r="C77" s="4">
        <v>3</v>
      </c>
      <c r="D77" s="4">
        <v>18</v>
      </c>
      <c r="E77" s="4">
        <v>12</v>
      </c>
      <c r="F77" s="4" t="s">
        <v>25</v>
      </c>
      <c r="G77" t="s">
        <v>26</v>
      </c>
      <c r="H77" s="4">
        <v>205</v>
      </c>
      <c r="I77">
        <v>3</v>
      </c>
      <c r="J77" s="38"/>
      <c r="K77" s="12">
        <v>61</v>
      </c>
    </row>
    <row r="78" spans="1:13" x14ac:dyDescent="0.25">
      <c r="A78" s="4">
        <v>2</v>
      </c>
      <c r="B78" s="4">
        <v>4</v>
      </c>
      <c r="C78" s="4">
        <v>2</v>
      </c>
      <c r="D78" s="4">
        <v>15</v>
      </c>
      <c r="E78" s="4">
        <v>13</v>
      </c>
      <c r="F78" s="4" t="s">
        <v>30</v>
      </c>
      <c r="G78" t="s">
        <v>32</v>
      </c>
      <c r="H78" s="4">
        <v>204</v>
      </c>
      <c r="I78">
        <v>3</v>
      </c>
      <c r="J78" s="38"/>
      <c r="K78" s="12">
        <v>52</v>
      </c>
    </row>
    <row r="79" spans="1:13" x14ac:dyDescent="0.25">
      <c r="A79" s="4">
        <v>2</v>
      </c>
      <c r="B79" s="4">
        <v>3</v>
      </c>
      <c r="C79" s="4">
        <v>2</v>
      </c>
      <c r="D79" s="4">
        <v>10</v>
      </c>
      <c r="E79" s="4">
        <v>14</v>
      </c>
      <c r="F79" s="4" t="s">
        <v>25</v>
      </c>
      <c r="G79" t="s">
        <v>29</v>
      </c>
      <c r="H79" s="4">
        <v>203</v>
      </c>
      <c r="I79">
        <v>3</v>
      </c>
      <c r="J79" s="38">
        <v>45561</v>
      </c>
      <c r="K79" s="12">
        <v>51</v>
      </c>
      <c r="L79">
        <v>27</v>
      </c>
      <c r="M79" s="43">
        <f t="shared" si="1"/>
        <v>52.941176470588239</v>
      </c>
    </row>
    <row r="80" spans="1:13" x14ac:dyDescent="0.25">
      <c r="A80" s="4">
        <v>2</v>
      </c>
      <c r="B80" s="4">
        <v>2</v>
      </c>
      <c r="C80" s="4">
        <v>1</v>
      </c>
      <c r="D80" s="4">
        <v>7</v>
      </c>
      <c r="E80" s="4">
        <v>15</v>
      </c>
      <c r="F80" s="4" t="s">
        <v>30</v>
      </c>
      <c r="G80" t="s">
        <v>28</v>
      </c>
      <c r="H80" s="4">
        <v>202</v>
      </c>
      <c r="I80">
        <v>3</v>
      </c>
      <c r="J80" s="38"/>
      <c r="K80" s="12">
        <v>67</v>
      </c>
    </row>
    <row r="81" spans="1:13" x14ac:dyDescent="0.25">
      <c r="A81" s="4">
        <v>2</v>
      </c>
      <c r="B81" s="4">
        <v>1</v>
      </c>
      <c r="C81" s="4">
        <v>1</v>
      </c>
      <c r="D81" s="4">
        <v>2</v>
      </c>
      <c r="E81" s="4">
        <v>16</v>
      </c>
      <c r="F81" s="4" t="s">
        <v>25</v>
      </c>
      <c r="G81" t="s">
        <v>27</v>
      </c>
      <c r="H81" s="4">
        <v>201</v>
      </c>
      <c r="I81">
        <v>3</v>
      </c>
      <c r="J81" s="38"/>
      <c r="K81" s="12">
        <v>55</v>
      </c>
    </row>
    <row r="82" spans="1:13" x14ac:dyDescent="0.25">
      <c r="A82" s="4">
        <v>3</v>
      </c>
      <c r="B82" s="4">
        <v>1</v>
      </c>
      <c r="C82" s="4">
        <v>1</v>
      </c>
      <c r="D82" s="4">
        <v>3</v>
      </c>
      <c r="E82" s="4">
        <v>17</v>
      </c>
      <c r="F82" s="4" t="s">
        <v>25</v>
      </c>
      <c r="G82" t="s">
        <v>28</v>
      </c>
      <c r="H82" s="4">
        <v>301</v>
      </c>
      <c r="I82">
        <v>3</v>
      </c>
      <c r="J82" s="38"/>
      <c r="K82" s="12">
        <v>35</v>
      </c>
    </row>
    <row r="83" spans="1:13" x14ac:dyDescent="0.25">
      <c r="A83" s="4">
        <v>3</v>
      </c>
      <c r="B83" s="4">
        <v>2</v>
      </c>
      <c r="C83" s="4">
        <v>1</v>
      </c>
      <c r="D83" s="4">
        <v>6</v>
      </c>
      <c r="E83" s="4">
        <v>18</v>
      </c>
      <c r="F83" s="4" t="s">
        <v>30</v>
      </c>
      <c r="G83" t="s">
        <v>29</v>
      </c>
      <c r="H83" s="4">
        <v>302</v>
      </c>
      <c r="I83">
        <v>3</v>
      </c>
      <c r="J83" s="38"/>
      <c r="K83" s="12">
        <v>55</v>
      </c>
    </row>
    <row r="84" spans="1:13" x14ac:dyDescent="0.25">
      <c r="A84" s="4">
        <v>3</v>
      </c>
      <c r="B84" s="4">
        <v>3</v>
      </c>
      <c r="C84" s="4">
        <v>2</v>
      </c>
      <c r="D84" s="4">
        <v>11</v>
      </c>
      <c r="E84" s="4">
        <v>19</v>
      </c>
      <c r="F84" s="4" t="s">
        <v>25</v>
      </c>
      <c r="G84" t="s">
        <v>26</v>
      </c>
      <c r="H84" s="4">
        <v>303</v>
      </c>
      <c r="I84">
        <v>3</v>
      </c>
      <c r="J84" s="38"/>
      <c r="K84" s="12">
        <v>59</v>
      </c>
    </row>
    <row r="85" spans="1:13" x14ac:dyDescent="0.25">
      <c r="A85" s="4">
        <v>3</v>
      </c>
      <c r="B85" s="4">
        <v>4</v>
      </c>
      <c r="C85" s="4">
        <v>2</v>
      </c>
      <c r="D85" s="4">
        <v>14</v>
      </c>
      <c r="E85" s="4">
        <v>20</v>
      </c>
      <c r="F85" s="4" t="s">
        <v>30</v>
      </c>
      <c r="G85" t="s">
        <v>31</v>
      </c>
      <c r="H85" s="4">
        <v>304</v>
      </c>
      <c r="I85">
        <v>3</v>
      </c>
      <c r="J85" s="38"/>
      <c r="K85" s="12">
        <v>46</v>
      </c>
    </row>
    <row r="86" spans="1:13" x14ac:dyDescent="0.25">
      <c r="A86" s="4">
        <v>3</v>
      </c>
      <c r="B86" s="4">
        <v>5</v>
      </c>
      <c r="C86" s="4">
        <v>3</v>
      </c>
      <c r="D86" s="4">
        <v>19</v>
      </c>
      <c r="E86" s="4">
        <v>21</v>
      </c>
      <c r="F86" s="4" t="s">
        <v>25</v>
      </c>
      <c r="G86" t="s">
        <v>29</v>
      </c>
      <c r="H86" s="4">
        <v>305</v>
      </c>
      <c r="I86">
        <v>3</v>
      </c>
      <c r="J86" s="38">
        <v>45561</v>
      </c>
      <c r="K86" s="12">
        <v>61</v>
      </c>
      <c r="L86">
        <v>32</v>
      </c>
      <c r="M86" s="43">
        <f t="shared" si="1"/>
        <v>52.459016393442624</v>
      </c>
    </row>
    <row r="87" spans="1:13" x14ac:dyDescent="0.25">
      <c r="A87" s="4">
        <v>3</v>
      </c>
      <c r="B87" s="4">
        <v>6</v>
      </c>
      <c r="C87" s="4">
        <v>3</v>
      </c>
      <c r="D87" s="4">
        <v>22</v>
      </c>
      <c r="E87" s="4">
        <v>22</v>
      </c>
      <c r="F87" s="4" t="s">
        <v>30</v>
      </c>
      <c r="G87" t="s">
        <v>32</v>
      </c>
      <c r="H87" s="4">
        <v>306</v>
      </c>
      <c r="I87">
        <v>3</v>
      </c>
      <c r="J87" s="38"/>
      <c r="K87" s="12">
        <v>73</v>
      </c>
    </row>
    <row r="88" spans="1:13" x14ac:dyDescent="0.25">
      <c r="A88" s="4">
        <v>3</v>
      </c>
      <c r="B88" s="4">
        <v>7</v>
      </c>
      <c r="C88" s="4">
        <v>4</v>
      </c>
      <c r="D88" s="4">
        <v>27</v>
      </c>
      <c r="E88" s="4">
        <v>23</v>
      </c>
      <c r="F88" s="4" t="s">
        <v>25</v>
      </c>
      <c r="G88" t="s">
        <v>27</v>
      </c>
      <c r="H88" s="4">
        <v>307</v>
      </c>
      <c r="I88">
        <v>3</v>
      </c>
      <c r="J88" s="38"/>
      <c r="K88" s="12">
        <v>44</v>
      </c>
    </row>
    <row r="89" spans="1:13" x14ac:dyDescent="0.25">
      <c r="A89" s="4">
        <v>3</v>
      </c>
      <c r="B89" s="4">
        <v>8</v>
      </c>
      <c r="C89" s="4">
        <v>4</v>
      </c>
      <c r="D89" s="4">
        <v>30</v>
      </c>
      <c r="E89" s="4">
        <v>24</v>
      </c>
      <c r="F89" s="4" t="s">
        <v>30</v>
      </c>
      <c r="G89" t="s">
        <v>28</v>
      </c>
      <c r="H89" s="4">
        <v>308</v>
      </c>
      <c r="I89">
        <v>3</v>
      </c>
      <c r="J89" s="38"/>
      <c r="K89" s="12">
        <v>64</v>
      </c>
    </row>
    <row r="90" spans="1:13" x14ac:dyDescent="0.25">
      <c r="A90" s="4">
        <v>4</v>
      </c>
      <c r="B90" s="4">
        <v>8</v>
      </c>
      <c r="C90" s="4">
        <v>4</v>
      </c>
      <c r="D90" s="4">
        <v>29</v>
      </c>
      <c r="E90" s="4">
        <v>25</v>
      </c>
      <c r="F90" s="4" t="s">
        <v>30</v>
      </c>
      <c r="G90" t="s">
        <v>31</v>
      </c>
      <c r="H90" s="4">
        <v>408</v>
      </c>
      <c r="I90">
        <v>3</v>
      </c>
      <c r="J90" s="38"/>
      <c r="K90" s="12">
        <v>47</v>
      </c>
    </row>
    <row r="91" spans="1:13" x14ac:dyDescent="0.25">
      <c r="A91" s="4">
        <v>4</v>
      </c>
      <c r="B91" s="4">
        <v>7</v>
      </c>
      <c r="C91" s="4">
        <v>4</v>
      </c>
      <c r="D91" s="4">
        <v>28</v>
      </c>
      <c r="E91" s="4">
        <v>26</v>
      </c>
      <c r="F91" s="4" t="s">
        <v>25</v>
      </c>
      <c r="G91" t="s">
        <v>26</v>
      </c>
      <c r="H91" s="4">
        <v>407</v>
      </c>
      <c r="I91">
        <v>3</v>
      </c>
      <c r="J91" s="38"/>
      <c r="K91" s="12">
        <v>57</v>
      </c>
    </row>
    <row r="92" spans="1:13" x14ac:dyDescent="0.25">
      <c r="A92" s="4">
        <v>4</v>
      </c>
      <c r="B92" s="4">
        <v>6</v>
      </c>
      <c r="C92" s="4">
        <v>3</v>
      </c>
      <c r="D92" s="4">
        <v>21</v>
      </c>
      <c r="E92" s="4">
        <v>27</v>
      </c>
      <c r="F92" s="4" t="s">
        <v>30</v>
      </c>
      <c r="G92" t="s">
        <v>28</v>
      </c>
      <c r="H92" s="4">
        <v>406</v>
      </c>
      <c r="I92">
        <v>3</v>
      </c>
      <c r="J92" s="38"/>
      <c r="K92" s="12">
        <v>54</v>
      </c>
    </row>
    <row r="93" spans="1:13" x14ac:dyDescent="0.25">
      <c r="A93" s="4">
        <v>4</v>
      </c>
      <c r="B93" s="4">
        <v>5</v>
      </c>
      <c r="C93" s="4">
        <v>3</v>
      </c>
      <c r="D93" s="4">
        <v>20</v>
      </c>
      <c r="E93" s="4">
        <v>28</v>
      </c>
      <c r="F93" s="4" t="s">
        <v>25</v>
      </c>
      <c r="G93" t="s">
        <v>27</v>
      </c>
      <c r="H93" s="4">
        <v>405</v>
      </c>
      <c r="I93">
        <v>3</v>
      </c>
      <c r="J93" s="38"/>
      <c r="K93" s="12">
        <v>64</v>
      </c>
    </row>
    <row r="94" spans="1:13" x14ac:dyDescent="0.25">
      <c r="A94" s="4">
        <v>4</v>
      </c>
      <c r="B94" s="4">
        <v>4</v>
      </c>
      <c r="C94" s="4">
        <v>2</v>
      </c>
      <c r="D94" s="4">
        <v>13</v>
      </c>
      <c r="E94" s="4">
        <v>29</v>
      </c>
      <c r="F94" s="4" t="s">
        <v>30</v>
      </c>
      <c r="G94" t="s">
        <v>29</v>
      </c>
      <c r="H94" s="4">
        <v>404</v>
      </c>
      <c r="I94">
        <v>3</v>
      </c>
      <c r="J94" s="38"/>
      <c r="K94" s="12">
        <v>64</v>
      </c>
    </row>
    <row r="95" spans="1:13" x14ac:dyDescent="0.25">
      <c r="A95" s="4">
        <v>4</v>
      </c>
      <c r="B95" s="4">
        <v>3</v>
      </c>
      <c r="C95" s="4">
        <v>2</v>
      </c>
      <c r="D95" s="4">
        <v>12</v>
      </c>
      <c r="E95" s="4">
        <v>30</v>
      </c>
      <c r="F95" s="4" t="s">
        <v>25</v>
      </c>
      <c r="G95" t="s">
        <v>28</v>
      </c>
      <c r="H95" s="4">
        <v>403</v>
      </c>
      <c r="I95">
        <v>3</v>
      </c>
      <c r="J95" s="38"/>
      <c r="K95" s="12">
        <v>61</v>
      </c>
    </row>
    <row r="96" spans="1:13" x14ac:dyDescent="0.25">
      <c r="A96" s="4">
        <v>4</v>
      </c>
      <c r="B96" s="4">
        <v>2</v>
      </c>
      <c r="C96" s="4">
        <v>1</v>
      </c>
      <c r="D96" s="4">
        <v>5</v>
      </c>
      <c r="E96" s="4">
        <v>31</v>
      </c>
      <c r="F96" s="4" t="s">
        <v>30</v>
      </c>
      <c r="G96" t="s">
        <v>32</v>
      </c>
      <c r="H96" s="4">
        <v>402</v>
      </c>
      <c r="I96">
        <v>3</v>
      </c>
      <c r="J96" s="38"/>
      <c r="K96" s="12">
        <v>66</v>
      </c>
    </row>
    <row r="97" spans="1:13" x14ac:dyDescent="0.25">
      <c r="A97" s="4">
        <v>4</v>
      </c>
      <c r="B97" s="4">
        <v>1</v>
      </c>
      <c r="C97" s="4">
        <v>1</v>
      </c>
      <c r="D97" s="4">
        <v>4</v>
      </c>
      <c r="E97" s="4">
        <v>32</v>
      </c>
      <c r="F97" s="4" t="s">
        <v>25</v>
      </c>
      <c r="G97" t="s">
        <v>29</v>
      </c>
      <c r="H97" s="4">
        <v>401</v>
      </c>
      <c r="I97">
        <v>3</v>
      </c>
      <c r="J97" s="38">
        <v>45561</v>
      </c>
      <c r="K97" s="12">
        <v>51</v>
      </c>
      <c r="L97">
        <v>31</v>
      </c>
      <c r="M97" s="43">
        <f t="shared" si="1"/>
        <v>60.784313725490193</v>
      </c>
    </row>
    <row r="98" spans="1:13" x14ac:dyDescent="0.25">
      <c r="A98" s="4">
        <v>1</v>
      </c>
      <c r="B98" s="4">
        <v>1</v>
      </c>
      <c r="C98" s="4">
        <v>1</v>
      </c>
      <c r="D98" s="4">
        <v>1</v>
      </c>
      <c r="E98" s="4">
        <v>1</v>
      </c>
      <c r="F98" s="4" t="s">
        <v>25</v>
      </c>
      <c r="G98" t="s">
        <v>26</v>
      </c>
      <c r="H98" s="4">
        <v>101</v>
      </c>
      <c r="I98" s="4">
        <v>4</v>
      </c>
      <c r="J98" s="38">
        <v>45565</v>
      </c>
      <c r="K98" s="12">
        <v>50</v>
      </c>
      <c r="L98">
        <v>0</v>
      </c>
      <c r="M98" s="43">
        <f t="shared" si="1"/>
        <v>0</v>
      </c>
    </row>
    <row r="99" spans="1:13" x14ac:dyDescent="0.25">
      <c r="A99" s="4">
        <v>1</v>
      </c>
      <c r="B99" s="4">
        <v>2</v>
      </c>
      <c r="C99" s="4">
        <v>1</v>
      </c>
      <c r="D99" s="4">
        <v>8</v>
      </c>
      <c r="E99" s="4">
        <v>2</v>
      </c>
      <c r="F99" s="4" t="s">
        <v>30</v>
      </c>
      <c r="G99" t="s">
        <v>31</v>
      </c>
      <c r="H99" s="4">
        <v>102</v>
      </c>
      <c r="I99" s="4">
        <v>4</v>
      </c>
      <c r="J99" s="38">
        <v>45565</v>
      </c>
      <c r="K99" s="12">
        <v>39</v>
      </c>
      <c r="L99">
        <v>0</v>
      </c>
      <c r="M99" s="43">
        <f t="shared" si="1"/>
        <v>0</v>
      </c>
    </row>
    <row r="100" spans="1:13" x14ac:dyDescent="0.25">
      <c r="A100" s="4">
        <v>1</v>
      </c>
      <c r="B100" s="4">
        <v>3</v>
      </c>
      <c r="C100" s="4">
        <v>2</v>
      </c>
      <c r="D100" s="4">
        <v>9</v>
      </c>
      <c r="E100" s="4">
        <v>3</v>
      </c>
      <c r="F100" s="4" t="s">
        <v>25</v>
      </c>
      <c r="G100" t="s">
        <v>27</v>
      </c>
      <c r="H100" s="4">
        <v>103</v>
      </c>
      <c r="I100" s="4">
        <v>4</v>
      </c>
      <c r="J100" s="38">
        <v>45565</v>
      </c>
      <c r="K100" s="12">
        <v>38</v>
      </c>
      <c r="L100">
        <v>2</v>
      </c>
      <c r="M100" s="43">
        <f t="shared" si="1"/>
        <v>5.2631578947368416</v>
      </c>
    </row>
    <row r="101" spans="1:13" x14ac:dyDescent="0.25">
      <c r="A101" s="4">
        <v>1</v>
      </c>
      <c r="B101" s="4">
        <v>4</v>
      </c>
      <c r="C101" s="4">
        <v>2</v>
      </c>
      <c r="D101" s="4">
        <v>16</v>
      </c>
      <c r="E101" s="4">
        <v>4</v>
      </c>
      <c r="F101" s="4" t="s">
        <v>30</v>
      </c>
      <c r="G101" t="s">
        <v>28</v>
      </c>
      <c r="H101" s="4">
        <v>104</v>
      </c>
      <c r="I101" s="4">
        <v>4</v>
      </c>
      <c r="J101" s="38">
        <v>45565</v>
      </c>
      <c r="K101" s="12">
        <v>38</v>
      </c>
      <c r="L101">
        <v>0</v>
      </c>
      <c r="M101" s="43">
        <f t="shared" si="1"/>
        <v>0</v>
      </c>
    </row>
    <row r="102" spans="1:13" x14ac:dyDescent="0.25">
      <c r="A102" s="4">
        <v>1</v>
      </c>
      <c r="B102" s="4">
        <v>5</v>
      </c>
      <c r="C102" s="4">
        <v>3</v>
      </c>
      <c r="D102" s="4">
        <v>17</v>
      </c>
      <c r="E102" s="4">
        <v>5</v>
      </c>
      <c r="F102" s="4" t="s">
        <v>25</v>
      </c>
      <c r="G102" t="s">
        <v>28</v>
      </c>
      <c r="H102" s="4">
        <v>105</v>
      </c>
      <c r="I102" s="4">
        <v>4</v>
      </c>
      <c r="J102" s="38">
        <v>45565</v>
      </c>
      <c r="K102" s="12">
        <v>61</v>
      </c>
    </row>
    <row r="103" spans="1:13" x14ac:dyDescent="0.25">
      <c r="A103" s="4">
        <v>1</v>
      </c>
      <c r="B103" s="4">
        <v>6</v>
      </c>
      <c r="C103" s="4">
        <v>3</v>
      </c>
      <c r="D103" s="4">
        <v>24</v>
      </c>
      <c r="E103" s="4">
        <v>6</v>
      </c>
      <c r="F103" s="4" t="s">
        <v>30</v>
      </c>
      <c r="G103" t="s">
        <v>29</v>
      </c>
      <c r="H103" s="4">
        <v>106</v>
      </c>
      <c r="I103" s="4">
        <v>4</v>
      </c>
      <c r="J103" s="38">
        <v>45565</v>
      </c>
      <c r="K103" s="12">
        <v>85</v>
      </c>
      <c r="L103">
        <v>0</v>
      </c>
      <c r="M103" s="43">
        <f t="shared" si="1"/>
        <v>0</v>
      </c>
    </row>
    <row r="104" spans="1:13" x14ac:dyDescent="0.25">
      <c r="A104" s="4">
        <v>1</v>
      </c>
      <c r="B104" s="4">
        <v>7</v>
      </c>
      <c r="C104" s="4">
        <v>4</v>
      </c>
      <c r="D104" s="4">
        <v>25</v>
      </c>
      <c r="E104" s="4">
        <v>7</v>
      </c>
      <c r="F104" s="4" t="s">
        <v>25</v>
      </c>
      <c r="G104" t="s">
        <v>29</v>
      </c>
      <c r="H104" s="4">
        <v>107</v>
      </c>
      <c r="I104" s="4">
        <v>4</v>
      </c>
      <c r="J104" s="38">
        <v>45565</v>
      </c>
      <c r="K104" s="12">
        <v>34</v>
      </c>
    </row>
    <row r="105" spans="1:13" x14ac:dyDescent="0.25">
      <c r="A105" s="4">
        <v>1</v>
      </c>
      <c r="B105" s="4">
        <v>8</v>
      </c>
      <c r="C105" s="4">
        <v>4</v>
      </c>
      <c r="D105" s="4">
        <v>32</v>
      </c>
      <c r="E105" s="4">
        <v>8</v>
      </c>
      <c r="F105" s="4" t="s">
        <v>30</v>
      </c>
      <c r="G105" t="s">
        <v>32</v>
      </c>
      <c r="H105" s="4">
        <v>108</v>
      </c>
      <c r="I105" s="4">
        <v>4</v>
      </c>
      <c r="J105" s="38">
        <v>45565</v>
      </c>
      <c r="K105" s="12">
        <v>75</v>
      </c>
      <c r="L105">
        <v>0</v>
      </c>
      <c r="M105" s="43">
        <f t="shared" si="1"/>
        <v>0</v>
      </c>
    </row>
    <row r="106" spans="1:13" x14ac:dyDescent="0.25">
      <c r="A106" s="4">
        <v>2</v>
      </c>
      <c r="B106" s="4">
        <v>8</v>
      </c>
      <c r="C106" s="4">
        <v>4</v>
      </c>
      <c r="D106" s="4">
        <v>31</v>
      </c>
      <c r="E106" s="4">
        <v>9</v>
      </c>
      <c r="F106" s="4" t="s">
        <v>30</v>
      </c>
      <c r="G106" t="s">
        <v>29</v>
      </c>
      <c r="H106" s="4">
        <v>208</v>
      </c>
      <c r="I106" s="4">
        <v>4</v>
      </c>
      <c r="J106" s="38">
        <v>45565</v>
      </c>
      <c r="K106" s="12">
        <v>79</v>
      </c>
      <c r="L106">
        <v>0</v>
      </c>
      <c r="M106" s="43">
        <f t="shared" si="1"/>
        <v>0</v>
      </c>
    </row>
    <row r="107" spans="1:13" x14ac:dyDescent="0.25">
      <c r="A107" s="4">
        <v>2</v>
      </c>
      <c r="B107" s="4">
        <v>7</v>
      </c>
      <c r="C107" s="4">
        <v>4</v>
      </c>
      <c r="D107" s="4">
        <v>26</v>
      </c>
      <c r="E107" s="4">
        <v>10</v>
      </c>
      <c r="F107" s="4" t="s">
        <v>25</v>
      </c>
      <c r="G107" t="s">
        <v>28</v>
      </c>
      <c r="H107" s="4">
        <v>207</v>
      </c>
      <c r="I107" s="4">
        <v>4</v>
      </c>
      <c r="J107" s="38">
        <v>45565</v>
      </c>
      <c r="K107" s="12">
        <v>49</v>
      </c>
    </row>
    <row r="108" spans="1:13" x14ac:dyDescent="0.25">
      <c r="A108" s="4">
        <v>2</v>
      </c>
      <c r="B108" s="4">
        <v>6</v>
      </c>
      <c r="C108" s="4">
        <v>3</v>
      </c>
      <c r="D108" s="4">
        <v>23</v>
      </c>
      <c r="E108" s="4">
        <v>11</v>
      </c>
      <c r="F108" s="4" t="s">
        <v>30</v>
      </c>
      <c r="G108" t="s">
        <v>31</v>
      </c>
      <c r="H108" s="4">
        <v>206</v>
      </c>
      <c r="I108" s="4">
        <v>4</v>
      </c>
      <c r="J108" s="38">
        <v>45565</v>
      </c>
      <c r="K108" s="12">
        <v>42</v>
      </c>
      <c r="L108">
        <v>1</v>
      </c>
      <c r="M108" s="43">
        <f t="shared" si="1"/>
        <v>2.3809523809523809</v>
      </c>
    </row>
    <row r="109" spans="1:13" x14ac:dyDescent="0.25">
      <c r="A109" s="4">
        <v>2</v>
      </c>
      <c r="B109" s="4">
        <v>5</v>
      </c>
      <c r="C109" s="4">
        <v>3</v>
      </c>
      <c r="D109" s="4">
        <v>18</v>
      </c>
      <c r="E109" s="4">
        <v>12</v>
      </c>
      <c r="F109" s="4" t="s">
        <v>25</v>
      </c>
      <c r="G109" t="s">
        <v>26</v>
      </c>
      <c r="H109" s="4">
        <v>205</v>
      </c>
      <c r="I109" s="4">
        <v>4</v>
      </c>
      <c r="J109" s="38">
        <v>45565</v>
      </c>
      <c r="K109" s="12">
        <v>61</v>
      </c>
      <c r="L109">
        <v>0</v>
      </c>
      <c r="M109" s="43">
        <f t="shared" si="1"/>
        <v>0</v>
      </c>
    </row>
    <row r="110" spans="1:13" x14ac:dyDescent="0.25">
      <c r="A110" s="4">
        <v>2</v>
      </c>
      <c r="B110" s="4">
        <v>4</v>
      </c>
      <c r="C110" s="4">
        <v>2</v>
      </c>
      <c r="D110" s="4">
        <v>15</v>
      </c>
      <c r="E110" s="4">
        <v>13</v>
      </c>
      <c r="F110" s="4" t="s">
        <v>30</v>
      </c>
      <c r="G110" t="s">
        <v>32</v>
      </c>
      <c r="H110" s="4">
        <v>204</v>
      </c>
      <c r="I110" s="4">
        <v>4</v>
      </c>
      <c r="J110" s="38">
        <v>45565</v>
      </c>
      <c r="K110" s="12">
        <v>52</v>
      </c>
      <c r="L110">
        <v>0</v>
      </c>
      <c r="M110" s="43">
        <f t="shared" si="1"/>
        <v>0</v>
      </c>
    </row>
    <row r="111" spans="1:13" x14ac:dyDescent="0.25">
      <c r="A111" s="4">
        <v>2</v>
      </c>
      <c r="B111" s="4">
        <v>3</v>
      </c>
      <c r="C111" s="4">
        <v>2</v>
      </c>
      <c r="D111" s="4">
        <v>10</v>
      </c>
      <c r="E111" s="4">
        <v>14</v>
      </c>
      <c r="F111" s="4" t="s">
        <v>25</v>
      </c>
      <c r="G111" t="s">
        <v>29</v>
      </c>
      <c r="H111" s="4">
        <v>203</v>
      </c>
      <c r="I111" s="4">
        <v>4</v>
      </c>
      <c r="J111" s="38">
        <v>45565</v>
      </c>
      <c r="K111" s="12">
        <v>51</v>
      </c>
    </row>
    <row r="112" spans="1:13" x14ac:dyDescent="0.25">
      <c r="A112" s="4">
        <v>2</v>
      </c>
      <c r="B112" s="4">
        <v>2</v>
      </c>
      <c r="C112" s="4">
        <v>1</v>
      </c>
      <c r="D112" s="4">
        <v>7</v>
      </c>
      <c r="E112" s="4">
        <v>15</v>
      </c>
      <c r="F112" s="4" t="s">
        <v>30</v>
      </c>
      <c r="G112" t="s">
        <v>28</v>
      </c>
      <c r="H112" s="4">
        <v>202</v>
      </c>
      <c r="I112" s="4">
        <v>4</v>
      </c>
      <c r="J112" s="38">
        <v>45565</v>
      </c>
      <c r="K112" s="12">
        <v>67</v>
      </c>
      <c r="L112">
        <v>0</v>
      </c>
      <c r="M112" s="43">
        <f t="shared" si="1"/>
        <v>0</v>
      </c>
    </row>
    <row r="113" spans="1:13" x14ac:dyDescent="0.25">
      <c r="A113" s="4">
        <v>2</v>
      </c>
      <c r="B113" s="4">
        <v>1</v>
      </c>
      <c r="C113" s="4">
        <v>1</v>
      </c>
      <c r="D113" s="4">
        <v>2</v>
      </c>
      <c r="E113" s="4">
        <v>16</v>
      </c>
      <c r="F113" s="4" t="s">
        <v>25</v>
      </c>
      <c r="G113" t="s">
        <v>27</v>
      </c>
      <c r="H113" s="4">
        <v>201</v>
      </c>
      <c r="I113" s="4">
        <v>4</v>
      </c>
      <c r="J113" s="38">
        <v>45565</v>
      </c>
      <c r="K113" s="12">
        <v>55</v>
      </c>
      <c r="L113">
        <v>27</v>
      </c>
      <c r="M113" s="43">
        <f t="shared" si="1"/>
        <v>49.090909090909093</v>
      </c>
    </row>
    <row r="114" spans="1:13" x14ac:dyDescent="0.25">
      <c r="A114" s="4">
        <v>3</v>
      </c>
      <c r="B114" s="4">
        <v>1</v>
      </c>
      <c r="C114" s="4">
        <v>1</v>
      </c>
      <c r="D114" s="4">
        <v>3</v>
      </c>
      <c r="E114" s="4">
        <v>17</v>
      </c>
      <c r="F114" s="4" t="s">
        <v>25</v>
      </c>
      <c r="G114" t="s">
        <v>28</v>
      </c>
      <c r="H114" s="4">
        <v>301</v>
      </c>
      <c r="I114" s="4">
        <v>4</v>
      </c>
      <c r="J114" s="38">
        <v>45565</v>
      </c>
      <c r="K114" s="12">
        <v>35</v>
      </c>
    </row>
    <row r="115" spans="1:13" x14ac:dyDescent="0.25">
      <c r="A115" s="4">
        <v>3</v>
      </c>
      <c r="B115" s="4">
        <v>2</v>
      </c>
      <c r="C115" s="4">
        <v>1</v>
      </c>
      <c r="D115" s="4">
        <v>6</v>
      </c>
      <c r="E115" s="4">
        <v>18</v>
      </c>
      <c r="F115" s="4" t="s">
        <v>30</v>
      </c>
      <c r="G115" t="s">
        <v>29</v>
      </c>
      <c r="H115" s="4">
        <v>302</v>
      </c>
      <c r="I115" s="4">
        <v>4</v>
      </c>
      <c r="J115" s="38">
        <v>45565</v>
      </c>
      <c r="K115" s="12">
        <v>55</v>
      </c>
      <c r="L115">
        <v>1</v>
      </c>
      <c r="M115" s="43">
        <f t="shared" si="1"/>
        <v>1.8181818181818181</v>
      </c>
    </row>
    <row r="116" spans="1:13" x14ac:dyDescent="0.25">
      <c r="A116" s="4">
        <v>3</v>
      </c>
      <c r="B116" s="4">
        <v>3</v>
      </c>
      <c r="C116" s="4">
        <v>2</v>
      </c>
      <c r="D116" s="4">
        <v>11</v>
      </c>
      <c r="E116" s="4">
        <v>19</v>
      </c>
      <c r="F116" s="4" t="s">
        <v>25</v>
      </c>
      <c r="G116" t="s">
        <v>26</v>
      </c>
      <c r="H116" s="4">
        <v>303</v>
      </c>
      <c r="I116" s="4">
        <v>4</v>
      </c>
      <c r="J116" s="38">
        <v>45565</v>
      </c>
      <c r="K116" s="12">
        <v>59</v>
      </c>
      <c r="L116">
        <v>0</v>
      </c>
      <c r="M116" s="43">
        <f t="shared" si="1"/>
        <v>0</v>
      </c>
    </row>
    <row r="117" spans="1:13" x14ac:dyDescent="0.25">
      <c r="A117" s="4">
        <v>3</v>
      </c>
      <c r="B117" s="4">
        <v>4</v>
      </c>
      <c r="C117" s="4">
        <v>2</v>
      </c>
      <c r="D117" s="4">
        <v>14</v>
      </c>
      <c r="E117" s="4">
        <v>20</v>
      </c>
      <c r="F117" s="4" t="s">
        <v>30</v>
      </c>
      <c r="G117" t="s">
        <v>31</v>
      </c>
      <c r="H117" s="4">
        <v>304</v>
      </c>
      <c r="I117" s="4">
        <v>4</v>
      </c>
      <c r="J117" s="38">
        <v>45565</v>
      </c>
      <c r="K117" s="12">
        <v>46</v>
      </c>
      <c r="L117">
        <v>0</v>
      </c>
      <c r="M117" s="43">
        <f t="shared" si="1"/>
        <v>0</v>
      </c>
    </row>
    <row r="118" spans="1:13" x14ac:dyDescent="0.25">
      <c r="A118" s="4">
        <v>3</v>
      </c>
      <c r="B118" s="4">
        <v>5</v>
      </c>
      <c r="C118" s="4">
        <v>3</v>
      </c>
      <c r="D118" s="4">
        <v>19</v>
      </c>
      <c r="E118" s="4">
        <v>21</v>
      </c>
      <c r="F118" s="4" t="s">
        <v>25</v>
      </c>
      <c r="G118" t="s">
        <v>29</v>
      </c>
      <c r="H118" s="4">
        <v>305</v>
      </c>
      <c r="I118" s="4">
        <v>4</v>
      </c>
      <c r="J118" s="38">
        <v>45565</v>
      </c>
      <c r="K118" s="12">
        <v>61</v>
      </c>
    </row>
    <row r="119" spans="1:13" x14ac:dyDescent="0.25">
      <c r="A119" s="4">
        <v>3</v>
      </c>
      <c r="B119" s="4">
        <v>6</v>
      </c>
      <c r="C119" s="4">
        <v>3</v>
      </c>
      <c r="D119" s="4">
        <v>22</v>
      </c>
      <c r="E119" s="4">
        <v>22</v>
      </c>
      <c r="F119" s="4" t="s">
        <v>30</v>
      </c>
      <c r="G119" t="s">
        <v>32</v>
      </c>
      <c r="H119" s="4">
        <v>306</v>
      </c>
      <c r="I119" s="4">
        <v>4</v>
      </c>
      <c r="J119" s="38">
        <v>45565</v>
      </c>
      <c r="K119" s="12">
        <v>73</v>
      </c>
      <c r="L119">
        <v>0</v>
      </c>
      <c r="M119" s="43">
        <f t="shared" si="1"/>
        <v>0</v>
      </c>
    </row>
    <row r="120" spans="1:13" x14ac:dyDescent="0.25">
      <c r="A120" s="4">
        <v>3</v>
      </c>
      <c r="B120" s="4">
        <v>7</v>
      </c>
      <c r="C120" s="4">
        <v>4</v>
      </c>
      <c r="D120" s="4">
        <v>27</v>
      </c>
      <c r="E120" s="4">
        <v>23</v>
      </c>
      <c r="F120" s="4" t="s">
        <v>25</v>
      </c>
      <c r="G120" t="s">
        <v>27</v>
      </c>
      <c r="H120" s="4">
        <v>307</v>
      </c>
      <c r="I120" s="4">
        <v>4</v>
      </c>
      <c r="J120" s="38">
        <v>45565</v>
      </c>
      <c r="K120" s="12">
        <v>44</v>
      </c>
      <c r="L120">
        <v>18</v>
      </c>
      <c r="M120" s="43">
        <f t="shared" si="1"/>
        <v>40.909090909090914</v>
      </c>
    </row>
    <row r="121" spans="1:13" x14ac:dyDescent="0.25">
      <c r="A121" s="4">
        <v>3</v>
      </c>
      <c r="B121" s="4">
        <v>8</v>
      </c>
      <c r="C121" s="4">
        <v>4</v>
      </c>
      <c r="D121" s="4">
        <v>30</v>
      </c>
      <c r="E121" s="4">
        <v>24</v>
      </c>
      <c r="F121" s="4" t="s">
        <v>30</v>
      </c>
      <c r="G121" t="s">
        <v>28</v>
      </c>
      <c r="H121" s="4">
        <v>308</v>
      </c>
      <c r="I121" s="4">
        <v>4</v>
      </c>
      <c r="J121" s="38">
        <v>45565</v>
      </c>
      <c r="K121" s="12">
        <v>64</v>
      </c>
      <c r="L121">
        <v>0</v>
      </c>
      <c r="M121" s="43">
        <f t="shared" si="1"/>
        <v>0</v>
      </c>
    </row>
    <row r="122" spans="1:13" x14ac:dyDescent="0.25">
      <c r="A122" s="4">
        <v>4</v>
      </c>
      <c r="B122" s="4">
        <v>8</v>
      </c>
      <c r="C122" s="4">
        <v>4</v>
      </c>
      <c r="D122" s="4">
        <v>29</v>
      </c>
      <c r="E122" s="4">
        <v>25</v>
      </c>
      <c r="F122" s="4" t="s">
        <v>30</v>
      </c>
      <c r="G122" t="s">
        <v>31</v>
      </c>
      <c r="H122" s="4">
        <v>408</v>
      </c>
      <c r="I122" s="4">
        <v>4</v>
      </c>
      <c r="J122" s="38">
        <v>45565</v>
      </c>
      <c r="K122" s="12">
        <v>47</v>
      </c>
      <c r="L122">
        <v>0</v>
      </c>
      <c r="M122" s="43">
        <f t="shared" si="1"/>
        <v>0</v>
      </c>
    </row>
    <row r="123" spans="1:13" x14ac:dyDescent="0.25">
      <c r="A123" s="4">
        <v>4</v>
      </c>
      <c r="B123" s="4">
        <v>7</v>
      </c>
      <c r="C123" s="4">
        <v>4</v>
      </c>
      <c r="D123" s="4">
        <v>28</v>
      </c>
      <c r="E123" s="4">
        <v>26</v>
      </c>
      <c r="F123" s="4" t="s">
        <v>25</v>
      </c>
      <c r="G123" t="s">
        <v>26</v>
      </c>
      <c r="H123" s="4">
        <v>407</v>
      </c>
      <c r="I123" s="4">
        <v>4</v>
      </c>
      <c r="J123" s="38">
        <v>45565</v>
      </c>
      <c r="K123" s="12">
        <v>57</v>
      </c>
      <c r="L123">
        <v>0</v>
      </c>
      <c r="M123" s="43">
        <f t="shared" si="1"/>
        <v>0</v>
      </c>
    </row>
    <row r="124" spans="1:13" x14ac:dyDescent="0.25">
      <c r="A124" s="4">
        <v>4</v>
      </c>
      <c r="B124" s="4">
        <v>6</v>
      </c>
      <c r="C124" s="4">
        <v>3</v>
      </c>
      <c r="D124" s="4">
        <v>21</v>
      </c>
      <c r="E124" s="4">
        <v>27</v>
      </c>
      <c r="F124" s="4" t="s">
        <v>30</v>
      </c>
      <c r="G124" t="s">
        <v>28</v>
      </c>
      <c r="H124" s="4">
        <v>406</v>
      </c>
      <c r="I124" s="4">
        <v>4</v>
      </c>
      <c r="J124" s="38">
        <v>45565</v>
      </c>
      <c r="K124" s="12">
        <v>54</v>
      </c>
      <c r="L124">
        <v>12</v>
      </c>
      <c r="M124" s="43">
        <f t="shared" si="1"/>
        <v>22.222222222222221</v>
      </c>
    </row>
    <row r="125" spans="1:13" x14ac:dyDescent="0.25">
      <c r="A125" s="4">
        <v>4</v>
      </c>
      <c r="B125" s="4">
        <v>5</v>
      </c>
      <c r="C125" s="4">
        <v>3</v>
      </c>
      <c r="D125" s="4">
        <v>20</v>
      </c>
      <c r="E125" s="4">
        <v>28</v>
      </c>
      <c r="F125" s="4" t="s">
        <v>25</v>
      </c>
      <c r="G125" t="s">
        <v>27</v>
      </c>
      <c r="H125" s="4">
        <v>405</v>
      </c>
      <c r="I125" s="4">
        <v>4</v>
      </c>
      <c r="J125" s="38">
        <v>45565</v>
      </c>
      <c r="K125" s="12">
        <v>64</v>
      </c>
      <c r="L125">
        <v>51</v>
      </c>
      <c r="M125" s="43">
        <f t="shared" si="1"/>
        <v>79.6875</v>
      </c>
    </row>
    <row r="126" spans="1:13" x14ac:dyDescent="0.25">
      <c r="A126" s="4">
        <v>4</v>
      </c>
      <c r="B126" s="4">
        <v>4</v>
      </c>
      <c r="C126" s="4">
        <v>2</v>
      </c>
      <c r="D126" s="4">
        <v>13</v>
      </c>
      <c r="E126" s="4">
        <v>29</v>
      </c>
      <c r="F126" s="4" t="s">
        <v>30</v>
      </c>
      <c r="G126" t="s">
        <v>29</v>
      </c>
      <c r="H126" s="4">
        <v>404</v>
      </c>
      <c r="I126" s="4">
        <v>4</v>
      </c>
      <c r="J126" s="38">
        <v>45565</v>
      </c>
      <c r="K126" s="12">
        <v>64</v>
      </c>
      <c r="L126">
        <v>0</v>
      </c>
      <c r="M126" s="43">
        <f t="shared" si="1"/>
        <v>0</v>
      </c>
    </row>
    <row r="127" spans="1:13" x14ac:dyDescent="0.25">
      <c r="A127" s="4">
        <v>4</v>
      </c>
      <c r="B127" s="4">
        <v>3</v>
      </c>
      <c r="C127" s="4">
        <v>2</v>
      </c>
      <c r="D127" s="4">
        <v>12</v>
      </c>
      <c r="E127" s="4">
        <v>30</v>
      </c>
      <c r="F127" s="4" t="s">
        <v>25</v>
      </c>
      <c r="G127" t="s">
        <v>28</v>
      </c>
      <c r="H127" s="4">
        <v>403</v>
      </c>
      <c r="I127" s="4">
        <v>4</v>
      </c>
      <c r="J127" s="38">
        <v>45565</v>
      </c>
      <c r="K127" s="12">
        <v>61</v>
      </c>
    </row>
    <row r="128" spans="1:13" x14ac:dyDescent="0.25">
      <c r="A128" s="4">
        <v>4</v>
      </c>
      <c r="B128" s="4">
        <v>2</v>
      </c>
      <c r="C128" s="4">
        <v>1</v>
      </c>
      <c r="D128" s="4">
        <v>5</v>
      </c>
      <c r="E128" s="4">
        <v>31</v>
      </c>
      <c r="F128" s="4" t="s">
        <v>30</v>
      </c>
      <c r="G128" t="s">
        <v>32</v>
      </c>
      <c r="H128" s="4">
        <v>402</v>
      </c>
      <c r="I128" s="4">
        <v>4</v>
      </c>
      <c r="J128" s="38">
        <v>45565</v>
      </c>
      <c r="K128" s="12">
        <v>66</v>
      </c>
      <c r="L128">
        <v>0</v>
      </c>
      <c r="M128" s="43">
        <f>(L128/K128)*100</f>
        <v>0</v>
      </c>
    </row>
    <row r="129" spans="1:13" x14ac:dyDescent="0.25">
      <c r="A129" s="4">
        <v>4</v>
      </c>
      <c r="B129" s="4">
        <v>1</v>
      </c>
      <c r="C129" s="4">
        <v>1</v>
      </c>
      <c r="D129" s="4">
        <v>4</v>
      </c>
      <c r="E129" s="4">
        <v>32</v>
      </c>
      <c r="F129" s="4" t="s">
        <v>25</v>
      </c>
      <c r="G129" t="s">
        <v>29</v>
      </c>
      <c r="H129" s="4">
        <v>401</v>
      </c>
      <c r="I129" s="4">
        <v>4</v>
      </c>
      <c r="J129" s="38">
        <v>45565</v>
      </c>
      <c r="K129" s="12">
        <v>51</v>
      </c>
    </row>
    <row r="130" spans="1:13" x14ac:dyDescent="0.25">
      <c r="A130" s="4">
        <v>1</v>
      </c>
      <c r="B130" s="4">
        <v>1</v>
      </c>
      <c r="C130" s="4">
        <v>1</v>
      </c>
      <c r="D130" s="4">
        <v>1</v>
      </c>
      <c r="E130" s="4">
        <v>1</v>
      </c>
      <c r="F130" s="4" t="s">
        <v>25</v>
      </c>
      <c r="G130" t="s">
        <v>26</v>
      </c>
      <c r="H130" s="4">
        <v>101</v>
      </c>
      <c r="I130" s="4">
        <v>5</v>
      </c>
      <c r="J130" s="38">
        <v>45567</v>
      </c>
      <c r="K130" s="12">
        <v>50</v>
      </c>
      <c r="L130">
        <v>0</v>
      </c>
      <c r="M130" s="43">
        <f>(L130/K130)*100</f>
        <v>0</v>
      </c>
    </row>
    <row r="131" spans="1:13" x14ac:dyDescent="0.25">
      <c r="A131" s="4">
        <v>1</v>
      </c>
      <c r="B131" s="4">
        <v>2</v>
      </c>
      <c r="C131" s="4">
        <v>1</v>
      </c>
      <c r="D131" s="4">
        <v>8</v>
      </c>
      <c r="E131" s="4">
        <v>2</v>
      </c>
      <c r="F131" s="4" t="s">
        <v>30</v>
      </c>
      <c r="G131" t="s">
        <v>31</v>
      </c>
      <c r="H131" s="4">
        <v>102</v>
      </c>
      <c r="I131" s="4">
        <v>5</v>
      </c>
      <c r="J131" s="38">
        <v>45567</v>
      </c>
      <c r="K131" s="12">
        <v>39</v>
      </c>
      <c r="L131">
        <v>1</v>
      </c>
      <c r="M131" s="43">
        <f>(L131/K131)*100</f>
        <v>2.5641025641025639</v>
      </c>
    </row>
    <row r="132" spans="1:13" x14ac:dyDescent="0.25">
      <c r="A132" s="4">
        <v>1</v>
      </c>
      <c r="B132" s="4">
        <v>3</v>
      </c>
      <c r="C132" s="4">
        <v>2</v>
      </c>
      <c r="D132" s="4">
        <v>9</v>
      </c>
      <c r="E132" s="4">
        <v>3</v>
      </c>
      <c r="F132" s="4" t="s">
        <v>25</v>
      </c>
      <c r="G132" t="s">
        <v>27</v>
      </c>
      <c r="H132" s="4">
        <v>103</v>
      </c>
      <c r="I132" s="4">
        <v>5</v>
      </c>
      <c r="J132" s="38">
        <v>45567</v>
      </c>
      <c r="K132" s="12">
        <v>38</v>
      </c>
    </row>
    <row r="133" spans="1:13" x14ac:dyDescent="0.25">
      <c r="A133" s="4">
        <v>1</v>
      </c>
      <c r="B133" s="4">
        <v>4</v>
      </c>
      <c r="C133" s="4">
        <v>2</v>
      </c>
      <c r="D133" s="4">
        <v>16</v>
      </c>
      <c r="E133" s="4">
        <v>4</v>
      </c>
      <c r="F133" s="4" t="s">
        <v>30</v>
      </c>
      <c r="G133" t="s">
        <v>28</v>
      </c>
      <c r="H133" s="4">
        <v>104</v>
      </c>
      <c r="I133" s="4">
        <v>5</v>
      </c>
      <c r="J133" s="38">
        <v>45567</v>
      </c>
      <c r="K133" s="12">
        <v>38</v>
      </c>
      <c r="L133">
        <v>0</v>
      </c>
      <c r="M133" s="43">
        <f>(L133/K133)*100</f>
        <v>0</v>
      </c>
    </row>
    <row r="134" spans="1:13" x14ac:dyDescent="0.25">
      <c r="A134" s="4">
        <v>1</v>
      </c>
      <c r="B134" s="4">
        <v>5</v>
      </c>
      <c r="C134" s="4">
        <v>3</v>
      </c>
      <c r="D134" s="4">
        <v>17</v>
      </c>
      <c r="E134" s="4">
        <v>5</v>
      </c>
      <c r="F134" s="4" t="s">
        <v>25</v>
      </c>
      <c r="G134" t="s">
        <v>28</v>
      </c>
      <c r="H134" s="4">
        <v>105</v>
      </c>
      <c r="I134" s="4">
        <v>5</v>
      </c>
      <c r="J134" s="38">
        <v>45567</v>
      </c>
      <c r="K134" s="12">
        <v>61</v>
      </c>
    </row>
    <row r="135" spans="1:13" x14ac:dyDescent="0.25">
      <c r="A135" s="4">
        <v>1</v>
      </c>
      <c r="B135" s="4">
        <v>6</v>
      </c>
      <c r="C135" s="4">
        <v>3</v>
      </c>
      <c r="D135" s="4">
        <v>24</v>
      </c>
      <c r="E135" s="4">
        <v>6</v>
      </c>
      <c r="F135" s="4" t="s">
        <v>30</v>
      </c>
      <c r="G135" t="s">
        <v>29</v>
      </c>
      <c r="H135" s="4">
        <v>106</v>
      </c>
      <c r="I135" s="4">
        <v>5</v>
      </c>
      <c r="J135" s="38">
        <v>45567</v>
      </c>
      <c r="K135" s="12">
        <v>85</v>
      </c>
      <c r="L135">
        <v>0</v>
      </c>
      <c r="M135" s="43">
        <f>(L135/K135)*100</f>
        <v>0</v>
      </c>
    </row>
    <row r="136" spans="1:13" x14ac:dyDescent="0.25">
      <c r="A136" s="4">
        <v>1</v>
      </c>
      <c r="B136" s="4">
        <v>7</v>
      </c>
      <c r="C136" s="4">
        <v>4</v>
      </c>
      <c r="D136" s="4">
        <v>25</v>
      </c>
      <c r="E136" s="4">
        <v>7</v>
      </c>
      <c r="F136" s="4" t="s">
        <v>25</v>
      </c>
      <c r="G136" t="s">
        <v>29</v>
      </c>
      <c r="H136" s="4">
        <v>107</v>
      </c>
      <c r="I136" s="4">
        <v>5</v>
      </c>
      <c r="J136" s="38">
        <v>45567</v>
      </c>
      <c r="K136" s="12">
        <v>34</v>
      </c>
    </row>
    <row r="137" spans="1:13" x14ac:dyDescent="0.25">
      <c r="A137" s="4">
        <v>1</v>
      </c>
      <c r="B137" s="4">
        <v>8</v>
      </c>
      <c r="C137" s="4">
        <v>4</v>
      </c>
      <c r="D137" s="4">
        <v>32</v>
      </c>
      <c r="E137" s="4">
        <v>8</v>
      </c>
      <c r="F137" s="4" t="s">
        <v>30</v>
      </c>
      <c r="G137" t="s">
        <v>32</v>
      </c>
      <c r="H137" s="4">
        <v>108</v>
      </c>
      <c r="I137" s="4">
        <v>5</v>
      </c>
      <c r="J137" s="38">
        <v>45567</v>
      </c>
      <c r="K137" s="12">
        <v>75</v>
      </c>
      <c r="L137">
        <v>0</v>
      </c>
      <c r="M137" s="43">
        <f>(L137/K137)*100</f>
        <v>0</v>
      </c>
    </row>
    <row r="138" spans="1:13" x14ac:dyDescent="0.25">
      <c r="A138" s="4">
        <v>2</v>
      </c>
      <c r="B138" s="4">
        <v>8</v>
      </c>
      <c r="C138" s="4">
        <v>4</v>
      </c>
      <c r="D138" s="4">
        <v>31</v>
      </c>
      <c r="E138" s="4">
        <v>9</v>
      </c>
      <c r="F138" s="4" t="s">
        <v>30</v>
      </c>
      <c r="G138" t="s">
        <v>29</v>
      </c>
      <c r="H138" s="4">
        <v>208</v>
      </c>
      <c r="I138" s="4">
        <v>5</v>
      </c>
      <c r="J138" s="38">
        <v>45567</v>
      </c>
      <c r="K138" s="12">
        <v>79</v>
      </c>
      <c r="L138">
        <v>1</v>
      </c>
      <c r="M138" s="43">
        <f>(L138/K138)*100</f>
        <v>1.2658227848101267</v>
      </c>
    </row>
    <row r="139" spans="1:13" x14ac:dyDescent="0.25">
      <c r="A139" s="4">
        <v>2</v>
      </c>
      <c r="B139" s="4">
        <v>7</v>
      </c>
      <c r="C139" s="4">
        <v>4</v>
      </c>
      <c r="D139" s="4">
        <v>26</v>
      </c>
      <c r="E139" s="4">
        <v>10</v>
      </c>
      <c r="F139" s="4" t="s">
        <v>25</v>
      </c>
      <c r="G139" t="s">
        <v>28</v>
      </c>
      <c r="H139" s="4">
        <v>207</v>
      </c>
      <c r="I139" s="4">
        <v>5</v>
      </c>
      <c r="J139" s="38">
        <v>45567</v>
      </c>
      <c r="K139" s="12">
        <v>49</v>
      </c>
    </row>
    <row r="140" spans="1:13" x14ac:dyDescent="0.25">
      <c r="A140" s="4">
        <v>2</v>
      </c>
      <c r="B140" s="4">
        <v>6</v>
      </c>
      <c r="C140" s="4">
        <v>3</v>
      </c>
      <c r="D140" s="4">
        <v>23</v>
      </c>
      <c r="E140" s="4">
        <v>11</v>
      </c>
      <c r="F140" s="4" t="s">
        <v>30</v>
      </c>
      <c r="G140" t="s">
        <v>31</v>
      </c>
      <c r="H140" s="4">
        <v>206</v>
      </c>
      <c r="I140" s="4">
        <v>5</v>
      </c>
      <c r="J140" s="38">
        <v>45567</v>
      </c>
      <c r="K140" s="12">
        <v>42</v>
      </c>
      <c r="L140">
        <v>21</v>
      </c>
      <c r="M140" s="43">
        <f>(L140/K140)*100</f>
        <v>50</v>
      </c>
    </row>
    <row r="141" spans="1:13" x14ac:dyDescent="0.25">
      <c r="A141" s="4">
        <v>2</v>
      </c>
      <c r="B141" s="4">
        <v>5</v>
      </c>
      <c r="C141" s="4">
        <v>3</v>
      </c>
      <c r="D141" s="4">
        <v>18</v>
      </c>
      <c r="E141" s="4">
        <v>12</v>
      </c>
      <c r="F141" s="4" t="s">
        <v>25</v>
      </c>
      <c r="G141" t="s">
        <v>26</v>
      </c>
      <c r="H141" s="4">
        <v>205</v>
      </c>
      <c r="I141" s="4">
        <v>5</v>
      </c>
      <c r="J141" s="38">
        <v>45567</v>
      </c>
      <c r="K141" s="12">
        <v>61</v>
      </c>
      <c r="L141">
        <v>0</v>
      </c>
      <c r="M141" s="43">
        <f>(L141/K141)*100</f>
        <v>0</v>
      </c>
    </row>
    <row r="142" spans="1:13" x14ac:dyDescent="0.25">
      <c r="A142" s="4">
        <v>2</v>
      </c>
      <c r="B142" s="4">
        <v>4</v>
      </c>
      <c r="C142" s="4">
        <v>2</v>
      </c>
      <c r="D142" s="4">
        <v>15</v>
      </c>
      <c r="E142" s="4">
        <v>13</v>
      </c>
      <c r="F142" s="4" t="s">
        <v>30</v>
      </c>
      <c r="G142" t="s">
        <v>32</v>
      </c>
      <c r="H142" s="4">
        <v>204</v>
      </c>
      <c r="I142" s="4">
        <v>5</v>
      </c>
      <c r="J142" s="38">
        <v>45567</v>
      </c>
      <c r="K142" s="12">
        <v>52</v>
      </c>
      <c r="L142">
        <v>2</v>
      </c>
      <c r="M142" s="43">
        <f>(L142/K142)*100</f>
        <v>3.8461538461538463</v>
      </c>
    </row>
    <row r="143" spans="1:13" x14ac:dyDescent="0.25">
      <c r="A143" s="4">
        <v>2</v>
      </c>
      <c r="B143" s="4">
        <v>3</v>
      </c>
      <c r="C143" s="4">
        <v>2</v>
      </c>
      <c r="D143" s="4">
        <v>10</v>
      </c>
      <c r="E143" s="4">
        <v>14</v>
      </c>
      <c r="F143" s="4" t="s">
        <v>25</v>
      </c>
      <c r="G143" t="s">
        <v>29</v>
      </c>
      <c r="H143" s="4">
        <v>203</v>
      </c>
      <c r="I143" s="4">
        <v>5</v>
      </c>
      <c r="J143" s="38">
        <v>45567</v>
      </c>
      <c r="K143" s="12">
        <v>51</v>
      </c>
    </row>
    <row r="144" spans="1:13" x14ac:dyDescent="0.25">
      <c r="A144" s="4">
        <v>2</v>
      </c>
      <c r="B144" s="4">
        <v>2</v>
      </c>
      <c r="C144" s="4">
        <v>1</v>
      </c>
      <c r="D144" s="4">
        <v>7</v>
      </c>
      <c r="E144" s="4">
        <v>15</v>
      </c>
      <c r="F144" s="4" t="s">
        <v>30</v>
      </c>
      <c r="G144" t="s">
        <v>28</v>
      </c>
      <c r="H144" s="4">
        <v>202</v>
      </c>
      <c r="I144" s="4">
        <v>5</v>
      </c>
      <c r="J144" s="38">
        <v>45567</v>
      </c>
      <c r="K144" s="12">
        <v>67</v>
      </c>
      <c r="L144">
        <v>31</v>
      </c>
      <c r="M144" s="43">
        <f>(L144/K144)*100</f>
        <v>46.268656716417908</v>
      </c>
    </row>
    <row r="145" spans="1:13" x14ac:dyDescent="0.25">
      <c r="A145" s="4">
        <v>2</v>
      </c>
      <c r="B145" s="4">
        <v>1</v>
      </c>
      <c r="C145" s="4">
        <v>1</v>
      </c>
      <c r="D145" s="4">
        <v>2</v>
      </c>
      <c r="E145" s="4">
        <v>16</v>
      </c>
      <c r="F145" s="4" t="s">
        <v>25</v>
      </c>
      <c r="G145" t="s">
        <v>27</v>
      </c>
      <c r="H145" s="4">
        <v>201</v>
      </c>
      <c r="I145" s="4">
        <v>5</v>
      </c>
      <c r="J145" s="38">
        <v>45567</v>
      </c>
      <c r="K145" s="12">
        <v>55</v>
      </c>
    </row>
    <row r="146" spans="1:13" x14ac:dyDescent="0.25">
      <c r="A146" s="4">
        <v>3</v>
      </c>
      <c r="B146" s="4">
        <v>1</v>
      </c>
      <c r="C146" s="4">
        <v>1</v>
      </c>
      <c r="D146" s="4">
        <v>3</v>
      </c>
      <c r="E146" s="4">
        <v>17</v>
      </c>
      <c r="F146" s="4" t="s">
        <v>25</v>
      </c>
      <c r="G146" t="s">
        <v>28</v>
      </c>
      <c r="H146" s="4">
        <v>301</v>
      </c>
      <c r="I146" s="4">
        <v>5</v>
      </c>
      <c r="J146" s="38">
        <v>45567</v>
      </c>
      <c r="K146" s="12">
        <v>35</v>
      </c>
    </row>
    <row r="147" spans="1:13" x14ac:dyDescent="0.25">
      <c r="A147" s="4">
        <v>3</v>
      </c>
      <c r="B147" s="4">
        <v>2</v>
      </c>
      <c r="C147" s="4">
        <v>1</v>
      </c>
      <c r="D147" s="4">
        <v>6</v>
      </c>
      <c r="E147" s="4">
        <v>18</v>
      </c>
      <c r="F147" s="4" t="s">
        <v>30</v>
      </c>
      <c r="G147" t="s">
        <v>29</v>
      </c>
      <c r="H147" s="4">
        <v>302</v>
      </c>
      <c r="I147" s="4">
        <v>5</v>
      </c>
      <c r="J147" s="38">
        <v>45567</v>
      </c>
      <c r="K147" s="12">
        <v>55</v>
      </c>
      <c r="L147">
        <v>12</v>
      </c>
      <c r="M147" s="43">
        <f>(L147/K147)*100</f>
        <v>21.818181818181817</v>
      </c>
    </row>
    <row r="148" spans="1:13" x14ac:dyDescent="0.25">
      <c r="A148" s="4">
        <v>3</v>
      </c>
      <c r="B148" s="4">
        <v>3</v>
      </c>
      <c r="C148" s="4">
        <v>2</v>
      </c>
      <c r="D148" s="4">
        <v>11</v>
      </c>
      <c r="E148" s="4">
        <v>19</v>
      </c>
      <c r="F148" s="4" t="s">
        <v>25</v>
      </c>
      <c r="G148" t="s">
        <v>26</v>
      </c>
      <c r="H148" s="4">
        <v>303</v>
      </c>
      <c r="I148" s="4">
        <v>5</v>
      </c>
      <c r="J148" s="38">
        <v>45567</v>
      </c>
      <c r="K148" s="12">
        <v>59</v>
      </c>
      <c r="L148">
        <v>0</v>
      </c>
      <c r="M148" s="43">
        <f>(L148/K148)*100</f>
        <v>0</v>
      </c>
    </row>
    <row r="149" spans="1:13" x14ac:dyDescent="0.25">
      <c r="A149" s="4">
        <v>3</v>
      </c>
      <c r="B149" s="4">
        <v>4</v>
      </c>
      <c r="C149" s="4">
        <v>2</v>
      </c>
      <c r="D149" s="4">
        <v>14</v>
      </c>
      <c r="E149" s="4">
        <v>20</v>
      </c>
      <c r="F149" s="4" t="s">
        <v>30</v>
      </c>
      <c r="G149" t="s">
        <v>31</v>
      </c>
      <c r="H149" s="4">
        <v>304</v>
      </c>
      <c r="I149" s="4">
        <v>5</v>
      </c>
      <c r="J149" s="38">
        <v>45567</v>
      </c>
      <c r="K149" s="12">
        <v>46</v>
      </c>
      <c r="L149">
        <v>15</v>
      </c>
      <c r="M149" s="43">
        <f>(L149/K149)*100</f>
        <v>32.608695652173914</v>
      </c>
    </row>
    <row r="150" spans="1:13" x14ac:dyDescent="0.25">
      <c r="A150" s="4">
        <v>3</v>
      </c>
      <c r="B150" s="4">
        <v>5</v>
      </c>
      <c r="C150" s="4">
        <v>3</v>
      </c>
      <c r="D150" s="4">
        <v>19</v>
      </c>
      <c r="E150" s="4">
        <v>21</v>
      </c>
      <c r="F150" s="4" t="s">
        <v>25</v>
      </c>
      <c r="G150" t="s">
        <v>29</v>
      </c>
      <c r="H150" s="4">
        <v>305</v>
      </c>
      <c r="I150" s="4">
        <v>5</v>
      </c>
      <c r="J150" s="38">
        <v>45567</v>
      </c>
      <c r="K150" s="12">
        <v>61</v>
      </c>
    </row>
    <row r="151" spans="1:13" x14ac:dyDescent="0.25">
      <c r="A151" s="4">
        <v>3</v>
      </c>
      <c r="B151" s="4">
        <v>6</v>
      </c>
      <c r="C151" s="4">
        <v>3</v>
      </c>
      <c r="D151" s="4">
        <v>22</v>
      </c>
      <c r="E151" s="4">
        <v>22</v>
      </c>
      <c r="F151" s="4" t="s">
        <v>30</v>
      </c>
      <c r="G151" t="s">
        <v>32</v>
      </c>
      <c r="H151" s="4">
        <v>306</v>
      </c>
      <c r="I151" s="4">
        <v>5</v>
      </c>
      <c r="J151" s="38">
        <v>45567</v>
      </c>
      <c r="K151" s="12">
        <v>73</v>
      </c>
      <c r="L151">
        <v>0</v>
      </c>
      <c r="M151" s="43">
        <f>(L151/K151)*100</f>
        <v>0</v>
      </c>
    </row>
    <row r="152" spans="1:13" x14ac:dyDescent="0.25">
      <c r="A152" s="4">
        <v>3</v>
      </c>
      <c r="B152" s="4">
        <v>7</v>
      </c>
      <c r="C152" s="4">
        <v>4</v>
      </c>
      <c r="D152" s="4">
        <v>27</v>
      </c>
      <c r="E152" s="4">
        <v>23</v>
      </c>
      <c r="F152" s="4" t="s">
        <v>25</v>
      </c>
      <c r="G152" t="s">
        <v>27</v>
      </c>
      <c r="H152" s="4">
        <v>307</v>
      </c>
      <c r="I152" s="4">
        <v>5</v>
      </c>
      <c r="J152" s="38">
        <v>45567</v>
      </c>
      <c r="K152" s="12">
        <v>44</v>
      </c>
    </row>
    <row r="153" spans="1:13" x14ac:dyDescent="0.25">
      <c r="A153" s="4">
        <v>3</v>
      </c>
      <c r="B153" s="4">
        <v>8</v>
      </c>
      <c r="C153" s="4">
        <v>4</v>
      </c>
      <c r="D153" s="4">
        <v>30</v>
      </c>
      <c r="E153" s="4">
        <v>24</v>
      </c>
      <c r="F153" s="4" t="s">
        <v>30</v>
      </c>
      <c r="G153" t="s">
        <v>28</v>
      </c>
      <c r="H153" s="4">
        <v>308</v>
      </c>
      <c r="I153" s="4">
        <v>5</v>
      </c>
      <c r="J153" s="38">
        <v>45567</v>
      </c>
      <c r="K153" s="12">
        <v>64</v>
      </c>
      <c r="L153">
        <v>4</v>
      </c>
      <c r="M153" s="43">
        <f>(L153/K153)*100</f>
        <v>6.25</v>
      </c>
    </row>
    <row r="154" spans="1:13" x14ac:dyDescent="0.25">
      <c r="A154" s="4">
        <v>4</v>
      </c>
      <c r="B154" s="4">
        <v>8</v>
      </c>
      <c r="C154" s="4">
        <v>4</v>
      </c>
      <c r="D154" s="4">
        <v>29</v>
      </c>
      <c r="E154" s="4">
        <v>25</v>
      </c>
      <c r="F154" s="4" t="s">
        <v>30</v>
      </c>
      <c r="G154" t="s">
        <v>31</v>
      </c>
      <c r="H154" s="4">
        <v>408</v>
      </c>
      <c r="I154" s="4">
        <v>5</v>
      </c>
      <c r="J154" s="38">
        <v>45567</v>
      </c>
      <c r="K154" s="12">
        <v>47</v>
      </c>
      <c r="L154">
        <v>14</v>
      </c>
      <c r="M154" s="43">
        <f>(L154/K154)*100</f>
        <v>29.787234042553191</v>
      </c>
    </row>
    <row r="155" spans="1:13" x14ac:dyDescent="0.25">
      <c r="A155" s="4">
        <v>4</v>
      </c>
      <c r="B155" s="4">
        <v>7</v>
      </c>
      <c r="C155" s="4">
        <v>4</v>
      </c>
      <c r="D155" s="4">
        <v>28</v>
      </c>
      <c r="E155" s="4">
        <v>26</v>
      </c>
      <c r="F155" s="4" t="s">
        <v>25</v>
      </c>
      <c r="G155" t="s">
        <v>26</v>
      </c>
      <c r="H155" s="4">
        <v>407</v>
      </c>
      <c r="I155" s="4">
        <v>5</v>
      </c>
      <c r="J155" s="38">
        <v>45567</v>
      </c>
      <c r="K155" s="12">
        <v>57</v>
      </c>
      <c r="L155">
        <v>0</v>
      </c>
      <c r="M155" s="43">
        <f>(L155/K155)*100</f>
        <v>0</v>
      </c>
    </row>
    <row r="156" spans="1:13" x14ac:dyDescent="0.25">
      <c r="A156" s="4">
        <v>4</v>
      </c>
      <c r="B156" s="4">
        <v>6</v>
      </c>
      <c r="C156" s="4">
        <v>3</v>
      </c>
      <c r="D156" s="4">
        <v>21</v>
      </c>
      <c r="E156" s="4">
        <v>27</v>
      </c>
      <c r="F156" s="4" t="s">
        <v>30</v>
      </c>
      <c r="G156" t="s">
        <v>28</v>
      </c>
      <c r="H156" s="4">
        <v>406</v>
      </c>
      <c r="I156" s="4">
        <v>5</v>
      </c>
      <c r="J156" s="38">
        <v>45567</v>
      </c>
      <c r="K156" s="12">
        <v>54</v>
      </c>
      <c r="L156">
        <v>40</v>
      </c>
      <c r="M156" s="43">
        <f>(L156/K156)*100</f>
        <v>74.074074074074076</v>
      </c>
    </row>
    <row r="157" spans="1:13" x14ac:dyDescent="0.25">
      <c r="A157" s="4">
        <v>4</v>
      </c>
      <c r="B157" s="4">
        <v>5</v>
      </c>
      <c r="C157" s="4">
        <v>3</v>
      </c>
      <c r="D157" s="4">
        <v>20</v>
      </c>
      <c r="E157" s="4">
        <v>28</v>
      </c>
      <c r="F157" s="4" t="s">
        <v>25</v>
      </c>
      <c r="G157" t="s">
        <v>27</v>
      </c>
      <c r="H157" s="4">
        <v>405</v>
      </c>
      <c r="I157" s="4">
        <v>5</v>
      </c>
      <c r="J157" s="38">
        <v>45567</v>
      </c>
      <c r="K157" s="12">
        <v>64</v>
      </c>
    </row>
    <row r="158" spans="1:13" x14ac:dyDescent="0.25">
      <c r="A158" s="4">
        <v>4</v>
      </c>
      <c r="B158" s="4">
        <v>4</v>
      </c>
      <c r="C158" s="4">
        <v>2</v>
      </c>
      <c r="D158" s="4">
        <v>13</v>
      </c>
      <c r="E158" s="4">
        <v>29</v>
      </c>
      <c r="F158" s="4" t="s">
        <v>30</v>
      </c>
      <c r="G158" t="s">
        <v>29</v>
      </c>
      <c r="H158" s="4">
        <v>404</v>
      </c>
      <c r="I158" s="4">
        <v>5</v>
      </c>
      <c r="J158" s="38">
        <v>45567</v>
      </c>
      <c r="K158" s="12">
        <v>64</v>
      </c>
      <c r="L158">
        <v>2</v>
      </c>
      <c r="M158" s="43">
        <f>(L158/K158)*100</f>
        <v>3.125</v>
      </c>
    </row>
    <row r="159" spans="1:13" x14ac:dyDescent="0.25">
      <c r="A159" s="4">
        <v>4</v>
      </c>
      <c r="B159" s="4">
        <v>3</v>
      </c>
      <c r="C159" s="4">
        <v>2</v>
      </c>
      <c r="D159" s="4">
        <v>12</v>
      </c>
      <c r="E159" s="4">
        <v>30</v>
      </c>
      <c r="F159" s="4" t="s">
        <v>25</v>
      </c>
      <c r="G159" t="s">
        <v>28</v>
      </c>
      <c r="H159" s="4">
        <v>403</v>
      </c>
      <c r="I159" s="4">
        <v>5</v>
      </c>
      <c r="J159" s="38">
        <v>45567</v>
      </c>
      <c r="K159" s="12">
        <v>61</v>
      </c>
    </row>
    <row r="160" spans="1:13" x14ac:dyDescent="0.25">
      <c r="A160" s="4">
        <v>4</v>
      </c>
      <c r="B160" s="4">
        <v>2</v>
      </c>
      <c r="C160" s="4">
        <v>1</v>
      </c>
      <c r="D160" s="4">
        <v>5</v>
      </c>
      <c r="E160" s="4">
        <v>31</v>
      </c>
      <c r="F160" s="4" t="s">
        <v>30</v>
      </c>
      <c r="G160" t="s">
        <v>32</v>
      </c>
      <c r="H160" s="4">
        <v>402</v>
      </c>
      <c r="I160" s="4">
        <v>5</v>
      </c>
      <c r="J160" s="38">
        <v>45567</v>
      </c>
      <c r="K160" s="12">
        <v>66</v>
      </c>
      <c r="L160">
        <v>0</v>
      </c>
      <c r="M160" s="43">
        <f>(L160/K160)*100</f>
        <v>0</v>
      </c>
    </row>
    <row r="161" spans="1:13" x14ac:dyDescent="0.25">
      <c r="A161" s="4">
        <v>4</v>
      </c>
      <c r="B161" s="4">
        <v>1</v>
      </c>
      <c r="C161" s="4">
        <v>1</v>
      </c>
      <c r="D161" s="4">
        <v>4</v>
      </c>
      <c r="E161" s="4">
        <v>32</v>
      </c>
      <c r="F161" s="4" t="s">
        <v>25</v>
      </c>
      <c r="G161" t="s">
        <v>29</v>
      </c>
      <c r="H161" s="4">
        <v>401</v>
      </c>
      <c r="I161" s="4">
        <v>5</v>
      </c>
      <c r="J161" s="38">
        <v>45567</v>
      </c>
      <c r="K161" s="12">
        <v>51</v>
      </c>
    </row>
    <row r="162" spans="1:13" x14ac:dyDescent="0.25">
      <c r="A162" s="4">
        <v>1</v>
      </c>
      <c r="B162" s="4">
        <v>1</v>
      </c>
      <c r="C162" s="4">
        <v>1</v>
      </c>
      <c r="D162" s="4">
        <v>1</v>
      </c>
      <c r="E162" s="4">
        <v>1</v>
      </c>
      <c r="F162" s="4" t="s">
        <v>25</v>
      </c>
      <c r="G162" t="s">
        <v>26</v>
      </c>
      <c r="H162" s="4">
        <v>101</v>
      </c>
      <c r="I162" s="4">
        <v>6</v>
      </c>
      <c r="J162" s="38">
        <v>45569</v>
      </c>
      <c r="K162" s="12">
        <v>50</v>
      </c>
      <c r="L162">
        <v>0</v>
      </c>
      <c r="M162" s="43">
        <f>(L162/K162)*100</f>
        <v>0</v>
      </c>
    </row>
    <row r="163" spans="1:13" x14ac:dyDescent="0.25">
      <c r="A163" s="4">
        <v>1</v>
      </c>
      <c r="B163" s="4">
        <v>2</v>
      </c>
      <c r="C163" s="4">
        <v>1</v>
      </c>
      <c r="D163" s="4">
        <v>8</v>
      </c>
      <c r="E163" s="4">
        <v>2</v>
      </c>
      <c r="F163" s="4" t="s">
        <v>30</v>
      </c>
      <c r="G163" t="s">
        <v>31</v>
      </c>
      <c r="H163" s="4">
        <v>102</v>
      </c>
      <c r="I163" s="4">
        <v>6</v>
      </c>
      <c r="J163" s="38">
        <v>45569</v>
      </c>
      <c r="K163" s="12">
        <v>39</v>
      </c>
    </row>
    <row r="164" spans="1:13" x14ac:dyDescent="0.25">
      <c r="A164" s="4">
        <v>1</v>
      </c>
      <c r="B164" s="4">
        <v>3</v>
      </c>
      <c r="C164" s="4">
        <v>2</v>
      </c>
      <c r="D164" s="4">
        <v>9</v>
      </c>
      <c r="E164" s="4">
        <v>3</v>
      </c>
      <c r="F164" s="4" t="s">
        <v>25</v>
      </c>
      <c r="G164" t="s">
        <v>27</v>
      </c>
      <c r="H164" s="4">
        <v>103</v>
      </c>
      <c r="I164" s="4">
        <v>6</v>
      </c>
      <c r="J164" s="38">
        <v>45569</v>
      </c>
      <c r="K164" s="12">
        <v>38</v>
      </c>
    </row>
    <row r="165" spans="1:13" x14ac:dyDescent="0.25">
      <c r="A165" s="4">
        <v>1</v>
      </c>
      <c r="B165" s="4">
        <v>4</v>
      </c>
      <c r="C165" s="4">
        <v>2</v>
      </c>
      <c r="D165" s="4">
        <v>16</v>
      </c>
      <c r="E165" s="4">
        <v>4</v>
      </c>
      <c r="F165" s="4" t="s">
        <v>30</v>
      </c>
      <c r="G165" t="s">
        <v>28</v>
      </c>
      <c r="H165" s="4">
        <v>104</v>
      </c>
      <c r="I165" s="4">
        <v>6</v>
      </c>
      <c r="J165" s="38">
        <v>45569</v>
      </c>
      <c r="K165" s="12">
        <v>38</v>
      </c>
    </row>
    <row r="166" spans="1:13" x14ac:dyDescent="0.25">
      <c r="A166" s="4">
        <v>1</v>
      </c>
      <c r="B166" s="4">
        <v>5</v>
      </c>
      <c r="C166" s="4">
        <v>3</v>
      </c>
      <c r="D166" s="4">
        <v>17</v>
      </c>
      <c r="E166" s="4">
        <v>5</v>
      </c>
      <c r="F166" s="4" t="s">
        <v>25</v>
      </c>
      <c r="G166" t="s">
        <v>28</v>
      </c>
      <c r="H166" s="4">
        <v>105</v>
      </c>
      <c r="I166" s="4">
        <v>6</v>
      </c>
      <c r="J166" s="38">
        <v>45569</v>
      </c>
      <c r="K166" s="12">
        <v>61</v>
      </c>
    </row>
    <row r="167" spans="1:13" x14ac:dyDescent="0.25">
      <c r="A167" s="4">
        <v>1</v>
      </c>
      <c r="B167" s="4">
        <v>6</v>
      </c>
      <c r="C167" s="4">
        <v>3</v>
      </c>
      <c r="D167" s="4">
        <v>24</v>
      </c>
      <c r="E167" s="4">
        <v>6</v>
      </c>
      <c r="F167" s="4" t="s">
        <v>30</v>
      </c>
      <c r="G167" t="s">
        <v>29</v>
      </c>
      <c r="H167" s="4">
        <v>106</v>
      </c>
      <c r="I167" s="4">
        <v>6</v>
      </c>
      <c r="J167" s="38">
        <v>45569</v>
      </c>
      <c r="K167" s="12">
        <v>85</v>
      </c>
      <c r="L167">
        <v>19</v>
      </c>
      <c r="M167" s="43">
        <f>(L167/K167)*100</f>
        <v>22.352941176470591</v>
      </c>
    </row>
    <row r="168" spans="1:13" x14ac:dyDescent="0.25">
      <c r="A168" s="4">
        <v>1</v>
      </c>
      <c r="B168" s="4">
        <v>7</v>
      </c>
      <c r="C168" s="4">
        <v>4</v>
      </c>
      <c r="D168" s="4">
        <v>25</v>
      </c>
      <c r="E168" s="4">
        <v>7</v>
      </c>
      <c r="F168" s="4" t="s">
        <v>25</v>
      </c>
      <c r="G168" t="s">
        <v>29</v>
      </c>
      <c r="H168" s="4">
        <v>107</v>
      </c>
      <c r="I168" s="4">
        <v>6</v>
      </c>
      <c r="J168" s="38">
        <v>45569</v>
      </c>
      <c r="K168" s="12">
        <v>34</v>
      </c>
    </row>
    <row r="169" spans="1:13" x14ac:dyDescent="0.25">
      <c r="A169" s="4">
        <v>1</v>
      </c>
      <c r="B169" s="4">
        <v>8</v>
      </c>
      <c r="C169" s="4">
        <v>4</v>
      </c>
      <c r="D169" s="4">
        <v>32</v>
      </c>
      <c r="E169" s="4">
        <v>8</v>
      </c>
      <c r="F169" s="4" t="s">
        <v>30</v>
      </c>
      <c r="G169" t="s">
        <v>32</v>
      </c>
      <c r="H169" s="4">
        <v>108</v>
      </c>
      <c r="I169" s="4">
        <v>6</v>
      </c>
      <c r="J169" s="38">
        <v>45569</v>
      </c>
      <c r="K169" s="12">
        <v>75</v>
      </c>
      <c r="L169">
        <v>4</v>
      </c>
      <c r="M169" s="43">
        <f>(L169/K169)*100</f>
        <v>5.3333333333333339</v>
      </c>
    </row>
    <row r="170" spans="1:13" x14ac:dyDescent="0.25">
      <c r="A170" s="4">
        <v>2</v>
      </c>
      <c r="B170" s="4">
        <v>8</v>
      </c>
      <c r="C170" s="4">
        <v>4</v>
      </c>
      <c r="D170" s="4">
        <v>31</v>
      </c>
      <c r="E170" s="4">
        <v>9</v>
      </c>
      <c r="F170" s="4" t="s">
        <v>30</v>
      </c>
      <c r="G170" t="s">
        <v>29</v>
      </c>
      <c r="H170" s="4">
        <v>208</v>
      </c>
      <c r="I170" s="4">
        <v>6</v>
      </c>
      <c r="J170" s="38">
        <v>45569</v>
      </c>
      <c r="K170" s="12">
        <v>79</v>
      </c>
      <c r="L170">
        <v>14</v>
      </c>
      <c r="M170" s="43">
        <f>(L170/K170)*100</f>
        <v>17.721518987341771</v>
      </c>
    </row>
    <row r="171" spans="1:13" x14ac:dyDescent="0.25">
      <c r="A171" s="4">
        <v>2</v>
      </c>
      <c r="B171" s="4">
        <v>7</v>
      </c>
      <c r="C171" s="4">
        <v>4</v>
      </c>
      <c r="D171" s="4">
        <v>26</v>
      </c>
      <c r="E171" s="4">
        <v>10</v>
      </c>
      <c r="F171" s="4" t="s">
        <v>25</v>
      </c>
      <c r="G171" t="s">
        <v>28</v>
      </c>
      <c r="H171" s="4">
        <v>207</v>
      </c>
      <c r="I171" s="4">
        <v>6</v>
      </c>
      <c r="J171" s="38">
        <v>45569</v>
      </c>
      <c r="K171" s="12">
        <v>49</v>
      </c>
    </row>
    <row r="172" spans="1:13" x14ac:dyDescent="0.25">
      <c r="A172" s="4">
        <v>2</v>
      </c>
      <c r="B172" s="4">
        <v>6</v>
      </c>
      <c r="C172" s="4">
        <v>3</v>
      </c>
      <c r="D172" s="4">
        <v>23</v>
      </c>
      <c r="E172" s="4">
        <v>11</v>
      </c>
      <c r="F172" s="4" t="s">
        <v>30</v>
      </c>
      <c r="G172" t="s">
        <v>31</v>
      </c>
      <c r="H172" s="4">
        <v>206</v>
      </c>
      <c r="I172" s="4">
        <v>6</v>
      </c>
      <c r="J172" s="38">
        <v>45569</v>
      </c>
      <c r="K172" s="12">
        <v>42</v>
      </c>
    </row>
    <row r="173" spans="1:13" x14ac:dyDescent="0.25">
      <c r="A173" s="4">
        <v>2</v>
      </c>
      <c r="B173" s="4">
        <v>5</v>
      </c>
      <c r="C173" s="4">
        <v>3</v>
      </c>
      <c r="D173" s="4">
        <v>18</v>
      </c>
      <c r="E173" s="4">
        <v>12</v>
      </c>
      <c r="F173" s="4" t="s">
        <v>25</v>
      </c>
      <c r="G173" t="s">
        <v>26</v>
      </c>
      <c r="H173" s="4">
        <v>205</v>
      </c>
      <c r="I173" s="4">
        <v>6</v>
      </c>
      <c r="J173" s="38">
        <v>45569</v>
      </c>
      <c r="K173" s="12">
        <v>61</v>
      </c>
      <c r="L173">
        <v>0</v>
      </c>
      <c r="M173" s="43">
        <f>(L173/K173)*100</f>
        <v>0</v>
      </c>
    </row>
    <row r="174" spans="1:13" x14ac:dyDescent="0.25">
      <c r="A174" s="4">
        <v>2</v>
      </c>
      <c r="B174" s="4">
        <v>4</v>
      </c>
      <c r="C174" s="4">
        <v>2</v>
      </c>
      <c r="D174" s="4">
        <v>15</v>
      </c>
      <c r="E174" s="4">
        <v>13</v>
      </c>
      <c r="F174" s="4" t="s">
        <v>30</v>
      </c>
      <c r="G174" t="s">
        <v>32</v>
      </c>
      <c r="H174" s="4">
        <v>204</v>
      </c>
      <c r="I174" s="4">
        <v>6</v>
      </c>
      <c r="J174" s="38">
        <v>45569</v>
      </c>
      <c r="K174" s="12">
        <v>52</v>
      </c>
      <c r="L174">
        <v>19</v>
      </c>
      <c r="M174" s="43">
        <f>(L174/K174)*100</f>
        <v>36.538461538461533</v>
      </c>
    </row>
    <row r="175" spans="1:13" x14ac:dyDescent="0.25">
      <c r="A175" s="4">
        <v>2</v>
      </c>
      <c r="B175" s="4">
        <v>3</v>
      </c>
      <c r="C175" s="4">
        <v>2</v>
      </c>
      <c r="D175" s="4">
        <v>10</v>
      </c>
      <c r="E175" s="4">
        <v>14</v>
      </c>
      <c r="F175" s="4" t="s">
        <v>25</v>
      </c>
      <c r="G175" t="s">
        <v>29</v>
      </c>
      <c r="H175" s="4">
        <v>203</v>
      </c>
      <c r="I175" s="4">
        <v>6</v>
      </c>
      <c r="J175" s="38">
        <v>45569</v>
      </c>
      <c r="K175" s="12">
        <v>51</v>
      </c>
    </row>
    <row r="176" spans="1:13" x14ac:dyDescent="0.25">
      <c r="A176" s="4">
        <v>2</v>
      </c>
      <c r="B176" s="4">
        <v>2</v>
      </c>
      <c r="C176" s="4">
        <v>1</v>
      </c>
      <c r="D176" s="4">
        <v>7</v>
      </c>
      <c r="E176" s="4">
        <v>15</v>
      </c>
      <c r="F176" s="4" t="s">
        <v>30</v>
      </c>
      <c r="G176" t="s">
        <v>28</v>
      </c>
      <c r="H176" s="4">
        <v>202</v>
      </c>
      <c r="I176" s="4">
        <v>6</v>
      </c>
      <c r="J176" s="38">
        <v>45569</v>
      </c>
      <c r="K176" s="12">
        <v>67</v>
      </c>
    </row>
    <row r="177" spans="1:13" x14ac:dyDescent="0.25">
      <c r="A177" s="4">
        <v>2</v>
      </c>
      <c r="B177" s="4">
        <v>1</v>
      </c>
      <c r="C177" s="4">
        <v>1</v>
      </c>
      <c r="D177" s="4">
        <v>2</v>
      </c>
      <c r="E177" s="4">
        <v>16</v>
      </c>
      <c r="F177" s="4" t="s">
        <v>25</v>
      </c>
      <c r="G177" t="s">
        <v>27</v>
      </c>
      <c r="H177" s="4">
        <v>201</v>
      </c>
      <c r="I177" s="4">
        <v>6</v>
      </c>
      <c r="J177" s="38">
        <v>45569</v>
      </c>
      <c r="K177" s="12">
        <v>55</v>
      </c>
    </row>
    <row r="178" spans="1:13" x14ac:dyDescent="0.25">
      <c r="A178" s="4">
        <v>3</v>
      </c>
      <c r="B178" s="4">
        <v>1</v>
      </c>
      <c r="C178" s="4">
        <v>1</v>
      </c>
      <c r="D178" s="4">
        <v>3</v>
      </c>
      <c r="E178" s="4">
        <v>17</v>
      </c>
      <c r="F178" s="4" t="s">
        <v>25</v>
      </c>
      <c r="G178" t="s">
        <v>28</v>
      </c>
      <c r="H178" s="4">
        <v>301</v>
      </c>
      <c r="I178" s="4">
        <v>6</v>
      </c>
      <c r="J178" s="38">
        <v>45569</v>
      </c>
      <c r="K178" s="12">
        <v>35</v>
      </c>
    </row>
    <row r="179" spans="1:13" x14ac:dyDescent="0.25">
      <c r="A179" s="4">
        <v>3</v>
      </c>
      <c r="B179" s="4">
        <v>2</v>
      </c>
      <c r="C179" s="4">
        <v>1</v>
      </c>
      <c r="D179" s="4">
        <v>6</v>
      </c>
      <c r="E179" s="4">
        <v>18</v>
      </c>
      <c r="F179" s="4" t="s">
        <v>30</v>
      </c>
      <c r="G179" t="s">
        <v>29</v>
      </c>
      <c r="H179" s="4">
        <v>302</v>
      </c>
      <c r="I179" s="4">
        <v>6</v>
      </c>
      <c r="J179" s="38">
        <v>45569</v>
      </c>
      <c r="K179" s="12">
        <v>55</v>
      </c>
      <c r="L179">
        <v>40</v>
      </c>
      <c r="M179" s="43">
        <f>(L179/K179)*100</f>
        <v>72.727272727272734</v>
      </c>
    </row>
    <row r="180" spans="1:13" x14ac:dyDescent="0.25">
      <c r="A180" s="4">
        <v>3</v>
      </c>
      <c r="B180" s="4">
        <v>3</v>
      </c>
      <c r="C180" s="4">
        <v>2</v>
      </c>
      <c r="D180" s="4">
        <v>11</v>
      </c>
      <c r="E180" s="4">
        <v>19</v>
      </c>
      <c r="F180" s="4" t="s">
        <v>25</v>
      </c>
      <c r="G180" t="s">
        <v>26</v>
      </c>
      <c r="H180" s="4">
        <v>303</v>
      </c>
      <c r="I180" s="4">
        <v>6</v>
      </c>
      <c r="J180" s="38">
        <v>45569</v>
      </c>
      <c r="K180" s="12">
        <v>59</v>
      </c>
      <c r="L180">
        <v>0</v>
      </c>
      <c r="M180" s="43">
        <f>(L180/K180)*100</f>
        <v>0</v>
      </c>
    </row>
    <row r="181" spans="1:13" x14ac:dyDescent="0.25">
      <c r="A181" s="4">
        <v>3</v>
      </c>
      <c r="B181" s="4">
        <v>4</v>
      </c>
      <c r="C181" s="4">
        <v>2</v>
      </c>
      <c r="D181" s="4">
        <v>14</v>
      </c>
      <c r="E181" s="4">
        <v>20</v>
      </c>
      <c r="F181" s="4" t="s">
        <v>30</v>
      </c>
      <c r="G181" t="s">
        <v>31</v>
      </c>
      <c r="H181" s="4">
        <v>304</v>
      </c>
      <c r="I181" s="4">
        <v>6</v>
      </c>
      <c r="J181" s="38">
        <v>45569</v>
      </c>
      <c r="K181" s="12">
        <v>46</v>
      </c>
    </row>
    <row r="182" spans="1:13" x14ac:dyDescent="0.25">
      <c r="A182" s="4">
        <v>3</v>
      </c>
      <c r="B182" s="4">
        <v>5</v>
      </c>
      <c r="C182" s="4">
        <v>3</v>
      </c>
      <c r="D182" s="4">
        <v>19</v>
      </c>
      <c r="E182" s="4">
        <v>21</v>
      </c>
      <c r="F182" s="4" t="s">
        <v>25</v>
      </c>
      <c r="G182" t="s">
        <v>29</v>
      </c>
      <c r="H182" s="4">
        <v>305</v>
      </c>
      <c r="I182" s="4">
        <v>6</v>
      </c>
      <c r="J182" s="38">
        <v>45569</v>
      </c>
      <c r="K182" s="12">
        <v>61</v>
      </c>
    </row>
    <row r="183" spans="1:13" x14ac:dyDescent="0.25">
      <c r="A183" s="4">
        <v>3</v>
      </c>
      <c r="B183" s="4">
        <v>6</v>
      </c>
      <c r="C183" s="4">
        <v>3</v>
      </c>
      <c r="D183" s="4">
        <v>22</v>
      </c>
      <c r="E183" s="4">
        <v>22</v>
      </c>
      <c r="F183" s="4" t="s">
        <v>30</v>
      </c>
      <c r="G183" t="s">
        <v>32</v>
      </c>
      <c r="H183" s="4">
        <v>306</v>
      </c>
      <c r="I183" s="4">
        <v>6</v>
      </c>
      <c r="J183" s="38">
        <v>45569</v>
      </c>
      <c r="K183" s="12">
        <v>73</v>
      </c>
      <c r="L183">
        <v>7</v>
      </c>
      <c r="M183" s="43">
        <f>(L183/K183)*100</f>
        <v>9.5890410958904102</v>
      </c>
    </row>
    <row r="184" spans="1:13" x14ac:dyDescent="0.25">
      <c r="A184" s="4">
        <v>3</v>
      </c>
      <c r="B184" s="4">
        <v>7</v>
      </c>
      <c r="C184" s="4">
        <v>4</v>
      </c>
      <c r="D184" s="4">
        <v>27</v>
      </c>
      <c r="E184" s="4">
        <v>23</v>
      </c>
      <c r="F184" s="4" t="s">
        <v>25</v>
      </c>
      <c r="G184" t="s">
        <v>27</v>
      </c>
      <c r="H184" s="4">
        <v>307</v>
      </c>
      <c r="I184" s="4">
        <v>6</v>
      </c>
      <c r="J184" s="38">
        <v>45569</v>
      </c>
      <c r="K184" s="12">
        <v>44</v>
      </c>
    </row>
    <row r="185" spans="1:13" x14ac:dyDescent="0.25">
      <c r="A185" s="4">
        <v>3</v>
      </c>
      <c r="B185" s="4">
        <v>8</v>
      </c>
      <c r="C185" s="4">
        <v>4</v>
      </c>
      <c r="D185" s="4">
        <v>30</v>
      </c>
      <c r="E185" s="4">
        <v>24</v>
      </c>
      <c r="F185" s="4" t="s">
        <v>30</v>
      </c>
      <c r="G185" t="s">
        <v>28</v>
      </c>
      <c r="H185" s="4">
        <v>308</v>
      </c>
      <c r="I185" s="4">
        <v>6</v>
      </c>
      <c r="J185" s="38">
        <v>45569</v>
      </c>
      <c r="K185" s="12">
        <v>64</v>
      </c>
    </row>
    <row r="186" spans="1:13" x14ac:dyDescent="0.25">
      <c r="A186" s="4">
        <v>4</v>
      </c>
      <c r="B186" s="4">
        <v>8</v>
      </c>
      <c r="C186" s="4">
        <v>4</v>
      </c>
      <c r="D186" s="4">
        <v>29</v>
      </c>
      <c r="E186" s="4">
        <v>25</v>
      </c>
      <c r="F186" s="4" t="s">
        <v>30</v>
      </c>
      <c r="G186" t="s">
        <v>31</v>
      </c>
      <c r="H186" s="4">
        <v>408</v>
      </c>
      <c r="I186" s="4">
        <v>6</v>
      </c>
      <c r="J186" s="38">
        <v>45569</v>
      </c>
      <c r="K186" s="12">
        <v>47</v>
      </c>
    </row>
    <row r="187" spans="1:13" x14ac:dyDescent="0.25">
      <c r="A187" s="4">
        <v>4</v>
      </c>
      <c r="B187" s="4">
        <v>7</v>
      </c>
      <c r="C187" s="4">
        <v>4</v>
      </c>
      <c r="D187" s="4">
        <v>28</v>
      </c>
      <c r="E187" s="4">
        <v>26</v>
      </c>
      <c r="F187" s="4" t="s">
        <v>25</v>
      </c>
      <c r="G187" t="s">
        <v>26</v>
      </c>
      <c r="H187" s="4">
        <v>407</v>
      </c>
      <c r="I187" s="4">
        <v>6</v>
      </c>
      <c r="J187" s="38">
        <v>45569</v>
      </c>
      <c r="K187" s="12">
        <v>57</v>
      </c>
      <c r="L187">
        <v>1</v>
      </c>
      <c r="M187" s="43">
        <f>(L187/K187)*100</f>
        <v>1.7543859649122806</v>
      </c>
    </row>
    <row r="188" spans="1:13" x14ac:dyDescent="0.25">
      <c r="A188" s="4">
        <v>4</v>
      </c>
      <c r="B188" s="4">
        <v>6</v>
      </c>
      <c r="C188" s="4">
        <v>3</v>
      </c>
      <c r="D188" s="4">
        <v>21</v>
      </c>
      <c r="E188" s="4">
        <v>27</v>
      </c>
      <c r="F188" s="4" t="s">
        <v>30</v>
      </c>
      <c r="G188" t="s">
        <v>28</v>
      </c>
      <c r="H188" s="4">
        <v>406</v>
      </c>
      <c r="I188" s="4">
        <v>6</v>
      </c>
      <c r="J188" s="38">
        <v>45569</v>
      </c>
      <c r="K188" s="12">
        <v>54</v>
      </c>
    </row>
    <row r="189" spans="1:13" x14ac:dyDescent="0.25">
      <c r="A189" s="4">
        <v>4</v>
      </c>
      <c r="B189" s="4">
        <v>5</v>
      </c>
      <c r="C189" s="4">
        <v>3</v>
      </c>
      <c r="D189" s="4">
        <v>20</v>
      </c>
      <c r="E189" s="4">
        <v>28</v>
      </c>
      <c r="F189" s="4" t="s">
        <v>25</v>
      </c>
      <c r="G189" t="s">
        <v>27</v>
      </c>
      <c r="H189" s="4">
        <v>405</v>
      </c>
      <c r="I189" s="4">
        <v>6</v>
      </c>
      <c r="J189" s="38">
        <v>45569</v>
      </c>
      <c r="K189" s="12">
        <v>64</v>
      </c>
    </row>
    <row r="190" spans="1:13" x14ac:dyDescent="0.25">
      <c r="A190" s="4">
        <v>4</v>
      </c>
      <c r="B190" s="4">
        <v>4</v>
      </c>
      <c r="C190" s="4">
        <v>2</v>
      </c>
      <c r="D190" s="4">
        <v>13</v>
      </c>
      <c r="E190" s="4">
        <v>29</v>
      </c>
      <c r="F190" s="4" t="s">
        <v>30</v>
      </c>
      <c r="G190" t="s">
        <v>29</v>
      </c>
      <c r="H190" s="4">
        <v>404</v>
      </c>
      <c r="I190" s="4">
        <v>6</v>
      </c>
      <c r="J190" s="38">
        <v>45569</v>
      </c>
      <c r="K190" s="12">
        <v>64</v>
      </c>
      <c r="L190">
        <v>26</v>
      </c>
      <c r="M190" s="43">
        <f>(L190/K190)*100</f>
        <v>40.625</v>
      </c>
    </row>
    <row r="191" spans="1:13" x14ac:dyDescent="0.25">
      <c r="A191" s="4">
        <v>4</v>
      </c>
      <c r="B191" s="4">
        <v>3</v>
      </c>
      <c r="C191" s="4">
        <v>2</v>
      </c>
      <c r="D191" s="4">
        <v>12</v>
      </c>
      <c r="E191" s="4">
        <v>30</v>
      </c>
      <c r="F191" s="4" t="s">
        <v>25</v>
      </c>
      <c r="G191" t="s">
        <v>28</v>
      </c>
      <c r="H191" s="4">
        <v>403</v>
      </c>
      <c r="I191" s="4">
        <v>6</v>
      </c>
      <c r="J191" s="38">
        <v>45569</v>
      </c>
      <c r="K191" s="12">
        <v>61</v>
      </c>
    </row>
    <row r="192" spans="1:13" x14ac:dyDescent="0.25">
      <c r="A192" s="4">
        <v>4</v>
      </c>
      <c r="B192" s="4">
        <v>2</v>
      </c>
      <c r="C192" s="4">
        <v>1</v>
      </c>
      <c r="D192" s="4">
        <v>5</v>
      </c>
      <c r="E192" s="4">
        <v>31</v>
      </c>
      <c r="F192" s="4" t="s">
        <v>30</v>
      </c>
      <c r="G192" t="s">
        <v>32</v>
      </c>
      <c r="H192" s="4">
        <v>402</v>
      </c>
      <c r="I192" s="4">
        <v>6</v>
      </c>
      <c r="J192" s="38">
        <v>45569</v>
      </c>
      <c r="K192" s="12">
        <v>66</v>
      </c>
      <c r="L192">
        <v>12</v>
      </c>
      <c r="M192" s="43">
        <f>(L192/K192)*100</f>
        <v>18.181818181818183</v>
      </c>
    </row>
    <row r="193" spans="1:13" x14ac:dyDescent="0.25">
      <c r="A193" s="4">
        <v>4</v>
      </c>
      <c r="B193" s="4">
        <v>1</v>
      </c>
      <c r="C193" s="4">
        <v>1</v>
      </c>
      <c r="D193" s="4">
        <v>4</v>
      </c>
      <c r="E193" s="4">
        <v>32</v>
      </c>
      <c r="F193" s="4" t="s">
        <v>25</v>
      </c>
      <c r="G193" t="s">
        <v>29</v>
      </c>
      <c r="H193" s="4">
        <v>401</v>
      </c>
      <c r="I193" s="4">
        <v>6</v>
      </c>
      <c r="J193" s="38">
        <v>45569</v>
      </c>
      <c r="K193" s="12">
        <v>51</v>
      </c>
    </row>
    <row r="194" spans="1:13" x14ac:dyDescent="0.25">
      <c r="A194" s="4">
        <v>1</v>
      </c>
      <c r="B194" s="4">
        <v>1</v>
      </c>
      <c r="C194" s="4">
        <v>1</v>
      </c>
      <c r="D194" s="4">
        <v>1</v>
      </c>
      <c r="E194" s="4">
        <v>1</v>
      </c>
      <c r="F194" s="4" t="s">
        <v>25</v>
      </c>
      <c r="G194" t="s">
        <v>26</v>
      </c>
      <c r="H194" s="4">
        <v>101</v>
      </c>
      <c r="I194" s="4">
        <v>7</v>
      </c>
      <c r="J194" s="38">
        <v>45572</v>
      </c>
      <c r="K194" s="12">
        <v>50</v>
      </c>
      <c r="L194">
        <v>6</v>
      </c>
      <c r="M194" s="43">
        <f>(L194/K194)*100</f>
        <v>12</v>
      </c>
    </row>
    <row r="195" spans="1:13" x14ac:dyDescent="0.25">
      <c r="A195" s="4">
        <v>1</v>
      </c>
      <c r="B195" s="4">
        <v>2</v>
      </c>
      <c r="C195" s="4">
        <v>1</v>
      </c>
      <c r="D195" s="4">
        <v>8</v>
      </c>
      <c r="E195" s="4">
        <v>2</v>
      </c>
      <c r="F195" s="4" t="s">
        <v>30</v>
      </c>
      <c r="G195" t="s">
        <v>31</v>
      </c>
      <c r="H195" s="4">
        <v>102</v>
      </c>
      <c r="I195" s="4">
        <v>7</v>
      </c>
      <c r="J195" s="38">
        <v>45572</v>
      </c>
      <c r="K195" s="12">
        <v>39</v>
      </c>
    </row>
    <row r="196" spans="1:13" x14ac:dyDescent="0.25">
      <c r="A196" s="4">
        <v>1</v>
      </c>
      <c r="B196" s="4">
        <v>3</v>
      </c>
      <c r="C196" s="4">
        <v>2</v>
      </c>
      <c r="D196" s="4">
        <v>9</v>
      </c>
      <c r="E196" s="4">
        <v>3</v>
      </c>
      <c r="F196" s="4" t="s">
        <v>25</v>
      </c>
      <c r="G196" t="s">
        <v>27</v>
      </c>
      <c r="H196" s="4">
        <v>103</v>
      </c>
      <c r="I196" s="4">
        <v>7</v>
      </c>
      <c r="J196" s="38">
        <v>45572</v>
      </c>
      <c r="K196" s="12">
        <v>38</v>
      </c>
    </row>
    <row r="197" spans="1:13" x14ac:dyDescent="0.25">
      <c r="A197" s="4">
        <v>1</v>
      </c>
      <c r="B197" s="4">
        <v>4</v>
      </c>
      <c r="C197" s="4">
        <v>2</v>
      </c>
      <c r="D197" s="4">
        <v>16</v>
      </c>
      <c r="E197" s="4">
        <v>4</v>
      </c>
      <c r="F197" s="4" t="s">
        <v>30</v>
      </c>
      <c r="G197" t="s">
        <v>28</v>
      </c>
      <c r="H197" s="4">
        <v>104</v>
      </c>
      <c r="I197" s="4">
        <v>7</v>
      </c>
      <c r="J197" s="38">
        <v>45572</v>
      </c>
      <c r="K197" s="12">
        <v>38</v>
      </c>
    </row>
    <row r="198" spans="1:13" x14ac:dyDescent="0.25">
      <c r="A198" s="4">
        <v>1</v>
      </c>
      <c r="B198" s="4">
        <v>5</v>
      </c>
      <c r="C198" s="4">
        <v>3</v>
      </c>
      <c r="D198" s="4">
        <v>17</v>
      </c>
      <c r="E198" s="4">
        <v>5</v>
      </c>
      <c r="F198" s="4" t="s">
        <v>25</v>
      </c>
      <c r="G198" t="s">
        <v>28</v>
      </c>
      <c r="H198" s="4">
        <v>105</v>
      </c>
      <c r="I198" s="4">
        <v>7</v>
      </c>
      <c r="J198" s="38">
        <v>45572</v>
      </c>
      <c r="K198" s="12">
        <v>61</v>
      </c>
    </row>
    <row r="199" spans="1:13" x14ac:dyDescent="0.25">
      <c r="A199" s="4">
        <v>1</v>
      </c>
      <c r="B199" s="4">
        <v>6</v>
      </c>
      <c r="C199" s="4">
        <v>3</v>
      </c>
      <c r="D199" s="4">
        <v>24</v>
      </c>
      <c r="E199" s="4">
        <v>6</v>
      </c>
      <c r="F199" s="4" t="s">
        <v>30</v>
      </c>
      <c r="G199" t="s">
        <v>29</v>
      </c>
      <c r="H199" s="4">
        <v>106</v>
      </c>
      <c r="I199" s="4">
        <v>7</v>
      </c>
      <c r="J199" s="38">
        <v>45572</v>
      </c>
      <c r="K199" s="12">
        <v>85</v>
      </c>
      <c r="L199">
        <v>62</v>
      </c>
      <c r="M199" s="43">
        <f>(L199/K199)*100</f>
        <v>72.941176470588232</v>
      </c>
    </row>
    <row r="200" spans="1:13" x14ac:dyDescent="0.25">
      <c r="A200" s="4">
        <v>1</v>
      </c>
      <c r="B200" s="4">
        <v>7</v>
      </c>
      <c r="C200" s="4">
        <v>4</v>
      </c>
      <c r="D200" s="4">
        <v>25</v>
      </c>
      <c r="E200" s="4">
        <v>7</v>
      </c>
      <c r="F200" s="4" t="s">
        <v>25</v>
      </c>
      <c r="G200" t="s">
        <v>29</v>
      </c>
      <c r="H200" s="4">
        <v>107</v>
      </c>
      <c r="I200" s="4">
        <v>7</v>
      </c>
      <c r="J200" s="38">
        <v>45572</v>
      </c>
      <c r="K200" s="12">
        <v>34</v>
      </c>
    </row>
    <row r="201" spans="1:13" x14ac:dyDescent="0.25">
      <c r="A201" s="4">
        <v>1</v>
      </c>
      <c r="B201" s="4">
        <v>8</v>
      </c>
      <c r="C201" s="4">
        <v>4</v>
      </c>
      <c r="D201" s="4">
        <v>32</v>
      </c>
      <c r="E201" s="4">
        <v>8</v>
      </c>
      <c r="F201" s="4" t="s">
        <v>30</v>
      </c>
      <c r="G201" t="s">
        <v>32</v>
      </c>
      <c r="H201" s="4">
        <v>108</v>
      </c>
      <c r="I201" s="4">
        <v>7</v>
      </c>
      <c r="J201" s="38">
        <v>45572</v>
      </c>
      <c r="K201" s="12">
        <v>75</v>
      </c>
      <c r="L201">
        <v>45</v>
      </c>
      <c r="M201" s="43">
        <f>(L201/K201)*100</f>
        <v>60</v>
      </c>
    </row>
    <row r="202" spans="1:13" x14ac:dyDescent="0.25">
      <c r="A202" s="4">
        <v>2</v>
      </c>
      <c r="B202" s="4">
        <v>8</v>
      </c>
      <c r="C202" s="4">
        <v>4</v>
      </c>
      <c r="D202" s="4">
        <v>31</v>
      </c>
      <c r="E202" s="4">
        <v>9</v>
      </c>
      <c r="F202" s="4" t="s">
        <v>30</v>
      </c>
      <c r="G202" t="s">
        <v>29</v>
      </c>
      <c r="H202" s="4">
        <v>208</v>
      </c>
      <c r="I202" s="4">
        <v>7</v>
      </c>
      <c r="J202" s="38">
        <v>45572</v>
      </c>
      <c r="K202" s="12">
        <v>79</v>
      </c>
      <c r="L202">
        <v>61</v>
      </c>
      <c r="M202" s="43">
        <f>(L202/K202)*100</f>
        <v>77.215189873417728</v>
      </c>
    </row>
    <row r="203" spans="1:13" x14ac:dyDescent="0.25">
      <c r="A203" s="4">
        <v>2</v>
      </c>
      <c r="B203" s="4">
        <v>7</v>
      </c>
      <c r="C203" s="4">
        <v>4</v>
      </c>
      <c r="D203" s="4">
        <v>26</v>
      </c>
      <c r="E203" s="4">
        <v>10</v>
      </c>
      <c r="F203" s="4" t="s">
        <v>25</v>
      </c>
      <c r="G203" t="s">
        <v>28</v>
      </c>
      <c r="H203" s="4">
        <v>207</v>
      </c>
      <c r="I203" s="4">
        <v>7</v>
      </c>
      <c r="J203" s="38">
        <v>45572</v>
      </c>
      <c r="K203" s="12">
        <v>49</v>
      </c>
    </row>
    <row r="204" spans="1:13" x14ac:dyDescent="0.25">
      <c r="A204" s="4">
        <v>2</v>
      </c>
      <c r="B204" s="4">
        <v>6</v>
      </c>
      <c r="C204" s="4">
        <v>3</v>
      </c>
      <c r="D204" s="4">
        <v>23</v>
      </c>
      <c r="E204" s="4">
        <v>11</v>
      </c>
      <c r="F204" s="4" t="s">
        <v>30</v>
      </c>
      <c r="G204" t="s">
        <v>31</v>
      </c>
      <c r="H204" s="4">
        <v>206</v>
      </c>
      <c r="I204" s="4">
        <v>7</v>
      </c>
      <c r="J204" s="38">
        <v>45572</v>
      </c>
      <c r="K204" s="12">
        <v>42</v>
      </c>
    </row>
    <row r="205" spans="1:13" x14ac:dyDescent="0.25">
      <c r="A205" s="4">
        <v>2</v>
      </c>
      <c r="B205" s="4">
        <v>5</v>
      </c>
      <c r="C205" s="4">
        <v>3</v>
      </c>
      <c r="D205" s="4">
        <v>18</v>
      </c>
      <c r="E205" s="4">
        <v>12</v>
      </c>
      <c r="F205" s="4" t="s">
        <v>25</v>
      </c>
      <c r="G205" t="s">
        <v>26</v>
      </c>
      <c r="H205" s="4">
        <v>205</v>
      </c>
      <c r="I205" s="4">
        <v>7</v>
      </c>
      <c r="J205" s="38">
        <v>45572</v>
      </c>
      <c r="K205" s="12">
        <v>61</v>
      </c>
      <c r="L205">
        <v>12</v>
      </c>
      <c r="M205" s="43">
        <f>(L205/K205)*100</f>
        <v>19.672131147540984</v>
      </c>
    </row>
    <row r="206" spans="1:13" x14ac:dyDescent="0.25">
      <c r="A206" s="4">
        <v>2</v>
      </c>
      <c r="B206" s="4">
        <v>4</v>
      </c>
      <c r="C206" s="4">
        <v>2</v>
      </c>
      <c r="D206" s="4">
        <v>15</v>
      </c>
      <c r="E206" s="4">
        <v>13</v>
      </c>
      <c r="F206" s="4" t="s">
        <v>30</v>
      </c>
      <c r="G206" t="s">
        <v>32</v>
      </c>
      <c r="H206" s="4">
        <v>204</v>
      </c>
      <c r="I206" s="4">
        <v>7</v>
      </c>
      <c r="J206" s="38">
        <v>45572</v>
      </c>
      <c r="K206" s="12">
        <v>52</v>
      </c>
      <c r="L206">
        <v>34</v>
      </c>
      <c r="M206" s="43">
        <f>(L206/K206)*100</f>
        <v>65.384615384615387</v>
      </c>
    </row>
    <row r="207" spans="1:13" x14ac:dyDescent="0.25">
      <c r="A207" s="4">
        <v>2</v>
      </c>
      <c r="B207" s="4">
        <v>3</v>
      </c>
      <c r="C207" s="4">
        <v>2</v>
      </c>
      <c r="D207" s="4">
        <v>10</v>
      </c>
      <c r="E207" s="4">
        <v>14</v>
      </c>
      <c r="F207" s="4" t="s">
        <v>25</v>
      </c>
      <c r="G207" t="s">
        <v>29</v>
      </c>
      <c r="H207" s="4">
        <v>203</v>
      </c>
      <c r="I207" s="4">
        <v>7</v>
      </c>
      <c r="J207" s="38">
        <v>45572</v>
      </c>
      <c r="K207" s="12">
        <v>51</v>
      </c>
    </row>
    <row r="208" spans="1:13" x14ac:dyDescent="0.25">
      <c r="A208" s="4">
        <v>2</v>
      </c>
      <c r="B208" s="4">
        <v>2</v>
      </c>
      <c r="C208" s="4">
        <v>1</v>
      </c>
      <c r="D208" s="4">
        <v>7</v>
      </c>
      <c r="E208" s="4">
        <v>15</v>
      </c>
      <c r="F208" s="4" t="s">
        <v>30</v>
      </c>
      <c r="G208" t="s">
        <v>28</v>
      </c>
      <c r="H208" s="4">
        <v>202</v>
      </c>
      <c r="I208" s="4">
        <v>7</v>
      </c>
      <c r="J208" s="38">
        <v>45572</v>
      </c>
      <c r="K208" s="12">
        <v>67</v>
      </c>
    </row>
    <row r="209" spans="1:13" x14ac:dyDescent="0.25">
      <c r="A209" s="4">
        <v>2</v>
      </c>
      <c r="B209" s="4">
        <v>1</v>
      </c>
      <c r="C209" s="4">
        <v>1</v>
      </c>
      <c r="D209" s="4">
        <v>2</v>
      </c>
      <c r="E209" s="4">
        <v>16</v>
      </c>
      <c r="F209" s="4" t="s">
        <v>25</v>
      </c>
      <c r="G209" t="s">
        <v>27</v>
      </c>
      <c r="H209" s="4">
        <v>201</v>
      </c>
      <c r="I209" s="4">
        <v>7</v>
      </c>
      <c r="J209" s="38">
        <v>45572</v>
      </c>
      <c r="K209" s="12">
        <v>55</v>
      </c>
    </row>
    <row r="210" spans="1:13" x14ac:dyDescent="0.25">
      <c r="A210" s="4">
        <v>3</v>
      </c>
      <c r="B210" s="4">
        <v>1</v>
      </c>
      <c r="C210" s="4">
        <v>1</v>
      </c>
      <c r="D210" s="4">
        <v>3</v>
      </c>
      <c r="E210" s="4">
        <v>17</v>
      </c>
      <c r="F210" s="4" t="s">
        <v>25</v>
      </c>
      <c r="G210" t="s">
        <v>28</v>
      </c>
      <c r="H210" s="4">
        <v>301</v>
      </c>
      <c r="I210" s="4">
        <v>7</v>
      </c>
      <c r="J210" s="38">
        <v>45572</v>
      </c>
      <c r="K210" s="12">
        <v>35</v>
      </c>
    </row>
    <row r="211" spans="1:13" x14ac:dyDescent="0.25">
      <c r="A211" s="4">
        <v>3</v>
      </c>
      <c r="B211" s="4">
        <v>2</v>
      </c>
      <c r="C211" s="4">
        <v>1</v>
      </c>
      <c r="D211" s="4">
        <v>6</v>
      </c>
      <c r="E211" s="4">
        <v>18</v>
      </c>
      <c r="F211" s="4" t="s">
        <v>30</v>
      </c>
      <c r="G211" t="s">
        <v>29</v>
      </c>
      <c r="H211" s="4">
        <v>302</v>
      </c>
      <c r="I211" s="4">
        <v>7</v>
      </c>
      <c r="J211" s="38">
        <v>45572</v>
      </c>
      <c r="K211" s="12">
        <v>55</v>
      </c>
      <c r="L211">
        <v>51</v>
      </c>
      <c r="M211" s="43">
        <f>(L211/K211)*100</f>
        <v>92.72727272727272</v>
      </c>
    </row>
    <row r="212" spans="1:13" x14ac:dyDescent="0.25">
      <c r="A212" s="4">
        <v>3</v>
      </c>
      <c r="B212" s="4">
        <v>3</v>
      </c>
      <c r="C212" s="4">
        <v>2</v>
      </c>
      <c r="D212" s="4">
        <v>11</v>
      </c>
      <c r="E212" s="4">
        <v>19</v>
      </c>
      <c r="F212" s="4" t="s">
        <v>25</v>
      </c>
      <c r="G212" t="s">
        <v>26</v>
      </c>
      <c r="H212" s="4">
        <v>303</v>
      </c>
      <c r="I212" s="4">
        <v>7</v>
      </c>
      <c r="J212" s="38">
        <v>45572</v>
      </c>
      <c r="K212" s="12">
        <v>59</v>
      </c>
      <c r="L212">
        <v>15</v>
      </c>
      <c r="M212" s="43">
        <f>(L212/K212)*100</f>
        <v>25.423728813559322</v>
      </c>
    </row>
    <row r="213" spans="1:13" x14ac:dyDescent="0.25">
      <c r="A213" s="4">
        <v>3</v>
      </c>
      <c r="B213" s="4">
        <v>4</v>
      </c>
      <c r="C213" s="4">
        <v>2</v>
      </c>
      <c r="D213" s="4">
        <v>14</v>
      </c>
      <c r="E213" s="4">
        <v>20</v>
      </c>
      <c r="F213" s="4" t="s">
        <v>30</v>
      </c>
      <c r="G213" t="s">
        <v>31</v>
      </c>
      <c r="H213" s="4">
        <v>304</v>
      </c>
      <c r="I213" s="4">
        <v>7</v>
      </c>
      <c r="J213" s="38">
        <v>45572</v>
      </c>
      <c r="K213" s="12">
        <v>46</v>
      </c>
    </row>
    <row r="214" spans="1:13" x14ac:dyDescent="0.25">
      <c r="A214" s="4">
        <v>3</v>
      </c>
      <c r="B214" s="4">
        <v>5</v>
      </c>
      <c r="C214" s="4">
        <v>3</v>
      </c>
      <c r="D214" s="4">
        <v>19</v>
      </c>
      <c r="E214" s="4">
        <v>21</v>
      </c>
      <c r="F214" s="4" t="s">
        <v>25</v>
      </c>
      <c r="G214" t="s">
        <v>29</v>
      </c>
      <c r="H214" s="4">
        <v>305</v>
      </c>
      <c r="I214" s="4">
        <v>7</v>
      </c>
      <c r="J214" s="38">
        <v>45572</v>
      </c>
      <c r="K214" s="12">
        <v>61</v>
      </c>
    </row>
    <row r="215" spans="1:13" x14ac:dyDescent="0.25">
      <c r="A215" s="4">
        <v>3</v>
      </c>
      <c r="B215" s="4">
        <v>6</v>
      </c>
      <c r="C215" s="4">
        <v>3</v>
      </c>
      <c r="D215" s="4">
        <v>22</v>
      </c>
      <c r="E215" s="4">
        <v>22</v>
      </c>
      <c r="F215" s="4" t="s">
        <v>30</v>
      </c>
      <c r="G215" t="s">
        <v>32</v>
      </c>
      <c r="H215" s="4">
        <v>306</v>
      </c>
      <c r="I215" s="4">
        <v>7</v>
      </c>
      <c r="J215" s="38">
        <v>45572</v>
      </c>
      <c r="K215" s="12">
        <v>73</v>
      </c>
      <c r="L215">
        <v>31</v>
      </c>
      <c r="M215" s="43">
        <f>(L215/K215)*100</f>
        <v>42.465753424657535</v>
      </c>
    </row>
    <row r="216" spans="1:13" x14ac:dyDescent="0.25">
      <c r="A216" s="4">
        <v>3</v>
      </c>
      <c r="B216" s="4">
        <v>7</v>
      </c>
      <c r="C216" s="4">
        <v>4</v>
      </c>
      <c r="D216" s="4">
        <v>27</v>
      </c>
      <c r="E216" s="4">
        <v>23</v>
      </c>
      <c r="F216" s="4" t="s">
        <v>25</v>
      </c>
      <c r="G216" t="s">
        <v>27</v>
      </c>
      <c r="H216" s="4">
        <v>307</v>
      </c>
      <c r="I216" s="4">
        <v>7</v>
      </c>
      <c r="J216" s="38">
        <v>45572</v>
      </c>
      <c r="K216" s="12">
        <v>44</v>
      </c>
    </row>
    <row r="217" spans="1:13" x14ac:dyDescent="0.25">
      <c r="A217" s="4">
        <v>3</v>
      </c>
      <c r="B217" s="4">
        <v>8</v>
      </c>
      <c r="C217" s="4">
        <v>4</v>
      </c>
      <c r="D217" s="4">
        <v>30</v>
      </c>
      <c r="E217" s="4">
        <v>24</v>
      </c>
      <c r="F217" s="4" t="s">
        <v>30</v>
      </c>
      <c r="G217" t="s">
        <v>28</v>
      </c>
      <c r="H217" s="4">
        <v>308</v>
      </c>
      <c r="I217" s="4">
        <v>7</v>
      </c>
      <c r="J217" s="38">
        <v>45572</v>
      </c>
      <c r="K217" s="12">
        <v>64</v>
      </c>
    </row>
    <row r="218" spans="1:13" x14ac:dyDescent="0.25">
      <c r="A218" s="4">
        <v>4</v>
      </c>
      <c r="B218" s="4">
        <v>8</v>
      </c>
      <c r="C218" s="4">
        <v>4</v>
      </c>
      <c r="D218" s="4">
        <v>29</v>
      </c>
      <c r="E218" s="4">
        <v>25</v>
      </c>
      <c r="F218" s="4" t="s">
        <v>30</v>
      </c>
      <c r="G218" t="s">
        <v>31</v>
      </c>
      <c r="H218" s="4">
        <v>408</v>
      </c>
      <c r="I218" s="4">
        <v>7</v>
      </c>
      <c r="J218" s="38">
        <v>45572</v>
      </c>
      <c r="K218" s="12">
        <v>47</v>
      </c>
    </row>
    <row r="219" spans="1:13" x14ac:dyDescent="0.25">
      <c r="A219" s="4">
        <v>4</v>
      </c>
      <c r="B219" s="4">
        <v>7</v>
      </c>
      <c r="C219" s="4">
        <v>4</v>
      </c>
      <c r="D219" s="4">
        <v>28</v>
      </c>
      <c r="E219" s="4">
        <v>26</v>
      </c>
      <c r="F219" s="4" t="s">
        <v>25</v>
      </c>
      <c r="G219" t="s">
        <v>26</v>
      </c>
      <c r="H219" s="4">
        <v>407</v>
      </c>
      <c r="I219" s="4">
        <v>7</v>
      </c>
      <c r="J219" s="38">
        <v>45572</v>
      </c>
      <c r="K219" s="12">
        <v>57</v>
      </c>
      <c r="L219">
        <v>14</v>
      </c>
      <c r="M219" s="43">
        <f>(L219/K219)*100</f>
        <v>24.561403508771928</v>
      </c>
    </row>
    <row r="220" spans="1:13" x14ac:dyDescent="0.25">
      <c r="A220" s="4">
        <v>4</v>
      </c>
      <c r="B220" s="4">
        <v>6</v>
      </c>
      <c r="C220" s="4">
        <v>3</v>
      </c>
      <c r="D220" s="4">
        <v>21</v>
      </c>
      <c r="E220" s="4">
        <v>27</v>
      </c>
      <c r="F220" s="4" t="s">
        <v>30</v>
      </c>
      <c r="G220" t="s">
        <v>28</v>
      </c>
      <c r="H220" s="4">
        <v>406</v>
      </c>
      <c r="I220" s="4">
        <v>7</v>
      </c>
      <c r="J220" s="38">
        <v>45572</v>
      </c>
      <c r="K220" s="12">
        <v>54</v>
      </c>
    </row>
    <row r="221" spans="1:13" x14ac:dyDescent="0.25">
      <c r="A221" s="4">
        <v>4</v>
      </c>
      <c r="B221" s="4">
        <v>5</v>
      </c>
      <c r="C221" s="4">
        <v>3</v>
      </c>
      <c r="D221" s="4">
        <v>20</v>
      </c>
      <c r="E221" s="4">
        <v>28</v>
      </c>
      <c r="F221" s="4" t="s">
        <v>25</v>
      </c>
      <c r="G221" t="s">
        <v>27</v>
      </c>
      <c r="H221" s="4">
        <v>405</v>
      </c>
      <c r="I221" s="4">
        <v>7</v>
      </c>
      <c r="J221" s="38">
        <v>45572</v>
      </c>
      <c r="K221" s="12">
        <v>64</v>
      </c>
    </row>
    <row r="222" spans="1:13" x14ac:dyDescent="0.25">
      <c r="A222" s="4">
        <v>4</v>
      </c>
      <c r="B222" s="4">
        <v>4</v>
      </c>
      <c r="C222" s="4">
        <v>2</v>
      </c>
      <c r="D222" s="4">
        <v>13</v>
      </c>
      <c r="E222" s="4">
        <v>29</v>
      </c>
      <c r="F222" s="4" t="s">
        <v>30</v>
      </c>
      <c r="G222" t="s">
        <v>29</v>
      </c>
      <c r="H222" s="4">
        <v>404</v>
      </c>
      <c r="I222" s="4">
        <v>7</v>
      </c>
      <c r="J222" s="38">
        <v>45572</v>
      </c>
      <c r="K222" s="12">
        <v>64</v>
      </c>
      <c r="L222">
        <v>43</v>
      </c>
      <c r="M222" s="43">
        <f>(L222/K222)*100</f>
        <v>67.1875</v>
      </c>
    </row>
    <row r="223" spans="1:13" x14ac:dyDescent="0.25">
      <c r="A223" s="4">
        <v>4</v>
      </c>
      <c r="B223" s="4">
        <v>3</v>
      </c>
      <c r="C223" s="4">
        <v>2</v>
      </c>
      <c r="D223" s="4">
        <v>12</v>
      </c>
      <c r="E223" s="4">
        <v>30</v>
      </c>
      <c r="F223" s="4" t="s">
        <v>25</v>
      </c>
      <c r="G223" t="s">
        <v>28</v>
      </c>
      <c r="H223" s="4">
        <v>403</v>
      </c>
      <c r="I223" s="4">
        <v>7</v>
      </c>
      <c r="J223" s="38">
        <v>45572</v>
      </c>
      <c r="K223" s="12">
        <v>61</v>
      </c>
    </row>
    <row r="224" spans="1:13" x14ac:dyDescent="0.25">
      <c r="A224" s="4">
        <v>4</v>
      </c>
      <c r="B224" s="4">
        <v>2</v>
      </c>
      <c r="C224" s="4">
        <v>1</v>
      </c>
      <c r="D224" s="4">
        <v>5</v>
      </c>
      <c r="E224" s="4">
        <v>31</v>
      </c>
      <c r="F224" s="4" t="s">
        <v>30</v>
      </c>
      <c r="G224" t="s">
        <v>32</v>
      </c>
      <c r="H224" s="4">
        <v>402</v>
      </c>
      <c r="I224" s="4">
        <v>7</v>
      </c>
      <c r="J224" s="38">
        <v>45572</v>
      </c>
      <c r="K224" s="12">
        <v>66</v>
      </c>
      <c r="L224">
        <v>34</v>
      </c>
      <c r="M224" s="43">
        <f>(L224/K224)*100</f>
        <v>51.515151515151516</v>
      </c>
    </row>
    <row r="225" spans="1:13" x14ac:dyDescent="0.25">
      <c r="A225" s="4">
        <v>4</v>
      </c>
      <c r="B225" s="4">
        <v>1</v>
      </c>
      <c r="C225" s="4">
        <v>1</v>
      </c>
      <c r="D225" s="4">
        <v>4</v>
      </c>
      <c r="E225" s="4">
        <v>32</v>
      </c>
      <c r="F225" s="4" t="s">
        <v>25</v>
      </c>
      <c r="G225" t="s">
        <v>29</v>
      </c>
      <c r="H225" s="4">
        <v>401</v>
      </c>
      <c r="I225" s="4">
        <v>7</v>
      </c>
      <c r="J225" s="38">
        <v>45572</v>
      </c>
      <c r="K225" s="12">
        <v>51</v>
      </c>
    </row>
    <row r="226" spans="1:13" x14ac:dyDescent="0.25">
      <c r="E226" s="4">
        <v>1</v>
      </c>
      <c r="F226" s="4" t="s">
        <v>25</v>
      </c>
      <c r="G226" t="s">
        <v>26</v>
      </c>
      <c r="H226" s="4">
        <v>101</v>
      </c>
      <c r="I226" s="4">
        <v>8</v>
      </c>
      <c r="J226" s="38">
        <v>45573</v>
      </c>
      <c r="K226" s="12">
        <v>50</v>
      </c>
      <c r="L226">
        <v>11</v>
      </c>
      <c r="M226" s="43">
        <f>(L226/K226)*100</f>
        <v>22</v>
      </c>
    </row>
    <row r="227" spans="1:13" x14ac:dyDescent="0.25">
      <c r="E227" s="4">
        <v>2</v>
      </c>
      <c r="F227" s="4" t="s">
        <v>30</v>
      </c>
      <c r="G227" t="s">
        <v>31</v>
      </c>
      <c r="H227" s="4">
        <v>102</v>
      </c>
      <c r="I227" s="4">
        <v>8</v>
      </c>
      <c r="J227" s="38">
        <v>45573</v>
      </c>
    </row>
    <row r="228" spans="1:13" x14ac:dyDescent="0.25">
      <c r="E228" s="4">
        <v>3</v>
      </c>
      <c r="F228" s="4" t="s">
        <v>25</v>
      </c>
      <c r="G228" t="s">
        <v>27</v>
      </c>
      <c r="H228" s="4">
        <v>103</v>
      </c>
      <c r="I228" s="4">
        <v>8</v>
      </c>
      <c r="J228" s="38">
        <v>45573</v>
      </c>
    </row>
    <row r="229" spans="1:13" x14ac:dyDescent="0.25">
      <c r="E229" s="4">
        <v>4</v>
      </c>
      <c r="F229" s="4" t="s">
        <v>30</v>
      </c>
      <c r="G229" t="s">
        <v>28</v>
      </c>
      <c r="H229" s="4">
        <v>104</v>
      </c>
      <c r="I229" s="4">
        <v>8</v>
      </c>
      <c r="J229" s="38">
        <v>45573</v>
      </c>
    </row>
    <row r="230" spans="1:13" x14ac:dyDescent="0.25">
      <c r="E230" s="4">
        <v>5</v>
      </c>
      <c r="F230" s="4" t="s">
        <v>25</v>
      </c>
      <c r="G230" t="s">
        <v>28</v>
      </c>
      <c r="H230" s="4">
        <v>105</v>
      </c>
      <c r="I230" s="4">
        <v>8</v>
      </c>
      <c r="J230" s="38">
        <v>45573</v>
      </c>
    </row>
    <row r="231" spans="1:13" x14ac:dyDescent="0.25">
      <c r="E231" s="4">
        <v>6</v>
      </c>
      <c r="F231" s="4" t="s">
        <v>30</v>
      </c>
      <c r="G231" t="s">
        <v>29</v>
      </c>
      <c r="H231" s="4">
        <v>106</v>
      </c>
      <c r="I231" s="4">
        <v>8</v>
      </c>
      <c r="J231" s="38">
        <v>45573</v>
      </c>
    </row>
    <row r="232" spans="1:13" x14ac:dyDescent="0.25">
      <c r="E232" s="4">
        <v>7</v>
      </c>
      <c r="F232" s="4" t="s">
        <v>25</v>
      </c>
      <c r="G232" t="s">
        <v>29</v>
      </c>
      <c r="H232" s="4">
        <v>107</v>
      </c>
      <c r="I232" s="4">
        <v>8</v>
      </c>
      <c r="J232" s="38">
        <v>45573</v>
      </c>
    </row>
    <row r="233" spans="1:13" x14ac:dyDescent="0.25">
      <c r="E233" s="4">
        <v>8</v>
      </c>
      <c r="F233" s="4" t="s">
        <v>30</v>
      </c>
      <c r="G233" t="s">
        <v>32</v>
      </c>
      <c r="H233" s="4">
        <v>108</v>
      </c>
      <c r="I233" s="4">
        <v>8</v>
      </c>
      <c r="J233" s="38">
        <v>45573</v>
      </c>
    </row>
    <row r="234" spans="1:13" x14ac:dyDescent="0.25">
      <c r="E234" s="4">
        <v>9</v>
      </c>
      <c r="F234" s="4" t="s">
        <v>30</v>
      </c>
      <c r="G234" t="s">
        <v>29</v>
      </c>
      <c r="H234" s="4">
        <v>208</v>
      </c>
      <c r="I234" s="4">
        <v>8</v>
      </c>
      <c r="J234" s="38">
        <v>45573</v>
      </c>
    </row>
    <row r="235" spans="1:13" x14ac:dyDescent="0.25">
      <c r="E235" s="4">
        <v>10</v>
      </c>
      <c r="F235" s="4" t="s">
        <v>25</v>
      </c>
      <c r="G235" t="s">
        <v>28</v>
      </c>
      <c r="H235" s="4">
        <v>207</v>
      </c>
      <c r="I235" s="4">
        <v>8</v>
      </c>
      <c r="J235" s="38">
        <v>45573</v>
      </c>
    </row>
    <row r="236" spans="1:13" x14ac:dyDescent="0.25">
      <c r="E236" s="4">
        <v>11</v>
      </c>
      <c r="F236" s="4" t="s">
        <v>30</v>
      </c>
      <c r="G236" t="s">
        <v>31</v>
      </c>
      <c r="H236" s="4">
        <v>206</v>
      </c>
      <c r="I236" s="4">
        <v>8</v>
      </c>
      <c r="J236" s="38">
        <v>45573</v>
      </c>
    </row>
    <row r="237" spans="1:13" x14ac:dyDescent="0.25">
      <c r="E237" s="4">
        <v>12</v>
      </c>
      <c r="F237" s="4" t="s">
        <v>25</v>
      </c>
      <c r="G237" t="s">
        <v>26</v>
      </c>
      <c r="H237" s="4">
        <v>205</v>
      </c>
      <c r="I237" s="4">
        <v>8</v>
      </c>
      <c r="J237" s="38">
        <v>45573</v>
      </c>
      <c r="K237" s="12">
        <v>61</v>
      </c>
      <c r="L237">
        <v>20</v>
      </c>
      <c r="M237" s="43">
        <f>(L237/K237)*100</f>
        <v>32.786885245901637</v>
      </c>
    </row>
    <row r="238" spans="1:13" x14ac:dyDescent="0.25">
      <c r="E238" s="4">
        <v>13</v>
      </c>
      <c r="F238" s="4" t="s">
        <v>30</v>
      </c>
      <c r="G238" t="s">
        <v>32</v>
      </c>
      <c r="H238" s="4">
        <v>204</v>
      </c>
      <c r="I238" s="4">
        <v>8</v>
      </c>
      <c r="J238" s="38">
        <v>45573</v>
      </c>
    </row>
    <row r="239" spans="1:13" x14ac:dyDescent="0.25">
      <c r="E239" s="4">
        <v>14</v>
      </c>
      <c r="F239" s="4" t="s">
        <v>25</v>
      </c>
      <c r="G239" t="s">
        <v>29</v>
      </c>
      <c r="H239" s="4">
        <v>203</v>
      </c>
      <c r="I239" s="4">
        <v>8</v>
      </c>
      <c r="J239" s="38">
        <v>45573</v>
      </c>
    </row>
    <row r="240" spans="1:13" x14ac:dyDescent="0.25">
      <c r="E240" s="4">
        <v>15</v>
      </c>
      <c r="F240" s="4" t="s">
        <v>30</v>
      </c>
      <c r="G240" t="s">
        <v>28</v>
      </c>
      <c r="H240" s="4">
        <v>202</v>
      </c>
      <c r="I240" s="4">
        <v>8</v>
      </c>
      <c r="J240" s="38">
        <v>45573</v>
      </c>
    </row>
    <row r="241" spans="5:13" x14ac:dyDescent="0.25">
      <c r="E241" s="4">
        <v>16</v>
      </c>
      <c r="F241" s="4" t="s">
        <v>25</v>
      </c>
      <c r="G241" t="s">
        <v>27</v>
      </c>
      <c r="H241" s="4">
        <v>201</v>
      </c>
      <c r="I241" s="4">
        <v>8</v>
      </c>
      <c r="J241" s="38">
        <v>45573</v>
      </c>
    </row>
    <row r="242" spans="5:13" x14ac:dyDescent="0.25">
      <c r="E242" s="4">
        <v>17</v>
      </c>
      <c r="F242" s="4" t="s">
        <v>25</v>
      </c>
      <c r="G242" t="s">
        <v>28</v>
      </c>
      <c r="H242" s="4">
        <v>301</v>
      </c>
      <c r="I242" s="4">
        <v>8</v>
      </c>
      <c r="J242" s="38">
        <v>45573</v>
      </c>
    </row>
    <row r="243" spans="5:13" x14ac:dyDescent="0.25">
      <c r="E243" s="4">
        <v>18</v>
      </c>
      <c r="F243" s="4" t="s">
        <v>30</v>
      </c>
      <c r="G243" t="s">
        <v>29</v>
      </c>
      <c r="H243" s="4">
        <v>302</v>
      </c>
      <c r="I243" s="4">
        <v>8</v>
      </c>
      <c r="J243" s="38">
        <v>45573</v>
      </c>
    </row>
    <row r="244" spans="5:13" x14ac:dyDescent="0.25">
      <c r="E244" s="4">
        <v>19</v>
      </c>
      <c r="F244" s="4" t="s">
        <v>25</v>
      </c>
      <c r="G244" t="s">
        <v>26</v>
      </c>
      <c r="H244" s="4">
        <v>303</v>
      </c>
      <c r="I244" s="4">
        <v>8</v>
      </c>
      <c r="J244" s="38">
        <v>45573</v>
      </c>
      <c r="K244" s="12">
        <v>59</v>
      </c>
      <c r="L244">
        <v>24</v>
      </c>
      <c r="M244" s="43">
        <f>(L244/K244)*100</f>
        <v>40.677966101694921</v>
      </c>
    </row>
    <row r="245" spans="5:13" x14ac:dyDescent="0.25">
      <c r="E245" s="4">
        <v>20</v>
      </c>
      <c r="F245" s="4" t="s">
        <v>30</v>
      </c>
      <c r="G245" t="s">
        <v>31</v>
      </c>
      <c r="H245" s="4">
        <v>304</v>
      </c>
      <c r="I245" s="4">
        <v>8</v>
      </c>
      <c r="J245" s="38">
        <v>45573</v>
      </c>
    </row>
    <row r="246" spans="5:13" x14ac:dyDescent="0.25">
      <c r="E246" s="4">
        <v>21</v>
      </c>
      <c r="F246" s="4" t="s">
        <v>25</v>
      </c>
      <c r="G246" t="s">
        <v>29</v>
      </c>
      <c r="H246" s="4">
        <v>305</v>
      </c>
      <c r="I246" s="4">
        <v>8</v>
      </c>
      <c r="J246" s="38">
        <v>45573</v>
      </c>
    </row>
    <row r="247" spans="5:13" x14ac:dyDescent="0.25">
      <c r="E247" s="4">
        <v>22</v>
      </c>
      <c r="F247" s="4" t="s">
        <v>30</v>
      </c>
      <c r="G247" t="s">
        <v>32</v>
      </c>
      <c r="H247" s="4">
        <v>306</v>
      </c>
      <c r="I247" s="4">
        <v>8</v>
      </c>
      <c r="J247" s="38">
        <v>45573</v>
      </c>
    </row>
    <row r="248" spans="5:13" x14ac:dyDescent="0.25">
      <c r="E248" s="4">
        <v>23</v>
      </c>
      <c r="F248" s="4" t="s">
        <v>25</v>
      </c>
      <c r="G248" t="s">
        <v>27</v>
      </c>
      <c r="H248" s="4">
        <v>307</v>
      </c>
      <c r="I248" s="4">
        <v>8</v>
      </c>
      <c r="J248" s="38">
        <v>45573</v>
      </c>
    </row>
    <row r="249" spans="5:13" x14ac:dyDescent="0.25">
      <c r="E249" s="4">
        <v>24</v>
      </c>
      <c r="F249" s="4" t="s">
        <v>30</v>
      </c>
      <c r="G249" t="s">
        <v>28</v>
      </c>
      <c r="H249" s="4">
        <v>308</v>
      </c>
      <c r="I249" s="4">
        <v>8</v>
      </c>
      <c r="J249" s="38">
        <v>45573</v>
      </c>
    </row>
    <row r="250" spans="5:13" x14ac:dyDescent="0.25">
      <c r="E250" s="4">
        <v>25</v>
      </c>
      <c r="F250" s="4" t="s">
        <v>30</v>
      </c>
      <c r="G250" t="s">
        <v>31</v>
      </c>
      <c r="H250" s="4">
        <v>408</v>
      </c>
      <c r="I250" s="4">
        <v>8</v>
      </c>
      <c r="J250" s="38">
        <v>45573</v>
      </c>
    </row>
    <row r="251" spans="5:13" x14ac:dyDescent="0.25">
      <c r="E251" s="4">
        <v>26</v>
      </c>
      <c r="F251" s="4" t="s">
        <v>25</v>
      </c>
      <c r="G251" t="s">
        <v>26</v>
      </c>
      <c r="H251" s="4">
        <v>407</v>
      </c>
      <c r="I251" s="4">
        <v>8</v>
      </c>
      <c r="J251" s="38">
        <v>45573</v>
      </c>
      <c r="K251" s="12">
        <v>57</v>
      </c>
      <c r="L251">
        <v>40</v>
      </c>
      <c r="M251" s="43">
        <f>(L251/K251)*100</f>
        <v>70.175438596491219</v>
      </c>
    </row>
    <row r="252" spans="5:13" x14ac:dyDescent="0.25">
      <c r="E252" s="4">
        <v>27</v>
      </c>
      <c r="F252" s="4" t="s">
        <v>30</v>
      </c>
      <c r="G252" t="s">
        <v>28</v>
      </c>
      <c r="H252" s="4">
        <v>406</v>
      </c>
      <c r="I252" s="4">
        <v>8</v>
      </c>
      <c r="J252" s="38">
        <v>45573</v>
      </c>
    </row>
    <row r="253" spans="5:13" x14ac:dyDescent="0.25">
      <c r="E253" s="4">
        <v>28</v>
      </c>
      <c r="F253" s="4" t="s">
        <v>25</v>
      </c>
      <c r="G253" t="s">
        <v>27</v>
      </c>
      <c r="H253" s="4">
        <v>405</v>
      </c>
      <c r="I253" s="4">
        <v>8</v>
      </c>
      <c r="J253" s="38">
        <v>45573</v>
      </c>
    </row>
    <row r="254" spans="5:13" x14ac:dyDescent="0.25">
      <c r="E254" s="4">
        <v>29</v>
      </c>
      <c r="F254" s="4" t="s">
        <v>30</v>
      </c>
      <c r="G254" t="s">
        <v>29</v>
      </c>
      <c r="H254" s="4">
        <v>404</v>
      </c>
      <c r="I254" s="4">
        <v>8</v>
      </c>
      <c r="J254" s="38">
        <v>45573</v>
      </c>
    </row>
    <row r="255" spans="5:13" x14ac:dyDescent="0.25">
      <c r="E255" s="4">
        <v>30</v>
      </c>
      <c r="F255" s="4" t="s">
        <v>25</v>
      </c>
      <c r="G255" t="s">
        <v>28</v>
      </c>
      <c r="H255" s="4">
        <v>403</v>
      </c>
      <c r="I255" s="4">
        <v>8</v>
      </c>
      <c r="J255" s="38">
        <v>45573</v>
      </c>
    </row>
    <row r="256" spans="5:13" x14ac:dyDescent="0.25">
      <c r="E256" s="4">
        <v>31</v>
      </c>
      <c r="F256" s="4" t="s">
        <v>30</v>
      </c>
      <c r="G256" t="s">
        <v>32</v>
      </c>
      <c r="H256" s="4">
        <v>402</v>
      </c>
      <c r="I256" s="4">
        <v>8</v>
      </c>
      <c r="J256" s="38">
        <v>45573</v>
      </c>
    </row>
    <row r="257" spans="5:13" x14ac:dyDescent="0.25">
      <c r="E257" s="4">
        <v>32</v>
      </c>
      <c r="F257" s="4" t="s">
        <v>25</v>
      </c>
      <c r="G257" t="s">
        <v>29</v>
      </c>
      <c r="H257" s="4">
        <v>401</v>
      </c>
      <c r="I257" s="4">
        <v>8</v>
      </c>
      <c r="J257" s="38">
        <v>45573</v>
      </c>
    </row>
    <row r="258" spans="5:13" x14ac:dyDescent="0.25">
      <c r="E258" s="4">
        <v>1</v>
      </c>
      <c r="F258" s="4" t="s">
        <v>25</v>
      </c>
      <c r="G258" t="s">
        <v>26</v>
      </c>
      <c r="H258" s="4">
        <v>101</v>
      </c>
      <c r="I258" s="4">
        <v>9</v>
      </c>
      <c r="J258" s="38">
        <v>45575</v>
      </c>
      <c r="K258" s="12">
        <v>50</v>
      </c>
      <c r="L258">
        <v>22</v>
      </c>
      <c r="M258" s="43">
        <f>(L258/K258)*100</f>
        <v>44</v>
      </c>
    </row>
    <row r="259" spans="5:13" x14ac:dyDescent="0.25">
      <c r="E259" s="4">
        <v>2</v>
      </c>
      <c r="F259" s="4" t="s">
        <v>30</v>
      </c>
      <c r="G259" t="s">
        <v>31</v>
      </c>
      <c r="H259" s="4">
        <v>102</v>
      </c>
      <c r="I259" s="4">
        <v>9</v>
      </c>
      <c r="J259" s="38">
        <v>45575</v>
      </c>
    </row>
    <row r="260" spans="5:13" x14ac:dyDescent="0.25">
      <c r="E260" s="4">
        <v>3</v>
      </c>
      <c r="F260" s="4" t="s">
        <v>25</v>
      </c>
      <c r="G260" t="s">
        <v>27</v>
      </c>
      <c r="H260" s="4">
        <v>103</v>
      </c>
      <c r="I260" s="4">
        <v>9</v>
      </c>
      <c r="J260" s="38">
        <v>45575</v>
      </c>
    </row>
    <row r="261" spans="5:13" x14ac:dyDescent="0.25">
      <c r="E261" s="4">
        <v>4</v>
      </c>
      <c r="F261" s="4" t="s">
        <v>30</v>
      </c>
      <c r="G261" t="s">
        <v>28</v>
      </c>
      <c r="H261" s="4">
        <v>104</v>
      </c>
      <c r="I261" s="4">
        <v>9</v>
      </c>
      <c r="J261" s="38">
        <v>45575</v>
      </c>
    </row>
    <row r="262" spans="5:13" x14ac:dyDescent="0.25">
      <c r="E262" s="4">
        <v>5</v>
      </c>
      <c r="F262" s="4" t="s">
        <v>25</v>
      </c>
      <c r="G262" t="s">
        <v>28</v>
      </c>
      <c r="H262" s="4">
        <v>105</v>
      </c>
      <c r="I262" s="4">
        <v>9</v>
      </c>
      <c r="J262" s="38">
        <v>45575</v>
      </c>
    </row>
    <row r="263" spans="5:13" x14ac:dyDescent="0.25">
      <c r="E263" s="4">
        <v>6</v>
      </c>
      <c r="F263" s="4" t="s">
        <v>30</v>
      </c>
      <c r="G263" t="s">
        <v>29</v>
      </c>
      <c r="H263" s="4">
        <v>106</v>
      </c>
      <c r="I263" s="4">
        <v>9</v>
      </c>
      <c r="J263" s="38">
        <v>45575</v>
      </c>
    </row>
    <row r="264" spans="5:13" x14ac:dyDescent="0.25">
      <c r="E264" s="4">
        <v>7</v>
      </c>
      <c r="F264" s="4" t="s">
        <v>25</v>
      </c>
      <c r="G264" t="s">
        <v>29</v>
      </c>
      <c r="H264" s="4">
        <v>107</v>
      </c>
      <c r="I264" s="4">
        <v>9</v>
      </c>
      <c r="J264" s="38">
        <v>45575</v>
      </c>
    </row>
    <row r="265" spans="5:13" x14ac:dyDescent="0.25">
      <c r="E265" s="4">
        <v>8</v>
      </c>
      <c r="F265" s="4" t="s">
        <v>30</v>
      </c>
      <c r="G265" t="s">
        <v>32</v>
      </c>
      <c r="H265" s="4">
        <v>108</v>
      </c>
      <c r="I265" s="4">
        <v>9</v>
      </c>
      <c r="J265" s="38">
        <v>45575</v>
      </c>
    </row>
    <row r="266" spans="5:13" x14ac:dyDescent="0.25">
      <c r="E266" s="4">
        <v>9</v>
      </c>
      <c r="F266" s="4" t="s">
        <v>30</v>
      </c>
      <c r="G266" t="s">
        <v>29</v>
      </c>
      <c r="H266" s="4">
        <v>208</v>
      </c>
      <c r="I266" s="4">
        <v>9</v>
      </c>
      <c r="J266" s="38">
        <v>45575</v>
      </c>
    </row>
    <row r="267" spans="5:13" x14ac:dyDescent="0.25">
      <c r="E267" s="4">
        <v>10</v>
      </c>
      <c r="F267" s="4" t="s">
        <v>25</v>
      </c>
      <c r="G267" t="s">
        <v>28</v>
      </c>
      <c r="H267" s="4">
        <v>207</v>
      </c>
      <c r="I267" s="4">
        <v>9</v>
      </c>
      <c r="J267" s="38">
        <v>45575</v>
      </c>
    </row>
    <row r="268" spans="5:13" x14ac:dyDescent="0.25">
      <c r="E268" s="4">
        <v>11</v>
      </c>
      <c r="F268" s="4" t="s">
        <v>30</v>
      </c>
      <c r="G268" t="s">
        <v>31</v>
      </c>
      <c r="H268" s="4">
        <v>206</v>
      </c>
      <c r="I268" s="4">
        <v>9</v>
      </c>
      <c r="J268" s="38">
        <v>45575</v>
      </c>
    </row>
    <row r="269" spans="5:13" x14ac:dyDescent="0.25">
      <c r="E269" s="4">
        <v>12</v>
      </c>
      <c r="F269" s="4" t="s">
        <v>25</v>
      </c>
      <c r="G269" t="s">
        <v>26</v>
      </c>
      <c r="H269" s="4">
        <v>205</v>
      </c>
      <c r="I269" s="4">
        <v>9</v>
      </c>
      <c r="J269" s="38">
        <v>45575</v>
      </c>
      <c r="K269" s="12">
        <v>61</v>
      </c>
      <c r="L269">
        <v>34</v>
      </c>
      <c r="M269" s="43">
        <f>(L269/K269)*100</f>
        <v>55.737704918032783</v>
      </c>
    </row>
    <row r="270" spans="5:13" x14ac:dyDescent="0.25">
      <c r="E270" s="4">
        <v>13</v>
      </c>
      <c r="F270" s="4" t="s">
        <v>30</v>
      </c>
      <c r="G270" t="s">
        <v>32</v>
      </c>
      <c r="H270" s="4">
        <v>204</v>
      </c>
      <c r="I270" s="4">
        <v>9</v>
      </c>
      <c r="J270" s="38">
        <v>45575</v>
      </c>
    </row>
    <row r="271" spans="5:13" x14ac:dyDescent="0.25">
      <c r="E271" s="4">
        <v>14</v>
      </c>
      <c r="F271" s="4" t="s">
        <v>25</v>
      </c>
      <c r="G271" t="s">
        <v>29</v>
      </c>
      <c r="H271" s="4">
        <v>203</v>
      </c>
      <c r="I271" s="4">
        <v>9</v>
      </c>
      <c r="J271" s="38">
        <v>45575</v>
      </c>
    </row>
    <row r="272" spans="5:13" x14ac:dyDescent="0.25">
      <c r="E272" s="4">
        <v>15</v>
      </c>
      <c r="F272" s="4" t="s">
        <v>30</v>
      </c>
      <c r="G272" t="s">
        <v>28</v>
      </c>
      <c r="H272" s="4">
        <v>202</v>
      </c>
      <c r="I272" s="4">
        <v>9</v>
      </c>
      <c r="J272" s="38">
        <v>45575</v>
      </c>
    </row>
    <row r="273" spans="5:13" x14ac:dyDescent="0.25">
      <c r="E273" s="4">
        <v>16</v>
      </c>
      <c r="F273" s="4" t="s">
        <v>25</v>
      </c>
      <c r="G273" t="s">
        <v>27</v>
      </c>
      <c r="H273" s="4">
        <v>201</v>
      </c>
      <c r="I273" s="4">
        <v>9</v>
      </c>
      <c r="J273" s="38">
        <v>45575</v>
      </c>
    </row>
    <row r="274" spans="5:13" x14ac:dyDescent="0.25">
      <c r="E274" s="4">
        <v>17</v>
      </c>
      <c r="F274" s="4" t="s">
        <v>25</v>
      </c>
      <c r="G274" t="s">
        <v>28</v>
      </c>
      <c r="H274" s="4">
        <v>301</v>
      </c>
      <c r="I274" s="4">
        <v>9</v>
      </c>
      <c r="J274" s="38">
        <v>45575</v>
      </c>
    </row>
    <row r="275" spans="5:13" x14ac:dyDescent="0.25">
      <c r="E275" s="4">
        <v>18</v>
      </c>
      <c r="F275" s="4" t="s">
        <v>30</v>
      </c>
      <c r="G275" t="s">
        <v>29</v>
      </c>
      <c r="H275" s="4">
        <v>302</v>
      </c>
      <c r="I275" s="4">
        <v>9</v>
      </c>
      <c r="J275" s="38">
        <v>45575</v>
      </c>
    </row>
    <row r="276" spans="5:13" x14ac:dyDescent="0.25">
      <c r="E276" s="4">
        <v>19</v>
      </c>
      <c r="F276" s="4" t="s">
        <v>25</v>
      </c>
      <c r="G276" t="s">
        <v>26</v>
      </c>
      <c r="H276" s="4">
        <v>303</v>
      </c>
      <c r="I276" s="4">
        <v>9</v>
      </c>
      <c r="J276" s="38">
        <v>45575</v>
      </c>
      <c r="K276" s="12">
        <v>59</v>
      </c>
      <c r="L276">
        <v>39</v>
      </c>
      <c r="M276" s="43">
        <f>(L276/K276)*100</f>
        <v>66.101694915254242</v>
      </c>
    </row>
    <row r="277" spans="5:13" x14ac:dyDescent="0.25">
      <c r="E277" s="4">
        <v>20</v>
      </c>
      <c r="F277" s="4" t="s">
        <v>30</v>
      </c>
      <c r="G277" t="s">
        <v>31</v>
      </c>
      <c r="H277" s="4">
        <v>304</v>
      </c>
      <c r="I277" s="4">
        <v>9</v>
      </c>
      <c r="J277" s="38">
        <v>45575</v>
      </c>
    </row>
    <row r="278" spans="5:13" x14ac:dyDescent="0.25">
      <c r="E278" s="4">
        <v>21</v>
      </c>
      <c r="F278" s="4" t="s">
        <v>25</v>
      </c>
      <c r="G278" t="s">
        <v>29</v>
      </c>
      <c r="H278" s="4">
        <v>305</v>
      </c>
      <c r="I278" s="4">
        <v>9</v>
      </c>
      <c r="J278" s="38">
        <v>45575</v>
      </c>
    </row>
    <row r="279" spans="5:13" x14ac:dyDescent="0.25">
      <c r="E279" s="4">
        <v>22</v>
      </c>
      <c r="F279" s="4" t="s">
        <v>30</v>
      </c>
      <c r="G279" t="s">
        <v>32</v>
      </c>
      <c r="H279" s="4">
        <v>306</v>
      </c>
      <c r="I279" s="4">
        <v>9</v>
      </c>
      <c r="J279" s="38">
        <v>45575</v>
      </c>
    </row>
    <row r="280" spans="5:13" x14ac:dyDescent="0.25">
      <c r="E280" s="4">
        <v>23</v>
      </c>
      <c r="F280" s="4" t="s">
        <v>25</v>
      </c>
      <c r="G280" t="s">
        <v>27</v>
      </c>
      <c r="H280" s="4">
        <v>307</v>
      </c>
      <c r="I280" s="4">
        <v>9</v>
      </c>
      <c r="J280" s="38">
        <v>45575</v>
      </c>
    </row>
    <row r="281" spans="5:13" x14ac:dyDescent="0.25">
      <c r="E281" s="4">
        <v>24</v>
      </c>
      <c r="F281" s="4" t="s">
        <v>30</v>
      </c>
      <c r="G281" t="s">
        <v>28</v>
      </c>
      <c r="H281" s="4">
        <v>308</v>
      </c>
      <c r="I281" s="4">
        <v>9</v>
      </c>
      <c r="J281" s="38">
        <v>45575</v>
      </c>
    </row>
    <row r="282" spans="5:13" x14ac:dyDescent="0.25">
      <c r="E282" s="4">
        <v>25</v>
      </c>
      <c r="F282" s="4" t="s">
        <v>30</v>
      </c>
      <c r="G282" t="s">
        <v>31</v>
      </c>
      <c r="H282" s="4">
        <v>408</v>
      </c>
      <c r="I282" s="4">
        <v>9</v>
      </c>
      <c r="J282" s="38">
        <v>45575</v>
      </c>
    </row>
    <row r="283" spans="5:13" x14ac:dyDescent="0.25">
      <c r="E283" s="4">
        <v>26</v>
      </c>
      <c r="F283" s="4" t="s">
        <v>25</v>
      </c>
      <c r="G283" t="s">
        <v>26</v>
      </c>
      <c r="H283" s="4">
        <v>407</v>
      </c>
      <c r="I283" s="4">
        <v>9</v>
      </c>
      <c r="J283" s="38">
        <v>45575</v>
      </c>
      <c r="K283" s="12">
        <v>57</v>
      </c>
      <c r="L283">
        <v>55</v>
      </c>
      <c r="M283" s="43">
        <f>(L283/K283)*100</f>
        <v>96.491228070175438</v>
      </c>
    </row>
    <row r="284" spans="5:13" x14ac:dyDescent="0.25">
      <c r="E284" s="4">
        <v>27</v>
      </c>
      <c r="F284" s="4" t="s">
        <v>30</v>
      </c>
      <c r="G284" t="s">
        <v>28</v>
      </c>
      <c r="H284" s="4">
        <v>406</v>
      </c>
      <c r="I284" s="4">
        <v>9</v>
      </c>
      <c r="J284" s="38">
        <v>45575</v>
      </c>
    </row>
    <row r="285" spans="5:13" x14ac:dyDescent="0.25">
      <c r="E285" s="4">
        <v>28</v>
      </c>
      <c r="F285" s="4" t="s">
        <v>25</v>
      </c>
      <c r="G285" t="s">
        <v>27</v>
      </c>
      <c r="H285" s="4">
        <v>405</v>
      </c>
      <c r="I285" s="4">
        <v>9</v>
      </c>
      <c r="J285" s="38">
        <v>45575</v>
      </c>
    </row>
    <row r="286" spans="5:13" x14ac:dyDescent="0.25">
      <c r="E286" s="4">
        <v>29</v>
      </c>
      <c r="F286" s="4" t="s">
        <v>30</v>
      </c>
      <c r="G286" t="s">
        <v>29</v>
      </c>
      <c r="H286" s="4">
        <v>404</v>
      </c>
      <c r="I286" s="4">
        <v>9</v>
      </c>
      <c r="J286" s="38">
        <v>45575</v>
      </c>
    </row>
    <row r="287" spans="5:13" x14ac:dyDescent="0.25">
      <c r="E287" s="4">
        <v>30</v>
      </c>
      <c r="F287" s="4" t="s">
        <v>25</v>
      </c>
      <c r="G287" t="s">
        <v>28</v>
      </c>
      <c r="H287" s="4">
        <v>403</v>
      </c>
      <c r="I287" s="4">
        <v>9</v>
      </c>
      <c r="J287" s="38">
        <v>45575</v>
      </c>
    </row>
    <row r="288" spans="5:13" x14ac:dyDescent="0.25">
      <c r="E288" s="4">
        <v>31</v>
      </c>
      <c r="F288" s="4" t="s">
        <v>30</v>
      </c>
      <c r="G288" t="s">
        <v>32</v>
      </c>
      <c r="H288" s="4">
        <v>402</v>
      </c>
      <c r="I288" s="4">
        <v>9</v>
      </c>
      <c r="J288" s="38">
        <v>45575</v>
      </c>
    </row>
    <row r="289" spans="5:10" x14ac:dyDescent="0.25">
      <c r="E289" s="4">
        <v>32</v>
      </c>
      <c r="F289" s="4" t="s">
        <v>25</v>
      </c>
      <c r="G289" t="s">
        <v>29</v>
      </c>
      <c r="H289" s="4">
        <v>401</v>
      </c>
      <c r="I289" s="4">
        <v>9</v>
      </c>
      <c r="J289" s="38">
        <v>45575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8D12-DC40-4DAE-B21B-EEEF70867720}">
  <dimension ref="A1:CS53"/>
  <sheetViews>
    <sheetView workbookViewId="0">
      <pane xSplit="7" ySplit="1" topLeftCell="BP2" activePane="bottomRight" state="frozen"/>
      <selection pane="topRight" activeCell="H1" sqref="H1"/>
      <selection pane="bottomLeft" activeCell="A2" sqref="A2"/>
      <selection pane="bottomRight" activeCell="CG1" sqref="CG1:CH1"/>
    </sheetView>
  </sheetViews>
  <sheetFormatPr defaultRowHeight="15" x14ac:dyDescent="0.25"/>
  <cols>
    <col min="1" max="6" width="8.7109375" style="4"/>
    <col min="7" max="7" width="17.7109375" style="4" customWidth="1"/>
    <col min="8" max="8" width="8.7109375" style="4"/>
    <col min="9" max="9" width="10.42578125" style="4" customWidth="1"/>
    <col min="10" max="10" width="10.5703125" style="4" bestFit="1" customWidth="1"/>
    <col min="11" max="11" width="8.7109375" style="55"/>
    <col min="12" max="39" width="8.7109375" style="4"/>
    <col min="40" max="40" width="8.7109375" style="5"/>
    <col min="41" max="44" width="8.7109375" style="4"/>
    <col min="45" max="45" width="8.7109375" style="12"/>
    <col min="46" max="46" width="8.7109375" style="11"/>
    <col min="47" max="51" width="8.7109375" style="4"/>
    <col min="52" max="52" width="8.7109375" style="12"/>
    <col min="53" max="54" width="8.7109375" style="4"/>
    <col min="55" max="56" width="8.7109375" style="11"/>
    <col min="57" max="57" width="8.7109375" style="47"/>
    <col min="58" max="58" width="9.5703125" style="12" customWidth="1"/>
    <col min="59" max="59" width="8.7109375" style="12"/>
    <col min="60" max="67" width="8.7109375" style="4"/>
    <col min="89" max="89" width="38" bestFit="1" customWidth="1"/>
    <col min="90" max="90" width="13.42578125" bestFit="1" customWidth="1"/>
    <col min="91" max="91" width="26.42578125" bestFit="1" customWidth="1"/>
    <col min="92" max="92" width="30.42578125" bestFit="1" customWidth="1"/>
    <col min="93" max="93" width="26.28515625" bestFit="1" customWidth="1"/>
    <col min="94" max="94" width="30.28515625" bestFit="1" customWidth="1"/>
    <col min="95" max="95" width="26.5703125" bestFit="1" customWidth="1"/>
    <col min="96" max="96" width="44.5703125" bestFit="1" customWidth="1"/>
    <col min="97" max="97" width="26.5703125" bestFit="1" customWidth="1"/>
  </cols>
  <sheetData>
    <row r="1" spans="1:97" ht="135" x14ac:dyDescent="0.25">
      <c r="A1" s="10" t="s">
        <v>23</v>
      </c>
      <c r="B1" s="10" t="s">
        <v>24</v>
      </c>
      <c r="C1" s="10" t="s">
        <v>281</v>
      </c>
      <c r="D1" s="10" t="s">
        <v>282</v>
      </c>
      <c r="E1" s="10" t="s">
        <v>77</v>
      </c>
      <c r="F1" s="10" t="s">
        <v>21</v>
      </c>
      <c r="G1" s="10" t="s">
        <v>22</v>
      </c>
      <c r="H1" s="10" t="s">
        <v>76</v>
      </c>
      <c r="I1" s="10" t="s">
        <v>381</v>
      </c>
      <c r="J1" s="10" t="s">
        <v>284</v>
      </c>
      <c r="K1" s="83" t="s">
        <v>382</v>
      </c>
      <c r="L1" s="10" t="s">
        <v>383</v>
      </c>
      <c r="M1" s="10" t="s">
        <v>384</v>
      </c>
      <c r="N1" s="10" t="s">
        <v>385</v>
      </c>
      <c r="O1" s="10" t="s">
        <v>386</v>
      </c>
      <c r="P1" s="10" t="s">
        <v>387</v>
      </c>
      <c r="Q1" s="10" t="s">
        <v>388</v>
      </c>
      <c r="R1" s="10" t="s">
        <v>389</v>
      </c>
      <c r="S1" s="10" t="s">
        <v>390</v>
      </c>
      <c r="T1" s="10" t="s">
        <v>391</v>
      </c>
      <c r="U1" s="10" t="s">
        <v>392</v>
      </c>
      <c r="V1" s="10" t="s">
        <v>393</v>
      </c>
      <c r="W1" s="10" t="s">
        <v>394</v>
      </c>
      <c r="X1" s="10" t="s">
        <v>395</v>
      </c>
      <c r="Y1" s="10" t="s">
        <v>396</v>
      </c>
      <c r="Z1" s="10" t="s">
        <v>397</v>
      </c>
      <c r="AA1" s="10" t="s">
        <v>398</v>
      </c>
      <c r="AB1" s="10" t="s">
        <v>399</v>
      </c>
      <c r="AC1" s="10" t="s">
        <v>400</v>
      </c>
      <c r="AD1" s="10" t="s">
        <v>401</v>
      </c>
      <c r="AE1" s="10" t="s">
        <v>402</v>
      </c>
      <c r="AF1" s="10" t="s">
        <v>403</v>
      </c>
      <c r="AG1" s="10" t="s">
        <v>404</v>
      </c>
      <c r="AH1" s="10" t="s">
        <v>405</v>
      </c>
      <c r="AI1" s="10" t="s">
        <v>406</v>
      </c>
      <c r="AJ1" s="10" t="s">
        <v>407</v>
      </c>
      <c r="AK1" s="10" t="s">
        <v>408</v>
      </c>
      <c r="AL1" s="10" t="s">
        <v>409</v>
      </c>
      <c r="AM1" s="10" t="s">
        <v>410</v>
      </c>
      <c r="AN1" s="10" t="s">
        <v>331</v>
      </c>
      <c r="AO1" s="10" t="s">
        <v>411</v>
      </c>
      <c r="AP1" s="10" t="s">
        <v>412</v>
      </c>
      <c r="AQ1" s="10" t="s">
        <v>414</v>
      </c>
      <c r="AR1" s="10" t="s">
        <v>415</v>
      </c>
      <c r="AS1" s="87" t="s">
        <v>416</v>
      </c>
      <c r="AT1" s="90" t="s">
        <v>417</v>
      </c>
      <c r="AU1" s="77" t="s">
        <v>418</v>
      </c>
      <c r="AV1" s="10" t="s">
        <v>419</v>
      </c>
      <c r="AW1" s="10" t="s">
        <v>420</v>
      </c>
      <c r="AX1" s="10" t="s">
        <v>421</v>
      </c>
      <c r="AY1" s="10" t="s">
        <v>422</v>
      </c>
      <c r="AZ1" s="8" t="s">
        <v>475</v>
      </c>
      <c r="BA1" s="10" t="s">
        <v>476</v>
      </c>
      <c r="BB1" s="10" t="s">
        <v>423</v>
      </c>
      <c r="BC1" s="9" t="s">
        <v>424</v>
      </c>
      <c r="BD1" s="9" t="s">
        <v>425</v>
      </c>
      <c r="BE1" s="48" t="s">
        <v>426</v>
      </c>
      <c r="BF1" s="8" t="s">
        <v>427</v>
      </c>
      <c r="BG1" s="8" t="s">
        <v>477</v>
      </c>
      <c r="BH1" s="48" t="s">
        <v>429</v>
      </c>
      <c r="BI1" s="48" t="s">
        <v>430</v>
      </c>
      <c r="BJ1" s="48" t="s">
        <v>431</v>
      </c>
      <c r="BK1" s="48" t="s">
        <v>432</v>
      </c>
      <c r="BL1" s="10" t="s">
        <v>433</v>
      </c>
      <c r="BM1" s="10" t="s">
        <v>434</v>
      </c>
      <c r="BN1" s="10" t="s">
        <v>435</v>
      </c>
      <c r="BO1" s="10" t="s">
        <v>436</v>
      </c>
      <c r="BP1" s="8" t="s">
        <v>437</v>
      </c>
      <c r="BQ1" s="8" t="s">
        <v>438</v>
      </c>
      <c r="BR1" s="8" t="s">
        <v>439</v>
      </c>
      <c r="BS1" s="8" t="s">
        <v>440</v>
      </c>
      <c r="BT1" s="8" t="s">
        <v>441</v>
      </c>
      <c r="BU1" s="144" t="s">
        <v>597</v>
      </c>
      <c r="BV1" s="144" t="s">
        <v>598</v>
      </c>
      <c r="BW1" s="144" t="s">
        <v>599</v>
      </c>
      <c r="BX1" s="144" t="s">
        <v>600</v>
      </c>
      <c r="BY1" s="144" t="s">
        <v>601</v>
      </c>
      <c r="BZ1" s="144" t="s">
        <v>602</v>
      </c>
      <c r="CA1" s="144" t="s">
        <v>603</v>
      </c>
      <c r="CB1" s="144" t="s">
        <v>604</v>
      </c>
      <c r="CC1" s="144" t="s">
        <v>605</v>
      </c>
      <c r="CD1" s="144" t="s">
        <v>606</v>
      </c>
      <c r="CE1" s="144" t="s">
        <v>607</v>
      </c>
      <c r="CF1" s="144" t="s">
        <v>608</v>
      </c>
      <c r="CG1" s="144" t="s">
        <v>609</v>
      </c>
      <c r="CH1" s="144" t="s">
        <v>610</v>
      </c>
      <c r="CI1" s="144" t="s">
        <v>611</v>
      </c>
    </row>
    <row r="2" spans="1:97" x14ac:dyDescent="0.25">
      <c r="A2" s="63">
        <v>1</v>
      </c>
      <c r="B2" s="63">
        <v>1</v>
      </c>
      <c r="C2" s="63">
        <v>1</v>
      </c>
      <c r="D2" s="63">
        <v>1</v>
      </c>
      <c r="E2" s="63">
        <v>1</v>
      </c>
      <c r="F2" s="63" t="s">
        <v>25</v>
      </c>
      <c r="G2" s="63" t="s">
        <v>26</v>
      </c>
      <c r="H2" s="63">
        <v>101</v>
      </c>
      <c r="I2" s="63" t="str">
        <f>"EVA"&amp;"_"&amp;H2</f>
        <v>EVA_101</v>
      </c>
      <c r="J2" s="80">
        <v>45573</v>
      </c>
      <c r="K2" s="82">
        <v>0.79</v>
      </c>
      <c r="L2" s="84">
        <v>0.01</v>
      </c>
      <c r="M2" s="84">
        <v>3.2000000000000001E-2</v>
      </c>
      <c r="N2" s="84">
        <v>0.106</v>
      </c>
      <c r="O2" s="84">
        <v>0.57399999999999995</v>
      </c>
      <c r="P2" s="75">
        <f>1-L2</f>
        <v>0.99</v>
      </c>
      <c r="Q2" s="75">
        <f>1-M2</f>
        <v>0.96799999999999997</v>
      </c>
      <c r="R2" s="75">
        <f>1-N2</f>
        <v>0.89400000000000002</v>
      </c>
      <c r="S2" s="75">
        <f>1-O2</f>
        <v>0.42600000000000005</v>
      </c>
      <c r="T2" s="64">
        <v>32.299999999999997</v>
      </c>
      <c r="U2" s="64">
        <v>2.4</v>
      </c>
      <c r="V2" s="64">
        <v>10.6</v>
      </c>
      <c r="W2" s="64">
        <v>36.1</v>
      </c>
      <c r="X2" s="64">
        <v>49.7</v>
      </c>
      <c r="Y2" s="64">
        <v>57.3</v>
      </c>
      <c r="Z2" s="64">
        <v>46.4</v>
      </c>
      <c r="AA2" s="64">
        <v>54.2</v>
      </c>
      <c r="AB2" s="64">
        <v>53.3</v>
      </c>
      <c r="AC2" s="64">
        <v>55.3</v>
      </c>
      <c r="AD2" s="64">
        <v>49.4</v>
      </c>
      <c r="AE2" s="64">
        <v>59.4</v>
      </c>
      <c r="AF2" s="64">
        <v>54.8</v>
      </c>
      <c r="AG2" s="64">
        <v>54.1</v>
      </c>
      <c r="AH2" s="64">
        <v>58.7</v>
      </c>
      <c r="AI2" s="64">
        <v>53.3</v>
      </c>
      <c r="AJ2" s="64">
        <v>51.2</v>
      </c>
      <c r="AK2" s="64">
        <v>48.3</v>
      </c>
      <c r="AL2" s="64">
        <v>51.5</v>
      </c>
      <c r="AM2" s="64">
        <v>49.2</v>
      </c>
      <c r="AN2" s="64">
        <v>80</v>
      </c>
      <c r="AO2" s="82">
        <v>0.5</v>
      </c>
      <c r="AP2" s="64">
        <v>1723</v>
      </c>
      <c r="AQ2" s="64">
        <v>323</v>
      </c>
      <c r="AR2" s="82">
        <v>50</v>
      </c>
      <c r="AS2" s="88">
        <v>220</v>
      </c>
      <c r="AT2" s="43">
        <v>68.599999999999994</v>
      </c>
      <c r="AU2">
        <v>30</v>
      </c>
      <c r="AV2">
        <v>9.43</v>
      </c>
      <c r="AW2">
        <v>2.88</v>
      </c>
      <c r="AX2">
        <v>24.98</v>
      </c>
      <c r="AY2" s="43">
        <v>8.2899999999999991</v>
      </c>
      <c r="AZ2" s="60">
        <v>20</v>
      </c>
      <c r="BA2" s="43">
        <f>AV2+AW2+AX2+AY2</f>
        <v>45.58</v>
      </c>
      <c r="BB2" s="68">
        <f>(AV2+AW2+AX2+AY2)*20/AZ2</f>
        <v>45.58</v>
      </c>
      <c r="BC2" s="68">
        <f>BB2/20</f>
        <v>2.2789999999999999</v>
      </c>
      <c r="BD2" s="68">
        <f>(AQ2-AS2)/AZ2</f>
        <v>5.15</v>
      </c>
      <c r="BE2" s="69">
        <f>AT2/AS2</f>
        <v>0.31181818181818177</v>
      </c>
      <c r="BF2" s="70">
        <f>AP2*BE2</f>
        <v>537.26272727272715</v>
      </c>
      <c r="BG2" s="70">
        <f>BF2/AO2</f>
        <v>1074.5254545454543</v>
      </c>
      <c r="BH2" s="69">
        <f>AV2/$BA2</f>
        <v>0.20688898639754277</v>
      </c>
      <c r="BI2" s="69">
        <f>AW2/$BA2</f>
        <v>6.3185607722685388E-2</v>
      </c>
      <c r="BJ2" s="69">
        <f>AX2/$BA2</f>
        <v>0.54804738920579199</v>
      </c>
      <c r="BK2" s="69">
        <f>AY2/$BA2</f>
        <v>0.18187801667397979</v>
      </c>
      <c r="BL2" s="70">
        <f>$BG2*BH2</f>
        <v>222.30748214926797</v>
      </c>
      <c r="BM2" s="70">
        <f>$BG2*BI2</f>
        <v>67.894543858949291</v>
      </c>
      <c r="BN2" s="70">
        <f>$BG2*BJ2</f>
        <v>588.89086999880317</v>
      </c>
      <c r="BO2" s="70">
        <f>$BG2*BK2</f>
        <v>195.43255853843385</v>
      </c>
      <c r="BP2" s="73">
        <f>AVERAGE(T2:W2)</f>
        <v>20.350000000000001</v>
      </c>
      <c r="BQ2" s="73">
        <f>AVERAGE(X2:AA2)</f>
        <v>51.900000000000006</v>
      </c>
      <c r="BR2" s="73">
        <f>AVERAGE(AB2:AE2)</f>
        <v>54.35</v>
      </c>
      <c r="BS2" s="73">
        <f>AVERAGE(AF2:AI2)</f>
        <v>55.225000000000009</v>
      </c>
      <c r="BT2" s="73">
        <f>AVERAGE(AJ2:AM2)</f>
        <v>50.05</v>
      </c>
      <c r="BU2" s="73">
        <v>17.486999999999998</v>
      </c>
      <c r="BV2" s="73">
        <v>39.622999999999998</v>
      </c>
      <c r="BW2" s="73">
        <v>15.914</v>
      </c>
      <c r="BX2" s="73">
        <v>9.1857000000000006</v>
      </c>
      <c r="BY2" s="73">
        <v>20.510999999999999</v>
      </c>
      <c r="BZ2" s="64">
        <v>156.19999999999999</v>
      </c>
      <c r="CA2" s="64">
        <v>103.6</v>
      </c>
      <c r="CB2" s="64">
        <v>50.9</v>
      </c>
      <c r="CC2" s="64">
        <v>167.7</v>
      </c>
      <c r="CD2" s="64">
        <v>202.5</v>
      </c>
      <c r="CE2" s="146">
        <v>-24.51</v>
      </c>
      <c r="CF2" s="146">
        <v>-24.56</v>
      </c>
      <c r="CG2" s="146">
        <v>-24.95</v>
      </c>
      <c r="CH2" s="147">
        <v>-24.87</v>
      </c>
      <c r="CI2" s="146">
        <v>-24.33</v>
      </c>
    </row>
    <row r="3" spans="1:97" x14ac:dyDescent="0.25">
      <c r="A3" s="63">
        <v>1</v>
      </c>
      <c r="B3" s="63">
        <v>2</v>
      </c>
      <c r="C3" s="63">
        <v>1</v>
      </c>
      <c r="D3" s="63">
        <v>8</v>
      </c>
      <c r="E3" s="63">
        <v>2</v>
      </c>
      <c r="F3" s="63" t="s">
        <v>30</v>
      </c>
      <c r="G3" s="63" t="s">
        <v>31</v>
      </c>
      <c r="H3" s="63">
        <v>102</v>
      </c>
      <c r="I3" s="63" t="str">
        <f>"EVA"&amp;"_"&amp;H3</f>
        <v>EVA_102</v>
      </c>
      <c r="J3" s="80">
        <v>45568</v>
      </c>
      <c r="K3" s="55">
        <v>0.82</v>
      </c>
      <c r="L3" s="85">
        <v>8.9999999999999993E-3</v>
      </c>
      <c r="M3" s="85">
        <v>1.4E-2</v>
      </c>
      <c r="N3" s="85">
        <v>4.4999999999999998E-2</v>
      </c>
      <c r="O3" s="85">
        <v>0.28999999999999998</v>
      </c>
      <c r="P3" s="75">
        <f>1-L3</f>
        <v>0.99099999999999999</v>
      </c>
      <c r="Q3" s="75">
        <f>1-M3</f>
        <v>0.98599999999999999</v>
      </c>
      <c r="R3" s="75">
        <f>1-N3</f>
        <v>0.95499999999999996</v>
      </c>
      <c r="S3" s="75">
        <f>1-O3</f>
        <v>0.71</v>
      </c>
      <c r="T3" s="64">
        <v>12.9</v>
      </c>
      <c r="U3" s="64">
        <v>2.6</v>
      </c>
      <c r="V3" s="64">
        <v>6.7</v>
      </c>
      <c r="W3" s="64">
        <v>3.3</v>
      </c>
      <c r="X3" s="82">
        <v>47.4</v>
      </c>
      <c r="Y3" s="82">
        <v>47.6</v>
      </c>
      <c r="Z3" s="82">
        <v>42.2</v>
      </c>
      <c r="AA3" s="82">
        <v>40.799999999999997</v>
      </c>
      <c r="AB3" s="82">
        <v>50.3</v>
      </c>
      <c r="AC3" s="82">
        <v>50.4</v>
      </c>
      <c r="AD3" s="82">
        <v>47.8</v>
      </c>
      <c r="AE3" s="82">
        <v>41.2</v>
      </c>
      <c r="AF3" s="82">
        <v>49.9</v>
      </c>
      <c r="AG3" s="82">
        <v>51.2</v>
      </c>
      <c r="AH3" s="82">
        <v>45.6</v>
      </c>
      <c r="AI3" s="82">
        <v>41.3</v>
      </c>
      <c r="AJ3" s="82">
        <v>46.3</v>
      </c>
      <c r="AK3" s="82">
        <v>46.1</v>
      </c>
      <c r="AL3" s="82">
        <v>40.200000000000003</v>
      </c>
      <c r="AM3" s="82">
        <v>48.8</v>
      </c>
      <c r="AN3" s="82">
        <v>95</v>
      </c>
      <c r="AO3" s="82">
        <v>0.5</v>
      </c>
      <c r="AP3" s="82">
        <v>2369</v>
      </c>
      <c r="AQ3" s="82">
        <v>536</v>
      </c>
      <c r="AR3" s="82">
        <v>50</v>
      </c>
      <c r="AS3" s="89">
        <v>332</v>
      </c>
      <c r="AT3" s="43">
        <v>83.5</v>
      </c>
      <c r="AU3">
        <v>30</v>
      </c>
      <c r="AV3">
        <v>12.59</v>
      </c>
      <c r="AW3">
        <v>2.21</v>
      </c>
      <c r="AX3">
        <v>26.45</v>
      </c>
      <c r="AY3" s="43">
        <v>6.63</v>
      </c>
      <c r="AZ3" s="60">
        <v>18</v>
      </c>
      <c r="BA3" s="43">
        <f>AV3+AW3+AX3+AY3</f>
        <v>47.88</v>
      </c>
      <c r="BB3" s="68">
        <f>(AV3+AW3+AX3+AY3)*20/AZ3</f>
        <v>53.2</v>
      </c>
      <c r="BC3" s="68">
        <f>BB3/20</f>
        <v>2.66</v>
      </c>
      <c r="BD3" s="68">
        <f>(AQ3-AS3)/AZ3</f>
        <v>11.333333333333334</v>
      </c>
      <c r="BE3" s="69">
        <f>AT3/AS3</f>
        <v>0.25150602409638556</v>
      </c>
      <c r="BF3" s="70">
        <f>AP3*BE3</f>
        <v>595.81777108433744</v>
      </c>
      <c r="BG3" s="70">
        <f>BF3/AO3</f>
        <v>1191.6355421686749</v>
      </c>
      <c r="BH3" s="69">
        <f>AV3/$BA3</f>
        <v>0.26294903926482871</v>
      </c>
      <c r="BI3" s="69">
        <f>AW3/$BA3</f>
        <v>4.6157059314954049E-2</v>
      </c>
      <c r="BJ3" s="69">
        <f>AX3/$BA3</f>
        <v>0.55242272347535504</v>
      </c>
      <c r="BK3" s="69">
        <f>AY3/$BA3</f>
        <v>0.13847117794486213</v>
      </c>
      <c r="BL3" s="70">
        <f>$BG3*BH3</f>
        <v>313.33942096707636</v>
      </c>
      <c r="BM3" s="70">
        <f>$BG3*BI3</f>
        <v>55.002392401686954</v>
      </c>
      <c r="BN3" s="70">
        <f>$BG3*BJ3</f>
        <v>658.28655159485061</v>
      </c>
      <c r="BO3" s="70">
        <f>$BG3*BK3</f>
        <v>165.00717720506086</v>
      </c>
      <c r="BP3" s="73">
        <f>AVERAGE(W3:Z3)</f>
        <v>35.125</v>
      </c>
      <c r="BQ3" s="73">
        <f>AVERAGE(AA3:AD3)</f>
        <v>47.325000000000003</v>
      </c>
      <c r="BR3" s="73">
        <f>AVERAGE(AE3:AH3)</f>
        <v>46.975000000000001</v>
      </c>
      <c r="BS3" s="73">
        <f>AVERAGE(AI3:AL3)</f>
        <v>43.474999999999994</v>
      </c>
      <c r="BT3" s="73">
        <f>AVERAGE(AJ3:AM3)</f>
        <v>45.350000000000009</v>
      </c>
      <c r="BU3" s="73">
        <v>19.257999999999999</v>
      </c>
      <c r="BV3" s="73">
        <v>39.173999999999999</v>
      </c>
      <c r="BW3" s="73">
        <v>25.807000000000002</v>
      </c>
      <c r="BX3" s="73">
        <v>13.894</v>
      </c>
      <c r="BY3" s="73">
        <v>24.907</v>
      </c>
      <c r="BZ3" s="64">
        <v>122</v>
      </c>
      <c r="CA3" s="64">
        <v>74</v>
      </c>
      <c r="CB3" s="64">
        <v>26.099999999999998</v>
      </c>
      <c r="CC3" s="64">
        <v>147.10000000000002</v>
      </c>
      <c r="CD3" s="64">
        <v>166.1</v>
      </c>
      <c r="CE3" s="146">
        <v>-25.03</v>
      </c>
      <c r="CF3" s="146">
        <v>-25.23</v>
      </c>
      <c r="CG3" s="146">
        <v>-25.34</v>
      </c>
      <c r="CH3" s="147">
        <v>-24.91</v>
      </c>
      <c r="CI3" s="146">
        <v>-24.64</v>
      </c>
    </row>
    <row r="4" spans="1:97" x14ac:dyDescent="0.25">
      <c r="A4" s="63">
        <v>1</v>
      </c>
      <c r="B4" s="63">
        <v>3</v>
      </c>
      <c r="C4" s="63">
        <v>2</v>
      </c>
      <c r="D4" s="63">
        <v>9</v>
      </c>
      <c r="E4" s="63">
        <v>3</v>
      </c>
      <c r="F4" s="63" t="s">
        <v>25</v>
      </c>
      <c r="G4" s="63" t="s">
        <v>27</v>
      </c>
      <c r="H4" s="63">
        <v>103</v>
      </c>
      <c r="I4" s="63" t="str">
        <f>"EVA"&amp;"_"&amp;H4</f>
        <v>EVA_103</v>
      </c>
      <c r="J4" s="80">
        <v>45566</v>
      </c>
      <c r="K4" s="82">
        <v>0.76</v>
      </c>
      <c r="L4" s="84">
        <v>4.7E-2</v>
      </c>
      <c r="M4" s="84">
        <v>0.104</v>
      </c>
      <c r="N4" s="84">
        <v>9.2999999999999999E-2</v>
      </c>
      <c r="O4" s="84">
        <v>0.38700000000000001</v>
      </c>
      <c r="P4" s="75">
        <f>1-L4</f>
        <v>0.95299999999999996</v>
      </c>
      <c r="Q4" s="75">
        <f>1-M4</f>
        <v>0.89600000000000002</v>
      </c>
      <c r="R4" s="75">
        <f>1-N4</f>
        <v>0.90700000000000003</v>
      </c>
      <c r="S4" s="75">
        <f>1-O4</f>
        <v>0.61299999999999999</v>
      </c>
      <c r="T4" s="64">
        <v>8.9</v>
      </c>
      <c r="U4" s="64">
        <v>0</v>
      </c>
      <c r="V4" s="64">
        <v>0</v>
      </c>
      <c r="W4" s="64">
        <v>0</v>
      </c>
      <c r="X4" s="82">
        <v>37.4</v>
      </c>
      <c r="Y4" s="82">
        <v>18.5</v>
      </c>
      <c r="Z4" s="82">
        <v>27.5</v>
      </c>
      <c r="AA4" s="82">
        <v>5.0999999999999996</v>
      </c>
      <c r="AB4" s="82">
        <v>53.2</v>
      </c>
      <c r="AC4" s="82">
        <v>52.7</v>
      </c>
      <c r="AD4" s="82">
        <v>48.8</v>
      </c>
      <c r="AE4" s="82">
        <v>49</v>
      </c>
      <c r="AF4" s="82">
        <v>52</v>
      </c>
      <c r="AG4" s="82">
        <v>51</v>
      </c>
      <c r="AH4" s="82">
        <v>43.8</v>
      </c>
      <c r="AI4" s="82">
        <v>51.4</v>
      </c>
      <c r="AJ4" s="82">
        <v>50.7</v>
      </c>
      <c r="AK4" s="82">
        <v>46.4</v>
      </c>
      <c r="AL4" s="82">
        <v>46.3</v>
      </c>
      <c r="AM4" s="82">
        <v>51</v>
      </c>
      <c r="AN4" s="82">
        <v>82</v>
      </c>
      <c r="AO4" s="82">
        <v>0.5</v>
      </c>
      <c r="AP4" s="82">
        <v>1657</v>
      </c>
      <c r="AQ4" s="82">
        <v>398</v>
      </c>
      <c r="AR4" s="82">
        <v>50</v>
      </c>
      <c r="AS4" s="89">
        <v>236</v>
      </c>
      <c r="AT4" s="43">
        <v>77.599999999999994</v>
      </c>
      <c r="AU4">
        <v>30</v>
      </c>
      <c r="AV4">
        <v>11.06</v>
      </c>
      <c r="AW4">
        <v>3.18</v>
      </c>
      <c r="AX4">
        <v>29.88</v>
      </c>
      <c r="AY4" s="43">
        <v>10.42</v>
      </c>
      <c r="AZ4" s="60">
        <v>20</v>
      </c>
      <c r="BA4" s="43">
        <f>AV4+AW4+AX4+AY4</f>
        <v>54.54</v>
      </c>
      <c r="BB4" s="68">
        <f>(AV4+AW4+AX4+AY4)*20/AZ4</f>
        <v>54.54</v>
      </c>
      <c r="BC4" s="68">
        <f>BB4/20</f>
        <v>2.7269999999999999</v>
      </c>
      <c r="BD4" s="68">
        <f>(AQ4-AS4)/AZ4</f>
        <v>8.1</v>
      </c>
      <c r="BE4" s="69">
        <f>AT4/AS4</f>
        <v>0.32881355932203388</v>
      </c>
      <c r="BF4" s="70">
        <f>AP4*BE4</f>
        <v>544.84406779661015</v>
      </c>
      <c r="BG4" s="70">
        <f>BF4/AO4</f>
        <v>1089.6881355932203</v>
      </c>
      <c r="BH4" s="69">
        <f>AV4/$BA4</f>
        <v>0.20278694536120279</v>
      </c>
      <c r="BI4" s="69">
        <f>AW4/$BA4</f>
        <v>5.8305830583058313E-2</v>
      </c>
      <c r="BJ4" s="69">
        <f>AX4/$BA4</f>
        <v>0.54785478547854782</v>
      </c>
      <c r="BK4" s="69">
        <f>AY4/$BA4</f>
        <v>0.19105243857719106</v>
      </c>
      <c r="BL4" s="70">
        <f>$BG4*BH4</f>
        <v>220.97452841329329</v>
      </c>
      <c r="BM4" s="70">
        <f>$BG4*BI4</f>
        <v>63.535171822266975</v>
      </c>
      <c r="BN4" s="70">
        <f>$BG4*BJ4</f>
        <v>596.99085976394247</v>
      </c>
      <c r="BO4" s="70">
        <f>$BG4*BK4</f>
        <v>208.18757559371755</v>
      </c>
      <c r="BP4" s="73">
        <f>AVERAGE(T4:W4)</f>
        <v>2.2250000000000001</v>
      </c>
      <c r="BQ4" s="73">
        <f>AVERAGE(X4:AA4)</f>
        <v>22.125</v>
      </c>
      <c r="BR4" s="73">
        <f>AVERAGE(AB4:AE4)</f>
        <v>50.924999999999997</v>
      </c>
      <c r="BS4" s="73">
        <f>AVERAGE(AF4:AI4)</f>
        <v>49.550000000000004</v>
      </c>
      <c r="BT4" s="73">
        <f>AVERAGE(AJ4:AM4)</f>
        <v>48.599999999999994</v>
      </c>
      <c r="BU4" s="73">
        <v>21.436</v>
      </c>
      <c r="BV4" s="73">
        <v>43.265000000000001</v>
      </c>
      <c r="BW4" s="73">
        <v>17.603999999999999</v>
      </c>
      <c r="BX4" s="73">
        <v>11.345000000000001</v>
      </c>
      <c r="BY4" s="73">
        <v>22.538</v>
      </c>
      <c r="BZ4" s="64">
        <v>156</v>
      </c>
      <c r="CA4" s="64">
        <v>107.4</v>
      </c>
      <c r="CB4" s="64">
        <v>29.700000000000003</v>
      </c>
      <c r="CC4" s="64">
        <v>165.7</v>
      </c>
      <c r="CD4" s="64">
        <v>214.3</v>
      </c>
      <c r="CE4" s="146">
        <v>-24.58</v>
      </c>
      <c r="CF4" s="146">
        <v>-24.62</v>
      </c>
      <c r="CG4" s="146">
        <v>-25.46</v>
      </c>
      <c r="CH4" s="147">
        <v>-24.94</v>
      </c>
      <c r="CI4" s="146">
        <v>-24.25</v>
      </c>
      <c r="CM4" s="46" t="s">
        <v>442</v>
      </c>
    </row>
    <row r="5" spans="1:97" x14ac:dyDescent="0.25">
      <c r="A5" s="63">
        <v>1</v>
      </c>
      <c r="B5" s="63">
        <v>4</v>
      </c>
      <c r="C5" s="63">
        <v>2</v>
      </c>
      <c r="D5" s="63">
        <v>16</v>
      </c>
      <c r="E5" s="63">
        <v>4</v>
      </c>
      <c r="F5" s="63" t="s">
        <v>30</v>
      </c>
      <c r="G5" s="63" t="s">
        <v>28</v>
      </c>
      <c r="H5" s="63">
        <v>104</v>
      </c>
      <c r="I5" s="63" t="str">
        <f>"EVA"&amp;"_"&amp;H5</f>
        <v>EVA_104</v>
      </c>
      <c r="J5" s="80">
        <v>45568</v>
      </c>
      <c r="K5" s="55">
        <v>0.78</v>
      </c>
      <c r="L5" s="124">
        <v>2.7E-2</v>
      </c>
      <c r="M5" s="124">
        <v>4.5999999999999999E-2</v>
      </c>
      <c r="N5" s="124">
        <v>5.7000000000000002E-2</v>
      </c>
      <c r="O5" s="124">
        <v>0.25</v>
      </c>
      <c r="P5" s="75">
        <f>1-L5</f>
        <v>0.97299999999999998</v>
      </c>
      <c r="Q5" s="75">
        <f>1-M5</f>
        <v>0.95399999999999996</v>
      </c>
      <c r="R5" s="75">
        <f>1-N5</f>
        <v>0.94299999999999995</v>
      </c>
      <c r="S5" s="75">
        <f>1-O5</f>
        <v>0.75</v>
      </c>
      <c r="T5" s="64">
        <v>0</v>
      </c>
      <c r="U5" s="64">
        <v>0</v>
      </c>
      <c r="V5" s="64">
        <v>0.7</v>
      </c>
      <c r="W5" s="64">
        <v>0</v>
      </c>
      <c r="X5" s="82">
        <v>6.5</v>
      </c>
      <c r="Y5" s="82">
        <v>9.5</v>
      </c>
      <c r="Z5" s="82">
        <v>43.7</v>
      </c>
      <c r="AA5" s="82">
        <v>31.4</v>
      </c>
      <c r="AB5" s="82">
        <v>45.9</v>
      </c>
      <c r="AC5" s="82">
        <v>50.9</v>
      </c>
      <c r="AD5" s="82">
        <v>48.3</v>
      </c>
      <c r="AE5" s="82">
        <v>49.2</v>
      </c>
      <c r="AF5" s="82">
        <v>49.7</v>
      </c>
      <c r="AG5" s="82">
        <v>57.1</v>
      </c>
      <c r="AH5" s="82">
        <v>56</v>
      </c>
      <c r="AI5" s="82">
        <v>52.8</v>
      </c>
      <c r="AJ5" s="82">
        <v>52.9</v>
      </c>
      <c r="AK5" s="82">
        <v>52.4</v>
      </c>
      <c r="AL5" s="82">
        <v>55.3</v>
      </c>
      <c r="AM5" s="82">
        <v>51.8</v>
      </c>
      <c r="AN5" s="82">
        <v>57</v>
      </c>
      <c r="AO5" s="82">
        <v>0.5</v>
      </c>
      <c r="AP5" s="82">
        <v>1497</v>
      </c>
      <c r="AQ5" s="82">
        <v>398</v>
      </c>
      <c r="AR5" s="82">
        <v>50</v>
      </c>
      <c r="AS5" s="89">
        <v>234</v>
      </c>
      <c r="AT5" s="43">
        <v>46.1</v>
      </c>
      <c r="AU5">
        <v>30</v>
      </c>
      <c r="AV5">
        <v>18.079999999999998</v>
      </c>
      <c r="AW5">
        <v>4.3899999999999997</v>
      </c>
      <c r="AX5">
        <v>36.31</v>
      </c>
      <c r="AY5" s="43">
        <v>14.82</v>
      </c>
      <c r="AZ5" s="60">
        <v>30</v>
      </c>
      <c r="BA5" s="43">
        <f>AV5+AW5+AX5+AY5</f>
        <v>73.599999999999994</v>
      </c>
      <c r="BB5" s="68">
        <f>(AV5+AW5+AX5+AY5)*20/AZ5</f>
        <v>49.06666666666667</v>
      </c>
      <c r="BC5" s="68">
        <f>BB5/20</f>
        <v>2.4533333333333336</v>
      </c>
      <c r="BD5" s="68">
        <f>(AQ5-AS5)/AZ5</f>
        <v>5.4666666666666668</v>
      </c>
      <c r="BE5" s="69">
        <f>AT5/AS5</f>
        <v>0.197008547008547</v>
      </c>
      <c r="BF5" s="70">
        <f>AP5*BE5</f>
        <v>294.92179487179487</v>
      </c>
      <c r="BG5" s="70">
        <f>BF5/AO5</f>
        <v>589.84358974358975</v>
      </c>
      <c r="BH5" s="69">
        <f>AV5/$BA5</f>
        <v>0.24565217391304348</v>
      </c>
      <c r="BI5" s="69">
        <f>AW5/$BA5</f>
        <v>5.9646739130434785E-2</v>
      </c>
      <c r="BJ5" s="69">
        <f>AX5/$BA5</f>
        <v>0.49334239130434787</v>
      </c>
      <c r="BK5" s="69">
        <f>AY5/$BA5</f>
        <v>0.20135869565217393</v>
      </c>
      <c r="BL5" s="70">
        <f>$BG5*BH5</f>
        <v>144.89636008918617</v>
      </c>
      <c r="BM5" s="70">
        <f>$BG5*BI5</f>
        <v>35.1822467251951</v>
      </c>
      <c r="BN5" s="70">
        <f>$BG5*BJ5</f>
        <v>290.99484705964329</v>
      </c>
      <c r="BO5" s="70">
        <f>$BG5*BK5</f>
        <v>118.77013586956522</v>
      </c>
      <c r="BP5" s="73">
        <f>AVERAGE(T5:W5)</f>
        <v>0.17499999999999999</v>
      </c>
      <c r="BQ5" s="73">
        <f>AVERAGE(X5:AA5)</f>
        <v>22.774999999999999</v>
      </c>
      <c r="BR5" s="73">
        <f>AVERAGE(AB5:AE5)</f>
        <v>48.575000000000003</v>
      </c>
      <c r="BS5" s="73">
        <f>AVERAGE(AF5:AI5)</f>
        <v>53.900000000000006</v>
      </c>
      <c r="BT5" s="73">
        <f>AVERAGE(AJ5:AM5)</f>
        <v>53.099999999999994</v>
      </c>
      <c r="BU5" s="73">
        <v>24.170999999999999</v>
      </c>
      <c r="BV5" s="73">
        <v>42.336999999999996</v>
      </c>
      <c r="BW5" s="73">
        <v>26.318000000000001</v>
      </c>
      <c r="BX5" s="73">
        <v>10.507999999999999</v>
      </c>
      <c r="BY5" s="73">
        <v>24.899000000000001</v>
      </c>
      <c r="BZ5" s="64">
        <v>165.5</v>
      </c>
      <c r="CA5" s="64">
        <v>106.8</v>
      </c>
      <c r="CB5" s="64">
        <v>37.200000000000003</v>
      </c>
      <c r="CC5" s="64">
        <v>232</v>
      </c>
      <c r="CD5" s="64">
        <v>181.9</v>
      </c>
      <c r="CE5" s="146">
        <v>-24.46</v>
      </c>
      <c r="CF5" s="146">
        <v>-25.15</v>
      </c>
      <c r="CG5" s="146">
        <v>-25.71</v>
      </c>
      <c r="CH5" s="147">
        <v>-24.4</v>
      </c>
      <c r="CI5" s="146">
        <v>-24.4</v>
      </c>
      <c r="CK5" s="46" t="s">
        <v>21</v>
      </c>
      <c r="CL5" s="46" t="s">
        <v>22</v>
      </c>
      <c r="CM5" t="s">
        <v>461</v>
      </c>
      <c r="CN5" t="s">
        <v>452</v>
      </c>
      <c r="CO5" t="s">
        <v>462</v>
      </c>
      <c r="CP5" t="s">
        <v>478</v>
      </c>
      <c r="CQ5" t="s">
        <v>450</v>
      </c>
      <c r="CR5" t="s">
        <v>479</v>
      </c>
      <c r="CS5" t="s">
        <v>443</v>
      </c>
    </row>
    <row r="6" spans="1:97" x14ac:dyDescent="0.25">
      <c r="A6" s="63">
        <v>1</v>
      </c>
      <c r="B6" s="63">
        <v>5</v>
      </c>
      <c r="C6" s="63">
        <v>3</v>
      </c>
      <c r="D6" s="63">
        <v>17</v>
      </c>
      <c r="E6" s="63">
        <v>5</v>
      </c>
      <c r="F6" s="63" t="s">
        <v>25</v>
      </c>
      <c r="G6" s="63" t="s">
        <v>28</v>
      </c>
      <c r="H6" s="63">
        <v>105</v>
      </c>
      <c r="I6" s="63" t="str">
        <f>"EVA"&amp;"_"&amp;H6</f>
        <v>EVA_105</v>
      </c>
      <c r="J6" s="80">
        <v>45560</v>
      </c>
      <c r="K6" s="82">
        <v>0.8</v>
      </c>
      <c r="L6" s="126">
        <v>5.5E-2</v>
      </c>
      <c r="M6" s="126">
        <v>7.2999999999999995E-2</v>
      </c>
      <c r="N6" s="126">
        <v>0.115</v>
      </c>
      <c r="O6" s="126">
        <v>0.19800000000000001</v>
      </c>
      <c r="P6" s="75">
        <f>1-L6</f>
        <v>0.94499999999999995</v>
      </c>
      <c r="Q6" s="75">
        <f>1-M6</f>
        <v>0.92700000000000005</v>
      </c>
      <c r="R6" s="75">
        <f>1-N6</f>
        <v>0.88500000000000001</v>
      </c>
      <c r="S6" s="75">
        <f>1-O6</f>
        <v>0.80200000000000005</v>
      </c>
      <c r="T6" s="64">
        <v>39.9</v>
      </c>
      <c r="U6" s="64">
        <v>0</v>
      </c>
      <c r="V6" s="64">
        <v>0</v>
      </c>
      <c r="W6" s="64">
        <v>0</v>
      </c>
      <c r="X6" s="82">
        <v>37.299999999999997</v>
      </c>
      <c r="Y6" s="82">
        <v>40.9</v>
      </c>
      <c r="Z6" s="82">
        <v>31.2</v>
      </c>
      <c r="AA6" s="82">
        <v>46.2</v>
      </c>
      <c r="AB6" s="82">
        <v>48.5</v>
      </c>
      <c r="AC6" s="82">
        <v>46.9</v>
      </c>
      <c r="AD6" s="82">
        <v>50.2</v>
      </c>
      <c r="AE6" s="82">
        <v>47.9</v>
      </c>
      <c r="AF6" s="82">
        <v>56</v>
      </c>
      <c r="AG6" s="82">
        <v>47.8</v>
      </c>
      <c r="AH6" s="82">
        <v>52</v>
      </c>
      <c r="AI6" s="82">
        <v>50.8</v>
      </c>
      <c r="AJ6" s="82">
        <v>50.3</v>
      </c>
      <c r="AK6" s="82">
        <v>51.3</v>
      </c>
      <c r="AL6" s="82">
        <v>54.6</v>
      </c>
      <c r="AM6" s="82">
        <v>54.8</v>
      </c>
      <c r="AN6" s="82">
        <v>66</v>
      </c>
      <c r="AO6" s="82">
        <v>0.5</v>
      </c>
      <c r="AP6" s="82">
        <v>2426.4</v>
      </c>
      <c r="AQ6" s="82">
        <v>510.3</v>
      </c>
      <c r="AR6" s="82">
        <v>50</v>
      </c>
      <c r="AS6" s="89">
        <v>297.3</v>
      </c>
      <c r="AT6" s="43">
        <v>67.5</v>
      </c>
      <c r="AU6">
        <v>30</v>
      </c>
      <c r="AV6">
        <v>11.14</v>
      </c>
      <c r="AW6">
        <v>1.86</v>
      </c>
      <c r="AX6">
        <v>25.39</v>
      </c>
      <c r="AY6" s="43">
        <v>10.18</v>
      </c>
      <c r="AZ6" s="60">
        <v>20</v>
      </c>
      <c r="BA6" s="43">
        <f>AV6+AW6+AX6+AY6</f>
        <v>48.57</v>
      </c>
      <c r="BB6" s="68">
        <f>(AV6+AW6+AX6+AY6)*20/AZ6</f>
        <v>48.57</v>
      </c>
      <c r="BC6" s="68">
        <f>BB6/20</f>
        <v>2.4285000000000001</v>
      </c>
      <c r="BD6" s="68">
        <f>(AQ6-AS6)/AZ6</f>
        <v>10.65</v>
      </c>
      <c r="BE6" s="69">
        <f>AT6/AS6</f>
        <v>0.22704339051463168</v>
      </c>
      <c r="BF6" s="70">
        <f>AP6*BE6</f>
        <v>550.89808274470238</v>
      </c>
      <c r="BG6" s="70">
        <f>BF6/AO6</f>
        <v>1101.7961654894048</v>
      </c>
      <c r="BH6" s="69">
        <f>AV6/$BA6</f>
        <v>0.22935968704961912</v>
      </c>
      <c r="BI6" s="69">
        <f>AW6/$BA6</f>
        <v>3.8295243977764057E-2</v>
      </c>
      <c r="BJ6" s="69">
        <f>AX6/$BA6</f>
        <v>0.52275066913732759</v>
      </c>
      <c r="BK6" s="69">
        <f>AY6/$BA6</f>
        <v>0.20959439983528927</v>
      </c>
      <c r="BL6" s="70">
        <f>$BG6*BH6</f>
        <v>252.70762370912024</v>
      </c>
      <c r="BM6" s="70">
        <f>$BG6*BI6</f>
        <v>42.19355297118166</v>
      </c>
      <c r="BN6" s="70">
        <f>$BG6*BJ6</f>
        <v>575.96468276252801</v>
      </c>
      <c r="BO6" s="70">
        <f>$BG6*BK6</f>
        <v>230.93030604657486</v>
      </c>
      <c r="BP6" s="73">
        <f>AVERAGE(T6:W6)</f>
        <v>9.9749999999999996</v>
      </c>
      <c r="BQ6" s="73">
        <f>AVERAGE(X6:AA6)</f>
        <v>38.9</v>
      </c>
      <c r="BR6" s="73">
        <f>AVERAGE(AB6:AE6)</f>
        <v>48.375000000000007</v>
      </c>
      <c r="BS6" s="73">
        <f>AVERAGE(AF6:AI6)</f>
        <v>51.650000000000006</v>
      </c>
      <c r="BT6" s="73">
        <f>AVERAGE(AJ6:AM6)</f>
        <v>52.75</v>
      </c>
      <c r="BU6" s="73">
        <v>30.442</v>
      </c>
      <c r="BV6" s="73">
        <v>43.875</v>
      </c>
      <c r="BW6" s="73">
        <v>21.195</v>
      </c>
      <c r="BX6" s="73">
        <v>14.57</v>
      </c>
      <c r="BY6" s="73">
        <v>24.706000000000003</v>
      </c>
      <c r="BZ6" s="64">
        <v>150.5</v>
      </c>
      <c r="CA6" s="64">
        <v>63.2</v>
      </c>
      <c r="CB6" s="64">
        <v>48.2</v>
      </c>
      <c r="CC6" s="64">
        <v>205</v>
      </c>
      <c r="CD6" s="64">
        <v>154.60000000000002</v>
      </c>
      <c r="CE6" s="146">
        <v>-25.19</v>
      </c>
      <c r="CF6" s="146">
        <v>-25.36</v>
      </c>
      <c r="CG6" s="146">
        <v>-25.58</v>
      </c>
      <c r="CH6" s="147">
        <v>-24.6</v>
      </c>
      <c r="CI6" s="146">
        <v>-24.53</v>
      </c>
      <c r="CK6" t="s">
        <v>25</v>
      </c>
      <c r="CL6" t="s">
        <v>26</v>
      </c>
      <c r="CM6" s="61">
        <v>0.16697041390920886</v>
      </c>
      <c r="CN6" s="60">
        <v>176.15308909985779</v>
      </c>
      <c r="CO6" s="61">
        <v>0.58207195029413461</v>
      </c>
      <c r="CP6" s="60">
        <v>613.90740337201169</v>
      </c>
      <c r="CQ6" s="102">
        <v>45573</v>
      </c>
      <c r="CR6" s="60">
        <v>1052.7409359634075</v>
      </c>
      <c r="CS6" s="60">
        <v>81.5</v>
      </c>
    </row>
    <row r="7" spans="1:97" x14ac:dyDescent="0.25">
      <c r="A7" s="63">
        <v>1</v>
      </c>
      <c r="B7" s="63">
        <v>6</v>
      </c>
      <c r="C7" s="63">
        <v>3</v>
      </c>
      <c r="D7" s="63">
        <v>24</v>
      </c>
      <c r="E7" s="63">
        <v>6</v>
      </c>
      <c r="F7" s="63" t="s">
        <v>30</v>
      </c>
      <c r="G7" s="63" t="s">
        <v>29</v>
      </c>
      <c r="H7" s="63">
        <v>106</v>
      </c>
      <c r="I7" s="63" t="str">
        <f>"EVA"&amp;"_"&amp;H7</f>
        <v>EVA_106</v>
      </c>
      <c r="J7" s="80">
        <v>45573</v>
      </c>
      <c r="K7" s="82">
        <v>0.7</v>
      </c>
      <c r="L7" s="84">
        <v>0.04</v>
      </c>
      <c r="M7" s="84">
        <v>9.6000000000000002E-2</v>
      </c>
      <c r="N7" s="84">
        <v>0.28399999999999997</v>
      </c>
      <c r="O7" s="84">
        <v>0.58099999999999996</v>
      </c>
      <c r="P7" s="75">
        <f>1-L7</f>
        <v>0.96</v>
      </c>
      <c r="Q7" s="75">
        <f>1-M7</f>
        <v>0.90400000000000003</v>
      </c>
      <c r="R7" s="75">
        <f>1-N7</f>
        <v>0.71599999999999997</v>
      </c>
      <c r="S7" s="75">
        <f>1-O7</f>
        <v>0.41900000000000004</v>
      </c>
      <c r="T7" s="64">
        <v>0</v>
      </c>
      <c r="U7" s="64">
        <v>0</v>
      </c>
      <c r="V7" s="64">
        <v>0</v>
      </c>
      <c r="W7" s="64">
        <v>0</v>
      </c>
      <c r="X7" s="64">
        <v>0</v>
      </c>
      <c r="Y7" s="64">
        <v>38.799999999999997</v>
      </c>
      <c r="Z7" s="64">
        <v>0.1</v>
      </c>
      <c r="AA7" s="64">
        <v>2.9</v>
      </c>
      <c r="AB7" s="64">
        <v>52</v>
      </c>
      <c r="AC7" s="64">
        <v>41.8</v>
      </c>
      <c r="AD7" s="64">
        <v>49.8</v>
      </c>
      <c r="AE7" s="64">
        <v>32.700000000000003</v>
      </c>
      <c r="AF7" s="64">
        <v>50.6</v>
      </c>
      <c r="AG7" s="64">
        <v>52.7</v>
      </c>
      <c r="AH7" s="64">
        <v>53.2</v>
      </c>
      <c r="AI7" s="64">
        <v>57.6</v>
      </c>
      <c r="AJ7" s="64">
        <v>51.4</v>
      </c>
      <c r="AK7" s="64">
        <v>54.7</v>
      </c>
      <c r="AL7" s="64">
        <v>55.7</v>
      </c>
      <c r="AM7" s="64">
        <v>57.7</v>
      </c>
      <c r="AN7" s="64">
        <v>78</v>
      </c>
      <c r="AO7" s="82">
        <v>0.5</v>
      </c>
      <c r="AP7" s="64">
        <v>1511</v>
      </c>
      <c r="AQ7" s="64">
        <v>387</v>
      </c>
      <c r="AR7" s="82">
        <v>50</v>
      </c>
      <c r="AS7" s="88">
        <v>223</v>
      </c>
      <c r="AT7" s="43">
        <v>72.3</v>
      </c>
      <c r="AU7">
        <v>30</v>
      </c>
      <c r="AV7">
        <v>9.32</v>
      </c>
      <c r="AW7">
        <v>3.17</v>
      </c>
      <c r="AX7">
        <v>29.78</v>
      </c>
      <c r="AY7" s="43">
        <v>9.4499999999999993</v>
      </c>
      <c r="AZ7" s="60">
        <v>20</v>
      </c>
      <c r="BA7" s="43">
        <f>AV7+AW7+AX7+AY7</f>
        <v>51.72</v>
      </c>
      <c r="BB7" s="68">
        <f>(AV7+AW7+AX7+AY7)*20/AZ7</f>
        <v>51.720000000000006</v>
      </c>
      <c r="BC7" s="68">
        <f>BB7/20</f>
        <v>2.5860000000000003</v>
      </c>
      <c r="BD7" s="68">
        <f>(AQ7-AS7)/AZ7</f>
        <v>8.1999999999999993</v>
      </c>
      <c r="BE7" s="69">
        <f>AT7/AS7</f>
        <v>0.32421524663677131</v>
      </c>
      <c r="BF7" s="70">
        <f>AP7*BE7</f>
        <v>489.88923766816146</v>
      </c>
      <c r="BG7" s="70">
        <f>BF7/AO7</f>
        <v>979.77847533632291</v>
      </c>
      <c r="BH7" s="69">
        <f>AV7/$BA7</f>
        <v>0.18020108275328695</v>
      </c>
      <c r="BI7" s="69">
        <f>AW7/$BA7</f>
        <v>6.1291569992266051E-2</v>
      </c>
      <c r="BJ7" s="69">
        <f>AX7/$BA7</f>
        <v>0.57579273008507348</v>
      </c>
      <c r="BK7" s="69">
        <f>AY7/$BA7</f>
        <v>0.18271461716937354</v>
      </c>
      <c r="BL7" s="70">
        <f>$BG7*BH7</f>
        <v>176.55714211397003</v>
      </c>
      <c r="BM7" s="70">
        <f>$BG7*BI7</f>
        <v>60.052160997991955</v>
      </c>
      <c r="BN7" s="70">
        <f>$BG7*BJ7</f>
        <v>564.14932319249215</v>
      </c>
      <c r="BO7" s="70">
        <f>$BG7*BK7</f>
        <v>179.01984903186874</v>
      </c>
      <c r="BP7" s="73">
        <f>AVERAGE(T7:W7)</f>
        <v>0</v>
      </c>
      <c r="BQ7" s="73">
        <f>AVERAGE(X7:AA7)</f>
        <v>10.45</v>
      </c>
      <c r="BR7" s="73">
        <f>AVERAGE(AB7:AE7)</f>
        <v>44.075000000000003</v>
      </c>
      <c r="BS7" s="73">
        <f>AVERAGE(AF7:AI7)</f>
        <v>53.524999999999999</v>
      </c>
      <c r="BT7" s="73">
        <f>AVERAGE(AJ7:AM7)</f>
        <v>54.875</v>
      </c>
      <c r="BU7" s="73">
        <v>22.046999999999997</v>
      </c>
      <c r="BV7" s="73">
        <v>45.598999999999997</v>
      </c>
      <c r="BW7" s="73">
        <v>24.064</v>
      </c>
      <c r="BX7" s="73">
        <v>10.468999999999999</v>
      </c>
      <c r="BY7" s="73">
        <v>22.804000000000002</v>
      </c>
      <c r="BZ7" s="64">
        <v>148.1</v>
      </c>
      <c r="CA7" s="64">
        <v>82.699999999999989</v>
      </c>
      <c r="CB7" s="64">
        <v>22.400000000000002</v>
      </c>
      <c r="CC7" s="64">
        <v>204.5</v>
      </c>
      <c r="CD7" s="64">
        <v>201.20000000000002</v>
      </c>
      <c r="CE7" s="146">
        <v>-24.91</v>
      </c>
      <c r="CF7" s="146">
        <v>-25.13</v>
      </c>
      <c r="CG7" s="146">
        <v>-25.58</v>
      </c>
      <c r="CH7" s="147">
        <v>-24.86</v>
      </c>
      <c r="CI7" s="146">
        <v>-24.3</v>
      </c>
      <c r="CL7" t="s">
        <v>27</v>
      </c>
      <c r="CM7" s="61">
        <v>0.19209439854084151</v>
      </c>
      <c r="CN7" s="60">
        <v>187.98152286098309</v>
      </c>
      <c r="CO7" s="61">
        <v>0.55297696414128461</v>
      </c>
      <c r="CP7" s="60">
        <v>537.81330068044872</v>
      </c>
      <c r="CQ7" s="102">
        <v>45566</v>
      </c>
      <c r="CR7" s="60">
        <v>975.45427067595756</v>
      </c>
      <c r="CS7" s="60">
        <v>81</v>
      </c>
    </row>
    <row r="8" spans="1:97" x14ac:dyDescent="0.25">
      <c r="A8" s="63">
        <v>1</v>
      </c>
      <c r="B8" s="63">
        <v>7</v>
      </c>
      <c r="C8" s="63">
        <v>4</v>
      </c>
      <c r="D8" s="63">
        <v>25</v>
      </c>
      <c r="E8" s="63">
        <v>7</v>
      </c>
      <c r="F8" s="63" t="s">
        <v>25</v>
      </c>
      <c r="G8" s="63" t="s">
        <v>29</v>
      </c>
      <c r="H8" s="63">
        <v>107</v>
      </c>
      <c r="I8" s="63" t="str">
        <f>"EVA"&amp;"_"&amp;H8</f>
        <v>EVA_107</v>
      </c>
      <c r="J8" s="80">
        <v>45561</v>
      </c>
      <c r="K8" s="82">
        <v>0.76</v>
      </c>
      <c r="L8" s="84">
        <v>1.9E-2</v>
      </c>
      <c r="M8" s="84">
        <v>3.9E-2</v>
      </c>
      <c r="N8" s="84">
        <v>0.13900000000000001</v>
      </c>
      <c r="O8" s="84">
        <v>0.24199999999999999</v>
      </c>
      <c r="P8" s="75">
        <f>1-L8</f>
        <v>0.98099999999999998</v>
      </c>
      <c r="Q8" s="75">
        <f>1-M8</f>
        <v>0.96099999999999997</v>
      </c>
      <c r="R8" s="75">
        <f>1-N8</f>
        <v>0.86099999999999999</v>
      </c>
      <c r="S8" s="75">
        <f>1-O8</f>
        <v>0.75800000000000001</v>
      </c>
      <c r="T8" s="64">
        <v>36.5</v>
      </c>
      <c r="U8" s="64">
        <v>10.1</v>
      </c>
      <c r="V8" s="64">
        <v>49.5</v>
      </c>
      <c r="W8" s="64">
        <v>18</v>
      </c>
      <c r="X8" s="82">
        <v>51.4</v>
      </c>
      <c r="Y8" s="82">
        <v>42.3</v>
      </c>
      <c r="Z8" s="82">
        <v>49.4</v>
      </c>
      <c r="AA8" s="82">
        <v>44.5</v>
      </c>
      <c r="AB8" s="82">
        <v>51.9</v>
      </c>
      <c r="AC8" s="82">
        <v>44</v>
      </c>
      <c r="AD8" s="82">
        <v>51.5</v>
      </c>
      <c r="AE8" s="82">
        <v>50.2</v>
      </c>
      <c r="AF8" s="82">
        <v>46.6</v>
      </c>
      <c r="AG8" s="82">
        <v>42.2</v>
      </c>
      <c r="AH8" s="82">
        <v>50.6</v>
      </c>
      <c r="AI8" s="82">
        <v>51.5</v>
      </c>
      <c r="AJ8" s="82">
        <v>57.9</v>
      </c>
      <c r="AK8" s="82">
        <v>44.7</v>
      </c>
      <c r="AL8" s="82">
        <v>53.5</v>
      </c>
      <c r="AM8" s="82">
        <v>52</v>
      </c>
      <c r="AN8" s="82">
        <v>95</v>
      </c>
      <c r="AO8" s="82">
        <v>0.5</v>
      </c>
      <c r="AP8" s="82">
        <v>2092</v>
      </c>
      <c r="AQ8" s="82">
        <v>457.1</v>
      </c>
      <c r="AR8" s="82">
        <v>50</v>
      </c>
      <c r="AS8" s="89">
        <v>288.39999999999998</v>
      </c>
      <c r="AT8" s="43">
        <v>78.099999999999994</v>
      </c>
      <c r="AU8">
        <v>30</v>
      </c>
      <c r="AV8">
        <v>9.16</v>
      </c>
      <c r="AW8">
        <v>1.26</v>
      </c>
      <c r="AX8">
        <v>27.21</v>
      </c>
      <c r="AY8" s="43">
        <v>7.56</v>
      </c>
      <c r="AZ8" s="60">
        <v>20</v>
      </c>
      <c r="BA8" s="43">
        <f>AV8+AW8+AX8+AY8</f>
        <v>45.190000000000005</v>
      </c>
      <c r="BB8" s="68">
        <f>(AV8+AW8+AX8+AY8)*20/AZ8</f>
        <v>45.190000000000005</v>
      </c>
      <c r="BC8" s="68">
        <f>BB8/20</f>
        <v>2.2595000000000001</v>
      </c>
      <c r="BD8" s="68">
        <f>(AQ8-AS8)/AZ8</f>
        <v>8.4350000000000023</v>
      </c>
      <c r="BE8" s="69">
        <f>AT8/AS8</f>
        <v>0.27080443828016643</v>
      </c>
      <c r="BF8" s="70">
        <f>AP8*BE8</f>
        <v>566.5228848821082</v>
      </c>
      <c r="BG8" s="70">
        <f>BF8/AO8</f>
        <v>1133.0457697642164</v>
      </c>
      <c r="BH8" s="69">
        <f>AV8/$BA8</f>
        <v>0.20269971232573578</v>
      </c>
      <c r="BI8" s="69">
        <f>AW8/$BA8</f>
        <v>2.7882274839566273E-2</v>
      </c>
      <c r="BJ8" s="69">
        <f>AX8/$BA8</f>
        <v>0.60212436379730028</v>
      </c>
      <c r="BK8" s="69">
        <f>AY8/$BA8</f>
        <v>0.16729364903739763</v>
      </c>
      <c r="BL8" s="70">
        <f>$BG8*BH8</f>
        <v>229.6680515830985</v>
      </c>
      <c r="BM8" s="70">
        <f>$BG8*BI8</f>
        <v>31.591893558373812</v>
      </c>
      <c r="BN8" s="70">
        <f>$BG8*BJ8</f>
        <v>682.23446327250122</v>
      </c>
      <c r="BO8" s="70">
        <f>$BG8*BK8</f>
        <v>189.55136135024287</v>
      </c>
      <c r="BP8" s="73">
        <f>AVERAGE(T8:W8)</f>
        <v>28.524999999999999</v>
      </c>
      <c r="BQ8" s="73">
        <f>AVERAGE(X8:AA8)</f>
        <v>46.9</v>
      </c>
      <c r="BR8" s="73">
        <f>AVERAGE(AB8:AE8)</f>
        <v>49.400000000000006</v>
      </c>
      <c r="BS8" s="73">
        <f>AVERAGE(AF8:AI8)</f>
        <v>47.725000000000001</v>
      </c>
      <c r="BT8" s="73">
        <f>AVERAGE(AJ8:AM8)</f>
        <v>52.024999999999999</v>
      </c>
      <c r="BU8" s="73">
        <v>23.713000000000001</v>
      </c>
      <c r="BV8" s="73">
        <v>47.556000000000004</v>
      </c>
      <c r="BW8" s="73">
        <v>23.03</v>
      </c>
      <c r="BX8" s="73">
        <v>11.724</v>
      </c>
      <c r="BY8" s="73">
        <v>23.132999999999999</v>
      </c>
      <c r="BZ8" s="64">
        <v>146</v>
      </c>
      <c r="CA8" s="64">
        <v>70</v>
      </c>
      <c r="CB8" s="64">
        <v>37.599999999999994</v>
      </c>
      <c r="CC8" s="64">
        <v>173.29999999999998</v>
      </c>
      <c r="CD8" s="64">
        <v>170</v>
      </c>
      <c r="CE8" s="146">
        <v>-24.73</v>
      </c>
      <c r="CF8" s="146">
        <v>-25.23</v>
      </c>
      <c r="CG8" s="146">
        <v>-25.41</v>
      </c>
      <c r="CH8" s="147">
        <v>-25.05</v>
      </c>
      <c r="CI8" s="146">
        <v>-24.59</v>
      </c>
      <c r="CL8" t="s">
        <v>28</v>
      </c>
      <c r="CM8" s="61">
        <v>0.21276383459429635</v>
      </c>
      <c r="CN8" s="60">
        <v>233.7931264152482</v>
      </c>
      <c r="CO8" s="61">
        <v>0.52709116891497554</v>
      </c>
      <c r="CP8" s="60">
        <v>583.53525581295878</v>
      </c>
      <c r="CQ8" s="102">
        <v>45560</v>
      </c>
      <c r="CR8" s="60">
        <v>1105.3352166023437</v>
      </c>
      <c r="CS8" s="60">
        <v>67</v>
      </c>
    </row>
    <row r="9" spans="1:97" x14ac:dyDescent="0.25">
      <c r="A9" s="63">
        <v>1</v>
      </c>
      <c r="B9" s="63">
        <v>8</v>
      </c>
      <c r="C9" s="63">
        <v>4</v>
      </c>
      <c r="D9" s="63">
        <v>32</v>
      </c>
      <c r="E9" s="63">
        <v>8</v>
      </c>
      <c r="F9" s="63" t="s">
        <v>30</v>
      </c>
      <c r="G9" s="63" t="s">
        <v>32</v>
      </c>
      <c r="H9" s="63">
        <v>108</v>
      </c>
      <c r="I9" s="63" t="str">
        <f>"EVA"&amp;"_"&amp;H9</f>
        <v>EVA_108</v>
      </c>
      <c r="J9" s="80">
        <v>45573</v>
      </c>
      <c r="K9" s="82">
        <v>0.75</v>
      </c>
      <c r="L9" s="84">
        <v>9.5000000000000001E-2</v>
      </c>
      <c r="M9" s="84">
        <v>0.129</v>
      </c>
      <c r="N9" s="84">
        <v>0.23899999999999999</v>
      </c>
      <c r="O9" s="84">
        <v>0.54800000000000004</v>
      </c>
      <c r="P9" s="75">
        <f>1-L9</f>
        <v>0.90500000000000003</v>
      </c>
      <c r="Q9" s="75">
        <f>1-M9</f>
        <v>0.871</v>
      </c>
      <c r="R9" s="75">
        <f>1-N9</f>
        <v>0.76100000000000001</v>
      </c>
      <c r="S9" s="75">
        <f>1-O9</f>
        <v>0.45199999999999996</v>
      </c>
      <c r="T9" s="64">
        <v>41.3</v>
      </c>
      <c r="U9" s="64">
        <v>0</v>
      </c>
      <c r="V9" s="64">
        <v>0.6</v>
      </c>
      <c r="W9" s="64">
        <v>0</v>
      </c>
      <c r="X9" s="64">
        <v>61</v>
      </c>
      <c r="Y9" s="64">
        <v>53.5</v>
      </c>
      <c r="Z9" s="64">
        <v>52</v>
      </c>
      <c r="AA9" s="64">
        <v>7.2</v>
      </c>
      <c r="AB9" s="64">
        <v>59.2</v>
      </c>
      <c r="AC9" s="64">
        <v>68</v>
      </c>
      <c r="AD9" s="64">
        <v>51.1</v>
      </c>
      <c r="AE9" s="64">
        <v>56.6</v>
      </c>
      <c r="AF9" s="64">
        <v>49.9</v>
      </c>
      <c r="AG9" s="64">
        <v>65.8</v>
      </c>
      <c r="AH9" s="64">
        <v>50.2</v>
      </c>
      <c r="AI9" s="64">
        <v>56.9</v>
      </c>
      <c r="AJ9" s="64">
        <v>48.6</v>
      </c>
      <c r="AK9" s="64">
        <v>49.9</v>
      </c>
      <c r="AL9" s="64">
        <v>48.4</v>
      </c>
      <c r="AM9" s="64">
        <v>52.9</v>
      </c>
      <c r="AN9" s="64">
        <v>80</v>
      </c>
      <c r="AO9" s="82">
        <v>0.5</v>
      </c>
      <c r="AP9" s="64">
        <v>1315</v>
      </c>
      <c r="AQ9" s="64">
        <v>416</v>
      </c>
      <c r="AR9" s="82">
        <v>50</v>
      </c>
      <c r="AS9" s="88">
        <v>267</v>
      </c>
      <c r="AT9" s="43">
        <v>100.59</v>
      </c>
      <c r="AU9">
        <v>30</v>
      </c>
      <c r="AV9">
        <v>12.46</v>
      </c>
      <c r="AW9">
        <v>1.8</v>
      </c>
      <c r="AX9">
        <v>33.340000000000003</v>
      </c>
      <c r="AY9" s="43">
        <v>9.2100000000000009</v>
      </c>
      <c r="AZ9" s="60">
        <v>20</v>
      </c>
      <c r="BA9" s="43">
        <f>AV9+AW9+AX9+AY9</f>
        <v>56.810000000000009</v>
      </c>
      <c r="BB9" s="68">
        <f>(AV9+AW9+AX9+AY9)*20/AZ9</f>
        <v>56.810000000000016</v>
      </c>
      <c r="BC9" s="68">
        <f>BB9/20</f>
        <v>2.8405000000000009</v>
      </c>
      <c r="BD9" s="68">
        <f>(AQ9-AS9)/AZ9</f>
        <v>7.45</v>
      </c>
      <c r="BE9" s="69">
        <f>AT9/AS9</f>
        <v>0.37674157303370787</v>
      </c>
      <c r="BF9" s="70">
        <f>AP9*BE9</f>
        <v>495.41516853932586</v>
      </c>
      <c r="BG9" s="70">
        <f>BF9/AO9</f>
        <v>990.83033707865172</v>
      </c>
      <c r="BH9" s="69">
        <f>AV9/$BA9</f>
        <v>0.21932758317197673</v>
      </c>
      <c r="BI9" s="69">
        <f>AW9/$BA9</f>
        <v>3.1684562577011084E-2</v>
      </c>
      <c r="BJ9" s="69">
        <f>AX9/$BA9</f>
        <v>0.58686850906530541</v>
      </c>
      <c r="BK9" s="69">
        <f>AY9/$BA9</f>
        <v>0.16211934518570673</v>
      </c>
      <c r="BL9" s="70">
        <f>$BG9*BH9</f>
        <v>217.31642316493571</v>
      </c>
      <c r="BM9" s="70">
        <f>$BG9*BI9</f>
        <v>31.394025818369528</v>
      </c>
      <c r="BN9" s="70">
        <f>$BG9*BJ9</f>
        <v>581.48712265802237</v>
      </c>
      <c r="BO9" s="70">
        <f>$BG9*BK9</f>
        <v>160.63276543732408</v>
      </c>
      <c r="BP9" s="73">
        <f>AVERAGE(T9:W9)</f>
        <v>10.475</v>
      </c>
      <c r="BQ9" s="73">
        <f>AVERAGE(X9:AA9)</f>
        <v>43.424999999999997</v>
      </c>
      <c r="BR9" s="73">
        <f>AVERAGE(AB9:AE9)</f>
        <v>58.725000000000001</v>
      </c>
      <c r="BS9" s="73">
        <f>AVERAGE(AF9:AI9)</f>
        <v>55.699999999999996</v>
      </c>
      <c r="BT9" s="73">
        <f>AVERAGE(AJ9:AM9)</f>
        <v>49.95</v>
      </c>
      <c r="BU9" s="73">
        <v>21.198999999999998</v>
      </c>
      <c r="BV9" s="73">
        <v>48.36</v>
      </c>
      <c r="BW9" s="73">
        <v>22.717999999999996</v>
      </c>
      <c r="BX9" s="73">
        <v>11.248000000000001</v>
      </c>
      <c r="BY9" s="73">
        <v>18.548999999999999</v>
      </c>
      <c r="BZ9" s="64">
        <v>170.6</v>
      </c>
      <c r="CA9" s="64">
        <v>105.39999999999999</v>
      </c>
      <c r="CB9" s="64">
        <v>36.200000000000003</v>
      </c>
      <c r="CC9" s="64">
        <v>206.20000000000002</v>
      </c>
      <c r="CD9" s="64">
        <v>225.79999999999998</v>
      </c>
      <c r="CE9" s="146">
        <v>-24.4</v>
      </c>
      <c r="CF9" s="146">
        <v>-24.69</v>
      </c>
      <c r="CG9" s="146">
        <v>-25.37</v>
      </c>
      <c r="CH9" s="147">
        <v>-24.47</v>
      </c>
      <c r="CI9" s="146">
        <v>-24.23</v>
      </c>
      <c r="CL9" t="s">
        <v>29</v>
      </c>
      <c r="CM9" s="61">
        <v>0.1711162786226873</v>
      </c>
      <c r="CN9" s="60">
        <v>182.822191121505</v>
      </c>
      <c r="CO9" s="61">
        <v>0.59531676608900286</v>
      </c>
      <c r="CP9" s="60">
        <v>636.91206729586861</v>
      </c>
      <c r="CQ9" s="102">
        <v>45561</v>
      </c>
      <c r="CR9" s="60">
        <v>1069.5826835152382</v>
      </c>
      <c r="CS9" s="60">
        <v>93.5</v>
      </c>
    </row>
    <row r="10" spans="1:97" x14ac:dyDescent="0.25">
      <c r="A10" s="63">
        <v>2</v>
      </c>
      <c r="B10" s="63">
        <v>1</v>
      </c>
      <c r="C10" s="63">
        <v>1</v>
      </c>
      <c r="D10" s="63">
        <v>2</v>
      </c>
      <c r="E10" s="63">
        <v>16</v>
      </c>
      <c r="F10" s="63" t="s">
        <v>25</v>
      </c>
      <c r="G10" s="63" t="s">
        <v>27</v>
      </c>
      <c r="H10" s="63">
        <v>201</v>
      </c>
      <c r="I10" s="63" t="str">
        <f>"EVA"&amp;"_"&amp;H10</f>
        <v>EVA_201</v>
      </c>
      <c r="J10" s="80">
        <v>45566</v>
      </c>
      <c r="K10" s="82">
        <v>0.73</v>
      </c>
      <c r="L10" s="84">
        <v>7.4999999999999997E-2</v>
      </c>
      <c r="M10" s="84">
        <v>8.8999999999999996E-2</v>
      </c>
      <c r="N10" s="84">
        <v>0.15</v>
      </c>
      <c r="O10" s="84">
        <v>0.41</v>
      </c>
      <c r="P10" s="75">
        <f>1-L10</f>
        <v>0.92500000000000004</v>
      </c>
      <c r="Q10" s="75">
        <f>1-M10</f>
        <v>0.91100000000000003</v>
      </c>
      <c r="R10" s="75">
        <f>1-N10</f>
        <v>0.85</v>
      </c>
      <c r="S10" s="75">
        <f>1-O10</f>
        <v>0.59000000000000008</v>
      </c>
      <c r="T10" s="64">
        <v>0</v>
      </c>
      <c r="U10" s="64">
        <v>0</v>
      </c>
      <c r="V10" s="64">
        <v>34.1</v>
      </c>
      <c r="W10" s="64">
        <v>6.4</v>
      </c>
      <c r="X10" s="82">
        <v>0</v>
      </c>
      <c r="Y10" s="82">
        <v>30.2</v>
      </c>
      <c r="Z10" s="82">
        <v>19.5</v>
      </c>
      <c r="AA10" s="82">
        <v>45.9</v>
      </c>
      <c r="AB10" s="82">
        <v>11.9</v>
      </c>
      <c r="AC10" s="82">
        <v>34.4</v>
      </c>
      <c r="AD10" s="82">
        <v>49.4</v>
      </c>
      <c r="AE10" s="82">
        <v>47.3</v>
      </c>
      <c r="AF10" s="82">
        <v>51.5</v>
      </c>
      <c r="AG10" s="82">
        <v>52.6</v>
      </c>
      <c r="AH10" s="82">
        <v>53</v>
      </c>
      <c r="AI10" s="82">
        <v>46.2</v>
      </c>
      <c r="AJ10" s="82">
        <v>53.7</v>
      </c>
      <c r="AK10" s="82">
        <v>46.8</v>
      </c>
      <c r="AL10" s="82">
        <v>40.1</v>
      </c>
      <c r="AM10" s="82">
        <v>44</v>
      </c>
      <c r="AN10" s="82">
        <v>85</v>
      </c>
      <c r="AO10" s="82">
        <v>0.5</v>
      </c>
      <c r="AP10" s="82">
        <v>1604</v>
      </c>
      <c r="AQ10" s="82">
        <v>404</v>
      </c>
      <c r="AR10" s="82">
        <v>50</v>
      </c>
      <c r="AS10" s="89">
        <v>265</v>
      </c>
      <c r="AT10" s="43">
        <v>82.6</v>
      </c>
      <c r="AU10">
        <v>30</v>
      </c>
      <c r="AV10">
        <v>9.36</v>
      </c>
      <c r="AW10">
        <v>2.5299999999999998</v>
      </c>
      <c r="AX10">
        <v>24.62</v>
      </c>
      <c r="AY10" s="43">
        <v>8.59</v>
      </c>
      <c r="AZ10" s="60">
        <v>19</v>
      </c>
      <c r="BA10" s="43">
        <f>AV10+AW10+AX10+AY10</f>
        <v>45.099999999999994</v>
      </c>
      <c r="BB10" s="68">
        <f>(AV10+AW10+AX10+AY10)*20/AZ10</f>
        <v>47.473684210526308</v>
      </c>
      <c r="BC10" s="68">
        <f>BB10/20</f>
        <v>2.3736842105263154</v>
      </c>
      <c r="BD10" s="68">
        <f>(AQ10-AS10)/AZ10</f>
        <v>7.3157894736842106</v>
      </c>
      <c r="BE10" s="69">
        <f>AT10/AS10</f>
        <v>0.31169811320754715</v>
      </c>
      <c r="BF10" s="70">
        <f>AP10*BE10</f>
        <v>499.9637735849056</v>
      </c>
      <c r="BG10" s="70">
        <f>BF10/AO10</f>
        <v>999.92754716981119</v>
      </c>
      <c r="BH10" s="69">
        <f>AV10/$BA10</f>
        <v>0.20753880266075389</v>
      </c>
      <c r="BI10" s="69">
        <f>AW10/$BA10</f>
        <v>5.6097560975609757E-2</v>
      </c>
      <c r="BJ10" s="69">
        <f>AX10/$BA10</f>
        <v>0.54589800443458991</v>
      </c>
      <c r="BK10" s="69">
        <f>AY10/$BA10</f>
        <v>0.19046563192904659</v>
      </c>
      <c r="BL10" s="70">
        <f>$BG10*BH10</f>
        <v>207.52376588712713</v>
      </c>
      <c r="BM10" s="70">
        <f>$BG10*BI10</f>
        <v>56.093496548550384</v>
      </c>
      <c r="BN10" s="70">
        <f>$BG10*BJ10</f>
        <v>545.85845257917424</v>
      </c>
      <c r="BO10" s="70">
        <f>$BG10*BK10</f>
        <v>190.45183215495962</v>
      </c>
      <c r="BP10" s="73">
        <f>AVERAGE(T10:W10)</f>
        <v>10.125</v>
      </c>
      <c r="BQ10" s="73">
        <f>AVERAGE(X10:AA10)</f>
        <v>23.9</v>
      </c>
      <c r="BR10" s="73">
        <f>AVERAGE(AB10:AE10)</f>
        <v>35.75</v>
      </c>
      <c r="BS10" s="73">
        <f>AVERAGE(AF10:AI10)</f>
        <v>50.825000000000003</v>
      </c>
      <c r="BT10" s="73">
        <f>AVERAGE(AJ10:AM10)</f>
        <v>46.15</v>
      </c>
      <c r="BU10" s="73">
        <v>17.436</v>
      </c>
      <c r="BV10" s="73">
        <v>35.14</v>
      </c>
      <c r="BW10" s="73">
        <v>12.692</v>
      </c>
      <c r="BX10" s="73">
        <v>8.4787999999999997</v>
      </c>
      <c r="BY10" s="73">
        <v>21.216000000000001</v>
      </c>
      <c r="BZ10" s="64">
        <v>191.9</v>
      </c>
      <c r="CA10" s="64">
        <v>125.1</v>
      </c>
      <c r="CB10" s="64">
        <v>40.4</v>
      </c>
      <c r="CC10" s="64">
        <v>202</v>
      </c>
      <c r="CD10" s="64">
        <v>204.60000000000002</v>
      </c>
      <c r="CE10" s="146">
        <v>-24.18</v>
      </c>
      <c r="CF10" s="146">
        <v>-24.3</v>
      </c>
      <c r="CG10" s="146">
        <v>-24.93</v>
      </c>
      <c r="CH10" s="147">
        <v>-24.63</v>
      </c>
      <c r="CI10" s="146">
        <v>-24.51</v>
      </c>
      <c r="CK10" t="s">
        <v>30</v>
      </c>
      <c r="CL10" t="s">
        <v>32</v>
      </c>
      <c r="CM10" s="61">
        <v>0.15069165615871621</v>
      </c>
      <c r="CN10" s="60">
        <v>161.63552037236386</v>
      </c>
      <c r="CO10" s="61">
        <v>0.60688907102915257</v>
      </c>
      <c r="CP10" s="60">
        <v>653.19812315684135</v>
      </c>
      <c r="CQ10" s="102">
        <v>45573</v>
      </c>
      <c r="CR10" s="60">
        <v>1074.995331305236</v>
      </c>
      <c r="CS10" s="60">
        <v>83</v>
      </c>
    </row>
    <row r="11" spans="1:97" x14ac:dyDescent="0.25">
      <c r="A11" s="63">
        <v>2</v>
      </c>
      <c r="B11" s="63">
        <v>2</v>
      </c>
      <c r="C11" s="63">
        <v>1</v>
      </c>
      <c r="D11" s="63">
        <v>7</v>
      </c>
      <c r="E11" s="63">
        <v>15</v>
      </c>
      <c r="F11" s="63" t="s">
        <v>30</v>
      </c>
      <c r="G11" s="63" t="s">
        <v>28</v>
      </c>
      <c r="H11" s="63">
        <v>202</v>
      </c>
      <c r="I11" s="63" t="str">
        <f>"EVA"&amp;"_"&amp;H11</f>
        <v>EVA_202</v>
      </c>
      <c r="J11" s="80">
        <v>45568</v>
      </c>
      <c r="K11" s="55">
        <v>0.74</v>
      </c>
      <c r="L11" s="85">
        <v>0.04</v>
      </c>
      <c r="M11" s="85">
        <v>7.0000000000000007E-2</v>
      </c>
      <c r="N11" s="85">
        <v>0.16</v>
      </c>
      <c r="O11" s="85">
        <v>0.375</v>
      </c>
      <c r="P11" s="75">
        <f>1-L11</f>
        <v>0.96</v>
      </c>
      <c r="Q11" s="75">
        <f>1-M11</f>
        <v>0.92999999999999994</v>
      </c>
      <c r="R11" s="75">
        <f>1-N11</f>
        <v>0.84</v>
      </c>
      <c r="S11" s="75">
        <f>1-O11</f>
        <v>0.625</v>
      </c>
      <c r="T11" s="64">
        <v>19.899999999999999</v>
      </c>
      <c r="U11" s="64">
        <v>0</v>
      </c>
      <c r="V11" s="64">
        <v>0</v>
      </c>
      <c r="W11" s="64">
        <v>1</v>
      </c>
      <c r="X11" s="82">
        <v>49.6</v>
      </c>
      <c r="Y11" s="82">
        <v>0.6</v>
      </c>
      <c r="Z11" s="82">
        <v>0.5</v>
      </c>
      <c r="AA11" s="82">
        <v>39.799999999999997</v>
      </c>
      <c r="AB11" s="82">
        <v>38.9</v>
      </c>
      <c r="AC11" s="82">
        <v>45.4</v>
      </c>
      <c r="AD11" s="82">
        <v>57</v>
      </c>
      <c r="AE11" s="82">
        <v>58.9</v>
      </c>
      <c r="AF11" s="82">
        <v>54.2</v>
      </c>
      <c r="AG11" s="82">
        <v>46.6</v>
      </c>
      <c r="AH11" s="82">
        <v>53.3</v>
      </c>
      <c r="AI11" s="82">
        <v>54.7</v>
      </c>
      <c r="AJ11" s="82">
        <v>48.5</v>
      </c>
      <c r="AK11" s="82">
        <v>53.5</v>
      </c>
      <c r="AL11" s="82">
        <v>49.1</v>
      </c>
      <c r="AM11" s="82">
        <v>51.7</v>
      </c>
      <c r="AN11" s="82">
        <v>58</v>
      </c>
      <c r="AO11" s="82">
        <v>0.5</v>
      </c>
      <c r="AP11" s="82">
        <v>1284</v>
      </c>
      <c r="AQ11" s="82">
        <v>325</v>
      </c>
      <c r="AR11" s="82">
        <v>50</v>
      </c>
      <c r="AS11" s="89">
        <v>198</v>
      </c>
      <c r="AT11" s="43">
        <v>65.2</v>
      </c>
      <c r="AU11">
        <v>30</v>
      </c>
      <c r="AV11">
        <v>8.5399999999999991</v>
      </c>
      <c r="AW11">
        <v>2.4500000000000002</v>
      </c>
      <c r="AX11">
        <v>20.9</v>
      </c>
      <c r="AY11" s="43">
        <v>8.4499999999999993</v>
      </c>
      <c r="AZ11" s="60">
        <v>20</v>
      </c>
      <c r="BA11" s="43">
        <f>AV11+AW11+AX11+AY11</f>
        <v>40.339999999999996</v>
      </c>
      <c r="BB11" s="68">
        <f>(AV11+AW11+AX11+AY11)*20/AZ11</f>
        <v>40.339999999999996</v>
      </c>
      <c r="BC11" s="68">
        <f>BB11/20</f>
        <v>2.0169999999999999</v>
      </c>
      <c r="BD11" s="68">
        <f>(AQ11-AS11)/AZ11</f>
        <v>6.35</v>
      </c>
      <c r="BE11" s="69">
        <f>AT11/AS11</f>
        <v>0.3292929292929293</v>
      </c>
      <c r="BF11" s="70">
        <f>AP11*BE11</f>
        <v>422.81212121212121</v>
      </c>
      <c r="BG11" s="70">
        <f>BF11/AO11</f>
        <v>845.62424242424242</v>
      </c>
      <c r="BH11" s="69">
        <f>AV11/$BA11</f>
        <v>0.21170054536440258</v>
      </c>
      <c r="BI11" s="69">
        <f>AW11/$BA11</f>
        <v>6.0733763014377801E-2</v>
      </c>
      <c r="BJ11" s="69">
        <f>AX11/$BA11</f>
        <v>0.51809618244918199</v>
      </c>
      <c r="BK11" s="69">
        <f>AY11/$BA11</f>
        <v>0.20946950917203769</v>
      </c>
      <c r="BL11" s="70">
        <f>$BG11*BH11</f>
        <v>179.01911329457189</v>
      </c>
      <c r="BM11" s="70">
        <f>$BG11*BI11</f>
        <v>51.357942338606705</v>
      </c>
      <c r="BN11" s="70">
        <f>$BG11*BJ11</f>
        <v>438.11469178648161</v>
      </c>
      <c r="BO11" s="70">
        <f>$BG11*BK11</f>
        <v>177.13249500458227</v>
      </c>
      <c r="BP11" s="73">
        <f>AVERAGE(T11:W11)</f>
        <v>5.2249999999999996</v>
      </c>
      <c r="BQ11" s="73">
        <f>AVERAGE(X11:AA11)</f>
        <v>22.625</v>
      </c>
      <c r="BR11" s="73">
        <f>AVERAGE(AB11:AE11)</f>
        <v>50.050000000000004</v>
      </c>
      <c r="BS11" s="73">
        <f>AVERAGE(AF11:AI11)</f>
        <v>52.2</v>
      </c>
      <c r="BT11" s="73">
        <f>AVERAGE(AJ11:AM11)</f>
        <v>50.7</v>
      </c>
      <c r="BU11" s="73">
        <v>20.893000000000001</v>
      </c>
      <c r="BV11" s="73">
        <v>36.295999999999999</v>
      </c>
      <c r="BW11" s="73">
        <v>18.559000000000001</v>
      </c>
      <c r="BX11" s="73">
        <v>10.007</v>
      </c>
      <c r="BY11" s="73">
        <v>22.797000000000001</v>
      </c>
      <c r="BZ11" s="64">
        <v>178.9</v>
      </c>
      <c r="CA11" s="64">
        <v>118.9</v>
      </c>
      <c r="CB11" s="64">
        <v>51.1</v>
      </c>
      <c r="CC11" s="64">
        <v>217.60000000000002</v>
      </c>
      <c r="CD11" s="64">
        <v>200</v>
      </c>
      <c r="CE11" s="146">
        <v>-24.37</v>
      </c>
      <c r="CF11" s="146">
        <v>-24.7</v>
      </c>
      <c r="CG11" s="146">
        <v>-25.28</v>
      </c>
      <c r="CH11" s="147">
        <v>-24.43</v>
      </c>
      <c r="CI11" s="146">
        <v>-24.34</v>
      </c>
      <c r="CL11" t="s">
        <v>31</v>
      </c>
      <c r="CM11" s="61">
        <v>0.14976257540559598</v>
      </c>
      <c r="CN11" s="60">
        <v>159.45722446674074</v>
      </c>
      <c r="CO11" s="61">
        <v>0.58781195327289404</v>
      </c>
      <c r="CP11" s="60">
        <v>626.70549859147013</v>
      </c>
      <c r="CQ11" s="102">
        <v>45568</v>
      </c>
      <c r="CR11" s="60">
        <v>1068.6373018383308</v>
      </c>
      <c r="CS11" s="60">
        <v>95.25</v>
      </c>
    </row>
    <row r="12" spans="1:97" x14ac:dyDescent="0.25">
      <c r="A12" s="63">
        <v>2</v>
      </c>
      <c r="B12" s="63">
        <v>3</v>
      </c>
      <c r="C12" s="63">
        <v>2</v>
      </c>
      <c r="D12" s="63">
        <v>10</v>
      </c>
      <c r="E12" s="63">
        <v>14</v>
      </c>
      <c r="F12" s="63" t="s">
        <v>25</v>
      </c>
      <c r="G12" s="63" t="s">
        <v>29</v>
      </c>
      <c r="H12" s="63">
        <v>203</v>
      </c>
      <c r="I12" s="63" t="str">
        <f>"EVA"&amp;"_"&amp;H12</f>
        <v>EVA_203</v>
      </c>
      <c r="J12" s="80">
        <v>45561</v>
      </c>
      <c r="K12" s="82">
        <v>0.73</v>
      </c>
      <c r="L12" s="84">
        <v>2.8000000000000001E-2</v>
      </c>
      <c r="M12" s="84">
        <v>4.4999999999999998E-2</v>
      </c>
      <c r="N12" s="84">
        <v>0.108</v>
      </c>
      <c r="O12" s="84">
        <v>0.3</v>
      </c>
      <c r="P12" s="75">
        <f>1-L12</f>
        <v>0.97199999999999998</v>
      </c>
      <c r="Q12" s="75">
        <f>1-M12</f>
        <v>0.95499999999999996</v>
      </c>
      <c r="R12" s="75">
        <f>1-N12</f>
        <v>0.89200000000000002</v>
      </c>
      <c r="S12" s="75">
        <f>1-O12</f>
        <v>0.7</v>
      </c>
      <c r="T12" s="64">
        <v>0</v>
      </c>
      <c r="U12" s="64">
        <v>19</v>
      </c>
      <c r="V12" s="64">
        <v>15.7</v>
      </c>
      <c r="W12" s="64">
        <v>0</v>
      </c>
      <c r="X12" s="82">
        <v>46.2</v>
      </c>
      <c r="Y12" s="82">
        <v>45.1</v>
      </c>
      <c r="Z12" s="82">
        <v>45.3</v>
      </c>
      <c r="AA12" s="82">
        <v>38.299999999999997</v>
      </c>
      <c r="AB12" s="82">
        <v>50.4</v>
      </c>
      <c r="AC12" s="82">
        <v>52</v>
      </c>
      <c r="AD12" s="82">
        <v>47.8</v>
      </c>
      <c r="AE12" s="82">
        <v>53</v>
      </c>
      <c r="AF12" s="82">
        <v>52.5</v>
      </c>
      <c r="AG12" s="82">
        <v>48.9</v>
      </c>
      <c r="AH12" s="82">
        <v>48.7</v>
      </c>
      <c r="AI12" s="82">
        <v>51.5</v>
      </c>
      <c r="AJ12" s="82">
        <v>54.2</v>
      </c>
      <c r="AK12" s="82">
        <v>49.7</v>
      </c>
      <c r="AL12" s="82">
        <v>48.4</v>
      </c>
      <c r="AM12" s="82">
        <v>53.8</v>
      </c>
      <c r="AN12" s="82">
        <v>91</v>
      </c>
      <c r="AO12" s="82">
        <v>0.5</v>
      </c>
      <c r="AP12" s="82">
        <v>1635</v>
      </c>
      <c r="AQ12" s="82">
        <v>433.4</v>
      </c>
      <c r="AR12" s="82">
        <v>50</v>
      </c>
      <c r="AS12" s="89">
        <v>257</v>
      </c>
      <c r="AT12" s="43">
        <v>87.68</v>
      </c>
      <c r="AU12">
        <v>30</v>
      </c>
      <c r="AV12">
        <v>9.26</v>
      </c>
      <c r="AW12">
        <v>2.78</v>
      </c>
      <c r="AX12">
        <v>31.08</v>
      </c>
      <c r="AY12" s="43">
        <v>8.7200000000000006</v>
      </c>
      <c r="AZ12" s="60">
        <v>20</v>
      </c>
      <c r="BA12" s="43">
        <f>AV12+AW12+AX12+AY12</f>
        <v>51.839999999999996</v>
      </c>
      <c r="BB12" s="68">
        <f>(AV12+AW12+AX12+AY12)*20/AZ12</f>
        <v>51.839999999999996</v>
      </c>
      <c r="BC12" s="68">
        <f>BB12/20</f>
        <v>2.5919999999999996</v>
      </c>
      <c r="BD12" s="68">
        <f>(AQ12-AS12)/AZ12</f>
        <v>8.8199999999999985</v>
      </c>
      <c r="BE12" s="69">
        <f>AT12/AS12</f>
        <v>0.3411673151750973</v>
      </c>
      <c r="BF12" s="70">
        <f>AP12*BE12</f>
        <v>557.80856031128405</v>
      </c>
      <c r="BG12" s="70">
        <f>BF12/AO12</f>
        <v>1115.6171206225681</v>
      </c>
      <c r="BH12" s="69">
        <f>AV12/$BA12</f>
        <v>0.17862654320987656</v>
      </c>
      <c r="BI12" s="69">
        <f>AW12/$BA12</f>
        <v>5.3626543209876545E-2</v>
      </c>
      <c r="BJ12" s="69">
        <f>AX12/$BA12</f>
        <v>0.59953703703703709</v>
      </c>
      <c r="BK12" s="69">
        <f>AY12/$BA12</f>
        <v>0.1682098765432099</v>
      </c>
      <c r="BL12" s="70">
        <f>$BG12*BH12</f>
        <v>199.27882980256524</v>
      </c>
      <c r="BM12" s="70">
        <f>$BG12*BI12</f>
        <v>59.826689724744206</v>
      </c>
      <c r="BN12" s="70">
        <f>$BG12*BJ12</f>
        <v>668.85378296584531</v>
      </c>
      <c r="BO12" s="70">
        <f>$BG12*BK12</f>
        <v>187.6578181294135</v>
      </c>
      <c r="BP12" s="73">
        <f>AVERAGE(T12:W12)</f>
        <v>8.6750000000000007</v>
      </c>
      <c r="BQ12" s="73">
        <f>AVERAGE(X12:AA12)</f>
        <v>43.725000000000009</v>
      </c>
      <c r="BR12" s="73">
        <f>AVERAGE(AB12:AE12)</f>
        <v>50.8</v>
      </c>
      <c r="BS12" s="73">
        <f>AVERAGE(AF12:AI12)</f>
        <v>50.400000000000006</v>
      </c>
      <c r="BT12" s="73">
        <f>AVERAGE(AJ12:AM12)</f>
        <v>51.525000000000006</v>
      </c>
      <c r="BU12" s="73">
        <v>15.373000000000001</v>
      </c>
      <c r="BV12" s="73">
        <v>39.527000000000001</v>
      </c>
      <c r="BW12" s="73">
        <v>16.253999999999998</v>
      </c>
      <c r="BX12" s="73">
        <v>7.9424999999999999</v>
      </c>
      <c r="BY12" s="73">
        <v>19.803999999999998</v>
      </c>
      <c r="BZ12" s="64">
        <v>172.7</v>
      </c>
      <c r="CA12" s="64">
        <v>86.7</v>
      </c>
      <c r="CB12" s="64">
        <v>41.7</v>
      </c>
      <c r="CC12" s="64">
        <v>169.5</v>
      </c>
      <c r="CD12" s="64">
        <v>192.8</v>
      </c>
      <c r="CE12" s="146">
        <v>-24.7</v>
      </c>
      <c r="CF12" s="146">
        <v>-24.57</v>
      </c>
      <c r="CG12" s="146">
        <v>-24.9</v>
      </c>
      <c r="CH12" s="147">
        <v>-24.98</v>
      </c>
      <c r="CI12" s="146">
        <v>-24.41</v>
      </c>
      <c r="CL12" t="s">
        <v>28</v>
      </c>
      <c r="CM12" s="61">
        <v>0.21004061296852594</v>
      </c>
      <c r="CN12" s="60">
        <v>172.85553289550282</v>
      </c>
      <c r="CO12" s="61">
        <v>0.49945071279176384</v>
      </c>
      <c r="CP12" s="60">
        <v>409.57276217351659</v>
      </c>
      <c r="CQ12" s="102">
        <v>45568</v>
      </c>
      <c r="CR12" s="60">
        <v>819.66753531161339</v>
      </c>
      <c r="CS12" s="60">
        <v>57.5</v>
      </c>
    </row>
    <row r="13" spans="1:97" x14ac:dyDescent="0.25">
      <c r="A13" s="63">
        <v>2</v>
      </c>
      <c r="B13" s="63">
        <v>4</v>
      </c>
      <c r="C13" s="63">
        <v>2</v>
      </c>
      <c r="D13" s="63">
        <v>15</v>
      </c>
      <c r="E13" s="63">
        <v>13</v>
      </c>
      <c r="F13" s="63" t="s">
        <v>30</v>
      </c>
      <c r="G13" s="63" t="s">
        <v>32</v>
      </c>
      <c r="H13" s="63">
        <v>204</v>
      </c>
      <c r="I13" s="63" t="str">
        <f>"EVA"&amp;"_"&amp;H13</f>
        <v>EVA_204</v>
      </c>
      <c r="J13" s="80">
        <v>45573</v>
      </c>
      <c r="K13" s="82">
        <v>0.75</v>
      </c>
      <c r="L13" s="125">
        <v>4.4999999999999998E-2</v>
      </c>
      <c r="M13" s="125">
        <v>6.9000000000000006E-2</v>
      </c>
      <c r="N13" s="125">
        <v>0.13600000000000001</v>
      </c>
      <c r="O13" s="125">
        <v>0.59599999999999997</v>
      </c>
      <c r="P13" s="75">
        <f>1-L13</f>
        <v>0.95499999999999996</v>
      </c>
      <c r="Q13" s="75">
        <f>1-M13</f>
        <v>0.93100000000000005</v>
      </c>
      <c r="R13" s="75">
        <f>1-N13</f>
        <v>0.86399999999999999</v>
      </c>
      <c r="S13" s="75">
        <f>1-O13</f>
        <v>0.40400000000000003</v>
      </c>
      <c r="T13" s="64">
        <v>0.6</v>
      </c>
      <c r="U13" s="64">
        <v>0</v>
      </c>
      <c r="V13" s="64">
        <v>7.7</v>
      </c>
      <c r="W13" s="64">
        <v>0</v>
      </c>
      <c r="X13" s="64">
        <v>46.4</v>
      </c>
      <c r="Y13" s="64">
        <v>0.6</v>
      </c>
      <c r="Z13" s="64">
        <v>52.4</v>
      </c>
      <c r="AA13" s="64">
        <v>53.7</v>
      </c>
      <c r="AB13" s="64">
        <v>48.8</v>
      </c>
      <c r="AC13" s="64">
        <v>49.8</v>
      </c>
      <c r="AD13" s="64">
        <v>53.3</v>
      </c>
      <c r="AE13" s="64">
        <v>50</v>
      </c>
      <c r="AF13" s="64">
        <v>49.6</v>
      </c>
      <c r="AG13" s="64">
        <v>55.3</v>
      </c>
      <c r="AH13" s="64">
        <v>51.9</v>
      </c>
      <c r="AI13" s="64">
        <v>51.3</v>
      </c>
      <c r="AJ13" s="64">
        <v>47.6</v>
      </c>
      <c r="AK13" s="64">
        <v>49.5</v>
      </c>
      <c r="AL13" s="64">
        <v>47.4</v>
      </c>
      <c r="AM13" s="64">
        <v>50.5</v>
      </c>
      <c r="AN13" s="64">
        <v>88</v>
      </c>
      <c r="AO13" s="82">
        <v>0.5</v>
      </c>
      <c r="AP13" s="64">
        <v>1610</v>
      </c>
      <c r="AQ13" s="64">
        <v>420</v>
      </c>
      <c r="AR13" s="82">
        <v>50</v>
      </c>
      <c r="AS13" s="88">
        <v>245</v>
      </c>
      <c r="AT13" s="43">
        <v>87.68</v>
      </c>
      <c r="AU13">
        <v>30</v>
      </c>
      <c r="AV13">
        <v>12.66</v>
      </c>
      <c r="AW13">
        <v>1.1200000000000001</v>
      </c>
      <c r="AX13">
        <v>38.14</v>
      </c>
      <c r="AY13" s="43">
        <v>8.91</v>
      </c>
      <c r="AZ13" s="60">
        <v>20</v>
      </c>
      <c r="BA13" s="43">
        <f>AV13+AW13+AX13+AY13</f>
        <v>60.83</v>
      </c>
      <c r="BB13" s="68">
        <f>(AV13+AW13+AX13+AY13)*20/AZ13</f>
        <v>60.83</v>
      </c>
      <c r="BC13" s="68">
        <f>BB13/20</f>
        <v>3.0415000000000001</v>
      </c>
      <c r="BD13" s="68">
        <f>(AQ13-AS13)/AZ13</f>
        <v>8.75</v>
      </c>
      <c r="BE13" s="69">
        <f>AT13/AS13</f>
        <v>0.35787755102040819</v>
      </c>
      <c r="BF13" s="70">
        <f>AP13*BE13</f>
        <v>576.18285714285719</v>
      </c>
      <c r="BG13" s="70">
        <f>BF13/AO13</f>
        <v>1152.3657142857144</v>
      </c>
      <c r="BH13" s="69">
        <f>AV13/$BA13</f>
        <v>0.20812099293111952</v>
      </c>
      <c r="BI13" s="69">
        <f>AW13/$BA13</f>
        <v>1.841196777905639E-2</v>
      </c>
      <c r="BJ13" s="69">
        <f>AX13/$BA13</f>
        <v>0.62699325990465238</v>
      </c>
      <c r="BK13" s="69">
        <f>AY13/$BA13</f>
        <v>0.14647377938517181</v>
      </c>
      <c r="BL13" s="70">
        <f>$BG13*BH13</f>
        <v>239.83149667692166</v>
      </c>
      <c r="BM13" s="70">
        <f>$BG13*BI13</f>
        <v>21.217320401117874</v>
      </c>
      <c r="BN13" s="70">
        <f>$BG13*BJ13</f>
        <v>722.52553580235326</v>
      </c>
      <c r="BO13" s="70">
        <f>$BG13*BK13</f>
        <v>168.79136140532165</v>
      </c>
      <c r="BP13" s="73">
        <f>AVERAGE(T13:W13)</f>
        <v>2.0750000000000002</v>
      </c>
      <c r="BQ13" s="73">
        <f>AVERAGE(X13:AA13)</f>
        <v>38.275000000000006</v>
      </c>
      <c r="BR13" s="73">
        <f>AVERAGE(AB13:AE13)</f>
        <v>50.474999999999994</v>
      </c>
      <c r="BS13" s="73">
        <f>AVERAGE(AF13:AI13)</f>
        <v>52.025000000000006</v>
      </c>
      <c r="BT13" s="73">
        <f>AVERAGE(AJ13:AM13)</f>
        <v>48.75</v>
      </c>
      <c r="BU13" s="73">
        <v>20.200999999999997</v>
      </c>
      <c r="BV13" s="73">
        <v>43.376000000000005</v>
      </c>
      <c r="BW13" s="73">
        <v>20.512</v>
      </c>
      <c r="BX13" s="73">
        <v>10.37</v>
      </c>
      <c r="BY13" s="73">
        <v>19.068999999999999</v>
      </c>
      <c r="BZ13" s="64">
        <v>169.89999999999998</v>
      </c>
      <c r="CA13" s="64">
        <v>112.69999999999999</v>
      </c>
      <c r="CB13" s="64">
        <v>47</v>
      </c>
      <c r="CC13" s="64">
        <v>202.10000000000002</v>
      </c>
      <c r="CD13" s="64">
        <v>215.10000000000002</v>
      </c>
      <c r="CE13" s="146">
        <v>-24.37</v>
      </c>
      <c r="CF13" s="146">
        <v>-24.91</v>
      </c>
      <c r="CG13" s="146">
        <v>-25.14</v>
      </c>
      <c r="CH13" s="147">
        <v>-24.65</v>
      </c>
      <c r="CI13" s="146">
        <v>-24.28</v>
      </c>
      <c r="CL13" t="s">
        <v>29</v>
      </c>
      <c r="CM13" s="61">
        <v>0.18846769604440908</v>
      </c>
      <c r="CN13" s="60">
        <v>177.83588521473811</v>
      </c>
      <c r="CO13" s="61">
        <v>0.57907233831266192</v>
      </c>
      <c r="CP13" s="60">
        <v>551.76130646437628</v>
      </c>
      <c r="CQ13" s="102">
        <v>45573</v>
      </c>
      <c r="CR13" s="60">
        <v>951.28815262186981</v>
      </c>
      <c r="CS13" s="60">
        <v>79.5</v>
      </c>
    </row>
    <row r="14" spans="1:97" x14ac:dyDescent="0.25">
      <c r="A14" s="63">
        <v>2</v>
      </c>
      <c r="B14" s="63">
        <v>5</v>
      </c>
      <c r="C14" s="63">
        <v>3</v>
      </c>
      <c r="D14" s="63">
        <v>18</v>
      </c>
      <c r="E14" s="63">
        <v>12</v>
      </c>
      <c r="F14" s="63" t="s">
        <v>25</v>
      </c>
      <c r="G14" s="63" t="s">
        <v>26</v>
      </c>
      <c r="H14" s="63">
        <v>205</v>
      </c>
      <c r="I14" s="63" t="str">
        <f>"EVA"&amp;"_"&amp;H14</f>
        <v>EVA_205</v>
      </c>
      <c r="J14" s="80">
        <v>45573</v>
      </c>
      <c r="K14" s="82">
        <v>0.76</v>
      </c>
      <c r="L14" s="126">
        <v>3.6999999999999998E-2</v>
      </c>
      <c r="M14" s="126">
        <v>5.2999999999999999E-2</v>
      </c>
      <c r="N14" s="126">
        <v>0.218</v>
      </c>
      <c r="O14" s="126">
        <v>0.60599999999999998</v>
      </c>
      <c r="P14" s="75">
        <f>1-L14</f>
        <v>0.96299999999999997</v>
      </c>
      <c r="Q14" s="75">
        <f>1-M14</f>
        <v>0.94699999999999995</v>
      </c>
      <c r="R14" s="75">
        <f>1-N14</f>
        <v>0.78200000000000003</v>
      </c>
      <c r="S14" s="75">
        <f>1-O14</f>
        <v>0.39400000000000002</v>
      </c>
      <c r="T14" s="64">
        <v>48.6</v>
      </c>
      <c r="U14" s="64">
        <v>45.3</v>
      </c>
      <c r="V14" s="64">
        <v>4.2</v>
      </c>
      <c r="W14" s="64">
        <v>21.5</v>
      </c>
      <c r="X14" s="64">
        <v>51.9</v>
      </c>
      <c r="Y14" s="64">
        <v>57.2</v>
      </c>
      <c r="Z14" s="64">
        <v>41.5</v>
      </c>
      <c r="AA14" s="64">
        <v>46.4</v>
      </c>
      <c r="AB14" s="64">
        <v>58.2</v>
      </c>
      <c r="AC14" s="64">
        <v>56.3</v>
      </c>
      <c r="AD14" s="64">
        <v>54.8</v>
      </c>
      <c r="AE14" s="64">
        <v>45.3</v>
      </c>
      <c r="AF14" s="64">
        <v>49.1</v>
      </c>
      <c r="AG14" s="64">
        <v>54.3</v>
      </c>
      <c r="AH14" s="64">
        <v>57.9</v>
      </c>
      <c r="AI14" s="64">
        <v>54.9</v>
      </c>
      <c r="AJ14" s="64">
        <v>50.4</v>
      </c>
      <c r="AK14" s="64">
        <v>54.1</v>
      </c>
      <c r="AL14" s="64">
        <v>51.2</v>
      </c>
      <c r="AM14" s="64">
        <v>51.6</v>
      </c>
      <c r="AN14" s="64">
        <v>82</v>
      </c>
      <c r="AO14" s="82">
        <v>0.5</v>
      </c>
      <c r="AP14" s="64">
        <v>1778</v>
      </c>
      <c r="AQ14" s="64">
        <v>429</v>
      </c>
      <c r="AR14" s="82">
        <v>50</v>
      </c>
      <c r="AS14" s="88">
        <v>265</v>
      </c>
      <c r="AT14" s="73">
        <v>77.89</v>
      </c>
      <c r="AU14">
        <v>30</v>
      </c>
      <c r="AV14">
        <v>10.49</v>
      </c>
      <c r="AW14">
        <v>2.21</v>
      </c>
      <c r="AX14">
        <v>30.89</v>
      </c>
      <c r="AY14" s="43">
        <v>7.78</v>
      </c>
      <c r="AZ14" s="60">
        <v>20</v>
      </c>
      <c r="BA14" s="43">
        <f>AV14+AW14+AX14+AY14</f>
        <v>51.370000000000005</v>
      </c>
      <c r="BB14" s="68">
        <f>(AV14+AW14+AX14+AY14)*20/AZ14</f>
        <v>51.370000000000005</v>
      </c>
      <c r="BC14" s="68">
        <f>BB14/20</f>
        <v>2.5685000000000002</v>
      </c>
      <c r="BD14" s="68">
        <f>(AQ14-AS14)/AZ14</f>
        <v>8.1999999999999993</v>
      </c>
      <c r="BE14" s="69">
        <f>AT14/AS14</f>
        <v>0.29392452830188681</v>
      </c>
      <c r="BF14" s="70">
        <f>AP14*BE14</f>
        <v>522.59781132075477</v>
      </c>
      <c r="BG14" s="70">
        <f>BF14/AO14</f>
        <v>1045.1956226415095</v>
      </c>
      <c r="BH14" s="69">
        <f>AV14/$BA14</f>
        <v>0.20420478878722989</v>
      </c>
      <c r="BI14" s="69">
        <f>AW14/$BA14</f>
        <v>4.3021218610083699E-2</v>
      </c>
      <c r="BJ14" s="69">
        <f>AX14/$BA14</f>
        <v>0.60132372980338711</v>
      </c>
      <c r="BK14" s="69">
        <f>AY14/$BA14</f>
        <v>0.15145026279929918</v>
      </c>
      <c r="BL14" s="70">
        <f>$BG14*BH14</f>
        <v>213.4339513628467</v>
      </c>
      <c r="BM14" s="70">
        <f>$BG14*BI14</f>
        <v>44.965589371962928</v>
      </c>
      <c r="BN14" s="70">
        <f>$BG14*BJ14</f>
        <v>628.50093018096607</v>
      </c>
      <c r="BO14" s="70">
        <f>$BG14*BK14</f>
        <v>158.29515172573377</v>
      </c>
      <c r="BP14" s="73">
        <f>AVERAGE(T14:W14)</f>
        <v>29.900000000000002</v>
      </c>
      <c r="BQ14" s="73">
        <f>AVERAGE(X14:AA14)</f>
        <v>49.25</v>
      </c>
      <c r="BR14" s="73">
        <f>AVERAGE(AB14:AE14)</f>
        <v>53.650000000000006</v>
      </c>
      <c r="BS14" s="73">
        <f>AVERAGE(AF14:AI14)</f>
        <v>54.050000000000004</v>
      </c>
      <c r="BT14" s="73">
        <f>AVERAGE(AJ14:AM14)</f>
        <v>51.824999999999996</v>
      </c>
      <c r="BU14" s="73">
        <v>16.231000000000002</v>
      </c>
      <c r="BV14" s="73">
        <v>41.963999999999999</v>
      </c>
      <c r="BW14" s="73">
        <v>17.152000000000001</v>
      </c>
      <c r="BX14" s="73">
        <v>7.8822999999999999</v>
      </c>
      <c r="BY14" s="73">
        <v>18.585000000000001</v>
      </c>
      <c r="BZ14" s="64">
        <v>162.80000000000001</v>
      </c>
      <c r="CA14" s="64">
        <v>97.100000000000009</v>
      </c>
      <c r="CB14" s="64">
        <v>35.799999999999997</v>
      </c>
      <c r="CC14" s="64">
        <v>191.70000000000002</v>
      </c>
      <c r="CD14" s="64">
        <v>188.4</v>
      </c>
      <c r="CE14" s="146">
        <v>-24.75</v>
      </c>
      <c r="CF14" s="146">
        <v>-24.8</v>
      </c>
      <c r="CG14" s="146">
        <v>-25.18</v>
      </c>
      <c r="CH14" s="147">
        <v>-24.92</v>
      </c>
      <c r="CI14" s="146">
        <v>-24.43</v>
      </c>
      <c r="CK14" t="s">
        <v>325</v>
      </c>
      <c r="CM14" s="61">
        <v>0.18023843328053515</v>
      </c>
      <c r="CN14" s="60">
        <v>181.56676155586746</v>
      </c>
      <c r="CO14" s="61">
        <v>0.5663351156057338</v>
      </c>
      <c r="CP14" s="60">
        <v>576.67571469343648</v>
      </c>
      <c r="CQ14" s="102">
        <v>45567.75</v>
      </c>
      <c r="CR14" s="60">
        <v>1014.7126784792495</v>
      </c>
      <c r="CS14" s="60">
        <v>79.78125</v>
      </c>
    </row>
    <row r="15" spans="1:97" x14ac:dyDescent="0.25">
      <c r="A15" s="63">
        <v>2</v>
      </c>
      <c r="B15" s="63">
        <v>6</v>
      </c>
      <c r="C15" s="63">
        <v>3</v>
      </c>
      <c r="D15" s="63">
        <v>23</v>
      </c>
      <c r="E15" s="63">
        <v>11</v>
      </c>
      <c r="F15" s="63" t="s">
        <v>30</v>
      </c>
      <c r="G15" s="63" t="s">
        <v>31</v>
      </c>
      <c r="H15" s="63">
        <v>206</v>
      </c>
      <c r="I15" s="63" t="str">
        <f>"EVA"&amp;"_"&amp;H15</f>
        <v>EVA_206</v>
      </c>
      <c r="J15" s="80">
        <v>45568</v>
      </c>
      <c r="K15" s="55">
        <v>0.78</v>
      </c>
      <c r="L15" s="149">
        <v>2.8000000000000001E-2</v>
      </c>
      <c r="M15" s="149">
        <v>4.8000000000000001E-2</v>
      </c>
      <c r="N15" s="149">
        <v>0.112</v>
      </c>
      <c r="O15" s="149">
        <v>0.442</v>
      </c>
      <c r="P15" s="75">
        <f>1-L15</f>
        <v>0.97199999999999998</v>
      </c>
      <c r="Q15" s="75">
        <f>1-M15</f>
        <v>0.95199999999999996</v>
      </c>
      <c r="R15" s="75">
        <f>1-N15</f>
        <v>0.88800000000000001</v>
      </c>
      <c r="S15" s="75">
        <f>1-O15</f>
        <v>0.55800000000000005</v>
      </c>
      <c r="T15" s="64">
        <v>20.7</v>
      </c>
      <c r="U15" s="64">
        <v>33.6</v>
      </c>
      <c r="V15" s="64">
        <v>8.9</v>
      </c>
      <c r="W15" s="64">
        <v>0</v>
      </c>
      <c r="X15" s="82">
        <v>49.2</v>
      </c>
      <c r="Y15" s="82">
        <v>56.6</v>
      </c>
      <c r="Z15" s="82">
        <v>37.4</v>
      </c>
      <c r="AA15" s="82">
        <v>46.8</v>
      </c>
      <c r="AB15" s="82">
        <v>53.2</v>
      </c>
      <c r="AC15" s="82">
        <v>47.7</v>
      </c>
      <c r="AD15" s="82">
        <v>51.1</v>
      </c>
      <c r="AE15" s="82">
        <v>47.8</v>
      </c>
      <c r="AF15" s="82">
        <v>53.1</v>
      </c>
      <c r="AG15" s="82">
        <v>57.3</v>
      </c>
      <c r="AH15" s="82">
        <v>49.8</v>
      </c>
      <c r="AI15" s="82">
        <v>51</v>
      </c>
      <c r="AJ15" s="82">
        <v>50.5</v>
      </c>
      <c r="AK15" s="82">
        <v>46.2</v>
      </c>
      <c r="AL15" s="82">
        <v>46</v>
      </c>
      <c r="AM15" s="82">
        <v>49.9</v>
      </c>
      <c r="AN15" s="82">
        <v>93</v>
      </c>
      <c r="AO15" s="82">
        <v>0.5</v>
      </c>
      <c r="AP15" s="82">
        <v>1905</v>
      </c>
      <c r="AQ15" s="82">
        <v>505</v>
      </c>
      <c r="AR15" s="82">
        <v>50</v>
      </c>
      <c r="AS15" s="89">
        <v>312</v>
      </c>
      <c r="AT15" s="43">
        <v>89.5</v>
      </c>
      <c r="AU15">
        <v>30</v>
      </c>
      <c r="AV15">
        <v>11.67</v>
      </c>
      <c r="AW15">
        <v>2.1800000000000002</v>
      </c>
      <c r="AX15">
        <v>32.6</v>
      </c>
      <c r="AY15" s="43">
        <v>8.18</v>
      </c>
      <c r="AZ15" s="60">
        <v>20</v>
      </c>
      <c r="BA15" s="43">
        <f>AV15+AW15+AX15+AY15</f>
        <v>54.63</v>
      </c>
      <c r="BB15" s="68">
        <f>(AV15+AW15+AX15+AY15)*20/AZ15</f>
        <v>54.63000000000001</v>
      </c>
      <c r="BC15" s="68">
        <f>BB15/20</f>
        <v>2.7315000000000005</v>
      </c>
      <c r="BD15" s="68">
        <f>(AQ15-AS15)/AZ15</f>
        <v>9.65</v>
      </c>
      <c r="BE15" s="69">
        <f>AT15/AS15</f>
        <v>0.28685897435897434</v>
      </c>
      <c r="BF15" s="70">
        <f>AP15*BE15</f>
        <v>546.46634615384608</v>
      </c>
      <c r="BG15" s="70">
        <f>BF15/AO15</f>
        <v>1092.9326923076922</v>
      </c>
      <c r="BH15" s="69">
        <f>AV15/$BA15</f>
        <v>0.21361889071938495</v>
      </c>
      <c r="BI15" s="69">
        <f>AW15/$BA15</f>
        <v>3.9904814204649461E-2</v>
      </c>
      <c r="BJ15" s="69">
        <f>AX15/$BA15</f>
        <v>0.59674171700530843</v>
      </c>
      <c r="BK15" s="69">
        <f>AY15/$BA15</f>
        <v>0.14973457807065713</v>
      </c>
      <c r="BL15" s="70">
        <f>$BG15*BH15</f>
        <v>233.47106936172005</v>
      </c>
      <c r="BM15" s="70">
        <f>$BG15*BI15</f>
        <v>43.613276024725771</v>
      </c>
      <c r="BN15" s="70">
        <f>$BG15*BJ15</f>
        <v>652.19853137892665</v>
      </c>
      <c r="BO15" s="70">
        <f>$BG15*BK15</f>
        <v>163.6498155423196</v>
      </c>
      <c r="BP15" s="73">
        <f>AVERAGE(W15:Z15)</f>
        <v>35.800000000000004</v>
      </c>
      <c r="BQ15" s="73">
        <f>AVERAGE(AA15:AD15)</f>
        <v>49.699999999999996</v>
      </c>
      <c r="BR15" s="73">
        <f>AVERAGE(AE15:AH15)</f>
        <v>52</v>
      </c>
      <c r="BS15" s="73">
        <f>AVERAGE(AI15:AL15)</f>
        <v>48.424999999999997</v>
      </c>
      <c r="BT15" s="73">
        <f>AVERAGE(AJ15:AM15)</f>
        <v>48.15</v>
      </c>
      <c r="BU15" s="73">
        <v>19.137999999999998</v>
      </c>
      <c r="BV15" s="73">
        <v>45.347000000000001</v>
      </c>
      <c r="BW15" s="73">
        <v>21.475000000000001</v>
      </c>
      <c r="BX15" s="73">
        <v>9.2632000000000012</v>
      </c>
      <c r="BY15" s="73">
        <v>20.789000000000001</v>
      </c>
      <c r="BZ15" s="64">
        <v>142.4</v>
      </c>
      <c r="CA15" s="64">
        <v>96.8</v>
      </c>
      <c r="CB15" s="64">
        <v>22.799999999999997</v>
      </c>
      <c r="CC15" s="64">
        <v>185.79999999999998</v>
      </c>
      <c r="CD15" s="64">
        <v>172.89999999999998</v>
      </c>
      <c r="CE15" s="146">
        <v>-24.94</v>
      </c>
      <c r="CF15" s="146">
        <v>-25</v>
      </c>
      <c r="CG15" s="146">
        <v>-25.53</v>
      </c>
      <c r="CH15" s="147">
        <v>-25.05</v>
      </c>
      <c r="CI15" s="146">
        <v>-24.56</v>
      </c>
    </row>
    <row r="16" spans="1:97" x14ac:dyDescent="0.25">
      <c r="A16" s="63">
        <v>2</v>
      </c>
      <c r="B16" s="63">
        <v>7</v>
      </c>
      <c r="C16" s="63">
        <v>4</v>
      </c>
      <c r="D16" s="63">
        <v>26</v>
      </c>
      <c r="E16" s="63">
        <v>10</v>
      </c>
      <c r="F16" s="63" t="s">
        <v>25</v>
      </c>
      <c r="G16" s="63" t="s">
        <v>28</v>
      </c>
      <c r="H16" s="63">
        <v>207</v>
      </c>
      <c r="I16" s="63" t="str">
        <f>"EVA"&amp;"_"&amp;H16</f>
        <v>EVA_207</v>
      </c>
      <c r="J16" s="80">
        <v>45560</v>
      </c>
      <c r="K16" s="82">
        <v>0.74</v>
      </c>
      <c r="L16" s="84">
        <v>7.5999999999999998E-2</v>
      </c>
      <c r="M16" s="84">
        <v>0.127</v>
      </c>
      <c r="N16" s="84">
        <v>0.16</v>
      </c>
      <c r="O16" s="84">
        <v>0.28999999999999998</v>
      </c>
      <c r="P16" s="75">
        <f>1-L16</f>
        <v>0.92400000000000004</v>
      </c>
      <c r="Q16" s="75">
        <f>1-M16</f>
        <v>0.873</v>
      </c>
      <c r="R16" s="75">
        <f>1-N16</f>
        <v>0.84</v>
      </c>
      <c r="S16" s="75">
        <f>1-O16</f>
        <v>0.71</v>
      </c>
      <c r="T16" s="64">
        <v>0</v>
      </c>
      <c r="U16" s="64">
        <v>20.100000000000001</v>
      </c>
      <c r="V16" s="64">
        <v>0</v>
      </c>
      <c r="W16" s="64">
        <v>0</v>
      </c>
      <c r="X16" s="82">
        <v>9.5</v>
      </c>
      <c r="Y16" s="82">
        <v>11.3</v>
      </c>
      <c r="Z16" s="82">
        <v>46.9</v>
      </c>
      <c r="AA16" s="82">
        <v>44.2</v>
      </c>
      <c r="AB16" s="82">
        <v>49.3</v>
      </c>
      <c r="AC16" s="82">
        <v>40.200000000000003</v>
      </c>
      <c r="AD16" s="82">
        <v>41.8</v>
      </c>
      <c r="AE16" s="82">
        <v>45.9</v>
      </c>
      <c r="AF16" s="82">
        <v>35.700000000000003</v>
      </c>
      <c r="AG16" s="82">
        <v>38</v>
      </c>
      <c r="AH16" s="82">
        <v>47.5</v>
      </c>
      <c r="AI16" s="82">
        <v>50.4</v>
      </c>
      <c r="AJ16" s="82">
        <v>53.3</v>
      </c>
      <c r="AK16" s="82">
        <v>48.8</v>
      </c>
      <c r="AL16" s="82">
        <v>54.4</v>
      </c>
      <c r="AM16" s="82">
        <v>46.2</v>
      </c>
      <c r="AN16" s="82">
        <v>69</v>
      </c>
      <c r="AO16" s="82">
        <v>0.5</v>
      </c>
      <c r="AP16" s="82">
        <v>2348</v>
      </c>
      <c r="AQ16" s="82">
        <v>482.3</v>
      </c>
      <c r="AR16" s="82">
        <v>50</v>
      </c>
      <c r="AS16" s="89">
        <v>300.10000000000002</v>
      </c>
      <c r="AT16" s="43">
        <v>79.400000000000006</v>
      </c>
      <c r="AU16">
        <v>30</v>
      </c>
      <c r="AV16">
        <v>8</v>
      </c>
      <c r="AW16">
        <v>3.08</v>
      </c>
      <c r="AX16">
        <v>25.58</v>
      </c>
      <c r="AY16" s="43">
        <v>9.4700000000000006</v>
      </c>
      <c r="AZ16" s="60">
        <v>20</v>
      </c>
      <c r="BA16" s="43">
        <f>AV16+AW16+AX16+AY16</f>
        <v>46.129999999999995</v>
      </c>
      <c r="BB16" s="68">
        <f>(AV16+AW16+AX16+AY16)*20/AZ16</f>
        <v>46.129999999999995</v>
      </c>
      <c r="BC16" s="68">
        <f>BB16/20</f>
        <v>2.3064999999999998</v>
      </c>
      <c r="BD16" s="68">
        <f>(AQ16-AS16)/AZ16</f>
        <v>9.11</v>
      </c>
      <c r="BE16" s="69">
        <f>AT16/AS16</f>
        <v>0.26457847384205263</v>
      </c>
      <c r="BF16" s="70">
        <f>AP16*BE16</f>
        <v>621.23025658113954</v>
      </c>
      <c r="BG16" s="70">
        <f>BF16/AO16</f>
        <v>1242.4605131622791</v>
      </c>
      <c r="BH16" s="69">
        <f>AV16/$BA16</f>
        <v>0.173422935183178</v>
      </c>
      <c r="BI16" s="69">
        <f>AW16/$BA16</f>
        <v>6.676783004552353E-2</v>
      </c>
      <c r="BJ16" s="69">
        <f>AX16/$BA16</f>
        <v>0.55451983524821158</v>
      </c>
      <c r="BK16" s="69">
        <f>AY16/$BA16</f>
        <v>0.20528939952308697</v>
      </c>
      <c r="BL16" s="70">
        <f>$BG16*BH16</f>
        <v>215.4711490418</v>
      </c>
      <c r="BM16" s="70">
        <f>$BG16*BI16</f>
        <v>82.956392381092996</v>
      </c>
      <c r="BN16" s="70">
        <f>$BG16*BJ16</f>
        <v>688.96899906115539</v>
      </c>
      <c r="BO16" s="70">
        <f>$BG16*BK16</f>
        <v>255.06397267823078</v>
      </c>
      <c r="BP16" s="73">
        <f>AVERAGE(T16:W16)</f>
        <v>5.0250000000000004</v>
      </c>
      <c r="BQ16" s="73">
        <f>AVERAGE(X16:AA16)</f>
        <v>27.975000000000001</v>
      </c>
      <c r="BR16" s="73">
        <f>AVERAGE(AB16:AE16)</f>
        <v>44.300000000000004</v>
      </c>
      <c r="BS16" s="73">
        <f>AVERAGE(AF16:AI16)</f>
        <v>42.9</v>
      </c>
      <c r="BT16" s="73">
        <f>AVERAGE(AJ16:AM16)</f>
        <v>50.674999999999997</v>
      </c>
      <c r="BU16" s="73">
        <v>21.042999999999999</v>
      </c>
      <c r="BV16" s="73">
        <v>42.588999999999999</v>
      </c>
      <c r="BW16" s="73">
        <v>19.024000000000001</v>
      </c>
      <c r="BX16" s="73">
        <v>10.561</v>
      </c>
      <c r="BY16" s="73">
        <v>22.959</v>
      </c>
      <c r="BZ16" s="64">
        <v>167</v>
      </c>
      <c r="CA16" s="64">
        <v>94.3</v>
      </c>
      <c r="CB16" s="64">
        <v>58.8</v>
      </c>
      <c r="CC16" s="64">
        <v>214.1</v>
      </c>
      <c r="CD16" s="64">
        <v>171.8</v>
      </c>
      <c r="CE16" s="146">
        <v>-24.57</v>
      </c>
      <c r="CF16" s="146">
        <v>-25.23</v>
      </c>
      <c r="CG16" s="146">
        <v>-25.22</v>
      </c>
      <c r="CH16" s="147">
        <v>-24.52</v>
      </c>
      <c r="CI16" s="146">
        <v>-24.5</v>
      </c>
    </row>
    <row r="17" spans="1:95" x14ac:dyDescent="0.25">
      <c r="A17" s="63">
        <v>2</v>
      </c>
      <c r="B17" s="63">
        <v>8</v>
      </c>
      <c r="C17" s="63">
        <v>4</v>
      </c>
      <c r="D17" s="63">
        <v>31</v>
      </c>
      <c r="E17" s="63">
        <v>9</v>
      </c>
      <c r="F17" s="63" t="s">
        <v>30</v>
      </c>
      <c r="G17" s="63" t="s">
        <v>29</v>
      </c>
      <c r="H17" s="63">
        <v>208</v>
      </c>
      <c r="I17" s="63" t="str">
        <f>"EVA"&amp;"_"&amp;H17</f>
        <v>EVA_208</v>
      </c>
      <c r="J17" s="80">
        <v>45573</v>
      </c>
      <c r="K17" s="82">
        <v>0.67</v>
      </c>
      <c r="L17" s="84">
        <v>8.3000000000000004E-2</v>
      </c>
      <c r="M17" s="84">
        <v>0.14000000000000001</v>
      </c>
      <c r="N17" s="84">
        <v>0.184</v>
      </c>
      <c r="O17" s="84">
        <v>0.45300000000000001</v>
      </c>
      <c r="P17" s="75">
        <f>1-L17</f>
        <v>0.91700000000000004</v>
      </c>
      <c r="Q17" s="75">
        <f>1-M17</f>
        <v>0.86</v>
      </c>
      <c r="R17" s="75">
        <f>1-N17</f>
        <v>0.81600000000000006</v>
      </c>
      <c r="S17" s="75">
        <f>1-O17</f>
        <v>0.54699999999999993</v>
      </c>
      <c r="T17" s="64">
        <v>0</v>
      </c>
      <c r="U17" s="64">
        <v>0</v>
      </c>
      <c r="V17" s="64">
        <v>0.1</v>
      </c>
      <c r="W17" s="64">
        <v>0.7</v>
      </c>
      <c r="X17" s="64">
        <v>38.299999999999997</v>
      </c>
      <c r="Y17" s="64">
        <v>36.6</v>
      </c>
      <c r="Z17" s="64">
        <v>48.7</v>
      </c>
      <c r="AA17" s="64">
        <v>42.3</v>
      </c>
      <c r="AB17" s="64">
        <v>46.9</v>
      </c>
      <c r="AC17" s="64">
        <v>53</v>
      </c>
      <c r="AD17" s="64">
        <v>49.2</v>
      </c>
      <c r="AE17" s="64">
        <v>46.6</v>
      </c>
      <c r="AF17" s="64">
        <v>47.3</v>
      </c>
      <c r="AG17" s="64">
        <v>50.8</v>
      </c>
      <c r="AH17" s="64">
        <v>52.3</v>
      </c>
      <c r="AI17" s="64">
        <v>51.4</v>
      </c>
      <c r="AJ17" s="64">
        <v>43.6</v>
      </c>
      <c r="AK17" s="64">
        <v>52.8</v>
      </c>
      <c r="AL17" s="64">
        <v>50.3</v>
      </c>
      <c r="AM17" s="64">
        <v>52.2</v>
      </c>
      <c r="AN17" s="64">
        <v>80</v>
      </c>
      <c r="AO17" s="82">
        <v>0.5</v>
      </c>
      <c r="AP17" s="64">
        <v>1314</v>
      </c>
      <c r="AQ17" s="64">
        <v>399</v>
      </c>
      <c r="AR17" s="82">
        <v>50</v>
      </c>
      <c r="AS17" s="88">
        <v>240</v>
      </c>
      <c r="AT17" s="43">
        <v>83.64</v>
      </c>
      <c r="AU17">
        <v>30</v>
      </c>
      <c r="AV17">
        <v>9.6</v>
      </c>
      <c r="AW17">
        <v>3.07</v>
      </c>
      <c r="AX17">
        <v>35.01</v>
      </c>
      <c r="AY17" s="43">
        <v>9.76</v>
      </c>
      <c r="AZ17" s="60">
        <v>20</v>
      </c>
      <c r="BA17" s="43">
        <f>AV17+AW17+AX17+AY17</f>
        <v>57.44</v>
      </c>
      <c r="BB17" s="68">
        <f>(AV17+AW17+AX17+AY17)*20/AZ17</f>
        <v>57.44</v>
      </c>
      <c r="BC17" s="68">
        <f>BB17/20</f>
        <v>2.8719999999999999</v>
      </c>
      <c r="BD17" s="68">
        <f>(AQ17-AS17)/AZ17</f>
        <v>7.95</v>
      </c>
      <c r="BE17" s="69">
        <f>AT17/AS17</f>
        <v>0.34849999999999998</v>
      </c>
      <c r="BF17" s="70">
        <f>AP17*BE17</f>
        <v>457.92899999999997</v>
      </c>
      <c r="BG17" s="70">
        <f>BF17/AO17</f>
        <v>915.85799999999995</v>
      </c>
      <c r="BH17" s="69">
        <f>AV17/$BA17</f>
        <v>0.16713091922005571</v>
      </c>
      <c r="BI17" s="69">
        <f>AW17/$BA17</f>
        <v>5.3447075208913647E-2</v>
      </c>
      <c r="BJ17" s="69">
        <f>AX17/$BA17</f>
        <v>0.60950557103064062</v>
      </c>
      <c r="BK17" s="69">
        <f>AY17/$BA17</f>
        <v>0.16991643454038999</v>
      </c>
      <c r="BL17" s="70">
        <f>$BG17*BH17</f>
        <v>153.06818941504179</v>
      </c>
      <c r="BM17" s="70">
        <f>$BG17*BI17</f>
        <v>48.949931406685231</v>
      </c>
      <c r="BN17" s="70">
        <f>$BG17*BJ17</f>
        <v>558.2205532729804</v>
      </c>
      <c r="BO17" s="70">
        <f>$BG17*BK17</f>
        <v>155.6193259052925</v>
      </c>
      <c r="BP17" s="73">
        <f>AVERAGE(T17:W17)</f>
        <v>0.19999999999999998</v>
      </c>
      <c r="BQ17" s="73">
        <f>AVERAGE(X17:AA17)</f>
        <v>41.475000000000001</v>
      </c>
      <c r="BR17" s="73">
        <f>AVERAGE(AB17:AE17)</f>
        <v>48.925000000000004</v>
      </c>
      <c r="BS17" s="73">
        <f>AVERAGE(AF17:AI17)</f>
        <v>50.449999999999996</v>
      </c>
      <c r="BT17" s="73">
        <f>AVERAGE(AJ17:AM17)</f>
        <v>49.724999999999994</v>
      </c>
      <c r="BU17" s="73">
        <v>20.434999999999999</v>
      </c>
      <c r="BV17" s="73">
        <v>44.911000000000001</v>
      </c>
      <c r="BW17" s="73">
        <v>22.713999999999999</v>
      </c>
      <c r="BX17" s="73">
        <v>8.9847999999999999</v>
      </c>
      <c r="BY17" s="73">
        <v>20.503999999999998</v>
      </c>
      <c r="BZ17" s="64">
        <v>173.5</v>
      </c>
      <c r="CA17" s="64">
        <v>122.4</v>
      </c>
      <c r="CB17" s="64">
        <v>21.099999999999998</v>
      </c>
      <c r="CC17" s="64">
        <v>207.89999999999998</v>
      </c>
      <c r="CD17" s="64">
        <v>228.5</v>
      </c>
      <c r="CE17" s="146">
        <v>-24.61</v>
      </c>
      <c r="CF17" s="146">
        <v>-25.03</v>
      </c>
      <c r="CG17" s="146">
        <v>-25.76</v>
      </c>
      <c r="CH17" s="147">
        <v>-24.81</v>
      </c>
      <c r="CI17" s="146">
        <v>-24.4</v>
      </c>
      <c r="CM17" t="s">
        <v>442</v>
      </c>
    </row>
    <row r="18" spans="1:95" x14ac:dyDescent="0.25">
      <c r="A18" s="63">
        <v>3</v>
      </c>
      <c r="B18" s="63">
        <v>1</v>
      </c>
      <c r="C18" s="63">
        <v>1</v>
      </c>
      <c r="D18" s="63">
        <v>3</v>
      </c>
      <c r="E18" s="63">
        <v>17</v>
      </c>
      <c r="F18" s="63" t="s">
        <v>25</v>
      </c>
      <c r="G18" s="63" t="s">
        <v>28</v>
      </c>
      <c r="H18" s="63">
        <v>301</v>
      </c>
      <c r="I18" s="63" t="str">
        <f>"EVA"&amp;"_"&amp;H18</f>
        <v>EVA_301</v>
      </c>
      <c r="J18" s="80">
        <v>45560</v>
      </c>
      <c r="K18" s="82">
        <v>0.79</v>
      </c>
      <c r="L18" s="84">
        <v>7.3999999999999996E-2</v>
      </c>
      <c r="M18" s="84">
        <v>9.0999999999999998E-2</v>
      </c>
      <c r="N18" s="84">
        <v>0.13200000000000001</v>
      </c>
      <c r="O18" s="84">
        <v>0.21299999999999999</v>
      </c>
      <c r="P18" s="75">
        <f>1-L18</f>
        <v>0.92600000000000005</v>
      </c>
      <c r="Q18" s="75">
        <f>1-M18</f>
        <v>0.90900000000000003</v>
      </c>
      <c r="R18" s="75">
        <f>1-N18</f>
        <v>0.86799999999999999</v>
      </c>
      <c r="S18" s="75">
        <f>1-O18</f>
        <v>0.78700000000000003</v>
      </c>
      <c r="T18" s="64">
        <v>33.5</v>
      </c>
      <c r="U18" s="64">
        <v>42.4</v>
      </c>
      <c r="V18" s="64">
        <v>0</v>
      </c>
      <c r="W18" s="64">
        <v>0</v>
      </c>
      <c r="X18" s="82">
        <v>46.6</v>
      </c>
      <c r="Y18" s="82">
        <v>47.7</v>
      </c>
      <c r="Z18" s="82">
        <v>41.3</v>
      </c>
      <c r="AA18" s="82">
        <v>22.5</v>
      </c>
      <c r="AB18" s="82">
        <v>49.2</v>
      </c>
      <c r="AC18" s="82">
        <v>46.6</v>
      </c>
      <c r="AD18" s="82">
        <v>42.3</v>
      </c>
      <c r="AE18" s="82">
        <v>49.2</v>
      </c>
      <c r="AF18" s="82">
        <v>53.1</v>
      </c>
      <c r="AG18" s="82">
        <v>49.4</v>
      </c>
      <c r="AH18" s="82">
        <v>48.6</v>
      </c>
      <c r="AI18" s="82">
        <v>53</v>
      </c>
      <c r="AJ18" s="82">
        <v>52.4</v>
      </c>
      <c r="AK18" s="82">
        <v>47.7</v>
      </c>
      <c r="AL18" s="82">
        <v>49.9</v>
      </c>
      <c r="AM18" s="82">
        <v>57.5</v>
      </c>
      <c r="AN18" s="82">
        <v>70</v>
      </c>
      <c r="AO18" s="82">
        <v>0.5</v>
      </c>
      <c r="AP18" s="82">
        <v>2710.6</v>
      </c>
      <c r="AQ18" s="82">
        <v>495.9</v>
      </c>
      <c r="AR18" s="82">
        <v>50</v>
      </c>
      <c r="AS18" s="89">
        <v>309.7</v>
      </c>
      <c r="AT18" s="43">
        <v>69.099999999999994</v>
      </c>
      <c r="AU18">
        <v>30</v>
      </c>
      <c r="AV18">
        <v>9.92</v>
      </c>
      <c r="AW18">
        <v>1.59</v>
      </c>
      <c r="AX18">
        <v>20.83</v>
      </c>
      <c r="AY18" s="43">
        <v>8.44</v>
      </c>
      <c r="AZ18" s="60">
        <v>20</v>
      </c>
      <c r="BA18" s="43">
        <f>AV18+AW18+AX18+AY18</f>
        <v>40.779999999999994</v>
      </c>
      <c r="BB18" s="68">
        <f>(AV18+AW18+AX18+AY18)*20/AZ18</f>
        <v>40.779999999999994</v>
      </c>
      <c r="BC18" s="68">
        <f>BB18/20</f>
        <v>2.0389999999999997</v>
      </c>
      <c r="BD18" s="68">
        <f>(AQ18-AS18)/AZ18</f>
        <v>9.3099999999999987</v>
      </c>
      <c r="BE18" s="69">
        <f>AT18/AS18</f>
        <v>0.22311914756215692</v>
      </c>
      <c r="BF18" s="70">
        <f>AP18*BE18</f>
        <v>604.7867613819825</v>
      </c>
      <c r="BG18" s="70">
        <f>BF18/AO18</f>
        <v>1209.573522763965</v>
      </c>
      <c r="BH18" s="69">
        <f>AV18/$BA18</f>
        <v>0.24325649828347232</v>
      </c>
      <c r="BI18" s="69">
        <f>AW18/$BA18</f>
        <v>3.8989700833742036E-2</v>
      </c>
      <c r="BJ18" s="69">
        <f>AX18/$BA18</f>
        <v>0.51078960274644436</v>
      </c>
      <c r="BK18" s="69">
        <f>AY18/$BA18</f>
        <v>0.20696419813634137</v>
      </c>
      <c r="BL18" s="70">
        <f>$BG18*BH18</f>
        <v>294.23661956396603</v>
      </c>
      <c r="BM18" s="70">
        <f>$BG18*BI18</f>
        <v>47.160909788982458</v>
      </c>
      <c r="BN18" s="70">
        <f>$BG18*BJ18</f>
        <v>617.83757918522292</v>
      </c>
      <c r="BO18" s="70">
        <f>$BG18*BK18</f>
        <v>250.33841422579368</v>
      </c>
      <c r="BP18" s="73">
        <f>AVERAGE(T18:W18)</f>
        <v>18.975000000000001</v>
      </c>
      <c r="BQ18" s="73">
        <f>AVERAGE(X18:AA18)</f>
        <v>39.525000000000006</v>
      </c>
      <c r="BR18" s="73">
        <f>AVERAGE(AB18:AE18)</f>
        <v>46.825000000000003</v>
      </c>
      <c r="BS18" s="73">
        <f>AVERAGE(AF18:AI18)</f>
        <v>51.024999999999999</v>
      </c>
      <c r="BT18" s="73">
        <f>AVERAGE(AJ18:AM18)</f>
        <v>51.875</v>
      </c>
      <c r="BU18" s="73">
        <v>21.690999999999999</v>
      </c>
      <c r="BV18" s="73">
        <v>44.596999999999994</v>
      </c>
      <c r="BW18" s="73">
        <v>22.789000000000001</v>
      </c>
      <c r="BX18" s="73">
        <v>14.602</v>
      </c>
      <c r="BY18" s="73">
        <v>23.111000000000001</v>
      </c>
      <c r="BZ18" s="64">
        <v>169.7</v>
      </c>
      <c r="CA18" s="64">
        <v>72.900000000000006</v>
      </c>
      <c r="CB18" s="64">
        <v>60.5</v>
      </c>
      <c r="CC18" s="64">
        <v>168.70000000000002</v>
      </c>
      <c r="CD18" s="64">
        <v>151.4</v>
      </c>
      <c r="CE18" s="146">
        <v>-24.95</v>
      </c>
      <c r="CF18" s="146">
        <v>-25.34</v>
      </c>
      <c r="CG18" s="146">
        <v>-25.37</v>
      </c>
      <c r="CH18" s="147">
        <v>-25.05</v>
      </c>
      <c r="CI18" s="146">
        <v>-24.84</v>
      </c>
      <c r="CK18" t="s">
        <v>21</v>
      </c>
      <c r="CL18" t="s">
        <v>22</v>
      </c>
      <c r="CM18" t="s">
        <v>449</v>
      </c>
      <c r="CN18" t="s">
        <v>448</v>
      </c>
      <c r="CO18" t="s">
        <v>447</v>
      </c>
      <c r="CP18" t="s">
        <v>446</v>
      </c>
      <c r="CQ18" t="s">
        <v>445</v>
      </c>
    </row>
    <row r="19" spans="1:95" x14ac:dyDescent="0.25">
      <c r="A19" s="63">
        <v>3</v>
      </c>
      <c r="B19" s="63">
        <v>2</v>
      </c>
      <c r="C19" s="63">
        <v>1</v>
      </c>
      <c r="D19" s="63">
        <v>6</v>
      </c>
      <c r="E19" s="63">
        <v>18</v>
      </c>
      <c r="F19" s="63" t="s">
        <v>30</v>
      </c>
      <c r="G19" s="63" t="s">
        <v>29</v>
      </c>
      <c r="H19" s="63">
        <v>302</v>
      </c>
      <c r="I19" s="63" t="str">
        <f>"EVA"&amp;"_"&amp;H19</f>
        <v>EVA_302</v>
      </c>
      <c r="J19" s="80">
        <v>45573</v>
      </c>
      <c r="K19" s="82">
        <v>0.71</v>
      </c>
      <c r="L19" s="84">
        <v>3.3000000000000002E-2</v>
      </c>
      <c r="M19" s="84">
        <v>9.9000000000000005E-2</v>
      </c>
      <c r="N19" s="84">
        <v>0.17599999999999999</v>
      </c>
      <c r="O19" s="84">
        <v>0.57599999999999996</v>
      </c>
      <c r="P19" s="75">
        <f>1-L19</f>
        <v>0.96699999999999997</v>
      </c>
      <c r="Q19" s="75">
        <f>1-M19</f>
        <v>0.90100000000000002</v>
      </c>
      <c r="R19" s="75">
        <f>1-N19</f>
        <v>0.82400000000000007</v>
      </c>
      <c r="S19" s="75">
        <f>1-O19</f>
        <v>0.42400000000000004</v>
      </c>
      <c r="T19" s="64">
        <v>0</v>
      </c>
      <c r="U19" s="64">
        <v>0</v>
      </c>
      <c r="V19" s="64">
        <v>0</v>
      </c>
      <c r="W19" s="64">
        <v>0</v>
      </c>
      <c r="X19" s="64">
        <v>23.2</v>
      </c>
      <c r="Y19" s="64">
        <v>37.6</v>
      </c>
      <c r="Z19" s="64">
        <v>18.600000000000001</v>
      </c>
      <c r="AA19" s="64">
        <v>0.4</v>
      </c>
      <c r="AB19" s="64">
        <v>48</v>
      </c>
      <c r="AC19" s="64">
        <v>48.7</v>
      </c>
      <c r="AD19" s="64">
        <v>51.6</v>
      </c>
      <c r="AE19" s="64">
        <v>46.2</v>
      </c>
      <c r="AF19" s="64">
        <v>50.4</v>
      </c>
      <c r="AG19" s="64">
        <v>53.4</v>
      </c>
      <c r="AH19" s="64">
        <v>50.4</v>
      </c>
      <c r="AI19" s="64">
        <v>51.6</v>
      </c>
      <c r="AJ19" s="64">
        <v>52.4</v>
      </c>
      <c r="AK19" s="64">
        <v>52.4</v>
      </c>
      <c r="AL19" s="64">
        <v>49.7</v>
      </c>
      <c r="AM19" s="64">
        <v>48.9</v>
      </c>
      <c r="AN19" s="64">
        <v>83</v>
      </c>
      <c r="AO19" s="82">
        <v>0.5</v>
      </c>
      <c r="AP19" s="64">
        <v>1606</v>
      </c>
      <c r="AQ19" s="64">
        <v>392</v>
      </c>
      <c r="AR19" s="82">
        <v>50</v>
      </c>
      <c r="AS19" s="88">
        <v>241</v>
      </c>
      <c r="AT19" s="43">
        <v>79.540000000000006</v>
      </c>
      <c r="AU19">
        <v>30</v>
      </c>
      <c r="AV19">
        <v>9.06</v>
      </c>
      <c r="AW19">
        <v>2.04</v>
      </c>
      <c r="AX19">
        <v>27.09</v>
      </c>
      <c r="AY19" s="43">
        <v>7.84</v>
      </c>
      <c r="AZ19" s="60">
        <v>20</v>
      </c>
      <c r="BA19" s="43">
        <f>AV19+AW19+AX19+AY19</f>
        <v>46.03</v>
      </c>
      <c r="BB19" s="68">
        <f>(AV19+AW19+AX19+AY19)*20/AZ19</f>
        <v>46.03</v>
      </c>
      <c r="BC19" s="68">
        <f>BB19/20</f>
        <v>2.3014999999999999</v>
      </c>
      <c r="BD19" s="68">
        <f>(AQ19-AS19)/AZ19</f>
        <v>7.55</v>
      </c>
      <c r="BE19" s="69">
        <f>AT19/AS19</f>
        <v>0.33004149377593361</v>
      </c>
      <c r="BF19" s="70">
        <f>AP19*BE19</f>
        <v>530.04663900414937</v>
      </c>
      <c r="BG19" s="70">
        <f>BF19/AO19</f>
        <v>1060.0932780082987</v>
      </c>
      <c r="BH19" s="69">
        <f>AV19/$BA19</f>
        <v>0.1968281555507278</v>
      </c>
      <c r="BI19" s="69">
        <f>AW19/$BA19</f>
        <v>4.4318922441885726E-2</v>
      </c>
      <c r="BJ19" s="69">
        <f>AX19/$BA19</f>
        <v>0.58852922007386488</v>
      </c>
      <c r="BK19" s="69">
        <f>AY19/$BA19</f>
        <v>0.17032370193352162</v>
      </c>
      <c r="BL19" s="70">
        <f>$BG19*BH19</f>
        <v>208.65620462209836</v>
      </c>
      <c r="BM19" s="70">
        <f>$BG19*BI19</f>
        <v>46.982191769214197</v>
      </c>
      <c r="BN19" s="70">
        <f>$BG19*BJ19</f>
        <v>623.89587011177082</v>
      </c>
      <c r="BO19" s="70">
        <f>$BG19*BK19</f>
        <v>180.55901150521535</v>
      </c>
      <c r="BP19" s="73">
        <f>AVERAGE(T19:W19)</f>
        <v>0</v>
      </c>
      <c r="BQ19" s="73">
        <f>AVERAGE(X19:AA19)</f>
        <v>19.950000000000003</v>
      </c>
      <c r="BR19" s="73">
        <f>AVERAGE(AB19:AE19)</f>
        <v>48.625</v>
      </c>
      <c r="BS19" s="73">
        <f>AVERAGE(AF19:AI19)</f>
        <v>51.449999999999996</v>
      </c>
      <c r="BT19" s="73">
        <f>AVERAGE(AJ19:AM19)</f>
        <v>50.85</v>
      </c>
      <c r="BU19" s="73">
        <v>17.658999999999999</v>
      </c>
      <c r="BV19" s="73">
        <v>41.274000000000001</v>
      </c>
      <c r="BW19" s="73">
        <v>22.62</v>
      </c>
      <c r="BX19" s="73">
        <v>10.571</v>
      </c>
      <c r="BY19" s="73">
        <v>20.990000000000002</v>
      </c>
      <c r="BZ19" s="64">
        <v>175.7</v>
      </c>
      <c r="CA19" s="64">
        <v>86.4</v>
      </c>
      <c r="CB19" s="64">
        <v>37.599999999999994</v>
      </c>
      <c r="CC19" s="64">
        <v>179.1</v>
      </c>
      <c r="CD19" s="64">
        <v>180.10000000000002</v>
      </c>
      <c r="CE19" s="146">
        <v>-24.72</v>
      </c>
      <c r="CF19" s="146">
        <v>-25.24</v>
      </c>
      <c r="CG19" s="146">
        <v>-25.69</v>
      </c>
      <c r="CH19" s="147">
        <v>-25.13</v>
      </c>
      <c r="CI19" s="146">
        <v>-24.73</v>
      </c>
      <c r="CK19" t="s">
        <v>25</v>
      </c>
      <c r="CL19" t="s">
        <v>26</v>
      </c>
      <c r="CM19" s="60">
        <v>50.78125</v>
      </c>
      <c r="CN19" s="60">
        <v>54.356250000000003</v>
      </c>
      <c r="CO19" s="60">
        <v>55.4375</v>
      </c>
      <c r="CP19" s="60">
        <v>48.981250000000003</v>
      </c>
      <c r="CQ19" s="60">
        <v>17.46875</v>
      </c>
    </row>
    <row r="20" spans="1:95" x14ac:dyDescent="0.25">
      <c r="A20" s="63">
        <v>3</v>
      </c>
      <c r="B20" s="63">
        <v>3</v>
      </c>
      <c r="C20" s="63">
        <v>2</v>
      </c>
      <c r="D20" s="63">
        <v>11</v>
      </c>
      <c r="E20" s="63">
        <v>19</v>
      </c>
      <c r="F20" s="63" t="s">
        <v>25</v>
      </c>
      <c r="G20" s="63" t="s">
        <v>26</v>
      </c>
      <c r="H20" s="63">
        <v>303</v>
      </c>
      <c r="I20" s="63" t="str">
        <f>"EVA"&amp;"_"&amp;H20</f>
        <v>EVA_303</v>
      </c>
      <c r="J20" s="80">
        <v>45573</v>
      </c>
      <c r="K20" s="82">
        <v>0.74</v>
      </c>
      <c r="L20" s="126">
        <v>5.5E-2</v>
      </c>
      <c r="M20" s="126">
        <v>6.7000000000000004E-2</v>
      </c>
      <c r="N20" s="126">
        <v>0.13900000000000001</v>
      </c>
      <c r="O20" s="126">
        <v>0.49299999999999999</v>
      </c>
      <c r="P20" s="75">
        <f>1-L20</f>
        <v>0.94499999999999995</v>
      </c>
      <c r="Q20" s="75">
        <f>1-M20</f>
        <v>0.93300000000000005</v>
      </c>
      <c r="R20" s="75">
        <f>1-N20</f>
        <v>0.86099999999999999</v>
      </c>
      <c r="S20" s="75">
        <f>1-O20</f>
        <v>0.50700000000000001</v>
      </c>
      <c r="T20" s="64">
        <v>37.700000000000003</v>
      </c>
      <c r="U20" s="64">
        <v>4.2</v>
      </c>
      <c r="V20" s="64">
        <v>23.6</v>
      </c>
      <c r="W20" s="64">
        <v>13</v>
      </c>
      <c r="X20" s="64">
        <v>53.5</v>
      </c>
      <c r="Y20" s="64">
        <v>53.9</v>
      </c>
      <c r="Z20" s="64">
        <v>51.4</v>
      </c>
      <c r="AA20" s="64">
        <v>53.6</v>
      </c>
      <c r="AB20" s="64">
        <v>52.2</v>
      </c>
      <c r="AC20" s="64">
        <v>56.9</v>
      </c>
      <c r="AD20" s="64">
        <v>57</v>
      </c>
      <c r="AE20" s="64">
        <v>56.5</v>
      </c>
      <c r="AF20" s="64">
        <v>55.3</v>
      </c>
      <c r="AG20" s="64">
        <v>53.1</v>
      </c>
      <c r="AH20" s="64">
        <v>52.3</v>
      </c>
      <c r="AI20" s="64">
        <v>48.6</v>
      </c>
      <c r="AJ20" s="64">
        <v>53.8</v>
      </c>
      <c r="AK20" s="64">
        <v>47.3</v>
      </c>
      <c r="AL20" s="64">
        <v>48.6</v>
      </c>
      <c r="AM20" s="64">
        <v>50.9</v>
      </c>
      <c r="AN20" s="64">
        <v>85</v>
      </c>
      <c r="AO20" s="82">
        <v>0.5</v>
      </c>
      <c r="AP20" s="64">
        <v>1650</v>
      </c>
      <c r="AQ20" s="64">
        <v>393</v>
      </c>
      <c r="AR20" s="82">
        <v>50</v>
      </c>
      <c r="AS20" s="88">
        <v>225</v>
      </c>
      <c r="AT20" s="43">
        <v>78.489999999999995</v>
      </c>
      <c r="AU20">
        <v>30</v>
      </c>
      <c r="AV20">
        <v>10.15</v>
      </c>
      <c r="AW20">
        <v>2.31</v>
      </c>
      <c r="AX20">
        <v>36.19</v>
      </c>
      <c r="AY20" s="43">
        <v>10.130000000000001</v>
      </c>
      <c r="AZ20" s="60">
        <v>20</v>
      </c>
      <c r="BA20" s="43">
        <f>AV20+AW20+AX20+AY20</f>
        <v>58.78</v>
      </c>
      <c r="BB20" s="68">
        <f>(AV20+AW20+AX20+AY20)*20/AZ20</f>
        <v>58.779999999999994</v>
      </c>
      <c r="BC20" s="68">
        <f>BB20/20</f>
        <v>2.9389999999999996</v>
      </c>
      <c r="BD20" s="68">
        <f>(AQ20-AS20)/AZ20</f>
        <v>8.4</v>
      </c>
      <c r="BE20" s="69">
        <f>AT20/AS20</f>
        <v>0.3488444444444444</v>
      </c>
      <c r="BF20" s="70">
        <f>AP20*BE20</f>
        <v>575.59333333333325</v>
      </c>
      <c r="BG20" s="70">
        <f>BF20/AO20</f>
        <v>1151.1866666666665</v>
      </c>
      <c r="BH20" s="69">
        <f>AV20/$BA20</f>
        <v>0.17267778155835317</v>
      </c>
      <c r="BI20" s="69">
        <f>AW20/$BA20</f>
        <v>3.9299081320176933E-2</v>
      </c>
      <c r="BJ20" s="69">
        <f>AX20/$BA20</f>
        <v>0.61568560734943856</v>
      </c>
      <c r="BK20" s="69">
        <f>AY20/$BA20</f>
        <v>0.17233752977203132</v>
      </c>
      <c r="BL20" s="70">
        <f>$BG20*BH20</f>
        <v>198.78435975955537</v>
      </c>
      <c r="BM20" s="70">
        <f>$BG20*BI20</f>
        <v>45.240578428036741</v>
      </c>
      <c r="BN20" s="70">
        <f>$BG20*BJ20</f>
        <v>708.76906203924227</v>
      </c>
      <c r="BO20" s="70">
        <f>$BG20*BK20</f>
        <v>198.39266643983214</v>
      </c>
      <c r="BP20" s="73">
        <f>AVERAGE(T20:W20)</f>
        <v>19.625</v>
      </c>
      <c r="BQ20" s="73">
        <f>AVERAGE(X20:AA20)</f>
        <v>53.1</v>
      </c>
      <c r="BR20" s="73">
        <f>AVERAGE(AB20:AE20)</f>
        <v>55.65</v>
      </c>
      <c r="BS20" s="73">
        <f>AVERAGE(AF20:AI20)</f>
        <v>52.324999999999996</v>
      </c>
      <c r="BT20" s="73">
        <f>AVERAGE(AJ20:AM20)</f>
        <v>50.15</v>
      </c>
      <c r="BU20" s="73">
        <v>14.776</v>
      </c>
      <c r="BV20" s="73">
        <v>31.186</v>
      </c>
      <c r="BW20" s="73">
        <v>11.495999999999999</v>
      </c>
      <c r="BX20" s="73">
        <v>5.3296000000000001</v>
      </c>
      <c r="BY20" s="73">
        <v>19.576000000000001</v>
      </c>
      <c r="BZ20" s="64">
        <v>200.2</v>
      </c>
      <c r="CA20" s="64">
        <v>113.3</v>
      </c>
      <c r="CB20" s="64">
        <v>56</v>
      </c>
      <c r="CC20" s="64">
        <v>210.9</v>
      </c>
      <c r="CD20" s="64">
        <v>219.4</v>
      </c>
      <c r="CE20" s="146">
        <v>-24.3</v>
      </c>
      <c r="CF20" s="146">
        <v>-24.12</v>
      </c>
      <c r="CG20" s="146">
        <v>-25.13</v>
      </c>
      <c r="CH20" s="147">
        <v>-24.83</v>
      </c>
      <c r="CI20" s="146">
        <v>-24.34</v>
      </c>
      <c r="CL20" t="s">
        <v>27</v>
      </c>
      <c r="CM20" s="60">
        <v>48.6</v>
      </c>
      <c r="CN20" s="60">
        <v>51.400000000000006</v>
      </c>
      <c r="CO20" s="60">
        <v>46.418750000000003</v>
      </c>
      <c r="CP20" s="60">
        <v>22.643750000000001</v>
      </c>
      <c r="CQ20" s="60">
        <v>3.0874999999999999</v>
      </c>
    </row>
    <row r="21" spans="1:95" x14ac:dyDescent="0.25">
      <c r="A21" s="63">
        <v>3</v>
      </c>
      <c r="B21" s="63">
        <v>4</v>
      </c>
      <c r="C21" s="63">
        <v>2</v>
      </c>
      <c r="D21" s="63">
        <v>14</v>
      </c>
      <c r="E21" s="63">
        <v>20</v>
      </c>
      <c r="F21" s="63" t="s">
        <v>30</v>
      </c>
      <c r="G21" s="63" t="s">
        <v>31</v>
      </c>
      <c r="H21" s="63">
        <v>304</v>
      </c>
      <c r="I21" s="63" t="str">
        <f>"EVA"&amp;"_"&amp;H21</f>
        <v>EVA_304</v>
      </c>
      <c r="J21" s="80">
        <v>45568</v>
      </c>
      <c r="K21" s="82">
        <v>0.73</v>
      </c>
      <c r="L21" s="148">
        <v>2.1000000000000001E-2</v>
      </c>
      <c r="M21" s="148">
        <v>4.2999999999999997E-2</v>
      </c>
      <c r="N21" s="148">
        <v>0.11</v>
      </c>
      <c r="O21" s="148">
        <v>0.42499999999999999</v>
      </c>
      <c r="P21" s="75">
        <f>1-L21</f>
        <v>0.97899999999999998</v>
      </c>
      <c r="Q21" s="75">
        <f>1-M21</f>
        <v>0.95699999999999996</v>
      </c>
      <c r="R21" s="75">
        <f>1-N21</f>
        <v>0.89</v>
      </c>
      <c r="S21" s="75">
        <f>1-O21</f>
        <v>0.57499999999999996</v>
      </c>
      <c r="T21" s="64">
        <v>39.5</v>
      </c>
      <c r="U21" s="64">
        <v>0.8</v>
      </c>
      <c r="V21" s="64">
        <v>1.6</v>
      </c>
      <c r="W21" s="64">
        <v>9.9</v>
      </c>
      <c r="X21" s="82">
        <v>19</v>
      </c>
      <c r="Y21" s="82">
        <v>46.2</v>
      </c>
      <c r="Z21" s="82">
        <v>41.3</v>
      </c>
      <c r="AA21" s="82">
        <v>46.6</v>
      </c>
      <c r="AB21" s="82">
        <v>42.7</v>
      </c>
      <c r="AC21" s="82">
        <v>49.3</v>
      </c>
      <c r="AD21" s="82">
        <v>51.4</v>
      </c>
      <c r="AE21" s="82">
        <v>45.9</v>
      </c>
      <c r="AF21" s="82">
        <v>46.6</v>
      </c>
      <c r="AG21" s="82">
        <v>49.1</v>
      </c>
      <c r="AH21" s="82">
        <v>48.6</v>
      </c>
      <c r="AI21" s="82">
        <v>46</v>
      </c>
      <c r="AJ21" s="82">
        <v>43.7</v>
      </c>
      <c r="AK21" s="82">
        <v>50.2</v>
      </c>
      <c r="AL21" s="82">
        <v>45</v>
      </c>
      <c r="AM21" s="82">
        <v>46.3</v>
      </c>
      <c r="AN21" s="82">
        <v>95</v>
      </c>
      <c r="AO21" s="82">
        <v>0.5</v>
      </c>
      <c r="AP21" s="82">
        <v>1560</v>
      </c>
      <c r="AQ21" s="82">
        <v>404</v>
      </c>
      <c r="AR21" s="82">
        <v>50</v>
      </c>
      <c r="AS21" s="89">
        <v>238</v>
      </c>
      <c r="AT21" s="43">
        <v>76.8</v>
      </c>
      <c r="AU21">
        <v>30</v>
      </c>
      <c r="AV21">
        <v>10.48</v>
      </c>
      <c r="AW21">
        <v>2.2599999999999998</v>
      </c>
      <c r="AX21">
        <v>32.97</v>
      </c>
      <c r="AY21" s="43">
        <v>8.1</v>
      </c>
      <c r="AZ21" s="60">
        <v>20</v>
      </c>
      <c r="BA21" s="43">
        <f>AV21+AW21+AX21+AY21</f>
        <v>53.81</v>
      </c>
      <c r="BB21" s="68">
        <f>(AV21+AW21+AX21+AY21)*20/AZ21</f>
        <v>53.81</v>
      </c>
      <c r="BC21" s="68">
        <f>BB21/20</f>
        <v>2.6905000000000001</v>
      </c>
      <c r="BD21" s="68">
        <f>(AQ21-AS21)/AZ21</f>
        <v>8.3000000000000007</v>
      </c>
      <c r="BE21" s="69">
        <f>AT21/AS21</f>
        <v>0.32268907563025206</v>
      </c>
      <c r="BF21" s="70">
        <f>AP21*BE21</f>
        <v>503.39495798319319</v>
      </c>
      <c r="BG21" s="70">
        <f>BF21/AO21</f>
        <v>1006.7899159663864</v>
      </c>
      <c r="BH21" s="69">
        <f>AV21/$BA21</f>
        <v>0.19475933841293439</v>
      </c>
      <c r="BI21" s="69">
        <f>AW21/$BA21</f>
        <v>4.1999628321873254E-2</v>
      </c>
      <c r="BJ21" s="69">
        <f>AX21/$BA21</f>
        <v>0.61271139193458457</v>
      </c>
      <c r="BK21" s="69">
        <f>AY21/$BA21</f>
        <v>0.15052964133060767</v>
      </c>
      <c r="BL21" s="70">
        <f>$BG21*BH21</f>
        <v>196.08173795442721</v>
      </c>
      <c r="BM21" s="70">
        <f>$BG21*BI21</f>
        <v>42.284802268798238</v>
      </c>
      <c r="BN21" s="70">
        <f>$BG21*BJ21</f>
        <v>616.87165079746808</v>
      </c>
      <c r="BO21" s="70">
        <f>$BG21*BK21</f>
        <v>151.55172494569277</v>
      </c>
      <c r="BP21" s="73">
        <f>AVERAGE(T21:W21)</f>
        <v>12.95</v>
      </c>
      <c r="BQ21" s="73">
        <f>AVERAGE(X21:AA21)</f>
        <v>38.274999999999999</v>
      </c>
      <c r="BR21" s="73">
        <f>AVERAGE(AB21:AE21)</f>
        <v>47.325000000000003</v>
      </c>
      <c r="BS21" s="73">
        <f>AVERAGE(AF21:AI21)</f>
        <v>47.575000000000003</v>
      </c>
      <c r="BT21" s="73">
        <f>AVERAGE(AJ21:AM21)</f>
        <v>46.3</v>
      </c>
      <c r="BU21" s="73">
        <v>15.117000000000001</v>
      </c>
      <c r="BV21" s="73">
        <v>29.327999999999999</v>
      </c>
      <c r="BW21" s="73">
        <v>14.188000000000001</v>
      </c>
      <c r="BX21" s="73">
        <v>7.1106999999999996</v>
      </c>
      <c r="BY21" s="73">
        <v>21.084</v>
      </c>
      <c r="BZ21" s="64">
        <v>187.2</v>
      </c>
      <c r="CA21" s="64">
        <v>115</v>
      </c>
      <c r="CB21" s="64">
        <v>69.800000000000011</v>
      </c>
      <c r="CC21" s="64">
        <v>188.1</v>
      </c>
      <c r="CD21" s="64">
        <v>191.6</v>
      </c>
      <c r="CE21" s="146">
        <v>-24.56</v>
      </c>
      <c r="CF21" s="146">
        <v>-24.5</v>
      </c>
      <c r="CG21" s="146">
        <v>-25.15</v>
      </c>
      <c r="CH21" s="147">
        <v>-25.01</v>
      </c>
      <c r="CI21" s="146">
        <v>-24.59</v>
      </c>
      <c r="CL21" t="s">
        <v>28</v>
      </c>
      <c r="CM21" s="60">
        <v>52.412499999999994</v>
      </c>
      <c r="CN21" s="60">
        <v>49.418750000000003</v>
      </c>
      <c r="CO21" s="60">
        <v>47.362500000000004</v>
      </c>
      <c r="CP21" s="60">
        <v>32.168750000000003</v>
      </c>
      <c r="CQ21" s="60">
        <v>11.487500000000001</v>
      </c>
    </row>
    <row r="22" spans="1:95" x14ac:dyDescent="0.25">
      <c r="A22" s="63">
        <v>3</v>
      </c>
      <c r="B22" s="63">
        <v>5</v>
      </c>
      <c r="C22" s="63">
        <v>3</v>
      </c>
      <c r="D22" s="63">
        <v>19</v>
      </c>
      <c r="E22" s="63">
        <v>21</v>
      </c>
      <c r="F22" s="63" t="s">
        <v>25</v>
      </c>
      <c r="G22" s="63" t="s">
        <v>29</v>
      </c>
      <c r="H22" s="63">
        <v>305</v>
      </c>
      <c r="I22" s="63" t="str">
        <f>"EVA"&amp;"_"&amp;H22</f>
        <v>EVA_305</v>
      </c>
      <c r="J22" s="80">
        <v>45561</v>
      </c>
      <c r="K22" s="82">
        <v>0.73</v>
      </c>
      <c r="L22" s="126">
        <v>2.3E-2</v>
      </c>
      <c r="M22" s="126">
        <v>4.4999999999999998E-2</v>
      </c>
      <c r="N22" s="126">
        <v>8.4000000000000005E-2</v>
      </c>
      <c r="O22" s="126">
        <v>0.29099999999999998</v>
      </c>
      <c r="P22" s="75">
        <f>1-L22</f>
        <v>0.97699999999999998</v>
      </c>
      <c r="Q22" s="75">
        <f>1-M22</f>
        <v>0.95499999999999996</v>
      </c>
      <c r="R22" s="75">
        <f>1-N22</f>
        <v>0.91600000000000004</v>
      </c>
      <c r="S22" s="75">
        <f>1-O22</f>
        <v>0.70900000000000007</v>
      </c>
      <c r="T22" s="64">
        <v>14.8</v>
      </c>
      <c r="U22" s="64">
        <v>10.6</v>
      </c>
      <c r="V22" s="64">
        <v>5.3</v>
      </c>
      <c r="W22" s="64">
        <v>38.5</v>
      </c>
      <c r="X22" s="82">
        <v>15.4</v>
      </c>
      <c r="Y22" s="82">
        <v>48.8</v>
      </c>
      <c r="Z22" s="82">
        <v>46.7</v>
      </c>
      <c r="AA22" s="82">
        <v>52.4</v>
      </c>
      <c r="AB22" s="82">
        <v>52.5</v>
      </c>
      <c r="AC22" s="82">
        <v>51.3</v>
      </c>
      <c r="AD22" s="82">
        <v>54.5</v>
      </c>
      <c r="AE22" s="82">
        <v>52.4</v>
      </c>
      <c r="AF22" s="82">
        <v>49.8</v>
      </c>
      <c r="AG22" s="82">
        <v>52.7</v>
      </c>
      <c r="AH22" s="82">
        <v>53.9</v>
      </c>
      <c r="AI22" s="82">
        <v>40.5</v>
      </c>
      <c r="AJ22" s="82">
        <v>51.1</v>
      </c>
      <c r="AK22" s="82">
        <v>50.9</v>
      </c>
      <c r="AL22" s="82">
        <v>52.2</v>
      </c>
      <c r="AM22" s="82">
        <v>56.5</v>
      </c>
      <c r="AN22" s="82">
        <v>93</v>
      </c>
      <c r="AO22" s="82">
        <v>0.5</v>
      </c>
      <c r="AP22" s="82">
        <v>1878</v>
      </c>
      <c r="AQ22" s="82">
        <v>487.5</v>
      </c>
      <c r="AR22" s="82">
        <v>50</v>
      </c>
      <c r="AS22" s="89">
        <v>299.60000000000002</v>
      </c>
      <c r="AT22" s="43">
        <v>79.099999999999994</v>
      </c>
      <c r="AU22">
        <v>30</v>
      </c>
      <c r="AV22">
        <v>9.67</v>
      </c>
      <c r="AW22">
        <v>1.66</v>
      </c>
      <c r="AX22">
        <v>30.6</v>
      </c>
      <c r="AY22" s="43">
        <v>8.94</v>
      </c>
      <c r="AZ22" s="60">
        <v>20</v>
      </c>
      <c r="BA22" s="43">
        <f>AV22+AW22+AX22+AY22</f>
        <v>50.87</v>
      </c>
      <c r="BB22" s="68">
        <f>(AV22+AW22+AX22+AY22)*20/AZ22</f>
        <v>50.87</v>
      </c>
      <c r="BC22" s="68">
        <f>BB22/20</f>
        <v>2.5434999999999999</v>
      </c>
      <c r="BD22" s="68">
        <f>(AQ22-AS22)/AZ22</f>
        <v>9.3949999999999996</v>
      </c>
      <c r="BE22" s="69">
        <f>AT22/AS22</f>
        <v>0.26401869158878499</v>
      </c>
      <c r="BF22" s="70">
        <f>AP22*BE22</f>
        <v>495.82710280373823</v>
      </c>
      <c r="BG22" s="70">
        <f>BF22/AO22</f>
        <v>991.65420560747646</v>
      </c>
      <c r="BH22" s="69">
        <f>AV22/$BA22</f>
        <v>0.19009239237271477</v>
      </c>
      <c r="BI22" s="69">
        <f>AW22/$BA22</f>
        <v>3.2632199724788674E-2</v>
      </c>
      <c r="BJ22" s="69">
        <f>AX22/$BA22</f>
        <v>0.6015333202280323</v>
      </c>
      <c r="BK22" s="69">
        <f>AY22/$BA22</f>
        <v>0.17574208767446431</v>
      </c>
      <c r="BL22" s="70">
        <f>$BG22*BH22</f>
        <v>188.50592035038918</v>
      </c>
      <c r="BM22" s="70">
        <f>$BG22*BI22</f>
        <v>32.359858095309825</v>
      </c>
      <c r="BN22" s="70">
        <f>$BG22*BJ22</f>
        <v>596.51304681715715</v>
      </c>
      <c r="BO22" s="70">
        <f>$BG22*BK22</f>
        <v>174.27538034462037</v>
      </c>
      <c r="BP22" s="73">
        <f>AVERAGE(T22:W22)</f>
        <v>17.3</v>
      </c>
      <c r="BQ22" s="73">
        <f>AVERAGE(X22:AA22)</f>
        <v>40.825000000000003</v>
      </c>
      <c r="BR22" s="73">
        <f>AVERAGE(AB22:AE22)</f>
        <v>52.675000000000004</v>
      </c>
      <c r="BS22" s="73">
        <f>AVERAGE(AF22:AI22)</f>
        <v>49.225000000000001</v>
      </c>
      <c r="BT22" s="73">
        <f>AVERAGE(AJ22:AM22)</f>
        <v>52.674999999999997</v>
      </c>
      <c r="BU22" s="73">
        <v>15.542999999999999</v>
      </c>
      <c r="BV22" s="73">
        <v>31.882999999999999</v>
      </c>
      <c r="BW22" s="73">
        <v>17.824999999999999</v>
      </c>
      <c r="BX22" s="73">
        <v>9.9738000000000007</v>
      </c>
      <c r="BY22" s="73">
        <v>21.587999999999997</v>
      </c>
      <c r="BZ22" s="64">
        <v>148.80000000000001</v>
      </c>
      <c r="CA22" s="64">
        <v>84.7</v>
      </c>
      <c r="CB22" s="64">
        <v>76.5</v>
      </c>
      <c r="CC22" s="64">
        <v>160.69999999999999</v>
      </c>
      <c r="CD22" s="64">
        <v>162.5</v>
      </c>
      <c r="CE22" s="146">
        <v>-24.87</v>
      </c>
      <c r="CF22" s="146">
        <v>-24.74</v>
      </c>
      <c r="CG22" s="146">
        <v>-24.84</v>
      </c>
      <c r="CH22" s="147">
        <v>-25.06</v>
      </c>
      <c r="CI22" s="146">
        <v>-24.65</v>
      </c>
      <c r="CL22" t="s">
        <v>29</v>
      </c>
      <c r="CM22" s="60">
        <v>52.018750000000004</v>
      </c>
      <c r="CN22" s="60">
        <v>49.231250000000003</v>
      </c>
      <c r="CO22" s="60">
        <v>49.825000000000003</v>
      </c>
      <c r="CP22" s="60">
        <v>39.675000000000004</v>
      </c>
      <c r="CQ22" s="60">
        <v>13.668749999999999</v>
      </c>
    </row>
    <row r="23" spans="1:95" x14ac:dyDescent="0.25">
      <c r="A23" s="63">
        <v>3</v>
      </c>
      <c r="B23" s="63">
        <v>6</v>
      </c>
      <c r="C23" s="63">
        <v>3</v>
      </c>
      <c r="D23" s="63">
        <v>22</v>
      </c>
      <c r="E23" s="63">
        <v>22</v>
      </c>
      <c r="F23" s="63" t="s">
        <v>30</v>
      </c>
      <c r="G23" s="63" t="s">
        <v>32</v>
      </c>
      <c r="H23" s="63">
        <v>306</v>
      </c>
      <c r="I23" s="63" t="str">
        <f>"EVA"&amp;"_"&amp;H23</f>
        <v>EVA_306</v>
      </c>
      <c r="J23" s="80">
        <v>45573</v>
      </c>
      <c r="K23" s="82">
        <v>0.76</v>
      </c>
      <c r="L23" s="84">
        <v>6.2E-2</v>
      </c>
      <c r="M23" s="84">
        <v>8.5999999999999993E-2</v>
      </c>
      <c r="N23" s="84">
        <v>0.14599999999999999</v>
      </c>
      <c r="O23" s="84">
        <v>0.61799999999999999</v>
      </c>
      <c r="P23" s="75">
        <f>1-L23</f>
        <v>0.93799999999999994</v>
      </c>
      <c r="Q23" s="75">
        <f>1-M23</f>
        <v>0.91400000000000003</v>
      </c>
      <c r="R23" s="75">
        <f>1-N23</f>
        <v>0.85399999999999998</v>
      </c>
      <c r="S23" s="75">
        <f>1-O23</f>
        <v>0.38200000000000001</v>
      </c>
      <c r="T23" s="64">
        <v>0</v>
      </c>
      <c r="U23" s="64">
        <v>0</v>
      </c>
      <c r="V23" s="64">
        <v>0</v>
      </c>
      <c r="W23" s="64">
        <v>0</v>
      </c>
      <c r="X23" s="64">
        <v>35.4</v>
      </c>
      <c r="Y23" s="64">
        <v>47.9</v>
      </c>
      <c r="Z23" s="64">
        <v>46.7</v>
      </c>
      <c r="AA23" s="64">
        <v>51.3</v>
      </c>
      <c r="AB23" s="64">
        <v>57.2</v>
      </c>
      <c r="AC23" s="64">
        <v>58.6</v>
      </c>
      <c r="AD23" s="64">
        <v>56.6</v>
      </c>
      <c r="AE23" s="64">
        <v>58.2</v>
      </c>
      <c r="AF23" s="64">
        <v>49.1</v>
      </c>
      <c r="AG23" s="64">
        <v>59.9</v>
      </c>
      <c r="AH23" s="64">
        <v>56.7</v>
      </c>
      <c r="AI23" s="64">
        <v>51.1</v>
      </c>
      <c r="AJ23" s="64">
        <v>44.6</v>
      </c>
      <c r="AK23" s="64">
        <v>50.6</v>
      </c>
      <c r="AL23" s="64">
        <v>47.1</v>
      </c>
      <c r="AM23" s="64">
        <v>50.2</v>
      </c>
      <c r="AN23" s="64">
        <v>80</v>
      </c>
      <c r="AO23" s="82">
        <v>0.5</v>
      </c>
      <c r="AP23" s="64">
        <v>1433</v>
      </c>
      <c r="AQ23" s="64">
        <v>401</v>
      </c>
      <c r="AR23" s="82">
        <v>50</v>
      </c>
      <c r="AS23" s="88">
        <v>231</v>
      </c>
      <c r="AT23" s="43">
        <v>86.29</v>
      </c>
      <c r="AU23">
        <v>30</v>
      </c>
      <c r="AV23">
        <v>13.07</v>
      </c>
      <c r="AW23">
        <v>2.09</v>
      </c>
      <c r="AX23">
        <v>39.43</v>
      </c>
      <c r="AY23" s="43">
        <v>9.98</v>
      </c>
      <c r="AZ23" s="60">
        <v>20</v>
      </c>
      <c r="BA23" s="43">
        <f>AV23+AW23+AX23+AY23</f>
        <v>64.570000000000007</v>
      </c>
      <c r="BB23" s="68">
        <f>(AV23+AW23+AX23+AY23)*20/AZ23</f>
        <v>64.570000000000007</v>
      </c>
      <c r="BC23" s="68">
        <f>BB23/20</f>
        <v>3.2285000000000004</v>
      </c>
      <c r="BD23" s="68">
        <f>(AQ23-AS23)/AZ23</f>
        <v>8.5</v>
      </c>
      <c r="BE23" s="69">
        <f>AT23/AS23</f>
        <v>0.37354978354978358</v>
      </c>
      <c r="BF23" s="70">
        <f>AP23*BE23</f>
        <v>535.29683982683991</v>
      </c>
      <c r="BG23" s="70">
        <f>BF23/AO23</f>
        <v>1070.5936796536798</v>
      </c>
      <c r="BH23" s="69">
        <f>AV23/$BA23</f>
        <v>0.20241598265448349</v>
      </c>
      <c r="BI23" s="69">
        <f>AW23/$BA23</f>
        <v>3.2367972742759793E-2</v>
      </c>
      <c r="BJ23" s="69">
        <f>AX23/$BA23</f>
        <v>0.61065510298900416</v>
      </c>
      <c r="BK23" s="69">
        <f>AY23/$BA23</f>
        <v>0.1545609416137525</v>
      </c>
      <c r="BL23" s="70">
        <f>$BG23*BH23</f>
        <v>216.70527169077891</v>
      </c>
      <c r="BM23" s="70">
        <f>$BG23*BI23</f>
        <v>34.652947041601216</v>
      </c>
      <c r="BN23" s="70">
        <f>$BG23*BJ23</f>
        <v>653.76349370829473</v>
      </c>
      <c r="BO23" s="70">
        <f>$BG23*BK23</f>
        <v>165.47196721300486</v>
      </c>
      <c r="BP23" s="73">
        <f>AVERAGE(T23:W23)</f>
        <v>0</v>
      </c>
      <c r="BQ23" s="73">
        <f>AVERAGE(X23:AA23)</f>
        <v>45.325000000000003</v>
      </c>
      <c r="BR23" s="73">
        <f>AVERAGE(AB23:AE23)</f>
        <v>57.650000000000006</v>
      </c>
      <c r="BS23" s="73">
        <f>AVERAGE(AF23:AI23)</f>
        <v>54.199999999999996</v>
      </c>
      <c r="BT23" s="73">
        <f>AVERAGE(AJ23:AM23)</f>
        <v>48.125</v>
      </c>
      <c r="BU23" s="73">
        <v>17.097999999999999</v>
      </c>
      <c r="BV23" s="73">
        <v>37.806000000000004</v>
      </c>
      <c r="BW23" s="73">
        <v>17.7</v>
      </c>
      <c r="BX23" s="73">
        <v>10.148</v>
      </c>
      <c r="BY23" s="73">
        <v>18.68</v>
      </c>
      <c r="BZ23" s="64">
        <v>188.2</v>
      </c>
      <c r="CA23" s="64">
        <v>113.4</v>
      </c>
      <c r="CB23" s="64">
        <v>58.7</v>
      </c>
      <c r="CC23" s="64">
        <v>220.39999999999998</v>
      </c>
      <c r="CD23" s="64">
        <v>239.1</v>
      </c>
      <c r="CE23" s="146">
        <v>-24.4</v>
      </c>
      <c r="CF23" s="146">
        <v>-24.25</v>
      </c>
      <c r="CG23" s="146">
        <v>-24.93</v>
      </c>
      <c r="CH23" s="147">
        <v>-24.72</v>
      </c>
      <c r="CI23" s="146">
        <v>-24.26</v>
      </c>
      <c r="CK23" t="s">
        <v>30</v>
      </c>
      <c r="CL23" t="s">
        <v>32</v>
      </c>
      <c r="CM23" s="60">
        <v>49.706249999999997</v>
      </c>
      <c r="CN23" s="60">
        <v>53.949999999999996</v>
      </c>
      <c r="CO23" s="60">
        <v>55.837499999999999</v>
      </c>
      <c r="CP23" s="60">
        <v>40.90625</v>
      </c>
      <c r="CQ23" s="60">
        <v>3.1375000000000002</v>
      </c>
    </row>
    <row r="24" spans="1:95" x14ac:dyDescent="0.25">
      <c r="A24" s="63">
        <v>3</v>
      </c>
      <c r="B24" s="63">
        <v>7</v>
      </c>
      <c r="C24" s="63">
        <v>4</v>
      </c>
      <c r="D24" s="63">
        <v>27</v>
      </c>
      <c r="E24" s="63">
        <v>23</v>
      </c>
      <c r="F24" s="63" t="s">
        <v>25</v>
      </c>
      <c r="G24" s="63" t="s">
        <v>27</v>
      </c>
      <c r="H24" s="63">
        <v>307</v>
      </c>
      <c r="I24" s="63" t="str">
        <f>"EVA"&amp;"_"&amp;H24</f>
        <v>EVA_307</v>
      </c>
      <c r="J24" s="80">
        <v>45566</v>
      </c>
      <c r="K24" s="82">
        <v>0.74</v>
      </c>
      <c r="L24" s="84">
        <v>9.0999999999999998E-2</v>
      </c>
      <c r="M24" s="84">
        <v>0.13700000000000001</v>
      </c>
      <c r="N24" s="84">
        <v>0.221</v>
      </c>
      <c r="O24" s="84">
        <v>0.44700000000000001</v>
      </c>
      <c r="P24" s="75">
        <f>1-L24</f>
        <v>0.90900000000000003</v>
      </c>
      <c r="Q24" s="75">
        <f>1-M24</f>
        <v>0.86299999999999999</v>
      </c>
      <c r="R24" s="75">
        <f>1-N24</f>
        <v>0.77900000000000003</v>
      </c>
      <c r="S24" s="75">
        <f>1-O24</f>
        <v>0.55299999999999994</v>
      </c>
      <c r="T24" s="64">
        <v>0</v>
      </c>
      <c r="U24" s="64">
        <v>0</v>
      </c>
      <c r="V24" s="64">
        <v>0</v>
      </c>
      <c r="W24" s="64">
        <v>0</v>
      </c>
      <c r="X24" s="82">
        <v>6.7</v>
      </c>
      <c r="Y24" s="82">
        <v>31.8</v>
      </c>
      <c r="Z24" s="82">
        <v>34.1</v>
      </c>
      <c r="AA24" s="82">
        <v>49.7</v>
      </c>
      <c r="AB24" s="82">
        <v>49</v>
      </c>
      <c r="AC24" s="82">
        <v>46.7</v>
      </c>
      <c r="AD24" s="82">
        <v>54.2</v>
      </c>
      <c r="AE24" s="82">
        <v>51.8</v>
      </c>
      <c r="AF24" s="82">
        <v>51.9</v>
      </c>
      <c r="AG24" s="82">
        <v>52</v>
      </c>
      <c r="AH24" s="82">
        <v>53</v>
      </c>
      <c r="AI24" s="82">
        <v>53.4</v>
      </c>
      <c r="AJ24" s="82">
        <v>50.6</v>
      </c>
      <c r="AK24" s="82">
        <v>44.8</v>
      </c>
      <c r="AL24" s="82">
        <v>53.7</v>
      </c>
      <c r="AM24" s="82">
        <v>46.6</v>
      </c>
      <c r="AN24" s="82">
        <v>78</v>
      </c>
      <c r="AO24" s="82">
        <v>0.5</v>
      </c>
      <c r="AP24" s="82">
        <v>1247</v>
      </c>
      <c r="AQ24" s="82">
        <v>400</v>
      </c>
      <c r="AR24" s="82">
        <v>50</v>
      </c>
      <c r="AS24" s="89">
        <v>227</v>
      </c>
      <c r="AT24" s="43">
        <v>75.8</v>
      </c>
      <c r="AU24">
        <v>30</v>
      </c>
      <c r="AV24">
        <v>11.53</v>
      </c>
      <c r="AW24">
        <v>1.55</v>
      </c>
      <c r="AX24">
        <v>33.090000000000003</v>
      </c>
      <c r="AY24" s="43">
        <v>9.77</v>
      </c>
      <c r="AZ24" s="60">
        <v>19</v>
      </c>
      <c r="BA24" s="43">
        <f>AV24+AW24+AX24+AY24</f>
        <v>55.94</v>
      </c>
      <c r="BB24" s="68">
        <f>(AV24+AW24+AX24+AY24)*20/AZ24</f>
        <v>58.88421052631579</v>
      </c>
      <c r="BC24" s="68">
        <f>BB24/20</f>
        <v>2.9442105263157896</v>
      </c>
      <c r="BD24" s="68">
        <f>(AQ24-AS24)/AZ24</f>
        <v>9.1052631578947363</v>
      </c>
      <c r="BE24" s="69">
        <f>AT24/AS24</f>
        <v>0.33392070484581499</v>
      </c>
      <c r="BF24" s="70">
        <f>AP24*BE24</f>
        <v>416.39911894273126</v>
      </c>
      <c r="BG24" s="70">
        <f>BF24/AO24</f>
        <v>832.79823788546253</v>
      </c>
      <c r="BH24" s="69">
        <f>AV24/$BA24</f>
        <v>0.2061136932427601</v>
      </c>
      <c r="BI24" s="69">
        <f>AW24/$BA24</f>
        <v>2.7708258848766539E-2</v>
      </c>
      <c r="BJ24" s="69">
        <f>AX24/$BA24</f>
        <v>0.59152663568108699</v>
      </c>
      <c r="BK24" s="69">
        <f>AY24/$BA24</f>
        <v>0.17465141222738648</v>
      </c>
      <c r="BL24" s="70">
        <f>$BG24*BH24</f>
        <v>171.65112053663537</v>
      </c>
      <c r="BM24" s="70">
        <f>$BG24*BI24</f>
        <v>23.075389144127048</v>
      </c>
      <c r="BN24" s="70">
        <f>$BG24*BJ24</f>
        <v>492.62233985752522</v>
      </c>
      <c r="BO24" s="70">
        <f>$BG24*BK24</f>
        <v>145.44938834717499</v>
      </c>
      <c r="BP24" s="73">
        <f>AVERAGE(T24:W24)</f>
        <v>0</v>
      </c>
      <c r="BQ24" s="73">
        <f>AVERAGE(X24:AA24)</f>
        <v>30.574999999999999</v>
      </c>
      <c r="BR24" s="73">
        <f>AVERAGE(AB24:AE24)</f>
        <v>50.424999999999997</v>
      </c>
      <c r="BS24" s="73">
        <f>AVERAGE(AF24:AI24)</f>
        <v>52.575000000000003</v>
      </c>
      <c r="BT24" s="73">
        <f>AVERAGE(AJ24:AM24)</f>
        <v>48.925000000000004</v>
      </c>
      <c r="BU24" s="73">
        <v>17.988</v>
      </c>
      <c r="BV24" s="73">
        <v>33.106999999999999</v>
      </c>
      <c r="BW24" s="73">
        <v>14.292999999999999</v>
      </c>
      <c r="BX24" s="73">
        <v>8.2042000000000002</v>
      </c>
      <c r="BY24" s="73">
        <v>19.081</v>
      </c>
      <c r="BZ24" s="64">
        <v>167.39999999999998</v>
      </c>
      <c r="CA24" s="64">
        <v>128.1</v>
      </c>
      <c r="CB24" s="64">
        <v>64.099999999999994</v>
      </c>
      <c r="CC24" s="64">
        <v>244</v>
      </c>
      <c r="CD24" s="64">
        <v>217.3</v>
      </c>
      <c r="CE24" s="146">
        <v>-24.65</v>
      </c>
      <c r="CF24" s="146">
        <v>-24.63</v>
      </c>
      <c r="CG24" s="146">
        <v>-25.3</v>
      </c>
      <c r="CH24" s="147">
        <v>-24.56</v>
      </c>
      <c r="CI24" s="146">
        <v>-24.48</v>
      </c>
      <c r="CL24" t="s">
        <v>31</v>
      </c>
      <c r="CM24" s="60">
        <v>47.012500000000003</v>
      </c>
      <c r="CN24" s="60">
        <v>47.481250000000003</v>
      </c>
      <c r="CO24" s="60">
        <v>49.756250000000001</v>
      </c>
      <c r="CP24" s="60">
        <v>38.187499999999993</v>
      </c>
      <c r="CQ24" s="60">
        <v>21.03125</v>
      </c>
    </row>
    <row r="25" spans="1:95" x14ac:dyDescent="0.25">
      <c r="A25" s="63">
        <v>3</v>
      </c>
      <c r="B25" s="63">
        <v>8</v>
      </c>
      <c r="C25" s="63">
        <v>4</v>
      </c>
      <c r="D25" s="63">
        <v>30</v>
      </c>
      <c r="E25" s="63">
        <v>24</v>
      </c>
      <c r="F25" s="63" t="s">
        <v>30</v>
      </c>
      <c r="G25" s="63" t="s">
        <v>28</v>
      </c>
      <c r="H25" s="63">
        <v>308</v>
      </c>
      <c r="I25" s="63" t="str">
        <f>"EVA"&amp;"_"&amp;H25</f>
        <v>EVA_308</v>
      </c>
      <c r="J25" s="80">
        <v>45568</v>
      </c>
      <c r="K25" s="55">
        <v>0.76</v>
      </c>
      <c r="L25" s="85">
        <v>3.6999999999999998E-2</v>
      </c>
      <c r="M25" s="85">
        <v>6.8000000000000005E-2</v>
      </c>
      <c r="N25" s="85">
        <v>0.13800000000000001</v>
      </c>
      <c r="O25" s="85">
        <v>0.32400000000000001</v>
      </c>
      <c r="P25" s="75">
        <f>1-L25</f>
        <v>0.96299999999999997</v>
      </c>
      <c r="Q25" s="75">
        <f>1-M25</f>
        <v>0.93199999999999994</v>
      </c>
      <c r="R25" s="75">
        <f>1-N25</f>
        <v>0.86199999999999999</v>
      </c>
      <c r="S25" s="75">
        <f>1-O25</f>
        <v>0.67599999999999993</v>
      </c>
      <c r="T25" s="64">
        <v>0</v>
      </c>
      <c r="U25" s="64">
        <v>0</v>
      </c>
      <c r="V25" s="64">
        <v>0</v>
      </c>
      <c r="W25" s="64">
        <v>9.6</v>
      </c>
      <c r="X25" s="82">
        <v>11.2</v>
      </c>
      <c r="Y25" s="82">
        <v>37.200000000000003</v>
      </c>
      <c r="Z25" s="82">
        <v>15.4</v>
      </c>
      <c r="AA25" s="82">
        <v>54.7</v>
      </c>
      <c r="AB25" s="82">
        <v>46.5</v>
      </c>
      <c r="AC25" s="82">
        <v>48.8</v>
      </c>
      <c r="AD25" s="82">
        <v>46.9</v>
      </c>
      <c r="AE25" s="82">
        <v>50.1</v>
      </c>
      <c r="AF25" s="82">
        <v>43</v>
      </c>
      <c r="AG25" s="82">
        <v>36.700000000000003</v>
      </c>
      <c r="AH25" s="82">
        <v>54.5</v>
      </c>
      <c r="AI25" s="82">
        <v>53.6</v>
      </c>
      <c r="AJ25" s="82">
        <v>47.4</v>
      </c>
      <c r="AK25" s="82">
        <v>47.6</v>
      </c>
      <c r="AL25" s="82">
        <v>52.9</v>
      </c>
      <c r="AM25" s="82">
        <v>51.7</v>
      </c>
      <c r="AN25" s="82">
        <v>58</v>
      </c>
      <c r="AO25" s="82">
        <v>0.5</v>
      </c>
      <c r="AP25" s="82">
        <v>1570</v>
      </c>
      <c r="AQ25" s="82">
        <v>330</v>
      </c>
      <c r="AR25" s="82">
        <v>50</v>
      </c>
      <c r="AS25" s="89">
        <v>193</v>
      </c>
      <c r="AT25" s="43">
        <v>56.9</v>
      </c>
      <c r="AU25">
        <v>30</v>
      </c>
      <c r="AV25">
        <v>10.49</v>
      </c>
      <c r="AW25">
        <v>1.65</v>
      </c>
      <c r="AX25">
        <v>21.16</v>
      </c>
      <c r="AY25" s="43">
        <v>8.11</v>
      </c>
      <c r="AZ25" s="60">
        <v>20</v>
      </c>
      <c r="BA25" s="43">
        <f>AV25+AW25+AX25+AY25</f>
        <v>41.41</v>
      </c>
      <c r="BB25" s="68">
        <f>(AV25+AW25+AX25+AY25)*20/AZ25</f>
        <v>41.41</v>
      </c>
      <c r="BC25" s="68">
        <f>BB25/20</f>
        <v>2.0705</v>
      </c>
      <c r="BD25" s="68">
        <f>(AQ25-AS25)/AZ25</f>
        <v>6.85</v>
      </c>
      <c r="BE25" s="69">
        <f>AT25/AS25</f>
        <v>0.2948186528497409</v>
      </c>
      <c r="BF25" s="70">
        <f>AP25*BE25</f>
        <v>462.86528497409324</v>
      </c>
      <c r="BG25" s="70">
        <f>BF25/AO25</f>
        <v>925.73056994818648</v>
      </c>
      <c r="BH25" s="69">
        <f>AV25/$BA25</f>
        <v>0.25332045399661918</v>
      </c>
      <c r="BI25" s="69">
        <f>AW25/$BA25</f>
        <v>3.984544795943009E-2</v>
      </c>
      <c r="BJ25" s="69">
        <f>AX25/$BA25</f>
        <v>0.5109876841342671</v>
      </c>
      <c r="BK25" s="69">
        <f>AY25/$BA25</f>
        <v>0.19584641390968366</v>
      </c>
      <c r="BL25" s="70">
        <f>$BG25*BH25</f>
        <v>234.50648825782363</v>
      </c>
      <c r="BM25" s="70">
        <f>$BG25*BI25</f>
        <v>36.886149249324021</v>
      </c>
      <c r="BN25" s="70">
        <f>$BG25*BJ25</f>
        <v>473.03692007011898</v>
      </c>
      <c r="BO25" s="70">
        <f>$BG25*BK25</f>
        <v>181.30101237091989</v>
      </c>
      <c r="BP25" s="73">
        <f>AVERAGE(T25:W25)</f>
        <v>2.4</v>
      </c>
      <c r="BQ25" s="73">
        <f>AVERAGE(X25:AA25)</f>
        <v>29.625</v>
      </c>
      <c r="BR25" s="73">
        <f>AVERAGE(AB25:AE25)</f>
        <v>48.074999999999996</v>
      </c>
      <c r="BS25" s="73">
        <f>AVERAGE(AF25:AI25)</f>
        <v>46.949999999999996</v>
      </c>
      <c r="BT25" s="73">
        <f>AVERAGE(AJ25:AM25)</f>
        <v>49.900000000000006</v>
      </c>
      <c r="BU25" s="73">
        <v>26.288</v>
      </c>
      <c r="BV25" s="73">
        <v>41.853999999999999</v>
      </c>
      <c r="BW25" s="73">
        <v>22.357999999999997</v>
      </c>
      <c r="BX25" s="73">
        <v>12.263999999999999</v>
      </c>
      <c r="BY25" s="73">
        <v>23.704000000000001</v>
      </c>
      <c r="BZ25" s="64">
        <v>158.69999999999999</v>
      </c>
      <c r="CA25" s="64">
        <v>104.1</v>
      </c>
      <c r="CB25" s="64">
        <v>46</v>
      </c>
      <c r="CC25" s="64">
        <v>229.3</v>
      </c>
      <c r="CD25" s="64">
        <v>187.5</v>
      </c>
      <c r="CE25" s="146">
        <v>-24.66</v>
      </c>
      <c r="CF25" s="146">
        <v>-25.07</v>
      </c>
      <c r="CG25" s="146">
        <v>-25.7</v>
      </c>
      <c r="CH25" s="147">
        <v>-24.75</v>
      </c>
      <c r="CI25" s="146">
        <v>-24.52</v>
      </c>
      <c r="CL25" t="s">
        <v>28</v>
      </c>
      <c r="CM25" s="60">
        <v>51.206250000000004</v>
      </c>
      <c r="CN25" s="60">
        <v>50.568750000000001</v>
      </c>
      <c r="CO25" s="60">
        <v>45.90625</v>
      </c>
      <c r="CP25" s="60">
        <v>23.943750000000001</v>
      </c>
      <c r="CQ25" s="60">
        <v>1.9499999999999997</v>
      </c>
    </row>
    <row r="26" spans="1:95" x14ac:dyDescent="0.25">
      <c r="A26" s="63">
        <v>4</v>
      </c>
      <c r="B26" s="63">
        <v>1</v>
      </c>
      <c r="C26" s="63">
        <v>1</v>
      </c>
      <c r="D26" s="63">
        <v>4</v>
      </c>
      <c r="E26" s="63">
        <v>32</v>
      </c>
      <c r="F26" s="63" t="s">
        <v>25</v>
      </c>
      <c r="G26" s="63" t="s">
        <v>29</v>
      </c>
      <c r="H26" s="63">
        <v>401</v>
      </c>
      <c r="I26" s="63" t="str">
        <f>"EVA"&amp;"_"&amp;H26</f>
        <v>EVA_401</v>
      </c>
      <c r="J26" s="80">
        <v>45561</v>
      </c>
      <c r="K26" s="82">
        <v>0.79</v>
      </c>
      <c r="L26" s="84">
        <v>1.4999999999999999E-2</v>
      </c>
      <c r="M26" s="84">
        <v>2.5999999999999999E-2</v>
      </c>
      <c r="N26" s="84">
        <v>6.8000000000000005E-2</v>
      </c>
      <c r="O26" s="84">
        <v>0.251</v>
      </c>
      <c r="P26" s="75">
        <f>1-L26</f>
        <v>0.98499999999999999</v>
      </c>
      <c r="Q26" s="75">
        <f>1-M26</f>
        <v>0.97399999999999998</v>
      </c>
      <c r="R26" s="75">
        <f>1-N26</f>
        <v>0.93199999999999994</v>
      </c>
      <c r="S26" s="75">
        <f>1-O26</f>
        <v>0.749</v>
      </c>
      <c r="T26" s="64">
        <v>0</v>
      </c>
      <c r="U26" s="64">
        <v>0</v>
      </c>
      <c r="V26" s="64">
        <v>0.7</v>
      </c>
      <c r="W26" s="64">
        <v>0</v>
      </c>
      <c r="X26" s="82">
        <v>40.1</v>
      </c>
      <c r="Y26" s="82">
        <v>34.200000000000003</v>
      </c>
      <c r="Z26" s="82">
        <v>6.4</v>
      </c>
      <c r="AA26" s="82">
        <v>28.3</v>
      </c>
      <c r="AB26" s="82">
        <v>47.5</v>
      </c>
      <c r="AC26" s="82">
        <v>49.8</v>
      </c>
      <c r="AD26" s="82">
        <v>40.6</v>
      </c>
      <c r="AE26" s="82">
        <v>47.8</v>
      </c>
      <c r="AF26" s="82">
        <v>48.5</v>
      </c>
      <c r="AG26" s="82">
        <v>54.9</v>
      </c>
      <c r="AH26" s="82">
        <v>49.7</v>
      </c>
      <c r="AI26" s="82">
        <v>45.2</v>
      </c>
      <c r="AJ26" s="82">
        <v>52.2</v>
      </c>
      <c r="AK26" s="82">
        <v>51.5</v>
      </c>
      <c r="AL26" s="82">
        <v>54.7</v>
      </c>
      <c r="AM26" s="82">
        <v>49</v>
      </c>
      <c r="AN26" s="82">
        <v>95</v>
      </c>
      <c r="AO26" s="82">
        <v>0.5</v>
      </c>
      <c r="AP26" s="82">
        <v>1913.3</v>
      </c>
      <c r="AQ26" s="82">
        <v>433.4</v>
      </c>
      <c r="AR26" s="82">
        <v>50</v>
      </c>
      <c r="AS26" s="89">
        <v>266.89999999999998</v>
      </c>
      <c r="AT26" s="43">
        <v>72.400000000000006</v>
      </c>
      <c r="AU26">
        <v>30</v>
      </c>
      <c r="AV26">
        <v>9.24</v>
      </c>
      <c r="AW26">
        <v>1.83</v>
      </c>
      <c r="AX26">
        <v>25.73</v>
      </c>
      <c r="AY26" s="43">
        <v>7.71</v>
      </c>
      <c r="AZ26" s="60">
        <v>18</v>
      </c>
      <c r="BA26" s="43">
        <f>AV26+AW26+AX26+AY26</f>
        <v>44.51</v>
      </c>
      <c r="BB26" s="68">
        <f>(AV26+AW26+AX26+AY26)*20/AZ26</f>
        <v>49.455555555555549</v>
      </c>
      <c r="BC26" s="68">
        <f>BB26/20</f>
        <v>2.4727777777777775</v>
      </c>
      <c r="BD26" s="68">
        <f>(AQ26-AS26)/AZ26</f>
        <v>9.25</v>
      </c>
      <c r="BE26" s="69">
        <f>AT26/AS26</f>
        <v>0.27126264518546278</v>
      </c>
      <c r="BF26" s="70">
        <f>AP26*BE26</f>
        <v>519.00681903334589</v>
      </c>
      <c r="BG26" s="70">
        <f>BF26/AO26</f>
        <v>1038.0136380666918</v>
      </c>
      <c r="BH26" s="69">
        <f>AV26/$BA26</f>
        <v>0.20759379914625928</v>
      </c>
      <c r="BI26" s="69">
        <f>AW26/$BA26</f>
        <v>4.111435632442148E-2</v>
      </c>
      <c r="BJ26" s="69">
        <f>AX26/$BA26</f>
        <v>0.57807234329364188</v>
      </c>
      <c r="BK26" s="69">
        <f>AY26/$BA26</f>
        <v>0.17321950123567739</v>
      </c>
      <c r="BL26" s="70">
        <f>$BG26*BH26</f>
        <v>215.48519469189469</v>
      </c>
      <c r="BM26" s="70">
        <f>$BG26*BI26</f>
        <v>42.677262585083042</v>
      </c>
      <c r="BN26" s="70">
        <f>$BG26*BJ26</f>
        <v>600.04697612797077</v>
      </c>
      <c r="BO26" s="70">
        <f>$BG26*BK26</f>
        <v>179.80420466174331</v>
      </c>
      <c r="BP26" s="73">
        <f>AVERAGE(T26:W26)</f>
        <v>0.17499999999999999</v>
      </c>
      <c r="BQ26" s="73">
        <f>AVERAGE(X26:AA26)</f>
        <v>27.250000000000004</v>
      </c>
      <c r="BR26" s="73">
        <f>AVERAGE(AB26:AE26)</f>
        <v>46.424999999999997</v>
      </c>
      <c r="BS26" s="73">
        <f>AVERAGE(AF26:AI26)</f>
        <v>49.575000000000003</v>
      </c>
      <c r="BT26" s="73">
        <f>AVERAGE(AJ26:AM26)</f>
        <v>51.85</v>
      </c>
      <c r="BU26" s="73">
        <v>24.991</v>
      </c>
      <c r="BV26" s="73">
        <v>42.207999999999998</v>
      </c>
      <c r="BW26" s="73">
        <v>19.649000000000001</v>
      </c>
      <c r="BX26" s="73">
        <v>10.597000000000001</v>
      </c>
      <c r="BY26" s="73">
        <v>22.393000000000001</v>
      </c>
      <c r="BZ26" s="64">
        <v>138.19999999999999</v>
      </c>
      <c r="CA26" s="64">
        <v>72.900000000000006</v>
      </c>
      <c r="CB26" s="64">
        <v>57.699999999999996</v>
      </c>
      <c r="CC26" s="64">
        <v>144.70000000000002</v>
      </c>
      <c r="CD26" s="64">
        <v>167.89999999999998</v>
      </c>
      <c r="CE26" s="146">
        <v>-25.12</v>
      </c>
      <c r="CF26" s="146">
        <v>-24.91</v>
      </c>
      <c r="CG26" s="146">
        <v>-25.41</v>
      </c>
      <c r="CH26" s="147">
        <v>-25.24</v>
      </c>
      <c r="CI26" s="146">
        <v>-24.68</v>
      </c>
      <c r="CL26" t="s">
        <v>29</v>
      </c>
      <c r="CM26" s="60">
        <v>52.081249999999997</v>
      </c>
      <c r="CN26" s="60">
        <v>51.712499999999999</v>
      </c>
      <c r="CO26" s="60">
        <v>46.425000000000004</v>
      </c>
      <c r="CP26" s="60">
        <v>20.425000000000001</v>
      </c>
      <c r="CQ26" s="60">
        <v>4.9999999999999996E-2</v>
      </c>
    </row>
    <row r="27" spans="1:95" x14ac:dyDescent="0.25">
      <c r="A27" s="63">
        <v>4</v>
      </c>
      <c r="B27" s="63">
        <v>2</v>
      </c>
      <c r="C27" s="63">
        <v>1</v>
      </c>
      <c r="D27" s="63">
        <v>5</v>
      </c>
      <c r="E27" s="63">
        <v>31</v>
      </c>
      <c r="F27" s="63" t="s">
        <v>30</v>
      </c>
      <c r="G27" s="63" t="s">
        <v>32</v>
      </c>
      <c r="H27" s="63">
        <v>402</v>
      </c>
      <c r="I27" s="63" t="str">
        <f>"EVA"&amp;"_"&amp;H27</f>
        <v>EVA_402</v>
      </c>
      <c r="J27" s="80">
        <v>45573</v>
      </c>
      <c r="K27" s="82">
        <v>0.77</v>
      </c>
      <c r="L27" s="84">
        <v>2.7E-2</v>
      </c>
      <c r="M27" s="84">
        <v>6.3E-2</v>
      </c>
      <c r="N27" s="84">
        <v>0.129</v>
      </c>
      <c r="O27" s="84">
        <v>0.48799999999999999</v>
      </c>
      <c r="P27" s="75">
        <f>1-L27</f>
        <v>0.97299999999999998</v>
      </c>
      <c r="Q27" s="75">
        <f>1-M27</f>
        <v>0.93700000000000006</v>
      </c>
      <c r="R27" s="75">
        <f>1-N27</f>
        <v>0.871</v>
      </c>
      <c r="S27" s="75">
        <f>1-O27</f>
        <v>0.51200000000000001</v>
      </c>
      <c r="T27" s="64">
        <v>0</v>
      </c>
      <c r="U27" s="64">
        <v>0</v>
      </c>
      <c r="V27" s="64">
        <v>0</v>
      </c>
      <c r="W27" s="64">
        <v>0</v>
      </c>
      <c r="X27" s="64">
        <v>47.5</v>
      </c>
      <c r="Y27" s="64">
        <v>55.6</v>
      </c>
      <c r="Z27" s="64">
        <v>31.3</v>
      </c>
      <c r="AA27" s="64">
        <v>12</v>
      </c>
      <c r="AB27" s="64">
        <v>52.9</v>
      </c>
      <c r="AC27" s="64">
        <v>57.7</v>
      </c>
      <c r="AD27" s="64">
        <v>58.8</v>
      </c>
      <c r="AE27" s="64">
        <v>56.6</v>
      </c>
      <c r="AF27" s="64">
        <v>54</v>
      </c>
      <c r="AG27" s="64">
        <v>56.2</v>
      </c>
      <c r="AH27" s="64">
        <v>53.8</v>
      </c>
      <c r="AI27" s="64">
        <v>51.5</v>
      </c>
      <c r="AJ27" s="64">
        <v>54.9</v>
      </c>
      <c r="AK27" s="64">
        <v>50.8</v>
      </c>
      <c r="AL27" s="64">
        <v>55.5</v>
      </c>
      <c r="AM27" s="64">
        <v>46.8</v>
      </c>
      <c r="AN27" s="64">
        <v>84</v>
      </c>
      <c r="AO27" s="82">
        <v>0.5</v>
      </c>
      <c r="AP27" s="64">
        <v>1609</v>
      </c>
      <c r="AQ27" s="64">
        <v>451</v>
      </c>
      <c r="AR27" s="82">
        <v>50</v>
      </c>
      <c r="AS27" s="88">
        <v>276</v>
      </c>
      <c r="AT27" s="43">
        <v>93.16</v>
      </c>
      <c r="AU27">
        <v>30</v>
      </c>
      <c r="AV27">
        <v>12.4</v>
      </c>
      <c r="AW27">
        <v>3.01</v>
      </c>
      <c r="AX27">
        <v>36.11</v>
      </c>
      <c r="AY27" s="43">
        <v>8.36</v>
      </c>
      <c r="AZ27" s="60">
        <v>20</v>
      </c>
      <c r="BA27" s="43">
        <f>AV27+AW27+AX27+AY27</f>
        <v>59.879999999999995</v>
      </c>
      <c r="BB27" s="68">
        <f>(AV27+AW27+AX27+AY27)*20/AZ27</f>
        <v>59.879999999999995</v>
      </c>
      <c r="BC27" s="68">
        <f>BB27/20</f>
        <v>2.9939999999999998</v>
      </c>
      <c r="BD27" s="68">
        <f>(AQ27-AS27)/AZ27</f>
        <v>8.75</v>
      </c>
      <c r="BE27" s="69">
        <f>AT27/AS27</f>
        <v>0.33753623188405796</v>
      </c>
      <c r="BF27" s="70">
        <f>AP27*BE27</f>
        <v>543.09579710144931</v>
      </c>
      <c r="BG27" s="70">
        <f>BF27/AO27</f>
        <v>1086.1915942028986</v>
      </c>
      <c r="BH27" s="69">
        <f>AV27/$BA27</f>
        <v>0.20708082832331332</v>
      </c>
      <c r="BI27" s="69">
        <f>AW27/$BA27</f>
        <v>5.0267201068804272E-2</v>
      </c>
      <c r="BJ27" s="69">
        <f>AX27/$BA27</f>
        <v>0.60303941215764867</v>
      </c>
      <c r="BK27" s="69">
        <f>AY27/$BA27</f>
        <v>0.13961255845023379</v>
      </c>
      <c r="BL27" s="70">
        <f>$BG27*BH27</f>
        <v>224.92945504535646</v>
      </c>
      <c r="BM27" s="70">
        <f>$BG27*BI27</f>
        <v>54.599811265042163</v>
      </c>
      <c r="BN27" s="70">
        <f>$BG27*BJ27</f>
        <v>655.01634045869525</v>
      </c>
      <c r="BO27" s="70">
        <f>$BG27*BK27</f>
        <v>151.64598743380481</v>
      </c>
      <c r="BP27" s="73">
        <f>AVERAGE(T27:W27)</f>
        <v>0</v>
      </c>
      <c r="BQ27" s="73">
        <f>AVERAGE(X27:AA27)</f>
        <v>36.6</v>
      </c>
      <c r="BR27" s="73">
        <f>AVERAGE(AB27:AE27)</f>
        <v>56.499999999999993</v>
      </c>
      <c r="BS27" s="73">
        <f>AVERAGE(AF27:AI27)</f>
        <v>53.875</v>
      </c>
      <c r="BT27" s="73">
        <f>AVERAGE(AJ27:AM27)</f>
        <v>52</v>
      </c>
      <c r="BU27" s="73">
        <v>19.234999999999999</v>
      </c>
      <c r="BV27" s="73">
        <v>42.918000000000006</v>
      </c>
      <c r="BW27" s="73">
        <v>19.218</v>
      </c>
      <c r="BX27" s="73">
        <v>10.367999999999999</v>
      </c>
      <c r="BY27" s="73">
        <v>18.698</v>
      </c>
      <c r="BZ27" s="64">
        <v>190.2</v>
      </c>
      <c r="CA27" s="64">
        <v>109.5</v>
      </c>
      <c r="CB27" s="64">
        <v>41.6</v>
      </c>
      <c r="CC27" s="64">
        <v>199.5</v>
      </c>
      <c r="CD27" s="64">
        <v>228.9</v>
      </c>
      <c r="CE27" s="146">
        <v>-24.62</v>
      </c>
      <c r="CF27" s="146">
        <v>-24.79</v>
      </c>
      <c r="CG27" s="146">
        <v>-25.13</v>
      </c>
      <c r="CH27" s="147">
        <v>-24.75</v>
      </c>
      <c r="CI27" s="146">
        <v>-24.43</v>
      </c>
      <c r="CK27" t="s">
        <v>325</v>
      </c>
      <c r="CM27" s="60">
        <v>50.477343749999996</v>
      </c>
      <c r="CN27" s="60">
        <v>51.014843750000004</v>
      </c>
      <c r="CO27" s="60">
        <v>49.621093749999993</v>
      </c>
      <c r="CP27" s="60">
        <v>33.366406250000004</v>
      </c>
      <c r="CQ27" s="60">
        <v>8.9851562499999993</v>
      </c>
    </row>
    <row r="28" spans="1:95" x14ac:dyDescent="0.25">
      <c r="A28" s="63">
        <v>4</v>
      </c>
      <c r="B28" s="63">
        <v>3</v>
      </c>
      <c r="C28" s="63">
        <v>2</v>
      </c>
      <c r="D28" s="63">
        <v>12</v>
      </c>
      <c r="E28" s="63">
        <v>30</v>
      </c>
      <c r="F28" s="63" t="s">
        <v>25</v>
      </c>
      <c r="G28" s="63" t="s">
        <v>28</v>
      </c>
      <c r="H28" s="63">
        <v>403</v>
      </c>
      <c r="I28" s="63" t="str">
        <f>"EVA"&amp;"_"&amp;H28</f>
        <v>EVA_403</v>
      </c>
      <c r="J28" s="80">
        <v>45560</v>
      </c>
      <c r="K28" s="82">
        <v>0.72</v>
      </c>
      <c r="L28" s="126">
        <v>0.105</v>
      </c>
      <c r="M28" s="126">
        <v>0.13500000000000001</v>
      </c>
      <c r="N28" s="126">
        <v>0.19800000000000001</v>
      </c>
      <c r="O28" s="126">
        <v>0.33500000000000002</v>
      </c>
      <c r="P28" s="75">
        <f>1-L28</f>
        <v>0.89500000000000002</v>
      </c>
      <c r="Q28" s="75">
        <f>1-M28</f>
        <v>0.86499999999999999</v>
      </c>
      <c r="R28" s="75">
        <f>1-N28</f>
        <v>0.80200000000000005</v>
      </c>
      <c r="S28" s="75">
        <f>1-O28</f>
        <v>0.66500000000000004</v>
      </c>
      <c r="T28" s="64">
        <v>0</v>
      </c>
      <c r="U28" s="64">
        <v>0</v>
      </c>
      <c r="V28" s="64">
        <v>20.7</v>
      </c>
      <c r="W28" s="64">
        <v>27.2</v>
      </c>
      <c r="X28" s="82">
        <v>11.6</v>
      </c>
      <c r="Y28" s="82">
        <v>19.399999999999999</v>
      </c>
      <c r="Z28" s="82">
        <v>11.3</v>
      </c>
      <c r="AA28" s="82">
        <v>46.8</v>
      </c>
      <c r="AB28" s="82">
        <v>47.9</v>
      </c>
      <c r="AC28" s="82">
        <v>51.4</v>
      </c>
      <c r="AD28" s="82">
        <v>50.1</v>
      </c>
      <c r="AE28" s="82">
        <v>50.4</v>
      </c>
      <c r="AF28" s="82">
        <v>48</v>
      </c>
      <c r="AG28" s="82">
        <v>53.7</v>
      </c>
      <c r="AH28" s="82">
        <v>53.2</v>
      </c>
      <c r="AI28" s="82">
        <v>53.5</v>
      </c>
      <c r="AJ28" s="82">
        <v>52.4</v>
      </c>
      <c r="AK28" s="82">
        <v>57.4</v>
      </c>
      <c r="AL28" s="82">
        <v>51.3</v>
      </c>
      <c r="AM28" s="82">
        <v>56.3</v>
      </c>
      <c r="AN28" s="82">
        <v>63</v>
      </c>
      <c r="AO28" s="82">
        <v>0.5</v>
      </c>
      <c r="AP28" s="82">
        <v>1569</v>
      </c>
      <c r="AQ28" s="82">
        <v>426.9</v>
      </c>
      <c r="AR28" s="82">
        <v>50</v>
      </c>
      <c r="AS28" s="89">
        <v>239.1</v>
      </c>
      <c r="AT28" s="43">
        <v>66.099999999999994</v>
      </c>
      <c r="AU28">
        <v>30</v>
      </c>
      <c r="AV28">
        <v>11.17</v>
      </c>
      <c r="AW28">
        <v>1.66</v>
      </c>
      <c r="AX28">
        <v>26.65</v>
      </c>
      <c r="AY28" s="43">
        <v>11.74</v>
      </c>
      <c r="AZ28" s="60">
        <v>20</v>
      </c>
      <c r="BA28" s="43">
        <f>AV28+AW28+AX28+AY28</f>
        <v>51.22</v>
      </c>
      <c r="BB28" s="68">
        <f>(AV28+AW28+AX28+AY28)*20/AZ28</f>
        <v>51.220000000000006</v>
      </c>
      <c r="BC28" s="68">
        <f>BB28/20</f>
        <v>2.5610000000000004</v>
      </c>
      <c r="BD28" s="68">
        <f>(AQ28-AS28)/AZ28</f>
        <v>9.3899999999999988</v>
      </c>
      <c r="BE28" s="69">
        <f>AT28/AS28</f>
        <v>0.27645336679213717</v>
      </c>
      <c r="BF28" s="70">
        <f>AP28*BE28</f>
        <v>433.75533249686322</v>
      </c>
      <c r="BG28" s="70">
        <f>BF28/AO28</f>
        <v>867.51066499372644</v>
      </c>
      <c r="BH28" s="69">
        <f>AV28/$BA28</f>
        <v>0.21807887543928153</v>
      </c>
      <c r="BI28" s="69">
        <f>AW28/$BA28</f>
        <v>3.2409215150331898E-2</v>
      </c>
      <c r="BJ28" s="69">
        <f>AX28/$BA28</f>
        <v>0.52030456852791873</v>
      </c>
      <c r="BK28" s="69">
        <f>AY28/$BA28</f>
        <v>0.2292073408824678</v>
      </c>
      <c r="BL28" s="70">
        <f>$BG28*BH28</f>
        <v>189.18575025341516</v>
      </c>
      <c r="BM28" s="70">
        <f>$BG28*BI28</f>
        <v>28.115339786989178</v>
      </c>
      <c r="BN28" s="70">
        <f>$BG28*BJ28</f>
        <v>451.36976224292869</v>
      </c>
      <c r="BO28" s="70">
        <f>$BG28*BK28</f>
        <v>198.83981271039337</v>
      </c>
      <c r="BP28" s="73">
        <f>AVERAGE(T28:W28)</f>
        <v>11.975</v>
      </c>
      <c r="BQ28" s="73">
        <f>AVERAGE(X28:AA28)</f>
        <v>22.274999999999999</v>
      </c>
      <c r="BR28" s="73">
        <f>AVERAGE(AB28:AE28)</f>
        <v>49.95</v>
      </c>
      <c r="BS28" s="73">
        <f>AVERAGE(AF28:AI28)</f>
        <v>52.1</v>
      </c>
      <c r="BT28" s="73">
        <f>AVERAGE(AJ28:AM28)</f>
        <v>54.349999999999994</v>
      </c>
      <c r="BU28" s="73">
        <v>23.474</v>
      </c>
      <c r="BV28" s="73">
        <v>38.601999999999997</v>
      </c>
      <c r="BW28" s="73">
        <v>18.356999999999999</v>
      </c>
      <c r="BX28" s="73">
        <v>10.161999999999999</v>
      </c>
      <c r="BY28" s="73">
        <v>20.670999999999999</v>
      </c>
      <c r="BZ28" s="64">
        <v>184.5</v>
      </c>
      <c r="CA28" s="64">
        <v>106.89999999999999</v>
      </c>
      <c r="CB28" s="64">
        <v>82.699999999999989</v>
      </c>
      <c r="CC28" s="64">
        <v>229.20000000000002</v>
      </c>
      <c r="CD28" s="64">
        <v>184.7</v>
      </c>
      <c r="CE28" s="146">
        <v>-24.61</v>
      </c>
      <c r="CF28" s="146">
        <v>-25.25</v>
      </c>
      <c r="CG28" s="146">
        <v>-25.43</v>
      </c>
      <c r="CH28" s="147">
        <v>-24.78</v>
      </c>
      <c r="CI28" s="146">
        <v>-24.57</v>
      </c>
    </row>
    <row r="29" spans="1:95" x14ac:dyDescent="0.25">
      <c r="A29" s="63">
        <v>4</v>
      </c>
      <c r="B29" s="63">
        <v>4</v>
      </c>
      <c r="C29" s="63">
        <v>2</v>
      </c>
      <c r="D29" s="63">
        <v>13</v>
      </c>
      <c r="E29" s="63">
        <v>29</v>
      </c>
      <c r="F29" s="63" t="s">
        <v>30</v>
      </c>
      <c r="G29" s="63" t="s">
        <v>29</v>
      </c>
      <c r="H29" s="63">
        <v>404</v>
      </c>
      <c r="I29" s="63" t="str">
        <f>"EVA"&amp;"_"&amp;H29</f>
        <v>EVA_404</v>
      </c>
      <c r="J29" s="80">
        <v>45573</v>
      </c>
      <c r="K29" s="82">
        <v>0.61</v>
      </c>
      <c r="L29" s="126">
        <v>8.3000000000000004E-2</v>
      </c>
      <c r="M29" s="126">
        <v>0.106</v>
      </c>
      <c r="N29" s="126">
        <v>0.28699999999999998</v>
      </c>
      <c r="O29" s="126">
        <v>0.58199999999999996</v>
      </c>
      <c r="P29" s="75">
        <f>1-L29</f>
        <v>0.91700000000000004</v>
      </c>
      <c r="Q29" s="75">
        <f>1-M29</f>
        <v>0.89400000000000002</v>
      </c>
      <c r="R29" s="75">
        <f>1-N29</f>
        <v>0.71300000000000008</v>
      </c>
      <c r="S29" s="75">
        <f>1-O29</f>
        <v>0.41800000000000004</v>
      </c>
      <c r="T29" s="64">
        <v>0</v>
      </c>
      <c r="U29" s="64">
        <v>0</v>
      </c>
      <c r="V29" s="64">
        <v>0</v>
      </c>
      <c r="W29" s="64">
        <v>0</v>
      </c>
      <c r="X29" s="64">
        <v>0</v>
      </c>
      <c r="Y29" s="64">
        <v>26.8</v>
      </c>
      <c r="Z29" s="64">
        <v>0</v>
      </c>
      <c r="AA29" s="64">
        <v>12.5</v>
      </c>
      <c r="AB29" s="64">
        <v>13.9</v>
      </c>
      <c r="AC29" s="64">
        <v>56.8</v>
      </c>
      <c r="AD29" s="64">
        <v>52.2</v>
      </c>
      <c r="AE29" s="64">
        <v>53.4</v>
      </c>
      <c r="AF29" s="64">
        <v>46.7</v>
      </c>
      <c r="AG29" s="64">
        <v>54.2</v>
      </c>
      <c r="AH29" s="64">
        <v>48.3</v>
      </c>
      <c r="AI29" s="64">
        <v>56.5</v>
      </c>
      <c r="AJ29" s="64">
        <v>52.6</v>
      </c>
      <c r="AK29" s="64">
        <v>52.2</v>
      </c>
      <c r="AL29" s="64">
        <v>52</v>
      </c>
      <c r="AM29" s="64">
        <v>54.7</v>
      </c>
      <c r="AN29" s="64">
        <v>77</v>
      </c>
      <c r="AO29" s="82">
        <v>0.5</v>
      </c>
      <c r="AP29" s="64">
        <v>1124</v>
      </c>
      <c r="AQ29" s="64">
        <v>310</v>
      </c>
      <c r="AR29" s="82">
        <v>50</v>
      </c>
      <c r="AS29" s="88">
        <v>196</v>
      </c>
      <c r="AT29" s="43">
        <v>74.06</v>
      </c>
      <c r="AU29">
        <v>30</v>
      </c>
      <c r="AV29">
        <v>7.84</v>
      </c>
      <c r="AW29">
        <v>1.66</v>
      </c>
      <c r="AX29">
        <v>22.74</v>
      </c>
      <c r="AY29" s="43">
        <v>9.68</v>
      </c>
      <c r="AZ29" s="60">
        <v>20</v>
      </c>
      <c r="BA29" s="43">
        <f>AV29+AW29+AX29+AY29</f>
        <v>41.919999999999995</v>
      </c>
      <c r="BB29" s="68">
        <f>(AV29+AW29+AX29+AY29)*20/AZ29</f>
        <v>41.919999999999995</v>
      </c>
      <c r="BC29" s="68">
        <f>BB29/20</f>
        <v>2.0959999999999996</v>
      </c>
      <c r="BD29" s="68">
        <f>(AQ29-AS29)/AZ29</f>
        <v>5.7</v>
      </c>
      <c r="BE29" s="69">
        <f>AT29/AS29</f>
        <v>0.37785714285714289</v>
      </c>
      <c r="BF29" s="70">
        <f>AP29*BE29</f>
        <v>424.7114285714286</v>
      </c>
      <c r="BG29" s="70">
        <f>BF29/AO29</f>
        <v>849.4228571428572</v>
      </c>
      <c r="BH29" s="69">
        <f>AV29/$BA29</f>
        <v>0.18702290076335881</v>
      </c>
      <c r="BI29" s="69">
        <f>AW29/$BA29</f>
        <v>3.9599236641221378E-2</v>
      </c>
      <c r="BJ29" s="69">
        <f>AX29/$BA29</f>
        <v>0.54246183206106868</v>
      </c>
      <c r="BK29" s="69">
        <f>AY29/$BA29</f>
        <v>0.23091603053435117</v>
      </c>
      <c r="BL29" s="70">
        <f>$BG29*BH29</f>
        <v>158.8615267175573</v>
      </c>
      <c r="BM29" s="70">
        <f>$BG29*BI29</f>
        <v>33.636496728462383</v>
      </c>
      <c r="BN29" s="70">
        <f>$BG29*BJ29</f>
        <v>460.77947928026174</v>
      </c>
      <c r="BO29" s="70">
        <f>$BG29*BK29</f>
        <v>196.14535441657583</v>
      </c>
      <c r="BP29" s="73">
        <f>AVERAGE(T29:W29)</f>
        <v>0</v>
      </c>
      <c r="BQ29" s="73">
        <f>AVERAGE(X29:AA29)</f>
        <v>9.8249999999999993</v>
      </c>
      <c r="BR29" s="73">
        <f>AVERAGE(AB29:AE29)</f>
        <v>44.075000000000003</v>
      </c>
      <c r="BS29" s="73">
        <f>AVERAGE(AF29:AI29)</f>
        <v>51.424999999999997</v>
      </c>
      <c r="BT29" s="73">
        <f>AVERAGE(AJ29:AM29)</f>
        <v>52.875</v>
      </c>
      <c r="BU29" s="73">
        <v>14.894</v>
      </c>
      <c r="BV29" s="73">
        <v>34.06</v>
      </c>
      <c r="BW29" s="73">
        <v>18.603000000000002</v>
      </c>
      <c r="BX29" s="73">
        <v>8.1401000000000003</v>
      </c>
      <c r="BY29" s="73">
        <v>21.421999999999997</v>
      </c>
      <c r="BZ29" s="64">
        <v>173</v>
      </c>
      <c r="CA29" s="64">
        <v>117.2</v>
      </c>
      <c r="CB29" s="64">
        <v>49.900000000000006</v>
      </c>
      <c r="CC29" s="64">
        <v>202.39999999999998</v>
      </c>
      <c r="CD29" s="64">
        <v>234.3</v>
      </c>
      <c r="CE29" s="146">
        <v>-24.79</v>
      </c>
      <c r="CF29" s="146">
        <v>-24.63</v>
      </c>
      <c r="CG29" s="146">
        <v>-25.18</v>
      </c>
      <c r="CH29" s="147">
        <v>-24.77</v>
      </c>
      <c r="CI29" s="146">
        <v>-24.17</v>
      </c>
    </row>
    <row r="30" spans="1:95" x14ac:dyDescent="0.25">
      <c r="A30" s="63">
        <v>4</v>
      </c>
      <c r="B30" s="63">
        <v>5</v>
      </c>
      <c r="C30" s="63">
        <v>3</v>
      </c>
      <c r="D30" s="63">
        <v>20</v>
      </c>
      <c r="E30" s="63">
        <v>28</v>
      </c>
      <c r="F30" s="63" t="s">
        <v>25</v>
      </c>
      <c r="G30" s="63" t="s">
        <v>27</v>
      </c>
      <c r="H30" s="63">
        <v>405</v>
      </c>
      <c r="I30" s="63" t="str">
        <f>"EVA"&amp;"_"&amp;H30</f>
        <v>EVA_405</v>
      </c>
      <c r="J30" s="80">
        <v>45566</v>
      </c>
      <c r="K30" s="82">
        <v>0.73</v>
      </c>
      <c r="L30" s="84">
        <v>0.104</v>
      </c>
      <c r="M30" s="84">
        <v>0.109</v>
      </c>
      <c r="N30" s="84">
        <v>0.16800000000000001</v>
      </c>
      <c r="O30" s="84">
        <v>0.371</v>
      </c>
      <c r="P30" s="75">
        <f>1-L30</f>
        <v>0.89600000000000002</v>
      </c>
      <c r="Q30" s="75">
        <f>1-M30</f>
        <v>0.89100000000000001</v>
      </c>
      <c r="R30" s="75">
        <f>1-N30</f>
        <v>0.83199999999999996</v>
      </c>
      <c r="S30" s="75">
        <f>1-O30</f>
        <v>0.629</v>
      </c>
      <c r="T30" s="64">
        <v>0</v>
      </c>
      <c r="U30" s="64">
        <v>0</v>
      </c>
      <c r="V30" s="64">
        <v>0</v>
      </c>
      <c r="W30" s="64">
        <v>0</v>
      </c>
      <c r="X30" s="82">
        <v>7.6</v>
      </c>
      <c r="Y30" s="82">
        <v>0</v>
      </c>
      <c r="Z30" s="82">
        <v>45.9</v>
      </c>
      <c r="AA30" s="82">
        <v>2.4</v>
      </c>
      <c r="AB30" s="82">
        <v>53.4</v>
      </c>
      <c r="AC30" s="82">
        <v>52.8</v>
      </c>
      <c r="AD30" s="82">
        <v>58.4</v>
      </c>
      <c r="AE30" s="82">
        <v>29.7</v>
      </c>
      <c r="AF30" s="82">
        <v>50</v>
      </c>
      <c r="AG30" s="82">
        <v>54.1</v>
      </c>
      <c r="AH30" s="82">
        <v>52.2</v>
      </c>
      <c r="AI30" s="82">
        <v>54.3</v>
      </c>
      <c r="AJ30" s="82">
        <v>52.9</v>
      </c>
      <c r="AK30" s="82">
        <v>50.8</v>
      </c>
      <c r="AL30" s="82">
        <v>47.9</v>
      </c>
      <c r="AM30" s="82">
        <v>51.3</v>
      </c>
      <c r="AN30" s="82">
        <v>79</v>
      </c>
      <c r="AO30" s="82">
        <v>0.5</v>
      </c>
      <c r="AP30" s="82">
        <v>1369</v>
      </c>
      <c r="AQ30" s="82">
        <v>386</v>
      </c>
      <c r="AR30" s="82">
        <v>50</v>
      </c>
      <c r="AS30" s="89">
        <v>253</v>
      </c>
      <c r="AT30" s="43">
        <v>90.5</v>
      </c>
      <c r="AU30">
        <v>30</v>
      </c>
      <c r="AV30">
        <v>8.6300000000000008</v>
      </c>
      <c r="AW30">
        <v>4.12</v>
      </c>
      <c r="AX30">
        <v>25.71</v>
      </c>
      <c r="AY30" s="43">
        <v>10.36</v>
      </c>
      <c r="AZ30" s="60">
        <v>20</v>
      </c>
      <c r="BA30" s="43">
        <f>AV30+AW30+AX30+AY30</f>
        <v>48.82</v>
      </c>
      <c r="BB30" s="68">
        <f>(AV30+AW30+AX30+AY30)*20/AZ30</f>
        <v>48.82</v>
      </c>
      <c r="BC30" s="68">
        <f>BB30/20</f>
        <v>2.4409999999999998</v>
      </c>
      <c r="BD30" s="68">
        <f>(AQ30-AS30)/AZ30</f>
        <v>6.65</v>
      </c>
      <c r="BE30" s="69">
        <f>AT30/AS30</f>
        <v>0.35770750988142291</v>
      </c>
      <c r="BF30" s="70">
        <f>AP30*BE30</f>
        <v>489.70158102766794</v>
      </c>
      <c r="BG30" s="70">
        <f>BF30/AO30</f>
        <v>979.40316205533588</v>
      </c>
      <c r="BH30" s="69">
        <f>AV30/$BA30</f>
        <v>0.17677181482998772</v>
      </c>
      <c r="BI30" s="69">
        <f>AW30/$BA30</f>
        <v>8.4391642769356817E-2</v>
      </c>
      <c r="BJ30" s="69">
        <f>AX30/$BA30</f>
        <v>0.52662843097091361</v>
      </c>
      <c r="BK30" s="69">
        <f>AY30/$BA30</f>
        <v>0.21220811142974189</v>
      </c>
      <c r="BL30" s="70">
        <f>$BG30*BH30</f>
        <v>173.13087440675028</v>
      </c>
      <c r="BM30" s="70">
        <f>$BG30*BI30</f>
        <v>82.653441779352391</v>
      </c>
      <c r="BN30" s="70">
        <f>$BG30*BJ30</f>
        <v>515.78155052115301</v>
      </c>
      <c r="BO30" s="70">
        <f>$BG30*BK30</f>
        <v>207.83729534808026</v>
      </c>
      <c r="BP30" s="73">
        <f>AVERAGE(T30:W30)</f>
        <v>0</v>
      </c>
      <c r="BQ30" s="73">
        <f>AVERAGE(X30:AA30)</f>
        <v>13.975</v>
      </c>
      <c r="BR30" s="73">
        <f>AVERAGE(AB30:AE30)</f>
        <v>48.574999999999996</v>
      </c>
      <c r="BS30" s="73">
        <f>AVERAGE(AF30:AI30)</f>
        <v>52.650000000000006</v>
      </c>
      <c r="BT30" s="73">
        <f>AVERAGE(AJ30:AM30)</f>
        <v>50.724999999999994</v>
      </c>
      <c r="BU30" s="73">
        <v>16.559999999999999</v>
      </c>
      <c r="BV30" s="73">
        <v>31.686</v>
      </c>
      <c r="BW30" s="73">
        <v>13.804</v>
      </c>
      <c r="BX30" s="73">
        <v>5.7252000000000001</v>
      </c>
      <c r="BY30" s="73">
        <v>22.040000000000003</v>
      </c>
      <c r="BZ30" s="64">
        <v>175.2</v>
      </c>
      <c r="CA30" s="64">
        <v>133.19999999999999</v>
      </c>
      <c r="CB30" s="64">
        <v>54.6</v>
      </c>
      <c r="CC30" s="64">
        <v>170.7</v>
      </c>
      <c r="CD30" s="64">
        <v>241.9</v>
      </c>
      <c r="CE30" s="146">
        <v>-24.49</v>
      </c>
      <c r="CF30" s="146">
        <v>-24.5</v>
      </c>
      <c r="CG30" s="146">
        <v>-25.37</v>
      </c>
      <c r="CH30" s="147">
        <v>-25.3</v>
      </c>
      <c r="CI30" s="146">
        <v>-24.32</v>
      </c>
      <c r="CM30" s="46" t="s">
        <v>442</v>
      </c>
    </row>
    <row r="31" spans="1:95" x14ac:dyDescent="0.25">
      <c r="A31" s="63">
        <v>4</v>
      </c>
      <c r="B31" s="63">
        <v>6</v>
      </c>
      <c r="C31" s="63">
        <v>3</v>
      </c>
      <c r="D31" s="63">
        <v>21</v>
      </c>
      <c r="E31" s="63">
        <v>27</v>
      </c>
      <c r="F31" s="63" t="s">
        <v>30</v>
      </c>
      <c r="G31" s="63" t="s">
        <v>28</v>
      </c>
      <c r="H31" s="63">
        <v>406</v>
      </c>
      <c r="I31" s="63" t="str">
        <f>"EVA"&amp;"_"&amp;H31</f>
        <v>EVA_406</v>
      </c>
      <c r="J31" s="80">
        <v>45568</v>
      </c>
      <c r="K31" s="55">
        <v>0.71</v>
      </c>
      <c r="L31" s="85">
        <v>4.4999999999999998E-2</v>
      </c>
      <c r="M31" s="85">
        <v>0.1</v>
      </c>
      <c r="N31" s="85">
        <v>0.155</v>
      </c>
      <c r="O31" s="85">
        <v>0.34399999999999997</v>
      </c>
      <c r="P31" s="75">
        <f>1-L31</f>
        <v>0.95499999999999996</v>
      </c>
      <c r="Q31" s="75">
        <f>1-M31</f>
        <v>0.9</v>
      </c>
      <c r="R31" s="75">
        <f>1-N31</f>
        <v>0.84499999999999997</v>
      </c>
      <c r="S31" s="75">
        <f>1-O31</f>
        <v>0.65600000000000003</v>
      </c>
      <c r="T31" s="64">
        <v>0</v>
      </c>
      <c r="U31" s="64">
        <v>0</v>
      </c>
      <c r="V31" s="64">
        <v>0</v>
      </c>
      <c r="W31" s="64">
        <v>0</v>
      </c>
      <c r="X31" s="82">
        <v>14.7</v>
      </c>
      <c r="Y31" s="82">
        <v>0</v>
      </c>
      <c r="Z31" s="82">
        <v>32.6</v>
      </c>
      <c r="AA31" s="82">
        <v>35.700000000000003</v>
      </c>
      <c r="AB31" s="82">
        <v>38.200000000000003</v>
      </c>
      <c r="AC31" s="82">
        <v>19.3</v>
      </c>
      <c r="AD31" s="82">
        <v>33.5</v>
      </c>
      <c r="AE31" s="82">
        <v>56.7</v>
      </c>
      <c r="AF31" s="82">
        <v>51.1</v>
      </c>
      <c r="AG31" s="82">
        <v>43</v>
      </c>
      <c r="AH31" s="82">
        <v>50.9</v>
      </c>
      <c r="AI31" s="82">
        <v>51.9</v>
      </c>
      <c r="AJ31" s="82">
        <v>53.9</v>
      </c>
      <c r="AK31" s="82">
        <v>46.5</v>
      </c>
      <c r="AL31" s="82">
        <v>52.4</v>
      </c>
      <c r="AM31" s="82">
        <v>51.7</v>
      </c>
      <c r="AN31" s="82">
        <v>57</v>
      </c>
      <c r="AO31" s="82">
        <v>0.5</v>
      </c>
      <c r="AP31" s="82">
        <v>1386</v>
      </c>
      <c r="AQ31" s="82">
        <v>292</v>
      </c>
      <c r="AR31" s="82">
        <v>50</v>
      </c>
      <c r="AS31" s="89">
        <v>184</v>
      </c>
      <c r="AT31" s="43">
        <v>60.9</v>
      </c>
      <c r="AU31">
        <v>30</v>
      </c>
      <c r="AV31">
        <v>6.84</v>
      </c>
      <c r="AW31">
        <v>3.21</v>
      </c>
      <c r="AX31">
        <v>16.41</v>
      </c>
      <c r="AY31" s="43">
        <v>8.06</v>
      </c>
      <c r="AZ31" s="60">
        <v>18</v>
      </c>
      <c r="BA31" s="43">
        <f>AV31+AW31+AX31+AY31</f>
        <v>34.520000000000003</v>
      </c>
      <c r="BB31" s="68">
        <f>(AV31+AW31+AX31+AY31)*20/AZ31</f>
        <v>38.355555555555561</v>
      </c>
      <c r="BC31" s="68">
        <f>BB31/20</f>
        <v>1.917777777777778</v>
      </c>
      <c r="BD31" s="68">
        <f>(AQ31-AS31)/AZ31</f>
        <v>6</v>
      </c>
      <c r="BE31" s="69">
        <f>AT31/AS31</f>
        <v>0.33097826086956522</v>
      </c>
      <c r="BF31" s="70">
        <f>AP31*BE31</f>
        <v>458.7358695652174</v>
      </c>
      <c r="BG31" s="70">
        <f>BF31/AO31</f>
        <v>917.4717391304348</v>
      </c>
      <c r="BH31" s="69">
        <f>AV31/$BA31</f>
        <v>0.19814600231749707</v>
      </c>
      <c r="BI31" s="69">
        <f>AW31/$BA31</f>
        <v>9.2989571263035906E-2</v>
      </c>
      <c r="BJ31" s="69">
        <f>AX31/$BA31</f>
        <v>0.47537659327925835</v>
      </c>
      <c r="BK31" s="69">
        <f>AY31/$BA31</f>
        <v>0.23348783314020857</v>
      </c>
      <c r="BL31" s="70">
        <f>$BG31*BH31</f>
        <v>181.79335734797721</v>
      </c>
      <c r="BM31" s="70">
        <f>$BG31*BI31</f>
        <v>85.315303667691055</v>
      </c>
      <c r="BN31" s="70">
        <f>$BG31*BJ31</f>
        <v>436.14458977782255</v>
      </c>
      <c r="BO31" s="70">
        <f>$BG31*BK31</f>
        <v>214.21848833694392</v>
      </c>
      <c r="BP31" s="73">
        <f>AVERAGE(T31:W31)</f>
        <v>0</v>
      </c>
      <c r="BQ31" s="73">
        <f>AVERAGE(X31:AA31)</f>
        <v>20.75</v>
      </c>
      <c r="BR31" s="73">
        <f>AVERAGE(AB31:AE31)</f>
        <v>36.924999999999997</v>
      </c>
      <c r="BS31" s="73">
        <f>AVERAGE(AF31:AI31)</f>
        <v>49.225000000000001</v>
      </c>
      <c r="BT31" s="73">
        <f>AVERAGE(AJ31:AM31)</f>
        <v>51.125</v>
      </c>
      <c r="BU31" s="73">
        <v>20.268000000000001</v>
      </c>
      <c r="BV31" s="73">
        <v>38.103999999999999</v>
      </c>
      <c r="BW31" s="73">
        <v>19.081</v>
      </c>
      <c r="BX31" s="73">
        <v>10.411999999999999</v>
      </c>
      <c r="BY31" s="73">
        <v>18.494999999999997</v>
      </c>
      <c r="BZ31" s="64">
        <v>189.60000000000002</v>
      </c>
      <c r="CA31" s="64">
        <v>120.1</v>
      </c>
      <c r="CB31" s="64">
        <v>54.1</v>
      </c>
      <c r="CC31" s="64">
        <v>207.3</v>
      </c>
      <c r="CD31" s="64">
        <v>200.5</v>
      </c>
      <c r="CE31" s="146">
        <v>-24.36</v>
      </c>
      <c r="CF31" s="146">
        <v>-24.59</v>
      </c>
      <c r="CG31" s="146">
        <v>-25.31</v>
      </c>
      <c r="CH31" s="147">
        <v>-24.62</v>
      </c>
      <c r="CI31" s="146">
        <v>-24.76</v>
      </c>
      <c r="CK31" s="46" t="s">
        <v>21</v>
      </c>
      <c r="CL31" s="46" t="s">
        <v>22</v>
      </c>
      <c r="CM31" t="s">
        <v>456</v>
      </c>
      <c r="CN31" t="s">
        <v>455</v>
      </c>
      <c r="CO31" t="s">
        <v>454</v>
      </c>
      <c r="CP31" t="s">
        <v>453</v>
      </c>
    </row>
    <row r="32" spans="1:95" x14ac:dyDescent="0.25">
      <c r="A32" s="63">
        <v>4</v>
      </c>
      <c r="B32" s="63">
        <v>7</v>
      </c>
      <c r="C32" s="63">
        <v>4</v>
      </c>
      <c r="D32" s="63">
        <v>28</v>
      </c>
      <c r="E32" s="63">
        <v>26</v>
      </c>
      <c r="F32" s="63" t="s">
        <v>25</v>
      </c>
      <c r="G32" s="63" t="s">
        <v>26</v>
      </c>
      <c r="H32" s="63">
        <v>407</v>
      </c>
      <c r="I32" s="63" t="str">
        <f>"EVA"&amp;"_"&amp;H32</f>
        <v>EVA_407</v>
      </c>
      <c r="J32" s="80">
        <v>45573</v>
      </c>
      <c r="K32" s="82">
        <v>0.74</v>
      </c>
      <c r="L32" s="84">
        <v>2.5999999999999999E-2</v>
      </c>
      <c r="M32" s="84">
        <v>4.5999999999999999E-2</v>
      </c>
      <c r="N32" s="84">
        <v>0.183</v>
      </c>
      <c r="O32" s="84">
        <v>0.53700000000000003</v>
      </c>
      <c r="P32" s="75">
        <f>1-L32</f>
        <v>0.97399999999999998</v>
      </c>
      <c r="Q32" s="75">
        <f>1-M32</f>
        <v>0.95399999999999996</v>
      </c>
      <c r="R32" s="75">
        <f>1-N32</f>
        <v>0.81699999999999995</v>
      </c>
      <c r="S32" s="75">
        <f>1-O32</f>
        <v>0.46299999999999997</v>
      </c>
      <c r="T32" s="64">
        <v>0</v>
      </c>
      <c r="U32" s="64">
        <v>0</v>
      </c>
      <c r="V32" s="64">
        <v>0</v>
      </c>
      <c r="W32" s="64">
        <v>0</v>
      </c>
      <c r="X32" s="64">
        <v>59.1</v>
      </c>
      <c r="Y32" s="64">
        <v>52.9</v>
      </c>
      <c r="Z32" s="64">
        <v>37.299999999999997</v>
      </c>
      <c r="AA32" s="64">
        <v>17.399999999999999</v>
      </c>
      <c r="AB32" s="64">
        <v>62.5</v>
      </c>
      <c r="AC32" s="64">
        <v>56.4</v>
      </c>
      <c r="AD32" s="64">
        <v>56.5</v>
      </c>
      <c r="AE32" s="64">
        <v>57</v>
      </c>
      <c r="AF32" s="64">
        <v>58.4</v>
      </c>
      <c r="AG32" s="64">
        <v>52.7</v>
      </c>
      <c r="AH32" s="64">
        <v>58.5</v>
      </c>
      <c r="AI32" s="64">
        <v>53.7</v>
      </c>
      <c r="AJ32" s="64">
        <v>51.1</v>
      </c>
      <c r="AK32" s="64">
        <v>51.2</v>
      </c>
      <c r="AL32" s="64">
        <v>48.4</v>
      </c>
      <c r="AM32" s="64">
        <v>53.7</v>
      </c>
      <c r="AN32" s="64">
        <v>79</v>
      </c>
      <c r="AO32" s="82">
        <v>0.5</v>
      </c>
      <c r="AP32" s="64">
        <v>1449</v>
      </c>
      <c r="AQ32" s="64">
        <v>345</v>
      </c>
      <c r="AR32" s="82">
        <v>50</v>
      </c>
      <c r="AS32" s="88">
        <v>210</v>
      </c>
      <c r="AT32" s="43">
        <v>68.12</v>
      </c>
      <c r="AU32">
        <v>30</v>
      </c>
      <c r="AV32">
        <v>9.7799999999999994</v>
      </c>
      <c r="AW32">
        <v>2.66</v>
      </c>
      <c r="AX32">
        <v>25.52</v>
      </c>
      <c r="AY32" s="43">
        <v>7.35</v>
      </c>
      <c r="AZ32" s="60">
        <v>20</v>
      </c>
      <c r="BA32" s="43">
        <f>AV32+AW32+AX32+AY32</f>
        <v>45.31</v>
      </c>
      <c r="BB32" s="68">
        <f>(AV32+AW32+AX32+AY32)*20/AZ32</f>
        <v>45.31</v>
      </c>
      <c r="BC32" s="68">
        <f>BB32/20</f>
        <v>2.2655000000000003</v>
      </c>
      <c r="BD32" s="68">
        <f>(AQ32-AS32)/AZ32</f>
        <v>6.75</v>
      </c>
      <c r="BE32" s="69">
        <f>AT32/AS32</f>
        <v>0.32438095238095238</v>
      </c>
      <c r="BF32" s="70">
        <f>AP32*BE32</f>
        <v>470.02800000000002</v>
      </c>
      <c r="BG32" s="70">
        <f>BF32/AO32</f>
        <v>940.05600000000004</v>
      </c>
      <c r="BH32" s="69">
        <f>AV32/$BA32</f>
        <v>0.21584639152504964</v>
      </c>
      <c r="BI32" s="69">
        <f>AW32/$BA32</f>
        <v>5.8706687265504306E-2</v>
      </c>
      <c r="BJ32" s="69">
        <f>AX32/$BA32</f>
        <v>0.5632310748179209</v>
      </c>
      <c r="BK32" s="69">
        <f>AY32/$BA32</f>
        <v>0.16221584639152503</v>
      </c>
      <c r="BL32" s="70">
        <f>$BG32*BH32</f>
        <v>202.90769543147206</v>
      </c>
      <c r="BM32" s="70">
        <f>$BG32*BI32</f>
        <v>55.187573604060915</v>
      </c>
      <c r="BN32" s="70">
        <f>$BG32*BJ32</f>
        <v>529.46875126903547</v>
      </c>
      <c r="BO32" s="70">
        <f>$BG32*BK32</f>
        <v>152.49197969543147</v>
      </c>
      <c r="BP32" s="73">
        <f>AVERAGE(T32:W32)</f>
        <v>0</v>
      </c>
      <c r="BQ32" s="73">
        <f>AVERAGE(X32:AA32)</f>
        <v>41.675000000000004</v>
      </c>
      <c r="BR32" s="73">
        <f>AVERAGE(AB32:AE32)</f>
        <v>58.1</v>
      </c>
      <c r="BS32" s="73">
        <f>AVERAGE(AF32:AI32)</f>
        <v>55.825000000000003</v>
      </c>
      <c r="BT32" s="73">
        <f>AVERAGE(AJ32:AM32)</f>
        <v>51.100000000000009</v>
      </c>
      <c r="BU32" s="73">
        <v>17.105</v>
      </c>
      <c r="BV32" s="73">
        <v>37.378999999999998</v>
      </c>
      <c r="BW32" s="73">
        <v>14.626999999999999</v>
      </c>
      <c r="BX32" s="73">
        <v>8.9749999999999996</v>
      </c>
      <c r="BY32" s="73">
        <v>19.571000000000002</v>
      </c>
      <c r="BZ32" s="64">
        <v>171.5</v>
      </c>
      <c r="CA32" s="64">
        <v>100.19999999999999</v>
      </c>
      <c r="CB32" s="64">
        <v>87.5</v>
      </c>
      <c r="CC32" s="64">
        <v>204.20000000000002</v>
      </c>
      <c r="CD32" s="64">
        <v>221.5</v>
      </c>
      <c r="CE32" s="146">
        <v>-24.51</v>
      </c>
      <c r="CF32" s="146">
        <v>-24.49</v>
      </c>
      <c r="CG32" s="146">
        <v>-28.25</v>
      </c>
      <c r="CH32" s="147">
        <v>-24.69</v>
      </c>
      <c r="CI32" s="146">
        <v>-24.27</v>
      </c>
      <c r="CK32" t="s">
        <v>25</v>
      </c>
      <c r="CL32" t="s">
        <v>26</v>
      </c>
      <c r="CM32" s="61">
        <v>0.44750000000000001</v>
      </c>
      <c r="CN32" s="61">
        <v>0.83850000000000002</v>
      </c>
      <c r="CO32" s="61">
        <v>0.9504999999999999</v>
      </c>
      <c r="CP32" s="61">
        <v>0.96799999999999997</v>
      </c>
    </row>
    <row r="33" spans="1:94" x14ac:dyDescent="0.25">
      <c r="A33" s="63">
        <v>4</v>
      </c>
      <c r="B33" s="63">
        <v>8</v>
      </c>
      <c r="C33" s="63">
        <v>4</v>
      </c>
      <c r="D33" s="63">
        <v>29</v>
      </c>
      <c r="E33" s="63">
        <v>25</v>
      </c>
      <c r="F33" s="63" t="s">
        <v>30</v>
      </c>
      <c r="G33" s="63" t="s">
        <v>31</v>
      </c>
      <c r="H33" s="63">
        <v>408</v>
      </c>
      <c r="I33" s="63" t="str">
        <f>"EVA"&amp;"_"&amp;H33</f>
        <v>EVA_408</v>
      </c>
      <c r="J33" s="80">
        <v>45568</v>
      </c>
      <c r="K33" s="55">
        <v>0.77</v>
      </c>
      <c r="L33" s="85">
        <v>5.1999999999999998E-2</v>
      </c>
      <c r="M33" s="85">
        <v>6.5000000000000002E-2</v>
      </c>
      <c r="N33" s="85">
        <v>0.16300000000000001</v>
      </c>
      <c r="O33" s="85">
        <v>0.50700000000000001</v>
      </c>
      <c r="P33" s="75">
        <f>1-L33</f>
        <v>0.94799999999999995</v>
      </c>
      <c r="Q33" s="75">
        <f>1-M33</f>
        <v>0.93500000000000005</v>
      </c>
      <c r="R33" s="75">
        <f>1-N33</f>
        <v>0.83699999999999997</v>
      </c>
      <c r="S33" s="75">
        <f>1-O33</f>
        <v>0.49299999999999999</v>
      </c>
      <c r="T33" s="64">
        <v>0</v>
      </c>
      <c r="U33" s="64">
        <v>1</v>
      </c>
      <c r="V33" s="64">
        <v>0</v>
      </c>
      <c r="W33" s="64">
        <v>0</v>
      </c>
      <c r="X33" s="82">
        <v>2.9</v>
      </c>
      <c r="Y33" s="82">
        <v>4.5999999999999996</v>
      </c>
      <c r="Z33" s="82">
        <v>46.6</v>
      </c>
      <c r="AA33" s="82">
        <v>15.7</v>
      </c>
      <c r="AB33" s="82">
        <v>48.1</v>
      </c>
      <c r="AC33" s="82">
        <v>52.9</v>
      </c>
      <c r="AD33" s="82">
        <v>59.8</v>
      </c>
      <c r="AE33" s="82">
        <v>50.1</v>
      </c>
      <c r="AF33" s="82">
        <v>52.5</v>
      </c>
      <c r="AG33" s="82">
        <v>46.7</v>
      </c>
      <c r="AH33" s="82">
        <v>54.1</v>
      </c>
      <c r="AI33" s="82">
        <v>48.5</v>
      </c>
      <c r="AJ33" s="82">
        <v>49</v>
      </c>
      <c r="AK33" s="82">
        <v>45.6</v>
      </c>
      <c r="AL33" s="82">
        <v>51.5</v>
      </c>
      <c r="AM33" s="82">
        <v>46.9</v>
      </c>
      <c r="AN33" s="82">
        <v>98</v>
      </c>
      <c r="AO33" s="82">
        <v>0.5</v>
      </c>
      <c r="AP33" s="82">
        <v>1525</v>
      </c>
      <c r="AQ33" s="82">
        <v>414</v>
      </c>
      <c r="AR33" s="82">
        <v>50</v>
      </c>
      <c r="AS33" s="89">
        <v>246</v>
      </c>
      <c r="AT33" s="43">
        <v>79.3</v>
      </c>
      <c r="AU33">
        <v>30</v>
      </c>
      <c r="AV33">
        <v>10.92</v>
      </c>
      <c r="AW33">
        <v>3.07</v>
      </c>
      <c r="AX33">
        <v>32.94</v>
      </c>
      <c r="AY33" s="43">
        <v>8.9600000000000009</v>
      </c>
      <c r="AZ33" s="60">
        <v>20</v>
      </c>
      <c r="BA33" s="43">
        <f>AV33+AW33+AX33+AY33</f>
        <v>55.89</v>
      </c>
      <c r="BB33" s="68">
        <f>(AV33+AW33+AX33+AY33)*20/AZ33</f>
        <v>55.89</v>
      </c>
      <c r="BC33" s="68">
        <f>BB33/20</f>
        <v>2.7945000000000002</v>
      </c>
      <c r="BD33" s="68">
        <f>(AQ33-AS33)/AZ33</f>
        <v>8.4</v>
      </c>
      <c r="BE33" s="69">
        <f>AT33/AS33</f>
        <v>0.32235772357723574</v>
      </c>
      <c r="BF33" s="70">
        <f>AP33*BE33</f>
        <v>491.59552845528452</v>
      </c>
      <c r="BG33" s="70">
        <f>BF33/AO33</f>
        <v>983.19105691056905</v>
      </c>
      <c r="BH33" s="69">
        <f>AV33/$BA33</f>
        <v>0.19538378958668814</v>
      </c>
      <c r="BI33" s="69">
        <f>AW33/$BA33</f>
        <v>5.4929325460726423E-2</v>
      </c>
      <c r="BJ33" s="69">
        <f>AX33/$BA33</f>
        <v>0.58937198067632846</v>
      </c>
      <c r="BK33" s="69">
        <f>AY33/$BA33</f>
        <v>0.16031490427625694</v>
      </c>
      <c r="BL33" s="70">
        <f>$BG33*BH33</f>
        <v>192.09959458692816</v>
      </c>
      <c r="BM33" s="70">
        <f>$BG33*BI33</f>
        <v>54.006021555116241</v>
      </c>
      <c r="BN33" s="70">
        <f>$BG33*BJ33</f>
        <v>579.46526059463486</v>
      </c>
      <c r="BO33" s="70">
        <f>$BG33*BK33</f>
        <v>157.62018017388976</v>
      </c>
      <c r="BP33" s="73">
        <f>AVERAGE(T33:W33)</f>
        <v>0.25</v>
      </c>
      <c r="BQ33" s="73">
        <f>AVERAGE(X33:AA33)</f>
        <v>17.45</v>
      </c>
      <c r="BR33" s="73">
        <f>AVERAGE(AB33:AE33)</f>
        <v>52.725000000000001</v>
      </c>
      <c r="BS33" s="73">
        <f>AVERAGE(AF33:AI33)</f>
        <v>50.45</v>
      </c>
      <c r="BT33" s="73">
        <f>AVERAGE(AJ33:AM33)</f>
        <v>48.25</v>
      </c>
      <c r="BU33" s="73">
        <v>15.758000000000001</v>
      </c>
      <c r="BV33" s="73">
        <v>38.700000000000003</v>
      </c>
      <c r="BW33" s="73">
        <v>20.457999999999998</v>
      </c>
      <c r="BX33" s="73">
        <v>8.4502999999999986</v>
      </c>
      <c r="BY33" s="73">
        <v>20.388999999999999</v>
      </c>
      <c r="BZ33" s="64">
        <v>142.89999999999998</v>
      </c>
      <c r="CA33" s="64">
        <v>107.4</v>
      </c>
      <c r="CB33" s="64">
        <v>44</v>
      </c>
      <c r="CC33" s="64">
        <v>178.4</v>
      </c>
      <c r="CD33" s="64">
        <v>202.7</v>
      </c>
      <c r="CE33" s="146">
        <v>-25.08</v>
      </c>
      <c r="CF33" s="146">
        <v>-24.53</v>
      </c>
      <c r="CG33" s="146">
        <v>-25</v>
      </c>
      <c r="CH33" s="147">
        <v>-24.99</v>
      </c>
      <c r="CI33" s="146">
        <v>-24.46</v>
      </c>
      <c r="CL33" t="s">
        <v>27</v>
      </c>
      <c r="CM33" s="61">
        <v>0.59624999999999995</v>
      </c>
      <c r="CN33" s="61">
        <v>0.84199999999999997</v>
      </c>
      <c r="CO33" s="61">
        <v>0.89024999999999999</v>
      </c>
      <c r="CP33" s="61">
        <v>0.92074999999999996</v>
      </c>
    </row>
    <row r="34" spans="1:94" x14ac:dyDescent="0.25">
      <c r="A34" s="63"/>
      <c r="B34" s="63"/>
      <c r="C34" s="63"/>
      <c r="D34" s="63"/>
      <c r="E34" s="63"/>
      <c r="F34" s="63"/>
      <c r="G34" s="63"/>
      <c r="H34" s="63"/>
      <c r="I34" s="63"/>
      <c r="J34" s="63"/>
      <c r="K34" s="82"/>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7"/>
      <c r="AO34" s="63"/>
      <c r="AP34" s="63"/>
      <c r="AQ34" s="63"/>
      <c r="AR34" s="63"/>
      <c r="AS34" s="70"/>
      <c r="AT34" s="68"/>
      <c r="AU34" s="63"/>
      <c r="AV34" s="63"/>
      <c r="AW34" s="63"/>
      <c r="AX34" s="63"/>
      <c r="AY34" s="63"/>
      <c r="AZ34" s="70"/>
      <c r="BA34" s="63"/>
      <c r="BB34" s="63"/>
      <c r="BC34" s="68"/>
      <c r="BD34" s="68"/>
      <c r="BE34" s="69"/>
      <c r="BF34" s="70"/>
      <c r="BG34" s="70"/>
      <c r="BH34" s="63"/>
      <c r="BI34" s="63"/>
      <c r="BJ34" s="63"/>
      <c r="BK34" s="63"/>
      <c r="BL34" s="63"/>
      <c r="BM34" s="63"/>
      <c r="BN34" s="63"/>
      <c r="BO34" s="63"/>
      <c r="BP34" s="64"/>
      <c r="BQ34" s="64"/>
      <c r="BR34" s="64"/>
      <c r="BS34" s="64"/>
      <c r="BT34" s="64"/>
      <c r="BU34" s="64"/>
      <c r="BV34" s="64"/>
      <c r="BW34" s="64"/>
      <c r="BX34" s="64"/>
      <c r="BY34" s="64"/>
      <c r="BZ34" s="64"/>
      <c r="CA34" s="64"/>
      <c r="CB34" s="64"/>
      <c r="CC34" s="64"/>
      <c r="CD34" s="64"/>
      <c r="CE34" s="64"/>
      <c r="CF34" s="64"/>
      <c r="CG34" s="64"/>
      <c r="CH34" s="64"/>
      <c r="CI34" s="64"/>
      <c r="CL34" t="s">
        <v>28</v>
      </c>
      <c r="CM34" s="61">
        <v>0.74099999999999999</v>
      </c>
      <c r="CN34" s="61">
        <v>0.84874999999999989</v>
      </c>
      <c r="CO34" s="61">
        <v>0.89349999999999996</v>
      </c>
      <c r="CP34" s="61">
        <v>0.92249999999999999</v>
      </c>
    </row>
    <row r="35" spans="1:94" x14ac:dyDescent="0.25">
      <c r="CL35" t="s">
        <v>29</v>
      </c>
      <c r="CM35" s="61">
        <v>0.72899999999999998</v>
      </c>
      <c r="CN35" s="61">
        <v>0.90024999999999999</v>
      </c>
      <c r="CO35" s="61">
        <v>0.96124999999999994</v>
      </c>
      <c r="CP35" s="61">
        <v>0.9787499999999999</v>
      </c>
    </row>
    <row r="36" spans="1:94" x14ac:dyDescent="0.25">
      <c r="CK36" t="s">
        <v>30</v>
      </c>
      <c r="CL36" t="s">
        <v>32</v>
      </c>
      <c r="CM36" s="61">
        <v>0.4375</v>
      </c>
      <c r="CN36" s="61">
        <v>0.83750000000000002</v>
      </c>
      <c r="CO36" s="61">
        <v>0.91325000000000001</v>
      </c>
      <c r="CP36" s="61">
        <v>0.94274999999999998</v>
      </c>
    </row>
    <row r="37" spans="1:94" x14ac:dyDescent="0.25">
      <c r="CL37" t="s">
        <v>31</v>
      </c>
      <c r="CM37" s="61">
        <v>0.58399999999999996</v>
      </c>
      <c r="CN37" s="61">
        <v>0.89250000000000007</v>
      </c>
      <c r="CO37" s="61">
        <v>0.95750000000000002</v>
      </c>
      <c r="CP37" s="61">
        <v>0.97250000000000003</v>
      </c>
    </row>
    <row r="38" spans="1:94" x14ac:dyDescent="0.25">
      <c r="CL38" t="s">
        <v>28</v>
      </c>
      <c r="CM38" s="61">
        <v>0.67674999999999996</v>
      </c>
      <c r="CN38" s="61">
        <v>0.87250000000000005</v>
      </c>
      <c r="CO38" s="61">
        <v>0.92899999999999994</v>
      </c>
      <c r="CP38" s="61">
        <v>0.96274999999999999</v>
      </c>
    </row>
    <row r="39" spans="1:94" x14ac:dyDescent="0.25">
      <c r="CL39" t="s">
        <v>29</v>
      </c>
      <c r="CM39" s="61">
        <v>0.45200000000000001</v>
      </c>
      <c r="CN39" s="61">
        <v>0.76724999999999999</v>
      </c>
      <c r="CO39" s="61">
        <v>0.88974999999999993</v>
      </c>
      <c r="CP39" s="61">
        <v>0.94025000000000003</v>
      </c>
    </row>
    <row r="40" spans="1:94" x14ac:dyDescent="0.25">
      <c r="CK40" t="s">
        <v>325</v>
      </c>
      <c r="CM40" s="61">
        <v>0.58299999999999996</v>
      </c>
      <c r="CN40" s="61">
        <v>0.84990625000000009</v>
      </c>
      <c r="CO40" s="61">
        <v>0.92312499999999975</v>
      </c>
      <c r="CP40" s="61">
        <v>0.95103124999999999</v>
      </c>
    </row>
    <row r="43" spans="1:94" x14ac:dyDescent="0.25">
      <c r="CM43" s="46" t="s">
        <v>442</v>
      </c>
    </row>
    <row r="44" spans="1:94" x14ac:dyDescent="0.25">
      <c r="CK44" s="46" t="s">
        <v>21</v>
      </c>
      <c r="CL44" s="46" t="s">
        <v>22</v>
      </c>
      <c r="CM44" t="s">
        <v>480</v>
      </c>
      <c r="CN44" t="s">
        <v>481</v>
      </c>
      <c r="CO44" t="s">
        <v>482</v>
      </c>
      <c r="CP44" t="s">
        <v>483</v>
      </c>
    </row>
    <row r="45" spans="1:94" x14ac:dyDescent="0.25">
      <c r="CK45" t="s">
        <v>25</v>
      </c>
      <c r="CL45" t="s">
        <v>26</v>
      </c>
      <c r="CM45" s="61">
        <v>0.55249999999999999</v>
      </c>
      <c r="CN45" s="61">
        <v>0.16149999999999998</v>
      </c>
      <c r="CO45" s="61">
        <v>4.9500000000000002E-2</v>
      </c>
      <c r="CP45" s="61">
        <v>3.2000000000000001E-2</v>
      </c>
    </row>
    <row r="46" spans="1:94" x14ac:dyDescent="0.25">
      <c r="CL46" t="s">
        <v>27</v>
      </c>
      <c r="CM46" s="61">
        <v>0.40375</v>
      </c>
      <c r="CN46" s="61">
        <v>0.158</v>
      </c>
      <c r="CO46" s="61">
        <v>0.10975</v>
      </c>
      <c r="CP46" s="61">
        <v>7.9249999999999987E-2</v>
      </c>
    </row>
    <row r="47" spans="1:94" x14ac:dyDescent="0.25">
      <c r="CL47" t="s">
        <v>28</v>
      </c>
      <c r="CM47" s="61">
        <v>0.25900000000000001</v>
      </c>
      <c r="CN47" s="61">
        <v>0.15125</v>
      </c>
      <c r="CO47" s="61">
        <v>0.1065</v>
      </c>
      <c r="CP47" s="61">
        <v>7.7499999999999999E-2</v>
      </c>
    </row>
    <row r="48" spans="1:94" x14ac:dyDescent="0.25">
      <c r="CL48" t="s">
        <v>29</v>
      </c>
      <c r="CM48" s="61">
        <v>0.27099999999999996</v>
      </c>
      <c r="CN48" s="61">
        <v>9.9750000000000005E-2</v>
      </c>
      <c r="CO48" s="61">
        <v>3.875E-2</v>
      </c>
      <c r="CP48" s="61">
        <v>2.1250000000000002E-2</v>
      </c>
    </row>
    <row r="49" spans="89:94" x14ac:dyDescent="0.25">
      <c r="CK49" t="s">
        <v>30</v>
      </c>
      <c r="CL49" t="s">
        <v>32</v>
      </c>
      <c r="CM49" s="61">
        <v>0.5625</v>
      </c>
      <c r="CN49" s="61">
        <v>0.16250000000000001</v>
      </c>
      <c r="CO49" s="61">
        <v>8.6749999999999994E-2</v>
      </c>
      <c r="CP49" s="61">
        <v>5.7250000000000002E-2</v>
      </c>
    </row>
    <row r="50" spans="89:94" x14ac:dyDescent="0.25">
      <c r="CL50" t="s">
        <v>31</v>
      </c>
      <c r="CM50" s="61">
        <v>0.41600000000000004</v>
      </c>
      <c r="CN50" s="61">
        <v>0.10750000000000001</v>
      </c>
      <c r="CO50" s="61">
        <v>4.2499999999999996E-2</v>
      </c>
      <c r="CP50" s="61">
        <v>2.7499999999999997E-2</v>
      </c>
    </row>
    <row r="51" spans="89:94" x14ac:dyDescent="0.25">
      <c r="CL51" t="s">
        <v>28</v>
      </c>
      <c r="CM51" s="61">
        <v>0.32324999999999998</v>
      </c>
      <c r="CN51" s="61">
        <v>0.1275</v>
      </c>
      <c r="CO51" s="61">
        <v>7.1000000000000008E-2</v>
      </c>
      <c r="CP51" s="61">
        <v>3.7249999999999998E-2</v>
      </c>
    </row>
    <row r="52" spans="89:94" x14ac:dyDescent="0.25">
      <c r="CL52" t="s">
        <v>29</v>
      </c>
      <c r="CM52" s="61">
        <v>0.54799999999999993</v>
      </c>
      <c r="CN52" s="61">
        <v>0.23274999999999996</v>
      </c>
      <c r="CO52" s="61">
        <v>0.11025000000000001</v>
      </c>
      <c r="CP52" s="61">
        <v>5.9749999999999998E-2</v>
      </c>
    </row>
    <row r="53" spans="89:94" x14ac:dyDescent="0.25">
      <c r="CK53" t="s">
        <v>325</v>
      </c>
      <c r="CM53" s="61">
        <v>0.41700000000000004</v>
      </c>
      <c r="CN53" s="61">
        <v>0.15009374999999997</v>
      </c>
      <c r="CO53" s="61">
        <v>7.6874999999999999E-2</v>
      </c>
      <c r="CP53" s="61">
        <v>4.8968749999999985E-2</v>
      </c>
    </row>
  </sheetData>
  <sortState xmlns:xlrd2="http://schemas.microsoft.com/office/spreadsheetml/2017/richdata2" ref="A2:CI53">
    <sortCondition ref="A2:A53"/>
    <sortCondition ref="B2:B53"/>
  </sortState>
  <pageMargins left="0.7" right="0.7" top="0.75" bottom="0.75" header="0.3" footer="0.3"/>
  <pageSetup paperSize="9" orientation="portrait" r:id="rId5"/>
  <legacyDrawing r:id="rId6"/>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B04D-56C0-48D5-A480-4D8668DB6E87}">
  <dimension ref="A1:AD9"/>
  <sheetViews>
    <sheetView workbookViewId="0">
      <selection activeCell="AB9" sqref="AB9"/>
    </sheetView>
  </sheetViews>
  <sheetFormatPr defaultRowHeight="15" x14ac:dyDescent="0.25"/>
  <cols>
    <col min="2" max="2" width="20.28515625" customWidth="1"/>
    <col min="3" max="4" width="13.42578125" customWidth="1"/>
    <col min="7" max="7" width="10.42578125" customWidth="1"/>
    <col min="10" max="10" width="10.5703125" customWidth="1"/>
    <col min="13" max="13" width="10" customWidth="1"/>
    <col min="22" max="22" width="9.28515625" style="4"/>
    <col min="26" max="26" width="9.28515625" style="12"/>
    <col min="29" max="29" width="12.7109375" customWidth="1"/>
  </cols>
  <sheetData>
    <row r="1" spans="1:30" s="10" customFormat="1" ht="105" x14ac:dyDescent="0.25">
      <c r="A1" s="101" t="s">
        <v>21</v>
      </c>
      <c r="B1" s="101" t="s">
        <v>22</v>
      </c>
      <c r="C1" s="105" t="s">
        <v>484</v>
      </c>
      <c r="D1" s="6" t="s">
        <v>474</v>
      </c>
      <c r="E1" s="10" t="s">
        <v>485</v>
      </c>
      <c r="F1" s="10" t="s">
        <v>486</v>
      </c>
      <c r="G1" s="10" t="s">
        <v>487</v>
      </c>
      <c r="H1" s="10" t="s">
        <v>488</v>
      </c>
      <c r="I1" s="10" t="s">
        <v>489</v>
      </c>
      <c r="J1" s="106" t="s">
        <v>428</v>
      </c>
      <c r="K1" s="106" t="s">
        <v>477</v>
      </c>
      <c r="L1" s="10" t="s">
        <v>490</v>
      </c>
      <c r="M1" s="10" t="s">
        <v>491</v>
      </c>
      <c r="N1" s="10" t="s">
        <v>492</v>
      </c>
      <c r="O1" s="10" t="s">
        <v>493</v>
      </c>
      <c r="P1" s="10" t="s">
        <v>494</v>
      </c>
      <c r="Q1" s="10" t="s">
        <v>495</v>
      </c>
      <c r="R1" s="10" t="s">
        <v>496</v>
      </c>
      <c r="S1" s="107" t="s">
        <v>552</v>
      </c>
      <c r="T1" s="10" t="s">
        <v>497</v>
      </c>
      <c r="U1" s="10" t="s">
        <v>553</v>
      </c>
      <c r="V1" s="10" t="s">
        <v>527</v>
      </c>
      <c r="W1" s="10" t="s">
        <v>529</v>
      </c>
      <c r="X1" s="10" t="s">
        <v>535</v>
      </c>
      <c r="Y1" s="10" t="s">
        <v>533</v>
      </c>
      <c r="Z1" s="8" t="s">
        <v>534</v>
      </c>
      <c r="AA1" s="10" t="s">
        <v>530</v>
      </c>
      <c r="AB1" s="106" t="s">
        <v>456</v>
      </c>
      <c r="AC1" s="10" t="s">
        <v>551</v>
      </c>
      <c r="AD1" s="10" t="s">
        <v>532</v>
      </c>
    </row>
    <row r="2" spans="1:30" x14ac:dyDescent="0.25">
      <c r="A2" s="1" t="s">
        <v>25</v>
      </c>
      <c r="B2" t="s">
        <v>26</v>
      </c>
      <c r="C2" s="102">
        <v>45558</v>
      </c>
      <c r="D2" s="102">
        <v>45574</v>
      </c>
      <c r="E2" s="103">
        <v>45559</v>
      </c>
      <c r="F2" s="102">
        <v>45573</v>
      </c>
      <c r="G2">
        <f t="shared" ref="G2:G9" si="0">F2-E2</f>
        <v>14</v>
      </c>
      <c r="H2">
        <v>196</v>
      </c>
      <c r="I2">
        <v>259</v>
      </c>
      <c r="J2" s="88">
        <v>916.27334421231978</v>
      </c>
      <c r="K2" s="60">
        <v>1052.7409359634075</v>
      </c>
      <c r="L2" s="60">
        <f t="shared" ref="L2:L9" si="1">K2-J2</f>
        <v>136.46759175108775</v>
      </c>
      <c r="M2" s="11">
        <f t="shared" ref="M2:M9" si="2">L2/G2</f>
        <v>9.7476851250776964</v>
      </c>
      <c r="N2" s="72">
        <v>0.93674999999999997</v>
      </c>
      <c r="O2" s="61">
        <v>0.96799999999999997</v>
      </c>
      <c r="P2" s="12">
        <f t="shared" ref="P2:P9" si="3">(AVERAGE(N2:O2))*(I2/2)</f>
        <v>123.33256249999999</v>
      </c>
      <c r="Q2" s="11">
        <f t="shared" ref="Q2:Q9" si="4">L2/P2</f>
        <v>1.1065009028016244</v>
      </c>
      <c r="R2" s="88">
        <v>60.888654410591535</v>
      </c>
      <c r="S2" s="60">
        <v>176.15308909985779</v>
      </c>
      <c r="T2" s="60">
        <f t="shared" ref="T2:T9" si="5">S2-R2</f>
        <v>115.26443468926627</v>
      </c>
      <c r="U2" s="43">
        <f>T2/G2</f>
        <v>8.2331739063761624</v>
      </c>
      <c r="V2" s="12">
        <v>494.5</v>
      </c>
      <c r="W2" s="60">
        <v>1167.5</v>
      </c>
      <c r="X2" s="60">
        <f t="shared" ref="X2:X9" si="6">W2-K2</f>
        <v>114.75906403659246</v>
      </c>
      <c r="Y2" s="60">
        <f t="shared" ref="Y2:Y9" si="7">V2-X2</f>
        <v>379.74093596340754</v>
      </c>
      <c r="Z2" s="12">
        <f t="shared" ref="Z2:Z9" si="8">(Y2/V2)*100</f>
        <v>76.792909193813458</v>
      </c>
      <c r="AA2" s="61">
        <f t="shared" ref="AA2:AA9" si="9">Y2/K2</f>
        <v>0.36071641463803306</v>
      </c>
      <c r="AB2" s="61">
        <v>0.44750000000000001</v>
      </c>
      <c r="AC2" s="60">
        <v>122.64813906922902</v>
      </c>
      <c r="AD2" s="47">
        <v>0.425659771786492</v>
      </c>
    </row>
    <row r="3" spans="1:30" x14ac:dyDescent="0.25">
      <c r="A3" s="1"/>
      <c r="B3" t="s">
        <v>27</v>
      </c>
      <c r="C3" s="102">
        <v>45543</v>
      </c>
      <c r="D3" s="102">
        <v>45566</v>
      </c>
      <c r="E3" s="103">
        <v>45544</v>
      </c>
      <c r="F3" s="102">
        <v>45566</v>
      </c>
      <c r="G3">
        <f t="shared" si="0"/>
        <v>22</v>
      </c>
      <c r="H3">
        <v>263</v>
      </c>
      <c r="I3">
        <v>398</v>
      </c>
      <c r="J3" s="88">
        <v>616.1125544133572</v>
      </c>
      <c r="K3" s="60">
        <v>975.45427067595756</v>
      </c>
      <c r="L3" s="60">
        <f t="shared" si="1"/>
        <v>359.34171626260036</v>
      </c>
      <c r="M3" s="11">
        <f t="shared" si="2"/>
        <v>16.333714375572743</v>
      </c>
      <c r="N3" s="72">
        <v>0.95899999999999996</v>
      </c>
      <c r="O3" s="61">
        <v>0.92074999999999996</v>
      </c>
      <c r="P3" s="12">
        <f t="shared" si="3"/>
        <v>187.03512499999999</v>
      </c>
      <c r="Q3" s="11">
        <f t="shared" si="4"/>
        <v>1.9212525789613066</v>
      </c>
      <c r="R3" s="88">
        <v>35.839836166008226</v>
      </c>
      <c r="S3" s="60">
        <v>187.98152286098309</v>
      </c>
      <c r="T3" s="60">
        <f t="shared" si="5"/>
        <v>152.14168669497485</v>
      </c>
      <c r="U3" s="43">
        <f t="shared" ref="U3:U9" si="10">T3/G3</f>
        <v>6.9155312134079479</v>
      </c>
      <c r="V3" s="12">
        <v>376</v>
      </c>
      <c r="W3" s="60">
        <v>966</v>
      </c>
      <c r="X3" s="60">
        <f t="shared" si="6"/>
        <v>-9.4542706759575594</v>
      </c>
      <c r="Y3" s="60">
        <f t="shared" si="7"/>
        <v>385.45427067595756</v>
      </c>
      <c r="Z3" s="12">
        <f t="shared" si="8"/>
        <v>102.51443369041424</v>
      </c>
      <c r="AA3" s="61">
        <f t="shared" si="9"/>
        <v>0.39515360408320371</v>
      </c>
      <c r="AB3" s="61">
        <v>0.59624999999999995</v>
      </c>
      <c r="AC3" s="60">
        <v>154.40684924458225</v>
      </c>
      <c r="AD3" s="47">
        <v>0.39133713183282604</v>
      </c>
    </row>
    <row r="4" spans="1:30" x14ac:dyDescent="0.25">
      <c r="A4" s="1"/>
      <c r="B4" t="s">
        <v>591</v>
      </c>
      <c r="C4" s="102">
        <v>45539</v>
      </c>
      <c r="D4" s="102">
        <v>45560</v>
      </c>
      <c r="E4" s="103">
        <v>45541</v>
      </c>
      <c r="F4" s="102">
        <v>45560</v>
      </c>
      <c r="G4">
        <f t="shared" si="0"/>
        <v>19</v>
      </c>
      <c r="H4">
        <v>230</v>
      </c>
      <c r="I4">
        <v>345</v>
      </c>
      <c r="J4" s="88">
        <v>632.85086588856393</v>
      </c>
      <c r="K4" s="60">
        <v>1105.3352166023437</v>
      </c>
      <c r="L4" s="60">
        <f t="shared" si="1"/>
        <v>472.4843507137798</v>
      </c>
      <c r="M4" s="11">
        <f t="shared" si="2"/>
        <v>24.867597405988409</v>
      </c>
      <c r="N4" s="72">
        <v>0.94425000000000003</v>
      </c>
      <c r="O4" s="61">
        <v>0.92249999999999999</v>
      </c>
      <c r="P4" s="12">
        <f t="shared" si="3"/>
        <v>161.00718750000001</v>
      </c>
      <c r="Q4" s="11">
        <f t="shared" si="4"/>
        <v>2.9345544012672091</v>
      </c>
      <c r="R4" s="88">
        <v>62.748999492773294</v>
      </c>
      <c r="S4" s="60">
        <v>233.7931264152482</v>
      </c>
      <c r="T4" s="60">
        <f t="shared" si="5"/>
        <v>171.0441269224749</v>
      </c>
      <c r="U4" s="43">
        <f t="shared" si="10"/>
        <v>9.0023224696039428</v>
      </c>
      <c r="V4" s="12">
        <v>622</v>
      </c>
      <c r="W4" s="60">
        <v>1254</v>
      </c>
      <c r="X4" s="60">
        <f t="shared" si="6"/>
        <v>148.66478339765627</v>
      </c>
      <c r="Y4" s="60">
        <f t="shared" si="7"/>
        <v>473.33521660234373</v>
      </c>
      <c r="Z4" s="12">
        <f t="shared" si="8"/>
        <v>76.098909421598677</v>
      </c>
      <c r="AA4" s="61">
        <f t="shared" si="9"/>
        <v>0.42822775343873909</v>
      </c>
      <c r="AB4" s="61">
        <v>0.74099999999999999</v>
      </c>
      <c r="AC4" s="60">
        <v>82.8250052290973</v>
      </c>
      <c r="AD4" s="47">
        <v>0.49571057777917005</v>
      </c>
    </row>
    <row r="5" spans="1:30" x14ac:dyDescent="0.25">
      <c r="A5" s="100"/>
      <c r="B5" t="s">
        <v>592</v>
      </c>
      <c r="C5" s="102">
        <v>45541</v>
      </c>
      <c r="D5" s="102">
        <v>45561</v>
      </c>
      <c r="E5" s="103">
        <v>45541</v>
      </c>
      <c r="F5" s="102">
        <v>45561</v>
      </c>
      <c r="G5">
        <f t="shared" si="0"/>
        <v>20</v>
      </c>
      <c r="H5">
        <v>245</v>
      </c>
      <c r="I5">
        <v>353</v>
      </c>
      <c r="J5" s="88">
        <v>685.64020014753169</v>
      </c>
      <c r="K5" s="60">
        <v>1069.5826835152382</v>
      </c>
      <c r="L5" s="60">
        <f t="shared" si="1"/>
        <v>383.94248336770647</v>
      </c>
      <c r="M5" s="11">
        <f t="shared" si="2"/>
        <v>19.197124168385322</v>
      </c>
      <c r="N5" s="72">
        <v>0.93825000000000003</v>
      </c>
      <c r="O5" s="61">
        <v>0.9787499999999999</v>
      </c>
      <c r="P5" s="12">
        <f t="shared" si="3"/>
        <v>169.17524999999998</v>
      </c>
      <c r="Q5" s="11">
        <f t="shared" si="4"/>
        <v>2.2694955873728961</v>
      </c>
      <c r="R5" s="88">
        <v>39.273120931761554</v>
      </c>
      <c r="S5" s="60">
        <v>182.822191121505</v>
      </c>
      <c r="T5" s="60">
        <f t="shared" si="5"/>
        <v>143.54907018974345</v>
      </c>
      <c r="U5" s="43">
        <f t="shared" si="10"/>
        <v>7.1774535094871723</v>
      </c>
      <c r="V5" s="12">
        <v>578.5</v>
      </c>
      <c r="W5" s="60">
        <v>1266.5</v>
      </c>
      <c r="X5" s="60">
        <f t="shared" si="6"/>
        <v>196.91731648476184</v>
      </c>
      <c r="Y5" s="60">
        <f t="shared" si="7"/>
        <v>381.58268351523816</v>
      </c>
      <c r="Z5" s="12">
        <f t="shared" si="8"/>
        <v>65.960705879902875</v>
      </c>
      <c r="AA5" s="61">
        <f t="shared" si="9"/>
        <v>0.3567584716883665</v>
      </c>
      <c r="AB5" s="61">
        <v>0.72899999999999998</v>
      </c>
      <c r="AC5" s="60">
        <v>111.27344712530717</v>
      </c>
      <c r="AD5" s="47">
        <v>0.45791592189192487</v>
      </c>
    </row>
    <row r="6" spans="1:30" x14ac:dyDescent="0.25">
      <c r="A6" s="1" t="s">
        <v>30</v>
      </c>
      <c r="B6" t="s">
        <v>32</v>
      </c>
      <c r="C6" s="102">
        <v>45551</v>
      </c>
      <c r="D6" s="102">
        <v>45572</v>
      </c>
      <c r="E6" s="103">
        <v>45551</v>
      </c>
      <c r="F6" s="102">
        <v>45573</v>
      </c>
      <c r="G6">
        <f t="shared" si="0"/>
        <v>22</v>
      </c>
      <c r="H6">
        <v>292</v>
      </c>
      <c r="I6">
        <v>409</v>
      </c>
      <c r="J6" s="88">
        <v>677.4041179371294</v>
      </c>
      <c r="K6" s="60">
        <v>1074.995331305236</v>
      </c>
      <c r="L6" s="60">
        <f t="shared" si="1"/>
        <v>397.59121336810665</v>
      </c>
      <c r="M6" s="11">
        <f t="shared" si="2"/>
        <v>18.072327880368483</v>
      </c>
      <c r="N6" s="72">
        <v>0.96233333333333315</v>
      </c>
      <c r="O6" s="61">
        <v>0.94274999999999998</v>
      </c>
      <c r="P6" s="12">
        <f t="shared" si="3"/>
        <v>194.79477083333333</v>
      </c>
      <c r="Q6" s="11">
        <f t="shared" si="4"/>
        <v>2.0410774461101231</v>
      </c>
      <c r="R6" s="88">
        <v>17.561506272293542</v>
      </c>
      <c r="S6" s="60">
        <v>161.63552037236386</v>
      </c>
      <c r="T6" s="60">
        <f t="shared" si="5"/>
        <v>144.07401410007031</v>
      </c>
      <c r="U6" s="43">
        <f t="shared" si="10"/>
        <v>6.5488188227304684</v>
      </c>
      <c r="V6" s="12">
        <v>349.5</v>
      </c>
      <c r="W6" s="60">
        <v>949</v>
      </c>
      <c r="X6" s="60">
        <f t="shared" si="6"/>
        <v>-125.99533130523605</v>
      </c>
      <c r="Y6" s="60">
        <f t="shared" si="7"/>
        <v>475.49533130523605</v>
      </c>
      <c r="Z6" s="12">
        <f t="shared" si="8"/>
        <v>136.05016632481718</v>
      </c>
      <c r="AA6" s="61">
        <f t="shared" si="9"/>
        <v>0.44232315942051575</v>
      </c>
      <c r="AB6" s="61">
        <v>0.4375</v>
      </c>
      <c r="AC6" s="60">
        <v>123.41722117853321</v>
      </c>
      <c r="AD6" s="47">
        <v>0.36900998253552436</v>
      </c>
    </row>
    <row r="7" spans="1:30" x14ac:dyDescent="0.25">
      <c r="A7" s="1"/>
      <c r="B7" t="s">
        <v>31</v>
      </c>
      <c r="C7" s="102">
        <v>45547</v>
      </c>
      <c r="D7" s="102">
        <v>45568</v>
      </c>
      <c r="E7" s="103">
        <v>45548</v>
      </c>
      <c r="F7" s="102">
        <v>45568</v>
      </c>
      <c r="G7">
        <f t="shared" si="0"/>
        <v>20</v>
      </c>
      <c r="H7">
        <v>243</v>
      </c>
      <c r="I7">
        <v>377</v>
      </c>
      <c r="J7" s="88">
        <v>642.75124189907228</v>
      </c>
      <c r="K7" s="60">
        <v>1068.6373018383308</v>
      </c>
      <c r="L7" s="60">
        <f t="shared" si="1"/>
        <v>425.88605993925853</v>
      </c>
      <c r="M7" s="11">
        <f t="shared" si="2"/>
        <v>21.294302996962926</v>
      </c>
      <c r="N7" s="72">
        <v>0.98649999999999993</v>
      </c>
      <c r="O7" s="61">
        <v>0.97250000000000003</v>
      </c>
      <c r="P7" s="12">
        <f t="shared" si="3"/>
        <v>184.63575</v>
      </c>
      <c r="Q7" s="11">
        <f t="shared" si="4"/>
        <v>2.3066283747283967</v>
      </c>
      <c r="R7" s="88">
        <v>32.451262390143462</v>
      </c>
      <c r="S7" s="60">
        <v>159.45722446674074</v>
      </c>
      <c r="T7" s="60">
        <f t="shared" si="5"/>
        <v>127.00596207659729</v>
      </c>
      <c r="U7" s="43">
        <f t="shared" si="10"/>
        <v>6.3502981038298643</v>
      </c>
      <c r="V7" s="12">
        <v>497</v>
      </c>
      <c r="W7" s="60">
        <v>1177</v>
      </c>
      <c r="X7" s="60">
        <f t="shared" si="6"/>
        <v>108.36269816166919</v>
      </c>
      <c r="Y7" s="60">
        <f t="shared" si="7"/>
        <v>388.63730183833081</v>
      </c>
      <c r="Z7" s="12">
        <f t="shared" si="8"/>
        <v>78.196640208919675</v>
      </c>
      <c r="AA7" s="61">
        <f t="shared" si="9"/>
        <v>0.36367559055797022</v>
      </c>
      <c r="AB7" s="61">
        <v>0.58399999999999996</v>
      </c>
      <c r="AC7" s="60">
        <v>100.96603290822583</v>
      </c>
      <c r="AD7" s="47">
        <v>0.4242385061466899</v>
      </c>
    </row>
    <row r="8" spans="1:30" x14ac:dyDescent="0.25">
      <c r="A8" s="1"/>
      <c r="B8" t="s">
        <v>590</v>
      </c>
      <c r="C8" s="102">
        <v>45550</v>
      </c>
      <c r="D8" s="102">
        <v>45569</v>
      </c>
      <c r="E8" s="103">
        <v>45551</v>
      </c>
      <c r="F8" s="102">
        <v>45568</v>
      </c>
      <c r="G8">
        <f t="shared" si="0"/>
        <v>17</v>
      </c>
      <c r="H8">
        <v>231</v>
      </c>
      <c r="I8">
        <v>319</v>
      </c>
      <c r="J8" s="88">
        <v>547.27620276717471</v>
      </c>
      <c r="K8" s="60">
        <v>819.66753531161339</v>
      </c>
      <c r="L8" s="60">
        <f t="shared" si="1"/>
        <v>272.39133254443868</v>
      </c>
      <c r="M8" s="11">
        <f t="shared" si="2"/>
        <v>16.023019561437568</v>
      </c>
      <c r="N8" s="72">
        <v>0.9222499999999999</v>
      </c>
      <c r="O8" s="61">
        <v>0.96274999999999999</v>
      </c>
      <c r="P8" s="12">
        <f t="shared" si="3"/>
        <v>150.32874999999999</v>
      </c>
      <c r="Q8" s="11">
        <f t="shared" si="4"/>
        <v>1.8119709805638555</v>
      </c>
      <c r="R8" s="88">
        <v>48.686760023628651</v>
      </c>
      <c r="S8" s="60">
        <v>172.85553289550282</v>
      </c>
      <c r="T8" s="60">
        <f t="shared" si="5"/>
        <v>124.16877287187417</v>
      </c>
      <c r="U8" s="43">
        <f t="shared" si="10"/>
        <v>7.3040454630514215</v>
      </c>
      <c r="V8" s="12">
        <v>498</v>
      </c>
      <c r="W8" s="60">
        <v>958</v>
      </c>
      <c r="X8" s="60">
        <f t="shared" si="6"/>
        <v>138.33246468838661</v>
      </c>
      <c r="Y8" s="60">
        <f t="shared" si="7"/>
        <v>359.66753531161339</v>
      </c>
      <c r="Z8" s="12">
        <f t="shared" si="8"/>
        <v>72.222396648918348</v>
      </c>
      <c r="AA8" s="61">
        <f t="shared" si="9"/>
        <v>0.43879685337894764</v>
      </c>
      <c r="AB8" s="61">
        <v>0.67674999999999996</v>
      </c>
      <c r="AC8" s="60">
        <v>53.164913283841223</v>
      </c>
      <c r="AD8" s="47">
        <v>0.53149262577409728</v>
      </c>
    </row>
    <row r="9" spans="1:30" x14ac:dyDescent="0.25">
      <c r="A9" s="100"/>
      <c r="B9" t="s">
        <v>593</v>
      </c>
      <c r="C9" s="102">
        <v>45551</v>
      </c>
      <c r="D9" s="102">
        <v>45570</v>
      </c>
      <c r="E9" s="103">
        <v>45551</v>
      </c>
      <c r="F9" s="102">
        <v>45573</v>
      </c>
      <c r="G9">
        <f t="shared" si="0"/>
        <v>22</v>
      </c>
      <c r="H9">
        <v>303</v>
      </c>
      <c r="I9">
        <v>409</v>
      </c>
      <c r="J9" s="88">
        <v>577.29387306501985</v>
      </c>
      <c r="K9" s="60">
        <v>951.28815262186981</v>
      </c>
      <c r="L9" s="60">
        <f t="shared" si="1"/>
        <v>373.99427955684996</v>
      </c>
      <c r="M9" s="11">
        <f t="shared" si="2"/>
        <v>16.999739979856816</v>
      </c>
      <c r="N9" s="72">
        <v>0.92525000000000002</v>
      </c>
      <c r="O9" s="61">
        <v>0.94025000000000003</v>
      </c>
      <c r="P9" s="12">
        <f t="shared" si="3"/>
        <v>190.74737500000001</v>
      </c>
      <c r="Q9" s="11">
        <f t="shared" si="4"/>
        <v>1.9606785129119075</v>
      </c>
      <c r="R9" s="88">
        <v>29.8698997468404</v>
      </c>
      <c r="S9" s="60">
        <v>177.83588521473811</v>
      </c>
      <c r="T9" s="60">
        <f t="shared" si="5"/>
        <v>147.96598546789772</v>
      </c>
      <c r="U9" s="43">
        <f t="shared" si="10"/>
        <v>6.7257266121771693</v>
      </c>
      <c r="V9" s="12">
        <v>521</v>
      </c>
      <c r="W9" s="60">
        <v>1095.5</v>
      </c>
      <c r="X9" s="60">
        <f t="shared" si="6"/>
        <v>144.21184737813019</v>
      </c>
      <c r="Y9" s="60">
        <f t="shared" si="7"/>
        <v>376.78815262186981</v>
      </c>
      <c r="Z9" s="12">
        <f t="shared" si="8"/>
        <v>72.320182844888635</v>
      </c>
      <c r="AA9" s="61">
        <f t="shared" si="9"/>
        <v>0.39608204052935408</v>
      </c>
      <c r="AB9" s="61">
        <v>0.45200000000000001</v>
      </c>
      <c r="AC9" s="60">
        <v>67.143988908694794</v>
      </c>
      <c r="AD9" s="47">
        <v>0.47642662137139036</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1C07-EC0E-42E6-AD4B-B5E6959009E5}">
  <dimension ref="A1:I15"/>
  <sheetViews>
    <sheetView workbookViewId="0">
      <selection activeCell="B3" sqref="B3"/>
    </sheetView>
  </sheetViews>
  <sheetFormatPr defaultRowHeight="15" x14ac:dyDescent="0.25"/>
  <sheetData>
    <row r="1" spans="1:9" x14ac:dyDescent="0.25">
      <c r="A1" s="101" t="s">
        <v>21</v>
      </c>
      <c r="B1" s="1" t="s">
        <v>25</v>
      </c>
      <c r="C1" s="1"/>
      <c r="D1" s="1"/>
      <c r="E1" s="100"/>
      <c r="F1" s="1" t="s">
        <v>30</v>
      </c>
      <c r="G1" s="1"/>
      <c r="H1" s="1"/>
      <c r="I1" s="100"/>
    </row>
    <row r="2" spans="1:9" x14ac:dyDescent="0.25">
      <c r="A2" s="101" t="s">
        <v>22</v>
      </c>
      <c r="B2" t="s">
        <v>26</v>
      </c>
      <c r="C2" t="s">
        <v>27</v>
      </c>
      <c r="D2" t="s">
        <v>28</v>
      </c>
      <c r="E2" t="s">
        <v>29</v>
      </c>
      <c r="F2" t="s">
        <v>32</v>
      </c>
      <c r="G2" t="s">
        <v>31</v>
      </c>
      <c r="H2" t="s">
        <v>28</v>
      </c>
      <c r="I2" t="s">
        <v>29</v>
      </c>
    </row>
    <row r="3" spans="1:9" x14ac:dyDescent="0.25">
      <c r="A3" s="101">
        <v>75</v>
      </c>
      <c r="B3" s="61">
        <v>0.55249999999999999</v>
      </c>
      <c r="C3" s="61">
        <v>0.40375</v>
      </c>
      <c r="D3" s="61">
        <v>0.25900000000000001</v>
      </c>
      <c r="E3" s="61">
        <v>0.27099999999999996</v>
      </c>
      <c r="F3" s="61">
        <v>0.5625</v>
      </c>
      <c r="G3" s="61">
        <v>0.41600000000000004</v>
      </c>
      <c r="H3" s="61">
        <v>0.32324999999999998</v>
      </c>
      <c r="I3" s="61">
        <v>0.54799999999999993</v>
      </c>
    </row>
    <row r="4" spans="1:9" x14ac:dyDescent="0.25">
      <c r="A4" s="101">
        <v>50</v>
      </c>
      <c r="B4" s="61">
        <v>0.16149999999999998</v>
      </c>
      <c r="C4" s="61">
        <v>0.158</v>
      </c>
      <c r="D4" s="61">
        <v>0.15125</v>
      </c>
      <c r="E4" s="61">
        <v>9.9750000000000005E-2</v>
      </c>
      <c r="F4" s="61">
        <v>0.16250000000000001</v>
      </c>
      <c r="G4" s="61">
        <v>0.10750000000000001</v>
      </c>
      <c r="H4" s="61">
        <v>0.1275</v>
      </c>
      <c r="I4" s="61">
        <v>0.23274999999999996</v>
      </c>
    </row>
    <row r="5" spans="1:9" x14ac:dyDescent="0.25">
      <c r="A5" s="101">
        <v>25</v>
      </c>
      <c r="B5" s="61">
        <v>4.9500000000000002E-2</v>
      </c>
      <c r="C5" s="61">
        <v>0.10975</v>
      </c>
      <c r="D5" s="61">
        <v>0.1065</v>
      </c>
      <c r="E5" s="61">
        <v>3.875E-2</v>
      </c>
      <c r="F5" s="61">
        <v>8.6749999999999994E-2</v>
      </c>
      <c r="G5" s="61">
        <v>4.2499999999999996E-2</v>
      </c>
      <c r="H5" s="61">
        <v>7.1000000000000008E-2</v>
      </c>
      <c r="I5" s="61">
        <v>0.11025000000000001</v>
      </c>
    </row>
    <row r="6" spans="1:9" x14ac:dyDescent="0.25">
      <c r="A6" s="101">
        <v>0</v>
      </c>
      <c r="B6" s="61">
        <v>3.2000000000000001E-2</v>
      </c>
      <c r="C6" s="61">
        <v>7.9249999999999987E-2</v>
      </c>
      <c r="D6" s="61">
        <v>7.7499999999999999E-2</v>
      </c>
      <c r="E6" s="61">
        <v>2.1250000000000002E-2</v>
      </c>
      <c r="F6" s="61">
        <v>5.7250000000000002E-2</v>
      </c>
      <c r="G6" s="61">
        <v>2.7499999999999997E-2</v>
      </c>
      <c r="H6" s="61">
        <v>3.7249999999999998E-2</v>
      </c>
      <c r="I6" s="61">
        <v>5.9749999999999998E-2</v>
      </c>
    </row>
    <row r="9" spans="1:9" x14ac:dyDescent="0.25">
      <c r="A9" s="101" t="s">
        <v>21</v>
      </c>
      <c r="B9" s="1" t="s">
        <v>25</v>
      </c>
      <c r="C9" s="1"/>
      <c r="D9" s="1"/>
      <c r="E9" s="100"/>
      <c r="F9" s="1" t="s">
        <v>30</v>
      </c>
      <c r="G9" s="1"/>
      <c r="H9" s="1"/>
      <c r="I9" s="100"/>
    </row>
    <row r="10" spans="1:9" x14ac:dyDescent="0.25">
      <c r="A10" s="101" t="s">
        <v>22</v>
      </c>
      <c r="B10" t="s">
        <v>26</v>
      </c>
      <c r="C10" t="s">
        <v>27</v>
      </c>
      <c r="D10" t="s">
        <v>28</v>
      </c>
      <c r="E10" t="s">
        <v>29</v>
      </c>
      <c r="F10" t="s">
        <v>32</v>
      </c>
      <c r="G10" t="s">
        <v>31</v>
      </c>
      <c r="H10" t="s">
        <v>28</v>
      </c>
      <c r="I10" t="s">
        <v>29</v>
      </c>
    </row>
    <row r="11" spans="1:9" x14ac:dyDescent="0.25">
      <c r="A11" s="101">
        <v>100</v>
      </c>
      <c r="B11" s="60">
        <v>50.78125</v>
      </c>
      <c r="C11" s="60">
        <v>48.6</v>
      </c>
      <c r="D11" s="60">
        <v>52.412499999999994</v>
      </c>
      <c r="E11" s="60">
        <v>52.018750000000004</v>
      </c>
      <c r="F11" s="60">
        <v>49.706249999999997</v>
      </c>
      <c r="G11" s="60">
        <v>47.012500000000003</v>
      </c>
      <c r="H11" s="60">
        <v>51.206250000000004</v>
      </c>
      <c r="I11" s="60">
        <v>52.081249999999997</v>
      </c>
    </row>
    <row r="12" spans="1:9" x14ac:dyDescent="0.25">
      <c r="A12" s="101">
        <v>75</v>
      </c>
      <c r="B12" s="60">
        <v>54.356250000000003</v>
      </c>
      <c r="C12" s="60">
        <v>51.400000000000006</v>
      </c>
      <c r="D12" s="60">
        <v>49.418750000000003</v>
      </c>
      <c r="E12" s="60">
        <v>49.231250000000003</v>
      </c>
      <c r="F12" s="60">
        <v>53.949999999999996</v>
      </c>
      <c r="G12" s="60">
        <v>47.481250000000003</v>
      </c>
      <c r="H12" s="60">
        <v>50.568750000000001</v>
      </c>
      <c r="I12" s="60">
        <v>51.712499999999999</v>
      </c>
    </row>
    <row r="13" spans="1:9" x14ac:dyDescent="0.25">
      <c r="A13" s="101">
        <v>50</v>
      </c>
      <c r="B13" s="60">
        <v>55.4375</v>
      </c>
      <c r="C13" s="60">
        <v>46.418750000000003</v>
      </c>
      <c r="D13" s="60">
        <v>47.362500000000004</v>
      </c>
      <c r="E13" s="60">
        <v>49.825000000000003</v>
      </c>
      <c r="F13" s="60">
        <v>55.837499999999999</v>
      </c>
      <c r="G13" s="60">
        <v>49.756250000000001</v>
      </c>
      <c r="H13" s="60">
        <v>45.90625</v>
      </c>
      <c r="I13" s="60">
        <v>46.425000000000004</v>
      </c>
    </row>
    <row r="14" spans="1:9" x14ac:dyDescent="0.25">
      <c r="A14" s="101">
        <v>25</v>
      </c>
      <c r="B14" s="60">
        <v>48.981250000000003</v>
      </c>
      <c r="C14" s="60">
        <v>22.643750000000001</v>
      </c>
      <c r="D14" s="60">
        <v>32.168750000000003</v>
      </c>
      <c r="E14" s="60">
        <v>39.675000000000004</v>
      </c>
      <c r="F14" s="60">
        <v>40.90625</v>
      </c>
      <c r="G14" s="60">
        <v>38.187499999999993</v>
      </c>
      <c r="H14" s="60">
        <v>23.943750000000001</v>
      </c>
      <c r="I14" s="60">
        <v>20.425000000000001</v>
      </c>
    </row>
    <row r="15" spans="1:9" x14ac:dyDescent="0.25">
      <c r="A15" s="101">
        <v>0</v>
      </c>
      <c r="B15" s="60">
        <v>17.46875</v>
      </c>
      <c r="C15" s="60">
        <v>3.0874999999999999</v>
      </c>
      <c r="D15" s="60">
        <v>11.487500000000001</v>
      </c>
      <c r="E15" s="60">
        <v>13.668749999999999</v>
      </c>
      <c r="F15" s="60">
        <v>3.1375000000000002</v>
      </c>
      <c r="G15" s="60">
        <v>21.03125</v>
      </c>
      <c r="H15" s="60">
        <v>1.9499999999999997</v>
      </c>
      <c r="I15" s="60">
        <v>4.9999999999999996E-2</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7556-AF56-4F2E-9B1A-62622003A9E9}">
  <dimension ref="A1:AO34"/>
  <sheetViews>
    <sheetView tabSelected="1" topLeftCell="Q1" workbookViewId="0">
      <selection activeCell="AN4" sqref="AN4"/>
    </sheetView>
  </sheetViews>
  <sheetFormatPr defaultRowHeight="15" x14ac:dyDescent="0.25"/>
  <cols>
    <col min="1" max="6" width="9.28515625" style="4"/>
    <col min="7" max="7" width="17.7109375" style="4" customWidth="1"/>
    <col min="8" max="8" width="9.28515625" style="4"/>
    <col min="9" max="9" width="9.28515625" style="99"/>
    <col min="10" max="39" width="8.7109375" style="52"/>
    <col min="40" max="40" width="18.5703125" style="52" customWidth="1"/>
    <col min="41" max="41" width="8.7109375" style="52"/>
  </cols>
  <sheetData>
    <row r="1" spans="1:40" ht="75" x14ac:dyDescent="0.25">
      <c r="A1" s="10" t="s">
        <v>23</v>
      </c>
      <c r="B1" s="10" t="s">
        <v>24</v>
      </c>
      <c r="C1" s="10" t="s">
        <v>281</v>
      </c>
      <c r="D1" s="10" t="s">
        <v>282</v>
      </c>
      <c r="E1" s="10" t="s">
        <v>77</v>
      </c>
      <c r="F1" s="10" t="s">
        <v>21</v>
      </c>
      <c r="G1" s="10" t="s">
        <v>22</v>
      </c>
      <c r="H1" s="10" t="s">
        <v>76</v>
      </c>
      <c r="I1" s="97" t="s">
        <v>498</v>
      </c>
      <c r="J1" s="83" t="s">
        <v>612</v>
      </c>
      <c r="K1" s="83" t="s">
        <v>613</v>
      </c>
      <c r="L1" s="83" t="s">
        <v>614</v>
      </c>
      <c r="M1" s="83" t="s">
        <v>615</v>
      </c>
      <c r="N1" s="83" t="s">
        <v>616</v>
      </c>
      <c r="O1" s="83" t="s">
        <v>617</v>
      </c>
      <c r="P1" s="83" t="s">
        <v>618</v>
      </c>
      <c r="Q1" s="83" t="s">
        <v>619</v>
      </c>
      <c r="R1" s="83" t="s">
        <v>620</v>
      </c>
      <c r="S1" s="83" t="s">
        <v>621</v>
      </c>
      <c r="T1" s="83" t="s">
        <v>622</v>
      </c>
      <c r="U1" s="83" t="s">
        <v>623</v>
      </c>
      <c r="V1" s="83" t="s">
        <v>624</v>
      </c>
      <c r="W1" s="83" t="s">
        <v>625</v>
      </c>
      <c r="X1" s="83" t="s">
        <v>626</v>
      </c>
      <c r="Y1" s="83" t="s">
        <v>627</v>
      </c>
      <c r="Z1" s="83" t="s">
        <v>628</v>
      </c>
      <c r="AA1" s="83" t="s">
        <v>629</v>
      </c>
      <c r="AB1" s="83" t="s">
        <v>630</v>
      </c>
      <c r="AC1" s="83" t="s">
        <v>631</v>
      </c>
      <c r="AD1" s="150" t="s">
        <v>632</v>
      </c>
      <c r="AE1" s="150" t="s">
        <v>633</v>
      </c>
      <c r="AF1" s="150" t="s">
        <v>634</v>
      </c>
      <c r="AG1" s="150" t="s">
        <v>635</v>
      </c>
      <c r="AH1" s="150" t="s">
        <v>636</v>
      </c>
      <c r="AI1" s="150" t="s">
        <v>637</v>
      </c>
      <c r="AJ1" s="150" t="s">
        <v>638</v>
      </c>
      <c r="AK1" s="150" t="s">
        <v>639</v>
      </c>
      <c r="AL1" s="150" t="s">
        <v>640</v>
      </c>
      <c r="AM1" s="150" t="s">
        <v>641</v>
      </c>
      <c r="AN1" s="108" t="s">
        <v>499</v>
      </c>
    </row>
    <row r="2" spans="1:40" x14ac:dyDescent="0.25">
      <c r="A2" s="63">
        <v>1</v>
      </c>
      <c r="B2" s="63">
        <v>1</v>
      </c>
      <c r="C2" s="63">
        <v>1</v>
      </c>
      <c r="D2" s="63">
        <v>1</v>
      </c>
      <c r="E2" s="63">
        <v>1</v>
      </c>
      <c r="F2" s="63" t="s">
        <v>25</v>
      </c>
      <c r="G2" s="63" t="s">
        <v>26</v>
      </c>
      <c r="H2" s="63">
        <v>101</v>
      </c>
      <c r="I2" s="98">
        <v>1</v>
      </c>
      <c r="J2" s="52">
        <v>16</v>
      </c>
      <c r="K2" s="52">
        <v>16</v>
      </c>
      <c r="L2" s="52">
        <v>17</v>
      </c>
      <c r="M2" s="52">
        <v>20</v>
      </c>
      <c r="N2" s="52">
        <v>19</v>
      </c>
      <c r="O2" s="52">
        <v>17</v>
      </c>
      <c r="P2" s="52">
        <v>15</v>
      </c>
      <c r="Q2" s="52">
        <v>20</v>
      </c>
      <c r="R2" s="52">
        <v>17</v>
      </c>
      <c r="S2" s="52">
        <v>18</v>
      </c>
      <c r="T2" s="52">
        <v>0</v>
      </c>
      <c r="U2" s="52">
        <v>0</v>
      </c>
      <c r="V2" s="52">
        <v>1</v>
      </c>
      <c r="W2" s="52">
        <v>2</v>
      </c>
      <c r="X2" s="52">
        <v>0</v>
      </c>
      <c r="Y2" s="52">
        <v>0</v>
      </c>
      <c r="Z2" s="52">
        <v>3</v>
      </c>
      <c r="AA2" s="52">
        <v>0</v>
      </c>
      <c r="AB2" s="52">
        <v>0</v>
      </c>
      <c r="AC2" s="52">
        <v>1</v>
      </c>
      <c r="AD2" s="52">
        <v>0</v>
      </c>
      <c r="AE2" s="52">
        <v>0</v>
      </c>
      <c r="AF2" s="109">
        <f>(V2/L2)*100</f>
        <v>5.8823529411764701</v>
      </c>
      <c r="AG2" s="52">
        <f>(W2/M2)*100</f>
        <v>10</v>
      </c>
      <c r="AH2" s="52">
        <v>0</v>
      </c>
      <c r="AI2" s="52">
        <v>0</v>
      </c>
      <c r="AJ2" s="52">
        <f>(Z2/P2)*100</f>
        <v>20</v>
      </c>
      <c r="AK2" s="52">
        <v>0</v>
      </c>
      <c r="AL2" s="52">
        <v>0</v>
      </c>
      <c r="AM2" s="109">
        <f>(AC2/S2)*100</f>
        <v>5.5555555555555554</v>
      </c>
      <c r="AN2" s="110">
        <f>AVERAGE(AD2:AM2)</f>
        <v>4.143790849673203</v>
      </c>
    </row>
    <row r="3" spans="1:40" x14ac:dyDescent="0.25">
      <c r="A3" s="63">
        <v>1</v>
      </c>
      <c r="B3" s="63">
        <v>2</v>
      </c>
      <c r="C3" s="63">
        <v>1</v>
      </c>
      <c r="D3" s="63">
        <v>8</v>
      </c>
      <c r="E3" s="63">
        <v>2</v>
      </c>
      <c r="F3" s="63" t="s">
        <v>30</v>
      </c>
      <c r="G3" s="63" t="s">
        <v>31</v>
      </c>
      <c r="H3" s="63">
        <v>102</v>
      </c>
      <c r="I3" s="98">
        <v>2</v>
      </c>
      <c r="J3" s="52">
        <v>18</v>
      </c>
      <c r="K3" s="52">
        <v>19</v>
      </c>
      <c r="L3" s="52">
        <v>16</v>
      </c>
      <c r="M3" s="52">
        <v>18</v>
      </c>
      <c r="N3" s="52">
        <v>17</v>
      </c>
      <c r="O3" s="52">
        <v>15</v>
      </c>
      <c r="P3" s="52">
        <v>19</v>
      </c>
      <c r="Q3" s="52">
        <v>19</v>
      </c>
      <c r="R3" s="52">
        <v>17</v>
      </c>
      <c r="S3" s="52">
        <v>18</v>
      </c>
      <c r="T3" s="52">
        <v>3</v>
      </c>
      <c r="U3" s="52">
        <v>0</v>
      </c>
      <c r="V3" s="52">
        <v>1</v>
      </c>
      <c r="W3" s="52">
        <v>0</v>
      </c>
      <c r="X3" s="52">
        <v>2</v>
      </c>
      <c r="Y3" s="52">
        <v>0</v>
      </c>
      <c r="Z3" s="52">
        <v>1</v>
      </c>
      <c r="AA3" s="52">
        <v>0</v>
      </c>
      <c r="AB3" s="52">
        <v>1</v>
      </c>
      <c r="AC3" s="52">
        <v>1</v>
      </c>
      <c r="AD3" s="109">
        <f>(T3/J3)*100</f>
        <v>16.666666666666664</v>
      </c>
      <c r="AE3" s="52">
        <v>0</v>
      </c>
      <c r="AF3" s="109">
        <f t="shared" ref="AF3:AF33" si="0">(V3/L3)*100</f>
        <v>6.25</v>
      </c>
      <c r="AG3" s="52">
        <v>0</v>
      </c>
      <c r="AH3" s="109">
        <f>(X3/N3)*100</f>
        <v>11.76470588235294</v>
      </c>
      <c r="AI3" s="52">
        <v>0</v>
      </c>
      <c r="AJ3" s="109">
        <f>(Z3/P3)*100</f>
        <v>5.2631578947368416</v>
      </c>
      <c r="AK3" s="52">
        <v>0</v>
      </c>
      <c r="AL3" s="109">
        <f>(AB3/R3)*100</f>
        <v>5.8823529411764701</v>
      </c>
      <c r="AM3" s="109">
        <f>(AC3/S3)*100</f>
        <v>5.5555555555555554</v>
      </c>
      <c r="AN3" s="110">
        <f>AVERAGE(AD3:AM3)</f>
        <v>5.1382438940488475</v>
      </c>
    </row>
    <row r="4" spans="1:40" x14ac:dyDescent="0.25">
      <c r="A4" s="63">
        <v>1</v>
      </c>
      <c r="B4" s="63">
        <v>3</v>
      </c>
      <c r="C4" s="63">
        <v>2</v>
      </c>
      <c r="D4" s="63">
        <v>9</v>
      </c>
      <c r="E4" s="63">
        <v>3</v>
      </c>
      <c r="F4" s="63" t="s">
        <v>25</v>
      </c>
      <c r="G4" s="63" t="s">
        <v>27</v>
      </c>
      <c r="H4" s="63">
        <v>103</v>
      </c>
      <c r="I4" s="98">
        <v>3</v>
      </c>
      <c r="J4" s="52">
        <v>16</v>
      </c>
      <c r="K4" s="52">
        <v>18</v>
      </c>
      <c r="L4" s="52">
        <v>19</v>
      </c>
      <c r="M4" s="52">
        <v>16</v>
      </c>
      <c r="N4" s="52">
        <v>13</v>
      </c>
      <c r="O4" s="52">
        <v>20</v>
      </c>
      <c r="P4" s="52">
        <v>16</v>
      </c>
      <c r="Q4" s="52">
        <v>14</v>
      </c>
      <c r="R4" s="52">
        <v>19</v>
      </c>
      <c r="S4" s="52">
        <v>21</v>
      </c>
      <c r="T4" s="52">
        <v>0</v>
      </c>
      <c r="U4" s="52">
        <v>0</v>
      </c>
      <c r="V4" s="52">
        <v>1</v>
      </c>
      <c r="W4" s="52">
        <v>2</v>
      </c>
      <c r="X4" s="52">
        <v>0</v>
      </c>
      <c r="Y4" s="52">
        <v>0</v>
      </c>
      <c r="Z4" s="52">
        <v>1</v>
      </c>
      <c r="AA4" s="52">
        <v>0</v>
      </c>
      <c r="AB4" s="52">
        <v>0</v>
      </c>
      <c r="AC4" s="52">
        <v>0</v>
      </c>
      <c r="AD4" s="109">
        <f t="shared" ref="AD4:AD33" si="1">(T4/J4)*100</f>
        <v>0</v>
      </c>
      <c r="AE4" s="52">
        <v>0</v>
      </c>
      <c r="AF4" s="109">
        <f t="shared" si="0"/>
        <v>5.2631578947368416</v>
      </c>
      <c r="AG4" s="52">
        <v>0</v>
      </c>
      <c r="AH4" s="109">
        <f t="shared" ref="AH4:AH33" si="2">(X4/N4)*100</f>
        <v>0</v>
      </c>
      <c r="AI4" s="52">
        <v>0</v>
      </c>
      <c r="AJ4" s="109">
        <f t="shared" ref="AJ4:AJ33" si="3">(Z4/P4)*100</f>
        <v>6.25</v>
      </c>
      <c r="AK4" s="52">
        <v>0</v>
      </c>
      <c r="AL4" s="109">
        <f t="shared" ref="AL4:AL33" si="4">(AB4/R4)*100</f>
        <v>0</v>
      </c>
      <c r="AM4" s="109">
        <f t="shared" ref="AM4:AM33" si="5">(AC4/S4)*100</f>
        <v>0</v>
      </c>
      <c r="AN4" s="110">
        <f t="shared" ref="AN4:AN33" si="6">AVERAGE(AD4:AM4)</f>
        <v>1.1513157894736843</v>
      </c>
    </row>
    <row r="5" spans="1:40" x14ac:dyDescent="0.25">
      <c r="A5" s="63">
        <v>1</v>
      </c>
      <c r="B5" s="63">
        <v>4</v>
      </c>
      <c r="C5" s="63">
        <v>2</v>
      </c>
      <c r="D5" s="63">
        <v>16</v>
      </c>
      <c r="E5" s="63">
        <v>4</v>
      </c>
      <c r="F5" s="63" t="s">
        <v>30</v>
      </c>
      <c r="G5" s="63" t="s">
        <v>28</v>
      </c>
      <c r="H5" s="63">
        <v>104</v>
      </c>
      <c r="I5" s="98">
        <v>4</v>
      </c>
      <c r="J5" s="52">
        <v>15</v>
      </c>
      <c r="K5" s="52">
        <v>17</v>
      </c>
      <c r="L5" s="52">
        <v>14</v>
      </c>
      <c r="M5" s="52">
        <v>15</v>
      </c>
      <c r="N5" s="52">
        <v>16</v>
      </c>
      <c r="O5" s="52">
        <v>17</v>
      </c>
      <c r="P5" s="52">
        <v>12</v>
      </c>
      <c r="Q5" s="52">
        <v>17</v>
      </c>
      <c r="R5" s="52">
        <v>16</v>
      </c>
      <c r="S5" s="52">
        <v>18</v>
      </c>
      <c r="T5" s="52">
        <v>0</v>
      </c>
      <c r="U5" s="52">
        <v>4</v>
      </c>
      <c r="V5" s="52">
        <v>0</v>
      </c>
      <c r="W5" s="52">
        <v>2</v>
      </c>
      <c r="X5" s="52">
        <v>1</v>
      </c>
      <c r="Y5" s="52">
        <v>2</v>
      </c>
      <c r="Z5" s="52">
        <v>1</v>
      </c>
      <c r="AA5" s="52">
        <v>0</v>
      </c>
      <c r="AB5" s="52">
        <v>1</v>
      </c>
      <c r="AC5" s="52">
        <v>0</v>
      </c>
      <c r="AD5" s="109">
        <f t="shared" si="1"/>
        <v>0</v>
      </c>
      <c r="AE5" s="52">
        <v>0</v>
      </c>
      <c r="AF5" s="109">
        <f t="shared" si="0"/>
        <v>0</v>
      </c>
      <c r="AG5" s="52">
        <v>0</v>
      </c>
      <c r="AH5" s="109">
        <f t="shared" si="2"/>
        <v>6.25</v>
      </c>
      <c r="AI5" s="52">
        <v>0</v>
      </c>
      <c r="AJ5" s="109">
        <f t="shared" si="3"/>
        <v>8.3333333333333321</v>
      </c>
      <c r="AK5" s="52">
        <v>0</v>
      </c>
      <c r="AL5" s="109">
        <f t="shared" si="4"/>
        <v>6.25</v>
      </c>
      <c r="AM5" s="109">
        <f t="shared" si="5"/>
        <v>0</v>
      </c>
      <c r="AN5" s="110">
        <f t="shared" si="6"/>
        <v>2.083333333333333</v>
      </c>
    </row>
    <row r="6" spans="1:40" x14ac:dyDescent="0.25">
      <c r="A6" s="63">
        <v>1</v>
      </c>
      <c r="B6" s="63">
        <v>5</v>
      </c>
      <c r="C6" s="63">
        <v>3</v>
      </c>
      <c r="D6" s="63">
        <v>17</v>
      </c>
      <c r="E6" s="63">
        <v>5</v>
      </c>
      <c r="F6" s="63" t="s">
        <v>25</v>
      </c>
      <c r="G6" s="63" t="s">
        <v>28</v>
      </c>
      <c r="H6" s="63">
        <v>105</v>
      </c>
      <c r="I6" s="98">
        <v>5</v>
      </c>
      <c r="J6" s="52">
        <v>16</v>
      </c>
      <c r="K6" s="52">
        <v>17</v>
      </c>
      <c r="L6" s="52">
        <v>18</v>
      </c>
      <c r="M6" s="52">
        <v>18</v>
      </c>
      <c r="N6" s="52">
        <v>15</v>
      </c>
      <c r="O6" s="52">
        <v>15</v>
      </c>
      <c r="P6" s="52">
        <v>17</v>
      </c>
      <c r="Q6" s="52">
        <v>18</v>
      </c>
      <c r="R6" s="52">
        <v>16</v>
      </c>
      <c r="S6" s="52">
        <v>17</v>
      </c>
      <c r="T6" s="52">
        <v>1</v>
      </c>
      <c r="U6" s="52">
        <v>0</v>
      </c>
      <c r="V6" s="52">
        <v>1</v>
      </c>
      <c r="W6" s="52">
        <v>1</v>
      </c>
      <c r="X6" s="52">
        <v>1</v>
      </c>
      <c r="Y6" s="52">
        <v>0</v>
      </c>
      <c r="Z6" s="52">
        <v>0</v>
      </c>
      <c r="AA6" s="52">
        <v>2</v>
      </c>
      <c r="AB6" s="52">
        <v>0</v>
      </c>
      <c r="AC6" s="52">
        <v>0</v>
      </c>
      <c r="AD6" s="109">
        <f t="shared" si="1"/>
        <v>6.25</v>
      </c>
      <c r="AE6" s="52">
        <v>0</v>
      </c>
      <c r="AF6" s="109">
        <f t="shared" si="0"/>
        <v>5.5555555555555554</v>
      </c>
      <c r="AG6" s="52">
        <v>0</v>
      </c>
      <c r="AH6" s="109">
        <f t="shared" si="2"/>
        <v>6.666666666666667</v>
      </c>
      <c r="AI6" s="52">
        <v>0</v>
      </c>
      <c r="AJ6" s="109">
        <f t="shared" si="3"/>
        <v>0</v>
      </c>
      <c r="AK6" s="52">
        <v>0</v>
      </c>
      <c r="AL6" s="109">
        <f t="shared" si="4"/>
        <v>0</v>
      </c>
      <c r="AM6" s="109">
        <f t="shared" si="5"/>
        <v>0</v>
      </c>
      <c r="AN6" s="110">
        <f t="shared" si="6"/>
        <v>1.8472222222222221</v>
      </c>
    </row>
    <row r="7" spans="1:40" x14ac:dyDescent="0.25">
      <c r="A7" s="63">
        <v>1</v>
      </c>
      <c r="B7" s="63">
        <v>6</v>
      </c>
      <c r="C7" s="63">
        <v>3</v>
      </c>
      <c r="D7" s="63">
        <v>24</v>
      </c>
      <c r="E7" s="63">
        <v>6</v>
      </c>
      <c r="F7" s="63" t="s">
        <v>30</v>
      </c>
      <c r="G7" s="63" t="s">
        <v>29</v>
      </c>
      <c r="H7" s="63">
        <v>106</v>
      </c>
      <c r="I7" s="98">
        <v>6</v>
      </c>
      <c r="J7" s="52">
        <v>17</v>
      </c>
      <c r="K7" s="52">
        <v>16</v>
      </c>
      <c r="L7" s="52">
        <v>16</v>
      </c>
      <c r="M7" s="52">
        <v>16</v>
      </c>
      <c r="N7" s="52">
        <v>17</v>
      </c>
      <c r="O7" s="52">
        <v>17</v>
      </c>
      <c r="P7" s="52">
        <v>17</v>
      </c>
      <c r="Q7" s="52">
        <v>17</v>
      </c>
      <c r="R7" s="52">
        <v>14</v>
      </c>
      <c r="S7" s="52">
        <v>17</v>
      </c>
      <c r="T7" s="52">
        <v>1</v>
      </c>
      <c r="U7" s="52">
        <v>0</v>
      </c>
      <c r="V7" s="52">
        <v>0</v>
      </c>
      <c r="W7" s="52">
        <v>1</v>
      </c>
      <c r="X7" s="52">
        <v>1</v>
      </c>
      <c r="Y7" s="52">
        <v>2</v>
      </c>
      <c r="Z7" s="52">
        <v>0</v>
      </c>
      <c r="AA7" s="52">
        <v>0</v>
      </c>
      <c r="AB7" s="52">
        <v>0</v>
      </c>
      <c r="AC7" s="52">
        <v>0</v>
      </c>
      <c r="AD7" s="109">
        <f t="shared" si="1"/>
        <v>5.8823529411764701</v>
      </c>
      <c r="AE7" s="52">
        <v>0</v>
      </c>
      <c r="AF7" s="109">
        <f t="shared" si="0"/>
        <v>0</v>
      </c>
      <c r="AG7" s="52">
        <v>0</v>
      </c>
      <c r="AH7" s="109">
        <f t="shared" si="2"/>
        <v>5.8823529411764701</v>
      </c>
      <c r="AI7" s="52">
        <v>0</v>
      </c>
      <c r="AJ7" s="109">
        <f t="shared" si="3"/>
        <v>0</v>
      </c>
      <c r="AK7" s="52">
        <v>0</v>
      </c>
      <c r="AL7" s="109">
        <f t="shared" si="4"/>
        <v>0</v>
      </c>
      <c r="AM7" s="109">
        <f t="shared" si="5"/>
        <v>0</v>
      </c>
      <c r="AN7" s="110">
        <f t="shared" si="6"/>
        <v>1.1764705882352939</v>
      </c>
    </row>
    <row r="8" spans="1:40" x14ac:dyDescent="0.25">
      <c r="A8" s="63">
        <v>1</v>
      </c>
      <c r="B8" s="63">
        <v>7</v>
      </c>
      <c r="C8" s="63">
        <v>4</v>
      </c>
      <c r="D8" s="63">
        <v>25</v>
      </c>
      <c r="E8" s="63">
        <v>7</v>
      </c>
      <c r="F8" s="63" t="s">
        <v>25</v>
      </c>
      <c r="G8" s="63" t="s">
        <v>29</v>
      </c>
      <c r="H8" s="63">
        <v>107</v>
      </c>
      <c r="I8" s="98">
        <v>7</v>
      </c>
      <c r="J8" s="52">
        <v>20</v>
      </c>
      <c r="K8" s="52">
        <v>20</v>
      </c>
      <c r="L8" s="52">
        <v>18</v>
      </c>
      <c r="M8" s="52">
        <v>18</v>
      </c>
      <c r="N8" s="52">
        <v>19</v>
      </c>
      <c r="O8" s="52">
        <v>21</v>
      </c>
      <c r="P8" s="52">
        <v>20</v>
      </c>
      <c r="Q8" s="52">
        <v>20</v>
      </c>
      <c r="R8" s="52">
        <v>17</v>
      </c>
      <c r="S8" s="52">
        <v>18</v>
      </c>
      <c r="T8" s="52">
        <v>2</v>
      </c>
      <c r="U8" s="52">
        <v>0</v>
      </c>
      <c r="V8" s="52">
        <v>0</v>
      </c>
      <c r="W8" s="52">
        <v>1</v>
      </c>
      <c r="X8" s="52">
        <v>0</v>
      </c>
      <c r="Y8" s="52">
        <v>2</v>
      </c>
      <c r="Z8" s="52">
        <v>0</v>
      </c>
      <c r="AA8" s="52">
        <v>2</v>
      </c>
      <c r="AB8" s="52">
        <v>1</v>
      </c>
      <c r="AC8" s="52">
        <v>1</v>
      </c>
      <c r="AD8" s="109">
        <f t="shared" si="1"/>
        <v>10</v>
      </c>
      <c r="AE8" s="52">
        <v>0</v>
      </c>
      <c r="AF8" s="109">
        <f t="shared" si="0"/>
        <v>0</v>
      </c>
      <c r="AG8" s="52">
        <v>0</v>
      </c>
      <c r="AH8" s="109">
        <f t="shared" si="2"/>
        <v>0</v>
      </c>
      <c r="AI8" s="52">
        <v>0</v>
      </c>
      <c r="AJ8" s="109">
        <f t="shared" si="3"/>
        <v>0</v>
      </c>
      <c r="AK8" s="52">
        <v>0</v>
      </c>
      <c r="AL8" s="109">
        <f t="shared" si="4"/>
        <v>5.8823529411764701</v>
      </c>
      <c r="AM8" s="109">
        <f t="shared" si="5"/>
        <v>5.5555555555555554</v>
      </c>
      <c r="AN8" s="110">
        <f t="shared" si="6"/>
        <v>2.143790849673203</v>
      </c>
    </row>
    <row r="9" spans="1:40" x14ac:dyDescent="0.25">
      <c r="A9" s="63">
        <v>1</v>
      </c>
      <c r="B9" s="63">
        <v>8</v>
      </c>
      <c r="C9" s="63">
        <v>4</v>
      </c>
      <c r="D9" s="63">
        <v>32</v>
      </c>
      <c r="E9" s="63">
        <v>8</v>
      </c>
      <c r="F9" s="63" t="s">
        <v>30</v>
      </c>
      <c r="G9" s="63" t="s">
        <v>32</v>
      </c>
      <c r="H9" s="63">
        <v>108</v>
      </c>
      <c r="I9" s="98">
        <v>8</v>
      </c>
      <c r="J9" s="52">
        <v>15</v>
      </c>
      <c r="K9" s="52">
        <v>16</v>
      </c>
      <c r="L9" s="52">
        <v>18</v>
      </c>
      <c r="M9" s="52">
        <v>16</v>
      </c>
      <c r="N9" s="52">
        <v>17</v>
      </c>
      <c r="O9" s="52">
        <v>16</v>
      </c>
      <c r="P9" s="52">
        <v>15</v>
      </c>
      <c r="Q9" s="52">
        <v>18</v>
      </c>
      <c r="R9" s="52">
        <v>17</v>
      </c>
      <c r="S9" s="52">
        <v>16</v>
      </c>
      <c r="T9" s="52">
        <v>0</v>
      </c>
      <c r="U9" s="52">
        <v>0</v>
      </c>
      <c r="V9" s="52">
        <v>0</v>
      </c>
      <c r="W9" s="52">
        <v>0</v>
      </c>
      <c r="X9" s="52">
        <v>3</v>
      </c>
      <c r="Y9" s="52">
        <v>1</v>
      </c>
      <c r="Z9" s="52">
        <v>0</v>
      </c>
      <c r="AA9" s="52">
        <v>2</v>
      </c>
      <c r="AB9" s="52">
        <v>0</v>
      </c>
      <c r="AC9" s="52">
        <v>0</v>
      </c>
      <c r="AD9" s="109">
        <f t="shared" si="1"/>
        <v>0</v>
      </c>
      <c r="AE9" s="52">
        <v>0</v>
      </c>
      <c r="AF9" s="109">
        <f t="shared" si="0"/>
        <v>0</v>
      </c>
      <c r="AG9" s="52">
        <v>0</v>
      </c>
      <c r="AH9" s="109">
        <f t="shared" si="2"/>
        <v>17.647058823529413</v>
      </c>
      <c r="AI9" s="52">
        <v>0</v>
      </c>
      <c r="AJ9" s="109">
        <f t="shared" si="3"/>
        <v>0</v>
      </c>
      <c r="AK9" s="52">
        <v>0</v>
      </c>
      <c r="AL9" s="109">
        <f t="shared" si="4"/>
        <v>0</v>
      </c>
      <c r="AM9" s="109">
        <f t="shared" si="5"/>
        <v>0</v>
      </c>
      <c r="AN9" s="110">
        <f t="shared" si="6"/>
        <v>1.7647058823529413</v>
      </c>
    </row>
    <row r="10" spans="1:40" x14ac:dyDescent="0.25">
      <c r="A10" s="63">
        <v>2</v>
      </c>
      <c r="B10" s="63">
        <v>1</v>
      </c>
      <c r="C10" s="63">
        <v>1</v>
      </c>
      <c r="D10" s="63">
        <v>2</v>
      </c>
      <c r="E10" s="63">
        <v>16</v>
      </c>
      <c r="F10" s="63" t="s">
        <v>25</v>
      </c>
      <c r="G10" s="63" t="s">
        <v>27</v>
      </c>
      <c r="H10" s="63">
        <v>201</v>
      </c>
      <c r="I10" s="98">
        <v>9</v>
      </c>
      <c r="J10" s="52">
        <v>18</v>
      </c>
      <c r="K10" s="52">
        <v>13</v>
      </c>
      <c r="L10" s="52">
        <v>21</v>
      </c>
      <c r="M10" s="52">
        <v>22</v>
      </c>
      <c r="N10" s="52">
        <v>15</v>
      </c>
      <c r="O10" s="52">
        <v>19</v>
      </c>
      <c r="P10" s="52">
        <v>19</v>
      </c>
      <c r="Q10" s="52">
        <v>18</v>
      </c>
      <c r="R10" s="52">
        <v>19</v>
      </c>
      <c r="S10" s="52">
        <v>18</v>
      </c>
      <c r="T10" s="52">
        <v>1</v>
      </c>
      <c r="U10" s="52">
        <v>0</v>
      </c>
      <c r="V10" s="52">
        <v>1</v>
      </c>
      <c r="W10" s="52">
        <v>2</v>
      </c>
      <c r="X10" s="52">
        <v>0</v>
      </c>
      <c r="Y10" s="52">
        <v>1</v>
      </c>
      <c r="Z10" s="52">
        <v>0</v>
      </c>
      <c r="AA10" s="52">
        <v>0</v>
      </c>
      <c r="AB10" s="52">
        <v>0</v>
      </c>
      <c r="AC10" s="52">
        <v>0</v>
      </c>
      <c r="AD10" s="109">
        <f t="shared" si="1"/>
        <v>5.5555555555555554</v>
      </c>
      <c r="AE10" s="52">
        <v>0</v>
      </c>
      <c r="AF10" s="109">
        <f t="shared" si="0"/>
        <v>4.7619047619047619</v>
      </c>
      <c r="AG10" s="52">
        <v>0</v>
      </c>
      <c r="AH10" s="109">
        <f t="shared" si="2"/>
        <v>0</v>
      </c>
      <c r="AI10" s="52">
        <v>0</v>
      </c>
      <c r="AJ10" s="109">
        <f t="shared" si="3"/>
        <v>0</v>
      </c>
      <c r="AK10" s="52">
        <v>0</v>
      </c>
      <c r="AL10" s="109">
        <f t="shared" si="4"/>
        <v>0</v>
      </c>
      <c r="AM10" s="109">
        <f t="shared" si="5"/>
        <v>0</v>
      </c>
      <c r="AN10" s="110">
        <f t="shared" si="6"/>
        <v>1.0317460317460316</v>
      </c>
    </row>
    <row r="11" spans="1:40" x14ac:dyDescent="0.25">
      <c r="A11" s="63">
        <v>2</v>
      </c>
      <c r="B11" s="63">
        <v>2</v>
      </c>
      <c r="C11" s="63">
        <v>1</v>
      </c>
      <c r="D11" s="63">
        <v>7</v>
      </c>
      <c r="E11" s="63">
        <v>15</v>
      </c>
      <c r="F11" s="63" t="s">
        <v>30</v>
      </c>
      <c r="G11" s="63" t="s">
        <v>28</v>
      </c>
      <c r="H11" s="63">
        <v>202</v>
      </c>
      <c r="I11" s="98">
        <v>10</v>
      </c>
      <c r="J11" s="52">
        <v>16</v>
      </c>
      <c r="K11" s="52">
        <v>15</v>
      </c>
      <c r="L11" s="52">
        <v>17</v>
      </c>
      <c r="M11" s="52">
        <v>17</v>
      </c>
      <c r="N11" s="52">
        <v>16</v>
      </c>
      <c r="O11" s="52">
        <v>17</v>
      </c>
      <c r="P11" s="52">
        <v>17</v>
      </c>
      <c r="Q11" s="52">
        <v>16</v>
      </c>
      <c r="R11" s="52">
        <v>17</v>
      </c>
      <c r="S11" s="52">
        <v>17</v>
      </c>
      <c r="T11" s="52">
        <v>0</v>
      </c>
      <c r="U11" s="52">
        <v>0</v>
      </c>
      <c r="V11" s="52">
        <v>0</v>
      </c>
      <c r="W11" s="52">
        <v>0</v>
      </c>
      <c r="X11" s="52">
        <v>0</v>
      </c>
      <c r="Y11" s="52">
        <v>0</v>
      </c>
      <c r="Z11" s="52">
        <v>1</v>
      </c>
      <c r="AA11" s="52">
        <v>0</v>
      </c>
      <c r="AB11" s="52">
        <v>0</v>
      </c>
      <c r="AC11" s="52">
        <v>1</v>
      </c>
      <c r="AD11" s="109">
        <f t="shared" si="1"/>
        <v>0</v>
      </c>
      <c r="AE11" s="52">
        <v>0</v>
      </c>
      <c r="AF11" s="109">
        <f t="shared" si="0"/>
        <v>0</v>
      </c>
      <c r="AG11" s="52">
        <v>0</v>
      </c>
      <c r="AH11" s="109">
        <f t="shared" si="2"/>
        <v>0</v>
      </c>
      <c r="AI11" s="52">
        <v>0</v>
      </c>
      <c r="AJ11" s="109">
        <f t="shared" si="3"/>
        <v>5.8823529411764701</v>
      </c>
      <c r="AK11" s="52">
        <v>0</v>
      </c>
      <c r="AL11" s="109">
        <f t="shared" si="4"/>
        <v>0</v>
      </c>
      <c r="AM11" s="109">
        <f t="shared" si="5"/>
        <v>5.8823529411764701</v>
      </c>
      <c r="AN11" s="110">
        <f t="shared" si="6"/>
        <v>1.1764705882352939</v>
      </c>
    </row>
    <row r="12" spans="1:40" x14ac:dyDescent="0.25">
      <c r="A12" s="63">
        <v>2</v>
      </c>
      <c r="B12" s="63">
        <v>3</v>
      </c>
      <c r="C12" s="63">
        <v>2</v>
      </c>
      <c r="D12" s="63">
        <v>10</v>
      </c>
      <c r="E12" s="63">
        <v>14</v>
      </c>
      <c r="F12" s="63" t="s">
        <v>25</v>
      </c>
      <c r="G12" s="63" t="s">
        <v>29</v>
      </c>
      <c r="H12" s="63">
        <v>203</v>
      </c>
      <c r="I12" s="98">
        <v>11</v>
      </c>
      <c r="J12" s="52">
        <v>22</v>
      </c>
      <c r="K12" s="52">
        <v>21</v>
      </c>
      <c r="L12" s="52">
        <v>17</v>
      </c>
      <c r="M12" s="52">
        <v>19</v>
      </c>
      <c r="N12" s="52">
        <v>16</v>
      </c>
      <c r="O12" s="52">
        <v>20</v>
      </c>
      <c r="P12" s="52">
        <v>21</v>
      </c>
      <c r="Q12" s="52">
        <v>20</v>
      </c>
      <c r="R12" s="52">
        <v>16</v>
      </c>
      <c r="S12" s="52">
        <v>21</v>
      </c>
      <c r="T12" s="52">
        <v>0</v>
      </c>
      <c r="U12" s="52">
        <v>0</v>
      </c>
      <c r="V12" s="52">
        <v>1</v>
      </c>
      <c r="W12" s="52">
        <v>0</v>
      </c>
      <c r="X12" s="52">
        <v>0</v>
      </c>
      <c r="Y12" s="52">
        <v>0</v>
      </c>
      <c r="Z12" s="52">
        <v>0</v>
      </c>
      <c r="AA12" s="52">
        <v>0</v>
      </c>
      <c r="AB12" s="52">
        <v>0</v>
      </c>
      <c r="AC12" s="52">
        <v>0</v>
      </c>
      <c r="AD12" s="109">
        <f t="shared" si="1"/>
        <v>0</v>
      </c>
      <c r="AE12" s="52">
        <v>0</v>
      </c>
      <c r="AF12" s="109">
        <f t="shared" si="0"/>
        <v>5.8823529411764701</v>
      </c>
      <c r="AG12" s="52">
        <v>0</v>
      </c>
      <c r="AH12" s="109">
        <f t="shared" si="2"/>
        <v>0</v>
      </c>
      <c r="AI12" s="52">
        <v>0</v>
      </c>
      <c r="AJ12" s="109">
        <f t="shared" si="3"/>
        <v>0</v>
      </c>
      <c r="AK12" s="52">
        <v>0</v>
      </c>
      <c r="AL12" s="109">
        <f t="shared" si="4"/>
        <v>0</v>
      </c>
      <c r="AM12" s="109">
        <f t="shared" si="5"/>
        <v>0</v>
      </c>
      <c r="AN12" s="110">
        <f t="shared" si="6"/>
        <v>0.58823529411764697</v>
      </c>
    </row>
    <row r="13" spans="1:40" x14ac:dyDescent="0.25">
      <c r="A13" s="63">
        <v>2</v>
      </c>
      <c r="B13" s="63">
        <v>4</v>
      </c>
      <c r="C13" s="63">
        <v>2</v>
      </c>
      <c r="D13" s="63">
        <v>15</v>
      </c>
      <c r="E13" s="63">
        <v>13</v>
      </c>
      <c r="F13" s="63" t="s">
        <v>30</v>
      </c>
      <c r="G13" s="63" t="s">
        <v>32</v>
      </c>
      <c r="H13" s="63">
        <v>204</v>
      </c>
      <c r="I13" s="98">
        <v>12</v>
      </c>
      <c r="J13" s="52">
        <v>18</v>
      </c>
      <c r="K13" s="52">
        <v>16</v>
      </c>
      <c r="L13" s="52">
        <v>18</v>
      </c>
      <c r="M13" s="52">
        <v>17</v>
      </c>
      <c r="N13" s="52">
        <v>17</v>
      </c>
      <c r="O13" s="52">
        <v>19</v>
      </c>
      <c r="P13" s="52">
        <v>17</v>
      </c>
      <c r="Q13" s="52">
        <v>20</v>
      </c>
      <c r="R13" s="52">
        <v>17</v>
      </c>
      <c r="S13" s="52">
        <v>17</v>
      </c>
      <c r="T13" s="52">
        <v>0</v>
      </c>
      <c r="U13" s="52">
        <v>0</v>
      </c>
      <c r="V13" s="52">
        <v>0</v>
      </c>
      <c r="W13" s="52">
        <v>0</v>
      </c>
      <c r="X13" s="52">
        <v>3</v>
      </c>
      <c r="Y13" s="52">
        <v>1</v>
      </c>
      <c r="Z13" s="52">
        <v>1</v>
      </c>
      <c r="AA13" s="52">
        <v>0</v>
      </c>
      <c r="AB13" s="52">
        <v>1</v>
      </c>
      <c r="AC13" s="52">
        <v>0</v>
      </c>
      <c r="AD13" s="109">
        <f t="shared" si="1"/>
        <v>0</v>
      </c>
      <c r="AE13" s="52">
        <v>0</v>
      </c>
      <c r="AF13" s="109">
        <f t="shared" si="0"/>
        <v>0</v>
      </c>
      <c r="AG13" s="52">
        <v>0</v>
      </c>
      <c r="AH13" s="109">
        <f t="shared" si="2"/>
        <v>17.647058823529413</v>
      </c>
      <c r="AI13" s="52">
        <v>0</v>
      </c>
      <c r="AJ13" s="109">
        <f t="shared" si="3"/>
        <v>5.8823529411764701</v>
      </c>
      <c r="AK13" s="52">
        <v>0</v>
      </c>
      <c r="AL13" s="109">
        <f t="shared" si="4"/>
        <v>5.8823529411764701</v>
      </c>
      <c r="AM13" s="109">
        <f t="shared" si="5"/>
        <v>0</v>
      </c>
      <c r="AN13" s="110">
        <f t="shared" si="6"/>
        <v>2.9411764705882355</v>
      </c>
    </row>
    <row r="14" spans="1:40" x14ac:dyDescent="0.25">
      <c r="A14" s="63">
        <v>2</v>
      </c>
      <c r="B14" s="63">
        <v>5</v>
      </c>
      <c r="C14" s="63">
        <v>3</v>
      </c>
      <c r="D14" s="63">
        <v>18</v>
      </c>
      <c r="E14" s="63">
        <v>12</v>
      </c>
      <c r="F14" s="63" t="s">
        <v>25</v>
      </c>
      <c r="G14" s="63" t="s">
        <v>26</v>
      </c>
      <c r="H14" s="63">
        <v>205</v>
      </c>
      <c r="I14" s="98">
        <v>13</v>
      </c>
      <c r="J14" s="52">
        <v>18</v>
      </c>
      <c r="K14" s="52">
        <v>17</v>
      </c>
      <c r="L14" s="52">
        <v>17</v>
      </c>
      <c r="M14" s="52">
        <v>20</v>
      </c>
      <c r="N14" s="52">
        <v>20</v>
      </c>
      <c r="O14" s="52">
        <v>18</v>
      </c>
      <c r="P14" s="52">
        <v>19</v>
      </c>
      <c r="Q14" s="52">
        <v>21</v>
      </c>
      <c r="R14" s="52">
        <v>19</v>
      </c>
      <c r="S14" s="52">
        <v>18</v>
      </c>
      <c r="T14" s="52">
        <v>0</v>
      </c>
      <c r="U14" s="52">
        <v>1</v>
      </c>
      <c r="V14" s="52">
        <v>0</v>
      </c>
      <c r="W14" s="52">
        <v>0</v>
      </c>
      <c r="X14" s="52">
        <v>0</v>
      </c>
      <c r="Y14" s="52">
        <v>1</v>
      </c>
      <c r="Z14" s="52">
        <v>0</v>
      </c>
      <c r="AA14" s="52">
        <v>0</v>
      </c>
      <c r="AB14" s="52">
        <v>0</v>
      </c>
      <c r="AC14" s="52">
        <v>0</v>
      </c>
      <c r="AD14" s="109">
        <f t="shared" si="1"/>
        <v>0</v>
      </c>
      <c r="AE14" s="52">
        <v>0</v>
      </c>
      <c r="AF14" s="109">
        <f t="shared" si="0"/>
        <v>0</v>
      </c>
      <c r="AG14" s="52">
        <v>0</v>
      </c>
      <c r="AH14" s="109">
        <f t="shared" si="2"/>
        <v>0</v>
      </c>
      <c r="AI14" s="52">
        <v>0</v>
      </c>
      <c r="AJ14" s="109">
        <f t="shared" si="3"/>
        <v>0</v>
      </c>
      <c r="AK14" s="52">
        <v>0</v>
      </c>
      <c r="AL14" s="109">
        <f t="shared" si="4"/>
        <v>0</v>
      </c>
      <c r="AM14" s="109">
        <f t="shared" si="5"/>
        <v>0</v>
      </c>
      <c r="AN14" s="110">
        <f t="shared" si="6"/>
        <v>0</v>
      </c>
    </row>
    <row r="15" spans="1:40" x14ac:dyDescent="0.25">
      <c r="A15" s="63">
        <v>2</v>
      </c>
      <c r="B15" s="63">
        <v>6</v>
      </c>
      <c r="C15" s="63">
        <v>3</v>
      </c>
      <c r="D15" s="63">
        <v>23</v>
      </c>
      <c r="E15" s="63">
        <v>11</v>
      </c>
      <c r="F15" s="63" t="s">
        <v>30</v>
      </c>
      <c r="G15" s="63" t="s">
        <v>31</v>
      </c>
      <c r="H15" s="63">
        <v>206</v>
      </c>
      <c r="I15" s="98">
        <v>14</v>
      </c>
      <c r="J15" s="52">
        <v>14</v>
      </c>
      <c r="K15" s="52">
        <v>19</v>
      </c>
      <c r="L15" s="52">
        <v>18</v>
      </c>
      <c r="M15" s="52">
        <v>18</v>
      </c>
      <c r="N15" s="52">
        <v>19</v>
      </c>
      <c r="O15" s="52">
        <v>16</v>
      </c>
      <c r="P15" s="52">
        <v>18</v>
      </c>
      <c r="Q15" s="52">
        <v>19</v>
      </c>
      <c r="R15" s="52">
        <v>20</v>
      </c>
      <c r="S15" s="52">
        <v>17</v>
      </c>
      <c r="T15" s="52">
        <v>0</v>
      </c>
      <c r="U15" s="52">
        <v>0</v>
      </c>
      <c r="V15" s="52">
        <v>0</v>
      </c>
      <c r="W15" s="52">
        <v>2</v>
      </c>
      <c r="X15" s="52">
        <v>0</v>
      </c>
      <c r="Y15" s="52">
        <v>0</v>
      </c>
      <c r="Z15" s="52">
        <v>1</v>
      </c>
      <c r="AA15" s="52">
        <v>3</v>
      </c>
      <c r="AB15" s="52">
        <v>0</v>
      </c>
      <c r="AC15" s="52">
        <v>0</v>
      </c>
      <c r="AD15" s="109">
        <f t="shared" si="1"/>
        <v>0</v>
      </c>
      <c r="AE15" s="52">
        <v>0</v>
      </c>
      <c r="AF15" s="109">
        <f t="shared" si="0"/>
        <v>0</v>
      </c>
      <c r="AG15" s="52">
        <v>0</v>
      </c>
      <c r="AH15" s="109">
        <f t="shared" si="2"/>
        <v>0</v>
      </c>
      <c r="AI15" s="52">
        <v>0</v>
      </c>
      <c r="AJ15" s="109">
        <f t="shared" si="3"/>
        <v>5.5555555555555554</v>
      </c>
      <c r="AK15" s="52">
        <v>0</v>
      </c>
      <c r="AL15" s="109">
        <f t="shared" si="4"/>
        <v>0</v>
      </c>
      <c r="AM15" s="109">
        <f t="shared" si="5"/>
        <v>0</v>
      </c>
      <c r="AN15" s="110">
        <f t="shared" si="6"/>
        <v>0.55555555555555558</v>
      </c>
    </row>
    <row r="16" spans="1:40" x14ac:dyDescent="0.25">
      <c r="A16" s="63">
        <v>2</v>
      </c>
      <c r="B16" s="63">
        <v>7</v>
      </c>
      <c r="C16" s="63">
        <v>4</v>
      </c>
      <c r="D16" s="63">
        <v>26</v>
      </c>
      <c r="E16" s="63">
        <v>10</v>
      </c>
      <c r="F16" s="63" t="s">
        <v>25</v>
      </c>
      <c r="G16" s="63" t="s">
        <v>28</v>
      </c>
      <c r="H16" s="63">
        <v>207</v>
      </c>
      <c r="I16" s="98">
        <v>15</v>
      </c>
      <c r="J16" s="52">
        <v>20</v>
      </c>
      <c r="K16" s="52">
        <v>18</v>
      </c>
      <c r="L16" s="52">
        <v>21</v>
      </c>
      <c r="M16" s="52">
        <v>21</v>
      </c>
      <c r="N16" s="52">
        <v>17</v>
      </c>
      <c r="O16" s="52">
        <v>16</v>
      </c>
      <c r="P16" s="52">
        <v>17</v>
      </c>
      <c r="Q16" s="52">
        <v>21</v>
      </c>
      <c r="R16" s="52">
        <v>21</v>
      </c>
      <c r="S16" s="52">
        <v>19</v>
      </c>
      <c r="T16" s="52">
        <v>0</v>
      </c>
      <c r="U16" s="52">
        <v>3</v>
      </c>
      <c r="V16" s="52">
        <v>3</v>
      </c>
      <c r="W16" s="52">
        <v>1</v>
      </c>
      <c r="X16" s="52">
        <v>1</v>
      </c>
      <c r="Y16" s="52">
        <v>3</v>
      </c>
      <c r="Z16" s="52">
        <v>0</v>
      </c>
      <c r="AA16" s="52">
        <v>0</v>
      </c>
      <c r="AB16" s="52">
        <v>2</v>
      </c>
      <c r="AC16" s="52">
        <v>0</v>
      </c>
      <c r="AD16" s="109">
        <f t="shared" si="1"/>
        <v>0</v>
      </c>
      <c r="AE16" s="52">
        <v>0</v>
      </c>
      <c r="AF16" s="109">
        <f t="shared" si="0"/>
        <v>14.285714285714285</v>
      </c>
      <c r="AG16" s="52">
        <v>0</v>
      </c>
      <c r="AH16" s="109">
        <f t="shared" si="2"/>
        <v>5.8823529411764701</v>
      </c>
      <c r="AI16" s="52">
        <v>0</v>
      </c>
      <c r="AJ16" s="109">
        <f t="shared" si="3"/>
        <v>0</v>
      </c>
      <c r="AK16" s="52">
        <v>0</v>
      </c>
      <c r="AL16" s="109">
        <f t="shared" si="4"/>
        <v>9.5238095238095237</v>
      </c>
      <c r="AM16" s="109">
        <f t="shared" si="5"/>
        <v>0</v>
      </c>
      <c r="AN16" s="110">
        <f t="shared" si="6"/>
        <v>2.9691876750700281</v>
      </c>
    </row>
    <row r="17" spans="1:40" x14ac:dyDescent="0.25">
      <c r="A17" s="63">
        <v>2</v>
      </c>
      <c r="B17" s="63">
        <v>8</v>
      </c>
      <c r="C17" s="63">
        <v>4</v>
      </c>
      <c r="D17" s="63">
        <v>31</v>
      </c>
      <c r="E17" s="63">
        <v>9</v>
      </c>
      <c r="F17" s="63" t="s">
        <v>30</v>
      </c>
      <c r="G17" s="63" t="s">
        <v>29</v>
      </c>
      <c r="H17" s="63">
        <v>208</v>
      </c>
      <c r="I17" s="98">
        <v>16</v>
      </c>
      <c r="J17" s="52">
        <v>17</v>
      </c>
      <c r="K17" s="52">
        <v>14</v>
      </c>
      <c r="L17" s="52">
        <v>13</v>
      </c>
      <c r="M17" s="52">
        <v>16</v>
      </c>
      <c r="N17" s="52">
        <v>18</v>
      </c>
      <c r="O17" s="52">
        <v>15</v>
      </c>
      <c r="P17" s="52">
        <v>18</v>
      </c>
      <c r="Q17" s="52">
        <v>15</v>
      </c>
      <c r="R17" s="52">
        <v>15</v>
      </c>
      <c r="S17" s="52">
        <v>17</v>
      </c>
      <c r="T17" s="52">
        <v>0</v>
      </c>
      <c r="U17" s="52">
        <v>1</v>
      </c>
      <c r="V17" s="52">
        <v>0</v>
      </c>
      <c r="W17" s="52">
        <v>0</v>
      </c>
      <c r="X17" s="52">
        <v>2</v>
      </c>
      <c r="Y17" s="52">
        <v>0</v>
      </c>
      <c r="Z17" s="52">
        <v>0</v>
      </c>
      <c r="AA17" s="52">
        <v>0</v>
      </c>
      <c r="AB17" s="52">
        <v>0</v>
      </c>
      <c r="AC17" s="52">
        <v>0</v>
      </c>
      <c r="AD17" s="109">
        <f t="shared" si="1"/>
        <v>0</v>
      </c>
      <c r="AE17" s="52">
        <v>0</v>
      </c>
      <c r="AF17" s="109">
        <f t="shared" si="0"/>
        <v>0</v>
      </c>
      <c r="AG17" s="52">
        <v>0</v>
      </c>
      <c r="AH17" s="109">
        <f t="shared" si="2"/>
        <v>11.111111111111111</v>
      </c>
      <c r="AI17" s="52">
        <v>0</v>
      </c>
      <c r="AJ17" s="109">
        <f t="shared" si="3"/>
        <v>0</v>
      </c>
      <c r="AK17" s="52">
        <v>0</v>
      </c>
      <c r="AL17" s="109">
        <f t="shared" si="4"/>
        <v>0</v>
      </c>
      <c r="AM17" s="109">
        <f t="shared" si="5"/>
        <v>0</v>
      </c>
      <c r="AN17" s="110">
        <f t="shared" si="6"/>
        <v>1.1111111111111112</v>
      </c>
    </row>
    <row r="18" spans="1:40" x14ac:dyDescent="0.25">
      <c r="A18" s="63">
        <v>3</v>
      </c>
      <c r="B18" s="63">
        <v>1</v>
      </c>
      <c r="C18" s="63">
        <v>1</v>
      </c>
      <c r="D18" s="63">
        <v>3</v>
      </c>
      <c r="E18" s="63">
        <v>17</v>
      </c>
      <c r="F18" s="63" t="s">
        <v>25</v>
      </c>
      <c r="G18" s="63" t="s">
        <v>28</v>
      </c>
      <c r="H18" s="63">
        <v>301</v>
      </c>
      <c r="I18" s="98">
        <v>17</v>
      </c>
      <c r="J18" s="52">
        <v>19</v>
      </c>
      <c r="K18" s="52">
        <v>18</v>
      </c>
      <c r="L18" s="52">
        <v>20</v>
      </c>
      <c r="M18" s="52">
        <v>17</v>
      </c>
      <c r="N18" s="52">
        <v>18</v>
      </c>
      <c r="O18" s="52">
        <v>18</v>
      </c>
      <c r="P18" s="52">
        <v>16</v>
      </c>
      <c r="Q18" s="52">
        <v>18</v>
      </c>
      <c r="R18" s="52">
        <v>14</v>
      </c>
      <c r="S18" s="52">
        <v>19</v>
      </c>
      <c r="T18" s="52">
        <v>0</v>
      </c>
      <c r="U18" s="52">
        <v>0</v>
      </c>
      <c r="V18" s="52">
        <v>2</v>
      </c>
      <c r="W18" s="52">
        <v>0</v>
      </c>
      <c r="X18" s="52">
        <v>0</v>
      </c>
      <c r="Y18" s="52">
        <v>0</v>
      </c>
      <c r="Z18" s="52">
        <v>0</v>
      </c>
      <c r="AA18" s="52">
        <v>0</v>
      </c>
      <c r="AB18" s="52">
        <v>2</v>
      </c>
      <c r="AC18" s="52">
        <v>1</v>
      </c>
      <c r="AD18" s="109">
        <f t="shared" si="1"/>
        <v>0</v>
      </c>
      <c r="AE18" s="52">
        <v>0</v>
      </c>
      <c r="AF18" s="109">
        <f t="shared" si="0"/>
        <v>10</v>
      </c>
      <c r="AG18" s="52">
        <v>0</v>
      </c>
      <c r="AH18" s="109">
        <f t="shared" si="2"/>
        <v>0</v>
      </c>
      <c r="AI18" s="52">
        <v>0</v>
      </c>
      <c r="AJ18" s="109">
        <f t="shared" si="3"/>
        <v>0</v>
      </c>
      <c r="AK18" s="52">
        <v>0</v>
      </c>
      <c r="AL18" s="109">
        <f t="shared" si="4"/>
        <v>14.285714285714285</v>
      </c>
      <c r="AM18" s="109">
        <f t="shared" si="5"/>
        <v>5.2631578947368416</v>
      </c>
      <c r="AN18" s="110">
        <f t="shared" si="6"/>
        <v>2.9548872180451129</v>
      </c>
    </row>
    <row r="19" spans="1:40" x14ac:dyDescent="0.25">
      <c r="A19" s="63">
        <v>3</v>
      </c>
      <c r="B19" s="63">
        <v>2</v>
      </c>
      <c r="C19" s="63">
        <v>1</v>
      </c>
      <c r="D19" s="63">
        <v>6</v>
      </c>
      <c r="E19" s="63">
        <v>18</v>
      </c>
      <c r="F19" s="63" t="s">
        <v>30</v>
      </c>
      <c r="G19" s="63" t="s">
        <v>29</v>
      </c>
      <c r="H19" s="63">
        <v>302</v>
      </c>
      <c r="I19" s="98">
        <v>18</v>
      </c>
      <c r="J19" s="52">
        <v>17</v>
      </c>
      <c r="K19" s="52">
        <v>16</v>
      </c>
      <c r="L19" s="52">
        <v>16</v>
      </c>
      <c r="M19" s="52">
        <v>16</v>
      </c>
      <c r="N19" s="52">
        <v>15</v>
      </c>
      <c r="O19" s="52">
        <v>16</v>
      </c>
      <c r="P19" s="52">
        <v>17</v>
      </c>
      <c r="Q19" s="52">
        <v>16</v>
      </c>
      <c r="R19" s="52">
        <v>18</v>
      </c>
      <c r="S19" s="52">
        <v>16</v>
      </c>
      <c r="T19" s="52">
        <v>0</v>
      </c>
      <c r="U19" s="52">
        <v>0</v>
      </c>
      <c r="V19" s="52">
        <v>1</v>
      </c>
      <c r="W19" s="52">
        <v>0</v>
      </c>
      <c r="X19" s="52">
        <v>0</v>
      </c>
      <c r="Y19" s="52">
        <v>0</v>
      </c>
      <c r="Z19" s="52">
        <v>0</v>
      </c>
      <c r="AA19" s="52">
        <v>0</v>
      </c>
      <c r="AB19" s="52">
        <v>0</v>
      </c>
      <c r="AC19" s="52">
        <v>1</v>
      </c>
      <c r="AD19" s="109">
        <f t="shared" si="1"/>
        <v>0</v>
      </c>
      <c r="AE19" s="52">
        <v>0</v>
      </c>
      <c r="AF19" s="109">
        <f t="shared" si="0"/>
        <v>6.25</v>
      </c>
      <c r="AG19" s="52">
        <v>0</v>
      </c>
      <c r="AH19" s="109">
        <f t="shared" si="2"/>
        <v>0</v>
      </c>
      <c r="AI19" s="52">
        <v>0</v>
      </c>
      <c r="AJ19" s="109">
        <f t="shared" si="3"/>
        <v>0</v>
      </c>
      <c r="AK19" s="52">
        <v>0</v>
      </c>
      <c r="AL19" s="109">
        <f t="shared" si="4"/>
        <v>0</v>
      </c>
      <c r="AM19" s="109">
        <f t="shared" si="5"/>
        <v>6.25</v>
      </c>
      <c r="AN19" s="110">
        <f t="shared" si="6"/>
        <v>1.25</v>
      </c>
    </row>
    <row r="20" spans="1:40" x14ac:dyDescent="0.25">
      <c r="A20" s="63">
        <v>3</v>
      </c>
      <c r="B20" s="63">
        <v>3</v>
      </c>
      <c r="C20" s="63">
        <v>2</v>
      </c>
      <c r="D20" s="63">
        <v>11</v>
      </c>
      <c r="E20" s="63">
        <v>19</v>
      </c>
      <c r="F20" s="63" t="s">
        <v>25</v>
      </c>
      <c r="G20" s="63" t="s">
        <v>26</v>
      </c>
      <c r="H20" s="63">
        <v>303</v>
      </c>
      <c r="I20" s="98">
        <v>19</v>
      </c>
      <c r="J20" s="52">
        <v>17</v>
      </c>
      <c r="K20" s="52">
        <v>16</v>
      </c>
      <c r="L20" s="52">
        <v>18</v>
      </c>
      <c r="M20" s="52">
        <v>17</v>
      </c>
      <c r="N20" s="52">
        <v>18</v>
      </c>
      <c r="O20" s="52">
        <v>18</v>
      </c>
      <c r="P20" s="52">
        <v>17</v>
      </c>
      <c r="Q20" s="52">
        <v>13</v>
      </c>
      <c r="R20" s="52">
        <v>17</v>
      </c>
      <c r="S20" s="52">
        <v>14</v>
      </c>
      <c r="T20" s="52">
        <v>0</v>
      </c>
      <c r="U20" s="52">
        <v>0</v>
      </c>
      <c r="V20" s="52">
        <v>0</v>
      </c>
      <c r="W20" s="52">
        <v>0</v>
      </c>
      <c r="X20" s="52">
        <v>0</v>
      </c>
      <c r="Y20" s="52">
        <v>0</v>
      </c>
      <c r="Z20" s="52">
        <v>0</v>
      </c>
      <c r="AA20" s="52">
        <v>0</v>
      </c>
      <c r="AB20" s="52">
        <v>0</v>
      </c>
      <c r="AC20" s="52">
        <v>0</v>
      </c>
      <c r="AD20" s="109">
        <f t="shared" si="1"/>
        <v>0</v>
      </c>
      <c r="AE20" s="52">
        <v>0</v>
      </c>
      <c r="AF20" s="109">
        <f t="shared" si="0"/>
        <v>0</v>
      </c>
      <c r="AG20" s="52">
        <v>0</v>
      </c>
      <c r="AH20" s="109">
        <f t="shared" si="2"/>
        <v>0</v>
      </c>
      <c r="AI20" s="52">
        <v>0</v>
      </c>
      <c r="AJ20" s="109">
        <f t="shared" si="3"/>
        <v>0</v>
      </c>
      <c r="AK20" s="52">
        <v>0</v>
      </c>
      <c r="AL20" s="109">
        <f t="shared" si="4"/>
        <v>0</v>
      </c>
      <c r="AM20" s="109">
        <f t="shared" si="5"/>
        <v>0</v>
      </c>
      <c r="AN20" s="110">
        <f t="shared" si="6"/>
        <v>0</v>
      </c>
    </row>
    <row r="21" spans="1:40" x14ac:dyDescent="0.25">
      <c r="A21" s="63">
        <v>3</v>
      </c>
      <c r="B21" s="63">
        <v>4</v>
      </c>
      <c r="C21" s="63">
        <v>2</v>
      </c>
      <c r="D21" s="63">
        <v>14</v>
      </c>
      <c r="E21" s="63">
        <v>20</v>
      </c>
      <c r="F21" s="63" t="s">
        <v>30</v>
      </c>
      <c r="G21" s="63" t="s">
        <v>31</v>
      </c>
      <c r="H21" s="63">
        <v>304</v>
      </c>
      <c r="I21" s="98">
        <v>20</v>
      </c>
      <c r="J21" s="52">
        <v>17</v>
      </c>
      <c r="K21" s="52">
        <v>16</v>
      </c>
      <c r="L21" s="52">
        <v>16</v>
      </c>
      <c r="M21" s="52">
        <v>16</v>
      </c>
      <c r="N21" s="52">
        <v>17</v>
      </c>
      <c r="O21" s="52">
        <v>17</v>
      </c>
      <c r="P21" s="52">
        <v>15</v>
      </c>
      <c r="Q21" s="52">
        <v>16</v>
      </c>
      <c r="R21" s="52">
        <v>16</v>
      </c>
      <c r="S21" s="52">
        <v>16</v>
      </c>
      <c r="T21" s="52">
        <v>2</v>
      </c>
      <c r="U21" s="52">
        <v>0</v>
      </c>
      <c r="V21" s="52">
        <v>0</v>
      </c>
      <c r="W21" s="52">
        <v>0</v>
      </c>
      <c r="X21" s="52">
        <v>1</v>
      </c>
      <c r="Y21" s="52">
        <v>1</v>
      </c>
      <c r="Z21" s="52">
        <v>0</v>
      </c>
      <c r="AA21" s="52">
        <v>0</v>
      </c>
      <c r="AB21" s="52">
        <v>0</v>
      </c>
      <c r="AC21" s="52">
        <v>0</v>
      </c>
      <c r="AD21" s="109">
        <f t="shared" si="1"/>
        <v>11.76470588235294</v>
      </c>
      <c r="AE21" s="52">
        <v>0</v>
      </c>
      <c r="AF21" s="109">
        <f t="shared" si="0"/>
        <v>0</v>
      </c>
      <c r="AG21" s="52">
        <v>0</v>
      </c>
      <c r="AH21" s="109">
        <f t="shared" si="2"/>
        <v>5.8823529411764701</v>
      </c>
      <c r="AI21" s="52">
        <v>0</v>
      </c>
      <c r="AJ21" s="109">
        <f t="shared" si="3"/>
        <v>0</v>
      </c>
      <c r="AK21" s="52">
        <v>0</v>
      </c>
      <c r="AL21" s="109">
        <f t="shared" si="4"/>
        <v>0</v>
      </c>
      <c r="AM21" s="109">
        <f t="shared" si="5"/>
        <v>0</v>
      </c>
      <c r="AN21" s="110">
        <f t="shared" si="6"/>
        <v>1.7647058823529409</v>
      </c>
    </row>
    <row r="22" spans="1:40" x14ac:dyDescent="0.25">
      <c r="A22" s="63">
        <v>3</v>
      </c>
      <c r="B22" s="63">
        <v>5</v>
      </c>
      <c r="C22" s="63">
        <v>3</v>
      </c>
      <c r="D22" s="63">
        <v>19</v>
      </c>
      <c r="E22" s="63">
        <v>21</v>
      </c>
      <c r="F22" s="63" t="s">
        <v>25</v>
      </c>
      <c r="G22" s="63" t="s">
        <v>29</v>
      </c>
      <c r="H22" s="63">
        <v>305</v>
      </c>
      <c r="I22" s="98">
        <v>21</v>
      </c>
      <c r="J22" s="52">
        <v>19</v>
      </c>
      <c r="K22" s="52">
        <v>18</v>
      </c>
      <c r="L22" s="52">
        <v>20</v>
      </c>
      <c r="M22" s="52">
        <v>17</v>
      </c>
      <c r="N22" s="52">
        <v>18</v>
      </c>
      <c r="O22" s="52">
        <v>17</v>
      </c>
      <c r="P22" s="52">
        <v>20</v>
      </c>
      <c r="Q22" s="52">
        <v>17</v>
      </c>
      <c r="R22" s="52">
        <v>19</v>
      </c>
      <c r="S22" s="52">
        <v>16</v>
      </c>
      <c r="T22" s="52">
        <v>0</v>
      </c>
      <c r="U22" s="52">
        <v>1</v>
      </c>
      <c r="V22" s="52">
        <v>0</v>
      </c>
      <c r="W22" s="52">
        <v>0</v>
      </c>
      <c r="X22" s="52">
        <v>1</v>
      </c>
      <c r="Y22" s="52">
        <v>0</v>
      </c>
      <c r="Z22" s="52">
        <v>2</v>
      </c>
      <c r="AA22" s="52">
        <v>0</v>
      </c>
      <c r="AB22" s="52">
        <v>0</v>
      </c>
      <c r="AC22" s="52">
        <v>0</v>
      </c>
      <c r="AD22" s="109">
        <f t="shared" si="1"/>
        <v>0</v>
      </c>
      <c r="AE22" s="52">
        <v>0</v>
      </c>
      <c r="AF22" s="109">
        <f t="shared" si="0"/>
        <v>0</v>
      </c>
      <c r="AG22" s="52">
        <v>0</v>
      </c>
      <c r="AH22" s="109">
        <f t="shared" si="2"/>
        <v>5.5555555555555554</v>
      </c>
      <c r="AI22" s="52">
        <v>0</v>
      </c>
      <c r="AJ22" s="109">
        <f t="shared" si="3"/>
        <v>10</v>
      </c>
      <c r="AK22" s="52">
        <v>0</v>
      </c>
      <c r="AL22" s="109">
        <f t="shared" si="4"/>
        <v>0</v>
      </c>
      <c r="AM22" s="109">
        <f t="shared" si="5"/>
        <v>0</v>
      </c>
      <c r="AN22" s="110">
        <f t="shared" si="6"/>
        <v>1.5555555555555556</v>
      </c>
    </row>
    <row r="23" spans="1:40" x14ac:dyDescent="0.25">
      <c r="A23" s="63">
        <v>3</v>
      </c>
      <c r="B23" s="63">
        <v>6</v>
      </c>
      <c r="C23" s="63">
        <v>3</v>
      </c>
      <c r="D23" s="63">
        <v>22</v>
      </c>
      <c r="E23" s="63">
        <v>22</v>
      </c>
      <c r="F23" s="63" t="s">
        <v>30</v>
      </c>
      <c r="G23" s="63" t="s">
        <v>32</v>
      </c>
      <c r="H23" s="63">
        <v>306</v>
      </c>
      <c r="I23" s="98">
        <v>22</v>
      </c>
      <c r="J23" s="52">
        <v>14</v>
      </c>
      <c r="K23" s="52">
        <v>16</v>
      </c>
      <c r="L23" s="52">
        <v>17</v>
      </c>
      <c r="M23" s="52">
        <v>14</v>
      </c>
      <c r="N23" s="52">
        <v>11</v>
      </c>
      <c r="O23" s="52">
        <v>14</v>
      </c>
      <c r="P23" s="52">
        <v>11</v>
      </c>
      <c r="Q23" s="52">
        <v>12</v>
      </c>
      <c r="R23" s="52">
        <v>13</v>
      </c>
      <c r="S23" s="52">
        <v>10</v>
      </c>
      <c r="T23" s="52">
        <v>0</v>
      </c>
      <c r="U23" s="52">
        <v>0</v>
      </c>
      <c r="V23" s="52">
        <v>0</v>
      </c>
      <c r="W23" s="52">
        <v>0</v>
      </c>
      <c r="X23" s="52">
        <v>0</v>
      </c>
      <c r="Y23" s="52">
        <v>0</v>
      </c>
      <c r="Z23" s="52">
        <v>3</v>
      </c>
      <c r="AA23" s="52">
        <v>2</v>
      </c>
      <c r="AB23" s="52">
        <v>0</v>
      </c>
      <c r="AC23" s="52">
        <v>3</v>
      </c>
      <c r="AD23" s="109">
        <f t="shared" si="1"/>
        <v>0</v>
      </c>
      <c r="AE23" s="52">
        <v>0</v>
      </c>
      <c r="AF23" s="109">
        <f t="shared" si="0"/>
        <v>0</v>
      </c>
      <c r="AG23" s="52">
        <v>0</v>
      </c>
      <c r="AH23" s="109">
        <f t="shared" si="2"/>
        <v>0</v>
      </c>
      <c r="AI23" s="52">
        <v>0</v>
      </c>
      <c r="AJ23" s="109">
        <f t="shared" si="3"/>
        <v>27.27272727272727</v>
      </c>
      <c r="AK23" s="52">
        <v>0</v>
      </c>
      <c r="AL23" s="109">
        <f t="shared" si="4"/>
        <v>0</v>
      </c>
      <c r="AM23" s="109">
        <f t="shared" si="5"/>
        <v>30</v>
      </c>
      <c r="AN23" s="110">
        <f t="shared" si="6"/>
        <v>5.7272727272727266</v>
      </c>
    </row>
    <row r="24" spans="1:40" x14ac:dyDescent="0.25">
      <c r="A24" s="63">
        <v>3</v>
      </c>
      <c r="B24" s="63">
        <v>7</v>
      </c>
      <c r="C24" s="63">
        <v>4</v>
      </c>
      <c r="D24" s="63">
        <v>27</v>
      </c>
      <c r="E24" s="63">
        <v>23</v>
      </c>
      <c r="F24" s="63" t="s">
        <v>25</v>
      </c>
      <c r="G24" s="63" t="s">
        <v>27</v>
      </c>
      <c r="H24" s="63">
        <v>307</v>
      </c>
      <c r="I24" s="98">
        <v>23</v>
      </c>
      <c r="J24" s="52">
        <v>16</v>
      </c>
      <c r="K24" s="52">
        <v>16</v>
      </c>
      <c r="L24" s="52">
        <v>15</v>
      </c>
      <c r="M24" s="52">
        <v>16</v>
      </c>
      <c r="N24" s="52">
        <v>16</v>
      </c>
      <c r="O24" s="52">
        <v>16</v>
      </c>
      <c r="P24" s="52">
        <v>17</v>
      </c>
      <c r="Q24" s="52">
        <v>13</v>
      </c>
      <c r="R24" s="52">
        <v>14</v>
      </c>
      <c r="S24" s="52">
        <v>13</v>
      </c>
      <c r="T24" s="52">
        <v>0</v>
      </c>
      <c r="U24" s="52">
        <v>0</v>
      </c>
      <c r="V24" s="52">
        <v>0</v>
      </c>
      <c r="W24" s="52">
        <v>0</v>
      </c>
      <c r="X24" s="52">
        <v>0</v>
      </c>
      <c r="Y24" s="52">
        <v>0</v>
      </c>
      <c r="Z24" s="52">
        <v>1</v>
      </c>
      <c r="AA24" s="52">
        <v>0</v>
      </c>
      <c r="AB24" s="52">
        <v>0</v>
      </c>
      <c r="AC24" s="52">
        <v>0</v>
      </c>
      <c r="AD24" s="109">
        <f t="shared" si="1"/>
        <v>0</v>
      </c>
      <c r="AE24" s="52">
        <v>0</v>
      </c>
      <c r="AF24" s="109">
        <f t="shared" si="0"/>
        <v>0</v>
      </c>
      <c r="AG24" s="52">
        <v>0</v>
      </c>
      <c r="AH24" s="109">
        <f t="shared" si="2"/>
        <v>0</v>
      </c>
      <c r="AI24" s="52">
        <v>0</v>
      </c>
      <c r="AJ24" s="109">
        <f t="shared" si="3"/>
        <v>5.8823529411764701</v>
      </c>
      <c r="AK24" s="52">
        <v>0</v>
      </c>
      <c r="AL24" s="109">
        <f t="shared" si="4"/>
        <v>0</v>
      </c>
      <c r="AM24" s="109">
        <f t="shared" si="5"/>
        <v>0</v>
      </c>
      <c r="AN24" s="110">
        <f t="shared" si="6"/>
        <v>0.58823529411764697</v>
      </c>
    </row>
    <row r="25" spans="1:40" x14ac:dyDescent="0.25">
      <c r="A25" s="63">
        <v>3</v>
      </c>
      <c r="B25" s="63">
        <v>8</v>
      </c>
      <c r="C25" s="63">
        <v>4</v>
      </c>
      <c r="D25" s="63">
        <v>30</v>
      </c>
      <c r="E25" s="63">
        <v>24</v>
      </c>
      <c r="F25" s="63" t="s">
        <v>30</v>
      </c>
      <c r="G25" s="63" t="s">
        <v>28</v>
      </c>
      <c r="H25" s="63">
        <v>308</v>
      </c>
      <c r="I25" s="98">
        <v>24</v>
      </c>
      <c r="J25" s="52">
        <v>13</v>
      </c>
      <c r="K25" s="52">
        <v>13</v>
      </c>
      <c r="L25" s="52">
        <v>13</v>
      </c>
      <c r="M25" s="52">
        <v>14</v>
      </c>
      <c r="N25" s="52">
        <v>13</v>
      </c>
      <c r="O25" s="52">
        <v>15</v>
      </c>
      <c r="P25" s="52">
        <v>14</v>
      </c>
      <c r="Q25" s="52">
        <v>12</v>
      </c>
      <c r="R25" s="52">
        <v>11</v>
      </c>
      <c r="S25" s="52">
        <v>13</v>
      </c>
      <c r="T25" s="52">
        <v>0</v>
      </c>
      <c r="U25" s="52">
        <v>0</v>
      </c>
      <c r="V25" s="52">
        <v>0</v>
      </c>
      <c r="W25" s="52">
        <v>0</v>
      </c>
      <c r="X25" s="52">
        <v>0</v>
      </c>
      <c r="Y25" s="52">
        <v>0</v>
      </c>
      <c r="Z25" s="52">
        <v>0</v>
      </c>
      <c r="AA25" s="52">
        <v>0</v>
      </c>
      <c r="AB25" s="52">
        <v>0</v>
      </c>
      <c r="AC25" s="52">
        <v>0</v>
      </c>
      <c r="AD25" s="109">
        <f t="shared" si="1"/>
        <v>0</v>
      </c>
      <c r="AE25" s="52">
        <v>0</v>
      </c>
      <c r="AF25" s="109">
        <f t="shared" si="0"/>
        <v>0</v>
      </c>
      <c r="AG25" s="52">
        <v>0</v>
      </c>
      <c r="AH25" s="109">
        <f t="shared" si="2"/>
        <v>0</v>
      </c>
      <c r="AI25" s="52">
        <v>0</v>
      </c>
      <c r="AJ25" s="109">
        <f t="shared" si="3"/>
        <v>0</v>
      </c>
      <c r="AK25" s="52">
        <v>0</v>
      </c>
      <c r="AL25" s="109">
        <f t="shared" si="4"/>
        <v>0</v>
      </c>
      <c r="AM25" s="109">
        <f t="shared" si="5"/>
        <v>0</v>
      </c>
      <c r="AN25" s="110">
        <f t="shared" si="6"/>
        <v>0</v>
      </c>
    </row>
    <row r="26" spans="1:40" x14ac:dyDescent="0.25">
      <c r="A26" s="63">
        <v>4</v>
      </c>
      <c r="B26" s="63">
        <v>1</v>
      </c>
      <c r="C26" s="63">
        <v>1</v>
      </c>
      <c r="D26" s="63">
        <v>4</v>
      </c>
      <c r="E26" s="63">
        <v>32</v>
      </c>
      <c r="F26" s="63" t="s">
        <v>25</v>
      </c>
      <c r="G26" s="63" t="s">
        <v>29</v>
      </c>
      <c r="H26" s="63">
        <v>401</v>
      </c>
      <c r="I26" s="98">
        <v>25</v>
      </c>
      <c r="J26" s="52">
        <v>18</v>
      </c>
      <c r="K26" s="52">
        <v>15</v>
      </c>
      <c r="L26" s="52">
        <v>17</v>
      </c>
      <c r="M26" s="52">
        <v>17</v>
      </c>
      <c r="N26" s="52">
        <v>17</v>
      </c>
      <c r="O26" s="52">
        <v>15</v>
      </c>
      <c r="P26" s="52">
        <v>20</v>
      </c>
      <c r="Q26" s="52">
        <v>16</v>
      </c>
      <c r="R26" s="52">
        <v>17</v>
      </c>
      <c r="S26" s="52">
        <v>18</v>
      </c>
      <c r="T26" s="52">
        <v>0</v>
      </c>
      <c r="U26" s="52">
        <v>0</v>
      </c>
      <c r="V26" s="52">
        <v>1</v>
      </c>
      <c r="W26" s="52">
        <v>0</v>
      </c>
      <c r="X26" s="52">
        <v>0</v>
      </c>
      <c r="Y26" s="52">
        <v>1</v>
      </c>
      <c r="Z26" s="52">
        <v>0</v>
      </c>
      <c r="AA26" s="52">
        <v>0</v>
      </c>
      <c r="AB26" s="52">
        <v>0</v>
      </c>
      <c r="AC26" s="52">
        <v>1</v>
      </c>
      <c r="AD26" s="109">
        <f t="shared" si="1"/>
        <v>0</v>
      </c>
      <c r="AE26" s="52">
        <v>0</v>
      </c>
      <c r="AF26" s="109">
        <f t="shared" si="0"/>
        <v>5.8823529411764701</v>
      </c>
      <c r="AG26" s="52">
        <v>0</v>
      </c>
      <c r="AH26" s="109">
        <f t="shared" si="2"/>
        <v>0</v>
      </c>
      <c r="AI26" s="52">
        <v>0</v>
      </c>
      <c r="AJ26" s="109">
        <f t="shared" si="3"/>
        <v>0</v>
      </c>
      <c r="AK26" s="52">
        <v>0</v>
      </c>
      <c r="AL26" s="109">
        <f t="shared" si="4"/>
        <v>0</v>
      </c>
      <c r="AM26" s="109">
        <f t="shared" si="5"/>
        <v>5.5555555555555554</v>
      </c>
      <c r="AN26" s="110">
        <f t="shared" si="6"/>
        <v>1.1437908496732025</v>
      </c>
    </row>
    <row r="27" spans="1:40" x14ac:dyDescent="0.25">
      <c r="A27" s="63">
        <v>4</v>
      </c>
      <c r="B27" s="63">
        <v>2</v>
      </c>
      <c r="C27" s="63">
        <v>1</v>
      </c>
      <c r="D27" s="63">
        <v>5</v>
      </c>
      <c r="E27" s="63">
        <v>31</v>
      </c>
      <c r="F27" s="63" t="s">
        <v>30</v>
      </c>
      <c r="G27" s="63" t="s">
        <v>32</v>
      </c>
      <c r="H27" s="63">
        <v>402</v>
      </c>
      <c r="I27" s="98">
        <v>26</v>
      </c>
      <c r="J27" s="52">
        <v>18</v>
      </c>
      <c r="K27" s="52">
        <v>17</v>
      </c>
      <c r="L27" s="52">
        <v>17</v>
      </c>
      <c r="M27" s="52">
        <v>19</v>
      </c>
      <c r="N27" s="52">
        <v>17</v>
      </c>
      <c r="O27" s="52">
        <v>17</v>
      </c>
      <c r="P27" s="52">
        <v>16</v>
      </c>
      <c r="Q27" s="52">
        <v>15</v>
      </c>
      <c r="R27" s="52">
        <v>17</v>
      </c>
      <c r="S27" s="52">
        <v>16</v>
      </c>
      <c r="T27" s="52">
        <v>1</v>
      </c>
      <c r="U27" s="52">
        <v>0</v>
      </c>
      <c r="V27" s="52">
        <v>1</v>
      </c>
      <c r="W27" s="52">
        <v>2</v>
      </c>
      <c r="X27" s="52">
        <v>0</v>
      </c>
      <c r="Y27" s="52">
        <v>0</v>
      </c>
      <c r="Z27" s="52">
        <v>3</v>
      </c>
      <c r="AA27" s="52">
        <v>0</v>
      </c>
      <c r="AB27" s="52">
        <v>0</v>
      </c>
      <c r="AC27" s="52">
        <v>3</v>
      </c>
      <c r="AD27" s="109">
        <f t="shared" si="1"/>
        <v>5.5555555555555554</v>
      </c>
      <c r="AE27" s="52">
        <v>0</v>
      </c>
      <c r="AF27" s="109">
        <f t="shared" si="0"/>
        <v>5.8823529411764701</v>
      </c>
      <c r="AG27" s="52">
        <v>0</v>
      </c>
      <c r="AH27" s="109">
        <f t="shared" si="2"/>
        <v>0</v>
      </c>
      <c r="AI27" s="52">
        <v>0</v>
      </c>
      <c r="AJ27" s="109">
        <f t="shared" si="3"/>
        <v>18.75</v>
      </c>
      <c r="AK27" s="52">
        <v>0</v>
      </c>
      <c r="AL27" s="109">
        <f t="shared" si="4"/>
        <v>0</v>
      </c>
      <c r="AM27" s="109">
        <f t="shared" si="5"/>
        <v>18.75</v>
      </c>
      <c r="AN27" s="110">
        <f t="shared" si="6"/>
        <v>4.8937908496732021</v>
      </c>
    </row>
    <row r="28" spans="1:40" x14ac:dyDescent="0.25">
      <c r="A28" s="63">
        <v>4</v>
      </c>
      <c r="B28" s="63">
        <v>3</v>
      </c>
      <c r="C28" s="63">
        <v>2</v>
      </c>
      <c r="D28" s="63">
        <v>12</v>
      </c>
      <c r="E28" s="63">
        <v>30</v>
      </c>
      <c r="F28" s="63" t="s">
        <v>25</v>
      </c>
      <c r="G28" s="63" t="s">
        <v>28</v>
      </c>
      <c r="H28" s="63">
        <v>403</v>
      </c>
      <c r="I28" s="98">
        <v>27</v>
      </c>
      <c r="J28" s="52">
        <v>19</v>
      </c>
      <c r="K28" s="52">
        <v>19</v>
      </c>
      <c r="L28" s="52">
        <v>15</v>
      </c>
      <c r="M28" s="52">
        <v>17</v>
      </c>
      <c r="N28" s="52">
        <v>14</v>
      </c>
      <c r="O28" s="52">
        <v>17</v>
      </c>
      <c r="P28" s="52">
        <v>16</v>
      </c>
      <c r="Q28" s="52">
        <v>20</v>
      </c>
      <c r="R28" s="52">
        <v>16</v>
      </c>
      <c r="S28" s="52">
        <v>18</v>
      </c>
      <c r="T28" s="52">
        <v>0</v>
      </c>
      <c r="U28" s="52">
        <v>0</v>
      </c>
      <c r="V28" s="52">
        <v>0</v>
      </c>
      <c r="W28" s="52">
        <v>0</v>
      </c>
      <c r="X28" s="52">
        <v>0</v>
      </c>
      <c r="Y28" s="52">
        <v>0</v>
      </c>
      <c r="Z28" s="52">
        <v>0</v>
      </c>
      <c r="AA28" s="52">
        <v>0</v>
      </c>
      <c r="AB28" s="52">
        <v>0</v>
      </c>
      <c r="AC28" s="52">
        <v>2</v>
      </c>
      <c r="AD28" s="109">
        <f t="shared" si="1"/>
        <v>0</v>
      </c>
      <c r="AE28" s="52">
        <v>0</v>
      </c>
      <c r="AF28" s="109">
        <f t="shared" si="0"/>
        <v>0</v>
      </c>
      <c r="AG28" s="52">
        <v>0</v>
      </c>
      <c r="AH28" s="109">
        <f t="shared" si="2"/>
        <v>0</v>
      </c>
      <c r="AI28" s="52">
        <v>0</v>
      </c>
      <c r="AJ28" s="109">
        <f t="shared" si="3"/>
        <v>0</v>
      </c>
      <c r="AK28" s="52">
        <v>0</v>
      </c>
      <c r="AL28" s="109">
        <f t="shared" si="4"/>
        <v>0</v>
      </c>
      <c r="AM28" s="109">
        <f t="shared" si="5"/>
        <v>11.111111111111111</v>
      </c>
      <c r="AN28" s="110">
        <f t="shared" si="6"/>
        <v>1.1111111111111112</v>
      </c>
    </row>
    <row r="29" spans="1:40" x14ac:dyDescent="0.25">
      <c r="A29" s="63">
        <v>4</v>
      </c>
      <c r="B29" s="63">
        <v>4</v>
      </c>
      <c r="C29" s="63">
        <v>2</v>
      </c>
      <c r="D29" s="63">
        <v>13</v>
      </c>
      <c r="E29" s="63">
        <v>29</v>
      </c>
      <c r="F29" s="63" t="s">
        <v>30</v>
      </c>
      <c r="G29" s="63" t="s">
        <v>29</v>
      </c>
      <c r="H29" s="63">
        <v>404</v>
      </c>
      <c r="I29" s="98">
        <v>28</v>
      </c>
      <c r="J29" s="52">
        <v>17</v>
      </c>
      <c r="K29" s="52">
        <v>15</v>
      </c>
      <c r="L29" s="52">
        <v>16</v>
      </c>
      <c r="M29" s="52">
        <v>15</v>
      </c>
      <c r="N29" s="52">
        <v>16</v>
      </c>
      <c r="O29" s="52">
        <v>19</v>
      </c>
      <c r="P29" s="52">
        <v>16</v>
      </c>
      <c r="Q29" s="52">
        <v>16</v>
      </c>
      <c r="R29" s="52">
        <v>16</v>
      </c>
      <c r="S29" s="52">
        <v>16</v>
      </c>
      <c r="T29" s="52">
        <v>0</v>
      </c>
      <c r="U29" s="52">
        <v>0</v>
      </c>
      <c r="V29" s="52">
        <v>0</v>
      </c>
      <c r="W29" s="52">
        <v>0</v>
      </c>
      <c r="X29" s="52">
        <v>0</v>
      </c>
      <c r="Y29" s="52">
        <v>0</v>
      </c>
      <c r="Z29" s="52">
        <v>0</v>
      </c>
      <c r="AA29" s="52">
        <v>0</v>
      </c>
      <c r="AB29" s="52">
        <v>0</v>
      </c>
      <c r="AC29" s="52">
        <v>0</v>
      </c>
      <c r="AD29" s="109">
        <f t="shared" si="1"/>
        <v>0</v>
      </c>
      <c r="AE29" s="52">
        <v>0</v>
      </c>
      <c r="AF29" s="109">
        <f t="shared" si="0"/>
        <v>0</v>
      </c>
      <c r="AG29" s="52">
        <v>0</v>
      </c>
      <c r="AH29" s="109">
        <f t="shared" si="2"/>
        <v>0</v>
      </c>
      <c r="AI29" s="52">
        <v>0</v>
      </c>
      <c r="AJ29" s="109">
        <f t="shared" si="3"/>
        <v>0</v>
      </c>
      <c r="AK29" s="52">
        <v>0</v>
      </c>
      <c r="AL29" s="109">
        <f t="shared" si="4"/>
        <v>0</v>
      </c>
      <c r="AM29" s="109">
        <f t="shared" si="5"/>
        <v>0</v>
      </c>
      <c r="AN29" s="110">
        <f t="shared" si="6"/>
        <v>0</v>
      </c>
    </row>
    <row r="30" spans="1:40" x14ac:dyDescent="0.25">
      <c r="A30" s="63">
        <v>4</v>
      </c>
      <c r="B30" s="63">
        <v>5</v>
      </c>
      <c r="C30" s="63">
        <v>3</v>
      </c>
      <c r="D30" s="63">
        <v>20</v>
      </c>
      <c r="E30" s="63">
        <v>28</v>
      </c>
      <c r="F30" s="63" t="s">
        <v>25</v>
      </c>
      <c r="G30" s="63" t="s">
        <v>27</v>
      </c>
      <c r="H30" s="63">
        <v>405</v>
      </c>
      <c r="I30" s="98">
        <v>29</v>
      </c>
      <c r="J30" s="111">
        <v>16</v>
      </c>
      <c r="K30" s="52">
        <v>18</v>
      </c>
      <c r="L30" s="52">
        <v>18</v>
      </c>
      <c r="M30" s="52">
        <v>17</v>
      </c>
      <c r="N30" s="52">
        <v>18</v>
      </c>
      <c r="O30" s="52">
        <v>15</v>
      </c>
      <c r="P30" s="52">
        <v>17</v>
      </c>
      <c r="Q30" s="52">
        <v>18</v>
      </c>
      <c r="R30" s="52">
        <v>17</v>
      </c>
      <c r="S30" s="52">
        <v>18</v>
      </c>
      <c r="T30" s="52">
        <v>0</v>
      </c>
      <c r="U30" s="52">
        <v>0</v>
      </c>
      <c r="V30" s="52">
        <v>0</v>
      </c>
      <c r="W30" s="52">
        <v>0</v>
      </c>
      <c r="X30" s="52">
        <v>1</v>
      </c>
      <c r="Y30" s="52">
        <v>1</v>
      </c>
      <c r="Z30" s="52">
        <v>0</v>
      </c>
      <c r="AA30" s="52">
        <v>1</v>
      </c>
      <c r="AB30" s="52">
        <v>0</v>
      </c>
      <c r="AC30" s="52">
        <v>0</v>
      </c>
      <c r="AD30" s="109">
        <f t="shared" si="1"/>
        <v>0</v>
      </c>
      <c r="AE30" s="52">
        <v>0</v>
      </c>
      <c r="AF30" s="109">
        <f t="shared" si="0"/>
        <v>0</v>
      </c>
      <c r="AG30" s="52">
        <v>0</v>
      </c>
      <c r="AH30" s="109">
        <f t="shared" si="2"/>
        <v>5.5555555555555554</v>
      </c>
      <c r="AI30" s="52">
        <v>0</v>
      </c>
      <c r="AJ30" s="109">
        <f t="shared" si="3"/>
        <v>0</v>
      </c>
      <c r="AK30" s="52">
        <v>0</v>
      </c>
      <c r="AL30" s="109">
        <f t="shared" si="4"/>
        <v>0</v>
      </c>
      <c r="AM30" s="109">
        <f t="shared" si="5"/>
        <v>0</v>
      </c>
      <c r="AN30" s="110">
        <f t="shared" si="6"/>
        <v>0.55555555555555558</v>
      </c>
    </row>
    <row r="31" spans="1:40" x14ac:dyDescent="0.25">
      <c r="A31" s="63">
        <v>4</v>
      </c>
      <c r="B31" s="63">
        <v>6</v>
      </c>
      <c r="C31" s="63">
        <v>3</v>
      </c>
      <c r="D31" s="63">
        <v>21</v>
      </c>
      <c r="E31" s="63">
        <v>27</v>
      </c>
      <c r="F31" s="63" t="s">
        <v>30</v>
      </c>
      <c r="G31" s="63" t="s">
        <v>28</v>
      </c>
      <c r="H31" s="63">
        <v>406</v>
      </c>
      <c r="I31" s="98">
        <v>30</v>
      </c>
      <c r="J31" s="52">
        <v>14</v>
      </c>
      <c r="K31" s="52">
        <v>15</v>
      </c>
      <c r="L31" s="52">
        <v>16</v>
      </c>
      <c r="M31" s="52">
        <v>15</v>
      </c>
      <c r="N31" s="52">
        <v>16</v>
      </c>
      <c r="O31" s="52">
        <v>15</v>
      </c>
      <c r="P31" s="52">
        <v>14</v>
      </c>
      <c r="Q31" s="52">
        <v>15</v>
      </c>
      <c r="R31" s="52">
        <v>14</v>
      </c>
      <c r="S31" s="52">
        <v>15</v>
      </c>
      <c r="T31" s="52">
        <v>1</v>
      </c>
      <c r="U31" s="52">
        <v>0</v>
      </c>
      <c r="V31" s="52">
        <v>0</v>
      </c>
      <c r="W31" s="52">
        <v>1</v>
      </c>
      <c r="X31" s="52">
        <v>2</v>
      </c>
      <c r="Y31" s="52">
        <v>1</v>
      </c>
      <c r="Z31" s="52">
        <v>2</v>
      </c>
      <c r="AA31" s="52">
        <v>1</v>
      </c>
      <c r="AB31" s="52">
        <v>1</v>
      </c>
      <c r="AC31" s="52">
        <v>1</v>
      </c>
      <c r="AD31" s="109">
        <f t="shared" si="1"/>
        <v>7.1428571428571423</v>
      </c>
      <c r="AE31" s="52">
        <v>0</v>
      </c>
      <c r="AF31" s="109">
        <f t="shared" si="0"/>
        <v>0</v>
      </c>
      <c r="AG31" s="52">
        <v>0</v>
      </c>
      <c r="AH31" s="109">
        <f t="shared" si="2"/>
        <v>12.5</v>
      </c>
      <c r="AI31" s="52">
        <v>0</v>
      </c>
      <c r="AJ31" s="109">
        <f t="shared" si="3"/>
        <v>14.285714285714285</v>
      </c>
      <c r="AK31" s="52">
        <v>0</v>
      </c>
      <c r="AL31" s="109">
        <f t="shared" si="4"/>
        <v>7.1428571428571423</v>
      </c>
      <c r="AM31" s="109">
        <f t="shared" si="5"/>
        <v>6.666666666666667</v>
      </c>
      <c r="AN31" s="110">
        <f t="shared" si="6"/>
        <v>4.7738095238095237</v>
      </c>
    </row>
    <row r="32" spans="1:40" x14ac:dyDescent="0.25">
      <c r="A32" s="63">
        <v>4</v>
      </c>
      <c r="B32" s="63">
        <v>7</v>
      </c>
      <c r="C32" s="63">
        <v>4</v>
      </c>
      <c r="D32" s="63">
        <v>28</v>
      </c>
      <c r="E32" s="63">
        <v>26</v>
      </c>
      <c r="F32" s="63" t="s">
        <v>25</v>
      </c>
      <c r="G32" s="63" t="s">
        <v>26</v>
      </c>
      <c r="H32" s="63">
        <v>407</v>
      </c>
      <c r="I32" s="98">
        <v>31</v>
      </c>
      <c r="J32" s="52">
        <v>14</v>
      </c>
      <c r="K32" s="52">
        <v>15</v>
      </c>
      <c r="L32" s="52">
        <v>15</v>
      </c>
      <c r="M32" s="52">
        <v>18</v>
      </c>
      <c r="N32" s="52">
        <v>17</v>
      </c>
      <c r="O32" s="52">
        <v>17</v>
      </c>
      <c r="P32" s="52">
        <v>16</v>
      </c>
      <c r="Q32" s="52">
        <v>15</v>
      </c>
      <c r="R32" s="52">
        <v>16</v>
      </c>
      <c r="S32" s="52">
        <v>14</v>
      </c>
      <c r="T32" s="52">
        <v>1</v>
      </c>
      <c r="U32" s="52">
        <v>1</v>
      </c>
      <c r="V32" s="52">
        <v>1</v>
      </c>
      <c r="W32" s="52">
        <v>0</v>
      </c>
      <c r="X32" s="52">
        <v>0</v>
      </c>
      <c r="Y32" s="52">
        <v>0</v>
      </c>
      <c r="Z32" s="52">
        <v>1</v>
      </c>
      <c r="AA32" s="52">
        <v>1</v>
      </c>
      <c r="AB32" s="52">
        <v>1</v>
      </c>
      <c r="AC32" s="52">
        <v>0</v>
      </c>
      <c r="AD32" s="109">
        <f t="shared" si="1"/>
        <v>7.1428571428571423</v>
      </c>
      <c r="AE32" s="52">
        <v>0</v>
      </c>
      <c r="AF32" s="109">
        <f t="shared" si="0"/>
        <v>6.666666666666667</v>
      </c>
      <c r="AG32" s="52">
        <v>0</v>
      </c>
      <c r="AH32" s="109">
        <f t="shared" si="2"/>
        <v>0</v>
      </c>
      <c r="AI32" s="52">
        <v>0</v>
      </c>
      <c r="AJ32" s="109">
        <f t="shared" si="3"/>
        <v>6.25</v>
      </c>
      <c r="AK32" s="52">
        <v>0</v>
      </c>
      <c r="AL32" s="109">
        <f t="shared" si="4"/>
        <v>6.25</v>
      </c>
      <c r="AM32" s="109">
        <f t="shared" si="5"/>
        <v>0</v>
      </c>
      <c r="AN32" s="110">
        <f t="shared" si="6"/>
        <v>2.6309523809523809</v>
      </c>
    </row>
    <row r="33" spans="1:40" x14ac:dyDescent="0.25">
      <c r="A33" s="63">
        <v>4</v>
      </c>
      <c r="B33" s="63">
        <v>8</v>
      </c>
      <c r="C33" s="63">
        <v>4</v>
      </c>
      <c r="D33" s="63">
        <v>29</v>
      </c>
      <c r="E33" s="63">
        <v>25</v>
      </c>
      <c r="F33" s="63" t="s">
        <v>30</v>
      </c>
      <c r="G33" s="63" t="s">
        <v>31</v>
      </c>
      <c r="H33" s="63">
        <v>408</v>
      </c>
      <c r="I33" s="98">
        <v>32</v>
      </c>
      <c r="J33" s="52">
        <v>17</v>
      </c>
      <c r="K33" s="52">
        <v>15</v>
      </c>
      <c r="L33" s="52">
        <v>16</v>
      </c>
      <c r="M33" s="52">
        <v>16</v>
      </c>
      <c r="N33" s="52">
        <v>15</v>
      </c>
      <c r="O33" s="52">
        <v>15</v>
      </c>
      <c r="P33" s="52">
        <v>16</v>
      </c>
      <c r="Q33" s="52">
        <v>17</v>
      </c>
      <c r="R33" s="52">
        <v>15</v>
      </c>
      <c r="S33" s="52">
        <v>17</v>
      </c>
      <c r="T33" s="52">
        <v>0</v>
      </c>
      <c r="U33" s="52">
        <v>1</v>
      </c>
      <c r="V33" s="52">
        <v>0</v>
      </c>
      <c r="W33" s="52">
        <v>1</v>
      </c>
      <c r="X33" s="52">
        <v>4</v>
      </c>
      <c r="Y33" s="52">
        <v>3</v>
      </c>
      <c r="Z33" s="52">
        <v>0</v>
      </c>
      <c r="AA33" s="52">
        <v>0</v>
      </c>
      <c r="AB33" s="52">
        <v>0</v>
      </c>
      <c r="AC33" s="52">
        <v>2</v>
      </c>
      <c r="AD33" s="109">
        <f t="shared" si="1"/>
        <v>0</v>
      </c>
      <c r="AE33" s="52">
        <v>0</v>
      </c>
      <c r="AF33" s="109">
        <f t="shared" si="0"/>
        <v>0</v>
      </c>
      <c r="AG33" s="52">
        <v>0</v>
      </c>
      <c r="AH33" s="109">
        <f t="shared" si="2"/>
        <v>26.666666666666668</v>
      </c>
      <c r="AI33" s="52">
        <v>0</v>
      </c>
      <c r="AJ33" s="109">
        <f t="shared" si="3"/>
        <v>0</v>
      </c>
      <c r="AK33" s="52">
        <v>0</v>
      </c>
      <c r="AL33" s="109">
        <f t="shared" si="4"/>
        <v>0</v>
      </c>
      <c r="AM33" s="109">
        <f t="shared" si="5"/>
        <v>11.76470588235294</v>
      </c>
      <c r="AN33" s="110">
        <f t="shared" si="6"/>
        <v>3.8431372549019605</v>
      </c>
    </row>
    <row r="34" spans="1:40" x14ac:dyDescent="0.25">
      <c r="A34" s="63"/>
      <c r="B34" s="63"/>
      <c r="C34" s="63"/>
      <c r="D34" s="63"/>
      <c r="E34" s="63"/>
      <c r="F34" s="63"/>
      <c r="G34" s="63"/>
      <c r="H34" s="63"/>
    </row>
  </sheetData>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40497-CE25-41AE-8053-5C27EE709D43}">
  <dimension ref="A1:BM78"/>
  <sheetViews>
    <sheetView topLeftCell="G1" workbookViewId="0">
      <selection activeCell="BB16" sqref="BB16"/>
    </sheetView>
  </sheetViews>
  <sheetFormatPr defaultRowHeight="15" x14ac:dyDescent="0.25"/>
  <cols>
    <col min="1" max="6" width="9.28515625" style="4"/>
    <col min="7" max="7" width="17.7109375" style="4" customWidth="1"/>
    <col min="8" max="8" width="9.28515625" style="4"/>
    <col min="9" max="9" width="9.28515625" style="99"/>
    <col min="10" max="10" width="15.5703125" style="96" customWidth="1"/>
    <col min="11" max="12" width="9.28515625" style="4"/>
    <col min="13" max="13" width="11.28515625" style="4" customWidth="1"/>
    <col min="14" max="15" width="12.42578125" style="4" customWidth="1"/>
    <col min="16" max="16" width="9.28515625" style="4"/>
    <col min="17" max="17" width="11.5703125" style="4" customWidth="1"/>
    <col min="18" max="23" width="9.28515625" style="4"/>
    <col min="24" max="24" width="8.7109375" style="4"/>
    <col min="25" max="26" width="9.28515625" style="4"/>
    <col min="27" max="27" width="9.28515625" style="11"/>
    <col min="28" max="28" width="9.5703125" style="4" customWidth="1"/>
    <col min="29" max="33" width="9.28515625" style="47"/>
    <col min="34" max="38" width="9.28515625" style="4"/>
    <col min="39" max="39" width="9.28515625" style="114"/>
    <col min="40" max="40" width="9.28515625" style="69"/>
    <col min="41" max="41" width="11.7109375" style="4" customWidth="1"/>
    <col min="42" max="42" width="9.42578125" style="11" customWidth="1"/>
    <col min="43" max="43" width="10.5703125" style="12" customWidth="1"/>
    <col min="44" max="44" width="10.5703125" style="4" customWidth="1"/>
    <col min="45" max="45" width="9.5703125" bestFit="1" customWidth="1"/>
    <col min="46" max="56" width="9.5703125" customWidth="1"/>
    <col min="57" max="57" width="21.5703125" customWidth="1"/>
    <col min="58" max="58" width="13.5703125" bestFit="1" customWidth="1"/>
    <col min="59" max="63" width="12" bestFit="1" customWidth="1"/>
    <col min="64" max="66" width="23.5703125" bestFit="1" customWidth="1"/>
    <col min="67" max="67" width="28.5703125" bestFit="1" customWidth="1"/>
    <col min="68" max="68" width="26.28515625" bestFit="1" customWidth="1"/>
  </cols>
  <sheetData>
    <row r="1" spans="1:65" ht="72.75" customHeight="1" x14ac:dyDescent="0.25">
      <c r="A1" s="10" t="s">
        <v>23</v>
      </c>
      <c r="B1" s="10" t="s">
        <v>24</v>
      </c>
      <c r="C1" s="10" t="s">
        <v>281</v>
      </c>
      <c r="D1" s="10" t="s">
        <v>282</v>
      </c>
      <c r="E1" s="10" t="s">
        <v>77</v>
      </c>
      <c r="F1" s="10" t="s">
        <v>21</v>
      </c>
      <c r="G1" s="10" t="s">
        <v>22</v>
      </c>
      <c r="H1" s="10" t="s">
        <v>76</v>
      </c>
      <c r="I1" s="97" t="s">
        <v>498</v>
      </c>
      <c r="J1" s="95" t="s">
        <v>500</v>
      </c>
      <c r="K1" s="10" t="s">
        <v>411</v>
      </c>
      <c r="L1" s="10" t="s">
        <v>522</v>
      </c>
      <c r="M1" s="10" t="s">
        <v>523</v>
      </c>
      <c r="N1" s="10" t="s">
        <v>536</v>
      </c>
      <c r="O1" s="10" t="s">
        <v>515</v>
      </c>
      <c r="P1" s="10" t="s">
        <v>501</v>
      </c>
      <c r="Q1" s="10" t="s">
        <v>524</v>
      </c>
      <c r="R1" s="10" t="s">
        <v>415</v>
      </c>
      <c r="S1" s="10" t="s">
        <v>502</v>
      </c>
      <c r="T1" s="10" t="s">
        <v>503</v>
      </c>
      <c r="U1" s="10" t="s">
        <v>504</v>
      </c>
      <c r="V1" s="10" t="s">
        <v>505</v>
      </c>
      <c r="W1" s="10" t="s">
        <v>506</v>
      </c>
      <c r="X1" s="10" t="s">
        <v>570</v>
      </c>
      <c r="Y1" s="10" t="s">
        <v>507</v>
      </c>
      <c r="Z1" s="10" t="s">
        <v>508</v>
      </c>
      <c r="AA1" s="9" t="s">
        <v>424</v>
      </c>
      <c r="AB1" s="10" t="s">
        <v>509</v>
      </c>
      <c r="AC1" s="48" t="s">
        <v>430</v>
      </c>
      <c r="AD1" s="48" t="s">
        <v>431</v>
      </c>
      <c r="AE1" s="48" t="s">
        <v>432</v>
      </c>
      <c r="AF1" s="48" t="s">
        <v>510</v>
      </c>
      <c r="AG1" s="48" t="s">
        <v>511</v>
      </c>
      <c r="AH1" s="10" t="s">
        <v>434</v>
      </c>
      <c r="AI1" s="10" t="s">
        <v>435</v>
      </c>
      <c r="AJ1" s="10" t="s">
        <v>436</v>
      </c>
      <c r="AK1" s="10" t="s">
        <v>512</v>
      </c>
      <c r="AL1" s="10" t="s">
        <v>513</v>
      </c>
      <c r="AM1" s="113" t="s">
        <v>514</v>
      </c>
      <c r="AN1" s="112" t="s">
        <v>515</v>
      </c>
      <c r="AO1" s="10" t="s">
        <v>551</v>
      </c>
      <c r="AP1" s="9" t="s">
        <v>516</v>
      </c>
      <c r="AQ1" s="8" t="s">
        <v>517</v>
      </c>
      <c r="AR1" s="10" t="s">
        <v>595</v>
      </c>
      <c r="AS1" s="10" t="s">
        <v>595</v>
      </c>
      <c r="AT1" s="144" t="s">
        <v>599</v>
      </c>
      <c r="AU1" s="144" t="s">
        <v>600</v>
      </c>
      <c r="AV1" s="144" t="s">
        <v>604</v>
      </c>
      <c r="AW1" s="144" t="s">
        <v>605</v>
      </c>
      <c r="AX1" s="144" t="s">
        <v>609</v>
      </c>
      <c r="AY1" s="144" t="s">
        <v>610</v>
      </c>
      <c r="AZ1" s="10"/>
      <c r="BA1" s="10"/>
      <c r="BB1" s="10"/>
      <c r="BC1" s="10"/>
      <c r="BD1" s="10"/>
      <c r="BE1" s="46" t="s">
        <v>525</v>
      </c>
      <c r="BG1" s="46" t="s">
        <v>23</v>
      </c>
    </row>
    <row r="2" spans="1:65" x14ac:dyDescent="0.25">
      <c r="A2" s="63">
        <v>1</v>
      </c>
      <c r="B2" s="63">
        <v>1</v>
      </c>
      <c r="C2" s="63">
        <v>1</v>
      </c>
      <c r="D2" s="63">
        <v>1</v>
      </c>
      <c r="E2" s="63">
        <v>1</v>
      </c>
      <c r="F2" s="63" t="s">
        <v>25</v>
      </c>
      <c r="G2" s="63" t="s">
        <v>26</v>
      </c>
      <c r="H2" s="63">
        <v>101</v>
      </c>
      <c r="I2" s="98">
        <v>1</v>
      </c>
      <c r="J2" s="96" t="s">
        <v>518</v>
      </c>
      <c r="K2" s="4">
        <v>0.5</v>
      </c>
      <c r="L2" s="4">
        <v>801</v>
      </c>
      <c r="M2" s="4">
        <v>644</v>
      </c>
      <c r="N2" s="4">
        <v>254</v>
      </c>
      <c r="O2" s="47">
        <f>N2/M2</f>
        <v>0.39440993788819878</v>
      </c>
      <c r="P2" s="4">
        <v>502</v>
      </c>
      <c r="Q2" s="4">
        <v>218</v>
      </c>
      <c r="R2" s="4">
        <v>30</v>
      </c>
      <c r="S2" s="4">
        <v>8.1999999999999993</v>
      </c>
      <c r="T2" s="4">
        <v>25.85</v>
      </c>
      <c r="U2" s="4">
        <v>47.41</v>
      </c>
      <c r="V2" s="4">
        <v>27.1</v>
      </c>
      <c r="W2" s="4">
        <v>9.6</v>
      </c>
      <c r="X2" s="4">
        <v>200</v>
      </c>
      <c r="Y2" s="4">
        <v>7.23</v>
      </c>
      <c r="Z2" s="4">
        <f>SUM(S2:U2)</f>
        <v>81.459999999999994</v>
      </c>
      <c r="AA2" s="11">
        <f t="shared" ref="AA2:AA33" si="0">Z2/R2</f>
        <v>2.7153333333333332</v>
      </c>
      <c r="AB2" s="4">
        <f>M2/K2</f>
        <v>1288</v>
      </c>
      <c r="AC2" s="47">
        <f t="shared" ref="AC2:AC33" si="1">S2/Z2</f>
        <v>0.10066290203780996</v>
      </c>
      <c r="AD2" s="47">
        <f t="shared" ref="AD2:AD33" si="2">T2/Z2</f>
        <v>0.31733366069236441</v>
      </c>
      <c r="AE2" s="47">
        <f t="shared" ref="AE2:AE33" si="3">U2/Z2</f>
        <v>0.58200343726982573</v>
      </c>
      <c r="AF2" s="47">
        <f t="shared" ref="AF2:AF33" si="4">V2/Z2</f>
        <v>0.33267861527129883</v>
      </c>
      <c r="AG2" s="47">
        <f t="shared" ref="AG2:AG33" si="5">W2/Z2</f>
        <v>0.11784925116621656</v>
      </c>
      <c r="AH2" s="11">
        <f>AC2*$AB2</f>
        <v>129.65381782469922</v>
      </c>
      <c r="AI2" s="11">
        <f t="shared" ref="AI2:AL17" si="6">AD2*$AB2</f>
        <v>408.72575497176535</v>
      </c>
      <c r="AJ2" s="11">
        <f t="shared" si="6"/>
        <v>749.62042720353554</v>
      </c>
      <c r="AK2" s="11">
        <f t="shared" si="6"/>
        <v>428.49005646943289</v>
      </c>
      <c r="AL2" s="11">
        <f t="shared" si="6"/>
        <v>151.78983550208693</v>
      </c>
      <c r="AM2" s="114">
        <f>(N2+V2)/K2</f>
        <v>562.20000000000005</v>
      </c>
      <c r="AN2" s="69">
        <f>AM2/AB2</f>
        <v>0.43649068322981371</v>
      </c>
      <c r="AO2" s="12">
        <f>100*((Q2*2)-N2)/N2</f>
        <v>71.653543307086608</v>
      </c>
      <c r="AP2" s="11">
        <f>(Y2/X2)*1000</f>
        <v>36.15</v>
      </c>
      <c r="AQ2" s="12">
        <f>AM2/(AP2/1000)</f>
        <v>15551.867219917012</v>
      </c>
      <c r="AR2" s="60">
        <f>100*((Q2*2)-(N2+V2))/(N2+V2)</f>
        <v>55.104944859480604</v>
      </c>
      <c r="AS2" s="60">
        <f>100*((Q2*4)-(AM2))/(AM2)</f>
        <v>55.104944859480604</v>
      </c>
      <c r="AT2" s="43">
        <v>16.446000000000002</v>
      </c>
      <c r="AU2" s="43">
        <v>3.3140999999999998</v>
      </c>
      <c r="AV2">
        <v>49.400000000000006</v>
      </c>
      <c r="AW2">
        <v>55.099999999999994</v>
      </c>
      <c r="AX2" s="146">
        <v>-25.37</v>
      </c>
      <c r="AY2" s="146">
        <v>-26.17</v>
      </c>
      <c r="AZ2" s="60"/>
      <c r="BA2" s="60"/>
      <c r="BB2" s="60"/>
      <c r="BC2" s="60"/>
      <c r="BD2" s="60"/>
      <c r="BE2" s="46" t="s">
        <v>21</v>
      </c>
      <c r="BF2" s="46" t="s">
        <v>22</v>
      </c>
      <c r="BG2">
        <v>1</v>
      </c>
      <c r="BH2">
        <v>2</v>
      </c>
      <c r="BI2">
        <v>3</v>
      </c>
      <c r="BJ2">
        <v>4</v>
      </c>
      <c r="BK2" t="s">
        <v>325</v>
      </c>
      <c r="BL2" t="s">
        <v>531</v>
      </c>
      <c r="BM2" s="4" t="s">
        <v>532</v>
      </c>
    </row>
    <row r="3" spans="1:65" x14ac:dyDescent="0.25">
      <c r="A3" s="63">
        <v>1</v>
      </c>
      <c r="B3" s="63">
        <v>2</v>
      </c>
      <c r="C3" s="63">
        <v>1</v>
      </c>
      <c r="D3" s="63">
        <v>8</v>
      </c>
      <c r="E3" s="63">
        <v>2</v>
      </c>
      <c r="F3" s="63" t="s">
        <v>30</v>
      </c>
      <c r="G3" s="63" t="s">
        <v>31</v>
      </c>
      <c r="H3" s="63">
        <v>102</v>
      </c>
      <c r="I3" s="98">
        <v>2</v>
      </c>
      <c r="J3" s="96" t="s">
        <v>518</v>
      </c>
      <c r="K3" s="4">
        <v>0.5</v>
      </c>
      <c r="L3" s="4">
        <v>800</v>
      </c>
      <c r="M3" s="4">
        <v>583</v>
      </c>
      <c r="N3" s="4">
        <v>248</v>
      </c>
      <c r="O3" s="47">
        <f t="shared" ref="O3:O33" si="7">N3/M3</f>
        <v>0.42538593481989706</v>
      </c>
      <c r="P3" s="4">
        <v>618</v>
      </c>
      <c r="Q3" s="4">
        <v>275</v>
      </c>
      <c r="R3" s="4">
        <v>30</v>
      </c>
      <c r="S3" s="4">
        <v>11.68</v>
      </c>
      <c r="T3" s="4">
        <v>40.799999999999997</v>
      </c>
      <c r="U3" s="4">
        <v>71.069999999999993</v>
      </c>
      <c r="V3" s="4">
        <v>46.01</v>
      </c>
      <c r="W3" s="4">
        <v>16.649999999999999</v>
      </c>
      <c r="X3" s="4">
        <v>203</v>
      </c>
      <c r="Y3" s="4">
        <v>7.53</v>
      </c>
      <c r="Z3" s="4">
        <f t="shared" ref="Z3:Z33" si="8">SUM(S3:U3)</f>
        <v>123.54999999999998</v>
      </c>
      <c r="AA3" s="11">
        <f t="shared" si="0"/>
        <v>4.1183333333333332</v>
      </c>
      <c r="AB3" s="4">
        <f t="shared" ref="AB3:AB33" si="9">M3/K3</f>
        <v>1166</v>
      </c>
      <c r="AC3" s="47">
        <f t="shared" si="1"/>
        <v>9.4536624848239589E-2</v>
      </c>
      <c r="AD3" s="47">
        <f t="shared" si="2"/>
        <v>0.33023067583974103</v>
      </c>
      <c r="AE3" s="47">
        <f t="shared" si="3"/>
        <v>0.57523269931201948</v>
      </c>
      <c r="AF3" s="47">
        <f t="shared" si="4"/>
        <v>0.37239983812221777</v>
      </c>
      <c r="AG3" s="47">
        <f t="shared" si="5"/>
        <v>0.13476325374342371</v>
      </c>
      <c r="AH3" s="11">
        <f>AC3*$AB3</f>
        <v>110.22970457304736</v>
      </c>
      <c r="AI3" s="11">
        <f t="shared" si="6"/>
        <v>385.04896802913805</v>
      </c>
      <c r="AJ3" s="11">
        <f t="shared" si="6"/>
        <v>670.72132739781466</v>
      </c>
      <c r="AK3" s="11">
        <f t="shared" si="6"/>
        <v>434.21821125050593</v>
      </c>
      <c r="AL3" s="11">
        <f t="shared" si="6"/>
        <v>157.13395386483205</v>
      </c>
      <c r="AM3" s="114">
        <f t="shared" ref="AM3:AM33" si="10">(N3+V3)/K3</f>
        <v>588.02</v>
      </c>
      <c r="AN3" s="69">
        <f t="shared" ref="AN3:AN33" si="11">AM3/AB3</f>
        <v>0.50430531732418526</v>
      </c>
      <c r="AO3" s="12">
        <f t="shared" ref="AO3:AO33" si="12">100*((Q3*2)-N3)/N3</f>
        <v>121.7741935483871</v>
      </c>
      <c r="AP3" s="11">
        <f t="shared" ref="AP3:AP33" si="13">(Y3/X3)*1000</f>
        <v>37.093596059113302</v>
      </c>
      <c r="AQ3" s="12">
        <f t="shared" ref="AQ3:AQ33" si="14">AM3/(AP3/1000)</f>
        <v>15852.332005312082</v>
      </c>
      <c r="AR3" s="60">
        <f t="shared" ref="AR3:AR33" si="15">100*((Q3*2)-(N3+V3))/(N3+V3)</f>
        <v>87.068467058943583</v>
      </c>
      <c r="AS3" s="60">
        <f t="shared" ref="AS3:AS33" si="16">100*((Q3*4)-(AM3))/(AM3)</f>
        <v>87.068467058943583</v>
      </c>
      <c r="AT3" s="43">
        <v>16.873000000000001</v>
      </c>
      <c r="AU3" s="43">
        <v>4.9911000000000003</v>
      </c>
      <c r="AV3">
        <v>36.1</v>
      </c>
      <c r="AW3">
        <v>88.699999999999989</v>
      </c>
      <c r="AX3" s="146">
        <v>-25.81</v>
      </c>
      <c r="AY3" s="146">
        <v>-25.96</v>
      </c>
      <c r="AZ3" s="60"/>
      <c r="BA3" s="60"/>
      <c r="BB3" s="60"/>
      <c r="BC3" s="60"/>
      <c r="BD3" s="60"/>
      <c r="BE3" t="s">
        <v>25</v>
      </c>
      <c r="BF3" t="s">
        <v>26</v>
      </c>
      <c r="BG3" s="60">
        <v>562.20000000000005</v>
      </c>
      <c r="BH3" s="60">
        <v>625.20000000000005</v>
      </c>
      <c r="BI3" s="60">
        <v>562.36</v>
      </c>
      <c r="BJ3" s="60">
        <v>476.96</v>
      </c>
      <c r="BK3" s="60">
        <v>556.68000000000006</v>
      </c>
      <c r="BL3" s="11">
        <f>(BK3*1.12)/100</f>
        <v>6.2348160000000021</v>
      </c>
      <c r="BM3" s="47">
        <v>0.425659771786492</v>
      </c>
    </row>
    <row r="4" spans="1:65" x14ac:dyDescent="0.25">
      <c r="A4" s="63">
        <v>1</v>
      </c>
      <c r="B4" s="63">
        <v>3</v>
      </c>
      <c r="C4" s="63">
        <v>2</v>
      </c>
      <c r="D4" s="63">
        <v>9</v>
      </c>
      <c r="E4" s="63">
        <v>3</v>
      </c>
      <c r="F4" s="63" t="s">
        <v>25</v>
      </c>
      <c r="G4" s="63" t="s">
        <v>27</v>
      </c>
      <c r="H4" s="63">
        <v>103</v>
      </c>
      <c r="I4" s="98">
        <v>3</v>
      </c>
      <c r="J4" s="96" t="s">
        <v>518</v>
      </c>
      <c r="K4" s="4">
        <v>0.5</v>
      </c>
      <c r="L4" s="4">
        <v>661</v>
      </c>
      <c r="M4" s="4">
        <v>486</v>
      </c>
      <c r="N4" s="4">
        <v>194</v>
      </c>
      <c r="O4" s="47">
        <f t="shared" si="7"/>
        <v>0.3991769547325103</v>
      </c>
      <c r="P4" s="4">
        <v>506</v>
      </c>
      <c r="Q4" s="4">
        <v>222</v>
      </c>
      <c r="R4" s="4">
        <v>30</v>
      </c>
      <c r="S4" s="4">
        <v>10.029999999999999</v>
      </c>
      <c r="T4" s="4">
        <v>34.299999999999997</v>
      </c>
      <c r="U4" s="4">
        <v>70.5</v>
      </c>
      <c r="V4" s="4">
        <v>43.3</v>
      </c>
      <c r="W4" s="4">
        <v>18.43</v>
      </c>
      <c r="X4" s="4">
        <v>200</v>
      </c>
      <c r="Y4" s="4">
        <v>7.83</v>
      </c>
      <c r="Z4" s="4">
        <f t="shared" si="8"/>
        <v>114.83</v>
      </c>
      <c r="AA4" s="11">
        <f t="shared" si="0"/>
        <v>3.8276666666666666</v>
      </c>
      <c r="AB4" s="4">
        <f t="shared" si="9"/>
        <v>972</v>
      </c>
      <c r="AC4" s="47">
        <f t="shared" si="1"/>
        <v>8.7346512235478527E-2</v>
      </c>
      <c r="AD4" s="47">
        <f t="shared" si="2"/>
        <v>0.2987024296786554</v>
      </c>
      <c r="AE4" s="47">
        <f t="shared" si="3"/>
        <v>0.61395105808586603</v>
      </c>
      <c r="AF4" s="47">
        <f t="shared" si="4"/>
        <v>0.37707916049812767</v>
      </c>
      <c r="AG4" s="47">
        <f t="shared" si="5"/>
        <v>0.16049812766698598</v>
      </c>
      <c r="AH4" s="11">
        <f t="shared" ref="AH4:AL33" si="17">AC4*$AB4</f>
        <v>84.900809892885121</v>
      </c>
      <c r="AI4" s="11">
        <f t="shared" si="6"/>
        <v>290.33876164765303</v>
      </c>
      <c r="AJ4" s="11">
        <f t="shared" si="6"/>
        <v>596.76042845946176</v>
      </c>
      <c r="AK4" s="11">
        <f t="shared" si="6"/>
        <v>366.52094400418008</v>
      </c>
      <c r="AL4" s="11">
        <f t="shared" si="6"/>
        <v>156.00418009231038</v>
      </c>
      <c r="AM4" s="114">
        <f t="shared" si="10"/>
        <v>474.6</v>
      </c>
      <c r="AN4" s="69">
        <f t="shared" si="11"/>
        <v>0.48827160493827165</v>
      </c>
      <c r="AO4" s="12">
        <f t="shared" si="12"/>
        <v>128.86597938144331</v>
      </c>
      <c r="AP4" s="11">
        <f t="shared" si="13"/>
        <v>39.15</v>
      </c>
      <c r="AQ4" s="12">
        <f t="shared" si="14"/>
        <v>12122.605363984676</v>
      </c>
      <c r="AR4" s="60">
        <f t="shared" si="15"/>
        <v>87.104930467762316</v>
      </c>
      <c r="AS4" s="60">
        <f t="shared" si="16"/>
        <v>87.104930467762316</v>
      </c>
      <c r="AT4" s="43">
        <v>17.105</v>
      </c>
      <c r="AU4" s="43">
        <v>4.6154999999999999</v>
      </c>
      <c r="AV4">
        <v>32.799999999999997</v>
      </c>
      <c r="AW4">
        <v>60</v>
      </c>
      <c r="AX4" s="146">
        <v>-25.61</v>
      </c>
      <c r="AY4" s="146">
        <v>-26.68</v>
      </c>
      <c r="AZ4" s="60"/>
      <c r="BA4" s="60"/>
      <c r="BB4" s="60"/>
      <c r="BC4" s="60"/>
      <c r="BD4" s="60"/>
      <c r="BF4" t="s">
        <v>27</v>
      </c>
      <c r="BG4" s="60">
        <v>474.6</v>
      </c>
      <c r="BH4" s="60">
        <v>434.78</v>
      </c>
      <c r="BI4" s="60">
        <v>464.42</v>
      </c>
      <c r="BJ4" s="60">
        <v>442.52</v>
      </c>
      <c r="BK4" s="60">
        <v>454.08</v>
      </c>
      <c r="BL4" s="11">
        <f t="shared" ref="BL4:BL10" si="18">(BK4*1.12)/100</f>
        <v>5.0856960000000004</v>
      </c>
      <c r="BM4" s="47">
        <v>0.39133713183282604</v>
      </c>
    </row>
    <row r="5" spans="1:65" x14ac:dyDescent="0.25">
      <c r="A5" s="63">
        <v>1</v>
      </c>
      <c r="B5" s="63">
        <v>4</v>
      </c>
      <c r="C5" s="63">
        <v>2</v>
      </c>
      <c r="D5" s="63">
        <v>16</v>
      </c>
      <c r="E5" s="63">
        <v>4</v>
      </c>
      <c r="F5" s="63" t="s">
        <v>30</v>
      </c>
      <c r="G5" s="63" t="s">
        <v>28</v>
      </c>
      <c r="H5" s="63">
        <v>104</v>
      </c>
      <c r="I5" s="98">
        <v>4</v>
      </c>
      <c r="J5" s="96" t="s">
        <v>518</v>
      </c>
      <c r="K5" s="4">
        <v>0.5</v>
      </c>
      <c r="L5" s="4">
        <v>745</v>
      </c>
      <c r="M5" s="4">
        <v>554</v>
      </c>
      <c r="N5" s="4">
        <v>277</v>
      </c>
      <c r="O5" s="47">
        <f t="shared" si="7"/>
        <v>0.5</v>
      </c>
      <c r="P5" s="4">
        <v>429</v>
      </c>
      <c r="Q5" s="4">
        <v>220</v>
      </c>
      <c r="R5" s="4">
        <v>30</v>
      </c>
      <c r="S5" s="4">
        <v>8.51</v>
      </c>
      <c r="T5" s="4">
        <v>22.76</v>
      </c>
      <c r="U5" s="4">
        <v>66.86</v>
      </c>
      <c r="V5" s="4">
        <v>42.54</v>
      </c>
      <c r="W5" s="4">
        <v>15.78</v>
      </c>
      <c r="X5" s="4">
        <v>200</v>
      </c>
      <c r="Y5" s="4">
        <v>8.42</v>
      </c>
      <c r="Z5" s="4">
        <f t="shared" si="8"/>
        <v>98.13</v>
      </c>
      <c r="AA5" s="11">
        <f t="shared" si="0"/>
        <v>3.2709999999999999</v>
      </c>
      <c r="AB5" s="4">
        <f t="shared" si="9"/>
        <v>1108</v>
      </c>
      <c r="AC5" s="47">
        <f t="shared" si="1"/>
        <v>8.6721695709772756E-2</v>
      </c>
      <c r="AD5" s="47">
        <f t="shared" si="2"/>
        <v>0.23193722612860493</v>
      </c>
      <c r="AE5" s="47">
        <f t="shared" si="3"/>
        <v>0.68134107816162237</v>
      </c>
      <c r="AF5" s="47">
        <f t="shared" si="4"/>
        <v>0.4335065729134821</v>
      </c>
      <c r="AG5" s="47">
        <f t="shared" si="5"/>
        <v>0.16080709263222256</v>
      </c>
      <c r="AH5" s="11">
        <f t="shared" si="17"/>
        <v>96.08763884642822</v>
      </c>
      <c r="AI5" s="11">
        <f t="shared" si="6"/>
        <v>256.98644655049424</v>
      </c>
      <c r="AJ5" s="11">
        <f t="shared" si="6"/>
        <v>754.92591460307756</v>
      </c>
      <c r="AK5" s="11">
        <f t="shared" si="6"/>
        <v>480.32528278813817</v>
      </c>
      <c r="AL5" s="11">
        <f t="shared" si="6"/>
        <v>178.1742586365026</v>
      </c>
      <c r="AM5" s="114">
        <f t="shared" si="10"/>
        <v>639.08000000000004</v>
      </c>
      <c r="AN5" s="69">
        <f t="shared" si="11"/>
        <v>0.57678700361010837</v>
      </c>
      <c r="AO5" s="12">
        <f t="shared" si="12"/>
        <v>58.844765342960287</v>
      </c>
      <c r="AP5" s="11">
        <f t="shared" si="13"/>
        <v>42.1</v>
      </c>
      <c r="AQ5" s="12">
        <f t="shared" si="14"/>
        <v>15180.047505938244</v>
      </c>
      <c r="AR5" s="60">
        <f t="shared" si="15"/>
        <v>37.69794078988545</v>
      </c>
      <c r="AS5" s="60">
        <f t="shared" si="16"/>
        <v>37.69794078988545</v>
      </c>
      <c r="AT5" s="43">
        <v>20.068000000000001</v>
      </c>
      <c r="AU5" s="43">
        <v>5.3603999999999994</v>
      </c>
      <c r="AV5">
        <v>33</v>
      </c>
      <c r="AW5">
        <v>69.5</v>
      </c>
      <c r="AX5" s="146">
        <v>-25.92</v>
      </c>
      <c r="AY5" s="146">
        <v>-26.52</v>
      </c>
      <c r="AZ5" s="60"/>
      <c r="BA5" s="60"/>
      <c r="BB5" s="60"/>
      <c r="BC5" s="60"/>
      <c r="BD5" s="60"/>
      <c r="BF5" t="s">
        <v>28</v>
      </c>
      <c r="BG5" s="60">
        <v>870.9</v>
      </c>
      <c r="BH5" s="60">
        <v>617.96</v>
      </c>
      <c r="BI5" s="60">
        <v>786.04</v>
      </c>
      <c r="BJ5" s="60">
        <v>616.02</v>
      </c>
      <c r="BK5" s="60">
        <v>722.73</v>
      </c>
      <c r="BL5" s="11">
        <f t="shared" si="18"/>
        <v>8.094576</v>
      </c>
      <c r="BM5" s="47">
        <v>0.49571057777917005</v>
      </c>
    </row>
    <row r="6" spans="1:65" x14ac:dyDescent="0.25">
      <c r="A6" s="63">
        <v>1</v>
      </c>
      <c r="B6" s="63">
        <v>5</v>
      </c>
      <c r="C6" s="63">
        <v>3</v>
      </c>
      <c r="D6" s="63">
        <v>17</v>
      </c>
      <c r="E6" s="63">
        <v>5</v>
      </c>
      <c r="F6" s="63" t="s">
        <v>25</v>
      </c>
      <c r="G6" s="63" t="s">
        <v>28</v>
      </c>
      <c r="H6" s="63">
        <v>105</v>
      </c>
      <c r="I6" s="98">
        <v>5</v>
      </c>
      <c r="J6" s="96" t="s">
        <v>518</v>
      </c>
      <c r="K6" s="4">
        <v>0.5</v>
      </c>
      <c r="L6" s="4">
        <v>976</v>
      </c>
      <c r="M6" s="4">
        <v>780</v>
      </c>
      <c r="N6" s="4">
        <v>385</v>
      </c>
      <c r="O6" s="47">
        <f t="shared" si="7"/>
        <v>0.49358974358974361</v>
      </c>
      <c r="P6" s="4">
        <v>702</v>
      </c>
      <c r="Q6" s="4">
        <v>366</v>
      </c>
      <c r="R6" s="4">
        <v>30</v>
      </c>
      <c r="S6" s="4">
        <v>9.15</v>
      </c>
      <c r="T6" s="4">
        <v>25.59</v>
      </c>
      <c r="U6" s="4">
        <v>76.72</v>
      </c>
      <c r="V6" s="4">
        <v>50.45</v>
      </c>
      <c r="W6" s="4">
        <v>17.03</v>
      </c>
      <c r="X6" s="4">
        <v>200</v>
      </c>
      <c r="Y6" s="4">
        <v>8.15</v>
      </c>
      <c r="Z6" s="4">
        <f t="shared" si="8"/>
        <v>111.46000000000001</v>
      </c>
      <c r="AA6" s="11">
        <f t="shared" si="0"/>
        <v>3.7153333333333336</v>
      </c>
      <c r="AB6" s="4">
        <f t="shared" si="9"/>
        <v>1560</v>
      </c>
      <c r="AC6" s="47">
        <f t="shared" si="1"/>
        <v>8.2092230396554819E-2</v>
      </c>
      <c r="AD6" s="47">
        <f t="shared" si="2"/>
        <v>0.22958909025659427</v>
      </c>
      <c r="AE6" s="47">
        <f t="shared" si="3"/>
        <v>0.68831867934685087</v>
      </c>
      <c r="AF6" s="47">
        <f t="shared" si="4"/>
        <v>0.45262874573838147</v>
      </c>
      <c r="AG6" s="47">
        <f t="shared" si="5"/>
        <v>0.15279023865063701</v>
      </c>
      <c r="AH6" s="11">
        <f t="shared" si="17"/>
        <v>128.0638794186255</v>
      </c>
      <c r="AI6" s="11">
        <f t="shared" si="6"/>
        <v>358.15898080028705</v>
      </c>
      <c r="AJ6" s="11">
        <f t="shared" si="6"/>
        <v>1073.7771397810873</v>
      </c>
      <c r="AK6" s="11">
        <f t="shared" si="6"/>
        <v>706.10084335187514</v>
      </c>
      <c r="AL6" s="11">
        <f t="shared" si="6"/>
        <v>238.35277229499374</v>
      </c>
      <c r="AM6" s="114">
        <f t="shared" si="10"/>
        <v>870.9</v>
      </c>
      <c r="AN6" s="69">
        <f t="shared" si="11"/>
        <v>0.55826923076923074</v>
      </c>
      <c r="AO6" s="12">
        <f t="shared" si="12"/>
        <v>90.129870129870127</v>
      </c>
      <c r="AP6" s="11">
        <f t="shared" si="13"/>
        <v>40.75</v>
      </c>
      <c r="AQ6" s="12">
        <f t="shared" si="14"/>
        <v>21371.779141104293</v>
      </c>
      <c r="AR6" s="60">
        <f t="shared" si="15"/>
        <v>68.101963486048916</v>
      </c>
      <c r="AS6" s="60">
        <f t="shared" si="16"/>
        <v>68.101963486048916</v>
      </c>
      <c r="AT6" s="43">
        <v>19.981000000000002</v>
      </c>
      <c r="AU6" s="43">
        <v>7.1216999999999997</v>
      </c>
      <c r="AV6">
        <v>42.199999999999996</v>
      </c>
      <c r="AW6">
        <v>52.9</v>
      </c>
      <c r="AX6" s="146">
        <v>-25.96</v>
      </c>
      <c r="AY6" s="146">
        <v>-26.55</v>
      </c>
      <c r="AZ6" s="60"/>
      <c r="BA6" s="60"/>
      <c r="BB6" s="60"/>
      <c r="BC6" s="60"/>
      <c r="BD6" s="60"/>
      <c r="BF6" t="s">
        <v>29</v>
      </c>
      <c r="BG6" s="60">
        <v>790</v>
      </c>
      <c r="BH6" s="60">
        <v>637.28</v>
      </c>
      <c r="BI6" s="60">
        <v>613.44000000000005</v>
      </c>
      <c r="BJ6" s="60">
        <v>650.38</v>
      </c>
      <c r="BK6" s="60">
        <v>672.77499999999998</v>
      </c>
      <c r="BL6" s="11">
        <f t="shared" si="18"/>
        <v>7.5350800000000007</v>
      </c>
      <c r="BM6" s="47">
        <v>0.45791592189192487</v>
      </c>
    </row>
    <row r="7" spans="1:65" x14ac:dyDescent="0.25">
      <c r="A7" s="63">
        <v>1</v>
      </c>
      <c r="B7" s="63">
        <v>6</v>
      </c>
      <c r="C7" s="63">
        <v>3</v>
      </c>
      <c r="D7" s="63">
        <v>24</v>
      </c>
      <c r="E7" s="63">
        <v>6</v>
      </c>
      <c r="F7" s="63" t="s">
        <v>30</v>
      </c>
      <c r="G7" s="63" t="s">
        <v>29</v>
      </c>
      <c r="H7" s="63">
        <v>106</v>
      </c>
      <c r="I7" s="98">
        <v>6</v>
      </c>
      <c r="J7" s="96" t="s">
        <v>518</v>
      </c>
      <c r="K7" s="4">
        <v>0.5</v>
      </c>
      <c r="L7" s="4">
        <v>846</v>
      </c>
      <c r="M7" s="4">
        <v>647</v>
      </c>
      <c r="N7" s="4">
        <v>297</v>
      </c>
      <c r="O7" s="47">
        <f t="shared" si="7"/>
        <v>0.45904173106646057</v>
      </c>
      <c r="P7" s="4">
        <v>453</v>
      </c>
      <c r="Q7" s="4">
        <v>224</v>
      </c>
      <c r="R7" s="4">
        <v>30</v>
      </c>
      <c r="S7" s="4">
        <v>8.19</v>
      </c>
      <c r="T7" s="4">
        <v>31.89</v>
      </c>
      <c r="U7" s="4">
        <v>71.45</v>
      </c>
      <c r="V7" s="4">
        <v>48.2</v>
      </c>
      <c r="W7" s="4">
        <v>14.6</v>
      </c>
      <c r="X7" s="4">
        <v>200</v>
      </c>
      <c r="Y7" s="4">
        <v>7.96</v>
      </c>
      <c r="Z7" s="4">
        <f t="shared" si="8"/>
        <v>111.53</v>
      </c>
      <c r="AA7" s="11">
        <f t="shared" si="0"/>
        <v>3.7176666666666667</v>
      </c>
      <c r="AB7" s="4">
        <f t="shared" si="9"/>
        <v>1294</v>
      </c>
      <c r="AC7" s="47">
        <f t="shared" si="1"/>
        <v>7.3433156998117088E-2</v>
      </c>
      <c r="AD7" s="47">
        <f t="shared" si="2"/>
        <v>0.28593203622343766</v>
      </c>
      <c r="AE7" s="47">
        <f t="shared" si="3"/>
        <v>0.64063480677844531</v>
      </c>
      <c r="AF7" s="47">
        <f t="shared" si="4"/>
        <v>0.43217071639917515</v>
      </c>
      <c r="AG7" s="47">
        <f t="shared" si="5"/>
        <v>0.130906482560746</v>
      </c>
      <c r="AH7" s="11">
        <f t="shared" si="17"/>
        <v>95.022505155563508</v>
      </c>
      <c r="AI7" s="11">
        <f t="shared" si="6"/>
        <v>369.99605487312834</v>
      </c>
      <c r="AJ7" s="11">
        <f t="shared" si="6"/>
        <v>828.98143997130819</v>
      </c>
      <c r="AK7" s="11">
        <f t="shared" si="6"/>
        <v>559.22890702053269</v>
      </c>
      <c r="AL7" s="11">
        <f t="shared" si="6"/>
        <v>169.39298843360532</v>
      </c>
      <c r="AM7" s="114">
        <f t="shared" si="10"/>
        <v>690.4</v>
      </c>
      <c r="AN7" s="69">
        <f t="shared" si="11"/>
        <v>0.53353941267387939</v>
      </c>
      <c r="AO7" s="12">
        <f t="shared" si="12"/>
        <v>50.841750841750844</v>
      </c>
      <c r="AP7" s="11">
        <f t="shared" si="13"/>
        <v>39.800000000000004</v>
      </c>
      <c r="AQ7" s="12">
        <f t="shared" si="14"/>
        <v>17346.733668341709</v>
      </c>
      <c r="AR7" s="60">
        <f t="shared" si="15"/>
        <v>29.779837775202786</v>
      </c>
      <c r="AS7" s="60">
        <f t="shared" si="16"/>
        <v>29.779837775202786</v>
      </c>
      <c r="AT7" s="43">
        <v>18.672000000000001</v>
      </c>
      <c r="AU7" s="43">
        <v>5.1656999999999993</v>
      </c>
      <c r="AV7">
        <v>37.299999999999997</v>
      </c>
      <c r="AW7">
        <v>59.699999999999996</v>
      </c>
      <c r="AX7" s="146">
        <v>-25.95</v>
      </c>
      <c r="AY7" s="146">
        <v>-26.63</v>
      </c>
      <c r="AZ7" s="60"/>
      <c r="BA7" s="60"/>
      <c r="BB7" s="60"/>
      <c r="BC7" s="60"/>
      <c r="BD7" s="60"/>
      <c r="BE7" t="s">
        <v>30</v>
      </c>
      <c r="BF7" t="s">
        <v>32</v>
      </c>
      <c r="BG7" s="60">
        <v>448.98</v>
      </c>
      <c r="BH7" s="60">
        <v>456</v>
      </c>
      <c r="BI7" s="60">
        <v>373.26</v>
      </c>
      <c r="BJ7" s="60">
        <v>414.1</v>
      </c>
      <c r="BK7" s="60">
        <v>423.08500000000004</v>
      </c>
      <c r="BL7" s="11">
        <f t="shared" si="18"/>
        <v>4.7385520000000012</v>
      </c>
      <c r="BM7" s="47">
        <v>0.36900998253552436</v>
      </c>
    </row>
    <row r="8" spans="1:65" x14ac:dyDescent="0.25">
      <c r="A8" s="63">
        <v>1</v>
      </c>
      <c r="B8" s="63">
        <v>7</v>
      </c>
      <c r="C8" s="63">
        <v>4</v>
      </c>
      <c r="D8" s="63">
        <v>25</v>
      </c>
      <c r="E8" s="63">
        <v>7</v>
      </c>
      <c r="F8" s="63" t="s">
        <v>25</v>
      </c>
      <c r="G8" s="63" t="s">
        <v>29</v>
      </c>
      <c r="H8" s="63">
        <v>107</v>
      </c>
      <c r="I8" s="98">
        <v>7</v>
      </c>
      <c r="J8" s="96" t="s">
        <v>518</v>
      </c>
      <c r="K8" s="4">
        <v>0.5</v>
      </c>
      <c r="L8" s="4">
        <v>967</v>
      </c>
      <c r="M8" s="4">
        <v>769</v>
      </c>
      <c r="N8" s="4">
        <v>344</v>
      </c>
      <c r="O8" s="47">
        <f t="shared" si="7"/>
        <v>0.44733420026007803</v>
      </c>
      <c r="P8" s="4">
        <v>625</v>
      </c>
      <c r="Q8" s="4">
        <v>291</v>
      </c>
      <c r="R8" s="4">
        <v>30</v>
      </c>
      <c r="S8" s="4">
        <v>8.67</v>
      </c>
      <c r="T8" s="4">
        <v>37.75</v>
      </c>
      <c r="U8" s="4">
        <v>75.489999999999995</v>
      </c>
      <c r="V8" s="4">
        <v>51</v>
      </c>
      <c r="W8" s="4">
        <v>15.25</v>
      </c>
      <c r="X8" s="4">
        <v>201</v>
      </c>
      <c r="Y8" s="4">
        <v>8.4600000000000009</v>
      </c>
      <c r="Z8" s="4">
        <f t="shared" si="8"/>
        <v>121.91</v>
      </c>
      <c r="AA8" s="11">
        <f t="shared" si="0"/>
        <v>4.0636666666666663</v>
      </c>
      <c r="AB8" s="4">
        <f t="shared" si="9"/>
        <v>1538</v>
      </c>
      <c r="AC8" s="47">
        <f t="shared" si="1"/>
        <v>7.1118037896809122E-2</v>
      </c>
      <c r="AD8" s="47">
        <f t="shared" si="2"/>
        <v>0.30965466327618735</v>
      </c>
      <c r="AE8" s="47">
        <f t="shared" si="3"/>
        <v>0.61922729882700345</v>
      </c>
      <c r="AF8" s="47">
        <f t="shared" si="4"/>
        <v>0.41834139939299486</v>
      </c>
      <c r="AG8" s="47">
        <f t="shared" si="5"/>
        <v>0.12509228119104257</v>
      </c>
      <c r="AH8" s="11">
        <f t="shared" si="17"/>
        <v>109.37954228529243</v>
      </c>
      <c r="AI8" s="11">
        <f t="shared" si="6"/>
        <v>476.24887211877615</v>
      </c>
      <c r="AJ8" s="11">
        <f t="shared" si="6"/>
        <v>952.37158559593126</v>
      </c>
      <c r="AK8" s="11">
        <f t="shared" si="6"/>
        <v>643.40907226642605</v>
      </c>
      <c r="AL8" s="11">
        <f t="shared" si="6"/>
        <v>192.39192847182346</v>
      </c>
      <c r="AM8" s="114">
        <f t="shared" si="10"/>
        <v>790</v>
      </c>
      <c r="AN8" s="69">
        <f t="shared" si="11"/>
        <v>0.51365409622886871</v>
      </c>
      <c r="AO8" s="12">
        <f t="shared" si="12"/>
        <v>69.186046511627907</v>
      </c>
      <c r="AP8" s="11">
        <f t="shared" si="13"/>
        <v>42.089552238805979</v>
      </c>
      <c r="AQ8" s="12">
        <f t="shared" si="14"/>
        <v>18769.503546099288</v>
      </c>
      <c r="AR8" s="60">
        <f t="shared" si="15"/>
        <v>47.341772151898731</v>
      </c>
      <c r="AS8" s="60">
        <f t="shared" si="16"/>
        <v>47.341772151898731</v>
      </c>
      <c r="AT8" s="43">
        <v>19.155000000000001</v>
      </c>
      <c r="AU8" s="43">
        <v>6.4293999999999993</v>
      </c>
      <c r="AV8">
        <v>45.8</v>
      </c>
      <c r="AW8">
        <v>68.2</v>
      </c>
      <c r="AX8" s="146">
        <v>-25.56</v>
      </c>
      <c r="AY8" s="146">
        <v>-26.52</v>
      </c>
      <c r="AZ8" s="60"/>
      <c r="BA8" s="60"/>
      <c r="BB8" s="60"/>
      <c r="BC8" s="60"/>
      <c r="BD8" s="60"/>
      <c r="BF8" t="s">
        <v>31</v>
      </c>
      <c r="BG8" s="60">
        <v>588.02</v>
      </c>
      <c r="BH8" s="60">
        <v>718.24</v>
      </c>
      <c r="BI8" s="60">
        <v>483</v>
      </c>
      <c r="BJ8" s="60">
        <v>535.74</v>
      </c>
      <c r="BK8" s="60">
        <v>581.25</v>
      </c>
      <c r="BL8" s="11">
        <f t="shared" si="18"/>
        <v>6.5100000000000016</v>
      </c>
      <c r="BM8" s="47">
        <v>0.4242385061466899</v>
      </c>
    </row>
    <row r="9" spans="1:65" x14ac:dyDescent="0.25">
      <c r="A9" s="63">
        <v>1</v>
      </c>
      <c r="B9" s="63">
        <v>8</v>
      </c>
      <c r="C9" s="63">
        <v>4</v>
      </c>
      <c r="D9" s="63">
        <v>32</v>
      </c>
      <c r="E9" s="63">
        <v>8</v>
      </c>
      <c r="F9" s="63" t="s">
        <v>30</v>
      </c>
      <c r="G9" s="63" t="s">
        <v>32</v>
      </c>
      <c r="H9" s="63">
        <v>108</v>
      </c>
      <c r="I9" s="98">
        <v>8</v>
      </c>
      <c r="J9" s="96" t="s">
        <v>518</v>
      </c>
      <c r="K9" s="4">
        <v>0.5</v>
      </c>
      <c r="L9" s="4">
        <v>636</v>
      </c>
      <c r="M9" s="4">
        <v>456</v>
      </c>
      <c r="N9" s="4">
        <v>181</v>
      </c>
      <c r="O9" s="47">
        <f t="shared" si="7"/>
        <v>0.39692982456140352</v>
      </c>
      <c r="P9" s="4">
        <v>408</v>
      </c>
      <c r="Q9" s="4">
        <v>182</v>
      </c>
      <c r="R9" s="4">
        <v>30</v>
      </c>
      <c r="S9" s="4">
        <v>9.49</v>
      </c>
      <c r="T9" s="4">
        <v>33.270000000000003</v>
      </c>
      <c r="U9" s="4">
        <v>66.87</v>
      </c>
      <c r="V9" s="4">
        <v>43.49</v>
      </c>
      <c r="W9" s="4">
        <v>15.09</v>
      </c>
      <c r="X9" s="4">
        <v>201</v>
      </c>
      <c r="Y9" s="4">
        <v>8.5299999999999994</v>
      </c>
      <c r="Z9" s="4">
        <f t="shared" si="8"/>
        <v>109.63000000000001</v>
      </c>
      <c r="AA9" s="11">
        <f t="shared" si="0"/>
        <v>3.6543333333333337</v>
      </c>
      <c r="AB9" s="4">
        <f t="shared" si="9"/>
        <v>912</v>
      </c>
      <c r="AC9" s="47">
        <f t="shared" si="1"/>
        <v>8.6563896743592078E-2</v>
      </c>
      <c r="AD9" s="47">
        <f t="shared" si="2"/>
        <v>0.30347532609687128</v>
      </c>
      <c r="AE9" s="47">
        <f t="shared" si="3"/>
        <v>0.60996077715953656</v>
      </c>
      <c r="AF9" s="47">
        <f t="shared" si="4"/>
        <v>0.39669798412843199</v>
      </c>
      <c r="AG9" s="47">
        <f t="shared" si="5"/>
        <v>0.1376448052540363</v>
      </c>
      <c r="AH9" s="11">
        <f t="shared" si="17"/>
        <v>78.946273830155974</v>
      </c>
      <c r="AI9" s="11">
        <f t="shared" si="6"/>
        <v>276.76949740034661</v>
      </c>
      <c r="AJ9" s="11">
        <f t="shared" si="6"/>
        <v>556.2842287694973</v>
      </c>
      <c r="AK9" s="11">
        <f t="shared" si="6"/>
        <v>361.78856152512998</v>
      </c>
      <c r="AL9" s="11">
        <f t="shared" si="6"/>
        <v>125.53206239168111</v>
      </c>
      <c r="AM9" s="114">
        <f t="shared" si="10"/>
        <v>448.98</v>
      </c>
      <c r="AN9" s="69">
        <f t="shared" si="11"/>
        <v>0.49230263157894738</v>
      </c>
      <c r="AO9" s="12">
        <f t="shared" si="12"/>
        <v>101.10497237569061</v>
      </c>
      <c r="AP9" s="11">
        <f t="shared" si="13"/>
        <v>42.437810945273633</v>
      </c>
      <c r="AQ9" s="12">
        <f t="shared" si="14"/>
        <v>10579.716295427903</v>
      </c>
      <c r="AR9" s="60">
        <f t="shared" si="15"/>
        <v>62.145307140629868</v>
      </c>
      <c r="AS9" s="60">
        <f t="shared" si="16"/>
        <v>62.145307140629868</v>
      </c>
      <c r="AT9" s="43">
        <v>20.375</v>
      </c>
      <c r="AU9" s="43">
        <v>5.4476999999999993</v>
      </c>
      <c r="AV9">
        <v>39</v>
      </c>
      <c r="AW9">
        <v>73.099999999999994</v>
      </c>
      <c r="AX9" s="146">
        <v>-25.06</v>
      </c>
      <c r="AY9" s="146">
        <v>-26.28</v>
      </c>
      <c r="AZ9" s="60"/>
      <c r="BA9" s="60"/>
      <c r="BB9" s="60"/>
      <c r="BC9" s="60"/>
      <c r="BD9" s="60"/>
      <c r="BF9" t="s">
        <v>28</v>
      </c>
      <c r="BG9" s="60">
        <v>639.08000000000004</v>
      </c>
      <c r="BH9" s="60">
        <v>589.54</v>
      </c>
      <c r="BI9" s="60">
        <v>592.6</v>
      </c>
      <c r="BJ9" s="60">
        <v>505.62</v>
      </c>
      <c r="BK9" s="60">
        <v>581.70999999999992</v>
      </c>
      <c r="BL9" s="11">
        <f t="shared" si="18"/>
        <v>6.5151519999999996</v>
      </c>
      <c r="BM9" s="47">
        <v>0.53149262577409728</v>
      </c>
    </row>
    <row r="10" spans="1:65" x14ac:dyDescent="0.25">
      <c r="A10" s="63">
        <v>2</v>
      </c>
      <c r="B10" s="63">
        <v>1</v>
      </c>
      <c r="C10" s="63">
        <v>1</v>
      </c>
      <c r="D10" s="63">
        <v>2</v>
      </c>
      <c r="E10" s="63">
        <v>16</v>
      </c>
      <c r="F10" s="63" t="s">
        <v>25</v>
      </c>
      <c r="G10" s="63" t="s">
        <v>27</v>
      </c>
      <c r="H10" s="63">
        <v>201</v>
      </c>
      <c r="I10" s="98">
        <v>9</v>
      </c>
      <c r="J10" s="96" t="s">
        <v>518</v>
      </c>
      <c r="K10" s="4">
        <v>0.5</v>
      </c>
      <c r="L10" s="4">
        <v>701</v>
      </c>
      <c r="M10" s="4">
        <v>529</v>
      </c>
      <c r="N10" s="4">
        <v>181</v>
      </c>
      <c r="O10" s="47">
        <f t="shared" si="7"/>
        <v>0.34215500945179583</v>
      </c>
      <c r="P10" s="4">
        <v>639</v>
      </c>
      <c r="Q10" s="4">
        <v>274</v>
      </c>
      <c r="R10" s="4">
        <v>30</v>
      </c>
      <c r="S10" s="4">
        <v>9.07</v>
      </c>
      <c r="T10" s="4">
        <v>34.1</v>
      </c>
      <c r="U10" s="4">
        <v>61.64</v>
      </c>
      <c r="V10" s="4">
        <v>36.39</v>
      </c>
      <c r="W10" s="4">
        <v>16.45</v>
      </c>
      <c r="X10" s="4">
        <v>200</v>
      </c>
      <c r="Y10" s="4">
        <v>7.95</v>
      </c>
      <c r="Z10" s="4">
        <f t="shared" si="8"/>
        <v>104.81</v>
      </c>
      <c r="AA10" s="11">
        <f t="shared" si="0"/>
        <v>3.4936666666666669</v>
      </c>
      <c r="AB10" s="4">
        <f t="shared" si="9"/>
        <v>1058</v>
      </c>
      <c r="AC10" s="47">
        <f t="shared" si="1"/>
        <v>8.6537544127468752E-2</v>
      </c>
      <c r="AD10" s="47">
        <f t="shared" si="2"/>
        <v>0.32535063448144264</v>
      </c>
      <c r="AE10" s="47">
        <f t="shared" si="3"/>
        <v>0.58811182139108864</v>
      </c>
      <c r="AF10" s="47">
        <f t="shared" si="4"/>
        <v>0.34719969468562162</v>
      </c>
      <c r="AG10" s="47">
        <f t="shared" si="5"/>
        <v>0.15695067264573989</v>
      </c>
      <c r="AH10" s="11">
        <f t="shared" si="17"/>
        <v>91.556721686861934</v>
      </c>
      <c r="AI10" s="11">
        <f t="shared" si="6"/>
        <v>344.2209712813663</v>
      </c>
      <c r="AJ10" s="11">
        <f t="shared" si="6"/>
        <v>622.22230703177183</v>
      </c>
      <c r="AK10" s="11">
        <f t="shared" si="6"/>
        <v>367.33727697738766</v>
      </c>
      <c r="AL10" s="11">
        <f t="shared" si="6"/>
        <v>166.0538116591928</v>
      </c>
      <c r="AM10" s="114">
        <f t="shared" si="10"/>
        <v>434.78</v>
      </c>
      <c r="AN10" s="69">
        <f t="shared" si="11"/>
        <v>0.41094517958412097</v>
      </c>
      <c r="AO10" s="12">
        <f t="shared" si="12"/>
        <v>202.76243093922653</v>
      </c>
      <c r="AP10" s="11">
        <f t="shared" si="13"/>
        <v>39.75</v>
      </c>
      <c r="AQ10" s="12">
        <f t="shared" si="14"/>
        <v>10937.861635220124</v>
      </c>
      <c r="AR10" s="60">
        <f t="shared" si="15"/>
        <v>152.08151248907495</v>
      </c>
      <c r="AS10" s="60">
        <f t="shared" si="16"/>
        <v>152.08151248907495</v>
      </c>
      <c r="AT10" s="43">
        <v>12.5</v>
      </c>
      <c r="AU10" s="43">
        <v>1.9067999999999998</v>
      </c>
      <c r="AV10">
        <v>44.3</v>
      </c>
      <c r="AW10">
        <v>88.2</v>
      </c>
      <c r="AX10" s="146">
        <v>-25.16</v>
      </c>
      <c r="AY10" s="146">
        <v>-26.43</v>
      </c>
      <c r="AZ10" s="60"/>
      <c r="BA10" s="60"/>
      <c r="BB10" s="60"/>
      <c r="BC10" s="60"/>
      <c r="BD10" s="60"/>
      <c r="BF10" t="s">
        <v>29</v>
      </c>
      <c r="BG10" s="60">
        <v>690.4</v>
      </c>
      <c r="BH10" s="60">
        <v>624.9</v>
      </c>
      <c r="BI10" s="60">
        <v>597.44000000000005</v>
      </c>
      <c r="BJ10" s="60">
        <v>519.44000000000005</v>
      </c>
      <c r="BK10" s="60">
        <v>608.04500000000007</v>
      </c>
      <c r="BL10" s="11">
        <f t="shared" si="18"/>
        <v>6.8101040000000008</v>
      </c>
      <c r="BM10" s="47">
        <v>0.47642662137139036</v>
      </c>
    </row>
    <row r="11" spans="1:65" x14ac:dyDescent="0.25">
      <c r="A11" s="63">
        <v>2</v>
      </c>
      <c r="B11" s="63">
        <v>2</v>
      </c>
      <c r="C11" s="63">
        <v>1</v>
      </c>
      <c r="D11" s="63">
        <v>7</v>
      </c>
      <c r="E11" s="63">
        <v>15</v>
      </c>
      <c r="F11" s="63" t="s">
        <v>30</v>
      </c>
      <c r="G11" s="63" t="s">
        <v>28</v>
      </c>
      <c r="H11" s="63">
        <v>202</v>
      </c>
      <c r="I11" s="98">
        <v>10</v>
      </c>
      <c r="J11" s="96" t="s">
        <v>518</v>
      </c>
      <c r="K11" s="4">
        <v>0.5</v>
      </c>
      <c r="L11" s="4">
        <v>703</v>
      </c>
      <c r="M11" s="4">
        <v>537</v>
      </c>
      <c r="N11" s="4">
        <v>257</v>
      </c>
      <c r="O11" s="47">
        <f t="shared" si="7"/>
        <v>0.47858472998137802</v>
      </c>
      <c r="P11" s="4">
        <v>406</v>
      </c>
      <c r="Q11" s="4">
        <v>209</v>
      </c>
      <c r="R11" s="4">
        <v>30</v>
      </c>
      <c r="S11" s="4">
        <v>7.7</v>
      </c>
      <c r="T11" s="4">
        <v>20.66</v>
      </c>
      <c r="U11" s="4">
        <v>59.7</v>
      </c>
      <c r="V11" s="4">
        <v>37.770000000000003</v>
      </c>
      <c r="W11" s="4">
        <v>13.43</v>
      </c>
      <c r="X11" s="4">
        <v>200</v>
      </c>
      <c r="Y11" s="4">
        <v>8.74</v>
      </c>
      <c r="Z11" s="4">
        <f t="shared" si="8"/>
        <v>88.06</v>
      </c>
      <c r="AA11" s="11">
        <f t="shared" si="0"/>
        <v>2.9353333333333333</v>
      </c>
      <c r="AB11" s="4">
        <f t="shared" si="9"/>
        <v>1074</v>
      </c>
      <c r="AC11" s="47">
        <f t="shared" si="1"/>
        <v>8.7440381558028621E-2</v>
      </c>
      <c r="AD11" s="47">
        <f t="shared" si="2"/>
        <v>0.23461276402452871</v>
      </c>
      <c r="AE11" s="47">
        <f t="shared" si="3"/>
        <v>0.67794685441744262</v>
      </c>
      <c r="AF11" s="47">
        <f t="shared" si="4"/>
        <v>0.42891210538269364</v>
      </c>
      <c r="AG11" s="47">
        <f t="shared" si="5"/>
        <v>0.15250965250965251</v>
      </c>
      <c r="AH11" s="11">
        <f t="shared" si="17"/>
        <v>93.910969793322735</v>
      </c>
      <c r="AI11" s="11">
        <f t="shared" si="6"/>
        <v>251.97410856234384</v>
      </c>
      <c r="AJ11" s="11">
        <f t="shared" si="6"/>
        <v>728.11492164433332</v>
      </c>
      <c r="AK11" s="11">
        <f t="shared" si="6"/>
        <v>460.65160118101295</v>
      </c>
      <c r="AL11" s="11">
        <f t="shared" si="6"/>
        <v>163.79536679536679</v>
      </c>
      <c r="AM11" s="114">
        <f t="shared" si="10"/>
        <v>589.54</v>
      </c>
      <c r="AN11" s="69">
        <f t="shared" si="11"/>
        <v>0.54891992551210422</v>
      </c>
      <c r="AO11" s="12">
        <f t="shared" si="12"/>
        <v>62.645914396887157</v>
      </c>
      <c r="AP11" s="11">
        <f t="shared" si="13"/>
        <v>43.7</v>
      </c>
      <c r="AQ11" s="12">
        <f t="shared" si="14"/>
        <v>13490.617848970251</v>
      </c>
      <c r="AR11" s="60">
        <f t="shared" si="15"/>
        <v>41.80547545543984</v>
      </c>
      <c r="AS11" s="60">
        <f t="shared" si="16"/>
        <v>41.80547545543984</v>
      </c>
      <c r="AT11" s="43">
        <v>15.979000000000001</v>
      </c>
      <c r="AU11" s="43">
        <v>4.1795999999999998</v>
      </c>
      <c r="AV11">
        <v>37.400000000000006</v>
      </c>
      <c r="AW11">
        <v>91.899999999999991</v>
      </c>
      <c r="AX11" s="146">
        <v>-25.69</v>
      </c>
      <c r="AY11" s="146">
        <v>-26.22</v>
      </c>
      <c r="AZ11" s="60"/>
      <c r="BA11" s="60"/>
      <c r="BB11" s="60"/>
      <c r="BC11" s="60"/>
      <c r="BD11" s="60"/>
      <c r="BE11" t="s">
        <v>325</v>
      </c>
      <c r="BG11" s="60">
        <v>633.02250000000004</v>
      </c>
      <c r="BH11" s="60">
        <v>587.98749999999995</v>
      </c>
      <c r="BI11" s="60">
        <v>559.07000000000005</v>
      </c>
      <c r="BJ11" s="60">
        <v>520.09750000000008</v>
      </c>
      <c r="BK11" s="60">
        <v>575.04437499999995</v>
      </c>
    </row>
    <row r="12" spans="1:65" x14ac:dyDescent="0.25">
      <c r="A12" s="63">
        <v>2</v>
      </c>
      <c r="B12" s="63">
        <v>3</v>
      </c>
      <c r="C12" s="63">
        <v>2</v>
      </c>
      <c r="D12" s="63">
        <v>10</v>
      </c>
      <c r="E12" s="63">
        <v>14</v>
      </c>
      <c r="F12" s="63" t="s">
        <v>25</v>
      </c>
      <c r="G12" s="63" t="s">
        <v>29</v>
      </c>
      <c r="H12" s="63">
        <v>203</v>
      </c>
      <c r="I12" s="98">
        <v>11</v>
      </c>
      <c r="J12" s="96" t="s">
        <v>518</v>
      </c>
      <c r="K12" s="4">
        <v>0.5</v>
      </c>
      <c r="L12" s="4">
        <v>785</v>
      </c>
      <c r="M12" s="4">
        <v>615</v>
      </c>
      <c r="N12" s="4">
        <v>274</v>
      </c>
      <c r="O12" s="47">
        <f t="shared" si="7"/>
        <v>0.44552845528455287</v>
      </c>
      <c r="P12" s="4">
        <v>690</v>
      </c>
      <c r="Q12" s="4">
        <v>330</v>
      </c>
      <c r="R12" s="4">
        <v>30</v>
      </c>
      <c r="S12" s="4">
        <v>8.6</v>
      </c>
      <c r="T12" s="4">
        <v>32.979999999999997</v>
      </c>
      <c r="U12" s="4">
        <v>67.260000000000005</v>
      </c>
      <c r="V12" s="4">
        <v>44.64</v>
      </c>
      <c r="W12" s="4">
        <v>14.22</v>
      </c>
      <c r="X12" s="4">
        <v>200</v>
      </c>
      <c r="Y12" s="4">
        <v>8.66</v>
      </c>
      <c r="Z12" s="4">
        <f t="shared" si="8"/>
        <v>108.84</v>
      </c>
      <c r="AA12" s="11">
        <f t="shared" si="0"/>
        <v>3.6280000000000001</v>
      </c>
      <c r="AB12" s="4">
        <f t="shared" si="9"/>
        <v>1230</v>
      </c>
      <c r="AC12" s="47">
        <f t="shared" si="1"/>
        <v>7.9015067989709656E-2</v>
      </c>
      <c r="AD12" s="47">
        <f t="shared" si="2"/>
        <v>0.30301359794193305</v>
      </c>
      <c r="AE12" s="47">
        <f t="shared" si="3"/>
        <v>0.61797133406835725</v>
      </c>
      <c r="AF12" s="47">
        <f t="shared" si="4"/>
        <v>0.41014332965821387</v>
      </c>
      <c r="AG12" s="47">
        <f t="shared" si="5"/>
        <v>0.13065049614112459</v>
      </c>
      <c r="AH12" s="11">
        <f t="shared" si="17"/>
        <v>97.188533627342878</v>
      </c>
      <c r="AI12" s="11">
        <f t="shared" si="6"/>
        <v>372.70672546857764</v>
      </c>
      <c r="AJ12" s="11">
        <f t="shared" si="6"/>
        <v>760.10474090407945</v>
      </c>
      <c r="AK12" s="11">
        <f t="shared" si="6"/>
        <v>504.47629547960304</v>
      </c>
      <c r="AL12" s="11">
        <f t="shared" si="6"/>
        <v>160.70011025358323</v>
      </c>
      <c r="AM12" s="114">
        <f t="shared" si="10"/>
        <v>637.28</v>
      </c>
      <c r="AN12" s="69">
        <f t="shared" si="11"/>
        <v>0.51811382113821136</v>
      </c>
      <c r="AO12" s="12">
        <f t="shared" si="12"/>
        <v>140.87591240875912</v>
      </c>
      <c r="AP12" s="11">
        <f t="shared" si="13"/>
        <v>43.3</v>
      </c>
      <c r="AQ12" s="12">
        <f t="shared" si="14"/>
        <v>14717.782909930716</v>
      </c>
      <c r="AR12" s="60">
        <f t="shared" si="15"/>
        <v>107.13030379111223</v>
      </c>
      <c r="AS12" s="60">
        <f t="shared" si="16"/>
        <v>107.13030379111223</v>
      </c>
      <c r="AT12" s="43">
        <v>16.315999999999999</v>
      </c>
      <c r="AU12" s="43">
        <v>1.3613</v>
      </c>
      <c r="AV12">
        <v>31.9</v>
      </c>
      <c r="AW12">
        <v>68.5</v>
      </c>
      <c r="AX12" s="146">
        <v>-25.41</v>
      </c>
      <c r="AY12" s="146">
        <v>-26.48</v>
      </c>
      <c r="AZ12" s="60"/>
      <c r="BA12" s="60"/>
      <c r="BB12" s="60"/>
      <c r="BC12" s="60"/>
      <c r="BD12" s="60"/>
    </row>
    <row r="13" spans="1:65" x14ac:dyDescent="0.25">
      <c r="A13" s="63">
        <v>2</v>
      </c>
      <c r="B13" s="63">
        <v>4</v>
      </c>
      <c r="C13" s="63">
        <v>2</v>
      </c>
      <c r="D13" s="63">
        <v>15</v>
      </c>
      <c r="E13" s="63">
        <v>13</v>
      </c>
      <c r="F13" s="63" t="s">
        <v>30</v>
      </c>
      <c r="G13" s="63" t="s">
        <v>32</v>
      </c>
      <c r="H13" s="63">
        <v>204</v>
      </c>
      <c r="I13" s="98">
        <v>12</v>
      </c>
      <c r="J13" s="96" t="s">
        <v>518</v>
      </c>
      <c r="K13" s="4">
        <v>0.5</v>
      </c>
      <c r="L13" s="4">
        <v>758</v>
      </c>
      <c r="M13" s="4">
        <v>546</v>
      </c>
      <c r="N13" s="4">
        <v>193</v>
      </c>
      <c r="O13" s="47">
        <f t="shared" si="7"/>
        <v>0.3534798534798535</v>
      </c>
      <c r="P13" s="4">
        <v>550</v>
      </c>
      <c r="Q13" s="4">
        <v>240</v>
      </c>
      <c r="R13" s="4">
        <v>30</v>
      </c>
      <c r="S13" s="4">
        <v>10.1</v>
      </c>
      <c r="T13" s="4">
        <v>36.270000000000003</v>
      </c>
      <c r="U13" s="4">
        <v>58.58</v>
      </c>
      <c r="V13" s="4">
        <v>35</v>
      </c>
      <c r="W13" s="4">
        <v>14.77</v>
      </c>
      <c r="X13" s="4">
        <v>201</v>
      </c>
      <c r="Y13" s="4">
        <v>8.56</v>
      </c>
      <c r="Z13" s="4">
        <f t="shared" si="8"/>
        <v>104.95</v>
      </c>
      <c r="AA13" s="11">
        <f t="shared" si="0"/>
        <v>3.4983333333333335</v>
      </c>
      <c r="AB13" s="4">
        <f t="shared" si="9"/>
        <v>1092</v>
      </c>
      <c r="AC13" s="47">
        <f t="shared" si="1"/>
        <v>9.6236303001429241E-2</v>
      </c>
      <c r="AD13" s="47">
        <f t="shared" si="2"/>
        <v>0.3455931395902811</v>
      </c>
      <c r="AE13" s="47">
        <f t="shared" si="3"/>
        <v>0.55817055740828958</v>
      </c>
      <c r="AF13" s="47">
        <f t="shared" si="4"/>
        <v>0.33349213911386372</v>
      </c>
      <c r="AG13" s="47">
        <f t="shared" si="5"/>
        <v>0.14073368270605049</v>
      </c>
      <c r="AH13" s="11">
        <f t="shared" si="17"/>
        <v>105.09004287756073</v>
      </c>
      <c r="AI13" s="11">
        <f t="shared" si="6"/>
        <v>377.38770843258698</v>
      </c>
      <c r="AJ13" s="11">
        <f t="shared" si="6"/>
        <v>609.52224868985218</v>
      </c>
      <c r="AK13" s="11">
        <f t="shared" si="6"/>
        <v>364.17341591233918</v>
      </c>
      <c r="AL13" s="11">
        <f t="shared" si="6"/>
        <v>153.68118151500715</v>
      </c>
      <c r="AM13" s="114">
        <f t="shared" si="10"/>
        <v>456</v>
      </c>
      <c r="AN13" s="69">
        <f t="shared" si="11"/>
        <v>0.4175824175824176</v>
      </c>
      <c r="AO13" s="12">
        <f t="shared" si="12"/>
        <v>148.70466321243524</v>
      </c>
      <c r="AP13" s="11">
        <f t="shared" si="13"/>
        <v>42.587064676616919</v>
      </c>
      <c r="AQ13" s="12">
        <f t="shared" si="14"/>
        <v>10707.476635514018</v>
      </c>
      <c r="AR13" s="60">
        <f t="shared" si="15"/>
        <v>110.52631578947368</v>
      </c>
      <c r="AS13" s="60">
        <f t="shared" si="16"/>
        <v>110.52631578947368</v>
      </c>
      <c r="AT13" s="43">
        <v>16.858000000000001</v>
      </c>
      <c r="AU13" s="43">
        <v>4.3841999999999999</v>
      </c>
      <c r="AV13">
        <v>48.099999999999994</v>
      </c>
      <c r="AW13">
        <v>84.7</v>
      </c>
      <c r="AX13" s="146">
        <v>-25.27</v>
      </c>
      <c r="AY13" s="146">
        <v>-26.73</v>
      </c>
      <c r="AZ13" s="60"/>
      <c r="BA13" s="60"/>
      <c r="BB13" s="60"/>
      <c r="BC13" s="60"/>
      <c r="BD13" s="60"/>
    </row>
    <row r="14" spans="1:65" x14ac:dyDescent="0.25">
      <c r="A14" s="63">
        <v>2</v>
      </c>
      <c r="B14" s="63">
        <v>5</v>
      </c>
      <c r="C14" s="63">
        <v>3</v>
      </c>
      <c r="D14" s="63">
        <v>18</v>
      </c>
      <c r="E14" s="63">
        <v>12</v>
      </c>
      <c r="F14" s="63" t="s">
        <v>25</v>
      </c>
      <c r="G14" s="63" t="s">
        <v>26</v>
      </c>
      <c r="H14" s="63">
        <v>205</v>
      </c>
      <c r="I14" s="98">
        <v>13</v>
      </c>
      <c r="J14" s="96" t="s">
        <v>518</v>
      </c>
      <c r="K14" s="4">
        <v>0.5</v>
      </c>
      <c r="L14" s="4">
        <v>850</v>
      </c>
      <c r="M14" s="4">
        <v>680</v>
      </c>
      <c r="N14" s="4">
        <v>283</v>
      </c>
      <c r="O14" s="47">
        <f t="shared" si="7"/>
        <v>0.41617647058823531</v>
      </c>
      <c r="P14" s="4">
        <v>710</v>
      </c>
      <c r="Q14" s="4">
        <v>323</v>
      </c>
      <c r="R14" s="4">
        <v>30</v>
      </c>
      <c r="S14" s="4">
        <v>8.89</v>
      </c>
      <c r="T14" s="4">
        <v>25.98</v>
      </c>
      <c r="U14" s="4">
        <v>48.17</v>
      </c>
      <c r="V14" s="4">
        <v>29.6</v>
      </c>
      <c r="W14" s="4">
        <v>10.07</v>
      </c>
      <c r="X14" s="4">
        <v>202</v>
      </c>
      <c r="Y14" s="4">
        <v>7.31</v>
      </c>
      <c r="Z14" s="4">
        <f t="shared" si="8"/>
        <v>83.04</v>
      </c>
      <c r="AA14" s="11">
        <f t="shared" si="0"/>
        <v>2.7680000000000002</v>
      </c>
      <c r="AB14" s="4">
        <f t="shared" si="9"/>
        <v>1360</v>
      </c>
      <c r="AC14" s="47">
        <f t="shared" si="1"/>
        <v>0.10705684007707129</v>
      </c>
      <c r="AD14" s="47">
        <f t="shared" si="2"/>
        <v>0.31286127167630057</v>
      </c>
      <c r="AE14" s="47">
        <f t="shared" si="3"/>
        <v>0.5800818882466281</v>
      </c>
      <c r="AF14" s="47">
        <f t="shared" si="4"/>
        <v>0.3564547206165703</v>
      </c>
      <c r="AG14" s="47">
        <f t="shared" si="5"/>
        <v>0.12126685934489402</v>
      </c>
      <c r="AH14" s="11">
        <f t="shared" si="17"/>
        <v>145.59730250481695</v>
      </c>
      <c r="AI14" s="11">
        <f t="shared" si="6"/>
        <v>425.49132947976875</v>
      </c>
      <c r="AJ14" s="11">
        <f t="shared" si="6"/>
        <v>788.91136801541415</v>
      </c>
      <c r="AK14" s="11">
        <f t="shared" si="6"/>
        <v>484.77842003853561</v>
      </c>
      <c r="AL14" s="11">
        <f t="shared" si="6"/>
        <v>164.92292870905587</v>
      </c>
      <c r="AM14" s="114">
        <f t="shared" si="10"/>
        <v>625.20000000000005</v>
      </c>
      <c r="AN14" s="69">
        <f t="shared" si="11"/>
        <v>0.45970588235294119</v>
      </c>
      <c r="AO14" s="12">
        <f t="shared" si="12"/>
        <v>128.26855123674912</v>
      </c>
      <c r="AP14" s="11">
        <f t="shared" si="13"/>
        <v>36.188118811881182</v>
      </c>
      <c r="AQ14" s="12">
        <f t="shared" si="14"/>
        <v>17276.388508891934</v>
      </c>
      <c r="AR14" s="60">
        <f t="shared" si="15"/>
        <v>106.65387076135636</v>
      </c>
      <c r="AS14" s="60">
        <f t="shared" si="16"/>
        <v>106.65387076135636</v>
      </c>
      <c r="AT14" s="43">
        <v>19.599</v>
      </c>
      <c r="AU14" s="43">
        <v>3.5219</v>
      </c>
      <c r="AV14">
        <v>25.4</v>
      </c>
      <c r="AW14">
        <v>66.3</v>
      </c>
      <c r="AX14" s="146">
        <v>-25.49</v>
      </c>
      <c r="AY14" s="146">
        <v>-26.4</v>
      </c>
      <c r="AZ14" s="60"/>
      <c r="BA14" s="60"/>
      <c r="BB14" s="60"/>
      <c r="BC14" s="60"/>
      <c r="BD14" s="60"/>
      <c r="BE14" s="46" t="s">
        <v>526</v>
      </c>
      <c r="BG14" s="46" t="s">
        <v>23</v>
      </c>
    </row>
    <row r="15" spans="1:65" x14ac:dyDescent="0.25">
      <c r="A15" s="63">
        <v>2</v>
      </c>
      <c r="B15" s="63">
        <v>6</v>
      </c>
      <c r="C15" s="63">
        <v>3</v>
      </c>
      <c r="D15" s="63">
        <v>23</v>
      </c>
      <c r="E15" s="63">
        <v>11</v>
      </c>
      <c r="F15" s="63" t="s">
        <v>30</v>
      </c>
      <c r="G15" s="63" t="s">
        <v>31</v>
      </c>
      <c r="H15" s="63">
        <v>206</v>
      </c>
      <c r="I15" s="98">
        <v>14</v>
      </c>
      <c r="J15" s="96" t="s">
        <v>518</v>
      </c>
      <c r="K15" s="4">
        <v>0.5</v>
      </c>
      <c r="L15" s="4">
        <v>1026</v>
      </c>
      <c r="M15" s="4">
        <v>764</v>
      </c>
      <c r="N15" s="4">
        <v>313</v>
      </c>
      <c r="O15" s="47">
        <f t="shared" si="7"/>
        <v>0.40968586387434552</v>
      </c>
      <c r="P15" s="4">
        <v>657</v>
      </c>
      <c r="Q15" s="4">
        <v>293</v>
      </c>
      <c r="R15" s="4">
        <v>30</v>
      </c>
      <c r="S15" s="4">
        <v>9.91</v>
      </c>
      <c r="T15" s="4">
        <v>44.51</v>
      </c>
      <c r="U15" s="4">
        <v>72.03</v>
      </c>
      <c r="V15" s="4">
        <v>46.12</v>
      </c>
      <c r="W15" s="4">
        <v>17.52</v>
      </c>
      <c r="X15" s="4">
        <v>200</v>
      </c>
      <c r="Y15" s="4">
        <v>7.82</v>
      </c>
      <c r="Z15" s="4">
        <f t="shared" si="8"/>
        <v>126.45</v>
      </c>
      <c r="AA15" s="11">
        <f t="shared" si="0"/>
        <v>4.2149999999999999</v>
      </c>
      <c r="AB15" s="4">
        <f t="shared" si="9"/>
        <v>1528</v>
      </c>
      <c r="AC15" s="47">
        <f t="shared" si="1"/>
        <v>7.8370897587979438E-2</v>
      </c>
      <c r="AD15" s="47">
        <f t="shared" si="2"/>
        <v>0.35199683669434556</v>
      </c>
      <c r="AE15" s="47">
        <f t="shared" si="3"/>
        <v>0.569632265717675</v>
      </c>
      <c r="AF15" s="47">
        <f t="shared" si="4"/>
        <v>0.36472914195334122</v>
      </c>
      <c r="AG15" s="47">
        <f t="shared" si="5"/>
        <v>0.13855278766310794</v>
      </c>
      <c r="AH15" s="11">
        <f t="shared" si="17"/>
        <v>119.75073151443259</v>
      </c>
      <c r="AI15" s="11">
        <f t="shared" si="6"/>
        <v>537.85116646896006</v>
      </c>
      <c r="AJ15" s="11">
        <f t="shared" si="6"/>
        <v>870.39810201660737</v>
      </c>
      <c r="AK15" s="11">
        <f t="shared" si="6"/>
        <v>557.30612890470536</v>
      </c>
      <c r="AL15" s="11">
        <f t="shared" si="6"/>
        <v>211.70865954922894</v>
      </c>
      <c r="AM15" s="114">
        <f t="shared" si="10"/>
        <v>718.24</v>
      </c>
      <c r="AN15" s="69">
        <f t="shared" si="11"/>
        <v>0.47005235602094242</v>
      </c>
      <c r="AO15" s="12">
        <f t="shared" si="12"/>
        <v>87.220447284345042</v>
      </c>
      <c r="AP15" s="11">
        <f t="shared" si="13"/>
        <v>39.1</v>
      </c>
      <c r="AQ15" s="12">
        <f t="shared" si="14"/>
        <v>18369.3094629156</v>
      </c>
      <c r="AR15" s="60">
        <f t="shared" si="15"/>
        <v>63.17665404321675</v>
      </c>
      <c r="AS15" s="60">
        <f t="shared" si="16"/>
        <v>63.17665404321675</v>
      </c>
      <c r="AT15" s="43">
        <v>15.906000000000001</v>
      </c>
      <c r="AU15" s="43">
        <v>3.9484000000000004</v>
      </c>
      <c r="AV15">
        <v>35.099999999999994</v>
      </c>
      <c r="AW15">
        <v>72</v>
      </c>
      <c r="AX15" s="146">
        <v>-25.75</v>
      </c>
      <c r="AY15" s="146">
        <v>-26.8</v>
      </c>
      <c r="AZ15" s="60"/>
      <c r="BA15" s="60"/>
      <c r="BB15" s="60"/>
      <c r="BC15" s="60"/>
      <c r="BD15" s="60"/>
      <c r="BE15" s="46" t="s">
        <v>21</v>
      </c>
      <c r="BF15" s="46" t="s">
        <v>22</v>
      </c>
      <c r="BG15">
        <v>1</v>
      </c>
      <c r="BH15">
        <v>2</v>
      </c>
      <c r="BI15">
        <v>3</v>
      </c>
      <c r="BJ15">
        <v>4</v>
      </c>
      <c r="BK15" t="s">
        <v>325</v>
      </c>
    </row>
    <row r="16" spans="1:65" x14ac:dyDescent="0.25">
      <c r="A16" s="63">
        <v>2</v>
      </c>
      <c r="B16" s="63">
        <v>7</v>
      </c>
      <c r="C16" s="63">
        <v>4</v>
      </c>
      <c r="D16" s="63">
        <v>26</v>
      </c>
      <c r="E16" s="63">
        <v>10</v>
      </c>
      <c r="F16" s="63" t="s">
        <v>25</v>
      </c>
      <c r="G16" s="63" t="s">
        <v>28</v>
      </c>
      <c r="H16" s="63">
        <v>207</v>
      </c>
      <c r="I16" s="98">
        <v>15</v>
      </c>
      <c r="J16" s="96" t="s">
        <v>518</v>
      </c>
      <c r="K16" s="4">
        <v>0.5</v>
      </c>
      <c r="L16" s="4">
        <v>713</v>
      </c>
      <c r="M16" s="4">
        <v>534</v>
      </c>
      <c r="N16" s="4">
        <v>255</v>
      </c>
      <c r="O16" s="47">
        <f t="shared" si="7"/>
        <v>0.47752808988764045</v>
      </c>
      <c r="P16" s="4">
        <v>604</v>
      </c>
      <c r="Q16" s="4">
        <v>297</v>
      </c>
      <c r="R16" s="4">
        <v>30</v>
      </c>
      <c r="S16" s="4">
        <v>10.9</v>
      </c>
      <c r="T16" s="4">
        <v>28.2</v>
      </c>
      <c r="U16" s="4">
        <v>80.97</v>
      </c>
      <c r="V16" s="4">
        <v>53.98</v>
      </c>
      <c r="W16" s="4">
        <v>18.36</v>
      </c>
      <c r="X16" s="4">
        <v>203</v>
      </c>
      <c r="Y16" s="4">
        <v>7.96</v>
      </c>
      <c r="Z16" s="4">
        <f t="shared" si="8"/>
        <v>120.07</v>
      </c>
      <c r="AA16" s="11">
        <f t="shared" si="0"/>
        <v>4.0023333333333335</v>
      </c>
      <c r="AB16" s="4">
        <f t="shared" si="9"/>
        <v>1068</v>
      </c>
      <c r="AC16" s="47">
        <f t="shared" si="1"/>
        <v>9.0780378112767554E-2</v>
      </c>
      <c r="AD16" s="47">
        <f t="shared" si="2"/>
        <v>0.23486299658532522</v>
      </c>
      <c r="AE16" s="47">
        <f t="shared" si="3"/>
        <v>0.67435662530190721</v>
      </c>
      <c r="AF16" s="47">
        <f t="shared" si="4"/>
        <v>0.44957108353460479</v>
      </c>
      <c r="AG16" s="47">
        <f t="shared" si="5"/>
        <v>0.15291080203214791</v>
      </c>
      <c r="AH16" s="11">
        <f t="shared" si="17"/>
        <v>96.953443824435752</v>
      </c>
      <c r="AI16" s="11">
        <f t="shared" si="6"/>
        <v>250.83368035312733</v>
      </c>
      <c r="AJ16" s="11">
        <f t="shared" si="6"/>
        <v>720.2128758224369</v>
      </c>
      <c r="AK16" s="11">
        <f t="shared" si="6"/>
        <v>480.14191721495791</v>
      </c>
      <c r="AL16" s="11">
        <f t="shared" si="6"/>
        <v>163.30873657033396</v>
      </c>
      <c r="AM16" s="114">
        <f t="shared" si="10"/>
        <v>617.96</v>
      </c>
      <c r="AN16" s="69">
        <f t="shared" si="11"/>
        <v>0.57861423220973784</v>
      </c>
      <c r="AO16" s="12">
        <f t="shared" si="12"/>
        <v>132.94117647058823</v>
      </c>
      <c r="AP16" s="11">
        <f t="shared" si="13"/>
        <v>39.211822660098527</v>
      </c>
      <c r="AQ16" s="12">
        <f t="shared" si="14"/>
        <v>15759.532663316582</v>
      </c>
      <c r="AR16" s="60">
        <f t="shared" si="15"/>
        <v>92.245452780115215</v>
      </c>
      <c r="AS16" s="60">
        <f t="shared" si="16"/>
        <v>92.245452780115215</v>
      </c>
      <c r="AT16" s="43">
        <v>15.645</v>
      </c>
      <c r="AU16" s="43">
        <v>5.7272999999999996</v>
      </c>
      <c r="AV16">
        <v>48.5</v>
      </c>
      <c r="AW16">
        <v>55.199999999999996</v>
      </c>
      <c r="AX16" s="146">
        <v>-25.43</v>
      </c>
      <c r="AY16" s="146">
        <v>-26.67</v>
      </c>
      <c r="AZ16" s="60"/>
      <c r="BA16" s="60"/>
      <c r="BB16" s="60"/>
      <c r="BC16" s="60"/>
      <c r="BD16" s="60"/>
      <c r="BE16" t="s">
        <v>25</v>
      </c>
      <c r="BF16" t="s">
        <v>26</v>
      </c>
      <c r="BG16" s="61">
        <v>0.43649068322981371</v>
      </c>
      <c r="BH16" s="61">
        <v>0.45970588235294119</v>
      </c>
      <c r="BI16" s="61">
        <v>0.52853383458646619</v>
      </c>
      <c r="BJ16" s="61">
        <v>0.49787056367432148</v>
      </c>
      <c r="BK16" s="61">
        <v>0.48065024096088566</v>
      </c>
    </row>
    <row r="17" spans="1:63" x14ac:dyDescent="0.25">
      <c r="A17" s="63">
        <v>2</v>
      </c>
      <c r="B17" s="63">
        <v>8</v>
      </c>
      <c r="C17" s="63">
        <v>4</v>
      </c>
      <c r="D17" s="63">
        <v>31</v>
      </c>
      <c r="E17" s="63">
        <v>9</v>
      </c>
      <c r="F17" s="63" t="s">
        <v>30</v>
      </c>
      <c r="G17" s="63" t="s">
        <v>29</v>
      </c>
      <c r="H17" s="63">
        <v>208</v>
      </c>
      <c r="I17" s="98">
        <v>16</v>
      </c>
      <c r="J17" s="96" t="s">
        <v>518</v>
      </c>
      <c r="K17" s="4">
        <v>0.5</v>
      </c>
      <c r="L17" s="4">
        <v>729</v>
      </c>
      <c r="M17" s="4">
        <v>562</v>
      </c>
      <c r="N17" s="4">
        <v>270</v>
      </c>
      <c r="O17" s="47">
        <f t="shared" si="7"/>
        <v>0.4804270462633452</v>
      </c>
      <c r="P17" s="4">
        <v>450</v>
      </c>
      <c r="Q17" s="4">
        <v>223</v>
      </c>
      <c r="R17" s="4">
        <v>30</v>
      </c>
      <c r="S17" s="4">
        <v>7.15</v>
      </c>
      <c r="T17" s="4">
        <v>27.96</v>
      </c>
      <c r="U17" s="4">
        <v>64.13</v>
      </c>
      <c r="V17" s="4">
        <v>42.45</v>
      </c>
      <c r="W17" s="4">
        <v>13.33</v>
      </c>
      <c r="X17" s="4">
        <v>200</v>
      </c>
      <c r="Y17" s="4">
        <v>8.19</v>
      </c>
      <c r="Z17" s="4">
        <f t="shared" si="8"/>
        <v>99.24</v>
      </c>
      <c r="AA17" s="11">
        <f t="shared" si="0"/>
        <v>3.3079999999999998</v>
      </c>
      <c r="AB17" s="4">
        <f t="shared" si="9"/>
        <v>1124</v>
      </c>
      <c r="AC17" s="47">
        <f t="shared" si="1"/>
        <v>7.2047561467150356E-2</v>
      </c>
      <c r="AD17" s="47">
        <f t="shared" si="2"/>
        <v>0.28174123337363971</v>
      </c>
      <c r="AE17" s="47">
        <f t="shared" si="3"/>
        <v>0.64621120515920993</v>
      </c>
      <c r="AF17" s="47">
        <f t="shared" si="4"/>
        <v>0.42775090689238215</v>
      </c>
      <c r="AG17" s="47">
        <f t="shared" si="5"/>
        <v>0.13432083837162434</v>
      </c>
      <c r="AH17" s="11">
        <f t="shared" si="17"/>
        <v>80.981459089077006</v>
      </c>
      <c r="AI17" s="11">
        <f t="shared" si="6"/>
        <v>316.67714631197106</v>
      </c>
      <c r="AJ17" s="11">
        <f t="shared" si="6"/>
        <v>726.34139459895198</v>
      </c>
      <c r="AK17" s="11">
        <f t="shared" si="6"/>
        <v>480.79201934703752</v>
      </c>
      <c r="AL17" s="11">
        <f t="shared" si="6"/>
        <v>150.97662232970575</v>
      </c>
      <c r="AM17" s="114">
        <f t="shared" si="10"/>
        <v>624.9</v>
      </c>
      <c r="AN17" s="69">
        <f t="shared" si="11"/>
        <v>0.55596085409252671</v>
      </c>
      <c r="AO17" s="12">
        <f t="shared" si="12"/>
        <v>65.18518518518519</v>
      </c>
      <c r="AP17" s="11">
        <f t="shared" si="13"/>
        <v>40.950000000000003</v>
      </c>
      <c r="AQ17" s="12">
        <f t="shared" si="14"/>
        <v>15260.073260073259</v>
      </c>
      <c r="AR17" s="60">
        <f t="shared" si="15"/>
        <v>42.742838854216679</v>
      </c>
      <c r="AS17" s="60">
        <f t="shared" si="16"/>
        <v>42.742838854216679</v>
      </c>
      <c r="AT17" s="43">
        <v>19.175000000000001</v>
      </c>
      <c r="AU17" s="43">
        <v>4.1167999999999996</v>
      </c>
      <c r="AV17">
        <v>25.7</v>
      </c>
      <c r="AW17">
        <v>68.8</v>
      </c>
      <c r="AX17" s="146">
        <v>-25.66</v>
      </c>
      <c r="AY17" s="146">
        <v>-26.45</v>
      </c>
      <c r="AZ17" s="60"/>
      <c r="BA17" s="60"/>
      <c r="BB17" s="60"/>
      <c r="BC17" s="60"/>
      <c r="BD17" s="60"/>
      <c r="BF17" t="s">
        <v>27</v>
      </c>
      <c r="BG17" s="61">
        <v>0.48827160493827165</v>
      </c>
      <c r="BH17" s="61">
        <v>0.41094517958412097</v>
      </c>
      <c r="BI17" s="61">
        <v>0.48076604554865426</v>
      </c>
      <c r="BJ17" s="61">
        <v>0.50981566820276492</v>
      </c>
      <c r="BK17" s="61">
        <v>0.47244962456845296</v>
      </c>
    </row>
    <row r="18" spans="1:63" x14ac:dyDescent="0.25">
      <c r="A18" s="63">
        <v>3</v>
      </c>
      <c r="B18" s="63">
        <v>1</v>
      </c>
      <c r="C18" s="63">
        <v>1</v>
      </c>
      <c r="D18" s="63">
        <v>3</v>
      </c>
      <c r="E18" s="63">
        <v>17</v>
      </c>
      <c r="F18" s="63" t="s">
        <v>25</v>
      </c>
      <c r="G18" s="63" t="s">
        <v>28</v>
      </c>
      <c r="H18" s="63">
        <v>301</v>
      </c>
      <c r="I18" s="98">
        <v>17</v>
      </c>
      <c r="J18" s="96" t="s">
        <v>518</v>
      </c>
      <c r="K18" s="4">
        <v>0.5</v>
      </c>
      <c r="L18" s="4">
        <v>844</v>
      </c>
      <c r="M18" s="4">
        <v>682</v>
      </c>
      <c r="N18" s="4">
        <v>345</v>
      </c>
      <c r="O18" s="47">
        <f t="shared" si="7"/>
        <v>0.50586510263929618</v>
      </c>
      <c r="P18" s="4">
        <v>413</v>
      </c>
      <c r="Q18" s="4">
        <v>216</v>
      </c>
      <c r="R18" s="4">
        <v>30</v>
      </c>
      <c r="S18" s="4">
        <v>6.53</v>
      </c>
      <c r="T18" s="4">
        <v>22.79</v>
      </c>
      <c r="U18" s="4">
        <v>73.02</v>
      </c>
      <c r="V18" s="4">
        <v>48.02</v>
      </c>
      <c r="W18" s="4">
        <v>16.649999999999999</v>
      </c>
      <c r="X18" s="4">
        <v>200</v>
      </c>
      <c r="Y18" s="4">
        <v>8.11</v>
      </c>
      <c r="Z18" s="4">
        <f t="shared" si="8"/>
        <v>102.34</v>
      </c>
      <c r="AA18" s="11">
        <f t="shared" si="0"/>
        <v>3.4113333333333333</v>
      </c>
      <c r="AB18" s="4">
        <f t="shared" si="9"/>
        <v>1364</v>
      </c>
      <c r="AC18" s="47">
        <f t="shared" si="1"/>
        <v>6.3806918116083647E-2</v>
      </c>
      <c r="AD18" s="47">
        <f t="shared" si="2"/>
        <v>0.22268907563025209</v>
      </c>
      <c r="AE18" s="47">
        <f t="shared" si="3"/>
        <v>0.71350400625366417</v>
      </c>
      <c r="AF18" s="47">
        <f t="shared" si="4"/>
        <v>0.4692202462380301</v>
      </c>
      <c r="AG18" s="47">
        <f t="shared" si="5"/>
        <v>0.16269298417041234</v>
      </c>
      <c r="AH18" s="11">
        <f t="shared" si="17"/>
        <v>87.032636310338091</v>
      </c>
      <c r="AI18" s="11">
        <f t="shared" si="17"/>
        <v>303.74789915966386</v>
      </c>
      <c r="AJ18" s="11">
        <f t="shared" si="17"/>
        <v>973.21946452999794</v>
      </c>
      <c r="AK18" s="11">
        <f t="shared" si="17"/>
        <v>640.01641586867311</v>
      </c>
      <c r="AL18" s="11">
        <f t="shared" si="17"/>
        <v>221.91323040844242</v>
      </c>
      <c r="AM18" s="114">
        <f t="shared" si="10"/>
        <v>786.04</v>
      </c>
      <c r="AN18" s="69">
        <f t="shared" si="11"/>
        <v>0.57627565982404694</v>
      </c>
      <c r="AO18" s="12">
        <f t="shared" si="12"/>
        <v>25.217391304347824</v>
      </c>
      <c r="AP18" s="11">
        <f t="shared" si="13"/>
        <v>40.549999999999997</v>
      </c>
      <c r="AQ18" s="12">
        <f t="shared" si="14"/>
        <v>19384.463625154131</v>
      </c>
      <c r="AR18" s="60">
        <f t="shared" si="15"/>
        <v>9.9180703272098167</v>
      </c>
      <c r="AS18" s="60">
        <f t="shared" si="16"/>
        <v>9.9180703272098167</v>
      </c>
      <c r="AT18" s="43">
        <v>17.381</v>
      </c>
      <c r="AU18" s="43">
        <v>5.8867000000000003</v>
      </c>
      <c r="AV18">
        <v>56.2</v>
      </c>
      <c r="AW18">
        <v>63.8</v>
      </c>
      <c r="AX18" s="146">
        <v>-26</v>
      </c>
      <c r="AY18" s="146">
        <v>-26.44</v>
      </c>
      <c r="AZ18" s="60"/>
      <c r="BA18" s="60"/>
      <c r="BB18" s="60"/>
      <c r="BC18" s="60"/>
      <c r="BD18" s="60"/>
      <c r="BF18" t="s">
        <v>28</v>
      </c>
      <c r="BG18" s="61">
        <v>0.55826923076923074</v>
      </c>
      <c r="BH18" s="61">
        <v>0.57861423220973784</v>
      </c>
      <c r="BI18" s="61">
        <v>0.57627565982404694</v>
      </c>
      <c r="BJ18" s="61">
        <v>0.60158203124999998</v>
      </c>
      <c r="BK18" s="61">
        <v>0.57868528851325385</v>
      </c>
    </row>
    <row r="19" spans="1:63" x14ac:dyDescent="0.25">
      <c r="A19" s="63">
        <v>3</v>
      </c>
      <c r="B19" s="63">
        <v>2</v>
      </c>
      <c r="C19" s="63">
        <v>1</v>
      </c>
      <c r="D19" s="63">
        <v>6</v>
      </c>
      <c r="E19" s="63">
        <v>18</v>
      </c>
      <c r="F19" s="63" t="s">
        <v>30</v>
      </c>
      <c r="G19" s="63" t="s">
        <v>29</v>
      </c>
      <c r="H19" s="63">
        <v>302</v>
      </c>
      <c r="I19" s="98">
        <v>18</v>
      </c>
      <c r="J19" s="96" t="s">
        <v>518</v>
      </c>
      <c r="K19" s="4">
        <v>0.5</v>
      </c>
      <c r="L19" s="4">
        <v>705</v>
      </c>
      <c r="M19" s="4">
        <v>515</v>
      </c>
      <c r="N19" s="4">
        <v>255</v>
      </c>
      <c r="O19" s="47">
        <f t="shared" si="7"/>
        <v>0.49514563106796117</v>
      </c>
      <c r="P19" s="4">
        <v>422</v>
      </c>
      <c r="Q19" s="4">
        <v>220</v>
      </c>
      <c r="R19" s="4">
        <v>30</v>
      </c>
      <c r="S19" s="4">
        <v>6.87</v>
      </c>
      <c r="T19" s="4">
        <v>27.23</v>
      </c>
      <c r="U19" s="4">
        <v>65.319999999999993</v>
      </c>
      <c r="V19" s="4">
        <v>43.72</v>
      </c>
      <c r="W19" s="4">
        <v>13.42</v>
      </c>
      <c r="X19" s="4">
        <v>202</v>
      </c>
      <c r="Y19" s="4">
        <v>7.85</v>
      </c>
      <c r="Z19" s="4">
        <f t="shared" si="8"/>
        <v>99.419999999999987</v>
      </c>
      <c r="AA19" s="11">
        <f t="shared" si="0"/>
        <v>3.3139999999999996</v>
      </c>
      <c r="AB19" s="4">
        <f t="shared" si="9"/>
        <v>1030</v>
      </c>
      <c r="AC19" s="47">
        <f t="shared" si="1"/>
        <v>6.9100784550392286E-2</v>
      </c>
      <c r="AD19" s="47">
        <f t="shared" si="2"/>
        <v>0.2738885536109435</v>
      </c>
      <c r="AE19" s="47">
        <f t="shared" si="3"/>
        <v>0.6570106618386643</v>
      </c>
      <c r="AF19" s="47">
        <f t="shared" si="4"/>
        <v>0.43975055320861001</v>
      </c>
      <c r="AG19" s="47">
        <f t="shared" si="5"/>
        <v>0.13498290082478376</v>
      </c>
      <c r="AH19" s="11">
        <f t="shared" si="17"/>
        <v>71.17380808690406</v>
      </c>
      <c r="AI19" s="11">
        <f t="shared" si="17"/>
        <v>282.10521021927178</v>
      </c>
      <c r="AJ19" s="11">
        <f t="shared" si="17"/>
        <v>676.72098169382423</v>
      </c>
      <c r="AK19" s="11">
        <f t="shared" si="17"/>
        <v>452.94306980486829</v>
      </c>
      <c r="AL19" s="11">
        <f t="shared" si="17"/>
        <v>139.03238784952728</v>
      </c>
      <c r="AM19" s="114">
        <f t="shared" si="10"/>
        <v>597.44000000000005</v>
      </c>
      <c r="AN19" s="69">
        <f t="shared" si="11"/>
        <v>0.58003883495145636</v>
      </c>
      <c r="AO19" s="12">
        <f t="shared" si="12"/>
        <v>72.549019607843135</v>
      </c>
      <c r="AP19" s="11">
        <f t="shared" si="13"/>
        <v>38.861386138613859</v>
      </c>
      <c r="AQ19" s="12">
        <f t="shared" si="14"/>
        <v>15373.615286624205</v>
      </c>
      <c r="AR19" s="60">
        <f t="shared" si="15"/>
        <v>47.295125870380275</v>
      </c>
      <c r="AS19" s="60">
        <f t="shared" si="16"/>
        <v>47.295125870380275</v>
      </c>
      <c r="AT19" s="43">
        <v>14.142999999999999</v>
      </c>
      <c r="AU19" s="43">
        <v>4.2469000000000001</v>
      </c>
      <c r="AV19">
        <v>45.099999999999994</v>
      </c>
      <c r="AW19">
        <v>66.3</v>
      </c>
      <c r="AX19" s="146">
        <v>-25.96</v>
      </c>
      <c r="AY19" s="146">
        <v>-26.62</v>
      </c>
      <c r="AZ19" s="60"/>
      <c r="BA19" s="60"/>
      <c r="BB19" s="60"/>
      <c r="BC19" s="60"/>
      <c r="BD19" s="60"/>
      <c r="BF19" t="s">
        <v>29</v>
      </c>
      <c r="BG19" s="61">
        <v>0.51365409622886871</v>
      </c>
      <c r="BH19" s="61">
        <v>0.51811382113821136</v>
      </c>
      <c r="BI19" s="61">
        <v>0.55767272727272732</v>
      </c>
      <c r="BJ19" s="61">
        <v>0.54288814691151921</v>
      </c>
      <c r="BK19" s="61">
        <v>0.53308219788783162</v>
      </c>
    </row>
    <row r="20" spans="1:63" x14ac:dyDescent="0.25">
      <c r="A20" s="63">
        <v>3</v>
      </c>
      <c r="B20" s="63">
        <v>3</v>
      </c>
      <c r="C20" s="63">
        <v>2</v>
      </c>
      <c r="D20" s="63">
        <v>11</v>
      </c>
      <c r="E20" s="63">
        <v>19</v>
      </c>
      <c r="F20" s="63" t="s">
        <v>25</v>
      </c>
      <c r="G20" s="63" t="s">
        <v>26</v>
      </c>
      <c r="H20" s="63">
        <v>303</v>
      </c>
      <c r="I20" s="98">
        <v>19</v>
      </c>
      <c r="J20" s="96" t="s">
        <v>518</v>
      </c>
      <c r="K20" s="4">
        <v>0.5</v>
      </c>
      <c r="L20" s="4">
        <v>683</v>
      </c>
      <c r="M20" s="4">
        <v>532</v>
      </c>
      <c r="N20" s="4">
        <v>248</v>
      </c>
      <c r="O20" s="47">
        <f t="shared" si="7"/>
        <v>0.46616541353383456</v>
      </c>
      <c r="P20" s="4">
        <v>584</v>
      </c>
      <c r="Q20" s="4">
        <v>296</v>
      </c>
      <c r="R20" s="4">
        <v>30</v>
      </c>
      <c r="S20" s="4">
        <v>6.49</v>
      </c>
      <c r="T20" s="4">
        <v>24.17</v>
      </c>
      <c r="U20" s="4">
        <v>52.63</v>
      </c>
      <c r="V20" s="4">
        <v>33.18</v>
      </c>
      <c r="W20" s="4">
        <v>11.28</v>
      </c>
      <c r="X20" s="4">
        <v>201</v>
      </c>
      <c r="Y20" s="4">
        <v>7.48</v>
      </c>
      <c r="Z20" s="4">
        <f t="shared" si="8"/>
        <v>83.29</v>
      </c>
      <c r="AA20" s="11">
        <f t="shared" si="0"/>
        <v>2.7763333333333335</v>
      </c>
      <c r="AB20" s="4">
        <f t="shared" si="9"/>
        <v>1064</v>
      </c>
      <c r="AC20" s="47">
        <f t="shared" si="1"/>
        <v>7.7920518669708241E-2</v>
      </c>
      <c r="AD20" s="47">
        <f t="shared" si="2"/>
        <v>0.29019089926761915</v>
      </c>
      <c r="AE20" s="47">
        <f t="shared" si="3"/>
        <v>0.63188858206267262</v>
      </c>
      <c r="AF20" s="47">
        <f t="shared" si="4"/>
        <v>0.39836715091847757</v>
      </c>
      <c r="AG20" s="47">
        <f t="shared" si="5"/>
        <v>0.13543042382038659</v>
      </c>
      <c r="AH20" s="11">
        <f t="shared" si="17"/>
        <v>82.907431864569574</v>
      </c>
      <c r="AI20" s="11">
        <f t="shared" si="17"/>
        <v>308.7631168207468</v>
      </c>
      <c r="AJ20" s="11">
        <f t="shared" si="17"/>
        <v>672.32945131468364</v>
      </c>
      <c r="AK20" s="11">
        <f t="shared" si="17"/>
        <v>423.86264857726013</v>
      </c>
      <c r="AL20" s="11">
        <f t="shared" si="17"/>
        <v>144.09797094489133</v>
      </c>
      <c r="AM20" s="114">
        <f t="shared" si="10"/>
        <v>562.36</v>
      </c>
      <c r="AN20" s="69">
        <f t="shared" si="11"/>
        <v>0.52853383458646619</v>
      </c>
      <c r="AO20" s="12">
        <f t="shared" si="12"/>
        <v>138.70967741935485</v>
      </c>
      <c r="AP20" s="11">
        <f t="shared" si="13"/>
        <v>37.213930348258707</v>
      </c>
      <c r="AQ20" s="12">
        <f t="shared" si="14"/>
        <v>15111.545454545456</v>
      </c>
      <c r="AR20" s="60">
        <f t="shared" si="15"/>
        <v>110.54129027669109</v>
      </c>
      <c r="AS20" s="60">
        <f t="shared" si="16"/>
        <v>110.54129027669109</v>
      </c>
      <c r="AT20" s="43">
        <v>12.047000000000001</v>
      </c>
      <c r="AU20" s="43">
        <v>1.3136000000000001</v>
      </c>
      <c r="AV20">
        <v>54.800000000000004</v>
      </c>
      <c r="AW20">
        <v>75.900000000000006</v>
      </c>
      <c r="AX20" s="146">
        <v>-25.21</v>
      </c>
      <c r="AY20" s="146">
        <v>-26.24</v>
      </c>
      <c r="AZ20" s="60"/>
      <c r="BA20" s="60"/>
      <c r="BB20" s="60"/>
      <c r="BC20" s="60"/>
      <c r="BD20" s="60"/>
      <c r="BE20" t="s">
        <v>30</v>
      </c>
      <c r="BF20" t="s">
        <v>32</v>
      </c>
      <c r="BG20" s="61">
        <v>0.49230263157894738</v>
      </c>
      <c r="BH20" s="61">
        <v>0.4175824175824176</v>
      </c>
      <c r="BI20" s="61">
        <v>0.44435714285714284</v>
      </c>
      <c r="BJ20" s="61">
        <v>0.43497899159663866</v>
      </c>
      <c r="BK20" s="61">
        <v>0.44730529590378665</v>
      </c>
    </row>
    <row r="21" spans="1:63" x14ac:dyDescent="0.25">
      <c r="A21" s="63">
        <v>3</v>
      </c>
      <c r="B21" s="63">
        <v>4</v>
      </c>
      <c r="C21" s="63">
        <v>2</v>
      </c>
      <c r="D21" s="63">
        <v>14</v>
      </c>
      <c r="E21" s="63">
        <v>20</v>
      </c>
      <c r="F21" s="63" t="s">
        <v>30</v>
      </c>
      <c r="G21" s="63" t="s">
        <v>31</v>
      </c>
      <c r="H21" s="63">
        <v>304</v>
      </c>
      <c r="I21" s="98">
        <v>20</v>
      </c>
      <c r="J21" s="96" t="s">
        <v>518</v>
      </c>
      <c r="K21" s="4">
        <v>0.5</v>
      </c>
      <c r="L21" s="4">
        <v>612</v>
      </c>
      <c r="M21" s="4">
        <v>463</v>
      </c>
      <c r="N21" s="4">
        <v>205</v>
      </c>
      <c r="O21" s="47">
        <f t="shared" si="7"/>
        <v>0.4427645788336933</v>
      </c>
      <c r="P21" s="4">
        <v>517</v>
      </c>
      <c r="Q21" s="4">
        <v>242</v>
      </c>
      <c r="R21" s="4">
        <v>30</v>
      </c>
      <c r="S21" s="4">
        <v>6.42</v>
      </c>
      <c r="T21" s="4">
        <v>33.06</v>
      </c>
      <c r="U21" s="4">
        <v>59.62</v>
      </c>
      <c r="V21" s="4">
        <v>36.5</v>
      </c>
      <c r="W21" s="4">
        <v>14.87</v>
      </c>
      <c r="X21" s="4">
        <v>200</v>
      </c>
      <c r="Y21" s="4">
        <v>7.28</v>
      </c>
      <c r="Z21" s="4">
        <f t="shared" si="8"/>
        <v>99.1</v>
      </c>
      <c r="AA21" s="11">
        <f t="shared" si="0"/>
        <v>3.3033333333333332</v>
      </c>
      <c r="AB21" s="4">
        <f t="shared" si="9"/>
        <v>926</v>
      </c>
      <c r="AC21" s="47">
        <f t="shared" si="1"/>
        <v>6.4783047426841572E-2</v>
      </c>
      <c r="AD21" s="47">
        <f t="shared" si="2"/>
        <v>0.3336024217961655</v>
      </c>
      <c r="AE21" s="47">
        <f t="shared" si="3"/>
        <v>0.6016145307769929</v>
      </c>
      <c r="AF21" s="47">
        <f t="shared" si="4"/>
        <v>0.36831483350151362</v>
      </c>
      <c r="AG21" s="47">
        <f t="shared" si="5"/>
        <v>0.15005045408678103</v>
      </c>
      <c r="AH21" s="11">
        <f t="shared" si="17"/>
        <v>59.989101917255297</v>
      </c>
      <c r="AI21" s="11">
        <f t="shared" si="17"/>
        <v>308.91584258324923</v>
      </c>
      <c r="AJ21" s="11">
        <f t="shared" si="17"/>
        <v>557.0950554994954</v>
      </c>
      <c r="AK21" s="11">
        <f t="shared" si="17"/>
        <v>341.05953582240159</v>
      </c>
      <c r="AL21" s="11">
        <f t="shared" si="17"/>
        <v>138.94672048435922</v>
      </c>
      <c r="AM21" s="114">
        <f t="shared" si="10"/>
        <v>483</v>
      </c>
      <c r="AN21" s="69">
        <f t="shared" si="11"/>
        <v>0.52159827213822896</v>
      </c>
      <c r="AO21" s="12">
        <f t="shared" si="12"/>
        <v>136.09756097560975</v>
      </c>
      <c r="AP21" s="11">
        <f t="shared" si="13"/>
        <v>36.4</v>
      </c>
      <c r="AQ21" s="12">
        <f t="shared" si="14"/>
        <v>13269.230769230768</v>
      </c>
      <c r="AR21" s="60">
        <f t="shared" si="15"/>
        <v>100.41407867494824</v>
      </c>
      <c r="AS21" s="60">
        <f t="shared" si="16"/>
        <v>100.41407867494824</v>
      </c>
      <c r="AT21" s="43">
        <v>14.097999999999999</v>
      </c>
      <c r="AU21" s="43">
        <v>4.5289000000000001</v>
      </c>
      <c r="AV21">
        <v>64</v>
      </c>
      <c r="AW21">
        <v>88.2</v>
      </c>
      <c r="AX21" s="146">
        <v>-25.05</v>
      </c>
      <c r="AY21" s="146">
        <v>-26.35</v>
      </c>
      <c r="AZ21" s="60"/>
      <c r="BA21" s="60"/>
      <c r="BB21" s="60"/>
      <c r="BC21" s="60"/>
      <c r="BD21" s="60"/>
      <c r="BF21" t="s">
        <v>31</v>
      </c>
      <c r="BG21" s="61">
        <v>0.50430531732418526</v>
      </c>
      <c r="BH21" s="61">
        <v>0.47005235602094242</v>
      </c>
      <c r="BI21" s="61">
        <v>0.52159827213822896</v>
      </c>
      <c r="BJ21" s="61">
        <v>0.49240808823529414</v>
      </c>
      <c r="BK21" s="61">
        <v>0.4970910084296627</v>
      </c>
    </row>
    <row r="22" spans="1:63" x14ac:dyDescent="0.25">
      <c r="A22" s="63">
        <v>3</v>
      </c>
      <c r="B22" s="63">
        <v>5</v>
      </c>
      <c r="C22" s="63">
        <v>3</v>
      </c>
      <c r="D22" s="63">
        <v>19</v>
      </c>
      <c r="E22" s="63">
        <v>21</v>
      </c>
      <c r="F22" s="63" t="s">
        <v>25</v>
      </c>
      <c r="G22" s="63" t="s">
        <v>29</v>
      </c>
      <c r="H22" s="63">
        <v>305</v>
      </c>
      <c r="I22" s="98">
        <v>21</v>
      </c>
      <c r="J22" s="96" t="s">
        <v>518</v>
      </c>
      <c r="K22" s="4">
        <v>0.5</v>
      </c>
      <c r="L22" s="4">
        <v>709</v>
      </c>
      <c r="M22" s="4">
        <v>550</v>
      </c>
      <c r="N22" s="4">
        <v>262</v>
      </c>
      <c r="O22" s="47">
        <f t="shared" si="7"/>
        <v>0.47636363636363638</v>
      </c>
      <c r="P22" s="4">
        <v>630</v>
      </c>
      <c r="Q22" s="4">
        <v>306</v>
      </c>
      <c r="R22" s="4">
        <v>30</v>
      </c>
      <c r="S22" s="4">
        <v>7.24</v>
      </c>
      <c r="T22" s="4">
        <v>28.76</v>
      </c>
      <c r="U22" s="4">
        <v>67.31</v>
      </c>
      <c r="V22" s="4">
        <v>44.72</v>
      </c>
      <c r="W22" s="4">
        <v>14.18</v>
      </c>
      <c r="X22" s="4">
        <v>205</v>
      </c>
      <c r="Y22" s="4">
        <v>8.5500000000000007</v>
      </c>
      <c r="Z22" s="4">
        <f t="shared" si="8"/>
        <v>103.31</v>
      </c>
      <c r="AA22" s="11">
        <f t="shared" si="0"/>
        <v>3.4436666666666667</v>
      </c>
      <c r="AB22" s="4">
        <f t="shared" si="9"/>
        <v>1100</v>
      </c>
      <c r="AC22" s="47">
        <f t="shared" si="1"/>
        <v>7.0080340722098539E-2</v>
      </c>
      <c r="AD22" s="47">
        <f t="shared" si="2"/>
        <v>0.27838544187397157</v>
      </c>
      <c r="AE22" s="47">
        <f t="shared" si="3"/>
        <v>0.65153421740392992</v>
      </c>
      <c r="AF22" s="47">
        <f t="shared" si="4"/>
        <v>0.43287193882489594</v>
      </c>
      <c r="AG22" s="47">
        <f t="shared" si="5"/>
        <v>0.13725679992256315</v>
      </c>
      <c r="AH22" s="11">
        <f t="shared" si="17"/>
        <v>77.088374794308393</v>
      </c>
      <c r="AI22" s="11">
        <f t="shared" si="17"/>
        <v>306.22398606136875</v>
      </c>
      <c r="AJ22" s="11">
        <f t="shared" si="17"/>
        <v>716.68763914432293</v>
      </c>
      <c r="AK22" s="11">
        <f t="shared" si="17"/>
        <v>476.15913270738554</v>
      </c>
      <c r="AL22" s="11">
        <f t="shared" si="17"/>
        <v>150.98247991481946</v>
      </c>
      <c r="AM22" s="114">
        <f t="shared" si="10"/>
        <v>613.44000000000005</v>
      </c>
      <c r="AN22" s="69">
        <f t="shared" si="11"/>
        <v>0.55767272727272732</v>
      </c>
      <c r="AO22" s="12">
        <f t="shared" si="12"/>
        <v>133.58778625954199</v>
      </c>
      <c r="AP22" s="11">
        <f t="shared" si="13"/>
        <v>41.707317073170735</v>
      </c>
      <c r="AQ22" s="12">
        <f t="shared" si="14"/>
        <v>14708.21052631579</v>
      </c>
      <c r="AR22" s="60">
        <f t="shared" si="15"/>
        <v>99.530516431924866</v>
      </c>
      <c r="AS22" s="60">
        <f t="shared" si="16"/>
        <v>99.530516431924866</v>
      </c>
      <c r="AT22" s="43">
        <v>14.218999999999999</v>
      </c>
      <c r="AU22" s="43">
        <v>2.3898000000000001</v>
      </c>
      <c r="AV22">
        <v>50.099999999999994</v>
      </c>
      <c r="AW22">
        <v>59.5</v>
      </c>
      <c r="AX22" s="146">
        <v>-25.55</v>
      </c>
      <c r="AY22" s="146">
        <v>-26.46</v>
      </c>
      <c r="AZ22" s="60"/>
      <c r="BA22" s="60"/>
      <c r="BB22" s="60"/>
      <c r="BC22" s="60"/>
      <c r="BD22" s="60"/>
      <c r="BF22" t="s">
        <v>28</v>
      </c>
      <c r="BG22" s="61">
        <v>0.57678700361010837</v>
      </c>
      <c r="BH22" s="61">
        <v>0.54891992551210422</v>
      </c>
      <c r="BI22" s="61">
        <v>0.59737903225806455</v>
      </c>
      <c r="BJ22" s="61">
        <v>0.76841945288753799</v>
      </c>
      <c r="BK22" s="61">
        <v>0.62287635356695381</v>
      </c>
    </row>
    <row r="23" spans="1:63" x14ac:dyDescent="0.25">
      <c r="A23" s="63">
        <v>3</v>
      </c>
      <c r="B23" s="63">
        <v>6</v>
      </c>
      <c r="C23" s="63">
        <v>3</v>
      </c>
      <c r="D23" s="63">
        <v>22</v>
      </c>
      <c r="E23" s="63">
        <v>22</v>
      </c>
      <c r="F23" s="63" t="s">
        <v>30</v>
      </c>
      <c r="G23" s="63" t="s">
        <v>32</v>
      </c>
      <c r="H23" s="63">
        <v>306</v>
      </c>
      <c r="I23" s="98">
        <v>22</v>
      </c>
      <c r="J23" s="96" t="s">
        <v>518</v>
      </c>
      <c r="K23" s="4">
        <v>0.5</v>
      </c>
      <c r="L23" s="4">
        <v>624</v>
      </c>
      <c r="M23" s="4">
        <v>420</v>
      </c>
      <c r="N23" s="4">
        <v>153</v>
      </c>
      <c r="O23" s="47">
        <f t="shared" si="7"/>
        <v>0.36428571428571427</v>
      </c>
      <c r="P23" s="4">
        <v>437</v>
      </c>
      <c r="Q23" s="4">
        <v>191</v>
      </c>
      <c r="R23" s="4">
        <v>30</v>
      </c>
      <c r="S23" s="4">
        <v>8.9</v>
      </c>
      <c r="T23" s="4">
        <v>38.11</v>
      </c>
      <c r="U23" s="4">
        <v>58.12</v>
      </c>
      <c r="V23" s="4">
        <v>33.630000000000003</v>
      </c>
      <c r="W23" s="4">
        <v>15.91</v>
      </c>
      <c r="X23" s="4">
        <v>200</v>
      </c>
      <c r="Y23" s="4">
        <v>9.0299999999999994</v>
      </c>
      <c r="Z23" s="4">
        <f t="shared" si="8"/>
        <v>105.13</v>
      </c>
      <c r="AA23" s="11">
        <f t="shared" si="0"/>
        <v>3.5043333333333333</v>
      </c>
      <c r="AB23" s="4">
        <f t="shared" si="9"/>
        <v>840</v>
      </c>
      <c r="AC23" s="47">
        <f t="shared" si="1"/>
        <v>8.4657091220393804E-2</v>
      </c>
      <c r="AD23" s="47">
        <f t="shared" si="2"/>
        <v>0.36250356701227054</v>
      </c>
      <c r="AE23" s="47">
        <f t="shared" si="3"/>
        <v>0.55283934176733573</v>
      </c>
      <c r="AF23" s="47">
        <f t="shared" si="4"/>
        <v>0.31988966042043188</v>
      </c>
      <c r="AG23" s="47">
        <f t="shared" si="5"/>
        <v>0.15133644059735565</v>
      </c>
      <c r="AH23" s="11">
        <f t="shared" si="17"/>
        <v>71.111956625130802</v>
      </c>
      <c r="AI23" s="11">
        <f t="shared" si="17"/>
        <v>304.50299629030724</v>
      </c>
      <c r="AJ23" s="11">
        <f t="shared" si="17"/>
        <v>464.38504708456202</v>
      </c>
      <c r="AK23" s="11">
        <f t="shared" si="17"/>
        <v>268.70731475316279</v>
      </c>
      <c r="AL23" s="11">
        <f t="shared" si="17"/>
        <v>127.12261010177875</v>
      </c>
      <c r="AM23" s="114">
        <f t="shared" si="10"/>
        <v>373.26</v>
      </c>
      <c r="AN23" s="69">
        <f t="shared" si="11"/>
        <v>0.44435714285714284</v>
      </c>
      <c r="AO23" s="12">
        <f t="shared" si="12"/>
        <v>149.67320261437908</v>
      </c>
      <c r="AP23" s="11">
        <f t="shared" si="13"/>
        <v>45.15</v>
      </c>
      <c r="AQ23" s="12">
        <f t="shared" si="14"/>
        <v>8267.1096345514961</v>
      </c>
      <c r="AR23" s="60">
        <f t="shared" si="15"/>
        <v>104.68306274446766</v>
      </c>
      <c r="AS23" s="60">
        <f t="shared" si="16"/>
        <v>104.68306274446766</v>
      </c>
      <c r="AT23" s="43">
        <v>13.78</v>
      </c>
      <c r="AU23" s="43">
        <v>2.1181999999999999</v>
      </c>
      <c r="AV23">
        <v>54.1</v>
      </c>
      <c r="AW23">
        <v>94.5</v>
      </c>
      <c r="AX23" s="146">
        <v>-25.15</v>
      </c>
      <c r="AY23" s="146">
        <v>-26.36</v>
      </c>
      <c r="AZ23" s="60"/>
      <c r="BA23" s="60"/>
      <c r="BB23" s="60"/>
      <c r="BC23" s="60"/>
      <c r="BD23" s="60"/>
      <c r="BF23" t="s">
        <v>29</v>
      </c>
      <c r="BG23" s="61">
        <v>0.53353941267387939</v>
      </c>
      <c r="BH23" s="61">
        <v>0.55596085409252671</v>
      </c>
      <c r="BI23" s="61">
        <v>0.58003883495145636</v>
      </c>
      <c r="BJ23" s="61">
        <v>0.55614561027837262</v>
      </c>
      <c r="BK23" s="61">
        <v>0.55642117799905877</v>
      </c>
    </row>
    <row r="24" spans="1:63" x14ac:dyDescent="0.25">
      <c r="A24" s="63">
        <v>3</v>
      </c>
      <c r="B24" s="63">
        <v>7</v>
      </c>
      <c r="C24" s="63">
        <v>4</v>
      </c>
      <c r="D24" s="63">
        <v>27</v>
      </c>
      <c r="E24" s="63">
        <v>23</v>
      </c>
      <c r="F24" s="63" t="s">
        <v>25</v>
      </c>
      <c r="G24" s="63" t="s">
        <v>27</v>
      </c>
      <c r="H24" s="63">
        <v>307</v>
      </c>
      <c r="I24" s="98">
        <v>23</v>
      </c>
      <c r="J24" s="96" t="s">
        <v>518</v>
      </c>
      <c r="K24" s="4">
        <v>0.5</v>
      </c>
      <c r="L24" s="4">
        <v>654</v>
      </c>
      <c r="M24" s="4">
        <v>483</v>
      </c>
      <c r="N24" s="4">
        <v>191</v>
      </c>
      <c r="O24" s="47">
        <f t="shared" si="7"/>
        <v>0.39544513457556935</v>
      </c>
      <c r="P24" s="4">
        <v>515</v>
      </c>
      <c r="Q24" s="4">
        <v>230</v>
      </c>
      <c r="R24" s="4">
        <v>30</v>
      </c>
      <c r="S24" s="4">
        <v>9.14</v>
      </c>
      <c r="T24" s="4">
        <v>37.24</v>
      </c>
      <c r="U24" s="4">
        <v>68.53</v>
      </c>
      <c r="V24" s="4">
        <v>41.21</v>
      </c>
      <c r="W24" s="4">
        <v>19.18</v>
      </c>
      <c r="X24" s="4">
        <v>200</v>
      </c>
      <c r="Y24" s="4">
        <v>8.06</v>
      </c>
      <c r="Z24" s="4">
        <f t="shared" si="8"/>
        <v>114.91</v>
      </c>
      <c r="AA24" s="11">
        <f t="shared" si="0"/>
        <v>3.8303333333333334</v>
      </c>
      <c r="AB24" s="4">
        <f t="shared" si="9"/>
        <v>966</v>
      </c>
      <c r="AC24" s="47">
        <f t="shared" si="1"/>
        <v>7.9540509964319911E-2</v>
      </c>
      <c r="AD24" s="47">
        <f t="shared" si="2"/>
        <v>0.3240797145592203</v>
      </c>
      <c r="AE24" s="47">
        <f t="shared" si="3"/>
        <v>0.59637977547645982</v>
      </c>
      <c r="AF24" s="47">
        <f t="shared" si="4"/>
        <v>0.35862849186319729</v>
      </c>
      <c r="AG24" s="47">
        <f t="shared" si="5"/>
        <v>0.16691323644591419</v>
      </c>
      <c r="AH24" s="11">
        <f t="shared" si="17"/>
        <v>76.83613262553304</v>
      </c>
      <c r="AI24" s="11">
        <f t="shared" si="17"/>
        <v>313.06100426420682</v>
      </c>
      <c r="AJ24" s="11">
        <f t="shared" si="17"/>
        <v>576.10286311026016</v>
      </c>
      <c r="AK24" s="11">
        <f t="shared" si="17"/>
        <v>346.4351231398486</v>
      </c>
      <c r="AL24" s="11">
        <f t="shared" si="17"/>
        <v>161.2381864067531</v>
      </c>
      <c r="AM24" s="114">
        <f t="shared" si="10"/>
        <v>464.42</v>
      </c>
      <c r="AN24" s="69">
        <f t="shared" si="11"/>
        <v>0.48076604554865426</v>
      </c>
      <c r="AO24" s="12">
        <f t="shared" si="12"/>
        <v>140.83769633507853</v>
      </c>
      <c r="AP24" s="11">
        <f t="shared" si="13"/>
        <v>40.300000000000004</v>
      </c>
      <c r="AQ24" s="12">
        <f t="shared" si="14"/>
        <v>11524.069478908188</v>
      </c>
      <c r="AR24" s="60">
        <f t="shared" si="15"/>
        <v>98.09655053615262</v>
      </c>
      <c r="AS24" s="60">
        <f t="shared" si="16"/>
        <v>98.09655053615262</v>
      </c>
      <c r="AT24" s="43">
        <v>12.385</v>
      </c>
      <c r="AU24" s="43">
        <v>1.8615999999999999</v>
      </c>
      <c r="AV24">
        <v>51.4</v>
      </c>
      <c r="AW24">
        <v>94.7</v>
      </c>
      <c r="AX24" s="146">
        <v>-25.66</v>
      </c>
      <c r="AY24" s="146">
        <v>-26.57</v>
      </c>
      <c r="AZ24" s="60"/>
      <c r="BA24" s="60"/>
      <c r="BB24" s="60"/>
      <c r="BC24" s="60"/>
      <c r="BD24" s="60"/>
      <c r="BE24" t="s">
        <v>325</v>
      </c>
      <c r="BG24" s="61">
        <v>0.51295249754416317</v>
      </c>
      <c r="BH24" s="61">
        <v>0.49498683356162526</v>
      </c>
      <c r="BI24" s="61">
        <v>0.53582769367959848</v>
      </c>
      <c r="BJ24" s="61">
        <v>0.55051356912955607</v>
      </c>
      <c r="BK24" s="61">
        <v>0.52357014847873573</v>
      </c>
    </row>
    <row r="25" spans="1:63" x14ac:dyDescent="0.25">
      <c r="A25" s="63">
        <v>3</v>
      </c>
      <c r="B25" s="63">
        <v>8</v>
      </c>
      <c r="C25" s="63">
        <v>4</v>
      </c>
      <c r="D25" s="63">
        <v>30</v>
      </c>
      <c r="E25" s="63">
        <v>24</v>
      </c>
      <c r="F25" s="63" t="s">
        <v>30</v>
      </c>
      <c r="G25" s="63" t="s">
        <v>28</v>
      </c>
      <c r="H25" s="63">
        <v>308</v>
      </c>
      <c r="I25" s="98">
        <v>24</v>
      </c>
      <c r="J25" s="96" t="s">
        <v>518</v>
      </c>
      <c r="K25" s="4">
        <v>0.5</v>
      </c>
      <c r="L25" s="4">
        <v>652</v>
      </c>
      <c r="M25" s="4">
        <v>496</v>
      </c>
      <c r="N25" s="4">
        <v>251</v>
      </c>
      <c r="O25" s="47">
        <f t="shared" si="7"/>
        <v>0.50604838709677424</v>
      </c>
      <c r="P25" s="4">
        <v>327</v>
      </c>
      <c r="Q25" s="4">
        <v>162</v>
      </c>
      <c r="R25" s="4">
        <v>30</v>
      </c>
      <c r="S25" s="4">
        <v>7.6</v>
      </c>
      <c r="T25" s="4">
        <v>21.37</v>
      </c>
      <c r="U25" s="4">
        <v>69.7</v>
      </c>
      <c r="V25" s="4">
        <v>45.3</v>
      </c>
      <c r="W25" s="4">
        <v>15.59</v>
      </c>
      <c r="X25" s="4">
        <v>200</v>
      </c>
      <c r="Y25" s="4">
        <v>8.7200000000000006</v>
      </c>
      <c r="Z25" s="4">
        <f t="shared" si="8"/>
        <v>98.67</v>
      </c>
      <c r="AA25" s="11">
        <f t="shared" si="0"/>
        <v>3.2890000000000001</v>
      </c>
      <c r="AB25" s="4">
        <f t="shared" si="9"/>
        <v>992</v>
      </c>
      <c r="AC25" s="47">
        <f t="shared" si="1"/>
        <v>7.7024424850511808E-2</v>
      </c>
      <c r="AD25" s="47">
        <f t="shared" si="2"/>
        <v>0.21658052092834701</v>
      </c>
      <c r="AE25" s="47">
        <f t="shared" si="3"/>
        <v>0.70639505422114124</v>
      </c>
      <c r="AF25" s="47">
        <f t="shared" si="4"/>
        <v>0.45910611128002426</v>
      </c>
      <c r="AG25" s="47">
        <f t="shared" si="5"/>
        <v>0.15800141887098409</v>
      </c>
      <c r="AH25" s="11">
        <f t="shared" si="17"/>
        <v>76.408229451707712</v>
      </c>
      <c r="AI25" s="11">
        <f t="shared" si="17"/>
        <v>214.84787676092023</v>
      </c>
      <c r="AJ25" s="11">
        <f t="shared" si="17"/>
        <v>700.74389378737214</v>
      </c>
      <c r="AK25" s="11">
        <f t="shared" si="17"/>
        <v>455.43326238978409</v>
      </c>
      <c r="AL25" s="11">
        <f t="shared" si="17"/>
        <v>156.73740752001623</v>
      </c>
      <c r="AM25" s="114">
        <f t="shared" si="10"/>
        <v>592.6</v>
      </c>
      <c r="AN25" s="69">
        <f t="shared" si="11"/>
        <v>0.59737903225806455</v>
      </c>
      <c r="AO25" s="12">
        <f t="shared" si="12"/>
        <v>29.083665338645417</v>
      </c>
      <c r="AP25" s="11">
        <f t="shared" si="13"/>
        <v>43.6</v>
      </c>
      <c r="AQ25" s="12">
        <f t="shared" si="14"/>
        <v>13591.743119266055</v>
      </c>
      <c r="AR25" s="60">
        <f t="shared" si="15"/>
        <v>9.3486331420857205</v>
      </c>
      <c r="AS25" s="60">
        <f t="shared" si="16"/>
        <v>9.3486331420857205</v>
      </c>
      <c r="AT25" s="43">
        <v>16.023</v>
      </c>
      <c r="AU25" s="43">
        <v>3.4790000000000001</v>
      </c>
      <c r="AV25">
        <v>52.300000000000004</v>
      </c>
      <c r="AW25">
        <v>67.599999999999994</v>
      </c>
      <c r="AX25" s="146">
        <v>-25.67</v>
      </c>
      <c r="AY25" s="146">
        <v>-26.5</v>
      </c>
      <c r="AZ25" s="60"/>
      <c r="BA25" s="60"/>
      <c r="BB25" s="60"/>
      <c r="BC25" s="60"/>
      <c r="BD25" s="60"/>
    </row>
    <row r="26" spans="1:63" x14ac:dyDescent="0.25">
      <c r="A26" s="63">
        <v>4</v>
      </c>
      <c r="B26" s="63">
        <v>1</v>
      </c>
      <c r="C26" s="63">
        <v>1</v>
      </c>
      <c r="D26" s="63">
        <v>4</v>
      </c>
      <c r="E26" s="63">
        <v>32</v>
      </c>
      <c r="F26" s="63" t="s">
        <v>25</v>
      </c>
      <c r="G26" s="63" t="s">
        <v>29</v>
      </c>
      <c r="H26" s="63">
        <v>401</v>
      </c>
      <c r="I26" s="98">
        <v>25</v>
      </c>
      <c r="J26" s="96" t="s">
        <v>518</v>
      </c>
      <c r="K26" s="4">
        <v>0.5</v>
      </c>
      <c r="L26" s="4">
        <v>771</v>
      </c>
      <c r="M26" s="4">
        <v>599</v>
      </c>
      <c r="N26" s="4">
        <v>277</v>
      </c>
      <c r="O26" s="47">
        <f t="shared" si="7"/>
        <v>0.46243739565943237</v>
      </c>
      <c r="P26" s="4">
        <v>579</v>
      </c>
      <c r="Q26" s="4">
        <v>279</v>
      </c>
      <c r="R26" s="4">
        <v>30</v>
      </c>
      <c r="S26" s="4">
        <v>6.95</v>
      </c>
      <c r="T26" s="4">
        <v>33.130000000000003</v>
      </c>
      <c r="U26" s="4">
        <v>72.150000000000006</v>
      </c>
      <c r="V26" s="4">
        <v>48.19</v>
      </c>
      <c r="W26" s="4">
        <v>15.44</v>
      </c>
      <c r="X26" s="4">
        <v>204</v>
      </c>
      <c r="Y26" s="4">
        <v>8.4700000000000006</v>
      </c>
      <c r="Z26" s="4">
        <f t="shared" si="8"/>
        <v>112.23000000000002</v>
      </c>
      <c r="AA26" s="11">
        <f t="shared" si="0"/>
        <v>3.7410000000000005</v>
      </c>
      <c r="AB26" s="4">
        <f t="shared" si="9"/>
        <v>1198</v>
      </c>
      <c r="AC26" s="47">
        <f t="shared" si="1"/>
        <v>6.1926401140515008E-2</v>
      </c>
      <c r="AD26" s="47">
        <f t="shared" si="2"/>
        <v>0.29519736255903056</v>
      </c>
      <c r="AE26" s="47">
        <f t="shared" si="3"/>
        <v>0.64287623630045432</v>
      </c>
      <c r="AF26" s="47">
        <f t="shared" si="4"/>
        <v>0.429386082152722</v>
      </c>
      <c r="AG26" s="47">
        <f t="shared" si="5"/>
        <v>0.13757462354094269</v>
      </c>
      <c r="AH26" s="11">
        <f t="shared" si="17"/>
        <v>74.187828566336975</v>
      </c>
      <c r="AI26" s="11">
        <f t="shared" si="17"/>
        <v>353.64644034571859</v>
      </c>
      <c r="AJ26" s="11">
        <f t="shared" si="17"/>
        <v>770.16573108794432</v>
      </c>
      <c r="AK26" s="11">
        <f t="shared" si="17"/>
        <v>514.40452641896093</v>
      </c>
      <c r="AL26" s="11">
        <f t="shared" si="17"/>
        <v>164.81439900204933</v>
      </c>
      <c r="AM26" s="114">
        <f t="shared" si="10"/>
        <v>650.38</v>
      </c>
      <c r="AN26" s="69">
        <f t="shared" si="11"/>
        <v>0.54288814691151921</v>
      </c>
      <c r="AO26" s="12">
        <f t="shared" si="12"/>
        <v>101.44404332129965</v>
      </c>
      <c r="AP26" s="11">
        <f t="shared" si="13"/>
        <v>41.519607843137258</v>
      </c>
      <c r="AQ26" s="12">
        <f t="shared" si="14"/>
        <v>15664.406139315228</v>
      </c>
      <c r="AR26" s="60">
        <f t="shared" si="15"/>
        <v>71.591992373689223</v>
      </c>
      <c r="AS26" s="60">
        <f t="shared" si="16"/>
        <v>71.591992373689223</v>
      </c>
      <c r="AT26" s="43">
        <v>20.082000000000001</v>
      </c>
      <c r="AU26" s="43">
        <v>4.9423000000000004</v>
      </c>
      <c r="AV26">
        <v>38.6</v>
      </c>
      <c r="AW26">
        <v>60.5</v>
      </c>
      <c r="AX26" s="146">
        <v>-25.66</v>
      </c>
      <c r="AY26" s="146">
        <v>-26.68</v>
      </c>
      <c r="AZ26" s="60"/>
      <c r="BA26" s="60"/>
      <c r="BB26" s="60"/>
      <c r="BC26" s="60"/>
      <c r="BD26" s="60"/>
    </row>
    <row r="27" spans="1:63" x14ac:dyDescent="0.25">
      <c r="A27" s="63">
        <v>4</v>
      </c>
      <c r="B27" s="63">
        <v>2</v>
      </c>
      <c r="C27" s="63">
        <v>1</v>
      </c>
      <c r="D27" s="63">
        <v>5</v>
      </c>
      <c r="E27" s="63">
        <v>31</v>
      </c>
      <c r="F27" s="63" t="s">
        <v>30</v>
      </c>
      <c r="G27" s="63" t="s">
        <v>32</v>
      </c>
      <c r="H27" s="63">
        <v>402</v>
      </c>
      <c r="I27" s="98">
        <v>26</v>
      </c>
      <c r="J27" s="96" t="s">
        <v>518</v>
      </c>
      <c r="K27" s="4">
        <v>0.5</v>
      </c>
      <c r="L27" s="4">
        <v>642</v>
      </c>
      <c r="M27" s="4">
        <v>476</v>
      </c>
      <c r="N27" s="4">
        <v>172</v>
      </c>
      <c r="O27" s="47">
        <f t="shared" si="7"/>
        <v>0.36134453781512604</v>
      </c>
      <c r="P27" s="4">
        <v>402</v>
      </c>
      <c r="Q27" s="4">
        <v>167</v>
      </c>
      <c r="R27" s="4">
        <v>30</v>
      </c>
      <c r="S27" s="4">
        <v>6.49</v>
      </c>
      <c r="T27" s="4">
        <v>31.35</v>
      </c>
      <c r="U27" s="4">
        <v>57.9</v>
      </c>
      <c r="V27" s="4">
        <v>35.049999999999997</v>
      </c>
      <c r="W27" s="4">
        <v>14.85</v>
      </c>
      <c r="X27" s="4">
        <v>200</v>
      </c>
      <c r="Y27" s="4">
        <v>8.81</v>
      </c>
      <c r="Z27" s="4">
        <f t="shared" si="8"/>
        <v>95.740000000000009</v>
      </c>
      <c r="AA27" s="11">
        <f t="shared" si="0"/>
        <v>3.1913333333333336</v>
      </c>
      <c r="AB27" s="4">
        <f t="shared" si="9"/>
        <v>952</v>
      </c>
      <c r="AC27" s="47">
        <f t="shared" si="1"/>
        <v>6.7787758512638394E-2</v>
      </c>
      <c r="AD27" s="47">
        <f t="shared" si="2"/>
        <v>0.32744934196782954</v>
      </c>
      <c r="AE27" s="47">
        <f t="shared" si="3"/>
        <v>0.60476289951953199</v>
      </c>
      <c r="AF27" s="47">
        <f t="shared" si="4"/>
        <v>0.36609567578859403</v>
      </c>
      <c r="AG27" s="47">
        <f t="shared" si="5"/>
        <v>0.15510758303739292</v>
      </c>
      <c r="AH27" s="11">
        <f t="shared" si="17"/>
        <v>64.533946104031756</v>
      </c>
      <c r="AI27" s="11">
        <f t="shared" si="17"/>
        <v>311.73177355337373</v>
      </c>
      <c r="AJ27" s="11">
        <f t="shared" si="17"/>
        <v>575.7342803425945</v>
      </c>
      <c r="AK27" s="11">
        <f t="shared" si="17"/>
        <v>348.5230833507415</v>
      </c>
      <c r="AL27" s="11">
        <f t="shared" si="17"/>
        <v>147.66241905159805</v>
      </c>
      <c r="AM27" s="114">
        <f t="shared" si="10"/>
        <v>414.1</v>
      </c>
      <c r="AN27" s="69">
        <f t="shared" si="11"/>
        <v>0.43497899159663866</v>
      </c>
      <c r="AO27" s="12">
        <f t="shared" si="12"/>
        <v>94.186046511627907</v>
      </c>
      <c r="AP27" s="11">
        <f t="shared" si="13"/>
        <v>44.050000000000004</v>
      </c>
      <c r="AQ27" s="12">
        <f t="shared" si="14"/>
        <v>9400.6810442678761</v>
      </c>
      <c r="AR27" s="60">
        <f t="shared" si="15"/>
        <v>61.313692344844227</v>
      </c>
      <c r="AS27" s="60">
        <f t="shared" si="16"/>
        <v>61.313692344844227</v>
      </c>
      <c r="AT27" s="43">
        <v>17.756</v>
      </c>
      <c r="AU27" s="43">
        <v>6.1414</v>
      </c>
      <c r="AV27">
        <v>57.699999999999996</v>
      </c>
      <c r="AW27">
        <v>91.899999999999991</v>
      </c>
      <c r="AX27" s="146">
        <v>-25.45</v>
      </c>
      <c r="AY27" s="146">
        <v>-26.36</v>
      </c>
      <c r="AZ27" s="60"/>
      <c r="BA27" s="60"/>
      <c r="BB27" s="60"/>
      <c r="BC27" s="60"/>
      <c r="BD27" s="60"/>
      <c r="BE27" s="46" t="s">
        <v>528</v>
      </c>
      <c r="BG27" s="46" t="s">
        <v>23</v>
      </c>
    </row>
    <row r="28" spans="1:63" x14ac:dyDescent="0.25">
      <c r="A28" s="63">
        <v>4</v>
      </c>
      <c r="B28" s="63">
        <v>3</v>
      </c>
      <c r="C28" s="63">
        <v>2</v>
      </c>
      <c r="D28" s="63">
        <v>12</v>
      </c>
      <c r="E28" s="63">
        <v>30</v>
      </c>
      <c r="F28" s="63" t="s">
        <v>25</v>
      </c>
      <c r="G28" s="63" t="s">
        <v>28</v>
      </c>
      <c r="H28" s="63">
        <v>403</v>
      </c>
      <c r="I28" s="98">
        <v>27</v>
      </c>
      <c r="J28" s="96" t="s">
        <v>518</v>
      </c>
      <c r="K28" s="4">
        <v>0.5</v>
      </c>
      <c r="L28" s="4">
        <v>659</v>
      </c>
      <c r="M28" s="4">
        <v>512</v>
      </c>
      <c r="N28" s="4">
        <v>259</v>
      </c>
      <c r="O28" s="47">
        <f t="shared" si="7"/>
        <v>0.505859375</v>
      </c>
      <c r="P28" s="4">
        <v>450</v>
      </c>
      <c r="Q28" s="4">
        <v>237</v>
      </c>
      <c r="R28" s="4">
        <v>30</v>
      </c>
      <c r="S28" s="4">
        <v>7.56</v>
      </c>
      <c r="T28" s="4">
        <v>22.46</v>
      </c>
      <c r="U28" s="4">
        <v>75.19</v>
      </c>
      <c r="V28" s="4">
        <v>49.01</v>
      </c>
      <c r="W28" s="4">
        <v>17.489999999999998</v>
      </c>
      <c r="X28" s="4">
        <v>203</v>
      </c>
      <c r="Y28" s="4">
        <v>8.15</v>
      </c>
      <c r="Z28" s="4">
        <f t="shared" si="8"/>
        <v>105.21</v>
      </c>
      <c r="AA28" s="11">
        <f t="shared" si="0"/>
        <v>3.5069999999999997</v>
      </c>
      <c r="AB28" s="4">
        <f t="shared" si="9"/>
        <v>1024</v>
      </c>
      <c r="AC28" s="47">
        <f t="shared" si="1"/>
        <v>7.1856287425149698E-2</v>
      </c>
      <c r="AD28" s="47">
        <f t="shared" si="2"/>
        <v>0.21347780629217758</v>
      </c>
      <c r="AE28" s="47">
        <f t="shared" si="3"/>
        <v>0.71466590628267279</v>
      </c>
      <c r="AF28" s="47">
        <f t="shared" si="4"/>
        <v>0.46583024427335806</v>
      </c>
      <c r="AG28" s="47">
        <f t="shared" si="5"/>
        <v>0.1662389506700884</v>
      </c>
      <c r="AH28" s="11">
        <f t="shared" si="17"/>
        <v>73.580838323353291</v>
      </c>
      <c r="AI28" s="11">
        <f t="shared" si="17"/>
        <v>218.60127364318984</v>
      </c>
      <c r="AJ28" s="11">
        <f t="shared" si="17"/>
        <v>731.81788803345694</v>
      </c>
      <c r="AK28" s="11">
        <f t="shared" si="17"/>
        <v>477.01017013591866</v>
      </c>
      <c r="AL28" s="11">
        <f t="shared" si="17"/>
        <v>170.22868548617052</v>
      </c>
      <c r="AM28" s="114">
        <f t="shared" si="10"/>
        <v>616.02</v>
      </c>
      <c r="AN28" s="69">
        <f t="shared" si="11"/>
        <v>0.60158203124999998</v>
      </c>
      <c r="AO28" s="12">
        <f t="shared" si="12"/>
        <v>83.011583011583014</v>
      </c>
      <c r="AP28" s="11">
        <f t="shared" si="13"/>
        <v>40.14778325123153</v>
      </c>
      <c r="AQ28" s="12">
        <f t="shared" si="14"/>
        <v>15343.811042944784</v>
      </c>
      <c r="AR28" s="60">
        <f t="shared" si="15"/>
        <v>53.891107431576899</v>
      </c>
      <c r="AS28" s="60">
        <f t="shared" si="16"/>
        <v>53.891107431576899</v>
      </c>
      <c r="AT28" s="43">
        <v>16.556999999999999</v>
      </c>
      <c r="AU28" s="43">
        <v>2.7167000000000003</v>
      </c>
      <c r="AV28">
        <v>54.6</v>
      </c>
      <c r="AW28">
        <v>72.099999999999994</v>
      </c>
      <c r="AX28" s="146">
        <v>-25.54</v>
      </c>
      <c r="AY28" s="146">
        <v>-26.33</v>
      </c>
      <c r="AZ28" s="60"/>
      <c r="BA28" s="60"/>
      <c r="BB28" s="60"/>
      <c r="BC28" s="60"/>
      <c r="BD28" s="60"/>
      <c r="BE28" s="46" t="s">
        <v>21</v>
      </c>
      <c r="BF28" s="46" t="s">
        <v>22</v>
      </c>
      <c r="BG28">
        <v>1</v>
      </c>
      <c r="BH28">
        <v>2</v>
      </c>
      <c r="BI28">
        <v>3</v>
      </c>
      <c r="BJ28">
        <v>4</v>
      </c>
      <c r="BK28" t="s">
        <v>325</v>
      </c>
    </row>
    <row r="29" spans="1:63" x14ac:dyDescent="0.25">
      <c r="A29" s="63">
        <v>4</v>
      </c>
      <c r="B29" s="63">
        <v>4</v>
      </c>
      <c r="C29" s="63">
        <v>2</v>
      </c>
      <c r="D29" s="63">
        <v>13</v>
      </c>
      <c r="E29" s="63">
        <v>29</v>
      </c>
      <c r="F29" s="63" t="s">
        <v>30</v>
      </c>
      <c r="G29" s="63" t="s">
        <v>29</v>
      </c>
      <c r="H29" s="63">
        <v>404</v>
      </c>
      <c r="I29" s="98">
        <v>28</v>
      </c>
      <c r="J29" s="96" t="s">
        <v>518</v>
      </c>
      <c r="K29" s="4">
        <v>0.5</v>
      </c>
      <c r="L29" s="4">
        <v>613</v>
      </c>
      <c r="M29" s="4">
        <v>467</v>
      </c>
      <c r="N29" s="4">
        <v>220</v>
      </c>
      <c r="O29" s="47">
        <f t="shared" si="7"/>
        <v>0.47109207708779444</v>
      </c>
      <c r="P29" s="4">
        <v>407</v>
      </c>
      <c r="Q29" s="4">
        <v>198</v>
      </c>
      <c r="R29" s="4">
        <v>30</v>
      </c>
      <c r="S29" s="4">
        <v>6.41</v>
      </c>
      <c r="T29" s="4">
        <v>25.42</v>
      </c>
      <c r="U29" s="4">
        <v>60.97</v>
      </c>
      <c r="V29" s="4">
        <v>39.72</v>
      </c>
      <c r="W29" s="4">
        <v>12.87</v>
      </c>
      <c r="X29" s="4">
        <v>203</v>
      </c>
      <c r="Y29" s="4">
        <v>8.08</v>
      </c>
      <c r="Z29" s="4">
        <f t="shared" si="8"/>
        <v>92.8</v>
      </c>
      <c r="AA29" s="11">
        <f t="shared" si="0"/>
        <v>3.0933333333333333</v>
      </c>
      <c r="AB29" s="4">
        <f t="shared" si="9"/>
        <v>934</v>
      </c>
      <c r="AC29" s="47">
        <f t="shared" si="1"/>
        <v>6.9073275862068975E-2</v>
      </c>
      <c r="AD29" s="47">
        <f t="shared" si="2"/>
        <v>0.27392241379310345</v>
      </c>
      <c r="AE29" s="47">
        <f t="shared" si="3"/>
        <v>0.65700431034482765</v>
      </c>
      <c r="AF29" s="47">
        <f t="shared" si="4"/>
        <v>0.42801724137931035</v>
      </c>
      <c r="AG29" s="47">
        <f t="shared" si="5"/>
        <v>0.13868534482758621</v>
      </c>
      <c r="AH29" s="11">
        <f t="shared" si="17"/>
        <v>64.514439655172424</v>
      </c>
      <c r="AI29" s="11">
        <f t="shared" si="17"/>
        <v>255.84353448275863</v>
      </c>
      <c r="AJ29" s="11">
        <f t="shared" si="17"/>
        <v>613.64202586206898</v>
      </c>
      <c r="AK29" s="11">
        <f t="shared" si="17"/>
        <v>399.76810344827589</v>
      </c>
      <c r="AL29" s="11">
        <f t="shared" si="17"/>
        <v>129.53211206896552</v>
      </c>
      <c r="AM29" s="114">
        <f t="shared" si="10"/>
        <v>519.44000000000005</v>
      </c>
      <c r="AN29" s="69">
        <f t="shared" si="11"/>
        <v>0.55614561027837262</v>
      </c>
      <c r="AO29" s="12">
        <f t="shared" si="12"/>
        <v>80</v>
      </c>
      <c r="AP29" s="11">
        <f t="shared" si="13"/>
        <v>39.802955665024633</v>
      </c>
      <c r="AQ29" s="12">
        <f t="shared" si="14"/>
        <v>13050.287128712871</v>
      </c>
      <c r="AR29" s="60">
        <f t="shared" si="15"/>
        <v>52.471892807638973</v>
      </c>
      <c r="AS29" s="60">
        <f t="shared" si="16"/>
        <v>52.471892807638973</v>
      </c>
      <c r="AT29" s="43">
        <v>15.427999999999999</v>
      </c>
      <c r="AU29" s="43">
        <v>2.5735000000000001</v>
      </c>
      <c r="AV29">
        <v>59.400000000000006</v>
      </c>
      <c r="AW29">
        <v>72.599999999999994</v>
      </c>
      <c r="AX29" s="146">
        <v>-25.65</v>
      </c>
      <c r="AY29" s="146">
        <v>-26.51</v>
      </c>
      <c r="AZ29" s="60"/>
      <c r="BA29" s="60"/>
      <c r="BB29" s="60"/>
      <c r="BC29" s="60"/>
      <c r="BD29" s="60"/>
      <c r="BE29" t="s">
        <v>25</v>
      </c>
      <c r="BF29" t="s">
        <v>26</v>
      </c>
      <c r="BG29" s="60">
        <v>1288</v>
      </c>
      <c r="BH29" s="60">
        <v>1360</v>
      </c>
      <c r="BI29" s="60">
        <v>1064</v>
      </c>
      <c r="BJ29" s="60">
        <v>958</v>
      </c>
      <c r="BK29" s="60">
        <v>1167.5</v>
      </c>
    </row>
    <row r="30" spans="1:63" x14ac:dyDescent="0.25">
      <c r="A30" s="63">
        <v>4</v>
      </c>
      <c r="B30" s="63">
        <v>5</v>
      </c>
      <c r="C30" s="63">
        <v>3</v>
      </c>
      <c r="D30" s="63">
        <v>20</v>
      </c>
      <c r="E30" s="63">
        <v>28</v>
      </c>
      <c r="F30" s="63" t="s">
        <v>25</v>
      </c>
      <c r="G30" s="63" t="s">
        <v>27</v>
      </c>
      <c r="H30" s="63">
        <v>405</v>
      </c>
      <c r="I30" s="98">
        <v>29</v>
      </c>
      <c r="J30" s="96" t="s">
        <v>518</v>
      </c>
      <c r="K30" s="4">
        <v>0.5</v>
      </c>
      <c r="L30" s="4">
        <v>564</v>
      </c>
      <c r="M30" s="4">
        <v>434</v>
      </c>
      <c r="N30" s="4">
        <v>186</v>
      </c>
      <c r="O30" s="47">
        <f t="shared" si="7"/>
        <v>0.42857142857142855</v>
      </c>
      <c r="P30" s="4">
        <v>449</v>
      </c>
      <c r="Q30" s="4">
        <v>228</v>
      </c>
      <c r="R30" s="4">
        <v>30</v>
      </c>
      <c r="S30" s="4">
        <v>7.6</v>
      </c>
      <c r="T30" s="4">
        <v>24.76</v>
      </c>
      <c r="U30" s="4">
        <v>57.84</v>
      </c>
      <c r="V30" s="4">
        <v>35.26</v>
      </c>
      <c r="W30" s="4">
        <v>14.08</v>
      </c>
      <c r="X30" s="4">
        <v>201</v>
      </c>
      <c r="Y30" s="4">
        <v>7.24</v>
      </c>
      <c r="Z30" s="4">
        <f t="shared" si="8"/>
        <v>90.2</v>
      </c>
      <c r="AA30" s="11">
        <f t="shared" si="0"/>
        <v>3.0066666666666668</v>
      </c>
      <c r="AB30" s="4">
        <f t="shared" si="9"/>
        <v>868</v>
      </c>
      <c r="AC30" s="47">
        <f t="shared" si="1"/>
        <v>8.4257206208425708E-2</v>
      </c>
      <c r="AD30" s="47">
        <f t="shared" si="2"/>
        <v>0.27450110864745014</v>
      </c>
      <c r="AE30" s="47">
        <f t="shared" si="3"/>
        <v>0.64124168514412416</v>
      </c>
      <c r="AF30" s="47">
        <f t="shared" si="4"/>
        <v>0.39090909090909087</v>
      </c>
      <c r="AG30" s="47">
        <f t="shared" si="5"/>
        <v>0.15609756097560976</v>
      </c>
      <c r="AH30" s="11">
        <f t="shared" si="17"/>
        <v>73.135254988913516</v>
      </c>
      <c r="AI30" s="11">
        <f t="shared" si="17"/>
        <v>238.26696230598674</v>
      </c>
      <c r="AJ30" s="11">
        <f t="shared" si="17"/>
        <v>556.5977827050998</v>
      </c>
      <c r="AK30" s="11">
        <f t="shared" si="17"/>
        <v>339.30909090909086</v>
      </c>
      <c r="AL30" s="11">
        <f t="shared" si="17"/>
        <v>135.49268292682927</v>
      </c>
      <c r="AM30" s="114">
        <f t="shared" si="10"/>
        <v>442.52</v>
      </c>
      <c r="AN30" s="69">
        <f t="shared" si="11"/>
        <v>0.50981566820276492</v>
      </c>
      <c r="AO30" s="12">
        <f t="shared" si="12"/>
        <v>145.16129032258064</v>
      </c>
      <c r="AP30" s="11">
        <f t="shared" si="13"/>
        <v>36.019900497512438</v>
      </c>
      <c r="AQ30" s="12">
        <f t="shared" si="14"/>
        <v>12285.430939226517</v>
      </c>
      <c r="AR30" s="60">
        <f t="shared" si="15"/>
        <v>106.09238000542349</v>
      </c>
      <c r="AS30" s="60">
        <f t="shared" si="16"/>
        <v>106.09238000542349</v>
      </c>
      <c r="AT30" s="43">
        <v>11.178999999999998</v>
      </c>
      <c r="AU30" s="43">
        <v>1.8898000000000001</v>
      </c>
      <c r="AV30">
        <v>62</v>
      </c>
      <c r="AW30">
        <v>59.2</v>
      </c>
      <c r="AX30" s="146">
        <v>-25.37</v>
      </c>
      <c r="AY30" s="146">
        <v>-26.65</v>
      </c>
      <c r="AZ30" s="60"/>
      <c r="BA30" s="60"/>
      <c r="BB30" s="60"/>
      <c r="BC30" s="60"/>
      <c r="BD30" s="60"/>
      <c r="BF30" t="s">
        <v>27</v>
      </c>
      <c r="BG30" s="60">
        <v>972</v>
      </c>
      <c r="BH30" s="60">
        <v>1058</v>
      </c>
      <c r="BI30" s="60">
        <v>966</v>
      </c>
      <c r="BJ30" s="60">
        <v>868</v>
      </c>
      <c r="BK30" s="60">
        <v>966</v>
      </c>
    </row>
    <row r="31" spans="1:63" x14ac:dyDescent="0.25">
      <c r="A31" s="63">
        <v>4</v>
      </c>
      <c r="B31" s="63">
        <v>6</v>
      </c>
      <c r="C31" s="63">
        <v>3</v>
      </c>
      <c r="D31" s="63">
        <v>21</v>
      </c>
      <c r="E31" s="63">
        <v>27</v>
      </c>
      <c r="F31" s="63" t="s">
        <v>30</v>
      </c>
      <c r="G31" s="63" t="s">
        <v>28</v>
      </c>
      <c r="H31" s="63">
        <v>406</v>
      </c>
      <c r="I31" s="98">
        <v>30</v>
      </c>
      <c r="J31" s="96" t="s">
        <v>518</v>
      </c>
      <c r="K31" s="4">
        <v>0.5</v>
      </c>
      <c r="L31" s="4">
        <v>543</v>
      </c>
      <c r="M31" s="4">
        <v>329</v>
      </c>
      <c r="N31" s="4">
        <v>211</v>
      </c>
      <c r="O31" s="47">
        <f t="shared" si="7"/>
        <v>0.64133738601823709</v>
      </c>
      <c r="P31" s="4">
        <v>329</v>
      </c>
      <c r="Q31" s="4">
        <v>171</v>
      </c>
      <c r="R31" s="4">
        <v>30</v>
      </c>
      <c r="S31" s="4">
        <v>6.96</v>
      </c>
      <c r="T31" s="4">
        <v>20.13</v>
      </c>
      <c r="U31" s="4">
        <v>65.89</v>
      </c>
      <c r="V31" s="4">
        <v>41.81</v>
      </c>
      <c r="W31" s="4">
        <v>15.91</v>
      </c>
      <c r="X31" s="4">
        <v>200</v>
      </c>
      <c r="Y31" s="4">
        <v>8.68</v>
      </c>
      <c r="Z31" s="4">
        <f t="shared" si="8"/>
        <v>92.98</v>
      </c>
      <c r="AA31" s="11">
        <f t="shared" si="0"/>
        <v>3.0993333333333335</v>
      </c>
      <c r="AB31" s="4">
        <f t="shared" si="9"/>
        <v>658</v>
      </c>
      <c r="AC31" s="47">
        <f t="shared" si="1"/>
        <v>7.4854807485480748E-2</v>
      </c>
      <c r="AD31" s="47">
        <f t="shared" si="2"/>
        <v>0.21649817164981713</v>
      </c>
      <c r="AE31" s="47">
        <f t="shared" si="3"/>
        <v>0.7086470208647021</v>
      </c>
      <c r="AF31" s="47">
        <f t="shared" si="4"/>
        <v>0.44966659496665951</v>
      </c>
      <c r="AG31" s="47">
        <f t="shared" si="5"/>
        <v>0.17111206711120672</v>
      </c>
      <c r="AH31" s="11">
        <f t="shared" si="17"/>
        <v>49.254463325446331</v>
      </c>
      <c r="AI31" s="11">
        <f t="shared" si="17"/>
        <v>142.45579694557966</v>
      </c>
      <c r="AJ31" s="11">
        <f t="shared" si="17"/>
        <v>466.28973972897398</v>
      </c>
      <c r="AK31" s="11">
        <f t="shared" si="17"/>
        <v>295.88061948806194</v>
      </c>
      <c r="AL31" s="11">
        <f t="shared" si="17"/>
        <v>112.59174015917402</v>
      </c>
      <c r="AM31" s="114">
        <f t="shared" si="10"/>
        <v>505.62</v>
      </c>
      <c r="AN31" s="69">
        <f t="shared" si="11"/>
        <v>0.76841945288753799</v>
      </c>
      <c r="AO31" s="12">
        <f t="shared" si="12"/>
        <v>62.085308056872037</v>
      </c>
      <c r="AP31" s="11">
        <f t="shared" si="13"/>
        <v>43.4</v>
      </c>
      <c r="AQ31" s="12">
        <f t="shared" si="14"/>
        <v>11650.230414746544</v>
      </c>
      <c r="AR31" s="60">
        <f t="shared" si="15"/>
        <v>35.279458882164469</v>
      </c>
      <c r="AS31" s="60">
        <f t="shared" si="16"/>
        <v>35.279458882164469</v>
      </c>
      <c r="AT31" s="43">
        <v>14.752000000000001</v>
      </c>
      <c r="AU31" s="43">
        <v>2.4365999999999999</v>
      </c>
      <c r="AV31">
        <v>56.8</v>
      </c>
      <c r="AW31">
        <v>83.800000000000011</v>
      </c>
      <c r="AX31" s="146">
        <v>-25.66</v>
      </c>
      <c r="AY31" s="146">
        <v>-26.41</v>
      </c>
      <c r="AZ31" s="60"/>
      <c r="BA31" s="60"/>
      <c r="BB31" s="60"/>
      <c r="BC31" s="60"/>
      <c r="BD31" s="60"/>
      <c r="BF31" t="s">
        <v>28</v>
      </c>
      <c r="BG31" s="60">
        <v>1560</v>
      </c>
      <c r="BH31" s="60">
        <v>1068</v>
      </c>
      <c r="BI31" s="60">
        <v>1364</v>
      </c>
      <c r="BJ31" s="60">
        <v>1024</v>
      </c>
      <c r="BK31" s="60">
        <v>1254</v>
      </c>
    </row>
    <row r="32" spans="1:63" x14ac:dyDescent="0.25">
      <c r="A32" s="63">
        <v>4</v>
      </c>
      <c r="B32" s="63">
        <v>7</v>
      </c>
      <c r="C32" s="63">
        <v>4</v>
      </c>
      <c r="D32" s="63">
        <v>28</v>
      </c>
      <c r="E32" s="63">
        <v>26</v>
      </c>
      <c r="F32" s="63" t="s">
        <v>25</v>
      </c>
      <c r="G32" s="63" t="s">
        <v>26</v>
      </c>
      <c r="H32" s="63">
        <v>407</v>
      </c>
      <c r="I32" s="98">
        <v>31</v>
      </c>
      <c r="J32" s="96" t="s">
        <v>518</v>
      </c>
      <c r="K32" s="4">
        <v>0.5</v>
      </c>
      <c r="L32" s="4">
        <v>607</v>
      </c>
      <c r="M32" s="4">
        <v>479</v>
      </c>
      <c r="N32" s="4">
        <v>204</v>
      </c>
      <c r="O32" s="47">
        <f t="shared" si="7"/>
        <v>0.42588726513569936</v>
      </c>
      <c r="P32" s="4">
        <v>539</v>
      </c>
      <c r="Q32" s="4">
        <v>257</v>
      </c>
      <c r="R32" s="4">
        <v>30</v>
      </c>
      <c r="S32" s="4">
        <v>6.71</v>
      </c>
      <c r="T32" s="4">
        <v>24.52</v>
      </c>
      <c r="U32" s="4">
        <v>54.03</v>
      </c>
      <c r="V32" s="4">
        <v>34.479999999999997</v>
      </c>
      <c r="W32" s="4">
        <v>11.26</v>
      </c>
      <c r="X32" s="4">
        <v>201</v>
      </c>
      <c r="Y32" s="4">
        <v>7.54</v>
      </c>
      <c r="Z32" s="4">
        <f t="shared" si="8"/>
        <v>85.26</v>
      </c>
      <c r="AA32" s="11">
        <f t="shared" si="0"/>
        <v>2.8420000000000001</v>
      </c>
      <c r="AB32" s="4">
        <f t="shared" si="9"/>
        <v>958</v>
      </c>
      <c r="AC32" s="47">
        <f t="shared" si="1"/>
        <v>7.870044569551958E-2</v>
      </c>
      <c r="AD32" s="47">
        <f t="shared" si="2"/>
        <v>0.28759089842833685</v>
      </c>
      <c r="AE32" s="47">
        <f t="shared" si="3"/>
        <v>0.63370865587614356</v>
      </c>
      <c r="AF32" s="47">
        <f t="shared" si="4"/>
        <v>0.4044100398780201</v>
      </c>
      <c r="AG32" s="47">
        <f t="shared" si="5"/>
        <v>0.13206661975134881</v>
      </c>
      <c r="AH32" s="11">
        <f t="shared" si="17"/>
        <v>75.395026976307761</v>
      </c>
      <c r="AI32" s="11">
        <f t="shared" si="17"/>
        <v>275.51208069434671</v>
      </c>
      <c r="AJ32" s="11">
        <f t="shared" si="17"/>
        <v>607.09289232934555</v>
      </c>
      <c r="AK32" s="11">
        <f t="shared" si="17"/>
        <v>387.42481820314327</v>
      </c>
      <c r="AL32" s="11">
        <f t="shared" si="17"/>
        <v>126.51982172179217</v>
      </c>
      <c r="AM32" s="114">
        <f t="shared" si="10"/>
        <v>476.96</v>
      </c>
      <c r="AN32" s="69">
        <f t="shared" si="11"/>
        <v>0.49787056367432148</v>
      </c>
      <c r="AO32" s="12">
        <f t="shared" si="12"/>
        <v>151.9607843137255</v>
      </c>
      <c r="AP32" s="11">
        <f t="shared" si="13"/>
        <v>37.512437810945272</v>
      </c>
      <c r="AQ32" s="12">
        <f t="shared" si="14"/>
        <v>12714.716180371353</v>
      </c>
      <c r="AR32" s="60">
        <f t="shared" si="15"/>
        <v>115.53170077155318</v>
      </c>
      <c r="AS32" s="60">
        <f t="shared" si="16"/>
        <v>115.53170077155318</v>
      </c>
      <c r="AT32" s="43">
        <v>18.37</v>
      </c>
      <c r="AU32" s="43">
        <v>4.7805</v>
      </c>
      <c r="AV32">
        <v>51.4</v>
      </c>
      <c r="AW32">
        <v>79.099999999999994</v>
      </c>
      <c r="AX32" s="146">
        <v>-24.98</v>
      </c>
      <c r="AY32" s="146">
        <v>-25.95</v>
      </c>
      <c r="AZ32" s="60"/>
      <c r="BA32" s="60"/>
      <c r="BB32" s="60"/>
      <c r="BC32" s="60"/>
      <c r="BD32" s="60"/>
      <c r="BF32" t="s">
        <v>29</v>
      </c>
      <c r="BG32" s="60">
        <v>1538</v>
      </c>
      <c r="BH32" s="60">
        <v>1230</v>
      </c>
      <c r="BI32" s="60">
        <v>1100</v>
      </c>
      <c r="BJ32" s="60">
        <v>1198</v>
      </c>
      <c r="BK32" s="60">
        <v>1266.5</v>
      </c>
    </row>
    <row r="33" spans="1:63" x14ac:dyDescent="0.25">
      <c r="A33" s="63">
        <v>4</v>
      </c>
      <c r="B33" s="63">
        <v>8</v>
      </c>
      <c r="C33" s="63">
        <v>4</v>
      </c>
      <c r="D33" s="63">
        <v>29</v>
      </c>
      <c r="E33" s="63">
        <v>25</v>
      </c>
      <c r="F33" s="63" t="s">
        <v>30</v>
      </c>
      <c r="G33" s="63" t="s">
        <v>31</v>
      </c>
      <c r="H33" s="63">
        <v>408</v>
      </c>
      <c r="I33" s="98">
        <v>32</v>
      </c>
      <c r="J33" s="96" t="s">
        <v>518</v>
      </c>
      <c r="K33" s="4">
        <v>0.5</v>
      </c>
      <c r="L33" s="4">
        <v>693</v>
      </c>
      <c r="M33" s="4">
        <v>544</v>
      </c>
      <c r="N33" s="4">
        <v>228</v>
      </c>
      <c r="O33" s="47">
        <f t="shared" si="7"/>
        <v>0.41911764705882354</v>
      </c>
      <c r="P33" s="4">
        <v>408</v>
      </c>
      <c r="Q33" s="4">
        <v>181</v>
      </c>
      <c r="R33" s="4">
        <v>30</v>
      </c>
      <c r="S33" s="4">
        <v>3.49</v>
      </c>
      <c r="T33" s="4">
        <v>35.909999999999997</v>
      </c>
      <c r="U33" s="4">
        <v>64.430000000000007</v>
      </c>
      <c r="V33" s="4">
        <v>39.869999999999997</v>
      </c>
      <c r="W33" s="4">
        <v>16.03</v>
      </c>
      <c r="X33" s="4">
        <v>201</v>
      </c>
      <c r="Y33" s="4">
        <v>7.78</v>
      </c>
      <c r="Z33" s="4">
        <f t="shared" si="8"/>
        <v>103.83000000000001</v>
      </c>
      <c r="AA33" s="11">
        <f t="shared" si="0"/>
        <v>3.4610000000000003</v>
      </c>
      <c r="AB33" s="4">
        <f t="shared" si="9"/>
        <v>1088</v>
      </c>
      <c r="AC33" s="47">
        <f t="shared" si="1"/>
        <v>3.3612636039680246E-2</v>
      </c>
      <c r="AD33" s="47">
        <f t="shared" si="2"/>
        <v>0.34585379947991901</v>
      </c>
      <c r="AE33" s="47">
        <f t="shared" si="3"/>
        <v>0.62053356448040065</v>
      </c>
      <c r="AF33" s="47">
        <f t="shared" si="4"/>
        <v>0.3839930655879803</v>
      </c>
      <c r="AG33" s="47">
        <f t="shared" si="5"/>
        <v>0.15438697871520754</v>
      </c>
      <c r="AH33" s="11">
        <f t="shared" si="17"/>
        <v>36.570548011172107</v>
      </c>
      <c r="AI33" s="11">
        <f t="shared" si="17"/>
        <v>376.28893383415186</v>
      </c>
      <c r="AJ33" s="11">
        <f t="shared" si="17"/>
        <v>675.14051815467587</v>
      </c>
      <c r="AK33" s="11">
        <f t="shared" si="17"/>
        <v>417.78445535972259</v>
      </c>
      <c r="AL33" s="11">
        <f t="shared" si="17"/>
        <v>167.97303284214581</v>
      </c>
      <c r="AM33" s="114">
        <f t="shared" si="10"/>
        <v>535.74</v>
      </c>
      <c r="AN33" s="69">
        <f t="shared" si="11"/>
        <v>0.49240808823529414</v>
      </c>
      <c r="AO33" s="12">
        <f t="shared" si="12"/>
        <v>58.771929824561404</v>
      </c>
      <c r="AP33" s="11">
        <f t="shared" si="13"/>
        <v>38.706467661691541</v>
      </c>
      <c r="AQ33" s="12">
        <f t="shared" si="14"/>
        <v>13841.097686375322</v>
      </c>
      <c r="AR33" s="60">
        <f t="shared" si="15"/>
        <v>35.14017993802964</v>
      </c>
      <c r="AS33" s="60">
        <f t="shared" si="16"/>
        <v>35.14017993802964</v>
      </c>
      <c r="AT33" s="43">
        <v>11.383000000000001</v>
      </c>
      <c r="AU33" s="43">
        <v>2.2900999999999998</v>
      </c>
      <c r="AV33">
        <v>55.199999999999996</v>
      </c>
      <c r="AW33">
        <v>69</v>
      </c>
      <c r="AX33" s="146">
        <v>-25.49</v>
      </c>
      <c r="AY33" s="146">
        <v>-26.41</v>
      </c>
      <c r="AZ33" s="60"/>
      <c r="BA33" s="60"/>
      <c r="BB33" s="60"/>
      <c r="BC33" s="60"/>
      <c r="BD33" s="60"/>
      <c r="BE33" t="s">
        <v>30</v>
      </c>
      <c r="BF33" t="s">
        <v>32</v>
      </c>
      <c r="BG33" s="60">
        <v>912</v>
      </c>
      <c r="BH33" s="60">
        <v>1092</v>
      </c>
      <c r="BI33" s="60">
        <v>840</v>
      </c>
      <c r="BJ33" s="60">
        <v>952</v>
      </c>
      <c r="BK33" s="60">
        <v>949</v>
      </c>
    </row>
    <row r="34" spans="1:63" x14ac:dyDescent="0.25">
      <c r="A34" s="63"/>
      <c r="B34" s="63"/>
      <c r="C34" s="63"/>
      <c r="D34" s="63"/>
      <c r="E34" s="63"/>
      <c r="F34" s="63"/>
      <c r="G34" s="63"/>
      <c r="H34" s="63"/>
      <c r="BF34" t="s">
        <v>31</v>
      </c>
      <c r="BG34" s="60">
        <v>1166</v>
      </c>
      <c r="BH34" s="60">
        <v>1528</v>
      </c>
      <c r="BI34" s="60">
        <v>926</v>
      </c>
      <c r="BJ34" s="60">
        <v>1088</v>
      </c>
      <c r="BK34" s="60">
        <v>1177</v>
      </c>
    </row>
    <row r="35" spans="1:63" x14ac:dyDescent="0.25">
      <c r="BF35" t="s">
        <v>28</v>
      </c>
      <c r="BG35" s="60">
        <v>1108</v>
      </c>
      <c r="BH35" s="60">
        <v>1074</v>
      </c>
      <c r="BI35" s="60">
        <v>992</v>
      </c>
      <c r="BJ35" s="60">
        <v>658</v>
      </c>
      <c r="BK35" s="60">
        <v>958</v>
      </c>
    </row>
    <row r="36" spans="1:63" x14ac:dyDescent="0.25">
      <c r="BF36" t="s">
        <v>29</v>
      </c>
      <c r="BG36" s="60">
        <v>1294</v>
      </c>
      <c r="BH36" s="60">
        <v>1124</v>
      </c>
      <c r="BI36" s="60">
        <v>1030</v>
      </c>
      <c r="BJ36" s="60">
        <v>934</v>
      </c>
      <c r="BK36" s="60">
        <v>1095.5</v>
      </c>
    </row>
    <row r="37" spans="1:63" x14ac:dyDescent="0.25">
      <c r="BE37" t="s">
        <v>325</v>
      </c>
      <c r="BG37" s="60">
        <v>1229.75</v>
      </c>
      <c r="BH37" s="60">
        <v>1191.75</v>
      </c>
      <c r="BI37" s="60">
        <v>1035.25</v>
      </c>
      <c r="BJ37" s="60">
        <v>960</v>
      </c>
      <c r="BK37" s="60">
        <v>1104.1875</v>
      </c>
    </row>
    <row r="40" spans="1:63" x14ac:dyDescent="0.25">
      <c r="BG40" s="46" t="s">
        <v>23</v>
      </c>
    </row>
    <row r="41" spans="1:63" x14ac:dyDescent="0.25">
      <c r="BE41" s="46" t="s">
        <v>21</v>
      </c>
      <c r="BF41" s="46" t="s">
        <v>22</v>
      </c>
      <c r="BG41">
        <v>1</v>
      </c>
      <c r="BH41">
        <v>2</v>
      </c>
      <c r="BI41">
        <v>3</v>
      </c>
      <c r="BJ41">
        <v>4</v>
      </c>
      <c r="BK41" t="s">
        <v>325</v>
      </c>
    </row>
    <row r="42" spans="1:63" x14ac:dyDescent="0.25">
      <c r="BE42" t="s">
        <v>25</v>
      </c>
      <c r="BF42" t="s">
        <v>26</v>
      </c>
    </row>
    <row r="43" spans="1:63" x14ac:dyDescent="0.25">
      <c r="BF43" t="s">
        <v>27</v>
      </c>
    </row>
    <row r="44" spans="1:63" x14ac:dyDescent="0.25">
      <c r="BF44" t="s">
        <v>28</v>
      </c>
    </row>
    <row r="45" spans="1:63" x14ac:dyDescent="0.25">
      <c r="BF45" t="s">
        <v>29</v>
      </c>
    </row>
    <row r="46" spans="1:63" x14ac:dyDescent="0.25">
      <c r="BE46" t="s">
        <v>30</v>
      </c>
      <c r="BF46" t="s">
        <v>32</v>
      </c>
    </row>
    <row r="47" spans="1:63" x14ac:dyDescent="0.25">
      <c r="BF47" t="s">
        <v>31</v>
      </c>
    </row>
    <row r="48" spans="1:63" x14ac:dyDescent="0.25">
      <c r="BF48" t="s">
        <v>28</v>
      </c>
    </row>
    <row r="49" spans="57:63" x14ac:dyDescent="0.25">
      <c r="BF49" t="s">
        <v>29</v>
      </c>
    </row>
    <row r="50" spans="57:63" x14ac:dyDescent="0.25">
      <c r="BE50" t="s">
        <v>325</v>
      </c>
    </row>
    <row r="54" spans="57:63" x14ac:dyDescent="0.25">
      <c r="BE54" s="46" t="s">
        <v>594</v>
      </c>
      <c r="BG54" s="46" t="s">
        <v>23</v>
      </c>
    </row>
    <row r="55" spans="57:63" x14ac:dyDescent="0.25">
      <c r="BE55" s="46" t="s">
        <v>21</v>
      </c>
      <c r="BF55" s="46" t="s">
        <v>22</v>
      </c>
      <c r="BG55">
        <v>1</v>
      </c>
      <c r="BH55">
        <v>2</v>
      </c>
      <c r="BI55">
        <v>3</v>
      </c>
      <c r="BJ55">
        <v>4</v>
      </c>
      <c r="BK55" t="s">
        <v>325</v>
      </c>
    </row>
    <row r="56" spans="57:63" x14ac:dyDescent="0.25">
      <c r="BE56" t="s">
        <v>25</v>
      </c>
      <c r="BF56" t="s">
        <v>26</v>
      </c>
      <c r="BG56" s="60">
        <v>36.15</v>
      </c>
      <c r="BH56" s="60">
        <v>36.188118811881182</v>
      </c>
      <c r="BI56" s="60">
        <v>37.213930348258707</v>
      </c>
      <c r="BJ56" s="60">
        <v>37.512437810945272</v>
      </c>
      <c r="BK56" s="60">
        <v>36.76612174277129</v>
      </c>
    </row>
    <row r="57" spans="57:63" x14ac:dyDescent="0.25">
      <c r="BF57" t="s">
        <v>27</v>
      </c>
      <c r="BG57" s="60">
        <v>39.15</v>
      </c>
      <c r="BH57" s="60">
        <v>39.75</v>
      </c>
      <c r="BI57" s="60">
        <v>40.300000000000004</v>
      </c>
      <c r="BJ57" s="60">
        <v>36.019900497512438</v>
      </c>
      <c r="BK57" s="60">
        <v>38.804975124378117</v>
      </c>
    </row>
    <row r="58" spans="57:63" x14ac:dyDescent="0.25">
      <c r="BF58" t="s">
        <v>28</v>
      </c>
      <c r="BG58" s="60">
        <v>40.75</v>
      </c>
      <c r="BH58" s="60">
        <v>39.211822660098527</v>
      </c>
      <c r="BI58" s="60">
        <v>40.549999999999997</v>
      </c>
      <c r="BJ58" s="60">
        <v>40.14778325123153</v>
      </c>
      <c r="BK58" s="60">
        <v>40.164901477832515</v>
      </c>
    </row>
    <row r="59" spans="57:63" x14ac:dyDescent="0.25">
      <c r="BF59" t="s">
        <v>29</v>
      </c>
      <c r="BG59" s="60">
        <v>42.089552238805979</v>
      </c>
      <c r="BH59" s="60">
        <v>43.3</v>
      </c>
      <c r="BI59" s="60">
        <v>41.707317073170735</v>
      </c>
      <c r="BJ59" s="60">
        <v>41.519607843137258</v>
      </c>
      <c r="BK59" s="60">
        <v>42.154119288778496</v>
      </c>
    </row>
    <row r="60" spans="57:63" x14ac:dyDescent="0.25">
      <c r="BE60" t="s">
        <v>30</v>
      </c>
      <c r="BF60" t="s">
        <v>32</v>
      </c>
      <c r="BG60" s="60">
        <v>42.437810945273633</v>
      </c>
      <c r="BH60" s="60">
        <v>42.587064676616919</v>
      </c>
      <c r="BI60" s="60">
        <v>45.15</v>
      </c>
      <c r="BJ60" s="60">
        <v>44.050000000000004</v>
      </c>
      <c r="BK60" s="60">
        <v>43.55621890547264</v>
      </c>
    </row>
    <row r="61" spans="57:63" x14ac:dyDescent="0.25">
      <c r="BF61" t="s">
        <v>31</v>
      </c>
      <c r="BG61" s="60">
        <v>37.093596059113302</v>
      </c>
      <c r="BH61" s="60">
        <v>39.1</v>
      </c>
      <c r="BI61" s="60">
        <v>36.4</v>
      </c>
      <c r="BJ61" s="60">
        <v>38.706467661691541</v>
      </c>
      <c r="BK61" s="60">
        <v>37.825015930201211</v>
      </c>
    </row>
    <row r="62" spans="57:63" x14ac:dyDescent="0.25">
      <c r="BF62" t="s">
        <v>28</v>
      </c>
      <c r="BG62" s="60">
        <v>42.1</v>
      </c>
      <c r="BH62" s="60">
        <v>43.7</v>
      </c>
      <c r="BI62" s="60">
        <v>43.6</v>
      </c>
      <c r="BJ62" s="60">
        <v>43.4</v>
      </c>
      <c r="BK62" s="60">
        <v>43.2</v>
      </c>
    </row>
    <row r="63" spans="57:63" x14ac:dyDescent="0.25">
      <c r="BF63" t="s">
        <v>29</v>
      </c>
      <c r="BG63" s="60">
        <v>39.800000000000004</v>
      </c>
      <c r="BH63" s="60">
        <v>40.950000000000003</v>
      </c>
      <c r="BI63" s="60">
        <v>38.861386138613859</v>
      </c>
      <c r="BJ63" s="60">
        <v>39.802955665024633</v>
      </c>
      <c r="BK63" s="60">
        <v>39.85358545090962</v>
      </c>
    </row>
    <row r="64" spans="57:63" x14ac:dyDescent="0.25">
      <c r="BE64" t="s">
        <v>325</v>
      </c>
      <c r="BG64" s="60">
        <v>39.946369905399116</v>
      </c>
      <c r="BH64" s="60">
        <v>40.598375768574577</v>
      </c>
      <c r="BI64" s="60">
        <v>40.472829195005417</v>
      </c>
      <c r="BJ64" s="60">
        <v>40.144894091192832</v>
      </c>
      <c r="BK64" s="60">
        <v>40.290617240042984</v>
      </c>
    </row>
    <row r="68" spans="57:63" x14ac:dyDescent="0.25">
      <c r="BE68" s="46" t="s">
        <v>596</v>
      </c>
      <c r="BG68" s="46" t="s">
        <v>23</v>
      </c>
    </row>
    <row r="69" spans="57:63" x14ac:dyDescent="0.25">
      <c r="BE69" s="46" t="s">
        <v>21</v>
      </c>
      <c r="BF69" s="46" t="s">
        <v>22</v>
      </c>
      <c r="BG69">
        <v>1</v>
      </c>
      <c r="BH69">
        <v>2</v>
      </c>
      <c r="BI69">
        <v>3</v>
      </c>
      <c r="BJ69">
        <v>4</v>
      </c>
      <c r="BK69" t="s">
        <v>325</v>
      </c>
    </row>
    <row r="70" spans="57:63" x14ac:dyDescent="0.25">
      <c r="BE70" t="s">
        <v>25</v>
      </c>
      <c r="BF70" t="s">
        <v>26</v>
      </c>
      <c r="BG70" s="60">
        <v>15551.867219917012</v>
      </c>
      <c r="BH70" s="60">
        <v>17276.388508891934</v>
      </c>
      <c r="BI70" s="60">
        <v>15111.545454545456</v>
      </c>
      <c r="BJ70" s="60">
        <v>12714.716180371353</v>
      </c>
      <c r="BK70" s="60">
        <v>15163.629340931438</v>
      </c>
    </row>
    <row r="71" spans="57:63" x14ac:dyDescent="0.25">
      <c r="BF71" t="s">
        <v>27</v>
      </c>
      <c r="BG71" s="60">
        <v>12122.605363984676</v>
      </c>
      <c r="BH71" s="60">
        <v>10937.861635220124</v>
      </c>
      <c r="BI71" s="60">
        <v>11524.069478908188</v>
      </c>
      <c r="BJ71" s="60">
        <v>12285.430939226517</v>
      </c>
      <c r="BK71" s="60">
        <v>11717.491854334876</v>
      </c>
    </row>
    <row r="72" spans="57:63" x14ac:dyDescent="0.25">
      <c r="BF72" t="s">
        <v>28</v>
      </c>
      <c r="BG72" s="60">
        <v>21371.779141104293</v>
      </c>
      <c r="BH72" s="60">
        <v>15759.532663316582</v>
      </c>
      <c r="BI72" s="60">
        <v>19384.463625154131</v>
      </c>
      <c r="BJ72" s="60">
        <v>15343.811042944784</v>
      </c>
      <c r="BK72" s="60">
        <v>17964.896618129947</v>
      </c>
    </row>
    <row r="73" spans="57:63" x14ac:dyDescent="0.25">
      <c r="BF73" t="s">
        <v>29</v>
      </c>
      <c r="BG73" s="60">
        <v>18769.503546099288</v>
      </c>
      <c r="BH73" s="60">
        <v>14717.782909930716</v>
      </c>
      <c r="BI73" s="60">
        <v>14708.21052631579</v>
      </c>
      <c r="BJ73" s="60">
        <v>15664.406139315228</v>
      </c>
      <c r="BK73" s="60">
        <v>15964.975780415256</v>
      </c>
    </row>
    <row r="74" spans="57:63" x14ac:dyDescent="0.25">
      <c r="BE74" t="s">
        <v>30</v>
      </c>
      <c r="BF74" t="s">
        <v>32</v>
      </c>
      <c r="BG74" s="60">
        <v>10579.716295427903</v>
      </c>
      <c r="BH74" s="60">
        <v>10707.476635514018</v>
      </c>
      <c r="BI74" s="60">
        <v>8267.1096345514961</v>
      </c>
      <c r="BJ74" s="60">
        <v>9400.6810442678761</v>
      </c>
      <c r="BK74" s="60">
        <v>9738.7459024403233</v>
      </c>
    </row>
    <row r="75" spans="57:63" x14ac:dyDescent="0.25">
      <c r="BF75" t="s">
        <v>31</v>
      </c>
      <c r="BG75" s="60">
        <v>15852.332005312082</v>
      </c>
      <c r="BH75" s="60">
        <v>18369.3094629156</v>
      </c>
      <c r="BI75" s="60">
        <v>13269.230769230768</v>
      </c>
      <c r="BJ75" s="60">
        <v>13841.097686375322</v>
      </c>
      <c r="BK75" s="60">
        <v>15332.992480958443</v>
      </c>
    </row>
    <row r="76" spans="57:63" x14ac:dyDescent="0.25">
      <c r="BF76" t="s">
        <v>28</v>
      </c>
      <c r="BG76" s="60">
        <v>15180.047505938244</v>
      </c>
      <c r="BH76" s="60">
        <v>13490.617848970251</v>
      </c>
      <c r="BI76" s="60">
        <v>13591.743119266055</v>
      </c>
      <c r="BJ76" s="60">
        <v>11650.230414746544</v>
      </c>
      <c r="BK76" s="60">
        <v>13478.159722230273</v>
      </c>
    </row>
    <row r="77" spans="57:63" x14ac:dyDescent="0.25">
      <c r="BF77" t="s">
        <v>29</v>
      </c>
      <c r="BG77" s="60">
        <v>17346.733668341709</v>
      </c>
      <c r="BH77" s="60">
        <v>15260.073260073259</v>
      </c>
      <c r="BI77" s="60">
        <v>15373.615286624205</v>
      </c>
      <c r="BJ77" s="60">
        <v>13050.287128712871</v>
      </c>
      <c r="BK77" s="60">
        <v>15257.677335938011</v>
      </c>
    </row>
    <row r="78" spans="57:63" x14ac:dyDescent="0.25">
      <c r="BE78" t="s">
        <v>325</v>
      </c>
      <c r="BG78" s="60">
        <v>15846.823093265652</v>
      </c>
      <c r="BH78" s="60">
        <v>14564.880365604058</v>
      </c>
      <c r="BI78" s="60">
        <v>13903.748486824512</v>
      </c>
      <c r="BJ78" s="60">
        <v>12993.832571995061</v>
      </c>
      <c r="BK78" s="60">
        <v>14327.321129422324</v>
      </c>
    </row>
  </sheetData>
  <sortState xmlns:xlrd2="http://schemas.microsoft.com/office/spreadsheetml/2017/richdata2" ref="A2:H34">
    <sortCondition ref="A1:A34"/>
  </sortState>
  <pageMargins left="0.7" right="0.7" top="0.75" bottom="0.75" header="0.3" footer="0.3"/>
  <pageSetup paperSize="9" orientation="portrait" r:id="rId7"/>
  <legacyDrawing r:id="rId8"/>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9BE9A-E714-49D0-821B-122365FB96D7}">
  <dimension ref="A1:AA41"/>
  <sheetViews>
    <sheetView workbookViewId="0">
      <selection activeCell="Z14" sqref="Z14:Z21"/>
    </sheetView>
  </sheetViews>
  <sheetFormatPr defaultRowHeight="15" x14ac:dyDescent="0.25"/>
  <cols>
    <col min="1" max="5" width="9.28515625" style="4"/>
    <col min="6" max="6" width="11.5703125" style="4" customWidth="1"/>
    <col min="7" max="7" width="17.7109375" style="4" customWidth="1"/>
    <col min="8" max="8" width="9.28515625" style="4"/>
    <col min="9" max="9" width="11.5703125" customWidth="1"/>
    <col min="10" max="10" width="11.42578125" customWidth="1"/>
    <col min="11" max="11" width="11.28515625" customWidth="1"/>
    <col min="12" max="12" width="11.5703125" customWidth="1"/>
    <col min="13" max="13" width="11.5703125" style="61" customWidth="1"/>
    <col min="20" max="20" width="21.42578125" customWidth="1"/>
    <col min="21" max="21" width="13.42578125" bestFit="1" customWidth="1"/>
    <col min="22" max="25" width="8.7109375" bestFit="1" customWidth="1"/>
    <col min="26" max="26" width="10.5703125" bestFit="1" customWidth="1"/>
  </cols>
  <sheetData>
    <row r="1" spans="1:26" ht="60.75" customHeight="1" x14ac:dyDescent="0.25">
      <c r="A1" s="10" t="s">
        <v>23</v>
      </c>
      <c r="B1" s="10" t="s">
        <v>24</v>
      </c>
      <c r="C1" s="10" t="s">
        <v>281</v>
      </c>
      <c r="D1" s="10" t="s">
        <v>282</v>
      </c>
      <c r="E1" s="10" t="s">
        <v>77</v>
      </c>
      <c r="F1" s="10" t="s">
        <v>21</v>
      </c>
      <c r="G1" s="10" t="s">
        <v>22</v>
      </c>
      <c r="H1" s="10" t="s">
        <v>76</v>
      </c>
      <c r="I1" s="10" t="s">
        <v>500</v>
      </c>
      <c r="J1" s="10" t="s">
        <v>577</v>
      </c>
      <c r="K1" s="10" t="s">
        <v>571</v>
      </c>
      <c r="L1" s="10" t="s">
        <v>580</v>
      </c>
      <c r="M1" s="112" t="s">
        <v>579</v>
      </c>
      <c r="N1" s="10" t="s">
        <v>519</v>
      </c>
      <c r="O1" s="10" t="s">
        <v>520</v>
      </c>
      <c r="P1" s="10" t="s">
        <v>521</v>
      </c>
    </row>
    <row r="2" spans="1:26" x14ac:dyDescent="0.25">
      <c r="A2" s="63">
        <v>1</v>
      </c>
      <c r="B2" s="63">
        <v>1</v>
      </c>
      <c r="C2" s="63">
        <v>1</v>
      </c>
      <c r="D2" s="63">
        <v>1</v>
      </c>
      <c r="E2" s="63">
        <v>1</v>
      </c>
      <c r="F2" s="63" t="s">
        <v>25</v>
      </c>
      <c r="G2" s="63" t="s">
        <v>26</v>
      </c>
      <c r="H2" s="63">
        <v>101</v>
      </c>
      <c r="I2" s="41">
        <v>45639</v>
      </c>
      <c r="J2">
        <v>2.8</v>
      </c>
      <c r="K2">
        <f t="shared" ref="K2:K33" si="0">J2*1</f>
        <v>2.8</v>
      </c>
      <c r="L2">
        <v>1.83</v>
      </c>
      <c r="M2" s="61">
        <f>(L2*10)/K2</f>
        <v>6.5357142857142865</v>
      </c>
      <c r="N2" s="61">
        <v>10.57</v>
      </c>
      <c r="O2" s="61">
        <v>12.86</v>
      </c>
    </row>
    <row r="3" spans="1:26" x14ac:dyDescent="0.25">
      <c r="A3" s="63">
        <v>2</v>
      </c>
      <c r="B3" s="63">
        <v>1</v>
      </c>
      <c r="C3" s="63">
        <v>1</v>
      </c>
      <c r="D3" s="63">
        <v>2</v>
      </c>
      <c r="E3" s="63">
        <v>16</v>
      </c>
      <c r="F3" s="63" t="s">
        <v>25</v>
      </c>
      <c r="G3" s="63" t="s">
        <v>27</v>
      </c>
      <c r="H3" s="63">
        <v>201</v>
      </c>
      <c r="I3" s="41">
        <v>45639</v>
      </c>
      <c r="J3">
        <v>1.95</v>
      </c>
      <c r="K3">
        <f t="shared" si="0"/>
        <v>1.95</v>
      </c>
      <c r="L3">
        <v>0.83</v>
      </c>
      <c r="M3" s="61">
        <f t="shared" ref="M3:M33" si="1">(L3*10)/K3</f>
        <v>4.2564102564102564</v>
      </c>
      <c r="N3" s="61">
        <v>9.75</v>
      </c>
      <c r="O3" s="61">
        <v>15.81</v>
      </c>
    </row>
    <row r="4" spans="1:26" x14ac:dyDescent="0.25">
      <c r="A4" s="63">
        <v>3</v>
      </c>
      <c r="B4" s="63">
        <v>1</v>
      </c>
      <c r="C4" s="63">
        <v>1</v>
      </c>
      <c r="D4" s="63">
        <v>3</v>
      </c>
      <c r="E4" s="63">
        <v>17</v>
      </c>
      <c r="F4" s="63" t="s">
        <v>25</v>
      </c>
      <c r="G4" s="63" t="s">
        <v>28</v>
      </c>
      <c r="H4" s="63">
        <v>301</v>
      </c>
      <c r="I4" s="41">
        <v>45639</v>
      </c>
      <c r="J4">
        <v>3.54</v>
      </c>
      <c r="K4">
        <f t="shared" si="0"/>
        <v>3.54</v>
      </c>
      <c r="L4">
        <v>2.44</v>
      </c>
      <c r="M4" s="61">
        <f t="shared" si="1"/>
        <v>6.8926553672316375</v>
      </c>
      <c r="N4" s="61">
        <v>10.06</v>
      </c>
      <c r="O4" s="61">
        <v>11.72</v>
      </c>
    </row>
    <row r="5" spans="1:26" x14ac:dyDescent="0.25">
      <c r="A5" s="63">
        <v>4</v>
      </c>
      <c r="B5" s="63">
        <v>1</v>
      </c>
      <c r="C5" s="63">
        <v>1</v>
      </c>
      <c r="D5" s="63">
        <v>4</v>
      </c>
      <c r="E5" s="63">
        <v>32</v>
      </c>
      <c r="F5" s="63" t="s">
        <v>25</v>
      </c>
      <c r="G5" s="63" t="s">
        <v>29</v>
      </c>
      <c r="H5" s="63">
        <v>401</v>
      </c>
      <c r="I5" s="41">
        <v>45639</v>
      </c>
      <c r="J5">
        <v>3.55</v>
      </c>
      <c r="K5">
        <f t="shared" si="0"/>
        <v>3.55</v>
      </c>
      <c r="L5">
        <v>2.2999999999999998</v>
      </c>
      <c r="M5" s="61">
        <f t="shared" si="1"/>
        <v>6.47887323943662</v>
      </c>
      <c r="N5" s="61">
        <v>9.86</v>
      </c>
      <c r="O5" s="61">
        <v>12.12</v>
      </c>
    </row>
    <row r="6" spans="1:26" x14ac:dyDescent="0.25">
      <c r="A6" s="63">
        <v>1</v>
      </c>
      <c r="B6" s="63">
        <v>2</v>
      </c>
      <c r="C6" s="63">
        <v>1</v>
      </c>
      <c r="D6" s="63">
        <v>8</v>
      </c>
      <c r="E6" s="63">
        <v>2</v>
      </c>
      <c r="F6" s="63" t="s">
        <v>30</v>
      </c>
      <c r="G6" s="63" t="s">
        <v>31</v>
      </c>
      <c r="H6" s="63">
        <v>102</v>
      </c>
      <c r="I6" s="41">
        <v>45639</v>
      </c>
      <c r="J6">
        <v>2.59</v>
      </c>
      <c r="K6">
        <f t="shared" si="0"/>
        <v>2.59</v>
      </c>
      <c r="L6">
        <v>1.52</v>
      </c>
      <c r="M6" s="61">
        <f t="shared" si="1"/>
        <v>5.8687258687258685</v>
      </c>
      <c r="N6" s="61">
        <v>9.92</v>
      </c>
      <c r="O6" s="61">
        <v>12.96</v>
      </c>
    </row>
    <row r="7" spans="1:26" x14ac:dyDescent="0.25">
      <c r="A7" s="63">
        <v>2</v>
      </c>
      <c r="B7" s="63">
        <v>2</v>
      </c>
      <c r="C7" s="63">
        <v>1</v>
      </c>
      <c r="D7" s="63">
        <v>7</v>
      </c>
      <c r="E7" s="63">
        <v>15</v>
      </c>
      <c r="F7" s="63" t="s">
        <v>30</v>
      </c>
      <c r="G7" s="63" t="s">
        <v>28</v>
      </c>
      <c r="H7" s="63">
        <v>202</v>
      </c>
      <c r="I7" s="41">
        <v>45639</v>
      </c>
      <c r="J7">
        <v>2.3199999999999998</v>
      </c>
      <c r="K7">
        <f t="shared" si="0"/>
        <v>2.3199999999999998</v>
      </c>
      <c r="L7">
        <v>1.41</v>
      </c>
      <c r="M7" s="61">
        <f t="shared" si="1"/>
        <v>6.0775862068965516</v>
      </c>
      <c r="N7" s="61">
        <v>9.6999999999999993</v>
      </c>
      <c r="O7" s="61">
        <v>11.42</v>
      </c>
    </row>
    <row r="8" spans="1:26" x14ac:dyDescent="0.25">
      <c r="A8" s="63">
        <v>3</v>
      </c>
      <c r="B8" s="63">
        <v>2</v>
      </c>
      <c r="C8" s="63">
        <v>1</v>
      </c>
      <c r="D8" s="63">
        <v>6</v>
      </c>
      <c r="E8" s="63">
        <v>18</v>
      </c>
      <c r="F8" s="63" t="s">
        <v>30</v>
      </c>
      <c r="G8" s="63" t="s">
        <v>29</v>
      </c>
      <c r="H8" s="63">
        <v>302</v>
      </c>
      <c r="I8" s="41">
        <v>45639</v>
      </c>
      <c r="J8">
        <v>3.56</v>
      </c>
      <c r="K8">
        <f t="shared" si="0"/>
        <v>3.56</v>
      </c>
      <c r="L8">
        <v>2.1</v>
      </c>
      <c r="M8" s="61">
        <f t="shared" si="1"/>
        <v>5.8988764044943816</v>
      </c>
      <c r="N8" s="61">
        <v>9.83</v>
      </c>
      <c r="O8" s="61">
        <v>10.53</v>
      </c>
    </row>
    <row r="9" spans="1:26" x14ac:dyDescent="0.25">
      <c r="A9" s="63">
        <v>4</v>
      </c>
      <c r="B9" s="63">
        <v>2</v>
      </c>
      <c r="C9" s="63">
        <v>1</v>
      </c>
      <c r="D9" s="63">
        <v>5</v>
      </c>
      <c r="E9" s="63">
        <v>31</v>
      </c>
      <c r="F9" s="63" t="s">
        <v>30</v>
      </c>
      <c r="G9" s="63" t="s">
        <v>32</v>
      </c>
      <c r="H9" s="63">
        <v>402</v>
      </c>
      <c r="I9" s="41">
        <v>45639</v>
      </c>
      <c r="J9">
        <v>3.47</v>
      </c>
      <c r="K9">
        <f t="shared" si="0"/>
        <v>3.47</v>
      </c>
      <c r="L9">
        <v>1.19</v>
      </c>
      <c r="M9" s="61">
        <f t="shared" si="1"/>
        <v>3.4293948126801146</v>
      </c>
      <c r="N9" s="61">
        <v>10.11</v>
      </c>
      <c r="O9" s="61">
        <v>13.47</v>
      </c>
    </row>
    <row r="10" spans="1:26" x14ac:dyDescent="0.25">
      <c r="A10" s="63">
        <v>1</v>
      </c>
      <c r="B10" s="63">
        <v>3</v>
      </c>
      <c r="C10" s="63">
        <v>2</v>
      </c>
      <c r="D10" s="63">
        <v>9</v>
      </c>
      <c r="E10" s="63">
        <v>3</v>
      </c>
      <c r="F10" s="63" t="s">
        <v>25</v>
      </c>
      <c r="G10" s="63" t="s">
        <v>27</v>
      </c>
      <c r="H10" s="63">
        <v>103</v>
      </c>
      <c r="I10" s="41">
        <v>45639</v>
      </c>
      <c r="J10">
        <v>3.16</v>
      </c>
      <c r="K10">
        <f t="shared" si="0"/>
        <v>3.16</v>
      </c>
      <c r="L10">
        <v>1.76</v>
      </c>
      <c r="M10" s="61">
        <f t="shared" si="1"/>
        <v>5.5696202531645573</v>
      </c>
      <c r="N10" s="61">
        <v>9.7100000000000009</v>
      </c>
      <c r="O10" s="61">
        <v>13.65</v>
      </c>
    </row>
    <row r="11" spans="1:26" x14ac:dyDescent="0.25">
      <c r="A11" s="63">
        <v>2</v>
      </c>
      <c r="B11" s="63">
        <v>3</v>
      </c>
      <c r="C11" s="63">
        <v>2</v>
      </c>
      <c r="D11" s="63">
        <v>10</v>
      </c>
      <c r="E11" s="63">
        <v>14</v>
      </c>
      <c r="F11" s="63" t="s">
        <v>25</v>
      </c>
      <c r="G11" s="63" t="s">
        <v>29</v>
      </c>
      <c r="H11" s="63">
        <v>203</v>
      </c>
      <c r="I11" s="41">
        <v>45639</v>
      </c>
      <c r="J11">
        <v>3.1</v>
      </c>
      <c r="K11">
        <f t="shared" si="0"/>
        <v>3.1</v>
      </c>
      <c r="L11">
        <v>1.7</v>
      </c>
      <c r="M11" s="61">
        <f t="shared" si="1"/>
        <v>5.4838709677419351</v>
      </c>
      <c r="N11" s="61">
        <v>10.1</v>
      </c>
      <c r="O11" s="61">
        <v>11.75</v>
      </c>
    </row>
    <row r="12" spans="1:26" x14ac:dyDescent="0.25">
      <c r="A12" s="63">
        <v>3</v>
      </c>
      <c r="B12" s="63">
        <v>3</v>
      </c>
      <c r="C12" s="63">
        <v>2</v>
      </c>
      <c r="D12" s="63">
        <v>11</v>
      </c>
      <c r="E12" s="63">
        <v>19</v>
      </c>
      <c r="F12" s="63" t="s">
        <v>25</v>
      </c>
      <c r="G12" s="63" t="s">
        <v>26</v>
      </c>
      <c r="H12" s="63">
        <v>303</v>
      </c>
      <c r="I12" s="41">
        <v>45639</v>
      </c>
      <c r="J12">
        <v>3.32</v>
      </c>
      <c r="K12">
        <f t="shared" si="0"/>
        <v>3.32</v>
      </c>
      <c r="L12">
        <v>2.1</v>
      </c>
      <c r="M12" s="61">
        <f t="shared" si="1"/>
        <v>6.3253012048192776</v>
      </c>
      <c r="N12" s="61">
        <v>10.64</v>
      </c>
      <c r="O12" s="61">
        <v>10.79</v>
      </c>
      <c r="T12" s="46" t="s">
        <v>581</v>
      </c>
      <c r="V12" s="46" t="s">
        <v>23</v>
      </c>
    </row>
    <row r="13" spans="1:26" x14ac:dyDescent="0.25">
      <c r="A13" s="63">
        <v>4</v>
      </c>
      <c r="B13" s="63">
        <v>3</v>
      </c>
      <c r="C13" s="63">
        <v>2</v>
      </c>
      <c r="D13" s="63">
        <v>12</v>
      </c>
      <c r="E13" s="63">
        <v>30</v>
      </c>
      <c r="F13" s="63" t="s">
        <v>25</v>
      </c>
      <c r="G13" s="63" t="s">
        <v>28</v>
      </c>
      <c r="H13" s="63">
        <v>403</v>
      </c>
      <c r="I13" s="41">
        <v>45639</v>
      </c>
      <c r="J13">
        <v>3.96</v>
      </c>
      <c r="K13">
        <f t="shared" si="0"/>
        <v>3.96</v>
      </c>
      <c r="L13">
        <v>2.59</v>
      </c>
      <c r="M13" s="61">
        <f t="shared" si="1"/>
        <v>6.5404040404040398</v>
      </c>
      <c r="N13" s="61">
        <v>10.039999999999999</v>
      </c>
      <c r="O13" s="61">
        <v>11.6</v>
      </c>
      <c r="T13" s="46" t="s">
        <v>21</v>
      </c>
      <c r="U13" s="46" t="s">
        <v>22</v>
      </c>
      <c r="V13">
        <v>1</v>
      </c>
      <c r="W13">
        <v>2</v>
      </c>
      <c r="X13">
        <v>3</v>
      </c>
      <c r="Y13">
        <v>4</v>
      </c>
      <c r="Z13" t="s">
        <v>325</v>
      </c>
    </row>
    <row r="14" spans="1:26" x14ac:dyDescent="0.25">
      <c r="A14" s="63">
        <v>1</v>
      </c>
      <c r="B14" s="63">
        <v>4</v>
      </c>
      <c r="C14" s="63">
        <v>2</v>
      </c>
      <c r="D14" s="63">
        <v>16</v>
      </c>
      <c r="E14" s="63">
        <v>4</v>
      </c>
      <c r="F14" s="63" t="s">
        <v>30</v>
      </c>
      <c r="G14" s="63" t="s">
        <v>28</v>
      </c>
      <c r="H14" s="63">
        <v>104</v>
      </c>
      <c r="I14" s="41">
        <v>45639</v>
      </c>
      <c r="J14">
        <v>3.59</v>
      </c>
      <c r="K14">
        <f t="shared" si="0"/>
        <v>3.59</v>
      </c>
      <c r="L14">
        <v>2.42</v>
      </c>
      <c r="M14" s="61">
        <f t="shared" si="1"/>
        <v>6.740947075208914</v>
      </c>
      <c r="N14" s="61">
        <v>9.8800000000000008</v>
      </c>
      <c r="O14" s="61">
        <v>11.77</v>
      </c>
      <c r="T14" t="s">
        <v>25</v>
      </c>
      <c r="U14" t="s">
        <v>26</v>
      </c>
      <c r="V14" s="43">
        <v>6.5357142857142865</v>
      </c>
      <c r="W14" s="43">
        <v>5.6748466257668717</v>
      </c>
      <c r="X14" s="43">
        <v>6.3253012048192776</v>
      </c>
      <c r="Y14" s="43">
        <v>5.9050445103857561</v>
      </c>
      <c r="Z14" s="43">
        <v>6.1102266566715482</v>
      </c>
    </row>
    <row r="15" spans="1:26" x14ac:dyDescent="0.25">
      <c r="A15" s="63">
        <v>2</v>
      </c>
      <c r="B15" s="63">
        <v>4</v>
      </c>
      <c r="C15" s="63">
        <v>2</v>
      </c>
      <c r="D15" s="63">
        <v>15</v>
      </c>
      <c r="E15" s="63">
        <v>13</v>
      </c>
      <c r="F15" s="63" t="s">
        <v>30</v>
      </c>
      <c r="G15" s="63" t="s">
        <v>32</v>
      </c>
      <c r="H15" s="63">
        <v>204</v>
      </c>
      <c r="I15" s="41">
        <v>45639</v>
      </c>
      <c r="J15">
        <v>3.62</v>
      </c>
      <c r="K15">
        <f t="shared" si="0"/>
        <v>3.62</v>
      </c>
      <c r="L15">
        <v>1.55</v>
      </c>
      <c r="M15" s="61">
        <f t="shared" si="1"/>
        <v>4.2817679558011053</v>
      </c>
      <c r="N15" s="61">
        <v>10.4</v>
      </c>
      <c r="O15" s="61">
        <v>13.52</v>
      </c>
      <c r="U15" t="s">
        <v>27</v>
      </c>
      <c r="V15" s="43">
        <v>5.5696202531645573</v>
      </c>
      <c r="W15" s="43">
        <v>4.2564102564102564</v>
      </c>
      <c r="X15" s="43">
        <v>4.9393939393939386</v>
      </c>
      <c r="Y15" s="43">
        <v>6.0683760683760681</v>
      </c>
      <c r="Z15" s="43">
        <v>5.2084501293362049</v>
      </c>
    </row>
    <row r="16" spans="1:26" x14ac:dyDescent="0.25">
      <c r="A16" s="63">
        <v>3</v>
      </c>
      <c r="B16" s="63">
        <v>4</v>
      </c>
      <c r="C16" s="63">
        <v>2</v>
      </c>
      <c r="D16" s="63">
        <v>14</v>
      </c>
      <c r="E16" s="63">
        <v>20</v>
      </c>
      <c r="F16" s="63" t="s">
        <v>30</v>
      </c>
      <c r="G16" s="63" t="s">
        <v>31</v>
      </c>
      <c r="H16" s="63">
        <v>304</v>
      </c>
      <c r="I16" s="41">
        <v>45639</v>
      </c>
      <c r="J16">
        <v>3.49</v>
      </c>
      <c r="K16">
        <f t="shared" si="0"/>
        <v>3.49</v>
      </c>
      <c r="L16">
        <v>1.9</v>
      </c>
      <c r="M16" s="61">
        <f t="shared" si="1"/>
        <v>5.4441260744985671</v>
      </c>
      <c r="N16" s="61">
        <v>10.11</v>
      </c>
      <c r="O16" s="61">
        <v>11.61</v>
      </c>
      <c r="U16" t="s">
        <v>28</v>
      </c>
      <c r="V16" s="43">
        <v>6.8333333333333339</v>
      </c>
      <c r="W16" s="43">
        <v>7.1428571428571432</v>
      </c>
      <c r="X16" s="43">
        <v>6.8926553672316375</v>
      </c>
      <c r="Y16" s="43">
        <v>6.5404040404040398</v>
      </c>
      <c r="Z16" s="43">
        <v>6.8523124709565391</v>
      </c>
    </row>
    <row r="17" spans="1:27" x14ac:dyDescent="0.25">
      <c r="A17" s="63">
        <v>4</v>
      </c>
      <c r="B17" s="63">
        <v>4</v>
      </c>
      <c r="C17" s="63">
        <v>2</v>
      </c>
      <c r="D17" s="63">
        <v>13</v>
      </c>
      <c r="E17" s="63">
        <v>29</v>
      </c>
      <c r="F17" s="63" t="s">
        <v>30</v>
      </c>
      <c r="G17" s="63" t="s">
        <v>29</v>
      </c>
      <c r="H17" s="63">
        <v>404</v>
      </c>
      <c r="I17" s="41">
        <v>45639</v>
      </c>
      <c r="J17">
        <v>3.34</v>
      </c>
      <c r="K17">
        <f t="shared" si="0"/>
        <v>3.34</v>
      </c>
      <c r="L17">
        <v>1.82</v>
      </c>
      <c r="M17" s="61">
        <f t="shared" si="1"/>
        <v>5.4491017964071853</v>
      </c>
      <c r="N17" s="61">
        <v>10.050000000000001</v>
      </c>
      <c r="O17" s="61">
        <v>11.67</v>
      </c>
      <c r="U17" t="s">
        <v>29</v>
      </c>
      <c r="V17" s="43">
        <v>6.6571428571428575</v>
      </c>
      <c r="W17" s="43">
        <v>5.4838709677419351</v>
      </c>
      <c r="X17" s="43">
        <v>7.2508591065292087</v>
      </c>
      <c r="Y17" s="43">
        <v>6.47887323943662</v>
      </c>
      <c r="Z17" s="43">
        <v>6.4676865427126549</v>
      </c>
    </row>
    <row r="18" spans="1:27" x14ac:dyDescent="0.25">
      <c r="A18" s="63">
        <v>1</v>
      </c>
      <c r="B18" s="63">
        <v>5</v>
      </c>
      <c r="C18" s="63">
        <v>3</v>
      </c>
      <c r="D18" s="63">
        <v>17</v>
      </c>
      <c r="E18" s="63">
        <v>5</v>
      </c>
      <c r="F18" s="63" t="s">
        <v>25</v>
      </c>
      <c r="G18" s="63" t="s">
        <v>28</v>
      </c>
      <c r="H18" s="63">
        <v>105</v>
      </c>
      <c r="I18" s="41">
        <v>45639</v>
      </c>
      <c r="J18">
        <v>3.6</v>
      </c>
      <c r="K18">
        <f t="shared" si="0"/>
        <v>3.6</v>
      </c>
      <c r="L18">
        <v>2.46</v>
      </c>
      <c r="M18" s="61">
        <f t="shared" si="1"/>
        <v>6.8333333333333339</v>
      </c>
      <c r="N18" s="61">
        <v>10.130000000000001</v>
      </c>
      <c r="O18" s="61">
        <v>11.22</v>
      </c>
      <c r="T18" t="s">
        <v>30</v>
      </c>
      <c r="U18" t="s">
        <v>32</v>
      </c>
      <c r="V18" s="43">
        <v>5.0299401197604796</v>
      </c>
      <c r="W18" s="43">
        <v>4.2817679558011053</v>
      </c>
      <c r="X18" s="43">
        <v>4.0718562874251507</v>
      </c>
      <c r="Y18" s="43">
        <v>3.4293948126801146</v>
      </c>
      <c r="Z18" s="43">
        <v>4.2032397939167128</v>
      </c>
    </row>
    <row r="19" spans="1:27" x14ac:dyDescent="0.25">
      <c r="A19" s="63">
        <v>2</v>
      </c>
      <c r="B19" s="63">
        <v>5</v>
      </c>
      <c r="C19" s="63">
        <v>3</v>
      </c>
      <c r="D19" s="63">
        <v>18</v>
      </c>
      <c r="E19" s="63">
        <v>12</v>
      </c>
      <c r="F19" s="63" t="s">
        <v>25</v>
      </c>
      <c r="G19" s="63" t="s">
        <v>26</v>
      </c>
      <c r="H19" s="63">
        <v>205</v>
      </c>
      <c r="I19" s="41">
        <v>45639</v>
      </c>
      <c r="J19">
        <v>3.26</v>
      </c>
      <c r="K19">
        <f t="shared" si="0"/>
        <v>3.26</v>
      </c>
      <c r="L19">
        <v>1.85</v>
      </c>
      <c r="M19" s="61">
        <f t="shared" si="1"/>
        <v>5.6748466257668717</v>
      </c>
      <c r="N19" s="61">
        <v>10.75</v>
      </c>
      <c r="O19" s="61">
        <v>12.59</v>
      </c>
      <c r="U19" t="s">
        <v>31</v>
      </c>
      <c r="V19" s="43">
        <v>5.8687258687258685</v>
      </c>
      <c r="W19" s="43">
        <v>5.5522388059701493</v>
      </c>
      <c r="X19" s="43">
        <v>5.4441260744985671</v>
      </c>
      <c r="Y19" s="43">
        <v>4.7916666666666661</v>
      </c>
      <c r="Z19" s="43">
        <v>5.4141893539653125</v>
      </c>
    </row>
    <row r="20" spans="1:27" x14ac:dyDescent="0.25">
      <c r="A20" s="63">
        <v>3</v>
      </c>
      <c r="B20" s="63">
        <v>5</v>
      </c>
      <c r="C20" s="63">
        <v>3</v>
      </c>
      <c r="D20" s="63">
        <v>19</v>
      </c>
      <c r="E20" s="63">
        <v>21</v>
      </c>
      <c r="F20" s="63" t="s">
        <v>25</v>
      </c>
      <c r="G20" s="63" t="s">
        <v>29</v>
      </c>
      <c r="H20" s="63">
        <v>305</v>
      </c>
      <c r="I20" s="41">
        <v>45639</v>
      </c>
      <c r="J20">
        <v>2.91</v>
      </c>
      <c r="K20">
        <f t="shared" si="0"/>
        <v>2.91</v>
      </c>
      <c r="L20">
        <v>2.11</v>
      </c>
      <c r="M20" s="61">
        <f t="shared" si="1"/>
        <v>7.2508591065292087</v>
      </c>
      <c r="N20" s="61">
        <v>10.27</v>
      </c>
      <c r="O20" s="61">
        <v>10.79</v>
      </c>
      <c r="U20" t="s">
        <v>28</v>
      </c>
      <c r="V20" s="43">
        <v>6.740947075208914</v>
      </c>
      <c r="W20" s="43">
        <v>6.0775862068965516</v>
      </c>
      <c r="X20" s="43">
        <v>6.0110803324099722</v>
      </c>
      <c r="Y20" s="43">
        <v>5.7585139318885457</v>
      </c>
      <c r="Z20" s="43">
        <v>6.1470318866009954</v>
      </c>
    </row>
    <row r="21" spans="1:27" x14ac:dyDescent="0.25">
      <c r="A21" s="63">
        <v>4</v>
      </c>
      <c r="B21" s="63">
        <v>5</v>
      </c>
      <c r="C21" s="63">
        <v>3</v>
      </c>
      <c r="D21" s="63">
        <v>20</v>
      </c>
      <c r="E21" s="63">
        <v>28</v>
      </c>
      <c r="F21" s="63" t="s">
        <v>25</v>
      </c>
      <c r="G21" s="63" t="s">
        <v>27</v>
      </c>
      <c r="H21" s="63">
        <v>405</v>
      </c>
      <c r="I21" s="41">
        <v>45639</v>
      </c>
      <c r="J21">
        <v>3.51</v>
      </c>
      <c r="K21">
        <f t="shared" si="0"/>
        <v>3.51</v>
      </c>
      <c r="L21">
        <v>2.13</v>
      </c>
      <c r="M21" s="61">
        <f t="shared" si="1"/>
        <v>6.0683760683760681</v>
      </c>
      <c r="N21" s="61">
        <v>10.01</v>
      </c>
      <c r="O21" s="61">
        <v>13.54</v>
      </c>
      <c r="U21" t="s">
        <v>29</v>
      </c>
      <c r="V21" s="43">
        <v>7.4043715846994536</v>
      </c>
      <c r="W21" s="43">
        <v>6.3636363636363633</v>
      </c>
      <c r="X21" s="43">
        <v>5.8988764044943816</v>
      </c>
      <c r="Y21" s="43">
        <v>5.4491017964071853</v>
      </c>
      <c r="Z21" s="43">
        <v>6.2789965373093457</v>
      </c>
    </row>
    <row r="22" spans="1:27" x14ac:dyDescent="0.25">
      <c r="A22" s="63">
        <v>1</v>
      </c>
      <c r="B22" s="63">
        <v>6</v>
      </c>
      <c r="C22" s="63">
        <v>3</v>
      </c>
      <c r="D22" s="63">
        <v>24</v>
      </c>
      <c r="E22" s="63">
        <v>6</v>
      </c>
      <c r="F22" s="63" t="s">
        <v>30</v>
      </c>
      <c r="G22" s="63" t="s">
        <v>29</v>
      </c>
      <c r="H22" s="63">
        <v>106</v>
      </c>
      <c r="I22" s="41">
        <v>45639</v>
      </c>
      <c r="J22">
        <v>3.66</v>
      </c>
      <c r="K22">
        <f t="shared" si="0"/>
        <v>3.66</v>
      </c>
      <c r="L22">
        <v>2.71</v>
      </c>
      <c r="M22" s="61">
        <f t="shared" si="1"/>
        <v>7.4043715846994536</v>
      </c>
      <c r="N22" s="61">
        <v>10.14</v>
      </c>
      <c r="O22" s="61">
        <v>11.51</v>
      </c>
    </row>
    <row r="23" spans="1:27" x14ac:dyDescent="0.25">
      <c r="A23" s="63">
        <v>2</v>
      </c>
      <c r="B23" s="63">
        <v>6</v>
      </c>
      <c r="C23" s="63">
        <v>3</v>
      </c>
      <c r="D23" s="63">
        <v>23</v>
      </c>
      <c r="E23" s="63">
        <v>11</v>
      </c>
      <c r="F23" s="63" t="s">
        <v>30</v>
      </c>
      <c r="G23" s="63" t="s">
        <v>31</v>
      </c>
      <c r="H23" s="63">
        <v>206</v>
      </c>
      <c r="I23" s="41">
        <v>45639</v>
      </c>
      <c r="J23">
        <v>3.35</v>
      </c>
      <c r="K23">
        <f t="shared" si="0"/>
        <v>3.35</v>
      </c>
      <c r="L23">
        <v>1.86</v>
      </c>
      <c r="M23" s="61">
        <f t="shared" si="1"/>
        <v>5.5522388059701493</v>
      </c>
      <c r="N23" s="61">
        <v>10.09</v>
      </c>
      <c r="O23" s="61">
        <v>12.6</v>
      </c>
    </row>
    <row r="24" spans="1:27" x14ac:dyDescent="0.25">
      <c r="A24" s="63">
        <v>3</v>
      </c>
      <c r="B24" s="63">
        <v>6</v>
      </c>
      <c r="C24" s="63">
        <v>3</v>
      </c>
      <c r="D24" s="63">
        <v>22</v>
      </c>
      <c r="E24" s="63">
        <v>22</v>
      </c>
      <c r="F24" s="63" t="s">
        <v>30</v>
      </c>
      <c r="G24" s="63" t="s">
        <v>32</v>
      </c>
      <c r="H24" s="63">
        <v>306</v>
      </c>
      <c r="I24" s="41">
        <v>45639</v>
      </c>
      <c r="J24">
        <v>3.34</v>
      </c>
      <c r="K24">
        <f t="shared" si="0"/>
        <v>3.34</v>
      </c>
      <c r="L24">
        <v>1.36</v>
      </c>
      <c r="M24" s="61">
        <f t="shared" si="1"/>
        <v>4.0718562874251507</v>
      </c>
      <c r="N24" s="61">
        <v>10.4</v>
      </c>
      <c r="O24" s="61">
        <v>13.88</v>
      </c>
    </row>
    <row r="25" spans="1:27" x14ac:dyDescent="0.25">
      <c r="A25" s="63">
        <v>4</v>
      </c>
      <c r="B25" s="63">
        <v>6</v>
      </c>
      <c r="C25" s="63">
        <v>3</v>
      </c>
      <c r="D25" s="63">
        <v>21</v>
      </c>
      <c r="E25" s="63">
        <v>27</v>
      </c>
      <c r="F25" s="63" t="s">
        <v>30</v>
      </c>
      <c r="G25" s="63" t="s">
        <v>28</v>
      </c>
      <c r="H25" s="63">
        <v>406</v>
      </c>
      <c r="I25" s="41">
        <v>45639</v>
      </c>
      <c r="J25">
        <v>3.23</v>
      </c>
      <c r="K25">
        <f t="shared" si="0"/>
        <v>3.23</v>
      </c>
      <c r="L25">
        <v>1.86</v>
      </c>
      <c r="M25" s="61">
        <f t="shared" si="1"/>
        <v>5.7585139318885457</v>
      </c>
      <c r="N25" s="61">
        <v>10.029999999999999</v>
      </c>
      <c r="O25" s="61">
        <v>12.28</v>
      </c>
    </row>
    <row r="26" spans="1:27" x14ac:dyDescent="0.25">
      <c r="A26" s="63">
        <v>1</v>
      </c>
      <c r="B26" s="63">
        <v>7</v>
      </c>
      <c r="C26" s="63">
        <v>4</v>
      </c>
      <c r="D26" s="63">
        <v>25</v>
      </c>
      <c r="E26" s="63">
        <v>7</v>
      </c>
      <c r="F26" s="63" t="s">
        <v>25</v>
      </c>
      <c r="G26" s="63" t="s">
        <v>29</v>
      </c>
      <c r="H26" s="63">
        <v>107</v>
      </c>
      <c r="I26" s="41">
        <v>45639</v>
      </c>
      <c r="J26">
        <v>3.5</v>
      </c>
      <c r="K26">
        <f t="shared" si="0"/>
        <v>3.5</v>
      </c>
      <c r="L26">
        <v>2.33</v>
      </c>
      <c r="M26" s="61">
        <f t="shared" si="1"/>
        <v>6.6571428571428575</v>
      </c>
      <c r="N26" s="61">
        <v>10.08</v>
      </c>
      <c r="O26" s="61">
        <v>12.06</v>
      </c>
    </row>
    <row r="27" spans="1:27" x14ac:dyDescent="0.25">
      <c r="A27" s="63">
        <v>2</v>
      </c>
      <c r="B27" s="63">
        <v>7</v>
      </c>
      <c r="C27" s="63">
        <v>4</v>
      </c>
      <c r="D27" s="63">
        <v>26</v>
      </c>
      <c r="E27" s="63">
        <v>10</v>
      </c>
      <c r="F27" s="63" t="s">
        <v>25</v>
      </c>
      <c r="G27" s="63" t="s">
        <v>28</v>
      </c>
      <c r="H27" s="63">
        <v>207</v>
      </c>
      <c r="I27" s="41">
        <v>45639</v>
      </c>
      <c r="J27">
        <v>2.94</v>
      </c>
      <c r="K27">
        <f t="shared" si="0"/>
        <v>2.94</v>
      </c>
      <c r="L27">
        <v>2.1</v>
      </c>
      <c r="M27" s="61">
        <f t="shared" si="1"/>
        <v>7.1428571428571432</v>
      </c>
      <c r="N27" s="61">
        <v>10.199999999999999</v>
      </c>
      <c r="O27" s="61">
        <v>11.26</v>
      </c>
    </row>
    <row r="28" spans="1:27" x14ac:dyDescent="0.25">
      <c r="A28" s="63">
        <v>3</v>
      </c>
      <c r="B28" s="63">
        <v>7</v>
      </c>
      <c r="C28" s="63">
        <v>4</v>
      </c>
      <c r="D28" s="63">
        <v>27</v>
      </c>
      <c r="E28" s="63">
        <v>23</v>
      </c>
      <c r="F28" s="63" t="s">
        <v>25</v>
      </c>
      <c r="G28" s="63" t="s">
        <v>27</v>
      </c>
      <c r="H28" s="63">
        <v>307</v>
      </c>
      <c r="I28" s="41">
        <v>45639</v>
      </c>
      <c r="J28">
        <v>3.3</v>
      </c>
      <c r="K28">
        <f t="shared" si="0"/>
        <v>3.3</v>
      </c>
      <c r="L28">
        <v>1.63</v>
      </c>
      <c r="M28" s="61">
        <f t="shared" si="1"/>
        <v>4.9393939393939386</v>
      </c>
      <c r="N28" s="61">
        <v>10.19</v>
      </c>
      <c r="O28" s="61">
        <v>12.91</v>
      </c>
      <c r="AA28" s="61"/>
    </row>
    <row r="29" spans="1:27" x14ac:dyDescent="0.25">
      <c r="A29" s="63">
        <v>4</v>
      </c>
      <c r="B29" s="63">
        <v>7</v>
      </c>
      <c r="C29" s="63">
        <v>4</v>
      </c>
      <c r="D29" s="63">
        <v>28</v>
      </c>
      <c r="E29" s="63">
        <v>26</v>
      </c>
      <c r="F29" s="63" t="s">
        <v>25</v>
      </c>
      <c r="G29" s="63" t="s">
        <v>26</v>
      </c>
      <c r="H29" s="63">
        <v>407</v>
      </c>
      <c r="I29" s="41">
        <v>45639</v>
      </c>
      <c r="J29">
        <v>3.37</v>
      </c>
      <c r="K29">
        <f t="shared" si="0"/>
        <v>3.37</v>
      </c>
      <c r="L29">
        <v>1.99</v>
      </c>
      <c r="M29" s="61">
        <f t="shared" si="1"/>
        <v>5.9050445103857561</v>
      </c>
      <c r="N29" s="61">
        <v>10.6</v>
      </c>
      <c r="O29" s="61">
        <v>12.54</v>
      </c>
      <c r="AA29" s="61"/>
    </row>
    <row r="30" spans="1:27" x14ac:dyDescent="0.25">
      <c r="A30" s="63">
        <v>1</v>
      </c>
      <c r="B30" s="63">
        <v>8</v>
      </c>
      <c r="C30" s="63">
        <v>4</v>
      </c>
      <c r="D30" s="63">
        <v>32</v>
      </c>
      <c r="E30" s="63">
        <v>8</v>
      </c>
      <c r="F30" s="63" t="s">
        <v>30</v>
      </c>
      <c r="G30" s="63" t="s">
        <v>32</v>
      </c>
      <c r="H30" s="63">
        <v>108</v>
      </c>
      <c r="I30" s="41">
        <v>45639</v>
      </c>
      <c r="J30">
        <v>3.34</v>
      </c>
      <c r="K30">
        <f t="shared" si="0"/>
        <v>3.34</v>
      </c>
      <c r="L30">
        <v>1.68</v>
      </c>
      <c r="M30" s="61">
        <f t="shared" si="1"/>
        <v>5.0299401197604796</v>
      </c>
      <c r="N30" s="61">
        <v>10.35</v>
      </c>
      <c r="O30" s="61">
        <v>12.61</v>
      </c>
      <c r="AA30" s="61"/>
    </row>
    <row r="31" spans="1:27" x14ac:dyDescent="0.25">
      <c r="A31" s="63">
        <v>2</v>
      </c>
      <c r="B31" s="63">
        <v>8</v>
      </c>
      <c r="C31" s="63">
        <v>4</v>
      </c>
      <c r="D31" s="63">
        <v>31</v>
      </c>
      <c r="E31" s="63">
        <v>9</v>
      </c>
      <c r="F31" s="63" t="s">
        <v>30</v>
      </c>
      <c r="G31" s="63" t="s">
        <v>29</v>
      </c>
      <c r="H31" s="63">
        <v>208</v>
      </c>
      <c r="I31" s="41">
        <v>45639</v>
      </c>
      <c r="J31">
        <v>2.86</v>
      </c>
      <c r="K31">
        <f t="shared" si="0"/>
        <v>2.86</v>
      </c>
      <c r="L31">
        <v>1.82</v>
      </c>
      <c r="M31" s="61">
        <f t="shared" si="1"/>
        <v>6.3636363636363633</v>
      </c>
      <c r="N31" s="61">
        <v>10.36</v>
      </c>
      <c r="O31" s="61">
        <v>11.28</v>
      </c>
      <c r="AA31" s="61"/>
    </row>
    <row r="32" spans="1:27" x14ac:dyDescent="0.25">
      <c r="A32" s="63">
        <v>3</v>
      </c>
      <c r="B32" s="63">
        <v>8</v>
      </c>
      <c r="C32" s="63">
        <v>4</v>
      </c>
      <c r="D32" s="63">
        <v>30</v>
      </c>
      <c r="E32" s="63">
        <v>24</v>
      </c>
      <c r="F32" s="63" t="s">
        <v>30</v>
      </c>
      <c r="G32" s="63" t="s">
        <v>28</v>
      </c>
      <c r="H32" s="63">
        <v>308</v>
      </c>
      <c r="I32" s="41">
        <v>45639</v>
      </c>
      <c r="J32">
        <v>3.61</v>
      </c>
      <c r="K32">
        <f t="shared" si="0"/>
        <v>3.61</v>
      </c>
      <c r="L32">
        <v>2.17</v>
      </c>
      <c r="M32" s="61">
        <f t="shared" si="1"/>
        <v>6.0110803324099722</v>
      </c>
      <c r="N32" s="61">
        <v>10.06</v>
      </c>
      <c r="O32" s="61">
        <v>11.01</v>
      </c>
      <c r="AA32" s="61"/>
    </row>
    <row r="33" spans="1:27" x14ac:dyDescent="0.25">
      <c r="A33" s="63">
        <v>4</v>
      </c>
      <c r="B33" s="63">
        <v>8</v>
      </c>
      <c r="C33" s="63">
        <v>4</v>
      </c>
      <c r="D33" s="63">
        <v>29</v>
      </c>
      <c r="E33" s="63">
        <v>25</v>
      </c>
      <c r="F33" s="63" t="s">
        <v>30</v>
      </c>
      <c r="G33" s="63" t="s">
        <v>31</v>
      </c>
      <c r="H33" s="63">
        <v>408</v>
      </c>
      <c r="I33" s="41">
        <v>45639</v>
      </c>
      <c r="J33">
        <v>2.88</v>
      </c>
      <c r="K33">
        <f t="shared" si="0"/>
        <v>2.88</v>
      </c>
      <c r="L33">
        <v>1.38</v>
      </c>
      <c r="M33" s="61">
        <f t="shared" si="1"/>
        <v>4.7916666666666661</v>
      </c>
      <c r="N33" s="61">
        <v>10.17</v>
      </c>
      <c r="O33" s="61">
        <v>12.31</v>
      </c>
      <c r="AA33" s="61"/>
    </row>
    <row r="34" spans="1:27" x14ac:dyDescent="0.25">
      <c r="A34" s="63"/>
      <c r="B34" s="63"/>
      <c r="C34" s="63"/>
      <c r="D34" s="63"/>
      <c r="E34" s="63"/>
      <c r="F34" s="63"/>
      <c r="G34" s="63"/>
      <c r="H34" s="63"/>
      <c r="I34" s="41"/>
      <c r="AA34" s="61"/>
    </row>
    <row r="35" spans="1:27" x14ac:dyDescent="0.25">
      <c r="I35" s="41"/>
      <c r="AA35" s="61"/>
    </row>
    <row r="36" spans="1:27" x14ac:dyDescent="0.25">
      <c r="I36" s="41"/>
    </row>
    <row r="37" spans="1:27" x14ac:dyDescent="0.25">
      <c r="I37" s="41"/>
    </row>
    <row r="38" spans="1:27" x14ac:dyDescent="0.25">
      <c r="I38" s="41"/>
    </row>
    <row r="39" spans="1:27" x14ac:dyDescent="0.25">
      <c r="I39" s="41"/>
    </row>
    <row r="40" spans="1:27" x14ac:dyDescent="0.25">
      <c r="I40" s="41"/>
    </row>
    <row r="41" spans="1:27" x14ac:dyDescent="0.25">
      <c r="I41" s="41"/>
    </row>
  </sheetData>
  <sortState xmlns:xlrd2="http://schemas.microsoft.com/office/spreadsheetml/2017/richdata2" ref="A2:P41">
    <sortCondition ref="B1:B41"/>
  </sortState>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5FCE4-2ED5-4E8F-BC5D-1D8A5A05F2E1}">
  <dimension ref="A1:Q51"/>
  <sheetViews>
    <sheetView workbookViewId="0"/>
  </sheetViews>
  <sheetFormatPr defaultRowHeight="15" x14ac:dyDescent="0.25"/>
  <cols>
    <col min="1" max="6" width="8.7109375" style="4"/>
    <col min="7" max="7" width="17.7109375" style="4" customWidth="1"/>
    <col min="8" max="8" width="18.5703125" style="139" customWidth="1"/>
    <col min="9" max="9" width="17.5703125" style="135" customWidth="1"/>
    <col min="10" max="10" width="8.7109375" style="136"/>
    <col min="11" max="11" width="13.42578125" style="136" customWidth="1"/>
    <col min="12" max="12" width="17.7109375" style="136" customWidth="1"/>
    <col min="13" max="15" width="13" style="136" customWidth="1"/>
    <col min="16" max="17" width="16" style="136" customWidth="1"/>
  </cols>
  <sheetData>
    <row r="1" spans="1:17" ht="45" x14ac:dyDescent="0.25">
      <c r="A1" s="138" t="s">
        <v>23</v>
      </c>
      <c r="B1" s="138" t="s">
        <v>24</v>
      </c>
      <c r="C1" s="138" t="s">
        <v>281</v>
      </c>
      <c r="D1" s="138" t="s">
        <v>282</v>
      </c>
      <c r="E1" s="138" t="s">
        <v>77</v>
      </c>
      <c r="F1" s="138" t="s">
        <v>21</v>
      </c>
      <c r="G1" s="138" t="s">
        <v>22</v>
      </c>
      <c r="H1" s="139" t="s">
        <v>514</v>
      </c>
      <c r="I1" s="135" t="s">
        <v>582</v>
      </c>
      <c r="J1" s="139" t="s">
        <v>517</v>
      </c>
      <c r="K1" s="137" t="s">
        <v>516</v>
      </c>
      <c r="L1" s="136" t="s">
        <v>583</v>
      </c>
      <c r="M1" s="136" t="s">
        <v>584</v>
      </c>
      <c r="N1" s="136" t="s">
        <v>585</v>
      </c>
      <c r="O1" s="136" t="s">
        <v>586</v>
      </c>
      <c r="P1" s="136" t="s">
        <v>587</v>
      </c>
      <c r="Q1" s="136" t="s">
        <v>588</v>
      </c>
    </row>
    <row r="2" spans="1:17" x14ac:dyDescent="0.25">
      <c r="A2" s="63">
        <v>1</v>
      </c>
      <c r="B2" s="63">
        <v>1</v>
      </c>
      <c r="C2" s="63">
        <v>1</v>
      </c>
      <c r="D2" s="63">
        <v>1</v>
      </c>
      <c r="E2" s="63">
        <v>1</v>
      </c>
      <c r="F2" s="63" t="s">
        <v>25</v>
      </c>
      <c r="G2" s="63" t="s">
        <v>26</v>
      </c>
      <c r="H2" s="137">
        <v>562.20000000000005</v>
      </c>
      <c r="I2" s="135">
        <f t="shared" ref="I2:I33" si="0">(L2-N2)/Q2</f>
        <v>5.6293849027579705</v>
      </c>
      <c r="J2" s="139">
        <v>15551.867219917012</v>
      </c>
      <c r="K2" s="137">
        <v>36.15</v>
      </c>
      <c r="L2" s="140">
        <v>195.43255853843385</v>
      </c>
      <c r="M2" s="139">
        <v>588.89086999880317</v>
      </c>
      <c r="N2" s="70">
        <v>99.733015191548347</v>
      </c>
      <c r="O2" s="140">
        <v>594.77143605141566</v>
      </c>
      <c r="P2" s="137">
        <v>234.69999999999982</v>
      </c>
      <c r="Q2" s="136">
        <v>17</v>
      </c>
    </row>
    <row r="3" spans="1:17" x14ac:dyDescent="0.25">
      <c r="A3" s="63">
        <v>1</v>
      </c>
      <c r="B3" s="63">
        <v>2</v>
      </c>
      <c r="C3" s="63">
        <v>1</v>
      </c>
      <c r="D3" s="63">
        <v>8</v>
      </c>
      <c r="E3" s="63">
        <v>2</v>
      </c>
      <c r="F3" s="63" t="s">
        <v>30</v>
      </c>
      <c r="G3" s="63" t="s">
        <v>31</v>
      </c>
      <c r="H3" s="137">
        <v>588.02</v>
      </c>
      <c r="I3" s="135">
        <f t="shared" si="0"/>
        <v>5.7486468808052971</v>
      </c>
      <c r="J3" s="139">
        <v>15852.332005312082</v>
      </c>
      <c r="K3" s="137">
        <v>37.093596059113302</v>
      </c>
      <c r="L3" s="140">
        <v>165.00717720506086</v>
      </c>
      <c r="M3" s="139">
        <v>658.28655159485061</v>
      </c>
      <c r="N3" s="70">
        <v>32.788298946539001</v>
      </c>
      <c r="O3" s="140">
        <v>368.64682058811411</v>
      </c>
      <c r="P3" s="137">
        <v>287.20000000000005</v>
      </c>
      <c r="Q3" s="136">
        <v>23</v>
      </c>
    </row>
    <row r="4" spans="1:17" x14ac:dyDescent="0.25">
      <c r="A4" s="49">
        <v>1</v>
      </c>
      <c r="B4" s="49">
        <v>3</v>
      </c>
      <c r="C4" s="49">
        <v>2</v>
      </c>
      <c r="D4" s="49">
        <v>9</v>
      </c>
      <c r="E4" s="49">
        <v>3</v>
      </c>
      <c r="F4" s="49" t="s">
        <v>25</v>
      </c>
      <c r="G4" s="49" t="s">
        <v>27</v>
      </c>
      <c r="H4" s="137">
        <v>474.6</v>
      </c>
      <c r="I4" s="135">
        <f t="shared" si="0"/>
        <v>7.6831552309785875</v>
      </c>
      <c r="J4" s="139">
        <v>12122.605363984676</v>
      </c>
      <c r="K4" s="137">
        <v>39.15</v>
      </c>
      <c r="L4" s="140">
        <v>208.18757559371755</v>
      </c>
      <c r="M4" s="139">
        <v>596.99085976394247</v>
      </c>
      <c r="N4" s="70">
        <v>23.791850050231446</v>
      </c>
      <c r="O4" s="140">
        <v>284.18043115554229</v>
      </c>
      <c r="P4" s="137">
        <v>292.60000000000014</v>
      </c>
      <c r="Q4" s="136">
        <v>24</v>
      </c>
    </row>
    <row r="5" spans="1:17" x14ac:dyDescent="0.25">
      <c r="A5" s="63">
        <v>1</v>
      </c>
      <c r="B5" s="63">
        <v>4</v>
      </c>
      <c r="C5" s="63">
        <v>2</v>
      </c>
      <c r="D5" s="63">
        <v>16</v>
      </c>
      <c r="E5" s="63">
        <v>4</v>
      </c>
      <c r="F5" s="63" t="s">
        <v>30</v>
      </c>
      <c r="G5" s="63" t="s">
        <v>28</v>
      </c>
      <c r="H5" s="137">
        <v>639.08000000000004</v>
      </c>
      <c r="I5" s="135">
        <f t="shared" si="0"/>
        <v>5.2059179470673635</v>
      </c>
      <c r="J5" s="139">
        <v>15180.047505938244</v>
      </c>
      <c r="K5" s="137">
        <v>42.1</v>
      </c>
      <c r="L5" s="140">
        <v>118.77013586956522</v>
      </c>
      <c r="M5" s="139">
        <v>290.99484705964329</v>
      </c>
      <c r="N5" s="70">
        <v>30.269530769420047</v>
      </c>
      <c r="O5" s="140">
        <v>236.85907827071188</v>
      </c>
      <c r="P5" s="137">
        <v>221.79999999999995</v>
      </c>
      <c r="Q5" s="136">
        <v>17</v>
      </c>
    </row>
    <row r="6" spans="1:17" x14ac:dyDescent="0.25">
      <c r="A6" s="63">
        <v>1</v>
      </c>
      <c r="B6" s="63">
        <v>5</v>
      </c>
      <c r="C6" s="63">
        <v>3</v>
      </c>
      <c r="D6" s="63">
        <v>17</v>
      </c>
      <c r="E6" s="63">
        <v>5</v>
      </c>
      <c r="F6" s="63" t="s">
        <v>25</v>
      </c>
      <c r="G6" s="63" t="s">
        <v>28</v>
      </c>
      <c r="H6" s="137">
        <v>870.9</v>
      </c>
      <c r="I6" s="135">
        <f t="shared" si="0"/>
        <v>7.1674271623163914</v>
      </c>
      <c r="J6" s="139">
        <v>21371.779141104293</v>
      </c>
      <c r="K6" s="137">
        <v>40.75</v>
      </c>
      <c r="L6" s="140">
        <v>230.93030604657486</v>
      </c>
      <c r="M6" s="139">
        <v>575.96468276252801</v>
      </c>
      <c r="N6" s="70">
        <v>73.246908475614234</v>
      </c>
      <c r="O6" s="140">
        <v>333.63672252029107</v>
      </c>
      <c r="P6" s="137">
        <v>270.5</v>
      </c>
      <c r="Q6" s="136">
        <v>22</v>
      </c>
    </row>
    <row r="7" spans="1:17" x14ac:dyDescent="0.25">
      <c r="A7" s="63">
        <v>1</v>
      </c>
      <c r="B7" s="63">
        <v>6</v>
      </c>
      <c r="C7" s="63">
        <v>3</v>
      </c>
      <c r="D7" s="63">
        <v>24</v>
      </c>
      <c r="E7" s="63">
        <v>6</v>
      </c>
      <c r="F7" s="63" t="s">
        <v>30</v>
      </c>
      <c r="G7" s="63" t="s">
        <v>29</v>
      </c>
      <c r="H7" s="137">
        <v>690.4</v>
      </c>
      <c r="I7" s="135">
        <f t="shared" si="0"/>
        <v>7.3480105619955856</v>
      </c>
      <c r="J7" s="139">
        <v>17346.733668341709</v>
      </c>
      <c r="K7" s="137">
        <v>39.800000000000004</v>
      </c>
      <c r="L7" s="140">
        <v>179.01984903186874</v>
      </c>
      <c r="M7" s="139">
        <v>564.14932319249215</v>
      </c>
      <c r="N7" s="70">
        <v>39.407648353952609</v>
      </c>
      <c r="O7" s="140">
        <v>376.86681432166068</v>
      </c>
      <c r="P7" s="137">
        <v>256.5</v>
      </c>
      <c r="Q7" s="136">
        <v>19</v>
      </c>
    </row>
    <row r="8" spans="1:17" x14ac:dyDescent="0.25">
      <c r="A8" s="63">
        <v>1</v>
      </c>
      <c r="B8" s="63">
        <v>7</v>
      </c>
      <c r="C8" s="63">
        <v>4</v>
      </c>
      <c r="D8" s="63">
        <v>25</v>
      </c>
      <c r="E8" s="63">
        <v>7</v>
      </c>
      <c r="F8" s="63" t="s">
        <v>25</v>
      </c>
      <c r="G8" s="63" t="s">
        <v>29</v>
      </c>
      <c r="H8" s="137">
        <v>790</v>
      </c>
      <c r="I8" s="135">
        <f t="shared" si="0"/>
        <v>7.1618440434151118</v>
      </c>
      <c r="J8" s="139">
        <v>18769.503546099288</v>
      </c>
      <c r="K8" s="137">
        <v>42.089552238805979</v>
      </c>
      <c r="L8" s="140">
        <v>189.55136135024287</v>
      </c>
      <c r="M8" s="139">
        <v>682.23446327250122</v>
      </c>
      <c r="N8" s="70">
        <v>39.152636438525519</v>
      </c>
      <c r="O8" s="140">
        <v>408.17748562922583</v>
      </c>
      <c r="P8" s="137">
        <v>256.70000000000005</v>
      </c>
      <c r="Q8" s="136">
        <v>21</v>
      </c>
    </row>
    <row r="9" spans="1:17" x14ac:dyDescent="0.25">
      <c r="A9" s="63">
        <v>1</v>
      </c>
      <c r="B9" s="63">
        <v>8</v>
      </c>
      <c r="C9" s="63">
        <v>4</v>
      </c>
      <c r="D9" s="63">
        <v>32</v>
      </c>
      <c r="E9" s="63">
        <v>8</v>
      </c>
      <c r="F9" s="63" t="s">
        <v>30</v>
      </c>
      <c r="G9" s="63" t="s">
        <v>32</v>
      </c>
      <c r="H9" s="137">
        <v>448.98</v>
      </c>
      <c r="I9" s="135">
        <f t="shared" si="0"/>
        <v>6.7006595472365786</v>
      </c>
      <c r="J9" s="139">
        <v>10579.716295427903</v>
      </c>
      <c r="K9" s="137">
        <v>42.437810945273633</v>
      </c>
      <c r="L9" s="140">
        <v>160.63276543732408</v>
      </c>
      <c r="M9" s="139">
        <v>581.48712265802237</v>
      </c>
      <c r="N9" s="70">
        <v>19.918914945355947</v>
      </c>
      <c r="O9" s="140">
        <v>363.12358218967483</v>
      </c>
      <c r="P9" s="137">
        <v>282.39999999999986</v>
      </c>
      <c r="Q9" s="136">
        <v>21</v>
      </c>
    </row>
    <row r="10" spans="1:17" x14ac:dyDescent="0.25">
      <c r="A10" s="49">
        <v>2</v>
      </c>
      <c r="B10" s="49">
        <v>1</v>
      </c>
      <c r="C10" s="49">
        <v>1</v>
      </c>
      <c r="D10" s="49">
        <v>2</v>
      </c>
      <c r="E10" s="49">
        <v>16</v>
      </c>
      <c r="F10" s="49" t="s">
        <v>25</v>
      </c>
      <c r="G10" s="49" t="s">
        <v>27</v>
      </c>
      <c r="H10" s="137">
        <v>434.78</v>
      </c>
      <c r="I10" s="135">
        <f t="shared" si="0"/>
        <v>6.3457051964178186</v>
      </c>
      <c r="J10" s="139">
        <v>10937.861635220124</v>
      </c>
      <c r="K10" s="137">
        <v>39.75</v>
      </c>
      <c r="L10" s="140">
        <v>190.45183215495962</v>
      </c>
      <c r="M10" s="139">
        <v>545.85845257917424</v>
      </c>
      <c r="N10" s="70">
        <v>50.846317833767614</v>
      </c>
      <c r="O10" s="140">
        <v>437.56479149904249</v>
      </c>
      <c r="P10" s="137">
        <v>263.90000000000009</v>
      </c>
      <c r="Q10" s="136">
        <v>22</v>
      </c>
    </row>
    <row r="11" spans="1:17" x14ac:dyDescent="0.25">
      <c r="A11" s="63">
        <v>2</v>
      </c>
      <c r="B11" s="63">
        <v>2</v>
      </c>
      <c r="C11" s="63">
        <v>1</v>
      </c>
      <c r="D11" s="63">
        <v>7</v>
      </c>
      <c r="E11" s="63">
        <v>15</v>
      </c>
      <c r="F11" s="63" t="s">
        <v>30</v>
      </c>
      <c r="G11" s="63" t="s">
        <v>28</v>
      </c>
      <c r="H11" s="137">
        <v>589.54</v>
      </c>
      <c r="I11" s="135">
        <f t="shared" si="0"/>
        <v>7.5376487453876448</v>
      </c>
      <c r="J11" s="139">
        <v>13490.617848970251</v>
      </c>
      <c r="K11" s="137">
        <v>43.7</v>
      </c>
      <c r="L11" s="140">
        <v>177.13249500458227</v>
      </c>
      <c r="M11" s="139">
        <v>438.11469178648161</v>
      </c>
      <c r="N11" s="70">
        <v>48.992466332992294</v>
      </c>
      <c r="O11" s="140">
        <v>266.78624848602169</v>
      </c>
      <c r="P11" s="137">
        <v>215.20000000000005</v>
      </c>
      <c r="Q11" s="136">
        <v>17</v>
      </c>
    </row>
    <row r="12" spans="1:17" x14ac:dyDescent="0.25">
      <c r="A12" s="63">
        <v>2</v>
      </c>
      <c r="B12" s="63">
        <v>3</v>
      </c>
      <c r="C12" s="63">
        <v>2</v>
      </c>
      <c r="D12" s="63">
        <v>10</v>
      </c>
      <c r="E12" s="63">
        <v>14</v>
      </c>
      <c r="F12" s="63" t="s">
        <v>25</v>
      </c>
      <c r="G12" s="63" t="s">
        <v>29</v>
      </c>
      <c r="H12" s="137">
        <v>637.28</v>
      </c>
      <c r="I12" s="135">
        <f t="shared" si="0"/>
        <v>8.1138357515249098</v>
      </c>
      <c r="J12" s="139">
        <v>14717.782909930716</v>
      </c>
      <c r="K12" s="137">
        <v>43.3</v>
      </c>
      <c r="L12" s="140">
        <v>187.6578181294135</v>
      </c>
      <c r="M12" s="139">
        <v>668.85378296584531</v>
      </c>
      <c r="N12" s="70">
        <v>41.608774601965109</v>
      </c>
      <c r="O12" s="140">
        <v>364.181850430331</v>
      </c>
      <c r="P12" s="137">
        <v>214.70000000000005</v>
      </c>
      <c r="Q12" s="136">
        <v>18</v>
      </c>
    </row>
    <row r="13" spans="1:17" x14ac:dyDescent="0.25">
      <c r="A13" s="63">
        <v>2</v>
      </c>
      <c r="B13" s="63">
        <v>4</v>
      </c>
      <c r="C13" s="63">
        <v>2</v>
      </c>
      <c r="D13" s="63">
        <v>15</v>
      </c>
      <c r="E13" s="63">
        <v>13</v>
      </c>
      <c r="F13" s="63" t="s">
        <v>30</v>
      </c>
      <c r="G13" s="63" t="s">
        <v>32</v>
      </c>
      <c r="H13" s="137">
        <v>456</v>
      </c>
      <c r="I13" s="135">
        <f t="shared" si="0"/>
        <v>7.7491204337347117</v>
      </c>
      <c r="J13" s="139">
        <v>10707.476635514018</v>
      </c>
      <c r="K13" s="137">
        <v>42.587064676616919</v>
      </c>
      <c r="L13" s="140">
        <v>168.79136140532165</v>
      </c>
      <c r="M13" s="139">
        <v>722.52553580235326</v>
      </c>
      <c r="N13" s="70">
        <v>13.80895273062742</v>
      </c>
      <c r="O13" s="140">
        <v>376.82057451373129</v>
      </c>
      <c r="P13" s="137">
        <v>267.29999999999995</v>
      </c>
      <c r="Q13" s="136">
        <v>20</v>
      </c>
    </row>
    <row r="14" spans="1:17" x14ac:dyDescent="0.25">
      <c r="A14" s="63">
        <v>2</v>
      </c>
      <c r="B14" s="63">
        <v>5</v>
      </c>
      <c r="C14" s="63">
        <v>3</v>
      </c>
      <c r="D14" s="63">
        <v>18</v>
      </c>
      <c r="E14" s="63">
        <v>12</v>
      </c>
      <c r="F14" s="63" t="s">
        <v>25</v>
      </c>
      <c r="G14" s="63" t="s">
        <v>26</v>
      </c>
      <c r="H14" s="137">
        <v>625.20000000000005</v>
      </c>
      <c r="I14" s="135">
        <f t="shared" si="0"/>
        <v>7.2820300925186565</v>
      </c>
      <c r="J14" s="139">
        <v>17276.388508891934</v>
      </c>
      <c r="K14" s="137">
        <v>36.188118811881182</v>
      </c>
      <c r="L14" s="140">
        <v>158.29515172573377</v>
      </c>
      <c r="M14" s="139">
        <v>628.50093018096607</v>
      </c>
      <c r="N14" s="70">
        <v>41.782670245435263</v>
      </c>
      <c r="O14" s="140">
        <v>569.44714978437912</v>
      </c>
      <c r="P14" s="137">
        <v>219.29999999999995</v>
      </c>
      <c r="Q14" s="136">
        <v>16</v>
      </c>
    </row>
    <row r="15" spans="1:17" x14ac:dyDescent="0.25">
      <c r="A15" s="63">
        <v>2</v>
      </c>
      <c r="B15" s="63">
        <v>6</v>
      </c>
      <c r="C15" s="63">
        <v>3</v>
      </c>
      <c r="D15" s="63">
        <v>23</v>
      </c>
      <c r="E15" s="63">
        <v>11</v>
      </c>
      <c r="F15" s="63" t="s">
        <v>30</v>
      </c>
      <c r="G15" s="63" t="s">
        <v>31</v>
      </c>
      <c r="H15" s="137">
        <v>718.24</v>
      </c>
      <c r="I15" s="135">
        <f t="shared" si="0"/>
        <v>7.0340340527393597</v>
      </c>
      <c r="J15" s="139">
        <v>18369.3094629156</v>
      </c>
      <c r="K15" s="137">
        <v>39.1</v>
      </c>
      <c r="L15" s="140">
        <v>163.6498155423196</v>
      </c>
      <c r="M15" s="139">
        <v>652.19853137892665</v>
      </c>
      <c r="N15" s="70">
        <v>22.969134487532415</v>
      </c>
      <c r="O15" s="140">
        <v>379.99813722356259</v>
      </c>
      <c r="P15" s="137">
        <v>243.29999999999995</v>
      </c>
      <c r="Q15" s="136">
        <v>20</v>
      </c>
    </row>
    <row r="16" spans="1:17" x14ac:dyDescent="0.25">
      <c r="A16" s="63">
        <v>2</v>
      </c>
      <c r="B16" s="63">
        <v>7</v>
      </c>
      <c r="C16" s="63">
        <v>4</v>
      </c>
      <c r="D16" s="63">
        <v>26</v>
      </c>
      <c r="E16" s="63">
        <v>10</v>
      </c>
      <c r="F16" s="63" t="s">
        <v>25</v>
      </c>
      <c r="G16" s="63" t="s">
        <v>28</v>
      </c>
      <c r="H16" s="137">
        <v>617.96</v>
      </c>
      <c r="I16" s="135">
        <f t="shared" si="0"/>
        <v>8.9804382961956204</v>
      </c>
      <c r="J16" s="139">
        <v>15759.532663316582</v>
      </c>
      <c r="K16" s="137">
        <v>39.211822660098527</v>
      </c>
      <c r="L16" s="140">
        <v>255.06397267823078</v>
      </c>
      <c r="M16" s="139">
        <v>688.96899906115539</v>
      </c>
      <c r="N16" s="70">
        <v>84.435645050513997</v>
      </c>
      <c r="O16" s="140">
        <v>379.56023379342429</v>
      </c>
      <c r="P16" s="137">
        <v>230</v>
      </c>
      <c r="Q16" s="136">
        <v>19</v>
      </c>
    </row>
    <row r="17" spans="1:17" x14ac:dyDescent="0.25">
      <c r="A17" s="63">
        <v>2</v>
      </c>
      <c r="B17" s="63">
        <v>8</v>
      </c>
      <c r="C17" s="63">
        <v>4</v>
      </c>
      <c r="D17" s="63">
        <v>31</v>
      </c>
      <c r="E17" s="63">
        <v>9</v>
      </c>
      <c r="F17" s="63" t="s">
        <v>30</v>
      </c>
      <c r="G17" s="63" t="s">
        <v>29</v>
      </c>
      <c r="H17" s="137">
        <v>624.9</v>
      </c>
      <c r="I17" s="135">
        <f t="shared" si="0"/>
        <v>6.815783540307061</v>
      </c>
      <c r="J17" s="139">
        <v>15260.073260073259</v>
      </c>
      <c r="K17" s="137">
        <v>40.950000000000003</v>
      </c>
      <c r="L17" s="140">
        <v>155.6193259052925</v>
      </c>
      <c r="M17" s="139">
        <v>558.2205532729804</v>
      </c>
      <c r="N17" s="70">
        <v>19.303655099151282</v>
      </c>
      <c r="O17" s="140">
        <v>296.31110577197211</v>
      </c>
      <c r="P17" s="137">
        <v>267.29999999999995</v>
      </c>
      <c r="Q17" s="136">
        <v>20</v>
      </c>
    </row>
    <row r="18" spans="1:17" x14ac:dyDescent="0.25">
      <c r="A18" s="63">
        <v>3</v>
      </c>
      <c r="B18" s="63">
        <v>1</v>
      </c>
      <c r="C18" s="63">
        <v>1</v>
      </c>
      <c r="D18" s="63">
        <v>3</v>
      </c>
      <c r="E18" s="63">
        <v>17</v>
      </c>
      <c r="F18" s="63" t="s">
        <v>25</v>
      </c>
      <c r="G18" s="63" t="s">
        <v>28</v>
      </c>
      <c r="H18" s="137">
        <v>786.04</v>
      </c>
      <c r="I18" s="135">
        <f t="shared" si="0"/>
        <v>9.1449636126076861</v>
      </c>
      <c r="J18" s="139">
        <v>19384.463625154131</v>
      </c>
      <c r="K18" s="137">
        <v>40.549999999999997</v>
      </c>
      <c r="L18" s="140">
        <v>250.33841422579368</v>
      </c>
      <c r="M18" s="139">
        <v>617.83757918522292</v>
      </c>
      <c r="N18" s="70">
        <v>49.149214748424583</v>
      </c>
      <c r="O18" s="140">
        <v>293.23624326697205</v>
      </c>
      <c r="P18" s="137">
        <v>270.5</v>
      </c>
      <c r="Q18" s="136">
        <v>22</v>
      </c>
    </row>
    <row r="19" spans="1:17" x14ac:dyDescent="0.25">
      <c r="A19" s="63">
        <v>3</v>
      </c>
      <c r="B19" s="63">
        <v>2</v>
      </c>
      <c r="C19" s="63">
        <v>1</v>
      </c>
      <c r="D19" s="63">
        <v>6</v>
      </c>
      <c r="E19" s="63">
        <v>18</v>
      </c>
      <c r="F19" s="63" t="s">
        <v>30</v>
      </c>
      <c r="G19" s="63" t="s">
        <v>29</v>
      </c>
      <c r="H19" s="137">
        <v>597.44000000000005</v>
      </c>
      <c r="I19" s="135">
        <f t="shared" si="0"/>
        <v>8.6741000225566971</v>
      </c>
      <c r="J19" s="139">
        <v>15373.615286624205</v>
      </c>
      <c r="K19" s="137">
        <v>38.861386138613859</v>
      </c>
      <c r="L19" s="140">
        <v>180.55901150521535</v>
      </c>
      <c r="M19" s="139">
        <v>623.89587011177082</v>
      </c>
      <c r="N19" s="70">
        <v>24.425211099194808</v>
      </c>
      <c r="O19" s="140">
        <v>282.95986078473993</v>
      </c>
      <c r="P19" s="137">
        <v>230.90000000000009</v>
      </c>
      <c r="Q19" s="136">
        <v>18</v>
      </c>
    </row>
    <row r="20" spans="1:17" x14ac:dyDescent="0.25">
      <c r="A20" s="63">
        <v>3</v>
      </c>
      <c r="B20" s="63">
        <v>3</v>
      </c>
      <c r="C20" s="63">
        <v>2</v>
      </c>
      <c r="D20" s="63">
        <v>11</v>
      </c>
      <c r="E20" s="63">
        <v>19</v>
      </c>
      <c r="F20" s="63" t="s">
        <v>25</v>
      </c>
      <c r="G20" s="63" t="s">
        <v>26</v>
      </c>
      <c r="H20" s="137">
        <v>562.36</v>
      </c>
      <c r="I20" s="135">
        <f t="shared" si="0"/>
        <v>9.8329179522231165</v>
      </c>
      <c r="J20" s="139">
        <v>15111.545454545456</v>
      </c>
      <c r="K20" s="137">
        <v>37.213930348258707</v>
      </c>
      <c r="L20" s="140">
        <v>198.39266643983214</v>
      </c>
      <c r="M20" s="139">
        <v>708.76906203924227</v>
      </c>
      <c r="N20" s="70">
        <v>41.065979204262263</v>
      </c>
      <c r="O20" s="140">
        <v>447.64636933917672</v>
      </c>
      <c r="P20" s="137">
        <v>220.59999999999991</v>
      </c>
      <c r="Q20" s="136">
        <v>16</v>
      </c>
    </row>
    <row r="21" spans="1:17" x14ac:dyDescent="0.25">
      <c r="A21" s="63">
        <v>3</v>
      </c>
      <c r="B21" s="63">
        <v>4</v>
      </c>
      <c r="C21" s="63">
        <v>2</v>
      </c>
      <c r="D21" s="63">
        <v>14</v>
      </c>
      <c r="E21" s="63">
        <v>20</v>
      </c>
      <c r="F21" s="63" t="s">
        <v>30</v>
      </c>
      <c r="G21" s="63" t="s">
        <v>31</v>
      </c>
      <c r="H21" s="137">
        <v>483</v>
      </c>
      <c r="I21" s="135">
        <f t="shared" si="0"/>
        <v>6.000999282856573</v>
      </c>
      <c r="J21" s="139">
        <v>13269.230769230768</v>
      </c>
      <c r="K21" s="137">
        <v>36.4</v>
      </c>
      <c r="L21" s="140">
        <v>151.55172494569277</v>
      </c>
      <c r="M21" s="139">
        <v>616.87165079746808</v>
      </c>
      <c r="N21" s="70">
        <v>31.531739288561305</v>
      </c>
      <c r="O21" s="140">
        <v>365.92388804009414</v>
      </c>
      <c r="P21" s="137">
        <v>247.90000000000009</v>
      </c>
      <c r="Q21" s="136">
        <v>20</v>
      </c>
    </row>
    <row r="22" spans="1:17" x14ac:dyDescent="0.25">
      <c r="A22" s="63">
        <v>3</v>
      </c>
      <c r="B22" s="63">
        <v>5</v>
      </c>
      <c r="C22" s="63">
        <v>3</v>
      </c>
      <c r="D22" s="63">
        <v>19</v>
      </c>
      <c r="E22" s="63">
        <v>21</v>
      </c>
      <c r="F22" s="63" t="s">
        <v>25</v>
      </c>
      <c r="G22" s="63" t="s">
        <v>29</v>
      </c>
      <c r="H22" s="137">
        <v>613.44000000000005</v>
      </c>
      <c r="I22" s="135">
        <f t="shared" si="0"/>
        <v>6.8430083758333247</v>
      </c>
      <c r="J22" s="139">
        <v>14708.21052631579</v>
      </c>
      <c r="K22" s="137">
        <v>41.707317073170735</v>
      </c>
      <c r="L22" s="140">
        <v>174.27538034462037</v>
      </c>
      <c r="M22" s="139">
        <v>596.51304681715715</v>
      </c>
      <c r="N22" s="70">
        <v>30.57220445212057</v>
      </c>
      <c r="O22" s="140">
        <v>371.84332391765247</v>
      </c>
      <c r="P22" s="137">
        <v>256.70000000000005</v>
      </c>
      <c r="Q22" s="136">
        <v>21</v>
      </c>
    </row>
    <row r="23" spans="1:17" x14ac:dyDescent="0.25">
      <c r="A23" s="63">
        <v>3</v>
      </c>
      <c r="B23" s="63">
        <v>6</v>
      </c>
      <c r="C23" s="63">
        <v>3</v>
      </c>
      <c r="D23" s="63">
        <v>22</v>
      </c>
      <c r="E23" s="63">
        <v>22</v>
      </c>
      <c r="F23" s="63" t="s">
        <v>30</v>
      </c>
      <c r="G23" s="63" t="s">
        <v>32</v>
      </c>
      <c r="H23" s="137">
        <v>373.26</v>
      </c>
      <c r="I23" s="135">
        <f t="shared" si="0"/>
        <v>7.0610335155019035</v>
      </c>
      <c r="J23" s="139">
        <v>8267.1096345514961</v>
      </c>
      <c r="K23" s="137">
        <v>45.15</v>
      </c>
      <c r="L23" s="140">
        <v>165.47196721300486</v>
      </c>
      <c r="M23" s="139">
        <v>653.76349370829473</v>
      </c>
      <c r="N23" s="70">
        <v>17.190263387464881</v>
      </c>
      <c r="O23" s="140">
        <v>380.24862613072321</v>
      </c>
      <c r="P23" s="137">
        <v>282.39999999999986</v>
      </c>
      <c r="Q23" s="136">
        <v>21</v>
      </c>
    </row>
    <row r="24" spans="1:17" x14ac:dyDescent="0.25">
      <c r="A24" s="49">
        <v>3</v>
      </c>
      <c r="B24" s="49">
        <v>7</v>
      </c>
      <c r="C24" s="49">
        <v>4</v>
      </c>
      <c r="D24" s="49">
        <v>27</v>
      </c>
      <c r="E24" s="49">
        <v>23</v>
      </c>
      <c r="F24" s="49" t="s">
        <v>25</v>
      </c>
      <c r="G24" s="49" t="s">
        <v>27</v>
      </c>
      <c r="H24" s="137">
        <v>464.42</v>
      </c>
      <c r="I24" s="135">
        <f t="shared" si="0"/>
        <v>4.9685472566434008</v>
      </c>
      <c r="J24" s="139">
        <v>11524.069478908188</v>
      </c>
      <c r="K24" s="137">
        <v>40.300000000000004</v>
      </c>
      <c r="L24" s="140">
        <v>145.44938834717499</v>
      </c>
      <c r="M24" s="139">
        <v>492.62233985752522</v>
      </c>
      <c r="N24" s="70">
        <v>36.141348701020164</v>
      </c>
      <c r="O24" s="140">
        <v>318.39742524105264</v>
      </c>
      <c r="P24" s="137">
        <v>263.90000000000009</v>
      </c>
      <c r="Q24" s="136">
        <v>22</v>
      </c>
    </row>
    <row r="25" spans="1:17" x14ac:dyDescent="0.25">
      <c r="A25" s="63">
        <v>3</v>
      </c>
      <c r="B25" s="63">
        <v>8</v>
      </c>
      <c r="C25" s="63">
        <v>4</v>
      </c>
      <c r="D25" s="63">
        <v>30</v>
      </c>
      <c r="E25" s="63">
        <v>24</v>
      </c>
      <c r="F25" s="63" t="s">
        <v>30</v>
      </c>
      <c r="G25" s="63" t="s">
        <v>28</v>
      </c>
      <c r="H25" s="137">
        <v>592.6</v>
      </c>
      <c r="I25" s="135">
        <f t="shared" si="0"/>
        <v>7.4188757694798539</v>
      </c>
      <c r="J25" s="139">
        <v>13591.743119266055</v>
      </c>
      <c r="K25" s="137">
        <v>43.6</v>
      </c>
      <c r="L25" s="140">
        <v>181.30101237091989</v>
      </c>
      <c r="M25" s="139">
        <v>473.03692007011898</v>
      </c>
      <c r="N25" s="70">
        <v>55.180124289762368</v>
      </c>
      <c r="O25" s="140">
        <v>288.5410023433829</v>
      </c>
      <c r="P25" s="137">
        <v>221.79999999999995</v>
      </c>
      <c r="Q25" s="136">
        <v>17</v>
      </c>
    </row>
    <row r="26" spans="1:17" x14ac:dyDescent="0.25">
      <c r="A26" s="63">
        <v>4</v>
      </c>
      <c r="B26" s="63">
        <v>1</v>
      </c>
      <c r="C26" s="63">
        <v>1</v>
      </c>
      <c r="D26" s="63">
        <v>4</v>
      </c>
      <c r="E26" s="63">
        <v>32</v>
      </c>
      <c r="F26" s="63" t="s">
        <v>25</v>
      </c>
      <c r="G26" s="63" t="s">
        <v>29</v>
      </c>
      <c r="H26" s="137">
        <v>650.38</v>
      </c>
      <c r="I26" s="135">
        <f t="shared" si="0"/>
        <v>7.4469631348504599</v>
      </c>
      <c r="J26" s="139">
        <v>15664.406139315228</v>
      </c>
      <c r="K26" s="137">
        <v>41.519607843137258</v>
      </c>
      <c r="L26" s="140">
        <v>179.80420466174331</v>
      </c>
      <c r="M26" s="139">
        <v>600.04697612797077</v>
      </c>
      <c r="N26" s="70">
        <v>45.758868234435027</v>
      </c>
      <c r="O26" s="140">
        <v>348.69725793620273</v>
      </c>
      <c r="P26" s="137">
        <v>214.70000000000005</v>
      </c>
      <c r="Q26" s="136">
        <v>18</v>
      </c>
    </row>
    <row r="27" spans="1:17" x14ac:dyDescent="0.25">
      <c r="A27" s="63">
        <v>4</v>
      </c>
      <c r="B27" s="63">
        <v>2</v>
      </c>
      <c r="C27" s="63">
        <v>1</v>
      </c>
      <c r="D27" s="63">
        <v>5</v>
      </c>
      <c r="E27" s="63">
        <v>31</v>
      </c>
      <c r="F27" s="63" t="s">
        <v>30</v>
      </c>
      <c r="G27" s="63" t="s">
        <v>32</v>
      </c>
      <c r="H27" s="137">
        <v>414.1</v>
      </c>
      <c r="I27" s="135">
        <f t="shared" si="0"/>
        <v>6.4980342367508239</v>
      </c>
      <c r="J27" s="139">
        <v>9400.6810442678761</v>
      </c>
      <c r="K27" s="137">
        <v>44.050000000000004</v>
      </c>
      <c r="L27" s="140">
        <v>151.64598743380481</v>
      </c>
      <c r="M27" s="139">
        <v>655.01634045869525</v>
      </c>
      <c r="N27" s="70">
        <v>21.685302698788323</v>
      </c>
      <c r="O27" s="140">
        <v>403.78836784503068</v>
      </c>
      <c r="P27" s="137">
        <v>271.59999999999991</v>
      </c>
      <c r="Q27" s="136">
        <v>20</v>
      </c>
    </row>
    <row r="28" spans="1:17" x14ac:dyDescent="0.25">
      <c r="A28" s="63">
        <v>4</v>
      </c>
      <c r="B28" s="63">
        <v>3</v>
      </c>
      <c r="C28" s="63">
        <v>2</v>
      </c>
      <c r="D28" s="63">
        <v>12</v>
      </c>
      <c r="E28" s="63">
        <v>30</v>
      </c>
      <c r="F28" s="63" t="s">
        <v>25</v>
      </c>
      <c r="G28" s="63" t="s">
        <v>28</v>
      </c>
      <c r="H28" s="137">
        <v>616.02</v>
      </c>
      <c r="I28" s="135">
        <f t="shared" si="0"/>
        <v>7.0307083188114996</v>
      </c>
      <c r="J28" s="139">
        <v>15343.811042944784</v>
      </c>
      <c r="K28" s="137">
        <v>40.14778325123153</v>
      </c>
      <c r="L28" s="140">
        <v>198.83981271039337</v>
      </c>
      <c r="M28" s="139">
        <v>451.36976224292869</v>
      </c>
      <c r="N28" s="70">
        <v>44.164229696540374</v>
      </c>
      <c r="O28" s="140">
        <v>267.77469794955005</v>
      </c>
      <c r="P28" s="137">
        <v>270.5</v>
      </c>
      <c r="Q28" s="136">
        <v>22</v>
      </c>
    </row>
    <row r="29" spans="1:17" x14ac:dyDescent="0.25">
      <c r="A29" s="63">
        <v>4</v>
      </c>
      <c r="B29" s="63">
        <v>4</v>
      </c>
      <c r="C29" s="63">
        <v>2</v>
      </c>
      <c r="D29" s="63">
        <v>13</v>
      </c>
      <c r="E29" s="63">
        <v>29</v>
      </c>
      <c r="F29" s="63" t="s">
        <v>30</v>
      </c>
      <c r="G29" s="63" t="s">
        <v>29</v>
      </c>
      <c r="H29" s="137">
        <v>519.44000000000005</v>
      </c>
      <c r="I29" s="135">
        <f t="shared" si="0"/>
        <v>7.9901134990756475</v>
      </c>
      <c r="J29" s="139">
        <v>13050.287128712871</v>
      </c>
      <c r="K29" s="137">
        <v>39.802955665024633</v>
      </c>
      <c r="L29" s="140">
        <v>196.14535441657583</v>
      </c>
      <c r="M29" s="139">
        <v>460.77947928026174</v>
      </c>
      <c r="N29" s="70">
        <v>36.343084435062892</v>
      </c>
      <c r="O29" s="140">
        <v>295.90304875515727</v>
      </c>
      <c r="P29" s="137">
        <v>267.29999999999995</v>
      </c>
      <c r="Q29" s="136">
        <v>20</v>
      </c>
    </row>
    <row r="30" spans="1:17" x14ac:dyDescent="0.25">
      <c r="A30" s="49">
        <v>4</v>
      </c>
      <c r="B30" s="49">
        <v>5</v>
      </c>
      <c r="C30" s="49">
        <v>3</v>
      </c>
      <c r="D30" s="49">
        <v>20</v>
      </c>
      <c r="E30" s="49">
        <v>28</v>
      </c>
      <c r="F30" s="49" t="s">
        <v>25</v>
      </c>
      <c r="G30" s="49" t="s">
        <v>27</v>
      </c>
      <c r="H30" s="137">
        <v>442.52</v>
      </c>
      <c r="I30" s="135">
        <f t="shared" si="0"/>
        <v>7.6198898812637648</v>
      </c>
      <c r="J30" s="139">
        <v>12285.430939226517</v>
      </c>
      <c r="K30" s="137">
        <v>36.019900497512438</v>
      </c>
      <c r="L30" s="140">
        <v>207.83729534808026</v>
      </c>
      <c r="M30" s="139">
        <v>515.78155052115301</v>
      </c>
      <c r="N30" s="70">
        <v>32.57982807901368</v>
      </c>
      <c r="O30" s="140">
        <v>286.43098852799528</v>
      </c>
      <c r="P30" s="137">
        <v>276.20000000000005</v>
      </c>
      <c r="Q30" s="136">
        <v>23</v>
      </c>
    </row>
    <row r="31" spans="1:17" x14ac:dyDescent="0.25">
      <c r="A31" s="63">
        <v>4</v>
      </c>
      <c r="B31" s="63">
        <v>6</v>
      </c>
      <c r="C31" s="63">
        <v>3</v>
      </c>
      <c r="D31" s="63">
        <v>21</v>
      </c>
      <c r="E31" s="63">
        <v>27</v>
      </c>
      <c r="F31" s="63" t="s">
        <v>30</v>
      </c>
      <c r="G31" s="63" t="s">
        <v>28</v>
      </c>
      <c r="H31" s="137">
        <v>505.62</v>
      </c>
      <c r="I31" s="135">
        <f t="shared" si="0"/>
        <v>8.5507538685891138</v>
      </c>
      <c r="J31" s="139">
        <v>11650.230414746544</v>
      </c>
      <c r="K31" s="137">
        <v>43.4</v>
      </c>
      <c r="L31" s="140">
        <v>214.21848833694392</v>
      </c>
      <c r="M31" s="139">
        <v>436.14458977782255</v>
      </c>
      <c r="N31" s="70">
        <v>60.304918702339876</v>
      </c>
      <c r="O31" s="140">
        <v>238.39288174518728</v>
      </c>
      <c r="P31" s="137">
        <v>217.60000000000014</v>
      </c>
      <c r="Q31" s="136">
        <v>18</v>
      </c>
    </row>
    <row r="32" spans="1:17" x14ac:dyDescent="0.25">
      <c r="A32" s="63">
        <v>4</v>
      </c>
      <c r="B32" s="63">
        <v>7</v>
      </c>
      <c r="C32" s="63">
        <v>4</v>
      </c>
      <c r="D32" s="63">
        <v>28</v>
      </c>
      <c r="E32" s="63">
        <v>26</v>
      </c>
      <c r="F32" s="63" t="s">
        <v>25</v>
      </c>
      <c r="G32" s="63" t="s">
        <v>26</v>
      </c>
      <c r="H32" s="137">
        <v>476.96</v>
      </c>
      <c r="I32" s="135">
        <f t="shared" si="0"/>
        <v>6.1012684462874143</v>
      </c>
      <c r="J32" s="139">
        <v>12714.716180371353</v>
      </c>
      <c r="K32" s="137">
        <v>37.512437810945272</v>
      </c>
      <c r="L32" s="140">
        <v>152.49197969543147</v>
      </c>
      <c r="M32" s="139">
        <v>529.46875126903547</v>
      </c>
      <c r="N32" s="70">
        <v>60.97295300112026</v>
      </c>
      <c r="O32" s="140">
        <v>535.43475534597201</v>
      </c>
      <c r="P32" s="137">
        <v>207.79999999999995</v>
      </c>
      <c r="Q32" s="136">
        <v>15</v>
      </c>
    </row>
    <row r="33" spans="1:17" x14ac:dyDescent="0.25">
      <c r="A33" s="63">
        <v>4</v>
      </c>
      <c r="B33" s="63">
        <v>8</v>
      </c>
      <c r="C33" s="63">
        <v>4</v>
      </c>
      <c r="D33" s="63">
        <v>29</v>
      </c>
      <c r="E33" s="63">
        <v>25</v>
      </c>
      <c r="F33" s="63" t="s">
        <v>30</v>
      </c>
      <c r="G33" s="63" t="s">
        <v>31</v>
      </c>
      <c r="H33" s="137">
        <v>535.74</v>
      </c>
      <c r="I33" s="135">
        <f t="shared" si="0"/>
        <v>5.4811573017118391</v>
      </c>
      <c r="J33" s="139">
        <v>13841.097686375322</v>
      </c>
      <c r="K33" s="137">
        <v>38.706467661691541</v>
      </c>
      <c r="L33" s="140">
        <v>157.62018017388976</v>
      </c>
      <c r="M33" s="139">
        <v>579.46526059463486</v>
      </c>
      <c r="N33" s="70">
        <v>42.515876837941136</v>
      </c>
      <c r="O33" s="140">
        <v>367.93614169186793</v>
      </c>
      <c r="P33" s="137">
        <v>263.70000000000005</v>
      </c>
      <c r="Q33" s="136">
        <v>21</v>
      </c>
    </row>
    <row r="34" spans="1:17" x14ac:dyDescent="0.25">
      <c r="A34" s="63"/>
      <c r="B34" s="63"/>
      <c r="C34" s="63"/>
      <c r="D34" s="63"/>
      <c r="E34" s="63"/>
      <c r="F34" s="63"/>
      <c r="G34" s="63"/>
      <c r="J34" s="139"/>
      <c r="K34" s="137"/>
    </row>
    <row r="35" spans="1:17" x14ac:dyDescent="0.25">
      <c r="J35" s="139"/>
      <c r="K35" s="137"/>
    </row>
    <row r="36" spans="1:17" x14ac:dyDescent="0.25">
      <c r="J36" s="139"/>
      <c r="K36" s="137"/>
    </row>
    <row r="37" spans="1:17" x14ac:dyDescent="0.25">
      <c r="J37" s="139"/>
      <c r="K37" s="137"/>
    </row>
    <row r="38" spans="1:17" x14ac:dyDescent="0.25">
      <c r="J38" s="139"/>
      <c r="K38" s="137"/>
    </row>
    <row r="39" spans="1:17" x14ac:dyDescent="0.25">
      <c r="J39" s="139"/>
      <c r="K39" s="137"/>
    </row>
    <row r="40" spans="1:17" x14ac:dyDescent="0.25">
      <c r="J40" s="139"/>
      <c r="K40" s="137"/>
    </row>
    <row r="41" spans="1:17" x14ac:dyDescent="0.25">
      <c r="J41" s="139"/>
      <c r="K41" s="137"/>
    </row>
    <row r="42" spans="1:17" x14ac:dyDescent="0.25">
      <c r="J42" s="139"/>
      <c r="K42" s="137"/>
    </row>
    <row r="43" spans="1:17" x14ac:dyDescent="0.25">
      <c r="J43" s="139"/>
      <c r="K43" s="137"/>
    </row>
    <row r="44" spans="1:17" x14ac:dyDescent="0.25">
      <c r="J44" s="139"/>
      <c r="K44" s="137"/>
    </row>
    <row r="45" spans="1:17" x14ac:dyDescent="0.25">
      <c r="J45" s="139"/>
      <c r="K45" s="137"/>
    </row>
    <row r="46" spans="1:17" x14ac:dyDescent="0.25">
      <c r="J46" s="139"/>
      <c r="K46" s="137"/>
    </row>
    <row r="47" spans="1:17" x14ac:dyDescent="0.25">
      <c r="J47" s="139"/>
      <c r="K47" s="137"/>
    </row>
    <row r="48" spans="1:17" x14ac:dyDescent="0.25">
      <c r="J48" s="139"/>
      <c r="K48" s="137"/>
    </row>
    <row r="49" spans="10:11" x14ac:dyDescent="0.25">
      <c r="J49" s="139"/>
      <c r="K49" s="137"/>
    </row>
    <row r="50" spans="10:11" x14ac:dyDescent="0.25">
      <c r="J50" s="139"/>
      <c r="K50" s="137"/>
    </row>
    <row r="51" spans="10:11" x14ac:dyDescent="0.25">
      <c r="J51" s="139"/>
      <c r="K51" s="13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1075c0a-66fe-41b2-b9b9-96fab4c03331" xsi:nil="true"/>
    <lcf76f155ced4ddcb4097134ff3c332f xmlns="7862ba92-1ed1-4299-8be4-2b023bdc010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FFC2331863D440B8D941E06DE106C1" ma:contentTypeVersion="13" ma:contentTypeDescription="Create a new document." ma:contentTypeScope="" ma:versionID="f237d48f8fe8de6a2ae656e386233161">
  <xsd:schema xmlns:xsd="http://www.w3.org/2001/XMLSchema" xmlns:xs="http://www.w3.org/2001/XMLSchema" xmlns:p="http://schemas.microsoft.com/office/2006/metadata/properties" xmlns:ns2="e1075c0a-66fe-41b2-b9b9-96fab4c03331" xmlns:ns3="7862ba92-1ed1-4299-8be4-2b023bdc0104" targetNamespace="http://schemas.microsoft.com/office/2006/metadata/properties" ma:root="true" ma:fieldsID="084f2fc260468639ac304d44f69497d1" ns2:_="" ns3:_="">
    <xsd:import namespace="e1075c0a-66fe-41b2-b9b9-96fab4c03331"/>
    <xsd:import namespace="7862ba92-1ed1-4299-8be4-2b023bdc010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lcf76f155ced4ddcb4097134ff3c332f" minOccurs="0"/>
                <xsd:element ref="ns2:TaxCatchAll"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075c0a-66fe-41b2-b9b9-96fab4c033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15f1bef-5212-4ac6-8faa-53ca9d01fd62}" ma:internalName="TaxCatchAll" ma:showField="CatchAllData" ma:web="e1075c0a-66fe-41b2-b9b9-96fab4c0333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62ba92-1ed1-4299-8be4-2b023bdc01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C2D374-EE1C-4AA4-B86F-4ECABEF512F3}">
  <ds:schemaRefs>
    <ds:schemaRef ds:uri="http://purl.org/dc/terms/"/>
    <ds:schemaRef ds:uri="http://schemas.openxmlformats.org/package/2006/metadata/core-properties"/>
    <ds:schemaRef ds:uri="http://schemas.microsoft.com/office/2006/documentManagement/types"/>
    <ds:schemaRef ds:uri="e1075c0a-66fe-41b2-b9b9-96fab4c03331"/>
    <ds:schemaRef ds:uri="7862ba92-1ed1-4299-8be4-2b023bdc0104"/>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394F460E-A821-45FA-ADAF-110259797661}">
  <ds:schemaRefs>
    <ds:schemaRef ds:uri="http://schemas.microsoft.com/sharepoint/v3/contenttype/forms"/>
  </ds:schemaRefs>
</ds:datastoreItem>
</file>

<file path=customXml/itemProps3.xml><?xml version="1.0" encoding="utf-8"?>
<ds:datastoreItem xmlns:ds="http://schemas.openxmlformats.org/officeDocument/2006/customXml" ds:itemID="{97F836B0-D2AC-4599-B141-D71E96E818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075c0a-66fe-41b2-b9b9-96fab4c03331"/>
    <ds:schemaRef ds:uri="7862ba92-1ed1-4299-8be4-2b023bdc01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2</vt:i4>
      </vt:variant>
    </vt:vector>
  </HeadingPairs>
  <TitlesOfParts>
    <vt:vector size="27" baseType="lpstr">
      <vt:lpstr>Site</vt:lpstr>
      <vt:lpstr>Experiment</vt:lpstr>
      <vt:lpstr>Design</vt:lpstr>
      <vt:lpstr>Harvest order</vt:lpstr>
      <vt:lpstr>Seed</vt:lpstr>
      <vt:lpstr>Plan</vt:lpstr>
      <vt:lpstr>Diary</vt:lpstr>
      <vt:lpstr>Measurements</vt:lpstr>
      <vt:lpstr>Emergence</vt:lpstr>
      <vt:lpstr>Population</vt:lpstr>
      <vt:lpstr>Haun stage</vt:lpstr>
      <vt:lpstr>Leaf measurement</vt:lpstr>
      <vt:lpstr>Bare soil NDVI</vt:lpstr>
      <vt:lpstr>NDVI &amp; height</vt:lpstr>
      <vt:lpstr>Leaf angle measurements</vt:lpstr>
      <vt:lpstr>PCDS 6.0 harvest</vt:lpstr>
      <vt:lpstr>PCDS 6.0</vt:lpstr>
      <vt:lpstr>PCDS 8.0</vt:lpstr>
      <vt:lpstr>PCDS 8.0 harvest</vt:lpstr>
      <vt:lpstr>JRH play</vt:lpstr>
      <vt:lpstr>Extinction curves</vt:lpstr>
      <vt:lpstr>Sterility measurement (frost)</vt:lpstr>
      <vt:lpstr>PCDS 10.0 harvest</vt:lpstr>
      <vt:lpstr>Machine harvest</vt:lpstr>
      <vt:lpstr>Sheet2</vt:lpstr>
      <vt:lpstr>Emergence!Print_Area</vt:lpstr>
      <vt:lpstr>Emergence!Print_Titles</vt:lpstr>
    </vt:vector>
  </TitlesOfParts>
  <Manager/>
  <Company>The University of Melbourne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Corinne Celestina</dc:creator>
  <cp:keywords/>
  <dc:description/>
  <cp:lastModifiedBy>Juan Wang</cp:lastModifiedBy>
  <cp:revision/>
  <dcterms:created xsi:type="dcterms:W3CDTF">2023-06-06T01:52:09Z</dcterms:created>
  <dcterms:modified xsi:type="dcterms:W3CDTF">2026-03-31T06:59:37Z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0x010100C7FFC2331863D440B8D941E06DE106C1</vt:lpwstr>
  </property>
  <property fmtid="{D5CDD505-2E9C-101B-9397-08002B2CF9AE}" pid="3" name="MediaServiceImageTags">
    <vt:lpwstr/>
  </property>
</Properties>
</file>