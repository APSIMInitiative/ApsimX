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unimelbcloud.sharepoint.com/teams/GRDCWheatYieldPhysiology/Shared Documents/General/Experiments/Wagga Wagga 2025/"/>
    </mc:Choice>
  </mc:AlternateContent>
  <xr:revisionPtr revIDLastSave="1590" documentId="13_ncr:1_{4499807C-2A72-48EE-B6D5-026B7BD0D43F}" xr6:coauthVersionLast="47" xr6:coauthVersionMax="47" xr10:uidLastSave="{B9114076-B72C-461E-8D71-63F93D8EF4AB}"/>
  <bookViews>
    <workbookView xWindow="28680" yWindow="-120" windowWidth="29040" windowHeight="15720" firstSheet="20" activeTab="26" xr2:uid="{B0EE1ED6-E580-4E10-A8BF-D9C18A27951A}"/>
  </bookViews>
  <sheets>
    <sheet name="Design" sheetId="8" r:id="rId1"/>
    <sheet name="Site" sheetId="1" r:id="rId2"/>
    <sheet name="Experiment" sheetId="2" r:id="rId3"/>
    <sheet name="Plan" sheetId="12" r:id="rId4"/>
    <sheet name="Diary" sheetId="4" r:id="rId5"/>
    <sheet name="Seed" sheetId="13" r:id="rId6"/>
    <sheet name="Management" sheetId="10" r:id="rId7"/>
    <sheet name="Measurements" sheetId="5" r:id="rId8"/>
    <sheet name="Irrigation" sheetId="35" r:id="rId9"/>
    <sheet name="Soil sampling" sheetId="34" r:id="rId10"/>
    <sheet name="Predicta B" sheetId="15" r:id="rId11"/>
    <sheet name="Weather" sheetId="11" r:id="rId12"/>
    <sheet name="Emergence" sheetId="14" r:id="rId13"/>
    <sheet name="Soil Characterisation" sheetId="37" r:id="rId14"/>
    <sheet name="Population" sheetId="16" r:id="rId15"/>
    <sheet name="Bare soil NDVI" sheetId="18" r:id="rId16"/>
    <sheet name="NDVI &amp; height" sheetId="17" r:id="rId17"/>
    <sheet name="Canopy Height" sheetId="38" r:id="rId18"/>
    <sheet name="Haun stage " sheetId="19" r:id="rId19"/>
    <sheet name="Leaf angle measurement" sheetId="39" r:id="rId20"/>
    <sheet name="Tiller No" sheetId="36" r:id="rId21"/>
    <sheet name="Leaf measurement" sheetId="30" r:id="rId22"/>
    <sheet name="PCDS 6.0" sheetId="21" r:id="rId23"/>
    <sheet name="PCDS 6.0 harvest" sheetId="24" r:id="rId24"/>
    <sheet name="PCDS 8.0" sheetId="23" r:id="rId25"/>
    <sheet name="PCDS 8.0 harvest" sheetId="25" r:id="rId26"/>
    <sheet name="Sterility measurement (frost)" sheetId="22" r:id="rId27"/>
    <sheet name="PCDS 10.0 harvest" sheetId="26" r:id="rId28"/>
    <sheet name="Machine harvest" sheetId="28" r:id="rId29"/>
  </sheets>
  <definedNames>
    <definedName name="_xlnm._FilterDatabase" localSheetId="18" hidden="1">'Haun stage '!$A$1:$O$641</definedName>
    <definedName name="_xlnm._FilterDatabase" localSheetId="22" hidden="1">'PCDS 6.0'!$A$1:$O$129</definedName>
    <definedName name="_xlnm._FilterDatabase" localSheetId="23" hidden="1">'PCDS 6.0 harvest'!$B$1:$BV$1</definedName>
    <definedName name="_xlnm._FilterDatabase" localSheetId="24" hidden="1">'PCDS 8.0'!$A$1:$U$129</definedName>
    <definedName name="_xlnm._FilterDatabase" localSheetId="14" hidden="1">Population!$A$1:$T$1</definedName>
    <definedName name="_xlnm.Print_Area" localSheetId="3">Plan!#REF!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 i="26" l="1"/>
  <c r="AT4" i="26"/>
  <c r="AT6" i="26"/>
  <c r="AT7" i="26"/>
  <c r="AT8" i="26"/>
  <c r="AT9" i="26"/>
  <c r="AT10" i="26"/>
  <c r="AT11" i="26"/>
  <c r="AT12" i="26"/>
  <c r="AT13" i="26"/>
  <c r="AT14" i="26"/>
  <c r="AT15" i="26"/>
  <c r="AT16" i="26"/>
  <c r="AT17" i="26"/>
  <c r="AT18" i="26"/>
  <c r="AT19" i="26"/>
  <c r="AT20" i="26"/>
  <c r="AT21" i="26"/>
  <c r="AT22" i="26"/>
  <c r="AT23" i="26"/>
  <c r="AT24" i="26"/>
  <c r="AT25" i="26"/>
  <c r="AT26" i="26"/>
  <c r="AT27" i="26"/>
  <c r="AT28" i="26"/>
  <c r="AT29" i="26"/>
  <c r="AT32" i="26"/>
  <c r="AT33" i="26"/>
  <c r="AT34" i="26"/>
  <c r="AT35" i="26"/>
  <c r="AT36" i="26"/>
  <c r="AT37" i="26"/>
  <c r="AT38" i="26"/>
  <c r="AT39" i="26"/>
  <c r="AT40" i="26"/>
  <c r="AT41" i="26"/>
  <c r="AT42" i="26"/>
  <c r="AT43" i="26"/>
  <c r="AT44" i="26"/>
  <c r="AT45" i="26"/>
  <c r="AT46" i="26"/>
  <c r="AT47" i="26"/>
  <c r="AT48" i="26"/>
  <c r="AT49" i="26"/>
  <c r="AT50" i="26"/>
  <c r="AT51" i="26"/>
  <c r="AT52" i="26"/>
  <c r="AT53" i="26"/>
  <c r="AT54" i="26"/>
  <c r="AT55" i="26"/>
  <c r="AT56" i="26"/>
  <c r="AT57" i="26"/>
  <c r="AT58" i="26"/>
  <c r="AT59" i="26"/>
  <c r="AT60" i="26"/>
  <c r="AT61" i="26"/>
  <c r="AT62" i="26"/>
  <c r="AT63" i="26"/>
  <c r="AT64" i="26"/>
  <c r="AT65" i="26"/>
  <c r="AT2" i="26"/>
  <c r="AS2" i="26"/>
  <c r="AS3" i="26"/>
  <c r="AS4" i="26"/>
  <c r="AS6" i="26"/>
  <c r="AS7" i="26"/>
  <c r="AS8" i="26"/>
  <c r="AS9" i="26"/>
  <c r="AS10" i="26"/>
  <c r="AS11" i="26"/>
  <c r="AS12" i="26"/>
  <c r="AS13" i="26"/>
  <c r="AS14" i="26"/>
  <c r="AS15" i="26"/>
  <c r="AS16" i="26"/>
  <c r="AS17" i="26"/>
  <c r="AS18" i="26"/>
  <c r="AS19" i="26"/>
  <c r="AS20" i="26"/>
  <c r="AS21" i="26"/>
  <c r="AS22" i="26"/>
  <c r="AS23" i="26"/>
  <c r="AS24" i="26"/>
  <c r="AS25" i="26"/>
  <c r="AS26" i="26"/>
  <c r="AS27" i="26"/>
  <c r="AS28" i="26"/>
  <c r="AS29" i="26"/>
  <c r="AS32" i="26"/>
  <c r="AS33" i="26"/>
  <c r="AS34" i="26"/>
  <c r="AS35" i="26"/>
  <c r="AS36" i="26"/>
  <c r="AS37" i="26"/>
  <c r="AS38" i="26"/>
  <c r="AS39" i="26"/>
  <c r="AS40" i="26"/>
  <c r="AS41" i="26"/>
  <c r="AS42" i="26"/>
  <c r="AS43" i="26"/>
  <c r="AS44" i="26"/>
  <c r="AS45" i="26"/>
  <c r="AS46" i="26"/>
  <c r="AS47" i="26"/>
  <c r="AS48" i="26"/>
  <c r="AS49" i="26"/>
  <c r="AS50" i="26"/>
  <c r="AS51" i="26"/>
  <c r="AS52" i="26"/>
  <c r="AS53" i="26"/>
  <c r="AS54" i="26"/>
  <c r="AS55" i="26"/>
  <c r="AS56" i="26"/>
  <c r="AS57" i="26"/>
  <c r="AS58" i="26"/>
  <c r="AS59" i="26"/>
  <c r="AS60" i="26"/>
  <c r="AS61" i="26"/>
  <c r="AS62" i="26"/>
  <c r="AS63" i="26"/>
  <c r="AS64" i="26"/>
  <c r="AS65" i="26"/>
  <c r="T32" i="26" l="1"/>
  <c r="T33" i="26"/>
  <c r="T34" i="26"/>
  <c r="T35" i="26"/>
  <c r="T36" i="26"/>
  <c r="T37" i="26"/>
  <c r="T38" i="26"/>
  <c r="T39" i="26"/>
  <c r="T40" i="26"/>
  <c r="T41" i="26"/>
  <c r="T42" i="26"/>
  <c r="T43" i="26"/>
  <c r="T44" i="26"/>
  <c r="T45" i="26"/>
  <c r="T46" i="26"/>
  <c r="T47" i="26"/>
  <c r="T48" i="26"/>
  <c r="T49" i="26"/>
  <c r="T50" i="26"/>
  <c r="T51" i="26"/>
  <c r="T52" i="26"/>
  <c r="T53" i="26"/>
  <c r="T54" i="26"/>
  <c r="T55" i="26"/>
  <c r="T56" i="26"/>
  <c r="T57" i="26"/>
  <c r="T58" i="26"/>
  <c r="T59" i="26"/>
  <c r="T60" i="26"/>
  <c r="T61" i="26"/>
  <c r="T62" i="26"/>
  <c r="T63" i="26"/>
  <c r="T64" i="26"/>
  <c r="T65" i="26"/>
  <c r="T6" i="26"/>
  <c r="T7" i="26"/>
  <c r="T8" i="26"/>
  <c r="T9" i="26"/>
  <c r="T10" i="26"/>
  <c r="T11" i="26"/>
  <c r="T12" i="26"/>
  <c r="T13" i="26"/>
  <c r="T14" i="26"/>
  <c r="T15" i="26"/>
  <c r="T16" i="26"/>
  <c r="T17" i="26"/>
  <c r="T18" i="26"/>
  <c r="T19" i="26"/>
  <c r="T20" i="26"/>
  <c r="T21" i="26"/>
  <c r="T22" i="26"/>
  <c r="T23" i="26"/>
  <c r="T24" i="26"/>
  <c r="T25" i="26"/>
  <c r="T26" i="26"/>
  <c r="T27" i="26"/>
  <c r="T28" i="26"/>
  <c r="T29" i="26"/>
  <c r="T3" i="26"/>
  <c r="T4" i="26"/>
  <c r="T2" i="26"/>
  <c r="AQ3" i="26"/>
  <c r="AQ4" i="26"/>
  <c r="AQ6" i="26"/>
  <c r="AQ7" i="26"/>
  <c r="AQ8" i="26"/>
  <c r="AQ9" i="26"/>
  <c r="AQ10" i="26"/>
  <c r="AQ11" i="26"/>
  <c r="AQ12" i="26"/>
  <c r="AQ13" i="26"/>
  <c r="AQ14" i="26"/>
  <c r="AQ21" i="26"/>
  <c r="AQ22" i="26"/>
  <c r="AQ23" i="26"/>
  <c r="AQ24" i="26"/>
  <c r="AQ25" i="26"/>
  <c r="AQ26" i="26"/>
  <c r="AQ27" i="26"/>
  <c r="AQ28" i="26"/>
  <c r="AQ29" i="26"/>
  <c r="AQ32" i="26"/>
  <c r="AQ33" i="26"/>
  <c r="AQ34" i="26"/>
  <c r="AQ41" i="26"/>
  <c r="AQ42" i="26"/>
  <c r="AQ43" i="26"/>
  <c r="AQ44" i="26"/>
  <c r="AQ45" i="26"/>
  <c r="AQ46" i="26"/>
  <c r="AQ47" i="26"/>
  <c r="AQ48" i="26"/>
  <c r="AQ49" i="26"/>
  <c r="AQ50" i="26"/>
  <c r="AQ51" i="26"/>
  <c r="AQ52" i="26"/>
  <c r="AQ59" i="26"/>
  <c r="AQ60" i="26"/>
  <c r="AQ61" i="26"/>
  <c r="AQ62" i="26"/>
  <c r="AQ63" i="26"/>
  <c r="AQ64" i="26"/>
  <c r="AQ65" i="26"/>
  <c r="AQ2" i="26"/>
  <c r="AO3" i="26"/>
  <c r="AO4" i="26"/>
  <c r="AO6" i="26"/>
  <c r="AO7" i="26"/>
  <c r="AO8" i="26"/>
  <c r="AO9" i="26"/>
  <c r="AO10" i="26"/>
  <c r="AO11" i="26"/>
  <c r="AO12" i="26"/>
  <c r="AO13" i="26"/>
  <c r="AO14" i="26"/>
  <c r="AO15" i="26"/>
  <c r="AQ15" i="26" s="1"/>
  <c r="AO16" i="26"/>
  <c r="AQ16" i="26" s="1"/>
  <c r="AO17" i="26"/>
  <c r="AQ17" i="26" s="1"/>
  <c r="AO18" i="26"/>
  <c r="AQ18" i="26" s="1"/>
  <c r="AO19" i="26"/>
  <c r="AQ19" i="26" s="1"/>
  <c r="AO20" i="26"/>
  <c r="AQ20" i="26" s="1"/>
  <c r="AO21" i="26"/>
  <c r="AO22" i="26"/>
  <c r="AO23" i="26"/>
  <c r="AO24" i="26"/>
  <c r="AO25" i="26"/>
  <c r="AO26" i="26"/>
  <c r="AO27" i="26"/>
  <c r="AO28" i="26"/>
  <c r="AO29" i="26"/>
  <c r="AO32" i="26"/>
  <c r="AO33" i="26"/>
  <c r="AO34" i="26"/>
  <c r="AO35" i="26"/>
  <c r="AQ35" i="26" s="1"/>
  <c r="AO36" i="26"/>
  <c r="AQ36" i="26" s="1"/>
  <c r="AO37" i="26"/>
  <c r="AQ37" i="26" s="1"/>
  <c r="AO38" i="26"/>
  <c r="AQ38" i="26" s="1"/>
  <c r="AO39" i="26"/>
  <c r="AQ39" i="26" s="1"/>
  <c r="AO40" i="26"/>
  <c r="AQ40" i="26" s="1"/>
  <c r="AO41" i="26"/>
  <c r="AO42" i="26"/>
  <c r="AO43" i="26"/>
  <c r="AO44" i="26"/>
  <c r="AO45" i="26"/>
  <c r="AO46" i="26"/>
  <c r="AO47" i="26"/>
  <c r="AO48" i="26"/>
  <c r="AO49" i="26"/>
  <c r="AO50" i="26"/>
  <c r="AO51" i="26"/>
  <c r="AO52" i="26"/>
  <c r="AO53" i="26"/>
  <c r="AQ53" i="26" s="1"/>
  <c r="AO54" i="26"/>
  <c r="AQ54" i="26" s="1"/>
  <c r="AO55" i="26"/>
  <c r="AQ55" i="26" s="1"/>
  <c r="AO56" i="26"/>
  <c r="AQ56" i="26" s="1"/>
  <c r="AO57" i="26"/>
  <c r="AQ57" i="26" s="1"/>
  <c r="AO58" i="26"/>
  <c r="AQ58" i="26" s="1"/>
  <c r="AO59" i="26"/>
  <c r="AO60" i="26"/>
  <c r="AO61" i="26"/>
  <c r="AO62" i="26"/>
  <c r="AO63" i="26"/>
  <c r="AO64" i="26"/>
  <c r="AO65" i="26"/>
  <c r="AO2" i="26"/>
  <c r="AK19" i="26" l="1"/>
  <c r="AK20" i="26"/>
  <c r="AK21" i="26"/>
  <c r="AK39" i="26"/>
  <c r="AK40" i="26"/>
  <c r="AK41" i="26"/>
  <c r="AK57" i="26"/>
  <c r="AK58" i="26"/>
  <c r="AK59" i="26"/>
  <c r="AJ3" i="26"/>
  <c r="AJ4" i="26"/>
  <c r="AJ6" i="26"/>
  <c r="AJ7" i="26"/>
  <c r="AJ8" i="26"/>
  <c r="AJ9" i="26"/>
  <c r="AJ10" i="26"/>
  <c r="AJ11" i="26"/>
  <c r="AJ12" i="26"/>
  <c r="AJ13" i="26"/>
  <c r="AJ14" i="26"/>
  <c r="AJ15" i="26"/>
  <c r="AJ16" i="26"/>
  <c r="AJ17" i="26"/>
  <c r="AJ18" i="26"/>
  <c r="AJ19" i="26"/>
  <c r="AJ20" i="26"/>
  <c r="AJ21" i="26"/>
  <c r="AJ22" i="26"/>
  <c r="AJ23" i="26"/>
  <c r="AJ24" i="26"/>
  <c r="AJ25" i="26"/>
  <c r="AJ26" i="26"/>
  <c r="AJ27" i="26"/>
  <c r="AJ28" i="26"/>
  <c r="AJ29" i="26"/>
  <c r="AJ32" i="26"/>
  <c r="AJ33" i="26"/>
  <c r="AJ34" i="26"/>
  <c r="AJ35" i="26"/>
  <c r="AJ36" i="26"/>
  <c r="AJ37" i="26"/>
  <c r="AJ38" i="26"/>
  <c r="AJ39" i="26"/>
  <c r="AJ40" i="26"/>
  <c r="AJ41" i="26"/>
  <c r="AJ42" i="26"/>
  <c r="AJ43" i="26"/>
  <c r="AJ44" i="26"/>
  <c r="AJ45" i="26"/>
  <c r="AJ46" i="26"/>
  <c r="AJ47" i="26"/>
  <c r="AJ48" i="26"/>
  <c r="AJ49" i="26"/>
  <c r="AJ50" i="26"/>
  <c r="AJ51" i="26"/>
  <c r="AJ52" i="26"/>
  <c r="AJ53" i="26"/>
  <c r="AJ54" i="26"/>
  <c r="AJ55" i="26"/>
  <c r="AJ56" i="26"/>
  <c r="AJ57" i="26"/>
  <c r="AJ58" i="26"/>
  <c r="AJ59" i="26"/>
  <c r="AJ60" i="26"/>
  <c r="AJ61" i="26"/>
  <c r="AJ62" i="26"/>
  <c r="AJ63" i="26"/>
  <c r="AJ64" i="26"/>
  <c r="AJ65" i="26"/>
  <c r="AJ2" i="26"/>
  <c r="AB3" i="26"/>
  <c r="AB4" i="26"/>
  <c r="AB6" i="26"/>
  <c r="AB7" i="26"/>
  <c r="AB8" i="26"/>
  <c r="AB9" i="26"/>
  <c r="AB10" i="26"/>
  <c r="AB11" i="26"/>
  <c r="AB12" i="26"/>
  <c r="AB13" i="26"/>
  <c r="AB14" i="26"/>
  <c r="AB15" i="26"/>
  <c r="AB16" i="26"/>
  <c r="AB17" i="26"/>
  <c r="AB18" i="26"/>
  <c r="AB19" i="26"/>
  <c r="AB20" i="26"/>
  <c r="AB21" i="26"/>
  <c r="AB22" i="26"/>
  <c r="AB23" i="26"/>
  <c r="AB24" i="26"/>
  <c r="AB25" i="26"/>
  <c r="AB26" i="26"/>
  <c r="AB27" i="26"/>
  <c r="AB28" i="26"/>
  <c r="AB29" i="26"/>
  <c r="AB32" i="26"/>
  <c r="AB33" i="26"/>
  <c r="AB34" i="26"/>
  <c r="AB35" i="26"/>
  <c r="AB36" i="26"/>
  <c r="AB37" i="26"/>
  <c r="AB38" i="26"/>
  <c r="AB39" i="26"/>
  <c r="AB40" i="26"/>
  <c r="AB41" i="26"/>
  <c r="AB42" i="26"/>
  <c r="AB43" i="26"/>
  <c r="AB44" i="26"/>
  <c r="AB45" i="26"/>
  <c r="AB46" i="26"/>
  <c r="AB47" i="26"/>
  <c r="AB48" i="26"/>
  <c r="AB49" i="26"/>
  <c r="AB50" i="26"/>
  <c r="AB51" i="26"/>
  <c r="AB52" i="26"/>
  <c r="AB53" i="26"/>
  <c r="AB54" i="26"/>
  <c r="AB55" i="26"/>
  <c r="AB56" i="26"/>
  <c r="AB57" i="26"/>
  <c r="AB58" i="26"/>
  <c r="AB59" i="26"/>
  <c r="AB60" i="26"/>
  <c r="AB61" i="26"/>
  <c r="AB62" i="26"/>
  <c r="AB63" i="26"/>
  <c r="AB64" i="26"/>
  <c r="AB65" i="26"/>
  <c r="AB2" i="26"/>
  <c r="AA3" i="26"/>
  <c r="AK3" i="26" s="1"/>
  <c r="AA4" i="26"/>
  <c r="AK4" i="26" s="1"/>
  <c r="AA6" i="26"/>
  <c r="AK6" i="26" s="1"/>
  <c r="AA7" i="26"/>
  <c r="AK7" i="26" s="1"/>
  <c r="AA8" i="26"/>
  <c r="AK8" i="26" s="1"/>
  <c r="AA9" i="26"/>
  <c r="AK9" i="26" s="1"/>
  <c r="AA10" i="26"/>
  <c r="AK10" i="26" s="1"/>
  <c r="AA11" i="26"/>
  <c r="AK11" i="26" s="1"/>
  <c r="AA12" i="26"/>
  <c r="AK12" i="26" s="1"/>
  <c r="AA13" i="26"/>
  <c r="AK13" i="26" s="1"/>
  <c r="AA14" i="26"/>
  <c r="AK14" i="26" s="1"/>
  <c r="AA15" i="26"/>
  <c r="AK15" i="26" s="1"/>
  <c r="AA16" i="26"/>
  <c r="AK16" i="26" s="1"/>
  <c r="AA17" i="26"/>
  <c r="AK17" i="26" s="1"/>
  <c r="AA18" i="26"/>
  <c r="AK18" i="26" s="1"/>
  <c r="AA19" i="26"/>
  <c r="AA20" i="26"/>
  <c r="AA21" i="26"/>
  <c r="AA22" i="26"/>
  <c r="AK22" i="26" s="1"/>
  <c r="AA23" i="26"/>
  <c r="AK23" i="26" s="1"/>
  <c r="AA24" i="26"/>
  <c r="AK24" i="26" s="1"/>
  <c r="AA25" i="26"/>
  <c r="AK25" i="26" s="1"/>
  <c r="AA26" i="26"/>
  <c r="AK26" i="26" s="1"/>
  <c r="AA27" i="26"/>
  <c r="AK27" i="26" s="1"/>
  <c r="AA28" i="26"/>
  <c r="AK28" i="26" s="1"/>
  <c r="AA29" i="26"/>
  <c r="AK29" i="26" s="1"/>
  <c r="AA32" i="26"/>
  <c r="AK32" i="26" s="1"/>
  <c r="AA33" i="26"/>
  <c r="AK33" i="26" s="1"/>
  <c r="AA34" i="26"/>
  <c r="AK34" i="26" s="1"/>
  <c r="AA35" i="26"/>
  <c r="AK35" i="26" s="1"/>
  <c r="AA36" i="26"/>
  <c r="AK36" i="26" s="1"/>
  <c r="AA37" i="26"/>
  <c r="AK37" i="26" s="1"/>
  <c r="AA38" i="26"/>
  <c r="AK38" i="26" s="1"/>
  <c r="AA39" i="26"/>
  <c r="AA40" i="26"/>
  <c r="AA41" i="26"/>
  <c r="AA42" i="26"/>
  <c r="AK42" i="26" s="1"/>
  <c r="AA43" i="26"/>
  <c r="AK43" i="26" s="1"/>
  <c r="AA44" i="26"/>
  <c r="AK44" i="26" s="1"/>
  <c r="AA45" i="26"/>
  <c r="AK45" i="26" s="1"/>
  <c r="AA46" i="26"/>
  <c r="AK46" i="26" s="1"/>
  <c r="AA47" i="26"/>
  <c r="AK47" i="26" s="1"/>
  <c r="AA48" i="26"/>
  <c r="AK48" i="26" s="1"/>
  <c r="AA49" i="26"/>
  <c r="AK49" i="26" s="1"/>
  <c r="AA50" i="26"/>
  <c r="AK50" i="26" s="1"/>
  <c r="AA51" i="26"/>
  <c r="AK51" i="26" s="1"/>
  <c r="AA52" i="26"/>
  <c r="AK52" i="26" s="1"/>
  <c r="AA53" i="26"/>
  <c r="AK53" i="26" s="1"/>
  <c r="AA54" i="26"/>
  <c r="AK54" i="26" s="1"/>
  <c r="AA55" i="26"/>
  <c r="AK55" i="26" s="1"/>
  <c r="AA56" i="26"/>
  <c r="AK56" i="26" s="1"/>
  <c r="AA57" i="26"/>
  <c r="AA58" i="26"/>
  <c r="AA59" i="26"/>
  <c r="AA60" i="26"/>
  <c r="AK60" i="26" s="1"/>
  <c r="AA61" i="26"/>
  <c r="AK61" i="26" s="1"/>
  <c r="AA62" i="26"/>
  <c r="AK62" i="26" s="1"/>
  <c r="AA63" i="26"/>
  <c r="AK63" i="26" s="1"/>
  <c r="AA64" i="26"/>
  <c r="AK64" i="26" s="1"/>
  <c r="AA65" i="26"/>
  <c r="AK65" i="26" s="1"/>
  <c r="AA2" i="26"/>
  <c r="AK2" i="26" s="1"/>
  <c r="AR53" i="22"/>
  <c r="AR54" i="22"/>
  <c r="AR55" i="22"/>
  <c r="AR56" i="22"/>
  <c r="AR57" i="22"/>
  <c r="AR58" i="22"/>
  <c r="AR59" i="22"/>
  <c r="AR60" i="22"/>
  <c r="AR61" i="22"/>
  <c r="AR62" i="22"/>
  <c r="AR63" i="22"/>
  <c r="AR64" i="22"/>
  <c r="AR65" i="22"/>
  <c r="AR32" i="22"/>
  <c r="AR33" i="22"/>
  <c r="AR34" i="22"/>
  <c r="AR35" i="22"/>
  <c r="AR36" i="22"/>
  <c r="AR37" i="22"/>
  <c r="AR38" i="22"/>
  <c r="AR39" i="22"/>
  <c r="AR40" i="22"/>
  <c r="AR41" i="22"/>
  <c r="AR42" i="22"/>
  <c r="AR43" i="22"/>
  <c r="AR44" i="22"/>
  <c r="AR45" i="22"/>
  <c r="AR46" i="22"/>
  <c r="AR47" i="22"/>
  <c r="AR48" i="22"/>
  <c r="AR49" i="22"/>
  <c r="AR50" i="22"/>
  <c r="AR51" i="22"/>
  <c r="AR52" i="22"/>
  <c r="AR3" i="22"/>
  <c r="AR4"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2" i="22"/>
  <c r="AO32" i="22"/>
  <c r="AP32" i="22"/>
  <c r="AQ32" i="22"/>
  <c r="AO33" i="22"/>
  <c r="AP33" i="22"/>
  <c r="AQ33" i="22"/>
  <c r="AO34" i="22"/>
  <c r="AP34" i="22"/>
  <c r="AQ34" i="22"/>
  <c r="AO35" i="22"/>
  <c r="AP35" i="22"/>
  <c r="AQ35" i="22"/>
  <c r="AO36" i="22"/>
  <c r="AP36" i="22"/>
  <c r="AQ36" i="22"/>
  <c r="AO37" i="22"/>
  <c r="AP37" i="22"/>
  <c r="AQ37" i="22"/>
  <c r="AO38" i="22"/>
  <c r="AP38" i="22"/>
  <c r="AQ38" i="22"/>
  <c r="AO39" i="22"/>
  <c r="AP39" i="22"/>
  <c r="AQ39" i="22"/>
  <c r="AO40" i="22"/>
  <c r="AP40" i="22"/>
  <c r="AQ40" i="22"/>
  <c r="AO41" i="22"/>
  <c r="AP41" i="22"/>
  <c r="AQ41" i="22"/>
  <c r="AO42" i="22"/>
  <c r="AP42" i="22"/>
  <c r="AQ42" i="22"/>
  <c r="AO43" i="22"/>
  <c r="AP43" i="22"/>
  <c r="AQ43" i="22"/>
  <c r="AO44" i="22"/>
  <c r="AP44" i="22"/>
  <c r="AQ44" i="22"/>
  <c r="AO45" i="22"/>
  <c r="AP45" i="22"/>
  <c r="AQ45" i="22"/>
  <c r="AO46" i="22"/>
  <c r="AP46" i="22"/>
  <c r="AQ46" i="22"/>
  <c r="AO47" i="22"/>
  <c r="AP47" i="22"/>
  <c r="AQ47" i="22"/>
  <c r="AO48" i="22"/>
  <c r="AP48" i="22"/>
  <c r="AQ48" i="22"/>
  <c r="AO49" i="22"/>
  <c r="AP49" i="22"/>
  <c r="AQ49" i="22"/>
  <c r="AO50" i="22"/>
  <c r="AP50" i="22"/>
  <c r="AQ50" i="22"/>
  <c r="AO51" i="22"/>
  <c r="AP51" i="22"/>
  <c r="AQ51" i="22"/>
  <c r="AO52" i="22"/>
  <c r="AP52" i="22"/>
  <c r="AQ52" i="22"/>
  <c r="AO53" i="22"/>
  <c r="AP53" i="22"/>
  <c r="AQ53" i="22"/>
  <c r="AO54" i="22"/>
  <c r="AP54" i="22"/>
  <c r="AQ54" i="22"/>
  <c r="AO55" i="22"/>
  <c r="AP55" i="22"/>
  <c r="AQ55" i="22"/>
  <c r="AO56" i="22"/>
  <c r="AP56" i="22"/>
  <c r="AQ56" i="22"/>
  <c r="AO57" i="22"/>
  <c r="AP57" i="22"/>
  <c r="AQ57" i="22"/>
  <c r="AO58" i="22"/>
  <c r="AP58" i="22"/>
  <c r="AQ58" i="22"/>
  <c r="AO59" i="22"/>
  <c r="AP59" i="22"/>
  <c r="AQ59" i="22"/>
  <c r="AO60" i="22"/>
  <c r="AP60" i="22"/>
  <c r="AQ60" i="22"/>
  <c r="AO61" i="22"/>
  <c r="AP61" i="22"/>
  <c r="AQ61" i="22"/>
  <c r="AO62" i="22"/>
  <c r="AP62" i="22"/>
  <c r="AQ62" i="22"/>
  <c r="AO63" i="22"/>
  <c r="AP63" i="22"/>
  <c r="AQ63" i="22"/>
  <c r="AO64" i="22"/>
  <c r="AP64" i="22"/>
  <c r="AQ64" i="22"/>
  <c r="AO65" i="22"/>
  <c r="AP65" i="22"/>
  <c r="AQ65" i="22"/>
  <c r="AI32" i="22"/>
  <c r="AJ32" i="22"/>
  <c r="AK32" i="22"/>
  <c r="AL32" i="22"/>
  <c r="AM32" i="22"/>
  <c r="AN32" i="22"/>
  <c r="AI33" i="22"/>
  <c r="AJ33" i="22"/>
  <c r="AK33" i="22"/>
  <c r="AL33" i="22"/>
  <c r="AM33" i="22"/>
  <c r="AN33" i="22"/>
  <c r="AI34" i="22"/>
  <c r="AJ34" i="22"/>
  <c r="AK34" i="22"/>
  <c r="AL34" i="22"/>
  <c r="AM34" i="22"/>
  <c r="AN34" i="22"/>
  <c r="AI35" i="22"/>
  <c r="AJ35" i="22"/>
  <c r="AK35" i="22"/>
  <c r="AL35" i="22"/>
  <c r="AM35" i="22"/>
  <c r="AN35" i="22"/>
  <c r="AI36" i="22"/>
  <c r="AJ36" i="22"/>
  <c r="AK36" i="22"/>
  <c r="AL36" i="22"/>
  <c r="AM36" i="22"/>
  <c r="AN36" i="22"/>
  <c r="AI37" i="22"/>
  <c r="AJ37" i="22"/>
  <c r="AK37" i="22"/>
  <c r="AL37" i="22"/>
  <c r="AM37" i="22"/>
  <c r="AN37" i="22"/>
  <c r="AI38" i="22"/>
  <c r="AJ38" i="22"/>
  <c r="AK38" i="22"/>
  <c r="AL38" i="22"/>
  <c r="AM38" i="22"/>
  <c r="AN38" i="22"/>
  <c r="AI39" i="22"/>
  <c r="AJ39" i="22"/>
  <c r="AK39" i="22"/>
  <c r="AL39" i="22"/>
  <c r="AM39" i="22"/>
  <c r="AN39" i="22"/>
  <c r="AI40" i="22"/>
  <c r="AJ40" i="22"/>
  <c r="AK40" i="22"/>
  <c r="AL40" i="22"/>
  <c r="AM40" i="22"/>
  <c r="AN40" i="22"/>
  <c r="AI41" i="22"/>
  <c r="AJ41" i="22"/>
  <c r="AK41" i="22"/>
  <c r="AL41" i="22"/>
  <c r="AM41" i="22"/>
  <c r="AN41" i="22"/>
  <c r="AI42" i="22"/>
  <c r="AJ42" i="22"/>
  <c r="AK42" i="22"/>
  <c r="AL42" i="22"/>
  <c r="AM42" i="22"/>
  <c r="AN42" i="22"/>
  <c r="AI43" i="22"/>
  <c r="AJ43" i="22"/>
  <c r="AK43" i="22"/>
  <c r="AL43" i="22"/>
  <c r="AM43" i="22"/>
  <c r="AN43" i="22"/>
  <c r="AI44" i="22"/>
  <c r="AJ44" i="22"/>
  <c r="AK44" i="22"/>
  <c r="AL44" i="22"/>
  <c r="AM44" i="22"/>
  <c r="AN44" i="22"/>
  <c r="AI45" i="22"/>
  <c r="AJ45" i="22"/>
  <c r="AK45" i="22"/>
  <c r="AL45" i="22"/>
  <c r="AM45" i="22"/>
  <c r="AN45" i="22"/>
  <c r="AI46" i="22"/>
  <c r="AJ46" i="22"/>
  <c r="AK46" i="22"/>
  <c r="AL46" i="22"/>
  <c r="AM46" i="22"/>
  <c r="AN46" i="22"/>
  <c r="AI47" i="22"/>
  <c r="AJ47" i="22"/>
  <c r="AK47" i="22"/>
  <c r="AL47" i="22"/>
  <c r="AM47" i="22"/>
  <c r="AN47" i="22"/>
  <c r="AI48" i="22"/>
  <c r="AJ48" i="22"/>
  <c r="AK48" i="22"/>
  <c r="AL48" i="22"/>
  <c r="AM48" i="22"/>
  <c r="AN48" i="22"/>
  <c r="AI49" i="22"/>
  <c r="AJ49" i="22"/>
  <c r="AK49" i="22"/>
  <c r="AL49" i="22"/>
  <c r="AM49" i="22"/>
  <c r="AN49" i="22"/>
  <c r="AI50" i="22"/>
  <c r="AJ50" i="22"/>
  <c r="AK50" i="22"/>
  <c r="AL50" i="22"/>
  <c r="AM50" i="22"/>
  <c r="AN50" i="22"/>
  <c r="AI51" i="22"/>
  <c r="AJ51" i="22"/>
  <c r="AK51" i="22"/>
  <c r="AL51" i="22"/>
  <c r="AM51" i="22"/>
  <c r="AN51" i="22"/>
  <c r="AI52" i="22"/>
  <c r="AJ52" i="22"/>
  <c r="AK52" i="22"/>
  <c r="AL52" i="22"/>
  <c r="AM52" i="22"/>
  <c r="AN52" i="22"/>
  <c r="AI53" i="22"/>
  <c r="AJ53" i="22"/>
  <c r="AK53" i="22"/>
  <c r="AL53" i="22"/>
  <c r="AM53" i="22"/>
  <c r="AN53" i="22"/>
  <c r="AI54" i="22"/>
  <c r="AJ54" i="22"/>
  <c r="AK54" i="22"/>
  <c r="AL54" i="22"/>
  <c r="AM54" i="22"/>
  <c r="AN54" i="22"/>
  <c r="AI55" i="22"/>
  <c r="AJ55" i="22"/>
  <c r="AK55" i="22"/>
  <c r="AL55" i="22"/>
  <c r="AM55" i="22"/>
  <c r="AN55" i="22"/>
  <c r="AI56" i="22"/>
  <c r="AJ56" i="22"/>
  <c r="AK56" i="22"/>
  <c r="AL56" i="22"/>
  <c r="AM56" i="22"/>
  <c r="AN56" i="22"/>
  <c r="AI57" i="22"/>
  <c r="AJ57" i="22"/>
  <c r="AK57" i="22"/>
  <c r="AL57" i="22"/>
  <c r="AM57" i="22"/>
  <c r="AN57" i="22"/>
  <c r="AI58" i="22"/>
  <c r="AJ58" i="22"/>
  <c r="AK58" i="22"/>
  <c r="AL58" i="22"/>
  <c r="AM58" i="22"/>
  <c r="AN58" i="22"/>
  <c r="AI59" i="22"/>
  <c r="AJ59" i="22"/>
  <c r="AK59" i="22"/>
  <c r="AL59" i="22"/>
  <c r="AM59" i="22"/>
  <c r="AN59" i="22"/>
  <c r="AI60" i="22"/>
  <c r="AJ60" i="22"/>
  <c r="AK60" i="22"/>
  <c r="AL60" i="22"/>
  <c r="AM60" i="22"/>
  <c r="AN60" i="22"/>
  <c r="AI61" i="22"/>
  <c r="AJ61" i="22"/>
  <c r="AK61" i="22"/>
  <c r="AL61" i="22"/>
  <c r="AM61" i="22"/>
  <c r="AN61" i="22"/>
  <c r="AI62" i="22"/>
  <c r="AJ62" i="22"/>
  <c r="AK62" i="22"/>
  <c r="AL62" i="22"/>
  <c r="AM62" i="22"/>
  <c r="AN62" i="22"/>
  <c r="AI63" i="22"/>
  <c r="AJ63" i="22"/>
  <c r="AK63" i="22"/>
  <c r="AL63" i="22"/>
  <c r="AM63" i="22"/>
  <c r="AN63" i="22"/>
  <c r="AI64" i="22"/>
  <c r="AJ64" i="22"/>
  <c r="AK64" i="22"/>
  <c r="AL64" i="22"/>
  <c r="AM64" i="22"/>
  <c r="AN64" i="22"/>
  <c r="AI65" i="22"/>
  <c r="AJ65" i="22"/>
  <c r="AK65" i="22"/>
  <c r="AL65" i="22"/>
  <c r="AM65" i="22"/>
  <c r="AN65" i="22"/>
  <c r="AI7" i="22"/>
  <c r="AJ7" i="22"/>
  <c r="AK7" i="22"/>
  <c r="AL7" i="22"/>
  <c r="AM7" i="22"/>
  <c r="AN7" i="22"/>
  <c r="AO7" i="22"/>
  <c r="AP7" i="22"/>
  <c r="AQ7" i="22"/>
  <c r="AI8" i="22"/>
  <c r="AJ8" i="22"/>
  <c r="AK8" i="22"/>
  <c r="AL8" i="22"/>
  <c r="AM8" i="22"/>
  <c r="AN8" i="22"/>
  <c r="AO8" i="22"/>
  <c r="AP8" i="22"/>
  <c r="AQ8" i="22"/>
  <c r="AI9" i="22"/>
  <c r="AJ9" i="22"/>
  <c r="AK9" i="22"/>
  <c r="AL9" i="22"/>
  <c r="AM9" i="22"/>
  <c r="AN9" i="22"/>
  <c r="AO9" i="22"/>
  <c r="AP9" i="22"/>
  <c r="AQ9" i="22"/>
  <c r="AI10" i="22"/>
  <c r="AJ10" i="22"/>
  <c r="AK10" i="22"/>
  <c r="AL10" i="22"/>
  <c r="AM10" i="22"/>
  <c r="AN10" i="22"/>
  <c r="AO10" i="22"/>
  <c r="AP10" i="22"/>
  <c r="AQ10" i="22"/>
  <c r="AI11" i="22"/>
  <c r="AJ11" i="22"/>
  <c r="AK11" i="22"/>
  <c r="AL11" i="22"/>
  <c r="AM11" i="22"/>
  <c r="AN11" i="22"/>
  <c r="AO11" i="22"/>
  <c r="AP11" i="22"/>
  <c r="AQ11" i="22"/>
  <c r="AI12" i="22"/>
  <c r="AJ12" i="22"/>
  <c r="AK12" i="22"/>
  <c r="AL12" i="22"/>
  <c r="AM12" i="22"/>
  <c r="AN12" i="22"/>
  <c r="AO12" i="22"/>
  <c r="AP12" i="22"/>
  <c r="AQ12" i="22"/>
  <c r="AI13" i="22"/>
  <c r="AJ13" i="22"/>
  <c r="AK13" i="22"/>
  <c r="AL13" i="22"/>
  <c r="AM13" i="22"/>
  <c r="AN13" i="22"/>
  <c r="AO13" i="22"/>
  <c r="AP13" i="22"/>
  <c r="AQ13" i="22"/>
  <c r="AI14" i="22"/>
  <c r="AJ14" i="22"/>
  <c r="AK14" i="22"/>
  <c r="AL14" i="22"/>
  <c r="AM14" i="22"/>
  <c r="AN14" i="22"/>
  <c r="AO14" i="22"/>
  <c r="AP14" i="22"/>
  <c r="AQ14" i="22"/>
  <c r="AI15" i="22"/>
  <c r="AJ15" i="22"/>
  <c r="AK15" i="22"/>
  <c r="AL15" i="22"/>
  <c r="AM15" i="22"/>
  <c r="AN15" i="22"/>
  <c r="AO15" i="22"/>
  <c r="AP15" i="22"/>
  <c r="AQ15" i="22"/>
  <c r="AI16" i="22"/>
  <c r="AJ16" i="22"/>
  <c r="AK16" i="22"/>
  <c r="AL16" i="22"/>
  <c r="AM16" i="22"/>
  <c r="AN16" i="22"/>
  <c r="AO16" i="22"/>
  <c r="AP16" i="22"/>
  <c r="AQ16" i="22"/>
  <c r="AI17" i="22"/>
  <c r="AJ17" i="22"/>
  <c r="AK17" i="22"/>
  <c r="AL17" i="22"/>
  <c r="AM17" i="22"/>
  <c r="AN17" i="22"/>
  <c r="AO17" i="22"/>
  <c r="AP17" i="22"/>
  <c r="AQ17" i="22"/>
  <c r="AI18" i="22"/>
  <c r="AJ18" i="22"/>
  <c r="AK18" i="22"/>
  <c r="AL18" i="22"/>
  <c r="AM18" i="22"/>
  <c r="AN18" i="22"/>
  <c r="AO18" i="22"/>
  <c r="AP18" i="22"/>
  <c r="AQ18" i="22"/>
  <c r="AI19" i="22"/>
  <c r="AJ19" i="22"/>
  <c r="AK19" i="22"/>
  <c r="AL19" i="22"/>
  <c r="AM19" i="22"/>
  <c r="AN19" i="22"/>
  <c r="AO19" i="22"/>
  <c r="AP19" i="22"/>
  <c r="AQ19" i="22"/>
  <c r="AI20" i="22"/>
  <c r="AJ20" i="22"/>
  <c r="AK20" i="22"/>
  <c r="AL20" i="22"/>
  <c r="AM20" i="22"/>
  <c r="AN20" i="22"/>
  <c r="AO20" i="22"/>
  <c r="AP20" i="22"/>
  <c r="AQ20" i="22"/>
  <c r="AI21" i="22"/>
  <c r="AJ21" i="22"/>
  <c r="AK21" i="22"/>
  <c r="AL21" i="22"/>
  <c r="AM21" i="22"/>
  <c r="AN21" i="22"/>
  <c r="AO21" i="22"/>
  <c r="AP21" i="22"/>
  <c r="AQ21" i="22"/>
  <c r="AI22" i="22"/>
  <c r="AJ22" i="22"/>
  <c r="AK22" i="22"/>
  <c r="AL22" i="22"/>
  <c r="AM22" i="22"/>
  <c r="AN22" i="22"/>
  <c r="AO22" i="22"/>
  <c r="AP22" i="22"/>
  <c r="AQ22" i="22"/>
  <c r="AI23" i="22"/>
  <c r="AJ23" i="22"/>
  <c r="AK23" i="22"/>
  <c r="AL23" i="22"/>
  <c r="AM23" i="22"/>
  <c r="AN23" i="22"/>
  <c r="AO23" i="22"/>
  <c r="AP23" i="22"/>
  <c r="AQ23" i="22"/>
  <c r="AI24" i="22"/>
  <c r="AJ24" i="22"/>
  <c r="AK24" i="22"/>
  <c r="AL24" i="22"/>
  <c r="AM24" i="22"/>
  <c r="AN24" i="22"/>
  <c r="AO24" i="22"/>
  <c r="AP24" i="22"/>
  <c r="AQ24" i="22"/>
  <c r="AI25" i="22"/>
  <c r="AJ25" i="22"/>
  <c r="AK25" i="22"/>
  <c r="AL25" i="22"/>
  <c r="AM25" i="22"/>
  <c r="AN25" i="22"/>
  <c r="AO25" i="22"/>
  <c r="AP25" i="22"/>
  <c r="AQ25" i="22"/>
  <c r="AI26" i="22"/>
  <c r="AJ26" i="22"/>
  <c r="AK26" i="22"/>
  <c r="AL26" i="22"/>
  <c r="AM26" i="22"/>
  <c r="AN26" i="22"/>
  <c r="AO26" i="22"/>
  <c r="AP26" i="22"/>
  <c r="AQ26" i="22"/>
  <c r="AI27" i="22"/>
  <c r="AJ27" i="22"/>
  <c r="AK27" i="22"/>
  <c r="AL27" i="22"/>
  <c r="AM27" i="22"/>
  <c r="AN27" i="22"/>
  <c r="AO27" i="22"/>
  <c r="AP27" i="22"/>
  <c r="AQ27" i="22"/>
  <c r="AI28" i="22"/>
  <c r="AJ28" i="22"/>
  <c r="AK28" i="22"/>
  <c r="AL28" i="22"/>
  <c r="AM28" i="22"/>
  <c r="AN28" i="22"/>
  <c r="AO28" i="22"/>
  <c r="AP28" i="22"/>
  <c r="AQ28" i="22"/>
  <c r="AI29" i="22"/>
  <c r="AJ29" i="22"/>
  <c r="AK29" i="22"/>
  <c r="AL29" i="22"/>
  <c r="AM29" i="22"/>
  <c r="AN29" i="22"/>
  <c r="AO29" i="22"/>
  <c r="AP29" i="22"/>
  <c r="AQ29" i="22"/>
  <c r="AI6" i="22"/>
  <c r="AJ6" i="22"/>
  <c r="AK6" i="22"/>
  <c r="AL6" i="22"/>
  <c r="AM6" i="22"/>
  <c r="AN6" i="22"/>
  <c r="AO6" i="22"/>
  <c r="AP6" i="22"/>
  <c r="AQ6" i="22"/>
  <c r="AI4" i="22"/>
  <c r="AJ4" i="22"/>
  <c r="AK4" i="22"/>
  <c r="AL4" i="22"/>
  <c r="AM4" i="22"/>
  <c r="AN4" i="22"/>
  <c r="AO4" i="22"/>
  <c r="AP4" i="22"/>
  <c r="AQ4" i="22"/>
  <c r="AI3" i="22"/>
  <c r="AJ3" i="22"/>
  <c r="AK3" i="22"/>
  <c r="AL3" i="22"/>
  <c r="AM3" i="22"/>
  <c r="AN3" i="22"/>
  <c r="AO3" i="22"/>
  <c r="AP3" i="22"/>
  <c r="AQ3"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2" i="22"/>
  <c r="AH33" i="22"/>
  <c r="AH34" i="22"/>
  <c r="AH35" i="22"/>
  <c r="AH36" i="22"/>
  <c r="AH37" i="22"/>
  <c r="AH38" i="22"/>
  <c r="AH39" i="22"/>
  <c r="AH40" i="22"/>
  <c r="AH41" i="22"/>
  <c r="AH42" i="22"/>
  <c r="AH43" i="22"/>
  <c r="AH44" i="22"/>
  <c r="AH45" i="22"/>
  <c r="AH46" i="22"/>
  <c r="AH47" i="22"/>
  <c r="AH48" i="22"/>
  <c r="AH49" i="22"/>
  <c r="AH50" i="22"/>
  <c r="AH51" i="22"/>
  <c r="AH52" i="22"/>
  <c r="AH53" i="22"/>
  <c r="AH54" i="22"/>
  <c r="AH55" i="22"/>
  <c r="AH56" i="22"/>
  <c r="AH57" i="22"/>
  <c r="AH58" i="22"/>
  <c r="AH59" i="22"/>
  <c r="AH60" i="22"/>
  <c r="AH61" i="22"/>
  <c r="AH62" i="22"/>
  <c r="AH63" i="22"/>
  <c r="AH64" i="22"/>
  <c r="AH65" i="22"/>
  <c r="AH4" i="22"/>
  <c r="AH3" i="22"/>
  <c r="AJ2" i="22"/>
  <c r="AK2" i="22"/>
  <c r="AL2" i="22"/>
  <c r="AM2" i="22"/>
  <c r="AN2" i="22"/>
  <c r="AO2" i="22"/>
  <c r="AP2" i="22"/>
  <c r="AQ2" i="22"/>
  <c r="AI2" i="22"/>
  <c r="AH2" i="22"/>
  <c r="W3" i="22"/>
  <c r="W4" i="22"/>
  <c r="W6" i="22"/>
  <c r="W7" i="22"/>
  <c r="W8" i="22"/>
  <c r="W9" i="22"/>
  <c r="W10" i="22"/>
  <c r="W11" i="22"/>
  <c r="W12" i="22"/>
  <c r="W13" i="22"/>
  <c r="W14" i="22"/>
  <c r="W15" i="22"/>
  <c r="W16" i="22"/>
  <c r="W17" i="22"/>
  <c r="W18" i="22"/>
  <c r="W19" i="22"/>
  <c r="W20" i="22"/>
  <c r="W21" i="22"/>
  <c r="W22" i="22"/>
  <c r="W23" i="22"/>
  <c r="W24" i="22"/>
  <c r="W25" i="22"/>
  <c r="W26" i="22"/>
  <c r="W27" i="22"/>
  <c r="W28" i="22"/>
  <c r="W29" i="22"/>
  <c r="W32" i="22"/>
  <c r="W33" i="22"/>
  <c r="W34" i="22"/>
  <c r="W35" i="22"/>
  <c r="W36" i="22"/>
  <c r="W37" i="22"/>
  <c r="W38" i="22"/>
  <c r="W39" i="22"/>
  <c r="W40" i="22"/>
  <c r="W41" i="22"/>
  <c r="W42" i="22"/>
  <c r="W43" i="22"/>
  <c r="W44" i="22"/>
  <c r="W45" i="22"/>
  <c r="W46" i="22"/>
  <c r="W47" i="22"/>
  <c r="W48" i="22"/>
  <c r="W49" i="22"/>
  <c r="W50" i="22"/>
  <c r="W51" i="22"/>
  <c r="W52" i="22"/>
  <c r="W53" i="22"/>
  <c r="W54" i="22"/>
  <c r="W55" i="22"/>
  <c r="W56" i="22"/>
  <c r="W57" i="22"/>
  <c r="W58" i="22"/>
  <c r="W59" i="22"/>
  <c r="W60" i="22"/>
  <c r="W61" i="22"/>
  <c r="W62" i="22"/>
  <c r="W63" i="22"/>
  <c r="W64" i="22"/>
  <c r="W65" i="22"/>
  <c r="W2" i="22"/>
  <c r="Q10" i="37"/>
  <c r="P10" i="37"/>
  <c r="O10" i="37"/>
  <c r="M10" i="37"/>
  <c r="N10" i="37" s="1"/>
  <c r="Q9" i="37"/>
  <c r="P9" i="37"/>
  <c r="O9" i="37"/>
  <c r="M9" i="37"/>
  <c r="N9" i="37" s="1"/>
  <c r="Q8" i="37"/>
  <c r="P8" i="37"/>
  <c r="O8" i="37"/>
  <c r="M8" i="37"/>
  <c r="N8" i="37" s="1"/>
  <c r="Q7" i="37"/>
  <c r="P7" i="37"/>
  <c r="O7" i="37"/>
  <c r="M7" i="37"/>
  <c r="N7" i="37" s="1"/>
  <c r="Q6" i="37"/>
  <c r="P6" i="37"/>
  <c r="O6" i="37"/>
  <c r="M6" i="37"/>
  <c r="N6" i="37" s="1"/>
  <c r="Q5" i="37"/>
  <c r="P5" i="37"/>
  <c r="O5" i="37"/>
  <c r="M5" i="37"/>
  <c r="N5" i="37" s="1"/>
  <c r="Q4" i="37"/>
  <c r="P4" i="37"/>
  <c r="O4" i="37"/>
  <c r="N4" i="37"/>
  <c r="M4" i="37"/>
  <c r="Q3" i="37"/>
  <c r="P3" i="37"/>
  <c r="O3" i="37"/>
  <c r="M3" i="37"/>
  <c r="N3" i="37" s="1"/>
  <c r="Q2" i="37"/>
  <c r="P2" i="37"/>
  <c r="O2" i="37"/>
  <c r="M2" i="37"/>
  <c r="N2" i="37" s="1"/>
  <c r="AR3" i="26"/>
  <c r="AR4" i="26"/>
  <c r="AR6" i="26"/>
  <c r="AR7" i="26"/>
  <c r="AR8" i="26"/>
  <c r="AR9" i="26"/>
  <c r="AR10" i="26"/>
  <c r="AR11" i="26"/>
  <c r="AR12" i="26"/>
  <c r="AR13" i="26"/>
  <c r="AR14" i="26"/>
  <c r="AR15" i="26"/>
  <c r="AR16" i="26"/>
  <c r="AR17" i="26"/>
  <c r="AR18" i="26"/>
  <c r="AR19" i="26"/>
  <c r="AR20" i="26"/>
  <c r="AR21" i="26"/>
  <c r="AR22" i="26"/>
  <c r="AR23" i="26"/>
  <c r="AR24" i="26"/>
  <c r="AR25" i="26"/>
  <c r="AR26" i="26"/>
  <c r="AR27" i="26"/>
  <c r="AR28" i="26"/>
  <c r="AR29" i="26"/>
  <c r="AR32" i="26"/>
  <c r="AR33" i="26"/>
  <c r="AR34" i="26"/>
  <c r="AR35" i="26"/>
  <c r="AR36" i="26"/>
  <c r="AR37" i="26"/>
  <c r="AR38" i="26"/>
  <c r="AR39" i="26"/>
  <c r="AR40" i="26"/>
  <c r="AR41" i="26"/>
  <c r="AR42" i="26"/>
  <c r="AR43" i="26"/>
  <c r="AR44" i="26"/>
  <c r="AR45" i="26"/>
  <c r="AR46" i="26"/>
  <c r="AR47" i="26"/>
  <c r="AR48" i="26"/>
  <c r="AR49" i="26"/>
  <c r="AR50" i="26"/>
  <c r="AR51" i="26"/>
  <c r="AR52" i="26"/>
  <c r="AR53" i="26"/>
  <c r="AR54" i="26"/>
  <c r="AR55" i="26"/>
  <c r="AR56" i="26"/>
  <c r="AR57" i="26"/>
  <c r="AR58" i="26"/>
  <c r="AR59" i="26"/>
  <c r="AR60" i="26"/>
  <c r="AR61" i="26"/>
  <c r="AR62" i="26"/>
  <c r="AR63" i="26"/>
  <c r="AR64" i="26"/>
  <c r="AR65" i="26"/>
  <c r="AR2" i="26"/>
  <c r="AI3" i="26"/>
  <c r="AI4" i="26"/>
  <c r="AI6" i="26"/>
  <c r="AI7" i="26"/>
  <c r="AI8" i="26"/>
  <c r="AI9" i="26"/>
  <c r="AI10" i="26"/>
  <c r="AI11" i="26"/>
  <c r="AI12" i="26"/>
  <c r="AI13" i="26"/>
  <c r="AI14" i="26"/>
  <c r="AI15" i="26"/>
  <c r="AI16" i="26"/>
  <c r="AI17" i="26"/>
  <c r="AI18" i="26"/>
  <c r="AI19" i="26"/>
  <c r="AI20" i="26"/>
  <c r="AI21" i="26"/>
  <c r="AI22" i="26"/>
  <c r="AI23" i="26"/>
  <c r="AI24" i="26"/>
  <c r="AI25" i="26"/>
  <c r="AI26" i="26"/>
  <c r="AI27" i="26"/>
  <c r="AI28" i="26"/>
  <c r="AI29" i="26"/>
  <c r="AI32" i="26"/>
  <c r="AI33" i="26"/>
  <c r="AI34" i="26"/>
  <c r="AI35" i="26"/>
  <c r="AI36" i="26"/>
  <c r="AI37" i="26"/>
  <c r="AI38" i="26"/>
  <c r="AI39" i="26"/>
  <c r="AI40" i="26"/>
  <c r="AI41" i="26"/>
  <c r="AI42" i="26"/>
  <c r="AI43" i="26"/>
  <c r="AI44" i="26"/>
  <c r="AI45" i="26"/>
  <c r="AI46" i="26"/>
  <c r="AI47" i="26"/>
  <c r="AI48" i="26"/>
  <c r="AI49" i="26"/>
  <c r="AI50" i="26"/>
  <c r="AI51" i="26"/>
  <c r="AI52" i="26"/>
  <c r="AI53" i="26"/>
  <c r="AI54" i="26"/>
  <c r="AI55" i="26"/>
  <c r="AI56" i="26"/>
  <c r="AI57" i="26"/>
  <c r="AI58" i="26"/>
  <c r="AI59" i="26"/>
  <c r="AI60" i="26"/>
  <c r="AN60" i="26" s="1"/>
  <c r="AI61" i="26"/>
  <c r="AN61" i="26" s="1"/>
  <c r="AI62" i="26"/>
  <c r="AI63" i="26"/>
  <c r="AI64" i="26"/>
  <c r="AI65" i="26"/>
  <c r="AI2" i="26"/>
  <c r="AH3" i="26"/>
  <c r="AH4" i="26"/>
  <c r="AH6" i="26"/>
  <c r="AH7" i="26"/>
  <c r="AH8" i="26"/>
  <c r="AH9" i="26"/>
  <c r="AH10" i="26"/>
  <c r="AM10" i="26" s="1"/>
  <c r="AH11" i="26"/>
  <c r="AM11" i="26" s="1"/>
  <c r="AH12" i="26"/>
  <c r="AH13" i="26"/>
  <c r="AH14" i="26"/>
  <c r="AH15" i="26"/>
  <c r="AH16" i="26"/>
  <c r="AH17" i="26"/>
  <c r="AH18" i="26"/>
  <c r="AH19" i="26"/>
  <c r="AH20" i="26"/>
  <c r="AH21" i="26"/>
  <c r="AH22" i="26"/>
  <c r="AH23" i="26"/>
  <c r="AH24" i="26"/>
  <c r="AH25" i="26"/>
  <c r="AH26" i="26"/>
  <c r="AH27" i="26"/>
  <c r="AH28" i="26"/>
  <c r="AM28" i="26" s="1"/>
  <c r="AH29" i="26"/>
  <c r="AM29" i="26" s="1"/>
  <c r="AH32" i="26"/>
  <c r="AH33" i="26"/>
  <c r="AH34" i="26"/>
  <c r="AH35" i="26"/>
  <c r="AH36" i="26"/>
  <c r="AH37" i="26"/>
  <c r="AH38" i="26"/>
  <c r="AH39" i="26"/>
  <c r="AH40" i="26"/>
  <c r="AH41" i="26"/>
  <c r="AH42" i="26"/>
  <c r="AH43" i="26"/>
  <c r="AH44" i="26"/>
  <c r="AH45" i="26"/>
  <c r="AH46" i="26"/>
  <c r="AH47" i="26"/>
  <c r="AH48" i="26"/>
  <c r="AM48" i="26" s="1"/>
  <c r="AH49" i="26"/>
  <c r="AM49" i="26" s="1"/>
  <c r="AH50" i="26"/>
  <c r="AH51" i="26"/>
  <c r="AH52" i="26"/>
  <c r="AH53" i="26"/>
  <c r="AH54" i="26"/>
  <c r="AH55" i="26"/>
  <c r="AH56" i="26"/>
  <c r="AH57" i="26"/>
  <c r="AH58" i="26"/>
  <c r="AH59" i="26"/>
  <c r="AH60" i="26"/>
  <c r="AH61" i="26"/>
  <c r="AH62" i="26"/>
  <c r="AH63" i="26"/>
  <c r="AH64" i="26"/>
  <c r="AH65" i="26"/>
  <c r="AH2" i="26"/>
  <c r="AM2" i="26" s="1"/>
  <c r="AG3" i="26"/>
  <c r="AG4" i="26"/>
  <c r="AG6" i="26"/>
  <c r="AG7" i="26"/>
  <c r="AG8" i="26"/>
  <c r="AG9" i="26"/>
  <c r="AG10" i="26"/>
  <c r="AG11" i="26"/>
  <c r="AG12" i="26"/>
  <c r="AG13" i="26"/>
  <c r="AG14" i="26"/>
  <c r="AG15" i="26"/>
  <c r="AG16" i="26"/>
  <c r="AG17" i="26"/>
  <c r="AG18" i="26"/>
  <c r="AG19" i="26"/>
  <c r="AG20" i="26"/>
  <c r="AG21" i="26"/>
  <c r="AG22" i="26"/>
  <c r="AG23" i="26"/>
  <c r="AG24" i="26"/>
  <c r="AG25" i="26"/>
  <c r="AG26" i="26"/>
  <c r="AG27" i="26"/>
  <c r="AG28" i="26"/>
  <c r="AG29" i="26"/>
  <c r="AG32" i="26"/>
  <c r="AG33" i="26"/>
  <c r="AG34" i="26"/>
  <c r="AG35" i="26"/>
  <c r="AG36" i="26"/>
  <c r="AG37" i="26"/>
  <c r="AG38" i="26"/>
  <c r="AG39" i="26"/>
  <c r="AG40" i="26"/>
  <c r="AG41" i="26"/>
  <c r="AG42" i="26"/>
  <c r="AG43" i="26"/>
  <c r="AG44" i="26"/>
  <c r="AG45" i="26"/>
  <c r="AG46" i="26"/>
  <c r="AG47" i="26"/>
  <c r="AG48" i="26"/>
  <c r="AG49" i="26"/>
  <c r="AG50" i="26"/>
  <c r="AG51" i="26"/>
  <c r="AG52" i="26"/>
  <c r="AG53" i="26"/>
  <c r="AG54" i="26"/>
  <c r="AG55" i="26"/>
  <c r="AG56" i="26"/>
  <c r="AG57" i="26"/>
  <c r="AG58" i="26"/>
  <c r="AG59" i="26"/>
  <c r="AG60" i="26"/>
  <c r="AG61" i="26"/>
  <c r="AG62" i="26"/>
  <c r="AG63" i="26"/>
  <c r="AG64" i="26"/>
  <c r="AG65" i="26"/>
  <c r="AG2" i="26"/>
  <c r="AF3" i="26"/>
  <c r="AF4" i="26"/>
  <c r="AF6" i="26"/>
  <c r="AF7" i="26"/>
  <c r="AF8" i="26"/>
  <c r="AF9" i="26"/>
  <c r="AF10" i="26"/>
  <c r="AF11" i="26"/>
  <c r="AF12" i="26"/>
  <c r="AF13" i="26"/>
  <c r="AF14" i="26"/>
  <c r="AF15" i="26"/>
  <c r="AF16" i="26"/>
  <c r="AF17" i="26"/>
  <c r="AF18" i="26"/>
  <c r="AF19" i="26"/>
  <c r="AP19" i="26" s="1"/>
  <c r="AF20" i="26"/>
  <c r="AP20" i="26" s="1"/>
  <c r="AF21" i="26"/>
  <c r="AF22" i="26"/>
  <c r="AF23" i="26"/>
  <c r="AF24" i="26"/>
  <c r="AF25" i="26"/>
  <c r="AF26" i="26"/>
  <c r="AF27" i="26"/>
  <c r="AF28" i="26"/>
  <c r="AF29" i="26"/>
  <c r="AF32" i="26"/>
  <c r="AF33" i="26"/>
  <c r="AF34" i="26"/>
  <c r="AF35" i="26"/>
  <c r="AF36" i="26"/>
  <c r="AF37" i="26"/>
  <c r="AF38" i="26"/>
  <c r="AF39" i="26"/>
  <c r="AP39" i="26" s="1"/>
  <c r="AF40" i="26"/>
  <c r="AP40" i="26" s="1"/>
  <c r="AF41" i="26"/>
  <c r="AP41" i="26" s="1"/>
  <c r="AF42" i="26"/>
  <c r="AF43" i="26"/>
  <c r="AF44" i="26"/>
  <c r="AF45" i="26"/>
  <c r="AF46" i="26"/>
  <c r="AF47" i="26"/>
  <c r="AF48" i="26"/>
  <c r="AF49" i="26"/>
  <c r="AF50" i="26"/>
  <c r="AF51" i="26"/>
  <c r="AF52" i="26"/>
  <c r="AF53" i="26"/>
  <c r="AF54" i="26"/>
  <c r="AF55" i="26"/>
  <c r="AF56" i="26"/>
  <c r="AF57" i="26"/>
  <c r="AP57" i="26" s="1"/>
  <c r="AF58" i="26"/>
  <c r="AP58" i="26" s="1"/>
  <c r="AF59" i="26"/>
  <c r="AP59" i="26" s="1"/>
  <c r="AF60" i="26"/>
  <c r="AF61" i="26"/>
  <c r="AF62" i="26"/>
  <c r="AF63" i="26"/>
  <c r="AF64" i="26"/>
  <c r="AF65" i="26"/>
  <c r="AF2" i="26"/>
  <c r="AE3" i="26"/>
  <c r="AE4" i="26"/>
  <c r="AE6" i="26"/>
  <c r="AE7" i="26"/>
  <c r="AE8" i="26"/>
  <c r="AE9" i="26"/>
  <c r="AE10" i="26"/>
  <c r="AE11" i="26"/>
  <c r="AE12" i="26"/>
  <c r="AE13" i="26"/>
  <c r="AE14" i="26"/>
  <c r="AE15" i="26"/>
  <c r="AE16" i="26"/>
  <c r="AE17" i="26"/>
  <c r="AE18" i="26"/>
  <c r="AE19" i="26"/>
  <c r="AE20" i="26"/>
  <c r="AE21" i="26"/>
  <c r="AE22" i="26"/>
  <c r="AE23" i="26"/>
  <c r="AE24" i="26"/>
  <c r="AE25" i="26"/>
  <c r="AE26" i="26"/>
  <c r="AE27" i="26"/>
  <c r="AE28" i="26"/>
  <c r="AE29" i="26"/>
  <c r="AE32" i="26"/>
  <c r="AE33" i="26"/>
  <c r="AE34" i="26"/>
  <c r="AE35" i="26"/>
  <c r="AE36" i="26"/>
  <c r="AE37" i="26"/>
  <c r="AE38" i="26"/>
  <c r="AE39" i="26"/>
  <c r="AE40" i="26"/>
  <c r="AE41" i="26"/>
  <c r="AE42" i="26"/>
  <c r="AE43" i="26"/>
  <c r="AE44" i="26"/>
  <c r="AE45" i="26"/>
  <c r="AE46" i="26"/>
  <c r="AE47" i="26"/>
  <c r="AE48" i="26"/>
  <c r="AE49" i="26"/>
  <c r="AE50" i="26"/>
  <c r="AE51" i="26"/>
  <c r="AE52" i="26"/>
  <c r="AE53" i="26"/>
  <c r="AE54" i="26"/>
  <c r="AE55" i="26"/>
  <c r="AE56" i="26"/>
  <c r="AE57" i="26"/>
  <c r="AE58" i="26"/>
  <c r="AE59" i="26"/>
  <c r="AE60" i="26"/>
  <c r="AE61" i="26"/>
  <c r="AE62" i="26"/>
  <c r="AE63" i="26"/>
  <c r="AE64" i="26"/>
  <c r="AE65" i="26"/>
  <c r="AE2" i="26"/>
  <c r="U3" i="26"/>
  <c r="U4" i="26"/>
  <c r="U5" i="26"/>
  <c r="U6" i="26"/>
  <c r="U7" i="26"/>
  <c r="U8" i="26"/>
  <c r="U9" i="26"/>
  <c r="U10" i="26"/>
  <c r="U11" i="26"/>
  <c r="U12" i="26"/>
  <c r="U13" i="26"/>
  <c r="U14" i="26"/>
  <c r="U15" i="26"/>
  <c r="U16" i="26"/>
  <c r="U17" i="26"/>
  <c r="U18" i="26"/>
  <c r="U19" i="26"/>
  <c r="U20" i="26"/>
  <c r="U21" i="26"/>
  <c r="U22" i="26"/>
  <c r="U23" i="26"/>
  <c r="U24" i="26"/>
  <c r="U25" i="26"/>
  <c r="U26" i="26"/>
  <c r="U27" i="26"/>
  <c r="U28" i="26"/>
  <c r="U29" i="26"/>
  <c r="U30" i="26"/>
  <c r="U31" i="26"/>
  <c r="U32" i="26"/>
  <c r="U33" i="26"/>
  <c r="U34" i="26"/>
  <c r="U35" i="26"/>
  <c r="U36" i="26"/>
  <c r="U37" i="26"/>
  <c r="U38" i="26"/>
  <c r="U39" i="26"/>
  <c r="U40" i="26"/>
  <c r="U41" i="26"/>
  <c r="U42" i="26"/>
  <c r="U43" i="26"/>
  <c r="U44" i="26"/>
  <c r="U45" i="26"/>
  <c r="U46" i="26"/>
  <c r="U47" i="26"/>
  <c r="U48" i="26"/>
  <c r="U49" i="26"/>
  <c r="U50" i="26"/>
  <c r="U51" i="26"/>
  <c r="U52" i="26"/>
  <c r="U53" i="26"/>
  <c r="U54" i="26"/>
  <c r="U55" i="26"/>
  <c r="U56" i="26"/>
  <c r="U57" i="26"/>
  <c r="U58" i="26"/>
  <c r="U59" i="26"/>
  <c r="U60" i="26"/>
  <c r="U61" i="26"/>
  <c r="U62" i="26"/>
  <c r="U63" i="26"/>
  <c r="U64" i="26"/>
  <c r="U65" i="26"/>
  <c r="U2" i="26"/>
  <c r="BO5" i="25"/>
  <c r="BO6" i="25"/>
  <c r="BO7" i="25"/>
  <c r="BO8" i="25"/>
  <c r="BO9" i="25"/>
  <c r="BO10" i="25"/>
  <c r="BO11" i="25"/>
  <c r="BO12" i="25"/>
  <c r="BO13" i="25"/>
  <c r="BO14" i="25"/>
  <c r="BO23" i="25"/>
  <c r="BO24" i="25"/>
  <c r="BO25" i="25"/>
  <c r="BO26" i="25"/>
  <c r="BO27" i="25"/>
  <c r="BO28" i="25"/>
  <c r="BO29" i="25"/>
  <c r="BO30" i="25"/>
  <c r="BO31" i="25"/>
  <c r="BO32" i="25"/>
  <c r="BO41" i="25"/>
  <c r="BO42" i="25"/>
  <c r="BO43" i="25"/>
  <c r="BO44" i="25"/>
  <c r="BO45" i="25"/>
  <c r="BO46" i="25"/>
  <c r="BO47" i="25"/>
  <c r="BO48" i="25"/>
  <c r="BO49" i="25"/>
  <c r="BO50" i="25"/>
  <c r="BO59" i="25"/>
  <c r="BO60" i="25"/>
  <c r="BO61" i="25"/>
  <c r="BO62" i="25"/>
  <c r="BO63" i="25"/>
  <c r="BO64" i="25"/>
  <c r="BO65" i="25"/>
  <c r="BO2" i="25"/>
  <c r="BN3" i="25"/>
  <c r="BN4" i="25"/>
  <c r="BN16" i="25"/>
  <c r="BN17" i="25"/>
  <c r="BN18" i="25"/>
  <c r="BN19" i="25"/>
  <c r="BN52" i="25"/>
  <c r="BN53" i="25"/>
  <c r="BN54" i="25"/>
  <c r="BN55" i="25"/>
  <c r="BN56" i="25"/>
  <c r="BN57" i="25"/>
  <c r="BN58" i="25"/>
  <c r="BM5" i="25"/>
  <c r="BM6" i="25"/>
  <c r="BM7" i="25"/>
  <c r="BM8" i="25"/>
  <c r="BM9" i="25"/>
  <c r="BM10" i="25"/>
  <c r="BM11" i="25"/>
  <c r="BM12" i="25"/>
  <c r="BM23" i="25"/>
  <c r="BM24" i="25"/>
  <c r="BM25" i="25"/>
  <c r="BM26" i="25"/>
  <c r="BM27" i="25"/>
  <c r="BM28" i="25"/>
  <c r="BM29" i="25"/>
  <c r="BM30" i="25"/>
  <c r="BM41" i="25"/>
  <c r="BM42" i="25"/>
  <c r="BM43" i="25"/>
  <c r="BM44" i="25"/>
  <c r="BM45" i="25"/>
  <c r="BM46" i="25"/>
  <c r="BM47" i="25"/>
  <c r="BM48" i="25"/>
  <c r="BM59" i="25"/>
  <c r="BM60" i="25"/>
  <c r="BM61" i="25"/>
  <c r="BM62" i="25"/>
  <c r="BM63" i="25"/>
  <c r="BM64" i="25"/>
  <c r="BM65" i="25"/>
  <c r="BM2" i="25"/>
  <c r="BL5" i="25"/>
  <c r="BL9" i="25"/>
  <c r="BL10" i="25"/>
  <c r="BL11" i="25"/>
  <c r="BL12" i="25"/>
  <c r="BL13" i="25"/>
  <c r="BL14" i="25"/>
  <c r="BL15" i="25"/>
  <c r="BL23" i="25"/>
  <c r="BL27" i="25"/>
  <c r="BL28" i="25"/>
  <c r="BL29" i="25"/>
  <c r="BL30" i="25"/>
  <c r="BL31" i="25"/>
  <c r="BL32" i="25"/>
  <c r="BL33" i="25"/>
  <c r="BL34" i="25"/>
  <c r="BL35" i="25"/>
  <c r="BL41" i="25"/>
  <c r="BL45" i="25"/>
  <c r="BL46" i="25"/>
  <c r="BL47" i="25"/>
  <c r="BL48" i="25"/>
  <c r="BL49" i="25"/>
  <c r="BL50" i="25"/>
  <c r="BL51" i="25"/>
  <c r="BL52" i="25"/>
  <c r="BL53" i="25"/>
  <c r="BL54" i="25"/>
  <c r="BL55" i="25"/>
  <c r="BL56" i="25"/>
  <c r="BL59" i="25"/>
  <c r="BL63" i="25"/>
  <c r="BL64" i="25"/>
  <c r="BL65" i="25"/>
  <c r="BL2" i="25"/>
  <c r="BK26" i="25"/>
  <c r="BK62" i="25"/>
  <c r="BJ2" i="25"/>
  <c r="BK2" i="25" s="1"/>
  <c r="BQ2" i="25" s="1"/>
  <c r="BI26" i="25"/>
  <c r="BJ26" i="25" s="1"/>
  <c r="BI62" i="25"/>
  <c r="BJ62" i="25" s="1"/>
  <c r="BH2" i="25"/>
  <c r="BH3" i="25"/>
  <c r="BH4" i="25"/>
  <c r="BH5" i="25"/>
  <c r="BH6" i="25"/>
  <c r="BH7" i="25"/>
  <c r="BH8" i="25"/>
  <c r="BH9" i="25"/>
  <c r="BH10" i="25"/>
  <c r="BH11" i="25"/>
  <c r="BH12" i="25"/>
  <c r="BH13" i="25"/>
  <c r="BH14" i="25"/>
  <c r="BH15" i="25"/>
  <c r="BH16" i="25"/>
  <c r="BH17" i="25"/>
  <c r="BH18" i="25"/>
  <c r="BH19" i="25"/>
  <c r="BH20" i="25"/>
  <c r="BH21" i="25"/>
  <c r="BH22" i="25"/>
  <c r="BH23" i="25"/>
  <c r="BH24" i="25"/>
  <c r="BH25" i="25"/>
  <c r="BH26" i="25"/>
  <c r="BH27" i="25"/>
  <c r="BH28" i="25"/>
  <c r="BH29" i="25"/>
  <c r="BH30" i="25"/>
  <c r="BH31" i="25"/>
  <c r="BH32" i="25"/>
  <c r="BH33" i="25"/>
  <c r="BH34" i="25"/>
  <c r="BH35" i="25"/>
  <c r="BH36" i="25"/>
  <c r="BH37" i="25"/>
  <c r="BH38" i="25"/>
  <c r="BH39" i="25"/>
  <c r="BH40" i="25"/>
  <c r="BH41" i="25"/>
  <c r="BH42" i="25"/>
  <c r="BH43" i="25"/>
  <c r="BH44" i="25"/>
  <c r="BH45" i="25"/>
  <c r="BH46" i="25"/>
  <c r="BH47" i="25"/>
  <c r="BH48" i="25"/>
  <c r="BH49" i="25"/>
  <c r="BH50" i="25"/>
  <c r="BH51" i="25"/>
  <c r="BH52" i="25"/>
  <c r="BH53" i="25"/>
  <c r="BH54" i="25"/>
  <c r="BH55" i="25"/>
  <c r="BH56" i="25"/>
  <c r="BH57" i="25"/>
  <c r="BH58" i="25"/>
  <c r="BH59" i="25"/>
  <c r="BH60" i="25"/>
  <c r="BH61" i="25"/>
  <c r="BH62" i="25"/>
  <c r="BH63" i="25"/>
  <c r="BH64" i="25"/>
  <c r="BH65" i="25"/>
  <c r="BG5" i="25"/>
  <c r="BI5" i="25" s="1"/>
  <c r="BJ5" i="25" s="1"/>
  <c r="BK5" i="25" s="1"/>
  <c r="BG6" i="25"/>
  <c r="BI6" i="25" s="1"/>
  <c r="BJ6" i="25" s="1"/>
  <c r="BK6" i="25" s="1"/>
  <c r="BG7" i="25"/>
  <c r="BI7" i="25" s="1"/>
  <c r="BJ7" i="25" s="1"/>
  <c r="BK7" i="25" s="1"/>
  <c r="BG23" i="25"/>
  <c r="BI23" i="25" s="1"/>
  <c r="BJ23" i="25" s="1"/>
  <c r="BK23" i="25" s="1"/>
  <c r="BG24" i="25"/>
  <c r="BI24" i="25" s="1"/>
  <c r="BJ24" i="25" s="1"/>
  <c r="BK24" i="25" s="1"/>
  <c r="BG25" i="25"/>
  <c r="BI25" i="25" s="1"/>
  <c r="BJ25" i="25" s="1"/>
  <c r="BK25" i="25" s="1"/>
  <c r="BG41" i="25"/>
  <c r="BI41" i="25" s="1"/>
  <c r="BJ41" i="25" s="1"/>
  <c r="BK41" i="25" s="1"/>
  <c r="BG42" i="25"/>
  <c r="BI42" i="25" s="1"/>
  <c r="BJ42" i="25" s="1"/>
  <c r="BK42" i="25" s="1"/>
  <c r="BG43" i="25"/>
  <c r="BI43" i="25" s="1"/>
  <c r="BJ43" i="25" s="1"/>
  <c r="BK43" i="25" s="1"/>
  <c r="BG59" i="25"/>
  <c r="BI59" i="25" s="1"/>
  <c r="BJ59" i="25" s="1"/>
  <c r="BK59" i="25" s="1"/>
  <c r="BG60" i="25"/>
  <c r="BI60" i="25" s="1"/>
  <c r="BJ60" i="25" s="1"/>
  <c r="BK60" i="25" s="1"/>
  <c r="BG61" i="25"/>
  <c r="BI61" i="25" s="1"/>
  <c r="BJ61" i="25" s="1"/>
  <c r="BK61" i="25" s="1"/>
  <c r="BF5" i="25"/>
  <c r="BF6" i="25"/>
  <c r="BF7" i="25"/>
  <c r="BF8" i="25"/>
  <c r="BG8" i="25" s="1"/>
  <c r="BI8" i="25" s="1"/>
  <c r="BJ8" i="25" s="1"/>
  <c r="BK8" i="25" s="1"/>
  <c r="BF9" i="25"/>
  <c r="BG9" i="25" s="1"/>
  <c r="BF10" i="25"/>
  <c r="BG10" i="25" s="1"/>
  <c r="BF11" i="25"/>
  <c r="BG11" i="25" s="1"/>
  <c r="BF12" i="25"/>
  <c r="BG12" i="25" s="1"/>
  <c r="BI12" i="25" s="1"/>
  <c r="BJ12" i="25" s="1"/>
  <c r="BK12" i="25" s="1"/>
  <c r="BF13" i="25"/>
  <c r="BG13" i="25" s="1"/>
  <c r="BI13" i="25" s="1"/>
  <c r="BJ13" i="25" s="1"/>
  <c r="BK13" i="25" s="1"/>
  <c r="BF14" i="25"/>
  <c r="BG14" i="25" s="1"/>
  <c r="BI14" i="25" s="1"/>
  <c r="BJ14" i="25" s="1"/>
  <c r="BK14" i="25" s="1"/>
  <c r="BF23" i="25"/>
  <c r="BF24" i="25"/>
  <c r="BF25" i="25"/>
  <c r="BF26" i="25"/>
  <c r="BG26" i="25" s="1"/>
  <c r="BF27" i="25"/>
  <c r="BG27" i="25" s="1"/>
  <c r="BF28" i="25"/>
  <c r="BG28" i="25" s="1"/>
  <c r="BF29" i="25"/>
  <c r="BG29" i="25" s="1"/>
  <c r="BF30" i="25"/>
  <c r="BG30" i="25" s="1"/>
  <c r="BI30" i="25" s="1"/>
  <c r="BJ30" i="25" s="1"/>
  <c r="BK30" i="25" s="1"/>
  <c r="BF31" i="25"/>
  <c r="BG31" i="25" s="1"/>
  <c r="BI31" i="25" s="1"/>
  <c r="BJ31" i="25" s="1"/>
  <c r="BK31" i="25" s="1"/>
  <c r="BF32" i="25"/>
  <c r="BG32" i="25" s="1"/>
  <c r="BI32" i="25" s="1"/>
  <c r="BJ32" i="25" s="1"/>
  <c r="BK32" i="25" s="1"/>
  <c r="BF41" i="25"/>
  <c r="BF42" i="25"/>
  <c r="BF43" i="25"/>
  <c r="BF44" i="25"/>
  <c r="BG44" i="25" s="1"/>
  <c r="BI44" i="25" s="1"/>
  <c r="BJ44" i="25" s="1"/>
  <c r="BK44" i="25" s="1"/>
  <c r="BF45" i="25"/>
  <c r="BG45" i="25" s="1"/>
  <c r="BF46" i="25"/>
  <c r="BG46" i="25" s="1"/>
  <c r="BF47" i="25"/>
  <c r="BG47" i="25" s="1"/>
  <c r="BF48" i="25"/>
  <c r="BG48" i="25" s="1"/>
  <c r="BI48" i="25" s="1"/>
  <c r="BJ48" i="25" s="1"/>
  <c r="BK48" i="25" s="1"/>
  <c r="BF49" i="25"/>
  <c r="BG49" i="25" s="1"/>
  <c r="BI49" i="25" s="1"/>
  <c r="BJ49" i="25" s="1"/>
  <c r="BK49" i="25" s="1"/>
  <c r="BF50" i="25"/>
  <c r="BG50" i="25" s="1"/>
  <c r="BF59" i="25"/>
  <c r="BF60" i="25"/>
  <c r="BF61" i="25"/>
  <c r="BF62" i="25"/>
  <c r="BG62" i="25" s="1"/>
  <c r="BF63" i="25"/>
  <c r="BG63" i="25" s="1"/>
  <c r="BF64" i="25"/>
  <c r="BG64" i="25" s="1"/>
  <c r="BF65" i="25"/>
  <c r="BG65" i="25" s="1"/>
  <c r="BF2" i="25"/>
  <c r="BG2" i="25" s="1"/>
  <c r="BI2" i="25" s="1"/>
  <c r="BE3" i="25"/>
  <c r="BE4" i="25"/>
  <c r="BE5" i="25"/>
  <c r="BN5" i="25" s="1"/>
  <c r="BE6" i="25"/>
  <c r="BN6" i="25" s="1"/>
  <c r="BE7" i="25"/>
  <c r="BN7" i="25" s="1"/>
  <c r="BE8" i="25"/>
  <c r="BN8" i="25" s="1"/>
  <c r="BE9" i="25"/>
  <c r="BN9" i="25" s="1"/>
  <c r="BE10" i="25"/>
  <c r="BN10" i="25" s="1"/>
  <c r="BE11" i="25"/>
  <c r="BN11" i="25" s="1"/>
  <c r="BE12" i="25"/>
  <c r="BN12" i="25" s="1"/>
  <c r="BE13" i="25"/>
  <c r="BM13" i="25" s="1"/>
  <c r="BE14" i="25"/>
  <c r="BM14" i="25" s="1"/>
  <c r="BE15" i="25"/>
  <c r="BE16" i="25"/>
  <c r="BE17" i="25"/>
  <c r="BE18" i="25"/>
  <c r="BL18" i="25" s="1"/>
  <c r="BE19" i="25"/>
  <c r="BL19" i="25" s="1"/>
  <c r="BE20" i="25"/>
  <c r="BL20" i="25" s="1"/>
  <c r="BE21" i="25"/>
  <c r="BE22" i="25"/>
  <c r="BE23" i="25"/>
  <c r="BN23" i="25" s="1"/>
  <c r="BE24" i="25"/>
  <c r="BN24" i="25" s="1"/>
  <c r="BE25" i="25"/>
  <c r="BN25" i="25" s="1"/>
  <c r="BE26" i="25"/>
  <c r="BN26" i="25" s="1"/>
  <c r="BE27" i="25"/>
  <c r="BN27" i="25" s="1"/>
  <c r="BE28" i="25"/>
  <c r="BN28" i="25" s="1"/>
  <c r="BE29" i="25"/>
  <c r="BN29" i="25" s="1"/>
  <c r="BE30" i="25"/>
  <c r="BN30" i="25" s="1"/>
  <c r="BE31" i="25"/>
  <c r="BM31" i="25" s="1"/>
  <c r="BE32" i="25"/>
  <c r="BM32" i="25" s="1"/>
  <c r="BE33" i="25"/>
  <c r="BE34" i="25"/>
  <c r="BE35" i="25"/>
  <c r="BE36" i="25"/>
  <c r="BN36" i="25" s="1"/>
  <c r="BE37" i="25"/>
  <c r="BN37" i="25" s="1"/>
  <c r="BE38" i="25"/>
  <c r="BE39" i="25"/>
  <c r="BN39" i="25" s="1"/>
  <c r="BE40" i="25"/>
  <c r="BE41" i="25"/>
  <c r="BN41" i="25" s="1"/>
  <c r="BE42" i="25"/>
  <c r="BN42" i="25" s="1"/>
  <c r="BE43" i="25"/>
  <c r="BN43" i="25" s="1"/>
  <c r="BE44" i="25"/>
  <c r="BN44" i="25" s="1"/>
  <c r="BE45" i="25"/>
  <c r="BN45" i="25" s="1"/>
  <c r="BE46" i="25"/>
  <c r="BN46" i="25" s="1"/>
  <c r="BE47" i="25"/>
  <c r="BN47" i="25" s="1"/>
  <c r="BE48" i="25"/>
  <c r="BN48" i="25" s="1"/>
  <c r="BE49" i="25"/>
  <c r="BM49" i="25" s="1"/>
  <c r="BE50" i="25"/>
  <c r="BM50" i="25" s="1"/>
  <c r="BE51" i="25"/>
  <c r="BE52" i="25"/>
  <c r="BE53" i="25"/>
  <c r="BE54" i="25"/>
  <c r="BE55" i="25"/>
  <c r="BE56" i="25"/>
  <c r="BE57" i="25"/>
  <c r="BE58" i="25"/>
  <c r="BE59" i="25"/>
  <c r="BN59" i="25" s="1"/>
  <c r="BE60" i="25"/>
  <c r="BN60" i="25" s="1"/>
  <c r="BE61" i="25"/>
  <c r="BN61" i="25" s="1"/>
  <c r="BE62" i="25"/>
  <c r="BN62" i="25" s="1"/>
  <c r="BR62" i="25" s="1"/>
  <c r="BE63" i="25"/>
  <c r="BN63" i="25" s="1"/>
  <c r="BE64" i="25"/>
  <c r="BN64" i="25" s="1"/>
  <c r="BE65" i="25"/>
  <c r="BN65" i="25" s="1"/>
  <c r="BE2" i="25"/>
  <c r="BN2" i="25" s="1"/>
  <c r="AV3" i="25"/>
  <c r="AV4" i="25"/>
  <c r="AV5" i="25"/>
  <c r="AV6" i="25"/>
  <c r="AV7" i="25"/>
  <c r="AV8" i="25"/>
  <c r="AV9" i="25"/>
  <c r="AV10" i="25"/>
  <c r="AV11" i="25"/>
  <c r="AV12" i="25"/>
  <c r="AV13" i="25"/>
  <c r="AV14" i="25"/>
  <c r="AV15" i="25"/>
  <c r="AV16" i="25"/>
  <c r="AV17" i="25"/>
  <c r="AV18" i="25"/>
  <c r="AV19" i="25"/>
  <c r="AV20" i="25"/>
  <c r="AV21" i="25"/>
  <c r="AV22" i="25"/>
  <c r="AV23" i="25"/>
  <c r="AV24" i="25"/>
  <c r="AV25" i="25"/>
  <c r="AV26" i="25"/>
  <c r="AV27" i="25"/>
  <c r="AV28" i="25"/>
  <c r="AV29" i="25"/>
  <c r="AV30" i="25"/>
  <c r="AV31" i="25"/>
  <c r="AV32" i="25"/>
  <c r="AV33" i="25"/>
  <c r="AV34" i="25"/>
  <c r="AV35" i="25"/>
  <c r="AV36" i="25"/>
  <c r="AV37" i="25"/>
  <c r="AV38" i="25"/>
  <c r="AV39" i="25"/>
  <c r="AV40" i="25"/>
  <c r="AV41" i="25"/>
  <c r="AV42" i="25"/>
  <c r="AV43" i="25"/>
  <c r="AV44" i="25"/>
  <c r="AV45" i="25"/>
  <c r="AV46" i="25"/>
  <c r="AV47" i="25"/>
  <c r="AV48" i="25"/>
  <c r="AV49" i="25"/>
  <c r="AV50" i="25"/>
  <c r="AV51" i="25"/>
  <c r="AV52" i="25"/>
  <c r="AV53" i="25"/>
  <c r="AV54" i="25"/>
  <c r="AV55" i="25"/>
  <c r="AV56" i="25"/>
  <c r="AV57" i="25"/>
  <c r="AV58" i="25"/>
  <c r="AV59" i="25"/>
  <c r="AV60" i="25"/>
  <c r="AV61" i="25"/>
  <c r="AV62" i="25"/>
  <c r="AV63" i="25"/>
  <c r="AV64" i="25"/>
  <c r="AV65" i="25"/>
  <c r="AV2" i="25"/>
  <c r="AS3" i="25"/>
  <c r="AS4" i="25"/>
  <c r="AS5" i="25"/>
  <c r="AS6" i="25"/>
  <c r="AS7" i="25"/>
  <c r="AS8" i="25"/>
  <c r="AS9" i="25"/>
  <c r="AS10" i="25"/>
  <c r="AS11" i="25"/>
  <c r="AS12" i="25"/>
  <c r="AS13" i="25"/>
  <c r="AS14" i="25"/>
  <c r="AS15" i="25"/>
  <c r="AS16" i="25"/>
  <c r="AS17" i="25"/>
  <c r="AS18" i="25"/>
  <c r="AS19" i="25"/>
  <c r="AS20" i="25"/>
  <c r="AS21" i="25"/>
  <c r="AS22" i="25"/>
  <c r="AS23" i="25"/>
  <c r="AS24" i="25"/>
  <c r="AS25" i="25"/>
  <c r="AS26" i="25"/>
  <c r="AS27" i="25"/>
  <c r="AS28" i="25"/>
  <c r="AS29" i="25"/>
  <c r="AS30" i="25"/>
  <c r="AS31" i="25"/>
  <c r="AS32" i="25"/>
  <c r="AS33" i="25"/>
  <c r="AS34" i="25"/>
  <c r="AS35" i="25"/>
  <c r="AS36" i="25"/>
  <c r="AS37" i="25"/>
  <c r="AS38" i="25"/>
  <c r="AS39" i="25"/>
  <c r="AS40" i="25"/>
  <c r="AS41" i="25"/>
  <c r="AS42" i="25"/>
  <c r="AS43" i="25"/>
  <c r="AS44" i="25"/>
  <c r="AS45" i="25"/>
  <c r="AS46" i="25"/>
  <c r="AS47" i="25"/>
  <c r="AS48" i="25"/>
  <c r="AS49" i="25"/>
  <c r="AS50" i="25"/>
  <c r="AS51" i="25"/>
  <c r="AS52" i="25"/>
  <c r="AS53" i="25"/>
  <c r="AS54" i="25"/>
  <c r="AS55" i="25"/>
  <c r="AS56" i="25"/>
  <c r="AS57" i="25"/>
  <c r="AS58" i="25"/>
  <c r="AS59" i="25"/>
  <c r="AS60" i="25"/>
  <c r="AS61" i="25"/>
  <c r="AS62" i="25"/>
  <c r="AS63" i="25"/>
  <c r="AS64" i="25"/>
  <c r="AS65" i="25"/>
  <c r="AS2" i="25"/>
  <c r="AM16" i="26" l="1"/>
  <c r="AP16" i="26"/>
  <c r="AP33" i="26"/>
  <c r="AP49" i="26"/>
  <c r="AP29" i="26"/>
  <c r="AP11" i="26"/>
  <c r="AP18" i="26"/>
  <c r="AN15" i="26"/>
  <c r="AP15" i="26"/>
  <c r="AP51" i="26"/>
  <c r="AP2" i="26"/>
  <c r="AP48" i="26"/>
  <c r="AP28" i="26"/>
  <c r="AP10" i="26"/>
  <c r="AP55" i="26"/>
  <c r="AN35" i="26"/>
  <c r="AP35" i="26"/>
  <c r="AN14" i="26"/>
  <c r="AP14" i="26"/>
  <c r="AP50" i="26"/>
  <c r="AP65" i="26"/>
  <c r="AP47" i="26"/>
  <c r="AL27" i="26"/>
  <c r="AP27" i="26"/>
  <c r="AL9" i="26"/>
  <c r="AP9" i="26"/>
  <c r="AM61" i="26"/>
  <c r="AM4" i="26"/>
  <c r="AN32" i="26"/>
  <c r="AP38" i="26"/>
  <c r="AP17" i="26"/>
  <c r="AP36" i="26"/>
  <c r="AN59" i="26"/>
  <c r="AN53" i="26"/>
  <c r="AP53" i="26"/>
  <c r="AP32" i="26"/>
  <c r="AL64" i="26"/>
  <c r="AP64" i="26"/>
  <c r="AL46" i="26"/>
  <c r="AP46" i="26"/>
  <c r="AL26" i="26"/>
  <c r="AP26" i="26"/>
  <c r="AL8" i="26"/>
  <c r="AP8" i="26"/>
  <c r="AM60" i="26"/>
  <c r="AM3" i="26"/>
  <c r="AN29" i="26"/>
  <c r="AP12" i="26"/>
  <c r="AP63" i="26"/>
  <c r="AP45" i="26"/>
  <c r="AP25" i="26"/>
  <c r="AP7" i="26"/>
  <c r="AM59" i="26"/>
  <c r="AM41" i="26"/>
  <c r="AM21" i="26"/>
  <c r="AN21" i="26"/>
  <c r="AP21" i="26"/>
  <c r="AP56" i="26"/>
  <c r="AM54" i="26"/>
  <c r="AP54" i="26"/>
  <c r="AN34" i="26"/>
  <c r="AP34" i="26"/>
  <c r="AL62" i="26"/>
  <c r="AP62" i="26"/>
  <c r="AL44" i="26"/>
  <c r="AP44" i="26"/>
  <c r="AL24" i="26"/>
  <c r="AP24" i="26"/>
  <c r="AL6" i="26"/>
  <c r="AP6" i="26"/>
  <c r="AM58" i="26"/>
  <c r="AM40" i="26"/>
  <c r="AM20" i="26"/>
  <c r="AP37" i="26"/>
  <c r="AN52" i="26"/>
  <c r="AP52" i="26"/>
  <c r="AP13" i="26"/>
  <c r="AL61" i="26"/>
  <c r="AP61" i="26"/>
  <c r="AL43" i="26"/>
  <c r="AP43" i="26"/>
  <c r="AL23" i="26"/>
  <c r="AP23" i="26"/>
  <c r="AL4" i="26"/>
  <c r="AP4" i="26"/>
  <c r="AM57" i="26"/>
  <c r="AM39" i="26"/>
  <c r="AM19" i="26"/>
  <c r="AP60" i="26"/>
  <c r="AP42" i="26"/>
  <c r="AM22" i="26"/>
  <c r="AP22" i="26"/>
  <c r="AN3" i="26"/>
  <c r="AP3" i="26"/>
  <c r="AN23" i="26"/>
  <c r="AN22" i="26"/>
  <c r="AN4" i="26"/>
  <c r="AM36" i="26"/>
  <c r="AN56" i="26"/>
  <c r="AN38" i="26"/>
  <c r="AL33" i="26"/>
  <c r="AL50" i="26"/>
  <c r="AL32" i="26"/>
  <c r="AL12" i="26"/>
  <c r="AM23" i="26"/>
  <c r="AL49" i="26"/>
  <c r="AL29" i="26"/>
  <c r="AL11" i="26"/>
  <c r="AN18" i="26"/>
  <c r="AL51" i="26"/>
  <c r="AL13" i="26"/>
  <c r="AM62" i="26"/>
  <c r="AM6" i="26"/>
  <c r="AM25" i="26"/>
  <c r="AN10" i="26"/>
  <c r="AL60" i="26"/>
  <c r="AL42" i="26"/>
  <c r="AL22" i="26"/>
  <c r="AL3" i="26"/>
  <c r="AM44" i="26"/>
  <c r="AN51" i="26"/>
  <c r="AM46" i="26"/>
  <c r="AN2" i="26"/>
  <c r="AM53" i="26"/>
  <c r="AN46" i="26"/>
  <c r="AN8" i="26"/>
  <c r="AL59" i="26"/>
  <c r="AL41" i="26"/>
  <c r="AL21" i="26"/>
  <c r="AL2" i="26"/>
  <c r="AL48" i="26"/>
  <c r="AL28" i="26"/>
  <c r="AL10" i="26"/>
  <c r="AM43" i="26"/>
  <c r="AN50" i="26"/>
  <c r="AM65" i="26"/>
  <c r="AN27" i="26"/>
  <c r="AL58" i="26"/>
  <c r="AL40" i="26"/>
  <c r="AL20" i="26"/>
  <c r="AM42" i="26"/>
  <c r="AN49" i="26"/>
  <c r="AM15" i="26"/>
  <c r="AM14" i="26"/>
  <c r="AM26" i="26"/>
  <c r="AM7" i="26"/>
  <c r="AN28" i="26"/>
  <c r="AN65" i="26"/>
  <c r="AL57" i="26"/>
  <c r="AL39" i="26"/>
  <c r="AL19" i="26"/>
  <c r="AN43" i="26"/>
  <c r="AN13" i="26"/>
  <c r="AM27" i="26"/>
  <c r="AM8" i="26"/>
  <c r="AM45" i="26"/>
  <c r="AN47" i="26"/>
  <c r="AN64" i="26"/>
  <c r="AN26" i="26"/>
  <c r="AM52" i="26"/>
  <c r="AL56" i="26"/>
  <c r="AL38" i="26"/>
  <c r="AL18" i="26"/>
  <c r="AL65" i="26"/>
  <c r="AM35" i="26"/>
  <c r="AN42" i="26"/>
  <c r="AM47" i="26"/>
  <c r="AN48" i="26"/>
  <c r="AN55" i="26"/>
  <c r="AN37" i="26"/>
  <c r="AN17" i="26"/>
  <c r="AM51" i="26"/>
  <c r="AM33" i="26"/>
  <c r="AM13" i="26"/>
  <c r="AN58" i="26"/>
  <c r="AN40" i="26"/>
  <c r="AN20" i="26"/>
  <c r="AM34" i="26"/>
  <c r="AN41" i="26"/>
  <c r="AM9" i="26"/>
  <c r="AN12" i="26"/>
  <c r="AM64" i="26"/>
  <c r="AN11" i="26"/>
  <c r="AM63" i="26"/>
  <c r="AN9" i="26"/>
  <c r="AN54" i="26"/>
  <c r="AN36" i="26"/>
  <c r="AN16" i="26"/>
  <c r="AM50" i="26"/>
  <c r="AM32" i="26"/>
  <c r="AM12" i="26"/>
  <c r="AN57" i="26"/>
  <c r="AN39" i="26"/>
  <c r="AN19" i="26"/>
  <c r="AL47" i="26"/>
  <c r="AM24" i="26"/>
  <c r="AN33" i="26"/>
  <c r="AL17" i="26"/>
  <c r="AL54" i="26"/>
  <c r="AL15" i="26"/>
  <c r="AL36" i="26"/>
  <c r="AL55" i="26"/>
  <c r="AL35" i="26"/>
  <c r="AL52" i="26"/>
  <c r="AL14" i="26"/>
  <c r="AM56" i="26"/>
  <c r="AM38" i="26"/>
  <c r="AM18" i="26"/>
  <c r="AN63" i="26"/>
  <c r="AN45" i="26"/>
  <c r="AN25" i="26"/>
  <c r="AN7" i="26"/>
  <c r="AL37" i="26"/>
  <c r="AL16" i="26"/>
  <c r="AL53" i="26"/>
  <c r="AL34" i="26"/>
  <c r="AM55" i="26"/>
  <c r="AM37" i="26"/>
  <c r="AM17" i="26"/>
  <c r="AN62" i="26"/>
  <c r="AN44" i="26"/>
  <c r="AN24" i="26"/>
  <c r="AN6" i="26"/>
  <c r="AL25" i="26"/>
  <c r="AL45" i="26"/>
  <c r="AL63" i="26"/>
  <c r="AL7" i="26"/>
  <c r="BS23" i="25"/>
  <c r="BQ23" i="25"/>
  <c r="BR23" i="25"/>
  <c r="BP23" i="25"/>
  <c r="BS6" i="25"/>
  <c r="BQ6" i="25"/>
  <c r="BR6" i="25"/>
  <c r="BQ44" i="25"/>
  <c r="BS44" i="25"/>
  <c r="BR44" i="25"/>
  <c r="BS24" i="25"/>
  <c r="BQ24" i="25"/>
  <c r="BR24" i="25"/>
  <c r="BP24" i="25"/>
  <c r="BP7" i="25"/>
  <c r="BQ7" i="25"/>
  <c r="BS7" i="25"/>
  <c r="BR7" i="25"/>
  <c r="BQ8" i="25"/>
  <c r="BS8" i="25"/>
  <c r="BR8" i="25"/>
  <c r="BP31" i="25"/>
  <c r="BQ31" i="25"/>
  <c r="BS31" i="25"/>
  <c r="BS42" i="25"/>
  <c r="BQ42" i="25"/>
  <c r="BP42" i="25"/>
  <c r="BR42" i="25"/>
  <c r="BP25" i="25"/>
  <c r="BQ25" i="25"/>
  <c r="BS25" i="25"/>
  <c r="BR25" i="25"/>
  <c r="BP49" i="25"/>
  <c r="BQ49" i="25"/>
  <c r="BS49" i="25"/>
  <c r="BR48" i="25"/>
  <c r="BP48" i="25"/>
  <c r="BS48" i="25"/>
  <c r="BQ48" i="25"/>
  <c r="BP13" i="25"/>
  <c r="BQ13" i="25"/>
  <c r="BS13" i="25"/>
  <c r="BS5" i="25"/>
  <c r="BQ5" i="25"/>
  <c r="BP5" i="25"/>
  <c r="BR5" i="25"/>
  <c r="BR32" i="25"/>
  <c r="BP32" i="25"/>
  <c r="BQ32" i="25"/>
  <c r="BS32" i="25"/>
  <c r="BR30" i="25"/>
  <c r="BP30" i="25"/>
  <c r="BQ30" i="25"/>
  <c r="BS30" i="25"/>
  <c r="BP61" i="25"/>
  <c r="BQ61" i="25"/>
  <c r="BS61" i="25"/>
  <c r="BR61" i="25"/>
  <c r="BQ41" i="25"/>
  <c r="BS41" i="25"/>
  <c r="BP41" i="25"/>
  <c r="BR41" i="25"/>
  <c r="BR14" i="25"/>
  <c r="BP14" i="25"/>
  <c r="BQ14" i="25"/>
  <c r="BS14" i="25"/>
  <c r="BS59" i="25"/>
  <c r="BQ59" i="25"/>
  <c r="BP59" i="25"/>
  <c r="BR59" i="25"/>
  <c r="BR12" i="25"/>
  <c r="BP12" i="25"/>
  <c r="BS12" i="25"/>
  <c r="BQ12" i="25"/>
  <c r="BS60" i="25"/>
  <c r="BQ60" i="25"/>
  <c r="BR60" i="25"/>
  <c r="BP43" i="25"/>
  <c r="BQ43" i="25"/>
  <c r="BS43" i="25"/>
  <c r="BR43" i="25"/>
  <c r="BL58" i="25"/>
  <c r="BM58" i="25"/>
  <c r="BO58" i="25"/>
  <c r="BF58" i="25"/>
  <c r="BG58" i="25" s="1"/>
  <c r="BI58" i="25" s="1"/>
  <c r="BJ58" i="25" s="1"/>
  <c r="BK58" i="25" s="1"/>
  <c r="BL21" i="25"/>
  <c r="BF21" i="25"/>
  <c r="BG21" i="25" s="1"/>
  <c r="BI21" i="25" s="1"/>
  <c r="BJ21" i="25" s="1"/>
  <c r="BK21" i="25" s="1"/>
  <c r="BO21" i="25"/>
  <c r="BM21" i="25"/>
  <c r="BO38" i="25"/>
  <c r="BF38" i="25"/>
  <c r="BG38" i="25" s="1"/>
  <c r="BI38" i="25" s="1"/>
  <c r="BJ38" i="25" s="1"/>
  <c r="BK38" i="25" s="1"/>
  <c r="BM38" i="25"/>
  <c r="BI29" i="25"/>
  <c r="BJ29" i="25" s="1"/>
  <c r="BK29" i="25" s="1"/>
  <c r="BS2" i="25"/>
  <c r="BI47" i="25"/>
  <c r="BJ47" i="25" s="1"/>
  <c r="BK47" i="25" s="1"/>
  <c r="BI46" i="25"/>
  <c r="BJ46" i="25" s="1"/>
  <c r="BK46" i="25" s="1"/>
  <c r="BI11" i="25"/>
  <c r="BJ11" i="25" s="1"/>
  <c r="BK11" i="25" s="1"/>
  <c r="BI10" i="25"/>
  <c r="BJ10" i="25" s="1"/>
  <c r="BK10" i="25" s="1"/>
  <c r="BI9" i="25"/>
  <c r="BJ9" i="25" s="1"/>
  <c r="BK9" i="25" s="1"/>
  <c r="BL40" i="25"/>
  <c r="BM40" i="25"/>
  <c r="BO40" i="25"/>
  <c r="BF40" i="25"/>
  <c r="BG40" i="25" s="1"/>
  <c r="BI40" i="25" s="1"/>
  <c r="BJ40" i="25" s="1"/>
  <c r="BK40" i="25" s="1"/>
  <c r="BL3" i="25"/>
  <c r="BM3" i="25"/>
  <c r="BO3" i="25"/>
  <c r="BF3" i="25"/>
  <c r="BG3" i="25" s="1"/>
  <c r="BI3" i="25" s="1"/>
  <c r="BJ3" i="25" s="1"/>
  <c r="BK3" i="25" s="1"/>
  <c r="BM55" i="25"/>
  <c r="BO55" i="25"/>
  <c r="BF55" i="25"/>
  <c r="BG55" i="25" s="1"/>
  <c r="BI55" i="25" s="1"/>
  <c r="BJ55" i="25" s="1"/>
  <c r="BK55" i="25" s="1"/>
  <c r="BI65" i="25"/>
  <c r="BJ65" i="25" s="1"/>
  <c r="BK65" i="25" s="1"/>
  <c r="BO54" i="25"/>
  <c r="BF54" i="25"/>
  <c r="BG54" i="25" s="1"/>
  <c r="BI54" i="25" s="1"/>
  <c r="BJ54" i="25" s="1"/>
  <c r="BK54" i="25" s="1"/>
  <c r="BM54" i="25"/>
  <c r="BO53" i="25"/>
  <c r="BF53" i="25"/>
  <c r="BG53" i="25" s="1"/>
  <c r="BI53" i="25" s="1"/>
  <c r="BJ53" i="25" s="1"/>
  <c r="BK53" i="25" s="1"/>
  <c r="BM53" i="25"/>
  <c r="BO35" i="25"/>
  <c r="BF35" i="25"/>
  <c r="BG35" i="25" s="1"/>
  <c r="BI35" i="25" s="1"/>
  <c r="BJ35" i="25" s="1"/>
  <c r="BK35" i="25" s="1"/>
  <c r="BM35" i="25"/>
  <c r="BO17" i="25"/>
  <c r="BF17" i="25"/>
  <c r="BG17" i="25" s="1"/>
  <c r="BI17" i="25" s="1"/>
  <c r="BJ17" i="25" s="1"/>
  <c r="BK17" i="25" s="1"/>
  <c r="BM17" i="25"/>
  <c r="BO52" i="25"/>
  <c r="BF52" i="25"/>
  <c r="BG52" i="25" s="1"/>
  <c r="BI52" i="25" s="1"/>
  <c r="BJ52" i="25" s="1"/>
  <c r="BK52" i="25" s="1"/>
  <c r="BM52" i="25"/>
  <c r="BO34" i="25"/>
  <c r="BF34" i="25"/>
  <c r="BG34" i="25" s="1"/>
  <c r="BI34" i="25" s="1"/>
  <c r="BJ34" i="25" s="1"/>
  <c r="BK34" i="25" s="1"/>
  <c r="BM34" i="25"/>
  <c r="BO16" i="25"/>
  <c r="BF16" i="25"/>
  <c r="BG16" i="25" s="1"/>
  <c r="BI16" i="25" s="1"/>
  <c r="BJ16" i="25" s="1"/>
  <c r="BK16" i="25" s="1"/>
  <c r="BM16" i="25"/>
  <c r="BI28" i="25"/>
  <c r="BJ28" i="25" s="1"/>
  <c r="BK28" i="25" s="1"/>
  <c r="BL17" i="25"/>
  <c r="BN35" i="25"/>
  <c r="BP62" i="25"/>
  <c r="BQ62" i="25"/>
  <c r="BS62" i="25"/>
  <c r="BL57" i="25"/>
  <c r="BO57" i="25"/>
  <c r="BF57" i="25"/>
  <c r="BG57" i="25" s="1"/>
  <c r="BI57" i="25" s="1"/>
  <c r="BJ57" i="25" s="1"/>
  <c r="BK57" i="25" s="1"/>
  <c r="BM57" i="25"/>
  <c r="BO18" i="25"/>
  <c r="BF18" i="25"/>
  <c r="BG18" i="25" s="1"/>
  <c r="BI18" i="25" s="1"/>
  <c r="BJ18" i="25" s="1"/>
  <c r="BK18" i="25" s="1"/>
  <c r="BM18" i="25"/>
  <c r="BI63" i="25"/>
  <c r="BJ63" i="25" s="1"/>
  <c r="BK63" i="25" s="1"/>
  <c r="BO51" i="25"/>
  <c r="BF51" i="25"/>
  <c r="BG51" i="25" s="1"/>
  <c r="BI51" i="25" s="1"/>
  <c r="BJ51" i="25" s="1"/>
  <c r="BK51" i="25" s="1"/>
  <c r="BM51" i="25"/>
  <c r="BN51" i="25"/>
  <c r="BO33" i="25"/>
  <c r="BF33" i="25"/>
  <c r="BG33" i="25" s="1"/>
  <c r="BI33" i="25" s="1"/>
  <c r="BJ33" i="25" s="1"/>
  <c r="BK33" i="25" s="1"/>
  <c r="BM33" i="25"/>
  <c r="BN33" i="25"/>
  <c r="BO15" i="25"/>
  <c r="BF15" i="25"/>
  <c r="BG15" i="25" s="1"/>
  <c r="BI15" i="25" s="1"/>
  <c r="BJ15" i="25" s="1"/>
  <c r="BK15" i="25" s="1"/>
  <c r="BN15" i="25"/>
  <c r="BM15" i="25"/>
  <c r="BI27" i="25"/>
  <c r="BJ27" i="25" s="1"/>
  <c r="BK27" i="25" s="1"/>
  <c r="BL16" i="25"/>
  <c r="BN34" i="25"/>
  <c r="BI45" i="25"/>
  <c r="BJ45" i="25" s="1"/>
  <c r="BK45" i="25" s="1"/>
  <c r="BL22" i="25"/>
  <c r="BM22" i="25"/>
  <c r="BO22" i="25"/>
  <c r="BF22" i="25"/>
  <c r="BG22" i="25" s="1"/>
  <c r="BI22" i="25" s="1"/>
  <c r="BJ22" i="25" s="1"/>
  <c r="BK22" i="25" s="1"/>
  <c r="BN40" i="25"/>
  <c r="BO56" i="25"/>
  <c r="BF56" i="25"/>
  <c r="BG56" i="25" s="1"/>
  <c r="BI56" i="25" s="1"/>
  <c r="BJ56" i="25" s="1"/>
  <c r="BK56" i="25" s="1"/>
  <c r="BM56" i="25"/>
  <c r="BO37" i="25"/>
  <c r="BF37" i="25"/>
  <c r="BG37" i="25" s="1"/>
  <c r="BI37" i="25" s="1"/>
  <c r="BJ37" i="25" s="1"/>
  <c r="BK37" i="25" s="1"/>
  <c r="BM37" i="25"/>
  <c r="BO36" i="25"/>
  <c r="BF36" i="25"/>
  <c r="BG36" i="25" s="1"/>
  <c r="BI36" i="25" s="1"/>
  <c r="BJ36" i="25" s="1"/>
  <c r="BK36" i="25" s="1"/>
  <c r="BM36" i="25"/>
  <c r="BL37" i="25"/>
  <c r="BN21" i="25"/>
  <c r="BR2" i="25"/>
  <c r="BP2" i="25"/>
  <c r="BQ26" i="25"/>
  <c r="BS26" i="25"/>
  <c r="BM4" i="25"/>
  <c r="BL4" i="25"/>
  <c r="BO4" i="25"/>
  <c r="BF4" i="25"/>
  <c r="BG4" i="25" s="1"/>
  <c r="BI4" i="25" s="1"/>
  <c r="BJ4" i="25" s="1"/>
  <c r="BK4" i="25" s="1"/>
  <c r="BL39" i="25"/>
  <c r="BM39" i="25"/>
  <c r="BO39" i="25"/>
  <c r="BF39" i="25"/>
  <c r="BG39" i="25" s="1"/>
  <c r="BI39" i="25" s="1"/>
  <c r="BJ39" i="25" s="1"/>
  <c r="BK39" i="25" s="1"/>
  <c r="BO20" i="25"/>
  <c r="BF20" i="25"/>
  <c r="BG20" i="25" s="1"/>
  <c r="BI20" i="25" s="1"/>
  <c r="BJ20" i="25" s="1"/>
  <c r="BK20" i="25" s="1"/>
  <c r="BM20" i="25"/>
  <c r="BM19" i="25"/>
  <c r="BO19" i="25"/>
  <c r="BF19" i="25"/>
  <c r="BG19" i="25" s="1"/>
  <c r="BI19" i="25" s="1"/>
  <c r="BJ19" i="25" s="1"/>
  <c r="BK19" i="25" s="1"/>
  <c r="BN38" i="25"/>
  <c r="BI64" i="25"/>
  <c r="BJ64" i="25" s="1"/>
  <c r="BK64" i="25" s="1"/>
  <c r="BL38" i="25"/>
  <c r="BN22" i="25"/>
  <c r="BI50" i="25"/>
  <c r="BJ50" i="25" s="1"/>
  <c r="BK50" i="25" s="1"/>
  <c r="BL36" i="25"/>
  <c r="BN20" i="25"/>
  <c r="BR26" i="25"/>
  <c r="BN32" i="25"/>
  <c r="BL62" i="25"/>
  <c r="BL44" i="25"/>
  <c r="BP44" i="25" s="1"/>
  <c r="BL26" i="25"/>
  <c r="BP26" i="25" s="1"/>
  <c r="BL8" i="25"/>
  <c r="BP8" i="25" s="1"/>
  <c r="BN49" i="25"/>
  <c r="BR49" i="25" s="1"/>
  <c r="BL61" i="25"/>
  <c r="BL43" i="25"/>
  <c r="BL25" i="25"/>
  <c r="BL7" i="25"/>
  <c r="BN50" i="25"/>
  <c r="BN31" i="25"/>
  <c r="BR31" i="25" s="1"/>
  <c r="BL60" i="25"/>
  <c r="BP60" i="25" s="1"/>
  <c r="BL42" i="25"/>
  <c r="BL24" i="25"/>
  <c r="BL6" i="25"/>
  <c r="BP6" i="25" s="1"/>
  <c r="BN14" i="25"/>
  <c r="BN13" i="25"/>
  <c r="BR13" i="25" s="1"/>
  <c r="T5" i="37"/>
  <c r="V3" i="37" s="1"/>
  <c r="V10" i="37" s="1"/>
  <c r="BQ35" i="25" l="1"/>
  <c r="BP35" i="25"/>
  <c r="BR35" i="25"/>
  <c r="BS35" i="25"/>
  <c r="BS37" i="25"/>
  <c r="BQ37" i="25"/>
  <c r="BR37" i="25"/>
  <c r="BP37" i="25"/>
  <c r="BR47" i="25"/>
  <c r="BP47" i="25"/>
  <c r="BS47" i="25"/>
  <c r="BQ47" i="25"/>
  <c r="BR50" i="25"/>
  <c r="BP50" i="25"/>
  <c r="BS50" i="25"/>
  <c r="BQ50" i="25"/>
  <c r="BS22" i="25"/>
  <c r="BQ22" i="25"/>
  <c r="BP22" i="25"/>
  <c r="BR22" i="25"/>
  <c r="BP51" i="25"/>
  <c r="BR51" i="25"/>
  <c r="BQ51" i="25"/>
  <c r="BS51" i="25"/>
  <c r="BR46" i="25"/>
  <c r="BP46" i="25"/>
  <c r="BS46" i="25"/>
  <c r="BQ46" i="25"/>
  <c r="BP34" i="25"/>
  <c r="BR34" i="25"/>
  <c r="BS34" i="25"/>
  <c r="BQ34" i="25"/>
  <c r="BR10" i="25"/>
  <c r="BP10" i="25"/>
  <c r="BS10" i="25"/>
  <c r="BQ10" i="25"/>
  <c r="BS4" i="25"/>
  <c r="BQ4" i="25"/>
  <c r="BR4" i="25"/>
  <c r="BP4" i="25"/>
  <c r="BR29" i="25"/>
  <c r="BP29" i="25"/>
  <c r="BS29" i="25"/>
  <c r="BQ29" i="25"/>
  <c r="BP52" i="25"/>
  <c r="BR52" i="25"/>
  <c r="BQ52" i="25"/>
  <c r="BS52" i="25"/>
  <c r="BS3" i="25"/>
  <c r="BQ3" i="25"/>
  <c r="BP3" i="25"/>
  <c r="BR3" i="25"/>
  <c r="BQ53" i="25"/>
  <c r="BP53" i="25"/>
  <c r="BR53" i="25"/>
  <c r="BS53" i="25"/>
  <c r="BP16" i="25"/>
  <c r="BR16" i="25"/>
  <c r="BQ16" i="25"/>
  <c r="BS16" i="25"/>
  <c r="BR63" i="25"/>
  <c r="BP63" i="25"/>
  <c r="BS63" i="25"/>
  <c r="BQ63" i="25"/>
  <c r="BR64" i="25"/>
  <c r="BP64" i="25"/>
  <c r="BS64" i="25"/>
  <c r="BQ64" i="25"/>
  <c r="BR45" i="25"/>
  <c r="BP45" i="25"/>
  <c r="BS45" i="25"/>
  <c r="BQ45" i="25"/>
  <c r="BS19" i="25"/>
  <c r="BQ19" i="25"/>
  <c r="BR19" i="25"/>
  <c r="BP19" i="25"/>
  <c r="BR9" i="25"/>
  <c r="BP9" i="25"/>
  <c r="BQ9" i="25"/>
  <c r="BS9" i="25"/>
  <c r="BP33" i="25"/>
  <c r="BR33" i="25"/>
  <c r="BQ33" i="25"/>
  <c r="BS33" i="25"/>
  <c r="BR28" i="25"/>
  <c r="BP28" i="25"/>
  <c r="BS28" i="25"/>
  <c r="BQ28" i="25"/>
  <c r="BS57" i="25"/>
  <c r="BQ57" i="25"/>
  <c r="BR57" i="25"/>
  <c r="BP57" i="25"/>
  <c r="BQ17" i="25"/>
  <c r="BR17" i="25"/>
  <c r="BP17" i="25"/>
  <c r="BS17" i="25"/>
  <c r="BR11" i="25"/>
  <c r="BS11" i="25"/>
  <c r="BP11" i="25"/>
  <c r="BQ11" i="25"/>
  <c r="BR65" i="25"/>
  <c r="BS65" i="25"/>
  <c r="BP65" i="25"/>
  <c r="BQ65" i="25"/>
  <c r="BS21" i="25"/>
  <c r="BQ21" i="25"/>
  <c r="BP21" i="25"/>
  <c r="BR21" i="25"/>
  <c r="BS20" i="25"/>
  <c r="BQ20" i="25"/>
  <c r="BP20" i="25"/>
  <c r="BR20" i="25"/>
  <c r="BQ36" i="25"/>
  <c r="BR36" i="25"/>
  <c r="BP36" i="25"/>
  <c r="BS36" i="25"/>
  <c r="BS40" i="25"/>
  <c r="BQ40" i="25"/>
  <c r="BP40" i="25"/>
  <c r="BR40" i="25"/>
  <c r="BS58" i="25"/>
  <c r="BQ58" i="25"/>
  <c r="BP58" i="25"/>
  <c r="BR58" i="25"/>
  <c r="BS39" i="25"/>
  <c r="BQ39" i="25"/>
  <c r="BR39" i="25"/>
  <c r="BP39" i="25"/>
  <c r="BS56" i="25"/>
  <c r="BQ56" i="25"/>
  <c r="BR56" i="25"/>
  <c r="BP56" i="25"/>
  <c r="BR54" i="25"/>
  <c r="BQ54" i="25"/>
  <c r="BP54" i="25"/>
  <c r="BS54" i="25"/>
  <c r="BS55" i="25"/>
  <c r="BQ55" i="25"/>
  <c r="BR55" i="25"/>
  <c r="BP55" i="25"/>
  <c r="BS38" i="25"/>
  <c r="BQ38" i="25"/>
  <c r="BR38" i="25"/>
  <c r="BP38" i="25"/>
  <c r="BQ18" i="25"/>
  <c r="BR18" i="25"/>
  <c r="BS18" i="25"/>
  <c r="BP18" i="25"/>
  <c r="BR27" i="25"/>
  <c r="BQ27" i="25"/>
  <c r="BP27" i="25"/>
  <c r="BS27" i="25"/>
  <c r="BR15" i="25"/>
  <c r="BP15" i="25"/>
  <c r="BQ15" i="25"/>
  <c r="BS15" i="25"/>
  <c r="BF3" i="24" l="1"/>
  <c r="BF4" i="24"/>
  <c r="BF5" i="24"/>
  <c r="BF6" i="24"/>
  <c r="BF7" i="24"/>
  <c r="BF8" i="24"/>
  <c r="BF9" i="24"/>
  <c r="BF10" i="24"/>
  <c r="BF11" i="24"/>
  <c r="BF12" i="24"/>
  <c r="BF13" i="24"/>
  <c r="BF14" i="24"/>
  <c r="BF15" i="24"/>
  <c r="BF16" i="24"/>
  <c r="BF17" i="24"/>
  <c r="BF18" i="24"/>
  <c r="BF19" i="24"/>
  <c r="BF20" i="24"/>
  <c r="BF21" i="24"/>
  <c r="BF22" i="24"/>
  <c r="BF23" i="24"/>
  <c r="BF24" i="24"/>
  <c r="BF25" i="24"/>
  <c r="BF26" i="24"/>
  <c r="BF27" i="24"/>
  <c r="BF28" i="24"/>
  <c r="BF29" i="24"/>
  <c r="BF30" i="24"/>
  <c r="BF31" i="24"/>
  <c r="BF32" i="24"/>
  <c r="BF33" i="24"/>
  <c r="BF34" i="24"/>
  <c r="BF35" i="24"/>
  <c r="BF36" i="24"/>
  <c r="BF37" i="24"/>
  <c r="BF38" i="24"/>
  <c r="BF39" i="24"/>
  <c r="BF40" i="24"/>
  <c r="BF41" i="24"/>
  <c r="BF42" i="24"/>
  <c r="BF43" i="24"/>
  <c r="BF44" i="24"/>
  <c r="BF45" i="24"/>
  <c r="BF46" i="24"/>
  <c r="BF47" i="24"/>
  <c r="BF48" i="24"/>
  <c r="BF49" i="24"/>
  <c r="BF50" i="24"/>
  <c r="BF51" i="24"/>
  <c r="BF52" i="24"/>
  <c r="BF53" i="24"/>
  <c r="BF54" i="24"/>
  <c r="BF55" i="24"/>
  <c r="BF56" i="24"/>
  <c r="BF57" i="24"/>
  <c r="BF58" i="24"/>
  <c r="BF59" i="24"/>
  <c r="BF60" i="24"/>
  <c r="BF61" i="24"/>
  <c r="BF62" i="24"/>
  <c r="BF63" i="24"/>
  <c r="BF64" i="24"/>
  <c r="BF65" i="24"/>
  <c r="BF2" i="24"/>
  <c r="BE30" i="24"/>
  <c r="BE31" i="24"/>
  <c r="BE32" i="24"/>
  <c r="BG32" i="24" s="1"/>
  <c r="BH32" i="24" s="1"/>
  <c r="BI32" i="24" s="1"/>
  <c r="BD3" i="24"/>
  <c r="BE3" i="24" s="1"/>
  <c r="BD4" i="24"/>
  <c r="BD5" i="24"/>
  <c r="BE5" i="24" s="1"/>
  <c r="BD6" i="24"/>
  <c r="BE6" i="24" s="1"/>
  <c r="BG6" i="24" s="1"/>
  <c r="BH6" i="24" s="1"/>
  <c r="BI6" i="24" s="1"/>
  <c r="BD7" i="24"/>
  <c r="BE7" i="24" s="1"/>
  <c r="BG7" i="24" s="1"/>
  <c r="BH7" i="24" s="1"/>
  <c r="BI7" i="24" s="1"/>
  <c r="BD8" i="24"/>
  <c r="BE8" i="24" s="1"/>
  <c r="BG8" i="24" s="1"/>
  <c r="BH8" i="24" s="1"/>
  <c r="BI8" i="24" s="1"/>
  <c r="BD9" i="24"/>
  <c r="BE9" i="24" s="1"/>
  <c r="BD10" i="24"/>
  <c r="BE10" i="24" s="1"/>
  <c r="BD11" i="24"/>
  <c r="BE11" i="24" s="1"/>
  <c r="BG11" i="24" s="1"/>
  <c r="BH11" i="24" s="1"/>
  <c r="BI11" i="24" s="1"/>
  <c r="BD12" i="24"/>
  <c r="BE12" i="24" s="1"/>
  <c r="BG12" i="24" s="1"/>
  <c r="BH12" i="24" s="1"/>
  <c r="BI12" i="24" s="1"/>
  <c r="BD13" i="24"/>
  <c r="BE13" i="24" s="1"/>
  <c r="BG13" i="24" s="1"/>
  <c r="BH13" i="24" s="1"/>
  <c r="BI13" i="24" s="1"/>
  <c r="BD14" i="24"/>
  <c r="BE14" i="24" s="1"/>
  <c r="BG14" i="24" s="1"/>
  <c r="BH14" i="24" s="1"/>
  <c r="BI14" i="24" s="1"/>
  <c r="BD15" i="24"/>
  <c r="BE15" i="24" s="1"/>
  <c r="BG15" i="24" s="1"/>
  <c r="BH15" i="24" s="1"/>
  <c r="BI15" i="24" s="1"/>
  <c r="BD16" i="24"/>
  <c r="BD17" i="24"/>
  <c r="BD18" i="24"/>
  <c r="BD19" i="24"/>
  <c r="BD20" i="24"/>
  <c r="BE20" i="24" s="1"/>
  <c r="BD21" i="24"/>
  <c r="BE21" i="24" s="1"/>
  <c r="BD22" i="24"/>
  <c r="BD23" i="24"/>
  <c r="BD24" i="24"/>
  <c r="BE24" i="24" s="1"/>
  <c r="BG24" i="24" s="1"/>
  <c r="BH24" i="24" s="1"/>
  <c r="BI24" i="24" s="1"/>
  <c r="BD25" i="24"/>
  <c r="BE25" i="24" s="1"/>
  <c r="BG25" i="24" s="1"/>
  <c r="BH25" i="24" s="1"/>
  <c r="BI25" i="24" s="1"/>
  <c r="BD26" i="24"/>
  <c r="BE26" i="24" s="1"/>
  <c r="BG26" i="24" s="1"/>
  <c r="BH26" i="24" s="1"/>
  <c r="BI26" i="24" s="1"/>
  <c r="BD27" i="24"/>
  <c r="BE27" i="24" s="1"/>
  <c r="BD28" i="24"/>
  <c r="BE28" i="24" s="1"/>
  <c r="BD29" i="24"/>
  <c r="BE29" i="24" s="1"/>
  <c r="BD30" i="24"/>
  <c r="BD31" i="24"/>
  <c r="BD32" i="24"/>
  <c r="BD33" i="24"/>
  <c r="BE33" i="24" s="1"/>
  <c r="BG33" i="24" s="1"/>
  <c r="BH33" i="24" s="1"/>
  <c r="BI33" i="24" s="1"/>
  <c r="BD34" i="24"/>
  <c r="BD35" i="24"/>
  <c r="BD36" i="24"/>
  <c r="BD37" i="24"/>
  <c r="BD38" i="24"/>
  <c r="BE38" i="24" s="1"/>
  <c r="BD39" i="24"/>
  <c r="BE39" i="24" s="1"/>
  <c r="BD40" i="24"/>
  <c r="BD41" i="24"/>
  <c r="BE41" i="24" s="1"/>
  <c r="BD42" i="24"/>
  <c r="BE42" i="24" s="1"/>
  <c r="BG42" i="24" s="1"/>
  <c r="BH42" i="24" s="1"/>
  <c r="BI42" i="24" s="1"/>
  <c r="BD43" i="24"/>
  <c r="BE43" i="24" s="1"/>
  <c r="BG43" i="24" s="1"/>
  <c r="BH43" i="24" s="1"/>
  <c r="BI43" i="24" s="1"/>
  <c r="BD44" i="24"/>
  <c r="BE44" i="24" s="1"/>
  <c r="BG44" i="24" s="1"/>
  <c r="BH44" i="24" s="1"/>
  <c r="BI44" i="24" s="1"/>
  <c r="BD45" i="24"/>
  <c r="BE45" i="24" s="1"/>
  <c r="BD46" i="24"/>
  <c r="BE46" i="24" s="1"/>
  <c r="BD47" i="24"/>
  <c r="BE47" i="24" s="1"/>
  <c r="BG47" i="24" s="1"/>
  <c r="BH47" i="24" s="1"/>
  <c r="BI47" i="24" s="1"/>
  <c r="BD48" i="24"/>
  <c r="BE48" i="24" s="1"/>
  <c r="BG48" i="24" s="1"/>
  <c r="BH48" i="24" s="1"/>
  <c r="BI48" i="24" s="1"/>
  <c r="BD49" i="24"/>
  <c r="BE49" i="24" s="1"/>
  <c r="BG49" i="24" s="1"/>
  <c r="BH49" i="24" s="1"/>
  <c r="BI49" i="24" s="1"/>
  <c r="BD50" i="24"/>
  <c r="BE50" i="24" s="1"/>
  <c r="BG50" i="24" s="1"/>
  <c r="BH50" i="24" s="1"/>
  <c r="BI50" i="24" s="1"/>
  <c r="BD51" i="24"/>
  <c r="BE51" i="24" s="1"/>
  <c r="BG51" i="24" s="1"/>
  <c r="BH51" i="24" s="1"/>
  <c r="BI51" i="24" s="1"/>
  <c r="BD52" i="24"/>
  <c r="BD53" i="24"/>
  <c r="BD54" i="24"/>
  <c r="BE54" i="24" s="1"/>
  <c r="BD55" i="24"/>
  <c r="BD56" i="24"/>
  <c r="BD57" i="24"/>
  <c r="BD58" i="24"/>
  <c r="BD59" i="24"/>
  <c r="BE59" i="24" s="1"/>
  <c r="BD60" i="24"/>
  <c r="BE60" i="24" s="1"/>
  <c r="BG60" i="24" s="1"/>
  <c r="BH60" i="24" s="1"/>
  <c r="BI60" i="24" s="1"/>
  <c r="BD61" i="24"/>
  <c r="BE61" i="24" s="1"/>
  <c r="BG61" i="24" s="1"/>
  <c r="BH61" i="24" s="1"/>
  <c r="BI61" i="24" s="1"/>
  <c r="BD62" i="24"/>
  <c r="BE62" i="24" s="1"/>
  <c r="BG62" i="24" s="1"/>
  <c r="BH62" i="24" s="1"/>
  <c r="BI62" i="24" s="1"/>
  <c r="BD63" i="24"/>
  <c r="BE63" i="24" s="1"/>
  <c r="BD64" i="24"/>
  <c r="BE64" i="24" s="1"/>
  <c r="BD65" i="24"/>
  <c r="BE65" i="24" s="1"/>
  <c r="BG65" i="24" s="1"/>
  <c r="BH65" i="24" s="1"/>
  <c r="BI65" i="24" s="1"/>
  <c r="BD2" i="24"/>
  <c r="BE2" i="24" s="1"/>
  <c r="BG2" i="24" s="1"/>
  <c r="BH2" i="24" s="1"/>
  <c r="BI2" i="24" s="1"/>
  <c r="AV3" i="24"/>
  <c r="AV4" i="24"/>
  <c r="AV5" i="24"/>
  <c r="AV6" i="24"/>
  <c r="AV7" i="24"/>
  <c r="AV8" i="24"/>
  <c r="AV9" i="24"/>
  <c r="AV10" i="24"/>
  <c r="AV11" i="24"/>
  <c r="AV12" i="24"/>
  <c r="AV13" i="24"/>
  <c r="AV14" i="24"/>
  <c r="AV15" i="24"/>
  <c r="AV16" i="24"/>
  <c r="AV17" i="24"/>
  <c r="AV18" i="24"/>
  <c r="AV19" i="24"/>
  <c r="AV20" i="24"/>
  <c r="AV21" i="24"/>
  <c r="AV22" i="24"/>
  <c r="AV23" i="24"/>
  <c r="AV24" i="24"/>
  <c r="AV25" i="24"/>
  <c r="AV26" i="24"/>
  <c r="AV27" i="24"/>
  <c r="AV28" i="24"/>
  <c r="AV29" i="24"/>
  <c r="AV30" i="24"/>
  <c r="AV31" i="24"/>
  <c r="AV32" i="24"/>
  <c r="AV33" i="24"/>
  <c r="AV34" i="24"/>
  <c r="AV35" i="24"/>
  <c r="AV36" i="24"/>
  <c r="AV37" i="24"/>
  <c r="AV38" i="24"/>
  <c r="AV39" i="24"/>
  <c r="AV40" i="24"/>
  <c r="AV41" i="24"/>
  <c r="AV42" i="24"/>
  <c r="AV43" i="24"/>
  <c r="AV44" i="24"/>
  <c r="AV45" i="24"/>
  <c r="AV46" i="24"/>
  <c r="AV47" i="24"/>
  <c r="AV48" i="24"/>
  <c r="AV49" i="24"/>
  <c r="AV50" i="24"/>
  <c r="AV51" i="24"/>
  <c r="AV52" i="24"/>
  <c r="AV53" i="24"/>
  <c r="AV54" i="24"/>
  <c r="AV55" i="24"/>
  <c r="AV56" i="24"/>
  <c r="AV57" i="24"/>
  <c r="AV58" i="24"/>
  <c r="AV59" i="24"/>
  <c r="AV60" i="24"/>
  <c r="AV61" i="24"/>
  <c r="AV62" i="24"/>
  <c r="AV63" i="24"/>
  <c r="AV64" i="24"/>
  <c r="AV65" i="24"/>
  <c r="AV2" i="24"/>
  <c r="AS3" i="24"/>
  <c r="AS4" i="24"/>
  <c r="AS5" i="24"/>
  <c r="AS6" i="24"/>
  <c r="AS7" i="24"/>
  <c r="AS8" i="24"/>
  <c r="AS9" i="24"/>
  <c r="AS10" i="24"/>
  <c r="AS11" i="24"/>
  <c r="AS12" i="24"/>
  <c r="AS13" i="24"/>
  <c r="AS14" i="24"/>
  <c r="AS15" i="24"/>
  <c r="AS16" i="24"/>
  <c r="AS17" i="24"/>
  <c r="AS18" i="24"/>
  <c r="AS19" i="24"/>
  <c r="AS20" i="24"/>
  <c r="AS21" i="24"/>
  <c r="AS22" i="24"/>
  <c r="AS23" i="24"/>
  <c r="AS24" i="24"/>
  <c r="AS25" i="24"/>
  <c r="AS26" i="24"/>
  <c r="AS27" i="24"/>
  <c r="AS28" i="24"/>
  <c r="AS29" i="24"/>
  <c r="AS30" i="24"/>
  <c r="AS31" i="24"/>
  <c r="AS32" i="24"/>
  <c r="AS33" i="24"/>
  <c r="AS34" i="24"/>
  <c r="AS35" i="24"/>
  <c r="AS36" i="24"/>
  <c r="AS37" i="24"/>
  <c r="AS38" i="24"/>
  <c r="AS39" i="24"/>
  <c r="AS40" i="24"/>
  <c r="AS41" i="24"/>
  <c r="AS42" i="24"/>
  <c r="AS43" i="24"/>
  <c r="AS44" i="24"/>
  <c r="AS45" i="24"/>
  <c r="AS46" i="24"/>
  <c r="AS47" i="24"/>
  <c r="AS48" i="24"/>
  <c r="AS49" i="24"/>
  <c r="AS50" i="24"/>
  <c r="AS51" i="24"/>
  <c r="AS52" i="24"/>
  <c r="AS53" i="24"/>
  <c r="AS54" i="24"/>
  <c r="AS55" i="24"/>
  <c r="AS56" i="24"/>
  <c r="AS57" i="24"/>
  <c r="AS58" i="24"/>
  <c r="AS59" i="24"/>
  <c r="AS60" i="24"/>
  <c r="AS61" i="24"/>
  <c r="AS62" i="24"/>
  <c r="AS63" i="24"/>
  <c r="AS64" i="24"/>
  <c r="AS65" i="24"/>
  <c r="AS2" i="24"/>
  <c r="BG29" i="24" l="1"/>
  <c r="BH29" i="24" s="1"/>
  <c r="BI29" i="24" s="1"/>
  <c r="BG64" i="24"/>
  <c r="BH64" i="24" s="1"/>
  <c r="BI64" i="24" s="1"/>
  <c r="BG46" i="24"/>
  <c r="BH46" i="24" s="1"/>
  <c r="BI46" i="24" s="1"/>
  <c r="BG28" i="24"/>
  <c r="BH28" i="24" s="1"/>
  <c r="BI28" i="24" s="1"/>
  <c r="BG10" i="24"/>
  <c r="BH10" i="24" s="1"/>
  <c r="BI10" i="24" s="1"/>
  <c r="BG63" i="24"/>
  <c r="BH63" i="24" s="1"/>
  <c r="BI63" i="24" s="1"/>
  <c r="BN63" i="24" s="1"/>
  <c r="BG45" i="24"/>
  <c r="BH45" i="24" s="1"/>
  <c r="BI45" i="24" s="1"/>
  <c r="BG27" i="24"/>
  <c r="BH27" i="24" s="1"/>
  <c r="BI27" i="24" s="1"/>
  <c r="BG9" i="24"/>
  <c r="BH9" i="24" s="1"/>
  <c r="BI9" i="24" s="1"/>
  <c r="BG5" i="24"/>
  <c r="BH5" i="24" s="1"/>
  <c r="BI5" i="24" s="1"/>
  <c r="BG59" i="24"/>
  <c r="BH59" i="24" s="1"/>
  <c r="BI59" i="24" s="1"/>
  <c r="BN59" i="24" s="1"/>
  <c r="BG41" i="24"/>
  <c r="BH41" i="24" s="1"/>
  <c r="BI41" i="24" s="1"/>
  <c r="BG39" i="24"/>
  <c r="BH39" i="24" s="1"/>
  <c r="BI39" i="24" s="1"/>
  <c r="BG21" i="24"/>
  <c r="BH21" i="24" s="1"/>
  <c r="BI21" i="24" s="1"/>
  <c r="BP21" i="24" s="1"/>
  <c r="BG3" i="24"/>
  <c r="BH3" i="24" s="1"/>
  <c r="BI3" i="24" s="1"/>
  <c r="BP3" i="24" s="1"/>
  <c r="BG31" i="24"/>
  <c r="BH31" i="24" s="1"/>
  <c r="BI31" i="24" s="1"/>
  <c r="BO31" i="24" s="1"/>
  <c r="BG54" i="24"/>
  <c r="BH54" i="24" s="1"/>
  <c r="BI54" i="24" s="1"/>
  <c r="BG20" i="24"/>
  <c r="BH20" i="24" s="1"/>
  <c r="BI20" i="24" s="1"/>
  <c r="BO20" i="24" s="1"/>
  <c r="BG38" i="24"/>
  <c r="BH38" i="24" s="1"/>
  <c r="BI38" i="24" s="1"/>
  <c r="BG30" i="24"/>
  <c r="BH30" i="24" s="1"/>
  <c r="BI30" i="24" s="1"/>
  <c r="BP47" i="24"/>
  <c r="BQ13" i="24"/>
  <c r="BN12" i="24"/>
  <c r="BO21" i="24"/>
  <c r="BQ21" i="24"/>
  <c r="BO60" i="24"/>
  <c r="BQ11" i="24"/>
  <c r="BQ63" i="24"/>
  <c r="BK23" i="24"/>
  <c r="BM23" i="24"/>
  <c r="BL23" i="24"/>
  <c r="BJ23" i="24"/>
  <c r="BK56" i="24"/>
  <c r="BL56" i="24"/>
  <c r="BM56" i="24"/>
  <c r="BJ56" i="24"/>
  <c r="BL19" i="24"/>
  <c r="BM19" i="24"/>
  <c r="BJ19" i="24"/>
  <c r="BK19" i="24"/>
  <c r="BJ53" i="24"/>
  <c r="BL53" i="24"/>
  <c r="BM53" i="24"/>
  <c r="BK53" i="24"/>
  <c r="BJ35" i="24"/>
  <c r="BL35" i="24"/>
  <c r="BM35" i="24"/>
  <c r="BK35" i="24"/>
  <c r="BL17" i="24"/>
  <c r="BJ17" i="24"/>
  <c r="BK17" i="24"/>
  <c r="BM17" i="24"/>
  <c r="BL52" i="24"/>
  <c r="BJ52" i="24"/>
  <c r="BM52" i="24"/>
  <c r="BK52" i="24"/>
  <c r="BL34" i="24"/>
  <c r="BJ34" i="24"/>
  <c r="BK34" i="24"/>
  <c r="BM34" i="24"/>
  <c r="BL16" i="24"/>
  <c r="BJ16" i="24"/>
  <c r="BK16" i="24"/>
  <c r="BM16" i="24"/>
  <c r="BL58" i="24"/>
  <c r="BK58" i="24"/>
  <c r="BM58" i="24"/>
  <c r="BJ58" i="24"/>
  <c r="BK57" i="24"/>
  <c r="BL57" i="24"/>
  <c r="BM57" i="24"/>
  <c r="BJ57" i="24"/>
  <c r="BL55" i="24"/>
  <c r="BJ55" i="24"/>
  <c r="BM55" i="24"/>
  <c r="BK55" i="24"/>
  <c r="BL36" i="24"/>
  <c r="BK36" i="24"/>
  <c r="BJ36" i="24"/>
  <c r="BM36" i="24"/>
  <c r="BL32" i="24"/>
  <c r="BP32" i="24" s="1"/>
  <c r="BJ32" i="24"/>
  <c r="BN32" i="24" s="1"/>
  <c r="BK32" i="24"/>
  <c r="BO32" i="24" s="1"/>
  <c r="BM32" i="24"/>
  <c r="BQ32" i="24" s="1"/>
  <c r="BL13" i="24"/>
  <c r="BP13" i="24" s="1"/>
  <c r="BJ13" i="24"/>
  <c r="BN13" i="24" s="1"/>
  <c r="BK13" i="24"/>
  <c r="BO13" i="24" s="1"/>
  <c r="BM13" i="24"/>
  <c r="BE23" i="24"/>
  <c r="BG23" i="24" s="1"/>
  <c r="BH23" i="24" s="1"/>
  <c r="BI23" i="24" s="1"/>
  <c r="BJ12" i="24"/>
  <c r="BK12" i="24"/>
  <c r="BO12" i="24" s="1"/>
  <c r="BM12" i="24"/>
  <c r="BQ12" i="24" s="1"/>
  <c r="BL12" i="24"/>
  <c r="BP12" i="24" s="1"/>
  <c r="BJ47" i="24"/>
  <c r="BN47" i="24" s="1"/>
  <c r="BK47" i="24"/>
  <c r="BO47" i="24" s="1"/>
  <c r="BM47" i="24"/>
  <c r="BQ47" i="24" s="1"/>
  <c r="BL47" i="24"/>
  <c r="BJ29" i="24"/>
  <c r="BN29" i="24" s="1"/>
  <c r="BK29" i="24"/>
  <c r="BO29" i="24" s="1"/>
  <c r="BM29" i="24"/>
  <c r="BQ29" i="24" s="1"/>
  <c r="BL29" i="24"/>
  <c r="BP29" i="24" s="1"/>
  <c r="BJ11" i="24"/>
  <c r="BN11" i="24" s="1"/>
  <c r="BK11" i="24"/>
  <c r="BO11" i="24" s="1"/>
  <c r="BM11" i="24"/>
  <c r="BL11" i="24"/>
  <c r="BP11" i="24" s="1"/>
  <c r="BE57" i="24"/>
  <c r="BG57" i="24" s="1"/>
  <c r="BH57" i="24" s="1"/>
  <c r="BI57" i="24" s="1"/>
  <c r="BJ39" i="24"/>
  <c r="BL39" i="24"/>
  <c r="BK39" i="24"/>
  <c r="BM39" i="24"/>
  <c r="BL18" i="24"/>
  <c r="BM18" i="24"/>
  <c r="BK18" i="24"/>
  <c r="BJ18" i="24"/>
  <c r="BL15" i="24"/>
  <c r="BP15" i="24" s="1"/>
  <c r="BJ15" i="24"/>
  <c r="BN15" i="24" s="1"/>
  <c r="BM15" i="24"/>
  <c r="BQ15" i="24" s="1"/>
  <c r="BK15" i="24"/>
  <c r="BO15" i="24" s="1"/>
  <c r="BJ50" i="24"/>
  <c r="BN50" i="24" s="1"/>
  <c r="BL50" i="24"/>
  <c r="BP50" i="24" s="1"/>
  <c r="BK50" i="24"/>
  <c r="BO50" i="24" s="1"/>
  <c r="BM50" i="24"/>
  <c r="BQ50" i="24" s="1"/>
  <c r="BL31" i="24"/>
  <c r="BM31" i="24"/>
  <c r="BJ31" i="24"/>
  <c r="BK31" i="24"/>
  <c r="BE58" i="24"/>
  <c r="BG58" i="24" s="1"/>
  <c r="BH58" i="24" s="1"/>
  <c r="BI58" i="24" s="1"/>
  <c r="BK64" i="24"/>
  <c r="BO64" i="24" s="1"/>
  <c r="BM64" i="24"/>
  <c r="BQ64" i="24" s="1"/>
  <c r="BL64" i="24"/>
  <c r="BP64" i="24" s="1"/>
  <c r="BJ64" i="24"/>
  <c r="BN64" i="24" s="1"/>
  <c r="BK46" i="24"/>
  <c r="BM46" i="24"/>
  <c r="BQ46" i="24" s="1"/>
  <c r="BL46" i="24"/>
  <c r="BJ46" i="24"/>
  <c r="BN46" i="24" s="1"/>
  <c r="BK28" i="24"/>
  <c r="BO28" i="24" s="1"/>
  <c r="BM28" i="24"/>
  <c r="BQ28" i="24" s="1"/>
  <c r="BL28" i="24"/>
  <c r="BP28" i="24" s="1"/>
  <c r="BJ28" i="24"/>
  <c r="BN28" i="24" s="1"/>
  <c r="BK10" i="24"/>
  <c r="BO10" i="24" s="1"/>
  <c r="BM10" i="24"/>
  <c r="BQ10" i="24" s="1"/>
  <c r="BJ10" i="24"/>
  <c r="BN10" i="24" s="1"/>
  <c r="BL10" i="24"/>
  <c r="BP10" i="24" s="1"/>
  <c r="BE56" i="24"/>
  <c r="BG56" i="24" s="1"/>
  <c r="BH56" i="24" s="1"/>
  <c r="BI56" i="24" s="1"/>
  <c r="BJ41" i="24"/>
  <c r="BN41" i="24" s="1"/>
  <c r="BL41" i="24"/>
  <c r="BM41" i="24"/>
  <c r="BK41" i="24"/>
  <c r="BJ40" i="24"/>
  <c r="BM40" i="24"/>
  <c r="BL40" i="24"/>
  <c r="BK40" i="24"/>
  <c r="BJ38" i="24"/>
  <c r="BL38" i="24"/>
  <c r="BP38" i="24" s="1"/>
  <c r="BK38" i="24"/>
  <c r="BO38" i="24" s="1"/>
  <c r="BM38" i="24"/>
  <c r="BQ38" i="24" s="1"/>
  <c r="BL37" i="24"/>
  <c r="BJ37" i="24"/>
  <c r="BK37" i="24"/>
  <c r="BM37" i="24"/>
  <c r="BL33" i="24"/>
  <c r="BP33" i="24" s="1"/>
  <c r="BJ33" i="24"/>
  <c r="BN33" i="24" s="1"/>
  <c r="BK33" i="24"/>
  <c r="BO33" i="24" s="1"/>
  <c r="BM33" i="24"/>
  <c r="BQ33" i="24" s="1"/>
  <c r="BE40" i="24"/>
  <c r="BG40" i="24" s="1"/>
  <c r="BH40" i="24" s="1"/>
  <c r="BI40" i="24" s="1"/>
  <c r="BK63" i="24"/>
  <c r="BO63" i="24" s="1"/>
  <c r="BM63" i="24"/>
  <c r="BL63" i="24"/>
  <c r="BP63" i="24" s="1"/>
  <c r="BJ63" i="24"/>
  <c r="BK45" i="24"/>
  <c r="BO45" i="24" s="1"/>
  <c r="BM45" i="24"/>
  <c r="BQ45" i="24" s="1"/>
  <c r="BL45" i="24"/>
  <c r="BP45" i="24" s="1"/>
  <c r="BJ45" i="24"/>
  <c r="BN45" i="24" s="1"/>
  <c r="BM27" i="24"/>
  <c r="BQ27" i="24" s="1"/>
  <c r="BK27" i="24"/>
  <c r="BO27" i="24" s="1"/>
  <c r="BL27" i="24"/>
  <c r="BP27" i="24" s="1"/>
  <c r="BJ27" i="24"/>
  <c r="BN27" i="24" s="1"/>
  <c r="BK9" i="24"/>
  <c r="BM9" i="24"/>
  <c r="BJ9" i="24"/>
  <c r="BN9" i="24" s="1"/>
  <c r="BL9" i="24"/>
  <c r="BP9" i="24" s="1"/>
  <c r="BE55" i="24"/>
  <c r="BG55" i="24" s="1"/>
  <c r="BH55" i="24" s="1"/>
  <c r="BI55" i="24" s="1"/>
  <c r="BE37" i="24"/>
  <c r="BG37" i="24" s="1"/>
  <c r="BH37" i="24" s="1"/>
  <c r="BI37" i="24" s="1"/>
  <c r="BE19" i="24"/>
  <c r="BG19" i="24" s="1"/>
  <c r="BH19" i="24" s="1"/>
  <c r="BI19" i="24" s="1"/>
  <c r="BK4" i="24"/>
  <c r="BL4" i="24"/>
  <c r="BJ4" i="24"/>
  <c r="BM4" i="24"/>
  <c r="BL21" i="24"/>
  <c r="BM21" i="24"/>
  <c r="BK21" i="24"/>
  <c r="BJ21" i="24"/>
  <c r="BN21" i="24" s="1"/>
  <c r="BL51" i="24"/>
  <c r="BP51" i="24" s="1"/>
  <c r="BJ51" i="24"/>
  <c r="BN51" i="24" s="1"/>
  <c r="BM51" i="24"/>
  <c r="BQ51" i="24" s="1"/>
  <c r="BK51" i="24"/>
  <c r="BO51" i="24" s="1"/>
  <c r="BJ30" i="24"/>
  <c r="BN30" i="24" s="1"/>
  <c r="BK30" i="24"/>
  <c r="BM30" i="24"/>
  <c r="BL30" i="24"/>
  <c r="BE4" i="24"/>
  <c r="BG4" i="24" s="1"/>
  <c r="BH4" i="24" s="1"/>
  <c r="BI4" i="24" s="1"/>
  <c r="BJ65" i="24"/>
  <c r="BN65" i="24" s="1"/>
  <c r="BK65" i="24"/>
  <c r="BO65" i="24" s="1"/>
  <c r="BM65" i="24"/>
  <c r="BQ65" i="24" s="1"/>
  <c r="BL65" i="24"/>
  <c r="BP65" i="24" s="1"/>
  <c r="BM62" i="24"/>
  <c r="BQ62" i="24" s="1"/>
  <c r="BL62" i="24"/>
  <c r="BP62" i="24" s="1"/>
  <c r="BK62" i="24"/>
  <c r="BO62" i="24" s="1"/>
  <c r="BJ62" i="24"/>
  <c r="BN62" i="24" s="1"/>
  <c r="BK44" i="24"/>
  <c r="BO44" i="24" s="1"/>
  <c r="BM44" i="24"/>
  <c r="BQ44" i="24" s="1"/>
  <c r="BJ44" i="24"/>
  <c r="BN44" i="24" s="1"/>
  <c r="BL44" i="24"/>
  <c r="BP44" i="24" s="1"/>
  <c r="BK26" i="24"/>
  <c r="BO26" i="24" s="1"/>
  <c r="BM26" i="24"/>
  <c r="BQ26" i="24" s="1"/>
  <c r="BL26" i="24"/>
  <c r="BP26" i="24" s="1"/>
  <c r="BJ26" i="24"/>
  <c r="BN26" i="24" s="1"/>
  <c r="BK8" i="24"/>
  <c r="BO8" i="24" s="1"/>
  <c r="BM8" i="24"/>
  <c r="BQ8" i="24" s="1"/>
  <c r="BJ8" i="24"/>
  <c r="BN8" i="24" s="1"/>
  <c r="BL8" i="24"/>
  <c r="BP8" i="24" s="1"/>
  <c r="BE36" i="24"/>
  <c r="BG36" i="24" s="1"/>
  <c r="BH36" i="24" s="1"/>
  <c r="BI36" i="24" s="1"/>
  <c r="BE18" i="24"/>
  <c r="BG18" i="24" s="1"/>
  <c r="BH18" i="24" s="1"/>
  <c r="BI18" i="24" s="1"/>
  <c r="BL5" i="24"/>
  <c r="BK5" i="24"/>
  <c r="BO5" i="24" s="1"/>
  <c r="BM5" i="24"/>
  <c r="BQ5" i="24" s="1"/>
  <c r="BJ5" i="24"/>
  <c r="BN5" i="24" s="1"/>
  <c r="BM2" i="24"/>
  <c r="BQ2" i="24" s="1"/>
  <c r="BJ2" i="24"/>
  <c r="BN2" i="24" s="1"/>
  <c r="BL2" i="24"/>
  <c r="BP2" i="24" s="1"/>
  <c r="BK2" i="24"/>
  <c r="BO2" i="24" s="1"/>
  <c r="BM25" i="24"/>
  <c r="BQ25" i="24" s="1"/>
  <c r="BL25" i="24"/>
  <c r="BP25" i="24" s="1"/>
  <c r="BK25" i="24"/>
  <c r="BO25" i="24" s="1"/>
  <c r="BJ25" i="24"/>
  <c r="BN25" i="24" s="1"/>
  <c r="BE53" i="24"/>
  <c r="BG53" i="24" s="1"/>
  <c r="BH53" i="24" s="1"/>
  <c r="BI53" i="24" s="1"/>
  <c r="BE35" i="24"/>
  <c r="BG35" i="24" s="1"/>
  <c r="BH35" i="24" s="1"/>
  <c r="BI35" i="24" s="1"/>
  <c r="BE17" i="24"/>
  <c r="BG17" i="24" s="1"/>
  <c r="BH17" i="24" s="1"/>
  <c r="BI17" i="24" s="1"/>
  <c r="BL59" i="24"/>
  <c r="BK59" i="24"/>
  <c r="BO59" i="24" s="1"/>
  <c r="BM59" i="24"/>
  <c r="BQ59" i="24" s="1"/>
  <c r="BJ59" i="24"/>
  <c r="BL22" i="24"/>
  <c r="BK22" i="24"/>
  <c r="BM22" i="24"/>
  <c r="BJ22" i="24"/>
  <c r="BK3" i="24"/>
  <c r="BO3" i="24" s="1"/>
  <c r="BM3" i="24"/>
  <c r="BJ3" i="24"/>
  <c r="BN3" i="24" s="1"/>
  <c r="BL3" i="24"/>
  <c r="BL20" i="24"/>
  <c r="BK20" i="24"/>
  <c r="BM20" i="24"/>
  <c r="BJ20" i="24"/>
  <c r="BL54" i="24"/>
  <c r="BJ54" i="24"/>
  <c r="BM54" i="24"/>
  <c r="BK54" i="24"/>
  <c r="BK14" i="24"/>
  <c r="BO14" i="24" s="1"/>
  <c r="BL14" i="24"/>
  <c r="BP14" i="24" s="1"/>
  <c r="BJ14" i="24"/>
  <c r="BN14" i="24" s="1"/>
  <c r="BM14" i="24"/>
  <c r="BQ14" i="24" s="1"/>
  <c r="BL49" i="24"/>
  <c r="BP49" i="24" s="1"/>
  <c r="BJ49" i="24"/>
  <c r="BN49" i="24" s="1"/>
  <c r="BK49" i="24"/>
  <c r="BO49" i="24" s="1"/>
  <c r="BM49" i="24"/>
  <c r="BQ49" i="24" s="1"/>
  <c r="BJ48" i="24"/>
  <c r="BN48" i="24" s="1"/>
  <c r="BK48" i="24"/>
  <c r="BO48" i="24" s="1"/>
  <c r="BM48" i="24"/>
  <c r="BQ48" i="24" s="1"/>
  <c r="BL48" i="24"/>
  <c r="BP48" i="24" s="1"/>
  <c r="BE22" i="24"/>
  <c r="BG22" i="24" s="1"/>
  <c r="BH22" i="24" s="1"/>
  <c r="BI22" i="24" s="1"/>
  <c r="BM61" i="24"/>
  <c r="BQ61" i="24" s="1"/>
  <c r="BJ61" i="24"/>
  <c r="BN61" i="24" s="1"/>
  <c r="BK61" i="24"/>
  <c r="BO61" i="24" s="1"/>
  <c r="BL61" i="24"/>
  <c r="BP61" i="24" s="1"/>
  <c r="BM43" i="24"/>
  <c r="BQ43" i="24" s="1"/>
  <c r="BJ43" i="24"/>
  <c r="BN43" i="24" s="1"/>
  <c r="BL43" i="24"/>
  <c r="BP43" i="24" s="1"/>
  <c r="BK43" i="24"/>
  <c r="BO43" i="24" s="1"/>
  <c r="BM7" i="24"/>
  <c r="BQ7" i="24" s="1"/>
  <c r="BK7" i="24"/>
  <c r="BO7" i="24" s="1"/>
  <c r="BJ7" i="24"/>
  <c r="BN7" i="24" s="1"/>
  <c r="BL7" i="24"/>
  <c r="BP7" i="24" s="1"/>
  <c r="BM60" i="24"/>
  <c r="BQ60" i="24" s="1"/>
  <c r="BL60" i="24"/>
  <c r="BP60" i="24" s="1"/>
  <c r="BK60" i="24"/>
  <c r="BJ60" i="24"/>
  <c r="BN60" i="24" s="1"/>
  <c r="BM42" i="24"/>
  <c r="BQ42" i="24" s="1"/>
  <c r="BL42" i="24"/>
  <c r="BP42" i="24" s="1"/>
  <c r="BJ42" i="24"/>
  <c r="BN42" i="24" s="1"/>
  <c r="BK42" i="24"/>
  <c r="BO42" i="24" s="1"/>
  <c r="BM24" i="24"/>
  <c r="BQ24" i="24" s="1"/>
  <c r="BJ24" i="24"/>
  <c r="BN24" i="24" s="1"/>
  <c r="BL24" i="24"/>
  <c r="BP24" i="24" s="1"/>
  <c r="BK24" i="24"/>
  <c r="BO24" i="24" s="1"/>
  <c r="BM6" i="24"/>
  <c r="BQ6" i="24" s="1"/>
  <c r="BJ6" i="24"/>
  <c r="BN6" i="24" s="1"/>
  <c r="BL6" i="24"/>
  <c r="BP6" i="24" s="1"/>
  <c r="BK6" i="24"/>
  <c r="BO6" i="24" s="1"/>
  <c r="BE52" i="24"/>
  <c r="BG52" i="24" s="1"/>
  <c r="BH52" i="24" s="1"/>
  <c r="BI52" i="24" s="1"/>
  <c r="BE34" i="24"/>
  <c r="BG34" i="24" s="1"/>
  <c r="BH34" i="24" s="1"/>
  <c r="BI34" i="24" s="1"/>
  <c r="BE16" i="24"/>
  <c r="BG16" i="24" s="1"/>
  <c r="BH16" i="24" s="1"/>
  <c r="BI16" i="24" s="1"/>
  <c r="R3" i="28"/>
  <c r="R4" i="28"/>
  <c r="R5" i="28"/>
  <c r="R6" i="28"/>
  <c r="R7" i="28"/>
  <c r="R8" i="28"/>
  <c r="R9" i="28"/>
  <c r="R10" i="28"/>
  <c r="R11" i="28"/>
  <c r="R12" i="28"/>
  <c r="R13" i="28"/>
  <c r="R14" i="28"/>
  <c r="R15" i="28"/>
  <c r="R16" i="28"/>
  <c r="R17" i="28"/>
  <c r="R18" i="28"/>
  <c r="R19" i="28"/>
  <c r="R20" i="28"/>
  <c r="R21" i="28"/>
  <c r="R22" i="28"/>
  <c r="R23" i="28"/>
  <c r="R24" i="28"/>
  <c r="R25" i="28"/>
  <c r="R26" i="28"/>
  <c r="R27" i="28"/>
  <c r="R28" i="28"/>
  <c r="R29" i="28"/>
  <c r="R30" i="28"/>
  <c r="R31" i="28"/>
  <c r="R32" i="28"/>
  <c r="R33" i="28"/>
  <c r="R34" i="28"/>
  <c r="R35" i="28"/>
  <c r="R36" i="28"/>
  <c r="R37" i="28"/>
  <c r="R38" i="28"/>
  <c r="R39" i="28"/>
  <c r="R40" i="28"/>
  <c r="R41" i="28"/>
  <c r="R42" i="28"/>
  <c r="R43" i="28"/>
  <c r="R44" i="28"/>
  <c r="R45" i="28"/>
  <c r="R46" i="28"/>
  <c r="R47" i="28"/>
  <c r="R48" i="28"/>
  <c r="R49" i="28"/>
  <c r="R50" i="28"/>
  <c r="R51" i="28"/>
  <c r="R52" i="28"/>
  <c r="R53" i="28"/>
  <c r="R54" i="28"/>
  <c r="R55" i="28"/>
  <c r="R56" i="28"/>
  <c r="R57" i="28"/>
  <c r="R58" i="28"/>
  <c r="R59" i="28"/>
  <c r="R60" i="28"/>
  <c r="R61" i="28"/>
  <c r="R62" i="28"/>
  <c r="R63" i="28"/>
  <c r="R64" i="28"/>
  <c r="R65" i="28"/>
  <c r="R2" i="28"/>
  <c r="T3" i="30"/>
  <c r="T4" i="30"/>
  <c r="T5" i="30"/>
  <c r="T6" i="30"/>
  <c r="T7" i="30"/>
  <c r="T8" i="30"/>
  <c r="T9" i="30"/>
  <c r="T10" i="30"/>
  <c r="T11" i="30"/>
  <c r="T12" i="30"/>
  <c r="T13" i="30"/>
  <c r="T14" i="30"/>
  <c r="T15" i="30"/>
  <c r="T16" i="30"/>
  <c r="T17" i="30"/>
  <c r="T18" i="30"/>
  <c r="T19" i="30"/>
  <c r="T20" i="30"/>
  <c r="T21" i="30"/>
  <c r="T22" i="30"/>
  <c r="T23" i="30"/>
  <c r="T24" i="30"/>
  <c r="T25" i="30"/>
  <c r="T26" i="30"/>
  <c r="T27" i="30"/>
  <c r="T28" i="30"/>
  <c r="T29" i="30"/>
  <c r="T30" i="30"/>
  <c r="T31" i="30"/>
  <c r="T32" i="30"/>
  <c r="T33" i="30"/>
  <c r="T34" i="30"/>
  <c r="T35" i="30"/>
  <c r="T36" i="30"/>
  <c r="T37" i="30"/>
  <c r="T38" i="30"/>
  <c r="T39" i="30"/>
  <c r="T40" i="30"/>
  <c r="T41" i="30"/>
  <c r="T42" i="30"/>
  <c r="T43" i="30"/>
  <c r="T44" i="30"/>
  <c r="T45" i="30"/>
  <c r="T46" i="30"/>
  <c r="T47" i="30"/>
  <c r="T48" i="30"/>
  <c r="T49" i="30"/>
  <c r="T50" i="30"/>
  <c r="T51" i="30"/>
  <c r="T52" i="30"/>
  <c r="T53" i="30"/>
  <c r="T54" i="30"/>
  <c r="T55" i="30"/>
  <c r="T56" i="30"/>
  <c r="T57" i="30"/>
  <c r="T58" i="30"/>
  <c r="T59" i="30"/>
  <c r="T60" i="30"/>
  <c r="T61" i="30"/>
  <c r="T62" i="30"/>
  <c r="T63" i="30"/>
  <c r="T64" i="30"/>
  <c r="T65" i="30"/>
  <c r="T66" i="30"/>
  <c r="T67" i="30"/>
  <c r="T68" i="30"/>
  <c r="T69" i="30"/>
  <c r="T70" i="30"/>
  <c r="T71" i="30"/>
  <c r="T72" i="30"/>
  <c r="T73" i="30"/>
  <c r="T74" i="30"/>
  <c r="T75" i="30"/>
  <c r="T76" i="30"/>
  <c r="T77" i="30"/>
  <c r="T78" i="30"/>
  <c r="T79" i="30"/>
  <c r="T80" i="30"/>
  <c r="T81" i="30"/>
  <c r="T82" i="30"/>
  <c r="T83" i="30"/>
  <c r="T84" i="30"/>
  <c r="T85" i="30"/>
  <c r="T86" i="30"/>
  <c r="T87" i="30"/>
  <c r="T88" i="30"/>
  <c r="T89" i="30"/>
  <c r="T90" i="30"/>
  <c r="T91" i="30"/>
  <c r="T92" i="30"/>
  <c r="T93" i="30"/>
  <c r="T94" i="30"/>
  <c r="T95" i="30"/>
  <c r="T96" i="30"/>
  <c r="T97" i="30"/>
  <c r="T98" i="30"/>
  <c r="T99" i="30"/>
  <c r="T100" i="30"/>
  <c r="T101" i="30"/>
  <c r="T102" i="30"/>
  <c r="T103" i="30"/>
  <c r="T104" i="30"/>
  <c r="T105" i="30"/>
  <c r="T106" i="30"/>
  <c r="T107" i="30"/>
  <c r="T108" i="30"/>
  <c r="T109" i="30"/>
  <c r="T110" i="30"/>
  <c r="T111" i="30"/>
  <c r="T112" i="30"/>
  <c r="T113" i="30"/>
  <c r="T114" i="30"/>
  <c r="T115" i="30"/>
  <c r="T116" i="30"/>
  <c r="T117" i="30"/>
  <c r="T118" i="30"/>
  <c r="T119" i="30"/>
  <c r="T120" i="30"/>
  <c r="T121" i="30"/>
  <c r="T122" i="30"/>
  <c r="T123" i="30"/>
  <c r="T124" i="30"/>
  <c r="T125" i="30"/>
  <c r="T126" i="30"/>
  <c r="T127" i="30"/>
  <c r="T128" i="30"/>
  <c r="T129" i="30"/>
  <c r="T130" i="30"/>
  <c r="T131" i="30"/>
  <c r="T132" i="30"/>
  <c r="T133" i="30"/>
  <c r="T134" i="30"/>
  <c r="T135" i="30"/>
  <c r="T136" i="30"/>
  <c r="T137" i="30"/>
  <c r="T138" i="30"/>
  <c r="T139" i="30"/>
  <c r="T140" i="30"/>
  <c r="T141" i="30"/>
  <c r="T142" i="30"/>
  <c r="T143" i="30"/>
  <c r="T144" i="30"/>
  <c r="T145" i="30"/>
  <c r="T146" i="30"/>
  <c r="T147" i="30"/>
  <c r="T148" i="30"/>
  <c r="T149" i="30"/>
  <c r="T150" i="30"/>
  <c r="T151" i="30"/>
  <c r="T152" i="30"/>
  <c r="T153" i="30"/>
  <c r="T154" i="30"/>
  <c r="T155" i="30"/>
  <c r="T156" i="30"/>
  <c r="T157" i="30"/>
  <c r="T158" i="30"/>
  <c r="T159" i="30"/>
  <c r="T160" i="30"/>
  <c r="T161" i="30"/>
  <c r="T162" i="30"/>
  <c r="T163" i="30"/>
  <c r="T164" i="30"/>
  <c r="T165" i="30"/>
  <c r="T166" i="30"/>
  <c r="T167" i="30"/>
  <c r="T168" i="30"/>
  <c r="T169" i="30"/>
  <c r="T170" i="30"/>
  <c r="T171" i="30"/>
  <c r="T172" i="30"/>
  <c r="T173" i="30"/>
  <c r="T174" i="30"/>
  <c r="T175" i="30"/>
  <c r="T176" i="30"/>
  <c r="T177" i="30"/>
  <c r="T178" i="30"/>
  <c r="T179" i="30"/>
  <c r="T180" i="30"/>
  <c r="T181" i="30"/>
  <c r="T182" i="30"/>
  <c r="T183" i="30"/>
  <c r="T184" i="30"/>
  <c r="T185" i="30"/>
  <c r="T186" i="30"/>
  <c r="T187" i="30"/>
  <c r="T188" i="30"/>
  <c r="T189" i="30"/>
  <c r="T190" i="30"/>
  <c r="T191" i="30"/>
  <c r="T192" i="30"/>
  <c r="T193" i="30"/>
  <c r="T194" i="30"/>
  <c r="T195" i="30"/>
  <c r="T196" i="30"/>
  <c r="T197" i="30"/>
  <c r="T198" i="30"/>
  <c r="T199" i="30"/>
  <c r="T200" i="30"/>
  <c r="T201" i="30"/>
  <c r="T202" i="30"/>
  <c r="T203" i="30"/>
  <c r="T204" i="30"/>
  <c r="T205" i="30"/>
  <c r="T206" i="30"/>
  <c r="T207" i="30"/>
  <c r="T208" i="30"/>
  <c r="T209" i="30"/>
  <c r="T210" i="30"/>
  <c r="T211" i="30"/>
  <c r="T212" i="30"/>
  <c r="T213" i="30"/>
  <c r="T214" i="30"/>
  <c r="T215" i="30"/>
  <c r="T216" i="30"/>
  <c r="T217" i="30"/>
  <c r="T218" i="30"/>
  <c r="T219" i="30"/>
  <c r="T220" i="30"/>
  <c r="T221" i="30"/>
  <c r="T222" i="30"/>
  <c r="T223" i="30"/>
  <c r="T224" i="30"/>
  <c r="T225" i="30"/>
  <c r="T226" i="30"/>
  <c r="T227" i="30"/>
  <c r="T228" i="30"/>
  <c r="T229" i="30"/>
  <c r="T230" i="30"/>
  <c r="T231" i="30"/>
  <c r="T232" i="30"/>
  <c r="T233" i="30"/>
  <c r="T234" i="30"/>
  <c r="T235" i="30"/>
  <c r="T236" i="30"/>
  <c r="T237" i="30"/>
  <c r="T238" i="30"/>
  <c r="T239" i="30"/>
  <c r="T240" i="30"/>
  <c r="T241" i="30"/>
  <c r="T242" i="30"/>
  <c r="T243" i="30"/>
  <c r="T244" i="30"/>
  <c r="T245" i="30"/>
  <c r="T246" i="30"/>
  <c r="T247" i="30"/>
  <c r="T248" i="30"/>
  <c r="T249" i="30"/>
  <c r="T250" i="30"/>
  <c r="T251" i="30"/>
  <c r="T252" i="30"/>
  <c r="T253" i="30"/>
  <c r="T254" i="30"/>
  <c r="T255" i="30"/>
  <c r="T256" i="30"/>
  <c r="T257" i="30"/>
  <c r="T2" i="30"/>
  <c r="P3" i="30"/>
  <c r="P4" i="30"/>
  <c r="P5" i="30"/>
  <c r="P6" i="30"/>
  <c r="P7" i="30"/>
  <c r="P8" i="30"/>
  <c r="P9" i="30"/>
  <c r="P10" i="30"/>
  <c r="P11" i="30"/>
  <c r="P12" i="30"/>
  <c r="P13" i="30"/>
  <c r="P14" i="30"/>
  <c r="P15" i="30"/>
  <c r="P16" i="30"/>
  <c r="P17" i="30"/>
  <c r="P18" i="30"/>
  <c r="P19" i="30"/>
  <c r="P20" i="30"/>
  <c r="P21" i="30"/>
  <c r="P22" i="30"/>
  <c r="P23" i="30"/>
  <c r="P24" i="30"/>
  <c r="P25" i="30"/>
  <c r="P26" i="30"/>
  <c r="P27" i="30"/>
  <c r="P28" i="30"/>
  <c r="P29" i="30"/>
  <c r="P30" i="30"/>
  <c r="P31" i="30"/>
  <c r="P32" i="30"/>
  <c r="P33" i="30"/>
  <c r="P34" i="30"/>
  <c r="P35" i="30"/>
  <c r="P36" i="30"/>
  <c r="P37" i="30"/>
  <c r="P38" i="30"/>
  <c r="P39" i="30"/>
  <c r="P40" i="30"/>
  <c r="P41" i="30"/>
  <c r="P42" i="30"/>
  <c r="P43" i="30"/>
  <c r="P44" i="30"/>
  <c r="P45" i="30"/>
  <c r="P46" i="30"/>
  <c r="P47" i="30"/>
  <c r="P48" i="30"/>
  <c r="P49" i="30"/>
  <c r="P50" i="30"/>
  <c r="P51" i="30"/>
  <c r="P52" i="30"/>
  <c r="P53" i="30"/>
  <c r="P54" i="30"/>
  <c r="P55" i="30"/>
  <c r="P56" i="30"/>
  <c r="P57" i="30"/>
  <c r="P58" i="30"/>
  <c r="P59" i="30"/>
  <c r="P60" i="30"/>
  <c r="P61" i="30"/>
  <c r="P62" i="30"/>
  <c r="P63" i="30"/>
  <c r="P64" i="30"/>
  <c r="P65" i="30"/>
  <c r="P66" i="30"/>
  <c r="P67" i="30"/>
  <c r="P68" i="30"/>
  <c r="P69" i="30"/>
  <c r="P70" i="30"/>
  <c r="P71" i="30"/>
  <c r="P72" i="30"/>
  <c r="P73" i="30"/>
  <c r="P74" i="30"/>
  <c r="P75" i="30"/>
  <c r="P76" i="30"/>
  <c r="P77" i="30"/>
  <c r="P78" i="30"/>
  <c r="P79" i="30"/>
  <c r="P80" i="30"/>
  <c r="P81" i="30"/>
  <c r="P82" i="30"/>
  <c r="P83" i="30"/>
  <c r="P84" i="30"/>
  <c r="P85" i="30"/>
  <c r="P86" i="30"/>
  <c r="P87" i="30"/>
  <c r="P88" i="30"/>
  <c r="P89" i="30"/>
  <c r="P90" i="30"/>
  <c r="P91" i="30"/>
  <c r="P92" i="30"/>
  <c r="P93" i="30"/>
  <c r="P94" i="30"/>
  <c r="P95" i="30"/>
  <c r="P96" i="30"/>
  <c r="P97" i="30"/>
  <c r="P98" i="30"/>
  <c r="P99" i="30"/>
  <c r="P100" i="30"/>
  <c r="P101" i="30"/>
  <c r="P102" i="30"/>
  <c r="P103" i="30"/>
  <c r="P104" i="30"/>
  <c r="P105" i="30"/>
  <c r="P106" i="30"/>
  <c r="P107" i="30"/>
  <c r="P108" i="30"/>
  <c r="P109" i="30"/>
  <c r="P110" i="30"/>
  <c r="P111" i="30"/>
  <c r="P112" i="30"/>
  <c r="P113" i="30"/>
  <c r="P114" i="30"/>
  <c r="P115" i="30"/>
  <c r="P116" i="30"/>
  <c r="P117" i="30"/>
  <c r="P118" i="30"/>
  <c r="P119" i="30"/>
  <c r="P120" i="30"/>
  <c r="P121" i="30"/>
  <c r="P122" i="30"/>
  <c r="P123" i="30"/>
  <c r="P124" i="30"/>
  <c r="P125" i="30"/>
  <c r="P126" i="30"/>
  <c r="P127" i="30"/>
  <c r="P128" i="30"/>
  <c r="P129" i="30"/>
  <c r="P130" i="30"/>
  <c r="P131" i="30"/>
  <c r="P132" i="30"/>
  <c r="P133" i="30"/>
  <c r="P134" i="30"/>
  <c r="P135" i="30"/>
  <c r="P136" i="30"/>
  <c r="P137" i="30"/>
  <c r="P138" i="30"/>
  <c r="P139" i="30"/>
  <c r="P140" i="30"/>
  <c r="P141" i="30"/>
  <c r="P142" i="30"/>
  <c r="P143" i="30"/>
  <c r="P144" i="30"/>
  <c r="P145" i="30"/>
  <c r="P146" i="30"/>
  <c r="P147" i="30"/>
  <c r="P148" i="30"/>
  <c r="P149" i="30"/>
  <c r="P150" i="30"/>
  <c r="P151" i="30"/>
  <c r="P152" i="30"/>
  <c r="P153" i="30"/>
  <c r="P154" i="30"/>
  <c r="P155" i="30"/>
  <c r="P156" i="30"/>
  <c r="P157" i="30"/>
  <c r="P158" i="30"/>
  <c r="P159" i="30"/>
  <c r="P160" i="30"/>
  <c r="P161" i="30"/>
  <c r="P162" i="30"/>
  <c r="P163" i="30"/>
  <c r="P164" i="30"/>
  <c r="P165" i="30"/>
  <c r="P166" i="30"/>
  <c r="P167" i="30"/>
  <c r="P168" i="30"/>
  <c r="P169" i="30"/>
  <c r="P170" i="30"/>
  <c r="P171" i="30"/>
  <c r="P172" i="30"/>
  <c r="P173" i="30"/>
  <c r="P174" i="30"/>
  <c r="P175" i="30"/>
  <c r="P176" i="30"/>
  <c r="P177" i="30"/>
  <c r="P178" i="30"/>
  <c r="P179" i="30"/>
  <c r="P180" i="30"/>
  <c r="P181" i="30"/>
  <c r="P182" i="30"/>
  <c r="P183" i="30"/>
  <c r="P184" i="30"/>
  <c r="P185" i="30"/>
  <c r="P186" i="30"/>
  <c r="P187" i="30"/>
  <c r="P188" i="30"/>
  <c r="P189" i="30"/>
  <c r="P190" i="30"/>
  <c r="P191" i="30"/>
  <c r="P192" i="30"/>
  <c r="P193" i="30"/>
  <c r="P194" i="30"/>
  <c r="P195" i="30"/>
  <c r="P196" i="30"/>
  <c r="P197" i="30"/>
  <c r="P198" i="30"/>
  <c r="P199" i="30"/>
  <c r="P200" i="30"/>
  <c r="P201" i="30"/>
  <c r="P202" i="30"/>
  <c r="P203" i="30"/>
  <c r="P204" i="30"/>
  <c r="P205" i="30"/>
  <c r="P206" i="30"/>
  <c r="P207" i="30"/>
  <c r="P208" i="30"/>
  <c r="P209" i="30"/>
  <c r="P210" i="30"/>
  <c r="P211" i="30"/>
  <c r="P212" i="30"/>
  <c r="P213" i="30"/>
  <c r="P214" i="30"/>
  <c r="P215" i="30"/>
  <c r="P216" i="30"/>
  <c r="P217" i="30"/>
  <c r="P218" i="30"/>
  <c r="P219" i="30"/>
  <c r="P220" i="30"/>
  <c r="P221" i="30"/>
  <c r="P222" i="30"/>
  <c r="P223" i="30"/>
  <c r="P224" i="30"/>
  <c r="P225" i="30"/>
  <c r="P226" i="30"/>
  <c r="P227" i="30"/>
  <c r="P228" i="30"/>
  <c r="P229" i="30"/>
  <c r="P230" i="30"/>
  <c r="P231" i="30"/>
  <c r="P232" i="30"/>
  <c r="P233" i="30"/>
  <c r="P234" i="30"/>
  <c r="P235" i="30"/>
  <c r="P236" i="30"/>
  <c r="P237" i="30"/>
  <c r="P238" i="30"/>
  <c r="P239" i="30"/>
  <c r="P240" i="30"/>
  <c r="P241" i="30"/>
  <c r="P242" i="30"/>
  <c r="P243" i="30"/>
  <c r="P244" i="30"/>
  <c r="P245" i="30"/>
  <c r="P246" i="30"/>
  <c r="P247" i="30"/>
  <c r="P248" i="30"/>
  <c r="P249" i="30"/>
  <c r="P250" i="30"/>
  <c r="P251" i="30"/>
  <c r="P252" i="30"/>
  <c r="P253" i="30"/>
  <c r="P254" i="30"/>
  <c r="P255" i="30"/>
  <c r="P256" i="30"/>
  <c r="P257" i="30"/>
  <c r="P2" i="30"/>
  <c r="BP5" i="24" l="1"/>
  <c r="BP46" i="24"/>
  <c r="BQ3" i="24"/>
  <c r="BO54" i="24"/>
  <c r="BQ54" i="24"/>
  <c r="BO46" i="24"/>
  <c r="BN54" i="24"/>
  <c r="BO41" i="24"/>
  <c r="BP54" i="24"/>
  <c r="BQ41" i="24"/>
  <c r="BP59" i="24"/>
  <c r="BN20" i="24"/>
  <c r="BP41" i="24"/>
  <c r="BQ39" i="24"/>
  <c r="BQ20" i="24"/>
  <c r="BO39" i="24"/>
  <c r="BP20" i="24"/>
  <c r="BQ9" i="24"/>
  <c r="BN39" i="24"/>
  <c r="BP39" i="24"/>
  <c r="BO9" i="24"/>
  <c r="BN38" i="24"/>
  <c r="BQ30" i="24"/>
  <c r="BP30" i="24"/>
  <c r="BO30" i="24"/>
  <c r="BQ31" i="24"/>
  <c r="BN31" i="24"/>
  <c r="BP31" i="24"/>
  <c r="BN17" i="24"/>
  <c r="BQ17" i="24"/>
  <c r="BO17" i="24"/>
  <c r="BP17" i="24"/>
  <c r="BP55" i="24"/>
  <c r="BN55" i="24"/>
  <c r="BO55" i="24"/>
  <c r="BQ55" i="24"/>
  <c r="BP22" i="24"/>
  <c r="BN22" i="24"/>
  <c r="BO22" i="24"/>
  <c r="BQ22" i="24"/>
  <c r="BP58" i="24"/>
  <c r="BN58" i="24"/>
  <c r="BO58" i="24"/>
  <c r="BQ58" i="24"/>
  <c r="BP56" i="24"/>
  <c r="BN56" i="24"/>
  <c r="BQ56" i="24"/>
  <c r="BO56" i="24"/>
  <c r="BN23" i="24"/>
  <c r="BP23" i="24"/>
  <c r="BO23" i="24"/>
  <c r="BQ23" i="24"/>
  <c r="BP19" i="24"/>
  <c r="BN19" i="24"/>
  <c r="BO19" i="24"/>
  <c r="BQ19" i="24"/>
  <c r="BP40" i="24"/>
  <c r="BN40" i="24"/>
  <c r="BQ40" i="24"/>
  <c r="BO40" i="24"/>
  <c r="BN52" i="24"/>
  <c r="BQ52" i="24"/>
  <c r="BO52" i="24"/>
  <c r="BP52" i="24"/>
  <c r="BQ35" i="24"/>
  <c r="BN35" i="24"/>
  <c r="BO35" i="24"/>
  <c r="BP35" i="24"/>
  <c r="BN34" i="24"/>
  <c r="BO34" i="24"/>
  <c r="BQ34" i="24"/>
  <c r="BP34" i="24"/>
  <c r="BN36" i="24"/>
  <c r="BO36" i="24"/>
  <c r="BP36" i="24"/>
  <c r="BQ36" i="24"/>
  <c r="BP4" i="24"/>
  <c r="BN4" i="24"/>
  <c r="BO4" i="24"/>
  <c r="BQ4" i="24"/>
  <c r="BP57" i="24"/>
  <c r="BN57" i="24"/>
  <c r="BO57" i="24"/>
  <c r="BQ57" i="24"/>
  <c r="BN16" i="24"/>
  <c r="BO16" i="24"/>
  <c r="BQ16" i="24"/>
  <c r="BP16" i="24"/>
  <c r="BP37" i="24"/>
  <c r="BN37" i="24"/>
  <c r="BO37" i="24"/>
  <c r="BQ37" i="24"/>
  <c r="BN53" i="24"/>
  <c r="BQ53" i="24"/>
  <c r="BO53" i="24"/>
  <c r="BP53" i="24"/>
  <c r="BN18" i="24"/>
  <c r="BQ18" i="24"/>
  <c r="BP18" i="24"/>
  <c r="BO18" i="24"/>
  <c r="U3" i="16"/>
  <c r="U4" i="16"/>
  <c r="U5" i="16"/>
  <c r="U6" i="16"/>
  <c r="U7" i="16"/>
  <c r="U8" i="16"/>
  <c r="U9" i="16"/>
  <c r="U34" i="16"/>
  <c r="U35" i="16"/>
  <c r="U36" i="16"/>
  <c r="U37" i="16"/>
  <c r="U38" i="16"/>
  <c r="U39" i="16"/>
  <c r="U40" i="16"/>
  <c r="U41" i="16"/>
  <c r="U10" i="16"/>
  <c r="U11" i="16"/>
  <c r="U12" i="16"/>
  <c r="U13" i="16"/>
  <c r="U14" i="16"/>
  <c r="U15" i="16"/>
  <c r="U16" i="16"/>
  <c r="U17" i="16"/>
  <c r="U42" i="16"/>
  <c r="U43" i="16"/>
  <c r="U44" i="16"/>
  <c r="U45" i="16"/>
  <c r="U46" i="16"/>
  <c r="U47" i="16"/>
  <c r="U48" i="16"/>
  <c r="U49" i="16"/>
  <c r="U18" i="16"/>
  <c r="U19" i="16"/>
  <c r="U20" i="16"/>
  <c r="U21" i="16"/>
  <c r="U22" i="16"/>
  <c r="U23" i="16"/>
  <c r="U24" i="16"/>
  <c r="U25" i="16"/>
  <c r="U50" i="16"/>
  <c r="U51" i="16"/>
  <c r="U52" i="16"/>
  <c r="U53" i="16"/>
  <c r="U54" i="16"/>
  <c r="U55" i="16"/>
  <c r="U56" i="16"/>
  <c r="U57" i="16"/>
  <c r="U26" i="16"/>
  <c r="U27" i="16"/>
  <c r="U28" i="16"/>
  <c r="U29" i="16"/>
  <c r="U30" i="16"/>
  <c r="U31" i="16"/>
  <c r="U32" i="16"/>
  <c r="U33" i="16"/>
  <c r="U58" i="16"/>
  <c r="U59" i="16"/>
  <c r="U60" i="16"/>
  <c r="U61" i="16"/>
  <c r="U62" i="16"/>
  <c r="U63" i="16"/>
  <c r="U64" i="16"/>
  <c r="U65" i="16"/>
  <c r="U2" i="16"/>
  <c r="G3" i="11" l="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2" i="11"/>
  <c r="K3" i="13"/>
  <c r="K4" i="13"/>
  <c r="K5" i="13"/>
  <c r="K6" i="13"/>
  <c r="K7" i="13"/>
  <c r="K8" i="13"/>
  <c r="K9" i="13"/>
  <c r="K10" i="13"/>
  <c r="K11" i="13"/>
  <c r="K12" i="13"/>
  <c r="K13" i="13"/>
  <c r="K14" i="13"/>
  <c r="K15" i="13"/>
  <c r="K16" i="13"/>
  <c r="K17" i="13"/>
  <c r="K2" i="13"/>
  <c r="J3" i="13"/>
  <c r="J4" i="13"/>
  <c r="J5" i="13"/>
  <c r="J6" i="13"/>
  <c r="J7" i="13"/>
  <c r="J8" i="13"/>
  <c r="J9" i="13"/>
  <c r="J10" i="13"/>
  <c r="J11" i="13"/>
  <c r="J12" i="13"/>
  <c r="J13" i="13"/>
  <c r="J14" i="13"/>
  <c r="J15" i="13"/>
  <c r="J16" i="13"/>
  <c r="J17" i="13"/>
  <c r="J2" i="13"/>
  <c r="G3" i="13"/>
  <c r="G4" i="13"/>
  <c r="G5" i="13"/>
  <c r="G6" i="13"/>
  <c r="G7" i="13"/>
  <c r="G8" i="13"/>
  <c r="G9" i="13"/>
  <c r="G10" i="13"/>
  <c r="G11" i="13"/>
  <c r="G12" i="13"/>
  <c r="G13" i="13"/>
  <c r="G14" i="13"/>
  <c r="G15" i="13"/>
  <c r="G16" i="13"/>
  <c r="G17" i="13"/>
  <c r="G2" i="13"/>
  <c r="D21" i="2" l="1"/>
  <c r="D17" i="2"/>
  <c r="D19" i="2"/>
  <c r="D22" i="2"/>
  <c r="D20" i="2"/>
  <c r="D18" i="2"/>
  <c r="D23" i="2"/>
  <c r="D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tc={201BD4A9-486F-439A-9F23-3FE70DCECAE9}</author>
  </authors>
  <commentList>
    <comment ref="A9" authorId="0" shapeId="0" xr:uid="{201BD4A9-486F-439A-9F23-3FE70DCECAE9}">
      <text>
        <t>[Threaded comment]
Your version of Excel allows you to read this threaded comment; however, any edits to it will get removed if the file is opened in a newer version of Excel. Learn more: https://go.microsoft.com/fwlink/?linkid=870924
Comment:
    This design description is proabaly not correct but will hear from AAGI regarding the right 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tc={5B9B4F72-EAE4-44FF-962C-99CB5F83780A}</author>
  </authors>
  <commentList>
    <comment ref="B15" authorId="0" shapeId="0" xr:uid="{5B9B4F72-EAE4-44FF-962C-99CB5F83780A}">
      <text>
        <t>[Threaded comment]
Your version of Excel allows you to read this threaded comment; however, any edits to it will get removed if the file is opened in a newer version of Excel. Learn more: https://go.microsoft.com/fwlink/?linkid=870924
Comment:
    This was instead done by taking 10 random spikes from the maturity plant cut and checking floret position for a grain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tc={3EB54A3D-93EF-428A-9B3A-13765931D728}</author>
    <author>tc={7E2E6F88-5A5F-4033-9584-C49CA872A23E}</author>
    <author>tc={78767891-63A6-42B8-BBEC-E3D88E52F096}</author>
  </authors>
  <commentList>
    <comment ref="I1" authorId="0" shapeId="0" xr:uid="{3EB54A3D-93EF-428A-9B3A-13765931D728}">
      <text>
        <t>[Threaded comment]
Your version of Excel allows you to read this threaded comment; however, any edits to it will get removed if the file is opened in a newer version of Excel. Learn more: https://go.microsoft.com/fwlink/?linkid=870924
Comment:
    From Mat’s weather station</t>
      </text>
    </comment>
    <comment ref="E129" authorId="1" shapeId="0" xr:uid="{7E2E6F88-5A5F-4033-9584-C49CA872A23E}">
      <text>
        <t>[Threaded comment]
Your version of Excel allows you to read this threaded comment; however, any edits to it will get removed if the file is opened in a newer version of Excel. Learn more: https://go.microsoft.com/fwlink/?linkid=870924
Comment:
    Here onward trial logger data</t>
      </text>
    </comment>
    <comment ref="F129" authorId="2" shapeId="0" xr:uid="{78767891-63A6-42B8-BBEC-E3D88E52F096}">
      <text>
        <t>[Threaded comment]
Your version of Excel allows you to read this threaded comment; however, any edits to it will get removed if the file is opened in a newer version of Excel. Learn more: https://go.microsoft.com/fwlink/?linkid=870924
Comment:
    Here onward is trial logger data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tc={C8AA8373-FAD8-4DD5-8094-88F8CC78FC11}</author>
    <author>tc={72792B47-9493-4511-9057-3A80B9C2C7E6}</author>
    <author>tc={BCB507DE-0B28-4B3C-8731-78109369A9D4}</author>
    <author>tc={DDA2968A-53F3-4DCC-94C3-D8AE91F93399}</author>
    <author>tc={ED78B495-8EEA-4009-AEC4-18BFDB9C7D7F}</author>
    <author>tc={8DFFA0D9-2D96-4AD1-82E9-860F06440E98}</author>
  </authors>
  <commentList>
    <comment ref="J1" authorId="0" shapeId="0" xr:uid="{C8AA8373-FAD8-4DD5-8094-88F8CC78FC11}">
      <text>
        <t>[Threaded comment]
Your version of Excel allows you to read this threaded comment; however, any edits to it will get removed if the file is opened in a newer version of Excel. Learn more: https://go.microsoft.com/fwlink/?linkid=870924
Comment:
    Recorded from a previous experiment 500m away</t>
      </text>
    </comment>
    <comment ref="K1" authorId="1" shapeId="0" xr:uid="{72792B47-9493-4511-9057-3A80B9C2C7E6}">
      <text>
        <t>[Threaded comment]
Your version of Excel allows you to read this threaded comment; however, any edits to it will get removed if the file is opened in a newer version of Excel. Learn more: https://go.microsoft.com/fwlink/?linkid=870924
Comment:
    Recorded at site</t>
      </text>
    </comment>
    <comment ref="L1" authorId="2" shapeId="0" xr:uid="{BCB507DE-0B28-4B3C-8731-78109369A9D4}">
      <text>
        <t>[Threaded comment]
Your version of Excel allows you to read this threaded comment; however, any edits to it will get removed if the file is opened in a newer version of Excel. Learn more: https://go.microsoft.com/fwlink/?linkid=870924
Comment:
    Recorded at site</t>
      </text>
    </comment>
    <comment ref="I9" authorId="3" shapeId="0" xr:uid="{DDA2968A-53F3-4DCC-94C3-D8AE91F93399}">
      <text>
        <t>[Threaded comment]
Your version of Excel allows you to read this threaded comment; however, any edits to it will get removed if the file is opened in a newer version of Excel. Learn more: https://go.microsoft.com/fwlink/?linkid=870924
Comment:
    Only one core went this deep</t>
      </text>
    </comment>
    <comment ref="I10" authorId="4" shapeId="0" xr:uid="{ED78B495-8EEA-4009-AEC4-18BFDB9C7D7F}">
      <text>
        <t>[Threaded comment]
Your version of Excel allows you to read this threaded comment; however, any edits to it will get removed if the file is opened in a newer version of Excel. Learn more: https://go.microsoft.com/fwlink/?linkid=870924
Comment:
    Only one core went this deep</t>
      </text>
    </comment>
    <comment ref="S13" authorId="5" shapeId="0" xr:uid="{8DFFA0D9-2D96-4AD1-82E9-860F06440E98}">
      <text>
        <t>[Threaded comment]
Your version of Excel allows you to read this threaded comment; however, any edits to it will get removed if the file is opened in a newer version of Excel. Learn more: https://go.microsoft.com/fwlink/?linkid=870924
Comment:
    Only ~0.5 t/ha under the estimate for water limited yield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tc={39CF8549-641D-4921-8F2C-F2B35AF5554E}</author>
  </authors>
  <commentList>
    <comment ref="M1" authorId="0" shapeId="0" xr:uid="{39CF8549-641D-4921-8F2C-F2B35AF5554E}">
      <text>
        <t>[Threaded comment]
Your version of Excel allows you to read this threaded comment; however, any edits to it will get removed if the file is opened in a newer version of Excel. Learn more: https://go.microsoft.com/fwlink/?linkid=870924
Comment:
    Plant No for 1 meter</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tc={029A8878-4B25-4229-A6D7-6A148F9066EC}</author>
  </authors>
  <commentList>
    <comment ref="K1" authorId="0" shapeId="0" xr:uid="{029A8878-4B25-4229-A6D7-6A148F9066EC}">
      <text>
        <t>[Threaded comment]
Your version of Excel allows you to read this threaded comment; however, any edits to it will get removed if the file is opened in a newer version of Excel. Learn more: https://go.microsoft.com/fwlink/?linkid=870924
Comment:
    M2 of tillers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tc={2A1A59E2-405C-4E84-A306-435ACE2643F7}</author>
  </authors>
  <commentList>
    <comment ref="V1" authorId="0" shapeId="0" xr:uid="{2A1A59E2-405C-4E84-A306-435ACE2643F7}">
      <text>
        <t>[Threaded comment]
Your version of Excel allows you to read this threaded comment; however, any edits to it will get removed if the file is opened in a newer version of Excel. Learn more: https://go.microsoft.com/fwlink/?linkid=870924
Comment:
    Ground level</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tc={7D80235B-B4E6-4A0C-84D9-33A22E5E583A}</author>
    <author>tc={B6EFF36E-564D-402C-AF10-D78C44FBB92D}</author>
    <author>tc={A4B7D2D1-B755-4F1F-B39A-26B13664BF0B}</author>
    <author>tc={FE1ED20D-EEA3-4017-AD18-066326A7F99F}</author>
    <author>tc={E0C40712-CB2A-4C50-AF89-8EFF9D97197B}</author>
  </authors>
  <commentList>
    <comment ref="M1" authorId="0" shapeId="0" xr:uid="{7D80235B-B4E6-4A0C-84D9-33A22E5E583A}">
      <text>
        <t xml:space="preserve">[Threaded comment]
Your version of Excel allows you to read this threaded comment; however, any edits to it will get removed if the file is opened in a newer version of Excel. Learn more: https://go.microsoft.com/fwlink/?linkid=870924
Comment:
    All NDVI recorded at 6 October due to labour shortage </t>
      </text>
    </comment>
    <comment ref="AW1" authorId="1" shapeId="0" xr:uid="{B6EFF36E-564D-402C-AF10-D78C44FBB92D}">
      <text>
        <t>[Threaded comment]
Your version of Excel allows you to read this threaded comment; however, any edits to it will get removed if the file is opened in a newer version of Excel. Learn more: https://go.microsoft.com/fwlink/?linkid=870924
Comment:
    Weighed 30 fresh culms in subsample, then discarded 10 and dried 20 culms</t>
      </text>
    </comment>
    <comment ref="BZ1" authorId="2" shapeId="0" xr:uid="{A4B7D2D1-B755-4F1F-B39A-26B13664BF0B}">
      <text>
        <t>[Threaded comment]
Your version of Excel allows you to read this threaded comment; however, any edits to it will get removed if the file is opened in a newer version of Excel. Learn more: https://go.microsoft.com/fwlink/?linkid=870924
Comment:
    Recorded between the pegs in the field</t>
      </text>
    </comment>
    <comment ref="CF9" authorId="3" shapeId="0" xr:uid="{FE1ED20D-EEA3-4017-AD18-066326A7F99F}">
      <text>
        <t>[Threaded comment]
Your version of Excel allows you to read this threaded comment; however, any edits to it will get removed if the file is opened in a newer version of Excel. Learn more: https://go.microsoft.com/fwlink/?linkid=870924
Comment:
    Ask Mariano at SARDI how these could be below 0% ?</t>
      </text>
    </comment>
    <comment ref="BZ30" authorId="4" shapeId="0" xr:uid="{E0C40712-CB2A-4C50-AF89-8EFF9D97197B}">
      <text>
        <t>[Threaded comment]
Your version of Excel allows you to read this threaded comment; however, any edits to it will get removed if the file is opened in a newer version of Excel. Learn more: https://go.microsoft.com/fwlink/?linkid=870924
Comment:
    Removed, too high a value</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tc={5942E60D-11CC-452E-8B7E-E989CA1EE27A}</author>
  </authors>
  <commentList>
    <comment ref="X1" authorId="0" shapeId="0" xr:uid="{5942E60D-11CC-452E-8B7E-E989CA1EE27A}">
      <text>
        <t>[Threaded comment]
Your version of Excel allows you to read this threaded comment; however, any edits to it will get removed if the file is opened in a newer version of Excel. Learn more: https://go.microsoft.com/fwlink/?linkid=870924
Comment:
    Number of spikelets that the first florets do not contain a grain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tc={6ABB4AA3-513E-4B85-8D8D-F9DCAFC7F0F7}</author>
    <author>tc={0D7F1F36-514D-4150-AA71-1F049F723A6D}</author>
    <author>tc={9FA35FAE-2FE2-49FE-BE00-386DF4A2A76B}</author>
    <author>tc={343366E4-4AF9-4853-B8FB-081FB8D7EFE3}</author>
  </authors>
  <commentList>
    <comment ref="P1" authorId="0" shapeId="0" xr:uid="{6ABB4AA3-513E-4B85-8D8D-F9DCAFC7F0F7}">
      <text>
        <t>[Threaded comment]
Your version of Excel allows you to read this threaded comment; however, any edits to it will get removed if the file is opened in a newer version of Excel. Learn more: https://go.microsoft.com/fwlink/?linkid=870924
Comment:
    This includes any sub-sample taken</t>
      </text>
    </comment>
    <comment ref="Q1" authorId="1" shapeId="0" xr:uid="{0D7F1F36-514D-4150-AA71-1F049F723A6D}">
      <text>
        <t>[Threaded comment]
Your version of Excel allows you to read this threaded comment; however, any edits to it will get removed if the file is opened in a newer version of Excel. Learn more: https://go.microsoft.com/fwlink/?linkid=870924
Comment:
    This includes the subsample</t>
      </text>
    </comment>
    <comment ref="AU1" authorId="2" shapeId="0" xr:uid="{9FA35FAE-2FE2-49FE-BE00-386DF4A2A76B}">
      <text>
        <t>[Threaded comment]
Your version of Excel allows you to read this threaded comment; however, any edits to it will get removed if the file is opened in a newer version of Excel. Learn more: https://go.microsoft.com/fwlink/?linkid=870924
Comment:
    Estimated from 1litre harvester subsample</t>
      </text>
    </comment>
    <comment ref="AV1" authorId="3" shapeId="0" xr:uid="{343366E4-4AF9-4853-B8FB-081FB8D7EFE3}">
      <text>
        <t>[Threaded comment]
Your version of Excel allows you to read this threaded comment; however, any edits to it will get removed if the file is opened in a newer version of Excel. Learn more: https://go.microsoft.com/fwlink/?linkid=870924
Comment:
    Estimated from 1litre harvester subsample</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tc={0B9C938D-9BD3-4CE8-910B-ED53AAB0ECE4}</author>
    <author>Andre Pasquale</author>
  </authors>
  <commentList>
    <comment ref="N1" authorId="0" shapeId="0" xr:uid="{0B9C938D-9BD3-4CE8-910B-ED53AAB0ECE4}">
      <text>
        <t>[Threaded comment]
Your version of Excel allows you to read this threaded comment; however, any edits to it will get removed if the file is opened in a newer version of Excel. Learn more: https://go.microsoft.com/fwlink/?linkid=870924
Comment:
    1.5m wide plots with two outer border rows excluded from harvest</t>
      </text>
    </comment>
    <comment ref="Y1" authorId="1" shapeId="0" xr:uid="{3BDD7465-E330-4CC8-816C-1D242918BFC9}">
      <text>
        <r>
          <rPr>
            <sz val="11"/>
            <color theme="1"/>
            <rFont val="Calibri"/>
            <family val="2"/>
            <scheme val="minor"/>
          </rPr>
          <t>Andre Pasquale:
Empty calico bag tared</t>
        </r>
      </text>
    </comment>
  </commentList>
</comments>
</file>

<file path=xl/sharedStrings.xml><?xml version="1.0" encoding="utf-8"?>
<sst xmlns="http://schemas.openxmlformats.org/spreadsheetml/2006/main" count="14674" uniqueCount="731">
  <si>
    <t>Site name</t>
  </si>
  <si>
    <t>Paddock name</t>
  </si>
  <si>
    <t>GPS row</t>
  </si>
  <si>
    <t>Location (lat, long)</t>
  </si>
  <si>
    <t>Weather station</t>
  </si>
  <si>
    <t>BOM station</t>
  </si>
  <si>
    <t xml:space="preserve">Mean rainfall (1879-2019) </t>
  </si>
  <si>
    <t>Growing season rainfall (Apr-Nov)</t>
  </si>
  <si>
    <t>Experiment name</t>
  </si>
  <si>
    <t>Harvest index in historic winter and spring wheat cultivars</t>
  </si>
  <si>
    <t>Experiment code</t>
  </si>
  <si>
    <t>Aim</t>
  </si>
  <si>
    <t>To quantify genetic yield gain and phenotypic shifts in Australian winter and spring wheat cultivars due to selection for yield, and elucidate the mechaism responsible for reduced HI in winter wheat</t>
  </si>
  <si>
    <t>Research question</t>
  </si>
  <si>
    <t>What has been the comparitive genetic yield gain in Australian winter and spring wheat cultivars?</t>
  </si>
  <si>
    <t>What phenotypic shifts have been associated with selection for yield in winter and spring wheat cultivars?</t>
  </si>
  <si>
    <t>What are the phenotypic differences between spring and winter wheat that cause comparitively lower HI in winter wheat?</t>
  </si>
  <si>
    <t>Treatments</t>
  </si>
  <si>
    <t>Cultivar nested within habit (spring vs winter) with habit confounded by sow time</t>
  </si>
  <si>
    <t>Habit</t>
  </si>
  <si>
    <t>Sow time</t>
  </si>
  <si>
    <t>Sow order</t>
  </si>
  <si>
    <t>Cultivar</t>
  </si>
  <si>
    <t>Year of release</t>
  </si>
  <si>
    <t>Winter</t>
  </si>
  <si>
    <t>mid April</t>
  </si>
  <si>
    <t>Osprey</t>
  </si>
  <si>
    <t>Rosella</t>
  </si>
  <si>
    <t>Whistler</t>
  </si>
  <si>
    <t>Wylah</t>
  </si>
  <si>
    <t>EGA_Wedgetail</t>
  </si>
  <si>
    <t>LRPB_Kittyhawk</t>
  </si>
  <si>
    <t>Illabo</t>
  </si>
  <si>
    <t>LRPB_Mohawk</t>
  </si>
  <si>
    <t>Spring</t>
  </si>
  <si>
    <t>mid May</t>
  </si>
  <si>
    <t>Meering</t>
  </si>
  <si>
    <t>Janz</t>
  </si>
  <si>
    <t>Yitpi</t>
  </si>
  <si>
    <t>Wyalkatchem</t>
  </si>
  <si>
    <t>EGA_Gregory</t>
  </si>
  <si>
    <t>Mace</t>
  </si>
  <si>
    <t>Scepter</t>
  </si>
  <si>
    <t>Sunmaster</t>
  </si>
  <si>
    <t>!Habit</t>
  </si>
  <si>
    <t>!Sow time</t>
  </si>
  <si>
    <t>Sow time order</t>
  </si>
  <si>
    <t>!Cultivar</t>
  </si>
  <si>
    <t>!Release year</t>
  </si>
  <si>
    <t>!Block</t>
  </si>
  <si>
    <t>!Range</t>
  </si>
  <si>
    <t>!Row</t>
  </si>
  <si>
    <t>Row serp order</t>
  </si>
  <si>
    <t>Range serp order</t>
  </si>
  <si>
    <t>Plot</t>
  </si>
  <si>
    <t>Date</t>
  </si>
  <si>
    <t>Staff</t>
  </si>
  <si>
    <t>Operations</t>
  </si>
  <si>
    <t>Comments</t>
  </si>
  <si>
    <t>Year of Release</t>
  </si>
  <si>
    <t>Source</t>
  </si>
  <si>
    <t>Kernal weight (g)</t>
  </si>
  <si>
    <t>Sowing rate (seeds/m²)</t>
  </si>
  <si>
    <t>Sowing rate (g/m²)</t>
  </si>
  <si>
    <t>Drop length (m)</t>
  </si>
  <si>
    <t>Plot width (m)</t>
  </si>
  <si>
    <t>Sown plot area (m²)</t>
  </si>
  <si>
    <t>Seed per packet (g)</t>
  </si>
  <si>
    <t>LRPB_Mowhawk</t>
  </si>
  <si>
    <t>Measurement</t>
  </si>
  <si>
    <t>Protocol</t>
  </si>
  <si>
    <t>Timing relative to SCDS or PCDS</t>
  </si>
  <si>
    <t>Sample/observation Number per site</t>
  </si>
  <si>
    <t>Approximate date</t>
  </si>
  <si>
    <t>Soil water characterisation for modelling purposes</t>
  </si>
  <si>
    <t>If no APSoil characterisation is available within very close proximity of the site, measurements of in-situ drained upper limit (DUL) and crop lower limit (CLL) and bulk density (BD) at the site as per Burk and Dalgliesh (2008). Cores to be taken to 1.8 m depth (or maximum root depth for the site – if sampling equipment cannot reach 1.8 m, go as deep as you can) and segmented into 0-0.1, 0.1-0.2, 0.2-0.4, 0.4-0.6, 0.6-0.8, 0.8-1.0, 1.0-1.2, 1.2-1.4, 1.4-1.6, 1.6-1.8   m depths (or choose depth increments based on marked changes in soil profile of texture or colour). CLL tents to be applied at PCDS 6.0 and samples to be taken once crop past permanent wilting point.</t>
  </si>
  <si>
    <t>G0 to GR10</t>
  </si>
  <si>
    <t>1 x characterisation site</t>
  </si>
  <si>
    <t>Measure DUL and BD in early August. Erect CLL tents at PCDS 6.0 early September, measure CLL late October once wilting point reached</t>
  </si>
  <si>
    <t>Soil resources</t>
  </si>
  <si>
    <t>8 intact soil cores per site (~2 per block) taken to ideally 1.8 m (or maximum root depth for the site – if sampling equipment cannot reach 1.8 m, go as deep as you can) and segmented into 0-0.1, 0.1-0.2, 0.2-0.4, 0.4-0.6, 0.6-0.8, 0.8-1.0, 1.0-1.2, 1.2-1.4, 1.4-1.6, 1.6-1.8 m  depths or choose depth increments based on marked changes in soil profile of texture or colour) and analysed individually for gravimetric soil water, NO3, NH4, Colwell P  &amp; PBI, exchangeable cations, S, pH, EC, Cl, OC, hand texture, colour, total C, total N. Samples should be sent to Nutrient Advantage and analysed using codes E12, 6B2b, 7A5, Moist, Gravel, Sansiclay2, 7D2b. If you can guarantee rapid delivery (24-48 hours) to Nutrient Advantage, it is OK to send samples at field moisture, otherwise air dry in a well-ventilated soil oven at 40°C prior to shipping. Samples to be retained by Nutrient Advantage and collected by the University of Melbourne for measurement of water retention curves with WP4 dew point potentiometer.</t>
  </si>
  <si>
    <t>Prior to G0</t>
  </si>
  <si>
    <t>8 cores x 10 depths = 80 samples</t>
  </si>
  <si>
    <t>April</t>
  </si>
  <si>
    <t>Predicta B</t>
  </si>
  <si>
    <t>At each of 16 locations across the trial area (4 in each block), collect three soil cores (10 x 100mm core) from along the row of the previous cereal crop if still visible and do not remove any plant debris. Total sample weight should be less than 500g. Air dry in a well-ventilated soil drying oven at 40°C before sending to SARDI for analysis as per Predicta B protocol.</t>
  </si>
  <si>
    <t>1 bulked soil sample</t>
  </si>
  <si>
    <t>Weather</t>
  </si>
  <si>
    <t>An automatic weather station at each site recording incoming solar radiation, shielded air temperature, and rainfall at a minimum of half-hourly intervals. A manual rain gauge to be established at each site and read and emptied each visit as a back-up.</t>
  </si>
  <si>
    <t>G0 to GR100</t>
  </si>
  <si>
    <t>1 x weather station per site</t>
  </si>
  <si>
    <t>From soil sampling onward</t>
  </si>
  <si>
    <t>Emergence (PCDS 3.0)</t>
  </si>
  <si>
    <t>E1</t>
  </si>
  <si>
    <t>64 plots x 4 sampling times = 256 observations</t>
  </si>
  <si>
    <t>Start 20 April and 20 May for each ToS respectively</t>
  </si>
  <si>
    <t>Plant population density</t>
  </si>
  <si>
    <t>Count emerged plants on both sides of a 1 m ruler placed between rows at 4 locations within each plot</t>
  </si>
  <si>
    <t>L2-L3</t>
  </si>
  <si>
    <t>64 plots x 4 locations = 256 observations</t>
  </si>
  <si>
    <t>6 May for ToS 1 and 3 June for ToS 2</t>
  </si>
  <si>
    <t>NDVI &amp; canopy height</t>
  </si>
  <si>
    <t>NDVI &amp; plant height recorded at ~2 weekly intervals (can be longer intervals earlier in season and weekly during critical period). A bare soil measurement should be taken with each reading to allow change in soil signal to be accounted for.</t>
  </si>
  <si>
    <t>64 plots x 14 sampling dates = 896 observations</t>
  </si>
  <si>
    <t>Start 6 May</t>
  </si>
  <si>
    <t>Haun Stage, leaf length and width</t>
  </si>
  <si>
    <r>
      <t xml:space="preserve">As per Celestina et al. (2023). Mark 3 plants per plot and count emerged leaves on the main stem every 1-2 weeks placing a marker on leaf 3, 6, 9 etc and touching plants with fingers as little as possible. The length and width of each tagged leaf </t>
    </r>
    <r>
      <rPr>
        <sz val="11"/>
        <color rgb="FFFF0000"/>
        <rFont val="Calibri"/>
        <family val="2"/>
        <scheme val="minor"/>
      </rPr>
      <t>(including flag leaf</t>
    </r>
    <r>
      <rPr>
        <sz val="11"/>
        <color theme="1"/>
        <rFont val="Calibri"/>
        <family val="2"/>
        <scheme val="minor"/>
      </rPr>
      <t>) should be recorded following emergence of the subsequent leaf.</t>
    </r>
  </si>
  <si>
    <t>L1 to Lx</t>
  </si>
  <si>
    <t>64 plots x 3 plants x 10 sampling dates = 1920 observations</t>
  </si>
  <si>
    <t>Start 13 May ToS 1 and 10 June ToS2</t>
  </si>
  <si>
    <t>PCDS 6.0</t>
  </si>
  <si>
    <r>
      <t xml:space="preserve">As per Celestina et al. (2023) “When the first fully expanded flag leaf is observed, select 10 adjacent plants in the centre row of the plot </t>
    </r>
    <r>
      <rPr>
        <sz val="11"/>
        <color rgb="FFFF0000"/>
        <rFont val="Calibri"/>
        <family val="2"/>
        <scheme val="minor"/>
      </rPr>
      <t>(e.g. in the marked emergence area)</t>
    </r>
    <r>
      <rPr>
        <sz val="11"/>
        <color theme="1"/>
        <rFont val="Calibri"/>
        <family val="2"/>
        <scheme val="minor"/>
      </rPr>
      <t xml:space="preserve"> and tag them to facilitate repeated observations, then count and record </t>
    </r>
    <r>
      <rPr>
        <sz val="11"/>
        <color rgb="FFFF0000"/>
        <rFont val="Calibri"/>
        <family val="2"/>
        <scheme val="minor"/>
      </rPr>
      <t>the number of fertile and infertile tillers</t>
    </r>
    <r>
      <rPr>
        <sz val="11"/>
        <color theme="1"/>
        <rFont val="Calibri"/>
        <family val="2"/>
        <scheme val="minor"/>
      </rPr>
      <t xml:space="preserve"> within these 10 plants. Twice a week on all subsequent visits, count and record the number of culms within the 10 marked plants with fully expanded flag leaves. Continue observations until flag leaves have fully expanded on all culms. Calculate 50% flag leaf appearance date as the date on which the number of culms with flag leaves fully expanded is half the total number of culms.”</t>
    </r>
  </si>
  <si>
    <t>F0 to F2</t>
  </si>
  <si>
    <t>64 plots x 5 sampling dates = 320 observations</t>
  </si>
  <si>
    <t xml:space="preserve">Start 2 September </t>
  </si>
  <si>
    <t>PCDS 8.0 </t>
  </si>
  <si>
    <t>As per Celestina et al. (2023) using the same 10 plants that have already been tagged for observation of PCDS 6.0 “Twice a week on all subsequent visits, count and record the number of spikes within the 10 marked plants on which central florets have flowered. Continue observations until all spikes have at least one central spikelet floret that has flowered. Systematically marking or tagging every spike that has flowered will assist in rapid identification of flowered spikes on subsequent visits. Calculate 50 % anthesis date as the date on which the number of flowered spikes is half the total number of culms.”</t>
  </si>
  <si>
    <t>A10 to A100</t>
  </si>
  <si>
    <t>Start 23 September</t>
  </si>
  <si>
    <t>NDVI, PARi, SPAD, plant height, dry matter at PCDS 6.0 based on individual cultivar stage i.e. different cultivars are cut on different days</t>
  </si>
  <si>
    <r>
      <t xml:space="preserve">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t>
    </r>
    <r>
      <rPr>
        <sz val="11"/>
        <color rgb="FFFF0000"/>
        <rFont val="Aptos Narrow"/>
        <family val="2"/>
      </rPr>
      <t>flag leaf , flag -1 , flag -2  and flag -3 (at base of plant)</t>
    </r>
    <r>
      <rPr>
        <sz val="11"/>
        <color rgb="FF000000"/>
        <rFont val="Aptos Narrow"/>
        <family val="2"/>
      </rPr>
      <t xml:space="preserve">. Canopy height measured (height of canopy as it sits naturally in the plot, do not stretch out leaves). All culms in a 0.5 x all inside rows quadrat (1-1.5 m depending on site) cut at ground level and fresh weight recorded. </t>
    </r>
    <r>
      <rPr>
        <sz val="11"/>
        <color rgb="FFFF0000"/>
        <rFont val="Aptos Narrow"/>
        <family val="2"/>
      </rPr>
      <t>After weighing, take a subsample of 20 culms for partitioning (including fertile and infertile tillers). Record the fresh weight of the sub-sample and discard the main sample</t>
    </r>
    <r>
      <rPr>
        <sz val="11"/>
        <color rgb="FF000000"/>
        <rFont val="Aptos Narrow"/>
        <family val="2"/>
      </rPr>
      <t>. Keep sub-samples in a cold room at 4°C prior to further processing, ideally within 24 hours of harvest. Partition all culms in sub-sample into green leaves (detached at ligule), dead leaves (detached at ligule), stems and spikes dissected from flag leaf sheath and detached at the abcision layer between rachis and peduncle.</t>
    </r>
    <r>
      <rPr>
        <sz val="11"/>
        <color rgb="FFFF0000"/>
        <rFont val="Aptos Narrow"/>
        <family val="2"/>
      </rPr>
      <t xml:space="preserve"> Count and record the number of spikes in the sub-sample - this could be less than 20 if infertilie tillers were included in the subsample.</t>
    </r>
    <r>
      <rPr>
        <sz val="11"/>
        <color rgb="FF000000"/>
        <rFont val="Aptos Narrow"/>
        <family val="2"/>
      </rPr>
      <t xml:space="preserv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r>
  </si>
  <si>
    <t>F1</t>
  </si>
  <si>
    <t>64 plots x 4 partitions = 256 samples</t>
  </si>
  <si>
    <t>~9 September</t>
  </si>
  <si>
    <t>NDVI, PARi, plant height, dry matter at PCDS 8.0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</si>
  <si>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flag leaf (roughly corresponds to 75% plant height), flag -1 (roughly 50% height), flag -2 (roughly 25% height) and flag -3 (at base of plant). Canopy height measured (height of canopy as it sits naturally in the plot, do not stretch out leaves). All culms in a 0.5 x all inside rows quadrat (1-1.5 m depending on site) cut at ground level and fresh weight recorded. After weighing, take a subsample of 20 culms for partitioning (including fertile and infertile tillers). Record the fresh weight of the sub-sample and discard the main sample. Keep sub-samples in a cold room at 4°C prior to further processing, ideally within 24 hours of harvest. Partition all culms in sub-sample into green leaves (detached at ligule), dead leaves (detached at ligule), stems and spikes detached at the abcision layer between rachis and peduncle. Count and record the number of spikes in the sub-sample - this could be less than 20 if infertilie tillers were included in the subsample.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</si>
  <si>
    <t>A100</t>
  </si>
  <si>
    <t>~30 September</t>
  </si>
  <si>
    <t>Frost induced sterility</t>
  </si>
  <si>
    <t>Sample 10 spikes from throughout the canopy in each plot toward the end of grain filling while spikes are still green. On each spike, count and record the the number of competent spikelets and then open or squeeze the first floret on each spikelet to check if there is a grain in the floret. Record the number of florets that do not have a grain.</t>
  </si>
  <si>
    <t>SCDS GF50</t>
  </si>
  <si>
    <t>64 plots x 10 spikes = 640 samples</t>
  </si>
  <si>
    <t>~30 October</t>
  </si>
  <si>
    <t>Yield components</t>
  </si>
  <si>
    <t>All culms in a 0.5 m (1.0 m if there is not enough plot remaining for a machine harvest) x all inside rows quadrat (1-1.5 m depending on site) cut at ground level. A sub-sample of 20 culms taken and exact culm number including number of fertilie and infertile culms counted and recorded. Dry main sample at 70°C for 48 hours in a fan forced oven, record weight of whole sample and thresh grain and record weight of grain. Sub-sample partitioned into dead leaves (detached at ligule), stems and spikes (detached at abscision layer between rachis and peduncle), placed into labelled paper bags and dried at 70°C for 48 hours in a fan forced over and dry weight recorded. Spikes threshed and grain and chaff retained and weights recorded. Weight of 200 grains recorded. All samples retained and ground through 1mm sieve for MIR analysis for N, WSC and 13C. </t>
  </si>
  <si>
    <t>PCDS 10.0</t>
  </si>
  <si>
    <t>~18 November</t>
  </si>
  <si>
    <t>Intraspecific competition</t>
  </si>
  <si>
    <t>All culms in 0.5  m (1.0 m if no machine harvest and yield component quadrat bigger) of outside rows at either end of the yield component quadrat cut (see above) cut at ground level, placed in a paper bag, dried at 70°C for 48 hours and dry weight recorded before being threshed and total grain dry weight and weight of 200-grains recorded.</t>
  </si>
  <si>
    <t>64 plots = 64 samples</t>
  </si>
  <si>
    <t>Machine harvest grain yield &amp; quality</t>
  </si>
  <si>
    <t>Record any areas of missing row, quantitative estimates of any damage to plots (e.g. birds, hail etc) and with a plot combine harvest remaining area of plots (centre rows only) and record weight and moisture content of harvested grain. Retain a sub-sample and measure protein, screenings &amp; test weight.</t>
  </si>
  <si>
    <t>GR100</t>
  </si>
  <si>
    <t>~9 December</t>
  </si>
  <si>
    <t>Year</t>
  </si>
  <si>
    <t>Day</t>
  </si>
  <si>
    <t>Daily radiation (MJ/m²)</t>
  </si>
  <si>
    <t>Maximum temperature (°C)</t>
  </si>
  <si>
    <t>Minimum temperature (°C)</t>
  </si>
  <si>
    <t>Rain (mm)</t>
  </si>
  <si>
    <t>Measurement number</t>
  </si>
  <si>
    <t>Measurement date</t>
  </si>
  <si>
    <t>Plants emerged (plants/1 m of row)</t>
  </si>
  <si>
    <t>Row spacing (m)</t>
  </si>
  <si>
    <t>Bare soil NDVI</t>
  </si>
  <si>
    <t>CV</t>
  </si>
  <si>
    <t>Plot NDVI</t>
  </si>
  <si>
    <t>Plot CV</t>
  </si>
  <si>
    <t>Canopy height (cm)</t>
  </si>
  <si>
    <t>Plant 2 Haun stage</t>
  </si>
  <si>
    <t>Plant 3 Haun stage</t>
  </si>
  <si>
    <t xml:space="preserve">Plant 1 Tiller No </t>
  </si>
  <si>
    <t>Plant 2 Tiller No</t>
  </si>
  <si>
    <t>Plant 3 Tiller No</t>
  </si>
  <si>
    <t>Leaf number</t>
  </si>
  <si>
    <t>Leaf width 1</t>
  </si>
  <si>
    <t>Leaf width 2</t>
  </si>
  <si>
    <t>Leaf width 3</t>
  </si>
  <si>
    <t>Mean leaf width (mm)</t>
  </si>
  <si>
    <t>Leaf length 1</t>
  </si>
  <si>
    <t>Leaf length 2</t>
  </si>
  <si>
    <t>Leaf length 3</t>
  </si>
  <si>
    <t>Mean leaf length (cm)</t>
  </si>
  <si>
    <t>Count number</t>
  </si>
  <si>
    <t>Count date</t>
  </si>
  <si>
    <t>Count of competent culms</t>
  </si>
  <si>
    <t>Count of competent culms on which flag leaf ligule visible</t>
  </si>
  <si>
    <t>% flag leaves emerged</t>
  </si>
  <si>
    <t>NDVI of quadrat area</t>
  </si>
  <si>
    <t>Tau [T] at ground level</t>
  </si>
  <si>
    <t>Tau [T] at 25% of canopy height</t>
  </si>
  <si>
    <t>Tau [T] at 50% of canopy height</t>
  </si>
  <si>
    <t>Tau [T] at 75% of canopy height</t>
  </si>
  <si>
    <t>PARi at ground level</t>
  </si>
  <si>
    <t>PARi at 25% of canopy height</t>
  </si>
  <si>
    <t>PARi at 50% of canopy height</t>
  </si>
  <si>
    <t>PARi at 75% of canopy height</t>
  </si>
  <si>
    <t>SPAD of lowest leaves reading 1</t>
  </si>
  <si>
    <t>SPAD of lowest leaves reading 2</t>
  </si>
  <si>
    <t>SPAD of lowest leaves reading 3</t>
  </si>
  <si>
    <t>SPAD of lowest leaves reading 4</t>
  </si>
  <si>
    <t>SPAD at 25% of canopy height reading 1</t>
  </si>
  <si>
    <t>SPAD at 25% of canopy height reading 2</t>
  </si>
  <si>
    <t>SPAD at 25% of canopy height reading 3</t>
  </si>
  <si>
    <t>SPAD at 25% of canopy height reading 4</t>
  </si>
  <si>
    <t>SPAD at 50% of canopy height reading 1</t>
  </si>
  <si>
    <t>SPAD at 50% of canopy height reading 2</t>
  </si>
  <si>
    <t>SPAD at 50% of canopy height reading 3</t>
  </si>
  <si>
    <t>SPAD at 50% of canopy height reading 4</t>
  </si>
  <si>
    <t>SPAD at 75% of canopy height reading 1</t>
  </si>
  <si>
    <t>SPAD at 75% of canopy height reading 2</t>
  </si>
  <si>
    <t>SPAD at 75% of canopy height reading 3</t>
  </si>
  <si>
    <t>SPAD at 75% of canopy height reading 4</t>
  </si>
  <si>
    <t>SPAD of flag leaf reading 1</t>
  </si>
  <si>
    <t>SPAD of flag leaf reading 2</t>
  </si>
  <si>
    <t>SPAD of flag leaf reading 3</t>
  </si>
  <si>
    <t>SPAD of flag leaf reading 4</t>
  </si>
  <si>
    <t>Area of quadrat cut (m²)</t>
  </si>
  <si>
    <t>Fresh weight of main sample (g)</t>
  </si>
  <si>
    <t>Fresh shoot biomass (g/m2)</t>
  </si>
  <si>
    <t>Fresh weight of sub sample (g)</t>
  </si>
  <si>
    <t>Number of culms in sub-sample</t>
  </si>
  <si>
    <t>Fresh weight of subsample for moisture content (30 culms) (g)</t>
  </si>
  <si>
    <t>Dry weight of subsample for moisture content (30 culms) (g)</t>
  </si>
  <si>
    <t xml:space="preserve">Number of culms in subsample for moisture content </t>
  </si>
  <si>
    <t>Dry weight of green leaves from 20 culms (g)</t>
  </si>
  <si>
    <t>Dry weight of dead leaves from 20 culms (g)</t>
  </si>
  <si>
    <t>Dry weight of stems from 20 culms (g)</t>
  </si>
  <si>
    <t>Dry weight of spikes from 20 culms (g)</t>
  </si>
  <si>
    <t>Dry weight of 20 culms (g)</t>
  </si>
  <si>
    <t>Dry weight of a single culm (g)</t>
  </si>
  <si>
    <t>Fresh weight of a single culm (g)</t>
  </si>
  <si>
    <t>Dry matter proportion of main sample (g/g)</t>
  </si>
  <si>
    <t>Estimated dry weight of main sample (g)</t>
  </si>
  <si>
    <t>Estimated dry matter at PCDS 6.0 (g/m²)</t>
  </si>
  <si>
    <t>Green leaf fraction (g/g)</t>
  </si>
  <si>
    <t>Dead leaf fraction (g/g)</t>
  </si>
  <si>
    <t>Stem fraction (g/g)</t>
  </si>
  <si>
    <t>Spike fraction (g/g)</t>
  </si>
  <si>
    <t>Grean leaf dry matter (g/m²)</t>
  </si>
  <si>
    <t>Dead leaf dry matter (g/m²)</t>
  </si>
  <si>
    <t>Stem dry matter (g/m²)</t>
  </si>
  <si>
    <t>Spike dry matter (g/m²)</t>
  </si>
  <si>
    <t>Mean SPAD of lowest leaves</t>
  </si>
  <si>
    <t>Mean SPAD at 25% of canopy height</t>
  </si>
  <si>
    <t xml:space="preserve">Mean SPAD at 50% of canopy height </t>
  </si>
  <si>
    <t>Mean SPAD at 75% of canopy height</t>
  </si>
  <si>
    <t>Mean SPAD of flag leaf</t>
  </si>
  <si>
    <t>Count of competent culms on which central florets have flowered</t>
  </si>
  <si>
    <t>% anthesis</t>
  </si>
  <si>
    <t>Spike No</t>
  </si>
  <si>
    <t>Sum of all fractions (g)</t>
  </si>
  <si>
    <t>Estimated dry matter at PCDS 8.0 (g/m²)</t>
  </si>
  <si>
    <t>Competent spikelet No on culm 1</t>
  </si>
  <si>
    <t>Competent spikelet No on culm 2</t>
  </si>
  <si>
    <t>Competent spikelet No on culm 3</t>
  </si>
  <si>
    <t>Competent spikelet No on culm 4</t>
  </si>
  <si>
    <t>Competent spikelet No on culm 5</t>
  </si>
  <si>
    <t>Competent spikelet No on culm 6</t>
  </si>
  <si>
    <t>Competent spikelet No on culm 7</t>
  </si>
  <si>
    <t>Competent spikelet No on culm 8</t>
  </si>
  <si>
    <t>Competent spikelet No on culm 9</t>
  </si>
  <si>
    <t>Competent spikelet No on culm 10</t>
  </si>
  <si>
    <t>Infertile spikelet No on culm 1</t>
  </si>
  <si>
    <t>Infertile spikelet No on culm 2</t>
  </si>
  <si>
    <t>Infertile spikelet No on culm 3</t>
  </si>
  <si>
    <t>Infertile spikelet No on culm 4</t>
  </si>
  <si>
    <t>Infertile spikelet No on culm 5</t>
  </si>
  <si>
    <t>Infertile spikelet No on culm 6</t>
  </si>
  <si>
    <t>Infertile spikelet No on culm 7</t>
  </si>
  <si>
    <t>Infertile spikelet No on culm 8</t>
  </si>
  <si>
    <t>Infertile spikelet No on culm 9</t>
  </si>
  <si>
    <t>Infertile spikelet No on culm 10</t>
  </si>
  <si>
    <t>Sterility (%) on culm 1</t>
  </si>
  <si>
    <t>Sterility (%) on culm 2</t>
  </si>
  <si>
    <t>Sterility (%) on culm 3</t>
  </si>
  <si>
    <t>Sterility (%) on culm 4</t>
  </si>
  <si>
    <t>Sterility (%) on culm 5</t>
  </si>
  <si>
    <t>Sterility (%) on culm 6</t>
  </si>
  <si>
    <t>Sterility (%) on culm 7</t>
  </si>
  <si>
    <t>Sterility (%) on culm 8</t>
  </si>
  <si>
    <t>Sterility (%) on culm 9</t>
  </si>
  <si>
    <t>Sterility (%) on culm 10</t>
  </si>
  <si>
    <t>Harvest date</t>
  </si>
  <si>
    <t>Dry weight of quadrat cut (g)</t>
  </si>
  <si>
    <t>Grain weight of quadrat cut (g)</t>
  </si>
  <si>
    <t>Dry weight of outside rows (g)</t>
  </si>
  <si>
    <t>Grain weight of outside rows (g)</t>
  </si>
  <si>
    <t>Outside row HI</t>
  </si>
  <si>
    <t>Dry weight of dead leaves from sub-sample (g)</t>
  </si>
  <si>
    <t>Dry weight of stems from sub-sample (g)</t>
  </si>
  <si>
    <t>Dry weight of spikes from sub-sample (g)</t>
  </si>
  <si>
    <t>Dry weight of grain from sub-sample (g)</t>
  </si>
  <si>
    <t>Dry weight of chaff from sub-sample (g)</t>
  </si>
  <si>
    <t>Dry weight of ~200 grain (g)</t>
  </si>
  <si>
    <t>Dry weight of sub-sample (g)</t>
  </si>
  <si>
    <t>Estimated dry matter at PCDS 10.0 (g/m²)</t>
  </si>
  <si>
    <t>Grain fraction (g/g)</t>
  </si>
  <si>
    <t>Chaff fraction (g/g)</t>
  </si>
  <si>
    <t>Grain dry matter (g/m²)</t>
  </si>
  <si>
    <t>Chaff dry matter (g/m²)</t>
  </si>
  <si>
    <t>Whole sample grain yield (g/m²)</t>
  </si>
  <si>
    <t>Yield response to competition</t>
  </si>
  <si>
    <t>Biomass response to competition</t>
  </si>
  <si>
    <t>Individual grain weight (mg)</t>
  </si>
  <si>
    <t>Grain number (grains/m²)</t>
  </si>
  <si>
    <t>Length of machine harvestable area (m)</t>
  </si>
  <si>
    <t>Missing row (m)</t>
  </si>
  <si>
    <t>Harvested area (m²)</t>
  </si>
  <si>
    <t>Weight of harvested grain (kg)</t>
  </si>
  <si>
    <t>Machine harvest yield (t/ha)</t>
  </si>
  <si>
    <t>Dry weight of 200 grains (g)</t>
  </si>
  <si>
    <t>Protein (%)</t>
  </si>
  <si>
    <t>Test weight (kg/hl)</t>
  </si>
  <si>
    <r>
      <t xml:space="preserve">As per (Celestina et al. 2023) “In the centre row of each plot, mark out one linear metre of crop row using pin markers or similar. Twice a week, count and record the number of plants that have emerged in this linear metre. Continue observations until two consecutive counts are the same, indicating no more plants have emerged. Calculate 50 % seedling emergence date as the date on which half of the final number of plants have emerged by interpolating observations.” </t>
    </r>
    <r>
      <rPr>
        <sz val="11"/>
        <color rgb="FFFF0000"/>
        <rFont val="Calibri"/>
        <family val="2"/>
        <scheme val="minor"/>
      </rPr>
      <t>The number of tillers will also be counted on these emergence areas at growth stage Z30 by marking 10 plants after the emergence count</t>
    </r>
    <r>
      <rPr>
        <sz val="11"/>
        <color theme="1"/>
        <rFont val="Calibri"/>
        <family val="2"/>
        <scheme val="minor"/>
      </rPr>
      <t>.</t>
    </r>
  </si>
  <si>
    <t>Lateral</t>
  </si>
  <si>
    <t>N</t>
  </si>
  <si>
    <t>GPS</t>
  </si>
  <si>
    <t>Buffer</t>
  </si>
  <si>
    <t xml:space="preserve">Location </t>
  </si>
  <si>
    <t>Wagga DPI Lateral Irrigation</t>
  </si>
  <si>
    <t>Mowhawk</t>
  </si>
  <si>
    <t>EGA Wedgetail</t>
  </si>
  <si>
    <t>LRPB Kittyhawk</t>
  </si>
  <si>
    <t>Entries</t>
  </si>
  <si>
    <t>16 (8 winters and 8 springs)</t>
  </si>
  <si>
    <t>Reps/Blocks</t>
  </si>
  <si>
    <t>16 entries nested within 2 sow dates and confounded by sow date</t>
  </si>
  <si>
    <t>EGA Gregory</t>
  </si>
  <si>
    <t>Sowing dates</t>
  </si>
  <si>
    <t>Plot dimension</t>
  </si>
  <si>
    <t>Seeder width</t>
  </si>
  <si>
    <t>1.5m with 2m centers</t>
  </si>
  <si>
    <t>Winter variety plot or Sow date 1</t>
  </si>
  <si>
    <t>Spring variety plot or Sow date 2</t>
  </si>
  <si>
    <t>Row</t>
  </si>
  <si>
    <t>Sample Barcode</t>
  </si>
  <si>
    <t>Grower Name</t>
  </si>
  <si>
    <t>Field Name</t>
  </si>
  <si>
    <t>Field Section</t>
  </si>
  <si>
    <t>Depth From</t>
  </si>
  <si>
    <t>Depth To</t>
  </si>
  <si>
    <t>Purchase Order No.</t>
  </si>
  <si>
    <t>Product Code</t>
  </si>
  <si>
    <t>Sampled Date</t>
  </si>
  <si>
    <t>Sample Received Date</t>
  </si>
  <si>
    <t>Report Number</t>
  </si>
  <si>
    <t>Sample Reviewed Date</t>
  </si>
  <si>
    <t>Customer Name</t>
  </si>
  <si>
    <t>pH (1:5 Water)</t>
  </si>
  <si>
    <t>pH (1:5 CaCl2)</t>
  </si>
  <si>
    <t>Electrical Conductivity</t>
  </si>
  <si>
    <t>EC Saturation Index</t>
  </si>
  <si>
    <t>Chloride</t>
  </si>
  <si>
    <t>Nitrate Nitrogen</t>
  </si>
  <si>
    <t>Ammonium Nitrogen</t>
  </si>
  <si>
    <t>Total (Kjeldahl) Nitrogen</t>
  </si>
  <si>
    <t>Total Phosphorus</t>
  </si>
  <si>
    <t>Phosphorus - Colwell</t>
  </si>
  <si>
    <t>Phosphorus - Olsen</t>
  </si>
  <si>
    <t>Phosphorus - Bray</t>
  </si>
  <si>
    <t>Phosphorus Buffer Index - Colwell</t>
  </si>
  <si>
    <t>Potassium - Colwell</t>
  </si>
  <si>
    <t>Calcium (Amm. Acet.)</t>
  </si>
  <si>
    <t>Potassium (Amm. Acet.)</t>
  </si>
  <si>
    <t>Magnesium (Amm. Acet.)</t>
  </si>
  <si>
    <t>Sodium (Amm. Acet.)</t>
  </si>
  <si>
    <t>Cation Exchange Capacity - excl. Al (Amm. Acet.)</t>
  </si>
  <si>
    <t>Calcium/Magnesium Ratio (Amm. Acet.)</t>
  </si>
  <si>
    <t>Sodium % of Cations - excl. Al (Amm. Acet.)</t>
  </si>
  <si>
    <t>Aluminium (KCl)</t>
  </si>
  <si>
    <t>Cation Exchange Capacity - incl. Al (Amm. Acet.)</t>
  </si>
  <si>
    <t>Sodium % of Cations - incl. Al (Amm. Acet.)</t>
  </si>
  <si>
    <t>Aluminium (KCl) % of Cations</t>
  </si>
  <si>
    <t>Copper (DTPA)</t>
  </si>
  <si>
    <t>Iron (DTPA)</t>
  </si>
  <si>
    <t>Manganese (DTPA)</t>
  </si>
  <si>
    <t>Zinc (DTPA)</t>
  </si>
  <si>
    <t>Boron</t>
  </si>
  <si>
    <t>Sulphur (KCl40)</t>
  </si>
  <si>
    <t>Sulphur (MCP)</t>
  </si>
  <si>
    <t>Organic Carbon</t>
  </si>
  <si>
    <t>Phosphorus - BSES</t>
  </si>
  <si>
    <t>Silicon - BSES</t>
  </si>
  <si>
    <t>Silicon - CaCl</t>
  </si>
  <si>
    <t>Zinc - HCl</t>
  </si>
  <si>
    <t>Potassium - Nitric K</t>
  </si>
  <si>
    <t>Colour</t>
  </si>
  <si>
    <t>Texture</t>
  </si>
  <si>
    <t>Dispersion Index</t>
  </si>
  <si>
    <t>Slaking 2 Hours</t>
  </si>
  <si>
    <t>Buffer pH</t>
  </si>
  <si>
    <t>As received Moisture Content (2B1)</t>
  </si>
  <si>
    <t>Silt</t>
  </si>
  <si>
    <t>Clay</t>
  </si>
  <si>
    <t>Sand Coarse</t>
  </si>
  <si>
    <t>Sand Fine</t>
  </si>
  <si>
    <t>Carbonate</t>
  </si>
  <si>
    <t>Phosphorus (Lactate)</t>
  </si>
  <si>
    <t>Emerson Class</t>
  </si>
  <si>
    <t>Hydrometer Texture (Calculated)</t>
  </si>
  <si>
    <t>Total Soluble Salts - Soil</t>
  </si>
  <si>
    <t>Sodium Adsorption Ratio</t>
  </si>
  <si>
    <t>Phosphorus (Concentration DGT)</t>
  </si>
  <si>
    <t>Available Potassium (Amm. Acet.)</t>
  </si>
  <si>
    <t>Potentially Mineralisable Nitrogen</t>
  </si>
  <si>
    <t>Potassium_Colwell</t>
  </si>
  <si>
    <t>Phosphorus Buffer Index - Olsen</t>
  </si>
  <si>
    <t>Aluminium - Mehlich3</t>
  </si>
  <si>
    <t>Boron - Mehlich3</t>
  </si>
  <si>
    <t>Calcium - Mehlich3</t>
  </si>
  <si>
    <t>Copper - Mehlich3</t>
  </si>
  <si>
    <t>Iron - Mehlich3</t>
  </si>
  <si>
    <t>Potassium - Mehlich3</t>
  </si>
  <si>
    <t>Magnesium - Mehlich3</t>
  </si>
  <si>
    <t>Manganese - Mehlich3</t>
  </si>
  <si>
    <t>Sodium - Mehlich3</t>
  </si>
  <si>
    <t>Phosphorus - Mehlich3</t>
  </si>
  <si>
    <t>Sulphur - Mehlich3</t>
  </si>
  <si>
    <t>Zinc - Mehlich3</t>
  </si>
  <si>
    <t>Phosphorus Saturation Ratio - Mehlich3</t>
  </si>
  <si>
    <t>EC - Saturated Paste</t>
  </si>
  <si>
    <t>Calcium - Saturated Paste</t>
  </si>
  <si>
    <t>Potassium - Saturated Paste</t>
  </si>
  <si>
    <t>Magnesium - Saturated Paste</t>
  </si>
  <si>
    <t>Sodium - Saturated Paste</t>
  </si>
  <si>
    <t>Calcium % of Cations</t>
  </si>
  <si>
    <t>Magnesium % of Cations</t>
  </si>
  <si>
    <t>Potassium % of Cations</t>
  </si>
  <si>
    <t>Exch. Calcium - Method 15C1</t>
  </si>
  <si>
    <t>Exch. Magnesium - Method 15C1</t>
  </si>
  <si>
    <t>Exch. Potassium - Method 15C1</t>
  </si>
  <si>
    <t>Exch. Sodium - Method 15C1</t>
  </si>
  <si>
    <t>Cation Exchange Capacity - Method 15C1</t>
  </si>
  <si>
    <t>Total Carbon (Combustion)</t>
  </si>
  <si>
    <t>Total Nitrogen (Combustion)</t>
  </si>
  <si>
    <t>Total Aluminium</t>
  </si>
  <si>
    <t>Total Calcium</t>
  </si>
  <si>
    <t>Total Cadmium</t>
  </si>
  <si>
    <t>Total Chromium</t>
  </si>
  <si>
    <t>Total Copper</t>
  </si>
  <si>
    <t>Total Iron</t>
  </si>
  <si>
    <t>Total Potassium</t>
  </si>
  <si>
    <t>Total Magnesium</t>
  </si>
  <si>
    <t>Total Manganese</t>
  </si>
  <si>
    <t>Total Sodium</t>
  </si>
  <si>
    <t>Total Nickel</t>
  </si>
  <si>
    <t>Total Lead</t>
  </si>
  <si>
    <t>Total Sulphur</t>
  </si>
  <si>
    <t>Total Zinc</t>
  </si>
  <si>
    <t>Aluminium (BaCl/NH4Cl)</t>
  </si>
  <si>
    <t>Calcium (BaCl/NH4Cl)</t>
  </si>
  <si>
    <t>Potassium (BaCl/NH4Cl)</t>
  </si>
  <si>
    <t>Magnesium (BaCl/NH4Cl)</t>
  </si>
  <si>
    <t>Sodium (BaCl/NH4Cl)</t>
  </si>
  <si>
    <t>CEC (BaCl/NH4Cl)</t>
  </si>
  <si>
    <t>Aluminium % of Cations (BaCl/NH4Cl)</t>
  </si>
  <si>
    <t>Calcium % of Cations (BaCl/NH4Cl)</t>
  </si>
  <si>
    <t>Potassium % of Cations (BaCl/NH4Cl)</t>
  </si>
  <si>
    <t>Magnesium % of Cations (BaCl/NH4Cl)</t>
  </si>
  <si>
    <t>Sodium % of Cations (BaCl/NH4Cl)</t>
  </si>
  <si>
    <t>Exch. Calcium (Pre-Wash)</t>
  </si>
  <si>
    <t>Exch. Magnesium (Pre-Wash)</t>
  </si>
  <si>
    <t>Exch. Potassium (Pre-Wash)</t>
  </si>
  <si>
    <t>Exch. Sodium (Pre-Wash)</t>
  </si>
  <si>
    <t>Ca/Mg Ratio (Pre-Wash)</t>
  </si>
  <si>
    <t>Cation Exchange Capacity (Pre-Wash)</t>
  </si>
  <si>
    <t>Aluminium % of Cations (Pre-Wash)</t>
  </si>
  <si>
    <t>Sodium % of Cations (Pre-Wash)</t>
  </si>
  <si>
    <t>Extractable Aluminium (0.01M CaCl2)</t>
  </si>
  <si>
    <t>Gravel (&gt;2mm) of whole sample</t>
  </si>
  <si>
    <t>Sand</t>
  </si>
  <si>
    <t>Phosphorous (Bray 2 strong)</t>
  </si>
  <si>
    <t>Water Soluble Calcium</t>
  </si>
  <si>
    <t>Water Soluble Magnesium</t>
  </si>
  <si>
    <t>Water Soluble Potassium</t>
  </si>
  <si>
    <t>Water Soluble Sodium</t>
  </si>
  <si>
    <t>Soil Mass (Sat. Ext.)</t>
  </si>
  <si>
    <t>Water Mass (Sat. Ext.)</t>
  </si>
  <si>
    <t>Saturation Percentage</t>
  </si>
  <si>
    <t>Fizz test (Carbonates)</t>
  </si>
  <si>
    <t>Phosphorus - Saturated Paste</t>
  </si>
  <si>
    <t>Sulphur - Saturated Paste</t>
  </si>
  <si>
    <t>Boron - Saturated Paste</t>
  </si>
  <si>
    <t>Extractable Manganese (0.01M CaCl2)</t>
  </si>
  <si>
    <t>Air Dry Moisture Content (2A1)</t>
  </si>
  <si>
    <t>Total Organic Carbon (Heanes)</t>
  </si>
  <si>
    <t>Molybdenum (Hot CaCl2)</t>
  </si>
  <si>
    <t>C:N Ratio</t>
  </si>
  <si>
    <t>Soil Bulk Density</t>
  </si>
  <si>
    <t>Active (labile) Carbon</t>
  </si>
  <si>
    <t>Total Organic Carbon (Combustion)</t>
  </si>
  <si>
    <t>Air Dry Mass (whole sample 40oC)</t>
  </si>
  <si>
    <t>Oven Dry Mass (whole sample 105oC)</t>
  </si>
  <si>
    <t>Gravimetric Water Content</t>
  </si>
  <si>
    <t>&lt;0.002mm Clay</t>
  </si>
  <si>
    <t>0.002-0.02mm Fine &amp; Med Silt</t>
  </si>
  <si>
    <t>0.02-0.063mm Coarse Silt</t>
  </si>
  <si>
    <t>0.063-0.2mm Fine Sand</t>
  </si>
  <si>
    <t>0.2-2mm Med &amp; Coarse Sand</t>
  </si>
  <si>
    <t>Gravel weight</t>
  </si>
  <si>
    <t>Total Arsenic</t>
  </si>
  <si>
    <t>Total Cobalt</t>
  </si>
  <si>
    <t>Total Molybdenum</t>
  </si>
  <si>
    <t>Total Selenium</t>
  </si>
  <si>
    <t>Total Vanadium</t>
  </si>
  <si>
    <t>Microbial Respiration (CO2 Burst)</t>
  </si>
  <si>
    <t>Faecal Coliforms</t>
  </si>
  <si>
    <t>Escherichia coli (E.Coli)</t>
  </si>
  <si>
    <t>Total Coliforms</t>
  </si>
  <si>
    <t>Air Dry Mass (&lt;2mm Sub-Sample 40oC)</t>
  </si>
  <si>
    <t>Oven Dry Mass (&lt;2mm Sub-Sample 105oC)</t>
  </si>
  <si>
    <t>Mass of Gravel</t>
  </si>
  <si>
    <t>Mass of non-Gravel</t>
  </si>
  <si>
    <t>Phosphorus Environmental Risk Index (PERI)</t>
  </si>
  <si>
    <t>dS/m</t>
  </si>
  <si>
    <t>mg/kg</t>
  </si>
  <si>
    <t>%</t>
  </si>
  <si>
    <t>cmol(+)/kg</t>
  </si>
  <si>
    <t>ug\L</t>
  </si>
  <si>
    <t>mg/L</t>
  </si>
  <si>
    <t>g</t>
  </si>
  <si>
    <t>g/cm3</t>
  </si>
  <si>
    <t>mg/L CO2</t>
  </si>
  <si>
    <t>MPN/100mL</t>
  </si>
  <si>
    <t>MPN/g</t>
  </si>
  <si>
    <t>E12</t>
  </si>
  <si>
    <t>Analysis Systems Cash Sales GI</t>
  </si>
  <si>
    <t>&lt;10</t>
  </si>
  <si>
    <t>&lt;0.10</t>
  </si>
  <si>
    <t>&lt;1</t>
  </si>
  <si>
    <t>Red-brown</t>
  </si>
  <si>
    <t>&lt;9.0</t>
  </si>
  <si>
    <t>&lt;0.022</t>
  </si>
  <si>
    <t>Clay Loam</t>
  </si>
  <si>
    <t>Brown</t>
  </si>
  <si>
    <t>Yellow-red</t>
  </si>
  <si>
    <t>&lt;0.050</t>
  </si>
  <si>
    <t>&lt;5.0</t>
  </si>
  <si>
    <t>&lt;0.15</t>
  </si>
  <si>
    <t>Yellow-brown</t>
  </si>
  <si>
    <t>Red</t>
  </si>
  <si>
    <t xml:space="preserve"> Research Samples  </t>
  </si>
  <si>
    <t>SARDI Molecular Diagnostics Centre</t>
  </si>
  <si>
    <t>Gate 2A, Hartley Gr.</t>
  </si>
  <si>
    <t>P 08 8429 2229</t>
  </si>
  <si>
    <t>Client</t>
  </si>
  <si>
    <t>Brad Baxter</t>
  </si>
  <si>
    <t>URRBRAE SA 5064</t>
  </si>
  <si>
    <t>Email</t>
  </si>
  <si>
    <t>brad.baxter@dpi.nsw.gov.au</t>
  </si>
  <si>
    <t>Note: Results are now reported as raw values only, and have not been log transformed</t>
  </si>
  <si>
    <t>SampleNo</t>
  </si>
  <si>
    <t>Notes</t>
  </si>
  <si>
    <t>Paddock</t>
  </si>
  <si>
    <t>Received Wt</t>
  </si>
  <si>
    <t>Processed Wt</t>
  </si>
  <si>
    <t>Screenings(%)</t>
  </si>
  <si>
    <t>Jordan</t>
  </si>
  <si>
    <t>Mick</t>
  </si>
  <si>
    <t>Gravimetric_Water_Content %</t>
  </si>
  <si>
    <t>Julian Day</t>
  </si>
  <si>
    <t>Plant Haun stage</t>
  </si>
  <si>
    <t>Plant</t>
  </si>
  <si>
    <t>Fresh weight of single culm</t>
  </si>
  <si>
    <t>Fresh weight of single culm (g)</t>
  </si>
  <si>
    <t>MeanSterility (%)</t>
  </si>
  <si>
    <t>MeanSpikeletNumber(perSpike)</t>
  </si>
  <si>
    <t>Trial site</t>
  </si>
  <si>
    <t>WAGGA WAGGA AMO</t>
  </si>
  <si>
    <t>Count 1 (1 m ruler)</t>
  </si>
  <si>
    <t>Count 2 (1 m ruler)</t>
  </si>
  <si>
    <t>Count 3 (1 m ruler)</t>
  </si>
  <si>
    <t>Count 4 (1 m ruler)</t>
  </si>
  <si>
    <t>Count 5 (1 m ruler)</t>
  </si>
  <si>
    <t>Count 6 (1 m ruler)</t>
  </si>
  <si>
    <t>Mean count (1 m ruler)</t>
  </si>
  <si>
    <t>Plant population density (plants/m2)</t>
  </si>
  <si>
    <t xml:space="preserve">Measurent date </t>
  </si>
  <si>
    <t>Flag leaf angle 1</t>
  </si>
  <si>
    <t>Flag-1 leaf angle 1</t>
  </si>
  <si>
    <t>Flag-2 leaf angle 1</t>
  </si>
  <si>
    <t>Flag leaf angle 2</t>
  </si>
  <si>
    <t>Flag-1 leaf angle 2</t>
  </si>
  <si>
    <t>Flag-2 leaf angle 2</t>
  </si>
  <si>
    <t>Flag leaf angle 3</t>
  </si>
  <si>
    <t>Flag-1 leaf angle 3</t>
  </si>
  <si>
    <t>Flag-2 leaf angle 3</t>
  </si>
  <si>
    <t>Flag leaf angle average</t>
  </si>
  <si>
    <t>Flag leaf-1 angle average</t>
  </si>
  <si>
    <t>Flag leaf-2 angle average</t>
  </si>
  <si>
    <t>Tiller Number m2</t>
  </si>
  <si>
    <t>Spike/leaf ratio</t>
  </si>
  <si>
    <t>Plant tissue moisture (%)</t>
  </si>
  <si>
    <t>Plot No</t>
  </si>
  <si>
    <t>Grain No</t>
  </si>
  <si>
    <t>Harvest index_Subsample</t>
  </si>
  <si>
    <t>Harvest index_quadrat</t>
  </si>
  <si>
    <t>Moisture_Harvester (%)</t>
  </si>
  <si>
    <t>Moisture_Lab (%)</t>
  </si>
  <si>
    <t>Machine harvest sub-sample (calico bag) weight (g)</t>
  </si>
  <si>
    <t>Thermal time (Base T 0)</t>
  </si>
  <si>
    <t>Thermal time (Base T 4)</t>
  </si>
  <si>
    <t>EstimatedSpikeNumber(m2)</t>
  </si>
  <si>
    <t>Grains Per Spike</t>
  </si>
  <si>
    <t>Wagga Wagga 2025</t>
  </si>
  <si>
    <t>6 rows sown to 12m &amp; cut back to ~9m</t>
  </si>
  <si>
    <t>Jordan PhD Wagga Historic set 2025</t>
  </si>
  <si>
    <t>PHDA25WARI2</t>
  </si>
  <si>
    <t>Range</t>
  </si>
  <si>
    <t>block 1</t>
  </si>
  <si>
    <t>block 2</t>
  </si>
  <si>
    <t>block 3</t>
  </si>
  <si>
    <t>block 4</t>
  </si>
  <si>
    <t>Winters</t>
  </si>
  <si>
    <t>Springs</t>
  </si>
  <si>
    <t>Irrigation</t>
  </si>
  <si>
    <t>Knockdown of Muster450 at 2L/Ha + Striker 75ml</t>
  </si>
  <si>
    <t>Spraying</t>
  </si>
  <si>
    <t>Clare</t>
  </si>
  <si>
    <t>Jordan/Mick</t>
  </si>
  <si>
    <t>Coring</t>
  </si>
  <si>
    <t>Starting moisture and nutrient cores taken</t>
  </si>
  <si>
    <t>Sowing/Spraying</t>
  </si>
  <si>
    <t>Jordan/Rick</t>
  </si>
  <si>
    <r>
      <t xml:space="preserve">Pre-em spray Sakura 118g, TriflurX at 1L, Avidex Xtra 1.6L, and 1.2L weedmaster DUO. Sow </t>
    </r>
    <r>
      <rPr>
        <b/>
        <sz val="11"/>
        <color theme="1"/>
        <rFont val="Calibri"/>
        <family val="2"/>
        <scheme val="minor"/>
      </rPr>
      <t>Winters or SD1 of experiment</t>
    </r>
    <r>
      <rPr>
        <sz val="11"/>
        <color theme="1"/>
        <rFont val="Calibri"/>
        <family val="2"/>
        <scheme val="minor"/>
      </rPr>
      <t xml:space="preserve"> with 100kg/ha MAP treated with flutriofol</t>
    </r>
  </si>
  <si>
    <t>Spray whole lateral post sowing with SprayTop 330 at 1.8L/ha and 100l/ha h20 for early ryegrass.</t>
  </si>
  <si>
    <t>20mm overhead irrigation to trial area</t>
  </si>
  <si>
    <t>Springs or SD2 area pre-ems applied of Weedmaster duo 1.4L, Sakura 118g, TriflurX 1L and AvidexXtra 1.6L.</t>
  </si>
  <si>
    <r>
      <rPr>
        <b/>
        <sz val="11"/>
        <color theme="1"/>
        <rFont val="Calibri"/>
        <family val="2"/>
        <scheme val="minor"/>
      </rPr>
      <t>Springs or SD2 sown</t>
    </r>
    <r>
      <rPr>
        <sz val="11"/>
        <color theme="1"/>
        <rFont val="Calibri"/>
        <family val="2"/>
        <scheme val="minor"/>
      </rPr>
      <t xml:space="preserve"> with 100kg/ha flut treated MAP</t>
    </r>
  </si>
  <si>
    <t>Sowing</t>
  </si>
  <si>
    <t xml:space="preserve">Remainng fill sown all around trials </t>
  </si>
  <si>
    <t xml:space="preserve">6mm over all trial area </t>
  </si>
  <si>
    <t>Spray cutouts in trial 1.2L crucial</t>
  </si>
  <si>
    <t>sprayed for broadleaves with:
Paradigm at 25g, MCPA LVE 570 at 630ml, and uptake 0.5% with 100L/ha h20 rate with tractor boom</t>
  </si>
  <si>
    <t>sprayed with chlorpyrifos at 500ml/ha for aphids</t>
  </si>
  <si>
    <t>Fungicide sprayed with AmistarXtra at 400ml/ha</t>
  </si>
  <si>
    <t>Spreading</t>
  </si>
  <si>
    <t>Tractor and calibrated fert spreader applied 60kg/ha urea to trial</t>
  </si>
  <si>
    <t>Soil cores for DUL taken.</t>
  </si>
  <si>
    <t>Jordan/Russell</t>
  </si>
  <si>
    <t>Tent erection</t>
  </si>
  <si>
    <t>Tent 2 of placed over may sown spring wheat fill at north and south side of trial</t>
  </si>
  <si>
    <t>Spayed 190g/ha aphidex for aphids and Sprayed 400ml/ha amistar xtra as fungicide</t>
  </si>
  <si>
    <t>Sprayed prosaro at 300ml/ha as fungicide</t>
  </si>
  <si>
    <t>Sprayed bumper at 200ml/ha as fungicide</t>
  </si>
  <si>
    <t>Machine harvest</t>
  </si>
  <si>
    <t>Soil cores for CLL taken.</t>
  </si>
  <si>
    <t>Harvested all plots with plot harvester and weighed sample with onboard weighing system</t>
  </si>
  <si>
    <t>Activity</t>
  </si>
  <si>
    <t>Comment</t>
  </si>
  <si>
    <t>Organic Matter (C * 1.72)</t>
  </si>
  <si>
    <t>Water Repellence of soil (MED)</t>
  </si>
  <si>
    <t>Exchangeable Acidity</t>
  </si>
  <si>
    <t>Lime Req to pH 5.5</t>
  </si>
  <si>
    <t>Lime Req to pH 6.0</t>
  </si>
  <si>
    <t>Lime Req to pH 6.5</t>
  </si>
  <si>
    <t>t/ha</t>
  </si>
  <si>
    <t>Charles Sturt University</t>
  </si>
  <si>
    <t>Lateral  7</t>
  </si>
  <si>
    <t>PU193202</t>
  </si>
  <si>
    <t>Lateral  6</t>
  </si>
  <si>
    <t>Lateral  8</t>
  </si>
  <si>
    <t>Lateral  4</t>
  </si>
  <si>
    <t>Lateral  3</t>
  </si>
  <si>
    <t>Lateral  5</t>
  </si>
  <si>
    <t>Lateral  1</t>
  </si>
  <si>
    <t>Lateral  2</t>
  </si>
  <si>
    <t>Yellow</t>
  </si>
  <si>
    <t>Sample time</t>
  </si>
  <si>
    <t>Stubble added</t>
  </si>
  <si>
    <r>
      <rPr>
        <b/>
        <i/>
        <u/>
        <sz val="10"/>
        <rFont val="Arial"/>
        <family val="2"/>
      </rPr>
      <t>Cereal Cyst Nematode 
eggs / g sample</t>
    </r>
  </si>
  <si>
    <r>
      <rPr>
        <b/>
        <i/>
        <u/>
        <sz val="10"/>
        <rFont val="Arial"/>
        <family val="2"/>
      </rPr>
      <t>Stem nematode
nematodes/100 g sample</t>
    </r>
  </si>
  <si>
    <r>
      <rPr>
        <b/>
        <i/>
        <u/>
        <sz val="10"/>
        <rFont val="Arial"/>
        <family val="2"/>
      </rPr>
      <t>Take-all (wheat + oat strains)
pgDNA/g Sample*</t>
    </r>
  </si>
  <si>
    <r>
      <rPr>
        <b/>
        <i/>
        <u/>
        <sz val="10"/>
        <rFont val="Arial"/>
        <family val="2"/>
      </rPr>
      <t>Take-All (Oat race)
pgDNA/g Sample*</t>
    </r>
  </si>
  <si>
    <r>
      <rPr>
        <b/>
        <i/>
        <u/>
        <sz val="10"/>
        <rFont val="Arial"/>
        <family val="2"/>
      </rPr>
      <t>R. solani AG8
pgDNA/g Sample*</t>
    </r>
  </si>
  <si>
    <r>
      <rPr>
        <b/>
        <i/>
        <u/>
        <sz val="10"/>
        <rFont val="Arial"/>
        <family val="2"/>
      </rPr>
      <t>F. pseudograminearum test 1
pgDNA/g Sample*</t>
    </r>
  </si>
  <si>
    <r>
      <rPr>
        <b/>
        <i/>
        <u/>
        <sz val="10"/>
        <rFont val="Arial"/>
        <family val="2"/>
      </rPr>
      <t>F. pseudograminearum test 2
pgDNA/g Sample*</t>
    </r>
  </si>
  <si>
    <r>
      <rPr>
        <b/>
        <i/>
        <u/>
        <sz val="10"/>
        <rFont val="Arial"/>
        <family val="2"/>
      </rPr>
      <t>F culmorum / graminearum
pgDNA/g Sample*</t>
    </r>
  </si>
  <si>
    <r>
      <rPr>
        <b/>
        <i/>
        <u/>
        <sz val="10"/>
        <rFont val="Arial"/>
        <family val="2"/>
      </rPr>
      <t>Pyrenophora tritici-repentis (YLS)
kDNA copies/g Sample*</t>
    </r>
  </si>
  <si>
    <r>
      <rPr>
        <b/>
        <i/>
        <u/>
        <sz val="10"/>
        <rFont val="Arial"/>
        <family val="2"/>
      </rPr>
      <t>Bipolaris
pgDNA/g Sample*</t>
    </r>
  </si>
  <si>
    <r>
      <rPr>
        <b/>
        <i/>
        <u/>
        <sz val="10"/>
        <rFont val="Arial"/>
        <family val="2"/>
      </rPr>
      <t>Pythium clade F
pgDNA/g Sample*</t>
    </r>
  </si>
  <si>
    <r>
      <rPr>
        <b/>
        <i/>
        <u/>
        <sz val="10"/>
        <rFont val="Arial"/>
        <family val="2"/>
      </rPr>
      <t>Eutiarosporella tritici-australis 
kDNA copies/g Sample*</t>
    </r>
  </si>
  <si>
    <r>
      <rPr>
        <b/>
        <i/>
        <u/>
        <sz val="10"/>
        <rFont val="Arial"/>
        <family val="2"/>
      </rPr>
      <t>Eutiarosporella darliae/pseudodarliae
kDNA copies/g Sample*</t>
    </r>
  </si>
  <si>
    <r>
      <rPr>
        <b/>
        <i/>
        <u/>
        <sz val="10"/>
        <rFont val="Arial"/>
        <family val="2"/>
      </rPr>
      <t>Eyespot
kDNA copies/g Sample*</t>
    </r>
  </si>
  <si>
    <r>
      <rPr>
        <b/>
        <i/>
        <u/>
        <sz val="10"/>
        <rFont val="Arial"/>
        <family val="2"/>
      </rPr>
      <t>Pratylenchus neglectus
nematodes / g sample</t>
    </r>
  </si>
  <si>
    <r>
      <rPr>
        <b/>
        <i/>
        <u/>
        <sz val="10"/>
        <rFont val="Arial"/>
        <family val="2"/>
      </rPr>
      <t>Pratylenchus thornei
nematodes / g sample</t>
    </r>
  </si>
  <si>
    <r>
      <rPr>
        <b/>
        <i/>
        <u/>
        <sz val="10"/>
        <rFont val="Arial"/>
        <family val="2"/>
      </rPr>
      <t>Pratylenchus penetrans
nematodes / g sample</t>
    </r>
  </si>
  <si>
    <r>
      <rPr>
        <b/>
        <i/>
        <u/>
        <sz val="10"/>
        <rFont val="Arial"/>
        <family val="2"/>
      </rPr>
      <t>Pratylenchus quasitereoides
nematodes / g sample</t>
    </r>
  </si>
  <si>
    <r>
      <rPr>
        <b/>
        <i/>
        <u/>
        <sz val="10"/>
        <rFont val="Arial"/>
        <family val="2"/>
      </rPr>
      <t>Phytophthora medicaginis
kDNA copies/g Sample*</t>
    </r>
  </si>
  <si>
    <r>
      <rPr>
        <b/>
        <i/>
        <u/>
        <sz val="10"/>
        <rFont val="Arial"/>
        <family val="2"/>
      </rPr>
      <t>Didymella pinodes/Phoma pinodella
pgDNA/g Sample*</t>
    </r>
  </si>
  <si>
    <r>
      <rPr>
        <b/>
        <i/>
        <u/>
        <sz val="10"/>
        <rFont val="Arial"/>
        <family val="2"/>
      </rPr>
      <t>Phoma koolunga
pgDNA/g Sample*</t>
    </r>
  </si>
  <si>
    <r>
      <rPr>
        <b/>
        <i/>
        <u/>
        <sz val="10"/>
        <rFont val="Arial"/>
        <family val="2"/>
      </rPr>
      <t>Macrophomina phaseolina
kDNA copies/g Sample*</t>
    </r>
  </si>
  <si>
    <r>
      <rPr>
        <b/>
        <i/>
        <u/>
        <sz val="10"/>
        <rFont val="Arial"/>
        <family val="2"/>
      </rPr>
      <t>Phoma rabiei
kDNA copies/g Sample*</t>
    </r>
  </si>
  <si>
    <r>
      <rPr>
        <b/>
        <i/>
        <u/>
        <sz val="10"/>
        <rFont val="Arial"/>
        <family val="2"/>
      </rPr>
      <t>Sclerotinia sclerotiorum/S. minor
kDNA copies/g Sample*</t>
    </r>
  </si>
  <si>
    <t>No</t>
  </si>
  <si>
    <t>BE21708</t>
  </si>
  <si>
    <t>Plant1</t>
  </si>
  <si>
    <t>Plant2</t>
  </si>
  <si>
    <t>Plant3</t>
  </si>
  <si>
    <t>Flag</t>
  </si>
  <si>
    <t>27/11/25</t>
  </si>
  <si>
    <t>Depth From (cm)</t>
  </si>
  <si>
    <t>Depth To (cm)</t>
  </si>
  <si>
    <t>layer_thickness_mm</t>
  </si>
  <si>
    <t>Organic Carbon %</t>
  </si>
  <si>
    <t xml:space="preserve"> Nitrate Nitrogen (mg/kg)</t>
  </si>
  <si>
    <t>Ammonium Nitrogen (mg/kg)</t>
  </si>
  <si>
    <t>CLL_wheat (mm/mm)</t>
  </si>
  <si>
    <t>DUL_wheat (mm/mm)</t>
  </si>
  <si>
    <t>Volumetric water content</t>
  </si>
  <si>
    <t>PAW_2025_04_17</t>
  </si>
  <si>
    <t>PAWC</t>
  </si>
  <si>
    <t xml:space="preserve">Porosity </t>
  </si>
  <si>
    <t>Saturation</t>
  </si>
  <si>
    <t>Rainfall period</t>
  </si>
  <si>
    <t>total (mm)</t>
  </si>
  <si>
    <t>Estimated crop water supply</t>
  </si>
  <si>
    <t>Nov-March</t>
  </si>
  <si>
    <t>March Irrigation</t>
  </si>
  <si>
    <t>April Irrigation</t>
  </si>
  <si>
    <t>PAW_20250417_mm</t>
  </si>
  <si>
    <t>May Irrigation</t>
  </si>
  <si>
    <t>17-Apr-October rain</t>
  </si>
  <si>
    <t>Estimated water limited yield</t>
  </si>
  <si>
    <t>Actual trial max yield     9.15t/ha</t>
  </si>
  <si>
    <t>Average trial yield  7.45t/ha</t>
  </si>
  <si>
    <r>
      <t>Bulk density (g/cm</t>
    </r>
    <r>
      <rPr>
        <vertAlign val="superscript"/>
        <sz val="11"/>
        <color rgb="FF242424"/>
        <rFont val="Calibri"/>
        <family val="2"/>
      </rPr>
      <t>2</t>
    </r>
    <r>
      <rPr>
        <sz val="11"/>
        <color rgb="FF242424"/>
        <rFont val="Calibri"/>
        <family val="2"/>
      </rPr>
      <t>)</t>
    </r>
  </si>
  <si>
    <t>nitrogen percent dead leaf</t>
  </si>
  <si>
    <t>Isotopic C Green leaf</t>
  </si>
  <si>
    <t>Nitrogen percent green leaf leaf</t>
  </si>
  <si>
    <t>WSC percent green leaf</t>
  </si>
  <si>
    <t>Isotopic C dead leaf</t>
  </si>
  <si>
    <t>WSC percent dead leaf</t>
  </si>
  <si>
    <t>Isotopic C stem</t>
  </si>
  <si>
    <t>nitrogen percent stem</t>
  </si>
  <si>
    <t>WSC percent stem</t>
  </si>
  <si>
    <t>Isotopic C spike</t>
  </si>
  <si>
    <t>nitrogen percent spike</t>
  </si>
  <si>
    <t>WSC percent spike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</si>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</sst>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C"/>
    <numFmt numFmtId="167" formatCode="0.0000"/>
  </numFmts>
  <fonts count="30" x14ac:knownFonts="1">
    <font>
      <sz val="11"/>
      <color theme="1"/>
      <name val="Calibri"/>
      <family val="2"/>
      <scheme val="minor"/>
    </font>
    <font>
      <b/>
      <sz val="11"/>
      <color theme="1"/>
      <name val="Calibri"/>
      <family val="2"/>
      <scheme val="minor"/>
    </font>
    <font>
      <sz val="11"/>
      <color rgb="FF000000"/>
      <name val="Calibri"/>
      <family val="2"/>
    </font>
    <font>
      <sz val="11"/>
      <color theme="1"/>
      <name val="Calibri"/>
      <family val="2"/>
    </font>
    <font>
      <sz val="11"/>
      <name val="Calibri"/>
      <family val="2"/>
      <scheme val="minor"/>
    </font>
    <font>
      <sz val="10"/>
      <name val="Arial"/>
      <family val="2"/>
    </font>
    <font>
      <sz val="8"/>
      <name val="Calibri"/>
      <family val="2"/>
      <scheme val="minor"/>
    </font>
    <font>
      <sz val="11"/>
      <color rgb="FFFF0000"/>
      <name val="Calibri"/>
      <family val="2"/>
      <scheme val="minor"/>
    </font>
    <font>
      <b/>
      <sz val="11"/>
      <name val="Calibri"/>
      <family val="2"/>
      <scheme val="minor"/>
    </font>
    <font>
      <sz val="11"/>
      <color rgb="FFC00000"/>
      <name val="Calibri"/>
      <family val="2"/>
      <scheme val="minor"/>
    </font>
    <font>
      <sz val="11"/>
      <color rgb="FF002060"/>
      <name val="Calibri"/>
      <family val="2"/>
      <scheme val="minor"/>
    </font>
    <font>
      <b/>
      <sz val="11"/>
      <color theme="1"/>
      <name val="Calibri"/>
      <family val="2"/>
    </font>
    <font>
      <sz val="11"/>
      <name val="Calibri"/>
      <family val="2"/>
    </font>
    <font>
      <b/>
      <sz val="11"/>
      <color rgb="FF002060"/>
      <name val="Calibri"/>
      <family val="2"/>
      <scheme val="minor"/>
    </font>
    <font>
      <sz val="11"/>
      <color theme="1"/>
      <name val="Calibri"/>
      <family val="2"/>
      <scheme val="minor"/>
    </font>
    <font>
      <sz val="11"/>
      <color rgb="FF000000"/>
      <name val="Aptos Narrow"/>
      <family val="2"/>
    </font>
    <font>
      <sz val="11"/>
      <color rgb="FFFF0000"/>
      <name val="Aptos Narrow"/>
      <family val="2"/>
    </font>
    <font>
      <sz val="11"/>
      <color rgb="FFFF0000"/>
      <name val="Calibri"/>
      <family val="2"/>
    </font>
    <font>
      <b/>
      <sz val="14"/>
      <color theme="1"/>
      <name val="Calibri"/>
      <family val="2"/>
      <scheme val="minor"/>
    </font>
    <font>
      <b/>
      <sz val="12"/>
      <color theme="1"/>
      <name val="Calibri"/>
      <family val="2"/>
      <scheme val="minor"/>
    </font>
    <font>
      <b/>
      <sz val="16"/>
      <name val="Arial"/>
      <family val="2"/>
    </font>
    <font>
      <b/>
      <sz val="10"/>
      <name val="Arial"/>
      <family val="2"/>
    </font>
    <font>
      <b/>
      <i/>
      <u/>
      <sz val="10"/>
      <name val="Arial"/>
      <family val="2"/>
    </font>
    <font>
      <sz val="11"/>
      <color rgb="FF000000"/>
      <name val="Calibri"/>
      <family val="2"/>
    </font>
    <font>
      <sz val="9"/>
      <color rgb="FF000000"/>
      <name val="Arial"/>
      <family val="2"/>
    </font>
    <font>
      <b/>
      <sz val="11"/>
      <color rgb="FFFF0000"/>
      <name val="Calibri"/>
      <family val="2"/>
      <scheme val="minor"/>
    </font>
    <font>
      <vertAlign val="superscript"/>
      <sz val="11"/>
      <color rgb="FF242424"/>
      <name val="Calibri"/>
      <family val="2"/>
    </font>
    <font>
      <sz val="11"/>
      <color rgb="FF242424"/>
      <name val="Calibri"/>
      <family val="2"/>
    </font>
    <font>
      <b/>
      <sz val="11"/>
      <color rgb="FF000000"/>
      <name val="Calibri"/>
      <family val="2"/>
      <scheme val="minor"/>
    </font>
    <font>
      <sz val="11"/>
      <color rgb="FF000000"/>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s>
  <cellStyleXfs count="3">
    <xf numFmtId="0" fontId="0" fillId="0" borderId="0"/>
    <xf numFmtId="0" fontId="14" fillId="0" borderId="0"/>
    <xf numFmtId="0" fontId="5" fillId="0" borderId="0"/>
  </cellStyleXfs>
  <cellXfs count="144">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horizontal="center" wrapText="1"/>
    </xf>
    <xf numFmtId="0" fontId="0" fillId="0" borderId="0" xfId="0" applyAlignment="1">
      <alignment horizontal="center"/>
    </xf>
    <xf numFmtId="0" fontId="3" fillId="0" borderId="0" xfId="0" applyFont="1"/>
    <xf numFmtId="165" fontId="0" fillId="0" borderId="0" xfId="0" applyNumberFormat="1" applyAlignment="1">
      <alignment horizontal="center"/>
    </xf>
    <xf numFmtId="1" fontId="0" fillId="0" borderId="0" xfId="0" applyNumberFormat="1" applyAlignment="1">
      <alignment horizontal="center"/>
    </xf>
    <xf numFmtId="165" fontId="1" fillId="0" borderId="0" xfId="0" applyNumberFormat="1" applyFont="1" applyAlignment="1">
      <alignment horizontal="center" wrapText="1"/>
    </xf>
    <xf numFmtId="1" fontId="1" fillId="0" borderId="0" xfId="0" applyNumberFormat="1" applyFont="1" applyAlignment="1">
      <alignment horizontal="center" wrapText="1"/>
    </xf>
    <xf numFmtId="164" fontId="1" fillId="0" borderId="0" xfId="0" applyNumberFormat="1" applyFont="1" applyAlignment="1">
      <alignment horizontal="center" wrapText="1"/>
    </xf>
    <xf numFmtId="164" fontId="0" fillId="0" borderId="0" xfId="0" applyNumberFormat="1"/>
    <xf numFmtId="14" fontId="0" fillId="0" borderId="0" xfId="0" applyNumberFormat="1"/>
    <xf numFmtId="0" fontId="1"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1" fillId="0" borderId="0" xfId="0" applyFont="1" applyAlignment="1">
      <alignment vertical="top"/>
    </xf>
    <xf numFmtId="14" fontId="0" fillId="0" borderId="0" xfId="0" applyNumberFormat="1" applyAlignment="1">
      <alignment vertical="top"/>
    </xf>
    <xf numFmtId="0" fontId="0" fillId="0" borderId="0" xfId="0" applyAlignment="1">
      <alignment vertical="top"/>
    </xf>
    <xf numFmtId="1" fontId="4" fillId="0" borderId="0" xfId="0" applyNumberFormat="1" applyFont="1" applyAlignment="1">
      <alignment horizontal="center"/>
    </xf>
    <xf numFmtId="1" fontId="0" fillId="0" borderId="0" xfId="0" applyNumberFormat="1"/>
    <xf numFmtId="14" fontId="0" fillId="0" borderId="0" xfId="0" applyNumberFormat="1" applyAlignment="1">
      <alignment wrapText="1"/>
    </xf>
    <xf numFmtId="2" fontId="1" fillId="0" borderId="0" xfId="0" applyNumberFormat="1" applyFont="1" applyAlignment="1">
      <alignment horizontal="center" wrapText="1"/>
    </xf>
    <xf numFmtId="2"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7" fillId="0" borderId="0" xfId="0" applyFont="1"/>
    <xf numFmtId="2" fontId="0" fillId="0" borderId="0" xfId="0" applyNumberFormat="1"/>
    <xf numFmtId="164" fontId="4" fillId="0" borderId="0" xfId="0" applyNumberFormat="1" applyFont="1" applyAlignment="1">
      <alignment horizontal="center"/>
    </xf>
    <xf numFmtId="0" fontId="1" fillId="0" borderId="0" xfId="0" applyFont="1" applyAlignment="1">
      <alignment horizontal="center"/>
    </xf>
    <xf numFmtId="0" fontId="8" fillId="0" borderId="0" xfId="0" applyFont="1" applyAlignment="1">
      <alignment horizontal="center" wrapText="1"/>
    </xf>
    <xf numFmtId="0" fontId="4" fillId="0" borderId="0" xfId="0" applyFont="1" applyAlignment="1">
      <alignment horizontal="center"/>
    </xf>
    <xf numFmtId="0" fontId="4" fillId="0" borderId="0" xfId="0" applyFont="1"/>
    <xf numFmtId="14" fontId="4" fillId="0" borderId="0" xfId="0" applyNumberFormat="1" applyFont="1" applyAlignment="1">
      <alignment horizontal="center"/>
    </xf>
    <xf numFmtId="2" fontId="4" fillId="0" borderId="0" xfId="0" applyNumberFormat="1" applyFont="1" applyAlignment="1">
      <alignment horizontal="center"/>
    </xf>
    <xf numFmtId="2" fontId="4" fillId="0" borderId="0" xfId="0" applyNumberFormat="1" applyFont="1"/>
    <xf numFmtId="1" fontId="4" fillId="0" borderId="0" xfId="0" applyNumberFormat="1" applyFont="1"/>
    <xf numFmtId="1" fontId="8" fillId="0" borderId="0" xfId="0" applyNumberFormat="1" applyFont="1" applyAlignment="1">
      <alignment horizontal="center"/>
    </xf>
    <xf numFmtId="1" fontId="1" fillId="0" borderId="0" xfId="0" applyNumberFormat="1" applyFont="1" applyAlignment="1">
      <alignment horizontal="center"/>
    </xf>
    <xf numFmtId="14" fontId="4" fillId="0" borderId="0" xfId="0" applyNumberFormat="1" applyFont="1"/>
    <xf numFmtId="0" fontId="4" fillId="0" borderId="0" xfId="0" applyFont="1" applyAlignment="1">
      <alignment horizontal="right"/>
    </xf>
    <xf numFmtId="0" fontId="1" fillId="0" borderId="0" xfId="0" applyFont="1" applyAlignment="1">
      <alignment horizontal="right" wrapText="1"/>
    </xf>
    <xf numFmtId="0" fontId="0" fillId="0" borderId="0" xfId="0" applyAlignment="1">
      <alignment horizontal="right"/>
    </xf>
    <xf numFmtId="49" fontId="4" fillId="0" borderId="0" xfId="0" applyNumberFormat="1" applyFont="1" applyAlignment="1">
      <alignment horizontal="center"/>
    </xf>
    <xf numFmtId="0" fontId="10" fillId="0" borderId="0" xfId="0" applyFont="1" applyAlignment="1">
      <alignment horizontal="right"/>
    </xf>
    <xf numFmtId="0" fontId="9" fillId="0" borderId="0" xfId="0" applyFont="1"/>
    <xf numFmtId="0" fontId="4" fillId="0" borderId="0" xfId="0" applyFont="1" applyAlignment="1">
      <alignment vertical="top" wrapText="1"/>
    </xf>
    <xf numFmtId="0" fontId="3" fillId="0" borderId="0" xfId="0" applyFont="1" applyAlignment="1">
      <alignment vertical="center" wrapText="1"/>
    </xf>
    <xf numFmtId="2" fontId="8" fillId="0" borderId="0" xfId="0" applyNumberFormat="1" applyFont="1" applyAlignment="1">
      <alignment horizontal="center" wrapText="1"/>
    </xf>
    <xf numFmtId="165" fontId="0" fillId="0" borderId="0" xfId="0" applyNumberFormat="1"/>
    <xf numFmtId="49" fontId="8" fillId="0" borderId="0" xfId="0" applyNumberFormat="1" applyFont="1" applyAlignment="1">
      <alignment horizontal="center" wrapText="1"/>
    </xf>
    <xf numFmtId="164" fontId="8" fillId="0" borderId="0" xfId="0" applyNumberFormat="1" applyFont="1" applyAlignment="1">
      <alignment horizontal="center" wrapText="1"/>
    </xf>
    <xf numFmtId="0" fontId="11" fillId="0" borderId="0" xfId="0" applyFont="1" applyAlignment="1">
      <alignment horizontal="center" wrapText="1"/>
    </xf>
    <xf numFmtId="0" fontId="12" fillId="0" borderId="0" xfId="0" applyFont="1"/>
    <xf numFmtId="0" fontId="12" fillId="0" borderId="0" xfId="0" applyFont="1" applyAlignment="1">
      <alignment horizontal="right"/>
    </xf>
    <xf numFmtId="0" fontId="3" fillId="0" borderId="0" xfId="0" applyFont="1" applyAlignment="1">
      <alignment horizontal="right"/>
    </xf>
    <xf numFmtId="0" fontId="13" fillId="0" borderId="0" xfId="0" applyFont="1" applyAlignment="1">
      <alignment horizontal="right" wrapText="1"/>
    </xf>
    <xf numFmtId="0" fontId="14" fillId="0" borderId="0" xfId="1"/>
    <xf numFmtId="0" fontId="15" fillId="0" borderId="0" xfId="0" applyFont="1" applyAlignment="1">
      <alignment vertical="top" wrapText="1"/>
    </xf>
    <xf numFmtId="0" fontId="15" fillId="0" borderId="0" xfId="0" applyFont="1"/>
    <xf numFmtId="0" fontId="17" fillId="0" borderId="0" xfId="0" applyFont="1"/>
    <xf numFmtId="14" fontId="1" fillId="0" borderId="0" xfId="0" applyNumberFormat="1" applyFont="1"/>
    <xf numFmtId="0" fontId="18" fillId="0" borderId="0" xfId="0" applyFont="1"/>
    <xf numFmtId="0" fontId="0" fillId="2" borderId="1" xfId="0" applyFill="1" applyBorder="1"/>
    <xf numFmtId="0" fontId="0" fillId="3" borderId="1" xfId="0" applyFill="1" applyBorder="1"/>
    <xf numFmtId="0" fontId="19" fillId="0" borderId="0" xfId="0" applyFont="1"/>
    <xf numFmtId="0" fontId="0" fillId="0" borderId="0" xfId="0" applyAlignment="1">
      <alignment horizontal="center" wrapText="1"/>
    </xf>
    <xf numFmtId="0" fontId="0" fillId="0" borderId="0" xfId="0" applyAlignment="1">
      <alignment horizontal="right" wrapText="1"/>
    </xf>
    <xf numFmtId="0" fontId="22" fillId="0" borderId="0" xfId="0" applyFont="1" applyAlignment="1">
      <alignment horizontal="center" wrapText="1"/>
    </xf>
    <xf numFmtId="1" fontId="0" fillId="0" borderId="0" xfId="0" applyNumberFormat="1" applyAlignment="1">
      <alignment horizontal="right" wrapText="1"/>
    </xf>
    <xf numFmtId="1" fontId="0" fillId="0" borderId="0" xfId="0" applyNumberFormat="1" applyAlignment="1">
      <alignment horizontal="center" wrapText="1"/>
    </xf>
    <xf numFmtId="1" fontId="0" fillId="0" borderId="0" xfId="0" applyNumberFormat="1" applyAlignment="1">
      <alignment wrapText="1"/>
    </xf>
    <xf numFmtId="2" fontId="0" fillId="0" borderId="0" xfId="0" applyNumberFormat="1" applyAlignment="1">
      <alignment horizontal="center" wrapText="1"/>
    </xf>
    <xf numFmtId="166" fontId="0" fillId="0" borderId="0" xfId="0" applyNumberFormat="1"/>
    <xf numFmtId="17" fontId="3" fillId="0" borderId="0" xfId="0" applyNumberFormat="1" applyFont="1"/>
    <xf numFmtId="16" fontId="3" fillId="0" borderId="0" xfId="0" applyNumberFormat="1" applyFont="1"/>
    <xf numFmtId="14" fontId="7" fillId="0" borderId="0" xfId="0" applyNumberFormat="1" applyFont="1"/>
    <xf numFmtId="0" fontId="0" fillId="0" borderId="2" xfId="0" applyBorder="1"/>
    <xf numFmtId="0" fontId="0" fillId="0" borderId="3" xfId="0" applyBorder="1" applyAlignment="1">
      <alignment vertical="top"/>
    </xf>
    <xf numFmtId="0" fontId="0" fillId="0" borderId="3" xfId="0" applyBorder="1"/>
    <xf numFmtId="0" fontId="0" fillId="0" borderId="3" xfId="0"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14" fontId="23" fillId="0" borderId="0" xfId="0" applyNumberFormat="1" applyFont="1"/>
    <xf numFmtId="14" fontId="2" fillId="0" borderId="0" xfId="0" applyNumberFormat="1" applyFont="1"/>
    <xf numFmtId="0" fontId="0" fillId="0" borderId="0" xfId="0" applyFill="1"/>
    <xf numFmtId="0" fontId="1" fillId="5" borderId="0" xfId="0" applyFont="1" applyFill="1" applyAlignment="1">
      <alignment horizontal="center" wrapText="1"/>
    </xf>
    <xf numFmtId="164" fontId="1" fillId="0" borderId="0" xfId="0" applyNumberFormat="1" applyFont="1" applyAlignment="1">
      <alignment horizontal="right"/>
    </xf>
    <xf numFmtId="0" fontId="1" fillId="0" borderId="0" xfId="0" applyFont="1" applyFill="1" applyAlignment="1">
      <alignment horizontal="center" wrapText="1"/>
    </xf>
    <xf numFmtId="0" fontId="4" fillId="0" borderId="0" xfId="0" applyFont="1" applyFill="1" applyAlignment="1">
      <alignment horizontal="center"/>
    </xf>
    <xf numFmtId="0" fontId="0" fillId="0" borderId="0" xfId="0" applyFill="1" applyAlignment="1">
      <alignment horizontal="center"/>
    </xf>
    <xf numFmtId="2" fontId="8" fillId="0" borderId="0" xfId="0" applyNumberFormat="1" applyFont="1" applyFill="1" applyAlignment="1">
      <alignment horizontal="center" wrapText="1"/>
    </xf>
    <xf numFmtId="2" fontId="4" fillId="0" borderId="0" xfId="0" applyNumberFormat="1" applyFont="1" applyFill="1" applyAlignment="1">
      <alignment horizontal="center"/>
    </xf>
    <xf numFmtId="0" fontId="8" fillId="0" borderId="0" xfId="0" applyFont="1" applyFill="1" applyAlignment="1">
      <alignment horizontal="center" wrapText="1"/>
    </xf>
    <xf numFmtId="0" fontId="8" fillId="0" borderId="0" xfId="0" applyFont="1" applyAlignment="1">
      <alignment horizontal="center"/>
    </xf>
    <xf numFmtId="167" fontId="4" fillId="0" borderId="0" xfId="0" applyNumberFormat="1" applyFont="1" applyAlignment="1">
      <alignment horizontal="center"/>
    </xf>
    <xf numFmtId="0" fontId="24" fillId="0" borderId="0" xfId="0" applyFont="1"/>
    <xf numFmtId="0" fontId="1" fillId="0" borderId="0" xfId="0" applyFont="1" applyAlignment="1">
      <alignment horizontal="left"/>
    </xf>
    <xf numFmtId="0" fontId="25" fillId="0" borderId="0" xfId="0" applyFont="1" applyAlignment="1">
      <alignment horizontal="center" wrapText="1"/>
    </xf>
    <xf numFmtId="0" fontId="0" fillId="6" borderId="1" xfId="0" applyFill="1" applyBorder="1"/>
    <xf numFmtId="0" fontId="0" fillId="7" borderId="1" xfId="0" applyFill="1" applyBorder="1"/>
    <xf numFmtId="0" fontId="0" fillId="0" borderId="4" xfId="0" applyBorder="1"/>
    <xf numFmtId="0" fontId="0" fillId="6" borderId="0" xfId="0" applyFill="1"/>
    <xf numFmtId="0" fontId="0" fillId="7" borderId="0" xfId="0" applyFill="1"/>
    <xf numFmtId="14" fontId="0" fillId="0" borderId="2" xfId="0" applyNumberFormat="1" applyBorder="1" applyAlignment="1">
      <alignment vertical="top"/>
    </xf>
    <xf numFmtId="14" fontId="0" fillId="0" borderId="3" xfId="0" applyNumberFormat="1" applyBorder="1" applyAlignment="1">
      <alignment vertical="top"/>
    </xf>
    <xf numFmtId="14" fontId="1" fillId="8" borderId="3" xfId="0" applyNumberFormat="1" applyFont="1" applyFill="1" applyBorder="1" applyAlignment="1">
      <alignment vertical="top"/>
    </xf>
    <xf numFmtId="0" fontId="5" fillId="0" borderId="0" xfId="2"/>
    <xf numFmtId="0" fontId="22" fillId="0" borderId="0" xfId="2" applyFont="1" applyAlignment="1">
      <alignment horizontal="center" wrapText="1"/>
    </xf>
    <xf numFmtId="0" fontId="5" fillId="0" borderId="0" xfId="2" applyAlignment="1">
      <alignment wrapText="1"/>
    </xf>
    <xf numFmtId="0" fontId="5" fillId="0" borderId="0" xfId="2" applyAlignment="1">
      <alignment horizontal="center" wrapText="1"/>
    </xf>
    <xf numFmtId="0" fontId="22" fillId="0" borderId="0" xfId="2" applyFont="1" applyAlignment="1">
      <alignment wrapText="1"/>
    </xf>
    <xf numFmtId="1" fontId="5" fillId="0" borderId="0" xfId="2" applyNumberFormat="1" applyAlignment="1">
      <alignment horizontal="right" wrapText="1"/>
    </xf>
    <xf numFmtId="1" fontId="5" fillId="0" borderId="0" xfId="2" applyNumberFormat="1" applyAlignment="1">
      <alignment horizontal="center" wrapText="1"/>
    </xf>
    <xf numFmtId="1" fontId="5" fillId="0" borderId="0" xfId="2" applyNumberFormat="1" applyAlignment="1">
      <alignment wrapText="1"/>
    </xf>
    <xf numFmtId="1" fontId="5" fillId="0" borderId="0" xfId="2" applyNumberFormat="1" applyAlignment="1">
      <alignment horizontal="center"/>
    </xf>
    <xf numFmtId="1" fontId="5" fillId="0" borderId="0" xfId="2" applyNumberFormat="1" applyAlignment="1">
      <alignment horizontal="left" wrapText="1"/>
    </xf>
    <xf numFmtId="16" fontId="1" fillId="0" borderId="0" xfId="0" applyNumberFormat="1" applyFont="1"/>
    <xf numFmtId="1" fontId="0" fillId="0" borderId="0" xfId="0" applyNumberFormat="1" applyFill="1"/>
    <xf numFmtId="1" fontId="0" fillId="4" borderId="0" xfId="0" applyNumberFormat="1" applyFill="1"/>
    <xf numFmtId="49" fontId="4" fillId="0" borderId="0" xfId="0" applyNumberFormat="1" applyFont="1" applyAlignment="1">
      <alignment horizontal="left"/>
    </xf>
    <xf numFmtId="1" fontId="8" fillId="0" borderId="0" xfId="0" applyNumberFormat="1" applyFont="1" applyFill="1" applyAlignment="1">
      <alignment horizontal="center" wrapText="1"/>
    </xf>
    <xf numFmtId="2" fontId="1" fillId="0" borderId="0" xfId="0" applyNumberFormat="1" applyFont="1" applyAlignment="1">
      <alignment wrapText="1"/>
    </xf>
    <xf numFmtId="0" fontId="28" fillId="0" borderId="0" xfId="0" applyFont="1" applyAlignment="1">
      <alignment horizontal="center" wrapText="1"/>
    </xf>
    <xf numFmtId="2" fontId="28" fillId="0" borderId="0" xfId="0" applyNumberFormat="1" applyFont="1" applyAlignment="1">
      <alignment horizontal="center" wrapText="1"/>
    </xf>
    <xf numFmtId="0" fontId="29" fillId="0" borderId="0" xfId="0" applyFont="1" applyAlignment="1">
      <alignment horizontal="center"/>
    </xf>
    <xf numFmtId="165" fontId="0" fillId="5" borderId="0" xfId="0" applyNumberFormat="1" applyFill="1"/>
    <xf numFmtId="2" fontId="18" fillId="4" borderId="0" xfId="0" applyNumberFormat="1" applyFont="1" applyFill="1"/>
    <xf numFmtId="0" fontId="19" fillId="4" borderId="0" xfId="0" applyFont="1" applyFill="1"/>
    <xf numFmtId="0" fontId="15" fillId="9" borderId="0" xfId="0" applyFont="1" applyFill="1" applyAlignment="1">
      <alignment vertical="top" wrapText="1"/>
    </xf>
    <xf numFmtId="2" fontId="4" fillId="4" borderId="0" xfId="0" applyNumberFormat="1" applyFont="1" applyFill="1"/>
    <xf numFmtId="14" fontId="0" fillId="10" borderId="0" xfId="0" applyNumberFormat="1" applyFill="1"/>
    <xf numFmtId="2" fontId="10" fillId="0" borderId="0" xfId="0" applyNumberFormat="1" applyFont="1" applyAlignment="1">
      <alignment horizontal="right"/>
    </xf>
    <xf numFmtId="2" fontId="1" fillId="0" borderId="0" xfId="0" applyNumberFormat="1" applyFont="1" applyAlignment="1">
      <alignment horizontal="right"/>
    </xf>
    <xf numFmtId="164" fontId="4" fillId="0" borderId="0" xfId="0" applyNumberFormat="1" applyFont="1" applyFill="1" applyAlignment="1">
      <alignment horizontal="center"/>
    </xf>
    <xf numFmtId="164" fontId="8" fillId="0" borderId="0" xfId="0" applyNumberFormat="1" applyFont="1" applyFill="1" applyAlignment="1">
      <alignment horizontal="center" wrapText="1"/>
    </xf>
    <xf numFmtId="1" fontId="4" fillId="0" borderId="0" xfId="0" applyNumberFormat="1" applyFont="1" applyFill="1" applyAlignment="1">
      <alignment horizontal="center"/>
    </xf>
    <xf numFmtId="0" fontId="20" fillId="0" borderId="0" xfId="2" applyFont="1" applyAlignment="1">
      <alignment horizontal="center" wrapText="1"/>
    </xf>
    <xf numFmtId="0" fontId="21" fillId="0" borderId="0" xfId="2" applyFont="1" applyAlignment="1">
      <alignment horizontal="center" wrapText="1"/>
    </xf>
    <xf numFmtId="0" fontId="21" fillId="0" borderId="0" xfId="2" applyFont="1" applyAlignment="1">
      <alignment horizontal="center" vertical="center" wrapText="1"/>
    </xf>
    <xf numFmtId="0" fontId="5" fillId="0" borderId="0" xfId="2" applyFont="1" applyBorder="1" applyAlignment="1">
      <alignment horizontal="center" wrapText="1"/>
    </xf>
    <xf numFmtId="0" fontId="5" fillId="0" borderId="0" xfId="2" applyAlignment="1">
      <alignment horizontal="left" wrapText="1"/>
    </xf>
    <xf numFmtId="0" fontId="5" fillId="0" borderId="0" xfId="2" applyAlignment="1">
      <alignment horizontal="center" wrapText="1"/>
    </xf>
  </cellXfs>
  <cellStyles count="3">
    <cellStyle name="Normal" xfId="0" builtinId="0"/>
    <cellStyle name="Normal 2" xfId="1" xr:uid="{9EC2B73B-67B8-4734-A90C-55ADD8252BF1}"/>
    <cellStyle name="Normal 3" xfId="2" xr:uid="{00CA7852-C18E-40A7-AAF4-9A3861A450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16</xdr:col>
      <xdr:colOff>0</xdr:colOff>
      <xdr:row>1</xdr:row>
      <xdr:rowOff>0</xdr:rowOff>
    </xdr:from>
    <xdr:to>
      <xdr:col>16</xdr:col>
      <xdr:colOff>523875</xdr:colOff>
      <xdr:row>1</xdr:row>
      <xdr:rowOff>180975</xdr:rowOff>
    </xdr:to>
    <xdr:sp macro="" textlink="">
      <xdr:nvSpPr>
        <xdr:cNvPr id="2" name="Arrow: Right 1">
          <a:extLst>
            <a:ext uri="{FF2B5EF4-FFF2-40B4-BE49-F238E27FC236}">
              <a16:creationId xmlns:a16="http://schemas.microsoft.com/office/drawing/2014/main" id="{512FFD88-261A-493F-8C5A-D4FC06D610BA}"/>
            </a:ext>
          </a:extLst>
        </xdr:cNvPr>
        <xdr:cNvSpPr/>
      </xdr:nvSpPr>
      <xdr:spPr>
        <a:xfrm>
          <a:off x="1219200" y="190500"/>
          <a:ext cx="523875" cy="1809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editAs="oneCell">
    <xdr:from>
      <xdr:col>28</xdr:col>
      <xdr:colOff>0</xdr:colOff>
      <xdr:row>5</xdr:row>
      <xdr:rowOff>0</xdr:rowOff>
    </xdr:from>
    <xdr:to>
      <xdr:col>34</xdr:col>
      <xdr:colOff>476249</xdr:colOff>
      <xdr:row>26</xdr:row>
      <xdr:rowOff>60511</xdr:rowOff>
    </xdr:to>
    <xdr:pic>
      <xdr:nvPicPr>
        <xdr:cNvPr id="3" name="Picture 2">
          <a:extLst>
            <a:ext uri="{FF2B5EF4-FFF2-40B4-BE49-F238E27FC236}">
              <a16:creationId xmlns:a16="http://schemas.microsoft.com/office/drawing/2014/main" id="{A4ACE84B-E3EB-4C79-905A-84B4D7F875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82882" y="1389529"/>
          <a:ext cx="4106955" cy="4139452"/>
        </a:xfrm>
        <a:prstGeom prst="rect">
          <a:avLst/>
        </a:prstGeom>
      </xdr:spPr>
    </xdr:pic>
    <xdr:clientData/>
  </xdr:twoCellAnchor>
  <xdr:twoCellAnchor editAs="oneCell">
    <xdr:from>
      <xdr:col>35</xdr:col>
      <xdr:colOff>514350</xdr:colOff>
      <xdr:row>5</xdr:row>
      <xdr:rowOff>66675</xdr:rowOff>
    </xdr:from>
    <xdr:to>
      <xdr:col>42</xdr:col>
      <xdr:colOff>341459</xdr:colOff>
      <xdr:row>26</xdr:row>
      <xdr:rowOff>12886</xdr:rowOff>
    </xdr:to>
    <xdr:pic>
      <xdr:nvPicPr>
        <xdr:cNvPr id="4" name="Picture 3">
          <a:extLst>
            <a:ext uri="{FF2B5EF4-FFF2-40B4-BE49-F238E27FC236}">
              <a16:creationId xmlns:a16="http://schemas.microsoft.com/office/drawing/2014/main" id="{0AA54E58-EE35-4909-877D-71561F28342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583775" y="1504950"/>
          <a:ext cx="4094309" cy="402291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athgate, Jordan" id="{AC867FD9-FBE7-4762-9736-DB6BB8FF41D8}" userId="S::jbathgate@csu.edu.au::97f604f2-6c3b-4ff6-bc3d-728951e8d867" providerId="AD"/>
  <person displayName="Juan Wang" id="{2B38A038-364D-4D21-828C-7BBDDEB1D735}" userId="S::juan.wang5@unimelb.edu.au::5ee9ba0d-76c4-4d0d-bbe1-a25307663a62" providerId="AD"/>
  <person displayName="Jordan Bathgate" id="{836D37B4-5D8B-4182-A978-217D5A9DE8E0}" userId="S::jordan.bathgate@dpie.nsw.gov.au::4972dab2-6011-4009-a0a4-3b368f5dba9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9" dT="2024-04-02T04:57:28.98" personId="{836D37B4-5D8B-4182-A978-217D5A9DE8E0}" id="{201BD4A9-486F-439A-9F23-3FE70DCECAE9}">
    <text>This design description is proabaly not correct but will hear from AAGI regarding the right one.</text>
  </threadedComment>
</ThreadedComments>
</file>

<file path=xl/threadedComments/threadedComment2.xml><?xml version="1.0" encoding="utf-8"?>
<ThreadedComments xmlns="http://schemas.microsoft.com/office/spreadsheetml/2018/threadedcomments" xmlns:x="http://schemas.openxmlformats.org/spreadsheetml/2006/main">
  <threadedComment ref="B15" dT="2026-03-18T01:06:59.18" personId="{AC867FD9-FBE7-4762-9736-DB6BB8FF41D8}" id="{5B9B4F72-EAE4-44FF-962C-99CB5F83780A}">
    <text>This was instead done by taking 10 random spikes from the maturity plant cut and checking floret position for a grain</text>
  </threadedComment>
</ThreadedComments>
</file>

<file path=xl/threadedComments/threadedComment3.xml><?xml version="1.0" encoding="utf-8"?>
<ThreadedComments xmlns="http://schemas.microsoft.com/office/spreadsheetml/2018/threadedcomments" xmlns:x="http://schemas.openxmlformats.org/spreadsheetml/2006/main">
  <threadedComment ref="I1" dT="2026-03-16T21:23:27.11" personId="{AC867FD9-FBE7-4762-9736-DB6BB8FF41D8}" id="{3EB54A3D-93EF-428A-9B3A-13765931D728}">
    <text>From Mat’s weather station</text>
  </threadedComment>
  <threadedComment ref="E129" dT="2026-03-12T05:20:38.56" personId="{AC867FD9-FBE7-4762-9736-DB6BB8FF41D8}" id="{7E2E6F88-5A5F-4033-9584-C49CA872A23E}">
    <text>Here onward trial logger data</text>
  </threadedComment>
  <threadedComment ref="F129" dT="2026-03-12T05:18:46.76" personId="{AC867FD9-FBE7-4762-9736-DB6BB8FF41D8}" id="{78767891-63A6-42B8-BBEC-E3D88E52F096}">
    <text>Here onward is trial logger data</text>
  </threadedComment>
</ThreadedComments>
</file>

<file path=xl/threadedComments/threadedComment4.xml><?xml version="1.0" encoding="utf-8"?>
<ThreadedComments xmlns="http://schemas.microsoft.com/office/spreadsheetml/2018/threadedcomments" xmlns:x="http://schemas.openxmlformats.org/spreadsheetml/2006/main">
  <threadedComment ref="J1" dT="2026-03-11T23:48:42.80" personId="{AC867FD9-FBE7-4762-9736-DB6BB8FF41D8}" id="{C8AA8373-FAD8-4DD5-8094-88F8CC78FC11}">
    <text>Recorded from a previous experiment 500m away</text>
  </threadedComment>
  <threadedComment ref="K1" dT="2025-04-02T21:38:53.57" personId="{AC867FD9-FBE7-4762-9736-DB6BB8FF41D8}" id="{72792B47-9493-4511-9057-3A80B9C2C7E6}">
    <text>Recorded at site</text>
  </threadedComment>
  <threadedComment ref="L1" dT="2025-03-26T21:18:13.99" personId="{AC867FD9-FBE7-4762-9736-DB6BB8FF41D8}" id="{BCB507DE-0B28-4B3C-8731-78109369A9D4}">
    <text>Recorded at site</text>
  </threadedComment>
  <threadedComment ref="I9" dT="2026-03-11T23:45:04.90" personId="{AC867FD9-FBE7-4762-9736-DB6BB8FF41D8}" id="{DDA2968A-53F3-4DCC-94C3-D8AE91F93399}">
    <text>Only one core went this deep</text>
  </threadedComment>
  <threadedComment ref="I10" dT="2026-03-11T23:45:10.90" personId="{AC867FD9-FBE7-4762-9736-DB6BB8FF41D8}" id="{ED78B495-8EEA-4009-AEC4-18BFDB9C7D7F}">
    <text>Only one core went this deep</text>
  </threadedComment>
  <threadedComment ref="S13" dT="2026-03-12T00:05:47.50" personId="{AC867FD9-FBE7-4762-9736-DB6BB8FF41D8}" id="{8DFFA0D9-2D96-4AD1-82E9-860F06440E98}">
    <text>Only ~0.5 t/ha under the estimate for water limited yield</text>
  </threadedComment>
</ThreadedComments>
</file>

<file path=xl/threadedComments/threadedComment5.xml><?xml version="1.0" encoding="utf-8"?>
<ThreadedComments xmlns="http://schemas.microsoft.com/office/spreadsheetml/2018/threadedcomments" xmlns:x="http://schemas.openxmlformats.org/spreadsheetml/2006/main">
  <threadedComment ref="M1" dT="2024-05-17T02:05:14.49" personId="{2B38A038-364D-4D21-828C-7BBDDEB1D735}" id="{39CF8549-641D-4921-8F2C-F2B35AF5554E}">
    <text>Plant No for 1 meter</text>
  </threadedComment>
</ThreadedComments>
</file>

<file path=xl/threadedComments/threadedComment6.xml><?xml version="1.0" encoding="utf-8"?>
<ThreadedComments xmlns="http://schemas.microsoft.com/office/spreadsheetml/2018/threadedcomments" xmlns:x="http://schemas.openxmlformats.org/spreadsheetml/2006/main">
  <threadedComment ref="K1" dT="2025-06-20T06:01:17.07" personId="{AC867FD9-FBE7-4762-9736-DB6BB8FF41D8}" id="{029A8878-4B25-4229-A6D7-6A148F9066EC}">
    <text>M2 of tillers</text>
  </threadedComment>
</ThreadedComments>
</file>

<file path=xl/threadedComments/threadedComment7.xml><?xml version="1.0" encoding="utf-8"?>
<ThreadedComments xmlns="http://schemas.microsoft.com/office/spreadsheetml/2018/threadedcomments" xmlns:x="http://schemas.openxmlformats.org/spreadsheetml/2006/main">
  <threadedComment ref="V1" dT="2025-06-26T04:22:16.79" personId="{AC867FD9-FBE7-4762-9736-DB6BB8FF41D8}" id="{2A1A59E2-405C-4E84-A306-435ACE2643F7}">
    <text>Ground level</text>
  </threadedComment>
</ThreadedComments>
</file>

<file path=xl/threadedComments/threadedComment8.xml><?xml version="1.0" encoding="utf-8"?>
<ThreadedComments xmlns="http://schemas.microsoft.com/office/spreadsheetml/2018/threadedcomments" xmlns:x="http://schemas.openxmlformats.org/spreadsheetml/2006/main">
  <threadedComment ref="M1" dT="2025-07-02T01:46:04.70" personId="{AC867FD9-FBE7-4762-9736-DB6BB8FF41D8}" id="{7D80235B-B4E6-4A0C-84D9-33A22E5E583A}">
    <text xml:space="preserve">All NDVI recorded at 6 October due to labour shortage </text>
  </threadedComment>
  <threadedComment ref="AW1" dT="2026-03-17T22:58:22.80" personId="{AC867FD9-FBE7-4762-9736-DB6BB8FF41D8}" id="{B6EFF36E-564D-402C-AF10-D78C44FBB92D}">
    <text>Weighed 30 fresh culms in subsample, then discarded 10 and dried 20 culms</text>
  </threadedComment>
  <threadedComment ref="BZ1" dT="2026-03-17T23:20:01.25" personId="{AC867FD9-FBE7-4762-9736-DB6BB8FF41D8}" id="{A4B7D2D1-B755-4F1F-B39A-26B13664BF0B}">
    <text>Recorded between the pegs in the field</text>
  </threadedComment>
  <threadedComment ref="CF9" dT="2026-03-18T02:43:33.94" personId="{AC867FD9-FBE7-4762-9736-DB6BB8FF41D8}" id="{FE1ED20D-EEA3-4017-AD18-066326A7F99F}">
    <text>Ask Mariano at SARDI how these could be below 0% ?</text>
  </threadedComment>
  <threadedComment ref="BZ30" dT="2026-03-17T23:31:28.88" personId="{AC867FD9-FBE7-4762-9736-DB6BB8FF41D8}" id="{E0C40712-CB2A-4C50-AF89-8EFF9D97197B}">
    <text>Removed, too high a value</text>
  </threadedComment>
</ThreadedComments>
</file>

<file path=xl/threadedComments/threadedComment9.xml><?xml version="1.0" encoding="utf-8"?>
<ThreadedComments xmlns="http://schemas.microsoft.com/office/spreadsheetml/2018/threadedcomments" xmlns:x="http://schemas.openxmlformats.org/spreadsheetml/2006/main">
  <threadedComment ref="X1" dT="2025-04-01T22:53:26.92" personId="{2B38A038-364D-4D21-828C-7BBDDEB1D735}" id="{5942E60D-11CC-452E-8B7E-E989CA1EE27A}">
    <text>Number of spikelets that the first florets do not contain a grain</text>
  </threadedComment>
</ThreadedComments>
</file>

<file path=xl/threadedComments/threadedComment10.xml><?xml version="1.0" encoding="utf-8"?>
<ThreadedComments xmlns="http://schemas.microsoft.com/office/spreadsheetml/2018/threadedcomments" xmlns:x="http://schemas.openxmlformats.org/spreadsheetml/2006/main">
  <threadedComment ref="P1" dT="2026-03-17T23:39:50.45" personId="{AC867FD9-FBE7-4762-9736-DB6BB8FF41D8}" id="{6ABB4AA3-513E-4B85-8D8D-F9DCAFC7F0F7}">
    <text>This includes any sub-sample taken</text>
  </threadedComment>
  <threadedComment ref="Q1" dT="2026-03-17T23:42:22.28" personId="{AC867FD9-FBE7-4762-9736-DB6BB8FF41D8}" id="{0D7F1F36-514D-4150-AA71-1F049F723A6D}">
    <text>This includes the subsample</text>
  </threadedComment>
  <threadedComment ref="AU1" dT="2026-03-18T00:10:23.45" personId="{AC867FD9-FBE7-4762-9736-DB6BB8FF41D8}" id="{9FA35FAE-2FE2-49FE-BE00-386DF4A2A76B}">
    <text>Estimated from 1litre harvester subsample</text>
  </threadedComment>
  <threadedComment ref="AV1" dT="2026-03-18T00:10:12.63" personId="{AC867FD9-FBE7-4762-9736-DB6BB8FF41D8}" id="{343366E4-4AF9-4853-B8FB-081FB8D7EFE3}">
    <text>Estimated from 1litre harvester subsample</text>
  </threadedComment>
</ThreadedComments>
</file>

<file path=xl/threadedComments/threadedComment11.xml><?xml version="1.0" encoding="utf-8"?>
<ThreadedComments xmlns="http://schemas.microsoft.com/office/spreadsheetml/2018/threadedcomments" xmlns:x="http://schemas.openxmlformats.org/spreadsheetml/2006/main">
  <threadedComment ref="N1" dT="2026-03-17T00:04:00.54" personId="{AC867FD9-FBE7-4762-9736-DB6BB8FF41D8}" id="{0B9C938D-9BD3-4CE8-910B-ED53AAB0ECE4}">
    <text>1.5m wide plots with two outer border rows excluded from harvest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 Id="rId4" Type="http://schemas.microsoft.com/office/2017/10/relationships/threadedComment" Target="../threadedComments/threadedComment7.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 Id="rId4" Type="http://schemas.microsoft.com/office/2017/10/relationships/threadedComment" Target="../threadedComments/threadedComment8.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 Id="rId4" Type="http://schemas.microsoft.com/office/2017/10/relationships/threadedComment" Target="../threadedComments/threadedComment9.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 Id="rId4" Type="http://schemas.microsoft.com/office/2017/10/relationships/threadedComment" Target="../threadedComments/threadedComment10.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 Id="rId4" Type="http://schemas.microsoft.com/office/2017/10/relationships/threadedComment" Target="../threadedComments/threadedComment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B1D2-0403-4737-969B-9F1BDBED32E5}">
  <dimension ref="A1:AM65"/>
  <sheetViews>
    <sheetView workbookViewId="0">
      <selection activeCell="G8" sqref="G8"/>
    </sheetView>
  </sheetViews>
  <sheetFormatPr defaultRowHeight="15" x14ac:dyDescent="0.25"/>
  <cols>
    <col min="2" max="2" width="10.42578125" bestFit="1" customWidth="1"/>
    <col min="5" max="5" width="8.42578125" style="43" customWidth="1"/>
    <col min="6" max="6" width="9.140625" style="43"/>
    <col min="7" max="7" width="9.140625" style="5"/>
    <col min="10" max="10" width="19.5703125" customWidth="1"/>
  </cols>
  <sheetData>
    <row r="1" spans="1:39" s="3" customFormat="1" ht="45" x14ac:dyDescent="0.25">
      <c r="A1" s="3" t="s">
        <v>44</v>
      </c>
      <c r="B1" s="3" t="s">
        <v>45</v>
      </c>
      <c r="C1" s="4" t="s">
        <v>46</v>
      </c>
      <c r="D1" s="3" t="s">
        <v>49</v>
      </c>
      <c r="E1" s="42" t="s">
        <v>50</v>
      </c>
      <c r="F1" s="42" t="s">
        <v>51</v>
      </c>
      <c r="G1" s="4" t="s">
        <v>53</v>
      </c>
      <c r="H1" s="4" t="s">
        <v>52</v>
      </c>
      <c r="I1" s="4" t="s">
        <v>54</v>
      </c>
      <c r="J1" s="3" t="s">
        <v>47</v>
      </c>
      <c r="K1" s="4" t="s">
        <v>48</v>
      </c>
    </row>
    <row r="2" spans="1:39" ht="15.75" x14ac:dyDescent="0.25">
      <c r="A2" s="103" t="s">
        <v>24</v>
      </c>
      <c r="B2" s="33"/>
      <c r="C2" s="32"/>
      <c r="D2">
        <v>1</v>
      </c>
      <c r="E2" s="41">
        <v>1</v>
      </c>
      <c r="F2" s="41">
        <v>1</v>
      </c>
      <c r="I2">
        <v>101</v>
      </c>
      <c r="J2" s="103" t="s">
        <v>28</v>
      </c>
      <c r="K2" s="103">
        <v>1998</v>
      </c>
      <c r="R2" s="66" t="s">
        <v>306</v>
      </c>
    </row>
    <row r="3" spans="1:39" ht="18.75" x14ac:dyDescent="0.3">
      <c r="A3" s="103" t="s">
        <v>24</v>
      </c>
      <c r="B3" s="33"/>
      <c r="C3" s="32"/>
      <c r="D3">
        <v>1</v>
      </c>
      <c r="E3" s="41">
        <v>1</v>
      </c>
      <c r="F3" s="41">
        <v>2</v>
      </c>
      <c r="I3">
        <v>102</v>
      </c>
      <c r="J3" s="103" t="s">
        <v>312</v>
      </c>
      <c r="K3" s="103">
        <v>2002</v>
      </c>
      <c r="T3" s="63" t="s">
        <v>599</v>
      </c>
      <c r="AD3" s="63" t="s">
        <v>604</v>
      </c>
    </row>
    <row r="4" spans="1:39" ht="18.75" x14ac:dyDescent="0.3">
      <c r="A4" s="104" t="s">
        <v>34</v>
      </c>
      <c r="B4" s="33"/>
      <c r="C4" s="32"/>
      <c r="D4">
        <v>1</v>
      </c>
      <c r="E4" s="41">
        <v>1</v>
      </c>
      <c r="F4" s="41">
        <v>3</v>
      </c>
      <c r="I4">
        <v>103</v>
      </c>
      <c r="J4" s="104" t="s">
        <v>39</v>
      </c>
      <c r="K4" s="104">
        <v>2001</v>
      </c>
      <c r="S4">
        <v>1</v>
      </c>
      <c r="T4">
        <v>2</v>
      </c>
      <c r="U4">
        <v>3</v>
      </c>
      <c r="V4">
        <v>4</v>
      </c>
      <c r="Y4" s="30" t="s">
        <v>307</v>
      </c>
      <c r="AM4" s="63" t="s">
        <v>605</v>
      </c>
    </row>
    <row r="5" spans="1:39" x14ac:dyDescent="0.25">
      <c r="A5" s="104" t="s">
        <v>34</v>
      </c>
      <c r="B5" s="33"/>
      <c r="C5" s="32"/>
      <c r="D5">
        <v>1</v>
      </c>
      <c r="E5" s="41">
        <v>1</v>
      </c>
      <c r="F5" s="41">
        <v>4</v>
      </c>
      <c r="I5">
        <v>104</v>
      </c>
      <c r="J5" s="104" t="s">
        <v>37</v>
      </c>
      <c r="K5" s="104">
        <v>1989</v>
      </c>
      <c r="S5" t="s">
        <v>308</v>
      </c>
      <c r="T5" t="s">
        <v>308</v>
      </c>
      <c r="U5" t="s">
        <v>308</v>
      </c>
      <c r="V5" t="s">
        <v>308</v>
      </c>
      <c r="Y5">
        <v>1</v>
      </c>
    </row>
    <row r="6" spans="1:39" x14ac:dyDescent="0.25">
      <c r="A6" s="103" t="s">
        <v>24</v>
      </c>
      <c r="B6" s="33"/>
      <c r="C6" s="32"/>
      <c r="D6">
        <v>2</v>
      </c>
      <c r="E6" s="41">
        <v>1</v>
      </c>
      <c r="F6" s="41">
        <v>5</v>
      </c>
      <c r="I6">
        <v>105</v>
      </c>
      <c r="J6" s="103" t="s">
        <v>29</v>
      </c>
      <c r="K6" s="103">
        <v>1999</v>
      </c>
      <c r="R6">
        <v>1</v>
      </c>
      <c r="S6" s="100" t="s">
        <v>28</v>
      </c>
      <c r="T6" s="100" t="s">
        <v>313</v>
      </c>
      <c r="U6" s="100" t="s">
        <v>26</v>
      </c>
      <c r="V6" s="100" t="s">
        <v>29</v>
      </c>
      <c r="Y6">
        <v>2</v>
      </c>
    </row>
    <row r="7" spans="1:39" x14ac:dyDescent="0.25">
      <c r="A7" s="103" t="s">
        <v>24</v>
      </c>
      <c r="B7" s="33"/>
      <c r="C7" s="32"/>
      <c r="D7">
        <v>2</v>
      </c>
      <c r="E7" s="41">
        <v>1</v>
      </c>
      <c r="F7" s="41">
        <v>6</v>
      </c>
      <c r="I7">
        <v>106</v>
      </c>
      <c r="J7" s="103" t="s">
        <v>311</v>
      </c>
      <c r="K7" s="103">
        <v>2023</v>
      </c>
      <c r="R7">
        <v>2</v>
      </c>
      <c r="S7" s="100" t="s">
        <v>312</v>
      </c>
      <c r="T7" s="100" t="s">
        <v>311</v>
      </c>
      <c r="U7" s="100" t="s">
        <v>27</v>
      </c>
      <c r="V7" s="100" t="s">
        <v>32</v>
      </c>
      <c r="X7" t="s">
        <v>600</v>
      </c>
      <c r="Y7">
        <v>3</v>
      </c>
    </row>
    <row r="8" spans="1:39" x14ac:dyDescent="0.25">
      <c r="A8" s="104" t="s">
        <v>34</v>
      </c>
      <c r="B8" s="33"/>
      <c r="C8" s="32"/>
      <c r="D8">
        <v>2</v>
      </c>
      <c r="E8" s="41">
        <v>1</v>
      </c>
      <c r="F8" s="41">
        <v>7</v>
      </c>
      <c r="I8">
        <v>107</v>
      </c>
      <c r="J8" s="104" t="s">
        <v>41</v>
      </c>
      <c r="K8" s="104">
        <v>2008</v>
      </c>
      <c r="S8" t="s">
        <v>308</v>
      </c>
      <c r="T8" t="s">
        <v>308</v>
      </c>
      <c r="U8" t="s">
        <v>308</v>
      </c>
      <c r="V8" t="s">
        <v>308</v>
      </c>
      <c r="Y8">
        <v>4</v>
      </c>
    </row>
    <row r="9" spans="1:39" x14ac:dyDescent="0.25">
      <c r="A9" s="104" t="s">
        <v>34</v>
      </c>
      <c r="B9" s="33"/>
      <c r="C9" s="32"/>
      <c r="D9">
        <v>2</v>
      </c>
      <c r="E9" s="41">
        <v>1</v>
      </c>
      <c r="F9" s="41">
        <v>8</v>
      </c>
      <c r="I9">
        <v>108</v>
      </c>
      <c r="J9" s="104" t="s">
        <v>318</v>
      </c>
      <c r="K9" s="104">
        <v>2004</v>
      </c>
      <c r="R9">
        <v>3</v>
      </c>
      <c r="S9" s="101" t="s">
        <v>39</v>
      </c>
      <c r="T9" s="101" t="s">
        <v>318</v>
      </c>
      <c r="U9" s="101" t="s">
        <v>41</v>
      </c>
      <c r="V9" s="101" t="s">
        <v>38</v>
      </c>
      <c r="Y9">
        <v>5</v>
      </c>
    </row>
    <row r="10" spans="1:39" ht="15.75" thickBot="1" x14ac:dyDescent="0.3">
      <c r="A10" s="103" t="s">
        <v>24</v>
      </c>
      <c r="B10" s="33"/>
      <c r="C10" s="32"/>
      <c r="D10">
        <v>3</v>
      </c>
      <c r="E10" s="41">
        <v>1</v>
      </c>
      <c r="F10" s="41">
        <v>9</v>
      </c>
      <c r="I10">
        <v>109</v>
      </c>
      <c r="J10" s="103" t="s">
        <v>26</v>
      </c>
      <c r="K10" s="103">
        <v>1983</v>
      </c>
      <c r="Q10" s="102"/>
      <c r="R10" s="102">
        <v>4</v>
      </c>
      <c r="S10" s="101" t="s">
        <v>37</v>
      </c>
      <c r="T10" s="101" t="s">
        <v>42</v>
      </c>
      <c r="U10" s="101" t="s">
        <v>36</v>
      </c>
      <c r="V10" s="101" t="s">
        <v>43</v>
      </c>
      <c r="W10" s="102"/>
      <c r="X10" s="102"/>
      <c r="Y10">
        <v>6</v>
      </c>
    </row>
    <row r="11" spans="1:39" x14ac:dyDescent="0.25">
      <c r="A11" s="103" t="s">
        <v>24</v>
      </c>
      <c r="B11" s="33"/>
      <c r="C11" s="32"/>
      <c r="D11">
        <v>3</v>
      </c>
      <c r="E11" s="41">
        <v>1</v>
      </c>
      <c r="F11" s="41">
        <v>10</v>
      </c>
      <c r="I11">
        <v>110</v>
      </c>
      <c r="J11" s="103" t="s">
        <v>313</v>
      </c>
      <c r="K11" s="103">
        <v>2016</v>
      </c>
      <c r="S11" t="s">
        <v>308</v>
      </c>
      <c r="T11" t="s">
        <v>308</v>
      </c>
      <c r="U11" t="s">
        <v>308</v>
      </c>
      <c r="V11" t="s">
        <v>308</v>
      </c>
      <c r="Y11">
        <v>7</v>
      </c>
    </row>
    <row r="12" spans="1:39" ht="18.75" x14ac:dyDescent="0.3">
      <c r="A12" s="104" t="s">
        <v>34</v>
      </c>
      <c r="B12" s="33"/>
      <c r="C12" s="32"/>
      <c r="D12">
        <v>3</v>
      </c>
      <c r="E12" s="41">
        <v>1</v>
      </c>
      <c r="F12" s="41">
        <v>11</v>
      </c>
      <c r="I12">
        <v>111</v>
      </c>
      <c r="J12" s="104" t="s">
        <v>42</v>
      </c>
      <c r="K12" s="104">
        <v>2016</v>
      </c>
      <c r="P12" s="63" t="s">
        <v>325</v>
      </c>
      <c r="R12">
        <v>5</v>
      </c>
      <c r="S12" s="100" t="s">
        <v>29</v>
      </c>
      <c r="T12" s="100" t="s">
        <v>27</v>
      </c>
      <c r="U12" s="100" t="s">
        <v>313</v>
      </c>
      <c r="V12" s="100" t="s">
        <v>312</v>
      </c>
      <c r="Y12">
        <v>8</v>
      </c>
    </row>
    <row r="13" spans="1:39" x14ac:dyDescent="0.25">
      <c r="A13" s="104" t="s">
        <v>34</v>
      </c>
      <c r="B13" s="33"/>
      <c r="C13" s="32"/>
      <c r="D13">
        <v>3</v>
      </c>
      <c r="E13" s="41">
        <v>1</v>
      </c>
      <c r="F13" s="41">
        <v>12</v>
      </c>
      <c r="I13">
        <v>112</v>
      </c>
      <c r="J13" s="104" t="s">
        <v>38</v>
      </c>
      <c r="K13" s="104">
        <v>1999</v>
      </c>
      <c r="R13">
        <v>6</v>
      </c>
      <c r="S13" s="100" t="s">
        <v>311</v>
      </c>
      <c r="T13" s="100" t="s">
        <v>28</v>
      </c>
      <c r="U13" s="100" t="s">
        <v>32</v>
      </c>
      <c r="V13" s="100" t="s">
        <v>26</v>
      </c>
      <c r="X13" t="s">
        <v>601</v>
      </c>
      <c r="Y13">
        <v>9</v>
      </c>
    </row>
    <row r="14" spans="1:39" x14ac:dyDescent="0.25">
      <c r="A14" s="103" t="s">
        <v>24</v>
      </c>
      <c r="B14" s="33"/>
      <c r="C14" s="32"/>
      <c r="D14">
        <v>4</v>
      </c>
      <c r="E14" s="41">
        <v>1</v>
      </c>
      <c r="F14" s="41">
        <v>13</v>
      </c>
      <c r="I14">
        <v>113</v>
      </c>
      <c r="J14" s="103" t="s">
        <v>32</v>
      </c>
      <c r="K14" s="103">
        <v>2018</v>
      </c>
      <c r="S14" t="s">
        <v>308</v>
      </c>
      <c r="T14" t="s">
        <v>308</v>
      </c>
      <c r="U14" t="s">
        <v>308</v>
      </c>
      <c r="V14" t="s">
        <v>308</v>
      </c>
      <c r="Y14">
        <v>10</v>
      </c>
    </row>
    <row r="15" spans="1:39" x14ac:dyDescent="0.25">
      <c r="A15" s="103" t="s">
        <v>24</v>
      </c>
      <c r="B15" s="33"/>
      <c r="C15" s="32"/>
      <c r="D15">
        <v>4</v>
      </c>
      <c r="E15" s="41">
        <v>1</v>
      </c>
      <c r="F15" s="41">
        <v>14</v>
      </c>
      <c r="I15">
        <v>114</v>
      </c>
      <c r="J15" s="103" t="s">
        <v>27</v>
      </c>
      <c r="K15" s="103">
        <v>1985</v>
      </c>
      <c r="R15">
        <v>7</v>
      </c>
      <c r="S15" s="101" t="s">
        <v>41</v>
      </c>
      <c r="T15" s="101" t="s">
        <v>37</v>
      </c>
      <c r="U15" s="101" t="s">
        <v>39</v>
      </c>
      <c r="V15" s="101" t="s">
        <v>36</v>
      </c>
      <c r="Y15">
        <v>11</v>
      </c>
    </row>
    <row r="16" spans="1:39" ht="15.75" thickBot="1" x14ac:dyDescent="0.3">
      <c r="A16" s="104" t="s">
        <v>34</v>
      </c>
      <c r="B16" s="33"/>
      <c r="C16" s="32"/>
      <c r="D16">
        <v>4</v>
      </c>
      <c r="E16" s="41">
        <v>1</v>
      </c>
      <c r="F16" s="41">
        <v>15</v>
      </c>
      <c r="I16">
        <v>115</v>
      </c>
      <c r="J16" s="104" t="s">
        <v>36</v>
      </c>
      <c r="K16" s="104">
        <v>1984</v>
      </c>
      <c r="Q16" s="102"/>
      <c r="R16" s="102">
        <v>8</v>
      </c>
      <c r="S16" s="101" t="s">
        <v>318</v>
      </c>
      <c r="T16" s="101" t="s">
        <v>43</v>
      </c>
      <c r="U16" s="101" t="s">
        <v>38</v>
      </c>
      <c r="V16" s="101" t="s">
        <v>42</v>
      </c>
      <c r="W16" s="102"/>
      <c r="X16" s="102"/>
      <c r="Y16">
        <v>12</v>
      </c>
    </row>
    <row r="17" spans="1:25" x14ac:dyDescent="0.25">
      <c r="A17" s="104" t="s">
        <v>34</v>
      </c>
      <c r="B17" s="33"/>
      <c r="C17" s="32"/>
      <c r="D17">
        <v>4</v>
      </c>
      <c r="E17" s="41">
        <v>1</v>
      </c>
      <c r="F17" s="41">
        <v>16</v>
      </c>
      <c r="I17">
        <v>116</v>
      </c>
      <c r="J17" s="104" t="s">
        <v>43</v>
      </c>
      <c r="K17" s="104">
        <v>2020</v>
      </c>
      <c r="S17" t="s">
        <v>308</v>
      </c>
      <c r="T17" t="s">
        <v>308</v>
      </c>
      <c r="U17" t="s">
        <v>308</v>
      </c>
      <c r="V17" t="s">
        <v>308</v>
      </c>
      <c r="Y17">
        <v>13</v>
      </c>
    </row>
    <row r="18" spans="1:25" x14ac:dyDescent="0.25">
      <c r="A18" s="103" t="s">
        <v>24</v>
      </c>
      <c r="B18" s="33"/>
      <c r="C18" s="32"/>
      <c r="D18">
        <v>1</v>
      </c>
      <c r="E18" s="41">
        <v>2</v>
      </c>
      <c r="F18" s="41">
        <v>1</v>
      </c>
      <c r="I18">
        <v>117</v>
      </c>
      <c r="J18" s="103" t="s">
        <v>313</v>
      </c>
      <c r="K18" s="103">
        <v>2016</v>
      </c>
      <c r="R18">
        <v>9</v>
      </c>
      <c r="S18" s="100" t="s">
        <v>26</v>
      </c>
      <c r="T18" s="100" t="s">
        <v>312</v>
      </c>
      <c r="U18" s="100" t="s">
        <v>28</v>
      </c>
      <c r="V18" s="100" t="s">
        <v>27</v>
      </c>
      <c r="Y18">
        <v>14</v>
      </c>
    </row>
    <row r="19" spans="1:25" x14ac:dyDescent="0.25">
      <c r="A19" s="103" t="s">
        <v>24</v>
      </c>
      <c r="B19" s="33"/>
      <c r="C19" s="32"/>
      <c r="D19">
        <v>1</v>
      </c>
      <c r="E19" s="41">
        <v>2</v>
      </c>
      <c r="F19" s="41">
        <v>2</v>
      </c>
      <c r="I19">
        <v>118</v>
      </c>
      <c r="J19" s="103" t="s">
        <v>311</v>
      </c>
      <c r="K19" s="103">
        <v>2023</v>
      </c>
      <c r="R19">
        <v>10</v>
      </c>
      <c r="S19" s="100" t="s">
        <v>313</v>
      </c>
      <c r="T19" s="100" t="s">
        <v>32</v>
      </c>
      <c r="U19" s="100" t="s">
        <v>29</v>
      </c>
      <c r="V19" s="100" t="s">
        <v>311</v>
      </c>
      <c r="X19" t="s">
        <v>602</v>
      </c>
      <c r="Y19">
        <v>15</v>
      </c>
    </row>
    <row r="20" spans="1:25" x14ac:dyDescent="0.25">
      <c r="A20" s="104" t="s">
        <v>34</v>
      </c>
      <c r="B20" s="33"/>
      <c r="C20" s="32"/>
      <c r="D20">
        <v>1</v>
      </c>
      <c r="E20" s="41">
        <v>2</v>
      </c>
      <c r="F20" s="41">
        <v>3</v>
      </c>
      <c r="I20">
        <v>119</v>
      </c>
      <c r="J20" s="104" t="s">
        <v>318</v>
      </c>
      <c r="K20" s="104">
        <v>2004</v>
      </c>
      <c r="S20" t="s">
        <v>308</v>
      </c>
      <c r="T20" t="s">
        <v>308</v>
      </c>
      <c r="U20" t="s">
        <v>308</v>
      </c>
      <c r="V20" t="s">
        <v>308</v>
      </c>
      <c r="Y20">
        <v>16</v>
      </c>
    </row>
    <row r="21" spans="1:25" x14ac:dyDescent="0.25">
      <c r="A21" s="104" t="s">
        <v>34</v>
      </c>
      <c r="B21" s="33"/>
      <c r="C21" s="32"/>
      <c r="D21">
        <v>1</v>
      </c>
      <c r="E21" s="41">
        <v>2</v>
      </c>
      <c r="F21" s="41">
        <v>4</v>
      </c>
      <c r="I21">
        <v>120</v>
      </c>
      <c r="J21" s="104" t="s">
        <v>42</v>
      </c>
      <c r="K21" s="104">
        <v>2016</v>
      </c>
      <c r="R21">
        <v>11</v>
      </c>
      <c r="S21" s="101" t="s">
        <v>42</v>
      </c>
      <c r="T21" s="101" t="s">
        <v>39</v>
      </c>
      <c r="U21" s="101" t="s">
        <v>43</v>
      </c>
      <c r="V21" s="101" t="s">
        <v>41</v>
      </c>
      <c r="Y21">
        <v>17</v>
      </c>
    </row>
    <row r="22" spans="1:25" ht="15.75" thickBot="1" x14ac:dyDescent="0.3">
      <c r="A22" s="103" t="s">
        <v>24</v>
      </c>
      <c r="B22" s="33"/>
      <c r="C22" s="32"/>
      <c r="D22">
        <v>2</v>
      </c>
      <c r="E22" s="41">
        <v>2</v>
      </c>
      <c r="F22" s="41">
        <v>5</v>
      </c>
      <c r="I22">
        <v>121</v>
      </c>
      <c r="J22" s="103" t="s">
        <v>27</v>
      </c>
      <c r="K22" s="103">
        <v>1985</v>
      </c>
      <c r="Q22" s="102"/>
      <c r="R22" s="102">
        <v>12</v>
      </c>
      <c r="S22" s="101" t="s">
        <v>38</v>
      </c>
      <c r="T22" s="101" t="s">
        <v>36</v>
      </c>
      <c r="U22" s="101" t="s">
        <v>318</v>
      </c>
      <c r="V22" s="101" t="s">
        <v>37</v>
      </c>
      <c r="W22" s="102"/>
      <c r="X22" s="102"/>
      <c r="Y22">
        <v>18</v>
      </c>
    </row>
    <row r="23" spans="1:25" x14ac:dyDescent="0.25">
      <c r="A23" s="103" t="s">
        <v>24</v>
      </c>
      <c r="B23" s="33"/>
      <c r="C23" s="32"/>
      <c r="D23">
        <v>2</v>
      </c>
      <c r="E23" s="41">
        <v>2</v>
      </c>
      <c r="F23" s="41">
        <v>6</v>
      </c>
      <c r="I23">
        <v>122</v>
      </c>
      <c r="J23" s="103" t="s">
        <v>28</v>
      </c>
      <c r="K23" s="103">
        <v>1998</v>
      </c>
      <c r="S23" t="s">
        <v>308</v>
      </c>
      <c r="T23" t="s">
        <v>308</v>
      </c>
      <c r="U23" t="s">
        <v>308</v>
      </c>
      <c r="V23" t="s">
        <v>308</v>
      </c>
      <c r="Y23">
        <v>19</v>
      </c>
    </row>
    <row r="24" spans="1:25" x14ac:dyDescent="0.25">
      <c r="A24" s="104" t="s">
        <v>34</v>
      </c>
      <c r="B24" s="33"/>
      <c r="C24" s="32"/>
      <c r="D24">
        <v>2</v>
      </c>
      <c r="E24" s="41">
        <v>2</v>
      </c>
      <c r="F24" s="41">
        <v>7</v>
      </c>
      <c r="I24">
        <v>123</v>
      </c>
      <c r="J24" s="104" t="s">
        <v>37</v>
      </c>
      <c r="K24" s="104">
        <v>1989</v>
      </c>
      <c r="R24">
        <v>13</v>
      </c>
      <c r="S24" s="100" t="s">
        <v>32</v>
      </c>
      <c r="T24" s="100" t="s">
        <v>26</v>
      </c>
      <c r="U24" s="100" t="s">
        <v>311</v>
      </c>
      <c r="V24" s="100" t="s">
        <v>28</v>
      </c>
      <c r="Y24">
        <v>20</v>
      </c>
    </row>
    <row r="25" spans="1:25" x14ac:dyDescent="0.25">
      <c r="A25" s="104" t="s">
        <v>34</v>
      </c>
      <c r="B25" s="33"/>
      <c r="C25" s="32"/>
      <c r="D25">
        <v>2</v>
      </c>
      <c r="E25" s="41">
        <v>2</v>
      </c>
      <c r="F25" s="41">
        <v>8</v>
      </c>
      <c r="I25">
        <v>124</v>
      </c>
      <c r="J25" s="104" t="s">
        <v>43</v>
      </c>
      <c r="K25" s="104">
        <v>2020</v>
      </c>
      <c r="R25">
        <v>14</v>
      </c>
      <c r="S25" s="100" t="s">
        <v>27</v>
      </c>
      <c r="T25" s="100" t="s">
        <v>29</v>
      </c>
      <c r="U25" s="100" t="s">
        <v>312</v>
      </c>
      <c r="V25" s="100" t="s">
        <v>313</v>
      </c>
      <c r="Y25">
        <v>21</v>
      </c>
    </row>
    <row r="26" spans="1:25" x14ac:dyDescent="0.25">
      <c r="A26" s="103" t="s">
        <v>24</v>
      </c>
      <c r="B26" s="33"/>
      <c r="C26" s="32"/>
      <c r="D26">
        <v>3</v>
      </c>
      <c r="E26" s="41">
        <v>2</v>
      </c>
      <c r="F26" s="41">
        <v>9</v>
      </c>
      <c r="I26">
        <v>125</v>
      </c>
      <c r="J26" s="103" t="s">
        <v>312</v>
      </c>
      <c r="K26" s="103">
        <v>2002</v>
      </c>
      <c r="S26" t="s">
        <v>308</v>
      </c>
      <c r="T26" t="s">
        <v>308</v>
      </c>
      <c r="U26" t="s">
        <v>308</v>
      </c>
      <c r="V26" t="s">
        <v>308</v>
      </c>
      <c r="X26" t="s">
        <v>603</v>
      </c>
      <c r="Y26">
        <v>22</v>
      </c>
    </row>
    <row r="27" spans="1:25" x14ac:dyDescent="0.25">
      <c r="A27" s="103" t="s">
        <v>24</v>
      </c>
      <c r="B27" s="33"/>
      <c r="C27" s="32"/>
      <c r="D27">
        <v>3</v>
      </c>
      <c r="E27" s="41">
        <v>2</v>
      </c>
      <c r="F27" s="41">
        <v>10</v>
      </c>
      <c r="I27">
        <v>126</v>
      </c>
      <c r="J27" s="103" t="s">
        <v>32</v>
      </c>
      <c r="K27" s="103">
        <v>2018</v>
      </c>
      <c r="R27">
        <v>15</v>
      </c>
      <c r="S27" s="101" t="s">
        <v>36</v>
      </c>
      <c r="T27" s="101" t="s">
        <v>38</v>
      </c>
      <c r="U27" s="101" t="s">
        <v>37</v>
      </c>
      <c r="V27" s="101" t="s">
        <v>318</v>
      </c>
      <c r="Y27">
        <v>23</v>
      </c>
    </row>
    <row r="28" spans="1:25" x14ac:dyDescent="0.25">
      <c r="A28" s="104" t="s">
        <v>34</v>
      </c>
      <c r="B28" s="33"/>
      <c r="C28" s="32"/>
      <c r="D28">
        <v>3</v>
      </c>
      <c r="E28" s="41">
        <v>2</v>
      </c>
      <c r="F28" s="41">
        <v>11</v>
      </c>
      <c r="I28">
        <v>127</v>
      </c>
      <c r="J28" s="104" t="s">
        <v>39</v>
      </c>
      <c r="K28" s="104">
        <v>2001</v>
      </c>
      <c r="R28">
        <v>16</v>
      </c>
      <c r="S28" s="101" t="s">
        <v>43</v>
      </c>
      <c r="T28" s="101" t="s">
        <v>41</v>
      </c>
      <c r="U28" s="101" t="s">
        <v>42</v>
      </c>
      <c r="V28" s="101" t="s">
        <v>39</v>
      </c>
      <c r="Y28">
        <v>24</v>
      </c>
    </row>
    <row r="29" spans="1:25" x14ac:dyDescent="0.25">
      <c r="A29" s="104" t="s">
        <v>34</v>
      </c>
      <c r="B29" s="33"/>
      <c r="C29" s="32"/>
      <c r="D29">
        <v>3</v>
      </c>
      <c r="E29" s="41">
        <v>2</v>
      </c>
      <c r="F29" s="41">
        <v>12</v>
      </c>
      <c r="I29">
        <v>128</v>
      </c>
      <c r="J29" s="104" t="s">
        <v>36</v>
      </c>
      <c r="K29" s="104">
        <v>1984</v>
      </c>
      <c r="S29" t="s">
        <v>308</v>
      </c>
      <c r="T29" t="s">
        <v>308</v>
      </c>
      <c r="U29" t="s">
        <v>308</v>
      </c>
      <c r="V29" t="s">
        <v>308</v>
      </c>
      <c r="Y29">
        <v>25</v>
      </c>
    </row>
    <row r="30" spans="1:25" x14ac:dyDescent="0.25">
      <c r="A30" s="103" t="s">
        <v>24</v>
      </c>
      <c r="B30" s="33"/>
      <c r="C30" s="32"/>
      <c r="D30">
        <v>4</v>
      </c>
      <c r="E30" s="41">
        <v>2</v>
      </c>
      <c r="F30" s="41">
        <v>13</v>
      </c>
      <c r="I30">
        <v>129</v>
      </c>
      <c r="J30" s="103" t="s">
        <v>26</v>
      </c>
      <c r="K30" s="103">
        <v>1983</v>
      </c>
    </row>
    <row r="31" spans="1:25" x14ac:dyDescent="0.25">
      <c r="A31" s="103" t="s">
        <v>24</v>
      </c>
      <c r="D31">
        <v>4</v>
      </c>
      <c r="E31" s="43">
        <v>2</v>
      </c>
      <c r="F31" s="43">
        <v>14</v>
      </c>
      <c r="I31">
        <v>130</v>
      </c>
      <c r="J31" s="103" t="s">
        <v>29</v>
      </c>
      <c r="K31" s="103">
        <v>1999</v>
      </c>
    </row>
    <row r="32" spans="1:25" x14ac:dyDescent="0.25">
      <c r="A32" s="104" t="s">
        <v>34</v>
      </c>
      <c r="D32">
        <v>4</v>
      </c>
      <c r="E32" s="43">
        <v>2</v>
      </c>
      <c r="F32" s="43">
        <v>15</v>
      </c>
      <c r="I32">
        <v>131</v>
      </c>
      <c r="J32" s="104" t="s">
        <v>38</v>
      </c>
      <c r="K32" s="104">
        <v>1999</v>
      </c>
    </row>
    <row r="33" spans="1:11" x14ac:dyDescent="0.25">
      <c r="A33" s="104" t="s">
        <v>34</v>
      </c>
      <c r="D33">
        <v>4</v>
      </c>
      <c r="E33" s="43">
        <v>2</v>
      </c>
      <c r="F33" s="43">
        <v>16</v>
      </c>
      <c r="I33">
        <v>132</v>
      </c>
      <c r="J33" s="104" t="s">
        <v>41</v>
      </c>
      <c r="K33" s="104">
        <v>2008</v>
      </c>
    </row>
    <row r="34" spans="1:11" x14ac:dyDescent="0.25">
      <c r="A34" s="103" t="s">
        <v>24</v>
      </c>
      <c r="D34">
        <v>1</v>
      </c>
      <c r="E34" s="43">
        <v>3</v>
      </c>
      <c r="F34" s="43">
        <v>1</v>
      </c>
      <c r="I34">
        <v>133</v>
      </c>
      <c r="J34" s="103" t="s">
        <v>26</v>
      </c>
      <c r="K34" s="103">
        <v>1983</v>
      </c>
    </row>
    <row r="35" spans="1:11" x14ac:dyDescent="0.25">
      <c r="A35" s="103" t="s">
        <v>24</v>
      </c>
      <c r="D35">
        <v>1</v>
      </c>
      <c r="E35" s="43">
        <v>3</v>
      </c>
      <c r="F35" s="43">
        <v>2</v>
      </c>
      <c r="I35">
        <v>134</v>
      </c>
      <c r="J35" s="103" t="s">
        <v>27</v>
      </c>
      <c r="K35" s="103">
        <v>1985</v>
      </c>
    </row>
    <row r="36" spans="1:11" x14ac:dyDescent="0.25">
      <c r="A36" s="104" t="s">
        <v>34</v>
      </c>
      <c r="D36">
        <v>1</v>
      </c>
      <c r="E36" s="43">
        <v>3</v>
      </c>
      <c r="F36" s="43">
        <v>3</v>
      </c>
      <c r="I36">
        <v>135</v>
      </c>
      <c r="J36" s="104" t="s">
        <v>41</v>
      </c>
      <c r="K36" s="104">
        <v>2008</v>
      </c>
    </row>
    <row r="37" spans="1:11" x14ac:dyDescent="0.25">
      <c r="A37" s="104" t="s">
        <v>34</v>
      </c>
      <c r="D37">
        <v>1</v>
      </c>
      <c r="E37" s="43">
        <v>3</v>
      </c>
      <c r="F37" s="43">
        <v>4</v>
      </c>
      <c r="I37">
        <v>136</v>
      </c>
      <c r="J37" s="104" t="s">
        <v>36</v>
      </c>
      <c r="K37" s="104">
        <v>1984</v>
      </c>
    </row>
    <row r="38" spans="1:11" x14ac:dyDescent="0.25">
      <c r="A38" s="103" t="s">
        <v>24</v>
      </c>
      <c r="D38">
        <v>2</v>
      </c>
      <c r="E38" s="43">
        <v>3</v>
      </c>
      <c r="F38" s="43">
        <v>5</v>
      </c>
      <c r="I38">
        <v>137</v>
      </c>
      <c r="J38" s="103" t="s">
        <v>313</v>
      </c>
      <c r="K38" s="103">
        <v>2016</v>
      </c>
    </row>
    <row r="39" spans="1:11" x14ac:dyDescent="0.25">
      <c r="A39" s="103" t="s">
        <v>24</v>
      </c>
      <c r="D39">
        <v>2</v>
      </c>
      <c r="E39" s="43">
        <v>3</v>
      </c>
      <c r="F39" s="43">
        <v>6</v>
      </c>
      <c r="I39">
        <v>138</v>
      </c>
      <c r="J39" s="103" t="s">
        <v>32</v>
      </c>
      <c r="K39" s="103">
        <v>2018</v>
      </c>
    </row>
    <row r="40" spans="1:11" x14ac:dyDescent="0.25">
      <c r="A40" s="104" t="s">
        <v>34</v>
      </c>
      <c r="D40">
        <v>2</v>
      </c>
      <c r="E40" s="43">
        <v>3</v>
      </c>
      <c r="F40" s="43">
        <v>7</v>
      </c>
      <c r="I40">
        <v>139</v>
      </c>
      <c r="J40" s="104" t="s">
        <v>39</v>
      </c>
      <c r="K40" s="104">
        <v>2001</v>
      </c>
    </row>
    <row r="41" spans="1:11" x14ac:dyDescent="0.25">
      <c r="A41" s="104" t="s">
        <v>34</v>
      </c>
      <c r="D41">
        <v>2</v>
      </c>
      <c r="E41" s="43">
        <v>3</v>
      </c>
      <c r="F41" s="43">
        <v>8</v>
      </c>
      <c r="I41">
        <v>140</v>
      </c>
      <c r="J41" s="104" t="s">
        <v>38</v>
      </c>
      <c r="K41" s="104">
        <v>1999</v>
      </c>
    </row>
    <row r="42" spans="1:11" x14ac:dyDescent="0.25">
      <c r="A42" s="103" t="s">
        <v>24</v>
      </c>
      <c r="D42">
        <v>3</v>
      </c>
      <c r="E42" s="43">
        <v>3</v>
      </c>
      <c r="F42" s="43">
        <v>9</v>
      </c>
      <c r="I42">
        <v>141</v>
      </c>
      <c r="J42" s="103" t="s">
        <v>28</v>
      </c>
      <c r="K42" s="103">
        <v>1998</v>
      </c>
    </row>
    <row r="43" spans="1:11" x14ac:dyDescent="0.25">
      <c r="A43" s="103" t="s">
        <v>24</v>
      </c>
      <c r="D43">
        <v>3</v>
      </c>
      <c r="E43" s="43">
        <v>3</v>
      </c>
      <c r="F43" s="43">
        <v>10</v>
      </c>
      <c r="I43">
        <v>142</v>
      </c>
      <c r="J43" s="103" t="s">
        <v>29</v>
      </c>
      <c r="K43" s="103">
        <v>1999</v>
      </c>
    </row>
    <row r="44" spans="1:11" x14ac:dyDescent="0.25">
      <c r="A44" s="104" t="s">
        <v>34</v>
      </c>
      <c r="D44">
        <v>3</v>
      </c>
      <c r="E44" s="43">
        <v>3</v>
      </c>
      <c r="F44" s="43">
        <v>11</v>
      </c>
      <c r="I44">
        <v>143</v>
      </c>
      <c r="J44" s="104" t="s">
        <v>43</v>
      </c>
      <c r="K44" s="104">
        <v>2020</v>
      </c>
    </row>
    <row r="45" spans="1:11" x14ac:dyDescent="0.25">
      <c r="A45" s="104" t="s">
        <v>34</v>
      </c>
      <c r="D45">
        <v>3</v>
      </c>
      <c r="E45" s="43">
        <v>3</v>
      </c>
      <c r="F45" s="43">
        <v>12</v>
      </c>
      <c r="I45">
        <v>144</v>
      </c>
      <c r="J45" s="104" t="s">
        <v>318</v>
      </c>
      <c r="K45" s="104">
        <v>2004</v>
      </c>
    </row>
    <row r="46" spans="1:11" x14ac:dyDescent="0.25">
      <c r="A46" s="103" t="s">
        <v>24</v>
      </c>
      <c r="D46">
        <v>4</v>
      </c>
      <c r="E46" s="43">
        <v>3</v>
      </c>
      <c r="F46" s="43">
        <v>13</v>
      </c>
      <c r="I46">
        <v>145</v>
      </c>
      <c r="J46" s="103" t="s">
        <v>311</v>
      </c>
      <c r="K46" s="103">
        <v>2023</v>
      </c>
    </row>
    <row r="47" spans="1:11" x14ac:dyDescent="0.25">
      <c r="A47" s="103" t="s">
        <v>24</v>
      </c>
      <c r="D47">
        <v>4</v>
      </c>
      <c r="E47" s="43">
        <v>3</v>
      </c>
      <c r="F47" s="43">
        <v>14</v>
      </c>
      <c r="I47">
        <v>146</v>
      </c>
      <c r="J47" s="103" t="s">
        <v>312</v>
      </c>
      <c r="K47" s="103">
        <v>2002</v>
      </c>
    </row>
    <row r="48" spans="1:11" x14ac:dyDescent="0.25">
      <c r="A48" s="104" t="s">
        <v>34</v>
      </c>
      <c r="D48">
        <v>4</v>
      </c>
      <c r="E48" s="43">
        <v>3</v>
      </c>
      <c r="F48" s="43">
        <v>15</v>
      </c>
      <c r="I48">
        <v>147</v>
      </c>
      <c r="J48" s="104" t="s">
        <v>37</v>
      </c>
      <c r="K48" s="104">
        <v>1989</v>
      </c>
    </row>
    <row r="49" spans="1:11" x14ac:dyDescent="0.25">
      <c r="A49" s="104" t="s">
        <v>34</v>
      </c>
      <c r="D49">
        <v>4</v>
      </c>
      <c r="E49" s="43">
        <v>3</v>
      </c>
      <c r="F49" s="43">
        <v>16</v>
      </c>
      <c r="I49">
        <v>148</v>
      </c>
      <c r="J49" s="104" t="s">
        <v>42</v>
      </c>
      <c r="K49" s="104">
        <v>2016</v>
      </c>
    </row>
    <row r="50" spans="1:11" x14ac:dyDescent="0.25">
      <c r="A50" s="103" t="s">
        <v>24</v>
      </c>
      <c r="D50">
        <v>1</v>
      </c>
      <c r="E50" s="43">
        <v>4</v>
      </c>
      <c r="F50" s="43">
        <v>1</v>
      </c>
      <c r="I50">
        <v>149</v>
      </c>
      <c r="J50" s="103" t="s">
        <v>29</v>
      </c>
      <c r="K50" s="103">
        <v>1999</v>
      </c>
    </row>
    <row r="51" spans="1:11" x14ac:dyDescent="0.25">
      <c r="A51" s="103" t="s">
        <v>24</v>
      </c>
      <c r="D51">
        <v>1</v>
      </c>
      <c r="E51" s="43">
        <v>4</v>
      </c>
      <c r="F51" s="43">
        <v>2</v>
      </c>
      <c r="I51">
        <v>150</v>
      </c>
      <c r="J51" s="103" t="s">
        <v>32</v>
      </c>
      <c r="K51" s="103">
        <v>2018</v>
      </c>
    </row>
    <row r="52" spans="1:11" x14ac:dyDescent="0.25">
      <c r="A52" s="104" t="s">
        <v>34</v>
      </c>
      <c r="D52">
        <v>1</v>
      </c>
      <c r="E52" s="43">
        <v>4</v>
      </c>
      <c r="F52" s="43">
        <v>3</v>
      </c>
      <c r="I52">
        <v>151</v>
      </c>
      <c r="J52" s="104" t="s">
        <v>38</v>
      </c>
      <c r="K52" s="104">
        <v>1999</v>
      </c>
    </row>
    <row r="53" spans="1:11" x14ac:dyDescent="0.25">
      <c r="A53" s="104" t="s">
        <v>34</v>
      </c>
      <c r="D53">
        <v>1</v>
      </c>
      <c r="E53" s="43">
        <v>4</v>
      </c>
      <c r="F53" s="43">
        <v>4</v>
      </c>
      <c r="I53">
        <v>152</v>
      </c>
      <c r="J53" s="104" t="s">
        <v>43</v>
      </c>
      <c r="K53" s="104">
        <v>2020</v>
      </c>
    </row>
    <row r="54" spans="1:11" x14ac:dyDescent="0.25">
      <c r="A54" s="103" t="s">
        <v>24</v>
      </c>
      <c r="D54">
        <v>2</v>
      </c>
      <c r="E54" s="43">
        <v>4</v>
      </c>
      <c r="F54" s="43">
        <v>5</v>
      </c>
      <c r="I54">
        <v>153</v>
      </c>
      <c r="J54" s="103" t="s">
        <v>312</v>
      </c>
      <c r="K54" s="103">
        <v>2002</v>
      </c>
    </row>
    <row r="55" spans="1:11" x14ac:dyDescent="0.25">
      <c r="A55" s="103" t="s">
        <v>24</v>
      </c>
      <c r="D55">
        <v>2</v>
      </c>
      <c r="E55" s="43">
        <v>4</v>
      </c>
      <c r="F55" s="43">
        <v>6</v>
      </c>
      <c r="I55">
        <v>154</v>
      </c>
      <c r="J55" s="103" t="s">
        <v>26</v>
      </c>
      <c r="K55" s="103">
        <v>1983</v>
      </c>
    </row>
    <row r="56" spans="1:11" x14ac:dyDescent="0.25">
      <c r="A56" s="104" t="s">
        <v>34</v>
      </c>
      <c r="D56">
        <v>2</v>
      </c>
      <c r="E56" s="43">
        <v>4</v>
      </c>
      <c r="F56" s="43">
        <v>7</v>
      </c>
      <c r="I56">
        <v>155</v>
      </c>
      <c r="J56" s="104" t="s">
        <v>36</v>
      </c>
      <c r="K56" s="104">
        <v>1984</v>
      </c>
    </row>
    <row r="57" spans="1:11" x14ac:dyDescent="0.25">
      <c r="A57" s="104" t="s">
        <v>34</v>
      </c>
      <c r="D57">
        <v>2</v>
      </c>
      <c r="E57" s="43">
        <v>4</v>
      </c>
      <c r="F57" s="43">
        <v>8</v>
      </c>
      <c r="I57">
        <v>156</v>
      </c>
      <c r="J57" s="104" t="s">
        <v>42</v>
      </c>
      <c r="K57" s="104">
        <v>2016</v>
      </c>
    </row>
    <row r="58" spans="1:11" x14ac:dyDescent="0.25">
      <c r="A58" s="103" t="s">
        <v>24</v>
      </c>
      <c r="D58">
        <v>3</v>
      </c>
      <c r="E58" s="43">
        <v>4</v>
      </c>
      <c r="F58" s="43">
        <v>9</v>
      </c>
      <c r="I58">
        <v>157</v>
      </c>
      <c r="J58" s="103" t="s">
        <v>27</v>
      </c>
      <c r="K58" s="103">
        <v>1985</v>
      </c>
    </row>
    <row r="59" spans="1:11" x14ac:dyDescent="0.25">
      <c r="A59" s="103" t="s">
        <v>24</v>
      </c>
      <c r="D59">
        <v>3</v>
      </c>
      <c r="E59" s="43">
        <v>4</v>
      </c>
      <c r="F59" s="43">
        <v>10</v>
      </c>
      <c r="I59">
        <v>158</v>
      </c>
      <c r="J59" s="103" t="s">
        <v>311</v>
      </c>
      <c r="K59" s="103">
        <v>2023</v>
      </c>
    </row>
    <row r="60" spans="1:11" x14ac:dyDescent="0.25">
      <c r="A60" s="104" t="s">
        <v>34</v>
      </c>
      <c r="D60">
        <v>3</v>
      </c>
      <c r="E60" s="43">
        <v>4</v>
      </c>
      <c r="F60" s="43">
        <v>11</v>
      </c>
      <c r="I60">
        <v>159</v>
      </c>
      <c r="J60" s="104" t="s">
        <v>41</v>
      </c>
      <c r="K60" s="104">
        <v>2008</v>
      </c>
    </row>
    <row r="61" spans="1:11" x14ac:dyDescent="0.25">
      <c r="A61" s="104" t="s">
        <v>34</v>
      </c>
      <c r="D61">
        <v>3</v>
      </c>
      <c r="E61" s="43">
        <v>4</v>
      </c>
      <c r="F61" s="43">
        <v>12</v>
      </c>
      <c r="I61">
        <v>160</v>
      </c>
      <c r="J61" s="104" t="s">
        <v>37</v>
      </c>
      <c r="K61" s="104">
        <v>1989</v>
      </c>
    </row>
    <row r="62" spans="1:11" x14ac:dyDescent="0.25">
      <c r="A62" s="103" t="s">
        <v>24</v>
      </c>
      <c r="D62">
        <v>4</v>
      </c>
      <c r="E62" s="43">
        <v>4</v>
      </c>
      <c r="F62" s="43">
        <v>13</v>
      </c>
      <c r="I62">
        <v>161</v>
      </c>
      <c r="J62" s="103" t="s">
        <v>28</v>
      </c>
      <c r="K62" s="103">
        <v>1998</v>
      </c>
    </row>
    <row r="63" spans="1:11" x14ac:dyDescent="0.25">
      <c r="A63" s="103" t="s">
        <v>24</v>
      </c>
      <c r="D63">
        <v>4</v>
      </c>
      <c r="E63" s="43">
        <v>4</v>
      </c>
      <c r="F63" s="43">
        <v>14</v>
      </c>
      <c r="I63">
        <v>162</v>
      </c>
      <c r="J63" s="103" t="s">
        <v>313</v>
      </c>
      <c r="K63" s="103">
        <v>2016</v>
      </c>
    </row>
    <row r="64" spans="1:11" x14ac:dyDescent="0.25">
      <c r="A64" s="104" t="s">
        <v>34</v>
      </c>
      <c r="D64">
        <v>4</v>
      </c>
      <c r="E64" s="43">
        <v>4</v>
      </c>
      <c r="F64" s="43">
        <v>15</v>
      </c>
      <c r="I64">
        <v>163</v>
      </c>
      <c r="J64" s="104" t="s">
        <v>318</v>
      </c>
      <c r="K64" s="104">
        <v>2004</v>
      </c>
    </row>
    <row r="65" spans="1:11" x14ac:dyDescent="0.25">
      <c r="A65" s="104" t="s">
        <v>34</v>
      </c>
      <c r="D65">
        <v>4</v>
      </c>
      <c r="E65" s="43">
        <v>4</v>
      </c>
      <c r="F65" s="43">
        <v>16</v>
      </c>
      <c r="I65">
        <v>164</v>
      </c>
      <c r="J65" s="104" t="s">
        <v>39</v>
      </c>
      <c r="K65" s="104">
        <v>2001</v>
      </c>
    </row>
  </sheetData>
  <sortState xmlns:xlrd2="http://schemas.microsoft.com/office/spreadsheetml/2017/richdata2" ref="A2:L30">
    <sortCondition ref="I2:I30"/>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8C8-D23A-491E-8058-1F085EF8C902}">
  <dimension ref="A1:C8"/>
  <sheetViews>
    <sheetView workbookViewId="0"/>
  </sheetViews>
  <sheetFormatPr defaultRowHeight="15" x14ac:dyDescent="0.25"/>
  <cols>
    <col min="1" max="1" width="33.42578125" bestFit="1" customWidth="1"/>
    <col min="2" max="2" width="15.42578125" customWidth="1"/>
  </cols>
  <sheetData>
    <row r="1" spans="1:3" x14ac:dyDescent="0.25">
      <c r="A1" s="1" t="s">
        <v>0</v>
      </c>
      <c r="B1" t="s">
        <v>595</v>
      </c>
    </row>
    <row r="2" spans="1:3" x14ac:dyDescent="0.25">
      <c r="A2" s="1" t="s">
        <v>1</v>
      </c>
      <c r="B2" t="s">
        <v>305</v>
      </c>
    </row>
    <row r="3" spans="1:3" x14ac:dyDescent="0.25">
      <c r="A3" s="1" t="s">
        <v>2</v>
      </c>
    </row>
    <row r="4" spans="1:3" x14ac:dyDescent="0.25">
      <c r="A4" s="1" t="s">
        <v>3</v>
      </c>
      <c r="B4">
        <v>-35.040999999999997</v>
      </c>
      <c r="C4">
        <v>147.31899999999999</v>
      </c>
    </row>
    <row r="5" spans="1:3" x14ac:dyDescent="0.25">
      <c r="A5" s="1" t="s">
        <v>4</v>
      </c>
      <c r="B5" t="s">
        <v>558</v>
      </c>
    </row>
    <row r="6" spans="1:3" x14ac:dyDescent="0.25">
      <c r="A6" s="1" t="s">
        <v>5</v>
      </c>
      <c r="B6" s="97" t="s">
        <v>559</v>
      </c>
    </row>
    <row r="7" spans="1:3" x14ac:dyDescent="0.25">
      <c r="A7" s="1" t="s">
        <v>6</v>
      </c>
      <c r="B7" s="2"/>
    </row>
    <row r="8" spans="1:3" x14ac:dyDescent="0.25">
      <c r="A8"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6BE2-8008-4C3E-8D5E-5627D50BB021}">
  <dimension ref="A1:F24"/>
  <sheetViews>
    <sheetView workbookViewId="0"/>
  </sheetViews>
  <sheetFormatPr defaultRowHeight="15" x14ac:dyDescent="0.25"/>
  <cols>
    <col min="1" max="1" width="17.42578125" bestFit="1" customWidth="1"/>
  </cols>
  <sheetData>
    <row r="1" spans="1:6" x14ac:dyDescent="0.25">
      <c r="A1" s="1" t="s">
        <v>8</v>
      </c>
      <c r="B1" t="s">
        <v>9</v>
      </c>
    </row>
    <row r="2" spans="1:6" x14ac:dyDescent="0.25">
      <c r="A2" s="1" t="s">
        <v>10</v>
      </c>
    </row>
    <row r="3" spans="1:6" x14ac:dyDescent="0.25">
      <c r="A3" s="1" t="s">
        <v>11</v>
      </c>
      <c r="B3" t="s">
        <v>12</v>
      </c>
    </row>
    <row r="4" spans="1:6" x14ac:dyDescent="0.25">
      <c r="A4" s="1" t="s">
        <v>13</v>
      </c>
      <c r="B4" t="s">
        <v>14</v>
      </c>
    </row>
    <row r="5" spans="1:6" x14ac:dyDescent="0.25">
      <c r="A5" s="1"/>
      <c r="B5" t="s">
        <v>15</v>
      </c>
    </row>
    <row r="6" spans="1:6" x14ac:dyDescent="0.25">
      <c r="A6" s="1"/>
      <c r="B6" t="s">
        <v>16</v>
      </c>
    </row>
    <row r="7" spans="1:6" x14ac:dyDescent="0.25">
      <c r="A7" s="1" t="s">
        <v>17</v>
      </c>
      <c r="B7" t="s">
        <v>18</v>
      </c>
    </row>
    <row r="8" spans="1:6" x14ac:dyDescent="0.25">
      <c r="B8" s="1" t="s">
        <v>19</v>
      </c>
      <c r="C8" s="1" t="s">
        <v>20</v>
      </c>
      <c r="D8" s="1" t="s">
        <v>21</v>
      </c>
      <c r="E8" s="1" t="s">
        <v>22</v>
      </c>
      <c r="F8" s="1" t="s">
        <v>23</v>
      </c>
    </row>
    <row r="9" spans="1:6" x14ac:dyDescent="0.25">
      <c r="B9" t="s">
        <v>24</v>
      </c>
      <c r="C9" t="s">
        <v>25</v>
      </c>
      <c r="D9" s="5">
        <v>1</v>
      </c>
      <c r="E9" t="s">
        <v>26</v>
      </c>
      <c r="F9">
        <v>1983</v>
      </c>
    </row>
    <row r="10" spans="1:6" x14ac:dyDescent="0.25">
      <c r="B10" t="s">
        <v>24</v>
      </c>
      <c r="C10" t="s">
        <v>25</v>
      </c>
      <c r="D10" s="5">
        <v>1</v>
      </c>
      <c r="E10" t="s">
        <v>27</v>
      </c>
      <c r="F10">
        <v>1985</v>
      </c>
    </row>
    <row r="11" spans="1:6" x14ac:dyDescent="0.25">
      <c r="B11" t="s">
        <v>24</v>
      </c>
      <c r="C11" t="s">
        <v>25</v>
      </c>
      <c r="D11" s="5">
        <v>1</v>
      </c>
      <c r="E11" t="s">
        <v>28</v>
      </c>
      <c r="F11">
        <v>1998</v>
      </c>
    </row>
    <row r="12" spans="1:6" x14ac:dyDescent="0.25">
      <c r="B12" t="s">
        <v>24</v>
      </c>
      <c r="C12" t="s">
        <v>25</v>
      </c>
      <c r="D12" s="5">
        <v>1</v>
      </c>
      <c r="E12" t="s">
        <v>29</v>
      </c>
      <c r="F12">
        <v>1999</v>
      </c>
    </row>
    <row r="13" spans="1:6" x14ac:dyDescent="0.25">
      <c r="B13" t="s">
        <v>24</v>
      </c>
      <c r="C13" t="s">
        <v>25</v>
      </c>
      <c r="D13" s="5">
        <v>1</v>
      </c>
      <c r="E13" t="s">
        <v>30</v>
      </c>
      <c r="F13">
        <v>2002</v>
      </c>
    </row>
    <row r="14" spans="1:6" x14ac:dyDescent="0.25">
      <c r="B14" t="s">
        <v>24</v>
      </c>
      <c r="C14" t="s">
        <v>25</v>
      </c>
      <c r="D14" s="5">
        <v>1</v>
      </c>
      <c r="E14" t="s">
        <v>31</v>
      </c>
      <c r="F14">
        <v>2016</v>
      </c>
    </row>
    <row r="15" spans="1:6" x14ac:dyDescent="0.25">
      <c r="B15" t="s">
        <v>24</v>
      </c>
      <c r="C15" t="s">
        <v>25</v>
      </c>
      <c r="D15" s="5">
        <v>1</v>
      </c>
      <c r="E15" t="s">
        <v>32</v>
      </c>
      <c r="F15">
        <v>2018</v>
      </c>
    </row>
    <row r="16" spans="1:6" x14ac:dyDescent="0.25">
      <c r="B16" t="s">
        <v>24</v>
      </c>
      <c r="C16" t="s">
        <v>25</v>
      </c>
      <c r="D16" s="5">
        <v>1</v>
      </c>
      <c r="E16" t="s">
        <v>33</v>
      </c>
      <c r="F16">
        <v>2023</v>
      </c>
    </row>
    <row r="17" spans="2:6" x14ac:dyDescent="0.25">
      <c r="B17" t="s">
        <v>34</v>
      </c>
      <c r="C17" t="s">
        <v>35</v>
      </c>
      <c r="D17" s="5">
        <f t="shared" ref="D17:D24" si="0">D9+1</f>
        <v>2</v>
      </c>
      <c r="E17" t="s">
        <v>36</v>
      </c>
      <c r="F17">
        <v>1984</v>
      </c>
    </row>
    <row r="18" spans="2:6" x14ac:dyDescent="0.25">
      <c r="B18" t="s">
        <v>34</v>
      </c>
      <c r="C18" t="s">
        <v>35</v>
      </c>
      <c r="D18" s="5">
        <f t="shared" si="0"/>
        <v>2</v>
      </c>
      <c r="E18" t="s">
        <v>37</v>
      </c>
      <c r="F18">
        <v>1989</v>
      </c>
    </row>
    <row r="19" spans="2:6" x14ac:dyDescent="0.25">
      <c r="B19" t="s">
        <v>34</v>
      </c>
      <c r="C19" t="s">
        <v>35</v>
      </c>
      <c r="D19" s="5">
        <f t="shared" si="0"/>
        <v>2</v>
      </c>
      <c r="E19" t="s">
        <v>38</v>
      </c>
      <c r="F19">
        <v>1999</v>
      </c>
    </row>
    <row r="20" spans="2:6" x14ac:dyDescent="0.25">
      <c r="B20" t="s">
        <v>34</v>
      </c>
      <c r="C20" t="s">
        <v>35</v>
      </c>
      <c r="D20" s="5">
        <f t="shared" si="0"/>
        <v>2</v>
      </c>
      <c r="E20" t="s">
        <v>39</v>
      </c>
      <c r="F20">
        <v>2001</v>
      </c>
    </row>
    <row r="21" spans="2:6" x14ac:dyDescent="0.25">
      <c r="B21" t="s">
        <v>34</v>
      </c>
      <c r="C21" t="s">
        <v>35</v>
      </c>
      <c r="D21" s="5">
        <f t="shared" si="0"/>
        <v>2</v>
      </c>
      <c r="E21" t="s">
        <v>40</v>
      </c>
      <c r="F21">
        <v>2004</v>
      </c>
    </row>
    <row r="22" spans="2:6" x14ac:dyDescent="0.25">
      <c r="B22" t="s">
        <v>34</v>
      </c>
      <c r="C22" t="s">
        <v>35</v>
      </c>
      <c r="D22" s="5">
        <f t="shared" si="0"/>
        <v>2</v>
      </c>
      <c r="E22" t="s">
        <v>41</v>
      </c>
      <c r="F22">
        <v>2008</v>
      </c>
    </row>
    <row r="23" spans="2:6" x14ac:dyDescent="0.25">
      <c r="B23" t="s">
        <v>34</v>
      </c>
      <c r="C23" t="s">
        <v>35</v>
      </c>
      <c r="D23" s="5">
        <f t="shared" si="0"/>
        <v>2</v>
      </c>
      <c r="E23" t="s">
        <v>42</v>
      </c>
      <c r="F23">
        <v>2016</v>
      </c>
    </row>
    <row r="24" spans="2:6" x14ac:dyDescent="0.25">
      <c r="B24" t="s">
        <v>34</v>
      </c>
      <c r="C24" t="s">
        <v>35</v>
      </c>
      <c r="D24" s="5">
        <f t="shared" si="0"/>
        <v>2</v>
      </c>
      <c r="E24" t="s">
        <v>43</v>
      </c>
      <c r="F24">
        <v>2023</v>
      </c>
    </row>
  </sheetData>
  <sortState xmlns:xlrd2="http://schemas.microsoft.com/office/spreadsheetml/2017/richdata2" ref="B9:F24">
    <sortCondition ref="D9:D24"/>
    <sortCondition ref="F9:F24"/>
  </sortState>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29CD-B37D-4F72-9337-A3640D8AD211}">
  <sheetPr>
    <pageSetUpPr fitToPage="1"/>
  </sheetPr>
  <dimension ref="A1:C17"/>
  <sheetViews>
    <sheetView workbookViewId="0"/>
  </sheetViews>
  <sheetFormatPr defaultRowHeight="15" x14ac:dyDescent="0.25"/>
  <cols>
    <col min="1" max="1" width="29.7109375" customWidth="1"/>
  </cols>
  <sheetData>
    <row r="1" spans="1:3" ht="18.75" x14ac:dyDescent="0.3">
      <c r="A1" s="63" t="s">
        <v>597</v>
      </c>
    </row>
    <row r="2" spans="1:3" ht="18.75" x14ac:dyDescent="0.3">
      <c r="A2" s="63" t="s">
        <v>598</v>
      </c>
    </row>
    <row r="6" spans="1:3" x14ac:dyDescent="0.25">
      <c r="A6" s="1" t="s">
        <v>309</v>
      </c>
      <c r="C6" t="s">
        <v>310</v>
      </c>
    </row>
    <row r="7" spans="1:3" x14ac:dyDescent="0.25">
      <c r="A7" s="1" t="s">
        <v>314</v>
      </c>
      <c r="C7" t="s">
        <v>315</v>
      </c>
    </row>
    <row r="8" spans="1:3" ht="12.6" customHeight="1" x14ac:dyDescent="0.25">
      <c r="A8" s="1" t="s">
        <v>316</v>
      </c>
      <c r="C8">
        <v>4</v>
      </c>
    </row>
    <row r="9" spans="1:3" x14ac:dyDescent="0.25">
      <c r="A9" s="1" t="s">
        <v>17</v>
      </c>
      <c r="C9" t="s">
        <v>317</v>
      </c>
    </row>
    <row r="10" spans="1:3" x14ac:dyDescent="0.25">
      <c r="A10" s="1" t="s">
        <v>319</v>
      </c>
    </row>
    <row r="11" spans="1:3" x14ac:dyDescent="0.25">
      <c r="A11" s="1" t="s">
        <v>320</v>
      </c>
      <c r="C11" t="s">
        <v>596</v>
      </c>
    </row>
    <row r="12" spans="1:3" x14ac:dyDescent="0.25">
      <c r="A12" s="1" t="s">
        <v>321</v>
      </c>
      <c r="C12" t="s">
        <v>322</v>
      </c>
    </row>
    <row r="15" spans="1:3" x14ac:dyDescent="0.25">
      <c r="A15" s="64" t="s">
        <v>323</v>
      </c>
    </row>
    <row r="17" spans="1:1" x14ac:dyDescent="0.25">
      <c r="A17" s="65" t="s">
        <v>324</v>
      </c>
    </row>
  </sheetData>
  <pageMargins left="0.23622047244094491" right="0.23622047244094491" top="0.74803149606299213" bottom="0.74803149606299213" header="0.31496062992125984" footer="0.31496062992125984"/>
  <pageSetup paperSize="9"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30B9-135F-4A78-AEF5-C45B8356D33F}">
  <sheetPr>
    <tabColor rgb="FF92D050"/>
  </sheetPr>
  <dimension ref="A1:S107"/>
  <sheetViews>
    <sheetView workbookViewId="0"/>
  </sheetViews>
  <sheetFormatPr defaultRowHeight="15" x14ac:dyDescent="0.25"/>
  <cols>
    <col min="1" max="1" width="14.140625" style="19" customWidth="1"/>
    <col min="2" max="2" width="20.85546875" style="19" customWidth="1"/>
    <col min="3" max="3" width="18.140625" style="15" customWidth="1"/>
    <col min="4" max="4" width="58.5703125" style="15" customWidth="1"/>
    <col min="19" max="19" width="30.42578125" customWidth="1"/>
  </cols>
  <sheetData>
    <row r="1" spans="1:4" x14ac:dyDescent="0.25">
      <c r="A1" s="17" t="s">
        <v>55</v>
      </c>
      <c r="B1" s="17" t="s">
        <v>56</v>
      </c>
      <c r="C1" s="14" t="s">
        <v>57</v>
      </c>
      <c r="D1" s="14" t="s">
        <v>58</v>
      </c>
    </row>
    <row r="2" spans="1:4" s="78" customFormat="1" x14ac:dyDescent="0.25">
      <c r="A2" s="105">
        <v>45735</v>
      </c>
      <c r="B2" s="82" t="s">
        <v>549</v>
      </c>
      <c r="C2" s="83" t="s">
        <v>606</v>
      </c>
      <c r="D2" s="83" t="s">
        <v>617</v>
      </c>
    </row>
    <row r="3" spans="1:4" s="80" customFormat="1" x14ac:dyDescent="0.25">
      <c r="A3" s="106">
        <v>45744</v>
      </c>
      <c r="B3" s="79" t="s">
        <v>549</v>
      </c>
      <c r="C3" s="81" t="s">
        <v>606</v>
      </c>
      <c r="D3" s="83" t="s">
        <v>617</v>
      </c>
    </row>
    <row r="4" spans="1:4" s="80" customFormat="1" x14ac:dyDescent="0.25">
      <c r="A4" s="106">
        <v>45755</v>
      </c>
      <c r="B4" s="79" t="s">
        <v>549</v>
      </c>
      <c r="C4" s="81" t="s">
        <v>606</v>
      </c>
      <c r="D4" s="83" t="s">
        <v>617</v>
      </c>
    </row>
    <row r="5" spans="1:4" s="80" customFormat="1" x14ac:dyDescent="0.25">
      <c r="A5" s="106">
        <v>45759</v>
      </c>
      <c r="B5" s="79" t="s">
        <v>609</v>
      </c>
      <c r="C5" s="81" t="s">
        <v>608</v>
      </c>
      <c r="D5" s="80" t="s">
        <v>607</v>
      </c>
    </row>
    <row r="6" spans="1:4" s="80" customFormat="1" x14ac:dyDescent="0.25">
      <c r="A6" s="106">
        <v>45762</v>
      </c>
      <c r="B6" s="79" t="s">
        <v>610</v>
      </c>
      <c r="C6" s="81" t="s">
        <v>611</v>
      </c>
      <c r="D6" s="81" t="s">
        <v>612</v>
      </c>
    </row>
    <row r="7" spans="1:4" s="80" customFormat="1" ht="45" x14ac:dyDescent="0.25">
      <c r="A7" s="107">
        <v>45764</v>
      </c>
      <c r="B7" s="79" t="s">
        <v>614</v>
      </c>
      <c r="C7" s="81" t="s">
        <v>613</v>
      </c>
      <c r="D7" s="81" t="s">
        <v>615</v>
      </c>
    </row>
    <row r="8" spans="1:4" s="80" customFormat="1" x14ac:dyDescent="0.25">
      <c r="A8" s="106">
        <v>45765</v>
      </c>
      <c r="B8" s="79" t="s">
        <v>548</v>
      </c>
      <c r="C8" s="81" t="s">
        <v>608</v>
      </c>
      <c r="D8" s="80" t="s">
        <v>616</v>
      </c>
    </row>
    <row r="9" spans="1:4" x14ac:dyDescent="0.25">
      <c r="A9" s="18"/>
    </row>
    <row r="10" spans="1:4" s="78" customFormat="1" x14ac:dyDescent="0.25">
      <c r="A10" s="105">
        <v>45779</v>
      </c>
      <c r="B10" s="82" t="s">
        <v>548</v>
      </c>
      <c r="C10" s="83" t="s">
        <v>606</v>
      </c>
      <c r="D10" s="83" t="s">
        <v>617</v>
      </c>
    </row>
    <row r="11" spans="1:4" s="80" customFormat="1" x14ac:dyDescent="0.25">
      <c r="A11" s="106">
        <v>45789</v>
      </c>
      <c r="B11" s="79" t="s">
        <v>548</v>
      </c>
      <c r="C11" s="81" t="s">
        <v>608</v>
      </c>
      <c r="D11" s="80" t="s">
        <v>618</v>
      </c>
    </row>
    <row r="12" spans="1:4" s="80" customFormat="1" x14ac:dyDescent="0.25">
      <c r="A12" s="107">
        <v>45790</v>
      </c>
      <c r="B12" s="79" t="s">
        <v>614</v>
      </c>
      <c r="C12" s="81" t="s">
        <v>620</v>
      </c>
      <c r="D12" s="80" t="s">
        <v>619</v>
      </c>
    </row>
    <row r="13" spans="1:4" s="80" customFormat="1" x14ac:dyDescent="0.25">
      <c r="A13" s="106">
        <v>45792</v>
      </c>
      <c r="B13" s="79" t="s">
        <v>548</v>
      </c>
      <c r="C13" s="81" t="s">
        <v>620</v>
      </c>
      <c r="D13" s="81" t="s">
        <v>621</v>
      </c>
    </row>
    <row r="14" spans="1:4" x14ac:dyDescent="0.25">
      <c r="A14" s="18"/>
    </row>
    <row r="15" spans="1:4" s="78" customFormat="1" x14ac:dyDescent="0.25">
      <c r="A15" s="105">
        <v>45797</v>
      </c>
      <c r="B15" s="82" t="s">
        <v>549</v>
      </c>
      <c r="C15" s="83" t="s">
        <v>606</v>
      </c>
      <c r="D15" s="83" t="s">
        <v>622</v>
      </c>
    </row>
    <row r="16" spans="1:4" s="78" customFormat="1" ht="45" x14ac:dyDescent="0.25">
      <c r="A16" s="105">
        <v>45838</v>
      </c>
      <c r="B16" s="82" t="s">
        <v>548</v>
      </c>
      <c r="C16" s="81" t="s">
        <v>608</v>
      </c>
      <c r="D16" s="83" t="s">
        <v>624</v>
      </c>
    </row>
    <row r="17" spans="1:4" s="80" customFormat="1" ht="37.5" customHeight="1" x14ac:dyDescent="0.25">
      <c r="A17" s="106">
        <v>45842</v>
      </c>
      <c r="B17" s="79" t="s">
        <v>548</v>
      </c>
      <c r="C17" s="81" t="s">
        <v>608</v>
      </c>
      <c r="D17" s="81" t="s">
        <v>623</v>
      </c>
    </row>
    <row r="18" spans="1:4" s="80" customFormat="1" x14ac:dyDescent="0.25">
      <c r="A18" s="106">
        <v>45852</v>
      </c>
      <c r="B18" s="79" t="s">
        <v>548</v>
      </c>
      <c r="C18" s="81" t="s">
        <v>608</v>
      </c>
      <c r="D18" s="81" t="s">
        <v>625</v>
      </c>
    </row>
    <row r="19" spans="1:4" s="80" customFormat="1" x14ac:dyDescent="0.25">
      <c r="A19" s="106">
        <v>45853</v>
      </c>
      <c r="B19" s="79" t="s">
        <v>548</v>
      </c>
      <c r="C19" s="81" t="s">
        <v>608</v>
      </c>
      <c r="D19" s="80" t="s">
        <v>626</v>
      </c>
    </row>
    <row r="20" spans="1:4" s="80" customFormat="1" ht="30" x14ac:dyDescent="0.25">
      <c r="A20" s="106">
        <v>45863</v>
      </c>
      <c r="B20" s="79" t="s">
        <v>548</v>
      </c>
      <c r="C20" s="81" t="s">
        <v>627</v>
      </c>
      <c r="D20" s="81" t="s">
        <v>628</v>
      </c>
    </row>
    <row r="21" spans="1:4" s="80" customFormat="1" x14ac:dyDescent="0.25">
      <c r="A21" s="106">
        <v>45873</v>
      </c>
      <c r="B21" s="79" t="s">
        <v>630</v>
      </c>
      <c r="C21" s="81" t="s">
        <v>611</v>
      </c>
      <c r="D21" s="80" t="s">
        <v>629</v>
      </c>
    </row>
    <row r="22" spans="1:4" s="80" customFormat="1" ht="30" x14ac:dyDescent="0.25">
      <c r="A22" s="106">
        <v>45874</v>
      </c>
      <c r="B22" s="79" t="s">
        <v>548</v>
      </c>
      <c r="C22" s="81" t="s">
        <v>631</v>
      </c>
      <c r="D22" s="81" t="s">
        <v>632</v>
      </c>
    </row>
    <row r="23" spans="1:4" s="80" customFormat="1" x14ac:dyDescent="0.25">
      <c r="A23" s="106">
        <v>45887</v>
      </c>
      <c r="B23" s="79" t="s">
        <v>548</v>
      </c>
      <c r="C23" s="81" t="s">
        <v>608</v>
      </c>
      <c r="D23" s="80" t="s">
        <v>633</v>
      </c>
    </row>
    <row r="24" spans="1:4" s="80" customFormat="1" x14ac:dyDescent="0.25">
      <c r="A24" s="106">
        <v>45918</v>
      </c>
      <c r="B24" s="79" t="s">
        <v>549</v>
      </c>
      <c r="C24" s="81" t="s">
        <v>608</v>
      </c>
      <c r="D24" s="80" t="s">
        <v>634</v>
      </c>
    </row>
    <row r="25" spans="1:4" s="80" customFormat="1" x14ac:dyDescent="0.25">
      <c r="A25" s="106">
        <v>45945</v>
      </c>
      <c r="B25" s="79" t="s">
        <v>548</v>
      </c>
      <c r="C25" s="81" t="s">
        <v>608</v>
      </c>
      <c r="D25" s="80" t="s">
        <v>635</v>
      </c>
    </row>
    <row r="26" spans="1:4" s="80" customFormat="1" x14ac:dyDescent="0.25">
      <c r="A26" s="106">
        <v>45979</v>
      </c>
      <c r="B26" s="79" t="s">
        <v>630</v>
      </c>
      <c r="C26" s="81" t="s">
        <v>611</v>
      </c>
      <c r="D26" s="80" t="s">
        <v>637</v>
      </c>
    </row>
    <row r="27" spans="1:4" ht="30" x14ac:dyDescent="0.25">
      <c r="A27" s="18">
        <v>45993</v>
      </c>
      <c r="B27" s="19" t="s">
        <v>614</v>
      </c>
      <c r="C27" s="15" t="s">
        <v>636</v>
      </c>
      <c r="D27" s="15" t="s">
        <v>638</v>
      </c>
    </row>
    <row r="28" spans="1:4" x14ac:dyDescent="0.25">
      <c r="A28" s="18"/>
    </row>
    <row r="29" spans="1:4" ht="241.5" customHeight="1" x14ac:dyDescent="0.25">
      <c r="A29" s="18"/>
    </row>
    <row r="30" spans="1:4" x14ac:dyDescent="0.25">
      <c r="A30" s="18"/>
    </row>
    <row r="31" spans="1:4" x14ac:dyDescent="0.25">
      <c r="A31" s="18"/>
    </row>
    <row r="32" spans="1:4" x14ac:dyDescent="0.25">
      <c r="A32" s="18"/>
    </row>
    <row r="33" spans="1:19" x14ac:dyDescent="0.25">
      <c r="A33" s="22"/>
      <c r="B33" s="16"/>
      <c r="C33" s="16"/>
      <c r="D33" s="16"/>
    </row>
    <row r="34" spans="1:19" x14ac:dyDescent="0.25">
      <c r="A34" s="22"/>
      <c r="B34" s="16"/>
      <c r="C34" s="16"/>
      <c r="D34" s="16"/>
    </row>
    <row r="35" spans="1:19" ht="27" customHeight="1" x14ac:dyDescent="0.25">
      <c r="A35" s="22"/>
      <c r="B35" s="16"/>
      <c r="C35" s="16"/>
      <c r="D35" s="16"/>
    </row>
    <row r="36" spans="1:19" x14ac:dyDescent="0.25">
      <c r="A36" s="22"/>
      <c r="B36" s="16"/>
      <c r="C36" s="16"/>
      <c r="D36" s="16"/>
    </row>
    <row r="37" spans="1:19" x14ac:dyDescent="0.25">
      <c r="A37" s="22"/>
      <c r="B37" s="16"/>
      <c r="C37" s="16"/>
      <c r="D37" s="16"/>
    </row>
    <row r="38" spans="1:19" x14ac:dyDescent="0.25">
      <c r="A38" s="22"/>
      <c r="B38" s="16"/>
      <c r="C38" s="16"/>
      <c r="D38" s="16"/>
    </row>
    <row r="39" spans="1:19" x14ac:dyDescent="0.25">
      <c r="A39" s="18"/>
    </row>
    <row r="40" spans="1:19" x14ac:dyDescent="0.25">
      <c r="A40" s="18"/>
    </row>
    <row r="41" spans="1:19" x14ac:dyDescent="0.25">
      <c r="A41" s="18"/>
    </row>
    <row r="42" spans="1:19" x14ac:dyDescent="0.25">
      <c r="A42" s="18"/>
    </row>
    <row r="43" spans="1:19" ht="48" customHeight="1" x14ac:dyDescent="0.25">
      <c r="A43" s="18"/>
    </row>
    <row r="44" spans="1:19" x14ac:dyDescent="0.25">
      <c r="A44" s="18"/>
      <c r="K44" s="5"/>
      <c r="N44" s="5"/>
      <c r="O44" s="5"/>
      <c r="P44" s="5"/>
      <c r="Q44" s="5"/>
      <c r="R44" s="5"/>
      <c r="S44" s="26"/>
    </row>
    <row r="45" spans="1:19" x14ac:dyDescent="0.25">
      <c r="A45" s="18"/>
      <c r="K45" s="5"/>
      <c r="N45" s="5"/>
      <c r="O45" s="5"/>
      <c r="P45" s="5"/>
      <c r="Q45" s="5"/>
      <c r="R45" s="5"/>
      <c r="S45" s="26"/>
    </row>
    <row r="46" spans="1:19" x14ac:dyDescent="0.25">
      <c r="A46" s="18"/>
      <c r="K46" s="5"/>
      <c r="N46" s="5"/>
      <c r="O46" s="5"/>
      <c r="P46" s="5"/>
      <c r="Q46" s="5"/>
      <c r="R46" s="5"/>
      <c r="S46" s="26"/>
    </row>
    <row r="47" spans="1:19" x14ac:dyDescent="0.25">
      <c r="A47" s="18"/>
      <c r="K47" s="5"/>
      <c r="N47" s="5"/>
      <c r="O47" s="5"/>
      <c r="P47" s="5"/>
      <c r="Q47" s="5"/>
      <c r="R47" s="5"/>
      <c r="S47" s="26"/>
    </row>
    <row r="48" spans="1:19" x14ac:dyDescent="0.25">
      <c r="A48" s="22"/>
      <c r="B48" s="16"/>
      <c r="C48" s="16"/>
      <c r="D48" s="16"/>
      <c r="K48" s="5"/>
      <c r="N48" s="5"/>
      <c r="O48" s="5"/>
      <c r="P48" s="5"/>
      <c r="Q48" s="5"/>
      <c r="R48" s="5"/>
      <c r="S48" s="26"/>
    </row>
    <row r="49" spans="1:19" x14ac:dyDescent="0.25">
      <c r="A49" s="22"/>
      <c r="B49" s="16"/>
      <c r="C49" s="16"/>
      <c r="D49" s="16"/>
      <c r="K49" s="5"/>
      <c r="N49" s="5"/>
      <c r="O49" s="5"/>
      <c r="P49" s="5"/>
      <c r="Q49" s="5"/>
      <c r="R49" s="5"/>
      <c r="S49" s="26"/>
    </row>
    <row r="50" spans="1:19" x14ac:dyDescent="0.25">
      <c r="A50" s="22"/>
      <c r="B50" s="16"/>
      <c r="C50" s="16"/>
      <c r="D50" s="16"/>
      <c r="K50" s="5"/>
      <c r="N50" s="5"/>
      <c r="O50" s="5"/>
      <c r="P50" s="5"/>
      <c r="Q50" s="5"/>
      <c r="R50" s="5"/>
      <c r="S50" s="26"/>
    </row>
    <row r="51" spans="1:19" x14ac:dyDescent="0.25">
      <c r="A51" s="22"/>
      <c r="B51" s="16"/>
      <c r="C51" s="16"/>
      <c r="D51" s="16"/>
      <c r="K51" s="5"/>
      <c r="N51" s="5"/>
      <c r="O51" s="5"/>
      <c r="P51" s="5"/>
      <c r="Q51" s="5"/>
      <c r="R51" s="5"/>
      <c r="S51" s="26"/>
    </row>
    <row r="52" spans="1:19" x14ac:dyDescent="0.25">
      <c r="A52" s="22"/>
      <c r="B52" s="16"/>
      <c r="C52" s="16"/>
      <c r="D52" s="16"/>
      <c r="K52" s="5"/>
      <c r="N52" s="5"/>
      <c r="O52" s="5"/>
      <c r="P52" s="5"/>
      <c r="Q52" s="5"/>
      <c r="R52" s="5"/>
      <c r="S52" s="26"/>
    </row>
    <row r="53" spans="1:19" x14ac:dyDescent="0.25">
      <c r="A53" s="22"/>
      <c r="B53" s="16"/>
      <c r="C53" s="16"/>
      <c r="D53" s="16"/>
      <c r="K53" s="5"/>
      <c r="N53" s="5"/>
      <c r="O53" s="5"/>
      <c r="P53" s="5"/>
      <c r="Q53" s="5"/>
      <c r="R53" s="5"/>
      <c r="S53" s="26"/>
    </row>
    <row r="54" spans="1:19" x14ac:dyDescent="0.25">
      <c r="A54" s="18"/>
      <c r="C54" s="16"/>
      <c r="K54" s="5"/>
      <c r="N54" s="5"/>
      <c r="O54" s="5"/>
      <c r="P54" s="5"/>
      <c r="Q54" s="5"/>
      <c r="R54" s="5"/>
      <c r="S54" s="26"/>
    </row>
    <row r="55" spans="1:19" x14ac:dyDescent="0.25">
      <c r="A55" s="18"/>
      <c r="C55" s="16"/>
      <c r="K55" s="5"/>
      <c r="N55" s="5"/>
      <c r="O55" s="5"/>
      <c r="P55" s="5"/>
      <c r="Q55" s="5"/>
      <c r="R55" s="5"/>
      <c r="S55" s="26"/>
    </row>
    <row r="56" spans="1:19" x14ac:dyDescent="0.25">
      <c r="A56" s="18"/>
      <c r="C56" s="16"/>
      <c r="K56" s="5"/>
      <c r="N56" s="5"/>
      <c r="O56" s="5"/>
      <c r="P56" s="5"/>
      <c r="Q56" s="5"/>
      <c r="R56" s="5"/>
      <c r="S56" s="26"/>
    </row>
    <row r="57" spans="1:19" x14ac:dyDescent="0.25">
      <c r="A57" s="18"/>
      <c r="C57" s="16"/>
      <c r="K57" s="5"/>
      <c r="N57" s="5"/>
      <c r="O57" s="5"/>
      <c r="P57" s="5"/>
      <c r="Q57" s="5"/>
      <c r="R57" s="5"/>
      <c r="S57" s="26"/>
    </row>
    <row r="58" spans="1:19" x14ac:dyDescent="0.25">
      <c r="A58" s="18"/>
      <c r="K58" s="5"/>
      <c r="N58" s="5"/>
      <c r="O58" s="5"/>
      <c r="P58" s="5"/>
      <c r="Q58" s="5"/>
      <c r="R58" s="5"/>
      <c r="S58" s="26"/>
    </row>
    <row r="59" spans="1:19" x14ac:dyDescent="0.25">
      <c r="A59" s="18"/>
      <c r="K59" s="5"/>
      <c r="N59" s="5"/>
      <c r="O59" s="5"/>
      <c r="P59" s="5"/>
      <c r="Q59" s="5"/>
      <c r="R59" s="5"/>
      <c r="S59" s="26"/>
    </row>
    <row r="60" spans="1:19" x14ac:dyDescent="0.25">
      <c r="A60" s="18"/>
      <c r="D60" s="16"/>
      <c r="K60" s="5"/>
      <c r="N60" s="5"/>
      <c r="O60" s="5"/>
      <c r="P60" s="5"/>
      <c r="Q60" s="5"/>
      <c r="R60" s="5"/>
      <c r="S60" s="26"/>
    </row>
    <row r="61" spans="1:19" x14ac:dyDescent="0.25">
      <c r="A61" s="18"/>
      <c r="K61" s="5"/>
      <c r="N61" s="5"/>
      <c r="O61" s="5"/>
      <c r="P61" s="5"/>
      <c r="Q61" s="5"/>
      <c r="R61" s="5"/>
      <c r="S61" s="26"/>
    </row>
    <row r="62" spans="1:19" x14ac:dyDescent="0.25">
      <c r="A62" s="18"/>
      <c r="K62" s="5"/>
      <c r="N62" s="5"/>
      <c r="O62" s="5"/>
      <c r="P62" s="5"/>
      <c r="Q62" s="5"/>
      <c r="R62" s="5"/>
      <c r="S62" s="26"/>
    </row>
    <row r="63" spans="1:19" x14ac:dyDescent="0.25">
      <c r="K63" s="5"/>
      <c r="N63" s="5"/>
      <c r="O63" s="5"/>
      <c r="P63" s="5"/>
      <c r="Q63" s="5"/>
      <c r="R63" s="5"/>
      <c r="S63" s="26"/>
    </row>
    <row r="64" spans="1:19" x14ac:dyDescent="0.25">
      <c r="A64" s="18"/>
      <c r="K64" s="5"/>
      <c r="N64" s="5"/>
      <c r="O64" s="5"/>
      <c r="P64" s="5"/>
      <c r="Q64" s="5"/>
      <c r="R64" s="5"/>
      <c r="S64" s="26"/>
    </row>
    <row r="65" spans="1:19" x14ac:dyDescent="0.25">
      <c r="A65" s="22"/>
      <c r="B65" s="16"/>
      <c r="C65" s="16"/>
      <c r="D65" s="47"/>
      <c r="K65" s="5"/>
      <c r="N65" s="5"/>
      <c r="O65" s="5"/>
      <c r="P65" s="5"/>
      <c r="Q65" s="5"/>
      <c r="R65" s="5"/>
      <c r="S65" s="26"/>
    </row>
    <row r="66" spans="1:19" x14ac:dyDescent="0.25">
      <c r="A66" s="22"/>
      <c r="B66" s="16"/>
      <c r="C66" s="16"/>
      <c r="D66" s="48"/>
      <c r="K66" s="5"/>
      <c r="N66" s="5"/>
      <c r="O66" s="5"/>
      <c r="P66" s="5"/>
      <c r="Q66" s="5"/>
      <c r="R66" s="5"/>
      <c r="S66" s="26"/>
    </row>
    <row r="67" spans="1:19" x14ac:dyDescent="0.25">
      <c r="A67" s="18"/>
      <c r="B67" s="15"/>
      <c r="K67" s="5"/>
      <c r="N67" s="5"/>
      <c r="O67" s="5"/>
      <c r="P67" s="5"/>
      <c r="Q67" s="5"/>
      <c r="R67" s="32"/>
      <c r="S67" s="34"/>
    </row>
    <row r="68" spans="1:19" x14ac:dyDescent="0.25">
      <c r="K68" s="5"/>
      <c r="N68" s="5"/>
      <c r="O68" s="5"/>
      <c r="P68" s="5"/>
      <c r="Q68" s="5"/>
      <c r="R68" s="5"/>
      <c r="S68" s="26"/>
    </row>
    <row r="69" spans="1:19" x14ac:dyDescent="0.25">
      <c r="K69" s="5"/>
      <c r="N69" s="5"/>
      <c r="O69" s="5"/>
      <c r="P69" s="5"/>
      <c r="Q69" s="5"/>
      <c r="R69" s="5"/>
      <c r="S69" s="26"/>
    </row>
    <row r="70" spans="1:19" x14ac:dyDescent="0.25">
      <c r="K70" s="5"/>
      <c r="N70" s="5"/>
      <c r="O70" s="5"/>
      <c r="P70" s="5"/>
      <c r="Q70" s="5"/>
      <c r="R70" s="5"/>
      <c r="S70" s="26"/>
    </row>
    <row r="71" spans="1:19" x14ac:dyDescent="0.25">
      <c r="K71" s="5"/>
      <c r="N71" s="5"/>
      <c r="O71" s="5"/>
      <c r="P71" s="5"/>
      <c r="Q71" s="5"/>
      <c r="R71" s="5"/>
      <c r="S71" s="26"/>
    </row>
    <row r="72" spans="1:19" x14ac:dyDescent="0.25">
      <c r="K72" s="5"/>
      <c r="N72" s="5"/>
      <c r="O72" s="5"/>
      <c r="P72" s="5"/>
      <c r="Q72" s="5"/>
      <c r="R72" s="5"/>
      <c r="S72" s="26"/>
    </row>
    <row r="73" spans="1:19" x14ac:dyDescent="0.25">
      <c r="K73" s="5"/>
      <c r="N73" s="5"/>
      <c r="O73" s="5"/>
      <c r="P73" s="5"/>
      <c r="Q73" s="5"/>
      <c r="R73" s="5"/>
      <c r="S73" s="26"/>
    </row>
    <row r="74" spans="1:19" x14ac:dyDescent="0.25">
      <c r="K74" s="5"/>
      <c r="N74" s="5"/>
      <c r="O74" s="5"/>
      <c r="P74" s="5"/>
      <c r="Q74" s="5"/>
      <c r="R74" s="5"/>
      <c r="S74" s="26"/>
    </row>
    <row r="75" spans="1:19" x14ac:dyDescent="0.25">
      <c r="K75" s="5"/>
      <c r="N75" s="5"/>
      <c r="O75" s="5"/>
      <c r="P75" s="5"/>
      <c r="Q75" s="5"/>
      <c r="R75" s="5"/>
      <c r="S75" s="26"/>
    </row>
    <row r="76" spans="1:19" x14ac:dyDescent="0.25">
      <c r="K76" s="5"/>
      <c r="N76" s="5"/>
      <c r="O76" s="5"/>
      <c r="P76" s="5"/>
      <c r="Q76" s="5"/>
      <c r="R76" s="5"/>
      <c r="S76" s="26"/>
    </row>
    <row r="77" spans="1:19" x14ac:dyDescent="0.25">
      <c r="K77" s="5"/>
      <c r="N77" s="5"/>
      <c r="O77" s="5"/>
      <c r="P77" s="5"/>
      <c r="Q77" s="5"/>
      <c r="R77" s="5"/>
      <c r="S77" s="26"/>
    </row>
    <row r="78" spans="1:19" x14ac:dyDescent="0.25">
      <c r="K78" s="5"/>
      <c r="N78" s="5"/>
      <c r="O78" s="5"/>
      <c r="P78" s="5"/>
      <c r="Q78" s="5"/>
      <c r="R78" s="5"/>
      <c r="S78" s="26"/>
    </row>
    <row r="79" spans="1:19" x14ac:dyDescent="0.25">
      <c r="K79" s="5"/>
      <c r="N79" s="5"/>
      <c r="O79" s="5"/>
      <c r="P79" s="5"/>
      <c r="Q79" s="5"/>
      <c r="R79" s="5"/>
      <c r="S79" s="26"/>
    </row>
    <row r="80" spans="1:19" x14ac:dyDescent="0.25">
      <c r="K80" s="5"/>
      <c r="N80" s="5"/>
      <c r="O80" s="5"/>
      <c r="P80" s="5"/>
      <c r="Q80" s="5"/>
      <c r="R80" s="5"/>
      <c r="S80" s="26"/>
    </row>
    <row r="81" spans="11:19" x14ac:dyDescent="0.25">
      <c r="K81" s="5"/>
      <c r="N81" s="5"/>
      <c r="O81" s="5"/>
      <c r="P81" s="5"/>
      <c r="Q81" s="5"/>
      <c r="R81" s="5"/>
      <c r="S81" s="26"/>
    </row>
    <row r="82" spans="11:19" x14ac:dyDescent="0.25">
      <c r="K82" s="5"/>
      <c r="N82" s="5"/>
      <c r="O82" s="5"/>
      <c r="P82" s="5"/>
      <c r="Q82" s="5"/>
      <c r="R82" s="5"/>
      <c r="S82" s="26"/>
    </row>
    <row r="83" spans="11:19" x14ac:dyDescent="0.25">
      <c r="K83" s="5"/>
      <c r="N83" s="5"/>
      <c r="O83" s="5"/>
      <c r="P83" s="5"/>
      <c r="Q83" s="5"/>
      <c r="R83" s="5"/>
      <c r="S83" s="26"/>
    </row>
    <row r="84" spans="11:19" x14ac:dyDescent="0.25">
      <c r="K84" s="5"/>
      <c r="N84" s="5"/>
      <c r="O84" s="5"/>
      <c r="P84" s="5"/>
      <c r="Q84" s="5"/>
      <c r="R84" s="5"/>
      <c r="S84" s="26"/>
    </row>
    <row r="85" spans="11:19" x14ac:dyDescent="0.25">
      <c r="K85" s="5"/>
      <c r="N85" s="5"/>
      <c r="O85" s="5"/>
      <c r="P85" s="5"/>
      <c r="Q85" s="5"/>
      <c r="R85" s="5"/>
      <c r="S85" s="26"/>
    </row>
    <row r="86" spans="11:19" x14ac:dyDescent="0.25">
      <c r="K86" s="5"/>
      <c r="N86" s="5"/>
      <c r="O86" s="5"/>
      <c r="P86" s="5"/>
      <c r="Q86" s="5"/>
      <c r="R86" s="5"/>
      <c r="S86" s="26"/>
    </row>
    <row r="87" spans="11:19" x14ac:dyDescent="0.25">
      <c r="K87" s="5"/>
      <c r="N87" s="5"/>
      <c r="O87" s="5"/>
      <c r="P87" s="5"/>
      <c r="Q87" s="5"/>
      <c r="R87" s="5"/>
      <c r="S87" s="26"/>
    </row>
    <row r="88" spans="11:19" x14ac:dyDescent="0.25">
      <c r="K88" s="5"/>
      <c r="N88" s="5"/>
      <c r="O88" s="5"/>
      <c r="P88" s="5"/>
      <c r="Q88" s="5"/>
      <c r="R88" s="5"/>
      <c r="S88" s="26"/>
    </row>
    <row r="89" spans="11:19" x14ac:dyDescent="0.25">
      <c r="K89" s="5"/>
      <c r="N89" s="5"/>
      <c r="O89" s="5"/>
      <c r="P89" s="5"/>
      <c r="Q89" s="5"/>
      <c r="R89" s="5"/>
      <c r="S89" s="26"/>
    </row>
    <row r="90" spans="11:19" x14ac:dyDescent="0.25">
      <c r="K90" s="5"/>
      <c r="N90" s="5"/>
      <c r="O90" s="5"/>
      <c r="P90" s="5"/>
      <c r="Q90" s="5"/>
      <c r="R90" s="5"/>
      <c r="S90" s="26"/>
    </row>
    <row r="91" spans="11:19" x14ac:dyDescent="0.25">
      <c r="K91" s="5"/>
      <c r="N91" s="5"/>
      <c r="O91" s="5"/>
      <c r="P91" s="5"/>
      <c r="Q91" s="5"/>
      <c r="R91" s="5"/>
      <c r="S91" s="26"/>
    </row>
    <row r="92" spans="11:19" x14ac:dyDescent="0.25">
      <c r="K92" s="5"/>
      <c r="N92" s="5"/>
      <c r="O92" s="5"/>
      <c r="P92" s="5"/>
      <c r="Q92" s="5"/>
      <c r="R92" s="5"/>
      <c r="S92" s="26"/>
    </row>
    <row r="93" spans="11:19" x14ac:dyDescent="0.25">
      <c r="K93" s="5"/>
      <c r="N93" s="5"/>
      <c r="O93" s="5"/>
      <c r="P93" s="5"/>
      <c r="Q93" s="5"/>
      <c r="R93" s="5"/>
      <c r="S93" s="26"/>
    </row>
    <row r="94" spans="11:19" x14ac:dyDescent="0.25">
      <c r="K94" s="5"/>
      <c r="N94" s="5"/>
      <c r="O94" s="5"/>
      <c r="P94" s="5"/>
      <c r="Q94" s="5"/>
      <c r="R94" s="5"/>
      <c r="S94" s="26"/>
    </row>
    <row r="95" spans="11:19" x14ac:dyDescent="0.25">
      <c r="K95" s="5"/>
      <c r="N95" s="5"/>
      <c r="O95" s="5"/>
      <c r="P95" s="5"/>
      <c r="Q95" s="5"/>
      <c r="R95" s="5"/>
      <c r="S95" s="26"/>
    </row>
    <row r="96" spans="11:19" x14ac:dyDescent="0.25">
      <c r="K96" s="5"/>
      <c r="N96" s="5"/>
      <c r="O96" s="5"/>
      <c r="P96" s="5"/>
      <c r="Q96" s="5"/>
      <c r="R96" s="5"/>
      <c r="S96" s="26"/>
    </row>
    <row r="97" spans="11:19" x14ac:dyDescent="0.25">
      <c r="K97" s="5"/>
      <c r="N97" s="5"/>
      <c r="O97" s="5"/>
      <c r="P97" s="5"/>
      <c r="Q97" s="5"/>
      <c r="R97" s="5"/>
      <c r="S97" s="26"/>
    </row>
    <row r="98" spans="11:19" x14ac:dyDescent="0.25">
      <c r="K98" s="5"/>
      <c r="N98" s="5"/>
      <c r="O98" s="5"/>
      <c r="P98" s="5"/>
      <c r="Q98" s="5"/>
      <c r="R98" s="5"/>
      <c r="S98" s="26"/>
    </row>
    <row r="99" spans="11:19" x14ac:dyDescent="0.25">
      <c r="K99" s="5"/>
      <c r="N99" s="5"/>
      <c r="O99" s="5"/>
      <c r="P99" s="5"/>
      <c r="Q99" s="5"/>
      <c r="R99" s="5"/>
      <c r="S99" s="26"/>
    </row>
    <row r="100" spans="11:19" x14ac:dyDescent="0.25">
      <c r="K100" s="5"/>
      <c r="N100" s="5"/>
      <c r="O100" s="5"/>
      <c r="P100" s="5"/>
      <c r="Q100" s="5"/>
      <c r="R100" s="5"/>
      <c r="S100" s="26"/>
    </row>
    <row r="101" spans="11:19" x14ac:dyDescent="0.25">
      <c r="K101" s="5"/>
      <c r="N101" s="5"/>
      <c r="O101" s="5"/>
      <c r="P101" s="5"/>
      <c r="Q101" s="5"/>
      <c r="R101" s="5"/>
      <c r="S101" s="26"/>
    </row>
    <row r="102" spans="11:19" x14ac:dyDescent="0.25">
      <c r="K102" s="5"/>
      <c r="N102" s="5"/>
      <c r="O102" s="5"/>
      <c r="P102" s="5"/>
      <c r="Q102" s="5"/>
      <c r="R102" s="5"/>
      <c r="S102" s="26"/>
    </row>
    <row r="103" spans="11:19" x14ac:dyDescent="0.25">
      <c r="K103" s="5"/>
      <c r="N103" s="5"/>
      <c r="O103" s="5"/>
      <c r="P103" s="5"/>
      <c r="Q103" s="5"/>
      <c r="R103" s="5"/>
      <c r="S103" s="26"/>
    </row>
    <row r="104" spans="11:19" x14ac:dyDescent="0.25">
      <c r="K104" s="5"/>
      <c r="N104" s="5"/>
      <c r="O104" s="5"/>
      <c r="P104" s="5"/>
      <c r="Q104" s="5"/>
      <c r="R104" s="5"/>
      <c r="S104" s="40"/>
    </row>
    <row r="105" spans="11:19" x14ac:dyDescent="0.25">
      <c r="K105" s="5"/>
      <c r="N105" s="5"/>
      <c r="O105" s="5"/>
      <c r="P105" s="5"/>
      <c r="Q105" s="5"/>
      <c r="R105" s="5"/>
      <c r="S105" s="26"/>
    </row>
    <row r="106" spans="11:19" x14ac:dyDescent="0.25">
      <c r="K106" s="5"/>
      <c r="N106" s="5"/>
      <c r="O106" s="5"/>
      <c r="P106" s="5"/>
      <c r="Q106" s="5"/>
      <c r="R106" s="5"/>
      <c r="S106" s="40"/>
    </row>
    <row r="107" spans="11:19" x14ac:dyDescent="0.25">
      <c r="K107" s="5"/>
      <c r="N107" s="5"/>
      <c r="O107" s="5"/>
      <c r="P107" s="5"/>
      <c r="Q107" s="5"/>
      <c r="R107" s="5"/>
      <c r="S107" s="2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540E-6C51-40BB-A955-C02F6C3159C5}">
  <sheetPr>
    <tabColor rgb="FF92D050"/>
  </sheetPr>
  <dimension ref="A1:M22"/>
  <sheetViews>
    <sheetView workbookViewId="0"/>
  </sheetViews>
  <sheetFormatPr defaultRowHeight="15" x14ac:dyDescent="0.25"/>
  <cols>
    <col min="1" max="1" width="9.5703125" bestFit="1" customWidth="1"/>
    <col min="2" max="2" width="14" customWidth="1"/>
    <col min="5" max="5" width="8.5703125" style="7"/>
    <col min="6" max="6" width="11.5703125" customWidth="1"/>
    <col min="8" max="11" width="8.5703125" style="5"/>
  </cols>
  <sheetData>
    <row r="1" spans="1:13" s="3" customFormat="1" ht="60" x14ac:dyDescent="0.25">
      <c r="A1" s="3" t="s">
        <v>19</v>
      </c>
      <c r="B1" s="3" t="s">
        <v>22</v>
      </c>
      <c r="C1" s="3" t="s">
        <v>59</v>
      </c>
      <c r="D1" s="3" t="s">
        <v>60</v>
      </c>
      <c r="E1" s="9" t="s">
        <v>61</v>
      </c>
      <c r="F1" s="10" t="s">
        <v>62</v>
      </c>
      <c r="G1" s="11" t="s">
        <v>63</v>
      </c>
      <c r="H1" s="4" t="s">
        <v>64</v>
      </c>
      <c r="I1" s="4" t="s">
        <v>65</v>
      </c>
      <c r="J1" s="4" t="s">
        <v>66</v>
      </c>
      <c r="K1" s="4" t="s">
        <v>67</v>
      </c>
    </row>
    <row r="2" spans="1:13" x14ac:dyDescent="0.25">
      <c r="A2" t="s">
        <v>34</v>
      </c>
      <c r="B2" t="s">
        <v>36</v>
      </c>
      <c r="C2">
        <v>1984</v>
      </c>
      <c r="E2" s="78">
        <v>3.8300000000000001E-2</v>
      </c>
      <c r="F2" s="5">
        <v>187.5</v>
      </c>
      <c r="G2" s="12">
        <f>F2*E2</f>
        <v>7.1812500000000004</v>
      </c>
      <c r="H2" s="5">
        <v>12</v>
      </c>
      <c r="I2" s="5">
        <v>1.5</v>
      </c>
      <c r="J2" s="5">
        <f>H2*I2</f>
        <v>18</v>
      </c>
      <c r="K2" s="20">
        <f>G2*J2</f>
        <v>129.26250000000002</v>
      </c>
      <c r="M2" s="5"/>
    </row>
    <row r="3" spans="1:13" x14ac:dyDescent="0.25">
      <c r="A3" t="s">
        <v>34</v>
      </c>
      <c r="B3" t="s">
        <v>37</v>
      </c>
      <c r="C3">
        <v>1989</v>
      </c>
      <c r="E3" s="80">
        <v>4.0599999999999997E-2</v>
      </c>
      <c r="F3" s="5">
        <v>187.5</v>
      </c>
      <c r="G3" s="12">
        <f t="shared" ref="G3:G17" si="0">F3*E3</f>
        <v>7.6124999999999998</v>
      </c>
      <c r="H3" s="5">
        <v>12</v>
      </c>
      <c r="I3" s="5">
        <v>1.5</v>
      </c>
      <c r="J3" s="5">
        <f t="shared" ref="J3:J17" si="1">H3*I3</f>
        <v>18</v>
      </c>
      <c r="K3" s="20">
        <f t="shared" ref="K3:K17" si="2">G3*J3</f>
        <v>137.02500000000001</v>
      </c>
      <c r="M3" s="5"/>
    </row>
    <row r="4" spans="1:13" x14ac:dyDescent="0.25">
      <c r="A4" t="s">
        <v>34</v>
      </c>
      <c r="B4" t="s">
        <v>38</v>
      </c>
      <c r="C4">
        <v>1999</v>
      </c>
      <c r="E4" s="80">
        <v>4.7599999999999996E-2</v>
      </c>
      <c r="F4" s="5">
        <v>187.5</v>
      </c>
      <c r="G4" s="12">
        <f t="shared" si="0"/>
        <v>8.9249999999999989</v>
      </c>
      <c r="H4" s="5">
        <v>12</v>
      </c>
      <c r="I4" s="5">
        <v>1.5</v>
      </c>
      <c r="J4" s="5">
        <f t="shared" si="1"/>
        <v>18</v>
      </c>
      <c r="K4" s="20">
        <f t="shared" si="2"/>
        <v>160.64999999999998</v>
      </c>
    </row>
    <row r="5" spans="1:13" x14ac:dyDescent="0.25">
      <c r="A5" t="s">
        <v>34</v>
      </c>
      <c r="B5" t="s">
        <v>39</v>
      </c>
      <c r="C5">
        <v>2001</v>
      </c>
      <c r="E5" s="80">
        <v>4.7100000000000003E-2</v>
      </c>
      <c r="F5" s="5">
        <v>187.5</v>
      </c>
      <c r="G5" s="12">
        <f t="shared" si="0"/>
        <v>8.8312500000000007</v>
      </c>
      <c r="H5" s="5">
        <v>12</v>
      </c>
      <c r="I5" s="5">
        <v>1.5</v>
      </c>
      <c r="J5" s="5">
        <f t="shared" si="1"/>
        <v>18</v>
      </c>
      <c r="K5" s="20">
        <f t="shared" si="2"/>
        <v>158.96250000000001</v>
      </c>
    </row>
    <row r="6" spans="1:13" x14ac:dyDescent="0.25">
      <c r="A6" t="s">
        <v>34</v>
      </c>
      <c r="B6" t="s">
        <v>40</v>
      </c>
      <c r="C6">
        <v>2004</v>
      </c>
      <c r="E6" s="80">
        <v>4.1299999999999996E-2</v>
      </c>
      <c r="F6" s="5">
        <v>187.5</v>
      </c>
      <c r="G6" s="12">
        <f t="shared" si="0"/>
        <v>7.7437499999999995</v>
      </c>
      <c r="H6" s="5">
        <v>12</v>
      </c>
      <c r="I6" s="5">
        <v>1.5</v>
      </c>
      <c r="J6" s="5">
        <f t="shared" si="1"/>
        <v>18</v>
      </c>
      <c r="K6" s="20">
        <f t="shared" si="2"/>
        <v>139.38749999999999</v>
      </c>
    </row>
    <row r="7" spans="1:13" x14ac:dyDescent="0.25">
      <c r="A7" t="s">
        <v>34</v>
      </c>
      <c r="B7" t="s">
        <v>41</v>
      </c>
      <c r="C7">
        <v>2008</v>
      </c>
      <c r="E7" s="80">
        <v>4.4699999999999997E-2</v>
      </c>
      <c r="F7" s="5">
        <v>187.5</v>
      </c>
      <c r="G7" s="12">
        <f t="shared" si="0"/>
        <v>8.3812499999999996</v>
      </c>
      <c r="H7" s="5">
        <v>12</v>
      </c>
      <c r="I7" s="5">
        <v>1.5</v>
      </c>
      <c r="J7" s="5">
        <f t="shared" si="1"/>
        <v>18</v>
      </c>
      <c r="K7" s="20">
        <f t="shared" si="2"/>
        <v>150.86249999999998</v>
      </c>
    </row>
    <row r="8" spans="1:13" x14ac:dyDescent="0.25">
      <c r="A8" t="s">
        <v>34</v>
      </c>
      <c r="B8" t="s">
        <v>42</v>
      </c>
      <c r="C8">
        <v>2016</v>
      </c>
      <c r="E8" s="80">
        <v>4.9500000000000002E-2</v>
      </c>
      <c r="F8" s="5">
        <v>187.5</v>
      </c>
      <c r="G8" s="12">
        <f t="shared" si="0"/>
        <v>9.28125</v>
      </c>
      <c r="H8" s="5">
        <v>12</v>
      </c>
      <c r="I8" s="5">
        <v>1.5</v>
      </c>
      <c r="J8" s="5">
        <f t="shared" si="1"/>
        <v>18</v>
      </c>
      <c r="K8" s="20">
        <f t="shared" si="2"/>
        <v>167.0625</v>
      </c>
    </row>
    <row r="9" spans="1:13" x14ac:dyDescent="0.25">
      <c r="A9" t="s">
        <v>34</v>
      </c>
      <c r="B9" t="s">
        <v>43</v>
      </c>
      <c r="C9">
        <v>2020</v>
      </c>
      <c r="E9" s="80">
        <v>4.41E-2</v>
      </c>
      <c r="F9" s="5">
        <v>187.5</v>
      </c>
      <c r="G9" s="12">
        <f t="shared" si="0"/>
        <v>8.2687500000000007</v>
      </c>
      <c r="H9" s="5">
        <v>12</v>
      </c>
      <c r="I9" s="5">
        <v>1.5</v>
      </c>
      <c r="J9" s="5">
        <f t="shared" si="1"/>
        <v>18</v>
      </c>
      <c r="K9" s="20">
        <f t="shared" si="2"/>
        <v>148.83750000000001</v>
      </c>
    </row>
    <row r="10" spans="1:13" x14ac:dyDescent="0.25">
      <c r="A10" t="s">
        <v>24</v>
      </c>
      <c r="B10" t="s">
        <v>26</v>
      </c>
      <c r="C10">
        <v>1983</v>
      </c>
      <c r="E10" s="80">
        <v>3.8100000000000002E-2</v>
      </c>
      <c r="F10" s="5">
        <v>187.5</v>
      </c>
      <c r="G10" s="12">
        <f t="shared" si="0"/>
        <v>7.1437500000000007</v>
      </c>
      <c r="H10" s="5">
        <v>12</v>
      </c>
      <c r="I10" s="5">
        <v>1.5</v>
      </c>
      <c r="J10" s="5">
        <f t="shared" si="1"/>
        <v>18</v>
      </c>
      <c r="K10" s="20">
        <f t="shared" si="2"/>
        <v>128.58750000000001</v>
      </c>
    </row>
    <row r="11" spans="1:13" x14ac:dyDescent="0.25">
      <c r="A11" t="s">
        <v>24</v>
      </c>
      <c r="B11" t="s">
        <v>27</v>
      </c>
      <c r="C11">
        <v>1985</v>
      </c>
      <c r="E11" s="80">
        <v>4.1299999999999996E-2</v>
      </c>
      <c r="F11" s="5">
        <v>187.5</v>
      </c>
      <c r="G11" s="12">
        <f t="shared" si="0"/>
        <v>7.7437499999999995</v>
      </c>
      <c r="H11" s="5">
        <v>12</v>
      </c>
      <c r="I11" s="5">
        <v>1.5</v>
      </c>
      <c r="J11" s="5">
        <f t="shared" si="1"/>
        <v>18</v>
      </c>
      <c r="K11" s="20">
        <f t="shared" si="2"/>
        <v>139.38749999999999</v>
      </c>
    </row>
    <row r="12" spans="1:13" x14ac:dyDescent="0.25">
      <c r="A12" t="s">
        <v>24</v>
      </c>
      <c r="B12" t="s">
        <v>28</v>
      </c>
      <c r="C12">
        <v>1998</v>
      </c>
      <c r="E12" s="80">
        <v>3.9599999999999996E-2</v>
      </c>
      <c r="F12" s="5">
        <v>187.5</v>
      </c>
      <c r="G12" s="12">
        <f t="shared" si="0"/>
        <v>7.4249999999999989</v>
      </c>
      <c r="H12" s="5">
        <v>12</v>
      </c>
      <c r="I12" s="5">
        <v>1.5</v>
      </c>
      <c r="J12" s="5">
        <f t="shared" si="1"/>
        <v>18</v>
      </c>
      <c r="K12" s="20">
        <f t="shared" si="2"/>
        <v>133.64999999999998</v>
      </c>
    </row>
    <row r="13" spans="1:13" x14ac:dyDescent="0.25">
      <c r="A13" t="s">
        <v>24</v>
      </c>
      <c r="B13" t="s">
        <v>29</v>
      </c>
      <c r="C13">
        <v>1999</v>
      </c>
      <c r="E13" s="80">
        <v>3.95E-2</v>
      </c>
      <c r="F13" s="5">
        <v>187.5</v>
      </c>
      <c r="G13" s="12">
        <f t="shared" si="0"/>
        <v>7.40625</v>
      </c>
      <c r="H13" s="5">
        <v>12</v>
      </c>
      <c r="I13" s="5">
        <v>1.5</v>
      </c>
      <c r="J13" s="5">
        <f t="shared" si="1"/>
        <v>18</v>
      </c>
      <c r="K13" s="20">
        <f t="shared" si="2"/>
        <v>133.3125</v>
      </c>
    </row>
    <row r="14" spans="1:13" x14ac:dyDescent="0.25">
      <c r="A14" t="s">
        <v>24</v>
      </c>
      <c r="B14" t="s">
        <v>30</v>
      </c>
      <c r="C14">
        <v>2002</v>
      </c>
      <c r="E14" s="80">
        <v>4.1100000000000005E-2</v>
      </c>
      <c r="F14" s="5">
        <v>187.5</v>
      </c>
      <c r="G14" s="12">
        <f t="shared" si="0"/>
        <v>7.7062500000000007</v>
      </c>
      <c r="H14" s="5">
        <v>12</v>
      </c>
      <c r="I14" s="5">
        <v>1.5</v>
      </c>
      <c r="J14" s="5">
        <f t="shared" si="1"/>
        <v>18</v>
      </c>
      <c r="K14" s="20">
        <f t="shared" si="2"/>
        <v>138.71250000000001</v>
      </c>
    </row>
    <row r="15" spans="1:13" x14ac:dyDescent="0.25">
      <c r="A15" t="s">
        <v>24</v>
      </c>
      <c r="B15" t="s">
        <v>31</v>
      </c>
      <c r="C15">
        <v>2016</v>
      </c>
      <c r="E15" s="80">
        <v>4.6199999999999998E-2</v>
      </c>
      <c r="F15" s="5">
        <v>187.5</v>
      </c>
      <c r="G15" s="12">
        <f t="shared" si="0"/>
        <v>8.6624999999999996</v>
      </c>
      <c r="H15" s="5">
        <v>12</v>
      </c>
      <c r="I15" s="5">
        <v>1.5</v>
      </c>
      <c r="J15" s="5">
        <f t="shared" si="1"/>
        <v>18</v>
      </c>
      <c r="K15" s="20">
        <f t="shared" si="2"/>
        <v>155.92499999999998</v>
      </c>
    </row>
    <row r="16" spans="1:13" x14ac:dyDescent="0.25">
      <c r="A16" t="s">
        <v>24</v>
      </c>
      <c r="B16" t="s">
        <v>32</v>
      </c>
      <c r="C16">
        <v>2018</v>
      </c>
      <c r="E16" s="80">
        <v>4.0599999999999997E-2</v>
      </c>
      <c r="F16" s="5">
        <v>187.5</v>
      </c>
      <c r="G16" s="12">
        <f t="shared" si="0"/>
        <v>7.6124999999999998</v>
      </c>
      <c r="H16" s="5">
        <v>12</v>
      </c>
      <c r="I16" s="5">
        <v>1.5</v>
      </c>
      <c r="J16" s="5">
        <f t="shared" si="1"/>
        <v>18</v>
      </c>
      <c r="K16" s="20">
        <f t="shared" si="2"/>
        <v>137.02500000000001</v>
      </c>
    </row>
    <row r="17" spans="1:11" x14ac:dyDescent="0.25">
      <c r="A17" t="s">
        <v>24</v>
      </c>
      <c r="B17" t="s">
        <v>68</v>
      </c>
      <c r="C17">
        <v>2023</v>
      </c>
      <c r="E17" s="80">
        <v>4.6100000000000002E-2</v>
      </c>
      <c r="F17" s="5">
        <v>187.5</v>
      </c>
      <c r="G17" s="12">
        <f t="shared" si="0"/>
        <v>8.6437500000000007</v>
      </c>
      <c r="H17" s="5">
        <v>12</v>
      </c>
      <c r="I17" s="5">
        <v>1.5</v>
      </c>
      <c r="J17" s="5">
        <f t="shared" si="1"/>
        <v>18</v>
      </c>
      <c r="K17" s="20">
        <f t="shared" si="2"/>
        <v>155.58750000000001</v>
      </c>
    </row>
    <row r="19" spans="1:11" x14ac:dyDescent="0.25">
      <c r="A19" s="13"/>
    </row>
    <row r="20" spans="1:11" x14ac:dyDescent="0.25">
      <c r="F20" s="1"/>
    </row>
    <row r="21" spans="1:11" x14ac:dyDescent="0.25">
      <c r="F21" s="1"/>
    </row>
    <row r="22" spans="1:11" x14ac:dyDescent="0.25">
      <c r="F22"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32E8-630A-4DFB-B8B1-4CCD7042BFC7}">
  <dimension ref="A1:A97"/>
  <sheetViews>
    <sheetView workbookViewId="0"/>
  </sheetViews>
  <sheetFormatPr defaultRowHeight="15" x14ac:dyDescent="0.25"/>
  <cols>
    <col min="1" max="1" width="13.28515625" customWidth="1"/>
  </cols>
  <sheetData>
    <row r="1" spans="1:1" x14ac:dyDescent="0.25">
      <c r="A1" s="62"/>
    </row>
    <row r="4" spans="1:1" x14ac:dyDescent="0.25">
      <c r="A4" s="62"/>
    </row>
    <row r="7" spans="1:1" x14ac:dyDescent="0.25">
      <c r="A7" s="62"/>
    </row>
    <row r="12" spans="1:1" x14ac:dyDescent="0.25">
      <c r="A12" s="62"/>
    </row>
    <row r="16" spans="1:1" x14ac:dyDescent="0.25">
      <c r="A16" s="62"/>
    </row>
    <row r="23" spans="1:1" x14ac:dyDescent="0.25">
      <c r="A23" s="62"/>
    </row>
    <row r="28" spans="1:1" x14ac:dyDescent="0.25">
      <c r="A28" s="62"/>
    </row>
    <row r="31" spans="1:1" x14ac:dyDescent="0.25">
      <c r="A31" s="62"/>
    </row>
    <row r="36" spans="1:1" x14ac:dyDescent="0.25">
      <c r="A36" s="62"/>
    </row>
    <row r="42" spans="1:1" x14ac:dyDescent="0.25">
      <c r="A42" s="62"/>
    </row>
    <row r="48" spans="1:1" x14ac:dyDescent="0.25">
      <c r="A48" s="62"/>
    </row>
    <row r="54" spans="1:1" x14ac:dyDescent="0.25">
      <c r="A54" s="62"/>
    </row>
    <row r="70" spans="1:1" x14ac:dyDescent="0.25">
      <c r="A70" s="62"/>
    </row>
    <row r="80" spans="1:1" x14ac:dyDescent="0.25">
      <c r="A80" s="62"/>
    </row>
    <row r="87" spans="1:1" x14ac:dyDescent="0.25">
      <c r="A87" s="62"/>
    </row>
    <row r="90" spans="1:1" x14ac:dyDescent="0.25">
      <c r="A90" s="62"/>
    </row>
    <row r="93" spans="1:1" x14ac:dyDescent="0.25">
      <c r="A93" s="62"/>
    </row>
    <row r="97" spans="1:1" x14ac:dyDescent="0.25">
      <c r="A97" s="6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85DB-E24A-4CDA-9044-877B1A3704B4}">
  <sheetPr>
    <tabColor rgb="FF92D050"/>
  </sheetPr>
  <dimension ref="A1:F18"/>
  <sheetViews>
    <sheetView workbookViewId="0"/>
  </sheetViews>
  <sheetFormatPr defaultRowHeight="15" x14ac:dyDescent="0.25"/>
  <cols>
    <col min="1" max="1" width="16.42578125" style="15" customWidth="1"/>
    <col min="2" max="2" width="61.42578125" style="15" customWidth="1"/>
    <col min="3" max="3" width="14.5703125" style="15" customWidth="1"/>
    <col min="4" max="4" width="16.42578125" style="15" customWidth="1"/>
    <col min="5" max="5" width="21.5703125" style="15" customWidth="1"/>
  </cols>
  <sheetData>
    <row r="1" spans="1:6" ht="45" x14ac:dyDescent="0.25">
      <c r="A1" s="14" t="s">
        <v>69</v>
      </c>
      <c r="B1" s="14" t="s">
        <v>70</v>
      </c>
      <c r="C1" s="14" t="s">
        <v>71</v>
      </c>
      <c r="D1" s="14" t="s">
        <v>72</v>
      </c>
      <c r="E1" s="14" t="s">
        <v>73</v>
      </c>
    </row>
    <row r="2" spans="1:6" ht="154.5" customHeight="1" x14ac:dyDescent="0.25">
      <c r="A2" s="15" t="s">
        <v>74</v>
      </c>
      <c r="B2" s="15" t="s">
        <v>75</v>
      </c>
      <c r="C2" s="15" t="s">
        <v>76</v>
      </c>
      <c r="D2" s="15" t="s">
        <v>77</v>
      </c>
      <c r="E2" s="15" t="s">
        <v>78</v>
      </c>
    </row>
    <row r="3" spans="1:6" ht="163.35" customHeight="1" x14ac:dyDescent="0.25">
      <c r="A3" s="15" t="s">
        <v>79</v>
      </c>
      <c r="B3" s="15" t="s">
        <v>80</v>
      </c>
      <c r="C3" s="15" t="s">
        <v>81</v>
      </c>
      <c r="D3" s="15" t="s">
        <v>82</v>
      </c>
      <c r="E3" s="15" t="s">
        <v>83</v>
      </c>
    </row>
    <row r="4" spans="1:6" ht="90" x14ac:dyDescent="0.25">
      <c r="A4" s="15" t="s">
        <v>84</v>
      </c>
      <c r="B4" s="15" t="s">
        <v>85</v>
      </c>
      <c r="D4" s="15" t="s">
        <v>86</v>
      </c>
      <c r="E4" s="15" t="s">
        <v>83</v>
      </c>
    </row>
    <row r="5" spans="1:6" ht="60" x14ac:dyDescent="0.25">
      <c r="A5" s="15" t="s">
        <v>87</v>
      </c>
      <c r="B5" s="15" t="s">
        <v>88</v>
      </c>
      <c r="C5" s="15" t="s">
        <v>89</v>
      </c>
      <c r="D5" s="15" t="s">
        <v>90</v>
      </c>
      <c r="E5" s="15" t="s">
        <v>91</v>
      </c>
    </row>
    <row r="6" spans="1:6" ht="136.9" customHeight="1" x14ac:dyDescent="0.25">
      <c r="A6" s="15" t="s">
        <v>92</v>
      </c>
      <c r="B6" s="15" t="s">
        <v>304</v>
      </c>
      <c r="C6" s="15" t="s">
        <v>93</v>
      </c>
      <c r="D6" s="15" t="s">
        <v>94</v>
      </c>
      <c r="E6" s="15" t="s">
        <v>95</v>
      </c>
    </row>
    <row r="7" spans="1:6" ht="45" x14ac:dyDescent="0.25">
      <c r="A7" s="15" t="s">
        <v>96</v>
      </c>
      <c r="B7" s="15" t="s">
        <v>97</v>
      </c>
      <c r="C7" s="15" t="s">
        <v>98</v>
      </c>
      <c r="D7" s="15" t="s">
        <v>99</v>
      </c>
      <c r="E7" s="15" t="s">
        <v>100</v>
      </c>
    </row>
    <row r="8" spans="1:6" ht="59.85" customHeight="1" x14ac:dyDescent="0.25">
      <c r="A8" s="15" t="s">
        <v>101</v>
      </c>
      <c r="B8" s="15" t="s">
        <v>102</v>
      </c>
      <c r="C8" s="15" t="s">
        <v>89</v>
      </c>
      <c r="D8" s="15" t="s">
        <v>103</v>
      </c>
      <c r="E8" s="15" t="s">
        <v>104</v>
      </c>
    </row>
    <row r="9" spans="1:6" ht="90" x14ac:dyDescent="0.25">
      <c r="A9" s="15" t="s">
        <v>105</v>
      </c>
      <c r="B9" s="15" t="s">
        <v>106</v>
      </c>
      <c r="C9" s="15" t="s">
        <v>107</v>
      </c>
      <c r="D9" s="15" t="s">
        <v>108</v>
      </c>
      <c r="E9" s="15" t="s">
        <v>109</v>
      </c>
    </row>
    <row r="10" spans="1:6" ht="165" x14ac:dyDescent="0.25">
      <c r="A10" s="15" t="s">
        <v>110</v>
      </c>
      <c r="B10" s="15" t="s">
        <v>111</v>
      </c>
      <c r="C10" s="15" t="s">
        <v>112</v>
      </c>
      <c r="D10" s="15" t="s">
        <v>113</v>
      </c>
      <c r="E10" s="15" t="s">
        <v>114</v>
      </c>
    </row>
    <row r="11" spans="1:6" ht="150" x14ac:dyDescent="0.25">
      <c r="A11" s="15" t="s">
        <v>115</v>
      </c>
      <c r="B11" s="15" t="s">
        <v>116</v>
      </c>
      <c r="C11" s="15" t="s">
        <v>117</v>
      </c>
      <c r="D11" s="15" t="s">
        <v>113</v>
      </c>
      <c r="E11" s="15" t="s">
        <v>118</v>
      </c>
    </row>
    <row r="12" spans="1:6" ht="390" x14ac:dyDescent="0.25">
      <c r="A12" s="15" t="s">
        <v>119</v>
      </c>
      <c r="B12" s="59" t="s">
        <v>120</v>
      </c>
      <c r="C12" s="15" t="s">
        <v>121</v>
      </c>
      <c r="D12" s="15" t="s">
        <v>122</v>
      </c>
      <c r="E12" s="15" t="s">
        <v>123</v>
      </c>
    </row>
    <row r="14" spans="1:6" ht="405" x14ac:dyDescent="0.25">
      <c r="A14" s="15" t="s">
        <v>124</v>
      </c>
      <c r="B14" s="59" t="s">
        <v>125</v>
      </c>
      <c r="C14" s="15" t="s">
        <v>126</v>
      </c>
      <c r="D14" s="15" t="s">
        <v>122</v>
      </c>
      <c r="E14" s="15" t="s">
        <v>127</v>
      </c>
    </row>
    <row r="15" spans="1:6" ht="90" x14ac:dyDescent="0.25">
      <c r="A15" s="59" t="s">
        <v>128</v>
      </c>
      <c r="B15" s="130" t="s">
        <v>129</v>
      </c>
      <c r="C15" s="59" t="s">
        <v>130</v>
      </c>
      <c r="D15" s="59" t="s">
        <v>131</v>
      </c>
      <c r="E15" s="59" t="s">
        <v>132</v>
      </c>
      <c r="F15" s="60"/>
    </row>
    <row r="16" spans="1:6" ht="202.5" customHeight="1" x14ac:dyDescent="0.25">
      <c r="A16" s="15" t="s">
        <v>133</v>
      </c>
      <c r="B16" s="59" t="s">
        <v>134</v>
      </c>
      <c r="C16" s="15" t="s">
        <v>135</v>
      </c>
      <c r="D16" s="15" t="s">
        <v>122</v>
      </c>
      <c r="E16" s="15" t="s">
        <v>136</v>
      </c>
    </row>
    <row r="17" spans="1:5" ht="90" x14ac:dyDescent="0.25">
      <c r="A17" s="15" t="s">
        <v>137</v>
      </c>
      <c r="B17" s="15" t="s">
        <v>138</v>
      </c>
      <c r="C17" s="15" t="s">
        <v>135</v>
      </c>
      <c r="D17" s="15" t="s">
        <v>139</v>
      </c>
      <c r="E17" s="15" t="s">
        <v>136</v>
      </c>
    </row>
    <row r="18" spans="1:5" ht="75" x14ac:dyDescent="0.25">
      <c r="A18" s="15" t="s">
        <v>140</v>
      </c>
      <c r="B18" s="15" t="s">
        <v>141</v>
      </c>
      <c r="C18" s="15" t="s">
        <v>142</v>
      </c>
      <c r="D18" s="15" t="s">
        <v>139</v>
      </c>
      <c r="E18" s="15" t="s">
        <v>143</v>
      </c>
    </row>
  </sheetData>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1700-C50E-614E-BAD0-9FFEE65CBDBB}">
  <sheetPr>
    <tabColor rgb="FF92D050"/>
  </sheetPr>
  <dimension ref="A1:C7"/>
  <sheetViews>
    <sheetView workbookViewId="0"/>
  </sheetViews>
  <sheetFormatPr defaultRowHeight="15" x14ac:dyDescent="0.25"/>
  <cols>
    <col min="1" max="1" width="16.7109375" customWidth="1"/>
    <col min="2" max="2" width="13.85546875" customWidth="1"/>
    <col min="3" max="3" width="35.28515625" bestFit="1" customWidth="1"/>
    <col min="4" max="4" width="12.42578125" customWidth="1"/>
  </cols>
  <sheetData>
    <row r="1" spans="1:3" x14ac:dyDescent="0.25">
      <c r="A1" s="62" t="s">
        <v>55</v>
      </c>
      <c r="B1" t="s">
        <v>639</v>
      </c>
      <c r="C1" t="s">
        <v>640</v>
      </c>
    </row>
    <row r="2" spans="1:3" s="78" customFormat="1" x14ac:dyDescent="0.25">
      <c r="A2" s="105">
        <v>45735</v>
      </c>
      <c r="B2" s="83" t="s">
        <v>606</v>
      </c>
      <c r="C2" s="83" t="s">
        <v>617</v>
      </c>
    </row>
    <row r="3" spans="1:3" s="80" customFormat="1" x14ac:dyDescent="0.25">
      <c r="A3" s="106">
        <v>45744</v>
      </c>
      <c r="B3" s="81" t="s">
        <v>606</v>
      </c>
      <c r="C3" s="83" t="s">
        <v>617</v>
      </c>
    </row>
    <row r="4" spans="1:3" s="80" customFormat="1" x14ac:dyDescent="0.25">
      <c r="A4" s="106">
        <v>45755</v>
      </c>
      <c r="B4" s="81" t="s">
        <v>606</v>
      </c>
      <c r="C4" s="83" t="s">
        <v>617</v>
      </c>
    </row>
    <row r="5" spans="1:3" s="78" customFormat="1" x14ac:dyDescent="0.25">
      <c r="A5" s="105">
        <v>45779</v>
      </c>
      <c r="B5" s="83" t="s">
        <v>606</v>
      </c>
      <c r="C5" s="83" t="s">
        <v>617</v>
      </c>
    </row>
    <row r="6" spans="1:3" s="78" customFormat="1" x14ac:dyDescent="0.25">
      <c r="A6" s="105">
        <v>45797</v>
      </c>
      <c r="B6" s="83" t="s">
        <v>606</v>
      </c>
      <c r="C6" s="83" t="s">
        <v>622</v>
      </c>
    </row>
    <row r="7" spans="1:3" x14ac:dyDescent="0.25">
      <c r="A7" s="6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4D5B-AE8F-4861-99F1-6217E53D0C7E}">
  <sheetPr>
    <tabColor rgb="FF92D050"/>
  </sheetPr>
  <dimension ref="A1:HD59"/>
  <sheetViews>
    <sheetView workbookViewId="0"/>
  </sheetViews>
  <sheetFormatPr defaultRowHeight="15" x14ac:dyDescent="0.25"/>
  <cols>
    <col min="1" max="1" width="10.7109375" bestFit="1" customWidth="1"/>
    <col min="11" max="11" width="20.42578125" bestFit="1" customWidth="1"/>
  </cols>
  <sheetData>
    <row r="1" spans="1:212" x14ac:dyDescent="0.25">
      <c r="A1" t="s">
        <v>659</v>
      </c>
      <c r="B1" t="s">
        <v>326</v>
      </c>
      <c r="C1" t="s">
        <v>327</v>
      </c>
      <c r="D1" t="s">
        <v>328</v>
      </c>
      <c r="E1" t="s">
        <v>329</v>
      </c>
      <c r="F1" t="s">
        <v>330</v>
      </c>
      <c r="G1" t="s">
        <v>331</v>
      </c>
      <c r="H1" t="s">
        <v>332</v>
      </c>
      <c r="I1" t="s">
        <v>333</v>
      </c>
      <c r="J1" t="s">
        <v>334</v>
      </c>
      <c r="K1" t="s">
        <v>335</v>
      </c>
      <c r="L1" t="s">
        <v>336</v>
      </c>
      <c r="M1" t="s">
        <v>337</v>
      </c>
      <c r="N1" t="s">
        <v>338</v>
      </c>
      <c r="O1" t="s">
        <v>339</v>
      </c>
      <c r="P1" t="s">
        <v>340</v>
      </c>
      <c r="Q1" t="s">
        <v>341</v>
      </c>
      <c r="R1" t="s">
        <v>342</v>
      </c>
      <c r="S1" t="s">
        <v>343</v>
      </c>
      <c r="T1" t="s">
        <v>344</v>
      </c>
      <c r="U1" t="s">
        <v>345</v>
      </c>
      <c r="V1" t="s">
        <v>346</v>
      </c>
      <c r="W1" t="s">
        <v>346</v>
      </c>
      <c r="X1" t="s">
        <v>347</v>
      </c>
      <c r="Y1" t="s">
        <v>347</v>
      </c>
      <c r="Z1" t="s">
        <v>348</v>
      </c>
      <c r="AA1" t="s">
        <v>349</v>
      </c>
      <c r="AB1" t="s">
        <v>350</v>
      </c>
      <c r="AC1" t="s">
        <v>351</v>
      </c>
      <c r="AD1" t="s">
        <v>352</v>
      </c>
      <c r="AE1" t="s">
        <v>353</v>
      </c>
      <c r="AF1" t="s">
        <v>354</v>
      </c>
      <c r="AG1" t="s">
        <v>355</v>
      </c>
      <c r="AH1" t="s">
        <v>356</v>
      </c>
      <c r="AI1" t="s">
        <v>357</v>
      </c>
      <c r="AJ1" t="s">
        <v>358</v>
      </c>
      <c r="AK1" t="s">
        <v>359</v>
      </c>
      <c r="AL1" t="s">
        <v>360</v>
      </c>
      <c r="AM1" t="s">
        <v>361</v>
      </c>
      <c r="AN1" t="s">
        <v>362</v>
      </c>
      <c r="AO1" t="s">
        <v>363</v>
      </c>
      <c r="AP1" t="s">
        <v>364</v>
      </c>
      <c r="AQ1" t="s">
        <v>365</v>
      </c>
      <c r="AR1" t="s">
        <v>366</v>
      </c>
      <c r="AS1" t="s">
        <v>367</v>
      </c>
      <c r="AT1" t="s">
        <v>368</v>
      </c>
      <c r="AU1" t="s">
        <v>369</v>
      </c>
      <c r="AV1" t="s">
        <v>370</v>
      </c>
      <c r="AW1" t="s">
        <v>371</v>
      </c>
      <c r="AX1" t="s">
        <v>372</v>
      </c>
      <c r="AY1" t="s">
        <v>373</v>
      </c>
      <c r="AZ1" t="s">
        <v>374</v>
      </c>
      <c r="BA1" t="s">
        <v>375</v>
      </c>
      <c r="BB1" t="s">
        <v>376</v>
      </c>
      <c r="BC1" t="s">
        <v>377</v>
      </c>
      <c r="BD1" t="s">
        <v>378</v>
      </c>
      <c r="BE1" t="s">
        <v>379</v>
      </c>
      <c r="BF1" t="s">
        <v>380</v>
      </c>
      <c r="BG1" t="s">
        <v>381</v>
      </c>
      <c r="BH1" t="s">
        <v>382</v>
      </c>
      <c r="BI1" t="s">
        <v>383</v>
      </c>
      <c r="BJ1" t="s">
        <v>384</v>
      </c>
      <c r="BK1" t="s">
        <v>385</v>
      </c>
      <c r="BL1" t="s">
        <v>386</v>
      </c>
      <c r="BM1" t="s">
        <v>387</v>
      </c>
      <c r="BN1" t="s">
        <v>388</v>
      </c>
      <c r="BO1" t="s">
        <v>389</v>
      </c>
      <c r="BP1" t="s">
        <v>390</v>
      </c>
      <c r="BQ1" t="s">
        <v>391</v>
      </c>
      <c r="BR1" t="s">
        <v>641</v>
      </c>
      <c r="BS1" t="s">
        <v>346</v>
      </c>
      <c r="BT1" t="s">
        <v>392</v>
      </c>
      <c r="BU1" t="s">
        <v>393</v>
      </c>
      <c r="BV1" t="s">
        <v>394</v>
      </c>
      <c r="BW1" t="s">
        <v>395</v>
      </c>
      <c r="BX1" t="s">
        <v>348</v>
      </c>
      <c r="BY1" t="s">
        <v>396</v>
      </c>
      <c r="BZ1" t="s">
        <v>397</v>
      </c>
      <c r="CA1" t="s">
        <v>398</v>
      </c>
      <c r="CB1" t="s">
        <v>399</v>
      </c>
      <c r="CC1" t="s">
        <v>400</v>
      </c>
      <c r="CD1" t="s">
        <v>401</v>
      </c>
      <c r="CE1" t="s">
        <v>402</v>
      </c>
      <c r="CF1" t="s">
        <v>403</v>
      </c>
      <c r="CG1" t="s">
        <v>404</v>
      </c>
      <c r="CH1" t="s">
        <v>405</v>
      </c>
      <c r="CI1" t="s">
        <v>406</v>
      </c>
      <c r="CJ1" t="s">
        <v>407</v>
      </c>
      <c r="CK1" t="s">
        <v>408</v>
      </c>
      <c r="CL1" t="s">
        <v>409</v>
      </c>
      <c r="CM1" t="s">
        <v>410</v>
      </c>
      <c r="CN1" t="s">
        <v>351</v>
      </c>
      <c r="CO1" t="s">
        <v>411</v>
      </c>
      <c r="CP1" t="s">
        <v>412</v>
      </c>
      <c r="CQ1" t="s">
        <v>413</v>
      </c>
      <c r="CR1" t="s">
        <v>414</v>
      </c>
      <c r="CS1" t="s">
        <v>415</v>
      </c>
      <c r="CT1" t="s">
        <v>392</v>
      </c>
      <c r="CU1" t="s">
        <v>416</v>
      </c>
      <c r="CV1" t="s">
        <v>417</v>
      </c>
      <c r="CW1" t="s">
        <v>418</v>
      </c>
      <c r="CX1" t="s">
        <v>419</v>
      </c>
      <c r="CY1" t="s">
        <v>420</v>
      </c>
      <c r="CZ1" t="s">
        <v>421</v>
      </c>
      <c r="DA1" t="s">
        <v>422</v>
      </c>
      <c r="DB1" t="s">
        <v>423</v>
      </c>
      <c r="DC1" t="s">
        <v>424</v>
      </c>
      <c r="DD1" t="s">
        <v>424</v>
      </c>
      <c r="DE1" t="s">
        <v>425</v>
      </c>
      <c r="DF1" t="s">
        <v>425</v>
      </c>
      <c r="DG1" t="s">
        <v>426</v>
      </c>
      <c r="DH1" t="s">
        <v>427</v>
      </c>
      <c r="DI1" t="s">
        <v>428</v>
      </c>
      <c r="DJ1" t="s">
        <v>429</v>
      </c>
      <c r="DK1" t="s">
        <v>430</v>
      </c>
      <c r="DL1" t="s">
        <v>431</v>
      </c>
      <c r="DM1" t="s">
        <v>432</v>
      </c>
      <c r="DN1" t="s">
        <v>433</v>
      </c>
      <c r="DO1" t="s">
        <v>434</v>
      </c>
      <c r="DP1" t="s">
        <v>435</v>
      </c>
      <c r="DQ1" t="s">
        <v>436</v>
      </c>
      <c r="DR1" t="s">
        <v>347</v>
      </c>
      <c r="DS1" t="s">
        <v>437</v>
      </c>
      <c r="DT1" t="s">
        <v>438</v>
      </c>
      <c r="DU1" t="s">
        <v>439</v>
      </c>
      <c r="DV1" t="s">
        <v>440</v>
      </c>
      <c r="DW1" t="s">
        <v>441</v>
      </c>
      <c r="DX1" t="s">
        <v>442</v>
      </c>
      <c r="DY1" t="s">
        <v>443</v>
      </c>
      <c r="DZ1" t="s">
        <v>444</v>
      </c>
      <c r="EA1" t="s">
        <v>445</v>
      </c>
      <c r="EB1" t="s">
        <v>446</v>
      </c>
      <c r="EC1" t="s">
        <v>447</v>
      </c>
      <c r="ED1" t="s">
        <v>448</v>
      </c>
      <c r="EE1" t="s">
        <v>449</v>
      </c>
      <c r="EF1" t="s">
        <v>450</v>
      </c>
      <c r="EG1" t="s">
        <v>451</v>
      </c>
      <c r="EH1" t="s">
        <v>452</v>
      </c>
      <c r="EI1" t="s">
        <v>453</v>
      </c>
      <c r="EJ1" t="s">
        <v>454</v>
      </c>
      <c r="EK1" t="s">
        <v>455</v>
      </c>
      <c r="EL1" t="s">
        <v>456</v>
      </c>
      <c r="EM1" t="s">
        <v>457</v>
      </c>
      <c r="EN1" t="s">
        <v>458</v>
      </c>
      <c r="EO1" t="s">
        <v>459</v>
      </c>
      <c r="EP1" t="s">
        <v>460</v>
      </c>
      <c r="EQ1" t="s">
        <v>383</v>
      </c>
      <c r="ER1" t="s">
        <v>384</v>
      </c>
      <c r="ES1" t="s">
        <v>461</v>
      </c>
      <c r="ET1" t="s">
        <v>390</v>
      </c>
      <c r="EU1" t="s">
        <v>462</v>
      </c>
      <c r="EV1" t="s">
        <v>463</v>
      </c>
      <c r="EW1" t="s">
        <v>464</v>
      </c>
      <c r="EX1" t="s">
        <v>465</v>
      </c>
      <c r="EY1" t="s">
        <v>466</v>
      </c>
      <c r="EZ1" t="s">
        <v>467</v>
      </c>
      <c r="FA1" t="s">
        <v>468</v>
      </c>
      <c r="FB1" t="s">
        <v>469</v>
      </c>
      <c r="FC1" t="s">
        <v>470</v>
      </c>
      <c r="FD1" t="s">
        <v>471</v>
      </c>
      <c r="FE1" t="s">
        <v>472</v>
      </c>
      <c r="FF1" t="s">
        <v>473</v>
      </c>
      <c r="FG1" t="s">
        <v>474</v>
      </c>
      <c r="FH1" t="s">
        <v>475</v>
      </c>
      <c r="FI1" t="s">
        <v>476</v>
      </c>
      <c r="FJ1" t="s">
        <v>340</v>
      </c>
      <c r="FK1" t="s">
        <v>477</v>
      </c>
      <c r="FL1" t="s">
        <v>475</v>
      </c>
      <c r="FM1" t="s">
        <v>424</v>
      </c>
      <c r="FN1" t="s">
        <v>424</v>
      </c>
      <c r="FO1" t="s">
        <v>478</v>
      </c>
      <c r="FP1" t="s">
        <v>425</v>
      </c>
      <c r="FQ1" t="s">
        <v>425</v>
      </c>
      <c r="FR1" t="s">
        <v>479</v>
      </c>
      <c r="FS1" t="s">
        <v>480</v>
      </c>
      <c r="FT1" t="s">
        <v>481</v>
      </c>
      <c r="FU1" t="s">
        <v>482</v>
      </c>
      <c r="FV1" t="s">
        <v>483</v>
      </c>
      <c r="FW1" t="s">
        <v>382</v>
      </c>
      <c r="FX1" t="s">
        <v>484</v>
      </c>
      <c r="FY1" t="s">
        <v>485</v>
      </c>
      <c r="FZ1" t="s">
        <v>486</v>
      </c>
      <c r="GA1" t="s">
        <v>487</v>
      </c>
      <c r="GB1" t="s">
        <v>488</v>
      </c>
      <c r="GC1" t="s">
        <v>489</v>
      </c>
      <c r="GD1" t="s">
        <v>490</v>
      </c>
      <c r="GE1" t="s">
        <v>491</v>
      </c>
      <c r="GF1" t="s">
        <v>428</v>
      </c>
      <c r="GG1" t="s">
        <v>429</v>
      </c>
      <c r="GH1" t="s">
        <v>492</v>
      </c>
      <c r="GI1" t="s">
        <v>493</v>
      </c>
      <c r="GJ1" t="s">
        <v>437</v>
      </c>
      <c r="GK1" t="s">
        <v>494</v>
      </c>
      <c r="GL1" t="s">
        <v>495</v>
      </c>
      <c r="GM1" t="s">
        <v>496</v>
      </c>
      <c r="GN1" t="s">
        <v>497</v>
      </c>
      <c r="GO1" t="s">
        <v>498</v>
      </c>
      <c r="GP1" t="s">
        <v>499</v>
      </c>
      <c r="GQ1" t="s">
        <v>360</v>
      </c>
      <c r="GR1" t="s">
        <v>500</v>
      </c>
      <c r="GS1" t="s">
        <v>501</v>
      </c>
      <c r="GT1" t="s">
        <v>502</v>
      </c>
      <c r="GU1" t="s">
        <v>503</v>
      </c>
      <c r="GV1" t="s">
        <v>497</v>
      </c>
      <c r="GW1" t="s">
        <v>499</v>
      </c>
      <c r="GX1" t="s">
        <v>498</v>
      </c>
      <c r="GY1" t="s">
        <v>504</v>
      </c>
      <c r="GZ1" t="s">
        <v>642</v>
      </c>
      <c r="HA1" t="s">
        <v>643</v>
      </c>
      <c r="HB1" t="s">
        <v>644</v>
      </c>
      <c r="HC1" t="s">
        <v>645</v>
      </c>
      <c r="HD1" t="s">
        <v>646</v>
      </c>
    </row>
    <row r="2" spans="1:212" x14ac:dyDescent="0.25">
      <c r="Q2" t="s">
        <v>505</v>
      </c>
      <c r="R2" t="s">
        <v>505</v>
      </c>
      <c r="S2" t="s">
        <v>506</v>
      </c>
      <c r="T2" t="s">
        <v>506</v>
      </c>
      <c r="U2" t="s">
        <v>506</v>
      </c>
      <c r="V2" t="s">
        <v>507</v>
      </c>
      <c r="W2" t="s">
        <v>507</v>
      </c>
      <c r="X2" t="s">
        <v>507</v>
      </c>
      <c r="Y2" t="s">
        <v>507</v>
      </c>
      <c r="Z2" t="s">
        <v>506</v>
      </c>
      <c r="AA2" t="s">
        <v>506</v>
      </c>
      <c r="AB2" t="s">
        <v>506</v>
      </c>
      <c r="AD2" t="s">
        <v>506</v>
      </c>
      <c r="AE2" t="s">
        <v>508</v>
      </c>
      <c r="AF2" t="s">
        <v>508</v>
      </c>
      <c r="AG2" t="s">
        <v>508</v>
      </c>
      <c r="AH2" t="s">
        <v>508</v>
      </c>
      <c r="AI2" t="s">
        <v>508</v>
      </c>
      <c r="AK2" t="s">
        <v>507</v>
      </c>
      <c r="AL2" t="s">
        <v>508</v>
      </c>
      <c r="AM2" t="s">
        <v>508</v>
      </c>
      <c r="AN2" t="s">
        <v>507</v>
      </c>
      <c r="AO2" t="s">
        <v>507</v>
      </c>
      <c r="AP2" t="s">
        <v>506</v>
      </c>
      <c r="AQ2" t="s">
        <v>506</v>
      </c>
      <c r="AR2" t="s">
        <v>506</v>
      </c>
      <c r="AS2" t="s">
        <v>506</v>
      </c>
      <c r="AT2" t="s">
        <v>506</v>
      </c>
      <c r="AU2" t="s">
        <v>506</v>
      </c>
      <c r="AV2" t="s">
        <v>506</v>
      </c>
      <c r="AW2" t="s">
        <v>507</v>
      </c>
      <c r="AX2" t="s">
        <v>506</v>
      </c>
      <c r="AY2" t="s">
        <v>506</v>
      </c>
      <c r="AZ2" t="s">
        <v>506</v>
      </c>
      <c r="BA2" t="s">
        <v>506</v>
      </c>
      <c r="BB2" t="s">
        <v>508</v>
      </c>
      <c r="BH2" t="s">
        <v>507</v>
      </c>
      <c r="BI2" t="s">
        <v>507</v>
      </c>
      <c r="BJ2" t="s">
        <v>507</v>
      </c>
      <c r="BK2" t="s">
        <v>507</v>
      </c>
      <c r="BL2" t="s">
        <v>507</v>
      </c>
      <c r="BM2" t="s">
        <v>507</v>
      </c>
      <c r="BN2" t="s">
        <v>506</v>
      </c>
      <c r="BR2" t="s">
        <v>507</v>
      </c>
      <c r="BS2" t="s">
        <v>507</v>
      </c>
      <c r="BU2" t="s">
        <v>509</v>
      </c>
      <c r="BV2" t="s">
        <v>506</v>
      </c>
      <c r="BW2" t="s">
        <v>506</v>
      </c>
      <c r="BX2" t="s">
        <v>506</v>
      </c>
      <c r="BY2" t="s">
        <v>506</v>
      </c>
      <c r="CA2" t="s">
        <v>506</v>
      </c>
      <c r="CB2" t="s">
        <v>506</v>
      </c>
      <c r="CC2" t="s">
        <v>506</v>
      </c>
      <c r="CD2" t="s">
        <v>506</v>
      </c>
      <c r="CE2" t="s">
        <v>506</v>
      </c>
      <c r="CF2" t="s">
        <v>506</v>
      </c>
      <c r="CG2" t="s">
        <v>506</v>
      </c>
      <c r="CH2" t="s">
        <v>506</v>
      </c>
      <c r="CI2" t="s">
        <v>506</v>
      </c>
      <c r="CJ2" t="s">
        <v>506</v>
      </c>
      <c r="CK2" t="s">
        <v>506</v>
      </c>
      <c r="CL2" t="s">
        <v>506</v>
      </c>
      <c r="CO2" t="s">
        <v>505</v>
      </c>
      <c r="CP2" t="s">
        <v>510</v>
      </c>
      <c r="CQ2" t="s">
        <v>510</v>
      </c>
      <c r="CR2" t="s">
        <v>510</v>
      </c>
      <c r="CS2" t="s">
        <v>510</v>
      </c>
      <c r="CU2" t="s">
        <v>507</v>
      </c>
      <c r="CV2" t="s">
        <v>507</v>
      </c>
      <c r="CW2" t="s">
        <v>507</v>
      </c>
      <c r="CX2" t="s">
        <v>508</v>
      </c>
      <c r="CY2" t="s">
        <v>508</v>
      </c>
      <c r="CZ2" t="s">
        <v>508</v>
      </c>
      <c r="DA2" t="s">
        <v>508</v>
      </c>
      <c r="DB2" t="s">
        <v>508</v>
      </c>
      <c r="DC2" t="s">
        <v>507</v>
      </c>
      <c r="DD2" t="s">
        <v>507</v>
      </c>
      <c r="DE2" t="s">
        <v>507</v>
      </c>
      <c r="DF2" t="s">
        <v>507</v>
      </c>
      <c r="DG2" t="s">
        <v>507</v>
      </c>
      <c r="DH2" t="s">
        <v>507</v>
      </c>
      <c r="DI2" t="s">
        <v>506</v>
      </c>
      <c r="DJ2" t="s">
        <v>506</v>
      </c>
      <c r="DK2" t="s">
        <v>506</v>
      </c>
      <c r="DL2" t="s">
        <v>506</v>
      </c>
      <c r="DM2" t="s">
        <v>507</v>
      </c>
      <c r="DN2" t="s">
        <v>507</v>
      </c>
      <c r="DO2" t="s">
        <v>506</v>
      </c>
      <c r="DP2" t="s">
        <v>507</v>
      </c>
      <c r="DQ2" t="s">
        <v>506</v>
      </c>
      <c r="DR2" t="s">
        <v>507</v>
      </c>
      <c r="DS2" t="s">
        <v>506</v>
      </c>
      <c r="DT2" t="s">
        <v>507</v>
      </c>
      <c r="DU2" t="s">
        <v>506</v>
      </c>
      <c r="DV2" t="s">
        <v>508</v>
      </c>
      <c r="DW2" t="s">
        <v>508</v>
      </c>
      <c r="DX2" t="s">
        <v>508</v>
      </c>
      <c r="DY2" t="s">
        <v>508</v>
      </c>
      <c r="DZ2" t="s">
        <v>508</v>
      </c>
      <c r="EA2" t="s">
        <v>508</v>
      </c>
      <c r="EB2" t="s">
        <v>507</v>
      </c>
      <c r="EC2" t="s">
        <v>507</v>
      </c>
      <c r="ED2" t="s">
        <v>507</v>
      </c>
      <c r="EE2" t="s">
        <v>507</v>
      </c>
      <c r="EF2" t="s">
        <v>507</v>
      </c>
      <c r="EG2" t="s">
        <v>508</v>
      </c>
      <c r="EH2" t="s">
        <v>508</v>
      </c>
      <c r="EI2" t="s">
        <v>508</v>
      </c>
      <c r="EJ2" t="s">
        <v>508</v>
      </c>
      <c r="EM2" t="s">
        <v>507</v>
      </c>
      <c r="EN2" t="s">
        <v>507</v>
      </c>
      <c r="EO2" t="s">
        <v>506</v>
      </c>
      <c r="EP2" t="s">
        <v>507</v>
      </c>
      <c r="EQ2" t="s">
        <v>507</v>
      </c>
      <c r="ER2" t="s">
        <v>507</v>
      </c>
      <c r="ES2" t="s">
        <v>507</v>
      </c>
      <c r="EU2" t="s">
        <v>508</v>
      </c>
      <c r="EV2" t="s">
        <v>506</v>
      </c>
      <c r="EW2" t="s">
        <v>506</v>
      </c>
      <c r="EX2" t="s">
        <v>506</v>
      </c>
      <c r="EY2" t="s">
        <v>506</v>
      </c>
      <c r="EZ2" t="s">
        <v>511</v>
      </c>
      <c r="FA2" t="s">
        <v>511</v>
      </c>
      <c r="FB2" t="s">
        <v>507</v>
      </c>
      <c r="FD2" t="s">
        <v>510</v>
      </c>
      <c r="FE2" t="s">
        <v>510</v>
      </c>
      <c r="FF2" t="s">
        <v>510</v>
      </c>
      <c r="FG2" t="s">
        <v>506</v>
      </c>
      <c r="FH2" t="s">
        <v>507</v>
      </c>
      <c r="FI2" t="s">
        <v>507</v>
      </c>
      <c r="FK2" t="s">
        <v>506</v>
      </c>
      <c r="FL2" t="s">
        <v>507</v>
      </c>
      <c r="FM2" t="s">
        <v>507</v>
      </c>
      <c r="FN2" t="s">
        <v>507</v>
      </c>
      <c r="FP2" t="s">
        <v>507</v>
      </c>
      <c r="FQ2" t="s">
        <v>507</v>
      </c>
      <c r="FR2" t="s">
        <v>512</v>
      </c>
      <c r="FS2" t="s">
        <v>506</v>
      </c>
      <c r="FT2" t="s">
        <v>507</v>
      </c>
      <c r="FU2" t="s">
        <v>511</v>
      </c>
      <c r="FV2" t="s">
        <v>511</v>
      </c>
      <c r="FW2" t="s">
        <v>507</v>
      </c>
      <c r="FX2" t="s">
        <v>511</v>
      </c>
      <c r="FY2" t="s">
        <v>507</v>
      </c>
      <c r="FZ2" t="s">
        <v>507</v>
      </c>
      <c r="GA2" t="s">
        <v>507</v>
      </c>
      <c r="GB2" t="s">
        <v>507</v>
      </c>
      <c r="GC2" t="s">
        <v>507</v>
      </c>
      <c r="GD2" t="s">
        <v>511</v>
      </c>
      <c r="GE2" t="s">
        <v>506</v>
      </c>
      <c r="GF2" t="s">
        <v>506</v>
      </c>
      <c r="GG2" t="s">
        <v>506</v>
      </c>
      <c r="GH2" t="s">
        <v>506</v>
      </c>
      <c r="GI2" t="s">
        <v>506</v>
      </c>
      <c r="GJ2" t="s">
        <v>506</v>
      </c>
      <c r="GK2" t="s">
        <v>506</v>
      </c>
      <c r="GL2" t="s">
        <v>506</v>
      </c>
      <c r="GM2" t="s">
        <v>513</v>
      </c>
      <c r="GN2" t="s">
        <v>514</v>
      </c>
      <c r="GO2" t="s">
        <v>514</v>
      </c>
      <c r="GP2" t="s">
        <v>514</v>
      </c>
      <c r="GQ2" t="s">
        <v>506</v>
      </c>
      <c r="GR2" t="s">
        <v>511</v>
      </c>
      <c r="GS2" t="s">
        <v>511</v>
      </c>
      <c r="GT2" t="s">
        <v>511</v>
      </c>
      <c r="GU2" t="s">
        <v>511</v>
      </c>
      <c r="GV2" t="s">
        <v>515</v>
      </c>
      <c r="GW2" t="s">
        <v>515</v>
      </c>
      <c r="GX2" t="s">
        <v>515</v>
      </c>
      <c r="HA2" t="s">
        <v>508</v>
      </c>
      <c r="HB2" t="s">
        <v>647</v>
      </c>
      <c r="HC2" t="s">
        <v>647</v>
      </c>
      <c r="HD2" t="s">
        <v>647</v>
      </c>
    </row>
    <row r="3" spans="1:212" x14ac:dyDescent="0.25">
      <c r="A3" s="13">
        <v>45762</v>
      </c>
      <c r="B3">
        <v>130921961</v>
      </c>
      <c r="C3" t="s">
        <v>648</v>
      </c>
      <c r="D3" t="s">
        <v>649</v>
      </c>
      <c r="E3" t="s">
        <v>598</v>
      </c>
      <c r="F3">
        <v>60</v>
      </c>
      <c r="G3">
        <v>80</v>
      </c>
      <c r="H3" t="s">
        <v>650</v>
      </c>
      <c r="I3" t="s">
        <v>516</v>
      </c>
      <c r="J3" s="13">
        <v>45826</v>
      </c>
      <c r="K3" s="13">
        <v>45828</v>
      </c>
      <c r="L3">
        <v>803957</v>
      </c>
      <c r="M3" s="13">
        <v>45835</v>
      </c>
      <c r="N3" t="s">
        <v>517</v>
      </c>
      <c r="O3">
        <v>6</v>
      </c>
      <c r="P3">
        <v>5.3</v>
      </c>
      <c r="Q3">
        <v>0.09</v>
      </c>
      <c r="R3">
        <v>0.6</v>
      </c>
      <c r="S3" t="s">
        <v>518</v>
      </c>
      <c r="T3">
        <v>17</v>
      </c>
      <c r="U3">
        <v>3.8</v>
      </c>
      <c r="Z3" t="s">
        <v>528</v>
      </c>
      <c r="AC3">
        <v>99</v>
      </c>
      <c r="AE3">
        <v>4.9000000000000004</v>
      </c>
      <c r="AF3">
        <v>1.1000000000000001</v>
      </c>
      <c r="AG3">
        <v>5.0999999999999996</v>
      </c>
      <c r="AH3">
        <v>0.16</v>
      </c>
      <c r="AJ3">
        <v>0.96</v>
      </c>
      <c r="AL3" t="s">
        <v>519</v>
      </c>
      <c r="AM3">
        <v>11.3</v>
      </c>
      <c r="AN3">
        <v>1.4</v>
      </c>
      <c r="AO3" t="s">
        <v>520</v>
      </c>
      <c r="AU3">
        <v>14</v>
      </c>
      <c r="AW3">
        <v>0.16</v>
      </c>
      <c r="BC3" t="s">
        <v>526</v>
      </c>
      <c r="BD3" t="s">
        <v>384</v>
      </c>
      <c r="BV3">
        <v>420</v>
      </c>
      <c r="FN3">
        <v>0.48</v>
      </c>
      <c r="FO3">
        <v>6.7</v>
      </c>
      <c r="FP3">
        <v>7.1999999999999995E-2</v>
      </c>
      <c r="GQ3" t="s">
        <v>522</v>
      </c>
    </row>
    <row r="4" spans="1:212" x14ac:dyDescent="0.25">
      <c r="A4" s="13">
        <v>45762</v>
      </c>
      <c r="B4">
        <v>130921962</v>
      </c>
      <c r="C4" t="s">
        <v>648</v>
      </c>
      <c r="D4" t="s">
        <v>651</v>
      </c>
      <c r="E4" t="s">
        <v>598</v>
      </c>
      <c r="F4">
        <v>10</v>
      </c>
      <c r="G4">
        <v>20</v>
      </c>
      <c r="H4" t="s">
        <v>650</v>
      </c>
      <c r="I4" t="s">
        <v>516</v>
      </c>
      <c r="J4" s="13">
        <v>45826</v>
      </c>
      <c r="K4" s="13">
        <v>45828</v>
      </c>
      <c r="L4">
        <v>803947</v>
      </c>
      <c r="M4" s="13">
        <v>45835</v>
      </c>
      <c r="N4" t="s">
        <v>517</v>
      </c>
      <c r="O4">
        <v>5.2</v>
      </c>
      <c r="P4">
        <v>4.5</v>
      </c>
      <c r="Q4">
        <v>0.08</v>
      </c>
      <c r="R4">
        <v>0.5</v>
      </c>
      <c r="S4" t="s">
        <v>518</v>
      </c>
      <c r="T4">
        <v>26</v>
      </c>
      <c r="U4">
        <v>4.2</v>
      </c>
      <c r="Z4">
        <v>22</v>
      </c>
      <c r="AC4">
        <v>38</v>
      </c>
      <c r="AE4">
        <v>2.7</v>
      </c>
      <c r="AF4">
        <v>0.45</v>
      </c>
      <c r="AG4">
        <v>0.26</v>
      </c>
      <c r="AH4" t="s">
        <v>523</v>
      </c>
      <c r="AJ4">
        <v>10</v>
      </c>
      <c r="AL4">
        <v>0.19</v>
      </c>
      <c r="AM4">
        <v>3.6</v>
      </c>
      <c r="AN4" t="s">
        <v>520</v>
      </c>
      <c r="AO4">
        <v>5.2</v>
      </c>
      <c r="AU4">
        <v>11</v>
      </c>
      <c r="AW4">
        <v>0.33</v>
      </c>
      <c r="BC4" t="s">
        <v>526</v>
      </c>
      <c r="BD4" t="s">
        <v>384</v>
      </c>
      <c r="BV4">
        <v>180</v>
      </c>
      <c r="FN4">
        <v>0.5</v>
      </c>
      <c r="FO4">
        <v>10</v>
      </c>
      <c r="FP4" t="s">
        <v>527</v>
      </c>
      <c r="GQ4">
        <v>17</v>
      </c>
    </row>
    <row r="5" spans="1:212" x14ac:dyDescent="0.25">
      <c r="A5" s="13">
        <v>45762</v>
      </c>
      <c r="B5">
        <v>130921963</v>
      </c>
      <c r="C5" t="s">
        <v>648</v>
      </c>
      <c r="D5" t="s">
        <v>652</v>
      </c>
      <c r="E5" t="s">
        <v>598</v>
      </c>
      <c r="F5">
        <v>20</v>
      </c>
      <c r="G5">
        <v>40</v>
      </c>
      <c r="H5" t="s">
        <v>650</v>
      </c>
      <c r="I5" t="s">
        <v>516</v>
      </c>
      <c r="J5" s="13">
        <v>45826</v>
      </c>
      <c r="K5" s="13">
        <v>45828</v>
      </c>
      <c r="L5">
        <v>803962</v>
      </c>
      <c r="M5" s="13">
        <v>45835</v>
      </c>
      <c r="N5" t="s">
        <v>517</v>
      </c>
      <c r="O5">
        <v>6.3</v>
      </c>
      <c r="P5">
        <v>5.5</v>
      </c>
      <c r="Q5">
        <v>7.0000000000000007E-2</v>
      </c>
      <c r="R5">
        <v>0.4</v>
      </c>
      <c r="S5" t="s">
        <v>518</v>
      </c>
      <c r="T5">
        <v>15</v>
      </c>
      <c r="U5">
        <v>1.6</v>
      </c>
      <c r="Z5">
        <v>5.4</v>
      </c>
      <c r="AC5">
        <v>59</v>
      </c>
      <c r="AE5">
        <v>3.9</v>
      </c>
      <c r="AF5">
        <v>0.65</v>
      </c>
      <c r="AG5">
        <v>0.99</v>
      </c>
      <c r="AH5">
        <v>2.8000000000000001E-2</v>
      </c>
      <c r="AJ5">
        <v>3.9</v>
      </c>
      <c r="AL5" t="s">
        <v>519</v>
      </c>
      <c r="AM5">
        <v>5.59</v>
      </c>
      <c r="AN5">
        <v>0.51</v>
      </c>
      <c r="AO5" t="s">
        <v>520</v>
      </c>
      <c r="AU5">
        <v>15</v>
      </c>
      <c r="AW5">
        <v>0.18</v>
      </c>
      <c r="BC5" t="s">
        <v>530</v>
      </c>
      <c r="BD5" t="s">
        <v>384</v>
      </c>
      <c r="BV5">
        <v>250</v>
      </c>
      <c r="FN5">
        <v>0.8</v>
      </c>
      <c r="FO5">
        <v>16</v>
      </c>
      <c r="FP5" t="s">
        <v>527</v>
      </c>
      <c r="GQ5" t="s">
        <v>522</v>
      </c>
    </row>
    <row r="6" spans="1:212" x14ac:dyDescent="0.25">
      <c r="A6" s="13">
        <v>45762</v>
      </c>
      <c r="B6">
        <v>130921964</v>
      </c>
      <c r="C6" t="s">
        <v>648</v>
      </c>
      <c r="D6" t="s">
        <v>651</v>
      </c>
      <c r="E6" t="s">
        <v>598</v>
      </c>
      <c r="F6">
        <v>0</v>
      </c>
      <c r="G6">
        <v>10</v>
      </c>
      <c r="H6" t="s">
        <v>650</v>
      </c>
      <c r="I6" t="s">
        <v>516</v>
      </c>
      <c r="J6" s="13">
        <v>45826</v>
      </c>
      <c r="K6" s="13">
        <v>45828</v>
      </c>
      <c r="L6">
        <v>803946</v>
      </c>
      <c r="M6" s="13">
        <v>45835</v>
      </c>
      <c r="N6" t="s">
        <v>517</v>
      </c>
      <c r="O6">
        <v>6.1</v>
      </c>
      <c r="P6">
        <v>5.5</v>
      </c>
      <c r="Q6">
        <v>0.12</v>
      </c>
      <c r="R6">
        <v>0.7</v>
      </c>
      <c r="S6" t="s">
        <v>518</v>
      </c>
      <c r="T6">
        <v>42</v>
      </c>
      <c r="U6">
        <v>3.4</v>
      </c>
      <c r="Z6">
        <v>52</v>
      </c>
      <c r="AC6">
        <v>45</v>
      </c>
      <c r="AE6">
        <v>5.5</v>
      </c>
      <c r="AF6">
        <v>0.85</v>
      </c>
      <c r="AG6">
        <v>0.46</v>
      </c>
      <c r="AH6">
        <v>4.5999999999999999E-2</v>
      </c>
      <c r="AJ6">
        <v>12</v>
      </c>
      <c r="AL6" t="s">
        <v>519</v>
      </c>
      <c r="AM6">
        <v>6.83</v>
      </c>
      <c r="AN6">
        <v>0.67</v>
      </c>
      <c r="AO6" t="s">
        <v>520</v>
      </c>
      <c r="AU6">
        <v>11</v>
      </c>
      <c r="AW6">
        <v>0.97</v>
      </c>
      <c r="BC6" t="s">
        <v>521</v>
      </c>
      <c r="BD6" t="s">
        <v>384</v>
      </c>
      <c r="BV6">
        <v>330</v>
      </c>
      <c r="FN6">
        <v>1.1000000000000001</v>
      </c>
      <c r="FO6">
        <v>13</v>
      </c>
      <c r="FP6">
        <v>8.4000000000000005E-2</v>
      </c>
      <c r="GQ6" t="s">
        <v>522</v>
      </c>
    </row>
    <row r="7" spans="1:212" x14ac:dyDescent="0.25">
      <c r="A7" s="13">
        <v>45762</v>
      </c>
      <c r="B7">
        <v>130921965</v>
      </c>
      <c r="C7" t="s">
        <v>648</v>
      </c>
      <c r="D7" t="s">
        <v>651</v>
      </c>
      <c r="E7" t="s">
        <v>598</v>
      </c>
      <c r="F7">
        <v>60</v>
      </c>
      <c r="G7">
        <v>80</v>
      </c>
      <c r="H7" t="s">
        <v>650</v>
      </c>
      <c r="I7" t="s">
        <v>516</v>
      </c>
      <c r="J7" s="13">
        <v>45826</v>
      </c>
      <c r="K7" s="13">
        <v>45828</v>
      </c>
      <c r="L7">
        <v>803950</v>
      </c>
      <c r="M7" s="13">
        <v>45835</v>
      </c>
      <c r="N7" t="s">
        <v>517</v>
      </c>
      <c r="O7">
        <v>7.1</v>
      </c>
      <c r="P7">
        <v>6.2</v>
      </c>
      <c r="Q7">
        <v>7.0000000000000007E-2</v>
      </c>
      <c r="R7">
        <v>0.4</v>
      </c>
      <c r="S7" t="s">
        <v>518</v>
      </c>
      <c r="T7">
        <v>8.1999999999999993</v>
      </c>
      <c r="U7">
        <v>4.5999999999999996</v>
      </c>
      <c r="Z7">
        <v>8.6</v>
      </c>
      <c r="AC7">
        <v>110</v>
      </c>
      <c r="AE7">
        <v>6.3</v>
      </c>
      <c r="AF7">
        <v>1.2</v>
      </c>
      <c r="AG7">
        <v>5.8</v>
      </c>
      <c r="AH7">
        <v>0.21</v>
      </c>
      <c r="AJ7">
        <v>1.1000000000000001</v>
      </c>
      <c r="AL7" t="s">
        <v>519</v>
      </c>
      <c r="AM7">
        <v>13.6</v>
      </c>
      <c r="AN7">
        <v>1.5</v>
      </c>
      <c r="AO7" t="s">
        <v>520</v>
      </c>
      <c r="AU7">
        <v>12</v>
      </c>
      <c r="AW7" t="s">
        <v>529</v>
      </c>
      <c r="BC7" t="s">
        <v>526</v>
      </c>
      <c r="BD7" t="s">
        <v>384</v>
      </c>
      <c r="BV7">
        <v>490</v>
      </c>
      <c r="FN7">
        <v>0.18</v>
      </c>
      <c r="FO7">
        <v>3.6</v>
      </c>
      <c r="FP7" t="s">
        <v>527</v>
      </c>
      <c r="GQ7" t="s">
        <v>522</v>
      </c>
    </row>
    <row r="8" spans="1:212" x14ac:dyDescent="0.25">
      <c r="A8" s="13">
        <v>45762</v>
      </c>
      <c r="B8">
        <v>130921966</v>
      </c>
      <c r="C8" t="s">
        <v>648</v>
      </c>
      <c r="D8" t="s">
        <v>651</v>
      </c>
      <c r="E8" t="s">
        <v>598</v>
      </c>
      <c r="F8">
        <v>40</v>
      </c>
      <c r="G8">
        <v>60</v>
      </c>
      <c r="H8" t="s">
        <v>650</v>
      </c>
      <c r="I8" t="s">
        <v>516</v>
      </c>
      <c r="J8" s="13">
        <v>45826</v>
      </c>
      <c r="K8" s="13">
        <v>45828</v>
      </c>
      <c r="L8">
        <v>803949</v>
      </c>
      <c r="M8" s="13">
        <v>45835</v>
      </c>
      <c r="N8" t="s">
        <v>517</v>
      </c>
      <c r="O8">
        <v>7</v>
      </c>
      <c r="P8">
        <v>6.3</v>
      </c>
      <c r="Q8">
        <v>0.09</v>
      </c>
      <c r="R8">
        <v>0.6</v>
      </c>
      <c r="S8" t="s">
        <v>518</v>
      </c>
      <c r="T8">
        <v>10</v>
      </c>
      <c r="U8">
        <v>4.4000000000000004</v>
      </c>
      <c r="Z8">
        <v>6.6</v>
      </c>
      <c r="AC8">
        <v>120</v>
      </c>
      <c r="AE8">
        <v>7.4</v>
      </c>
      <c r="AF8">
        <v>1.2</v>
      </c>
      <c r="AG8">
        <v>4.7</v>
      </c>
      <c r="AH8">
        <v>0.12</v>
      </c>
      <c r="AJ8">
        <v>1.6</v>
      </c>
      <c r="AL8" t="s">
        <v>519</v>
      </c>
      <c r="AM8">
        <v>13.4</v>
      </c>
      <c r="AN8">
        <v>0.92</v>
      </c>
      <c r="AO8" t="s">
        <v>520</v>
      </c>
      <c r="AU8">
        <v>17</v>
      </c>
      <c r="AW8" t="s">
        <v>529</v>
      </c>
      <c r="BC8" t="s">
        <v>531</v>
      </c>
      <c r="BD8" t="s">
        <v>384</v>
      </c>
      <c r="BV8">
        <v>490</v>
      </c>
      <c r="FN8">
        <v>0.24</v>
      </c>
      <c r="FO8">
        <v>4.8</v>
      </c>
      <c r="FP8" t="s">
        <v>527</v>
      </c>
      <c r="GQ8" t="s">
        <v>522</v>
      </c>
    </row>
    <row r="9" spans="1:212" x14ac:dyDescent="0.25">
      <c r="A9" s="13">
        <v>45762</v>
      </c>
      <c r="B9">
        <v>130921967</v>
      </c>
      <c r="C9" t="s">
        <v>648</v>
      </c>
      <c r="D9" t="s">
        <v>653</v>
      </c>
      <c r="E9" t="s">
        <v>598</v>
      </c>
      <c r="F9">
        <v>20</v>
      </c>
      <c r="G9">
        <v>40</v>
      </c>
      <c r="H9" t="s">
        <v>650</v>
      </c>
      <c r="I9" t="s">
        <v>516</v>
      </c>
      <c r="J9" s="13">
        <v>45826</v>
      </c>
      <c r="K9" s="13">
        <v>45828</v>
      </c>
      <c r="L9">
        <v>803931</v>
      </c>
      <c r="M9" s="13">
        <v>45835</v>
      </c>
      <c r="N9" t="s">
        <v>517</v>
      </c>
      <c r="O9">
        <v>6.6</v>
      </c>
      <c r="P9">
        <v>5.9</v>
      </c>
      <c r="Q9">
        <v>7.0000000000000007E-2</v>
      </c>
      <c r="R9">
        <v>0.4</v>
      </c>
      <c r="S9" t="s">
        <v>518</v>
      </c>
      <c r="T9">
        <v>14</v>
      </c>
      <c r="U9">
        <v>3.6</v>
      </c>
      <c r="Z9" t="s">
        <v>528</v>
      </c>
      <c r="AC9">
        <v>76</v>
      </c>
      <c r="AE9">
        <v>4.8</v>
      </c>
      <c r="AF9">
        <v>0.83</v>
      </c>
      <c r="AG9">
        <v>2.2999999999999998</v>
      </c>
      <c r="AH9">
        <v>4.7E-2</v>
      </c>
      <c r="AJ9">
        <v>2.1</v>
      </c>
      <c r="AL9" t="s">
        <v>519</v>
      </c>
      <c r="AM9">
        <v>7.97</v>
      </c>
      <c r="AN9">
        <v>0.59</v>
      </c>
      <c r="AO9" t="s">
        <v>520</v>
      </c>
      <c r="AU9">
        <v>13</v>
      </c>
      <c r="AW9">
        <v>0.16</v>
      </c>
      <c r="BC9" t="s">
        <v>526</v>
      </c>
      <c r="BD9" t="s">
        <v>384</v>
      </c>
      <c r="BV9">
        <v>320</v>
      </c>
      <c r="FN9">
        <v>0.35</v>
      </c>
      <c r="FO9">
        <v>7</v>
      </c>
      <c r="FP9" t="s">
        <v>527</v>
      </c>
      <c r="GQ9" t="s">
        <v>522</v>
      </c>
    </row>
    <row r="10" spans="1:212" x14ac:dyDescent="0.25">
      <c r="A10" s="13">
        <v>45762</v>
      </c>
      <c r="B10">
        <v>130921968</v>
      </c>
      <c r="C10" t="s">
        <v>648</v>
      </c>
      <c r="D10" t="s">
        <v>651</v>
      </c>
      <c r="E10" t="s">
        <v>598</v>
      </c>
      <c r="F10">
        <v>80</v>
      </c>
      <c r="G10">
        <v>100</v>
      </c>
      <c r="H10" t="s">
        <v>650</v>
      </c>
      <c r="I10" t="s">
        <v>516</v>
      </c>
      <c r="J10" s="13">
        <v>45826</v>
      </c>
      <c r="K10" s="13">
        <v>45828</v>
      </c>
      <c r="L10">
        <v>803951</v>
      </c>
      <c r="M10" s="13">
        <v>45835</v>
      </c>
      <c r="N10" t="s">
        <v>517</v>
      </c>
      <c r="O10">
        <v>7.4</v>
      </c>
      <c r="P10">
        <v>6.2</v>
      </c>
      <c r="Q10">
        <v>0.04</v>
      </c>
      <c r="R10">
        <v>0.2</v>
      </c>
      <c r="S10" t="s">
        <v>518</v>
      </c>
      <c r="T10">
        <v>3.9</v>
      </c>
      <c r="U10">
        <v>1.9</v>
      </c>
      <c r="Z10" t="s">
        <v>528</v>
      </c>
      <c r="AC10">
        <v>65</v>
      </c>
      <c r="AE10">
        <v>5.3</v>
      </c>
      <c r="AF10">
        <v>1.3</v>
      </c>
      <c r="AG10">
        <v>5.8</v>
      </c>
      <c r="AH10">
        <v>0.3</v>
      </c>
      <c r="AJ10">
        <v>0.91</v>
      </c>
      <c r="AL10" t="s">
        <v>519</v>
      </c>
      <c r="AM10">
        <v>12.7</v>
      </c>
      <c r="AN10">
        <v>2.4</v>
      </c>
      <c r="AO10" t="s">
        <v>520</v>
      </c>
      <c r="AU10">
        <v>4</v>
      </c>
      <c r="AW10" t="s">
        <v>529</v>
      </c>
      <c r="BC10" t="s">
        <v>530</v>
      </c>
      <c r="BD10" t="s">
        <v>384</v>
      </c>
      <c r="BV10">
        <v>490</v>
      </c>
      <c r="FN10">
        <v>0.21</v>
      </c>
      <c r="FO10">
        <v>4.2</v>
      </c>
      <c r="FP10" t="s">
        <v>527</v>
      </c>
      <c r="GQ10" t="s">
        <v>522</v>
      </c>
    </row>
    <row r="11" spans="1:212" x14ac:dyDescent="0.25">
      <c r="A11" s="13">
        <v>45762</v>
      </c>
      <c r="B11">
        <v>130922269</v>
      </c>
      <c r="C11" t="s">
        <v>648</v>
      </c>
      <c r="D11" t="s">
        <v>654</v>
      </c>
      <c r="E11" t="s">
        <v>598</v>
      </c>
      <c r="F11">
        <v>0</v>
      </c>
      <c r="G11">
        <v>10</v>
      </c>
      <c r="H11" t="s">
        <v>650</v>
      </c>
      <c r="I11" t="s">
        <v>516</v>
      </c>
      <c r="J11" s="13">
        <v>45826</v>
      </c>
      <c r="K11" s="13">
        <v>45828</v>
      </c>
      <c r="L11">
        <v>803923</v>
      </c>
      <c r="M11" s="13">
        <v>45835</v>
      </c>
      <c r="N11" t="s">
        <v>517</v>
      </c>
      <c r="O11">
        <v>6</v>
      </c>
      <c r="P11">
        <v>5.4</v>
      </c>
      <c r="Q11">
        <v>0.15</v>
      </c>
      <c r="R11">
        <v>0.9</v>
      </c>
      <c r="S11">
        <v>12</v>
      </c>
      <c r="T11">
        <v>51</v>
      </c>
      <c r="U11">
        <v>4.7</v>
      </c>
      <c r="Z11">
        <v>63</v>
      </c>
      <c r="AC11">
        <v>38</v>
      </c>
      <c r="AE11">
        <v>5.5</v>
      </c>
      <c r="AF11">
        <v>0.94</v>
      </c>
      <c r="AG11">
        <v>0.54</v>
      </c>
      <c r="AH11">
        <v>4.9000000000000002E-2</v>
      </c>
      <c r="AJ11">
        <v>10</v>
      </c>
      <c r="AL11" t="s">
        <v>519</v>
      </c>
      <c r="AM11">
        <v>7.03</v>
      </c>
      <c r="AN11">
        <v>0.69</v>
      </c>
      <c r="AO11" t="s">
        <v>520</v>
      </c>
      <c r="AU11">
        <v>14</v>
      </c>
      <c r="AW11">
        <v>1.07</v>
      </c>
      <c r="BC11" t="s">
        <v>525</v>
      </c>
      <c r="BD11" t="s">
        <v>384</v>
      </c>
      <c r="BV11">
        <v>370</v>
      </c>
      <c r="FN11">
        <v>1.3</v>
      </c>
      <c r="FO11">
        <v>13</v>
      </c>
      <c r="FP11">
        <v>0.1</v>
      </c>
      <c r="GQ11" t="s">
        <v>522</v>
      </c>
    </row>
    <row r="12" spans="1:212" x14ac:dyDescent="0.25">
      <c r="A12" s="13">
        <v>45762</v>
      </c>
      <c r="B12">
        <v>130922271</v>
      </c>
      <c r="C12" t="s">
        <v>648</v>
      </c>
      <c r="D12" t="s">
        <v>655</v>
      </c>
      <c r="E12" t="s">
        <v>598</v>
      </c>
      <c r="F12">
        <v>10</v>
      </c>
      <c r="G12">
        <v>20</v>
      </c>
      <c r="H12" t="s">
        <v>650</v>
      </c>
      <c r="I12" t="s">
        <v>516</v>
      </c>
      <c r="J12" s="13">
        <v>45826</v>
      </c>
      <c r="K12" s="13">
        <v>45828</v>
      </c>
      <c r="L12">
        <v>803940</v>
      </c>
      <c r="M12" s="13">
        <v>45835</v>
      </c>
      <c r="N12" t="s">
        <v>517</v>
      </c>
      <c r="O12">
        <v>5.4</v>
      </c>
      <c r="P12">
        <v>4.7</v>
      </c>
      <c r="Q12">
        <v>0.11</v>
      </c>
      <c r="R12">
        <v>0.7</v>
      </c>
      <c r="S12" t="s">
        <v>518</v>
      </c>
      <c r="T12">
        <v>37</v>
      </c>
      <c r="U12">
        <v>5.0999999999999996</v>
      </c>
      <c r="Z12">
        <v>34</v>
      </c>
      <c r="AC12">
        <v>54</v>
      </c>
      <c r="AE12">
        <v>3.9</v>
      </c>
      <c r="AF12">
        <v>0.6</v>
      </c>
      <c r="AG12">
        <v>0.4</v>
      </c>
      <c r="AH12" t="s">
        <v>523</v>
      </c>
      <c r="AJ12">
        <v>9.8000000000000007</v>
      </c>
      <c r="AL12">
        <v>0.12</v>
      </c>
      <c r="AM12">
        <v>5.0599999999999996</v>
      </c>
      <c r="AN12" t="s">
        <v>520</v>
      </c>
      <c r="AO12">
        <v>2.2999999999999998</v>
      </c>
      <c r="AU12">
        <v>17</v>
      </c>
      <c r="AW12">
        <v>0.45</v>
      </c>
      <c r="BC12" t="s">
        <v>526</v>
      </c>
      <c r="BD12" t="s">
        <v>384</v>
      </c>
      <c r="BV12">
        <v>230</v>
      </c>
      <c r="FN12">
        <v>0.64</v>
      </c>
      <c r="FO12">
        <v>11</v>
      </c>
      <c r="FP12">
        <v>5.6000000000000001E-2</v>
      </c>
      <c r="GQ12">
        <v>10</v>
      </c>
    </row>
    <row r="13" spans="1:212" x14ac:dyDescent="0.25">
      <c r="A13" s="13">
        <v>45762</v>
      </c>
      <c r="B13">
        <v>130922272</v>
      </c>
      <c r="C13" t="s">
        <v>648</v>
      </c>
      <c r="D13" t="s">
        <v>656</v>
      </c>
      <c r="E13" t="s">
        <v>598</v>
      </c>
      <c r="F13">
        <v>100</v>
      </c>
      <c r="G13">
        <v>120</v>
      </c>
      <c r="H13" t="s">
        <v>650</v>
      </c>
      <c r="I13" t="s">
        <v>516</v>
      </c>
      <c r="J13" s="13">
        <v>45826</v>
      </c>
      <c r="K13" s="13">
        <v>45828</v>
      </c>
      <c r="L13">
        <v>803916</v>
      </c>
      <c r="M13" s="13">
        <v>45835</v>
      </c>
      <c r="N13" t="s">
        <v>517</v>
      </c>
      <c r="O13">
        <v>7.9</v>
      </c>
      <c r="P13">
        <v>6.8</v>
      </c>
      <c r="Q13">
        <v>0.06</v>
      </c>
      <c r="R13">
        <v>0.4</v>
      </c>
      <c r="S13" t="s">
        <v>518</v>
      </c>
      <c r="T13">
        <v>3.2</v>
      </c>
      <c r="U13">
        <v>2.7</v>
      </c>
      <c r="Z13" t="s">
        <v>528</v>
      </c>
      <c r="AC13">
        <v>77</v>
      </c>
      <c r="AE13">
        <v>8.1999999999999993</v>
      </c>
      <c r="AF13">
        <v>1.6</v>
      </c>
      <c r="AG13">
        <v>11</v>
      </c>
      <c r="AH13">
        <v>0.51</v>
      </c>
      <c r="AJ13">
        <v>0.75</v>
      </c>
      <c r="AL13" t="s">
        <v>519</v>
      </c>
      <c r="AM13">
        <v>20.9</v>
      </c>
      <c r="AN13">
        <v>2.5</v>
      </c>
      <c r="AO13" t="s">
        <v>520</v>
      </c>
      <c r="AU13">
        <v>5.8</v>
      </c>
      <c r="AW13" t="s">
        <v>529</v>
      </c>
      <c r="BC13" t="s">
        <v>530</v>
      </c>
      <c r="BD13" t="s">
        <v>384</v>
      </c>
      <c r="BV13">
        <v>620</v>
      </c>
      <c r="FN13">
        <v>0.22</v>
      </c>
      <c r="FO13">
        <v>4.4000000000000004</v>
      </c>
      <c r="FP13" t="s">
        <v>527</v>
      </c>
      <c r="GQ13" t="s">
        <v>522</v>
      </c>
    </row>
    <row r="14" spans="1:212" x14ac:dyDescent="0.25">
      <c r="A14" s="13">
        <v>45762</v>
      </c>
      <c r="B14">
        <v>130922273</v>
      </c>
      <c r="C14" t="s">
        <v>648</v>
      </c>
      <c r="D14" t="s">
        <v>657</v>
      </c>
      <c r="E14" t="s">
        <v>598</v>
      </c>
      <c r="F14">
        <v>20</v>
      </c>
      <c r="G14">
        <v>40</v>
      </c>
      <c r="H14" t="s">
        <v>650</v>
      </c>
      <c r="I14" t="s">
        <v>516</v>
      </c>
      <c r="J14" s="13">
        <v>45826</v>
      </c>
      <c r="K14" s="13">
        <v>45828</v>
      </c>
      <c r="L14">
        <v>803919</v>
      </c>
      <c r="M14" s="13">
        <v>45835</v>
      </c>
      <c r="N14" t="s">
        <v>517</v>
      </c>
      <c r="O14">
        <v>5.9</v>
      </c>
      <c r="P14">
        <v>5.3</v>
      </c>
      <c r="Q14">
        <v>0.13</v>
      </c>
      <c r="R14">
        <v>0.8</v>
      </c>
      <c r="S14" t="s">
        <v>518</v>
      </c>
      <c r="T14">
        <v>16</v>
      </c>
      <c r="U14">
        <v>2.9</v>
      </c>
      <c r="Z14">
        <v>5.2</v>
      </c>
      <c r="AC14">
        <v>77</v>
      </c>
      <c r="AE14">
        <v>4.2</v>
      </c>
      <c r="AF14">
        <v>0.71</v>
      </c>
      <c r="AG14">
        <v>1.4</v>
      </c>
      <c r="AH14">
        <v>0.04</v>
      </c>
      <c r="AJ14">
        <v>3</v>
      </c>
      <c r="AL14">
        <v>0.1</v>
      </c>
      <c r="AM14">
        <v>6.49</v>
      </c>
      <c r="AN14">
        <v>0.61</v>
      </c>
      <c r="AO14">
        <v>1.6</v>
      </c>
      <c r="AU14">
        <v>38</v>
      </c>
      <c r="AW14">
        <v>0.15</v>
      </c>
      <c r="BC14" t="s">
        <v>526</v>
      </c>
      <c r="BD14" t="s">
        <v>384</v>
      </c>
      <c r="BV14">
        <v>280</v>
      </c>
      <c r="FN14">
        <v>0.34</v>
      </c>
      <c r="FO14">
        <v>6.8</v>
      </c>
      <c r="FP14" t="s">
        <v>527</v>
      </c>
      <c r="GQ14">
        <v>9.1</v>
      </c>
    </row>
    <row r="15" spans="1:212" x14ac:dyDescent="0.25">
      <c r="A15" s="13">
        <v>45762</v>
      </c>
      <c r="B15">
        <v>130922274</v>
      </c>
      <c r="C15" t="s">
        <v>648</v>
      </c>
      <c r="D15" t="s">
        <v>654</v>
      </c>
      <c r="E15" t="s">
        <v>598</v>
      </c>
      <c r="F15">
        <v>80</v>
      </c>
      <c r="G15">
        <v>100</v>
      </c>
      <c r="H15" t="s">
        <v>650</v>
      </c>
      <c r="I15" t="s">
        <v>516</v>
      </c>
      <c r="J15" s="13">
        <v>45826</v>
      </c>
      <c r="K15" s="13">
        <v>45828</v>
      </c>
      <c r="L15">
        <v>803928</v>
      </c>
      <c r="M15" s="13">
        <v>45835</v>
      </c>
      <c r="N15" t="s">
        <v>517</v>
      </c>
      <c r="O15">
        <v>7.4</v>
      </c>
      <c r="P15">
        <v>6.4</v>
      </c>
      <c r="Q15">
        <v>0.05</v>
      </c>
      <c r="R15">
        <v>0.3</v>
      </c>
      <c r="S15" t="s">
        <v>518</v>
      </c>
      <c r="T15">
        <v>4.3</v>
      </c>
      <c r="U15">
        <v>4.5999999999999996</v>
      </c>
      <c r="Z15" t="s">
        <v>528</v>
      </c>
      <c r="AC15">
        <v>79</v>
      </c>
      <c r="AE15">
        <v>5.0999999999999996</v>
      </c>
      <c r="AF15">
        <v>0.99</v>
      </c>
      <c r="AG15">
        <v>5.2</v>
      </c>
      <c r="AH15">
        <v>0.17</v>
      </c>
      <c r="AJ15">
        <v>0.98</v>
      </c>
      <c r="AL15" t="s">
        <v>519</v>
      </c>
      <c r="AM15">
        <v>11.5</v>
      </c>
      <c r="AN15">
        <v>1.5</v>
      </c>
      <c r="AO15" t="s">
        <v>520</v>
      </c>
      <c r="AU15">
        <v>5.3</v>
      </c>
      <c r="AW15" t="s">
        <v>529</v>
      </c>
      <c r="BC15" t="s">
        <v>530</v>
      </c>
      <c r="BD15" t="s">
        <v>384</v>
      </c>
      <c r="BV15">
        <v>390</v>
      </c>
      <c r="FN15">
        <v>0.2</v>
      </c>
      <c r="FO15">
        <v>4</v>
      </c>
      <c r="FP15" t="s">
        <v>527</v>
      </c>
      <c r="GQ15" t="s">
        <v>522</v>
      </c>
    </row>
    <row r="16" spans="1:212" x14ac:dyDescent="0.25">
      <c r="A16" s="13">
        <v>45762</v>
      </c>
      <c r="B16">
        <v>130922275</v>
      </c>
      <c r="C16" t="s">
        <v>648</v>
      </c>
      <c r="D16" t="s">
        <v>653</v>
      </c>
      <c r="E16" t="s">
        <v>598</v>
      </c>
      <c r="F16">
        <v>0</v>
      </c>
      <c r="G16">
        <v>10</v>
      </c>
      <c r="H16" t="s">
        <v>650</v>
      </c>
      <c r="I16" t="s">
        <v>516</v>
      </c>
      <c r="J16" s="13">
        <v>45826</v>
      </c>
      <c r="K16" s="13">
        <v>45828</v>
      </c>
      <c r="L16">
        <v>803929</v>
      </c>
      <c r="M16" s="13">
        <v>45835</v>
      </c>
      <c r="N16" t="s">
        <v>517</v>
      </c>
      <c r="O16">
        <v>5.9</v>
      </c>
      <c r="P16">
        <v>5.3</v>
      </c>
      <c r="Q16">
        <v>0.12</v>
      </c>
      <c r="R16">
        <v>1</v>
      </c>
      <c r="S16" t="s">
        <v>518</v>
      </c>
      <c r="T16">
        <v>31</v>
      </c>
      <c r="U16">
        <v>3.8</v>
      </c>
      <c r="Z16">
        <v>53</v>
      </c>
      <c r="AC16">
        <v>43</v>
      </c>
      <c r="AE16">
        <v>4.3</v>
      </c>
      <c r="AF16">
        <v>0.81</v>
      </c>
      <c r="AG16">
        <v>0.41</v>
      </c>
      <c r="AH16">
        <v>3.3000000000000002E-2</v>
      </c>
      <c r="AJ16">
        <v>10</v>
      </c>
      <c r="AL16" t="s">
        <v>519</v>
      </c>
      <c r="AM16">
        <v>5.54</v>
      </c>
      <c r="AN16">
        <v>0.59</v>
      </c>
      <c r="AO16" t="s">
        <v>520</v>
      </c>
      <c r="AU16">
        <v>11</v>
      </c>
      <c r="AW16">
        <v>0.9</v>
      </c>
      <c r="BC16" t="s">
        <v>525</v>
      </c>
      <c r="BD16" t="s">
        <v>524</v>
      </c>
      <c r="BV16">
        <v>320</v>
      </c>
      <c r="FN16">
        <v>1.1000000000000001</v>
      </c>
      <c r="FO16">
        <v>11</v>
      </c>
      <c r="FP16">
        <v>9.9000000000000005E-2</v>
      </c>
      <c r="GQ16" t="s">
        <v>522</v>
      </c>
    </row>
    <row r="17" spans="1:199" x14ac:dyDescent="0.25">
      <c r="A17" s="13">
        <v>45762</v>
      </c>
      <c r="B17">
        <v>130922276</v>
      </c>
      <c r="C17" t="s">
        <v>648</v>
      </c>
      <c r="D17" t="s">
        <v>656</v>
      </c>
      <c r="E17" t="s">
        <v>598</v>
      </c>
      <c r="F17">
        <v>60</v>
      </c>
      <c r="G17">
        <v>80</v>
      </c>
      <c r="H17" t="s">
        <v>650</v>
      </c>
      <c r="I17" t="s">
        <v>516</v>
      </c>
      <c r="J17" s="13">
        <v>45826</v>
      </c>
      <c r="K17" s="13">
        <v>45828</v>
      </c>
      <c r="L17">
        <v>803914</v>
      </c>
      <c r="M17" s="13">
        <v>45835</v>
      </c>
      <c r="N17" t="s">
        <v>517</v>
      </c>
      <c r="O17">
        <v>7.3</v>
      </c>
      <c r="P17">
        <v>6.6</v>
      </c>
      <c r="Q17">
        <v>0.1</v>
      </c>
      <c r="R17">
        <v>0.6</v>
      </c>
      <c r="S17" t="s">
        <v>518</v>
      </c>
      <c r="T17">
        <v>10</v>
      </c>
      <c r="U17">
        <v>2.2000000000000002</v>
      </c>
      <c r="Z17">
        <v>5.3</v>
      </c>
      <c r="AC17">
        <v>95</v>
      </c>
      <c r="AE17">
        <v>5.4</v>
      </c>
      <c r="AF17">
        <v>0.84</v>
      </c>
      <c r="AG17">
        <v>5.0999999999999996</v>
      </c>
      <c r="AH17">
        <v>0.13</v>
      </c>
      <c r="AJ17">
        <v>1.1000000000000001</v>
      </c>
      <c r="AL17" t="s">
        <v>519</v>
      </c>
      <c r="AM17">
        <v>11.4</v>
      </c>
      <c r="AN17">
        <v>1.1000000000000001</v>
      </c>
      <c r="AO17" t="s">
        <v>520</v>
      </c>
      <c r="AU17">
        <v>27</v>
      </c>
      <c r="AW17" t="s">
        <v>529</v>
      </c>
      <c r="BC17" t="s">
        <v>526</v>
      </c>
      <c r="BD17" t="s">
        <v>384</v>
      </c>
      <c r="BV17">
        <v>330</v>
      </c>
      <c r="FN17">
        <v>0.26</v>
      </c>
      <c r="FO17">
        <v>5.2</v>
      </c>
      <c r="FP17" t="s">
        <v>527</v>
      </c>
      <c r="GQ17" t="s">
        <v>522</v>
      </c>
    </row>
    <row r="18" spans="1:199" x14ac:dyDescent="0.25">
      <c r="A18" s="13">
        <v>45762</v>
      </c>
      <c r="B18">
        <v>130922277</v>
      </c>
      <c r="C18" t="s">
        <v>648</v>
      </c>
      <c r="D18" t="s">
        <v>649</v>
      </c>
      <c r="E18" t="s">
        <v>598</v>
      </c>
      <c r="F18">
        <v>0</v>
      </c>
      <c r="G18">
        <v>10</v>
      </c>
      <c r="H18" t="s">
        <v>650</v>
      </c>
      <c r="I18" t="s">
        <v>516</v>
      </c>
      <c r="J18" s="13">
        <v>45826</v>
      </c>
      <c r="K18" s="13">
        <v>45828</v>
      </c>
      <c r="L18">
        <v>803953</v>
      </c>
      <c r="M18" s="13">
        <v>45835</v>
      </c>
      <c r="N18" t="s">
        <v>517</v>
      </c>
      <c r="O18">
        <v>6.3</v>
      </c>
      <c r="P18">
        <v>5.7</v>
      </c>
      <c r="Q18">
        <v>0.11</v>
      </c>
      <c r="R18">
        <v>0.7</v>
      </c>
      <c r="S18" t="s">
        <v>518</v>
      </c>
      <c r="T18">
        <v>34</v>
      </c>
      <c r="U18">
        <v>4.7</v>
      </c>
      <c r="Z18">
        <v>70</v>
      </c>
      <c r="AC18">
        <v>46</v>
      </c>
      <c r="AE18">
        <v>5.9</v>
      </c>
      <c r="AF18">
        <v>0.9</v>
      </c>
      <c r="AG18">
        <v>0.42</v>
      </c>
      <c r="AH18">
        <v>6.2E-2</v>
      </c>
      <c r="AJ18">
        <v>14</v>
      </c>
      <c r="AL18" t="s">
        <v>519</v>
      </c>
      <c r="AM18">
        <v>7.3</v>
      </c>
      <c r="AN18">
        <v>0.84</v>
      </c>
      <c r="AO18" t="s">
        <v>520</v>
      </c>
      <c r="AU18">
        <v>8.6</v>
      </c>
      <c r="AW18">
        <v>1.1000000000000001</v>
      </c>
      <c r="BC18" t="s">
        <v>526</v>
      </c>
      <c r="BD18" t="s">
        <v>384</v>
      </c>
      <c r="BV18">
        <v>350</v>
      </c>
      <c r="FN18">
        <v>1.1000000000000001</v>
      </c>
      <c r="FO18">
        <v>13</v>
      </c>
      <c r="FP18">
        <v>8.5999999999999993E-2</v>
      </c>
      <c r="GQ18" t="s">
        <v>522</v>
      </c>
    </row>
    <row r="19" spans="1:199" x14ac:dyDescent="0.25">
      <c r="A19" s="13">
        <v>45762</v>
      </c>
      <c r="B19">
        <v>130922278</v>
      </c>
      <c r="C19" t="s">
        <v>648</v>
      </c>
      <c r="D19" t="s">
        <v>657</v>
      </c>
      <c r="E19" t="s">
        <v>598</v>
      </c>
      <c r="F19">
        <v>40</v>
      </c>
      <c r="G19">
        <v>60</v>
      </c>
      <c r="H19" t="s">
        <v>650</v>
      </c>
      <c r="I19" t="s">
        <v>516</v>
      </c>
      <c r="J19" s="13">
        <v>45826</v>
      </c>
      <c r="K19" s="13">
        <v>45828</v>
      </c>
      <c r="L19">
        <v>803920</v>
      </c>
      <c r="M19" s="13">
        <v>45835</v>
      </c>
      <c r="N19" t="s">
        <v>517</v>
      </c>
      <c r="O19">
        <v>6.1</v>
      </c>
      <c r="P19">
        <v>5.5</v>
      </c>
      <c r="Q19">
        <v>0.12</v>
      </c>
      <c r="R19">
        <v>0.7</v>
      </c>
      <c r="S19" t="s">
        <v>518</v>
      </c>
      <c r="T19">
        <v>12</v>
      </c>
      <c r="U19">
        <v>3.3</v>
      </c>
      <c r="Z19" t="s">
        <v>528</v>
      </c>
      <c r="AC19">
        <v>97</v>
      </c>
      <c r="AE19">
        <v>4.0999999999999996</v>
      </c>
      <c r="AF19">
        <v>0.67</v>
      </c>
      <c r="AG19">
        <v>4.2</v>
      </c>
      <c r="AH19">
        <v>0.12</v>
      </c>
      <c r="AJ19">
        <v>0.98</v>
      </c>
      <c r="AL19" t="s">
        <v>519</v>
      </c>
      <c r="AM19">
        <v>9.1</v>
      </c>
      <c r="AN19">
        <v>1.3</v>
      </c>
      <c r="AO19" t="s">
        <v>520</v>
      </c>
      <c r="AU19">
        <v>45</v>
      </c>
      <c r="AW19" t="s">
        <v>529</v>
      </c>
      <c r="BC19" t="s">
        <v>526</v>
      </c>
      <c r="BD19" t="s">
        <v>384</v>
      </c>
      <c r="BV19">
        <v>260</v>
      </c>
      <c r="FN19">
        <v>0.27</v>
      </c>
      <c r="FO19">
        <v>5.4</v>
      </c>
      <c r="FP19" t="s">
        <v>527</v>
      </c>
      <c r="GQ19" t="s">
        <v>522</v>
      </c>
    </row>
    <row r="20" spans="1:199" x14ac:dyDescent="0.25">
      <c r="A20" s="13">
        <v>45762</v>
      </c>
      <c r="B20">
        <v>130922279</v>
      </c>
      <c r="C20" t="s">
        <v>648</v>
      </c>
      <c r="D20" t="s">
        <v>655</v>
      </c>
      <c r="E20" t="s">
        <v>598</v>
      </c>
      <c r="F20">
        <v>20</v>
      </c>
      <c r="G20">
        <v>40</v>
      </c>
      <c r="H20" t="s">
        <v>650</v>
      </c>
      <c r="I20" t="s">
        <v>516</v>
      </c>
      <c r="J20" s="13">
        <v>45826</v>
      </c>
      <c r="K20" s="13">
        <v>45828</v>
      </c>
      <c r="L20">
        <v>803941</v>
      </c>
      <c r="M20" s="13">
        <v>45835</v>
      </c>
      <c r="N20" t="s">
        <v>517</v>
      </c>
      <c r="O20">
        <v>5.7</v>
      </c>
      <c r="P20">
        <v>5.0999999999999996</v>
      </c>
      <c r="Q20">
        <v>0.11</v>
      </c>
      <c r="R20">
        <v>0.7</v>
      </c>
      <c r="S20" t="s">
        <v>518</v>
      </c>
      <c r="T20">
        <v>20</v>
      </c>
      <c r="U20">
        <v>2.8</v>
      </c>
      <c r="Z20">
        <v>7.1</v>
      </c>
      <c r="AC20">
        <v>72</v>
      </c>
      <c r="AE20">
        <v>4.5</v>
      </c>
      <c r="AF20">
        <v>0.67</v>
      </c>
      <c r="AG20">
        <v>1.4</v>
      </c>
      <c r="AH20">
        <v>2.5000000000000001E-2</v>
      </c>
      <c r="AJ20">
        <v>3.2</v>
      </c>
      <c r="AL20" t="s">
        <v>519</v>
      </c>
      <c r="AM20">
        <v>6.63</v>
      </c>
      <c r="AN20">
        <v>0.38</v>
      </c>
      <c r="AO20" t="s">
        <v>520</v>
      </c>
      <c r="AU20">
        <v>24</v>
      </c>
      <c r="AW20">
        <v>0.16</v>
      </c>
      <c r="BC20" t="s">
        <v>531</v>
      </c>
      <c r="BD20" t="s">
        <v>384</v>
      </c>
      <c r="BV20">
        <v>260</v>
      </c>
      <c r="FN20">
        <v>0.36</v>
      </c>
      <c r="FO20">
        <v>7.2</v>
      </c>
      <c r="FP20" t="s">
        <v>527</v>
      </c>
      <c r="GQ20" t="s">
        <v>522</v>
      </c>
    </row>
    <row r="21" spans="1:199" x14ac:dyDescent="0.25">
      <c r="A21" s="13">
        <v>45762</v>
      </c>
      <c r="B21">
        <v>130922280</v>
      </c>
      <c r="C21" t="s">
        <v>648</v>
      </c>
      <c r="D21" t="s">
        <v>655</v>
      </c>
      <c r="E21" t="s">
        <v>598</v>
      </c>
      <c r="F21">
        <v>40</v>
      </c>
      <c r="G21">
        <v>60</v>
      </c>
      <c r="H21" t="s">
        <v>650</v>
      </c>
      <c r="I21" t="s">
        <v>516</v>
      </c>
      <c r="J21" s="13">
        <v>45826</v>
      </c>
      <c r="K21" s="13">
        <v>45828</v>
      </c>
      <c r="L21">
        <v>803942</v>
      </c>
      <c r="M21" s="13">
        <v>45835</v>
      </c>
      <c r="N21" t="s">
        <v>517</v>
      </c>
      <c r="O21">
        <v>6.4</v>
      </c>
      <c r="P21">
        <v>5.7</v>
      </c>
      <c r="Q21">
        <v>0.1</v>
      </c>
      <c r="R21">
        <v>0.6</v>
      </c>
      <c r="S21" t="s">
        <v>518</v>
      </c>
      <c r="T21">
        <v>14</v>
      </c>
      <c r="U21">
        <v>2.2999999999999998</v>
      </c>
      <c r="Z21" t="s">
        <v>528</v>
      </c>
      <c r="AC21">
        <v>95</v>
      </c>
      <c r="AE21">
        <v>5.7</v>
      </c>
      <c r="AF21">
        <v>0.78</v>
      </c>
      <c r="AG21">
        <v>4</v>
      </c>
      <c r="AH21">
        <v>6.6000000000000003E-2</v>
      </c>
      <c r="AJ21">
        <v>1.4</v>
      </c>
      <c r="AL21" t="s">
        <v>519</v>
      </c>
      <c r="AM21">
        <v>10.6</v>
      </c>
      <c r="AN21">
        <v>0.62</v>
      </c>
      <c r="AO21" t="s">
        <v>520</v>
      </c>
      <c r="AU21">
        <v>28</v>
      </c>
      <c r="AW21" t="s">
        <v>529</v>
      </c>
      <c r="BC21" t="s">
        <v>526</v>
      </c>
      <c r="BD21" t="s">
        <v>384</v>
      </c>
      <c r="BV21">
        <v>310</v>
      </c>
      <c r="FN21">
        <v>0.27</v>
      </c>
      <c r="FO21">
        <v>5.4</v>
      </c>
      <c r="FP21" t="s">
        <v>527</v>
      </c>
      <c r="GQ21" t="s">
        <v>522</v>
      </c>
    </row>
    <row r="22" spans="1:199" x14ac:dyDescent="0.25">
      <c r="A22" s="13">
        <v>45762</v>
      </c>
      <c r="B22">
        <v>130922281</v>
      </c>
      <c r="C22" t="s">
        <v>648</v>
      </c>
      <c r="D22" t="s">
        <v>654</v>
      </c>
      <c r="E22" t="s">
        <v>598</v>
      </c>
      <c r="F22">
        <v>20</v>
      </c>
      <c r="G22">
        <v>40</v>
      </c>
      <c r="H22" t="s">
        <v>650</v>
      </c>
      <c r="I22" t="s">
        <v>516</v>
      </c>
      <c r="J22" s="13">
        <v>45826</v>
      </c>
      <c r="K22" s="13">
        <v>45828</v>
      </c>
      <c r="L22">
        <v>803925</v>
      </c>
      <c r="M22" s="13">
        <v>45835</v>
      </c>
      <c r="N22" t="s">
        <v>517</v>
      </c>
      <c r="O22">
        <v>6.7</v>
      </c>
      <c r="P22">
        <v>6.1</v>
      </c>
      <c r="Q22">
        <v>0.11</v>
      </c>
      <c r="R22">
        <v>0.7</v>
      </c>
      <c r="S22" t="s">
        <v>518</v>
      </c>
      <c r="T22">
        <v>23</v>
      </c>
      <c r="U22">
        <v>7.4</v>
      </c>
      <c r="Z22">
        <v>6</v>
      </c>
      <c r="AC22">
        <v>69</v>
      </c>
      <c r="AE22">
        <v>5</v>
      </c>
      <c r="AF22">
        <v>0.89</v>
      </c>
      <c r="AG22">
        <v>1.4</v>
      </c>
      <c r="AH22">
        <v>3.2000000000000001E-2</v>
      </c>
      <c r="AJ22">
        <v>3.6</v>
      </c>
      <c r="AL22" t="s">
        <v>519</v>
      </c>
      <c r="AM22">
        <v>7.36</v>
      </c>
      <c r="AN22">
        <v>0.43</v>
      </c>
      <c r="AO22" t="s">
        <v>520</v>
      </c>
      <c r="AU22">
        <v>18</v>
      </c>
      <c r="AW22">
        <v>0.23</v>
      </c>
      <c r="BC22" t="s">
        <v>526</v>
      </c>
      <c r="BD22" t="s">
        <v>384</v>
      </c>
      <c r="BV22">
        <v>350</v>
      </c>
      <c r="FN22">
        <v>0.4</v>
      </c>
      <c r="FO22">
        <v>8</v>
      </c>
      <c r="FP22" t="s">
        <v>527</v>
      </c>
      <c r="GQ22" t="s">
        <v>522</v>
      </c>
    </row>
    <row r="23" spans="1:199" x14ac:dyDescent="0.25">
      <c r="A23" s="13">
        <v>45762</v>
      </c>
      <c r="B23">
        <v>130922282</v>
      </c>
      <c r="C23" t="s">
        <v>648</v>
      </c>
      <c r="D23" t="s">
        <v>653</v>
      </c>
      <c r="E23" t="s">
        <v>598</v>
      </c>
      <c r="F23">
        <v>60</v>
      </c>
      <c r="G23">
        <v>80</v>
      </c>
      <c r="H23" t="s">
        <v>650</v>
      </c>
      <c r="I23" t="s">
        <v>516</v>
      </c>
      <c r="J23" s="13">
        <v>45826</v>
      </c>
      <c r="K23" s="13">
        <v>45828</v>
      </c>
      <c r="L23">
        <v>803933</v>
      </c>
      <c r="M23" s="13">
        <v>45835</v>
      </c>
      <c r="N23" t="s">
        <v>517</v>
      </c>
      <c r="O23">
        <v>6.8</v>
      </c>
      <c r="P23">
        <v>5.9</v>
      </c>
      <c r="Q23">
        <v>7.0000000000000007E-2</v>
      </c>
      <c r="R23">
        <v>0.4</v>
      </c>
      <c r="S23" t="s">
        <v>518</v>
      </c>
      <c r="T23">
        <v>8.5</v>
      </c>
      <c r="U23">
        <v>3.5</v>
      </c>
      <c r="Z23" t="s">
        <v>528</v>
      </c>
      <c r="AC23">
        <v>110</v>
      </c>
      <c r="AE23">
        <v>5.2</v>
      </c>
      <c r="AF23">
        <v>1.3</v>
      </c>
      <c r="AG23">
        <v>6.6</v>
      </c>
      <c r="AH23">
        <v>0.32</v>
      </c>
      <c r="AJ23">
        <v>0.79</v>
      </c>
      <c r="AL23" t="s">
        <v>519</v>
      </c>
      <c r="AM23">
        <v>13.3</v>
      </c>
      <c r="AN23">
        <v>2.4</v>
      </c>
      <c r="AO23" t="s">
        <v>520</v>
      </c>
      <c r="AU23">
        <v>7.9</v>
      </c>
      <c r="AW23" t="s">
        <v>529</v>
      </c>
      <c r="BC23" t="s">
        <v>526</v>
      </c>
      <c r="BD23" t="s">
        <v>384</v>
      </c>
      <c r="BV23">
        <v>490</v>
      </c>
      <c r="FN23">
        <v>0.35</v>
      </c>
      <c r="FO23">
        <v>7</v>
      </c>
      <c r="FP23" t="s">
        <v>527</v>
      </c>
      <c r="GQ23" t="s">
        <v>522</v>
      </c>
    </row>
    <row r="24" spans="1:199" x14ac:dyDescent="0.25">
      <c r="A24" s="13">
        <v>45762</v>
      </c>
      <c r="B24">
        <v>130922283</v>
      </c>
      <c r="C24" t="s">
        <v>648</v>
      </c>
      <c r="D24" t="s">
        <v>652</v>
      </c>
      <c r="E24" t="s">
        <v>598</v>
      </c>
      <c r="F24">
        <v>10</v>
      </c>
      <c r="G24">
        <v>20</v>
      </c>
      <c r="H24" t="s">
        <v>650</v>
      </c>
      <c r="I24" t="s">
        <v>516</v>
      </c>
      <c r="J24" s="13">
        <v>45826</v>
      </c>
      <c r="K24" s="13">
        <v>45828</v>
      </c>
      <c r="L24">
        <v>803961</v>
      </c>
      <c r="M24" s="13">
        <v>45835</v>
      </c>
      <c r="N24" t="s">
        <v>517</v>
      </c>
      <c r="O24">
        <v>5.5</v>
      </c>
      <c r="P24">
        <v>4.8</v>
      </c>
      <c r="Q24">
        <v>0.09</v>
      </c>
      <c r="R24">
        <v>0.6</v>
      </c>
      <c r="S24" t="s">
        <v>518</v>
      </c>
      <c r="T24">
        <v>24</v>
      </c>
      <c r="U24">
        <v>3.9</v>
      </c>
      <c r="Z24">
        <v>31</v>
      </c>
      <c r="AC24">
        <v>52</v>
      </c>
      <c r="AE24">
        <v>3.8</v>
      </c>
      <c r="AF24">
        <v>0.64</v>
      </c>
      <c r="AG24">
        <v>0.43</v>
      </c>
      <c r="AH24">
        <v>2.1999999999999999E-2</v>
      </c>
      <c r="AJ24">
        <v>8.8000000000000007</v>
      </c>
      <c r="AL24" t="s">
        <v>519</v>
      </c>
      <c r="AM24">
        <v>4.92</v>
      </c>
      <c r="AN24">
        <v>0.45</v>
      </c>
      <c r="AO24" t="s">
        <v>520</v>
      </c>
      <c r="AU24">
        <v>16</v>
      </c>
      <c r="AW24">
        <v>0.59</v>
      </c>
      <c r="BC24" t="s">
        <v>530</v>
      </c>
      <c r="BD24" t="s">
        <v>384</v>
      </c>
      <c r="BV24">
        <v>250</v>
      </c>
      <c r="FN24">
        <v>0.99</v>
      </c>
      <c r="FO24">
        <v>12</v>
      </c>
      <c r="FP24">
        <v>8.4000000000000005E-2</v>
      </c>
      <c r="GQ24" t="s">
        <v>522</v>
      </c>
    </row>
    <row r="25" spans="1:199" x14ac:dyDescent="0.25">
      <c r="A25" s="13">
        <v>45762</v>
      </c>
      <c r="B25">
        <v>130922284</v>
      </c>
      <c r="C25" t="s">
        <v>648</v>
      </c>
      <c r="D25" t="s">
        <v>651</v>
      </c>
      <c r="E25" t="s">
        <v>598</v>
      </c>
      <c r="F25">
        <v>20</v>
      </c>
      <c r="G25">
        <v>40</v>
      </c>
      <c r="H25" t="s">
        <v>650</v>
      </c>
      <c r="I25" t="s">
        <v>516</v>
      </c>
      <c r="J25" s="13">
        <v>45826</v>
      </c>
      <c r="K25" s="13">
        <v>45828</v>
      </c>
      <c r="L25">
        <v>803948</v>
      </c>
      <c r="M25" s="13">
        <v>45835</v>
      </c>
      <c r="N25" t="s">
        <v>517</v>
      </c>
      <c r="O25">
        <v>6.6</v>
      </c>
      <c r="P25">
        <v>5.8</v>
      </c>
      <c r="Q25">
        <v>7.0000000000000007E-2</v>
      </c>
      <c r="R25">
        <v>0.4</v>
      </c>
      <c r="S25" t="s">
        <v>518</v>
      </c>
      <c r="T25">
        <v>17</v>
      </c>
      <c r="U25">
        <v>2.5</v>
      </c>
      <c r="Z25">
        <v>6.1</v>
      </c>
      <c r="AC25">
        <v>45</v>
      </c>
      <c r="AE25">
        <v>4.2</v>
      </c>
      <c r="AF25">
        <v>0.67</v>
      </c>
      <c r="AG25">
        <v>1.1000000000000001</v>
      </c>
      <c r="AH25">
        <v>3.6999999999999998E-2</v>
      </c>
      <c r="AJ25">
        <v>3.8</v>
      </c>
      <c r="AL25" t="s">
        <v>519</v>
      </c>
      <c r="AM25">
        <v>6.01</v>
      </c>
      <c r="AN25">
        <v>0.62</v>
      </c>
      <c r="AO25" t="s">
        <v>520</v>
      </c>
      <c r="AU25">
        <v>10</v>
      </c>
      <c r="AW25">
        <v>0.16</v>
      </c>
      <c r="BC25" t="s">
        <v>531</v>
      </c>
      <c r="BD25" t="s">
        <v>384</v>
      </c>
      <c r="BV25">
        <v>260</v>
      </c>
      <c r="FN25">
        <v>0.27</v>
      </c>
      <c r="FO25">
        <v>5.4</v>
      </c>
      <c r="FP25" t="s">
        <v>527</v>
      </c>
      <c r="GQ25" t="s">
        <v>522</v>
      </c>
    </row>
    <row r="26" spans="1:199" x14ac:dyDescent="0.25">
      <c r="A26" s="13">
        <v>45762</v>
      </c>
      <c r="B26">
        <v>130922285</v>
      </c>
      <c r="C26" t="s">
        <v>648</v>
      </c>
      <c r="D26" t="s">
        <v>653</v>
      </c>
      <c r="E26" t="s">
        <v>598</v>
      </c>
      <c r="F26">
        <v>80</v>
      </c>
      <c r="G26">
        <v>100</v>
      </c>
      <c r="H26" t="s">
        <v>650</v>
      </c>
      <c r="I26" t="s">
        <v>516</v>
      </c>
      <c r="J26" s="13">
        <v>45826</v>
      </c>
      <c r="K26" s="13">
        <v>45828</v>
      </c>
      <c r="L26">
        <v>803934</v>
      </c>
      <c r="M26" s="13">
        <v>45835</v>
      </c>
      <c r="N26" t="s">
        <v>517</v>
      </c>
      <c r="O26">
        <v>7.7</v>
      </c>
      <c r="P26">
        <v>6.5</v>
      </c>
      <c r="Q26">
        <v>0.05</v>
      </c>
      <c r="R26">
        <v>0.3</v>
      </c>
      <c r="S26" t="s">
        <v>518</v>
      </c>
      <c r="T26">
        <v>4.5</v>
      </c>
      <c r="U26">
        <v>2.7</v>
      </c>
      <c r="Z26">
        <v>5.2</v>
      </c>
      <c r="AC26">
        <v>90</v>
      </c>
      <c r="AE26">
        <v>5.3</v>
      </c>
      <c r="AF26">
        <v>1.4</v>
      </c>
      <c r="AG26">
        <v>6.8</v>
      </c>
      <c r="AH26">
        <v>0.49</v>
      </c>
      <c r="AJ26">
        <v>0.78</v>
      </c>
      <c r="AL26" t="s">
        <v>519</v>
      </c>
      <c r="AM26">
        <v>13.9</v>
      </c>
      <c r="AN26">
        <v>3.5</v>
      </c>
      <c r="AO26" t="s">
        <v>520</v>
      </c>
      <c r="AU26">
        <v>4.3</v>
      </c>
      <c r="AW26" t="s">
        <v>529</v>
      </c>
      <c r="BC26" t="s">
        <v>658</v>
      </c>
      <c r="BD26" t="s">
        <v>384</v>
      </c>
      <c r="BV26">
        <v>530</v>
      </c>
      <c r="FN26">
        <v>0.26</v>
      </c>
      <c r="FO26">
        <v>5.2</v>
      </c>
      <c r="FP26" t="s">
        <v>527</v>
      </c>
      <c r="GQ26" t="s">
        <v>522</v>
      </c>
    </row>
    <row r="27" spans="1:199" x14ac:dyDescent="0.25">
      <c r="A27" s="13">
        <v>45762</v>
      </c>
      <c r="B27">
        <v>130922286</v>
      </c>
      <c r="C27" t="s">
        <v>648</v>
      </c>
      <c r="D27" t="s">
        <v>655</v>
      </c>
      <c r="E27" t="s">
        <v>598</v>
      </c>
      <c r="F27">
        <v>100</v>
      </c>
      <c r="G27">
        <v>120</v>
      </c>
      <c r="H27" t="s">
        <v>650</v>
      </c>
      <c r="I27" t="s">
        <v>516</v>
      </c>
      <c r="J27" s="13">
        <v>45826</v>
      </c>
      <c r="K27" s="13">
        <v>45828</v>
      </c>
      <c r="L27">
        <v>803945</v>
      </c>
      <c r="M27" s="13">
        <v>45835</v>
      </c>
      <c r="N27" t="s">
        <v>517</v>
      </c>
      <c r="O27">
        <v>7.6</v>
      </c>
      <c r="P27">
        <v>6.6</v>
      </c>
      <c r="Q27">
        <v>0.05</v>
      </c>
      <c r="R27">
        <v>0.3</v>
      </c>
      <c r="S27" t="s">
        <v>518</v>
      </c>
      <c r="T27">
        <v>2.9</v>
      </c>
      <c r="U27">
        <v>2.6</v>
      </c>
      <c r="Z27" t="s">
        <v>528</v>
      </c>
      <c r="AC27">
        <v>56</v>
      </c>
      <c r="AE27">
        <v>9</v>
      </c>
      <c r="AF27">
        <v>1.6</v>
      </c>
      <c r="AG27">
        <v>8.4</v>
      </c>
      <c r="AH27">
        <v>0.32</v>
      </c>
      <c r="AJ27">
        <v>1.1000000000000001</v>
      </c>
      <c r="AL27" t="s">
        <v>519</v>
      </c>
      <c r="AM27">
        <v>19.3</v>
      </c>
      <c r="AN27">
        <v>1.7</v>
      </c>
      <c r="AO27" t="s">
        <v>520</v>
      </c>
      <c r="AU27">
        <v>3.6</v>
      </c>
      <c r="AW27" t="s">
        <v>529</v>
      </c>
      <c r="BC27" t="s">
        <v>525</v>
      </c>
      <c r="BD27" t="s">
        <v>384</v>
      </c>
      <c r="BV27">
        <v>630</v>
      </c>
      <c r="FN27">
        <v>0.16</v>
      </c>
      <c r="FO27">
        <v>3.2</v>
      </c>
      <c r="FP27" t="s">
        <v>527</v>
      </c>
      <c r="GQ27" t="s">
        <v>522</v>
      </c>
    </row>
    <row r="28" spans="1:199" x14ac:dyDescent="0.25">
      <c r="A28" s="13">
        <v>45762</v>
      </c>
      <c r="B28">
        <v>130922287</v>
      </c>
      <c r="C28" t="s">
        <v>648</v>
      </c>
      <c r="D28" t="s">
        <v>656</v>
      </c>
      <c r="E28" t="s">
        <v>598</v>
      </c>
      <c r="F28">
        <v>10</v>
      </c>
      <c r="G28">
        <v>20</v>
      </c>
      <c r="H28" t="s">
        <v>650</v>
      </c>
      <c r="I28" t="s">
        <v>516</v>
      </c>
      <c r="J28" s="13">
        <v>45826</v>
      </c>
      <c r="K28" s="13">
        <v>45828</v>
      </c>
      <c r="L28">
        <v>803911</v>
      </c>
      <c r="M28" s="13">
        <v>45835</v>
      </c>
      <c r="N28" t="s">
        <v>517</v>
      </c>
      <c r="O28">
        <v>5.9</v>
      </c>
      <c r="P28">
        <v>5.4</v>
      </c>
      <c r="Q28">
        <v>0.12</v>
      </c>
      <c r="R28">
        <v>0.7</v>
      </c>
      <c r="S28" t="s">
        <v>518</v>
      </c>
      <c r="T28">
        <v>30</v>
      </c>
      <c r="U28">
        <v>4.8</v>
      </c>
      <c r="Z28">
        <v>14</v>
      </c>
      <c r="AC28">
        <v>30</v>
      </c>
      <c r="AE28">
        <v>3.7</v>
      </c>
      <c r="AF28">
        <v>0.51</v>
      </c>
      <c r="AG28">
        <v>0.45</v>
      </c>
      <c r="AH28">
        <v>2.5000000000000001E-2</v>
      </c>
      <c r="AJ28">
        <v>8.1999999999999993</v>
      </c>
      <c r="AL28" t="s">
        <v>519</v>
      </c>
      <c r="AM28">
        <v>4.6500000000000004</v>
      </c>
      <c r="AN28">
        <v>0.54</v>
      </c>
      <c r="AO28" t="s">
        <v>520</v>
      </c>
      <c r="AU28">
        <v>23</v>
      </c>
      <c r="AW28">
        <v>0.34</v>
      </c>
      <c r="BC28" t="s">
        <v>530</v>
      </c>
      <c r="BD28" t="s">
        <v>384</v>
      </c>
      <c r="BV28">
        <v>200</v>
      </c>
      <c r="FN28">
        <v>0.52</v>
      </c>
      <c r="FO28">
        <v>10</v>
      </c>
      <c r="FP28" t="s">
        <v>527</v>
      </c>
      <c r="GQ28" t="s">
        <v>522</v>
      </c>
    </row>
    <row r="29" spans="1:199" x14ac:dyDescent="0.25">
      <c r="A29" s="13">
        <v>45762</v>
      </c>
      <c r="B29">
        <v>130922288</v>
      </c>
      <c r="C29" t="s">
        <v>648</v>
      </c>
      <c r="D29" t="s">
        <v>656</v>
      </c>
      <c r="E29" t="s">
        <v>598</v>
      </c>
      <c r="F29">
        <v>40</v>
      </c>
      <c r="G29">
        <v>60</v>
      </c>
      <c r="H29" t="s">
        <v>650</v>
      </c>
      <c r="I29" t="s">
        <v>516</v>
      </c>
      <c r="J29" s="13">
        <v>45826</v>
      </c>
      <c r="K29" s="13">
        <v>45828</v>
      </c>
      <c r="L29">
        <v>803913</v>
      </c>
      <c r="M29" s="13">
        <v>45835</v>
      </c>
      <c r="N29" t="s">
        <v>517</v>
      </c>
      <c r="O29">
        <v>6.9</v>
      </c>
      <c r="P29">
        <v>6.4</v>
      </c>
      <c r="Q29">
        <v>0.15</v>
      </c>
      <c r="R29">
        <v>0.9</v>
      </c>
      <c r="S29" t="s">
        <v>518</v>
      </c>
      <c r="T29">
        <v>19</v>
      </c>
      <c r="U29">
        <v>2.9</v>
      </c>
      <c r="Z29">
        <v>6</v>
      </c>
      <c r="AC29">
        <v>110</v>
      </c>
      <c r="AE29">
        <v>6.7</v>
      </c>
      <c r="AF29">
        <v>0.85</v>
      </c>
      <c r="AG29">
        <v>4.5</v>
      </c>
      <c r="AH29">
        <v>9.4E-2</v>
      </c>
      <c r="AJ29">
        <v>1.5</v>
      </c>
      <c r="AL29" t="s">
        <v>519</v>
      </c>
      <c r="AM29">
        <v>12.1</v>
      </c>
      <c r="AN29">
        <v>0.78</v>
      </c>
      <c r="AO29" t="s">
        <v>520</v>
      </c>
      <c r="AU29">
        <v>43</v>
      </c>
      <c r="AW29" t="s">
        <v>529</v>
      </c>
      <c r="BC29" t="s">
        <v>526</v>
      </c>
      <c r="BD29" t="s">
        <v>384</v>
      </c>
      <c r="BV29">
        <v>330</v>
      </c>
      <c r="FN29">
        <v>0.32</v>
      </c>
      <c r="FO29">
        <v>6.4</v>
      </c>
      <c r="FP29" t="s">
        <v>527</v>
      </c>
      <c r="GQ29" t="s">
        <v>522</v>
      </c>
    </row>
    <row r="30" spans="1:199" x14ac:dyDescent="0.25">
      <c r="A30" s="13">
        <v>45762</v>
      </c>
      <c r="B30">
        <v>130922289</v>
      </c>
      <c r="C30" t="s">
        <v>648</v>
      </c>
      <c r="D30" t="s">
        <v>653</v>
      </c>
      <c r="E30" t="s">
        <v>598</v>
      </c>
      <c r="F30">
        <v>140</v>
      </c>
      <c r="G30">
        <v>160</v>
      </c>
      <c r="H30" t="s">
        <v>650</v>
      </c>
      <c r="I30" t="s">
        <v>516</v>
      </c>
      <c r="J30" s="13">
        <v>45826</v>
      </c>
      <c r="K30" s="13">
        <v>45828</v>
      </c>
      <c r="L30">
        <v>803937</v>
      </c>
      <c r="M30" s="13">
        <v>45835</v>
      </c>
      <c r="N30" t="s">
        <v>517</v>
      </c>
      <c r="O30">
        <v>8.6999999999999993</v>
      </c>
      <c r="P30">
        <v>7.6</v>
      </c>
      <c r="Q30">
        <v>0.12</v>
      </c>
      <c r="R30">
        <v>0.7</v>
      </c>
      <c r="S30" t="s">
        <v>518</v>
      </c>
      <c r="T30">
        <v>5.6</v>
      </c>
      <c r="U30">
        <v>3.3</v>
      </c>
      <c r="Z30" t="s">
        <v>528</v>
      </c>
      <c r="AC30">
        <v>70</v>
      </c>
      <c r="AE30">
        <v>9.8000000000000007</v>
      </c>
      <c r="AF30">
        <v>2.1</v>
      </c>
      <c r="AG30">
        <v>11</v>
      </c>
      <c r="AH30">
        <v>1.4</v>
      </c>
      <c r="AJ30">
        <v>0.89</v>
      </c>
      <c r="AL30" t="s">
        <v>519</v>
      </c>
      <c r="AM30">
        <v>24.5</v>
      </c>
      <c r="AN30">
        <v>5.7</v>
      </c>
      <c r="AO30" t="s">
        <v>520</v>
      </c>
      <c r="AU30">
        <v>1.4</v>
      </c>
      <c r="AW30" t="s">
        <v>529</v>
      </c>
      <c r="BC30" t="s">
        <v>526</v>
      </c>
      <c r="BD30" t="s">
        <v>384</v>
      </c>
      <c r="BV30">
        <v>810</v>
      </c>
      <c r="FN30">
        <v>0.2</v>
      </c>
      <c r="FO30">
        <v>4</v>
      </c>
      <c r="FP30" t="s">
        <v>527</v>
      </c>
      <c r="GQ30" t="s">
        <v>522</v>
      </c>
    </row>
    <row r="31" spans="1:199" x14ac:dyDescent="0.25">
      <c r="A31" s="13">
        <v>45762</v>
      </c>
      <c r="B31">
        <v>130922290</v>
      </c>
      <c r="C31" t="s">
        <v>648</v>
      </c>
      <c r="D31" t="s">
        <v>656</v>
      </c>
      <c r="E31" t="s">
        <v>598</v>
      </c>
      <c r="F31">
        <v>0</v>
      </c>
      <c r="G31">
        <v>10</v>
      </c>
      <c r="H31" t="s">
        <v>650</v>
      </c>
      <c r="I31" t="s">
        <v>516</v>
      </c>
      <c r="J31" s="13">
        <v>45826</v>
      </c>
      <c r="K31" s="13">
        <v>45828</v>
      </c>
      <c r="L31">
        <v>803910</v>
      </c>
      <c r="M31" s="13">
        <v>45835</v>
      </c>
      <c r="N31" t="s">
        <v>517</v>
      </c>
      <c r="O31">
        <v>6.3</v>
      </c>
      <c r="P31">
        <v>5.7</v>
      </c>
      <c r="Q31">
        <v>0.17</v>
      </c>
      <c r="R31">
        <v>1.4</v>
      </c>
      <c r="S31">
        <v>12</v>
      </c>
      <c r="T31">
        <v>61</v>
      </c>
      <c r="U31">
        <v>4.2</v>
      </c>
      <c r="Z31">
        <v>55</v>
      </c>
      <c r="AC31">
        <v>42</v>
      </c>
      <c r="AE31">
        <v>5.8</v>
      </c>
      <c r="AF31">
        <v>0.75</v>
      </c>
      <c r="AG31">
        <v>0.39</v>
      </c>
      <c r="AH31">
        <v>5.5E-2</v>
      </c>
      <c r="AJ31">
        <v>15</v>
      </c>
      <c r="AL31" t="s">
        <v>519</v>
      </c>
      <c r="AM31">
        <v>6.95</v>
      </c>
      <c r="AN31">
        <v>0.79</v>
      </c>
      <c r="AO31" t="s">
        <v>520</v>
      </c>
      <c r="AU31">
        <v>22</v>
      </c>
      <c r="AW31">
        <v>0.82</v>
      </c>
      <c r="BC31" t="s">
        <v>530</v>
      </c>
      <c r="BD31" t="s">
        <v>524</v>
      </c>
      <c r="BV31">
        <v>290</v>
      </c>
      <c r="FN31">
        <v>1.1000000000000001</v>
      </c>
      <c r="FO31">
        <v>12</v>
      </c>
      <c r="FP31">
        <v>9.0999999999999998E-2</v>
      </c>
      <c r="GQ31" t="s">
        <v>522</v>
      </c>
    </row>
    <row r="32" spans="1:199" x14ac:dyDescent="0.25">
      <c r="A32" s="13">
        <v>45762</v>
      </c>
      <c r="B32">
        <v>130922291</v>
      </c>
      <c r="C32" t="s">
        <v>648</v>
      </c>
      <c r="D32" t="s">
        <v>656</v>
      </c>
      <c r="E32" t="s">
        <v>598</v>
      </c>
      <c r="F32">
        <v>80</v>
      </c>
      <c r="G32">
        <v>100</v>
      </c>
      <c r="H32" t="s">
        <v>650</v>
      </c>
      <c r="I32" t="s">
        <v>516</v>
      </c>
      <c r="J32" s="13">
        <v>45826</v>
      </c>
      <c r="K32" s="13">
        <v>45828</v>
      </c>
      <c r="L32">
        <v>803915</v>
      </c>
      <c r="M32" s="13">
        <v>45835</v>
      </c>
      <c r="N32" t="s">
        <v>517</v>
      </c>
      <c r="O32">
        <v>7.5</v>
      </c>
      <c r="P32">
        <v>6.6</v>
      </c>
      <c r="Q32">
        <v>7.0000000000000007E-2</v>
      </c>
      <c r="R32">
        <v>0.4</v>
      </c>
      <c r="S32" t="s">
        <v>518</v>
      </c>
      <c r="T32">
        <v>4.4000000000000004</v>
      </c>
      <c r="U32">
        <v>2.9</v>
      </c>
      <c r="Z32" t="s">
        <v>528</v>
      </c>
      <c r="AC32">
        <v>79</v>
      </c>
      <c r="AE32">
        <v>7</v>
      </c>
      <c r="AF32">
        <v>1.3</v>
      </c>
      <c r="AG32">
        <v>8.6</v>
      </c>
      <c r="AH32">
        <v>0.33</v>
      </c>
      <c r="AJ32">
        <v>0.81</v>
      </c>
      <c r="AL32" t="s">
        <v>519</v>
      </c>
      <c r="AM32">
        <v>17.2</v>
      </c>
      <c r="AN32">
        <v>1.9</v>
      </c>
      <c r="AO32" t="s">
        <v>520</v>
      </c>
      <c r="AU32">
        <v>9.4</v>
      </c>
      <c r="AW32" t="s">
        <v>529</v>
      </c>
      <c r="BC32" t="s">
        <v>530</v>
      </c>
      <c r="BD32" t="s">
        <v>384</v>
      </c>
      <c r="BV32">
        <v>500</v>
      </c>
      <c r="FN32">
        <v>0.24</v>
      </c>
      <c r="FO32">
        <v>4.8</v>
      </c>
      <c r="FP32" t="s">
        <v>527</v>
      </c>
      <c r="GQ32" t="s">
        <v>522</v>
      </c>
    </row>
    <row r="33" spans="1:199" x14ac:dyDescent="0.25">
      <c r="A33" s="13">
        <v>45762</v>
      </c>
      <c r="B33">
        <v>130922292</v>
      </c>
      <c r="C33" t="s">
        <v>648</v>
      </c>
      <c r="D33" t="s">
        <v>657</v>
      </c>
      <c r="E33" t="s">
        <v>598</v>
      </c>
      <c r="F33">
        <v>0</v>
      </c>
      <c r="G33">
        <v>10</v>
      </c>
      <c r="H33" t="s">
        <v>650</v>
      </c>
      <c r="I33" t="s">
        <v>516</v>
      </c>
      <c r="J33" s="13">
        <v>45826</v>
      </c>
      <c r="K33" s="13">
        <v>45828</v>
      </c>
      <c r="L33">
        <v>803917</v>
      </c>
      <c r="M33" s="13">
        <v>45835</v>
      </c>
      <c r="N33" t="s">
        <v>517</v>
      </c>
      <c r="O33">
        <v>7.3</v>
      </c>
      <c r="P33">
        <v>6.7</v>
      </c>
      <c r="Q33">
        <v>0.17</v>
      </c>
      <c r="R33">
        <v>1.4</v>
      </c>
      <c r="S33">
        <v>11</v>
      </c>
      <c r="T33">
        <v>45</v>
      </c>
      <c r="U33">
        <v>3.6</v>
      </c>
      <c r="Z33">
        <v>53</v>
      </c>
      <c r="AC33">
        <v>47</v>
      </c>
      <c r="AE33">
        <v>6.6</v>
      </c>
      <c r="AF33">
        <v>1.2</v>
      </c>
      <c r="AG33">
        <v>0.66</v>
      </c>
      <c r="AH33">
        <v>4.1000000000000002E-2</v>
      </c>
      <c r="AJ33">
        <v>10</v>
      </c>
      <c r="AL33" t="s">
        <v>519</v>
      </c>
      <c r="AM33">
        <v>8.5500000000000007</v>
      </c>
      <c r="AN33">
        <v>0.48</v>
      </c>
      <c r="AO33" t="s">
        <v>520</v>
      </c>
      <c r="AU33">
        <v>12</v>
      </c>
      <c r="AW33">
        <v>0.95</v>
      </c>
      <c r="BC33" t="s">
        <v>530</v>
      </c>
      <c r="BD33" t="s">
        <v>524</v>
      </c>
      <c r="BV33">
        <v>480</v>
      </c>
      <c r="FN33">
        <v>1.3</v>
      </c>
      <c r="FO33">
        <v>12</v>
      </c>
      <c r="FP33">
        <v>0.11</v>
      </c>
      <c r="GQ33" t="s">
        <v>522</v>
      </c>
    </row>
    <row r="34" spans="1:199" x14ac:dyDescent="0.25">
      <c r="A34" s="13">
        <v>45762</v>
      </c>
      <c r="B34">
        <v>130922293</v>
      </c>
      <c r="C34" t="s">
        <v>648</v>
      </c>
      <c r="D34" t="s">
        <v>654</v>
      </c>
      <c r="E34" t="s">
        <v>598</v>
      </c>
      <c r="F34">
        <v>10</v>
      </c>
      <c r="G34">
        <v>20</v>
      </c>
      <c r="H34" t="s">
        <v>650</v>
      </c>
      <c r="I34" t="s">
        <v>516</v>
      </c>
      <c r="J34" s="13">
        <v>45826</v>
      </c>
      <c r="K34" s="13">
        <v>45828</v>
      </c>
      <c r="L34">
        <v>803924</v>
      </c>
      <c r="M34" s="13">
        <v>45835</v>
      </c>
      <c r="N34" t="s">
        <v>517</v>
      </c>
      <c r="O34">
        <v>6.1</v>
      </c>
      <c r="P34">
        <v>5.4</v>
      </c>
      <c r="Q34">
        <v>0.11</v>
      </c>
      <c r="R34">
        <v>0.9</v>
      </c>
      <c r="S34" t="s">
        <v>518</v>
      </c>
      <c r="T34">
        <v>30</v>
      </c>
      <c r="U34">
        <v>6.1</v>
      </c>
      <c r="Z34">
        <v>18</v>
      </c>
      <c r="AC34">
        <v>48</v>
      </c>
      <c r="AE34">
        <v>4</v>
      </c>
      <c r="AF34">
        <v>0.63</v>
      </c>
      <c r="AG34">
        <v>0.46</v>
      </c>
      <c r="AH34" t="s">
        <v>523</v>
      </c>
      <c r="AJ34">
        <v>8.6999999999999993</v>
      </c>
      <c r="AL34" t="s">
        <v>519</v>
      </c>
      <c r="AM34">
        <v>5.04</v>
      </c>
      <c r="AN34" t="s">
        <v>520</v>
      </c>
      <c r="AO34" t="s">
        <v>520</v>
      </c>
      <c r="AU34">
        <v>14</v>
      </c>
      <c r="AW34">
        <v>0.39</v>
      </c>
      <c r="BC34" t="s">
        <v>530</v>
      </c>
      <c r="BD34" t="s">
        <v>524</v>
      </c>
      <c r="BV34">
        <v>240</v>
      </c>
      <c r="FN34">
        <v>0.59</v>
      </c>
      <c r="FO34">
        <v>12</v>
      </c>
      <c r="FP34" t="s">
        <v>527</v>
      </c>
      <c r="GQ34" t="s">
        <v>522</v>
      </c>
    </row>
    <row r="35" spans="1:199" x14ac:dyDescent="0.25">
      <c r="A35" s="13">
        <v>45762</v>
      </c>
      <c r="B35">
        <v>130922294</v>
      </c>
      <c r="C35" t="s">
        <v>648</v>
      </c>
      <c r="D35" t="s">
        <v>657</v>
      </c>
      <c r="E35" t="s">
        <v>598</v>
      </c>
      <c r="F35">
        <v>80</v>
      </c>
      <c r="G35">
        <v>100</v>
      </c>
      <c r="H35" t="s">
        <v>650</v>
      </c>
      <c r="I35" t="s">
        <v>516</v>
      </c>
      <c r="J35" s="13">
        <v>45826</v>
      </c>
      <c r="K35" s="13">
        <v>45828</v>
      </c>
      <c r="L35">
        <v>803922</v>
      </c>
      <c r="M35" s="13">
        <v>45835</v>
      </c>
      <c r="N35" t="s">
        <v>517</v>
      </c>
      <c r="O35">
        <v>7.3</v>
      </c>
      <c r="P35">
        <v>6.1</v>
      </c>
      <c r="Q35">
        <v>0.03</v>
      </c>
      <c r="R35">
        <v>0.2</v>
      </c>
      <c r="S35" t="s">
        <v>518</v>
      </c>
      <c r="T35">
        <v>4.3</v>
      </c>
      <c r="U35">
        <v>1.9</v>
      </c>
      <c r="Z35" t="s">
        <v>528</v>
      </c>
      <c r="AC35">
        <v>46</v>
      </c>
      <c r="AE35">
        <v>4.7</v>
      </c>
      <c r="AF35">
        <v>1</v>
      </c>
      <c r="AG35">
        <v>5.6</v>
      </c>
      <c r="AH35">
        <v>0.25</v>
      </c>
      <c r="AJ35">
        <v>0.84</v>
      </c>
      <c r="AL35" t="s">
        <v>519</v>
      </c>
      <c r="AM35">
        <v>11.6</v>
      </c>
      <c r="AN35">
        <v>2.1</v>
      </c>
      <c r="AO35" t="s">
        <v>520</v>
      </c>
      <c r="AU35">
        <v>2.2999999999999998</v>
      </c>
      <c r="AW35" t="s">
        <v>529</v>
      </c>
      <c r="BC35" t="s">
        <v>525</v>
      </c>
      <c r="BD35" t="s">
        <v>384</v>
      </c>
      <c r="BV35">
        <v>410</v>
      </c>
      <c r="FN35">
        <v>0.25</v>
      </c>
      <c r="FO35">
        <v>5</v>
      </c>
      <c r="FP35" t="s">
        <v>527</v>
      </c>
      <c r="GQ35" t="s">
        <v>522</v>
      </c>
    </row>
    <row r="36" spans="1:199" x14ac:dyDescent="0.25">
      <c r="A36" s="13">
        <v>45762</v>
      </c>
      <c r="B36">
        <v>130922295</v>
      </c>
      <c r="C36" t="s">
        <v>648</v>
      </c>
      <c r="D36" t="s">
        <v>657</v>
      </c>
      <c r="E36" t="s">
        <v>598</v>
      </c>
      <c r="F36">
        <v>60</v>
      </c>
      <c r="G36">
        <v>80</v>
      </c>
      <c r="H36" t="s">
        <v>650</v>
      </c>
      <c r="I36" t="s">
        <v>516</v>
      </c>
      <c r="J36" s="13">
        <v>45826</v>
      </c>
      <c r="K36" s="13">
        <v>45828</v>
      </c>
      <c r="L36">
        <v>803921</v>
      </c>
      <c r="M36" s="13">
        <v>45835</v>
      </c>
      <c r="N36" t="s">
        <v>517</v>
      </c>
      <c r="O36">
        <v>6.3</v>
      </c>
      <c r="P36">
        <v>5.4</v>
      </c>
      <c r="Q36">
        <v>0.06</v>
      </c>
      <c r="R36">
        <v>0.4</v>
      </c>
      <c r="S36" t="s">
        <v>518</v>
      </c>
      <c r="T36">
        <v>8.4</v>
      </c>
      <c r="U36">
        <v>2.1</v>
      </c>
      <c r="Z36" t="s">
        <v>528</v>
      </c>
      <c r="AC36">
        <v>72</v>
      </c>
      <c r="AE36">
        <v>4</v>
      </c>
      <c r="AF36">
        <v>0.83</v>
      </c>
      <c r="AG36">
        <v>5.2</v>
      </c>
      <c r="AH36">
        <v>0.16</v>
      </c>
      <c r="AJ36">
        <v>0.77</v>
      </c>
      <c r="AL36" t="s">
        <v>519</v>
      </c>
      <c r="AM36">
        <v>10.1</v>
      </c>
      <c r="AN36">
        <v>1.6</v>
      </c>
      <c r="AO36" t="s">
        <v>520</v>
      </c>
      <c r="AU36">
        <v>11</v>
      </c>
      <c r="AW36" t="s">
        <v>529</v>
      </c>
      <c r="BC36" t="s">
        <v>526</v>
      </c>
      <c r="BD36" t="s">
        <v>384</v>
      </c>
      <c r="BV36">
        <v>320</v>
      </c>
      <c r="FN36">
        <v>0.31</v>
      </c>
      <c r="FO36">
        <v>6.2</v>
      </c>
      <c r="FP36" t="s">
        <v>527</v>
      </c>
      <c r="GQ36" t="s">
        <v>522</v>
      </c>
    </row>
    <row r="37" spans="1:199" x14ac:dyDescent="0.25">
      <c r="A37" s="13">
        <v>45762</v>
      </c>
      <c r="B37">
        <v>130922296</v>
      </c>
      <c r="C37" t="s">
        <v>648</v>
      </c>
      <c r="D37" t="s">
        <v>654</v>
      </c>
      <c r="E37" t="s">
        <v>598</v>
      </c>
      <c r="F37">
        <v>40</v>
      </c>
      <c r="G37">
        <v>60</v>
      </c>
      <c r="H37" t="s">
        <v>650</v>
      </c>
      <c r="I37" t="s">
        <v>516</v>
      </c>
      <c r="J37" s="13">
        <v>45826</v>
      </c>
      <c r="K37" s="13">
        <v>45828</v>
      </c>
      <c r="L37">
        <v>803926</v>
      </c>
      <c r="M37" s="13">
        <v>45835</v>
      </c>
      <c r="N37" t="s">
        <v>517</v>
      </c>
      <c r="O37">
        <v>7</v>
      </c>
      <c r="P37">
        <v>6.3</v>
      </c>
      <c r="Q37">
        <v>0.1</v>
      </c>
      <c r="R37">
        <v>0.6</v>
      </c>
      <c r="S37" t="s">
        <v>518</v>
      </c>
      <c r="T37">
        <v>18</v>
      </c>
      <c r="U37">
        <v>4.5999999999999996</v>
      </c>
      <c r="Z37" t="s">
        <v>528</v>
      </c>
      <c r="AC37">
        <v>130</v>
      </c>
      <c r="AE37">
        <v>7</v>
      </c>
      <c r="AF37">
        <v>1.1000000000000001</v>
      </c>
      <c r="AG37">
        <v>4.5999999999999996</v>
      </c>
      <c r="AH37">
        <v>7.6999999999999999E-2</v>
      </c>
      <c r="AJ37">
        <v>1.5</v>
      </c>
      <c r="AL37" t="s">
        <v>519</v>
      </c>
      <c r="AM37">
        <v>12.9</v>
      </c>
      <c r="AN37">
        <v>0.6</v>
      </c>
      <c r="AO37" t="s">
        <v>520</v>
      </c>
      <c r="AU37">
        <v>17</v>
      </c>
      <c r="AW37">
        <v>0.16</v>
      </c>
      <c r="BC37" t="s">
        <v>526</v>
      </c>
      <c r="BD37" t="s">
        <v>384</v>
      </c>
      <c r="BV37">
        <v>450</v>
      </c>
      <c r="FN37">
        <v>0.35</v>
      </c>
      <c r="FO37">
        <v>7</v>
      </c>
      <c r="FP37" t="s">
        <v>527</v>
      </c>
      <c r="GQ37" t="s">
        <v>522</v>
      </c>
    </row>
    <row r="38" spans="1:199" x14ac:dyDescent="0.25">
      <c r="A38" s="13">
        <v>45762</v>
      </c>
      <c r="B38">
        <v>130922297</v>
      </c>
      <c r="C38" t="s">
        <v>648</v>
      </c>
      <c r="D38" t="s">
        <v>655</v>
      </c>
      <c r="E38" t="s">
        <v>598</v>
      </c>
      <c r="F38">
        <v>0</v>
      </c>
      <c r="G38">
        <v>10</v>
      </c>
      <c r="H38" t="s">
        <v>650</v>
      </c>
      <c r="I38" t="s">
        <v>516</v>
      </c>
      <c r="J38" s="13">
        <v>45826</v>
      </c>
      <c r="K38" s="13">
        <v>45828</v>
      </c>
      <c r="L38">
        <v>803939</v>
      </c>
      <c r="M38" s="13">
        <v>45835</v>
      </c>
      <c r="N38" t="s">
        <v>517</v>
      </c>
      <c r="O38">
        <v>6.7</v>
      </c>
      <c r="P38">
        <v>6.1</v>
      </c>
      <c r="Q38">
        <v>0.13</v>
      </c>
      <c r="R38">
        <v>0.8</v>
      </c>
      <c r="S38" t="s">
        <v>518</v>
      </c>
      <c r="T38">
        <v>49</v>
      </c>
      <c r="U38">
        <v>3.8</v>
      </c>
      <c r="Z38">
        <v>61</v>
      </c>
      <c r="AC38">
        <v>37</v>
      </c>
      <c r="AE38">
        <v>6</v>
      </c>
      <c r="AF38">
        <v>0.92</v>
      </c>
      <c r="AG38">
        <v>0.53</v>
      </c>
      <c r="AH38">
        <v>4.3999999999999997E-2</v>
      </c>
      <c r="AJ38">
        <v>11</v>
      </c>
      <c r="AL38" t="s">
        <v>519</v>
      </c>
      <c r="AM38">
        <v>7.52</v>
      </c>
      <c r="AN38">
        <v>0.57999999999999996</v>
      </c>
      <c r="AO38" t="s">
        <v>520</v>
      </c>
      <c r="AU38">
        <v>13</v>
      </c>
      <c r="AW38">
        <v>1.02</v>
      </c>
      <c r="BC38" t="s">
        <v>530</v>
      </c>
      <c r="BD38" t="s">
        <v>384</v>
      </c>
      <c r="BV38">
        <v>360</v>
      </c>
      <c r="FN38">
        <v>1.2</v>
      </c>
      <c r="FO38">
        <v>12</v>
      </c>
      <c r="FP38">
        <v>0.1</v>
      </c>
      <c r="GQ38" t="s">
        <v>522</v>
      </c>
    </row>
    <row r="39" spans="1:199" x14ac:dyDescent="0.25">
      <c r="A39" s="13">
        <v>45762</v>
      </c>
      <c r="B39">
        <v>130922298</v>
      </c>
      <c r="C39" t="s">
        <v>648</v>
      </c>
      <c r="D39" t="s">
        <v>654</v>
      </c>
      <c r="E39" t="s">
        <v>598</v>
      </c>
      <c r="F39">
        <v>60</v>
      </c>
      <c r="G39">
        <v>80</v>
      </c>
      <c r="H39" t="s">
        <v>650</v>
      </c>
      <c r="I39" t="s">
        <v>516</v>
      </c>
      <c r="J39" s="13">
        <v>45826</v>
      </c>
      <c r="K39" s="13">
        <v>45828</v>
      </c>
      <c r="L39">
        <v>803927</v>
      </c>
      <c r="M39" s="13">
        <v>45835</v>
      </c>
      <c r="N39" t="s">
        <v>517</v>
      </c>
      <c r="O39">
        <v>7.1</v>
      </c>
      <c r="P39">
        <v>6.4</v>
      </c>
      <c r="Q39">
        <v>0.08</v>
      </c>
      <c r="R39">
        <v>0.5</v>
      </c>
      <c r="S39" t="s">
        <v>518</v>
      </c>
      <c r="T39">
        <v>12</v>
      </c>
      <c r="U39">
        <v>4</v>
      </c>
      <c r="Z39" t="s">
        <v>528</v>
      </c>
      <c r="AC39">
        <v>120</v>
      </c>
      <c r="AE39">
        <v>6.3</v>
      </c>
      <c r="AF39">
        <v>1</v>
      </c>
      <c r="AG39">
        <v>5.7</v>
      </c>
      <c r="AH39">
        <v>0.12</v>
      </c>
      <c r="AJ39">
        <v>1.1000000000000001</v>
      </c>
      <c r="AL39" t="s">
        <v>519</v>
      </c>
      <c r="AM39">
        <v>13.1</v>
      </c>
      <c r="AN39">
        <v>0.95</v>
      </c>
      <c r="AO39" t="s">
        <v>520</v>
      </c>
      <c r="AU39">
        <v>9.8000000000000007</v>
      </c>
      <c r="AW39" t="s">
        <v>529</v>
      </c>
      <c r="BC39" t="s">
        <v>526</v>
      </c>
      <c r="BD39" t="s">
        <v>384</v>
      </c>
      <c r="BV39">
        <v>400</v>
      </c>
      <c r="FN39">
        <v>0.32</v>
      </c>
      <c r="FO39">
        <v>6.4</v>
      </c>
      <c r="FP39" t="s">
        <v>527</v>
      </c>
      <c r="GQ39" t="s">
        <v>522</v>
      </c>
    </row>
    <row r="40" spans="1:199" x14ac:dyDescent="0.25">
      <c r="A40" s="13">
        <v>45762</v>
      </c>
      <c r="B40">
        <v>130922299</v>
      </c>
      <c r="C40" t="s">
        <v>648</v>
      </c>
      <c r="D40" t="s">
        <v>655</v>
      </c>
      <c r="E40" t="s">
        <v>598</v>
      </c>
      <c r="F40">
        <v>80</v>
      </c>
      <c r="G40">
        <v>100</v>
      </c>
      <c r="H40" t="s">
        <v>650</v>
      </c>
      <c r="I40" t="s">
        <v>516</v>
      </c>
      <c r="J40" s="13">
        <v>45826</v>
      </c>
      <c r="K40" s="13">
        <v>45828</v>
      </c>
      <c r="L40">
        <v>803944</v>
      </c>
      <c r="M40" s="13">
        <v>45835</v>
      </c>
      <c r="N40" t="s">
        <v>517</v>
      </c>
      <c r="O40">
        <v>7.1</v>
      </c>
      <c r="P40">
        <v>6.1</v>
      </c>
      <c r="Q40">
        <v>0.04</v>
      </c>
      <c r="R40">
        <v>0.2</v>
      </c>
      <c r="S40" t="s">
        <v>518</v>
      </c>
      <c r="T40">
        <v>3.6</v>
      </c>
      <c r="U40">
        <v>0.92</v>
      </c>
      <c r="Z40" t="s">
        <v>528</v>
      </c>
      <c r="AC40">
        <v>50</v>
      </c>
      <c r="AE40">
        <v>4.9000000000000004</v>
      </c>
      <c r="AF40">
        <v>0.9</v>
      </c>
      <c r="AG40">
        <v>4.5999999999999996</v>
      </c>
      <c r="AH40">
        <v>0.15</v>
      </c>
      <c r="AJ40">
        <v>1.1000000000000001</v>
      </c>
      <c r="AL40" t="s">
        <v>519</v>
      </c>
      <c r="AM40">
        <v>10.5</v>
      </c>
      <c r="AN40">
        <v>1.4</v>
      </c>
      <c r="AO40" t="s">
        <v>520</v>
      </c>
      <c r="AU40">
        <v>6</v>
      </c>
      <c r="AW40" t="s">
        <v>529</v>
      </c>
      <c r="BC40" t="s">
        <v>530</v>
      </c>
      <c r="BD40" t="s">
        <v>384</v>
      </c>
      <c r="BV40">
        <v>350</v>
      </c>
      <c r="FN40">
        <v>0.18</v>
      </c>
      <c r="FO40">
        <v>3.6</v>
      </c>
      <c r="FP40" t="s">
        <v>527</v>
      </c>
      <c r="GQ40" t="s">
        <v>522</v>
      </c>
    </row>
    <row r="41" spans="1:199" x14ac:dyDescent="0.25">
      <c r="A41" s="13">
        <v>45762</v>
      </c>
      <c r="B41">
        <v>130922300</v>
      </c>
      <c r="C41" t="s">
        <v>648</v>
      </c>
      <c r="D41" t="s">
        <v>657</v>
      </c>
      <c r="E41" t="s">
        <v>598</v>
      </c>
      <c r="F41">
        <v>10</v>
      </c>
      <c r="G41">
        <v>20</v>
      </c>
      <c r="H41" t="s">
        <v>650</v>
      </c>
      <c r="I41" t="s">
        <v>516</v>
      </c>
      <c r="J41" s="13">
        <v>45826</v>
      </c>
      <c r="K41" s="13">
        <v>45828</v>
      </c>
      <c r="L41">
        <v>803918</v>
      </c>
      <c r="M41" s="13">
        <v>45835</v>
      </c>
      <c r="N41" t="s">
        <v>517</v>
      </c>
      <c r="O41">
        <v>5.8</v>
      </c>
      <c r="P41">
        <v>5.0999999999999996</v>
      </c>
      <c r="Q41">
        <v>0.1</v>
      </c>
      <c r="R41">
        <v>0.6</v>
      </c>
      <c r="S41">
        <v>14</v>
      </c>
      <c r="T41">
        <v>21</v>
      </c>
      <c r="U41">
        <v>6.1</v>
      </c>
      <c r="Z41">
        <v>18</v>
      </c>
      <c r="AC41">
        <v>52</v>
      </c>
      <c r="AE41">
        <v>3.9</v>
      </c>
      <c r="AF41">
        <v>0.66</v>
      </c>
      <c r="AG41">
        <v>0.43</v>
      </c>
      <c r="AH41">
        <v>2.1999999999999999E-2</v>
      </c>
      <c r="AJ41">
        <v>9.1</v>
      </c>
      <c r="AL41" t="s">
        <v>519</v>
      </c>
      <c r="AM41">
        <v>5.04</v>
      </c>
      <c r="AN41">
        <v>0.44</v>
      </c>
      <c r="AO41" t="s">
        <v>520</v>
      </c>
      <c r="AU41">
        <v>15</v>
      </c>
      <c r="AW41">
        <v>0.36</v>
      </c>
      <c r="BC41" t="s">
        <v>526</v>
      </c>
      <c r="BD41" t="s">
        <v>384</v>
      </c>
      <c r="BV41">
        <v>260</v>
      </c>
      <c r="FN41">
        <v>0.54</v>
      </c>
      <c r="FO41">
        <v>11</v>
      </c>
      <c r="FP41">
        <v>5.0999999999999997E-2</v>
      </c>
      <c r="GQ41" t="s">
        <v>522</v>
      </c>
    </row>
    <row r="42" spans="1:199" x14ac:dyDescent="0.25">
      <c r="A42" s="13">
        <v>45762</v>
      </c>
      <c r="B42">
        <v>130922301</v>
      </c>
      <c r="C42" t="s">
        <v>648</v>
      </c>
      <c r="D42" t="s">
        <v>649</v>
      </c>
      <c r="E42" t="s">
        <v>598</v>
      </c>
      <c r="F42">
        <v>20</v>
      </c>
      <c r="G42">
        <v>40</v>
      </c>
      <c r="H42" t="s">
        <v>650</v>
      </c>
      <c r="I42" t="s">
        <v>516</v>
      </c>
      <c r="J42" s="13">
        <v>45826</v>
      </c>
      <c r="K42" s="13">
        <v>45828</v>
      </c>
      <c r="L42">
        <v>803955</v>
      </c>
      <c r="M42" s="13">
        <v>45835</v>
      </c>
      <c r="N42" t="s">
        <v>517</v>
      </c>
      <c r="O42">
        <v>5.4</v>
      </c>
      <c r="P42">
        <v>4.8</v>
      </c>
      <c r="Q42">
        <v>0.15</v>
      </c>
      <c r="R42">
        <v>0.9</v>
      </c>
      <c r="S42" t="s">
        <v>518</v>
      </c>
      <c r="T42">
        <v>28</v>
      </c>
      <c r="U42">
        <v>2.5</v>
      </c>
      <c r="Z42">
        <v>7.1</v>
      </c>
      <c r="AC42">
        <v>76</v>
      </c>
      <c r="AE42">
        <v>4.3</v>
      </c>
      <c r="AF42">
        <v>0.98</v>
      </c>
      <c r="AG42">
        <v>1.6</v>
      </c>
      <c r="AH42">
        <v>4.3999999999999997E-2</v>
      </c>
      <c r="AJ42">
        <v>2.7</v>
      </c>
      <c r="AL42">
        <v>0.15</v>
      </c>
      <c r="AM42">
        <v>7.01</v>
      </c>
      <c r="AN42">
        <v>0.62</v>
      </c>
      <c r="AO42">
        <v>2.2000000000000002</v>
      </c>
      <c r="AU42">
        <v>31</v>
      </c>
      <c r="AW42">
        <v>0.22</v>
      </c>
      <c r="BC42" t="s">
        <v>526</v>
      </c>
      <c r="BD42" t="s">
        <v>384</v>
      </c>
      <c r="BV42">
        <v>380</v>
      </c>
      <c r="FN42">
        <v>0.63</v>
      </c>
      <c r="FO42">
        <v>8.1</v>
      </c>
      <c r="FP42">
        <v>7.8E-2</v>
      </c>
      <c r="GQ42">
        <v>14</v>
      </c>
    </row>
    <row r="43" spans="1:199" x14ac:dyDescent="0.25">
      <c r="A43" s="13">
        <v>45762</v>
      </c>
      <c r="B43">
        <v>130922302</v>
      </c>
      <c r="C43" t="s">
        <v>648</v>
      </c>
      <c r="D43" t="s">
        <v>653</v>
      </c>
      <c r="E43" t="s">
        <v>598</v>
      </c>
      <c r="F43">
        <v>160</v>
      </c>
      <c r="G43">
        <v>180</v>
      </c>
      <c r="H43" t="s">
        <v>650</v>
      </c>
      <c r="I43" t="s">
        <v>516</v>
      </c>
      <c r="J43" s="13">
        <v>45826</v>
      </c>
      <c r="K43" s="13">
        <v>45828</v>
      </c>
      <c r="L43">
        <v>803938</v>
      </c>
      <c r="M43" s="13">
        <v>45835</v>
      </c>
      <c r="N43" t="s">
        <v>517</v>
      </c>
      <c r="O43">
        <v>8.6999999999999993</v>
      </c>
      <c r="P43">
        <v>7.6</v>
      </c>
      <c r="Q43">
        <v>0.1</v>
      </c>
      <c r="R43">
        <v>0.6</v>
      </c>
      <c r="S43" t="s">
        <v>518</v>
      </c>
      <c r="T43">
        <v>6.3</v>
      </c>
      <c r="U43">
        <v>4.3</v>
      </c>
      <c r="Z43" t="s">
        <v>528</v>
      </c>
      <c r="AC43">
        <v>57</v>
      </c>
      <c r="AE43">
        <v>8.9</v>
      </c>
      <c r="AF43">
        <v>2</v>
      </c>
      <c r="AG43">
        <v>11</v>
      </c>
      <c r="AH43">
        <v>1.5</v>
      </c>
      <c r="AJ43">
        <v>0.81</v>
      </c>
      <c r="AL43" t="s">
        <v>519</v>
      </c>
      <c r="AM43">
        <v>23.4</v>
      </c>
      <c r="AN43">
        <v>6.6</v>
      </c>
      <c r="AO43" t="s">
        <v>520</v>
      </c>
      <c r="AU43">
        <v>1.9</v>
      </c>
      <c r="AW43" t="s">
        <v>529</v>
      </c>
      <c r="BC43" t="s">
        <v>526</v>
      </c>
      <c r="BD43" t="s">
        <v>384</v>
      </c>
      <c r="BV43">
        <v>780</v>
      </c>
      <c r="FN43">
        <v>0.18</v>
      </c>
      <c r="FO43">
        <v>3.6</v>
      </c>
      <c r="FP43" t="s">
        <v>527</v>
      </c>
      <c r="GQ43" t="s">
        <v>522</v>
      </c>
    </row>
    <row r="44" spans="1:199" x14ac:dyDescent="0.25">
      <c r="A44" s="13">
        <v>45762</v>
      </c>
      <c r="B44">
        <v>130922303</v>
      </c>
      <c r="C44" t="s">
        <v>648</v>
      </c>
      <c r="D44" t="s">
        <v>656</v>
      </c>
      <c r="E44" t="s">
        <v>598</v>
      </c>
      <c r="F44">
        <v>20</v>
      </c>
      <c r="G44">
        <v>40</v>
      </c>
      <c r="H44" t="s">
        <v>650</v>
      </c>
      <c r="I44" t="s">
        <v>516</v>
      </c>
      <c r="J44" s="13">
        <v>45826</v>
      </c>
      <c r="K44" s="13">
        <v>45828</v>
      </c>
      <c r="L44">
        <v>803912</v>
      </c>
      <c r="M44" s="13">
        <v>45835</v>
      </c>
      <c r="N44" t="s">
        <v>517</v>
      </c>
      <c r="O44">
        <v>6.4</v>
      </c>
      <c r="P44">
        <v>5.8</v>
      </c>
      <c r="Q44">
        <v>0.12</v>
      </c>
      <c r="R44">
        <v>0.7</v>
      </c>
      <c r="S44" t="s">
        <v>518</v>
      </c>
      <c r="T44">
        <v>24</v>
      </c>
      <c r="U44">
        <v>2.1</v>
      </c>
      <c r="Z44">
        <v>6.7</v>
      </c>
      <c r="AC44">
        <v>47</v>
      </c>
      <c r="AE44">
        <v>4.8</v>
      </c>
      <c r="AF44">
        <v>0.61</v>
      </c>
      <c r="AG44">
        <v>1.5</v>
      </c>
      <c r="AH44">
        <v>0.04</v>
      </c>
      <c r="AJ44">
        <v>3.2</v>
      </c>
      <c r="AL44" t="s">
        <v>519</v>
      </c>
      <c r="AM44">
        <v>6.91</v>
      </c>
      <c r="AN44">
        <v>0.57999999999999996</v>
      </c>
      <c r="AO44" t="s">
        <v>520</v>
      </c>
      <c r="AU44">
        <v>28</v>
      </c>
      <c r="AW44">
        <v>0.19</v>
      </c>
      <c r="BC44" t="s">
        <v>526</v>
      </c>
      <c r="BD44" t="s">
        <v>384</v>
      </c>
      <c r="BV44">
        <v>240</v>
      </c>
      <c r="FN44">
        <v>0.36</v>
      </c>
      <c r="FO44">
        <v>7.2</v>
      </c>
      <c r="FP44" t="s">
        <v>527</v>
      </c>
      <c r="GQ44" t="s">
        <v>522</v>
      </c>
    </row>
    <row r="45" spans="1:199" x14ac:dyDescent="0.25">
      <c r="A45" s="13">
        <v>45762</v>
      </c>
      <c r="B45">
        <v>130922304</v>
      </c>
      <c r="C45" t="s">
        <v>648</v>
      </c>
      <c r="D45" t="s">
        <v>653</v>
      </c>
      <c r="E45" t="s">
        <v>598</v>
      </c>
      <c r="F45">
        <v>40</v>
      </c>
      <c r="G45">
        <v>60</v>
      </c>
      <c r="H45" t="s">
        <v>650</v>
      </c>
      <c r="I45" t="s">
        <v>516</v>
      </c>
      <c r="J45" s="13">
        <v>45826</v>
      </c>
      <c r="K45" s="13">
        <v>45828</v>
      </c>
      <c r="L45">
        <v>803932</v>
      </c>
      <c r="M45" s="13">
        <v>45835</v>
      </c>
      <c r="N45" t="s">
        <v>517</v>
      </c>
      <c r="O45">
        <v>6.7</v>
      </c>
      <c r="P45">
        <v>5.9</v>
      </c>
      <c r="Q45">
        <v>0.09</v>
      </c>
      <c r="R45">
        <v>0.6</v>
      </c>
      <c r="S45" t="s">
        <v>518</v>
      </c>
      <c r="T45">
        <v>15</v>
      </c>
      <c r="U45">
        <v>1.7</v>
      </c>
      <c r="Z45">
        <v>6.6</v>
      </c>
      <c r="AC45">
        <v>140</v>
      </c>
      <c r="AE45">
        <v>6.2</v>
      </c>
      <c r="AF45">
        <v>1.3</v>
      </c>
      <c r="AG45">
        <v>6.4</v>
      </c>
      <c r="AH45">
        <v>0.17</v>
      </c>
      <c r="AJ45">
        <v>0.97</v>
      </c>
      <c r="AL45" t="s">
        <v>519</v>
      </c>
      <c r="AM45">
        <v>14</v>
      </c>
      <c r="AN45">
        <v>1.2</v>
      </c>
      <c r="AO45" t="s">
        <v>520</v>
      </c>
      <c r="AU45">
        <v>15</v>
      </c>
      <c r="AW45">
        <v>0.15</v>
      </c>
      <c r="BC45" t="s">
        <v>526</v>
      </c>
      <c r="BD45" t="s">
        <v>384</v>
      </c>
      <c r="BV45">
        <v>490</v>
      </c>
      <c r="FN45">
        <v>0.32</v>
      </c>
      <c r="FO45">
        <v>6.4</v>
      </c>
      <c r="FP45" t="s">
        <v>527</v>
      </c>
      <c r="GQ45" t="s">
        <v>522</v>
      </c>
    </row>
    <row r="46" spans="1:199" x14ac:dyDescent="0.25">
      <c r="A46" s="13">
        <v>45762</v>
      </c>
      <c r="B46">
        <v>130922305</v>
      </c>
      <c r="C46" t="s">
        <v>648</v>
      </c>
      <c r="D46" t="s">
        <v>649</v>
      </c>
      <c r="E46" t="s">
        <v>598</v>
      </c>
      <c r="F46">
        <v>10</v>
      </c>
      <c r="G46">
        <v>20</v>
      </c>
      <c r="H46" t="s">
        <v>650</v>
      </c>
      <c r="I46" t="s">
        <v>516</v>
      </c>
      <c r="J46" s="13">
        <v>45826</v>
      </c>
      <c r="K46" s="13">
        <v>45828</v>
      </c>
      <c r="L46">
        <v>803954</v>
      </c>
      <c r="M46" s="13">
        <v>45835</v>
      </c>
      <c r="N46" t="s">
        <v>517</v>
      </c>
      <c r="O46">
        <v>5.2</v>
      </c>
      <c r="P46">
        <v>4.5</v>
      </c>
      <c r="Q46">
        <v>0.11</v>
      </c>
      <c r="R46">
        <v>0.7</v>
      </c>
      <c r="S46" t="s">
        <v>518</v>
      </c>
      <c r="T46">
        <v>40</v>
      </c>
      <c r="U46">
        <v>2.4</v>
      </c>
      <c r="Z46">
        <v>22</v>
      </c>
      <c r="AC46">
        <v>32</v>
      </c>
      <c r="AE46">
        <v>2.8</v>
      </c>
      <c r="AF46">
        <v>0.54</v>
      </c>
      <c r="AG46">
        <v>0.28000000000000003</v>
      </c>
      <c r="AH46">
        <v>3.1E-2</v>
      </c>
      <c r="AJ46">
        <v>10</v>
      </c>
      <c r="AL46">
        <v>0.24</v>
      </c>
      <c r="AM46">
        <v>3.9</v>
      </c>
      <c r="AN46">
        <v>0.79</v>
      </c>
      <c r="AO46">
        <v>6.1</v>
      </c>
      <c r="AU46">
        <v>14</v>
      </c>
      <c r="AW46">
        <v>0.35</v>
      </c>
      <c r="BC46" t="s">
        <v>530</v>
      </c>
      <c r="BD46" t="s">
        <v>384</v>
      </c>
      <c r="BV46">
        <v>210</v>
      </c>
      <c r="FN46">
        <v>0.74</v>
      </c>
      <c r="FO46">
        <v>10</v>
      </c>
      <c r="FP46">
        <v>7.3999999999999996E-2</v>
      </c>
      <c r="GQ46">
        <v>21</v>
      </c>
    </row>
    <row r="47" spans="1:199" x14ac:dyDescent="0.25">
      <c r="A47" s="13">
        <v>45762</v>
      </c>
      <c r="B47">
        <v>130922306</v>
      </c>
      <c r="C47" t="s">
        <v>648</v>
      </c>
      <c r="D47" t="s">
        <v>649</v>
      </c>
      <c r="E47" t="s">
        <v>598</v>
      </c>
      <c r="F47">
        <v>40</v>
      </c>
      <c r="G47">
        <v>60</v>
      </c>
      <c r="H47" t="s">
        <v>650</v>
      </c>
      <c r="I47" t="s">
        <v>516</v>
      </c>
      <c r="J47" s="13">
        <v>45826</v>
      </c>
      <c r="K47" s="13">
        <v>45828</v>
      </c>
      <c r="L47">
        <v>803956</v>
      </c>
      <c r="M47" s="13">
        <v>45835</v>
      </c>
      <c r="N47" t="s">
        <v>517</v>
      </c>
      <c r="O47">
        <v>5.6</v>
      </c>
      <c r="P47">
        <v>5.0999999999999996</v>
      </c>
      <c r="Q47">
        <v>0.14000000000000001</v>
      </c>
      <c r="R47">
        <v>0.9</v>
      </c>
      <c r="S47" t="s">
        <v>518</v>
      </c>
      <c r="T47">
        <v>25</v>
      </c>
      <c r="U47">
        <v>3.6</v>
      </c>
      <c r="Z47" t="s">
        <v>528</v>
      </c>
      <c r="AC47">
        <v>130</v>
      </c>
      <c r="AE47">
        <v>5.2</v>
      </c>
      <c r="AF47">
        <v>1.4</v>
      </c>
      <c r="AG47">
        <v>4.9000000000000004</v>
      </c>
      <c r="AH47">
        <v>9.6000000000000002E-2</v>
      </c>
      <c r="AJ47">
        <v>1.1000000000000001</v>
      </c>
      <c r="AL47" t="s">
        <v>519</v>
      </c>
      <c r="AM47">
        <v>11.6</v>
      </c>
      <c r="AN47">
        <v>0.83</v>
      </c>
      <c r="AO47" t="s">
        <v>520</v>
      </c>
      <c r="AU47">
        <v>35</v>
      </c>
      <c r="AW47">
        <v>0.19</v>
      </c>
      <c r="BC47" t="s">
        <v>526</v>
      </c>
      <c r="BD47" t="s">
        <v>384</v>
      </c>
      <c r="BV47">
        <v>540</v>
      </c>
      <c r="FN47">
        <v>0.57999999999999996</v>
      </c>
      <c r="FO47">
        <v>7.6</v>
      </c>
      <c r="FP47">
        <v>7.5999999999999998E-2</v>
      </c>
      <c r="GQ47" t="s">
        <v>522</v>
      </c>
    </row>
    <row r="48" spans="1:199" x14ac:dyDescent="0.25">
      <c r="A48" s="13">
        <v>45762</v>
      </c>
      <c r="B48">
        <v>130922307</v>
      </c>
      <c r="C48" t="s">
        <v>648</v>
      </c>
      <c r="D48" t="s">
        <v>655</v>
      </c>
      <c r="E48" t="s">
        <v>598</v>
      </c>
      <c r="F48">
        <v>60</v>
      </c>
      <c r="G48">
        <v>80</v>
      </c>
      <c r="H48" t="s">
        <v>650</v>
      </c>
      <c r="I48" t="s">
        <v>516</v>
      </c>
      <c r="J48" s="13">
        <v>45826</v>
      </c>
      <c r="K48" s="13">
        <v>45828</v>
      </c>
      <c r="L48">
        <v>803943</v>
      </c>
      <c r="M48" s="13">
        <v>45835</v>
      </c>
      <c r="N48" t="s">
        <v>517</v>
      </c>
      <c r="O48">
        <v>6.6</v>
      </c>
      <c r="P48">
        <v>5.9</v>
      </c>
      <c r="Q48">
        <v>7.0000000000000007E-2</v>
      </c>
      <c r="R48">
        <v>0.4</v>
      </c>
      <c r="S48" t="s">
        <v>518</v>
      </c>
      <c r="T48">
        <v>8</v>
      </c>
      <c r="U48">
        <v>2</v>
      </c>
      <c r="Z48" t="s">
        <v>528</v>
      </c>
      <c r="AC48">
        <v>59</v>
      </c>
      <c r="AE48">
        <v>4.4000000000000004</v>
      </c>
      <c r="AF48">
        <v>0.69</v>
      </c>
      <c r="AG48">
        <v>3.9</v>
      </c>
      <c r="AH48">
        <v>8.4000000000000005E-2</v>
      </c>
      <c r="AJ48">
        <v>1.1000000000000001</v>
      </c>
      <c r="AL48" t="s">
        <v>519</v>
      </c>
      <c r="AM48">
        <v>9.11</v>
      </c>
      <c r="AN48">
        <v>0.93</v>
      </c>
      <c r="AO48" t="s">
        <v>520</v>
      </c>
      <c r="AU48">
        <v>16</v>
      </c>
      <c r="AW48" t="s">
        <v>529</v>
      </c>
      <c r="BC48" t="s">
        <v>526</v>
      </c>
      <c r="BD48" t="s">
        <v>384</v>
      </c>
      <c r="BV48">
        <v>270</v>
      </c>
      <c r="FN48">
        <v>0.22</v>
      </c>
      <c r="FO48">
        <v>4.4000000000000004</v>
      </c>
      <c r="FP48" t="s">
        <v>527</v>
      </c>
      <c r="GQ48" t="s">
        <v>522</v>
      </c>
    </row>
    <row r="49" spans="1:199" x14ac:dyDescent="0.25">
      <c r="A49" s="13">
        <v>45762</v>
      </c>
      <c r="B49">
        <v>130922308</v>
      </c>
      <c r="C49" t="s">
        <v>648</v>
      </c>
      <c r="D49" t="s">
        <v>653</v>
      </c>
      <c r="E49" t="s">
        <v>598</v>
      </c>
      <c r="F49">
        <v>100</v>
      </c>
      <c r="G49">
        <v>120</v>
      </c>
      <c r="H49" t="s">
        <v>650</v>
      </c>
      <c r="I49" t="s">
        <v>516</v>
      </c>
      <c r="J49" s="13">
        <v>45826</v>
      </c>
      <c r="K49" s="13">
        <v>45828</v>
      </c>
      <c r="L49">
        <v>803935</v>
      </c>
      <c r="M49" s="13">
        <v>45835</v>
      </c>
      <c r="N49" t="s">
        <v>517</v>
      </c>
      <c r="O49">
        <v>8.4</v>
      </c>
      <c r="P49">
        <v>7.1</v>
      </c>
      <c r="Q49">
        <v>0.06</v>
      </c>
      <c r="R49">
        <v>0.4</v>
      </c>
      <c r="S49" t="s">
        <v>518</v>
      </c>
      <c r="T49">
        <v>3.4</v>
      </c>
      <c r="U49">
        <v>1.9</v>
      </c>
      <c r="Z49" t="s">
        <v>528</v>
      </c>
      <c r="AC49">
        <v>77</v>
      </c>
      <c r="AE49">
        <v>8.3000000000000007</v>
      </c>
      <c r="AF49">
        <v>2</v>
      </c>
      <c r="AG49">
        <v>10</v>
      </c>
      <c r="AH49">
        <v>0.96</v>
      </c>
      <c r="AJ49">
        <v>0.83</v>
      </c>
      <c r="AL49" t="s">
        <v>519</v>
      </c>
      <c r="AM49">
        <v>21.7</v>
      </c>
      <c r="AN49">
        <v>4.4000000000000004</v>
      </c>
      <c r="AO49" t="s">
        <v>520</v>
      </c>
      <c r="AU49">
        <v>2.2999999999999998</v>
      </c>
      <c r="AW49" t="s">
        <v>529</v>
      </c>
      <c r="BC49" t="s">
        <v>658</v>
      </c>
      <c r="BD49" t="s">
        <v>384</v>
      </c>
      <c r="BV49">
        <v>780</v>
      </c>
      <c r="FN49">
        <v>0.2</v>
      </c>
      <c r="FO49">
        <v>4</v>
      </c>
      <c r="FP49" t="s">
        <v>527</v>
      </c>
      <c r="GQ49" t="s">
        <v>522</v>
      </c>
    </row>
    <row r="50" spans="1:199" x14ac:dyDescent="0.25">
      <c r="A50" s="13">
        <v>45762</v>
      </c>
      <c r="B50">
        <v>130922309</v>
      </c>
      <c r="C50" t="s">
        <v>648</v>
      </c>
      <c r="D50" t="s">
        <v>653</v>
      </c>
      <c r="E50" t="s">
        <v>598</v>
      </c>
      <c r="F50">
        <v>120</v>
      </c>
      <c r="G50">
        <v>140</v>
      </c>
      <c r="H50" t="s">
        <v>650</v>
      </c>
      <c r="I50" t="s">
        <v>516</v>
      </c>
      <c r="J50" s="13">
        <v>45826</v>
      </c>
      <c r="K50" s="13">
        <v>45828</v>
      </c>
      <c r="L50">
        <v>803936</v>
      </c>
      <c r="M50" s="13">
        <v>45835</v>
      </c>
      <c r="N50" t="s">
        <v>517</v>
      </c>
      <c r="O50">
        <v>8.6</v>
      </c>
      <c r="P50">
        <v>7.7</v>
      </c>
      <c r="Q50">
        <v>0.15</v>
      </c>
      <c r="R50">
        <v>0.9</v>
      </c>
      <c r="S50" t="s">
        <v>518</v>
      </c>
      <c r="T50">
        <v>4.5</v>
      </c>
      <c r="U50">
        <v>3.6</v>
      </c>
      <c r="Z50" t="s">
        <v>528</v>
      </c>
      <c r="AC50">
        <v>70</v>
      </c>
      <c r="AE50">
        <v>9.9</v>
      </c>
      <c r="AF50">
        <v>2</v>
      </c>
      <c r="AG50">
        <v>10</v>
      </c>
      <c r="AH50">
        <v>1.1000000000000001</v>
      </c>
      <c r="AJ50">
        <v>0.99</v>
      </c>
      <c r="AL50" t="s">
        <v>519</v>
      </c>
      <c r="AM50">
        <v>23.4</v>
      </c>
      <c r="AN50">
        <v>4.9000000000000004</v>
      </c>
      <c r="AO50" t="s">
        <v>520</v>
      </c>
      <c r="AU50">
        <v>1.5</v>
      </c>
      <c r="AW50" t="s">
        <v>529</v>
      </c>
      <c r="BC50" t="s">
        <v>526</v>
      </c>
      <c r="BD50" t="s">
        <v>384</v>
      </c>
      <c r="BV50">
        <v>780</v>
      </c>
      <c r="FN50">
        <v>0.2</v>
      </c>
      <c r="FO50">
        <v>4</v>
      </c>
      <c r="FP50" t="s">
        <v>527</v>
      </c>
      <c r="GQ50" t="s">
        <v>522</v>
      </c>
    </row>
    <row r="51" spans="1:199" x14ac:dyDescent="0.25">
      <c r="A51" s="13">
        <v>45762</v>
      </c>
      <c r="B51">
        <v>130922310</v>
      </c>
      <c r="C51" t="s">
        <v>648</v>
      </c>
      <c r="D51" t="s">
        <v>649</v>
      </c>
      <c r="E51" t="s">
        <v>598</v>
      </c>
      <c r="F51">
        <v>80</v>
      </c>
      <c r="G51">
        <v>100</v>
      </c>
      <c r="H51" t="s">
        <v>650</v>
      </c>
      <c r="I51" t="s">
        <v>516</v>
      </c>
      <c r="J51" s="13">
        <v>45826</v>
      </c>
      <c r="K51" s="13">
        <v>45828</v>
      </c>
      <c r="L51">
        <v>803958</v>
      </c>
      <c r="M51" s="13">
        <v>45835</v>
      </c>
      <c r="N51" t="s">
        <v>517</v>
      </c>
      <c r="O51">
        <v>7.1</v>
      </c>
      <c r="P51">
        <v>6</v>
      </c>
      <c r="Q51">
        <v>0.05</v>
      </c>
      <c r="R51">
        <v>0.3</v>
      </c>
      <c r="S51" t="s">
        <v>518</v>
      </c>
      <c r="T51">
        <v>8.8000000000000007</v>
      </c>
      <c r="U51">
        <v>2.2999999999999998</v>
      </c>
      <c r="Z51" t="s">
        <v>528</v>
      </c>
      <c r="AC51">
        <v>72</v>
      </c>
      <c r="AE51">
        <v>5.6</v>
      </c>
      <c r="AF51">
        <v>1.1000000000000001</v>
      </c>
      <c r="AG51">
        <v>5.3</v>
      </c>
      <c r="AH51">
        <v>0.28000000000000003</v>
      </c>
      <c r="AJ51">
        <v>1.1000000000000001</v>
      </c>
      <c r="AL51" t="s">
        <v>519</v>
      </c>
      <c r="AM51">
        <v>12.3</v>
      </c>
      <c r="AN51">
        <v>2.2999999999999998</v>
      </c>
      <c r="AO51" t="s">
        <v>520</v>
      </c>
      <c r="AU51">
        <v>4.0999999999999996</v>
      </c>
      <c r="AW51" t="s">
        <v>529</v>
      </c>
      <c r="BC51" t="s">
        <v>530</v>
      </c>
      <c r="BD51" t="s">
        <v>384</v>
      </c>
      <c r="BV51">
        <v>430</v>
      </c>
      <c r="FN51">
        <v>0.39</v>
      </c>
      <c r="FO51">
        <v>6.5</v>
      </c>
      <c r="FP51">
        <v>0.06</v>
      </c>
      <c r="GQ51" t="s">
        <v>522</v>
      </c>
    </row>
    <row r="52" spans="1:199" x14ac:dyDescent="0.25">
      <c r="A52" s="13">
        <v>45762</v>
      </c>
      <c r="B52">
        <v>130922311</v>
      </c>
      <c r="C52" t="s">
        <v>648</v>
      </c>
      <c r="D52" t="s">
        <v>651</v>
      </c>
      <c r="E52" t="s">
        <v>598</v>
      </c>
      <c r="F52">
        <v>100</v>
      </c>
      <c r="G52">
        <v>120</v>
      </c>
      <c r="H52" t="s">
        <v>650</v>
      </c>
      <c r="I52" t="s">
        <v>516</v>
      </c>
      <c r="J52" s="13">
        <v>45826</v>
      </c>
      <c r="K52" s="13">
        <v>45828</v>
      </c>
      <c r="L52">
        <v>803952</v>
      </c>
      <c r="M52" s="13">
        <v>45835</v>
      </c>
      <c r="N52" t="s">
        <v>517</v>
      </c>
      <c r="O52">
        <v>8</v>
      </c>
      <c r="P52">
        <v>6.7</v>
      </c>
      <c r="Q52">
        <v>0.04</v>
      </c>
      <c r="R52">
        <v>0.2</v>
      </c>
      <c r="S52" t="s">
        <v>518</v>
      </c>
      <c r="T52">
        <v>3.5</v>
      </c>
      <c r="U52">
        <v>2.2000000000000002</v>
      </c>
      <c r="Z52" t="s">
        <v>528</v>
      </c>
      <c r="AC52">
        <v>37</v>
      </c>
      <c r="AE52">
        <v>5.6</v>
      </c>
      <c r="AF52">
        <v>1.4</v>
      </c>
      <c r="AG52">
        <v>6.2</v>
      </c>
      <c r="AH52">
        <v>0.41</v>
      </c>
      <c r="AJ52">
        <v>0.9</v>
      </c>
      <c r="AL52" t="s">
        <v>519</v>
      </c>
      <c r="AM52">
        <v>13.6</v>
      </c>
      <c r="AN52">
        <v>3</v>
      </c>
      <c r="AO52" t="s">
        <v>520</v>
      </c>
      <c r="AU52">
        <v>2.2999999999999998</v>
      </c>
      <c r="AW52" t="s">
        <v>529</v>
      </c>
      <c r="BC52" t="s">
        <v>526</v>
      </c>
      <c r="BD52" t="s">
        <v>384</v>
      </c>
      <c r="BV52">
        <v>540</v>
      </c>
      <c r="FN52">
        <v>0.19</v>
      </c>
      <c r="FO52">
        <v>3.8</v>
      </c>
      <c r="FP52" t="s">
        <v>527</v>
      </c>
      <c r="GQ52" t="s">
        <v>522</v>
      </c>
    </row>
    <row r="53" spans="1:199" x14ac:dyDescent="0.25">
      <c r="A53" s="13">
        <v>45762</v>
      </c>
      <c r="B53">
        <v>130922312</v>
      </c>
      <c r="C53" t="s">
        <v>648</v>
      </c>
      <c r="D53" t="s">
        <v>653</v>
      </c>
      <c r="E53" t="s">
        <v>598</v>
      </c>
      <c r="F53">
        <v>10</v>
      </c>
      <c r="G53">
        <v>20</v>
      </c>
      <c r="H53" t="s">
        <v>650</v>
      </c>
      <c r="I53" t="s">
        <v>516</v>
      </c>
      <c r="J53" s="13">
        <v>45826</v>
      </c>
      <c r="K53" s="13">
        <v>45828</v>
      </c>
      <c r="L53">
        <v>803930</v>
      </c>
      <c r="M53" s="13">
        <v>45835</v>
      </c>
      <c r="N53" t="s">
        <v>517</v>
      </c>
      <c r="O53">
        <v>5.7</v>
      </c>
      <c r="P53">
        <v>4.9000000000000004</v>
      </c>
      <c r="Q53">
        <v>0.08</v>
      </c>
      <c r="R53">
        <v>0.5</v>
      </c>
      <c r="S53" t="s">
        <v>518</v>
      </c>
      <c r="T53">
        <v>23</v>
      </c>
      <c r="U53">
        <v>2.8</v>
      </c>
      <c r="Z53">
        <v>12</v>
      </c>
      <c r="AC53">
        <v>46</v>
      </c>
      <c r="AE53">
        <v>3.4</v>
      </c>
      <c r="AF53">
        <v>0.57999999999999996</v>
      </c>
      <c r="AG53">
        <v>0.49</v>
      </c>
      <c r="AH53" t="s">
        <v>523</v>
      </c>
      <c r="AJ53">
        <v>6.9</v>
      </c>
      <c r="AL53">
        <v>0.1</v>
      </c>
      <c r="AM53">
        <v>4.58</v>
      </c>
      <c r="AN53" t="s">
        <v>520</v>
      </c>
      <c r="AO53">
        <v>2.2000000000000002</v>
      </c>
      <c r="AU53">
        <v>11</v>
      </c>
      <c r="AW53">
        <v>0.27</v>
      </c>
      <c r="BC53" t="s">
        <v>526</v>
      </c>
      <c r="BD53" t="s">
        <v>384</v>
      </c>
      <c r="BV53">
        <v>230</v>
      </c>
      <c r="FN53">
        <v>0.46</v>
      </c>
      <c r="FO53">
        <v>9.1999999999999993</v>
      </c>
      <c r="FP53" t="s">
        <v>527</v>
      </c>
      <c r="GQ53">
        <v>9.1</v>
      </c>
    </row>
    <row r="54" spans="1:199" x14ac:dyDescent="0.25">
      <c r="A54" s="13">
        <v>45762</v>
      </c>
      <c r="B54">
        <v>130922313</v>
      </c>
      <c r="C54" t="s">
        <v>648</v>
      </c>
      <c r="D54" t="s">
        <v>649</v>
      </c>
      <c r="E54" t="s">
        <v>598</v>
      </c>
      <c r="F54">
        <v>100</v>
      </c>
      <c r="G54">
        <v>120</v>
      </c>
      <c r="H54" t="s">
        <v>650</v>
      </c>
      <c r="I54" t="s">
        <v>516</v>
      </c>
      <c r="J54" s="13">
        <v>45826</v>
      </c>
      <c r="K54" s="13">
        <v>45828</v>
      </c>
      <c r="L54">
        <v>803959</v>
      </c>
      <c r="M54" s="13">
        <v>45835</v>
      </c>
      <c r="N54" t="s">
        <v>517</v>
      </c>
      <c r="O54">
        <v>7.9</v>
      </c>
      <c r="P54">
        <v>6.8</v>
      </c>
      <c r="Q54">
        <v>0.05</v>
      </c>
      <c r="R54">
        <v>0.3</v>
      </c>
      <c r="S54" t="s">
        <v>518</v>
      </c>
      <c r="T54">
        <v>6.3</v>
      </c>
      <c r="U54">
        <v>3</v>
      </c>
      <c r="Z54" t="s">
        <v>528</v>
      </c>
      <c r="AC54">
        <v>61</v>
      </c>
      <c r="AE54">
        <v>6.4</v>
      </c>
      <c r="AF54">
        <v>1.3</v>
      </c>
      <c r="AG54">
        <v>5.7</v>
      </c>
      <c r="AH54">
        <v>0.41</v>
      </c>
      <c r="AJ54">
        <v>1.1000000000000001</v>
      </c>
      <c r="AL54" t="s">
        <v>519</v>
      </c>
      <c r="AM54">
        <v>13.8</v>
      </c>
      <c r="AN54">
        <v>3</v>
      </c>
      <c r="AO54" t="s">
        <v>520</v>
      </c>
      <c r="AU54">
        <v>1.1000000000000001</v>
      </c>
      <c r="AW54" t="s">
        <v>529</v>
      </c>
      <c r="BC54" t="s">
        <v>530</v>
      </c>
      <c r="BD54" t="s">
        <v>384</v>
      </c>
      <c r="BV54">
        <v>500</v>
      </c>
      <c r="FN54">
        <v>0.4</v>
      </c>
      <c r="FO54">
        <v>6.2</v>
      </c>
      <c r="FP54">
        <v>6.5000000000000002E-2</v>
      </c>
      <c r="GQ54" t="s">
        <v>522</v>
      </c>
    </row>
    <row r="55" spans="1:199" x14ac:dyDescent="0.25">
      <c r="A55" s="13">
        <v>45762</v>
      </c>
      <c r="B55">
        <v>130922314</v>
      </c>
      <c r="C55" t="s">
        <v>648</v>
      </c>
      <c r="D55" t="s">
        <v>652</v>
      </c>
      <c r="E55" t="s">
        <v>598</v>
      </c>
      <c r="F55">
        <v>80</v>
      </c>
      <c r="G55">
        <v>100</v>
      </c>
      <c r="H55" t="s">
        <v>650</v>
      </c>
      <c r="I55" t="s">
        <v>516</v>
      </c>
      <c r="J55" s="13">
        <v>45826</v>
      </c>
      <c r="K55" s="13">
        <v>45828</v>
      </c>
      <c r="L55">
        <v>803965</v>
      </c>
      <c r="M55" s="13">
        <v>45835</v>
      </c>
      <c r="N55" t="s">
        <v>517</v>
      </c>
      <c r="O55">
        <v>7.5</v>
      </c>
      <c r="P55">
        <v>6.6</v>
      </c>
      <c r="Q55">
        <v>7.0000000000000007E-2</v>
      </c>
      <c r="R55">
        <v>0.4</v>
      </c>
      <c r="S55" t="s">
        <v>518</v>
      </c>
      <c r="T55">
        <v>3.8</v>
      </c>
      <c r="U55">
        <v>3.4</v>
      </c>
      <c r="Z55" t="s">
        <v>528</v>
      </c>
      <c r="AC55">
        <v>120</v>
      </c>
      <c r="AE55">
        <v>8.6999999999999993</v>
      </c>
      <c r="AF55">
        <v>1.7</v>
      </c>
      <c r="AG55">
        <v>8.4</v>
      </c>
      <c r="AH55">
        <v>0.32</v>
      </c>
      <c r="AJ55">
        <v>1</v>
      </c>
      <c r="AL55" t="s">
        <v>519</v>
      </c>
      <c r="AM55">
        <v>19</v>
      </c>
      <c r="AN55">
        <v>1.7</v>
      </c>
      <c r="AO55" t="s">
        <v>520</v>
      </c>
      <c r="AU55">
        <v>8</v>
      </c>
      <c r="AW55" t="s">
        <v>529</v>
      </c>
      <c r="BC55" t="s">
        <v>530</v>
      </c>
      <c r="BD55" t="s">
        <v>384</v>
      </c>
      <c r="BV55">
        <v>650</v>
      </c>
      <c r="FN55">
        <v>0.28999999999999998</v>
      </c>
      <c r="FO55">
        <v>4.2</v>
      </c>
      <c r="FP55">
        <v>6.9000000000000006E-2</v>
      </c>
      <c r="GQ55" t="s">
        <v>522</v>
      </c>
    </row>
    <row r="56" spans="1:199" x14ac:dyDescent="0.25">
      <c r="A56" s="13">
        <v>45762</v>
      </c>
      <c r="B56">
        <v>130922315</v>
      </c>
      <c r="C56" t="s">
        <v>648</v>
      </c>
      <c r="D56" t="s">
        <v>652</v>
      </c>
      <c r="E56" t="s">
        <v>598</v>
      </c>
      <c r="F56">
        <v>40</v>
      </c>
      <c r="G56">
        <v>60</v>
      </c>
      <c r="H56" t="s">
        <v>650</v>
      </c>
      <c r="I56" t="s">
        <v>516</v>
      </c>
      <c r="J56" s="13">
        <v>45826</v>
      </c>
      <c r="K56" s="13">
        <v>45828</v>
      </c>
      <c r="L56">
        <v>803963</v>
      </c>
      <c r="M56" s="13">
        <v>45835</v>
      </c>
      <c r="N56" t="s">
        <v>517</v>
      </c>
      <c r="O56">
        <v>7</v>
      </c>
      <c r="P56">
        <v>6.2</v>
      </c>
      <c r="Q56">
        <v>0.08</v>
      </c>
      <c r="R56">
        <v>0.5</v>
      </c>
      <c r="S56" t="s">
        <v>518</v>
      </c>
      <c r="T56">
        <v>8.1</v>
      </c>
      <c r="U56">
        <v>1.4</v>
      </c>
      <c r="Z56" t="s">
        <v>528</v>
      </c>
      <c r="AC56">
        <v>86</v>
      </c>
      <c r="AE56">
        <v>5.6</v>
      </c>
      <c r="AF56">
        <v>0.98</v>
      </c>
      <c r="AG56">
        <v>3.5</v>
      </c>
      <c r="AH56">
        <v>7.4999999999999997E-2</v>
      </c>
      <c r="AJ56">
        <v>1.6</v>
      </c>
      <c r="AL56" t="s">
        <v>519</v>
      </c>
      <c r="AM56">
        <v>10.199999999999999</v>
      </c>
      <c r="AN56">
        <v>0.73</v>
      </c>
      <c r="AO56" t="s">
        <v>520</v>
      </c>
      <c r="AU56">
        <v>17</v>
      </c>
      <c r="AW56" t="s">
        <v>529</v>
      </c>
      <c r="BC56" t="s">
        <v>530</v>
      </c>
      <c r="BD56" t="s">
        <v>384</v>
      </c>
      <c r="BV56">
        <v>380</v>
      </c>
      <c r="FN56">
        <v>0.49</v>
      </c>
      <c r="FO56">
        <v>7.1</v>
      </c>
      <c r="FP56">
        <v>6.9000000000000006E-2</v>
      </c>
      <c r="GQ56" t="s">
        <v>522</v>
      </c>
    </row>
    <row r="57" spans="1:199" x14ac:dyDescent="0.25">
      <c r="A57" s="13">
        <v>45762</v>
      </c>
      <c r="B57">
        <v>130922316</v>
      </c>
      <c r="C57" t="s">
        <v>648</v>
      </c>
      <c r="D57" t="s">
        <v>652</v>
      </c>
      <c r="E57" t="s">
        <v>598</v>
      </c>
      <c r="F57">
        <v>100</v>
      </c>
      <c r="G57">
        <v>120</v>
      </c>
      <c r="H57" t="s">
        <v>650</v>
      </c>
      <c r="I57" t="s">
        <v>516</v>
      </c>
      <c r="J57" s="13">
        <v>45826</v>
      </c>
      <c r="K57" s="13">
        <v>45828</v>
      </c>
      <c r="L57">
        <v>803966</v>
      </c>
      <c r="M57" s="13">
        <v>45835</v>
      </c>
      <c r="N57" t="s">
        <v>517</v>
      </c>
      <c r="O57">
        <v>8.1</v>
      </c>
      <c r="P57">
        <v>7</v>
      </c>
      <c r="Q57">
        <v>0.06</v>
      </c>
      <c r="R57">
        <v>0.4</v>
      </c>
      <c r="S57" t="s">
        <v>518</v>
      </c>
      <c r="T57">
        <v>2.9</v>
      </c>
      <c r="U57">
        <v>3.6</v>
      </c>
      <c r="Z57" t="s">
        <v>528</v>
      </c>
      <c r="AC57">
        <v>65</v>
      </c>
      <c r="AE57">
        <v>8.9</v>
      </c>
      <c r="AF57">
        <v>1.8</v>
      </c>
      <c r="AG57">
        <v>8.8000000000000007</v>
      </c>
      <c r="AH57">
        <v>0.45</v>
      </c>
      <c r="AJ57">
        <v>1</v>
      </c>
      <c r="AL57" t="s">
        <v>519</v>
      </c>
      <c r="AM57">
        <v>20</v>
      </c>
      <c r="AN57">
        <v>2.2000000000000002</v>
      </c>
      <c r="AO57" t="s">
        <v>520</v>
      </c>
      <c r="AU57">
        <v>5</v>
      </c>
      <c r="AW57" t="s">
        <v>529</v>
      </c>
      <c r="BC57" t="s">
        <v>530</v>
      </c>
      <c r="BD57" t="s">
        <v>384</v>
      </c>
      <c r="BV57">
        <v>710</v>
      </c>
      <c r="FN57">
        <v>0.27</v>
      </c>
      <c r="FO57">
        <v>3.9</v>
      </c>
      <c r="FP57">
        <v>7.0000000000000007E-2</v>
      </c>
      <c r="GQ57" t="s">
        <v>522</v>
      </c>
    </row>
    <row r="58" spans="1:199" x14ac:dyDescent="0.25">
      <c r="A58" s="13">
        <v>45762</v>
      </c>
      <c r="B58">
        <v>130922317</v>
      </c>
      <c r="C58" t="s">
        <v>648</v>
      </c>
      <c r="D58" t="s">
        <v>652</v>
      </c>
      <c r="E58" t="s">
        <v>598</v>
      </c>
      <c r="F58">
        <v>60</v>
      </c>
      <c r="G58">
        <v>80</v>
      </c>
      <c r="H58" t="s">
        <v>650</v>
      </c>
      <c r="I58" t="s">
        <v>516</v>
      </c>
      <c r="J58" s="13">
        <v>45826</v>
      </c>
      <c r="K58" s="13">
        <v>45828</v>
      </c>
      <c r="L58">
        <v>803964</v>
      </c>
      <c r="M58" s="13">
        <v>45835</v>
      </c>
      <c r="N58" t="s">
        <v>517</v>
      </c>
      <c r="O58">
        <v>7.2</v>
      </c>
      <c r="P58">
        <v>6.4</v>
      </c>
      <c r="Q58">
        <v>0.09</v>
      </c>
      <c r="R58">
        <v>0.6</v>
      </c>
      <c r="S58" t="s">
        <v>518</v>
      </c>
      <c r="T58">
        <v>6.6</v>
      </c>
      <c r="U58">
        <v>5.4</v>
      </c>
      <c r="Z58" t="s">
        <v>528</v>
      </c>
      <c r="AC58">
        <v>130</v>
      </c>
      <c r="AE58">
        <v>7.3</v>
      </c>
      <c r="AF58">
        <v>1.4</v>
      </c>
      <c r="AG58">
        <v>6.5</v>
      </c>
      <c r="AH58">
        <v>0.17</v>
      </c>
      <c r="AJ58">
        <v>1.1000000000000001</v>
      </c>
      <c r="AL58" t="s">
        <v>519</v>
      </c>
      <c r="AM58">
        <v>15.4</v>
      </c>
      <c r="AN58">
        <v>1.1000000000000001</v>
      </c>
      <c r="AO58" t="s">
        <v>520</v>
      </c>
      <c r="AU58">
        <v>15</v>
      </c>
      <c r="AW58" t="s">
        <v>529</v>
      </c>
      <c r="BC58" t="s">
        <v>530</v>
      </c>
      <c r="BD58" t="s">
        <v>384</v>
      </c>
      <c r="BV58">
        <v>550</v>
      </c>
      <c r="FN58">
        <v>0.41</v>
      </c>
      <c r="FO58">
        <v>6</v>
      </c>
      <c r="FP58">
        <v>6.8000000000000005E-2</v>
      </c>
      <c r="GQ58" t="s">
        <v>522</v>
      </c>
    </row>
    <row r="59" spans="1:199" x14ac:dyDescent="0.25">
      <c r="A59" s="13">
        <v>45762</v>
      </c>
      <c r="B59">
        <v>130922318</v>
      </c>
      <c r="C59" t="s">
        <v>648</v>
      </c>
      <c r="D59" t="s">
        <v>652</v>
      </c>
      <c r="E59" t="s">
        <v>598</v>
      </c>
      <c r="F59">
        <v>0</v>
      </c>
      <c r="G59">
        <v>10</v>
      </c>
      <c r="H59" t="s">
        <v>650</v>
      </c>
      <c r="I59" t="s">
        <v>516</v>
      </c>
      <c r="J59" s="13">
        <v>45826</v>
      </c>
      <c r="K59" s="13">
        <v>45828</v>
      </c>
      <c r="L59">
        <v>803960</v>
      </c>
      <c r="M59" s="13">
        <v>45835</v>
      </c>
      <c r="N59" t="s">
        <v>517</v>
      </c>
      <c r="O59">
        <v>6.9</v>
      </c>
      <c r="P59">
        <v>6.3</v>
      </c>
      <c r="Q59">
        <v>0.13</v>
      </c>
      <c r="R59">
        <v>0.8</v>
      </c>
      <c r="S59" t="s">
        <v>518</v>
      </c>
      <c r="T59">
        <v>37</v>
      </c>
      <c r="U59">
        <v>3.1</v>
      </c>
      <c r="Z59">
        <v>66</v>
      </c>
      <c r="AC59">
        <v>47</v>
      </c>
      <c r="AE59">
        <v>7.1</v>
      </c>
      <c r="AF59">
        <v>0.97</v>
      </c>
      <c r="AG59">
        <v>0.53</v>
      </c>
      <c r="AH59">
        <v>7.0999999999999994E-2</v>
      </c>
      <c r="AJ59">
        <v>13</v>
      </c>
      <c r="AL59" t="s">
        <v>519</v>
      </c>
      <c r="AM59">
        <v>8.7100000000000009</v>
      </c>
      <c r="AN59">
        <v>0.81</v>
      </c>
      <c r="AO59" t="s">
        <v>520</v>
      </c>
      <c r="AU59">
        <v>12</v>
      </c>
      <c r="AW59">
        <v>0.97</v>
      </c>
      <c r="BC59" t="s">
        <v>525</v>
      </c>
      <c r="BD59" t="s">
        <v>384</v>
      </c>
      <c r="BV59">
        <v>380</v>
      </c>
      <c r="FN59">
        <v>1.4</v>
      </c>
      <c r="FO59">
        <v>11</v>
      </c>
      <c r="FP59">
        <v>0.13</v>
      </c>
      <c r="GQ59" t="s">
        <v>522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9EED-3935-4F70-8670-A2C06584A7A7}">
  <sheetPr>
    <tabColor rgb="FF92D050"/>
  </sheetPr>
  <dimension ref="A1:IV95"/>
  <sheetViews>
    <sheetView workbookViewId="0">
      <selection sqref="A1:C1"/>
    </sheetView>
  </sheetViews>
  <sheetFormatPr defaultColWidth="9" defaultRowHeight="15" x14ac:dyDescent="0.25"/>
  <cols>
    <col min="1" max="1" width="15.7109375" style="68" customWidth="1"/>
    <col min="2" max="2" width="24.42578125" style="68" customWidth="1"/>
    <col min="3" max="3" width="11.85546875" style="68" customWidth="1"/>
    <col min="4" max="4" width="18" style="67" customWidth="1"/>
    <col min="5" max="5" width="10.7109375" style="67" customWidth="1"/>
    <col min="6" max="6" width="11.28515625" style="67" customWidth="1"/>
    <col min="7" max="56" width="22.7109375" style="67" customWidth="1"/>
    <col min="57" max="71" width="10" style="67" customWidth="1"/>
    <col min="72" max="218" width="23.7109375" style="67" customWidth="1"/>
    <col min="219" max="228" width="23.7109375" style="16" customWidth="1"/>
    <col min="229" max="256" width="9" style="16"/>
    <col min="257" max="257" width="15.7109375" style="16" customWidth="1"/>
    <col min="258" max="258" width="24.42578125" style="16" customWidth="1"/>
    <col min="259" max="259" width="11.85546875" style="16" customWidth="1"/>
    <col min="260" max="260" width="18" style="16" customWidth="1"/>
    <col min="261" max="261" width="10.7109375" style="16" customWidth="1"/>
    <col min="262" max="262" width="11.28515625" style="16" customWidth="1"/>
    <col min="263" max="312" width="22.7109375" style="16" customWidth="1"/>
    <col min="313" max="327" width="10" style="16" customWidth="1"/>
    <col min="328" max="484" width="23.7109375" style="16" customWidth="1"/>
    <col min="485" max="512" width="9" style="16"/>
    <col min="513" max="513" width="15.7109375" style="16" customWidth="1"/>
    <col min="514" max="514" width="24.42578125" style="16" customWidth="1"/>
    <col min="515" max="515" width="11.85546875" style="16" customWidth="1"/>
    <col min="516" max="516" width="18" style="16" customWidth="1"/>
    <col min="517" max="517" width="10.7109375" style="16" customWidth="1"/>
    <col min="518" max="518" width="11.28515625" style="16" customWidth="1"/>
    <col min="519" max="568" width="22.7109375" style="16" customWidth="1"/>
    <col min="569" max="583" width="10" style="16" customWidth="1"/>
    <col min="584" max="740" width="23.7109375" style="16" customWidth="1"/>
    <col min="741" max="768" width="9" style="16"/>
    <col min="769" max="769" width="15.7109375" style="16" customWidth="1"/>
    <col min="770" max="770" width="24.42578125" style="16" customWidth="1"/>
    <col min="771" max="771" width="11.85546875" style="16" customWidth="1"/>
    <col min="772" max="772" width="18" style="16" customWidth="1"/>
    <col min="773" max="773" width="10.7109375" style="16" customWidth="1"/>
    <col min="774" max="774" width="11.28515625" style="16" customWidth="1"/>
    <col min="775" max="824" width="22.7109375" style="16" customWidth="1"/>
    <col min="825" max="839" width="10" style="16" customWidth="1"/>
    <col min="840" max="996" width="23.7109375" style="16" customWidth="1"/>
    <col min="997" max="1024" width="9" style="16"/>
    <col min="1025" max="1025" width="15.7109375" style="16" customWidth="1"/>
    <col min="1026" max="1026" width="24.42578125" style="16" customWidth="1"/>
    <col min="1027" max="1027" width="11.85546875" style="16" customWidth="1"/>
    <col min="1028" max="1028" width="18" style="16" customWidth="1"/>
    <col min="1029" max="1029" width="10.7109375" style="16" customWidth="1"/>
    <col min="1030" max="1030" width="11.28515625" style="16" customWidth="1"/>
    <col min="1031" max="1080" width="22.7109375" style="16" customWidth="1"/>
    <col min="1081" max="1095" width="10" style="16" customWidth="1"/>
    <col min="1096" max="1252" width="23.7109375" style="16" customWidth="1"/>
    <col min="1253" max="1280" width="9" style="16"/>
    <col min="1281" max="1281" width="15.7109375" style="16" customWidth="1"/>
    <col min="1282" max="1282" width="24.42578125" style="16" customWidth="1"/>
    <col min="1283" max="1283" width="11.85546875" style="16" customWidth="1"/>
    <col min="1284" max="1284" width="18" style="16" customWidth="1"/>
    <col min="1285" max="1285" width="10.7109375" style="16" customWidth="1"/>
    <col min="1286" max="1286" width="11.28515625" style="16" customWidth="1"/>
    <col min="1287" max="1336" width="22.7109375" style="16" customWidth="1"/>
    <col min="1337" max="1351" width="10" style="16" customWidth="1"/>
    <col min="1352" max="1508" width="23.7109375" style="16" customWidth="1"/>
    <col min="1509" max="1536" width="9" style="16"/>
    <col min="1537" max="1537" width="15.7109375" style="16" customWidth="1"/>
    <col min="1538" max="1538" width="24.42578125" style="16" customWidth="1"/>
    <col min="1539" max="1539" width="11.85546875" style="16" customWidth="1"/>
    <col min="1540" max="1540" width="18" style="16" customWidth="1"/>
    <col min="1541" max="1541" width="10.7109375" style="16" customWidth="1"/>
    <col min="1542" max="1542" width="11.28515625" style="16" customWidth="1"/>
    <col min="1543" max="1592" width="22.7109375" style="16" customWidth="1"/>
    <col min="1593" max="1607" width="10" style="16" customWidth="1"/>
    <col min="1608" max="1764" width="23.7109375" style="16" customWidth="1"/>
    <col min="1765" max="1792" width="9" style="16"/>
    <col min="1793" max="1793" width="15.7109375" style="16" customWidth="1"/>
    <col min="1794" max="1794" width="24.42578125" style="16" customWidth="1"/>
    <col min="1795" max="1795" width="11.85546875" style="16" customWidth="1"/>
    <col min="1796" max="1796" width="18" style="16" customWidth="1"/>
    <col min="1797" max="1797" width="10.7109375" style="16" customWidth="1"/>
    <col min="1798" max="1798" width="11.28515625" style="16" customWidth="1"/>
    <col min="1799" max="1848" width="22.7109375" style="16" customWidth="1"/>
    <col min="1849" max="1863" width="10" style="16" customWidth="1"/>
    <col min="1864" max="2020" width="23.7109375" style="16" customWidth="1"/>
    <col min="2021" max="2048" width="9" style="16"/>
    <col min="2049" max="2049" width="15.7109375" style="16" customWidth="1"/>
    <col min="2050" max="2050" width="24.42578125" style="16" customWidth="1"/>
    <col min="2051" max="2051" width="11.85546875" style="16" customWidth="1"/>
    <col min="2052" max="2052" width="18" style="16" customWidth="1"/>
    <col min="2053" max="2053" width="10.7109375" style="16" customWidth="1"/>
    <col min="2054" max="2054" width="11.28515625" style="16" customWidth="1"/>
    <col min="2055" max="2104" width="22.7109375" style="16" customWidth="1"/>
    <col min="2105" max="2119" width="10" style="16" customWidth="1"/>
    <col min="2120" max="2276" width="23.7109375" style="16" customWidth="1"/>
    <col min="2277" max="2304" width="9" style="16"/>
    <col min="2305" max="2305" width="15.7109375" style="16" customWidth="1"/>
    <col min="2306" max="2306" width="24.42578125" style="16" customWidth="1"/>
    <col min="2307" max="2307" width="11.85546875" style="16" customWidth="1"/>
    <col min="2308" max="2308" width="18" style="16" customWidth="1"/>
    <col min="2309" max="2309" width="10.7109375" style="16" customWidth="1"/>
    <col min="2310" max="2310" width="11.28515625" style="16" customWidth="1"/>
    <col min="2311" max="2360" width="22.7109375" style="16" customWidth="1"/>
    <col min="2361" max="2375" width="10" style="16" customWidth="1"/>
    <col min="2376" max="2532" width="23.7109375" style="16" customWidth="1"/>
    <col min="2533" max="2560" width="9" style="16"/>
    <col min="2561" max="2561" width="15.7109375" style="16" customWidth="1"/>
    <col min="2562" max="2562" width="24.42578125" style="16" customWidth="1"/>
    <col min="2563" max="2563" width="11.85546875" style="16" customWidth="1"/>
    <col min="2564" max="2564" width="18" style="16" customWidth="1"/>
    <col min="2565" max="2565" width="10.7109375" style="16" customWidth="1"/>
    <col min="2566" max="2566" width="11.28515625" style="16" customWidth="1"/>
    <col min="2567" max="2616" width="22.7109375" style="16" customWidth="1"/>
    <col min="2617" max="2631" width="10" style="16" customWidth="1"/>
    <col min="2632" max="2788" width="23.7109375" style="16" customWidth="1"/>
    <col min="2789" max="2816" width="9" style="16"/>
    <col min="2817" max="2817" width="15.7109375" style="16" customWidth="1"/>
    <col min="2818" max="2818" width="24.42578125" style="16" customWidth="1"/>
    <col min="2819" max="2819" width="11.85546875" style="16" customWidth="1"/>
    <col min="2820" max="2820" width="18" style="16" customWidth="1"/>
    <col min="2821" max="2821" width="10.7109375" style="16" customWidth="1"/>
    <col min="2822" max="2822" width="11.28515625" style="16" customWidth="1"/>
    <col min="2823" max="2872" width="22.7109375" style="16" customWidth="1"/>
    <col min="2873" max="2887" width="10" style="16" customWidth="1"/>
    <col min="2888" max="3044" width="23.7109375" style="16" customWidth="1"/>
    <col min="3045" max="3072" width="9" style="16"/>
    <col min="3073" max="3073" width="15.7109375" style="16" customWidth="1"/>
    <col min="3074" max="3074" width="24.42578125" style="16" customWidth="1"/>
    <col min="3075" max="3075" width="11.85546875" style="16" customWidth="1"/>
    <col min="3076" max="3076" width="18" style="16" customWidth="1"/>
    <col min="3077" max="3077" width="10.7109375" style="16" customWidth="1"/>
    <col min="3078" max="3078" width="11.28515625" style="16" customWidth="1"/>
    <col min="3079" max="3128" width="22.7109375" style="16" customWidth="1"/>
    <col min="3129" max="3143" width="10" style="16" customWidth="1"/>
    <col min="3144" max="3300" width="23.7109375" style="16" customWidth="1"/>
    <col min="3301" max="3328" width="9" style="16"/>
    <col min="3329" max="3329" width="15.7109375" style="16" customWidth="1"/>
    <col min="3330" max="3330" width="24.42578125" style="16" customWidth="1"/>
    <col min="3331" max="3331" width="11.85546875" style="16" customWidth="1"/>
    <col min="3332" max="3332" width="18" style="16" customWidth="1"/>
    <col min="3333" max="3333" width="10.7109375" style="16" customWidth="1"/>
    <col min="3334" max="3334" width="11.28515625" style="16" customWidth="1"/>
    <col min="3335" max="3384" width="22.7109375" style="16" customWidth="1"/>
    <col min="3385" max="3399" width="10" style="16" customWidth="1"/>
    <col min="3400" max="3556" width="23.7109375" style="16" customWidth="1"/>
    <col min="3557" max="3584" width="9" style="16"/>
    <col min="3585" max="3585" width="15.7109375" style="16" customWidth="1"/>
    <col min="3586" max="3586" width="24.42578125" style="16" customWidth="1"/>
    <col min="3587" max="3587" width="11.85546875" style="16" customWidth="1"/>
    <col min="3588" max="3588" width="18" style="16" customWidth="1"/>
    <col min="3589" max="3589" width="10.7109375" style="16" customWidth="1"/>
    <col min="3590" max="3590" width="11.28515625" style="16" customWidth="1"/>
    <col min="3591" max="3640" width="22.7109375" style="16" customWidth="1"/>
    <col min="3641" max="3655" width="10" style="16" customWidth="1"/>
    <col min="3656" max="3812" width="23.7109375" style="16" customWidth="1"/>
    <col min="3813" max="3840" width="9" style="16"/>
    <col min="3841" max="3841" width="15.7109375" style="16" customWidth="1"/>
    <col min="3842" max="3842" width="24.42578125" style="16" customWidth="1"/>
    <col min="3843" max="3843" width="11.85546875" style="16" customWidth="1"/>
    <col min="3844" max="3844" width="18" style="16" customWidth="1"/>
    <col min="3845" max="3845" width="10.7109375" style="16" customWidth="1"/>
    <col min="3846" max="3846" width="11.28515625" style="16" customWidth="1"/>
    <col min="3847" max="3896" width="22.7109375" style="16" customWidth="1"/>
    <col min="3897" max="3911" width="10" style="16" customWidth="1"/>
    <col min="3912" max="4068" width="23.7109375" style="16" customWidth="1"/>
    <col min="4069" max="4096" width="9" style="16"/>
    <col min="4097" max="4097" width="15.7109375" style="16" customWidth="1"/>
    <col min="4098" max="4098" width="24.42578125" style="16" customWidth="1"/>
    <col min="4099" max="4099" width="11.85546875" style="16" customWidth="1"/>
    <col min="4100" max="4100" width="18" style="16" customWidth="1"/>
    <col min="4101" max="4101" width="10.7109375" style="16" customWidth="1"/>
    <col min="4102" max="4102" width="11.28515625" style="16" customWidth="1"/>
    <col min="4103" max="4152" width="22.7109375" style="16" customWidth="1"/>
    <col min="4153" max="4167" width="10" style="16" customWidth="1"/>
    <col min="4168" max="4324" width="23.7109375" style="16" customWidth="1"/>
    <col min="4325" max="4352" width="9" style="16"/>
    <col min="4353" max="4353" width="15.7109375" style="16" customWidth="1"/>
    <col min="4354" max="4354" width="24.42578125" style="16" customWidth="1"/>
    <col min="4355" max="4355" width="11.85546875" style="16" customWidth="1"/>
    <col min="4356" max="4356" width="18" style="16" customWidth="1"/>
    <col min="4357" max="4357" width="10.7109375" style="16" customWidth="1"/>
    <col min="4358" max="4358" width="11.28515625" style="16" customWidth="1"/>
    <col min="4359" max="4408" width="22.7109375" style="16" customWidth="1"/>
    <col min="4409" max="4423" width="10" style="16" customWidth="1"/>
    <col min="4424" max="4580" width="23.7109375" style="16" customWidth="1"/>
    <col min="4581" max="4608" width="9" style="16"/>
    <col min="4609" max="4609" width="15.7109375" style="16" customWidth="1"/>
    <col min="4610" max="4610" width="24.42578125" style="16" customWidth="1"/>
    <col min="4611" max="4611" width="11.85546875" style="16" customWidth="1"/>
    <col min="4612" max="4612" width="18" style="16" customWidth="1"/>
    <col min="4613" max="4613" width="10.7109375" style="16" customWidth="1"/>
    <col min="4614" max="4614" width="11.28515625" style="16" customWidth="1"/>
    <col min="4615" max="4664" width="22.7109375" style="16" customWidth="1"/>
    <col min="4665" max="4679" width="10" style="16" customWidth="1"/>
    <col min="4680" max="4836" width="23.7109375" style="16" customWidth="1"/>
    <col min="4837" max="4864" width="9" style="16"/>
    <col min="4865" max="4865" width="15.7109375" style="16" customWidth="1"/>
    <col min="4866" max="4866" width="24.42578125" style="16" customWidth="1"/>
    <col min="4867" max="4867" width="11.85546875" style="16" customWidth="1"/>
    <col min="4868" max="4868" width="18" style="16" customWidth="1"/>
    <col min="4869" max="4869" width="10.7109375" style="16" customWidth="1"/>
    <col min="4870" max="4870" width="11.28515625" style="16" customWidth="1"/>
    <col min="4871" max="4920" width="22.7109375" style="16" customWidth="1"/>
    <col min="4921" max="4935" width="10" style="16" customWidth="1"/>
    <col min="4936" max="5092" width="23.7109375" style="16" customWidth="1"/>
    <col min="5093" max="5120" width="9" style="16"/>
    <col min="5121" max="5121" width="15.7109375" style="16" customWidth="1"/>
    <col min="5122" max="5122" width="24.42578125" style="16" customWidth="1"/>
    <col min="5123" max="5123" width="11.85546875" style="16" customWidth="1"/>
    <col min="5124" max="5124" width="18" style="16" customWidth="1"/>
    <col min="5125" max="5125" width="10.7109375" style="16" customWidth="1"/>
    <col min="5126" max="5126" width="11.28515625" style="16" customWidth="1"/>
    <col min="5127" max="5176" width="22.7109375" style="16" customWidth="1"/>
    <col min="5177" max="5191" width="10" style="16" customWidth="1"/>
    <col min="5192" max="5348" width="23.7109375" style="16" customWidth="1"/>
    <col min="5349" max="5376" width="9" style="16"/>
    <col min="5377" max="5377" width="15.7109375" style="16" customWidth="1"/>
    <col min="5378" max="5378" width="24.42578125" style="16" customWidth="1"/>
    <col min="5379" max="5379" width="11.85546875" style="16" customWidth="1"/>
    <col min="5380" max="5380" width="18" style="16" customWidth="1"/>
    <col min="5381" max="5381" width="10.7109375" style="16" customWidth="1"/>
    <col min="5382" max="5382" width="11.28515625" style="16" customWidth="1"/>
    <col min="5383" max="5432" width="22.7109375" style="16" customWidth="1"/>
    <col min="5433" max="5447" width="10" style="16" customWidth="1"/>
    <col min="5448" max="5604" width="23.7109375" style="16" customWidth="1"/>
    <col min="5605" max="5632" width="9" style="16"/>
    <col min="5633" max="5633" width="15.7109375" style="16" customWidth="1"/>
    <col min="5634" max="5634" width="24.42578125" style="16" customWidth="1"/>
    <col min="5635" max="5635" width="11.85546875" style="16" customWidth="1"/>
    <col min="5636" max="5636" width="18" style="16" customWidth="1"/>
    <col min="5637" max="5637" width="10.7109375" style="16" customWidth="1"/>
    <col min="5638" max="5638" width="11.28515625" style="16" customWidth="1"/>
    <col min="5639" max="5688" width="22.7109375" style="16" customWidth="1"/>
    <col min="5689" max="5703" width="10" style="16" customWidth="1"/>
    <col min="5704" max="5860" width="23.7109375" style="16" customWidth="1"/>
    <col min="5861" max="5888" width="9" style="16"/>
    <col min="5889" max="5889" width="15.7109375" style="16" customWidth="1"/>
    <col min="5890" max="5890" width="24.42578125" style="16" customWidth="1"/>
    <col min="5891" max="5891" width="11.85546875" style="16" customWidth="1"/>
    <col min="5892" max="5892" width="18" style="16" customWidth="1"/>
    <col min="5893" max="5893" width="10.7109375" style="16" customWidth="1"/>
    <col min="5894" max="5894" width="11.28515625" style="16" customWidth="1"/>
    <col min="5895" max="5944" width="22.7109375" style="16" customWidth="1"/>
    <col min="5945" max="5959" width="10" style="16" customWidth="1"/>
    <col min="5960" max="6116" width="23.7109375" style="16" customWidth="1"/>
    <col min="6117" max="6144" width="9" style="16"/>
    <col min="6145" max="6145" width="15.7109375" style="16" customWidth="1"/>
    <col min="6146" max="6146" width="24.42578125" style="16" customWidth="1"/>
    <col min="6147" max="6147" width="11.85546875" style="16" customWidth="1"/>
    <col min="6148" max="6148" width="18" style="16" customWidth="1"/>
    <col min="6149" max="6149" width="10.7109375" style="16" customWidth="1"/>
    <col min="6150" max="6150" width="11.28515625" style="16" customWidth="1"/>
    <col min="6151" max="6200" width="22.7109375" style="16" customWidth="1"/>
    <col min="6201" max="6215" width="10" style="16" customWidth="1"/>
    <col min="6216" max="6372" width="23.7109375" style="16" customWidth="1"/>
    <col min="6373" max="6400" width="9" style="16"/>
    <col min="6401" max="6401" width="15.7109375" style="16" customWidth="1"/>
    <col min="6402" max="6402" width="24.42578125" style="16" customWidth="1"/>
    <col min="6403" max="6403" width="11.85546875" style="16" customWidth="1"/>
    <col min="6404" max="6404" width="18" style="16" customWidth="1"/>
    <col min="6405" max="6405" width="10.7109375" style="16" customWidth="1"/>
    <col min="6406" max="6406" width="11.28515625" style="16" customWidth="1"/>
    <col min="6407" max="6456" width="22.7109375" style="16" customWidth="1"/>
    <col min="6457" max="6471" width="10" style="16" customWidth="1"/>
    <col min="6472" max="6628" width="23.7109375" style="16" customWidth="1"/>
    <col min="6629" max="6656" width="9" style="16"/>
    <col min="6657" max="6657" width="15.7109375" style="16" customWidth="1"/>
    <col min="6658" max="6658" width="24.42578125" style="16" customWidth="1"/>
    <col min="6659" max="6659" width="11.85546875" style="16" customWidth="1"/>
    <col min="6660" max="6660" width="18" style="16" customWidth="1"/>
    <col min="6661" max="6661" width="10.7109375" style="16" customWidth="1"/>
    <col min="6662" max="6662" width="11.28515625" style="16" customWidth="1"/>
    <col min="6663" max="6712" width="22.7109375" style="16" customWidth="1"/>
    <col min="6713" max="6727" width="10" style="16" customWidth="1"/>
    <col min="6728" max="6884" width="23.7109375" style="16" customWidth="1"/>
    <col min="6885" max="6912" width="9" style="16"/>
    <col min="6913" max="6913" width="15.7109375" style="16" customWidth="1"/>
    <col min="6914" max="6914" width="24.42578125" style="16" customWidth="1"/>
    <col min="6915" max="6915" width="11.85546875" style="16" customWidth="1"/>
    <col min="6916" max="6916" width="18" style="16" customWidth="1"/>
    <col min="6917" max="6917" width="10.7109375" style="16" customWidth="1"/>
    <col min="6918" max="6918" width="11.28515625" style="16" customWidth="1"/>
    <col min="6919" max="6968" width="22.7109375" style="16" customWidth="1"/>
    <col min="6969" max="6983" width="10" style="16" customWidth="1"/>
    <col min="6984" max="7140" width="23.7109375" style="16" customWidth="1"/>
    <col min="7141" max="7168" width="9" style="16"/>
    <col min="7169" max="7169" width="15.7109375" style="16" customWidth="1"/>
    <col min="7170" max="7170" width="24.42578125" style="16" customWidth="1"/>
    <col min="7171" max="7171" width="11.85546875" style="16" customWidth="1"/>
    <col min="7172" max="7172" width="18" style="16" customWidth="1"/>
    <col min="7173" max="7173" width="10.7109375" style="16" customWidth="1"/>
    <col min="7174" max="7174" width="11.28515625" style="16" customWidth="1"/>
    <col min="7175" max="7224" width="22.7109375" style="16" customWidth="1"/>
    <col min="7225" max="7239" width="10" style="16" customWidth="1"/>
    <col min="7240" max="7396" width="23.7109375" style="16" customWidth="1"/>
    <col min="7397" max="7424" width="9" style="16"/>
    <col min="7425" max="7425" width="15.7109375" style="16" customWidth="1"/>
    <col min="7426" max="7426" width="24.42578125" style="16" customWidth="1"/>
    <col min="7427" max="7427" width="11.85546875" style="16" customWidth="1"/>
    <col min="7428" max="7428" width="18" style="16" customWidth="1"/>
    <col min="7429" max="7429" width="10.7109375" style="16" customWidth="1"/>
    <col min="7430" max="7430" width="11.28515625" style="16" customWidth="1"/>
    <col min="7431" max="7480" width="22.7109375" style="16" customWidth="1"/>
    <col min="7481" max="7495" width="10" style="16" customWidth="1"/>
    <col min="7496" max="7652" width="23.7109375" style="16" customWidth="1"/>
    <col min="7653" max="7680" width="9" style="16"/>
    <col min="7681" max="7681" width="15.7109375" style="16" customWidth="1"/>
    <col min="7682" max="7682" width="24.42578125" style="16" customWidth="1"/>
    <col min="7683" max="7683" width="11.85546875" style="16" customWidth="1"/>
    <col min="7684" max="7684" width="18" style="16" customWidth="1"/>
    <col min="7685" max="7685" width="10.7109375" style="16" customWidth="1"/>
    <col min="7686" max="7686" width="11.28515625" style="16" customWidth="1"/>
    <col min="7687" max="7736" width="22.7109375" style="16" customWidth="1"/>
    <col min="7737" max="7751" width="10" style="16" customWidth="1"/>
    <col min="7752" max="7908" width="23.7109375" style="16" customWidth="1"/>
    <col min="7909" max="7936" width="9" style="16"/>
    <col min="7937" max="7937" width="15.7109375" style="16" customWidth="1"/>
    <col min="7938" max="7938" width="24.42578125" style="16" customWidth="1"/>
    <col min="7939" max="7939" width="11.85546875" style="16" customWidth="1"/>
    <col min="7940" max="7940" width="18" style="16" customWidth="1"/>
    <col min="7941" max="7941" width="10.7109375" style="16" customWidth="1"/>
    <col min="7942" max="7942" width="11.28515625" style="16" customWidth="1"/>
    <col min="7943" max="7992" width="22.7109375" style="16" customWidth="1"/>
    <col min="7993" max="8007" width="10" style="16" customWidth="1"/>
    <col min="8008" max="8164" width="23.7109375" style="16" customWidth="1"/>
    <col min="8165" max="8192" width="9" style="16"/>
    <col min="8193" max="8193" width="15.7109375" style="16" customWidth="1"/>
    <col min="8194" max="8194" width="24.42578125" style="16" customWidth="1"/>
    <col min="8195" max="8195" width="11.85546875" style="16" customWidth="1"/>
    <col min="8196" max="8196" width="18" style="16" customWidth="1"/>
    <col min="8197" max="8197" width="10.7109375" style="16" customWidth="1"/>
    <col min="8198" max="8198" width="11.28515625" style="16" customWidth="1"/>
    <col min="8199" max="8248" width="22.7109375" style="16" customWidth="1"/>
    <col min="8249" max="8263" width="10" style="16" customWidth="1"/>
    <col min="8264" max="8420" width="23.7109375" style="16" customWidth="1"/>
    <col min="8421" max="8448" width="9" style="16"/>
    <col min="8449" max="8449" width="15.7109375" style="16" customWidth="1"/>
    <col min="8450" max="8450" width="24.42578125" style="16" customWidth="1"/>
    <col min="8451" max="8451" width="11.85546875" style="16" customWidth="1"/>
    <col min="8452" max="8452" width="18" style="16" customWidth="1"/>
    <col min="8453" max="8453" width="10.7109375" style="16" customWidth="1"/>
    <col min="8454" max="8454" width="11.28515625" style="16" customWidth="1"/>
    <col min="8455" max="8504" width="22.7109375" style="16" customWidth="1"/>
    <col min="8505" max="8519" width="10" style="16" customWidth="1"/>
    <col min="8520" max="8676" width="23.7109375" style="16" customWidth="1"/>
    <col min="8677" max="8704" width="9" style="16"/>
    <col min="8705" max="8705" width="15.7109375" style="16" customWidth="1"/>
    <col min="8706" max="8706" width="24.42578125" style="16" customWidth="1"/>
    <col min="8707" max="8707" width="11.85546875" style="16" customWidth="1"/>
    <col min="8708" max="8708" width="18" style="16" customWidth="1"/>
    <col min="8709" max="8709" width="10.7109375" style="16" customWidth="1"/>
    <col min="8710" max="8710" width="11.28515625" style="16" customWidth="1"/>
    <col min="8711" max="8760" width="22.7109375" style="16" customWidth="1"/>
    <col min="8761" max="8775" width="10" style="16" customWidth="1"/>
    <col min="8776" max="8932" width="23.7109375" style="16" customWidth="1"/>
    <col min="8933" max="8960" width="9" style="16"/>
    <col min="8961" max="8961" width="15.7109375" style="16" customWidth="1"/>
    <col min="8962" max="8962" width="24.42578125" style="16" customWidth="1"/>
    <col min="8963" max="8963" width="11.85546875" style="16" customWidth="1"/>
    <col min="8964" max="8964" width="18" style="16" customWidth="1"/>
    <col min="8965" max="8965" width="10.7109375" style="16" customWidth="1"/>
    <col min="8966" max="8966" width="11.28515625" style="16" customWidth="1"/>
    <col min="8967" max="9016" width="22.7109375" style="16" customWidth="1"/>
    <col min="9017" max="9031" width="10" style="16" customWidth="1"/>
    <col min="9032" max="9188" width="23.7109375" style="16" customWidth="1"/>
    <col min="9189" max="9216" width="9" style="16"/>
    <col min="9217" max="9217" width="15.7109375" style="16" customWidth="1"/>
    <col min="9218" max="9218" width="24.42578125" style="16" customWidth="1"/>
    <col min="9219" max="9219" width="11.85546875" style="16" customWidth="1"/>
    <col min="9220" max="9220" width="18" style="16" customWidth="1"/>
    <col min="9221" max="9221" width="10.7109375" style="16" customWidth="1"/>
    <col min="9222" max="9222" width="11.28515625" style="16" customWidth="1"/>
    <col min="9223" max="9272" width="22.7109375" style="16" customWidth="1"/>
    <col min="9273" max="9287" width="10" style="16" customWidth="1"/>
    <col min="9288" max="9444" width="23.7109375" style="16" customWidth="1"/>
    <col min="9445" max="9472" width="9" style="16"/>
    <col min="9473" max="9473" width="15.7109375" style="16" customWidth="1"/>
    <col min="9474" max="9474" width="24.42578125" style="16" customWidth="1"/>
    <col min="9475" max="9475" width="11.85546875" style="16" customWidth="1"/>
    <col min="9476" max="9476" width="18" style="16" customWidth="1"/>
    <col min="9477" max="9477" width="10.7109375" style="16" customWidth="1"/>
    <col min="9478" max="9478" width="11.28515625" style="16" customWidth="1"/>
    <col min="9479" max="9528" width="22.7109375" style="16" customWidth="1"/>
    <col min="9529" max="9543" width="10" style="16" customWidth="1"/>
    <col min="9544" max="9700" width="23.7109375" style="16" customWidth="1"/>
    <col min="9701" max="9728" width="9" style="16"/>
    <col min="9729" max="9729" width="15.7109375" style="16" customWidth="1"/>
    <col min="9730" max="9730" width="24.42578125" style="16" customWidth="1"/>
    <col min="9731" max="9731" width="11.85546875" style="16" customWidth="1"/>
    <col min="9732" max="9732" width="18" style="16" customWidth="1"/>
    <col min="9733" max="9733" width="10.7109375" style="16" customWidth="1"/>
    <col min="9734" max="9734" width="11.28515625" style="16" customWidth="1"/>
    <col min="9735" max="9784" width="22.7109375" style="16" customWidth="1"/>
    <col min="9785" max="9799" width="10" style="16" customWidth="1"/>
    <col min="9800" max="9956" width="23.7109375" style="16" customWidth="1"/>
    <col min="9957" max="9984" width="9" style="16"/>
    <col min="9985" max="9985" width="15.7109375" style="16" customWidth="1"/>
    <col min="9986" max="9986" width="24.42578125" style="16" customWidth="1"/>
    <col min="9987" max="9987" width="11.85546875" style="16" customWidth="1"/>
    <col min="9988" max="9988" width="18" style="16" customWidth="1"/>
    <col min="9989" max="9989" width="10.7109375" style="16" customWidth="1"/>
    <col min="9990" max="9990" width="11.28515625" style="16" customWidth="1"/>
    <col min="9991" max="10040" width="22.7109375" style="16" customWidth="1"/>
    <col min="10041" max="10055" width="10" style="16" customWidth="1"/>
    <col min="10056" max="10212" width="23.7109375" style="16" customWidth="1"/>
    <col min="10213" max="10240" width="9" style="16"/>
    <col min="10241" max="10241" width="15.7109375" style="16" customWidth="1"/>
    <col min="10242" max="10242" width="24.42578125" style="16" customWidth="1"/>
    <col min="10243" max="10243" width="11.85546875" style="16" customWidth="1"/>
    <col min="10244" max="10244" width="18" style="16" customWidth="1"/>
    <col min="10245" max="10245" width="10.7109375" style="16" customWidth="1"/>
    <col min="10246" max="10246" width="11.28515625" style="16" customWidth="1"/>
    <col min="10247" max="10296" width="22.7109375" style="16" customWidth="1"/>
    <col min="10297" max="10311" width="10" style="16" customWidth="1"/>
    <col min="10312" max="10468" width="23.7109375" style="16" customWidth="1"/>
    <col min="10469" max="10496" width="9" style="16"/>
    <col min="10497" max="10497" width="15.7109375" style="16" customWidth="1"/>
    <col min="10498" max="10498" width="24.42578125" style="16" customWidth="1"/>
    <col min="10499" max="10499" width="11.85546875" style="16" customWidth="1"/>
    <col min="10500" max="10500" width="18" style="16" customWidth="1"/>
    <col min="10501" max="10501" width="10.7109375" style="16" customWidth="1"/>
    <col min="10502" max="10502" width="11.28515625" style="16" customWidth="1"/>
    <col min="10503" max="10552" width="22.7109375" style="16" customWidth="1"/>
    <col min="10553" max="10567" width="10" style="16" customWidth="1"/>
    <col min="10568" max="10724" width="23.7109375" style="16" customWidth="1"/>
    <col min="10725" max="10752" width="9" style="16"/>
    <col min="10753" max="10753" width="15.7109375" style="16" customWidth="1"/>
    <col min="10754" max="10754" width="24.42578125" style="16" customWidth="1"/>
    <col min="10755" max="10755" width="11.85546875" style="16" customWidth="1"/>
    <col min="10756" max="10756" width="18" style="16" customWidth="1"/>
    <col min="10757" max="10757" width="10.7109375" style="16" customWidth="1"/>
    <col min="10758" max="10758" width="11.28515625" style="16" customWidth="1"/>
    <col min="10759" max="10808" width="22.7109375" style="16" customWidth="1"/>
    <col min="10809" max="10823" width="10" style="16" customWidth="1"/>
    <col min="10824" max="10980" width="23.7109375" style="16" customWidth="1"/>
    <col min="10981" max="11008" width="9" style="16"/>
    <col min="11009" max="11009" width="15.7109375" style="16" customWidth="1"/>
    <col min="11010" max="11010" width="24.42578125" style="16" customWidth="1"/>
    <col min="11011" max="11011" width="11.85546875" style="16" customWidth="1"/>
    <col min="11012" max="11012" width="18" style="16" customWidth="1"/>
    <col min="11013" max="11013" width="10.7109375" style="16" customWidth="1"/>
    <col min="11014" max="11014" width="11.28515625" style="16" customWidth="1"/>
    <col min="11015" max="11064" width="22.7109375" style="16" customWidth="1"/>
    <col min="11065" max="11079" width="10" style="16" customWidth="1"/>
    <col min="11080" max="11236" width="23.7109375" style="16" customWidth="1"/>
    <col min="11237" max="11264" width="9" style="16"/>
    <col min="11265" max="11265" width="15.7109375" style="16" customWidth="1"/>
    <col min="11266" max="11266" width="24.42578125" style="16" customWidth="1"/>
    <col min="11267" max="11267" width="11.85546875" style="16" customWidth="1"/>
    <col min="11268" max="11268" width="18" style="16" customWidth="1"/>
    <col min="11269" max="11269" width="10.7109375" style="16" customWidth="1"/>
    <col min="11270" max="11270" width="11.28515625" style="16" customWidth="1"/>
    <col min="11271" max="11320" width="22.7109375" style="16" customWidth="1"/>
    <col min="11321" max="11335" width="10" style="16" customWidth="1"/>
    <col min="11336" max="11492" width="23.7109375" style="16" customWidth="1"/>
    <col min="11493" max="11520" width="9" style="16"/>
    <col min="11521" max="11521" width="15.7109375" style="16" customWidth="1"/>
    <col min="11522" max="11522" width="24.42578125" style="16" customWidth="1"/>
    <col min="11523" max="11523" width="11.85546875" style="16" customWidth="1"/>
    <col min="11524" max="11524" width="18" style="16" customWidth="1"/>
    <col min="11525" max="11525" width="10.7109375" style="16" customWidth="1"/>
    <col min="11526" max="11526" width="11.28515625" style="16" customWidth="1"/>
    <col min="11527" max="11576" width="22.7109375" style="16" customWidth="1"/>
    <col min="11577" max="11591" width="10" style="16" customWidth="1"/>
    <col min="11592" max="11748" width="23.7109375" style="16" customWidth="1"/>
    <col min="11749" max="11776" width="9" style="16"/>
    <col min="11777" max="11777" width="15.7109375" style="16" customWidth="1"/>
    <col min="11778" max="11778" width="24.42578125" style="16" customWidth="1"/>
    <col min="11779" max="11779" width="11.85546875" style="16" customWidth="1"/>
    <col min="11780" max="11780" width="18" style="16" customWidth="1"/>
    <col min="11781" max="11781" width="10.7109375" style="16" customWidth="1"/>
    <col min="11782" max="11782" width="11.28515625" style="16" customWidth="1"/>
    <col min="11783" max="11832" width="22.7109375" style="16" customWidth="1"/>
    <col min="11833" max="11847" width="10" style="16" customWidth="1"/>
    <col min="11848" max="12004" width="23.7109375" style="16" customWidth="1"/>
    <col min="12005" max="12032" width="9" style="16"/>
    <col min="12033" max="12033" width="15.7109375" style="16" customWidth="1"/>
    <col min="12034" max="12034" width="24.42578125" style="16" customWidth="1"/>
    <col min="12035" max="12035" width="11.85546875" style="16" customWidth="1"/>
    <col min="12036" max="12036" width="18" style="16" customWidth="1"/>
    <col min="12037" max="12037" width="10.7109375" style="16" customWidth="1"/>
    <col min="12038" max="12038" width="11.28515625" style="16" customWidth="1"/>
    <col min="12039" max="12088" width="22.7109375" style="16" customWidth="1"/>
    <col min="12089" max="12103" width="10" style="16" customWidth="1"/>
    <col min="12104" max="12260" width="23.7109375" style="16" customWidth="1"/>
    <col min="12261" max="12288" width="9" style="16"/>
    <col min="12289" max="12289" width="15.7109375" style="16" customWidth="1"/>
    <col min="12290" max="12290" width="24.42578125" style="16" customWidth="1"/>
    <col min="12291" max="12291" width="11.85546875" style="16" customWidth="1"/>
    <col min="12292" max="12292" width="18" style="16" customWidth="1"/>
    <col min="12293" max="12293" width="10.7109375" style="16" customWidth="1"/>
    <col min="12294" max="12294" width="11.28515625" style="16" customWidth="1"/>
    <col min="12295" max="12344" width="22.7109375" style="16" customWidth="1"/>
    <col min="12345" max="12359" width="10" style="16" customWidth="1"/>
    <col min="12360" max="12516" width="23.7109375" style="16" customWidth="1"/>
    <col min="12517" max="12544" width="9" style="16"/>
    <col min="12545" max="12545" width="15.7109375" style="16" customWidth="1"/>
    <col min="12546" max="12546" width="24.42578125" style="16" customWidth="1"/>
    <col min="12547" max="12547" width="11.85546875" style="16" customWidth="1"/>
    <col min="12548" max="12548" width="18" style="16" customWidth="1"/>
    <col min="12549" max="12549" width="10.7109375" style="16" customWidth="1"/>
    <col min="12550" max="12550" width="11.28515625" style="16" customWidth="1"/>
    <col min="12551" max="12600" width="22.7109375" style="16" customWidth="1"/>
    <col min="12601" max="12615" width="10" style="16" customWidth="1"/>
    <col min="12616" max="12772" width="23.7109375" style="16" customWidth="1"/>
    <col min="12773" max="12800" width="9" style="16"/>
    <col min="12801" max="12801" width="15.7109375" style="16" customWidth="1"/>
    <col min="12802" max="12802" width="24.42578125" style="16" customWidth="1"/>
    <col min="12803" max="12803" width="11.85546875" style="16" customWidth="1"/>
    <col min="12804" max="12804" width="18" style="16" customWidth="1"/>
    <col min="12805" max="12805" width="10.7109375" style="16" customWidth="1"/>
    <col min="12806" max="12806" width="11.28515625" style="16" customWidth="1"/>
    <col min="12807" max="12856" width="22.7109375" style="16" customWidth="1"/>
    <col min="12857" max="12871" width="10" style="16" customWidth="1"/>
    <col min="12872" max="13028" width="23.7109375" style="16" customWidth="1"/>
    <col min="13029" max="13056" width="9" style="16"/>
    <col min="13057" max="13057" width="15.7109375" style="16" customWidth="1"/>
    <col min="13058" max="13058" width="24.42578125" style="16" customWidth="1"/>
    <col min="13059" max="13059" width="11.85546875" style="16" customWidth="1"/>
    <col min="13060" max="13060" width="18" style="16" customWidth="1"/>
    <col min="13061" max="13061" width="10.7109375" style="16" customWidth="1"/>
    <col min="13062" max="13062" width="11.28515625" style="16" customWidth="1"/>
    <col min="13063" max="13112" width="22.7109375" style="16" customWidth="1"/>
    <col min="13113" max="13127" width="10" style="16" customWidth="1"/>
    <col min="13128" max="13284" width="23.7109375" style="16" customWidth="1"/>
    <col min="13285" max="13312" width="9" style="16"/>
    <col min="13313" max="13313" width="15.7109375" style="16" customWidth="1"/>
    <col min="13314" max="13314" width="24.42578125" style="16" customWidth="1"/>
    <col min="13315" max="13315" width="11.85546875" style="16" customWidth="1"/>
    <col min="13316" max="13316" width="18" style="16" customWidth="1"/>
    <col min="13317" max="13317" width="10.7109375" style="16" customWidth="1"/>
    <col min="13318" max="13318" width="11.28515625" style="16" customWidth="1"/>
    <col min="13319" max="13368" width="22.7109375" style="16" customWidth="1"/>
    <col min="13369" max="13383" width="10" style="16" customWidth="1"/>
    <col min="13384" max="13540" width="23.7109375" style="16" customWidth="1"/>
    <col min="13541" max="13568" width="9" style="16"/>
    <col min="13569" max="13569" width="15.7109375" style="16" customWidth="1"/>
    <col min="13570" max="13570" width="24.42578125" style="16" customWidth="1"/>
    <col min="13571" max="13571" width="11.85546875" style="16" customWidth="1"/>
    <col min="13572" max="13572" width="18" style="16" customWidth="1"/>
    <col min="13573" max="13573" width="10.7109375" style="16" customWidth="1"/>
    <col min="13574" max="13574" width="11.28515625" style="16" customWidth="1"/>
    <col min="13575" max="13624" width="22.7109375" style="16" customWidth="1"/>
    <col min="13625" max="13639" width="10" style="16" customWidth="1"/>
    <col min="13640" max="13796" width="23.7109375" style="16" customWidth="1"/>
    <col min="13797" max="13824" width="9" style="16"/>
    <col min="13825" max="13825" width="15.7109375" style="16" customWidth="1"/>
    <col min="13826" max="13826" width="24.42578125" style="16" customWidth="1"/>
    <col min="13827" max="13827" width="11.85546875" style="16" customWidth="1"/>
    <col min="13828" max="13828" width="18" style="16" customWidth="1"/>
    <col min="13829" max="13829" width="10.7109375" style="16" customWidth="1"/>
    <col min="13830" max="13830" width="11.28515625" style="16" customWidth="1"/>
    <col min="13831" max="13880" width="22.7109375" style="16" customWidth="1"/>
    <col min="13881" max="13895" width="10" style="16" customWidth="1"/>
    <col min="13896" max="14052" width="23.7109375" style="16" customWidth="1"/>
    <col min="14053" max="14080" width="9" style="16"/>
    <col min="14081" max="14081" width="15.7109375" style="16" customWidth="1"/>
    <col min="14082" max="14082" width="24.42578125" style="16" customWidth="1"/>
    <col min="14083" max="14083" width="11.85546875" style="16" customWidth="1"/>
    <col min="14084" max="14084" width="18" style="16" customWidth="1"/>
    <col min="14085" max="14085" width="10.7109375" style="16" customWidth="1"/>
    <col min="14086" max="14086" width="11.28515625" style="16" customWidth="1"/>
    <col min="14087" max="14136" width="22.7109375" style="16" customWidth="1"/>
    <col min="14137" max="14151" width="10" style="16" customWidth="1"/>
    <col min="14152" max="14308" width="23.7109375" style="16" customWidth="1"/>
    <col min="14309" max="14336" width="9" style="16"/>
    <col min="14337" max="14337" width="15.7109375" style="16" customWidth="1"/>
    <col min="14338" max="14338" width="24.42578125" style="16" customWidth="1"/>
    <col min="14339" max="14339" width="11.85546875" style="16" customWidth="1"/>
    <col min="14340" max="14340" width="18" style="16" customWidth="1"/>
    <col min="14341" max="14341" width="10.7109375" style="16" customWidth="1"/>
    <col min="14342" max="14342" width="11.28515625" style="16" customWidth="1"/>
    <col min="14343" max="14392" width="22.7109375" style="16" customWidth="1"/>
    <col min="14393" max="14407" width="10" style="16" customWidth="1"/>
    <col min="14408" max="14564" width="23.7109375" style="16" customWidth="1"/>
    <col min="14565" max="14592" width="9" style="16"/>
    <col min="14593" max="14593" width="15.7109375" style="16" customWidth="1"/>
    <col min="14594" max="14594" width="24.42578125" style="16" customWidth="1"/>
    <col min="14595" max="14595" width="11.85546875" style="16" customWidth="1"/>
    <col min="14596" max="14596" width="18" style="16" customWidth="1"/>
    <col min="14597" max="14597" width="10.7109375" style="16" customWidth="1"/>
    <col min="14598" max="14598" width="11.28515625" style="16" customWidth="1"/>
    <col min="14599" max="14648" width="22.7109375" style="16" customWidth="1"/>
    <col min="14649" max="14663" width="10" style="16" customWidth="1"/>
    <col min="14664" max="14820" width="23.7109375" style="16" customWidth="1"/>
    <col min="14821" max="14848" width="9" style="16"/>
    <col min="14849" max="14849" width="15.7109375" style="16" customWidth="1"/>
    <col min="14850" max="14850" width="24.42578125" style="16" customWidth="1"/>
    <col min="14851" max="14851" width="11.85546875" style="16" customWidth="1"/>
    <col min="14852" max="14852" width="18" style="16" customWidth="1"/>
    <col min="14853" max="14853" width="10.7109375" style="16" customWidth="1"/>
    <col min="14854" max="14854" width="11.28515625" style="16" customWidth="1"/>
    <col min="14855" max="14904" width="22.7109375" style="16" customWidth="1"/>
    <col min="14905" max="14919" width="10" style="16" customWidth="1"/>
    <col min="14920" max="15076" width="23.7109375" style="16" customWidth="1"/>
    <col min="15077" max="15104" width="9" style="16"/>
    <col min="15105" max="15105" width="15.7109375" style="16" customWidth="1"/>
    <col min="15106" max="15106" width="24.42578125" style="16" customWidth="1"/>
    <col min="15107" max="15107" width="11.85546875" style="16" customWidth="1"/>
    <col min="15108" max="15108" width="18" style="16" customWidth="1"/>
    <col min="15109" max="15109" width="10.7109375" style="16" customWidth="1"/>
    <col min="15110" max="15110" width="11.28515625" style="16" customWidth="1"/>
    <col min="15111" max="15160" width="22.7109375" style="16" customWidth="1"/>
    <col min="15161" max="15175" width="10" style="16" customWidth="1"/>
    <col min="15176" max="15332" width="23.7109375" style="16" customWidth="1"/>
    <col min="15333" max="15360" width="9" style="16"/>
    <col min="15361" max="15361" width="15.7109375" style="16" customWidth="1"/>
    <col min="15362" max="15362" width="24.42578125" style="16" customWidth="1"/>
    <col min="15363" max="15363" width="11.85546875" style="16" customWidth="1"/>
    <col min="15364" max="15364" width="18" style="16" customWidth="1"/>
    <col min="15365" max="15365" width="10.7109375" style="16" customWidth="1"/>
    <col min="15366" max="15366" width="11.28515625" style="16" customWidth="1"/>
    <col min="15367" max="15416" width="22.7109375" style="16" customWidth="1"/>
    <col min="15417" max="15431" width="10" style="16" customWidth="1"/>
    <col min="15432" max="15588" width="23.7109375" style="16" customWidth="1"/>
    <col min="15589" max="15616" width="9" style="16"/>
    <col min="15617" max="15617" width="15.7109375" style="16" customWidth="1"/>
    <col min="15618" max="15618" width="24.42578125" style="16" customWidth="1"/>
    <col min="15619" max="15619" width="11.85546875" style="16" customWidth="1"/>
    <col min="15620" max="15620" width="18" style="16" customWidth="1"/>
    <col min="15621" max="15621" width="10.7109375" style="16" customWidth="1"/>
    <col min="15622" max="15622" width="11.28515625" style="16" customWidth="1"/>
    <col min="15623" max="15672" width="22.7109375" style="16" customWidth="1"/>
    <col min="15673" max="15687" width="10" style="16" customWidth="1"/>
    <col min="15688" max="15844" width="23.7109375" style="16" customWidth="1"/>
    <col min="15845" max="15872" width="9" style="16"/>
    <col min="15873" max="15873" width="15.7109375" style="16" customWidth="1"/>
    <col min="15874" max="15874" width="24.42578125" style="16" customWidth="1"/>
    <col min="15875" max="15875" width="11.85546875" style="16" customWidth="1"/>
    <col min="15876" max="15876" width="18" style="16" customWidth="1"/>
    <col min="15877" max="15877" width="10.7109375" style="16" customWidth="1"/>
    <col min="15878" max="15878" width="11.28515625" style="16" customWidth="1"/>
    <col min="15879" max="15928" width="22.7109375" style="16" customWidth="1"/>
    <col min="15929" max="15943" width="10" style="16" customWidth="1"/>
    <col min="15944" max="16100" width="23.7109375" style="16" customWidth="1"/>
    <col min="16101" max="16128" width="9" style="16"/>
    <col min="16129" max="16129" width="15.7109375" style="16" customWidth="1"/>
    <col min="16130" max="16130" width="24.42578125" style="16" customWidth="1"/>
    <col min="16131" max="16131" width="11.85546875" style="16" customWidth="1"/>
    <col min="16132" max="16132" width="18" style="16" customWidth="1"/>
    <col min="16133" max="16133" width="10.7109375" style="16" customWidth="1"/>
    <col min="16134" max="16134" width="11.28515625" style="16" customWidth="1"/>
    <col min="16135" max="16184" width="22.7109375" style="16" customWidth="1"/>
    <col min="16185" max="16199" width="10" style="16" customWidth="1"/>
    <col min="16200" max="16356" width="23.7109375" style="16" customWidth="1"/>
    <col min="16357" max="16384" width="9" style="16"/>
  </cols>
  <sheetData>
    <row r="1" spans="1:256" ht="30" customHeight="1" x14ac:dyDescent="0.3">
      <c r="A1" s="138" t="s">
        <v>532</v>
      </c>
      <c r="B1" s="138"/>
      <c r="C1" s="138"/>
      <c r="D1" s="139" t="s">
        <v>533</v>
      </c>
      <c r="E1" s="139"/>
      <c r="F1" s="139"/>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c r="BQ1" s="108"/>
      <c r="BR1" s="108"/>
      <c r="BS1" s="108"/>
      <c r="BT1" s="108"/>
      <c r="BU1" s="108"/>
      <c r="BV1" s="108"/>
      <c r="BW1" s="108"/>
      <c r="BX1" s="108"/>
      <c r="BY1" s="108"/>
      <c r="BZ1" s="108"/>
      <c r="CA1" s="108"/>
      <c r="CB1" s="108"/>
      <c r="CC1" s="108"/>
      <c r="CD1" s="108"/>
      <c r="CE1" s="108"/>
      <c r="CF1" s="108"/>
      <c r="CG1" s="108"/>
      <c r="CH1" s="108"/>
      <c r="CI1" s="108"/>
      <c r="CJ1" s="108"/>
      <c r="CK1" s="108"/>
      <c r="CL1" s="108"/>
      <c r="CM1" s="108"/>
      <c r="CN1" s="108"/>
      <c r="CO1" s="108"/>
      <c r="CP1" s="108"/>
      <c r="CQ1" s="108"/>
      <c r="CR1" s="108"/>
      <c r="CS1" s="108"/>
      <c r="CT1" s="108"/>
      <c r="CU1" s="108"/>
      <c r="CV1" s="108"/>
      <c r="CW1" s="108"/>
      <c r="CX1" s="108"/>
      <c r="CY1" s="108"/>
      <c r="CZ1" s="108"/>
      <c r="DA1" s="108"/>
      <c r="DB1" s="108"/>
      <c r="DC1" s="108"/>
      <c r="DD1" s="108"/>
      <c r="DE1" s="108"/>
      <c r="DF1" s="108"/>
      <c r="DG1" s="108"/>
      <c r="DH1" s="108"/>
      <c r="DI1" s="108"/>
      <c r="DJ1" s="108"/>
      <c r="DK1" s="108"/>
      <c r="DL1" s="108"/>
      <c r="DM1" s="108"/>
      <c r="DN1" s="108"/>
      <c r="DO1" s="108"/>
      <c r="DP1" s="108"/>
      <c r="DQ1" s="108"/>
      <c r="DR1" s="108"/>
      <c r="DS1" s="108"/>
      <c r="DT1" s="108"/>
      <c r="DU1" s="108"/>
      <c r="DV1" s="108"/>
      <c r="DW1" s="108"/>
      <c r="DX1" s="108"/>
      <c r="DY1" s="108"/>
      <c r="DZ1" s="108"/>
      <c r="EA1" s="108"/>
      <c r="EB1" s="108"/>
      <c r="EC1" s="108"/>
      <c r="ED1" s="108"/>
      <c r="EE1" s="108"/>
      <c r="EF1" s="108"/>
      <c r="EG1" s="108"/>
      <c r="EH1" s="108"/>
      <c r="EI1" s="108"/>
      <c r="EJ1" s="108"/>
      <c r="EK1" s="108"/>
      <c r="EL1" s="108"/>
      <c r="EM1" s="108"/>
      <c r="EN1" s="108"/>
      <c r="EO1" s="108"/>
      <c r="EP1" s="108"/>
      <c r="EQ1" s="108"/>
      <c r="ER1" s="108"/>
      <c r="ES1" s="108"/>
      <c r="ET1" s="108"/>
      <c r="EU1" s="108"/>
      <c r="EV1" s="108"/>
      <c r="EW1" s="108"/>
      <c r="EX1" s="108"/>
      <c r="EY1" s="108"/>
      <c r="EZ1" s="108"/>
      <c r="FA1" s="108"/>
      <c r="FB1" s="108"/>
      <c r="FC1" s="108"/>
      <c r="FD1" s="108"/>
      <c r="FE1" s="108"/>
      <c r="FF1" s="108"/>
      <c r="FG1" s="108"/>
      <c r="FH1" s="108"/>
      <c r="FI1" s="108"/>
      <c r="FJ1" s="108"/>
      <c r="FK1" s="108"/>
      <c r="FL1" s="108"/>
      <c r="FM1" s="108"/>
      <c r="FN1" s="108"/>
      <c r="FO1" s="108"/>
      <c r="FP1" s="108"/>
      <c r="FQ1" s="108"/>
      <c r="FR1" s="108"/>
      <c r="FS1" s="108"/>
      <c r="FT1" s="108"/>
      <c r="FU1" s="108"/>
      <c r="FV1" s="108"/>
      <c r="FW1" s="108"/>
      <c r="FX1" s="108"/>
      <c r="FY1" s="108"/>
      <c r="FZ1" s="108"/>
      <c r="GA1" s="108"/>
      <c r="GB1" s="108"/>
      <c r="GC1" s="108"/>
      <c r="GD1" s="108"/>
      <c r="GE1" s="108"/>
      <c r="GF1" s="108"/>
      <c r="GG1" s="108"/>
      <c r="GH1" s="108"/>
      <c r="GI1" s="108"/>
      <c r="GJ1" s="108"/>
      <c r="GK1" s="108"/>
      <c r="GL1" s="108"/>
      <c r="GM1" s="108"/>
      <c r="GN1" s="108"/>
      <c r="GO1" s="108"/>
      <c r="GP1" s="108"/>
      <c r="GQ1" s="108"/>
      <c r="GR1" s="108"/>
      <c r="GS1" s="108"/>
      <c r="GT1" s="108"/>
      <c r="GU1" s="108"/>
      <c r="GV1" s="108"/>
      <c r="GW1" s="108"/>
      <c r="GX1" s="108"/>
      <c r="GY1" s="108"/>
      <c r="GZ1" s="108"/>
      <c r="HA1" s="108"/>
      <c r="HB1" s="108"/>
      <c r="HC1" s="108"/>
      <c r="HD1" s="108"/>
      <c r="HE1" s="108"/>
      <c r="HF1" s="108"/>
      <c r="HG1" s="108"/>
      <c r="HH1" s="110"/>
      <c r="HI1" s="110"/>
      <c r="HJ1" s="110"/>
      <c r="HK1" s="108"/>
      <c r="HL1" s="108"/>
      <c r="HM1" s="108"/>
      <c r="HN1" s="108"/>
      <c r="HO1" s="108"/>
      <c r="HP1" s="108"/>
      <c r="HQ1" s="108"/>
      <c r="HR1" s="108"/>
      <c r="HS1" s="108"/>
      <c r="HT1" s="108"/>
      <c r="HU1" s="108"/>
      <c r="HV1" s="108"/>
      <c r="HW1" s="108"/>
      <c r="HX1" s="108"/>
      <c r="HY1" s="108"/>
      <c r="HZ1" s="108"/>
      <c r="IA1" s="108"/>
      <c r="IB1" s="108"/>
      <c r="IC1" s="108"/>
      <c r="ID1" s="108"/>
      <c r="IE1" s="108"/>
      <c r="IF1" s="108"/>
      <c r="IG1" s="108"/>
      <c r="IH1" s="108"/>
      <c r="II1" s="108"/>
      <c r="IJ1" s="108"/>
      <c r="IK1" s="108"/>
      <c r="IL1" s="108"/>
      <c r="IM1" s="108"/>
      <c r="IN1" s="108"/>
      <c r="IO1" s="108"/>
      <c r="IP1" s="108"/>
      <c r="IQ1" s="108"/>
      <c r="IR1" s="108"/>
      <c r="IS1" s="108"/>
      <c r="IT1" s="108"/>
      <c r="IU1" s="108"/>
      <c r="IV1" s="108"/>
    </row>
    <row r="2" spans="1:256" ht="26.25" x14ac:dyDescent="0.25">
      <c r="A2" s="108"/>
      <c r="B2" s="108"/>
      <c r="C2" s="108"/>
      <c r="D2" s="111" t="s">
        <v>534</v>
      </c>
      <c r="E2" s="141" t="s">
        <v>535</v>
      </c>
      <c r="F2" s="141"/>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8"/>
      <c r="AP2" s="108"/>
      <c r="AQ2" s="108"/>
      <c r="AR2" s="108"/>
      <c r="AS2" s="108"/>
      <c r="AT2" s="108"/>
      <c r="AU2" s="108"/>
      <c r="AV2" s="108"/>
      <c r="AW2" s="108"/>
      <c r="AX2" s="108"/>
      <c r="AY2" s="108"/>
      <c r="AZ2" s="108"/>
      <c r="BA2" s="108"/>
      <c r="BB2" s="108"/>
      <c r="BC2" s="108"/>
      <c r="BD2" s="108"/>
      <c r="BE2" s="108"/>
      <c r="BF2" s="108"/>
      <c r="BG2" s="108"/>
      <c r="BH2" s="108"/>
      <c r="BI2" s="108"/>
      <c r="BJ2" s="108"/>
      <c r="BK2" s="108"/>
      <c r="BL2" s="108"/>
      <c r="BM2" s="108"/>
      <c r="BN2" s="108"/>
      <c r="BO2" s="108"/>
      <c r="BP2" s="108"/>
      <c r="BQ2" s="108"/>
      <c r="BR2" s="108"/>
      <c r="BS2" s="108"/>
      <c r="BT2" s="108"/>
      <c r="BU2" s="108"/>
      <c r="BV2" s="108"/>
      <c r="BW2" s="108"/>
      <c r="BX2" s="108"/>
      <c r="BY2" s="108"/>
      <c r="BZ2" s="108"/>
      <c r="CA2" s="108"/>
      <c r="CB2" s="108"/>
      <c r="CC2" s="108"/>
      <c r="CD2" s="108"/>
      <c r="CE2" s="108"/>
      <c r="CF2" s="108"/>
      <c r="CG2" s="108"/>
      <c r="CH2" s="108"/>
      <c r="CI2" s="108"/>
      <c r="CJ2" s="108"/>
      <c r="CK2" s="108"/>
      <c r="CL2" s="108"/>
      <c r="CM2" s="108"/>
      <c r="CN2" s="108"/>
      <c r="CO2" s="108"/>
      <c r="CP2" s="108"/>
      <c r="CQ2" s="108"/>
      <c r="CR2" s="108"/>
      <c r="CS2" s="108"/>
      <c r="CT2" s="108"/>
      <c r="CU2" s="108"/>
      <c r="CV2" s="108"/>
      <c r="CW2" s="108"/>
      <c r="CX2" s="108"/>
      <c r="CY2" s="108"/>
      <c r="CZ2" s="108"/>
      <c r="DA2" s="108"/>
      <c r="DB2" s="108"/>
      <c r="DC2" s="108"/>
      <c r="DD2" s="108"/>
      <c r="DE2" s="108"/>
      <c r="DF2" s="108"/>
      <c r="DG2" s="108"/>
      <c r="DH2" s="108"/>
      <c r="DI2" s="108"/>
      <c r="DJ2" s="108"/>
      <c r="DK2" s="108"/>
      <c r="DL2" s="108"/>
      <c r="DM2" s="108"/>
      <c r="DN2" s="108"/>
      <c r="DO2" s="108"/>
      <c r="DP2" s="108"/>
      <c r="DQ2" s="108"/>
      <c r="DR2" s="108"/>
      <c r="DS2" s="108"/>
      <c r="DT2" s="108"/>
      <c r="DU2" s="108"/>
      <c r="DV2" s="108"/>
      <c r="DW2" s="108"/>
      <c r="DX2" s="108"/>
      <c r="DY2" s="108"/>
      <c r="DZ2" s="108"/>
      <c r="EA2" s="108"/>
      <c r="EB2" s="108"/>
      <c r="EC2" s="108"/>
      <c r="ED2" s="108"/>
      <c r="EE2" s="108"/>
      <c r="EF2" s="108"/>
      <c r="EG2" s="108"/>
      <c r="EH2" s="108"/>
      <c r="EI2" s="108"/>
      <c r="EJ2" s="108"/>
      <c r="EK2" s="108"/>
      <c r="EL2" s="108"/>
      <c r="EM2" s="108"/>
      <c r="EN2" s="108"/>
      <c r="EO2" s="108"/>
      <c r="EP2" s="108"/>
      <c r="EQ2" s="108"/>
      <c r="ER2" s="108"/>
      <c r="ES2" s="108"/>
      <c r="ET2" s="108"/>
      <c r="EU2" s="108"/>
      <c r="EV2" s="108"/>
      <c r="EW2" s="108"/>
      <c r="EX2" s="108"/>
      <c r="EY2" s="108"/>
      <c r="EZ2" s="108"/>
      <c r="FA2" s="108"/>
      <c r="FB2" s="108"/>
      <c r="FC2" s="108"/>
      <c r="FD2" s="108"/>
      <c r="FE2" s="108"/>
      <c r="FF2" s="108"/>
      <c r="FG2" s="108"/>
      <c r="FH2" s="108"/>
      <c r="FI2" s="108"/>
      <c r="FJ2" s="108"/>
      <c r="FK2" s="108"/>
      <c r="FL2" s="108"/>
      <c r="FM2" s="108"/>
      <c r="FN2" s="108"/>
      <c r="FO2" s="108"/>
      <c r="FP2" s="108"/>
      <c r="FQ2" s="108"/>
      <c r="FR2" s="108"/>
      <c r="FS2" s="108"/>
      <c r="FT2" s="108"/>
      <c r="FU2" s="108"/>
      <c r="FV2" s="108"/>
      <c r="FW2" s="108"/>
      <c r="FX2" s="108"/>
      <c r="FY2" s="108"/>
      <c r="FZ2" s="108"/>
      <c r="GA2" s="108"/>
      <c r="GB2" s="108"/>
      <c r="GC2" s="108"/>
      <c r="GD2" s="108"/>
      <c r="GE2" s="108"/>
      <c r="GF2" s="108"/>
      <c r="GG2" s="108"/>
      <c r="GH2" s="108"/>
      <c r="GI2" s="108"/>
      <c r="GJ2" s="108"/>
      <c r="GK2" s="108"/>
      <c r="GL2" s="108"/>
      <c r="GM2" s="108"/>
      <c r="GN2" s="108"/>
      <c r="GO2" s="108"/>
      <c r="GP2" s="108"/>
      <c r="GQ2" s="108"/>
      <c r="GR2" s="108"/>
      <c r="GS2" s="108"/>
      <c r="GT2" s="108"/>
      <c r="GU2" s="108"/>
      <c r="GV2" s="108"/>
      <c r="GW2" s="108"/>
      <c r="GX2" s="108"/>
      <c r="GY2" s="108"/>
      <c r="GZ2" s="108"/>
      <c r="HA2" s="108"/>
      <c r="HB2" s="108"/>
      <c r="HC2" s="108"/>
      <c r="HD2" s="108"/>
      <c r="HE2" s="108"/>
      <c r="HF2" s="108"/>
      <c r="HG2" s="108"/>
      <c r="HH2" s="110"/>
      <c r="HI2" s="110"/>
      <c r="HJ2" s="110"/>
      <c r="HK2" s="108"/>
      <c r="HL2" s="108"/>
      <c r="HM2" s="108"/>
      <c r="HN2" s="108"/>
      <c r="HO2" s="108"/>
      <c r="HP2" s="108"/>
      <c r="HQ2" s="108"/>
      <c r="HR2" s="108"/>
      <c r="HS2" s="108"/>
      <c r="HT2" s="108"/>
      <c r="HU2" s="108"/>
      <c r="HV2" s="108"/>
      <c r="HW2" s="108"/>
      <c r="HX2" s="108"/>
      <c r="HY2" s="108"/>
      <c r="HZ2" s="108"/>
      <c r="IA2" s="108"/>
      <c r="IB2" s="108"/>
      <c r="IC2" s="108"/>
      <c r="ID2" s="108"/>
      <c r="IE2" s="108"/>
      <c r="IF2" s="108"/>
      <c r="IG2" s="108"/>
      <c r="IH2" s="108"/>
      <c r="II2" s="108"/>
      <c r="IJ2" s="108"/>
      <c r="IK2" s="108"/>
      <c r="IL2" s="108"/>
      <c r="IM2" s="108"/>
      <c r="IN2" s="108"/>
      <c r="IO2" s="108"/>
      <c r="IP2" s="108"/>
      <c r="IQ2" s="108"/>
      <c r="IR2" s="108"/>
      <c r="IS2" s="108"/>
      <c r="IT2" s="108"/>
      <c r="IU2" s="108"/>
      <c r="IV2" s="108"/>
    </row>
    <row r="3" spans="1:256" x14ac:dyDescent="0.25">
      <c r="A3" s="111" t="s">
        <v>536</v>
      </c>
      <c r="B3" s="142" t="s">
        <v>537</v>
      </c>
      <c r="C3" s="142"/>
      <c r="D3" s="111" t="s">
        <v>538</v>
      </c>
      <c r="E3" s="141"/>
      <c r="F3" s="141"/>
      <c r="G3" s="108"/>
      <c r="H3" s="108"/>
      <c r="I3" s="108"/>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8"/>
      <c r="AP3" s="108"/>
      <c r="AQ3" s="108"/>
      <c r="AR3" s="108"/>
      <c r="AS3" s="108"/>
      <c r="AT3" s="108"/>
      <c r="AU3" s="108"/>
      <c r="AV3" s="108"/>
      <c r="AW3" s="108"/>
      <c r="AX3" s="108"/>
      <c r="AY3" s="108"/>
      <c r="AZ3" s="108"/>
      <c r="BA3" s="108"/>
      <c r="BB3" s="108"/>
      <c r="BC3" s="108"/>
      <c r="BD3" s="108"/>
      <c r="BE3" s="108"/>
      <c r="BF3" s="108"/>
      <c r="BG3" s="108"/>
      <c r="BH3" s="108"/>
      <c r="BI3" s="108"/>
      <c r="BJ3" s="108"/>
      <c r="BK3" s="108"/>
      <c r="BL3" s="108"/>
      <c r="BM3" s="108"/>
      <c r="BN3" s="108"/>
      <c r="BO3" s="108"/>
      <c r="BP3" s="108"/>
      <c r="BQ3" s="108"/>
      <c r="BR3" s="108"/>
      <c r="BS3" s="108"/>
      <c r="BT3" s="108"/>
      <c r="BU3" s="108"/>
      <c r="BV3" s="108"/>
      <c r="BW3" s="108"/>
      <c r="BX3" s="108"/>
      <c r="BY3" s="108"/>
      <c r="BZ3" s="108"/>
      <c r="CA3" s="108"/>
      <c r="CB3" s="108"/>
      <c r="CC3" s="108"/>
      <c r="CD3" s="108"/>
      <c r="CE3" s="108"/>
      <c r="CF3" s="108"/>
      <c r="CG3" s="108"/>
      <c r="CH3" s="108"/>
      <c r="CI3" s="108"/>
      <c r="CJ3" s="108"/>
      <c r="CK3" s="108"/>
      <c r="CL3" s="108"/>
      <c r="CM3" s="108"/>
      <c r="CN3" s="108"/>
      <c r="CO3" s="108"/>
      <c r="CP3" s="108"/>
      <c r="CQ3" s="108"/>
      <c r="CR3" s="108"/>
      <c r="CS3" s="108"/>
      <c r="CT3" s="108"/>
      <c r="CU3" s="108"/>
      <c r="CV3" s="108"/>
      <c r="CW3" s="108"/>
      <c r="CX3" s="108"/>
      <c r="CY3" s="108"/>
      <c r="CZ3" s="108"/>
      <c r="DA3" s="108"/>
      <c r="DB3" s="108"/>
      <c r="DC3" s="108"/>
      <c r="DD3" s="108"/>
      <c r="DE3" s="108"/>
      <c r="DF3" s="108"/>
      <c r="DG3" s="108"/>
      <c r="DH3" s="108"/>
      <c r="DI3" s="108"/>
      <c r="DJ3" s="108"/>
      <c r="DK3" s="108"/>
      <c r="DL3" s="108"/>
      <c r="DM3" s="108"/>
      <c r="DN3" s="108"/>
      <c r="DO3" s="108"/>
      <c r="DP3" s="108"/>
      <c r="DQ3" s="108"/>
      <c r="DR3" s="108"/>
      <c r="DS3" s="108"/>
      <c r="DT3" s="108"/>
      <c r="DU3" s="108"/>
      <c r="DV3" s="108"/>
      <c r="DW3" s="108"/>
      <c r="DX3" s="108"/>
      <c r="DY3" s="108"/>
      <c r="DZ3" s="108"/>
      <c r="EA3" s="108"/>
      <c r="EB3" s="108"/>
      <c r="EC3" s="108"/>
      <c r="ED3" s="108"/>
      <c r="EE3" s="108"/>
      <c r="EF3" s="108"/>
      <c r="EG3" s="108"/>
      <c r="EH3" s="108"/>
      <c r="EI3" s="108"/>
      <c r="EJ3" s="108"/>
      <c r="EK3" s="108"/>
      <c r="EL3" s="108"/>
      <c r="EM3" s="108"/>
      <c r="EN3" s="108"/>
      <c r="EO3" s="108"/>
      <c r="EP3" s="108"/>
      <c r="EQ3" s="108"/>
      <c r="ER3" s="108"/>
      <c r="ES3" s="108"/>
      <c r="ET3" s="108"/>
      <c r="EU3" s="108"/>
      <c r="EV3" s="108"/>
      <c r="EW3" s="108"/>
      <c r="EX3" s="108"/>
      <c r="EY3" s="108"/>
      <c r="EZ3" s="108"/>
      <c r="FA3" s="108"/>
      <c r="FB3" s="108"/>
      <c r="FC3" s="108"/>
      <c r="FD3" s="108"/>
      <c r="FE3" s="108"/>
      <c r="FF3" s="108"/>
      <c r="FG3" s="108"/>
      <c r="FH3" s="108"/>
      <c r="FI3" s="108"/>
      <c r="FJ3" s="108"/>
      <c r="FK3" s="108"/>
      <c r="FL3" s="108"/>
      <c r="FM3" s="108"/>
      <c r="FN3" s="108"/>
      <c r="FO3" s="108"/>
      <c r="FP3" s="108"/>
      <c r="FQ3" s="108"/>
      <c r="FR3" s="108"/>
      <c r="FS3" s="108"/>
      <c r="FT3" s="108"/>
      <c r="FU3" s="108"/>
      <c r="FV3" s="108"/>
      <c r="FW3" s="108"/>
      <c r="FX3" s="108"/>
      <c r="FY3" s="108"/>
      <c r="FZ3" s="108"/>
      <c r="GA3" s="108"/>
      <c r="GB3" s="108"/>
      <c r="GC3" s="108"/>
      <c r="GD3" s="108"/>
      <c r="GE3" s="108"/>
      <c r="GF3" s="108"/>
      <c r="GG3" s="108"/>
      <c r="GH3" s="108"/>
      <c r="GI3" s="108"/>
      <c r="GJ3" s="108"/>
      <c r="GK3" s="108"/>
      <c r="GL3" s="108"/>
      <c r="GM3" s="108"/>
      <c r="GN3" s="108"/>
      <c r="GO3" s="108"/>
      <c r="GP3" s="108"/>
      <c r="GQ3" s="108"/>
      <c r="GR3" s="108"/>
      <c r="GS3" s="108"/>
      <c r="GT3" s="108"/>
      <c r="GU3" s="108"/>
      <c r="GV3" s="108"/>
      <c r="GW3" s="108"/>
      <c r="GX3" s="108"/>
      <c r="GY3" s="108"/>
      <c r="GZ3" s="108"/>
      <c r="HA3" s="108"/>
      <c r="HB3" s="108"/>
      <c r="HC3" s="108"/>
      <c r="HD3" s="108"/>
      <c r="HE3" s="108"/>
      <c r="HF3" s="108"/>
      <c r="HG3" s="108"/>
      <c r="HH3" s="110"/>
      <c r="HI3" s="110"/>
      <c r="HJ3" s="110"/>
      <c r="HK3" s="108"/>
      <c r="HL3" s="108"/>
      <c r="HM3" s="108"/>
      <c r="HN3" s="108"/>
      <c r="HO3" s="108"/>
      <c r="HP3" s="108"/>
      <c r="HQ3" s="108"/>
      <c r="HR3" s="108"/>
      <c r="HS3" s="108"/>
      <c r="HT3" s="108"/>
      <c r="HU3" s="108"/>
      <c r="HV3" s="108"/>
      <c r="HW3" s="108"/>
      <c r="HX3" s="108"/>
      <c r="HY3" s="108"/>
      <c r="HZ3" s="108"/>
      <c r="IA3" s="108"/>
      <c r="IB3" s="108"/>
      <c r="IC3" s="108"/>
      <c r="ID3" s="108"/>
      <c r="IE3" s="108"/>
      <c r="IF3" s="108"/>
      <c r="IG3" s="108"/>
      <c r="IH3" s="108"/>
      <c r="II3" s="108"/>
      <c r="IJ3" s="108"/>
      <c r="IK3" s="108"/>
      <c r="IL3" s="108"/>
      <c r="IM3" s="108"/>
      <c r="IN3" s="108"/>
      <c r="IO3" s="108"/>
      <c r="IP3" s="108"/>
      <c r="IQ3" s="108"/>
      <c r="IR3" s="108"/>
      <c r="IS3" s="108"/>
      <c r="IT3" s="108"/>
      <c r="IU3" s="108"/>
      <c r="IV3" s="108"/>
    </row>
    <row r="4" spans="1:256" ht="23.25" customHeight="1" x14ac:dyDescent="0.25">
      <c r="A4" s="111" t="s">
        <v>539</v>
      </c>
      <c r="B4" s="143" t="s">
        <v>540</v>
      </c>
      <c r="C4" s="143"/>
      <c r="D4" s="143"/>
      <c r="E4" s="108"/>
      <c r="F4" s="108"/>
      <c r="G4" s="140" t="s">
        <v>541</v>
      </c>
      <c r="H4" s="140"/>
      <c r="I4" s="140"/>
      <c r="J4" s="140"/>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c r="AZ4" s="108"/>
      <c r="BA4" s="108"/>
      <c r="BB4" s="108"/>
      <c r="BC4" s="108"/>
      <c r="BD4" s="108"/>
      <c r="BE4" s="108"/>
      <c r="BF4" s="108"/>
      <c r="BG4" s="108"/>
      <c r="BH4" s="108"/>
      <c r="BI4" s="108"/>
      <c r="BJ4" s="108"/>
      <c r="BK4" s="108"/>
      <c r="BL4" s="108"/>
      <c r="BM4" s="108"/>
      <c r="BN4" s="108"/>
      <c r="BO4" s="108"/>
      <c r="BP4" s="108"/>
      <c r="BQ4" s="108"/>
      <c r="BR4" s="108"/>
      <c r="BS4" s="108"/>
      <c r="BT4" s="108"/>
      <c r="BU4" s="108"/>
      <c r="BV4" s="108"/>
      <c r="BW4" s="108"/>
      <c r="BX4" s="108"/>
      <c r="BY4" s="108"/>
      <c r="BZ4" s="108"/>
      <c r="CA4" s="108"/>
      <c r="CB4" s="108"/>
      <c r="CC4" s="108"/>
      <c r="CD4" s="108"/>
      <c r="CE4" s="108"/>
      <c r="CF4" s="108"/>
      <c r="CG4" s="108"/>
      <c r="CH4" s="108"/>
      <c r="CI4" s="108"/>
      <c r="CJ4" s="108"/>
      <c r="CK4" s="108"/>
      <c r="CL4" s="108"/>
      <c r="CM4" s="108"/>
      <c r="CN4" s="108"/>
      <c r="CO4" s="108"/>
      <c r="CP4" s="108"/>
      <c r="CQ4" s="108"/>
      <c r="CR4" s="108"/>
      <c r="CS4" s="108"/>
      <c r="CT4" s="108"/>
      <c r="CU4" s="108"/>
      <c r="CV4" s="108"/>
      <c r="CW4" s="108"/>
      <c r="CX4" s="108"/>
      <c r="CY4" s="108"/>
      <c r="CZ4" s="108"/>
      <c r="DA4" s="108"/>
      <c r="DB4" s="108"/>
      <c r="DC4" s="108"/>
      <c r="DD4" s="108"/>
      <c r="DE4" s="108"/>
      <c r="DF4" s="108"/>
      <c r="DG4" s="108"/>
      <c r="DH4" s="108"/>
      <c r="DI4" s="108"/>
      <c r="DJ4" s="108"/>
      <c r="DK4" s="108"/>
      <c r="DL4" s="108"/>
      <c r="DM4" s="108"/>
      <c r="DN4" s="108"/>
      <c r="DO4" s="108"/>
      <c r="DP4" s="108"/>
      <c r="DQ4" s="108"/>
      <c r="DR4" s="108"/>
      <c r="DS4" s="108"/>
      <c r="DT4" s="108"/>
      <c r="DU4" s="108"/>
      <c r="DV4" s="108"/>
      <c r="DW4" s="108"/>
      <c r="DX4" s="108"/>
      <c r="DY4" s="108"/>
      <c r="DZ4" s="108"/>
      <c r="EA4" s="108"/>
      <c r="EB4" s="108"/>
      <c r="EC4" s="108"/>
      <c r="ED4" s="108"/>
      <c r="EE4" s="108"/>
      <c r="EF4" s="108"/>
      <c r="EG4" s="108"/>
      <c r="EH4" s="108"/>
      <c r="EI4" s="108"/>
      <c r="EJ4" s="108"/>
      <c r="EK4" s="108"/>
      <c r="EL4" s="108"/>
      <c r="EM4" s="108"/>
      <c r="EN4" s="108"/>
      <c r="EO4" s="108"/>
      <c r="EP4" s="108"/>
      <c r="EQ4" s="108"/>
      <c r="ER4" s="108"/>
      <c r="ES4" s="108"/>
      <c r="ET4" s="108"/>
      <c r="EU4" s="108"/>
      <c r="EV4" s="108"/>
      <c r="EW4" s="108"/>
      <c r="EX4" s="108"/>
      <c r="EY4" s="108"/>
      <c r="EZ4" s="108"/>
      <c r="FA4" s="108"/>
      <c r="FB4" s="108"/>
      <c r="FC4" s="108"/>
      <c r="FD4" s="108"/>
      <c r="FE4" s="108"/>
      <c r="FF4" s="108"/>
      <c r="FG4" s="108"/>
      <c r="FH4" s="108"/>
      <c r="FI4" s="108"/>
      <c r="FJ4" s="108"/>
      <c r="FK4" s="108"/>
      <c r="FL4" s="108"/>
      <c r="FM4" s="108"/>
      <c r="FN4" s="108"/>
      <c r="FO4" s="108"/>
      <c r="FP4" s="108"/>
      <c r="FQ4" s="108"/>
      <c r="FR4" s="108"/>
      <c r="FS4" s="108"/>
      <c r="FT4" s="108"/>
      <c r="FU4" s="108"/>
      <c r="FV4" s="108"/>
      <c r="FW4" s="108"/>
      <c r="FX4" s="108"/>
      <c r="FY4" s="108"/>
      <c r="FZ4" s="108"/>
      <c r="GA4" s="108"/>
      <c r="GB4" s="108"/>
      <c r="GC4" s="108"/>
      <c r="GD4" s="108"/>
      <c r="GE4" s="108"/>
      <c r="GF4" s="108"/>
      <c r="GG4" s="108"/>
      <c r="GH4" s="108"/>
      <c r="GI4" s="108"/>
      <c r="GJ4" s="108"/>
      <c r="GK4" s="108"/>
      <c r="GL4" s="108"/>
      <c r="GM4" s="108"/>
      <c r="GN4" s="108"/>
      <c r="GO4" s="108"/>
      <c r="GP4" s="108"/>
      <c r="GQ4" s="108"/>
      <c r="GR4" s="108"/>
      <c r="GS4" s="108"/>
      <c r="GT4" s="108"/>
      <c r="GU4" s="108"/>
      <c r="GV4" s="108"/>
      <c r="GW4" s="108"/>
      <c r="GX4" s="108"/>
      <c r="GY4" s="108"/>
      <c r="GZ4" s="108"/>
      <c r="HA4" s="108"/>
      <c r="HB4" s="108"/>
      <c r="HC4" s="108"/>
      <c r="HD4" s="108"/>
      <c r="HE4" s="108"/>
      <c r="HF4" s="108"/>
      <c r="HG4" s="108"/>
      <c r="HH4" s="108"/>
      <c r="HI4" s="108"/>
      <c r="HJ4" s="108"/>
      <c r="HK4" s="108"/>
      <c r="HL4" s="108"/>
      <c r="HM4" s="108"/>
      <c r="HN4" s="108"/>
      <c r="HO4" s="108"/>
      <c r="HP4" s="108"/>
      <c r="HQ4" s="108"/>
      <c r="HR4" s="108"/>
      <c r="HS4" s="108"/>
      <c r="HT4" s="108"/>
      <c r="HU4" s="108"/>
      <c r="HV4" s="108"/>
      <c r="HW4" s="108"/>
      <c r="HX4" s="108"/>
      <c r="HY4" s="108"/>
      <c r="HZ4" s="108"/>
      <c r="IA4" s="108"/>
      <c r="IB4" s="108"/>
      <c r="IC4" s="108"/>
      <c r="ID4" s="108"/>
      <c r="IE4" s="108"/>
      <c r="IF4" s="108"/>
      <c r="IG4" s="108"/>
      <c r="IH4" s="108"/>
      <c r="II4" s="108"/>
      <c r="IJ4" s="108"/>
      <c r="IK4" s="108"/>
      <c r="IL4" s="108"/>
      <c r="IM4" s="108"/>
      <c r="IN4" s="108"/>
      <c r="IO4" s="108"/>
      <c r="IP4" s="108"/>
      <c r="IQ4" s="108"/>
      <c r="IR4" s="108"/>
      <c r="IS4" s="108"/>
      <c r="IT4" s="108"/>
      <c r="IU4" s="108"/>
      <c r="IV4" s="108"/>
    </row>
    <row r="5" spans="1:256" s="69" customFormat="1" ht="63.75" x14ac:dyDescent="0.2">
      <c r="A5" s="109" t="s">
        <v>542</v>
      </c>
      <c r="B5" s="109" t="s">
        <v>543</v>
      </c>
      <c r="C5" s="109" t="s">
        <v>660</v>
      </c>
      <c r="D5" s="109" t="s">
        <v>544</v>
      </c>
      <c r="E5" s="109" t="s">
        <v>545</v>
      </c>
      <c r="F5" s="109" t="s">
        <v>546</v>
      </c>
      <c r="G5" s="111" t="s">
        <v>661</v>
      </c>
      <c r="H5" s="111" t="s">
        <v>662</v>
      </c>
      <c r="I5" s="111" t="s">
        <v>663</v>
      </c>
      <c r="J5" s="111" t="s">
        <v>664</v>
      </c>
      <c r="K5" s="111" t="s">
        <v>665</v>
      </c>
      <c r="L5" s="111" t="s">
        <v>666</v>
      </c>
      <c r="M5" s="111" t="s">
        <v>667</v>
      </c>
      <c r="N5" s="111" t="s">
        <v>668</v>
      </c>
      <c r="O5" s="111" t="s">
        <v>669</v>
      </c>
      <c r="P5" s="111" t="s">
        <v>670</v>
      </c>
      <c r="Q5" s="111" t="s">
        <v>671</v>
      </c>
      <c r="R5" s="111" t="s">
        <v>672</v>
      </c>
      <c r="S5" s="111" t="s">
        <v>673</v>
      </c>
      <c r="T5" s="111" t="s">
        <v>674</v>
      </c>
      <c r="U5" s="111" t="s">
        <v>675</v>
      </c>
      <c r="V5" s="111" t="s">
        <v>676</v>
      </c>
      <c r="W5" s="111" t="s">
        <v>677</v>
      </c>
      <c r="X5" s="111" t="s">
        <v>678</v>
      </c>
      <c r="Y5" s="111" t="s">
        <v>679</v>
      </c>
      <c r="Z5" s="111" t="s">
        <v>680</v>
      </c>
      <c r="AA5" s="111" t="s">
        <v>681</v>
      </c>
      <c r="AB5" s="111" t="s">
        <v>682</v>
      </c>
      <c r="AC5" s="111" t="s">
        <v>683</v>
      </c>
      <c r="AD5" s="111" t="s">
        <v>684</v>
      </c>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c r="CU5" s="109"/>
      <c r="CV5" s="109"/>
      <c r="CW5" s="109"/>
      <c r="CX5" s="109"/>
      <c r="CY5" s="109"/>
      <c r="CZ5" s="109"/>
      <c r="DA5" s="109"/>
      <c r="DB5" s="109"/>
      <c r="DC5" s="109"/>
      <c r="DD5" s="109"/>
      <c r="DE5" s="109"/>
      <c r="DF5" s="109"/>
      <c r="DG5" s="109"/>
      <c r="DH5" s="109"/>
      <c r="DI5" s="109"/>
      <c r="DJ5" s="109"/>
      <c r="DK5" s="109"/>
      <c r="DL5" s="109"/>
      <c r="DM5" s="109"/>
      <c r="DN5" s="109"/>
      <c r="DO5" s="109"/>
      <c r="DP5" s="109"/>
      <c r="DQ5" s="109"/>
      <c r="DR5" s="109"/>
      <c r="DS5" s="109"/>
      <c r="DT5" s="109"/>
      <c r="DU5" s="109"/>
      <c r="DV5" s="109"/>
      <c r="DW5" s="109"/>
      <c r="DX5" s="109"/>
      <c r="DY5" s="109"/>
      <c r="DZ5" s="109"/>
      <c r="EA5" s="109"/>
      <c r="EB5" s="109"/>
      <c r="EC5" s="109"/>
      <c r="ED5" s="109"/>
      <c r="EE5" s="109"/>
      <c r="EF5" s="109"/>
      <c r="EG5" s="109"/>
      <c r="EH5" s="109"/>
      <c r="EI5" s="109"/>
      <c r="EJ5" s="109"/>
      <c r="EK5" s="109"/>
      <c r="EL5" s="109"/>
      <c r="EM5" s="109"/>
      <c r="EN5" s="109"/>
      <c r="EO5" s="109"/>
      <c r="EP5" s="109"/>
      <c r="EQ5" s="109"/>
      <c r="ER5" s="109"/>
      <c r="ES5" s="109"/>
      <c r="ET5" s="109"/>
      <c r="EU5" s="109"/>
      <c r="EV5" s="109"/>
      <c r="EW5" s="109"/>
      <c r="EX5" s="109"/>
      <c r="EY5" s="109"/>
      <c r="EZ5" s="109"/>
      <c r="FA5" s="109"/>
      <c r="FB5" s="109"/>
      <c r="FC5" s="109"/>
      <c r="FD5" s="109"/>
      <c r="FE5" s="109"/>
      <c r="FF5" s="109"/>
      <c r="FG5" s="109"/>
      <c r="FH5" s="109"/>
      <c r="FI5" s="109"/>
      <c r="FJ5" s="109"/>
      <c r="FK5" s="109"/>
      <c r="FL5" s="109"/>
      <c r="FM5" s="109"/>
      <c r="FN5" s="109"/>
      <c r="FO5" s="109"/>
      <c r="FP5" s="109"/>
      <c r="FQ5" s="109"/>
      <c r="FR5" s="109"/>
      <c r="FS5" s="109"/>
      <c r="FT5" s="109"/>
      <c r="FU5" s="109"/>
      <c r="FV5" s="109"/>
      <c r="FW5" s="109"/>
      <c r="FX5" s="109"/>
      <c r="FY5" s="109"/>
      <c r="FZ5" s="109"/>
      <c r="GA5" s="109"/>
      <c r="GB5" s="109"/>
      <c r="GC5" s="109"/>
      <c r="GD5" s="109"/>
      <c r="GE5" s="109"/>
      <c r="GF5" s="109"/>
      <c r="GG5" s="109"/>
      <c r="GH5" s="109"/>
      <c r="GI5" s="109"/>
      <c r="GJ5" s="109"/>
      <c r="GK5" s="109"/>
      <c r="GL5" s="109"/>
      <c r="GM5" s="109"/>
      <c r="GN5" s="109"/>
      <c r="GO5" s="109"/>
      <c r="GP5" s="109"/>
      <c r="GQ5" s="109"/>
      <c r="GR5" s="109"/>
      <c r="GS5" s="109"/>
      <c r="GT5" s="109"/>
      <c r="GU5" s="109"/>
      <c r="GV5" s="109"/>
      <c r="GW5" s="109"/>
      <c r="GX5" s="109"/>
      <c r="GY5" s="109"/>
      <c r="GZ5" s="109"/>
      <c r="HA5" s="109"/>
      <c r="HB5" s="109"/>
      <c r="HC5" s="109"/>
      <c r="HD5" s="109"/>
      <c r="HE5" s="109"/>
      <c r="HF5" s="109"/>
      <c r="HG5" s="109"/>
      <c r="HH5" s="109"/>
      <c r="HI5" s="109"/>
      <c r="HJ5" s="109"/>
      <c r="HK5" s="112"/>
      <c r="HL5" s="112"/>
      <c r="HM5" s="112"/>
      <c r="HN5" s="112"/>
      <c r="HO5" s="112"/>
      <c r="HP5" s="112"/>
      <c r="HQ5" s="112"/>
      <c r="HR5" s="112"/>
      <c r="HS5" s="112"/>
      <c r="HT5" s="112"/>
      <c r="HU5" s="112"/>
      <c r="HV5" s="112"/>
      <c r="HW5" s="112"/>
      <c r="HX5" s="112"/>
      <c r="HY5" s="112"/>
      <c r="HZ5" s="112"/>
      <c r="IA5" s="112"/>
      <c r="IB5" s="112"/>
      <c r="IC5" s="112"/>
      <c r="ID5" s="112"/>
      <c r="IE5" s="112"/>
      <c r="IF5" s="112"/>
      <c r="IG5" s="112"/>
      <c r="IH5" s="112"/>
      <c r="II5" s="112"/>
      <c r="IJ5" s="112"/>
      <c r="IK5" s="112"/>
      <c r="IL5" s="112"/>
      <c r="IM5" s="112"/>
      <c r="IN5" s="112"/>
      <c r="IO5" s="112"/>
      <c r="IP5" s="112"/>
      <c r="IQ5" s="112"/>
      <c r="IR5" s="112"/>
      <c r="IS5" s="112"/>
      <c r="IT5" s="112"/>
      <c r="IU5" s="112"/>
      <c r="IV5" s="112"/>
    </row>
    <row r="6" spans="1:256" s="71" customFormat="1" x14ac:dyDescent="0.25">
      <c r="A6" s="113" t="s">
        <v>686</v>
      </c>
      <c r="B6" s="117" t="s">
        <v>305</v>
      </c>
      <c r="C6" s="113" t="s">
        <v>685</v>
      </c>
      <c r="D6" s="111"/>
      <c r="E6" s="116">
        <v>491.7</v>
      </c>
      <c r="F6" s="116">
        <v>444</v>
      </c>
      <c r="G6" s="116">
        <v>0</v>
      </c>
      <c r="H6" s="116">
        <v>0</v>
      </c>
      <c r="I6" s="116">
        <v>0.73499999999999999</v>
      </c>
      <c r="J6" s="116">
        <v>0</v>
      </c>
      <c r="K6" s="116">
        <v>0</v>
      </c>
      <c r="L6" s="116">
        <v>0</v>
      </c>
      <c r="M6" s="116">
        <v>0</v>
      </c>
      <c r="N6" s="116">
        <v>0</v>
      </c>
      <c r="O6" s="116">
        <v>0</v>
      </c>
      <c r="P6" s="116">
        <v>0</v>
      </c>
      <c r="Q6" s="116">
        <v>249.85300000000001</v>
      </c>
      <c r="R6" s="116">
        <v>0</v>
      </c>
      <c r="S6" s="116">
        <v>0</v>
      </c>
      <c r="T6" s="116">
        <v>0</v>
      </c>
      <c r="U6" s="116">
        <v>0</v>
      </c>
      <c r="V6" s="116">
        <v>0</v>
      </c>
      <c r="W6" s="116">
        <v>0</v>
      </c>
      <c r="X6" s="116">
        <v>0</v>
      </c>
      <c r="Y6" s="116">
        <v>0</v>
      </c>
      <c r="Z6" s="116">
        <v>481.93599999999998</v>
      </c>
      <c r="AA6" s="116">
        <v>0</v>
      </c>
      <c r="AB6" s="116">
        <v>49.21</v>
      </c>
      <c r="AC6" s="116">
        <v>0</v>
      </c>
      <c r="AD6" s="116">
        <v>2920.0729999999999</v>
      </c>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c r="DU6" s="114"/>
      <c r="DV6" s="114"/>
      <c r="DW6" s="114"/>
      <c r="DX6" s="114"/>
      <c r="DY6" s="114"/>
      <c r="DZ6" s="114"/>
      <c r="EA6" s="114"/>
      <c r="EB6" s="114"/>
      <c r="EC6" s="114"/>
      <c r="ED6" s="114"/>
      <c r="EE6" s="114"/>
      <c r="EF6" s="114"/>
      <c r="EG6" s="114"/>
      <c r="EH6" s="114"/>
      <c r="EI6" s="114"/>
      <c r="EJ6" s="114"/>
      <c r="EK6" s="114"/>
      <c r="EL6" s="114"/>
      <c r="EM6" s="114"/>
      <c r="EN6" s="114"/>
      <c r="EO6" s="114"/>
      <c r="EP6" s="114"/>
      <c r="EQ6" s="114"/>
      <c r="ER6" s="114"/>
      <c r="ES6" s="114"/>
      <c r="ET6" s="114"/>
      <c r="EU6" s="114"/>
      <c r="EV6" s="114"/>
      <c r="EW6" s="114"/>
      <c r="EX6" s="114"/>
      <c r="EY6" s="114"/>
      <c r="EZ6" s="114"/>
      <c r="FA6" s="114"/>
      <c r="FB6" s="114"/>
      <c r="FC6" s="114"/>
      <c r="FD6" s="114"/>
      <c r="FE6" s="114"/>
      <c r="FF6" s="114"/>
      <c r="FG6" s="114"/>
      <c r="FH6" s="114"/>
      <c r="FI6" s="114"/>
      <c r="FJ6" s="114"/>
      <c r="FK6" s="114"/>
      <c r="FL6" s="114"/>
      <c r="FM6" s="114"/>
      <c r="FN6" s="114"/>
      <c r="FO6" s="114"/>
      <c r="FP6" s="114"/>
      <c r="FQ6" s="114"/>
      <c r="FR6" s="114"/>
      <c r="FS6" s="114"/>
      <c r="FT6" s="114"/>
      <c r="FU6" s="114"/>
      <c r="FV6" s="114"/>
      <c r="FW6" s="114"/>
      <c r="FX6" s="114"/>
      <c r="FY6" s="114"/>
      <c r="FZ6" s="114"/>
      <c r="GA6" s="114"/>
      <c r="GB6" s="114"/>
      <c r="GC6" s="114"/>
      <c r="GD6" s="114"/>
      <c r="GE6" s="114"/>
      <c r="GF6" s="114"/>
      <c r="GG6" s="114"/>
      <c r="GH6" s="114"/>
      <c r="GI6" s="114"/>
      <c r="GJ6" s="114"/>
      <c r="GK6" s="114"/>
      <c r="GL6" s="114"/>
      <c r="GM6" s="114"/>
      <c r="GN6" s="114"/>
      <c r="GO6" s="114"/>
      <c r="GP6" s="114"/>
      <c r="GQ6" s="114"/>
      <c r="GR6" s="114"/>
      <c r="GS6" s="114"/>
      <c r="GT6" s="114"/>
      <c r="GU6" s="114"/>
      <c r="GV6" s="114"/>
      <c r="GW6" s="114"/>
      <c r="GX6" s="114"/>
      <c r="GY6" s="114"/>
      <c r="GZ6" s="114"/>
      <c r="HA6" s="114"/>
      <c r="HB6" s="114"/>
      <c r="HC6" s="114"/>
      <c r="HD6" s="114"/>
      <c r="HE6" s="114"/>
      <c r="HF6" s="114"/>
      <c r="HG6" s="114"/>
      <c r="HH6" s="114"/>
      <c r="HI6" s="114"/>
      <c r="HJ6" s="114"/>
      <c r="HK6" s="115"/>
      <c r="HL6" s="115"/>
      <c r="HM6" s="115"/>
      <c r="HN6" s="115"/>
      <c r="HO6" s="115"/>
      <c r="HP6" s="115"/>
      <c r="HQ6" s="115"/>
      <c r="HR6" s="115"/>
      <c r="HS6" s="115"/>
      <c r="HT6" s="115"/>
      <c r="HU6" s="115"/>
      <c r="HV6" s="115"/>
      <c r="HW6" s="115"/>
      <c r="HX6" s="115"/>
      <c r="HY6" s="115"/>
      <c r="HZ6" s="115"/>
      <c r="IA6" s="115"/>
      <c r="IB6" s="115"/>
      <c r="IC6" s="115"/>
      <c r="ID6" s="115"/>
      <c r="IE6" s="115"/>
      <c r="IF6" s="115"/>
      <c r="IG6" s="115"/>
      <c r="IH6" s="115"/>
      <c r="II6" s="115"/>
      <c r="IJ6" s="115"/>
      <c r="IK6" s="115"/>
      <c r="IL6" s="115"/>
      <c r="IM6" s="115"/>
      <c r="IN6" s="115"/>
      <c r="IO6" s="115"/>
      <c r="IP6" s="115"/>
      <c r="IQ6" s="115"/>
      <c r="IR6" s="115"/>
      <c r="IS6" s="115"/>
      <c r="IT6" s="115"/>
      <c r="IU6" s="115"/>
      <c r="IV6" s="115"/>
    </row>
    <row r="7" spans="1:256" s="71" customFormat="1" x14ac:dyDescent="0.25">
      <c r="A7" s="70"/>
      <c r="B7" s="70"/>
      <c r="C7" s="70"/>
      <c r="D7" s="67"/>
      <c r="E7" s="8"/>
      <c r="F7" s="8"/>
      <c r="G7" s="8"/>
      <c r="H7" s="8"/>
      <c r="I7" s="8"/>
      <c r="J7" s="8"/>
      <c r="K7" s="8"/>
      <c r="L7" s="8"/>
      <c r="M7" s="8"/>
      <c r="N7" s="8"/>
      <c r="O7" s="8"/>
      <c r="P7" s="8"/>
      <c r="Q7" s="8"/>
      <c r="R7" s="8"/>
      <c r="S7" s="8"/>
      <c r="T7" s="8"/>
      <c r="U7" s="8"/>
      <c r="V7" s="8"/>
      <c r="W7" s="8"/>
      <c r="X7" s="8"/>
      <c r="Y7" s="8"/>
      <c r="Z7" s="8"/>
      <c r="AA7" s="8"/>
      <c r="AB7" s="8"/>
      <c r="AC7" s="8"/>
      <c r="AD7" s="8"/>
      <c r="HK7" s="72"/>
      <c r="HL7" s="72"/>
      <c r="HM7" s="72"/>
      <c r="HN7" s="72"/>
      <c r="HO7" s="72"/>
      <c r="HP7" s="72"/>
      <c r="HQ7" s="72"/>
      <c r="HR7" s="72"/>
      <c r="HS7" s="72"/>
      <c r="HT7" s="72"/>
      <c r="HU7" s="72"/>
      <c r="HV7" s="72"/>
      <c r="HW7" s="72"/>
      <c r="HX7" s="72"/>
      <c r="HY7" s="72"/>
      <c r="HZ7" s="72"/>
      <c r="IA7" s="72"/>
      <c r="IB7" s="72"/>
      <c r="IC7" s="72"/>
      <c r="ID7" s="72"/>
      <c r="IE7" s="72"/>
      <c r="IF7" s="72"/>
      <c r="IG7" s="72"/>
      <c r="IH7" s="72"/>
      <c r="II7" s="72"/>
      <c r="IJ7" s="72"/>
      <c r="IK7" s="72"/>
      <c r="IL7" s="72"/>
      <c r="IM7" s="72"/>
      <c r="IN7" s="72"/>
      <c r="IO7" s="72"/>
      <c r="IP7" s="72"/>
      <c r="IQ7" s="72"/>
      <c r="IR7" s="72"/>
      <c r="IS7" s="72"/>
      <c r="IT7" s="72"/>
      <c r="IU7" s="72"/>
      <c r="IV7" s="72"/>
    </row>
    <row r="8" spans="1:256" s="71" customFormat="1" x14ac:dyDescent="0.25">
      <c r="A8" s="70"/>
      <c r="B8" s="70"/>
      <c r="C8" s="70"/>
      <c r="D8" s="67"/>
      <c r="E8" s="8"/>
      <c r="F8" s="8"/>
      <c r="G8" s="8"/>
      <c r="H8" s="8"/>
      <c r="I8" s="8"/>
      <c r="J8" s="8"/>
      <c r="K8" s="8"/>
      <c r="L8" s="8"/>
      <c r="M8" s="8"/>
      <c r="N8" s="8"/>
      <c r="O8" s="8"/>
      <c r="P8" s="8"/>
      <c r="Q8" s="8"/>
      <c r="R8" s="8"/>
      <c r="S8" s="8"/>
      <c r="T8" s="8"/>
      <c r="U8" s="8"/>
      <c r="V8" s="8"/>
      <c r="W8" s="8"/>
      <c r="X8" s="8"/>
      <c r="Y8" s="8"/>
      <c r="Z8" s="8"/>
      <c r="AA8" s="8"/>
      <c r="AB8" s="8"/>
      <c r="AC8" s="8"/>
      <c r="AD8" s="8"/>
      <c r="HK8" s="72"/>
      <c r="HL8" s="72"/>
      <c r="HM8" s="72"/>
      <c r="HN8" s="72"/>
      <c r="HO8" s="72"/>
      <c r="HP8" s="72"/>
      <c r="HQ8" s="72"/>
      <c r="HR8" s="72"/>
      <c r="HS8" s="72"/>
      <c r="HT8" s="72"/>
      <c r="HU8" s="72"/>
      <c r="HV8" s="72"/>
      <c r="HW8" s="72"/>
      <c r="HX8" s="72"/>
      <c r="HY8" s="72"/>
      <c r="HZ8" s="72"/>
      <c r="IA8" s="72"/>
      <c r="IB8" s="72"/>
      <c r="IC8" s="72"/>
      <c r="ID8" s="72"/>
      <c r="IE8" s="72"/>
      <c r="IF8" s="72"/>
      <c r="IG8" s="72"/>
      <c r="IH8" s="72"/>
      <c r="II8" s="72"/>
      <c r="IJ8" s="72"/>
      <c r="IK8" s="72"/>
      <c r="IL8" s="72"/>
      <c r="IM8" s="72"/>
      <c r="IN8" s="72"/>
      <c r="IO8" s="72"/>
      <c r="IP8" s="72"/>
      <c r="IQ8" s="72"/>
      <c r="IR8" s="72"/>
      <c r="IS8" s="72"/>
      <c r="IT8" s="72"/>
      <c r="IU8" s="72"/>
      <c r="IV8" s="72"/>
    </row>
    <row r="9" spans="1:256" s="71" customFormat="1" x14ac:dyDescent="0.25">
      <c r="A9" s="70"/>
      <c r="B9" s="70"/>
      <c r="C9" s="70"/>
      <c r="D9" s="67"/>
      <c r="E9" s="8"/>
      <c r="F9" s="8"/>
      <c r="G9" s="8"/>
      <c r="H9" s="8"/>
      <c r="I9" s="8"/>
      <c r="J9" s="8"/>
      <c r="K9" s="8"/>
      <c r="L9" s="8"/>
      <c r="M9" s="8"/>
      <c r="N9" s="8"/>
      <c r="O9" s="8"/>
      <c r="P9" s="8"/>
      <c r="Q9" s="8"/>
      <c r="R9" s="8"/>
      <c r="S9" s="8"/>
      <c r="T9" s="8"/>
      <c r="U9" s="8"/>
      <c r="V9" s="8"/>
      <c r="W9" s="8"/>
      <c r="X9" s="8"/>
      <c r="Y9" s="8"/>
      <c r="Z9" s="8"/>
      <c r="AA9" s="8"/>
      <c r="AB9" s="8"/>
      <c r="AC9" s="8"/>
      <c r="AD9" s="8"/>
      <c r="HK9" s="72"/>
      <c r="HL9" s="72"/>
      <c r="HM9" s="72"/>
      <c r="HN9" s="72"/>
      <c r="HO9" s="72"/>
      <c r="HP9" s="72"/>
      <c r="HQ9" s="72"/>
      <c r="HR9" s="72"/>
      <c r="HS9" s="72"/>
      <c r="HT9" s="72"/>
      <c r="HU9" s="72"/>
      <c r="HV9" s="72"/>
      <c r="HW9" s="72"/>
      <c r="HX9" s="72"/>
      <c r="HY9" s="72"/>
      <c r="HZ9" s="72"/>
      <c r="IA9" s="72"/>
      <c r="IB9" s="72"/>
      <c r="IC9" s="72"/>
      <c r="ID9" s="72"/>
      <c r="IE9" s="72"/>
      <c r="IF9" s="72"/>
      <c r="IG9" s="72"/>
      <c r="IH9" s="72"/>
      <c r="II9" s="72"/>
      <c r="IJ9" s="72"/>
      <c r="IK9" s="72"/>
      <c r="IL9" s="72"/>
      <c r="IM9" s="72"/>
      <c r="IN9" s="72"/>
      <c r="IO9" s="72"/>
      <c r="IP9" s="72"/>
      <c r="IQ9" s="72"/>
      <c r="IR9" s="72"/>
      <c r="IS9" s="72"/>
      <c r="IT9" s="72"/>
      <c r="IU9" s="72"/>
      <c r="IV9" s="72"/>
    </row>
    <row r="10" spans="1:256" s="71" customFormat="1" x14ac:dyDescent="0.25">
      <c r="A10" s="70"/>
      <c r="B10" s="70"/>
      <c r="C10" s="70"/>
      <c r="D10" s="67"/>
      <c r="E10" s="8"/>
      <c r="F10" s="8"/>
      <c r="G10" s="8"/>
      <c r="H10" s="8"/>
      <c r="I10" s="8"/>
      <c r="J10" s="8"/>
      <c r="K10" s="8"/>
      <c r="L10" s="8"/>
      <c r="M10" s="8"/>
      <c r="N10" s="8"/>
      <c r="O10" s="8"/>
      <c r="P10" s="8"/>
      <c r="Q10" s="8"/>
      <c r="R10" s="8"/>
      <c r="S10" s="8"/>
      <c r="T10" s="8"/>
      <c r="U10" s="8"/>
      <c r="V10" s="8"/>
      <c r="W10" s="8"/>
      <c r="X10" s="8"/>
      <c r="Y10" s="8"/>
      <c r="Z10" s="8"/>
      <c r="AA10" s="8"/>
      <c r="AB10" s="8"/>
      <c r="AC10" s="8"/>
      <c r="AD10" s="8"/>
      <c r="HK10" s="72"/>
      <c r="HL10" s="72"/>
      <c r="HM10" s="72"/>
      <c r="HN10" s="72"/>
      <c r="HO10" s="72"/>
      <c r="HP10" s="72"/>
      <c r="HQ10" s="72"/>
      <c r="HR10" s="72"/>
      <c r="HS10" s="72"/>
      <c r="HT10" s="72"/>
      <c r="HU10" s="72"/>
      <c r="HV10" s="72"/>
      <c r="HW10" s="72"/>
      <c r="HX10" s="72"/>
      <c r="HY10" s="72"/>
      <c r="HZ10" s="72"/>
      <c r="IA10" s="72"/>
      <c r="IB10" s="72"/>
      <c r="IC10" s="72"/>
      <c r="ID10" s="72"/>
      <c r="IE10" s="72"/>
      <c r="IF10" s="72"/>
      <c r="IG10" s="72"/>
      <c r="IH10" s="72"/>
      <c r="II10" s="72"/>
      <c r="IJ10" s="72"/>
      <c r="IK10" s="72"/>
      <c r="IL10" s="72"/>
      <c r="IM10" s="72"/>
      <c r="IN10" s="72"/>
      <c r="IO10" s="72"/>
      <c r="IP10" s="72"/>
      <c r="IQ10" s="72"/>
      <c r="IR10" s="72"/>
      <c r="IS10" s="72"/>
      <c r="IT10" s="72"/>
      <c r="IU10" s="72"/>
      <c r="IV10" s="72"/>
    </row>
    <row r="11" spans="1:256" s="71" customFormat="1" x14ac:dyDescent="0.25">
      <c r="A11" s="70"/>
      <c r="B11" s="70"/>
      <c r="C11" s="70"/>
      <c r="D11" s="67"/>
      <c r="E11" s="8"/>
      <c r="F11" s="8"/>
      <c r="G11" s="8"/>
      <c r="H11" s="8"/>
      <c r="I11" s="8"/>
      <c r="J11" s="8"/>
      <c r="K11" s="8"/>
      <c r="L11" s="8"/>
      <c r="M11" s="8"/>
      <c r="N11" s="8"/>
      <c r="O11" s="8"/>
      <c r="P11" s="8"/>
      <c r="Q11" s="8"/>
      <c r="R11" s="8"/>
      <c r="S11" s="8"/>
      <c r="T11" s="8"/>
      <c r="U11" s="8"/>
      <c r="V11" s="8"/>
      <c r="W11" s="8"/>
      <c r="X11" s="8"/>
      <c r="Y11" s="8"/>
      <c r="Z11" s="8"/>
      <c r="AA11" s="8"/>
      <c r="AB11" s="8"/>
      <c r="AC11" s="8"/>
      <c r="AD11" s="8"/>
      <c r="HK11" s="72"/>
      <c r="HL11" s="72"/>
      <c r="HM11" s="72"/>
      <c r="HN11" s="72"/>
      <c r="HO11" s="72"/>
      <c r="HP11" s="72"/>
      <c r="HQ11" s="72"/>
      <c r="HR11" s="72"/>
      <c r="HS11" s="72"/>
      <c r="HT11" s="72"/>
      <c r="HU11" s="72"/>
      <c r="HV11" s="72"/>
      <c r="HW11" s="72"/>
      <c r="HX11" s="72"/>
      <c r="HY11" s="72"/>
      <c r="HZ11" s="72"/>
      <c r="IA11" s="72"/>
      <c r="IB11" s="72"/>
      <c r="IC11" s="72"/>
      <c r="ID11" s="72"/>
      <c r="IE11" s="72"/>
      <c r="IF11" s="72"/>
      <c r="IG11" s="72"/>
      <c r="IH11" s="72"/>
      <c r="II11" s="72"/>
      <c r="IJ11" s="72"/>
      <c r="IK11" s="72"/>
      <c r="IL11" s="72"/>
      <c r="IM11" s="72"/>
      <c r="IN11" s="72"/>
      <c r="IO11" s="72"/>
      <c r="IP11" s="72"/>
      <c r="IQ11" s="72"/>
      <c r="IR11" s="72"/>
      <c r="IS11" s="72"/>
      <c r="IT11" s="72"/>
      <c r="IU11" s="72"/>
      <c r="IV11" s="72"/>
    </row>
    <row r="12" spans="1:256" s="71" customFormat="1" x14ac:dyDescent="0.25">
      <c r="A12" s="70"/>
      <c r="B12" s="70"/>
      <c r="C12" s="70"/>
      <c r="HK12" s="72"/>
      <c r="HL12" s="72"/>
      <c r="HM12" s="72"/>
      <c r="HN12" s="72"/>
      <c r="HO12" s="72"/>
      <c r="HP12" s="72"/>
      <c r="HQ12" s="72"/>
      <c r="HR12" s="72"/>
      <c r="HS12" s="72"/>
      <c r="HT12" s="72"/>
      <c r="HU12" s="72"/>
      <c r="HV12" s="72"/>
      <c r="HW12" s="72"/>
      <c r="HX12" s="72"/>
      <c r="HY12" s="72"/>
      <c r="HZ12" s="72"/>
      <c r="IA12" s="72"/>
      <c r="IB12" s="72"/>
      <c r="IC12" s="72"/>
      <c r="ID12" s="72"/>
      <c r="IE12" s="72"/>
      <c r="IF12" s="72"/>
      <c r="IG12" s="72"/>
      <c r="IH12" s="72"/>
      <c r="II12" s="72"/>
      <c r="IJ12" s="72"/>
      <c r="IK12" s="72"/>
      <c r="IL12" s="72"/>
      <c r="IM12" s="72"/>
      <c r="IN12" s="72"/>
      <c r="IO12" s="72"/>
      <c r="IP12" s="72"/>
      <c r="IQ12" s="72"/>
      <c r="IR12" s="72"/>
      <c r="IS12" s="72"/>
      <c r="IT12" s="72"/>
      <c r="IU12" s="72"/>
      <c r="IV12" s="72"/>
    </row>
    <row r="13" spans="1:256" s="71" customFormat="1" x14ac:dyDescent="0.25">
      <c r="A13" s="70"/>
      <c r="B13" s="70"/>
      <c r="C13" s="70"/>
      <c r="HK13" s="72"/>
      <c r="HL13" s="72"/>
      <c r="HM13" s="72"/>
      <c r="HN13" s="72"/>
      <c r="HO13" s="72"/>
      <c r="HP13" s="72"/>
      <c r="HQ13" s="72"/>
      <c r="HR13" s="72"/>
      <c r="HS13" s="72"/>
      <c r="HT13" s="72"/>
      <c r="HU13" s="72"/>
      <c r="HV13" s="72"/>
      <c r="HW13" s="72"/>
      <c r="HX13" s="72"/>
      <c r="HY13" s="72"/>
      <c r="HZ13" s="72"/>
      <c r="IA13" s="72"/>
      <c r="IB13" s="72"/>
      <c r="IC13" s="72"/>
      <c r="ID13" s="72"/>
      <c r="IE13" s="72"/>
      <c r="IF13" s="72"/>
      <c r="IG13" s="72"/>
      <c r="IH13" s="72"/>
      <c r="II13" s="72"/>
      <c r="IJ13" s="72"/>
      <c r="IK13" s="72"/>
      <c r="IL13" s="72"/>
      <c r="IM13" s="72"/>
      <c r="IN13" s="72"/>
      <c r="IO13" s="72"/>
      <c r="IP13" s="72"/>
      <c r="IQ13" s="72"/>
      <c r="IR13" s="72"/>
      <c r="IS13" s="72"/>
      <c r="IT13" s="72"/>
      <c r="IU13" s="72"/>
      <c r="IV13" s="72"/>
    </row>
    <row r="14" spans="1:256" s="71" customFormat="1" x14ac:dyDescent="0.25">
      <c r="A14" s="70"/>
      <c r="B14" s="70"/>
      <c r="C14" s="70"/>
      <c r="HK14" s="72"/>
      <c r="HL14" s="72"/>
      <c r="HM14" s="72"/>
      <c r="HN14" s="72"/>
      <c r="HO14" s="72"/>
      <c r="HP14" s="72"/>
      <c r="HQ14" s="72"/>
      <c r="HR14" s="72"/>
      <c r="HS14" s="72"/>
      <c r="HT14" s="72"/>
      <c r="HU14" s="72"/>
      <c r="HV14" s="72"/>
      <c r="HW14" s="72"/>
      <c r="HX14" s="72"/>
      <c r="HY14" s="72"/>
      <c r="HZ14" s="72"/>
      <c r="IA14" s="72"/>
      <c r="IB14" s="72"/>
      <c r="IC14" s="72"/>
      <c r="ID14" s="72"/>
      <c r="IE14" s="72"/>
      <c r="IF14" s="72"/>
      <c r="IG14" s="72"/>
      <c r="IH14" s="72"/>
      <c r="II14" s="72"/>
      <c r="IJ14" s="72"/>
      <c r="IK14" s="72"/>
      <c r="IL14" s="72"/>
      <c r="IM14" s="72"/>
      <c r="IN14" s="72"/>
      <c r="IO14" s="72"/>
      <c r="IP14" s="72"/>
      <c r="IQ14" s="72"/>
      <c r="IR14" s="72"/>
      <c r="IS14" s="72"/>
      <c r="IT14" s="72"/>
      <c r="IU14" s="72"/>
      <c r="IV14" s="72"/>
    </row>
    <row r="15" spans="1:256" s="71" customFormat="1" x14ac:dyDescent="0.25">
      <c r="A15" s="70"/>
      <c r="B15" s="70"/>
      <c r="C15" s="70"/>
      <c r="HK15" s="72"/>
      <c r="HL15" s="72"/>
      <c r="HM15" s="72"/>
      <c r="HN15" s="72"/>
      <c r="HO15" s="72"/>
      <c r="HP15" s="72"/>
      <c r="HQ15" s="72"/>
      <c r="HR15" s="72"/>
      <c r="HS15" s="72"/>
      <c r="HT15" s="72"/>
      <c r="HU15" s="72"/>
      <c r="HV15" s="72"/>
      <c r="HW15" s="72"/>
      <c r="HX15" s="72"/>
      <c r="HY15" s="72"/>
      <c r="HZ15" s="72"/>
      <c r="IA15" s="72"/>
      <c r="IB15" s="72"/>
      <c r="IC15" s="72"/>
      <c r="ID15" s="72"/>
      <c r="IE15" s="72"/>
      <c r="IF15" s="72"/>
      <c r="IG15" s="72"/>
      <c r="IH15" s="72"/>
      <c r="II15" s="72"/>
      <c r="IJ15" s="72"/>
      <c r="IK15" s="72"/>
      <c r="IL15" s="72"/>
      <c r="IM15" s="72"/>
      <c r="IN15" s="72"/>
      <c r="IO15" s="72"/>
      <c r="IP15" s="72"/>
      <c r="IQ15" s="72"/>
      <c r="IR15" s="72"/>
      <c r="IS15" s="72"/>
      <c r="IT15" s="72"/>
      <c r="IU15" s="72"/>
      <c r="IV15" s="72"/>
    </row>
    <row r="16" spans="1:256" s="71" customFormat="1" x14ac:dyDescent="0.25">
      <c r="A16" s="70"/>
      <c r="B16" s="70"/>
      <c r="C16" s="70"/>
      <c r="HK16" s="72"/>
      <c r="HL16" s="72"/>
      <c r="HM16" s="72"/>
      <c r="HN16" s="72"/>
      <c r="HO16" s="72"/>
      <c r="HP16" s="72"/>
      <c r="HQ16" s="72"/>
      <c r="HR16" s="72"/>
      <c r="HS16" s="72"/>
      <c r="HT16" s="72"/>
      <c r="HU16" s="72"/>
      <c r="HV16" s="72"/>
      <c r="HW16" s="72"/>
      <c r="HX16" s="72"/>
      <c r="HY16" s="72"/>
      <c r="HZ16" s="72"/>
      <c r="IA16" s="72"/>
      <c r="IB16" s="72"/>
      <c r="IC16" s="72"/>
      <c r="ID16" s="72"/>
      <c r="IE16" s="72"/>
      <c r="IF16" s="72"/>
      <c r="IG16" s="72"/>
      <c r="IH16" s="72"/>
      <c r="II16" s="72"/>
      <c r="IJ16" s="72"/>
      <c r="IK16" s="72"/>
      <c r="IL16" s="72"/>
      <c r="IM16" s="72"/>
      <c r="IN16" s="72"/>
      <c r="IO16" s="72"/>
      <c r="IP16" s="72"/>
      <c r="IQ16" s="72"/>
      <c r="IR16" s="72"/>
      <c r="IS16" s="72"/>
      <c r="IT16" s="72"/>
      <c r="IU16" s="72"/>
      <c r="IV16" s="72"/>
    </row>
    <row r="17" spans="1:256" s="71" customFormat="1" x14ac:dyDescent="0.25">
      <c r="A17" s="70"/>
      <c r="B17" s="70"/>
      <c r="C17" s="70"/>
      <c r="HK17" s="72"/>
      <c r="HL17" s="72"/>
      <c r="HM17" s="72"/>
      <c r="HN17" s="72"/>
      <c r="HO17" s="72"/>
      <c r="HP17" s="72"/>
      <c r="HQ17" s="72"/>
      <c r="HR17" s="72"/>
      <c r="HS17" s="72"/>
      <c r="HT17" s="72"/>
      <c r="HU17" s="72"/>
      <c r="HV17" s="72"/>
      <c r="HW17" s="72"/>
      <c r="HX17" s="72"/>
      <c r="HY17" s="72"/>
      <c r="HZ17" s="72"/>
      <c r="IA17" s="72"/>
      <c r="IB17" s="72"/>
      <c r="IC17" s="72"/>
      <c r="ID17" s="72"/>
      <c r="IE17" s="72"/>
      <c r="IF17" s="72"/>
      <c r="IG17" s="72"/>
      <c r="IH17" s="72"/>
      <c r="II17" s="72"/>
      <c r="IJ17" s="72"/>
      <c r="IK17" s="72"/>
      <c r="IL17" s="72"/>
      <c r="IM17" s="72"/>
      <c r="IN17" s="72"/>
      <c r="IO17" s="72"/>
      <c r="IP17" s="72"/>
      <c r="IQ17" s="72"/>
      <c r="IR17" s="72"/>
      <c r="IS17" s="72"/>
      <c r="IT17" s="72"/>
      <c r="IU17" s="72"/>
      <c r="IV17" s="72"/>
    </row>
    <row r="18" spans="1:256" s="71" customFormat="1" x14ac:dyDescent="0.25">
      <c r="A18" s="70"/>
      <c r="B18" s="70"/>
      <c r="C18" s="70"/>
      <c r="HK18" s="72"/>
      <c r="HL18" s="72"/>
      <c r="HM18" s="72"/>
      <c r="HN18" s="72"/>
      <c r="HO18" s="72"/>
      <c r="HP18" s="72"/>
      <c r="HQ18" s="72"/>
      <c r="HR18" s="72"/>
      <c r="HS18" s="72"/>
      <c r="HT18" s="72"/>
      <c r="HU18" s="72"/>
      <c r="HV18" s="72"/>
      <c r="HW18" s="72"/>
      <c r="HX18" s="72"/>
      <c r="HY18" s="72"/>
      <c r="HZ18" s="72"/>
      <c r="IA18" s="72"/>
      <c r="IB18" s="72"/>
      <c r="IC18" s="72"/>
      <c r="ID18" s="72"/>
      <c r="IE18" s="72"/>
      <c r="IF18" s="72"/>
      <c r="IG18" s="72"/>
      <c r="IH18" s="72"/>
      <c r="II18" s="72"/>
      <c r="IJ18" s="72"/>
      <c r="IK18" s="72"/>
      <c r="IL18" s="72"/>
      <c r="IM18" s="72"/>
      <c r="IN18" s="72"/>
      <c r="IO18" s="72"/>
      <c r="IP18" s="72"/>
      <c r="IQ18" s="72"/>
      <c r="IR18" s="72"/>
      <c r="IS18" s="72"/>
      <c r="IT18" s="72"/>
      <c r="IU18" s="72"/>
      <c r="IV18" s="72"/>
    </row>
    <row r="19" spans="1:256" s="71" customFormat="1" x14ac:dyDescent="0.25">
      <c r="A19" s="70"/>
      <c r="B19" s="70"/>
      <c r="C19" s="70"/>
      <c r="HK19" s="72"/>
      <c r="HL19" s="72"/>
      <c r="HM19" s="72"/>
      <c r="HN19" s="72"/>
      <c r="HO19" s="72"/>
      <c r="HP19" s="72"/>
      <c r="HQ19" s="72"/>
      <c r="HR19" s="72"/>
      <c r="HS19" s="72"/>
      <c r="HT19" s="72"/>
      <c r="HU19" s="72"/>
      <c r="HV19" s="72"/>
      <c r="HW19" s="72"/>
      <c r="HX19" s="72"/>
      <c r="HY19" s="72"/>
      <c r="HZ19" s="72"/>
      <c r="IA19" s="72"/>
      <c r="IB19" s="72"/>
      <c r="IC19" s="72"/>
      <c r="ID19" s="72"/>
      <c r="IE19" s="72"/>
      <c r="IF19" s="72"/>
      <c r="IG19" s="72"/>
      <c r="IH19" s="72"/>
      <c r="II19" s="72"/>
      <c r="IJ19" s="72"/>
      <c r="IK19" s="72"/>
      <c r="IL19" s="72"/>
      <c r="IM19" s="72"/>
      <c r="IN19" s="72"/>
      <c r="IO19" s="72"/>
      <c r="IP19" s="72"/>
      <c r="IQ19" s="72"/>
      <c r="IR19" s="72"/>
      <c r="IS19" s="72"/>
      <c r="IT19" s="72"/>
      <c r="IU19" s="72"/>
      <c r="IV19" s="72"/>
    </row>
    <row r="20" spans="1:256" s="71" customFormat="1" x14ac:dyDescent="0.25">
      <c r="A20" s="70"/>
      <c r="B20" s="70"/>
      <c r="C20" s="70"/>
      <c r="HK20" s="72"/>
      <c r="HL20" s="72"/>
      <c r="HM20" s="72"/>
      <c r="HN20" s="72"/>
      <c r="HO20" s="72"/>
      <c r="HP20" s="72"/>
      <c r="HQ20" s="72"/>
      <c r="HR20" s="72"/>
      <c r="HS20" s="72"/>
      <c r="HT20" s="72"/>
      <c r="HU20" s="72"/>
      <c r="HV20" s="72"/>
      <c r="HW20" s="72"/>
      <c r="HX20" s="72"/>
      <c r="HY20" s="72"/>
      <c r="HZ20" s="72"/>
      <c r="IA20" s="72"/>
      <c r="IB20" s="72"/>
      <c r="IC20" s="72"/>
      <c r="ID20" s="72"/>
      <c r="IE20" s="72"/>
      <c r="IF20" s="72"/>
      <c r="IG20" s="72"/>
      <c r="IH20" s="72"/>
      <c r="II20" s="72"/>
      <c r="IJ20" s="72"/>
      <c r="IK20" s="72"/>
      <c r="IL20" s="72"/>
      <c r="IM20" s="72"/>
      <c r="IN20" s="72"/>
      <c r="IO20" s="72"/>
      <c r="IP20" s="72"/>
      <c r="IQ20" s="72"/>
      <c r="IR20" s="72"/>
      <c r="IS20" s="72"/>
      <c r="IT20" s="72"/>
      <c r="IU20" s="72"/>
      <c r="IV20" s="72"/>
    </row>
    <row r="21" spans="1:256" s="71" customFormat="1" x14ac:dyDescent="0.25">
      <c r="A21" s="70"/>
      <c r="B21" s="70"/>
      <c r="C21" s="70"/>
      <c r="HK21" s="72"/>
      <c r="HL21" s="72"/>
      <c r="HM21" s="72"/>
      <c r="HN21" s="72"/>
      <c r="HO21" s="72"/>
      <c r="HP21" s="72"/>
      <c r="HQ21" s="72"/>
      <c r="HR21" s="72"/>
      <c r="HS21" s="72"/>
      <c r="HT21" s="72"/>
      <c r="HU21" s="72"/>
      <c r="HV21" s="72"/>
      <c r="HW21" s="72"/>
      <c r="HX21" s="72"/>
      <c r="HY21" s="72"/>
      <c r="HZ21" s="72"/>
      <c r="IA21" s="72"/>
      <c r="IB21" s="72"/>
      <c r="IC21" s="72"/>
      <c r="ID21" s="72"/>
      <c r="IE21" s="72"/>
      <c r="IF21" s="72"/>
      <c r="IG21" s="72"/>
      <c r="IH21" s="72"/>
      <c r="II21" s="72"/>
      <c r="IJ21" s="72"/>
      <c r="IK21" s="72"/>
      <c r="IL21" s="72"/>
      <c r="IM21" s="72"/>
      <c r="IN21" s="72"/>
      <c r="IO21" s="72"/>
      <c r="IP21" s="72"/>
      <c r="IQ21" s="72"/>
      <c r="IR21" s="72"/>
      <c r="IS21" s="72"/>
      <c r="IT21" s="72"/>
      <c r="IU21" s="72"/>
      <c r="IV21" s="72"/>
    </row>
    <row r="22" spans="1:256" s="71" customFormat="1" x14ac:dyDescent="0.25">
      <c r="A22" s="70"/>
      <c r="B22" s="70"/>
      <c r="C22" s="70"/>
      <c r="HK22" s="72"/>
      <c r="HL22" s="72"/>
      <c r="HM22" s="72"/>
      <c r="HN22" s="72"/>
      <c r="HO22" s="72"/>
      <c r="HP22" s="72"/>
      <c r="HQ22" s="72"/>
      <c r="HR22" s="72"/>
      <c r="HS22" s="72"/>
      <c r="HT22" s="72"/>
      <c r="HU22" s="72"/>
      <c r="HV22" s="72"/>
      <c r="HW22" s="72"/>
      <c r="HX22" s="72"/>
      <c r="HY22" s="72"/>
      <c r="HZ22" s="72"/>
      <c r="IA22" s="72"/>
      <c r="IB22" s="72"/>
      <c r="IC22" s="72"/>
      <c r="ID22" s="72"/>
      <c r="IE22" s="72"/>
      <c r="IF22" s="72"/>
      <c r="IG22" s="72"/>
      <c r="IH22" s="72"/>
      <c r="II22" s="72"/>
      <c r="IJ22" s="72"/>
      <c r="IK22" s="72"/>
      <c r="IL22" s="72"/>
      <c r="IM22" s="72"/>
      <c r="IN22" s="72"/>
      <c r="IO22" s="72"/>
      <c r="IP22" s="72"/>
      <c r="IQ22" s="72"/>
      <c r="IR22" s="72"/>
      <c r="IS22" s="72"/>
      <c r="IT22" s="72"/>
      <c r="IU22" s="72"/>
      <c r="IV22" s="72"/>
    </row>
    <row r="23" spans="1:256" s="71" customFormat="1" x14ac:dyDescent="0.25">
      <c r="A23" s="70"/>
      <c r="B23" s="70"/>
      <c r="C23" s="70"/>
      <c r="HK23" s="72"/>
      <c r="HL23" s="72"/>
      <c r="HM23" s="72"/>
      <c r="HN23" s="72"/>
      <c r="HO23" s="72"/>
      <c r="HP23" s="72"/>
      <c r="HQ23" s="72"/>
      <c r="HR23" s="72"/>
      <c r="HS23" s="72"/>
      <c r="HT23" s="72"/>
      <c r="HU23" s="72"/>
      <c r="HV23" s="72"/>
      <c r="HW23" s="72"/>
      <c r="HX23" s="72"/>
      <c r="HY23" s="72"/>
      <c r="HZ23" s="72"/>
      <c r="IA23" s="72"/>
      <c r="IB23" s="72"/>
      <c r="IC23" s="72"/>
      <c r="ID23" s="72"/>
      <c r="IE23" s="72"/>
      <c r="IF23" s="72"/>
      <c r="IG23" s="72"/>
      <c r="IH23" s="72"/>
      <c r="II23" s="72"/>
      <c r="IJ23" s="72"/>
      <c r="IK23" s="72"/>
      <c r="IL23" s="72"/>
      <c r="IM23" s="72"/>
      <c r="IN23" s="72"/>
      <c r="IO23" s="72"/>
      <c r="IP23" s="72"/>
      <c r="IQ23" s="72"/>
      <c r="IR23" s="72"/>
      <c r="IS23" s="72"/>
      <c r="IT23" s="72"/>
      <c r="IU23" s="72"/>
      <c r="IV23" s="72"/>
    </row>
    <row r="24" spans="1:256" s="71" customFormat="1" x14ac:dyDescent="0.25">
      <c r="A24" s="70"/>
      <c r="B24" s="70"/>
      <c r="C24" s="70"/>
      <c r="HK24" s="72"/>
      <c r="HL24" s="72"/>
      <c r="HM24" s="72"/>
      <c r="HN24" s="72"/>
      <c r="HO24" s="72"/>
      <c r="HP24" s="72"/>
      <c r="HQ24" s="72"/>
      <c r="HR24" s="72"/>
      <c r="HS24" s="72"/>
      <c r="HT24" s="72"/>
      <c r="HU24" s="72"/>
      <c r="HV24" s="72"/>
      <c r="HW24" s="72"/>
      <c r="HX24" s="72"/>
      <c r="HY24" s="72"/>
      <c r="HZ24" s="72"/>
      <c r="IA24" s="72"/>
      <c r="IB24" s="72"/>
      <c r="IC24" s="72"/>
      <c r="ID24" s="72"/>
      <c r="IE24" s="72"/>
      <c r="IF24" s="72"/>
      <c r="IG24" s="72"/>
      <c r="IH24" s="72"/>
      <c r="II24" s="72"/>
      <c r="IJ24" s="72"/>
      <c r="IK24" s="72"/>
      <c r="IL24" s="72"/>
      <c r="IM24" s="72"/>
      <c r="IN24" s="72"/>
      <c r="IO24" s="72"/>
      <c r="IP24" s="72"/>
      <c r="IQ24" s="72"/>
      <c r="IR24" s="72"/>
      <c r="IS24" s="72"/>
      <c r="IT24" s="72"/>
      <c r="IU24" s="72"/>
      <c r="IV24" s="72"/>
    </row>
    <row r="25" spans="1:256" s="71" customFormat="1" x14ac:dyDescent="0.25">
      <c r="A25" s="70"/>
      <c r="B25" s="70"/>
      <c r="C25" s="70"/>
      <c r="HK25" s="72"/>
      <c r="HL25" s="72"/>
      <c r="HM25" s="72"/>
      <c r="HN25" s="72"/>
      <c r="HO25" s="72"/>
      <c r="HP25" s="72"/>
      <c r="HQ25" s="72"/>
      <c r="HR25" s="72"/>
      <c r="HS25" s="72"/>
      <c r="HT25" s="72"/>
      <c r="HU25" s="72"/>
      <c r="HV25" s="72"/>
      <c r="HW25" s="72"/>
      <c r="HX25" s="72"/>
      <c r="HY25" s="72"/>
      <c r="HZ25" s="72"/>
      <c r="IA25" s="72"/>
      <c r="IB25" s="72"/>
      <c r="IC25" s="72"/>
      <c r="ID25" s="72"/>
      <c r="IE25" s="72"/>
      <c r="IF25" s="72"/>
      <c r="IG25" s="72"/>
      <c r="IH25" s="72"/>
      <c r="II25" s="72"/>
      <c r="IJ25" s="72"/>
      <c r="IK25" s="72"/>
      <c r="IL25" s="72"/>
      <c r="IM25" s="72"/>
      <c r="IN25" s="72"/>
      <c r="IO25" s="72"/>
      <c r="IP25" s="72"/>
      <c r="IQ25" s="72"/>
      <c r="IR25" s="72"/>
      <c r="IS25" s="72"/>
      <c r="IT25" s="72"/>
      <c r="IU25" s="72"/>
      <c r="IV25" s="72"/>
    </row>
    <row r="26" spans="1:256" s="71" customFormat="1" x14ac:dyDescent="0.25">
      <c r="A26" s="70"/>
      <c r="B26" s="70"/>
      <c r="C26" s="70"/>
      <c r="HK26" s="72"/>
      <c r="HL26" s="72"/>
      <c r="HM26" s="72"/>
      <c r="HN26" s="72"/>
      <c r="HO26" s="72"/>
      <c r="HP26" s="72"/>
      <c r="HQ26" s="72"/>
      <c r="HR26" s="72"/>
      <c r="HS26" s="72"/>
      <c r="HT26" s="72"/>
      <c r="HU26" s="72"/>
      <c r="HV26" s="72"/>
      <c r="HW26" s="72"/>
      <c r="HX26" s="72"/>
      <c r="HY26" s="72"/>
      <c r="HZ26" s="72"/>
      <c r="IA26" s="72"/>
      <c r="IB26" s="72"/>
      <c r="IC26" s="72"/>
      <c r="ID26" s="72"/>
      <c r="IE26" s="72"/>
      <c r="IF26" s="72"/>
      <c r="IG26" s="72"/>
      <c r="IH26" s="72"/>
      <c r="II26" s="72"/>
      <c r="IJ26" s="72"/>
      <c r="IK26" s="72"/>
      <c r="IL26" s="72"/>
      <c r="IM26" s="72"/>
      <c r="IN26" s="72"/>
      <c r="IO26" s="72"/>
      <c r="IP26" s="72"/>
      <c r="IQ26" s="72"/>
      <c r="IR26" s="72"/>
      <c r="IS26" s="72"/>
      <c r="IT26" s="72"/>
      <c r="IU26" s="72"/>
      <c r="IV26" s="72"/>
    </row>
    <row r="27" spans="1:256" s="71" customFormat="1" x14ac:dyDescent="0.25">
      <c r="A27" s="70"/>
      <c r="B27" s="70"/>
      <c r="C27" s="70"/>
      <c r="HK27" s="72"/>
      <c r="HL27" s="72"/>
      <c r="HM27" s="72"/>
      <c r="HN27" s="72"/>
      <c r="HO27" s="72"/>
      <c r="HP27" s="72"/>
      <c r="HQ27" s="72"/>
      <c r="HR27" s="72"/>
      <c r="HS27" s="72"/>
      <c r="HT27" s="72"/>
      <c r="HU27" s="72"/>
      <c r="HV27" s="72"/>
      <c r="HW27" s="72"/>
      <c r="HX27" s="72"/>
      <c r="HY27" s="72"/>
      <c r="HZ27" s="72"/>
      <c r="IA27" s="72"/>
      <c r="IB27" s="72"/>
      <c r="IC27" s="72"/>
      <c r="ID27" s="72"/>
      <c r="IE27" s="72"/>
      <c r="IF27" s="72"/>
      <c r="IG27" s="72"/>
      <c r="IH27" s="72"/>
      <c r="II27" s="72"/>
      <c r="IJ27" s="72"/>
      <c r="IK27" s="72"/>
      <c r="IL27" s="72"/>
      <c r="IM27" s="72"/>
      <c r="IN27" s="72"/>
      <c r="IO27" s="72"/>
      <c r="IP27" s="72"/>
      <c r="IQ27" s="72"/>
      <c r="IR27" s="72"/>
      <c r="IS27" s="72"/>
      <c r="IT27" s="72"/>
      <c r="IU27" s="72"/>
      <c r="IV27" s="72"/>
    </row>
    <row r="28" spans="1:256" s="71" customFormat="1" x14ac:dyDescent="0.25">
      <c r="A28" s="70"/>
      <c r="B28" s="70"/>
      <c r="C28" s="70"/>
      <c r="HK28" s="72"/>
      <c r="HL28" s="72"/>
      <c r="HM28" s="72"/>
      <c r="HN28" s="72"/>
      <c r="HO28" s="72"/>
      <c r="HP28" s="72"/>
      <c r="HQ28" s="72"/>
      <c r="HR28" s="72"/>
      <c r="HS28" s="72"/>
      <c r="HT28" s="72"/>
      <c r="HU28" s="72"/>
      <c r="HV28" s="72"/>
      <c r="HW28" s="72"/>
      <c r="HX28" s="72"/>
      <c r="HY28" s="72"/>
      <c r="HZ28" s="72"/>
      <c r="IA28" s="72"/>
      <c r="IB28" s="72"/>
      <c r="IC28" s="72"/>
      <c r="ID28" s="72"/>
      <c r="IE28" s="72"/>
      <c r="IF28" s="72"/>
      <c r="IG28" s="72"/>
      <c r="IH28" s="72"/>
      <c r="II28" s="72"/>
      <c r="IJ28" s="72"/>
      <c r="IK28" s="72"/>
      <c r="IL28" s="72"/>
      <c r="IM28" s="72"/>
      <c r="IN28" s="72"/>
      <c r="IO28" s="72"/>
      <c r="IP28" s="72"/>
      <c r="IQ28" s="72"/>
      <c r="IR28" s="72"/>
      <c r="IS28" s="72"/>
      <c r="IT28" s="72"/>
      <c r="IU28" s="72"/>
      <c r="IV28" s="72"/>
    </row>
    <row r="29" spans="1:256" s="71" customFormat="1" x14ac:dyDescent="0.25">
      <c r="A29" s="70"/>
      <c r="B29" s="70"/>
      <c r="C29" s="70"/>
      <c r="HK29" s="72"/>
      <c r="HL29" s="72"/>
      <c r="HM29" s="72"/>
      <c r="HN29" s="72"/>
      <c r="HO29" s="72"/>
      <c r="HP29" s="72"/>
      <c r="HQ29" s="72"/>
      <c r="HR29" s="72"/>
      <c r="HS29" s="72"/>
      <c r="HT29" s="72"/>
      <c r="HU29" s="72"/>
      <c r="HV29" s="72"/>
      <c r="HW29" s="72"/>
      <c r="HX29" s="72"/>
      <c r="HY29" s="72"/>
      <c r="HZ29" s="72"/>
      <c r="IA29" s="72"/>
      <c r="IB29" s="72"/>
      <c r="IC29" s="72"/>
      <c r="ID29" s="72"/>
      <c r="IE29" s="72"/>
      <c r="IF29" s="72"/>
      <c r="IG29" s="72"/>
      <c r="IH29" s="72"/>
      <c r="II29" s="72"/>
      <c r="IJ29" s="72"/>
      <c r="IK29" s="72"/>
      <c r="IL29" s="72"/>
      <c r="IM29" s="72"/>
      <c r="IN29" s="72"/>
      <c r="IO29" s="72"/>
      <c r="IP29" s="72"/>
      <c r="IQ29" s="72"/>
      <c r="IR29" s="72"/>
      <c r="IS29" s="72"/>
      <c r="IT29" s="72"/>
      <c r="IU29" s="72"/>
      <c r="IV29" s="72"/>
    </row>
    <row r="30" spans="1:256" s="71" customFormat="1" x14ac:dyDescent="0.25">
      <c r="A30" s="70"/>
      <c r="B30" s="70"/>
      <c r="C30" s="70"/>
      <c r="HK30" s="72"/>
      <c r="HL30" s="72"/>
      <c r="HM30" s="72"/>
      <c r="HN30" s="72"/>
      <c r="HO30" s="72"/>
      <c r="HP30" s="72"/>
      <c r="HQ30" s="72"/>
      <c r="HR30" s="72"/>
      <c r="HS30" s="72"/>
      <c r="HT30" s="72"/>
      <c r="HU30" s="72"/>
      <c r="HV30" s="72"/>
      <c r="HW30" s="72"/>
      <c r="HX30" s="72"/>
      <c r="HY30" s="72"/>
      <c r="HZ30" s="72"/>
      <c r="IA30" s="72"/>
      <c r="IB30" s="72"/>
      <c r="IC30" s="72"/>
      <c r="ID30" s="72"/>
      <c r="IE30" s="72"/>
      <c r="IF30" s="72"/>
      <c r="IG30" s="72"/>
      <c r="IH30" s="72"/>
      <c r="II30" s="72"/>
      <c r="IJ30" s="72"/>
      <c r="IK30" s="72"/>
      <c r="IL30" s="72"/>
      <c r="IM30" s="72"/>
      <c r="IN30" s="72"/>
      <c r="IO30" s="72"/>
      <c r="IP30" s="72"/>
      <c r="IQ30" s="72"/>
      <c r="IR30" s="72"/>
      <c r="IS30" s="72"/>
      <c r="IT30" s="72"/>
      <c r="IU30" s="72"/>
      <c r="IV30" s="72"/>
    </row>
    <row r="31" spans="1:256" s="71" customFormat="1" x14ac:dyDescent="0.25">
      <c r="A31" s="70"/>
      <c r="B31" s="70"/>
      <c r="C31" s="70"/>
      <c r="HK31" s="72"/>
      <c r="HL31" s="72"/>
      <c r="HM31" s="72"/>
      <c r="HN31" s="72"/>
      <c r="HO31" s="72"/>
      <c r="HP31" s="72"/>
      <c r="HQ31" s="72"/>
      <c r="HR31" s="72"/>
      <c r="HS31" s="72"/>
      <c r="HT31" s="72"/>
      <c r="HU31" s="72"/>
      <c r="HV31" s="72"/>
      <c r="HW31" s="72"/>
      <c r="HX31" s="72"/>
      <c r="HY31" s="72"/>
      <c r="HZ31" s="72"/>
      <c r="IA31" s="72"/>
      <c r="IB31" s="72"/>
      <c r="IC31" s="72"/>
      <c r="ID31" s="72"/>
      <c r="IE31" s="72"/>
      <c r="IF31" s="72"/>
      <c r="IG31" s="72"/>
      <c r="IH31" s="72"/>
      <c r="II31" s="72"/>
      <c r="IJ31" s="72"/>
      <c r="IK31" s="72"/>
      <c r="IL31" s="72"/>
      <c r="IM31" s="72"/>
      <c r="IN31" s="72"/>
      <c r="IO31" s="72"/>
      <c r="IP31" s="72"/>
      <c r="IQ31" s="72"/>
      <c r="IR31" s="72"/>
      <c r="IS31" s="72"/>
      <c r="IT31" s="72"/>
      <c r="IU31" s="72"/>
      <c r="IV31" s="72"/>
    </row>
    <row r="32" spans="1:256" s="71" customFormat="1" x14ac:dyDescent="0.25">
      <c r="A32" s="70"/>
      <c r="B32" s="70"/>
      <c r="C32" s="70"/>
      <c r="HK32" s="72"/>
      <c r="HL32" s="72"/>
      <c r="HM32" s="72"/>
      <c r="HN32" s="72"/>
      <c r="HO32" s="72"/>
      <c r="HP32" s="72"/>
      <c r="HQ32" s="72"/>
      <c r="HR32" s="72"/>
      <c r="HS32" s="72"/>
      <c r="HT32" s="72"/>
      <c r="HU32" s="72"/>
      <c r="HV32" s="72"/>
      <c r="HW32" s="72"/>
      <c r="HX32" s="72"/>
      <c r="HY32" s="72"/>
      <c r="HZ32" s="72"/>
      <c r="IA32" s="72"/>
      <c r="IB32" s="72"/>
      <c r="IC32" s="72"/>
      <c r="ID32" s="72"/>
      <c r="IE32" s="72"/>
      <c r="IF32" s="72"/>
      <c r="IG32" s="72"/>
      <c r="IH32" s="72"/>
      <c r="II32" s="72"/>
      <c r="IJ32" s="72"/>
      <c r="IK32" s="72"/>
      <c r="IL32" s="72"/>
      <c r="IM32" s="72"/>
      <c r="IN32" s="72"/>
      <c r="IO32" s="72"/>
      <c r="IP32" s="72"/>
      <c r="IQ32" s="72"/>
      <c r="IR32" s="72"/>
      <c r="IS32" s="72"/>
      <c r="IT32" s="72"/>
      <c r="IU32" s="72"/>
      <c r="IV32" s="72"/>
    </row>
    <row r="33" spans="1:256" s="71" customFormat="1" x14ac:dyDescent="0.25">
      <c r="A33" s="70"/>
      <c r="B33" s="70"/>
      <c r="C33" s="70"/>
      <c r="P33" s="73"/>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row>
    <row r="34" spans="1:256" s="71" customFormat="1" x14ac:dyDescent="0.25">
      <c r="A34" s="70"/>
      <c r="B34" s="70"/>
      <c r="C34" s="70"/>
      <c r="HK34" s="72"/>
      <c r="HL34" s="72"/>
      <c r="HM34" s="72"/>
      <c r="HN34" s="72"/>
      <c r="HO34" s="72"/>
      <c r="HP34" s="72"/>
      <c r="HQ34" s="72"/>
      <c r="HR34" s="72"/>
      <c r="HS34" s="72"/>
      <c r="HT34" s="72"/>
      <c r="HU34" s="72"/>
      <c r="HV34" s="72"/>
      <c r="HW34" s="72"/>
      <c r="HX34" s="72"/>
      <c r="HY34" s="72"/>
      <c r="HZ34" s="72"/>
      <c r="IA34" s="72"/>
      <c r="IB34" s="72"/>
      <c r="IC34" s="72"/>
      <c r="ID34" s="72"/>
      <c r="IE34" s="72"/>
      <c r="IF34" s="72"/>
      <c r="IG34" s="72"/>
      <c r="IH34" s="72"/>
      <c r="II34" s="72"/>
      <c r="IJ34" s="72"/>
      <c r="IK34" s="72"/>
      <c r="IL34" s="72"/>
      <c r="IM34" s="72"/>
      <c r="IN34" s="72"/>
      <c r="IO34" s="72"/>
      <c r="IP34" s="72"/>
      <c r="IQ34" s="72"/>
      <c r="IR34" s="72"/>
      <c r="IS34" s="72"/>
      <c r="IT34" s="72"/>
      <c r="IU34" s="72"/>
      <c r="IV34" s="72"/>
    </row>
    <row r="35" spans="1:256" s="71" customFormat="1" x14ac:dyDescent="0.25">
      <c r="A35" s="70"/>
      <c r="B35" s="70"/>
      <c r="C35" s="70"/>
      <c r="HK35" s="72"/>
      <c r="HL35" s="72"/>
      <c r="HM35" s="72"/>
      <c r="HN35" s="72"/>
      <c r="HO35" s="72"/>
      <c r="HP35" s="72"/>
      <c r="HQ35" s="72"/>
      <c r="HR35" s="72"/>
      <c r="HS35" s="72"/>
      <c r="HT35" s="72"/>
      <c r="HU35" s="72"/>
      <c r="HV35" s="72"/>
      <c r="HW35" s="72"/>
      <c r="HX35" s="72"/>
      <c r="HY35" s="72"/>
      <c r="HZ35" s="72"/>
      <c r="IA35" s="72"/>
      <c r="IB35" s="72"/>
      <c r="IC35" s="72"/>
      <c r="ID35" s="72"/>
      <c r="IE35" s="72"/>
      <c r="IF35" s="72"/>
      <c r="IG35" s="72"/>
      <c r="IH35" s="72"/>
      <c r="II35" s="72"/>
      <c r="IJ35" s="72"/>
      <c r="IK35" s="72"/>
      <c r="IL35" s="72"/>
      <c r="IM35" s="72"/>
      <c r="IN35" s="72"/>
      <c r="IO35" s="72"/>
      <c r="IP35" s="72"/>
      <c r="IQ35" s="72"/>
      <c r="IR35" s="72"/>
      <c r="IS35" s="72"/>
      <c r="IT35" s="72"/>
      <c r="IU35" s="72"/>
      <c r="IV35" s="72"/>
    </row>
    <row r="36" spans="1:256" s="71" customFormat="1" x14ac:dyDescent="0.25">
      <c r="A36" s="70"/>
      <c r="B36" s="70"/>
      <c r="C36" s="70"/>
      <c r="HK36" s="72"/>
      <c r="HL36" s="72"/>
      <c r="HM36" s="72"/>
      <c r="HN36" s="72"/>
      <c r="HO36" s="72"/>
      <c r="HP36" s="72"/>
      <c r="HQ36" s="72"/>
      <c r="HR36" s="72"/>
      <c r="HS36" s="72"/>
      <c r="HT36" s="72"/>
      <c r="HU36" s="72"/>
      <c r="HV36" s="72"/>
      <c r="HW36" s="72"/>
      <c r="HX36" s="72"/>
      <c r="HY36" s="72"/>
      <c r="HZ36" s="72"/>
      <c r="IA36" s="72"/>
      <c r="IB36" s="72"/>
      <c r="IC36" s="72"/>
      <c r="ID36" s="72"/>
      <c r="IE36" s="72"/>
      <c r="IF36" s="72"/>
      <c r="IG36" s="72"/>
      <c r="IH36" s="72"/>
      <c r="II36" s="72"/>
      <c r="IJ36" s="72"/>
      <c r="IK36" s="72"/>
      <c r="IL36" s="72"/>
      <c r="IM36" s="72"/>
      <c r="IN36" s="72"/>
      <c r="IO36" s="72"/>
      <c r="IP36" s="72"/>
      <c r="IQ36" s="72"/>
      <c r="IR36" s="72"/>
      <c r="IS36" s="72"/>
      <c r="IT36" s="72"/>
      <c r="IU36" s="72"/>
      <c r="IV36" s="72"/>
    </row>
    <row r="37" spans="1:256" s="71" customFormat="1" x14ac:dyDescent="0.25">
      <c r="A37" s="70"/>
      <c r="B37" s="70"/>
      <c r="C37" s="70"/>
      <c r="HK37" s="72"/>
      <c r="HL37" s="72"/>
      <c r="HM37" s="72"/>
      <c r="HN37" s="72"/>
      <c r="HO37" s="72"/>
      <c r="HP37" s="72"/>
      <c r="HQ37" s="72"/>
      <c r="HR37" s="72"/>
      <c r="HS37" s="72"/>
      <c r="HT37" s="72"/>
      <c r="HU37" s="72"/>
      <c r="HV37" s="72"/>
      <c r="HW37" s="72"/>
      <c r="HX37" s="72"/>
      <c r="HY37" s="72"/>
      <c r="HZ37" s="72"/>
      <c r="IA37" s="72"/>
      <c r="IB37" s="72"/>
      <c r="IC37" s="72"/>
      <c r="ID37" s="72"/>
      <c r="IE37" s="72"/>
      <c r="IF37" s="72"/>
      <c r="IG37" s="72"/>
      <c r="IH37" s="72"/>
      <c r="II37" s="72"/>
      <c r="IJ37" s="72"/>
      <c r="IK37" s="72"/>
      <c r="IL37" s="72"/>
      <c r="IM37" s="72"/>
      <c r="IN37" s="72"/>
      <c r="IO37" s="72"/>
      <c r="IP37" s="72"/>
      <c r="IQ37" s="72"/>
      <c r="IR37" s="72"/>
      <c r="IS37" s="72"/>
      <c r="IT37" s="72"/>
      <c r="IU37" s="72"/>
      <c r="IV37" s="72"/>
    </row>
    <row r="38" spans="1:256" s="71" customFormat="1" x14ac:dyDescent="0.25">
      <c r="A38" s="70"/>
      <c r="B38" s="70"/>
      <c r="C38" s="70"/>
      <c r="HK38" s="72"/>
      <c r="HL38" s="72"/>
      <c r="HM38" s="72"/>
      <c r="HN38" s="72"/>
      <c r="HO38" s="72"/>
      <c r="HP38" s="72"/>
      <c r="HQ38" s="72"/>
      <c r="HR38" s="72"/>
      <c r="HS38" s="72"/>
      <c r="HT38" s="72"/>
      <c r="HU38" s="72"/>
      <c r="HV38" s="72"/>
      <c r="HW38" s="72"/>
      <c r="HX38" s="72"/>
      <c r="HY38" s="72"/>
      <c r="HZ38" s="72"/>
      <c r="IA38" s="72"/>
      <c r="IB38" s="72"/>
      <c r="IC38" s="72"/>
      <c r="ID38" s="72"/>
      <c r="IE38" s="72"/>
      <c r="IF38" s="72"/>
      <c r="IG38" s="72"/>
      <c r="IH38" s="72"/>
      <c r="II38" s="72"/>
      <c r="IJ38" s="72"/>
      <c r="IK38" s="72"/>
      <c r="IL38" s="72"/>
      <c r="IM38" s="72"/>
      <c r="IN38" s="72"/>
      <c r="IO38" s="72"/>
      <c r="IP38" s="72"/>
      <c r="IQ38" s="72"/>
      <c r="IR38" s="72"/>
      <c r="IS38" s="72"/>
      <c r="IT38" s="72"/>
      <c r="IU38" s="72"/>
      <c r="IV38" s="72"/>
    </row>
    <row r="39" spans="1:256" s="71" customFormat="1" x14ac:dyDescent="0.25">
      <c r="A39" s="70"/>
      <c r="B39" s="70"/>
      <c r="C39" s="70"/>
      <c r="HK39" s="72"/>
      <c r="HL39" s="72"/>
      <c r="HM39" s="72"/>
      <c r="HN39" s="72"/>
      <c r="HO39" s="72"/>
      <c r="HP39" s="72"/>
      <c r="HQ39" s="72"/>
      <c r="HR39" s="72"/>
      <c r="HS39" s="72"/>
      <c r="HT39" s="72"/>
      <c r="HU39" s="72"/>
      <c r="HV39" s="72"/>
      <c r="HW39" s="72"/>
      <c r="HX39" s="72"/>
      <c r="HY39" s="72"/>
      <c r="HZ39" s="72"/>
      <c r="IA39" s="72"/>
      <c r="IB39" s="72"/>
      <c r="IC39" s="72"/>
      <c r="ID39" s="72"/>
      <c r="IE39" s="72"/>
      <c r="IF39" s="72"/>
      <c r="IG39" s="72"/>
      <c r="IH39" s="72"/>
      <c r="II39" s="72"/>
      <c r="IJ39" s="72"/>
      <c r="IK39" s="72"/>
      <c r="IL39" s="72"/>
      <c r="IM39" s="72"/>
      <c r="IN39" s="72"/>
      <c r="IO39" s="72"/>
      <c r="IP39" s="72"/>
      <c r="IQ39" s="72"/>
      <c r="IR39" s="72"/>
      <c r="IS39" s="72"/>
      <c r="IT39" s="72"/>
      <c r="IU39" s="72"/>
      <c r="IV39" s="72"/>
    </row>
    <row r="40" spans="1:256" s="71" customFormat="1" x14ac:dyDescent="0.25">
      <c r="A40" s="70"/>
      <c r="B40" s="70"/>
      <c r="C40" s="70"/>
      <c r="HK40" s="72"/>
      <c r="HL40" s="72"/>
      <c r="HM40" s="72"/>
      <c r="HN40" s="72"/>
      <c r="HO40" s="72"/>
      <c r="HP40" s="72"/>
      <c r="HQ40" s="72"/>
      <c r="HR40" s="72"/>
      <c r="HS40" s="72"/>
      <c r="HT40" s="72"/>
      <c r="HU40" s="72"/>
      <c r="HV40" s="72"/>
      <c r="HW40" s="72"/>
      <c r="HX40" s="72"/>
      <c r="HY40" s="72"/>
      <c r="HZ40" s="72"/>
      <c r="IA40" s="72"/>
      <c r="IB40" s="72"/>
      <c r="IC40" s="72"/>
      <c r="ID40" s="72"/>
      <c r="IE40" s="72"/>
      <c r="IF40" s="72"/>
      <c r="IG40" s="72"/>
      <c r="IH40" s="72"/>
      <c r="II40" s="72"/>
      <c r="IJ40" s="72"/>
      <c r="IK40" s="72"/>
      <c r="IL40" s="72"/>
      <c r="IM40" s="72"/>
      <c r="IN40" s="72"/>
      <c r="IO40" s="72"/>
      <c r="IP40" s="72"/>
      <c r="IQ40" s="72"/>
      <c r="IR40" s="72"/>
      <c r="IS40" s="72"/>
      <c r="IT40" s="72"/>
      <c r="IU40" s="72"/>
      <c r="IV40" s="72"/>
    </row>
    <row r="41" spans="1:256" s="71" customFormat="1" x14ac:dyDescent="0.25">
      <c r="A41" s="70"/>
      <c r="B41" s="70"/>
      <c r="C41" s="70"/>
      <c r="HK41" s="72"/>
      <c r="HL41" s="72"/>
      <c r="HM41" s="72"/>
      <c r="HN41" s="72"/>
      <c r="HO41" s="72"/>
      <c r="HP41" s="72"/>
      <c r="HQ41" s="72"/>
      <c r="HR41" s="72"/>
      <c r="HS41" s="72"/>
      <c r="HT41" s="72"/>
      <c r="HU41" s="72"/>
      <c r="HV41" s="72"/>
      <c r="HW41" s="72"/>
      <c r="HX41" s="72"/>
      <c r="HY41" s="72"/>
      <c r="HZ41" s="72"/>
      <c r="IA41" s="72"/>
      <c r="IB41" s="72"/>
      <c r="IC41" s="72"/>
      <c r="ID41" s="72"/>
      <c r="IE41" s="72"/>
      <c r="IF41" s="72"/>
      <c r="IG41" s="72"/>
      <c r="IH41" s="72"/>
      <c r="II41" s="72"/>
      <c r="IJ41" s="72"/>
      <c r="IK41" s="72"/>
      <c r="IL41" s="72"/>
      <c r="IM41" s="72"/>
      <c r="IN41" s="72"/>
      <c r="IO41" s="72"/>
      <c r="IP41" s="72"/>
      <c r="IQ41" s="72"/>
      <c r="IR41" s="72"/>
      <c r="IS41" s="72"/>
      <c r="IT41" s="72"/>
      <c r="IU41" s="72"/>
      <c r="IV41" s="72"/>
    </row>
    <row r="42" spans="1:256" s="71" customFormat="1" x14ac:dyDescent="0.25">
      <c r="A42" s="70"/>
      <c r="B42" s="70"/>
      <c r="C42" s="70"/>
      <c r="HK42" s="72"/>
      <c r="HL42" s="72"/>
      <c r="HM42" s="72"/>
      <c r="HN42" s="72"/>
      <c r="HO42" s="72"/>
      <c r="HP42" s="72"/>
      <c r="HQ42" s="72"/>
      <c r="HR42" s="72"/>
      <c r="HS42" s="72"/>
      <c r="HT42" s="72"/>
      <c r="HU42" s="72"/>
      <c r="HV42" s="72"/>
      <c r="HW42" s="72"/>
      <c r="HX42" s="72"/>
      <c r="HY42" s="72"/>
      <c r="HZ42" s="72"/>
      <c r="IA42" s="72"/>
      <c r="IB42" s="72"/>
      <c r="IC42" s="72"/>
      <c r="ID42" s="72"/>
      <c r="IE42" s="72"/>
      <c r="IF42" s="72"/>
      <c r="IG42" s="72"/>
      <c r="IH42" s="72"/>
      <c r="II42" s="72"/>
      <c r="IJ42" s="72"/>
      <c r="IK42" s="72"/>
      <c r="IL42" s="72"/>
      <c r="IM42" s="72"/>
      <c r="IN42" s="72"/>
      <c r="IO42" s="72"/>
      <c r="IP42" s="72"/>
      <c r="IQ42" s="72"/>
      <c r="IR42" s="72"/>
      <c r="IS42" s="72"/>
      <c r="IT42" s="72"/>
      <c r="IU42" s="72"/>
      <c r="IV42" s="72"/>
    </row>
    <row r="43" spans="1:256" s="71" customFormat="1" x14ac:dyDescent="0.25">
      <c r="A43" s="70"/>
      <c r="B43" s="70"/>
      <c r="C43" s="70"/>
      <c r="HK43" s="72"/>
      <c r="HL43" s="72"/>
      <c r="HM43" s="72"/>
      <c r="HN43" s="72"/>
      <c r="HO43" s="72"/>
      <c r="HP43" s="72"/>
      <c r="HQ43" s="72"/>
      <c r="HR43" s="72"/>
      <c r="HS43" s="72"/>
      <c r="HT43" s="72"/>
      <c r="HU43" s="72"/>
      <c r="HV43" s="72"/>
      <c r="HW43" s="72"/>
      <c r="HX43" s="72"/>
      <c r="HY43" s="72"/>
      <c r="HZ43" s="72"/>
      <c r="IA43" s="72"/>
      <c r="IB43" s="72"/>
      <c r="IC43" s="72"/>
      <c r="ID43" s="72"/>
      <c r="IE43" s="72"/>
      <c r="IF43" s="72"/>
      <c r="IG43" s="72"/>
      <c r="IH43" s="72"/>
      <c r="II43" s="72"/>
      <c r="IJ43" s="72"/>
      <c r="IK43" s="72"/>
      <c r="IL43" s="72"/>
      <c r="IM43" s="72"/>
      <c r="IN43" s="72"/>
      <c r="IO43" s="72"/>
      <c r="IP43" s="72"/>
      <c r="IQ43" s="72"/>
      <c r="IR43" s="72"/>
      <c r="IS43" s="72"/>
      <c r="IT43" s="72"/>
      <c r="IU43" s="72"/>
      <c r="IV43" s="72"/>
    </row>
    <row r="44" spans="1:256" s="71" customFormat="1" x14ac:dyDescent="0.25">
      <c r="A44" s="70"/>
      <c r="B44" s="70"/>
      <c r="C44" s="70"/>
      <c r="HK44" s="72"/>
      <c r="HL44" s="72"/>
      <c r="HM44" s="72"/>
      <c r="HN44" s="72"/>
      <c r="HO44" s="72"/>
      <c r="HP44" s="72"/>
      <c r="HQ44" s="72"/>
      <c r="HR44" s="72"/>
      <c r="HS44" s="72"/>
      <c r="HT44" s="72"/>
      <c r="HU44" s="72"/>
      <c r="HV44" s="72"/>
      <c r="HW44" s="72"/>
      <c r="HX44" s="72"/>
      <c r="HY44" s="72"/>
      <c r="HZ44" s="72"/>
      <c r="IA44" s="72"/>
      <c r="IB44" s="72"/>
      <c r="IC44" s="72"/>
      <c r="ID44" s="72"/>
      <c r="IE44" s="72"/>
      <c r="IF44" s="72"/>
      <c r="IG44" s="72"/>
      <c r="IH44" s="72"/>
      <c r="II44" s="72"/>
      <c r="IJ44" s="72"/>
      <c r="IK44" s="72"/>
      <c r="IL44" s="72"/>
      <c r="IM44" s="72"/>
      <c r="IN44" s="72"/>
      <c r="IO44" s="72"/>
      <c r="IP44" s="72"/>
      <c r="IQ44" s="72"/>
      <c r="IR44" s="72"/>
      <c r="IS44" s="72"/>
      <c r="IT44" s="72"/>
      <c r="IU44" s="72"/>
      <c r="IV44" s="72"/>
    </row>
    <row r="45" spans="1:256" s="71" customFormat="1" x14ac:dyDescent="0.25">
      <c r="A45" s="70"/>
      <c r="B45" s="70"/>
      <c r="C45" s="70"/>
      <c r="HK45" s="72"/>
      <c r="HL45" s="72"/>
      <c r="HM45" s="72"/>
      <c r="HN45" s="72"/>
      <c r="HO45" s="72"/>
      <c r="HP45" s="72"/>
      <c r="HQ45" s="72"/>
      <c r="HR45" s="72"/>
      <c r="HS45" s="72"/>
      <c r="HT45" s="72"/>
      <c r="HU45" s="72"/>
      <c r="HV45" s="72"/>
      <c r="HW45" s="72"/>
      <c r="HX45" s="72"/>
      <c r="HY45" s="72"/>
      <c r="HZ45" s="72"/>
      <c r="IA45" s="72"/>
      <c r="IB45" s="72"/>
      <c r="IC45" s="72"/>
      <c r="ID45" s="72"/>
      <c r="IE45" s="72"/>
      <c r="IF45" s="72"/>
      <c r="IG45" s="72"/>
      <c r="IH45" s="72"/>
      <c r="II45" s="72"/>
      <c r="IJ45" s="72"/>
      <c r="IK45" s="72"/>
      <c r="IL45" s="72"/>
      <c r="IM45" s="72"/>
      <c r="IN45" s="72"/>
      <c r="IO45" s="72"/>
      <c r="IP45" s="72"/>
      <c r="IQ45" s="72"/>
      <c r="IR45" s="72"/>
      <c r="IS45" s="72"/>
      <c r="IT45" s="72"/>
      <c r="IU45" s="72"/>
      <c r="IV45" s="72"/>
    </row>
    <row r="46" spans="1:256" s="71" customFormat="1" x14ac:dyDescent="0.25">
      <c r="A46" s="70"/>
      <c r="B46" s="70"/>
      <c r="C46" s="70"/>
      <c r="HK46" s="72"/>
      <c r="HL46" s="72"/>
      <c r="HM46" s="72"/>
      <c r="HN46" s="72"/>
      <c r="HO46" s="72"/>
      <c r="HP46" s="72"/>
      <c r="HQ46" s="72"/>
      <c r="HR46" s="72"/>
      <c r="HS46" s="72"/>
      <c r="HT46" s="72"/>
      <c r="HU46" s="72"/>
      <c r="HV46" s="72"/>
      <c r="HW46" s="72"/>
      <c r="HX46" s="72"/>
      <c r="HY46" s="72"/>
      <c r="HZ46" s="72"/>
      <c r="IA46" s="72"/>
      <c r="IB46" s="72"/>
      <c r="IC46" s="72"/>
      <c r="ID46" s="72"/>
      <c r="IE46" s="72"/>
      <c r="IF46" s="72"/>
      <c r="IG46" s="72"/>
      <c r="IH46" s="72"/>
      <c r="II46" s="72"/>
      <c r="IJ46" s="72"/>
      <c r="IK46" s="72"/>
      <c r="IL46" s="72"/>
      <c r="IM46" s="72"/>
      <c r="IN46" s="72"/>
      <c r="IO46" s="72"/>
      <c r="IP46" s="72"/>
      <c r="IQ46" s="72"/>
      <c r="IR46" s="72"/>
      <c r="IS46" s="72"/>
      <c r="IT46" s="72"/>
      <c r="IU46" s="72"/>
      <c r="IV46" s="72"/>
    </row>
    <row r="47" spans="1:256" s="71" customFormat="1" x14ac:dyDescent="0.25">
      <c r="A47" s="70"/>
      <c r="B47" s="70"/>
      <c r="C47" s="70"/>
      <c r="HK47" s="72"/>
      <c r="HL47" s="72"/>
      <c r="HM47" s="72"/>
      <c r="HN47" s="72"/>
      <c r="HO47" s="72"/>
      <c r="HP47" s="72"/>
      <c r="HQ47" s="72"/>
      <c r="HR47" s="72"/>
      <c r="HS47" s="72"/>
      <c r="HT47" s="72"/>
      <c r="HU47" s="72"/>
      <c r="HV47" s="72"/>
      <c r="HW47" s="72"/>
      <c r="HX47" s="72"/>
      <c r="HY47" s="72"/>
      <c r="HZ47" s="72"/>
      <c r="IA47" s="72"/>
      <c r="IB47" s="72"/>
      <c r="IC47" s="72"/>
      <c r="ID47" s="72"/>
      <c r="IE47" s="72"/>
      <c r="IF47" s="72"/>
      <c r="IG47" s="72"/>
      <c r="IH47" s="72"/>
      <c r="II47" s="72"/>
      <c r="IJ47" s="72"/>
      <c r="IK47" s="72"/>
      <c r="IL47" s="72"/>
      <c r="IM47" s="72"/>
      <c r="IN47" s="72"/>
      <c r="IO47" s="72"/>
      <c r="IP47" s="72"/>
      <c r="IQ47" s="72"/>
      <c r="IR47" s="72"/>
      <c r="IS47" s="72"/>
      <c r="IT47" s="72"/>
      <c r="IU47" s="72"/>
      <c r="IV47" s="72"/>
    </row>
    <row r="48" spans="1:256" s="71" customFormat="1" x14ac:dyDescent="0.25">
      <c r="A48" s="70"/>
      <c r="B48" s="70"/>
      <c r="C48" s="70"/>
      <c r="HK48" s="72"/>
      <c r="HL48" s="72"/>
      <c r="HM48" s="72"/>
      <c r="HN48" s="72"/>
      <c r="HO48" s="72"/>
      <c r="HP48" s="72"/>
      <c r="HQ48" s="72"/>
      <c r="HR48" s="72"/>
      <c r="HS48" s="72"/>
      <c r="HT48" s="72"/>
      <c r="HU48" s="72"/>
      <c r="HV48" s="72"/>
      <c r="HW48" s="72"/>
      <c r="HX48" s="72"/>
      <c r="HY48" s="72"/>
      <c r="HZ48" s="72"/>
      <c r="IA48" s="72"/>
      <c r="IB48" s="72"/>
      <c r="IC48" s="72"/>
      <c r="ID48" s="72"/>
      <c r="IE48" s="72"/>
      <c r="IF48" s="72"/>
      <c r="IG48" s="72"/>
      <c r="IH48" s="72"/>
      <c r="II48" s="72"/>
      <c r="IJ48" s="72"/>
      <c r="IK48" s="72"/>
      <c r="IL48" s="72"/>
      <c r="IM48" s="72"/>
      <c r="IN48" s="72"/>
      <c r="IO48" s="72"/>
      <c r="IP48" s="72"/>
      <c r="IQ48" s="72"/>
      <c r="IR48" s="72"/>
      <c r="IS48" s="72"/>
      <c r="IT48" s="72"/>
      <c r="IU48" s="72"/>
      <c r="IV48" s="72"/>
    </row>
    <row r="49" spans="1:256" s="71" customFormat="1" x14ac:dyDescent="0.25">
      <c r="A49" s="70"/>
      <c r="B49" s="70"/>
      <c r="C49" s="70"/>
      <c r="HK49" s="72"/>
      <c r="HL49" s="72"/>
      <c r="HM49" s="72"/>
      <c r="HN49" s="72"/>
      <c r="HO49" s="72"/>
      <c r="HP49" s="72"/>
      <c r="HQ49" s="72"/>
      <c r="HR49" s="72"/>
      <c r="HS49" s="72"/>
      <c r="HT49" s="72"/>
      <c r="HU49" s="72"/>
      <c r="HV49" s="72"/>
      <c r="HW49" s="72"/>
      <c r="HX49" s="72"/>
      <c r="HY49" s="72"/>
      <c r="HZ49" s="72"/>
      <c r="IA49" s="72"/>
      <c r="IB49" s="72"/>
      <c r="IC49" s="72"/>
      <c r="ID49" s="72"/>
      <c r="IE49" s="72"/>
      <c r="IF49" s="72"/>
      <c r="IG49" s="72"/>
      <c r="IH49" s="72"/>
      <c r="II49" s="72"/>
      <c r="IJ49" s="72"/>
      <c r="IK49" s="72"/>
      <c r="IL49" s="72"/>
      <c r="IM49" s="72"/>
      <c r="IN49" s="72"/>
      <c r="IO49" s="72"/>
      <c r="IP49" s="72"/>
      <c r="IQ49" s="72"/>
      <c r="IR49" s="72"/>
      <c r="IS49" s="72"/>
      <c r="IT49" s="72"/>
      <c r="IU49" s="72"/>
      <c r="IV49" s="72"/>
    </row>
    <row r="50" spans="1:256" s="71" customFormat="1" x14ac:dyDescent="0.25">
      <c r="A50" s="70"/>
      <c r="B50" s="70"/>
      <c r="C50" s="70"/>
      <c r="HK50" s="72"/>
      <c r="HL50" s="72"/>
      <c r="HM50" s="72"/>
      <c r="HN50" s="72"/>
      <c r="HO50" s="72"/>
      <c r="HP50" s="72"/>
      <c r="HQ50" s="72"/>
      <c r="HR50" s="72"/>
      <c r="HS50" s="72"/>
      <c r="HT50" s="72"/>
      <c r="HU50" s="72"/>
      <c r="HV50" s="72"/>
      <c r="HW50" s="72"/>
      <c r="HX50" s="72"/>
      <c r="HY50" s="72"/>
      <c r="HZ50" s="72"/>
      <c r="IA50" s="72"/>
      <c r="IB50" s="72"/>
      <c r="IC50" s="72"/>
      <c r="ID50" s="72"/>
      <c r="IE50" s="72"/>
      <c r="IF50" s="72"/>
      <c r="IG50" s="72"/>
      <c r="IH50" s="72"/>
      <c r="II50" s="72"/>
      <c r="IJ50" s="72"/>
      <c r="IK50" s="72"/>
      <c r="IL50" s="72"/>
      <c r="IM50" s="72"/>
      <c r="IN50" s="72"/>
      <c r="IO50" s="72"/>
      <c r="IP50" s="72"/>
      <c r="IQ50" s="72"/>
      <c r="IR50" s="72"/>
      <c r="IS50" s="72"/>
      <c r="IT50" s="72"/>
      <c r="IU50" s="72"/>
      <c r="IV50" s="72"/>
    </row>
    <row r="51" spans="1:256" s="71" customFormat="1" x14ac:dyDescent="0.25">
      <c r="A51" s="70"/>
      <c r="B51" s="70"/>
      <c r="C51" s="70"/>
      <c r="HK51" s="72"/>
      <c r="HL51" s="72"/>
      <c r="HM51" s="72"/>
      <c r="HN51" s="72"/>
      <c r="HO51" s="72"/>
      <c r="HP51" s="72"/>
      <c r="HQ51" s="72"/>
      <c r="HR51" s="72"/>
      <c r="HS51" s="72"/>
      <c r="HT51" s="72"/>
      <c r="HU51" s="72"/>
      <c r="HV51" s="72"/>
      <c r="HW51" s="72"/>
      <c r="HX51" s="72"/>
      <c r="HY51" s="72"/>
      <c r="HZ51" s="72"/>
      <c r="IA51" s="72"/>
      <c r="IB51" s="72"/>
      <c r="IC51" s="72"/>
      <c r="ID51" s="72"/>
      <c r="IE51" s="72"/>
      <c r="IF51" s="72"/>
      <c r="IG51" s="72"/>
      <c r="IH51" s="72"/>
      <c r="II51" s="72"/>
      <c r="IJ51" s="72"/>
      <c r="IK51" s="72"/>
      <c r="IL51" s="72"/>
      <c r="IM51" s="72"/>
      <c r="IN51" s="72"/>
      <c r="IO51" s="72"/>
      <c r="IP51" s="72"/>
      <c r="IQ51" s="72"/>
      <c r="IR51" s="72"/>
      <c r="IS51" s="72"/>
      <c r="IT51" s="72"/>
      <c r="IU51" s="72"/>
      <c r="IV51" s="72"/>
    </row>
    <row r="52" spans="1:256" s="71" customFormat="1" x14ac:dyDescent="0.25">
      <c r="A52" s="70"/>
      <c r="B52" s="70"/>
      <c r="C52" s="70"/>
      <c r="HK52" s="72"/>
      <c r="HL52" s="72"/>
      <c r="HM52" s="72"/>
      <c r="HN52" s="72"/>
      <c r="HO52" s="72"/>
      <c r="HP52" s="72"/>
      <c r="HQ52" s="72"/>
      <c r="HR52" s="72"/>
      <c r="HS52" s="72"/>
      <c r="HT52" s="72"/>
      <c r="HU52" s="72"/>
      <c r="HV52" s="72"/>
      <c r="HW52" s="72"/>
      <c r="HX52" s="72"/>
      <c r="HY52" s="72"/>
      <c r="HZ52" s="72"/>
      <c r="IA52" s="72"/>
      <c r="IB52" s="72"/>
      <c r="IC52" s="72"/>
      <c r="ID52" s="72"/>
      <c r="IE52" s="72"/>
      <c r="IF52" s="72"/>
      <c r="IG52" s="72"/>
      <c r="IH52" s="72"/>
      <c r="II52" s="72"/>
      <c r="IJ52" s="72"/>
      <c r="IK52" s="72"/>
      <c r="IL52" s="72"/>
      <c r="IM52" s="72"/>
      <c r="IN52" s="72"/>
      <c r="IO52" s="72"/>
      <c r="IP52" s="72"/>
      <c r="IQ52" s="72"/>
      <c r="IR52" s="72"/>
      <c r="IS52" s="72"/>
      <c r="IT52" s="72"/>
      <c r="IU52" s="72"/>
      <c r="IV52" s="72"/>
    </row>
    <row r="53" spans="1:256" s="71" customFormat="1" x14ac:dyDescent="0.25">
      <c r="A53" s="70"/>
      <c r="B53" s="70"/>
      <c r="C53" s="70"/>
      <c r="HK53" s="72"/>
      <c r="HL53" s="72"/>
      <c r="HM53" s="72"/>
      <c r="HN53" s="72"/>
      <c r="HO53" s="72"/>
      <c r="HP53" s="72"/>
      <c r="HQ53" s="72"/>
      <c r="HR53" s="72"/>
      <c r="HS53" s="72"/>
      <c r="HT53" s="72"/>
      <c r="HU53" s="72"/>
      <c r="HV53" s="72"/>
      <c r="HW53" s="72"/>
      <c r="HX53" s="72"/>
      <c r="HY53" s="72"/>
      <c r="HZ53" s="72"/>
      <c r="IA53" s="72"/>
      <c r="IB53" s="72"/>
      <c r="IC53" s="72"/>
      <c r="ID53" s="72"/>
      <c r="IE53" s="72"/>
      <c r="IF53" s="72"/>
      <c r="IG53" s="72"/>
      <c r="IH53" s="72"/>
      <c r="II53" s="72"/>
      <c r="IJ53" s="72"/>
      <c r="IK53" s="72"/>
      <c r="IL53" s="72"/>
      <c r="IM53" s="72"/>
      <c r="IN53" s="72"/>
      <c r="IO53" s="72"/>
      <c r="IP53" s="72"/>
      <c r="IQ53" s="72"/>
      <c r="IR53" s="72"/>
      <c r="IS53" s="72"/>
      <c r="IT53" s="72"/>
      <c r="IU53" s="72"/>
      <c r="IV53" s="72"/>
    </row>
    <row r="54" spans="1:256" s="71" customFormat="1" x14ac:dyDescent="0.25">
      <c r="A54" s="70"/>
      <c r="B54" s="70"/>
      <c r="C54" s="70"/>
      <c r="HK54" s="72"/>
      <c r="HL54" s="72"/>
      <c r="HM54" s="72"/>
      <c r="HN54" s="72"/>
      <c r="HO54" s="72"/>
      <c r="HP54" s="72"/>
      <c r="HQ54" s="72"/>
      <c r="HR54" s="72"/>
      <c r="HS54" s="72"/>
      <c r="HT54" s="72"/>
      <c r="HU54" s="72"/>
      <c r="HV54" s="72"/>
      <c r="HW54" s="72"/>
      <c r="HX54" s="72"/>
      <c r="HY54" s="72"/>
      <c r="HZ54" s="72"/>
      <c r="IA54" s="72"/>
      <c r="IB54" s="72"/>
      <c r="IC54" s="72"/>
      <c r="ID54" s="72"/>
      <c r="IE54" s="72"/>
      <c r="IF54" s="72"/>
      <c r="IG54" s="72"/>
      <c r="IH54" s="72"/>
      <c r="II54" s="72"/>
      <c r="IJ54" s="72"/>
      <c r="IK54" s="72"/>
      <c r="IL54" s="72"/>
      <c r="IM54" s="72"/>
      <c r="IN54" s="72"/>
      <c r="IO54" s="72"/>
      <c r="IP54" s="72"/>
      <c r="IQ54" s="72"/>
      <c r="IR54" s="72"/>
      <c r="IS54" s="72"/>
      <c r="IT54" s="72"/>
      <c r="IU54" s="72"/>
      <c r="IV54" s="72"/>
    </row>
    <row r="55" spans="1:256" s="71" customFormat="1" x14ac:dyDescent="0.25">
      <c r="A55" s="70"/>
      <c r="B55" s="70"/>
      <c r="C55" s="70"/>
      <c r="HK55" s="72"/>
      <c r="HL55" s="72"/>
      <c r="HM55" s="72"/>
      <c r="HN55" s="72"/>
      <c r="HO55" s="72"/>
      <c r="HP55" s="72"/>
      <c r="HQ55" s="72"/>
      <c r="HR55" s="72"/>
      <c r="HS55" s="72"/>
      <c r="HT55" s="72"/>
      <c r="HU55" s="72"/>
      <c r="HV55" s="72"/>
      <c r="HW55" s="72"/>
      <c r="HX55" s="72"/>
      <c r="HY55" s="72"/>
      <c r="HZ55" s="72"/>
      <c r="IA55" s="72"/>
      <c r="IB55" s="72"/>
      <c r="IC55" s="72"/>
      <c r="ID55" s="72"/>
      <c r="IE55" s="72"/>
      <c r="IF55" s="72"/>
      <c r="IG55" s="72"/>
      <c r="IH55" s="72"/>
      <c r="II55" s="72"/>
      <c r="IJ55" s="72"/>
      <c r="IK55" s="72"/>
      <c r="IL55" s="72"/>
      <c r="IM55" s="72"/>
      <c r="IN55" s="72"/>
      <c r="IO55" s="72"/>
      <c r="IP55" s="72"/>
      <c r="IQ55" s="72"/>
      <c r="IR55" s="72"/>
      <c r="IS55" s="72"/>
      <c r="IT55" s="72"/>
      <c r="IU55" s="72"/>
      <c r="IV55" s="72"/>
    </row>
    <row r="56" spans="1:256" s="71" customFormat="1" x14ac:dyDescent="0.25">
      <c r="A56" s="70"/>
      <c r="B56" s="70"/>
      <c r="C56" s="70"/>
      <c r="HK56" s="72"/>
      <c r="HL56" s="72"/>
      <c r="HM56" s="72"/>
      <c r="HN56" s="72"/>
      <c r="HO56" s="72"/>
      <c r="HP56" s="72"/>
      <c r="HQ56" s="72"/>
      <c r="HR56" s="72"/>
      <c r="HS56" s="72"/>
      <c r="HT56" s="72"/>
      <c r="HU56" s="72"/>
      <c r="HV56" s="72"/>
      <c r="HW56" s="72"/>
      <c r="HX56" s="72"/>
      <c r="HY56" s="72"/>
      <c r="HZ56" s="72"/>
      <c r="IA56" s="72"/>
      <c r="IB56" s="72"/>
      <c r="IC56" s="72"/>
      <c r="ID56" s="72"/>
      <c r="IE56" s="72"/>
      <c r="IF56" s="72"/>
      <c r="IG56" s="72"/>
      <c r="IH56" s="72"/>
      <c r="II56" s="72"/>
      <c r="IJ56" s="72"/>
      <c r="IK56" s="72"/>
      <c r="IL56" s="72"/>
      <c r="IM56" s="72"/>
      <c r="IN56" s="72"/>
      <c r="IO56" s="72"/>
      <c r="IP56" s="72"/>
      <c r="IQ56" s="72"/>
      <c r="IR56" s="72"/>
      <c r="IS56" s="72"/>
      <c r="IT56" s="72"/>
      <c r="IU56" s="72"/>
      <c r="IV56" s="72"/>
    </row>
    <row r="57" spans="1:256" s="71" customFormat="1" x14ac:dyDescent="0.25">
      <c r="A57" s="70"/>
      <c r="B57" s="70"/>
      <c r="C57" s="70"/>
      <c r="HK57" s="72"/>
      <c r="HL57" s="72"/>
      <c r="HM57" s="72"/>
      <c r="HN57" s="72"/>
      <c r="HO57" s="72"/>
      <c r="HP57" s="72"/>
      <c r="HQ57" s="72"/>
      <c r="HR57" s="72"/>
      <c r="HS57" s="72"/>
      <c r="HT57" s="72"/>
      <c r="HU57" s="72"/>
      <c r="HV57" s="72"/>
      <c r="HW57" s="72"/>
      <c r="HX57" s="72"/>
      <c r="HY57" s="72"/>
      <c r="HZ57" s="72"/>
      <c r="IA57" s="72"/>
      <c r="IB57" s="72"/>
      <c r="IC57" s="72"/>
      <c r="ID57" s="72"/>
      <c r="IE57" s="72"/>
      <c r="IF57" s="72"/>
      <c r="IG57" s="72"/>
      <c r="IH57" s="72"/>
      <c r="II57" s="72"/>
      <c r="IJ57" s="72"/>
      <c r="IK57" s="72"/>
      <c r="IL57" s="72"/>
      <c r="IM57" s="72"/>
      <c r="IN57" s="72"/>
      <c r="IO57" s="72"/>
      <c r="IP57" s="72"/>
      <c r="IQ57" s="72"/>
      <c r="IR57" s="72"/>
      <c r="IS57" s="72"/>
      <c r="IT57" s="72"/>
      <c r="IU57" s="72"/>
      <c r="IV57" s="72"/>
    </row>
    <row r="58" spans="1:256" s="71" customFormat="1" x14ac:dyDescent="0.25">
      <c r="A58" s="70"/>
      <c r="B58" s="70"/>
      <c r="C58" s="70"/>
      <c r="HK58" s="72"/>
      <c r="HL58" s="72"/>
      <c r="HM58" s="72"/>
      <c r="HN58" s="72"/>
      <c r="HO58" s="72"/>
      <c r="HP58" s="72"/>
      <c r="HQ58" s="72"/>
      <c r="HR58" s="72"/>
      <c r="HS58" s="72"/>
      <c r="HT58" s="72"/>
      <c r="HU58" s="72"/>
      <c r="HV58" s="72"/>
      <c r="HW58" s="72"/>
      <c r="HX58" s="72"/>
      <c r="HY58" s="72"/>
      <c r="HZ58" s="72"/>
      <c r="IA58" s="72"/>
      <c r="IB58" s="72"/>
      <c r="IC58" s="72"/>
      <c r="ID58" s="72"/>
      <c r="IE58" s="72"/>
      <c r="IF58" s="72"/>
      <c r="IG58" s="72"/>
      <c r="IH58" s="72"/>
      <c r="II58" s="72"/>
      <c r="IJ58" s="72"/>
      <c r="IK58" s="72"/>
      <c r="IL58" s="72"/>
      <c r="IM58" s="72"/>
      <c r="IN58" s="72"/>
      <c r="IO58" s="72"/>
      <c r="IP58" s="72"/>
      <c r="IQ58" s="72"/>
      <c r="IR58" s="72"/>
      <c r="IS58" s="72"/>
      <c r="IT58" s="72"/>
      <c r="IU58" s="72"/>
      <c r="IV58" s="72"/>
    </row>
    <row r="59" spans="1:256" s="71" customFormat="1" x14ac:dyDescent="0.25">
      <c r="A59" s="70"/>
      <c r="B59" s="70"/>
      <c r="C59" s="70"/>
      <c r="HK59" s="72"/>
      <c r="HL59" s="72"/>
      <c r="HM59" s="72"/>
      <c r="HN59" s="72"/>
      <c r="HO59" s="72"/>
      <c r="HP59" s="72"/>
      <c r="HQ59" s="72"/>
      <c r="HR59" s="72"/>
      <c r="HS59" s="72"/>
      <c r="HT59" s="72"/>
      <c r="HU59" s="72"/>
      <c r="HV59" s="72"/>
      <c r="HW59" s="72"/>
      <c r="HX59" s="72"/>
      <c r="HY59" s="72"/>
      <c r="HZ59" s="72"/>
      <c r="IA59" s="72"/>
      <c r="IB59" s="72"/>
      <c r="IC59" s="72"/>
      <c r="ID59" s="72"/>
      <c r="IE59" s="72"/>
      <c r="IF59" s="72"/>
      <c r="IG59" s="72"/>
      <c r="IH59" s="72"/>
      <c r="II59" s="72"/>
      <c r="IJ59" s="72"/>
      <c r="IK59" s="72"/>
      <c r="IL59" s="72"/>
      <c r="IM59" s="72"/>
      <c r="IN59" s="72"/>
      <c r="IO59" s="72"/>
      <c r="IP59" s="72"/>
      <c r="IQ59" s="72"/>
      <c r="IR59" s="72"/>
      <c r="IS59" s="72"/>
      <c r="IT59" s="72"/>
      <c r="IU59" s="72"/>
      <c r="IV59" s="72"/>
    </row>
    <row r="60" spans="1:256" s="71" customFormat="1" x14ac:dyDescent="0.25">
      <c r="A60" s="70"/>
      <c r="B60" s="70"/>
      <c r="C60" s="70"/>
      <c r="HK60" s="72"/>
      <c r="HL60" s="72"/>
      <c r="HM60" s="72"/>
      <c r="HN60" s="72"/>
      <c r="HO60" s="72"/>
      <c r="HP60" s="72"/>
      <c r="HQ60" s="72"/>
      <c r="HR60" s="72"/>
      <c r="HS60" s="72"/>
      <c r="HT60" s="72"/>
      <c r="HU60" s="72"/>
      <c r="HV60" s="72"/>
      <c r="HW60" s="72"/>
      <c r="HX60" s="72"/>
      <c r="HY60" s="72"/>
      <c r="HZ60" s="72"/>
      <c r="IA60" s="72"/>
      <c r="IB60" s="72"/>
      <c r="IC60" s="72"/>
      <c r="ID60" s="72"/>
      <c r="IE60" s="72"/>
      <c r="IF60" s="72"/>
      <c r="IG60" s="72"/>
      <c r="IH60" s="72"/>
      <c r="II60" s="72"/>
      <c r="IJ60" s="72"/>
      <c r="IK60" s="72"/>
      <c r="IL60" s="72"/>
      <c r="IM60" s="72"/>
      <c r="IN60" s="72"/>
      <c r="IO60" s="72"/>
      <c r="IP60" s="72"/>
      <c r="IQ60" s="72"/>
      <c r="IR60" s="72"/>
      <c r="IS60" s="72"/>
      <c r="IT60" s="72"/>
      <c r="IU60" s="72"/>
      <c r="IV60" s="72"/>
    </row>
    <row r="61" spans="1:256" s="71" customFormat="1" x14ac:dyDescent="0.25">
      <c r="A61" s="70"/>
      <c r="B61" s="70"/>
      <c r="C61" s="70"/>
      <c r="HK61" s="72"/>
      <c r="HL61" s="72"/>
      <c r="HM61" s="72"/>
      <c r="HN61" s="72"/>
      <c r="HO61" s="72"/>
      <c r="HP61" s="72"/>
      <c r="HQ61" s="72"/>
      <c r="HR61" s="72"/>
      <c r="HS61" s="72"/>
      <c r="HT61" s="72"/>
      <c r="HU61" s="72"/>
      <c r="HV61" s="72"/>
      <c r="HW61" s="72"/>
      <c r="HX61" s="72"/>
      <c r="HY61" s="72"/>
      <c r="HZ61" s="72"/>
      <c r="IA61" s="72"/>
      <c r="IB61" s="72"/>
      <c r="IC61" s="72"/>
      <c r="ID61" s="72"/>
      <c r="IE61" s="72"/>
      <c r="IF61" s="72"/>
      <c r="IG61" s="72"/>
      <c r="IH61" s="72"/>
      <c r="II61" s="72"/>
      <c r="IJ61" s="72"/>
      <c r="IK61" s="72"/>
      <c r="IL61" s="72"/>
      <c r="IM61" s="72"/>
      <c r="IN61" s="72"/>
      <c r="IO61" s="72"/>
      <c r="IP61" s="72"/>
      <c r="IQ61" s="72"/>
      <c r="IR61" s="72"/>
      <c r="IS61" s="72"/>
      <c r="IT61" s="72"/>
      <c r="IU61" s="72"/>
      <c r="IV61" s="72"/>
    </row>
    <row r="62" spans="1:256" s="71" customFormat="1" x14ac:dyDescent="0.25">
      <c r="A62" s="70"/>
      <c r="B62" s="70"/>
      <c r="C62" s="70"/>
      <c r="HK62" s="72"/>
      <c r="HL62" s="72"/>
      <c r="HM62" s="72"/>
      <c r="HN62" s="72"/>
      <c r="HO62" s="72"/>
      <c r="HP62" s="72"/>
      <c r="HQ62" s="72"/>
      <c r="HR62" s="72"/>
      <c r="HS62" s="72"/>
      <c r="HT62" s="72"/>
      <c r="HU62" s="72"/>
      <c r="HV62" s="72"/>
      <c r="HW62" s="72"/>
      <c r="HX62" s="72"/>
      <c r="HY62" s="72"/>
      <c r="HZ62" s="72"/>
      <c r="IA62" s="72"/>
      <c r="IB62" s="72"/>
      <c r="IC62" s="72"/>
      <c r="ID62" s="72"/>
      <c r="IE62" s="72"/>
      <c r="IF62" s="72"/>
      <c r="IG62" s="72"/>
      <c r="IH62" s="72"/>
      <c r="II62" s="72"/>
      <c r="IJ62" s="72"/>
      <c r="IK62" s="72"/>
      <c r="IL62" s="72"/>
      <c r="IM62" s="72"/>
      <c r="IN62" s="72"/>
      <c r="IO62" s="72"/>
      <c r="IP62" s="72"/>
      <c r="IQ62" s="72"/>
      <c r="IR62" s="72"/>
      <c r="IS62" s="72"/>
      <c r="IT62" s="72"/>
      <c r="IU62" s="72"/>
      <c r="IV62" s="72"/>
    </row>
    <row r="63" spans="1:256" s="71" customFormat="1" x14ac:dyDescent="0.25">
      <c r="A63" s="70"/>
      <c r="B63" s="70"/>
      <c r="C63" s="70"/>
      <c r="HK63" s="72"/>
      <c r="HL63" s="72"/>
      <c r="HM63" s="72"/>
      <c r="HN63" s="72"/>
      <c r="HO63" s="72"/>
      <c r="HP63" s="72"/>
      <c r="HQ63" s="72"/>
      <c r="HR63" s="72"/>
      <c r="HS63" s="72"/>
      <c r="HT63" s="72"/>
      <c r="HU63" s="72"/>
      <c r="HV63" s="72"/>
      <c r="HW63" s="72"/>
      <c r="HX63" s="72"/>
      <c r="HY63" s="72"/>
      <c r="HZ63" s="72"/>
      <c r="IA63" s="72"/>
      <c r="IB63" s="72"/>
      <c r="IC63" s="72"/>
      <c r="ID63" s="72"/>
      <c r="IE63" s="72"/>
      <c r="IF63" s="72"/>
      <c r="IG63" s="72"/>
      <c r="IH63" s="72"/>
      <c r="II63" s="72"/>
      <c r="IJ63" s="72"/>
      <c r="IK63" s="72"/>
      <c r="IL63" s="72"/>
      <c r="IM63" s="72"/>
      <c r="IN63" s="72"/>
      <c r="IO63" s="72"/>
      <c r="IP63" s="72"/>
      <c r="IQ63" s="72"/>
      <c r="IR63" s="72"/>
      <c r="IS63" s="72"/>
      <c r="IT63" s="72"/>
      <c r="IU63" s="72"/>
      <c r="IV63" s="72"/>
    </row>
    <row r="64" spans="1:256" s="71" customFormat="1" x14ac:dyDescent="0.25">
      <c r="A64" s="70"/>
      <c r="B64" s="70"/>
      <c r="C64" s="70"/>
      <c r="HK64" s="72"/>
      <c r="HL64" s="72"/>
      <c r="HM64" s="72"/>
      <c r="HN64" s="72"/>
      <c r="HO64" s="72"/>
      <c r="HP64" s="72"/>
      <c r="HQ64" s="72"/>
      <c r="HR64" s="72"/>
      <c r="HS64" s="72"/>
      <c r="HT64" s="72"/>
      <c r="HU64" s="72"/>
      <c r="HV64" s="72"/>
      <c r="HW64" s="72"/>
      <c r="HX64" s="72"/>
      <c r="HY64" s="72"/>
      <c r="HZ64" s="72"/>
      <c r="IA64" s="72"/>
      <c r="IB64" s="72"/>
      <c r="IC64" s="72"/>
      <c r="ID64" s="72"/>
      <c r="IE64" s="72"/>
      <c r="IF64" s="72"/>
      <c r="IG64" s="72"/>
      <c r="IH64" s="72"/>
      <c r="II64" s="72"/>
      <c r="IJ64" s="72"/>
      <c r="IK64" s="72"/>
      <c r="IL64" s="72"/>
      <c r="IM64" s="72"/>
      <c r="IN64" s="72"/>
      <c r="IO64" s="72"/>
      <c r="IP64" s="72"/>
      <c r="IQ64" s="72"/>
      <c r="IR64" s="72"/>
      <c r="IS64" s="72"/>
      <c r="IT64" s="72"/>
      <c r="IU64" s="72"/>
      <c r="IV64" s="72"/>
    </row>
    <row r="65" spans="1:256" s="71" customFormat="1" x14ac:dyDescent="0.25">
      <c r="A65" s="70"/>
      <c r="B65" s="70"/>
      <c r="C65" s="70"/>
      <c r="HK65" s="72"/>
      <c r="HL65" s="72"/>
      <c r="HM65" s="72"/>
      <c r="HN65" s="72"/>
      <c r="HO65" s="72"/>
      <c r="HP65" s="72"/>
      <c r="HQ65" s="72"/>
      <c r="HR65" s="72"/>
      <c r="HS65" s="72"/>
      <c r="HT65" s="72"/>
      <c r="HU65" s="72"/>
      <c r="HV65" s="72"/>
      <c r="HW65" s="72"/>
      <c r="HX65" s="72"/>
      <c r="HY65" s="72"/>
      <c r="HZ65" s="72"/>
      <c r="IA65" s="72"/>
      <c r="IB65" s="72"/>
      <c r="IC65" s="72"/>
      <c r="ID65" s="72"/>
      <c r="IE65" s="72"/>
      <c r="IF65" s="72"/>
      <c r="IG65" s="72"/>
      <c r="IH65" s="72"/>
      <c r="II65" s="72"/>
      <c r="IJ65" s="72"/>
      <c r="IK65" s="72"/>
      <c r="IL65" s="72"/>
      <c r="IM65" s="72"/>
      <c r="IN65" s="72"/>
      <c r="IO65" s="72"/>
      <c r="IP65" s="72"/>
      <c r="IQ65" s="72"/>
      <c r="IR65" s="72"/>
      <c r="IS65" s="72"/>
      <c r="IT65" s="72"/>
      <c r="IU65" s="72"/>
      <c r="IV65" s="72"/>
    </row>
    <row r="66" spans="1:256" s="71" customFormat="1" x14ac:dyDescent="0.25">
      <c r="A66" s="70"/>
      <c r="B66" s="70"/>
      <c r="C66" s="70"/>
      <c r="HK66" s="72"/>
      <c r="HL66" s="72"/>
      <c r="HM66" s="72"/>
      <c r="HN66" s="72"/>
      <c r="HO66" s="72"/>
      <c r="HP66" s="72"/>
      <c r="HQ66" s="72"/>
      <c r="HR66" s="72"/>
      <c r="HS66" s="72"/>
      <c r="HT66" s="72"/>
      <c r="HU66" s="72"/>
      <c r="HV66" s="72"/>
      <c r="HW66" s="72"/>
      <c r="HX66" s="72"/>
      <c r="HY66" s="72"/>
      <c r="HZ66" s="72"/>
      <c r="IA66" s="72"/>
      <c r="IB66" s="72"/>
      <c r="IC66" s="72"/>
      <c r="ID66" s="72"/>
      <c r="IE66" s="72"/>
      <c r="IF66" s="72"/>
      <c r="IG66" s="72"/>
      <c r="IH66" s="72"/>
      <c r="II66" s="72"/>
      <c r="IJ66" s="72"/>
      <c r="IK66" s="72"/>
      <c r="IL66" s="72"/>
      <c r="IM66" s="72"/>
      <c r="IN66" s="72"/>
      <c r="IO66" s="72"/>
      <c r="IP66" s="72"/>
      <c r="IQ66" s="72"/>
      <c r="IR66" s="72"/>
      <c r="IS66" s="72"/>
      <c r="IT66" s="72"/>
      <c r="IU66" s="72"/>
      <c r="IV66" s="72"/>
    </row>
    <row r="67" spans="1:256" s="71" customFormat="1" x14ac:dyDescent="0.25">
      <c r="A67" s="70"/>
      <c r="B67" s="70"/>
      <c r="C67" s="70"/>
      <c r="HK67" s="72"/>
      <c r="HL67" s="72"/>
      <c r="HM67" s="72"/>
      <c r="HN67" s="72"/>
      <c r="HO67" s="72"/>
      <c r="HP67" s="72"/>
      <c r="HQ67" s="72"/>
      <c r="HR67" s="72"/>
      <c r="HS67" s="72"/>
      <c r="HT67" s="72"/>
      <c r="HU67" s="72"/>
      <c r="HV67" s="72"/>
      <c r="HW67" s="72"/>
      <c r="HX67" s="72"/>
      <c r="HY67" s="72"/>
      <c r="HZ67" s="72"/>
      <c r="IA67" s="72"/>
      <c r="IB67" s="72"/>
      <c r="IC67" s="72"/>
      <c r="ID67" s="72"/>
      <c r="IE67" s="72"/>
      <c r="IF67" s="72"/>
      <c r="IG67" s="72"/>
      <c r="IH67" s="72"/>
      <c r="II67" s="72"/>
      <c r="IJ67" s="72"/>
      <c r="IK67" s="72"/>
      <c r="IL67" s="72"/>
      <c r="IM67" s="72"/>
      <c r="IN67" s="72"/>
      <c r="IO67" s="72"/>
      <c r="IP67" s="72"/>
      <c r="IQ67" s="72"/>
      <c r="IR67" s="72"/>
      <c r="IS67" s="72"/>
      <c r="IT67" s="72"/>
      <c r="IU67" s="72"/>
      <c r="IV67" s="72"/>
    </row>
    <row r="68" spans="1:256" s="71" customFormat="1" x14ac:dyDescent="0.25">
      <c r="A68" s="70"/>
      <c r="B68" s="70"/>
      <c r="C68" s="70"/>
      <c r="HK68" s="72"/>
      <c r="HL68" s="72"/>
      <c r="HM68" s="72"/>
      <c r="HN68" s="72"/>
      <c r="HO68" s="72"/>
      <c r="HP68" s="72"/>
      <c r="HQ68" s="72"/>
      <c r="HR68" s="72"/>
      <c r="HS68" s="72"/>
      <c r="HT68" s="72"/>
      <c r="HU68" s="72"/>
      <c r="HV68" s="72"/>
      <c r="HW68" s="72"/>
      <c r="HX68" s="72"/>
      <c r="HY68" s="72"/>
      <c r="HZ68" s="72"/>
      <c r="IA68" s="72"/>
      <c r="IB68" s="72"/>
      <c r="IC68" s="72"/>
      <c r="ID68" s="72"/>
      <c r="IE68" s="72"/>
      <c r="IF68" s="72"/>
      <c r="IG68" s="72"/>
      <c r="IH68" s="72"/>
      <c r="II68" s="72"/>
      <c r="IJ68" s="72"/>
      <c r="IK68" s="72"/>
      <c r="IL68" s="72"/>
      <c r="IM68" s="72"/>
      <c r="IN68" s="72"/>
      <c r="IO68" s="72"/>
      <c r="IP68" s="72"/>
      <c r="IQ68" s="72"/>
      <c r="IR68" s="72"/>
      <c r="IS68" s="72"/>
      <c r="IT68" s="72"/>
      <c r="IU68" s="72"/>
      <c r="IV68" s="72"/>
    </row>
    <row r="69" spans="1:256" s="71" customFormat="1" x14ac:dyDescent="0.25">
      <c r="A69" s="70"/>
      <c r="B69" s="70"/>
      <c r="C69" s="70"/>
      <c r="HK69" s="72"/>
      <c r="HL69" s="72"/>
      <c r="HM69" s="72"/>
      <c r="HN69" s="72"/>
      <c r="HO69" s="72"/>
      <c r="HP69" s="72"/>
      <c r="HQ69" s="72"/>
      <c r="HR69" s="72"/>
      <c r="HS69" s="72"/>
      <c r="HT69" s="72"/>
      <c r="HU69" s="72"/>
      <c r="HV69" s="72"/>
      <c r="HW69" s="72"/>
      <c r="HX69" s="72"/>
      <c r="HY69" s="72"/>
      <c r="HZ69" s="72"/>
      <c r="IA69" s="72"/>
      <c r="IB69" s="72"/>
      <c r="IC69" s="72"/>
      <c r="ID69" s="72"/>
      <c r="IE69" s="72"/>
      <c r="IF69" s="72"/>
      <c r="IG69" s="72"/>
      <c r="IH69" s="72"/>
      <c r="II69" s="72"/>
      <c r="IJ69" s="72"/>
      <c r="IK69" s="72"/>
      <c r="IL69" s="72"/>
      <c r="IM69" s="72"/>
      <c r="IN69" s="72"/>
      <c r="IO69" s="72"/>
      <c r="IP69" s="72"/>
      <c r="IQ69" s="72"/>
      <c r="IR69" s="72"/>
      <c r="IS69" s="72"/>
      <c r="IT69" s="72"/>
      <c r="IU69" s="72"/>
      <c r="IV69" s="72"/>
    </row>
    <row r="70" spans="1:256" s="71" customFormat="1" x14ac:dyDescent="0.25">
      <c r="A70" s="70"/>
      <c r="B70" s="70"/>
      <c r="C70" s="70"/>
      <c r="HK70" s="72"/>
      <c r="HL70" s="72"/>
      <c r="HM70" s="72"/>
      <c r="HN70" s="72"/>
      <c r="HO70" s="72"/>
      <c r="HP70" s="72"/>
      <c r="HQ70" s="72"/>
      <c r="HR70" s="72"/>
      <c r="HS70" s="72"/>
      <c r="HT70" s="72"/>
      <c r="HU70" s="72"/>
      <c r="HV70" s="72"/>
      <c r="HW70" s="72"/>
      <c r="HX70" s="72"/>
      <c r="HY70" s="72"/>
      <c r="HZ70" s="72"/>
      <c r="IA70" s="72"/>
      <c r="IB70" s="72"/>
      <c r="IC70" s="72"/>
      <c r="ID70" s="72"/>
      <c r="IE70" s="72"/>
      <c r="IF70" s="72"/>
      <c r="IG70" s="72"/>
      <c r="IH70" s="72"/>
      <c r="II70" s="72"/>
      <c r="IJ70" s="72"/>
      <c r="IK70" s="72"/>
      <c r="IL70" s="72"/>
      <c r="IM70" s="72"/>
      <c r="IN70" s="72"/>
      <c r="IO70" s="72"/>
      <c r="IP70" s="72"/>
      <c r="IQ70" s="72"/>
      <c r="IR70" s="72"/>
      <c r="IS70" s="72"/>
      <c r="IT70" s="72"/>
      <c r="IU70" s="72"/>
      <c r="IV70" s="72"/>
    </row>
    <row r="71" spans="1:256" s="71" customFormat="1" x14ac:dyDescent="0.25">
      <c r="A71" s="70"/>
      <c r="B71" s="70"/>
      <c r="C71" s="70"/>
      <c r="HK71" s="72"/>
      <c r="HL71" s="72"/>
      <c r="HM71" s="72"/>
      <c r="HN71" s="72"/>
      <c r="HO71" s="72"/>
      <c r="HP71" s="72"/>
      <c r="HQ71" s="72"/>
      <c r="HR71" s="72"/>
      <c r="HS71" s="72"/>
      <c r="HT71" s="72"/>
      <c r="HU71" s="72"/>
      <c r="HV71" s="72"/>
      <c r="HW71" s="72"/>
      <c r="HX71" s="72"/>
      <c r="HY71" s="72"/>
      <c r="HZ71" s="72"/>
      <c r="IA71" s="72"/>
      <c r="IB71" s="72"/>
      <c r="IC71" s="72"/>
      <c r="ID71" s="72"/>
      <c r="IE71" s="72"/>
      <c r="IF71" s="72"/>
      <c r="IG71" s="72"/>
      <c r="IH71" s="72"/>
      <c r="II71" s="72"/>
      <c r="IJ71" s="72"/>
      <c r="IK71" s="72"/>
      <c r="IL71" s="72"/>
      <c r="IM71" s="72"/>
      <c r="IN71" s="72"/>
      <c r="IO71" s="72"/>
      <c r="IP71" s="72"/>
      <c r="IQ71" s="72"/>
      <c r="IR71" s="72"/>
      <c r="IS71" s="72"/>
      <c r="IT71" s="72"/>
      <c r="IU71" s="72"/>
      <c r="IV71" s="72"/>
    </row>
    <row r="72" spans="1:256" s="71" customFormat="1" x14ac:dyDescent="0.25">
      <c r="A72" s="70"/>
      <c r="B72" s="70"/>
      <c r="C72" s="70"/>
      <c r="HK72" s="72"/>
      <c r="HL72" s="72"/>
      <c r="HM72" s="72"/>
      <c r="HN72" s="72"/>
      <c r="HO72" s="72"/>
      <c r="HP72" s="72"/>
      <c r="HQ72" s="72"/>
      <c r="HR72" s="72"/>
      <c r="HS72" s="72"/>
      <c r="HT72" s="72"/>
      <c r="HU72" s="72"/>
      <c r="HV72" s="72"/>
      <c r="HW72" s="72"/>
      <c r="HX72" s="72"/>
      <c r="HY72" s="72"/>
      <c r="HZ72" s="72"/>
      <c r="IA72" s="72"/>
      <c r="IB72" s="72"/>
      <c r="IC72" s="72"/>
      <c r="ID72" s="72"/>
      <c r="IE72" s="72"/>
      <c r="IF72" s="72"/>
      <c r="IG72" s="72"/>
      <c r="IH72" s="72"/>
      <c r="II72" s="72"/>
      <c r="IJ72" s="72"/>
      <c r="IK72" s="72"/>
      <c r="IL72" s="72"/>
      <c r="IM72" s="72"/>
      <c r="IN72" s="72"/>
      <c r="IO72" s="72"/>
      <c r="IP72" s="72"/>
      <c r="IQ72" s="72"/>
      <c r="IR72" s="72"/>
      <c r="IS72" s="72"/>
      <c r="IT72" s="72"/>
      <c r="IU72" s="72"/>
      <c r="IV72" s="72"/>
    </row>
    <row r="73" spans="1:256" s="71" customFormat="1" x14ac:dyDescent="0.25">
      <c r="A73" s="70"/>
      <c r="B73" s="70"/>
      <c r="C73" s="70"/>
      <c r="HK73" s="72"/>
      <c r="HL73" s="72"/>
      <c r="HM73" s="72"/>
      <c r="HN73" s="72"/>
      <c r="HO73" s="72"/>
      <c r="HP73" s="72"/>
      <c r="HQ73" s="72"/>
      <c r="HR73" s="72"/>
      <c r="HS73" s="72"/>
      <c r="HT73" s="72"/>
      <c r="HU73" s="72"/>
      <c r="HV73" s="72"/>
      <c r="HW73" s="72"/>
      <c r="HX73" s="72"/>
      <c r="HY73" s="72"/>
      <c r="HZ73" s="72"/>
      <c r="IA73" s="72"/>
      <c r="IB73" s="72"/>
      <c r="IC73" s="72"/>
      <c r="ID73" s="72"/>
      <c r="IE73" s="72"/>
      <c r="IF73" s="72"/>
      <c r="IG73" s="72"/>
      <c r="IH73" s="72"/>
      <c r="II73" s="72"/>
      <c r="IJ73" s="72"/>
      <c r="IK73" s="72"/>
      <c r="IL73" s="72"/>
      <c r="IM73" s="72"/>
      <c r="IN73" s="72"/>
      <c r="IO73" s="72"/>
      <c r="IP73" s="72"/>
      <c r="IQ73" s="72"/>
      <c r="IR73" s="72"/>
      <c r="IS73" s="72"/>
      <c r="IT73" s="72"/>
      <c r="IU73" s="72"/>
      <c r="IV73" s="72"/>
    </row>
    <row r="74" spans="1:256" s="71" customFormat="1" x14ac:dyDescent="0.25">
      <c r="A74" s="70"/>
      <c r="B74" s="70"/>
      <c r="C74" s="70"/>
      <c r="HK74" s="72"/>
      <c r="HL74" s="72"/>
      <c r="HM74" s="72"/>
      <c r="HN74" s="72"/>
      <c r="HO74" s="72"/>
      <c r="HP74" s="72"/>
      <c r="HQ74" s="72"/>
      <c r="HR74" s="72"/>
      <c r="HS74" s="72"/>
      <c r="HT74" s="72"/>
      <c r="HU74" s="72"/>
      <c r="HV74" s="72"/>
      <c r="HW74" s="72"/>
      <c r="HX74" s="72"/>
      <c r="HY74" s="72"/>
      <c r="HZ74" s="72"/>
      <c r="IA74" s="72"/>
      <c r="IB74" s="72"/>
      <c r="IC74" s="72"/>
      <c r="ID74" s="72"/>
      <c r="IE74" s="72"/>
      <c r="IF74" s="72"/>
      <c r="IG74" s="72"/>
      <c r="IH74" s="72"/>
      <c r="II74" s="72"/>
      <c r="IJ74" s="72"/>
      <c r="IK74" s="72"/>
      <c r="IL74" s="72"/>
      <c r="IM74" s="72"/>
      <c r="IN74" s="72"/>
      <c r="IO74" s="72"/>
      <c r="IP74" s="72"/>
      <c r="IQ74" s="72"/>
      <c r="IR74" s="72"/>
      <c r="IS74" s="72"/>
      <c r="IT74" s="72"/>
      <c r="IU74" s="72"/>
      <c r="IV74" s="72"/>
    </row>
    <row r="75" spans="1:256" s="71" customFormat="1" x14ac:dyDescent="0.25">
      <c r="A75" s="70"/>
      <c r="B75" s="70"/>
      <c r="C75" s="70"/>
      <c r="HK75" s="72"/>
      <c r="HL75" s="72"/>
      <c r="HM75" s="72"/>
      <c r="HN75" s="72"/>
      <c r="HO75" s="72"/>
      <c r="HP75" s="72"/>
      <c r="HQ75" s="72"/>
      <c r="HR75" s="72"/>
      <c r="HS75" s="72"/>
      <c r="HT75" s="72"/>
      <c r="HU75" s="72"/>
      <c r="HV75" s="72"/>
      <c r="HW75" s="72"/>
      <c r="HX75" s="72"/>
      <c r="HY75" s="72"/>
      <c r="HZ75" s="72"/>
      <c r="IA75" s="72"/>
      <c r="IB75" s="72"/>
      <c r="IC75" s="72"/>
      <c r="ID75" s="72"/>
      <c r="IE75" s="72"/>
      <c r="IF75" s="72"/>
      <c r="IG75" s="72"/>
      <c r="IH75" s="72"/>
      <c r="II75" s="72"/>
      <c r="IJ75" s="72"/>
      <c r="IK75" s="72"/>
      <c r="IL75" s="72"/>
      <c r="IM75" s="72"/>
      <c r="IN75" s="72"/>
      <c r="IO75" s="72"/>
      <c r="IP75" s="72"/>
      <c r="IQ75" s="72"/>
      <c r="IR75" s="72"/>
      <c r="IS75" s="72"/>
      <c r="IT75" s="72"/>
      <c r="IU75" s="72"/>
      <c r="IV75" s="72"/>
    </row>
    <row r="76" spans="1:256" s="71" customFormat="1" x14ac:dyDescent="0.25">
      <c r="A76" s="70"/>
      <c r="B76" s="70"/>
      <c r="C76" s="70"/>
      <c r="HK76" s="72"/>
      <c r="HL76" s="72"/>
      <c r="HM76" s="72"/>
      <c r="HN76" s="72"/>
      <c r="HO76" s="72"/>
      <c r="HP76" s="72"/>
      <c r="HQ76" s="72"/>
      <c r="HR76" s="72"/>
      <c r="HS76" s="72"/>
      <c r="HT76" s="72"/>
      <c r="HU76" s="72"/>
      <c r="HV76" s="72"/>
      <c r="HW76" s="72"/>
      <c r="HX76" s="72"/>
      <c r="HY76" s="72"/>
      <c r="HZ76" s="72"/>
      <c r="IA76" s="72"/>
      <c r="IB76" s="72"/>
      <c r="IC76" s="72"/>
      <c r="ID76" s="72"/>
      <c r="IE76" s="72"/>
      <c r="IF76" s="72"/>
      <c r="IG76" s="72"/>
      <c r="IH76" s="72"/>
      <c r="II76" s="72"/>
      <c r="IJ76" s="72"/>
      <c r="IK76" s="72"/>
      <c r="IL76" s="72"/>
      <c r="IM76" s="72"/>
      <c r="IN76" s="72"/>
      <c r="IO76" s="72"/>
      <c r="IP76" s="72"/>
      <c r="IQ76" s="72"/>
      <c r="IR76" s="72"/>
      <c r="IS76" s="72"/>
      <c r="IT76" s="72"/>
      <c r="IU76" s="72"/>
      <c r="IV76" s="72"/>
    </row>
    <row r="77" spans="1:256" s="71" customFormat="1" x14ac:dyDescent="0.25">
      <c r="A77" s="70"/>
      <c r="B77" s="70"/>
      <c r="C77" s="70"/>
      <c r="HK77" s="72"/>
      <c r="HL77" s="72"/>
      <c r="HM77" s="72"/>
      <c r="HN77" s="72"/>
      <c r="HO77" s="72"/>
      <c r="HP77" s="72"/>
      <c r="HQ77" s="72"/>
      <c r="HR77" s="72"/>
      <c r="HS77" s="72"/>
      <c r="HT77" s="72"/>
      <c r="HU77" s="72"/>
      <c r="HV77" s="72"/>
      <c r="HW77" s="72"/>
      <c r="HX77" s="72"/>
      <c r="HY77" s="72"/>
      <c r="HZ77" s="72"/>
      <c r="IA77" s="72"/>
      <c r="IB77" s="72"/>
      <c r="IC77" s="72"/>
      <c r="ID77" s="72"/>
      <c r="IE77" s="72"/>
      <c r="IF77" s="72"/>
      <c r="IG77" s="72"/>
      <c r="IH77" s="72"/>
      <c r="II77" s="72"/>
      <c r="IJ77" s="72"/>
      <c r="IK77" s="72"/>
      <c r="IL77" s="72"/>
      <c r="IM77" s="72"/>
      <c r="IN77" s="72"/>
      <c r="IO77" s="72"/>
      <c r="IP77" s="72"/>
      <c r="IQ77" s="72"/>
      <c r="IR77" s="72"/>
      <c r="IS77" s="72"/>
      <c r="IT77" s="72"/>
      <c r="IU77" s="72"/>
      <c r="IV77" s="72"/>
    </row>
    <row r="78" spans="1:256" s="71" customFormat="1" x14ac:dyDescent="0.25">
      <c r="A78" s="70"/>
      <c r="B78" s="70"/>
      <c r="C78" s="70"/>
      <c r="HK78" s="72"/>
      <c r="HL78" s="72"/>
      <c r="HM78" s="72"/>
      <c r="HN78" s="72"/>
      <c r="HO78" s="72"/>
      <c r="HP78" s="72"/>
      <c r="HQ78" s="72"/>
      <c r="HR78" s="72"/>
      <c r="HS78" s="72"/>
      <c r="HT78" s="72"/>
      <c r="HU78" s="72"/>
      <c r="HV78" s="72"/>
      <c r="HW78" s="72"/>
      <c r="HX78" s="72"/>
      <c r="HY78" s="72"/>
      <c r="HZ78" s="72"/>
      <c r="IA78" s="72"/>
      <c r="IB78" s="72"/>
      <c r="IC78" s="72"/>
      <c r="ID78" s="72"/>
      <c r="IE78" s="72"/>
      <c r="IF78" s="72"/>
      <c r="IG78" s="72"/>
      <c r="IH78" s="72"/>
      <c r="II78" s="72"/>
      <c r="IJ78" s="72"/>
      <c r="IK78" s="72"/>
      <c r="IL78" s="72"/>
      <c r="IM78" s="72"/>
      <c r="IN78" s="72"/>
      <c r="IO78" s="72"/>
      <c r="IP78" s="72"/>
      <c r="IQ78" s="72"/>
      <c r="IR78" s="72"/>
      <c r="IS78" s="72"/>
      <c r="IT78" s="72"/>
      <c r="IU78" s="72"/>
      <c r="IV78" s="72"/>
    </row>
    <row r="79" spans="1:256" s="71" customFormat="1" x14ac:dyDescent="0.25">
      <c r="A79" s="70"/>
      <c r="B79" s="70"/>
      <c r="C79" s="70"/>
      <c r="HK79" s="72"/>
      <c r="HL79" s="72"/>
      <c r="HM79" s="72"/>
      <c r="HN79" s="72"/>
      <c r="HO79" s="72"/>
      <c r="HP79" s="72"/>
      <c r="HQ79" s="72"/>
      <c r="HR79" s="72"/>
      <c r="HS79" s="72"/>
      <c r="HT79" s="72"/>
      <c r="HU79" s="72"/>
      <c r="HV79" s="72"/>
      <c r="HW79" s="72"/>
      <c r="HX79" s="72"/>
      <c r="HY79" s="72"/>
      <c r="HZ79" s="72"/>
      <c r="IA79" s="72"/>
      <c r="IB79" s="72"/>
      <c r="IC79" s="72"/>
      <c r="ID79" s="72"/>
      <c r="IE79" s="72"/>
      <c r="IF79" s="72"/>
      <c r="IG79" s="72"/>
      <c r="IH79" s="72"/>
      <c r="II79" s="72"/>
      <c r="IJ79" s="72"/>
      <c r="IK79" s="72"/>
      <c r="IL79" s="72"/>
      <c r="IM79" s="72"/>
      <c r="IN79" s="72"/>
      <c r="IO79" s="72"/>
      <c r="IP79" s="72"/>
      <c r="IQ79" s="72"/>
      <c r="IR79" s="72"/>
      <c r="IS79" s="72"/>
      <c r="IT79" s="72"/>
      <c r="IU79" s="72"/>
      <c r="IV79" s="72"/>
    </row>
    <row r="80" spans="1:256" s="71" customFormat="1" x14ac:dyDescent="0.25">
      <c r="A80" s="70"/>
      <c r="B80" s="70"/>
      <c r="C80" s="70"/>
      <c r="HK80" s="72"/>
      <c r="HL80" s="72"/>
      <c r="HM80" s="72"/>
      <c r="HN80" s="72"/>
      <c r="HO80" s="72"/>
      <c r="HP80" s="72"/>
      <c r="HQ80" s="72"/>
      <c r="HR80" s="72"/>
      <c r="HS80" s="72"/>
      <c r="HT80" s="72"/>
      <c r="HU80" s="72"/>
      <c r="HV80" s="72"/>
      <c r="HW80" s="72"/>
      <c r="HX80" s="72"/>
      <c r="HY80" s="72"/>
      <c r="HZ80" s="72"/>
      <c r="IA80" s="72"/>
      <c r="IB80" s="72"/>
      <c r="IC80" s="72"/>
      <c r="ID80" s="72"/>
      <c r="IE80" s="72"/>
      <c r="IF80" s="72"/>
      <c r="IG80" s="72"/>
      <c r="IH80" s="72"/>
      <c r="II80" s="72"/>
      <c r="IJ80" s="72"/>
      <c r="IK80" s="72"/>
      <c r="IL80" s="72"/>
      <c r="IM80" s="72"/>
      <c r="IN80" s="72"/>
      <c r="IO80" s="72"/>
      <c r="IP80" s="72"/>
      <c r="IQ80" s="72"/>
      <c r="IR80" s="72"/>
      <c r="IS80" s="72"/>
      <c r="IT80" s="72"/>
      <c r="IU80" s="72"/>
      <c r="IV80" s="72"/>
    </row>
    <row r="81" spans="1:256" s="71" customFormat="1" x14ac:dyDescent="0.25">
      <c r="A81" s="70"/>
      <c r="B81" s="70"/>
      <c r="C81" s="70"/>
      <c r="HK81" s="72"/>
      <c r="HL81" s="72"/>
      <c r="HM81" s="72"/>
      <c r="HN81" s="72"/>
      <c r="HO81" s="72"/>
      <c r="HP81" s="72"/>
      <c r="HQ81" s="72"/>
      <c r="HR81" s="72"/>
      <c r="HS81" s="72"/>
      <c r="HT81" s="72"/>
      <c r="HU81" s="72"/>
      <c r="HV81" s="72"/>
      <c r="HW81" s="72"/>
      <c r="HX81" s="72"/>
      <c r="HY81" s="72"/>
      <c r="HZ81" s="72"/>
      <c r="IA81" s="72"/>
      <c r="IB81" s="72"/>
      <c r="IC81" s="72"/>
      <c r="ID81" s="72"/>
      <c r="IE81" s="72"/>
      <c r="IF81" s="72"/>
      <c r="IG81" s="72"/>
      <c r="IH81" s="72"/>
      <c r="II81" s="72"/>
      <c r="IJ81" s="72"/>
      <c r="IK81" s="72"/>
      <c r="IL81" s="72"/>
      <c r="IM81" s="72"/>
      <c r="IN81" s="72"/>
      <c r="IO81" s="72"/>
      <c r="IP81" s="72"/>
      <c r="IQ81" s="72"/>
      <c r="IR81" s="72"/>
      <c r="IS81" s="72"/>
      <c r="IT81" s="72"/>
      <c r="IU81" s="72"/>
      <c r="IV81" s="72"/>
    </row>
    <row r="82" spans="1:256" s="71" customFormat="1" x14ac:dyDescent="0.25">
      <c r="A82" s="70"/>
      <c r="B82" s="70"/>
      <c r="C82" s="70"/>
      <c r="HK82" s="72"/>
      <c r="HL82" s="72"/>
      <c r="HM82" s="72"/>
      <c r="HN82" s="72"/>
      <c r="HO82" s="72"/>
      <c r="HP82" s="72"/>
      <c r="HQ82" s="72"/>
      <c r="HR82" s="72"/>
      <c r="HS82" s="72"/>
      <c r="HT82" s="72"/>
      <c r="HU82" s="72"/>
      <c r="HV82" s="72"/>
      <c r="HW82" s="72"/>
      <c r="HX82" s="72"/>
      <c r="HY82" s="72"/>
      <c r="HZ82" s="72"/>
      <c r="IA82" s="72"/>
      <c r="IB82" s="72"/>
      <c r="IC82" s="72"/>
      <c r="ID82" s="72"/>
      <c r="IE82" s="72"/>
      <c r="IF82" s="72"/>
      <c r="IG82" s="72"/>
      <c r="IH82" s="72"/>
      <c r="II82" s="72"/>
      <c r="IJ82" s="72"/>
      <c r="IK82" s="72"/>
      <c r="IL82" s="72"/>
      <c r="IM82" s="72"/>
      <c r="IN82" s="72"/>
      <c r="IO82" s="72"/>
      <c r="IP82" s="72"/>
      <c r="IQ82" s="72"/>
      <c r="IR82" s="72"/>
      <c r="IS82" s="72"/>
      <c r="IT82" s="72"/>
      <c r="IU82" s="72"/>
      <c r="IV82" s="72"/>
    </row>
    <row r="83" spans="1:256" s="71" customFormat="1" x14ac:dyDescent="0.25">
      <c r="A83" s="70"/>
      <c r="B83" s="70"/>
      <c r="C83" s="70"/>
      <c r="HK83" s="72"/>
      <c r="HL83" s="72"/>
      <c r="HM83" s="72"/>
      <c r="HN83" s="72"/>
      <c r="HO83" s="72"/>
      <c r="HP83" s="72"/>
      <c r="HQ83" s="72"/>
      <c r="HR83" s="72"/>
      <c r="HS83" s="72"/>
      <c r="HT83" s="72"/>
      <c r="HU83" s="72"/>
      <c r="HV83" s="72"/>
      <c r="HW83" s="72"/>
      <c r="HX83" s="72"/>
      <c r="HY83" s="72"/>
      <c r="HZ83" s="72"/>
      <c r="IA83" s="72"/>
      <c r="IB83" s="72"/>
      <c r="IC83" s="72"/>
      <c r="ID83" s="72"/>
      <c r="IE83" s="72"/>
      <c r="IF83" s="72"/>
      <c r="IG83" s="72"/>
      <c r="IH83" s="72"/>
      <c r="II83" s="72"/>
      <c r="IJ83" s="72"/>
      <c r="IK83" s="72"/>
      <c r="IL83" s="72"/>
      <c r="IM83" s="72"/>
      <c r="IN83" s="72"/>
      <c r="IO83" s="72"/>
      <c r="IP83" s="72"/>
      <c r="IQ83" s="72"/>
      <c r="IR83" s="72"/>
      <c r="IS83" s="72"/>
      <c r="IT83" s="72"/>
      <c r="IU83" s="72"/>
      <c r="IV83" s="72"/>
    </row>
    <row r="84" spans="1:256" s="71" customFormat="1" x14ac:dyDescent="0.25">
      <c r="A84" s="70"/>
      <c r="B84" s="70"/>
      <c r="C84" s="70"/>
      <c r="HK84" s="72"/>
      <c r="HL84" s="72"/>
      <c r="HM84" s="72"/>
      <c r="HN84" s="72"/>
      <c r="HO84" s="72"/>
      <c r="HP84" s="72"/>
      <c r="HQ84" s="72"/>
      <c r="HR84" s="72"/>
      <c r="HS84" s="72"/>
      <c r="HT84" s="72"/>
      <c r="HU84" s="72"/>
      <c r="HV84" s="72"/>
      <c r="HW84" s="72"/>
      <c r="HX84" s="72"/>
      <c r="HY84" s="72"/>
      <c r="HZ84" s="72"/>
      <c r="IA84" s="72"/>
      <c r="IB84" s="72"/>
      <c r="IC84" s="72"/>
      <c r="ID84" s="72"/>
      <c r="IE84" s="72"/>
      <c r="IF84" s="72"/>
      <c r="IG84" s="72"/>
      <c r="IH84" s="72"/>
      <c r="II84" s="72"/>
      <c r="IJ84" s="72"/>
      <c r="IK84" s="72"/>
      <c r="IL84" s="72"/>
      <c r="IM84" s="72"/>
      <c r="IN84" s="72"/>
      <c r="IO84" s="72"/>
      <c r="IP84" s="72"/>
      <c r="IQ84" s="72"/>
      <c r="IR84" s="72"/>
      <c r="IS84" s="72"/>
      <c r="IT84" s="72"/>
      <c r="IU84" s="72"/>
      <c r="IV84" s="72"/>
    </row>
    <row r="85" spans="1:256" s="71" customFormat="1" x14ac:dyDescent="0.25">
      <c r="A85" s="70"/>
      <c r="B85" s="70"/>
      <c r="C85" s="70"/>
      <c r="HK85" s="72"/>
      <c r="HL85" s="72"/>
      <c r="HM85" s="72"/>
      <c r="HN85" s="72"/>
      <c r="HO85" s="72"/>
      <c r="HP85" s="72"/>
      <c r="HQ85" s="72"/>
      <c r="HR85" s="72"/>
      <c r="HS85" s="72"/>
      <c r="HT85" s="72"/>
      <c r="HU85" s="72"/>
      <c r="HV85" s="72"/>
      <c r="HW85" s="72"/>
      <c r="HX85" s="72"/>
      <c r="HY85" s="72"/>
      <c r="HZ85" s="72"/>
      <c r="IA85" s="72"/>
      <c r="IB85" s="72"/>
      <c r="IC85" s="72"/>
      <c r="ID85" s="72"/>
      <c r="IE85" s="72"/>
      <c r="IF85" s="72"/>
      <c r="IG85" s="72"/>
      <c r="IH85" s="72"/>
      <c r="II85" s="72"/>
      <c r="IJ85" s="72"/>
      <c r="IK85" s="72"/>
      <c r="IL85" s="72"/>
      <c r="IM85" s="72"/>
      <c r="IN85" s="72"/>
      <c r="IO85" s="72"/>
      <c r="IP85" s="72"/>
      <c r="IQ85" s="72"/>
      <c r="IR85" s="72"/>
      <c r="IS85" s="72"/>
      <c r="IT85" s="72"/>
      <c r="IU85" s="72"/>
      <c r="IV85" s="72"/>
    </row>
    <row r="86" spans="1:256" s="71" customFormat="1" x14ac:dyDescent="0.25">
      <c r="A86" s="70"/>
      <c r="B86" s="70"/>
      <c r="C86" s="70"/>
      <c r="HK86" s="72"/>
      <c r="HL86" s="72"/>
      <c r="HM86" s="72"/>
      <c r="HN86" s="72"/>
      <c r="HO86" s="72"/>
      <c r="HP86" s="72"/>
      <c r="HQ86" s="72"/>
      <c r="HR86" s="72"/>
      <c r="HS86" s="72"/>
      <c r="HT86" s="72"/>
      <c r="HU86" s="72"/>
      <c r="HV86" s="72"/>
      <c r="HW86" s="72"/>
      <c r="HX86" s="72"/>
      <c r="HY86" s="72"/>
      <c r="HZ86" s="72"/>
      <c r="IA86" s="72"/>
      <c r="IB86" s="72"/>
      <c r="IC86" s="72"/>
      <c r="ID86" s="72"/>
      <c r="IE86" s="72"/>
      <c r="IF86" s="72"/>
      <c r="IG86" s="72"/>
      <c r="IH86" s="72"/>
      <c r="II86" s="72"/>
      <c r="IJ86" s="72"/>
      <c r="IK86" s="72"/>
      <c r="IL86" s="72"/>
      <c r="IM86" s="72"/>
      <c r="IN86" s="72"/>
      <c r="IO86" s="72"/>
      <c r="IP86" s="72"/>
      <c r="IQ86" s="72"/>
      <c r="IR86" s="72"/>
      <c r="IS86" s="72"/>
      <c r="IT86" s="72"/>
      <c r="IU86" s="72"/>
      <c r="IV86" s="72"/>
    </row>
    <row r="87" spans="1:256" s="71" customFormat="1" x14ac:dyDescent="0.25">
      <c r="A87" s="70"/>
      <c r="B87" s="70"/>
      <c r="C87" s="70"/>
      <c r="HK87" s="72"/>
      <c r="HL87" s="72"/>
      <c r="HM87" s="72"/>
      <c r="HN87" s="72"/>
      <c r="HO87" s="72"/>
      <c r="HP87" s="72"/>
      <c r="HQ87" s="72"/>
      <c r="HR87" s="72"/>
      <c r="HS87" s="72"/>
      <c r="HT87" s="72"/>
      <c r="HU87" s="72"/>
      <c r="HV87" s="72"/>
      <c r="HW87" s="72"/>
      <c r="HX87" s="72"/>
      <c r="HY87" s="72"/>
      <c r="HZ87" s="72"/>
      <c r="IA87" s="72"/>
      <c r="IB87" s="72"/>
      <c r="IC87" s="72"/>
      <c r="ID87" s="72"/>
      <c r="IE87" s="72"/>
      <c r="IF87" s="72"/>
      <c r="IG87" s="72"/>
      <c r="IH87" s="72"/>
      <c r="II87" s="72"/>
      <c r="IJ87" s="72"/>
      <c r="IK87" s="72"/>
      <c r="IL87" s="72"/>
      <c r="IM87" s="72"/>
      <c r="IN87" s="72"/>
      <c r="IO87" s="72"/>
      <c r="IP87" s="72"/>
      <c r="IQ87" s="72"/>
      <c r="IR87" s="72"/>
      <c r="IS87" s="72"/>
      <c r="IT87" s="72"/>
      <c r="IU87" s="72"/>
      <c r="IV87" s="72"/>
    </row>
    <row r="88" spans="1:256" s="71" customFormat="1" x14ac:dyDescent="0.25">
      <c r="A88" s="70"/>
      <c r="B88" s="70"/>
      <c r="C88" s="70"/>
      <c r="HK88" s="72"/>
      <c r="HL88" s="72"/>
      <c r="HM88" s="72"/>
      <c r="HN88" s="72"/>
      <c r="HO88" s="72"/>
      <c r="HP88" s="72"/>
      <c r="HQ88" s="72"/>
      <c r="HR88" s="72"/>
      <c r="HS88" s="72"/>
      <c r="HT88" s="72"/>
      <c r="HU88" s="72"/>
      <c r="HV88" s="72"/>
      <c r="HW88" s="72"/>
      <c r="HX88" s="72"/>
      <c r="HY88" s="72"/>
      <c r="HZ88" s="72"/>
      <c r="IA88" s="72"/>
      <c r="IB88" s="72"/>
      <c r="IC88" s="72"/>
      <c r="ID88" s="72"/>
      <c r="IE88" s="72"/>
      <c r="IF88" s="72"/>
      <c r="IG88" s="72"/>
      <c r="IH88" s="72"/>
      <c r="II88" s="72"/>
      <c r="IJ88" s="72"/>
      <c r="IK88" s="72"/>
      <c r="IL88" s="72"/>
      <c r="IM88" s="72"/>
      <c r="IN88" s="72"/>
      <c r="IO88" s="72"/>
      <c r="IP88" s="72"/>
      <c r="IQ88" s="72"/>
      <c r="IR88" s="72"/>
      <c r="IS88" s="72"/>
      <c r="IT88" s="72"/>
      <c r="IU88" s="72"/>
      <c r="IV88" s="72"/>
    </row>
    <row r="89" spans="1:256" s="71" customFormat="1" x14ac:dyDescent="0.25">
      <c r="A89" s="70"/>
      <c r="B89" s="70"/>
      <c r="C89" s="70"/>
      <c r="HK89" s="72"/>
      <c r="HL89" s="72"/>
      <c r="HM89" s="72"/>
      <c r="HN89" s="72"/>
      <c r="HO89" s="72"/>
      <c r="HP89" s="72"/>
      <c r="HQ89" s="72"/>
      <c r="HR89" s="72"/>
      <c r="HS89" s="72"/>
      <c r="HT89" s="72"/>
      <c r="HU89" s="72"/>
      <c r="HV89" s="72"/>
      <c r="HW89" s="72"/>
      <c r="HX89" s="72"/>
      <c r="HY89" s="72"/>
      <c r="HZ89" s="72"/>
      <c r="IA89" s="72"/>
      <c r="IB89" s="72"/>
      <c r="IC89" s="72"/>
      <c r="ID89" s="72"/>
      <c r="IE89" s="72"/>
      <c r="IF89" s="72"/>
      <c r="IG89" s="72"/>
      <c r="IH89" s="72"/>
      <c r="II89" s="72"/>
      <c r="IJ89" s="72"/>
      <c r="IK89" s="72"/>
      <c r="IL89" s="72"/>
      <c r="IM89" s="72"/>
      <c r="IN89" s="72"/>
      <c r="IO89" s="72"/>
      <c r="IP89" s="72"/>
      <c r="IQ89" s="72"/>
      <c r="IR89" s="72"/>
      <c r="IS89" s="72"/>
      <c r="IT89" s="72"/>
      <c r="IU89" s="72"/>
      <c r="IV89" s="72"/>
    </row>
    <row r="90" spans="1:256" s="71" customFormat="1" x14ac:dyDescent="0.25">
      <c r="A90" s="70"/>
      <c r="B90" s="70"/>
      <c r="C90" s="70"/>
      <c r="HK90" s="72"/>
      <c r="HL90" s="72"/>
      <c r="HM90" s="72"/>
      <c r="HN90" s="72"/>
      <c r="HO90" s="72"/>
      <c r="HP90" s="72"/>
      <c r="HQ90" s="72"/>
      <c r="HR90" s="72"/>
      <c r="HS90" s="72"/>
      <c r="HT90" s="72"/>
      <c r="HU90" s="72"/>
      <c r="HV90" s="72"/>
      <c r="HW90" s="72"/>
      <c r="HX90" s="72"/>
      <c r="HY90" s="72"/>
      <c r="HZ90" s="72"/>
      <c r="IA90" s="72"/>
      <c r="IB90" s="72"/>
      <c r="IC90" s="72"/>
      <c r="ID90" s="72"/>
      <c r="IE90" s="72"/>
      <c r="IF90" s="72"/>
      <c r="IG90" s="72"/>
      <c r="IH90" s="72"/>
      <c r="II90" s="72"/>
      <c r="IJ90" s="72"/>
      <c r="IK90" s="72"/>
      <c r="IL90" s="72"/>
      <c r="IM90" s="72"/>
      <c r="IN90" s="72"/>
      <c r="IO90" s="72"/>
      <c r="IP90" s="72"/>
      <c r="IQ90" s="72"/>
      <c r="IR90" s="72"/>
      <c r="IS90" s="72"/>
      <c r="IT90" s="72"/>
      <c r="IU90" s="72"/>
      <c r="IV90" s="72"/>
    </row>
    <row r="91" spans="1:256" s="71" customFormat="1" x14ac:dyDescent="0.25">
      <c r="A91" s="70"/>
      <c r="B91" s="70"/>
      <c r="C91" s="70"/>
      <c r="HK91" s="72"/>
      <c r="HL91" s="72"/>
      <c r="HM91" s="72"/>
      <c r="HN91" s="72"/>
      <c r="HO91" s="72"/>
      <c r="HP91" s="72"/>
      <c r="HQ91" s="72"/>
      <c r="HR91" s="72"/>
      <c r="HS91" s="72"/>
      <c r="HT91" s="72"/>
      <c r="HU91" s="72"/>
      <c r="HV91" s="72"/>
      <c r="HW91" s="72"/>
      <c r="HX91" s="72"/>
      <c r="HY91" s="72"/>
      <c r="HZ91" s="72"/>
      <c r="IA91" s="72"/>
      <c r="IB91" s="72"/>
      <c r="IC91" s="72"/>
      <c r="ID91" s="72"/>
      <c r="IE91" s="72"/>
      <c r="IF91" s="72"/>
      <c r="IG91" s="72"/>
      <c r="IH91" s="72"/>
      <c r="II91" s="72"/>
      <c r="IJ91" s="72"/>
      <c r="IK91" s="72"/>
      <c r="IL91" s="72"/>
      <c r="IM91" s="72"/>
      <c r="IN91" s="72"/>
      <c r="IO91" s="72"/>
      <c r="IP91" s="72"/>
      <c r="IQ91" s="72"/>
      <c r="IR91" s="72"/>
      <c r="IS91" s="72"/>
      <c r="IT91" s="72"/>
      <c r="IU91" s="72"/>
      <c r="IV91" s="72"/>
    </row>
    <row r="92" spans="1:256" s="71" customFormat="1" x14ac:dyDescent="0.25">
      <c r="A92" s="70"/>
      <c r="B92" s="70"/>
      <c r="C92" s="70"/>
      <c r="HK92" s="72"/>
      <c r="HL92" s="72"/>
      <c r="HM92" s="72"/>
      <c r="HN92" s="72"/>
      <c r="HO92" s="72"/>
      <c r="HP92" s="72"/>
      <c r="HQ92" s="72"/>
      <c r="HR92" s="72"/>
      <c r="HS92" s="72"/>
      <c r="HT92" s="72"/>
      <c r="HU92" s="72"/>
      <c r="HV92" s="72"/>
      <c r="HW92" s="72"/>
      <c r="HX92" s="72"/>
      <c r="HY92" s="72"/>
      <c r="HZ92" s="72"/>
      <c r="IA92" s="72"/>
      <c r="IB92" s="72"/>
      <c r="IC92" s="72"/>
      <c r="ID92" s="72"/>
      <c r="IE92" s="72"/>
      <c r="IF92" s="72"/>
      <c r="IG92" s="72"/>
      <c r="IH92" s="72"/>
      <c r="II92" s="72"/>
      <c r="IJ92" s="72"/>
      <c r="IK92" s="72"/>
      <c r="IL92" s="72"/>
      <c r="IM92" s="72"/>
      <c r="IN92" s="72"/>
      <c r="IO92" s="72"/>
      <c r="IP92" s="72"/>
      <c r="IQ92" s="72"/>
      <c r="IR92" s="72"/>
      <c r="IS92" s="72"/>
      <c r="IT92" s="72"/>
      <c r="IU92" s="72"/>
      <c r="IV92" s="72"/>
    </row>
    <row r="93" spans="1:256" s="71" customFormat="1" x14ac:dyDescent="0.25">
      <c r="A93" s="70"/>
      <c r="B93" s="70"/>
      <c r="C93" s="70"/>
      <c r="HK93" s="72"/>
      <c r="HL93" s="72"/>
      <c r="HM93" s="72"/>
      <c r="HN93" s="72"/>
      <c r="HO93" s="72"/>
      <c r="HP93" s="72"/>
      <c r="HQ93" s="72"/>
      <c r="HR93" s="72"/>
      <c r="HS93" s="72"/>
      <c r="HT93" s="72"/>
      <c r="HU93" s="72"/>
      <c r="HV93" s="72"/>
      <c r="HW93" s="72"/>
      <c r="HX93" s="72"/>
      <c r="HY93" s="72"/>
      <c r="HZ93" s="72"/>
      <c r="IA93" s="72"/>
      <c r="IB93" s="72"/>
      <c r="IC93" s="72"/>
      <c r="ID93" s="72"/>
      <c r="IE93" s="72"/>
      <c r="IF93" s="72"/>
      <c r="IG93" s="72"/>
      <c r="IH93" s="72"/>
      <c r="II93" s="72"/>
      <c r="IJ93" s="72"/>
      <c r="IK93" s="72"/>
      <c r="IL93" s="72"/>
      <c r="IM93" s="72"/>
      <c r="IN93" s="72"/>
      <c r="IO93" s="72"/>
      <c r="IP93" s="72"/>
      <c r="IQ93" s="72"/>
      <c r="IR93" s="72"/>
      <c r="IS93" s="72"/>
      <c r="IT93" s="72"/>
      <c r="IU93" s="72"/>
      <c r="IV93" s="72"/>
    </row>
    <row r="94" spans="1:256" s="71" customFormat="1" x14ac:dyDescent="0.25">
      <c r="A94" s="70"/>
      <c r="B94" s="70"/>
      <c r="C94" s="70"/>
      <c r="HK94" s="72"/>
      <c r="HL94" s="72"/>
      <c r="HM94" s="72"/>
      <c r="HN94" s="72"/>
      <c r="HO94" s="72"/>
      <c r="HP94" s="72"/>
      <c r="HQ94" s="72"/>
      <c r="HR94" s="72"/>
      <c r="HS94" s="72"/>
      <c r="HT94" s="72"/>
      <c r="HU94" s="72"/>
      <c r="HV94" s="72"/>
      <c r="HW94" s="72"/>
      <c r="HX94" s="72"/>
      <c r="HY94" s="72"/>
      <c r="HZ94" s="72"/>
      <c r="IA94" s="72"/>
      <c r="IB94" s="72"/>
      <c r="IC94" s="72"/>
      <c r="ID94" s="72"/>
      <c r="IE94" s="72"/>
      <c r="IF94" s="72"/>
      <c r="IG94" s="72"/>
      <c r="IH94" s="72"/>
      <c r="II94" s="72"/>
      <c r="IJ94" s="72"/>
      <c r="IK94" s="72"/>
      <c r="IL94" s="72"/>
      <c r="IM94" s="72"/>
      <c r="IN94" s="72"/>
      <c r="IO94" s="72"/>
      <c r="IP94" s="72"/>
      <c r="IQ94" s="72"/>
      <c r="IR94" s="72"/>
      <c r="IS94" s="72"/>
      <c r="IT94" s="72"/>
      <c r="IU94" s="72"/>
      <c r="IV94" s="72"/>
    </row>
    <row r="95" spans="1:256" s="71" customFormat="1" x14ac:dyDescent="0.25">
      <c r="A95" s="70"/>
      <c r="B95" s="70"/>
      <c r="C95" s="70"/>
      <c r="HK95" s="72"/>
      <c r="HL95" s="72"/>
      <c r="HM95" s="72"/>
      <c r="HN95" s="72"/>
      <c r="HO95" s="72"/>
      <c r="HP95" s="72"/>
      <c r="HQ95" s="72"/>
      <c r="HR95" s="72"/>
      <c r="HS95" s="72"/>
      <c r="HT95" s="72"/>
      <c r="HU95" s="72"/>
      <c r="HV95" s="72"/>
      <c r="HW95" s="72"/>
      <c r="HX95" s="72"/>
      <c r="HY95" s="72"/>
      <c r="HZ95" s="72"/>
      <c r="IA95" s="72"/>
      <c r="IB95" s="72"/>
      <c r="IC95" s="72"/>
      <c r="ID95" s="72"/>
      <c r="IE95" s="72"/>
      <c r="IF95" s="72"/>
      <c r="IG95" s="72"/>
      <c r="IH95" s="72"/>
      <c r="II95" s="72"/>
      <c r="IJ95" s="72"/>
      <c r="IK95" s="72"/>
      <c r="IL95" s="72"/>
      <c r="IM95" s="72"/>
      <c r="IN95" s="72"/>
      <c r="IO95" s="72"/>
      <c r="IP95" s="72"/>
      <c r="IQ95" s="72"/>
      <c r="IR95" s="72"/>
      <c r="IS95" s="72"/>
      <c r="IT95" s="72"/>
      <c r="IU95" s="72"/>
      <c r="IV95" s="72"/>
    </row>
  </sheetData>
  <mergeCells count="7">
    <mergeCell ref="A1:C1"/>
    <mergeCell ref="D1:F1"/>
    <mergeCell ref="G4:J4"/>
    <mergeCell ref="E2:F2"/>
    <mergeCell ref="E3:F3"/>
    <mergeCell ref="B3:C3"/>
    <mergeCell ref="B4:D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88C0-1031-4E3B-B584-B569A4E16334}">
  <sheetPr>
    <tabColor rgb="FF92D050"/>
  </sheetPr>
  <dimension ref="A1:M366"/>
  <sheetViews>
    <sheetView workbookViewId="0"/>
  </sheetViews>
  <sheetFormatPr defaultRowHeight="15" x14ac:dyDescent="0.25"/>
  <cols>
    <col min="1" max="1" width="10.7109375" bestFit="1" customWidth="1"/>
    <col min="2" max="2" width="8.42578125" customWidth="1"/>
    <col min="3" max="3" width="10" customWidth="1"/>
    <col min="4" max="4" width="22.5703125" hidden="1" customWidth="1"/>
    <col min="5" max="5" width="26" hidden="1" customWidth="1"/>
    <col min="6" max="6" width="25.5703125" style="12" hidden="1" customWidth="1"/>
    <col min="7" max="7" width="25.5703125" style="12" customWidth="1"/>
    <col min="8" max="8" width="25.5703125" style="74" customWidth="1"/>
    <col min="9" max="9" width="25.5703125" customWidth="1"/>
    <col min="10" max="10" width="12" customWidth="1"/>
  </cols>
  <sheetData>
    <row r="1" spans="1:13" x14ac:dyDescent="0.25">
      <c r="A1" s="98" t="s">
        <v>55</v>
      </c>
      <c r="B1" s="98" t="s">
        <v>144</v>
      </c>
      <c r="C1" s="98" t="s">
        <v>145</v>
      </c>
      <c r="D1" s="98" t="s">
        <v>146</v>
      </c>
      <c r="E1" s="98" t="s">
        <v>147</v>
      </c>
      <c r="F1" s="98" t="s">
        <v>148</v>
      </c>
      <c r="G1" s="98" t="s">
        <v>591</v>
      </c>
      <c r="H1" s="98" t="s">
        <v>592</v>
      </c>
      <c r="I1" s="98" t="s">
        <v>149</v>
      </c>
      <c r="J1" s="58"/>
      <c r="K1" s="1"/>
      <c r="L1" s="1"/>
      <c r="M1" s="1"/>
    </row>
    <row r="2" spans="1:13" x14ac:dyDescent="0.25">
      <c r="A2" s="13">
        <v>45658</v>
      </c>
      <c r="B2">
        <v>2025</v>
      </c>
      <c r="C2">
        <v>1</v>
      </c>
      <c r="D2">
        <v>31.1</v>
      </c>
      <c r="E2">
        <v>35.700000000000003</v>
      </c>
      <c r="F2" s="12">
        <v>14.8</v>
      </c>
      <c r="G2" s="12">
        <f>(F2+E2)/2</f>
        <v>25.25</v>
      </c>
      <c r="I2">
        <v>0</v>
      </c>
    </row>
    <row r="3" spans="1:13" x14ac:dyDescent="0.25">
      <c r="A3" s="13">
        <v>45659</v>
      </c>
      <c r="B3">
        <v>2025</v>
      </c>
      <c r="C3">
        <v>2</v>
      </c>
      <c r="D3">
        <v>30.5</v>
      </c>
      <c r="E3">
        <v>33.9</v>
      </c>
      <c r="F3" s="12">
        <v>12.5</v>
      </c>
      <c r="G3" s="12">
        <f t="shared" ref="G3:G66" si="0">(F3+E3)/2</f>
        <v>23.2</v>
      </c>
      <c r="I3">
        <v>0</v>
      </c>
    </row>
    <row r="4" spans="1:13" x14ac:dyDescent="0.25">
      <c r="A4" s="13">
        <v>45660</v>
      </c>
      <c r="B4">
        <v>2025</v>
      </c>
      <c r="C4">
        <v>3</v>
      </c>
      <c r="D4">
        <v>29.6</v>
      </c>
      <c r="E4">
        <v>35</v>
      </c>
      <c r="F4" s="12">
        <v>16.8</v>
      </c>
      <c r="G4" s="12">
        <f t="shared" si="0"/>
        <v>25.9</v>
      </c>
      <c r="I4">
        <v>0</v>
      </c>
    </row>
    <row r="5" spans="1:13" x14ac:dyDescent="0.25">
      <c r="A5" s="13">
        <v>45661</v>
      </c>
      <c r="B5">
        <v>2025</v>
      </c>
      <c r="C5">
        <v>4</v>
      </c>
      <c r="D5">
        <v>27.7</v>
      </c>
      <c r="E5">
        <v>39.1</v>
      </c>
      <c r="F5" s="12">
        <v>21.8</v>
      </c>
      <c r="G5" s="12">
        <f t="shared" si="0"/>
        <v>30.450000000000003</v>
      </c>
      <c r="I5">
        <v>0</v>
      </c>
    </row>
    <row r="6" spans="1:13" x14ac:dyDescent="0.25">
      <c r="A6" s="13">
        <v>45662</v>
      </c>
      <c r="B6">
        <v>2025</v>
      </c>
      <c r="C6">
        <v>5</v>
      </c>
      <c r="D6">
        <v>17.5</v>
      </c>
      <c r="E6">
        <v>39.299999999999997</v>
      </c>
      <c r="F6" s="12">
        <v>22.9</v>
      </c>
      <c r="G6" s="12">
        <f t="shared" si="0"/>
        <v>31.099999999999998</v>
      </c>
      <c r="I6">
        <v>0</v>
      </c>
    </row>
    <row r="7" spans="1:13" x14ac:dyDescent="0.25">
      <c r="A7" s="13">
        <v>45663</v>
      </c>
      <c r="B7">
        <v>2025</v>
      </c>
      <c r="C7">
        <v>6</v>
      </c>
      <c r="D7">
        <v>10</v>
      </c>
      <c r="E7">
        <v>31.9</v>
      </c>
      <c r="F7" s="12">
        <v>23.2</v>
      </c>
      <c r="G7" s="12">
        <f t="shared" si="0"/>
        <v>27.549999999999997</v>
      </c>
      <c r="I7">
        <v>0.8</v>
      </c>
    </row>
    <row r="8" spans="1:13" x14ac:dyDescent="0.25">
      <c r="A8" s="13">
        <v>45664</v>
      </c>
      <c r="B8">
        <v>2025</v>
      </c>
      <c r="C8">
        <v>7</v>
      </c>
      <c r="D8">
        <v>21.6</v>
      </c>
      <c r="E8">
        <v>30.3</v>
      </c>
      <c r="F8" s="12">
        <v>16.7</v>
      </c>
      <c r="G8" s="12">
        <f t="shared" si="0"/>
        <v>23.5</v>
      </c>
      <c r="I8">
        <v>27.199999999999996</v>
      </c>
    </row>
    <row r="9" spans="1:13" x14ac:dyDescent="0.25">
      <c r="A9" s="13">
        <v>45665</v>
      </c>
      <c r="B9">
        <v>2025</v>
      </c>
      <c r="C9">
        <v>8</v>
      </c>
      <c r="D9">
        <v>31.4</v>
      </c>
      <c r="E9">
        <v>29.8</v>
      </c>
      <c r="F9" s="12">
        <v>15.4</v>
      </c>
      <c r="G9" s="12">
        <f t="shared" si="0"/>
        <v>22.6</v>
      </c>
      <c r="I9">
        <v>0</v>
      </c>
    </row>
    <row r="10" spans="1:13" x14ac:dyDescent="0.25">
      <c r="A10" s="13">
        <v>45666</v>
      </c>
      <c r="B10">
        <v>2025</v>
      </c>
      <c r="C10">
        <v>9</v>
      </c>
      <c r="D10">
        <v>24.8</v>
      </c>
      <c r="E10">
        <v>31.2</v>
      </c>
      <c r="F10" s="12">
        <v>15.6</v>
      </c>
      <c r="G10" s="12">
        <f t="shared" si="0"/>
        <v>23.4</v>
      </c>
      <c r="I10">
        <v>0</v>
      </c>
    </row>
    <row r="11" spans="1:13" x14ac:dyDescent="0.25">
      <c r="A11" s="13">
        <v>45667</v>
      </c>
      <c r="B11">
        <v>2025</v>
      </c>
      <c r="C11">
        <v>10</v>
      </c>
      <c r="D11">
        <v>25.6</v>
      </c>
      <c r="E11">
        <v>33.200000000000003</v>
      </c>
      <c r="F11" s="12">
        <v>20.399999999999999</v>
      </c>
      <c r="G11" s="12">
        <f t="shared" si="0"/>
        <v>26.8</v>
      </c>
      <c r="I11">
        <v>0</v>
      </c>
    </row>
    <row r="12" spans="1:13" x14ac:dyDescent="0.25">
      <c r="A12" s="13">
        <v>45668</v>
      </c>
      <c r="B12">
        <v>2025</v>
      </c>
      <c r="C12">
        <v>11</v>
      </c>
      <c r="D12">
        <v>23.4</v>
      </c>
      <c r="E12">
        <v>33.299999999999997</v>
      </c>
      <c r="F12" s="12">
        <v>20.7</v>
      </c>
      <c r="G12" s="12">
        <f t="shared" si="0"/>
        <v>27</v>
      </c>
      <c r="I12">
        <v>0</v>
      </c>
    </row>
    <row r="13" spans="1:13" x14ac:dyDescent="0.25">
      <c r="A13" s="13">
        <v>45669</v>
      </c>
      <c r="B13">
        <v>2025</v>
      </c>
      <c r="C13">
        <v>12</v>
      </c>
      <c r="D13">
        <v>28.8</v>
      </c>
      <c r="E13">
        <v>34.6</v>
      </c>
      <c r="F13" s="12">
        <v>19</v>
      </c>
      <c r="G13" s="12">
        <f t="shared" si="0"/>
        <v>26.8</v>
      </c>
      <c r="I13">
        <v>0.60000000000000009</v>
      </c>
    </row>
    <row r="14" spans="1:13" x14ac:dyDescent="0.25">
      <c r="A14" s="13">
        <v>45670</v>
      </c>
      <c r="B14">
        <v>2025</v>
      </c>
      <c r="C14">
        <v>13</v>
      </c>
      <c r="D14">
        <v>26.4</v>
      </c>
      <c r="E14">
        <v>35.5</v>
      </c>
      <c r="F14" s="12">
        <v>16.7</v>
      </c>
      <c r="G14" s="12">
        <f t="shared" si="0"/>
        <v>26.1</v>
      </c>
      <c r="I14">
        <v>0</v>
      </c>
    </row>
    <row r="15" spans="1:13" x14ac:dyDescent="0.25">
      <c r="A15" s="13">
        <v>45671</v>
      </c>
      <c r="B15">
        <v>2025</v>
      </c>
      <c r="C15">
        <v>14</v>
      </c>
      <c r="D15">
        <v>29.9</v>
      </c>
      <c r="E15">
        <v>36.1</v>
      </c>
      <c r="F15" s="12">
        <v>20.399999999999999</v>
      </c>
      <c r="G15" s="12">
        <f t="shared" si="0"/>
        <v>28.25</v>
      </c>
      <c r="I15">
        <v>6.8000000000000007</v>
      </c>
    </row>
    <row r="16" spans="1:13" x14ac:dyDescent="0.25">
      <c r="A16" s="13">
        <v>45672</v>
      </c>
      <c r="B16">
        <v>2025</v>
      </c>
      <c r="C16">
        <v>15</v>
      </c>
      <c r="D16">
        <v>21.1</v>
      </c>
      <c r="E16">
        <v>37.9</v>
      </c>
      <c r="F16" s="12">
        <v>23.2</v>
      </c>
      <c r="G16" s="12">
        <f t="shared" si="0"/>
        <v>30.549999999999997</v>
      </c>
      <c r="I16">
        <v>9.2000000000000011</v>
      </c>
    </row>
    <row r="17" spans="1:9" x14ac:dyDescent="0.25">
      <c r="A17" s="13">
        <v>45673</v>
      </c>
      <c r="B17">
        <v>2025</v>
      </c>
      <c r="C17">
        <v>16</v>
      </c>
      <c r="D17">
        <v>30.6</v>
      </c>
      <c r="E17">
        <v>28.9</v>
      </c>
      <c r="F17" s="12">
        <v>13.9</v>
      </c>
      <c r="G17" s="12">
        <f t="shared" si="0"/>
        <v>21.4</v>
      </c>
      <c r="I17">
        <v>0</v>
      </c>
    </row>
    <row r="18" spans="1:9" x14ac:dyDescent="0.25">
      <c r="A18" s="13">
        <v>45674</v>
      </c>
      <c r="B18">
        <v>2025</v>
      </c>
      <c r="C18">
        <v>17</v>
      </c>
      <c r="D18">
        <v>30.5</v>
      </c>
      <c r="E18">
        <v>30.9</v>
      </c>
      <c r="F18" s="12">
        <v>12.4</v>
      </c>
      <c r="G18" s="12">
        <f t="shared" si="0"/>
        <v>21.65</v>
      </c>
      <c r="I18">
        <v>0</v>
      </c>
    </row>
    <row r="19" spans="1:9" x14ac:dyDescent="0.25">
      <c r="A19" s="13">
        <v>45675</v>
      </c>
      <c r="B19">
        <v>2025</v>
      </c>
      <c r="C19">
        <v>18</v>
      </c>
      <c r="D19">
        <v>30.2</v>
      </c>
      <c r="E19">
        <v>32.299999999999997</v>
      </c>
      <c r="F19" s="12">
        <v>15.7</v>
      </c>
      <c r="G19" s="12">
        <f t="shared" si="0"/>
        <v>24</v>
      </c>
      <c r="I19">
        <v>0</v>
      </c>
    </row>
    <row r="20" spans="1:9" x14ac:dyDescent="0.25">
      <c r="A20" s="13">
        <v>45676</v>
      </c>
      <c r="B20">
        <v>2025</v>
      </c>
      <c r="C20">
        <v>19</v>
      </c>
      <c r="D20">
        <v>30.1</v>
      </c>
      <c r="E20">
        <v>32.9</v>
      </c>
      <c r="F20" s="12">
        <v>17.5</v>
      </c>
      <c r="G20" s="12">
        <f t="shared" si="0"/>
        <v>25.2</v>
      </c>
      <c r="I20">
        <v>0</v>
      </c>
    </row>
    <row r="21" spans="1:9" x14ac:dyDescent="0.25">
      <c r="A21" s="13">
        <v>45677</v>
      </c>
      <c r="B21">
        <v>2025</v>
      </c>
      <c r="C21">
        <v>20</v>
      </c>
      <c r="D21">
        <v>28.6</v>
      </c>
      <c r="E21">
        <v>34.5</v>
      </c>
      <c r="F21" s="12">
        <v>15.6</v>
      </c>
      <c r="G21" s="12">
        <f t="shared" si="0"/>
        <v>25.05</v>
      </c>
      <c r="I21">
        <v>0</v>
      </c>
    </row>
    <row r="22" spans="1:9" x14ac:dyDescent="0.25">
      <c r="A22" s="13">
        <v>45678</v>
      </c>
      <c r="B22">
        <v>2025</v>
      </c>
      <c r="C22">
        <v>21</v>
      </c>
      <c r="D22">
        <v>27.2</v>
      </c>
      <c r="E22">
        <v>39</v>
      </c>
      <c r="F22" s="12">
        <v>20.3</v>
      </c>
      <c r="G22" s="12">
        <f t="shared" si="0"/>
        <v>29.65</v>
      </c>
      <c r="I22">
        <v>0</v>
      </c>
    </row>
    <row r="23" spans="1:9" x14ac:dyDescent="0.25">
      <c r="A23" s="13">
        <v>45679</v>
      </c>
      <c r="B23">
        <v>2025</v>
      </c>
      <c r="C23">
        <v>22</v>
      </c>
      <c r="D23">
        <v>20.3</v>
      </c>
      <c r="E23">
        <v>34.200000000000003</v>
      </c>
      <c r="F23" s="12">
        <v>21.4</v>
      </c>
      <c r="G23" s="12">
        <f t="shared" si="0"/>
        <v>27.8</v>
      </c>
      <c r="I23">
        <v>0</v>
      </c>
    </row>
    <row r="24" spans="1:9" x14ac:dyDescent="0.25">
      <c r="A24" s="13">
        <v>45680</v>
      </c>
      <c r="B24">
        <v>2025</v>
      </c>
      <c r="C24">
        <v>23</v>
      </c>
      <c r="D24">
        <v>21.8</v>
      </c>
      <c r="E24">
        <v>30.9</v>
      </c>
      <c r="F24" s="12">
        <v>18.8</v>
      </c>
      <c r="G24" s="12">
        <f t="shared" si="0"/>
        <v>24.85</v>
      </c>
      <c r="I24">
        <v>0</v>
      </c>
    </row>
    <row r="25" spans="1:9" x14ac:dyDescent="0.25">
      <c r="A25" s="13">
        <v>45681</v>
      </c>
      <c r="B25">
        <v>2025</v>
      </c>
      <c r="C25">
        <v>24</v>
      </c>
      <c r="D25">
        <v>29</v>
      </c>
      <c r="E25">
        <v>31.2</v>
      </c>
      <c r="F25" s="12">
        <v>12.9</v>
      </c>
      <c r="G25" s="12">
        <f t="shared" si="0"/>
        <v>22.05</v>
      </c>
      <c r="I25">
        <v>0</v>
      </c>
    </row>
    <row r="26" spans="1:9" x14ac:dyDescent="0.25">
      <c r="A26" s="13">
        <v>45682</v>
      </c>
      <c r="B26">
        <v>2025</v>
      </c>
      <c r="C26">
        <v>25</v>
      </c>
      <c r="D26">
        <v>26.1</v>
      </c>
      <c r="E26">
        <v>34</v>
      </c>
      <c r="F26" s="12">
        <v>13.2</v>
      </c>
      <c r="G26" s="12">
        <f t="shared" si="0"/>
        <v>23.6</v>
      </c>
      <c r="I26">
        <v>0</v>
      </c>
    </row>
    <row r="27" spans="1:9" x14ac:dyDescent="0.25">
      <c r="A27" s="13">
        <v>45683</v>
      </c>
      <c r="B27">
        <v>2025</v>
      </c>
      <c r="C27">
        <v>26</v>
      </c>
      <c r="D27">
        <v>28.9</v>
      </c>
      <c r="E27">
        <v>36.6</v>
      </c>
      <c r="F27" s="12">
        <v>14.5</v>
      </c>
      <c r="G27" s="12">
        <f t="shared" si="0"/>
        <v>25.55</v>
      </c>
      <c r="I27">
        <v>0</v>
      </c>
    </row>
    <row r="28" spans="1:9" x14ac:dyDescent="0.25">
      <c r="A28" s="13">
        <v>45684</v>
      </c>
      <c r="B28">
        <v>2025</v>
      </c>
      <c r="C28">
        <v>27</v>
      </c>
      <c r="D28">
        <v>27.1</v>
      </c>
      <c r="E28">
        <v>40.799999999999997</v>
      </c>
      <c r="F28" s="12">
        <v>21.2</v>
      </c>
      <c r="G28" s="12">
        <f t="shared" si="0"/>
        <v>31</v>
      </c>
      <c r="I28">
        <v>0</v>
      </c>
    </row>
    <row r="29" spans="1:9" x14ac:dyDescent="0.25">
      <c r="A29" s="13">
        <v>45685</v>
      </c>
      <c r="B29">
        <v>2025</v>
      </c>
      <c r="C29">
        <v>28</v>
      </c>
      <c r="D29">
        <v>22.9</v>
      </c>
      <c r="E29">
        <v>36.4</v>
      </c>
      <c r="F29" s="12">
        <v>26</v>
      </c>
      <c r="G29" s="12">
        <f t="shared" si="0"/>
        <v>31.2</v>
      </c>
      <c r="I29">
        <v>0</v>
      </c>
    </row>
    <row r="30" spans="1:9" x14ac:dyDescent="0.25">
      <c r="A30" s="13">
        <v>45686</v>
      </c>
      <c r="B30">
        <v>2025</v>
      </c>
      <c r="C30">
        <v>29</v>
      </c>
      <c r="D30">
        <v>28.3</v>
      </c>
      <c r="E30">
        <v>33.200000000000003</v>
      </c>
      <c r="F30" s="12">
        <v>14.7</v>
      </c>
      <c r="G30" s="12">
        <f t="shared" si="0"/>
        <v>23.950000000000003</v>
      </c>
      <c r="I30">
        <v>0</v>
      </c>
    </row>
    <row r="31" spans="1:9" x14ac:dyDescent="0.25">
      <c r="A31" s="13">
        <v>45687</v>
      </c>
      <c r="B31">
        <v>2025</v>
      </c>
      <c r="C31">
        <v>30</v>
      </c>
      <c r="D31">
        <v>24.1</v>
      </c>
      <c r="E31">
        <v>33.4</v>
      </c>
      <c r="F31" s="12">
        <v>13.8</v>
      </c>
      <c r="G31" s="12">
        <f t="shared" si="0"/>
        <v>23.6</v>
      </c>
      <c r="I31">
        <v>0</v>
      </c>
    </row>
    <row r="32" spans="1:9" x14ac:dyDescent="0.25">
      <c r="A32" s="13">
        <v>45688</v>
      </c>
      <c r="B32">
        <v>2025</v>
      </c>
      <c r="C32">
        <v>31</v>
      </c>
      <c r="D32">
        <v>27.3</v>
      </c>
      <c r="E32">
        <v>35.200000000000003</v>
      </c>
      <c r="F32" s="12">
        <v>19.2</v>
      </c>
      <c r="G32" s="12">
        <f t="shared" si="0"/>
        <v>27.200000000000003</v>
      </c>
      <c r="I32">
        <v>0</v>
      </c>
    </row>
    <row r="33" spans="1:9" x14ac:dyDescent="0.25">
      <c r="A33" s="13">
        <v>45689</v>
      </c>
      <c r="B33">
        <v>2025</v>
      </c>
      <c r="C33">
        <v>32</v>
      </c>
      <c r="D33">
        <v>28</v>
      </c>
      <c r="E33">
        <v>36.6</v>
      </c>
      <c r="F33" s="12">
        <v>20.8</v>
      </c>
      <c r="G33" s="12">
        <f t="shared" si="0"/>
        <v>28.700000000000003</v>
      </c>
      <c r="I33">
        <v>0</v>
      </c>
    </row>
    <row r="34" spans="1:9" x14ac:dyDescent="0.25">
      <c r="A34" s="13">
        <v>45690</v>
      </c>
      <c r="B34">
        <v>2025</v>
      </c>
      <c r="C34">
        <v>33</v>
      </c>
      <c r="D34">
        <v>27.8</v>
      </c>
      <c r="E34">
        <v>37.299999999999997</v>
      </c>
      <c r="F34" s="12">
        <v>20.5</v>
      </c>
      <c r="G34" s="12">
        <f t="shared" si="0"/>
        <v>28.9</v>
      </c>
      <c r="I34">
        <v>0</v>
      </c>
    </row>
    <row r="35" spans="1:9" x14ac:dyDescent="0.25">
      <c r="A35" s="13">
        <v>45691</v>
      </c>
      <c r="B35">
        <v>2025</v>
      </c>
      <c r="C35">
        <v>34</v>
      </c>
      <c r="D35">
        <v>27.6</v>
      </c>
      <c r="E35">
        <v>37.1</v>
      </c>
      <c r="F35" s="12">
        <v>19.399999999999999</v>
      </c>
      <c r="G35" s="12">
        <f t="shared" si="0"/>
        <v>28.25</v>
      </c>
      <c r="I35">
        <v>0</v>
      </c>
    </row>
    <row r="36" spans="1:9" x14ac:dyDescent="0.25">
      <c r="A36" s="13">
        <v>45692</v>
      </c>
      <c r="B36">
        <v>2025</v>
      </c>
      <c r="C36">
        <v>35</v>
      </c>
      <c r="D36">
        <v>25.6</v>
      </c>
      <c r="E36">
        <v>39.6</v>
      </c>
      <c r="F36" s="12">
        <v>22.1</v>
      </c>
      <c r="G36" s="12">
        <f t="shared" si="0"/>
        <v>30.85</v>
      </c>
      <c r="I36">
        <v>0</v>
      </c>
    </row>
    <row r="37" spans="1:9" x14ac:dyDescent="0.25">
      <c r="A37" s="13">
        <v>45693</v>
      </c>
      <c r="B37">
        <v>2025</v>
      </c>
      <c r="C37">
        <v>36</v>
      </c>
      <c r="D37">
        <v>20.2</v>
      </c>
      <c r="E37">
        <v>37.799999999999997</v>
      </c>
      <c r="F37" s="12">
        <v>21.5</v>
      </c>
      <c r="G37" s="12">
        <f t="shared" si="0"/>
        <v>29.65</v>
      </c>
      <c r="I37">
        <v>4.2</v>
      </c>
    </row>
    <row r="38" spans="1:9" x14ac:dyDescent="0.25">
      <c r="A38" s="13">
        <v>45694</v>
      </c>
      <c r="B38">
        <v>2025</v>
      </c>
      <c r="C38">
        <v>37</v>
      </c>
      <c r="D38">
        <v>27.7</v>
      </c>
      <c r="E38">
        <v>36.6</v>
      </c>
      <c r="F38" s="12">
        <v>20</v>
      </c>
      <c r="G38" s="12">
        <f t="shared" si="0"/>
        <v>28.3</v>
      </c>
      <c r="I38">
        <v>0</v>
      </c>
    </row>
    <row r="39" spans="1:9" x14ac:dyDescent="0.25">
      <c r="A39" s="13">
        <v>45695</v>
      </c>
      <c r="B39">
        <v>2025</v>
      </c>
      <c r="C39">
        <v>38</v>
      </c>
      <c r="D39">
        <v>22.5</v>
      </c>
      <c r="E39">
        <v>39</v>
      </c>
      <c r="F39" s="12">
        <v>23.8</v>
      </c>
      <c r="G39" s="12">
        <f t="shared" si="0"/>
        <v>31.4</v>
      </c>
      <c r="I39">
        <v>13.199999999999996</v>
      </c>
    </row>
    <row r="40" spans="1:9" x14ac:dyDescent="0.25">
      <c r="A40" s="13">
        <v>45696</v>
      </c>
      <c r="B40">
        <v>2025</v>
      </c>
      <c r="C40">
        <v>39</v>
      </c>
      <c r="D40">
        <v>13.8</v>
      </c>
      <c r="E40">
        <v>30.2</v>
      </c>
      <c r="F40" s="12">
        <v>20.5</v>
      </c>
      <c r="G40" s="12">
        <f t="shared" si="0"/>
        <v>25.35</v>
      </c>
      <c r="I40">
        <v>1.4000000000000001</v>
      </c>
    </row>
    <row r="41" spans="1:9" x14ac:dyDescent="0.25">
      <c r="A41" s="13">
        <v>45697</v>
      </c>
      <c r="B41">
        <v>2025</v>
      </c>
      <c r="C41">
        <v>40</v>
      </c>
      <c r="D41">
        <v>22.1</v>
      </c>
      <c r="E41">
        <v>32.4</v>
      </c>
      <c r="F41" s="12">
        <v>19.399999999999999</v>
      </c>
      <c r="G41" s="12">
        <f t="shared" si="0"/>
        <v>25.9</v>
      </c>
      <c r="I41">
        <v>7</v>
      </c>
    </row>
    <row r="42" spans="1:9" x14ac:dyDescent="0.25">
      <c r="A42" s="13">
        <v>45698</v>
      </c>
      <c r="B42">
        <v>2025</v>
      </c>
      <c r="C42">
        <v>41</v>
      </c>
      <c r="D42">
        <v>26.4</v>
      </c>
      <c r="E42">
        <v>30.3</v>
      </c>
      <c r="F42" s="12">
        <v>17</v>
      </c>
      <c r="G42" s="12">
        <f t="shared" si="0"/>
        <v>23.65</v>
      </c>
      <c r="I42">
        <v>20.599999999999994</v>
      </c>
    </row>
    <row r="43" spans="1:9" x14ac:dyDescent="0.25">
      <c r="A43" s="13">
        <v>45699</v>
      </c>
      <c r="B43">
        <v>2025</v>
      </c>
      <c r="C43">
        <v>42</v>
      </c>
      <c r="D43">
        <v>27.4</v>
      </c>
      <c r="E43">
        <v>31.5</v>
      </c>
      <c r="F43" s="12">
        <v>16.600000000000001</v>
      </c>
      <c r="G43" s="12">
        <f t="shared" si="0"/>
        <v>24.05</v>
      </c>
      <c r="I43">
        <v>0</v>
      </c>
    </row>
    <row r="44" spans="1:9" x14ac:dyDescent="0.25">
      <c r="A44" s="13">
        <v>45700</v>
      </c>
      <c r="B44">
        <v>2025</v>
      </c>
      <c r="C44">
        <v>43</v>
      </c>
      <c r="D44">
        <v>27.4</v>
      </c>
      <c r="E44">
        <v>32.799999999999997</v>
      </c>
      <c r="F44" s="12">
        <v>19.8</v>
      </c>
      <c r="G44" s="12">
        <f t="shared" si="0"/>
        <v>26.299999999999997</v>
      </c>
      <c r="I44">
        <v>0</v>
      </c>
    </row>
    <row r="45" spans="1:9" x14ac:dyDescent="0.25">
      <c r="A45" s="13">
        <v>45701</v>
      </c>
      <c r="B45">
        <v>2025</v>
      </c>
      <c r="C45">
        <v>44</v>
      </c>
      <c r="D45">
        <v>23.8</v>
      </c>
      <c r="E45">
        <v>35.4</v>
      </c>
      <c r="F45" s="12">
        <v>20.9</v>
      </c>
      <c r="G45" s="12">
        <f t="shared" si="0"/>
        <v>28.15</v>
      </c>
      <c r="I45">
        <v>0</v>
      </c>
    </row>
    <row r="46" spans="1:9" x14ac:dyDescent="0.25">
      <c r="A46" s="13">
        <v>45702</v>
      </c>
      <c r="B46">
        <v>2025</v>
      </c>
      <c r="C46">
        <v>45</v>
      </c>
      <c r="D46">
        <v>14.7</v>
      </c>
      <c r="E46">
        <v>26.5</v>
      </c>
      <c r="F46" s="12">
        <v>20.8</v>
      </c>
      <c r="G46" s="12">
        <f t="shared" si="0"/>
        <v>23.65</v>
      </c>
      <c r="I46">
        <v>10.199999999999998</v>
      </c>
    </row>
    <row r="47" spans="1:9" x14ac:dyDescent="0.25">
      <c r="A47" s="13">
        <v>45703</v>
      </c>
      <c r="B47">
        <v>2025</v>
      </c>
      <c r="C47">
        <v>46</v>
      </c>
      <c r="D47">
        <v>25.9</v>
      </c>
      <c r="E47">
        <v>23</v>
      </c>
      <c r="F47" s="12">
        <v>14.1</v>
      </c>
      <c r="G47" s="12">
        <f t="shared" si="0"/>
        <v>18.55</v>
      </c>
      <c r="I47">
        <v>0</v>
      </c>
    </row>
    <row r="48" spans="1:9" x14ac:dyDescent="0.25">
      <c r="A48" s="13">
        <v>45704</v>
      </c>
      <c r="B48">
        <v>2025</v>
      </c>
      <c r="C48">
        <v>47</v>
      </c>
      <c r="D48">
        <v>26.9</v>
      </c>
      <c r="E48">
        <v>21.6</v>
      </c>
      <c r="F48" s="12">
        <v>8.3000000000000007</v>
      </c>
      <c r="G48" s="12">
        <f t="shared" si="0"/>
        <v>14.950000000000001</v>
      </c>
      <c r="I48">
        <v>0</v>
      </c>
    </row>
    <row r="49" spans="1:9" x14ac:dyDescent="0.25">
      <c r="A49" s="13">
        <v>45705</v>
      </c>
      <c r="B49">
        <v>2025</v>
      </c>
      <c r="C49">
        <v>48</v>
      </c>
      <c r="D49">
        <v>26.5</v>
      </c>
      <c r="E49">
        <v>25.3</v>
      </c>
      <c r="F49" s="12">
        <v>7.7</v>
      </c>
      <c r="G49" s="12">
        <f t="shared" si="0"/>
        <v>16.5</v>
      </c>
      <c r="I49">
        <v>0</v>
      </c>
    </row>
    <row r="50" spans="1:9" x14ac:dyDescent="0.25">
      <c r="A50" s="13">
        <v>45706</v>
      </c>
      <c r="B50">
        <v>2025</v>
      </c>
      <c r="C50">
        <v>49</v>
      </c>
      <c r="D50">
        <v>25.1</v>
      </c>
      <c r="E50">
        <v>29.8</v>
      </c>
      <c r="F50" s="12">
        <v>11</v>
      </c>
      <c r="G50" s="12">
        <f t="shared" si="0"/>
        <v>20.399999999999999</v>
      </c>
      <c r="I50">
        <v>0</v>
      </c>
    </row>
    <row r="51" spans="1:9" x14ac:dyDescent="0.25">
      <c r="A51" s="13">
        <v>45707</v>
      </c>
      <c r="B51">
        <v>2025</v>
      </c>
      <c r="C51">
        <v>50</v>
      </c>
      <c r="D51">
        <v>25.9</v>
      </c>
      <c r="E51">
        <v>28.1</v>
      </c>
      <c r="F51" s="12">
        <v>10.7</v>
      </c>
      <c r="G51" s="12">
        <f t="shared" si="0"/>
        <v>19.399999999999999</v>
      </c>
      <c r="I51">
        <v>0</v>
      </c>
    </row>
    <row r="52" spans="1:9" x14ac:dyDescent="0.25">
      <c r="A52" s="13">
        <v>45708</v>
      </c>
      <c r="B52">
        <v>2025</v>
      </c>
      <c r="C52">
        <v>51</v>
      </c>
      <c r="D52">
        <v>25.5</v>
      </c>
      <c r="E52">
        <v>29.6</v>
      </c>
      <c r="F52" s="12">
        <v>10.4</v>
      </c>
      <c r="G52" s="12">
        <f t="shared" si="0"/>
        <v>20</v>
      </c>
      <c r="I52">
        <v>0</v>
      </c>
    </row>
    <row r="53" spans="1:9" x14ac:dyDescent="0.25">
      <c r="A53" s="13">
        <v>45709</v>
      </c>
      <c r="B53">
        <v>2025</v>
      </c>
      <c r="C53">
        <v>52</v>
      </c>
      <c r="D53">
        <v>26</v>
      </c>
      <c r="E53">
        <v>31.5</v>
      </c>
      <c r="F53" s="12">
        <v>16.7</v>
      </c>
      <c r="G53" s="12">
        <f t="shared" si="0"/>
        <v>24.1</v>
      </c>
      <c r="I53">
        <v>0</v>
      </c>
    </row>
    <row r="54" spans="1:9" x14ac:dyDescent="0.25">
      <c r="A54" s="13">
        <v>45710</v>
      </c>
      <c r="B54">
        <v>2025</v>
      </c>
      <c r="C54">
        <v>53</v>
      </c>
      <c r="D54">
        <v>23.6</v>
      </c>
      <c r="E54">
        <v>34.1</v>
      </c>
      <c r="F54" s="12">
        <v>19.8</v>
      </c>
      <c r="G54" s="12">
        <f t="shared" si="0"/>
        <v>26.950000000000003</v>
      </c>
      <c r="I54">
        <v>0</v>
      </c>
    </row>
    <row r="55" spans="1:9" x14ac:dyDescent="0.25">
      <c r="A55" s="13">
        <v>45711</v>
      </c>
      <c r="B55">
        <v>2025</v>
      </c>
      <c r="C55">
        <v>54</v>
      </c>
      <c r="D55">
        <v>16.399999999999999</v>
      </c>
      <c r="E55">
        <v>34.5</v>
      </c>
      <c r="F55" s="12">
        <v>22.1</v>
      </c>
      <c r="G55" s="12">
        <f t="shared" si="0"/>
        <v>28.3</v>
      </c>
      <c r="I55">
        <v>2.8</v>
      </c>
    </row>
    <row r="56" spans="1:9" x14ac:dyDescent="0.25">
      <c r="A56" s="13">
        <v>45712</v>
      </c>
      <c r="B56">
        <v>2025</v>
      </c>
      <c r="C56">
        <v>55</v>
      </c>
      <c r="D56">
        <v>25.6</v>
      </c>
      <c r="E56">
        <v>32.4</v>
      </c>
      <c r="F56" s="12">
        <v>16.5</v>
      </c>
      <c r="G56" s="12">
        <f t="shared" si="0"/>
        <v>24.45</v>
      </c>
      <c r="I56">
        <v>0.8</v>
      </c>
    </row>
    <row r="57" spans="1:9" x14ac:dyDescent="0.25">
      <c r="A57" s="13">
        <v>45713</v>
      </c>
      <c r="B57">
        <v>2025</v>
      </c>
      <c r="C57">
        <v>56</v>
      </c>
      <c r="D57">
        <v>25.4</v>
      </c>
      <c r="E57">
        <v>33.6</v>
      </c>
      <c r="F57" s="12">
        <v>15.2</v>
      </c>
      <c r="G57" s="12">
        <f t="shared" si="0"/>
        <v>24.4</v>
      </c>
      <c r="I57">
        <v>0</v>
      </c>
    </row>
    <row r="58" spans="1:9" x14ac:dyDescent="0.25">
      <c r="A58" s="13">
        <v>45714</v>
      </c>
      <c r="B58">
        <v>2025</v>
      </c>
      <c r="C58">
        <v>57</v>
      </c>
      <c r="D58">
        <v>24.7</v>
      </c>
      <c r="E58">
        <v>36.299999999999997</v>
      </c>
      <c r="F58" s="12">
        <v>18.399999999999999</v>
      </c>
      <c r="G58" s="12">
        <f t="shared" si="0"/>
        <v>27.349999999999998</v>
      </c>
      <c r="I58">
        <v>0</v>
      </c>
    </row>
    <row r="59" spans="1:9" x14ac:dyDescent="0.25">
      <c r="A59" s="13">
        <v>45715</v>
      </c>
      <c r="B59">
        <v>2025</v>
      </c>
      <c r="C59">
        <v>58</v>
      </c>
      <c r="D59">
        <v>24.7</v>
      </c>
      <c r="E59">
        <v>38.1</v>
      </c>
      <c r="F59" s="12">
        <v>15.3</v>
      </c>
      <c r="G59" s="12">
        <f t="shared" si="0"/>
        <v>26.700000000000003</v>
      </c>
      <c r="I59">
        <v>0</v>
      </c>
    </row>
    <row r="60" spans="1:9" x14ac:dyDescent="0.25">
      <c r="A60" s="13">
        <v>45716</v>
      </c>
      <c r="B60">
        <v>2025</v>
      </c>
      <c r="C60">
        <v>59</v>
      </c>
      <c r="D60">
        <v>21.7</v>
      </c>
      <c r="E60">
        <v>34.4</v>
      </c>
      <c r="F60" s="12">
        <v>16.8</v>
      </c>
      <c r="G60" s="12">
        <f t="shared" si="0"/>
        <v>25.6</v>
      </c>
      <c r="I60">
        <v>0</v>
      </c>
    </row>
    <row r="61" spans="1:9" x14ac:dyDescent="0.25">
      <c r="A61" s="13">
        <v>45717</v>
      </c>
      <c r="B61">
        <v>2025</v>
      </c>
      <c r="C61">
        <v>60</v>
      </c>
      <c r="D61">
        <v>24</v>
      </c>
      <c r="E61">
        <v>36.6</v>
      </c>
      <c r="F61" s="12">
        <v>14.1</v>
      </c>
      <c r="G61" s="12">
        <f t="shared" si="0"/>
        <v>25.35</v>
      </c>
      <c r="I61">
        <v>0</v>
      </c>
    </row>
    <row r="62" spans="1:9" x14ac:dyDescent="0.25">
      <c r="A62" s="13">
        <v>45718</v>
      </c>
      <c r="B62">
        <v>2025</v>
      </c>
      <c r="C62">
        <v>61</v>
      </c>
      <c r="D62">
        <v>22.9</v>
      </c>
      <c r="E62">
        <v>33.9</v>
      </c>
      <c r="F62" s="12">
        <v>13.9</v>
      </c>
      <c r="G62" s="12">
        <f t="shared" si="0"/>
        <v>23.9</v>
      </c>
      <c r="I62">
        <v>0</v>
      </c>
    </row>
    <row r="63" spans="1:9" x14ac:dyDescent="0.25">
      <c r="A63" s="13">
        <v>45719</v>
      </c>
      <c r="B63">
        <v>2025</v>
      </c>
      <c r="C63">
        <v>62</v>
      </c>
      <c r="D63">
        <v>24</v>
      </c>
      <c r="E63">
        <v>32.1</v>
      </c>
      <c r="F63" s="12">
        <v>15.2</v>
      </c>
      <c r="G63" s="12">
        <f t="shared" si="0"/>
        <v>23.65</v>
      </c>
      <c r="I63">
        <v>0</v>
      </c>
    </row>
    <row r="64" spans="1:9" x14ac:dyDescent="0.25">
      <c r="A64" s="13">
        <v>45720</v>
      </c>
      <c r="B64">
        <v>2025</v>
      </c>
      <c r="C64">
        <v>63</v>
      </c>
      <c r="D64">
        <v>23.7</v>
      </c>
      <c r="E64">
        <v>32.1</v>
      </c>
      <c r="F64" s="12">
        <v>18.2</v>
      </c>
      <c r="G64" s="12">
        <f t="shared" si="0"/>
        <v>25.15</v>
      </c>
      <c r="I64">
        <v>0</v>
      </c>
    </row>
    <row r="65" spans="1:9" x14ac:dyDescent="0.25">
      <c r="A65" s="13">
        <v>45721</v>
      </c>
      <c r="B65">
        <v>2025</v>
      </c>
      <c r="C65">
        <v>64</v>
      </c>
      <c r="D65">
        <v>23.5</v>
      </c>
      <c r="E65">
        <v>32.5</v>
      </c>
      <c r="F65" s="12">
        <v>16.399999999999999</v>
      </c>
      <c r="G65" s="12">
        <f t="shared" si="0"/>
        <v>24.45</v>
      </c>
      <c r="I65">
        <v>0</v>
      </c>
    </row>
    <row r="66" spans="1:9" x14ac:dyDescent="0.25">
      <c r="A66" s="13">
        <v>45722</v>
      </c>
      <c r="B66">
        <v>2025</v>
      </c>
      <c r="C66">
        <v>65</v>
      </c>
      <c r="D66">
        <v>23.2</v>
      </c>
      <c r="E66">
        <v>32.6</v>
      </c>
      <c r="F66" s="12">
        <v>17.600000000000001</v>
      </c>
      <c r="G66" s="12">
        <f t="shared" si="0"/>
        <v>25.1</v>
      </c>
      <c r="I66">
        <v>0</v>
      </c>
    </row>
    <row r="67" spans="1:9" x14ac:dyDescent="0.25">
      <c r="A67" s="13">
        <v>45723</v>
      </c>
      <c r="B67">
        <v>2025</v>
      </c>
      <c r="C67">
        <v>66</v>
      </c>
      <c r="D67">
        <v>22.9</v>
      </c>
      <c r="E67">
        <v>30.8</v>
      </c>
      <c r="F67" s="12">
        <v>15.3</v>
      </c>
      <c r="G67" s="12">
        <f t="shared" ref="G67:G130" si="1">(F67+E67)/2</f>
        <v>23.05</v>
      </c>
      <c r="I67">
        <v>0</v>
      </c>
    </row>
    <row r="68" spans="1:9" x14ac:dyDescent="0.25">
      <c r="A68" s="13">
        <v>45724</v>
      </c>
      <c r="B68">
        <v>2025</v>
      </c>
      <c r="C68">
        <v>67</v>
      </c>
      <c r="D68">
        <v>22.7</v>
      </c>
      <c r="E68">
        <v>32.299999999999997</v>
      </c>
      <c r="F68" s="12">
        <v>16.8</v>
      </c>
      <c r="G68" s="12">
        <f t="shared" si="1"/>
        <v>24.549999999999997</v>
      </c>
      <c r="I68">
        <v>0</v>
      </c>
    </row>
    <row r="69" spans="1:9" x14ac:dyDescent="0.25">
      <c r="A69" s="13">
        <v>45725</v>
      </c>
      <c r="B69">
        <v>2025</v>
      </c>
      <c r="C69">
        <v>68</v>
      </c>
      <c r="D69">
        <v>18.2</v>
      </c>
      <c r="E69">
        <v>34.6</v>
      </c>
      <c r="F69" s="12">
        <v>19.7</v>
      </c>
      <c r="G69" s="12">
        <f t="shared" si="1"/>
        <v>27.15</v>
      </c>
      <c r="I69">
        <v>2</v>
      </c>
    </row>
    <row r="70" spans="1:9" x14ac:dyDescent="0.25">
      <c r="A70" s="13">
        <v>45726</v>
      </c>
      <c r="B70">
        <v>2025</v>
      </c>
      <c r="C70">
        <v>69</v>
      </c>
      <c r="D70">
        <v>9.1999999999999993</v>
      </c>
      <c r="E70">
        <v>27.7</v>
      </c>
      <c r="F70" s="12">
        <v>21</v>
      </c>
      <c r="G70" s="12">
        <f t="shared" si="1"/>
        <v>24.35</v>
      </c>
      <c r="I70">
        <v>3.4000000000000004</v>
      </c>
    </row>
    <row r="71" spans="1:9" x14ac:dyDescent="0.25">
      <c r="A71" s="13">
        <v>45727</v>
      </c>
      <c r="B71">
        <v>2025</v>
      </c>
      <c r="C71">
        <v>70</v>
      </c>
      <c r="D71">
        <v>22.5</v>
      </c>
      <c r="E71">
        <v>33.700000000000003</v>
      </c>
      <c r="F71" s="12">
        <v>18.399999999999999</v>
      </c>
      <c r="G71" s="12">
        <f t="shared" si="1"/>
        <v>26.05</v>
      </c>
      <c r="I71">
        <v>0.2</v>
      </c>
    </row>
    <row r="72" spans="1:9" x14ac:dyDescent="0.25">
      <c r="A72" s="13">
        <v>45728</v>
      </c>
      <c r="B72">
        <v>2025</v>
      </c>
      <c r="C72">
        <v>71</v>
      </c>
      <c r="D72">
        <v>22</v>
      </c>
      <c r="E72">
        <v>32.5</v>
      </c>
      <c r="F72" s="12">
        <v>19.7</v>
      </c>
      <c r="G72" s="12">
        <f t="shared" si="1"/>
        <v>26.1</v>
      </c>
      <c r="I72">
        <v>0</v>
      </c>
    </row>
    <row r="73" spans="1:9" x14ac:dyDescent="0.25">
      <c r="A73" s="13">
        <v>45729</v>
      </c>
      <c r="B73">
        <v>2025</v>
      </c>
      <c r="C73">
        <v>72</v>
      </c>
      <c r="D73">
        <v>20.9</v>
      </c>
      <c r="E73">
        <v>34.700000000000003</v>
      </c>
      <c r="F73" s="12">
        <v>18</v>
      </c>
      <c r="G73" s="12">
        <f t="shared" si="1"/>
        <v>26.35</v>
      </c>
      <c r="I73">
        <v>0</v>
      </c>
    </row>
    <row r="74" spans="1:9" x14ac:dyDescent="0.25">
      <c r="A74" s="13">
        <v>45730</v>
      </c>
      <c r="B74">
        <v>2025</v>
      </c>
      <c r="C74">
        <v>73</v>
      </c>
      <c r="D74">
        <v>21.3</v>
      </c>
      <c r="E74">
        <v>37.1</v>
      </c>
      <c r="F74" s="12">
        <v>18.100000000000001</v>
      </c>
      <c r="G74" s="12">
        <f t="shared" si="1"/>
        <v>27.6</v>
      </c>
      <c r="I74">
        <v>0</v>
      </c>
    </row>
    <row r="75" spans="1:9" x14ac:dyDescent="0.25">
      <c r="A75" s="13">
        <v>45731</v>
      </c>
      <c r="B75">
        <v>2025</v>
      </c>
      <c r="C75">
        <v>74</v>
      </c>
      <c r="D75">
        <v>20</v>
      </c>
      <c r="E75">
        <v>38.9</v>
      </c>
      <c r="F75" s="12">
        <v>16.2</v>
      </c>
      <c r="G75" s="12">
        <f t="shared" si="1"/>
        <v>27.549999999999997</v>
      </c>
      <c r="I75">
        <v>0</v>
      </c>
    </row>
    <row r="76" spans="1:9" x14ac:dyDescent="0.25">
      <c r="A76" s="13">
        <v>45732</v>
      </c>
      <c r="B76">
        <v>2025</v>
      </c>
      <c r="C76">
        <v>75</v>
      </c>
      <c r="D76">
        <v>12</v>
      </c>
      <c r="E76">
        <v>37.6</v>
      </c>
      <c r="F76" s="12">
        <v>21.6</v>
      </c>
      <c r="G76" s="12">
        <f t="shared" si="1"/>
        <v>29.6</v>
      </c>
      <c r="I76">
        <v>0</v>
      </c>
    </row>
    <row r="77" spans="1:9" x14ac:dyDescent="0.25">
      <c r="A77" s="13">
        <v>45733</v>
      </c>
      <c r="B77">
        <v>2025</v>
      </c>
      <c r="C77">
        <v>76</v>
      </c>
      <c r="D77">
        <v>20.9</v>
      </c>
      <c r="E77">
        <v>23.2</v>
      </c>
      <c r="F77" s="12">
        <v>8.4</v>
      </c>
      <c r="G77" s="12">
        <f t="shared" si="1"/>
        <v>15.8</v>
      </c>
      <c r="I77">
        <v>0</v>
      </c>
    </row>
    <row r="78" spans="1:9" x14ac:dyDescent="0.25">
      <c r="A78" s="13">
        <v>45734</v>
      </c>
      <c r="B78">
        <v>2025</v>
      </c>
      <c r="C78">
        <v>77</v>
      </c>
      <c r="D78">
        <v>19.899999999999999</v>
      </c>
      <c r="E78">
        <v>28.1</v>
      </c>
      <c r="F78" s="12">
        <v>11.4</v>
      </c>
      <c r="G78" s="12">
        <f t="shared" si="1"/>
        <v>19.75</v>
      </c>
      <c r="I78">
        <v>0</v>
      </c>
    </row>
    <row r="79" spans="1:9" x14ac:dyDescent="0.25">
      <c r="A79" s="13">
        <v>45735</v>
      </c>
      <c r="B79">
        <v>2025</v>
      </c>
      <c r="C79">
        <v>78</v>
      </c>
      <c r="D79">
        <v>18.399999999999999</v>
      </c>
      <c r="E79">
        <v>34.9</v>
      </c>
      <c r="F79" s="12">
        <v>16</v>
      </c>
      <c r="G79" s="12">
        <f t="shared" si="1"/>
        <v>25.45</v>
      </c>
      <c r="I79">
        <v>1.5999999999999999</v>
      </c>
    </row>
    <row r="80" spans="1:9" x14ac:dyDescent="0.25">
      <c r="A80" s="13">
        <v>45736</v>
      </c>
      <c r="B80">
        <v>2025</v>
      </c>
      <c r="C80">
        <v>79</v>
      </c>
      <c r="D80">
        <v>10.199999999999999</v>
      </c>
      <c r="E80">
        <v>30.4</v>
      </c>
      <c r="F80" s="12">
        <v>20.100000000000001</v>
      </c>
      <c r="G80" s="12">
        <f t="shared" si="1"/>
        <v>25.25</v>
      </c>
      <c r="I80">
        <v>0.4</v>
      </c>
    </row>
    <row r="81" spans="1:9" x14ac:dyDescent="0.25">
      <c r="A81" s="13">
        <v>45737</v>
      </c>
      <c r="B81">
        <v>2025</v>
      </c>
      <c r="C81">
        <v>80</v>
      </c>
      <c r="D81">
        <v>17.8</v>
      </c>
      <c r="E81">
        <v>28.6</v>
      </c>
      <c r="F81" s="12">
        <v>20</v>
      </c>
      <c r="G81" s="12">
        <f t="shared" si="1"/>
        <v>24.3</v>
      </c>
      <c r="I81">
        <v>6.4000000000000012</v>
      </c>
    </row>
    <row r="82" spans="1:9" x14ac:dyDescent="0.25">
      <c r="A82" s="13">
        <v>45738</v>
      </c>
      <c r="B82">
        <v>2025</v>
      </c>
      <c r="C82">
        <v>81</v>
      </c>
      <c r="D82">
        <v>19.8</v>
      </c>
      <c r="E82">
        <v>28.1</v>
      </c>
      <c r="F82" s="12">
        <v>12.1</v>
      </c>
      <c r="G82" s="12">
        <f t="shared" si="1"/>
        <v>20.100000000000001</v>
      </c>
      <c r="I82">
        <v>0</v>
      </c>
    </row>
    <row r="83" spans="1:9" x14ac:dyDescent="0.25">
      <c r="A83" s="13">
        <v>45739</v>
      </c>
      <c r="B83">
        <v>2025</v>
      </c>
      <c r="C83">
        <v>82</v>
      </c>
      <c r="D83">
        <v>17.7</v>
      </c>
      <c r="E83">
        <v>31.5</v>
      </c>
      <c r="F83" s="12">
        <v>15.2</v>
      </c>
      <c r="G83" s="12">
        <f t="shared" si="1"/>
        <v>23.35</v>
      </c>
      <c r="I83">
        <v>0</v>
      </c>
    </row>
    <row r="84" spans="1:9" x14ac:dyDescent="0.25">
      <c r="A84" s="13">
        <v>45740</v>
      </c>
      <c r="B84">
        <v>2025</v>
      </c>
      <c r="C84">
        <v>83</v>
      </c>
      <c r="D84">
        <v>19.100000000000001</v>
      </c>
      <c r="E84">
        <v>32.4</v>
      </c>
      <c r="F84" s="12">
        <v>18.8</v>
      </c>
      <c r="G84" s="12">
        <f t="shared" si="1"/>
        <v>25.6</v>
      </c>
      <c r="I84">
        <v>0</v>
      </c>
    </row>
    <row r="85" spans="1:9" x14ac:dyDescent="0.25">
      <c r="A85" s="13">
        <v>45741</v>
      </c>
      <c r="B85">
        <v>2025</v>
      </c>
      <c r="C85">
        <v>84</v>
      </c>
      <c r="D85">
        <v>18.399999999999999</v>
      </c>
      <c r="E85">
        <v>32.200000000000003</v>
      </c>
      <c r="F85" s="12">
        <v>19.3</v>
      </c>
      <c r="G85" s="12">
        <f t="shared" si="1"/>
        <v>25.75</v>
      </c>
      <c r="I85">
        <v>0</v>
      </c>
    </row>
    <row r="86" spans="1:9" x14ac:dyDescent="0.25">
      <c r="A86" s="13">
        <v>45742</v>
      </c>
      <c r="B86">
        <v>2025</v>
      </c>
      <c r="C86">
        <v>85</v>
      </c>
      <c r="D86">
        <v>19.3</v>
      </c>
      <c r="E86">
        <v>32.5</v>
      </c>
      <c r="F86" s="12">
        <v>18.600000000000001</v>
      </c>
      <c r="G86" s="12">
        <f t="shared" si="1"/>
        <v>25.55</v>
      </c>
      <c r="I86">
        <v>0</v>
      </c>
    </row>
    <row r="87" spans="1:9" x14ac:dyDescent="0.25">
      <c r="A87" s="13">
        <v>45743</v>
      </c>
      <c r="B87">
        <v>2025</v>
      </c>
      <c r="C87">
        <v>86</v>
      </c>
      <c r="D87">
        <v>18.899999999999999</v>
      </c>
      <c r="E87">
        <v>31.7</v>
      </c>
      <c r="F87" s="12">
        <v>17.7</v>
      </c>
      <c r="G87" s="12">
        <f t="shared" si="1"/>
        <v>24.7</v>
      </c>
      <c r="I87">
        <v>0</v>
      </c>
    </row>
    <row r="88" spans="1:9" x14ac:dyDescent="0.25">
      <c r="A88" s="13">
        <v>45744</v>
      </c>
      <c r="B88">
        <v>2025</v>
      </c>
      <c r="C88">
        <v>87</v>
      </c>
      <c r="D88">
        <v>8.3000000000000007</v>
      </c>
      <c r="E88">
        <v>27.8</v>
      </c>
      <c r="F88" s="12">
        <v>19.5</v>
      </c>
      <c r="G88" s="12">
        <f t="shared" si="1"/>
        <v>23.65</v>
      </c>
      <c r="I88">
        <v>0</v>
      </c>
    </row>
    <row r="89" spans="1:9" x14ac:dyDescent="0.25">
      <c r="A89" s="13">
        <v>45745</v>
      </c>
      <c r="B89">
        <v>2025</v>
      </c>
      <c r="C89">
        <v>88</v>
      </c>
      <c r="D89">
        <v>9</v>
      </c>
      <c r="E89">
        <v>24.9</v>
      </c>
      <c r="F89" s="12">
        <v>17.2</v>
      </c>
      <c r="G89" s="12">
        <f t="shared" si="1"/>
        <v>21.049999999999997</v>
      </c>
      <c r="I89">
        <v>0.60000000000000009</v>
      </c>
    </row>
    <row r="90" spans="1:9" x14ac:dyDescent="0.25">
      <c r="A90" s="13">
        <v>45746</v>
      </c>
      <c r="B90">
        <v>2025</v>
      </c>
      <c r="C90">
        <v>89</v>
      </c>
      <c r="D90">
        <v>16.8</v>
      </c>
      <c r="E90">
        <v>28.8</v>
      </c>
      <c r="F90" s="12">
        <v>14.7</v>
      </c>
      <c r="G90" s="12">
        <f t="shared" si="1"/>
        <v>21.75</v>
      </c>
      <c r="I90">
        <v>0.2</v>
      </c>
    </row>
    <row r="91" spans="1:9" x14ac:dyDescent="0.25">
      <c r="A91" s="13">
        <v>45747</v>
      </c>
      <c r="B91">
        <v>2025</v>
      </c>
      <c r="C91">
        <v>90</v>
      </c>
      <c r="D91">
        <v>16.7</v>
      </c>
      <c r="E91">
        <v>28.4</v>
      </c>
      <c r="F91" s="12">
        <v>14.3</v>
      </c>
      <c r="G91" s="12">
        <f t="shared" si="1"/>
        <v>21.35</v>
      </c>
      <c r="I91">
        <v>0</v>
      </c>
    </row>
    <row r="92" spans="1:9" x14ac:dyDescent="0.25">
      <c r="A92" s="13">
        <v>45748</v>
      </c>
      <c r="B92">
        <v>2025</v>
      </c>
      <c r="C92">
        <v>91</v>
      </c>
      <c r="D92">
        <v>17.3</v>
      </c>
      <c r="E92">
        <v>26.8</v>
      </c>
      <c r="F92" s="12">
        <v>12.2</v>
      </c>
      <c r="G92" s="12">
        <f t="shared" si="1"/>
        <v>19.5</v>
      </c>
      <c r="I92">
        <v>0</v>
      </c>
    </row>
    <row r="93" spans="1:9" x14ac:dyDescent="0.25">
      <c r="A93" s="13">
        <v>45749</v>
      </c>
      <c r="B93">
        <v>2025</v>
      </c>
      <c r="C93">
        <v>92</v>
      </c>
      <c r="D93">
        <v>16.100000000000001</v>
      </c>
      <c r="E93">
        <v>26.7</v>
      </c>
      <c r="F93" s="12">
        <v>10.6</v>
      </c>
      <c r="G93" s="12">
        <f t="shared" si="1"/>
        <v>18.649999999999999</v>
      </c>
      <c r="I93">
        <v>0</v>
      </c>
    </row>
    <row r="94" spans="1:9" x14ac:dyDescent="0.25">
      <c r="A94" s="13">
        <v>45750</v>
      </c>
      <c r="B94">
        <v>2025</v>
      </c>
      <c r="C94">
        <v>93</v>
      </c>
      <c r="D94">
        <v>16.3</v>
      </c>
      <c r="E94">
        <v>27.9</v>
      </c>
      <c r="F94" s="12">
        <v>6.7</v>
      </c>
      <c r="G94" s="12">
        <f t="shared" si="1"/>
        <v>17.3</v>
      </c>
      <c r="I94">
        <v>0</v>
      </c>
    </row>
    <row r="95" spans="1:9" x14ac:dyDescent="0.25">
      <c r="A95" s="13">
        <v>45751</v>
      </c>
      <c r="B95">
        <v>2025</v>
      </c>
      <c r="C95">
        <v>94</v>
      </c>
      <c r="D95">
        <v>17</v>
      </c>
      <c r="E95">
        <v>25</v>
      </c>
      <c r="F95" s="12">
        <v>7.3</v>
      </c>
      <c r="G95" s="12">
        <f t="shared" si="1"/>
        <v>16.149999999999999</v>
      </c>
      <c r="I95">
        <v>0</v>
      </c>
    </row>
    <row r="96" spans="1:9" x14ac:dyDescent="0.25">
      <c r="A96" s="13">
        <v>45752</v>
      </c>
      <c r="B96">
        <v>2025</v>
      </c>
      <c r="C96">
        <v>95</v>
      </c>
      <c r="D96">
        <v>17.2</v>
      </c>
      <c r="E96">
        <v>21.9</v>
      </c>
      <c r="F96" s="12">
        <v>6.5</v>
      </c>
      <c r="G96" s="12">
        <f t="shared" si="1"/>
        <v>14.2</v>
      </c>
      <c r="I96">
        <v>0</v>
      </c>
    </row>
    <row r="97" spans="1:9" x14ac:dyDescent="0.25">
      <c r="A97" s="13">
        <v>45753</v>
      </c>
      <c r="B97">
        <v>2025</v>
      </c>
      <c r="C97">
        <v>96</v>
      </c>
      <c r="D97">
        <v>14.2</v>
      </c>
      <c r="E97">
        <v>22.8</v>
      </c>
      <c r="F97" s="12">
        <v>1.5</v>
      </c>
      <c r="G97" s="12">
        <f t="shared" si="1"/>
        <v>12.15</v>
      </c>
      <c r="I97">
        <v>0</v>
      </c>
    </row>
    <row r="98" spans="1:9" x14ac:dyDescent="0.25">
      <c r="A98" s="13">
        <v>45754</v>
      </c>
      <c r="B98">
        <v>2025</v>
      </c>
      <c r="C98">
        <v>97</v>
      </c>
      <c r="D98">
        <v>16.5</v>
      </c>
      <c r="E98">
        <v>22.2</v>
      </c>
      <c r="F98" s="12">
        <v>5.8</v>
      </c>
      <c r="G98" s="12">
        <f t="shared" si="1"/>
        <v>14</v>
      </c>
      <c r="I98">
        <v>0</v>
      </c>
    </row>
    <row r="99" spans="1:9" x14ac:dyDescent="0.25">
      <c r="A99" s="13">
        <v>45755</v>
      </c>
      <c r="B99">
        <v>2025</v>
      </c>
      <c r="C99">
        <v>98</v>
      </c>
      <c r="D99">
        <v>16.7</v>
      </c>
      <c r="E99">
        <v>25</v>
      </c>
      <c r="F99" s="12">
        <v>3.5</v>
      </c>
      <c r="G99" s="12">
        <f t="shared" si="1"/>
        <v>14.25</v>
      </c>
      <c r="I99">
        <v>0</v>
      </c>
    </row>
    <row r="100" spans="1:9" x14ac:dyDescent="0.25">
      <c r="A100" s="13">
        <v>45756</v>
      </c>
      <c r="B100">
        <v>2025</v>
      </c>
      <c r="C100">
        <v>99</v>
      </c>
      <c r="D100">
        <v>16.5</v>
      </c>
      <c r="E100">
        <v>27.3</v>
      </c>
      <c r="F100" s="12">
        <v>6.9</v>
      </c>
      <c r="G100" s="12">
        <f t="shared" si="1"/>
        <v>17.100000000000001</v>
      </c>
      <c r="I100">
        <v>0</v>
      </c>
    </row>
    <row r="101" spans="1:9" x14ac:dyDescent="0.25">
      <c r="A101" s="13">
        <v>45757</v>
      </c>
      <c r="B101">
        <v>2025</v>
      </c>
      <c r="C101">
        <v>100</v>
      </c>
      <c r="D101">
        <v>13.9</v>
      </c>
      <c r="E101">
        <v>29</v>
      </c>
      <c r="F101" s="12">
        <v>12.5</v>
      </c>
      <c r="G101" s="12">
        <f t="shared" si="1"/>
        <v>20.75</v>
      </c>
      <c r="I101">
        <v>0</v>
      </c>
    </row>
    <row r="102" spans="1:9" x14ac:dyDescent="0.25">
      <c r="A102" s="13">
        <v>45758</v>
      </c>
      <c r="B102">
        <v>2025</v>
      </c>
      <c r="C102">
        <v>101</v>
      </c>
      <c r="D102">
        <v>16.100000000000001</v>
      </c>
      <c r="E102">
        <v>30.5</v>
      </c>
      <c r="F102" s="12">
        <v>8.4</v>
      </c>
      <c r="G102" s="12">
        <f t="shared" si="1"/>
        <v>19.45</v>
      </c>
      <c r="I102">
        <v>0</v>
      </c>
    </row>
    <row r="103" spans="1:9" x14ac:dyDescent="0.25">
      <c r="A103" s="13">
        <v>45759</v>
      </c>
      <c r="B103">
        <v>2025</v>
      </c>
      <c r="C103">
        <v>102</v>
      </c>
      <c r="D103">
        <v>15.9</v>
      </c>
      <c r="E103">
        <v>30.1</v>
      </c>
      <c r="F103" s="12">
        <v>12.5</v>
      </c>
      <c r="G103" s="12">
        <f t="shared" si="1"/>
        <v>21.3</v>
      </c>
      <c r="I103">
        <v>0</v>
      </c>
    </row>
    <row r="104" spans="1:9" x14ac:dyDescent="0.25">
      <c r="A104" s="13">
        <v>45760</v>
      </c>
      <c r="B104">
        <v>2025</v>
      </c>
      <c r="C104">
        <v>103</v>
      </c>
      <c r="D104">
        <v>15.6</v>
      </c>
      <c r="E104">
        <v>29.5</v>
      </c>
      <c r="F104" s="12">
        <v>12</v>
      </c>
      <c r="G104" s="12">
        <f t="shared" si="1"/>
        <v>20.75</v>
      </c>
      <c r="I104">
        <v>0</v>
      </c>
    </row>
    <row r="105" spans="1:9" x14ac:dyDescent="0.25">
      <c r="A105" s="13">
        <v>45761</v>
      </c>
      <c r="B105">
        <v>2025</v>
      </c>
      <c r="C105">
        <v>104</v>
      </c>
      <c r="D105">
        <v>15.5</v>
      </c>
      <c r="E105">
        <v>30.5</v>
      </c>
      <c r="F105" s="12">
        <v>9.1</v>
      </c>
      <c r="G105" s="12">
        <f t="shared" si="1"/>
        <v>19.8</v>
      </c>
      <c r="I105">
        <v>0</v>
      </c>
    </row>
    <row r="106" spans="1:9" x14ac:dyDescent="0.25">
      <c r="A106" s="13">
        <v>45762</v>
      </c>
      <c r="B106">
        <v>2025</v>
      </c>
      <c r="C106">
        <v>105</v>
      </c>
      <c r="D106">
        <v>15.2</v>
      </c>
      <c r="E106">
        <v>27.5</v>
      </c>
      <c r="F106" s="12">
        <v>15.6</v>
      </c>
      <c r="G106" s="12">
        <f t="shared" si="1"/>
        <v>21.55</v>
      </c>
      <c r="I106">
        <v>0</v>
      </c>
    </row>
    <row r="107" spans="1:9" x14ac:dyDescent="0.25">
      <c r="A107" s="13">
        <v>45763</v>
      </c>
      <c r="B107">
        <v>2025</v>
      </c>
      <c r="C107">
        <v>106</v>
      </c>
      <c r="D107">
        <v>15.2</v>
      </c>
      <c r="E107">
        <v>26</v>
      </c>
      <c r="F107" s="12">
        <v>10.7</v>
      </c>
      <c r="G107" s="12">
        <f t="shared" si="1"/>
        <v>18.350000000000001</v>
      </c>
      <c r="I107">
        <v>0</v>
      </c>
    </row>
    <row r="108" spans="1:9" x14ac:dyDescent="0.25">
      <c r="A108" s="132">
        <v>45764</v>
      </c>
      <c r="B108">
        <v>2025</v>
      </c>
      <c r="C108">
        <v>107</v>
      </c>
      <c r="D108">
        <v>15.1</v>
      </c>
      <c r="E108">
        <v>26.8</v>
      </c>
      <c r="F108" s="12">
        <v>7.2</v>
      </c>
      <c r="G108" s="12">
        <f t="shared" si="1"/>
        <v>17</v>
      </c>
      <c r="I108">
        <v>0</v>
      </c>
    </row>
    <row r="109" spans="1:9" x14ac:dyDescent="0.25">
      <c r="A109" s="13">
        <v>45765</v>
      </c>
      <c r="B109">
        <v>2025</v>
      </c>
      <c r="C109">
        <v>108</v>
      </c>
      <c r="D109">
        <v>15</v>
      </c>
      <c r="E109">
        <v>28.7</v>
      </c>
      <c r="F109" s="12">
        <v>8.4</v>
      </c>
      <c r="G109" s="12">
        <f t="shared" si="1"/>
        <v>18.55</v>
      </c>
      <c r="I109">
        <v>0</v>
      </c>
    </row>
    <row r="110" spans="1:9" x14ac:dyDescent="0.25">
      <c r="A110" s="13">
        <v>45766</v>
      </c>
      <c r="B110">
        <v>2025</v>
      </c>
      <c r="C110">
        <v>109</v>
      </c>
      <c r="D110">
        <v>14.4</v>
      </c>
      <c r="E110">
        <v>29.8</v>
      </c>
      <c r="F110" s="12">
        <v>9.4</v>
      </c>
      <c r="G110" s="12">
        <f t="shared" si="1"/>
        <v>19.600000000000001</v>
      </c>
      <c r="I110">
        <v>0</v>
      </c>
    </row>
    <row r="111" spans="1:9" x14ac:dyDescent="0.25">
      <c r="A111" s="13">
        <v>45767</v>
      </c>
      <c r="B111">
        <v>2025</v>
      </c>
      <c r="C111">
        <v>110</v>
      </c>
      <c r="D111">
        <v>12.4</v>
      </c>
      <c r="E111">
        <v>29.7</v>
      </c>
      <c r="F111" s="12">
        <v>14.3</v>
      </c>
      <c r="G111" s="12">
        <f t="shared" si="1"/>
        <v>22</v>
      </c>
      <c r="I111">
        <v>2.6</v>
      </c>
    </row>
    <row r="112" spans="1:9" x14ac:dyDescent="0.25">
      <c r="A112" s="13">
        <v>45768</v>
      </c>
      <c r="B112">
        <v>2025</v>
      </c>
      <c r="C112">
        <v>111</v>
      </c>
      <c r="D112">
        <v>12.9</v>
      </c>
      <c r="E112">
        <v>20.9</v>
      </c>
      <c r="F112" s="12">
        <v>10.5</v>
      </c>
      <c r="G112" s="12">
        <f t="shared" si="1"/>
        <v>15.7</v>
      </c>
      <c r="I112">
        <v>0</v>
      </c>
    </row>
    <row r="113" spans="1:9" x14ac:dyDescent="0.25">
      <c r="A113" s="13">
        <v>45769</v>
      </c>
      <c r="B113">
        <v>2025</v>
      </c>
      <c r="C113">
        <v>112</v>
      </c>
      <c r="D113">
        <v>12.2</v>
      </c>
      <c r="E113">
        <v>26.1</v>
      </c>
      <c r="F113" s="12">
        <v>9.6999999999999993</v>
      </c>
      <c r="G113" s="12">
        <f t="shared" si="1"/>
        <v>17.899999999999999</v>
      </c>
      <c r="I113">
        <v>0</v>
      </c>
    </row>
    <row r="114" spans="1:9" x14ac:dyDescent="0.25">
      <c r="A114" s="13">
        <v>45770</v>
      </c>
      <c r="B114">
        <v>2025</v>
      </c>
      <c r="C114">
        <v>113</v>
      </c>
      <c r="D114">
        <v>12.5</v>
      </c>
      <c r="E114">
        <v>26.6</v>
      </c>
      <c r="F114" s="12">
        <v>10.9</v>
      </c>
      <c r="G114" s="12">
        <f t="shared" si="1"/>
        <v>18.75</v>
      </c>
      <c r="I114">
        <v>0</v>
      </c>
    </row>
    <row r="115" spans="1:9" x14ac:dyDescent="0.25">
      <c r="A115" s="13">
        <v>45771</v>
      </c>
      <c r="B115">
        <v>2025</v>
      </c>
      <c r="C115">
        <v>114</v>
      </c>
      <c r="D115">
        <v>14.2</v>
      </c>
      <c r="E115">
        <v>27.4</v>
      </c>
      <c r="F115" s="12">
        <v>15.5</v>
      </c>
      <c r="G115" s="12">
        <f t="shared" si="1"/>
        <v>21.45</v>
      </c>
      <c r="I115">
        <v>0</v>
      </c>
    </row>
    <row r="116" spans="1:9" x14ac:dyDescent="0.25">
      <c r="A116" s="13">
        <v>45772</v>
      </c>
      <c r="B116">
        <v>2025</v>
      </c>
      <c r="C116">
        <v>115</v>
      </c>
      <c r="D116">
        <v>13.3</v>
      </c>
      <c r="E116">
        <v>27.5</v>
      </c>
      <c r="F116" s="12">
        <v>12.8</v>
      </c>
      <c r="G116" s="12">
        <f t="shared" si="1"/>
        <v>20.149999999999999</v>
      </c>
      <c r="I116">
        <v>0</v>
      </c>
    </row>
    <row r="117" spans="1:9" x14ac:dyDescent="0.25">
      <c r="A117" s="13">
        <v>45773</v>
      </c>
      <c r="B117">
        <v>2025</v>
      </c>
      <c r="C117">
        <v>116</v>
      </c>
      <c r="D117">
        <v>10.7</v>
      </c>
      <c r="E117">
        <v>25.3</v>
      </c>
      <c r="F117" s="12">
        <v>13.4</v>
      </c>
      <c r="G117" s="12">
        <f t="shared" si="1"/>
        <v>19.350000000000001</v>
      </c>
      <c r="I117">
        <v>0</v>
      </c>
    </row>
    <row r="118" spans="1:9" x14ac:dyDescent="0.25">
      <c r="A118" s="13">
        <v>45774</v>
      </c>
      <c r="B118">
        <v>2025</v>
      </c>
      <c r="C118">
        <v>117</v>
      </c>
      <c r="D118">
        <v>11.5</v>
      </c>
      <c r="E118">
        <v>25.9</v>
      </c>
      <c r="F118" s="12">
        <v>12.3</v>
      </c>
      <c r="G118" s="12">
        <f t="shared" si="1"/>
        <v>19.100000000000001</v>
      </c>
      <c r="I118">
        <v>0</v>
      </c>
    </row>
    <row r="119" spans="1:9" x14ac:dyDescent="0.25">
      <c r="A119" s="13">
        <v>45775</v>
      </c>
      <c r="B119">
        <v>2025</v>
      </c>
      <c r="C119">
        <v>118</v>
      </c>
      <c r="D119">
        <v>12.8</v>
      </c>
      <c r="E119">
        <v>25.1</v>
      </c>
      <c r="F119" s="12">
        <v>8.9</v>
      </c>
      <c r="G119" s="12">
        <f t="shared" si="1"/>
        <v>17</v>
      </c>
      <c r="I119">
        <v>0</v>
      </c>
    </row>
    <row r="120" spans="1:9" x14ac:dyDescent="0.25">
      <c r="A120" s="13">
        <v>45776</v>
      </c>
      <c r="B120">
        <v>2025</v>
      </c>
      <c r="C120">
        <v>119</v>
      </c>
      <c r="D120">
        <v>13.5</v>
      </c>
      <c r="E120">
        <v>23.1</v>
      </c>
      <c r="F120" s="12">
        <v>10</v>
      </c>
      <c r="G120" s="12">
        <f t="shared" si="1"/>
        <v>16.55</v>
      </c>
      <c r="I120">
        <v>0</v>
      </c>
    </row>
    <row r="121" spans="1:9" x14ac:dyDescent="0.25">
      <c r="A121" s="13">
        <v>45777</v>
      </c>
      <c r="B121">
        <v>2025</v>
      </c>
      <c r="C121">
        <v>120</v>
      </c>
      <c r="D121">
        <v>8.8000000000000007</v>
      </c>
      <c r="E121">
        <v>20.6</v>
      </c>
      <c r="F121" s="12">
        <v>10.199999999999999</v>
      </c>
      <c r="G121" s="12">
        <f t="shared" si="1"/>
        <v>15.4</v>
      </c>
      <c r="I121">
        <v>0</v>
      </c>
    </row>
    <row r="122" spans="1:9" x14ac:dyDescent="0.25">
      <c r="A122" s="13">
        <v>45778</v>
      </c>
      <c r="B122">
        <v>2025</v>
      </c>
      <c r="C122">
        <v>121</v>
      </c>
      <c r="D122">
        <v>13.7</v>
      </c>
      <c r="E122">
        <v>20.7</v>
      </c>
      <c r="F122" s="12">
        <v>3.8</v>
      </c>
      <c r="G122" s="12">
        <f t="shared" si="1"/>
        <v>12.25</v>
      </c>
      <c r="I122">
        <v>0</v>
      </c>
    </row>
    <row r="123" spans="1:9" x14ac:dyDescent="0.25">
      <c r="A123" s="13">
        <v>45779</v>
      </c>
      <c r="B123">
        <v>2025</v>
      </c>
      <c r="C123">
        <v>122</v>
      </c>
      <c r="D123">
        <v>13.5</v>
      </c>
      <c r="E123">
        <v>21.4</v>
      </c>
      <c r="F123" s="12">
        <v>1.9</v>
      </c>
      <c r="G123" s="12">
        <f t="shared" si="1"/>
        <v>11.649999999999999</v>
      </c>
      <c r="I123">
        <v>0</v>
      </c>
    </row>
    <row r="124" spans="1:9" x14ac:dyDescent="0.25">
      <c r="A124" s="13">
        <v>45780</v>
      </c>
      <c r="B124">
        <v>2025</v>
      </c>
      <c r="C124">
        <v>123</v>
      </c>
      <c r="D124">
        <v>13.3</v>
      </c>
      <c r="E124">
        <v>22.9</v>
      </c>
      <c r="F124" s="12">
        <v>3.3</v>
      </c>
      <c r="G124" s="12">
        <f t="shared" si="1"/>
        <v>13.1</v>
      </c>
      <c r="I124">
        <v>0</v>
      </c>
    </row>
    <row r="125" spans="1:9" x14ac:dyDescent="0.25">
      <c r="A125" s="13">
        <v>45781</v>
      </c>
      <c r="B125">
        <v>2025</v>
      </c>
      <c r="C125">
        <v>124</v>
      </c>
      <c r="D125">
        <v>12.9</v>
      </c>
      <c r="E125">
        <v>23.3</v>
      </c>
      <c r="F125" s="12">
        <v>4.8</v>
      </c>
      <c r="G125" s="12">
        <f t="shared" si="1"/>
        <v>14.05</v>
      </c>
      <c r="I125">
        <v>0</v>
      </c>
    </row>
    <row r="126" spans="1:9" x14ac:dyDescent="0.25">
      <c r="A126" s="13">
        <v>45782</v>
      </c>
      <c r="B126">
        <v>2025</v>
      </c>
      <c r="C126">
        <v>125</v>
      </c>
      <c r="D126">
        <v>11.3</v>
      </c>
      <c r="E126">
        <v>25.2</v>
      </c>
      <c r="F126" s="12">
        <v>7.3</v>
      </c>
      <c r="G126" s="12">
        <f t="shared" si="1"/>
        <v>16.25</v>
      </c>
      <c r="I126">
        <v>0</v>
      </c>
    </row>
    <row r="127" spans="1:9" x14ac:dyDescent="0.25">
      <c r="A127" s="13">
        <v>45783</v>
      </c>
      <c r="B127">
        <v>2025</v>
      </c>
      <c r="C127">
        <v>126</v>
      </c>
      <c r="D127">
        <v>12</v>
      </c>
      <c r="E127">
        <v>26.9</v>
      </c>
      <c r="F127" s="12">
        <v>7</v>
      </c>
      <c r="G127" s="12">
        <f t="shared" si="1"/>
        <v>16.95</v>
      </c>
      <c r="I127">
        <v>0</v>
      </c>
    </row>
    <row r="128" spans="1:9" x14ac:dyDescent="0.25">
      <c r="A128" s="13">
        <v>45784</v>
      </c>
      <c r="B128">
        <v>2025</v>
      </c>
      <c r="C128">
        <v>127</v>
      </c>
      <c r="D128">
        <v>12.6</v>
      </c>
      <c r="E128">
        <v>24.7</v>
      </c>
      <c r="F128" s="12">
        <v>8.3000000000000007</v>
      </c>
      <c r="G128" s="12">
        <f t="shared" si="1"/>
        <v>16.5</v>
      </c>
      <c r="I128">
        <v>0</v>
      </c>
    </row>
    <row r="129" spans="1:9" x14ac:dyDescent="0.25">
      <c r="A129" s="13">
        <v>45785</v>
      </c>
      <c r="B129">
        <v>2025</v>
      </c>
      <c r="C129">
        <v>128</v>
      </c>
      <c r="D129">
        <v>12.5</v>
      </c>
      <c r="E129" s="12">
        <v>19.160260000000001</v>
      </c>
      <c r="F129" s="12">
        <v>5.4835700000000003</v>
      </c>
      <c r="G129" s="12">
        <f t="shared" si="1"/>
        <v>12.321915000000001</v>
      </c>
      <c r="I129">
        <v>0</v>
      </c>
    </row>
    <row r="130" spans="1:9" x14ac:dyDescent="0.25">
      <c r="A130" s="13">
        <v>45786</v>
      </c>
      <c r="B130">
        <v>2025</v>
      </c>
      <c r="C130">
        <v>129</v>
      </c>
      <c r="D130">
        <v>12.3</v>
      </c>
      <c r="E130" s="12">
        <v>23.094850000000001</v>
      </c>
      <c r="F130" s="12">
        <v>1.4533499999999999</v>
      </c>
      <c r="G130" s="12">
        <f t="shared" si="1"/>
        <v>12.274100000000001</v>
      </c>
      <c r="I130">
        <v>0</v>
      </c>
    </row>
    <row r="131" spans="1:9" x14ac:dyDescent="0.25">
      <c r="A131" s="13">
        <v>45787</v>
      </c>
      <c r="B131">
        <v>2025</v>
      </c>
      <c r="C131">
        <v>130</v>
      </c>
      <c r="D131">
        <v>12.5</v>
      </c>
      <c r="E131" s="12">
        <v>23.180309999999999</v>
      </c>
      <c r="F131" s="12">
        <v>2.73394</v>
      </c>
      <c r="G131" s="12">
        <f t="shared" ref="G131:G194" si="2">(F131+E131)/2</f>
        <v>12.957125</v>
      </c>
      <c r="I131">
        <v>0</v>
      </c>
    </row>
    <row r="132" spans="1:9" x14ac:dyDescent="0.25">
      <c r="A132" s="13">
        <v>45788</v>
      </c>
      <c r="B132">
        <v>2025</v>
      </c>
      <c r="C132">
        <v>131</v>
      </c>
      <c r="D132">
        <v>12.2</v>
      </c>
      <c r="E132" s="12">
        <v>25.620609999999999</v>
      </c>
      <c r="F132" s="12">
        <v>5.6260500000000002</v>
      </c>
      <c r="G132" s="12">
        <f t="shared" si="2"/>
        <v>15.623329999999999</v>
      </c>
      <c r="I132">
        <v>0</v>
      </c>
    </row>
    <row r="133" spans="1:9" x14ac:dyDescent="0.25">
      <c r="A133" s="13">
        <v>45789</v>
      </c>
      <c r="B133">
        <v>2025</v>
      </c>
      <c r="C133">
        <v>132</v>
      </c>
      <c r="D133">
        <v>11.7</v>
      </c>
      <c r="E133" s="12">
        <v>26.196429999999999</v>
      </c>
      <c r="F133" s="12">
        <v>7.8134600000000001</v>
      </c>
      <c r="G133" s="12">
        <f t="shared" si="2"/>
        <v>17.004944999999999</v>
      </c>
      <c r="I133">
        <v>0</v>
      </c>
    </row>
    <row r="134" spans="1:9" x14ac:dyDescent="0.25">
      <c r="A134" s="13">
        <v>45790</v>
      </c>
      <c r="B134">
        <v>2025</v>
      </c>
      <c r="C134">
        <v>133</v>
      </c>
      <c r="D134">
        <v>11.1</v>
      </c>
      <c r="E134" s="12">
        <v>24.983910000000002</v>
      </c>
      <c r="F134" s="12">
        <v>6.3257099999999999</v>
      </c>
      <c r="G134" s="12">
        <f t="shared" si="2"/>
        <v>15.654810000000001</v>
      </c>
      <c r="I134">
        <v>0</v>
      </c>
    </row>
    <row r="135" spans="1:9" x14ac:dyDescent="0.25">
      <c r="A135" s="13">
        <v>45791</v>
      </c>
      <c r="B135">
        <v>2025</v>
      </c>
      <c r="C135">
        <v>134</v>
      </c>
      <c r="D135">
        <v>12</v>
      </c>
      <c r="E135" s="12">
        <v>25.487220000000001</v>
      </c>
      <c r="F135" s="12">
        <v>6.35487</v>
      </c>
      <c r="G135" s="12">
        <f t="shared" si="2"/>
        <v>15.921044999999999</v>
      </c>
      <c r="I135">
        <v>0</v>
      </c>
    </row>
    <row r="136" spans="1:9" x14ac:dyDescent="0.25">
      <c r="A136" s="13">
        <v>45792</v>
      </c>
      <c r="B136">
        <v>2025</v>
      </c>
      <c r="C136">
        <v>135</v>
      </c>
      <c r="D136">
        <v>11.9</v>
      </c>
      <c r="E136" s="12">
        <v>24.202390000000001</v>
      </c>
      <c r="F136" s="12">
        <v>2.0066199999999998</v>
      </c>
      <c r="G136" s="12">
        <f t="shared" si="2"/>
        <v>13.104505</v>
      </c>
      <c r="I136">
        <v>0</v>
      </c>
    </row>
    <row r="137" spans="1:9" x14ac:dyDescent="0.25">
      <c r="A137" s="13">
        <v>45793</v>
      </c>
      <c r="B137">
        <v>2025</v>
      </c>
      <c r="C137">
        <v>136</v>
      </c>
      <c r="D137">
        <v>11.1</v>
      </c>
      <c r="E137" s="12">
        <v>24.406220000000001</v>
      </c>
      <c r="F137" s="12">
        <v>4.9533100000000001</v>
      </c>
      <c r="G137" s="12">
        <f t="shared" si="2"/>
        <v>14.679765</v>
      </c>
      <c r="I137">
        <v>0</v>
      </c>
    </row>
    <row r="138" spans="1:9" x14ac:dyDescent="0.25">
      <c r="A138" s="13">
        <v>45794</v>
      </c>
      <c r="B138">
        <v>2025</v>
      </c>
      <c r="C138">
        <v>137</v>
      </c>
      <c r="D138">
        <v>10.9</v>
      </c>
      <c r="E138" s="12">
        <v>20.657050000000002</v>
      </c>
      <c r="F138" s="12">
        <v>2.07809</v>
      </c>
      <c r="G138" s="12">
        <f t="shared" si="2"/>
        <v>11.367570000000001</v>
      </c>
      <c r="I138">
        <v>0</v>
      </c>
    </row>
    <row r="139" spans="1:9" x14ac:dyDescent="0.25">
      <c r="A139" s="13">
        <v>45795</v>
      </c>
      <c r="B139">
        <v>2025</v>
      </c>
      <c r="C139">
        <v>138</v>
      </c>
      <c r="D139">
        <v>10.199999999999999</v>
      </c>
      <c r="E139" s="12">
        <v>19.145910000000001</v>
      </c>
      <c r="F139" s="12">
        <v>3.8456199999999998</v>
      </c>
      <c r="G139" s="12">
        <f t="shared" si="2"/>
        <v>11.495765</v>
      </c>
      <c r="I139">
        <v>0</v>
      </c>
    </row>
    <row r="140" spans="1:9" x14ac:dyDescent="0.25">
      <c r="A140" s="13">
        <v>45796</v>
      </c>
      <c r="B140">
        <v>2025</v>
      </c>
      <c r="C140">
        <v>139</v>
      </c>
      <c r="D140">
        <v>11.6</v>
      </c>
      <c r="E140" s="12">
        <v>20.72465</v>
      </c>
      <c r="F140" s="12">
        <v>-0.51890999999999998</v>
      </c>
      <c r="G140" s="12">
        <f t="shared" si="2"/>
        <v>10.102869999999999</v>
      </c>
      <c r="I140">
        <v>0</v>
      </c>
    </row>
    <row r="141" spans="1:9" x14ac:dyDescent="0.25">
      <c r="A141" s="13">
        <v>45797</v>
      </c>
      <c r="B141">
        <v>2025</v>
      </c>
      <c r="C141">
        <v>140</v>
      </c>
      <c r="D141">
        <v>11.5</v>
      </c>
      <c r="E141" s="12">
        <v>21.147659999999998</v>
      </c>
      <c r="F141" s="12">
        <v>-0.79910999999999999</v>
      </c>
      <c r="G141" s="12">
        <f t="shared" si="2"/>
        <v>10.174275</v>
      </c>
      <c r="I141">
        <v>0</v>
      </c>
    </row>
    <row r="142" spans="1:9" x14ac:dyDescent="0.25">
      <c r="A142" s="13">
        <v>45798</v>
      </c>
      <c r="B142">
        <v>2025</v>
      </c>
      <c r="C142">
        <v>141</v>
      </c>
      <c r="D142">
        <v>8.9</v>
      </c>
      <c r="E142" s="12">
        <v>20.875679999999999</v>
      </c>
      <c r="F142" s="12">
        <v>2.73394</v>
      </c>
      <c r="G142" s="12">
        <f t="shared" si="2"/>
        <v>11.80481</v>
      </c>
      <c r="I142">
        <v>0.60000000000000009</v>
      </c>
    </row>
    <row r="143" spans="1:9" x14ac:dyDescent="0.25">
      <c r="A143" s="13">
        <v>45799</v>
      </c>
      <c r="B143">
        <v>2025</v>
      </c>
      <c r="C143">
        <v>142</v>
      </c>
      <c r="D143">
        <v>4.5</v>
      </c>
      <c r="E143" s="12">
        <v>14.007680000000001</v>
      </c>
      <c r="F143" s="12">
        <v>11.64423</v>
      </c>
      <c r="G143" s="12">
        <f t="shared" si="2"/>
        <v>12.825955</v>
      </c>
      <c r="I143">
        <v>16.599999999999998</v>
      </c>
    </row>
    <row r="144" spans="1:9" x14ac:dyDescent="0.25">
      <c r="A144" s="13">
        <v>45800</v>
      </c>
      <c r="B144">
        <v>2025</v>
      </c>
      <c r="C144">
        <v>143</v>
      </c>
      <c r="D144">
        <v>5.6</v>
      </c>
      <c r="E144" s="12">
        <v>16.643519999999999</v>
      </c>
      <c r="F144" s="12">
        <v>12.66567</v>
      </c>
      <c r="G144" s="12">
        <f t="shared" si="2"/>
        <v>14.654595</v>
      </c>
      <c r="I144">
        <v>8.7999999999999989</v>
      </c>
    </row>
    <row r="145" spans="1:9" x14ac:dyDescent="0.25">
      <c r="A145" s="13">
        <v>45801</v>
      </c>
      <c r="B145">
        <v>2025</v>
      </c>
      <c r="C145">
        <v>144</v>
      </c>
      <c r="D145">
        <v>10.199999999999999</v>
      </c>
      <c r="E145" s="12">
        <v>18.98659</v>
      </c>
      <c r="F145" s="12">
        <v>7.9750300000000003</v>
      </c>
      <c r="G145" s="12">
        <f t="shared" si="2"/>
        <v>13.48081</v>
      </c>
      <c r="I145">
        <v>0</v>
      </c>
    </row>
    <row r="146" spans="1:9" x14ac:dyDescent="0.25">
      <c r="A146" s="13">
        <v>45802</v>
      </c>
      <c r="B146">
        <v>2025</v>
      </c>
      <c r="C146">
        <v>145</v>
      </c>
      <c r="D146">
        <v>11.3</v>
      </c>
      <c r="E146" s="12">
        <v>20.096499999999999</v>
      </c>
      <c r="F146" s="12">
        <v>3.59036</v>
      </c>
      <c r="G146" s="12">
        <f t="shared" si="2"/>
        <v>11.84343</v>
      </c>
      <c r="I146">
        <v>0</v>
      </c>
    </row>
    <row r="147" spans="1:9" x14ac:dyDescent="0.25">
      <c r="A147" s="13">
        <v>45803</v>
      </c>
      <c r="B147">
        <v>2025</v>
      </c>
      <c r="C147">
        <v>146</v>
      </c>
      <c r="D147">
        <v>3.6</v>
      </c>
      <c r="E147" s="12">
        <v>16.084119999999999</v>
      </c>
      <c r="F147" s="12">
        <v>6.7239300000000002</v>
      </c>
      <c r="G147" s="12">
        <f t="shared" si="2"/>
        <v>11.404024999999999</v>
      </c>
      <c r="I147">
        <v>1.8</v>
      </c>
    </row>
    <row r="148" spans="1:9" x14ac:dyDescent="0.25">
      <c r="A148" s="13">
        <v>45804</v>
      </c>
      <c r="B148">
        <v>2025</v>
      </c>
      <c r="C148">
        <v>147</v>
      </c>
      <c r="D148">
        <v>8.6</v>
      </c>
      <c r="E148" s="12">
        <v>13.79472</v>
      </c>
      <c r="F148" s="12">
        <v>7.0336499999999997</v>
      </c>
      <c r="G148" s="12">
        <f t="shared" si="2"/>
        <v>10.414185</v>
      </c>
      <c r="I148">
        <v>4.2</v>
      </c>
    </row>
    <row r="149" spans="1:9" x14ac:dyDescent="0.25">
      <c r="A149" s="13">
        <v>45805</v>
      </c>
      <c r="B149">
        <v>2025</v>
      </c>
      <c r="C149">
        <v>148</v>
      </c>
      <c r="D149">
        <v>8.1</v>
      </c>
      <c r="E149" s="12">
        <v>15.470739999999999</v>
      </c>
      <c r="F149" s="12">
        <v>5.9226299999999998</v>
      </c>
      <c r="G149" s="12">
        <f t="shared" si="2"/>
        <v>10.696684999999999</v>
      </c>
      <c r="I149">
        <v>0</v>
      </c>
    </row>
    <row r="150" spans="1:9" x14ac:dyDescent="0.25">
      <c r="A150" s="13">
        <v>45806</v>
      </c>
      <c r="B150">
        <v>2025</v>
      </c>
      <c r="C150">
        <v>149</v>
      </c>
      <c r="D150">
        <v>11</v>
      </c>
      <c r="E150" s="12">
        <v>17.111920000000001</v>
      </c>
      <c r="F150" s="12">
        <v>2.7275100000000001</v>
      </c>
      <c r="G150" s="12">
        <f t="shared" si="2"/>
        <v>9.9197150000000001</v>
      </c>
      <c r="I150">
        <v>0</v>
      </c>
    </row>
    <row r="151" spans="1:9" x14ac:dyDescent="0.25">
      <c r="A151" s="13">
        <v>45807</v>
      </c>
      <c r="B151">
        <v>2025</v>
      </c>
      <c r="C151">
        <v>150</v>
      </c>
      <c r="D151">
        <v>11</v>
      </c>
      <c r="E151" s="12">
        <v>19.157389999999999</v>
      </c>
      <c r="F151" s="12">
        <v>1.4730099999999999</v>
      </c>
      <c r="G151" s="12">
        <f t="shared" si="2"/>
        <v>10.315199999999999</v>
      </c>
      <c r="I151">
        <v>0.2</v>
      </c>
    </row>
    <row r="152" spans="1:9" x14ac:dyDescent="0.25">
      <c r="A152" s="13">
        <v>45808</v>
      </c>
      <c r="B152">
        <v>2025</v>
      </c>
      <c r="C152">
        <v>151</v>
      </c>
      <c r="D152">
        <v>10.9</v>
      </c>
      <c r="E152" s="12">
        <v>19.57658</v>
      </c>
      <c r="F152" s="12">
        <v>0.23002</v>
      </c>
      <c r="G152" s="12">
        <f t="shared" si="2"/>
        <v>9.9032999999999998</v>
      </c>
      <c r="I152">
        <v>0.2</v>
      </c>
    </row>
    <row r="153" spans="1:9" x14ac:dyDescent="0.25">
      <c r="A153" s="13">
        <v>45809</v>
      </c>
      <c r="B153">
        <v>2025</v>
      </c>
      <c r="C153">
        <v>152</v>
      </c>
      <c r="D153">
        <v>10.9</v>
      </c>
      <c r="E153" s="12">
        <v>18.484279999999998</v>
      </c>
      <c r="F153" s="12">
        <v>0.22667999999999999</v>
      </c>
      <c r="G153" s="12">
        <f t="shared" si="2"/>
        <v>9.35548</v>
      </c>
      <c r="I153">
        <v>0.2</v>
      </c>
    </row>
    <row r="154" spans="1:9" x14ac:dyDescent="0.25">
      <c r="A154" s="13">
        <v>45810</v>
      </c>
      <c r="B154">
        <v>2025</v>
      </c>
      <c r="C154">
        <v>153</v>
      </c>
      <c r="D154">
        <v>9.6</v>
      </c>
      <c r="E154" s="12">
        <v>16.194900000000001</v>
      </c>
      <c r="F154" s="12">
        <v>2.86083</v>
      </c>
      <c r="G154" s="12">
        <f t="shared" si="2"/>
        <v>9.5278650000000003</v>
      </c>
      <c r="I154">
        <v>0.2</v>
      </c>
    </row>
    <row r="155" spans="1:9" x14ac:dyDescent="0.25">
      <c r="A155" s="13">
        <v>45811</v>
      </c>
      <c r="B155">
        <v>2025</v>
      </c>
      <c r="C155">
        <v>154</v>
      </c>
      <c r="D155">
        <v>10.1</v>
      </c>
      <c r="E155" s="12">
        <v>17.09037</v>
      </c>
      <c r="F155" s="12">
        <v>2.38096</v>
      </c>
      <c r="G155" s="12">
        <f t="shared" si="2"/>
        <v>9.7356650000000009</v>
      </c>
      <c r="I155">
        <v>0</v>
      </c>
    </row>
    <row r="156" spans="1:9" x14ac:dyDescent="0.25">
      <c r="A156" s="13">
        <v>45812</v>
      </c>
      <c r="B156">
        <v>2025</v>
      </c>
      <c r="C156">
        <v>155</v>
      </c>
      <c r="D156">
        <v>10.8</v>
      </c>
      <c r="E156" s="12">
        <v>14.51835</v>
      </c>
      <c r="F156" s="12">
        <v>1.4894000000000001</v>
      </c>
      <c r="G156" s="12">
        <f t="shared" si="2"/>
        <v>8.0038750000000007</v>
      </c>
      <c r="I156">
        <v>0</v>
      </c>
    </row>
    <row r="157" spans="1:9" x14ac:dyDescent="0.25">
      <c r="A157" s="13">
        <v>45813</v>
      </c>
      <c r="B157">
        <v>2025</v>
      </c>
      <c r="C157">
        <v>156</v>
      </c>
      <c r="D157">
        <v>10.7</v>
      </c>
      <c r="E157" s="12">
        <v>15.892720000000001</v>
      </c>
      <c r="F157" s="12">
        <v>-2.33047</v>
      </c>
      <c r="G157" s="12">
        <f t="shared" si="2"/>
        <v>6.7811250000000003</v>
      </c>
      <c r="I157">
        <v>0</v>
      </c>
    </row>
    <row r="158" spans="1:9" x14ac:dyDescent="0.25">
      <c r="A158" s="13">
        <v>45814</v>
      </c>
      <c r="B158">
        <v>2025</v>
      </c>
      <c r="C158">
        <v>157</v>
      </c>
      <c r="D158">
        <v>8.1999999999999993</v>
      </c>
      <c r="E158" s="12">
        <v>16.22655</v>
      </c>
      <c r="F158" s="12">
        <v>1.44187</v>
      </c>
      <c r="G158" s="12">
        <f t="shared" si="2"/>
        <v>8.8342100000000006</v>
      </c>
      <c r="I158">
        <v>0</v>
      </c>
    </row>
    <row r="159" spans="1:9" x14ac:dyDescent="0.25">
      <c r="A159" s="13">
        <v>45815</v>
      </c>
      <c r="B159">
        <v>2025</v>
      </c>
      <c r="C159">
        <v>158</v>
      </c>
      <c r="D159">
        <v>8.1999999999999993</v>
      </c>
      <c r="E159" s="12">
        <v>12.95251</v>
      </c>
      <c r="F159" s="12">
        <v>6.7712899999999996</v>
      </c>
      <c r="G159" s="12">
        <f t="shared" si="2"/>
        <v>9.8619000000000003</v>
      </c>
      <c r="I159">
        <v>4</v>
      </c>
    </row>
    <row r="160" spans="1:9" x14ac:dyDescent="0.25">
      <c r="A160" s="13">
        <v>45816</v>
      </c>
      <c r="B160">
        <v>2025</v>
      </c>
      <c r="C160">
        <v>159</v>
      </c>
      <c r="D160">
        <v>5.2</v>
      </c>
      <c r="E160" s="12">
        <v>8.8136799999999997</v>
      </c>
      <c r="F160" s="12">
        <v>5.9056699999999998</v>
      </c>
      <c r="G160" s="12">
        <f t="shared" si="2"/>
        <v>7.3596749999999993</v>
      </c>
      <c r="I160">
        <v>10.599999999999994</v>
      </c>
    </row>
    <row r="161" spans="1:9" x14ac:dyDescent="0.25">
      <c r="A161" s="13">
        <v>45817</v>
      </c>
      <c r="B161">
        <v>2025</v>
      </c>
      <c r="C161">
        <v>160</v>
      </c>
      <c r="D161">
        <v>4.7</v>
      </c>
      <c r="E161" s="12">
        <v>10.809480000000001</v>
      </c>
      <c r="F161" s="12">
        <v>4.9876300000000002</v>
      </c>
      <c r="G161" s="12">
        <f t="shared" si="2"/>
        <v>7.898555</v>
      </c>
      <c r="I161">
        <v>3.4000000000000004</v>
      </c>
    </row>
    <row r="162" spans="1:9" x14ac:dyDescent="0.25">
      <c r="A162" s="13">
        <v>45818</v>
      </c>
      <c r="B162">
        <v>2025</v>
      </c>
      <c r="C162">
        <v>161</v>
      </c>
      <c r="D162">
        <v>4.9000000000000004</v>
      </c>
      <c r="E162" s="12">
        <v>8.9902099999999994</v>
      </c>
      <c r="F162" s="12">
        <v>4.9299099999999996</v>
      </c>
      <c r="G162" s="12">
        <f t="shared" si="2"/>
        <v>6.9600599999999995</v>
      </c>
      <c r="I162">
        <v>0</v>
      </c>
    </row>
    <row r="163" spans="1:9" x14ac:dyDescent="0.25">
      <c r="A163" s="13">
        <v>45819</v>
      </c>
      <c r="B163">
        <v>2025</v>
      </c>
      <c r="C163">
        <v>162</v>
      </c>
      <c r="D163">
        <v>6.7</v>
      </c>
      <c r="E163" s="12">
        <v>14.051119999999999</v>
      </c>
      <c r="F163" s="12">
        <v>2.4665599999999999</v>
      </c>
      <c r="G163" s="12">
        <f t="shared" si="2"/>
        <v>8.2588399999999993</v>
      </c>
      <c r="I163">
        <v>0.2</v>
      </c>
    </row>
    <row r="164" spans="1:9" x14ac:dyDescent="0.25">
      <c r="A164" s="13">
        <v>45820</v>
      </c>
      <c r="B164">
        <v>2025</v>
      </c>
      <c r="C164">
        <v>163</v>
      </c>
      <c r="D164">
        <v>7.4</v>
      </c>
      <c r="E164" s="12">
        <v>9.5777300000000007</v>
      </c>
      <c r="F164" s="12">
        <v>2.4391099999999999</v>
      </c>
      <c r="G164" s="12">
        <f t="shared" si="2"/>
        <v>6.0084200000000001</v>
      </c>
      <c r="I164">
        <v>0.4</v>
      </c>
    </row>
    <row r="165" spans="1:9" x14ac:dyDescent="0.25">
      <c r="A165" s="13">
        <v>45821</v>
      </c>
      <c r="B165">
        <v>2025</v>
      </c>
      <c r="C165">
        <v>164</v>
      </c>
      <c r="D165">
        <v>10.5</v>
      </c>
      <c r="E165" s="12">
        <v>15.400130000000001</v>
      </c>
      <c r="F165" s="12">
        <v>0.12458</v>
      </c>
      <c r="G165" s="12">
        <f t="shared" si="2"/>
        <v>7.7623550000000003</v>
      </c>
      <c r="I165">
        <v>0.2</v>
      </c>
    </row>
    <row r="166" spans="1:9" x14ac:dyDescent="0.25">
      <c r="A166" s="13">
        <v>45822</v>
      </c>
      <c r="B166">
        <v>2025</v>
      </c>
      <c r="C166">
        <v>165</v>
      </c>
      <c r="D166">
        <v>10.4</v>
      </c>
      <c r="E166" s="12">
        <v>15.92726</v>
      </c>
      <c r="F166" s="12">
        <v>-1.1560600000000001</v>
      </c>
      <c r="G166" s="12">
        <f t="shared" si="2"/>
        <v>7.3856000000000002</v>
      </c>
      <c r="I166">
        <v>0.2</v>
      </c>
    </row>
    <row r="167" spans="1:9" x14ac:dyDescent="0.25">
      <c r="A167" s="13">
        <v>45823</v>
      </c>
      <c r="B167">
        <v>2025</v>
      </c>
      <c r="C167">
        <v>166</v>
      </c>
      <c r="D167">
        <v>6.1</v>
      </c>
      <c r="E167" s="12">
        <v>10.604469999999999</v>
      </c>
      <c r="F167" s="12">
        <v>2.8351500000000001</v>
      </c>
      <c r="G167" s="12">
        <f t="shared" si="2"/>
        <v>6.7198099999999998</v>
      </c>
      <c r="I167">
        <v>5.8000000000000016</v>
      </c>
    </row>
    <row r="168" spans="1:9" x14ac:dyDescent="0.25">
      <c r="A168" s="13">
        <v>45824</v>
      </c>
      <c r="B168">
        <v>2025</v>
      </c>
      <c r="C168">
        <v>167</v>
      </c>
      <c r="D168">
        <v>9.5</v>
      </c>
      <c r="E168" s="12">
        <v>13.690340000000001</v>
      </c>
      <c r="F168" s="12">
        <v>2.1413700000000002</v>
      </c>
      <c r="G168" s="12">
        <f t="shared" si="2"/>
        <v>7.9158550000000005</v>
      </c>
      <c r="I168">
        <v>0.4</v>
      </c>
    </row>
    <row r="169" spans="1:9" x14ac:dyDescent="0.25">
      <c r="A169" s="13">
        <v>45825</v>
      </c>
      <c r="B169">
        <v>2025</v>
      </c>
      <c r="C169">
        <v>168</v>
      </c>
      <c r="D169">
        <v>9.6999999999999993</v>
      </c>
      <c r="E169" s="12">
        <v>13.878769999999999</v>
      </c>
      <c r="F169" s="12">
        <v>-0.14912</v>
      </c>
      <c r="G169" s="12">
        <f t="shared" si="2"/>
        <v>6.8648249999999997</v>
      </c>
      <c r="I169">
        <v>0</v>
      </c>
    </row>
    <row r="170" spans="1:9" x14ac:dyDescent="0.25">
      <c r="A170" s="13">
        <v>45826</v>
      </c>
      <c r="B170">
        <v>2025</v>
      </c>
      <c r="C170">
        <v>169</v>
      </c>
      <c r="D170">
        <v>9.6999999999999993</v>
      </c>
      <c r="E170" s="12">
        <v>13.800520000000001</v>
      </c>
      <c r="F170" s="12">
        <v>-0.59179999999999999</v>
      </c>
      <c r="G170" s="12">
        <f t="shared" si="2"/>
        <v>6.6043600000000007</v>
      </c>
      <c r="I170">
        <v>0.2</v>
      </c>
    </row>
    <row r="171" spans="1:9" x14ac:dyDescent="0.25">
      <c r="A171" s="13">
        <v>45827</v>
      </c>
      <c r="B171">
        <v>2025</v>
      </c>
      <c r="C171">
        <v>170</v>
      </c>
      <c r="D171">
        <v>10.3</v>
      </c>
      <c r="E171" s="12">
        <v>12.04973</v>
      </c>
      <c r="F171" s="12">
        <v>-1.34314</v>
      </c>
      <c r="G171" s="12">
        <f t="shared" si="2"/>
        <v>5.3532950000000001</v>
      </c>
      <c r="I171">
        <v>0</v>
      </c>
    </row>
    <row r="172" spans="1:9" x14ac:dyDescent="0.25">
      <c r="A172" s="13">
        <v>45828</v>
      </c>
      <c r="B172">
        <v>2025</v>
      </c>
      <c r="C172">
        <v>171</v>
      </c>
      <c r="D172">
        <v>10.3</v>
      </c>
      <c r="E172" s="12">
        <v>13.524979999999999</v>
      </c>
      <c r="F172" s="12">
        <v>-1.5067200000000001</v>
      </c>
      <c r="G172" s="12">
        <f t="shared" si="2"/>
        <v>6.0091299999999999</v>
      </c>
      <c r="I172">
        <v>0.2</v>
      </c>
    </row>
    <row r="173" spans="1:9" x14ac:dyDescent="0.25">
      <c r="A173" s="13">
        <v>45829</v>
      </c>
      <c r="B173">
        <v>2025</v>
      </c>
      <c r="C173">
        <v>172</v>
      </c>
      <c r="D173">
        <v>10.5</v>
      </c>
      <c r="E173" s="12">
        <v>15.163679999999999</v>
      </c>
      <c r="F173" s="12">
        <v>-2.58507</v>
      </c>
      <c r="G173" s="12">
        <f t="shared" si="2"/>
        <v>6.2893049999999997</v>
      </c>
      <c r="I173">
        <v>0.2</v>
      </c>
    </row>
    <row r="174" spans="1:9" x14ac:dyDescent="0.25">
      <c r="A174" s="13">
        <v>45830</v>
      </c>
      <c r="B174">
        <v>2025</v>
      </c>
      <c r="C174">
        <v>173</v>
      </c>
      <c r="D174">
        <v>10.3</v>
      </c>
      <c r="E174" s="12">
        <v>16.272570000000002</v>
      </c>
      <c r="F174" s="12">
        <v>-2.7543299999999999</v>
      </c>
      <c r="G174" s="12">
        <f t="shared" si="2"/>
        <v>6.7591200000000011</v>
      </c>
      <c r="I174">
        <v>0</v>
      </c>
    </row>
    <row r="175" spans="1:9" x14ac:dyDescent="0.25">
      <c r="A175" s="13">
        <v>45831</v>
      </c>
      <c r="B175">
        <v>2025</v>
      </c>
      <c r="C175">
        <v>174</v>
      </c>
      <c r="D175">
        <v>9.5</v>
      </c>
      <c r="E175" s="12">
        <v>20.126670000000001</v>
      </c>
      <c r="F175" s="12">
        <v>2.6985700000000001</v>
      </c>
      <c r="G175" s="12">
        <f t="shared" si="2"/>
        <v>11.41262</v>
      </c>
      <c r="I175">
        <v>1.2000000000000002</v>
      </c>
    </row>
    <row r="176" spans="1:9" x14ac:dyDescent="0.25">
      <c r="A176" s="13">
        <v>45832</v>
      </c>
      <c r="B176">
        <v>2025</v>
      </c>
      <c r="C176">
        <v>175</v>
      </c>
      <c r="D176">
        <v>10.3</v>
      </c>
      <c r="E176" s="12">
        <v>14.899649999999999</v>
      </c>
      <c r="F176" s="12">
        <v>9.1560299999999994</v>
      </c>
      <c r="G176" s="12">
        <f t="shared" si="2"/>
        <v>12.027839999999999</v>
      </c>
      <c r="I176">
        <v>13.4</v>
      </c>
    </row>
    <row r="177" spans="1:9" x14ac:dyDescent="0.25">
      <c r="A177" s="13">
        <v>45833</v>
      </c>
      <c r="B177">
        <v>2025</v>
      </c>
      <c r="C177">
        <v>176</v>
      </c>
      <c r="D177">
        <v>7.7</v>
      </c>
      <c r="E177" s="12">
        <v>12.204639999999999</v>
      </c>
      <c r="F177" s="12">
        <v>4.5811400000000004</v>
      </c>
      <c r="G177" s="12">
        <f t="shared" si="2"/>
        <v>8.3928899999999995</v>
      </c>
      <c r="I177">
        <v>7.0000000000000009</v>
      </c>
    </row>
    <row r="178" spans="1:9" x14ac:dyDescent="0.25">
      <c r="A178" s="13">
        <v>45834</v>
      </c>
      <c r="B178">
        <v>2025</v>
      </c>
      <c r="C178">
        <v>177</v>
      </c>
      <c r="D178">
        <v>10.5</v>
      </c>
      <c r="E178" s="12">
        <v>12.25868</v>
      </c>
      <c r="F178" s="12">
        <v>-0.33456000000000002</v>
      </c>
      <c r="G178" s="12">
        <f t="shared" si="2"/>
        <v>5.9620600000000001</v>
      </c>
      <c r="I178">
        <v>0</v>
      </c>
    </row>
    <row r="179" spans="1:9" x14ac:dyDescent="0.25">
      <c r="A179" s="13">
        <v>45835</v>
      </c>
      <c r="B179">
        <v>2025</v>
      </c>
      <c r="C179">
        <v>178</v>
      </c>
      <c r="D179">
        <v>10.5</v>
      </c>
      <c r="E179" s="12">
        <v>13.08196</v>
      </c>
      <c r="F179" s="12">
        <v>-1.3792599999999999</v>
      </c>
      <c r="G179" s="12">
        <f t="shared" si="2"/>
        <v>5.8513500000000001</v>
      </c>
      <c r="I179">
        <v>0.2</v>
      </c>
    </row>
    <row r="180" spans="1:9" x14ac:dyDescent="0.25">
      <c r="A180" s="13">
        <v>45836</v>
      </c>
      <c r="B180">
        <v>2025</v>
      </c>
      <c r="C180">
        <v>179</v>
      </c>
      <c r="D180">
        <v>10.6</v>
      </c>
      <c r="E180" s="12">
        <v>15.03242</v>
      </c>
      <c r="F180" s="12">
        <v>-0.99351999999999996</v>
      </c>
      <c r="G180" s="12">
        <f t="shared" si="2"/>
        <v>7.01945</v>
      </c>
      <c r="I180">
        <v>0.2</v>
      </c>
    </row>
    <row r="181" spans="1:9" x14ac:dyDescent="0.25">
      <c r="A181" s="13">
        <v>45837</v>
      </c>
      <c r="B181">
        <v>2025</v>
      </c>
      <c r="C181">
        <v>180</v>
      </c>
      <c r="D181">
        <v>9.6</v>
      </c>
      <c r="E181" s="12">
        <v>13.093590000000001</v>
      </c>
      <c r="F181" s="12">
        <v>-0.47656999999999999</v>
      </c>
      <c r="G181" s="12">
        <f t="shared" si="2"/>
        <v>6.3085100000000001</v>
      </c>
      <c r="I181">
        <v>0.2</v>
      </c>
    </row>
    <row r="182" spans="1:9" x14ac:dyDescent="0.25">
      <c r="A182" s="13">
        <v>45838</v>
      </c>
      <c r="B182">
        <v>2025</v>
      </c>
      <c r="C182">
        <v>181</v>
      </c>
      <c r="D182">
        <v>10.6</v>
      </c>
      <c r="E182" s="12">
        <v>12.78511</v>
      </c>
      <c r="F182" s="12">
        <v>-0.51212999999999997</v>
      </c>
      <c r="G182" s="12">
        <f t="shared" si="2"/>
        <v>6.1364900000000002</v>
      </c>
      <c r="I182">
        <v>0.2</v>
      </c>
    </row>
    <row r="183" spans="1:9" x14ac:dyDescent="0.25">
      <c r="A183" s="13">
        <v>45839</v>
      </c>
      <c r="B183">
        <v>2025</v>
      </c>
      <c r="C183">
        <v>182</v>
      </c>
      <c r="D183">
        <v>8.6999999999999993</v>
      </c>
      <c r="E183" s="12">
        <v>9.5926100000000005</v>
      </c>
      <c r="F183" s="12">
        <v>-1.7989999999999999E-2</v>
      </c>
      <c r="G183" s="12">
        <f t="shared" si="2"/>
        <v>4.7873100000000006</v>
      </c>
      <c r="I183">
        <v>0.4</v>
      </c>
    </row>
    <row r="184" spans="1:9" x14ac:dyDescent="0.25">
      <c r="A184" s="13">
        <v>45840</v>
      </c>
      <c r="B184">
        <v>2025</v>
      </c>
      <c r="C184">
        <v>183</v>
      </c>
      <c r="D184">
        <v>10.6</v>
      </c>
      <c r="E184" s="12">
        <v>15.26751</v>
      </c>
      <c r="F184" s="12">
        <v>7.0366999999999997</v>
      </c>
      <c r="G184" s="12">
        <f t="shared" si="2"/>
        <v>11.152104999999999</v>
      </c>
      <c r="I184">
        <v>0</v>
      </c>
    </row>
    <row r="185" spans="1:9" x14ac:dyDescent="0.25">
      <c r="A185" s="13">
        <v>45841</v>
      </c>
      <c r="B185">
        <v>2025</v>
      </c>
      <c r="C185">
        <v>184</v>
      </c>
      <c r="D185">
        <v>9.9</v>
      </c>
      <c r="E185" s="12">
        <v>13.461130000000001</v>
      </c>
      <c r="F185" s="12">
        <v>4.0416100000000004</v>
      </c>
      <c r="G185" s="12">
        <f t="shared" si="2"/>
        <v>8.7513700000000014</v>
      </c>
      <c r="I185">
        <v>2.4000000000000004</v>
      </c>
    </row>
    <row r="186" spans="1:9" x14ac:dyDescent="0.25">
      <c r="A186" s="13">
        <v>45842</v>
      </c>
      <c r="B186">
        <v>2025</v>
      </c>
      <c r="C186">
        <v>185</v>
      </c>
      <c r="D186">
        <v>6.8</v>
      </c>
      <c r="E186" s="12">
        <v>10.181710000000001</v>
      </c>
      <c r="F186" s="12">
        <v>1.0818099999999999</v>
      </c>
      <c r="G186" s="12">
        <f t="shared" si="2"/>
        <v>5.6317599999999999</v>
      </c>
      <c r="I186">
        <v>0.2</v>
      </c>
    </row>
    <row r="187" spans="1:9" x14ac:dyDescent="0.25">
      <c r="A187" s="13">
        <v>45843</v>
      </c>
      <c r="B187">
        <v>2025</v>
      </c>
      <c r="C187">
        <v>186</v>
      </c>
      <c r="D187">
        <v>7.5</v>
      </c>
      <c r="E187" s="12">
        <v>11.114229999999999</v>
      </c>
      <c r="F187" s="12">
        <v>0.11452</v>
      </c>
      <c r="G187" s="12">
        <f t="shared" si="2"/>
        <v>5.6143749999999999</v>
      </c>
      <c r="I187">
        <v>0.4</v>
      </c>
    </row>
    <row r="188" spans="1:9" x14ac:dyDescent="0.25">
      <c r="A188" s="13">
        <v>45844</v>
      </c>
      <c r="B188">
        <v>2025</v>
      </c>
      <c r="C188">
        <v>187</v>
      </c>
      <c r="D188">
        <v>6.4</v>
      </c>
      <c r="E188" s="12">
        <v>13.764279999999999</v>
      </c>
      <c r="F188" s="12">
        <v>3.6538599999999999</v>
      </c>
      <c r="G188" s="12">
        <f t="shared" si="2"/>
        <v>8.7090700000000005</v>
      </c>
      <c r="I188">
        <v>2.4000000000000004</v>
      </c>
    </row>
    <row r="189" spans="1:9" x14ac:dyDescent="0.25">
      <c r="A189" s="13">
        <v>45845</v>
      </c>
      <c r="B189">
        <v>2025</v>
      </c>
      <c r="C189">
        <v>188</v>
      </c>
      <c r="D189">
        <v>5.9</v>
      </c>
      <c r="E189" s="12">
        <v>9.72194</v>
      </c>
      <c r="F189" s="12">
        <v>5.4773699999999996</v>
      </c>
      <c r="G189" s="12">
        <f t="shared" si="2"/>
        <v>7.5996550000000003</v>
      </c>
      <c r="I189">
        <v>0</v>
      </c>
    </row>
    <row r="190" spans="1:9" x14ac:dyDescent="0.25">
      <c r="A190" s="13">
        <v>45846</v>
      </c>
      <c r="B190">
        <v>2025</v>
      </c>
      <c r="C190">
        <v>189</v>
      </c>
      <c r="D190">
        <v>7</v>
      </c>
      <c r="E190" s="12">
        <v>11.208320000000001</v>
      </c>
      <c r="F190" s="12">
        <v>5.4230999999999998</v>
      </c>
      <c r="G190" s="12">
        <f t="shared" si="2"/>
        <v>8.3157099999999993</v>
      </c>
      <c r="I190">
        <v>0</v>
      </c>
    </row>
    <row r="191" spans="1:9" x14ac:dyDescent="0.25">
      <c r="A191" s="13">
        <v>45847</v>
      </c>
      <c r="B191">
        <v>2025</v>
      </c>
      <c r="C191">
        <v>190</v>
      </c>
      <c r="D191">
        <v>7.7</v>
      </c>
      <c r="E191" s="12">
        <v>13.678739999999999</v>
      </c>
      <c r="F191" s="12">
        <v>4.5184199999999999</v>
      </c>
      <c r="G191" s="12">
        <f t="shared" si="2"/>
        <v>9.0985800000000001</v>
      </c>
      <c r="I191">
        <v>0</v>
      </c>
    </row>
    <row r="192" spans="1:9" x14ac:dyDescent="0.25">
      <c r="A192" s="13">
        <v>45848</v>
      </c>
      <c r="B192">
        <v>2025</v>
      </c>
      <c r="C192">
        <v>191</v>
      </c>
      <c r="D192">
        <v>7.5</v>
      </c>
      <c r="E192" s="12">
        <v>12.1272</v>
      </c>
      <c r="F192" s="12">
        <v>6.8476299999999997</v>
      </c>
      <c r="G192" s="12">
        <f t="shared" si="2"/>
        <v>9.4874150000000004</v>
      </c>
      <c r="I192">
        <v>9.7999999999999989</v>
      </c>
    </row>
    <row r="193" spans="1:9" x14ac:dyDescent="0.25">
      <c r="A193" s="13">
        <v>45849</v>
      </c>
      <c r="B193">
        <v>2025</v>
      </c>
      <c r="C193">
        <v>192</v>
      </c>
      <c r="D193">
        <v>6.3</v>
      </c>
      <c r="E193" s="12">
        <v>11.57386</v>
      </c>
      <c r="F193" s="12">
        <v>5.7373900000000004</v>
      </c>
      <c r="G193" s="12">
        <f t="shared" si="2"/>
        <v>8.6556250000000006</v>
      </c>
      <c r="I193">
        <v>0.4</v>
      </c>
    </row>
    <row r="194" spans="1:9" x14ac:dyDescent="0.25">
      <c r="A194" s="13">
        <v>45850</v>
      </c>
      <c r="B194">
        <v>2025</v>
      </c>
      <c r="C194">
        <v>193</v>
      </c>
      <c r="D194">
        <v>10.1</v>
      </c>
      <c r="E194" s="12">
        <v>16.804480000000002</v>
      </c>
      <c r="F194" s="12">
        <v>3.0963099999999999</v>
      </c>
      <c r="G194" s="12">
        <f t="shared" si="2"/>
        <v>9.9503950000000003</v>
      </c>
      <c r="I194">
        <v>0.60000000000000009</v>
      </c>
    </row>
    <row r="195" spans="1:9" x14ac:dyDescent="0.25">
      <c r="A195" s="13">
        <v>45851</v>
      </c>
      <c r="B195">
        <v>2025</v>
      </c>
      <c r="C195">
        <v>194</v>
      </c>
      <c r="D195">
        <v>9.3000000000000007</v>
      </c>
      <c r="E195" s="12">
        <v>16.18627</v>
      </c>
      <c r="F195" s="12">
        <v>-2.8070000000000001E-2</v>
      </c>
      <c r="G195" s="12">
        <f t="shared" ref="G195:G258" si="3">(F195+E195)/2</f>
        <v>8.0791000000000004</v>
      </c>
      <c r="I195">
        <v>0.2</v>
      </c>
    </row>
    <row r="196" spans="1:9" x14ac:dyDescent="0.25">
      <c r="A196" s="13">
        <v>45852</v>
      </c>
      <c r="B196">
        <v>2025</v>
      </c>
      <c r="C196">
        <v>195</v>
      </c>
      <c r="D196">
        <v>10.6</v>
      </c>
      <c r="E196" s="12">
        <v>14.35064</v>
      </c>
      <c r="F196" s="12">
        <v>3.7030400000000001</v>
      </c>
      <c r="G196" s="12">
        <f t="shared" si="3"/>
        <v>9.02684</v>
      </c>
      <c r="I196">
        <v>0</v>
      </c>
    </row>
    <row r="197" spans="1:9" x14ac:dyDescent="0.25">
      <c r="A197" s="13">
        <v>45853</v>
      </c>
      <c r="B197">
        <v>2025</v>
      </c>
      <c r="C197">
        <v>196</v>
      </c>
      <c r="D197">
        <v>10</v>
      </c>
      <c r="E197" s="12">
        <v>14.386799999999999</v>
      </c>
      <c r="F197" s="12">
        <v>5.0297200000000002</v>
      </c>
      <c r="G197" s="12">
        <f t="shared" si="3"/>
        <v>9.7082599999999992</v>
      </c>
      <c r="I197">
        <v>0</v>
      </c>
    </row>
    <row r="198" spans="1:9" x14ac:dyDescent="0.25">
      <c r="A198" s="13">
        <v>45854</v>
      </c>
      <c r="B198">
        <v>2025</v>
      </c>
      <c r="C198">
        <v>197</v>
      </c>
      <c r="D198">
        <v>11.1</v>
      </c>
      <c r="E198" s="12">
        <v>12.751620000000001</v>
      </c>
      <c r="F198" s="12">
        <v>0.62502999999999997</v>
      </c>
      <c r="G198" s="12">
        <f t="shared" si="3"/>
        <v>6.6883250000000007</v>
      </c>
      <c r="I198">
        <v>0.2</v>
      </c>
    </row>
    <row r="199" spans="1:9" x14ac:dyDescent="0.25">
      <c r="A199" s="13">
        <v>45855</v>
      </c>
      <c r="B199">
        <v>2025</v>
      </c>
      <c r="C199">
        <v>198</v>
      </c>
      <c r="D199">
        <v>11.2</v>
      </c>
      <c r="E199" s="12">
        <v>13.0587</v>
      </c>
      <c r="F199" s="12">
        <v>2.3081999999999998</v>
      </c>
      <c r="G199" s="12">
        <f t="shared" si="3"/>
        <v>7.6834499999999997</v>
      </c>
      <c r="I199">
        <v>0</v>
      </c>
    </row>
    <row r="200" spans="1:9" x14ac:dyDescent="0.25">
      <c r="A200" s="13">
        <v>45856</v>
      </c>
      <c r="B200">
        <v>2025</v>
      </c>
      <c r="C200">
        <v>199</v>
      </c>
      <c r="D200">
        <v>11.6</v>
      </c>
      <c r="E200" s="12">
        <v>14.762499999999999</v>
      </c>
      <c r="F200" s="12">
        <v>-6.1670000000000003E-2</v>
      </c>
      <c r="G200" s="12">
        <f t="shared" si="3"/>
        <v>7.3504149999999999</v>
      </c>
      <c r="I200">
        <v>0.4</v>
      </c>
    </row>
    <row r="201" spans="1:9" x14ac:dyDescent="0.25">
      <c r="A201" s="13">
        <v>45857</v>
      </c>
      <c r="B201">
        <v>2025</v>
      </c>
      <c r="C201">
        <v>200</v>
      </c>
      <c r="D201">
        <v>11.6</v>
      </c>
      <c r="E201" s="12">
        <v>14.91408</v>
      </c>
      <c r="F201" s="12">
        <v>-1.8024199999999999</v>
      </c>
      <c r="G201" s="12">
        <f t="shared" si="3"/>
        <v>6.5558300000000003</v>
      </c>
      <c r="I201">
        <v>0.2</v>
      </c>
    </row>
    <row r="202" spans="1:9" x14ac:dyDescent="0.25">
      <c r="A202" s="13">
        <v>45858</v>
      </c>
      <c r="B202">
        <v>2025</v>
      </c>
      <c r="C202">
        <v>201</v>
      </c>
      <c r="D202">
        <v>11.4</v>
      </c>
      <c r="E202" s="12">
        <v>16.028009999999998</v>
      </c>
      <c r="F202" s="12">
        <v>-0.85360999999999998</v>
      </c>
      <c r="G202" s="12">
        <f t="shared" si="3"/>
        <v>7.5871999999999993</v>
      </c>
      <c r="I202">
        <v>0</v>
      </c>
    </row>
    <row r="203" spans="1:9" x14ac:dyDescent="0.25">
      <c r="A203" s="13">
        <v>45859</v>
      </c>
      <c r="B203">
        <v>2025</v>
      </c>
      <c r="C203">
        <v>202</v>
      </c>
      <c r="D203">
        <v>11.8</v>
      </c>
      <c r="E203" s="12">
        <v>17.944649999999999</v>
      </c>
      <c r="F203" s="12">
        <v>-1.1372100000000001</v>
      </c>
      <c r="G203" s="12">
        <f t="shared" si="3"/>
        <v>8.4037199999999999</v>
      </c>
      <c r="I203">
        <v>0.2</v>
      </c>
    </row>
    <row r="204" spans="1:9" x14ac:dyDescent="0.25">
      <c r="A204" s="13">
        <v>45860</v>
      </c>
      <c r="B204">
        <v>2025</v>
      </c>
      <c r="C204">
        <v>203</v>
      </c>
      <c r="D204">
        <v>4.9000000000000004</v>
      </c>
      <c r="E204" s="12">
        <v>15.50244</v>
      </c>
      <c r="F204" s="12">
        <v>7.4091500000000003</v>
      </c>
      <c r="G204" s="12">
        <f t="shared" si="3"/>
        <v>11.455795</v>
      </c>
      <c r="I204">
        <v>5.6000000000000005</v>
      </c>
    </row>
    <row r="205" spans="1:9" x14ac:dyDescent="0.25">
      <c r="A205" s="13">
        <v>45861</v>
      </c>
      <c r="B205">
        <v>2025</v>
      </c>
      <c r="C205">
        <v>204</v>
      </c>
      <c r="D205">
        <v>11</v>
      </c>
      <c r="E205" s="12">
        <v>13.05579</v>
      </c>
      <c r="F205" s="12">
        <v>1.7460800000000001</v>
      </c>
      <c r="G205" s="12">
        <f t="shared" si="3"/>
        <v>7.4009350000000005</v>
      </c>
      <c r="I205">
        <v>0.2</v>
      </c>
    </row>
    <row r="206" spans="1:9" x14ac:dyDescent="0.25">
      <c r="A206" s="13">
        <v>45862</v>
      </c>
      <c r="B206">
        <v>2025</v>
      </c>
      <c r="C206">
        <v>205</v>
      </c>
      <c r="D206">
        <v>11.8</v>
      </c>
      <c r="E206" s="12">
        <v>14.99634</v>
      </c>
      <c r="F206" s="12">
        <v>-1.0704499999999999</v>
      </c>
      <c r="G206" s="12">
        <f t="shared" si="3"/>
        <v>6.9629450000000004</v>
      </c>
      <c r="I206">
        <v>0</v>
      </c>
    </row>
    <row r="207" spans="1:9" x14ac:dyDescent="0.25">
      <c r="A207" s="13">
        <v>45863</v>
      </c>
      <c r="B207">
        <v>2025</v>
      </c>
      <c r="C207">
        <v>206</v>
      </c>
      <c r="D207">
        <v>7.1</v>
      </c>
      <c r="E207" s="12">
        <v>10.155060000000001</v>
      </c>
      <c r="F207" s="12">
        <v>-1.13036</v>
      </c>
      <c r="G207" s="12">
        <f t="shared" si="3"/>
        <v>4.5123500000000005</v>
      </c>
      <c r="I207">
        <v>2</v>
      </c>
    </row>
    <row r="208" spans="1:9" x14ac:dyDescent="0.25">
      <c r="A208" s="13">
        <v>45864</v>
      </c>
      <c r="B208">
        <v>2025</v>
      </c>
      <c r="C208">
        <v>207</v>
      </c>
      <c r="D208">
        <v>6.7</v>
      </c>
      <c r="E208" s="12">
        <v>11.882960000000001</v>
      </c>
      <c r="F208" s="12">
        <v>7.39398</v>
      </c>
      <c r="G208" s="12">
        <f t="shared" si="3"/>
        <v>9.6384699999999999</v>
      </c>
      <c r="I208">
        <v>7.6</v>
      </c>
    </row>
    <row r="209" spans="1:9" x14ac:dyDescent="0.25">
      <c r="A209" s="13">
        <v>45865</v>
      </c>
      <c r="B209">
        <v>2025</v>
      </c>
      <c r="C209">
        <v>208</v>
      </c>
      <c r="D209">
        <v>7.9</v>
      </c>
      <c r="E209" s="12">
        <v>12.23532</v>
      </c>
      <c r="F209" s="12">
        <v>9.2067700000000006</v>
      </c>
      <c r="G209" s="12">
        <f t="shared" si="3"/>
        <v>10.721045</v>
      </c>
      <c r="I209">
        <v>3.0000000000000004</v>
      </c>
    </row>
    <row r="210" spans="1:9" x14ac:dyDescent="0.25">
      <c r="A210" s="13">
        <v>45866</v>
      </c>
      <c r="B210">
        <v>2025</v>
      </c>
      <c r="C210">
        <v>209</v>
      </c>
      <c r="D210">
        <v>7.1</v>
      </c>
      <c r="E210" s="12">
        <v>11.58413</v>
      </c>
      <c r="F210" s="12">
        <v>8.4282299999999992</v>
      </c>
      <c r="G210" s="12">
        <f t="shared" si="3"/>
        <v>10.006180000000001</v>
      </c>
      <c r="I210">
        <v>6.2</v>
      </c>
    </row>
    <row r="211" spans="1:9" x14ac:dyDescent="0.25">
      <c r="A211" s="13">
        <v>45867</v>
      </c>
      <c r="B211">
        <v>2025</v>
      </c>
      <c r="C211">
        <v>210</v>
      </c>
      <c r="D211">
        <v>8</v>
      </c>
      <c r="E211" s="12">
        <v>12.28059</v>
      </c>
      <c r="F211" s="12">
        <v>6.2857900000000004</v>
      </c>
      <c r="G211" s="12">
        <f t="shared" si="3"/>
        <v>9.2831900000000012</v>
      </c>
      <c r="I211">
        <v>0</v>
      </c>
    </row>
    <row r="212" spans="1:9" x14ac:dyDescent="0.25">
      <c r="A212" s="13">
        <v>45868</v>
      </c>
      <c r="B212">
        <v>2025</v>
      </c>
      <c r="C212">
        <v>211</v>
      </c>
      <c r="D212">
        <v>9.1</v>
      </c>
      <c r="E212" s="12">
        <v>11.94003</v>
      </c>
      <c r="F212" s="12">
        <v>4.7565</v>
      </c>
      <c r="G212" s="12">
        <f t="shared" si="3"/>
        <v>8.3482649999999996</v>
      </c>
      <c r="I212">
        <v>0.2</v>
      </c>
    </row>
    <row r="213" spans="1:9" x14ac:dyDescent="0.25">
      <c r="A213" s="13">
        <v>45869</v>
      </c>
      <c r="B213">
        <v>2025</v>
      </c>
      <c r="C213">
        <v>212</v>
      </c>
      <c r="D213">
        <v>12.8</v>
      </c>
      <c r="E213" s="12">
        <v>19.128679999999999</v>
      </c>
      <c r="F213" s="12">
        <v>-0.49519999999999997</v>
      </c>
      <c r="G213" s="12">
        <f t="shared" si="3"/>
        <v>9.3167399999999994</v>
      </c>
      <c r="I213">
        <v>0.2</v>
      </c>
    </row>
    <row r="214" spans="1:9" x14ac:dyDescent="0.25">
      <c r="A214" s="13">
        <v>45870</v>
      </c>
      <c r="B214">
        <v>2025</v>
      </c>
      <c r="C214">
        <v>213</v>
      </c>
      <c r="D214">
        <v>12.3</v>
      </c>
      <c r="E214" s="12">
        <v>18.210170000000002</v>
      </c>
      <c r="F214" s="12">
        <v>-1.10297</v>
      </c>
      <c r="G214" s="12">
        <f t="shared" si="3"/>
        <v>8.5536000000000012</v>
      </c>
      <c r="I214">
        <v>0</v>
      </c>
    </row>
    <row r="215" spans="1:9" x14ac:dyDescent="0.25">
      <c r="A215" s="13">
        <v>45871</v>
      </c>
      <c r="B215">
        <v>2025</v>
      </c>
      <c r="C215">
        <v>214</v>
      </c>
      <c r="D215">
        <v>12</v>
      </c>
      <c r="E215" s="12">
        <v>18.177160000000001</v>
      </c>
      <c r="F215" s="12">
        <v>3.07552</v>
      </c>
      <c r="G215" s="12">
        <f t="shared" si="3"/>
        <v>10.626340000000001</v>
      </c>
      <c r="I215">
        <v>0.2</v>
      </c>
    </row>
    <row r="216" spans="1:9" x14ac:dyDescent="0.25">
      <c r="A216" s="13">
        <v>45872</v>
      </c>
      <c r="B216">
        <v>2025</v>
      </c>
      <c r="C216">
        <v>215</v>
      </c>
      <c r="D216">
        <v>13.1</v>
      </c>
      <c r="E216" s="12">
        <v>23.319420000000001</v>
      </c>
      <c r="F216" s="12">
        <v>-0.51551999999999998</v>
      </c>
      <c r="G216" s="12">
        <f t="shared" si="3"/>
        <v>11.401950000000001</v>
      </c>
      <c r="I216">
        <v>0</v>
      </c>
    </row>
    <row r="217" spans="1:9" x14ac:dyDescent="0.25">
      <c r="A217" s="13">
        <v>45873</v>
      </c>
      <c r="B217">
        <v>2025</v>
      </c>
      <c r="C217">
        <v>216</v>
      </c>
      <c r="D217">
        <v>13.2</v>
      </c>
      <c r="E217" s="12">
        <v>19.740279999999998</v>
      </c>
      <c r="F217" s="12">
        <v>0.64163999999999999</v>
      </c>
      <c r="G217" s="12">
        <f t="shared" si="3"/>
        <v>10.190959999999999</v>
      </c>
      <c r="I217">
        <v>0.2</v>
      </c>
    </row>
    <row r="218" spans="1:9" x14ac:dyDescent="0.25">
      <c r="A218" s="13">
        <v>45874</v>
      </c>
      <c r="B218">
        <v>2025</v>
      </c>
      <c r="C218">
        <v>217</v>
      </c>
      <c r="D218">
        <v>13.2</v>
      </c>
      <c r="E218" s="12">
        <v>18.887560000000001</v>
      </c>
      <c r="F218" s="12">
        <v>2.9906799999999998</v>
      </c>
      <c r="G218" s="12">
        <f t="shared" si="3"/>
        <v>10.939120000000001</v>
      </c>
      <c r="I218">
        <v>0</v>
      </c>
    </row>
    <row r="219" spans="1:9" x14ac:dyDescent="0.25">
      <c r="A219" s="13">
        <v>45875</v>
      </c>
      <c r="B219">
        <v>2025</v>
      </c>
      <c r="C219">
        <v>218</v>
      </c>
      <c r="D219">
        <v>11.7</v>
      </c>
      <c r="E219" s="12">
        <v>17.91882</v>
      </c>
      <c r="F219" s="12">
        <v>0.22667999999999999</v>
      </c>
      <c r="G219" s="12">
        <f t="shared" si="3"/>
        <v>9.0727499999999992</v>
      </c>
      <c r="I219">
        <v>0.2</v>
      </c>
    </row>
    <row r="220" spans="1:9" x14ac:dyDescent="0.25">
      <c r="A220" s="13">
        <v>45876</v>
      </c>
      <c r="B220">
        <v>2025</v>
      </c>
      <c r="C220">
        <v>219</v>
      </c>
      <c r="D220">
        <v>12.5</v>
      </c>
      <c r="E220" s="12">
        <v>19.454540000000001</v>
      </c>
      <c r="F220" s="12">
        <v>0.18318000000000001</v>
      </c>
      <c r="G220" s="12">
        <f t="shared" si="3"/>
        <v>9.8188600000000008</v>
      </c>
      <c r="I220">
        <v>0.4</v>
      </c>
    </row>
    <row r="221" spans="1:9" x14ac:dyDescent="0.25">
      <c r="A221" s="13">
        <v>45877</v>
      </c>
      <c r="B221">
        <v>2025</v>
      </c>
      <c r="C221">
        <v>220</v>
      </c>
      <c r="D221">
        <v>13.4</v>
      </c>
      <c r="E221" s="12">
        <v>18.723949999999999</v>
      </c>
      <c r="F221" s="12">
        <v>-0.69025999999999998</v>
      </c>
      <c r="G221" s="12">
        <f t="shared" si="3"/>
        <v>9.016845</v>
      </c>
      <c r="I221">
        <v>0.2</v>
      </c>
    </row>
    <row r="222" spans="1:9" x14ac:dyDescent="0.25">
      <c r="A222" s="13">
        <v>45878</v>
      </c>
      <c r="B222">
        <v>2025</v>
      </c>
      <c r="C222">
        <v>221</v>
      </c>
      <c r="D222">
        <v>13.5</v>
      </c>
      <c r="E222" s="12">
        <v>19.859480000000001</v>
      </c>
      <c r="F222" s="12">
        <v>-0.14071</v>
      </c>
      <c r="G222" s="12">
        <f t="shared" si="3"/>
        <v>9.8593850000000014</v>
      </c>
      <c r="I222">
        <v>0</v>
      </c>
    </row>
    <row r="223" spans="1:9" x14ac:dyDescent="0.25">
      <c r="A223" s="13">
        <v>45879</v>
      </c>
      <c r="B223">
        <v>2025</v>
      </c>
      <c r="C223">
        <v>222</v>
      </c>
      <c r="D223">
        <v>13.9</v>
      </c>
      <c r="E223" s="12">
        <v>20.575089999999999</v>
      </c>
      <c r="F223" s="12">
        <v>-0.51212999999999997</v>
      </c>
      <c r="G223" s="12">
        <f t="shared" si="3"/>
        <v>10.03148</v>
      </c>
      <c r="I223">
        <v>0.2</v>
      </c>
    </row>
    <row r="224" spans="1:9" x14ac:dyDescent="0.25">
      <c r="A224" s="13">
        <v>45880</v>
      </c>
      <c r="B224">
        <v>2025</v>
      </c>
      <c r="C224">
        <v>223</v>
      </c>
      <c r="D224">
        <v>14</v>
      </c>
      <c r="E224" s="12">
        <v>20.898700000000002</v>
      </c>
      <c r="F224" s="12">
        <v>-0.82806000000000002</v>
      </c>
      <c r="G224" s="12">
        <f t="shared" si="3"/>
        <v>10.03532</v>
      </c>
      <c r="I224">
        <v>0</v>
      </c>
    </row>
    <row r="225" spans="1:9" x14ac:dyDescent="0.25">
      <c r="A225" s="13">
        <v>45881</v>
      </c>
      <c r="B225">
        <v>2025</v>
      </c>
      <c r="C225">
        <v>224</v>
      </c>
      <c r="D225">
        <v>14.2</v>
      </c>
      <c r="E225" s="12">
        <v>21.281549999999999</v>
      </c>
      <c r="F225" s="12">
        <v>-1.7452300000000001</v>
      </c>
      <c r="G225" s="12">
        <f t="shared" si="3"/>
        <v>9.76816</v>
      </c>
      <c r="I225">
        <v>0.2</v>
      </c>
    </row>
    <row r="226" spans="1:9" x14ac:dyDescent="0.25">
      <c r="A226" s="13">
        <v>45882</v>
      </c>
      <c r="B226">
        <v>2025</v>
      </c>
      <c r="C226">
        <v>225</v>
      </c>
      <c r="D226">
        <v>8.5</v>
      </c>
      <c r="E226" s="12">
        <v>15.986269999999999</v>
      </c>
      <c r="F226" s="12">
        <v>4.2276499999999997</v>
      </c>
      <c r="G226" s="12">
        <f t="shared" si="3"/>
        <v>10.106959999999999</v>
      </c>
      <c r="I226">
        <v>4.0000000000000009</v>
      </c>
    </row>
    <row r="227" spans="1:9" x14ac:dyDescent="0.25">
      <c r="A227" s="13">
        <v>45883</v>
      </c>
      <c r="B227">
        <v>2025</v>
      </c>
      <c r="C227">
        <v>226</v>
      </c>
      <c r="D227">
        <v>14.4</v>
      </c>
      <c r="E227" s="12">
        <v>21.93871</v>
      </c>
      <c r="F227" s="12">
        <v>1.62032</v>
      </c>
      <c r="G227" s="12">
        <f t="shared" si="3"/>
        <v>11.779515</v>
      </c>
      <c r="I227">
        <v>0.2</v>
      </c>
    </row>
    <row r="228" spans="1:9" x14ac:dyDescent="0.25">
      <c r="A228" s="13">
        <v>45884</v>
      </c>
      <c r="B228">
        <v>2025</v>
      </c>
      <c r="C228">
        <v>227</v>
      </c>
      <c r="D228">
        <v>12.8</v>
      </c>
      <c r="E228" s="12">
        <v>15.96612</v>
      </c>
      <c r="F228" s="12">
        <v>-1.4774099999999999</v>
      </c>
      <c r="G228" s="12">
        <f t="shared" si="3"/>
        <v>7.2443550000000005</v>
      </c>
      <c r="I228">
        <v>0.2</v>
      </c>
    </row>
    <row r="229" spans="1:9" x14ac:dyDescent="0.25">
      <c r="A229" s="13">
        <v>45885</v>
      </c>
      <c r="B229">
        <v>2025</v>
      </c>
      <c r="C229">
        <v>228</v>
      </c>
      <c r="D229">
        <v>13.1</v>
      </c>
      <c r="E229" s="12">
        <v>11.87125</v>
      </c>
      <c r="F229" s="12">
        <v>-0.67327000000000004</v>
      </c>
      <c r="G229" s="12">
        <f t="shared" si="3"/>
        <v>5.5989899999999997</v>
      </c>
      <c r="I229">
        <v>4.8</v>
      </c>
    </row>
    <row r="230" spans="1:9" x14ac:dyDescent="0.25">
      <c r="A230" s="13">
        <v>45886</v>
      </c>
      <c r="B230">
        <v>2025</v>
      </c>
      <c r="C230">
        <v>229</v>
      </c>
      <c r="D230">
        <v>12.3</v>
      </c>
      <c r="E230" s="12">
        <v>12.395899999999999</v>
      </c>
      <c r="F230" s="12">
        <v>-2.4672700000000001</v>
      </c>
      <c r="G230" s="12">
        <f t="shared" si="3"/>
        <v>4.9643149999999991</v>
      </c>
      <c r="I230">
        <v>0.60000000000000009</v>
      </c>
    </row>
    <row r="231" spans="1:9" x14ac:dyDescent="0.25">
      <c r="A231" s="13">
        <v>45887</v>
      </c>
      <c r="B231">
        <v>2025</v>
      </c>
      <c r="C231">
        <v>230</v>
      </c>
      <c r="D231">
        <v>15</v>
      </c>
      <c r="E231" s="12">
        <v>18.517289999999999</v>
      </c>
      <c r="F231" s="12">
        <v>-1.21435</v>
      </c>
      <c r="G231" s="12">
        <f t="shared" si="3"/>
        <v>8.6514699999999998</v>
      </c>
      <c r="I231">
        <v>0.2</v>
      </c>
    </row>
    <row r="232" spans="1:9" x14ac:dyDescent="0.25">
      <c r="A232" s="13">
        <v>45888</v>
      </c>
      <c r="B232">
        <v>2025</v>
      </c>
      <c r="C232">
        <v>231</v>
      </c>
      <c r="D232">
        <v>15</v>
      </c>
      <c r="E232" s="12">
        <v>19.484690000000001</v>
      </c>
      <c r="F232" s="12">
        <v>-2.1835399999999998</v>
      </c>
      <c r="G232" s="12">
        <f t="shared" si="3"/>
        <v>8.6505749999999999</v>
      </c>
      <c r="I232">
        <v>0.2</v>
      </c>
    </row>
    <row r="233" spans="1:9" x14ac:dyDescent="0.25">
      <c r="A233" s="13">
        <v>45889</v>
      </c>
      <c r="B233">
        <v>2025</v>
      </c>
      <c r="C233">
        <v>232</v>
      </c>
      <c r="D233">
        <v>14.4</v>
      </c>
      <c r="E233" s="12">
        <v>19.05979</v>
      </c>
      <c r="F233" s="12">
        <v>0.44201000000000001</v>
      </c>
      <c r="G233" s="12">
        <f t="shared" si="3"/>
        <v>9.7508999999999997</v>
      </c>
      <c r="I233">
        <v>0</v>
      </c>
    </row>
    <row r="234" spans="1:9" x14ac:dyDescent="0.25">
      <c r="A234" s="13">
        <v>45890</v>
      </c>
      <c r="B234">
        <v>2025</v>
      </c>
      <c r="C234">
        <v>233</v>
      </c>
      <c r="D234">
        <v>11.3</v>
      </c>
      <c r="E234" s="12">
        <v>18.735430000000001</v>
      </c>
      <c r="F234" s="12">
        <v>7.8527500000000003</v>
      </c>
      <c r="G234" s="12">
        <f t="shared" si="3"/>
        <v>13.294090000000001</v>
      </c>
      <c r="I234">
        <v>0.2</v>
      </c>
    </row>
    <row r="235" spans="1:9" x14ac:dyDescent="0.25">
      <c r="A235" s="13">
        <v>45891</v>
      </c>
      <c r="B235">
        <v>2025</v>
      </c>
      <c r="C235">
        <v>234</v>
      </c>
      <c r="D235">
        <v>14.7</v>
      </c>
      <c r="E235" s="12">
        <v>20.6096</v>
      </c>
      <c r="F235" s="12">
        <v>1.7738100000000001</v>
      </c>
      <c r="G235" s="12">
        <f t="shared" si="3"/>
        <v>11.191705000000001</v>
      </c>
      <c r="I235">
        <v>8</v>
      </c>
    </row>
    <row r="236" spans="1:9" x14ac:dyDescent="0.25">
      <c r="A236" s="13">
        <v>45892</v>
      </c>
      <c r="B236">
        <v>2025</v>
      </c>
      <c r="C236">
        <v>235</v>
      </c>
      <c r="D236">
        <v>15.3</v>
      </c>
      <c r="E236" s="12">
        <v>20.579409999999999</v>
      </c>
      <c r="F236" s="12">
        <v>1.72976</v>
      </c>
      <c r="G236" s="12">
        <f t="shared" si="3"/>
        <v>11.154584999999999</v>
      </c>
      <c r="I236">
        <v>0.2</v>
      </c>
    </row>
    <row r="237" spans="1:9" x14ac:dyDescent="0.25">
      <c r="A237" s="13">
        <v>45893</v>
      </c>
      <c r="B237">
        <v>2025</v>
      </c>
      <c r="C237">
        <v>236</v>
      </c>
      <c r="D237">
        <v>15.9</v>
      </c>
      <c r="E237" s="12">
        <v>18.94209</v>
      </c>
      <c r="F237" s="12">
        <v>-0.53754000000000002</v>
      </c>
      <c r="G237" s="12">
        <f t="shared" si="3"/>
        <v>9.2022750000000002</v>
      </c>
      <c r="I237">
        <v>0</v>
      </c>
    </row>
    <row r="238" spans="1:9" x14ac:dyDescent="0.25">
      <c r="A238" s="13">
        <v>45894</v>
      </c>
      <c r="B238">
        <v>2025</v>
      </c>
      <c r="C238">
        <v>237</v>
      </c>
      <c r="D238">
        <v>16.100000000000001</v>
      </c>
      <c r="E238" s="12">
        <v>23.370149999999999</v>
      </c>
      <c r="F238" s="12">
        <v>-1.1355</v>
      </c>
      <c r="G238" s="12">
        <f t="shared" si="3"/>
        <v>11.117324999999999</v>
      </c>
      <c r="I238">
        <v>0.2</v>
      </c>
    </row>
    <row r="239" spans="1:9" x14ac:dyDescent="0.25">
      <c r="A239" s="13">
        <v>45895</v>
      </c>
      <c r="B239">
        <v>2025</v>
      </c>
      <c r="C239">
        <v>238</v>
      </c>
      <c r="D239">
        <v>10.5</v>
      </c>
      <c r="E239" s="12">
        <v>19.460290000000001</v>
      </c>
      <c r="F239" s="12">
        <v>2.6921300000000001</v>
      </c>
      <c r="G239" s="12">
        <f t="shared" si="3"/>
        <v>11.07621</v>
      </c>
      <c r="I239">
        <v>0</v>
      </c>
    </row>
    <row r="240" spans="1:9" x14ac:dyDescent="0.25">
      <c r="A240" s="13">
        <v>45896</v>
      </c>
      <c r="B240">
        <v>2025</v>
      </c>
      <c r="C240">
        <v>239</v>
      </c>
      <c r="D240">
        <v>12.3</v>
      </c>
      <c r="E240" s="12">
        <v>16.854769999999998</v>
      </c>
      <c r="F240" s="12">
        <v>8.5258400000000005</v>
      </c>
      <c r="G240" s="12">
        <f t="shared" si="3"/>
        <v>12.690304999999999</v>
      </c>
      <c r="I240">
        <v>6.8000000000000016</v>
      </c>
    </row>
    <row r="241" spans="1:9" x14ac:dyDescent="0.25">
      <c r="A241" s="13">
        <v>45897</v>
      </c>
      <c r="B241">
        <v>2025</v>
      </c>
      <c r="C241">
        <v>240</v>
      </c>
      <c r="D241">
        <v>13.4</v>
      </c>
      <c r="E241" s="12">
        <v>15.485150000000001</v>
      </c>
      <c r="F241" s="12">
        <v>5.5641299999999996</v>
      </c>
      <c r="G241" s="12">
        <f t="shared" si="3"/>
        <v>10.52464</v>
      </c>
      <c r="I241">
        <v>0.2</v>
      </c>
    </row>
    <row r="242" spans="1:9" x14ac:dyDescent="0.25">
      <c r="A242" s="13">
        <v>45898</v>
      </c>
      <c r="B242">
        <v>2025</v>
      </c>
      <c r="C242">
        <v>241</v>
      </c>
      <c r="D242">
        <v>14</v>
      </c>
      <c r="E242" s="12">
        <v>16.953900000000001</v>
      </c>
      <c r="F242" s="12">
        <v>5.1185099999999997</v>
      </c>
      <c r="G242" s="12">
        <f t="shared" si="3"/>
        <v>11.036205000000001</v>
      </c>
      <c r="I242">
        <v>5.4</v>
      </c>
    </row>
    <row r="243" spans="1:9" x14ac:dyDescent="0.25">
      <c r="A243" s="13">
        <v>45899</v>
      </c>
      <c r="B243">
        <v>2025</v>
      </c>
      <c r="C243">
        <v>242</v>
      </c>
      <c r="D243">
        <v>16.7</v>
      </c>
      <c r="E243" s="12">
        <v>13.98161</v>
      </c>
      <c r="F243" s="12">
        <v>3.3501400000000001</v>
      </c>
      <c r="G243" s="12">
        <f t="shared" si="3"/>
        <v>8.6658749999999998</v>
      </c>
      <c r="I243">
        <v>1.7999999999999998</v>
      </c>
    </row>
    <row r="244" spans="1:9" x14ac:dyDescent="0.25">
      <c r="A244" s="13">
        <v>45900</v>
      </c>
      <c r="B244">
        <v>2025</v>
      </c>
      <c r="C244">
        <v>243</v>
      </c>
      <c r="D244">
        <v>12.8</v>
      </c>
      <c r="E244" s="12">
        <v>14.66573</v>
      </c>
      <c r="F244" s="12">
        <v>-1.3672200000000001</v>
      </c>
      <c r="G244" s="12">
        <f t="shared" si="3"/>
        <v>6.6492550000000001</v>
      </c>
      <c r="I244">
        <v>0</v>
      </c>
    </row>
    <row r="245" spans="1:9" x14ac:dyDescent="0.25">
      <c r="A245" s="13">
        <v>45901</v>
      </c>
      <c r="B245">
        <v>2025</v>
      </c>
      <c r="C245">
        <v>244</v>
      </c>
      <c r="D245">
        <v>14.9</v>
      </c>
      <c r="E245" s="12">
        <v>16.951029999999999</v>
      </c>
      <c r="F245" s="12">
        <v>-0.30754999999999999</v>
      </c>
      <c r="G245" s="12">
        <f t="shared" si="3"/>
        <v>8.3217400000000001</v>
      </c>
      <c r="I245">
        <v>0.2</v>
      </c>
    </row>
    <row r="246" spans="1:9" x14ac:dyDescent="0.25">
      <c r="A246" s="13">
        <v>45902</v>
      </c>
      <c r="B246">
        <v>2025</v>
      </c>
      <c r="C246">
        <v>245</v>
      </c>
      <c r="D246">
        <v>14.8</v>
      </c>
      <c r="E246" s="12">
        <v>18.514420000000001</v>
      </c>
      <c r="F246" s="12">
        <v>-1.8857200000000001</v>
      </c>
      <c r="G246" s="12">
        <f t="shared" si="3"/>
        <v>8.314350000000001</v>
      </c>
      <c r="I246">
        <v>0.2</v>
      </c>
    </row>
    <row r="247" spans="1:9" x14ac:dyDescent="0.25">
      <c r="A247" s="13">
        <v>45903</v>
      </c>
      <c r="B247">
        <v>2025</v>
      </c>
      <c r="C247">
        <v>246</v>
      </c>
      <c r="D247">
        <v>16.399999999999999</v>
      </c>
      <c r="E247" s="12">
        <v>20.832519999999999</v>
      </c>
      <c r="F247" s="12">
        <v>-1.4188400000000001</v>
      </c>
      <c r="G247" s="12">
        <f t="shared" si="3"/>
        <v>9.7068399999999997</v>
      </c>
      <c r="I247">
        <v>0.2</v>
      </c>
    </row>
    <row r="248" spans="1:9" x14ac:dyDescent="0.25">
      <c r="A248" s="13">
        <v>45904</v>
      </c>
      <c r="B248">
        <v>2025</v>
      </c>
      <c r="C248">
        <v>247</v>
      </c>
      <c r="D248">
        <v>14.9</v>
      </c>
      <c r="E248" s="12">
        <v>18.812930000000001</v>
      </c>
      <c r="F248" s="12">
        <v>2.0926900000000002</v>
      </c>
      <c r="G248" s="12">
        <f t="shared" si="3"/>
        <v>10.452810000000001</v>
      </c>
      <c r="I248">
        <v>0</v>
      </c>
    </row>
    <row r="249" spans="1:9" x14ac:dyDescent="0.25">
      <c r="A249" s="13">
        <v>45905</v>
      </c>
      <c r="B249">
        <v>2025</v>
      </c>
      <c r="C249">
        <v>248</v>
      </c>
      <c r="D249">
        <v>17.8</v>
      </c>
      <c r="E249" s="12">
        <v>20.559280000000001</v>
      </c>
      <c r="F249" s="12">
        <v>-1.8944000000000001</v>
      </c>
      <c r="G249" s="12">
        <f t="shared" si="3"/>
        <v>9.3324400000000001</v>
      </c>
      <c r="I249">
        <v>0</v>
      </c>
    </row>
    <row r="250" spans="1:9" x14ac:dyDescent="0.25">
      <c r="A250" s="13">
        <v>45906</v>
      </c>
      <c r="B250">
        <v>2025</v>
      </c>
      <c r="C250">
        <v>249</v>
      </c>
      <c r="D250">
        <v>17.899999999999999</v>
      </c>
      <c r="E250" s="12">
        <v>22.594249999999999</v>
      </c>
      <c r="F250" s="12">
        <v>-0.12725</v>
      </c>
      <c r="G250" s="12">
        <f t="shared" si="3"/>
        <v>11.233499999999999</v>
      </c>
      <c r="I250">
        <v>0</v>
      </c>
    </row>
    <row r="251" spans="1:9" x14ac:dyDescent="0.25">
      <c r="A251" s="13">
        <v>45907</v>
      </c>
      <c r="B251">
        <v>2025</v>
      </c>
      <c r="C251">
        <v>250</v>
      </c>
      <c r="D251">
        <v>9.8000000000000007</v>
      </c>
      <c r="E251" s="12">
        <v>20.26605</v>
      </c>
      <c r="F251" s="12">
        <v>3.7664399999999998</v>
      </c>
      <c r="G251" s="12">
        <f t="shared" si="3"/>
        <v>12.016245</v>
      </c>
      <c r="I251">
        <v>0.6</v>
      </c>
    </row>
    <row r="252" spans="1:9" x14ac:dyDescent="0.25">
      <c r="A252" s="13">
        <v>45908</v>
      </c>
      <c r="B252">
        <v>2025</v>
      </c>
      <c r="C252">
        <v>251</v>
      </c>
      <c r="D252">
        <v>17.399999999999999</v>
      </c>
      <c r="E252" s="12">
        <v>25.209050000000001</v>
      </c>
      <c r="F252" s="12">
        <v>9.8229399999999991</v>
      </c>
      <c r="G252" s="12">
        <f t="shared" si="3"/>
        <v>17.515995</v>
      </c>
      <c r="I252">
        <v>0.2</v>
      </c>
    </row>
    <row r="253" spans="1:9" x14ac:dyDescent="0.25">
      <c r="A253" s="13">
        <v>45909</v>
      </c>
      <c r="B253">
        <v>2025</v>
      </c>
      <c r="C253">
        <v>252</v>
      </c>
      <c r="D253">
        <v>14.5</v>
      </c>
      <c r="E253" s="12">
        <v>22.222989999999999</v>
      </c>
      <c r="F253" s="12">
        <v>4.8221600000000002</v>
      </c>
      <c r="G253" s="12">
        <f t="shared" si="3"/>
        <v>13.522575</v>
      </c>
      <c r="I253">
        <v>0</v>
      </c>
    </row>
    <row r="254" spans="1:9" x14ac:dyDescent="0.25">
      <c r="A254" s="13">
        <v>45910</v>
      </c>
      <c r="B254">
        <v>2025</v>
      </c>
      <c r="C254">
        <v>253</v>
      </c>
      <c r="D254">
        <v>5.0999999999999996</v>
      </c>
      <c r="E254" s="12">
        <v>14.03664</v>
      </c>
      <c r="F254" s="12">
        <v>2.8624299999999998</v>
      </c>
      <c r="G254" s="12">
        <f t="shared" si="3"/>
        <v>8.4495350000000009</v>
      </c>
      <c r="I254">
        <v>42.8</v>
      </c>
    </row>
    <row r="255" spans="1:9" x14ac:dyDescent="0.25">
      <c r="A255" s="13">
        <v>45911</v>
      </c>
      <c r="B255">
        <v>2025</v>
      </c>
      <c r="C255">
        <v>254</v>
      </c>
      <c r="D255">
        <v>17.7</v>
      </c>
      <c r="E255" s="12">
        <v>18.96649</v>
      </c>
      <c r="F255" s="12">
        <v>5.9627100000000004</v>
      </c>
      <c r="G255" s="12">
        <f t="shared" si="3"/>
        <v>12.464600000000001</v>
      </c>
      <c r="I255">
        <v>0</v>
      </c>
    </row>
    <row r="256" spans="1:9" x14ac:dyDescent="0.25">
      <c r="A256" s="13">
        <v>45912</v>
      </c>
      <c r="B256">
        <v>2025</v>
      </c>
      <c r="C256">
        <v>255</v>
      </c>
      <c r="D256">
        <v>18.7</v>
      </c>
      <c r="E256" s="12">
        <v>17.482420000000001</v>
      </c>
      <c r="F256" s="12">
        <v>-0.16091</v>
      </c>
      <c r="G256" s="12">
        <f t="shared" si="3"/>
        <v>8.660755</v>
      </c>
      <c r="I256">
        <v>0</v>
      </c>
    </row>
    <row r="257" spans="1:9" x14ac:dyDescent="0.25">
      <c r="A257" s="13">
        <v>45913</v>
      </c>
      <c r="B257">
        <v>2025</v>
      </c>
      <c r="C257">
        <v>256</v>
      </c>
      <c r="D257">
        <v>18.5</v>
      </c>
      <c r="E257" s="12">
        <v>20.631170000000001</v>
      </c>
      <c r="F257" s="12">
        <v>4.2430000000000002E-2</v>
      </c>
      <c r="G257" s="12">
        <f t="shared" si="3"/>
        <v>10.3368</v>
      </c>
      <c r="I257">
        <v>0.2</v>
      </c>
    </row>
    <row r="258" spans="1:9" x14ac:dyDescent="0.25">
      <c r="A258" s="13">
        <v>45914</v>
      </c>
      <c r="B258">
        <v>2025</v>
      </c>
      <c r="C258">
        <v>257</v>
      </c>
      <c r="D258">
        <v>15.5</v>
      </c>
      <c r="E258" s="12">
        <v>21.219629999999999</v>
      </c>
      <c r="F258" s="12">
        <v>0.89188999999999996</v>
      </c>
      <c r="G258" s="12">
        <f t="shared" si="3"/>
        <v>11.055759999999999</v>
      </c>
      <c r="I258">
        <v>0</v>
      </c>
    </row>
    <row r="259" spans="1:9" x14ac:dyDescent="0.25">
      <c r="A259" s="13">
        <v>45915</v>
      </c>
      <c r="B259">
        <v>2025</v>
      </c>
      <c r="C259">
        <v>258</v>
      </c>
      <c r="D259">
        <v>19.7</v>
      </c>
      <c r="E259" s="12">
        <v>23.879580000000001</v>
      </c>
      <c r="F259" s="12">
        <v>0.37866</v>
      </c>
      <c r="G259" s="12">
        <f t="shared" ref="G259:G322" si="4">(F259+E259)/2</f>
        <v>12.12912</v>
      </c>
      <c r="I259">
        <v>0.2</v>
      </c>
    </row>
    <row r="260" spans="1:9" x14ac:dyDescent="0.25">
      <c r="A260" s="13">
        <v>45916</v>
      </c>
      <c r="B260">
        <v>2025</v>
      </c>
      <c r="C260">
        <v>259</v>
      </c>
      <c r="D260">
        <v>6</v>
      </c>
      <c r="E260" s="12">
        <v>19.06983</v>
      </c>
      <c r="F260" s="12">
        <v>7.5122799999999996</v>
      </c>
      <c r="G260" s="12">
        <f t="shared" si="4"/>
        <v>13.291055</v>
      </c>
      <c r="I260">
        <v>0</v>
      </c>
    </row>
    <row r="261" spans="1:9" x14ac:dyDescent="0.25">
      <c r="A261" s="13">
        <v>45917</v>
      </c>
      <c r="B261">
        <v>2025</v>
      </c>
      <c r="C261">
        <v>260</v>
      </c>
      <c r="D261">
        <v>17.5</v>
      </c>
      <c r="E261" s="12">
        <v>18.5015</v>
      </c>
      <c r="F261" s="12">
        <v>4.8627700000000003</v>
      </c>
      <c r="G261" s="12">
        <f t="shared" si="4"/>
        <v>11.682135000000001</v>
      </c>
      <c r="I261">
        <v>0</v>
      </c>
    </row>
    <row r="262" spans="1:9" x14ac:dyDescent="0.25">
      <c r="A262" s="13">
        <v>45918</v>
      </c>
      <c r="B262">
        <v>2025</v>
      </c>
      <c r="C262">
        <v>261</v>
      </c>
      <c r="D262">
        <v>20.2</v>
      </c>
      <c r="E262" s="12">
        <v>21.687809999999999</v>
      </c>
      <c r="F262" s="12">
        <v>-0.65459000000000001</v>
      </c>
      <c r="G262" s="12">
        <f t="shared" si="4"/>
        <v>10.51661</v>
      </c>
      <c r="I262">
        <v>0</v>
      </c>
    </row>
    <row r="263" spans="1:9" x14ac:dyDescent="0.25">
      <c r="A263" s="13">
        <v>45919</v>
      </c>
      <c r="B263">
        <v>2025</v>
      </c>
      <c r="C263">
        <v>262</v>
      </c>
      <c r="D263">
        <v>11.8</v>
      </c>
      <c r="E263" s="12">
        <v>20.675750000000001</v>
      </c>
      <c r="F263" s="12">
        <v>-0.74295999999999995</v>
      </c>
      <c r="G263" s="12">
        <f t="shared" si="4"/>
        <v>9.9663950000000003</v>
      </c>
      <c r="I263">
        <v>8.6</v>
      </c>
    </row>
    <row r="264" spans="1:9" x14ac:dyDescent="0.25">
      <c r="A264" s="13">
        <v>45920</v>
      </c>
      <c r="B264">
        <v>2025</v>
      </c>
      <c r="C264">
        <v>263</v>
      </c>
      <c r="D264">
        <v>17.8</v>
      </c>
      <c r="E264" s="12">
        <v>17.166499999999999</v>
      </c>
      <c r="F264" s="12">
        <v>3.3437600000000001</v>
      </c>
      <c r="G264" s="12">
        <f t="shared" si="4"/>
        <v>10.255129999999999</v>
      </c>
      <c r="I264">
        <v>0.2</v>
      </c>
    </row>
    <row r="265" spans="1:9" x14ac:dyDescent="0.25">
      <c r="A265" s="13">
        <v>45921</v>
      </c>
      <c r="B265">
        <v>2025</v>
      </c>
      <c r="C265">
        <v>264</v>
      </c>
      <c r="D265">
        <v>13.9</v>
      </c>
      <c r="E265" s="12">
        <v>17.574300000000001</v>
      </c>
      <c r="F265" s="12">
        <v>5.3206600000000002</v>
      </c>
      <c r="G265" s="12">
        <f t="shared" si="4"/>
        <v>11.447480000000001</v>
      </c>
      <c r="I265">
        <v>0</v>
      </c>
    </row>
    <row r="266" spans="1:9" x14ac:dyDescent="0.25">
      <c r="A266" s="13">
        <v>45922</v>
      </c>
      <c r="B266">
        <v>2025</v>
      </c>
      <c r="C266">
        <v>265</v>
      </c>
      <c r="D266">
        <v>20.7</v>
      </c>
      <c r="E266" s="12">
        <v>16.601839999999999</v>
      </c>
      <c r="F266" s="12">
        <v>2.6615600000000001</v>
      </c>
      <c r="G266" s="12">
        <f t="shared" si="4"/>
        <v>9.6317000000000004</v>
      </c>
      <c r="I266">
        <v>0</v>
      </c>
    </row>
    <row r="267" spans="1:9" x14ac:dyDescent="0.25">
      <c r="A267" s="13">
        <v>45923</v>
      </c>
      <c r="B267">
        <v>2025</v>
      </c>
      <c r="C267">
        <v>266</v>
      </c>
      <c r="D267">
        <v>20.399999999999999</v>
      </c>
      <c r="E267" s="12">
        <v>20.544899999999998</v>
      </c>
      <c r="F267" s="12">
        <v>-1.2315</v>
      </c>
      <c r="G267" s="12">
        <f t="shared" si="4"/>
        <v>9.656699999999999</v>
      </c>
      <c r="I267">
        <v>0</v>
      </c>
    </row>
    <row r="268" spans="1:9" x14ac:dyDescent="0.25">
      <c r="A268" s="13">
        <v>45924</v>
      </c>
      <c r="B268">
        <v>2025</v>
      </c>
      <c r="C268">
        <v>267</v>
      </c>
      <c r="D268">
        <v>10.5</v>
      </c>
      <c r="E268" s="12">
        <v>16.749870000000001</v>
      </c>
      <c r="F268" s="12">
        <v>0.31524000000000002</v>
      </c>
      <c r="G268" s="12">
        <f t="shared" si="4"/>
        <v>8.5325550000000003</v>
      </c>
      <c r="I268">
        <v>0</v>
      </c>
    </row>
    <row r="269" spans="1:9" x14ac:dyDescent="0.25">
      <c r="A269" s="13">
        <v>45925</v>
      </c>
      <c r="B269">
        <v>2025</v>
      </c>
      <c r="C269">
        <v>268</v>
      </c>
      <c r="D269">
        <v>19.8</v>
      </c>
      <c r="E269" s="12">
        <v>22.031040000000001</v>
      </c>
      <c r="F269" s="12">
        <v>-0.19627</v>
      </c>
      <c r="G269" s="12">
        <f t="shared" si="4"/>
        <v>10.917385000000001</v>
      </c>
      <c r="I269">
        <v>0.2</v>
      </c>
    </row>
    <row r="270" spans="1:9" x14ac:dyDescent="0.25">
      <c r="A270" s="13">
        <v>45926</v>
      </c>
      <c r="B270">
        <v>2025</v>
      </c>
      <c r="C270">
        <v>269</v>
      </c>
      <c r="D270">
        <v>20.5</v>
      </c>
      <c r="E270" s="12">
        <v>25.74823</v>
      </c>
      <c r="F270" s="12">
        <v>1.3253600000000001</v>
      </c>
      <c r="G270" s="12">
        <f t="shared" si="4"/>
        <v>13.536795</v>
      </c>
      <c r="I270">
        <v>0</v>
      </c>
    </row>
    <row r="271" spans="1:9" x14ac:dyDescent="0.25">
      <c r="A271" s="13">
        <v>45927</v>
      </c>
      <c r="B271">
        <v>2025</v>
      </c>
      <c r="C271">
        <v>270</v>
      </c>
      <c r="D271">
        <v>21.6</v>
      </c>
      <c r="E271" s="12">
        <v>26.153759999999998</v>
      </c>
      <c r="F271" s="12">
        <v>2.9121600000000001</v>
      </c>
      <c r="G271" s="12">
        <f t="shared" si="4"/>
        <v>14.532959999999999</v>
      </c>
      <c r="I271">
        <v>0</v>
      </c>
    </row>
    <row r="272" spans="1:9" x14ac:dyDescent="0.25">
      <c r="A272" s="13">
        <v>45928</v>
      </c>
      <c r="B272">
        <v>2025</v>
      </c>
      <c r="C272">
        <v>271</v>
      </c>
      <c r="D272">
        <v>20.9</v>
      </c>
      <c r="E272" s="12">
        <v>22.1205</v>
      </c>
      <c r="F272" s="12">
        <v>4.2308000000000003</v>
      </c>
      <c r="G272" s="12">
        <f t="shared" si="4"/>
        <v>13.175650000000001</v>
      </c>
      <c r="I272">
        <v>0</v>
      </c>
    </row>
    <row r="273" spans="1:9" x14ac:dyDescent="0.25">
      <c r="A273" s="13">
        <v>45929</v>
      </c>
      <c r="B273">
        <v>2025</v>
      </c>
      <c r="C273">
        <v>272</v>
      </c>
      <c r="D273">
        <v>22.2</v>
      </c>
      <c r="E273" s="12">
        <v>24.346509999999999</v>
      </c>
      <c r="F273" s="12">
        <v>4.8000000000000001E-4</v>
      </c>
      <c r="G273" s="12">
        <f t="shared" si="4"/>
        <v>12.173494999999999</v>
      </c>
      <c r="I273">
        <v>0</v>
      </c>
    </row>
    <row r="274" spans="1:9" x14ac:dyDescent="0.25">
      <c r="A274" s="13">
        <v>45930</v>
      </c>
      <c r="B274">
        <v>2025</v>
      </c>
      <c r="C274">
        <v>273</v>
      </c>
      <c r="D274">
        <v>10.3</v>
      </c>
      <c r="E274" s="12">
        <v>27.28199</v>
      </c>
      <c r="F274" s="12">
        <v>2.1348799999999999</v>
      </c>
      <c r="G274" s="12">
        <f t="shared" si="4"/>
        <v>14.708435</v>
      </c>
      <c r="I274">
        <v>0</v>
      </c>
    </row>
    <row r="275" spans="1:9" x14ac:dyDescent="0.25">
      <c r="A275" s="13">
        <v>45931</v>
      </c>
      <c r="B275">
        <v>2025</v>
      </c>
      <c r="C275">
        <v>274</v>
      </c>
      <c r="D275">
        <v>20</v>
      </c>
      <c r="E275" s="12">
        <v>20.85698</v>
      </c>
      <c r="F275" s="12">
        <v>4.3</v>
      </c>
      <c r="G275" s="12">
        <f t="shared" si="4"/>
        <v>12.57849</v>
      </c>
      <c r="I275">
        <v>0</v>
      </c>
    </row>
    <row r="276" spans="1:9" x14ac:dyDescent="0.25">
      <c r="A276" s="13">
        <v>45932</v>
      </c>
      <c r="B276">
        <v>2025</v>
      </c>
      <c r="C276">
        <v>275</v>
      </c>
      <c r="D276">
        <v>11.4</v>
      </c>
      <c r="E276" s="12">
        <v>15.28769</v>
      </c>
      <c r="F276" s="12">
        <v>6.3</v>
      </c>
      <c r="G276" s="12">
        <f t="shared" si="4"/>
        <v>10.793844999999999</v>
      </c>
      <c r="I276">
        <v>3.2</v>
      </c>
    </row>
    <row r="277" spans="1:9" x14ac:dyDescent="0.25">
      <c r="A277" s="13">
        <v>45933</v>
      </c>
      <c r="B277">
        <v>2025</v>
      </c>
      <c r="C277">
        <v>276</v>
      </c>
      <c r="D277">
        <v>16.100000000000001</v>
      </c>
      <c r="E277" s="12">
        <v>16.56015</v>
      </c>
      <c r="F277" s="12">
        <v>4.0999999999999996</v>
      </c>
      <c r="G277" s="12">
        <f t="shared" si="4"/>
        <v>10.330075000000001</v>
      </c>
      <c r="I277">
        <v>0</v>
      </c>
    </row>
    <row r="278" spans="1:9" x14ac:dyDescent="0.25">
      <c r="A278" s="13">
        <v>45934</v>
      </c>
      <c r="B278">
        <v>2025</v>
      </c>
      <c r="C278">
        <v>277</v>
      </c>
      <c r="D278">
        <v>22.9</v>
      </c>
      <c r="E278" s="12">
        <v>22.935600000000001</v>
      </c>
      <c r="F278" s="12">
        <v>1.9</v>
      </c>
      <c r="G278" s="12">
        <f t="shared" si="4"/>
        <v>12.4178</v>
      </c>
      <c r="I278">
        <v>0</v>
      </c>
    </row>
    <row r="279" spans="1:9" x14ac:dyDescent="0.25">
      <c r="A279" s="13">
        <v>45935</v>
      </c>
      <c r="B279">
        <v>2025</v>
      </c>
      <c r="C279">
        <v>278</v>
      </c>
      <c r="D279">
        <v>22.6</v>
      </c>
      <c r="E279" s="12">
        <v>26.37313</v>
      </c>
      <c r="F279" s="12">
        <v>5.5</v>
      </c>
      <c r="G279" s="12">
        <f t="shared" si="4"/>
        <v>15.936565</v>
      </c>
      <c r="I279">
        <v>0</v>
      </c>
    </row>
    <row r="280" spans="1:9" x14ac:dyDescent="0.25">
      <c r="A280" s="13">
        <v>45936</v>
      </c>
      <c r="B280">
        <v>2025</v>
      </c>
      <c r="C280">
        <v>279</v>
      </c>
      <c r="D280">
        <v>8.1</v>
      </c>
      <c r="E280" s="12">
        <v>18.389559999999999</v>
      </c>
      <c r="F280" s="12">
        <v>11.9</v>
      </c>
      <c r="G280" s="12">
        <f t="shared" si="4"/>
        <v>15.144780000000001</v>
      </c>
      <c r="I280">
        <v>0</v>
      </c>
    </row>
    <row r="281" spans="1:9" x14ac:dyDescent="0.25">
      <c r="A281" s="13">
        <v>45937</v>
      </c>
      <c r="B281">
        <v>2025</v>
      </c>
      <c r="C281">
        <v>280</v>
      </c>
      <c r="D281">
        <v>17.899999999999999</v>
      </c>
      <c r="E281" s="12">
        <v>21.441410000000001</v>
      </c>
      <c r="F281" s="12">
        <v>0.8</v>
      </c>
      <c r="G281" s="12">
        <f t="shared" si="4"/>
        <v>11.120705000000001</v>
      </c>
      <c r="I281">
        <v>0</v>
      </c>
    </row>
    <row r="282" spans="1:9" x14ac:dyDescent="0.25">
      <c r="A282" s="13">
        <v>45938</v>
      </c>
      <c r="B282">
        <v>2025</v>
      </c>
      <c r="C282">
        <v>281</v>
      </c>
      <c r="D282">
        <v>21.9</v>
      </c>
      <c r="E282" s="12">
        <v>28.821000000000002</v>
      </c>
      <c r="F282" s="12">
        <v>2.9</v>
      </c>
      <c r="G282" s="12">
        <f t="shared" si="4"/>
        <v>15.8605</v>
      </c>
      <c r="I282">
        <v>0</v>
      </c>
    </row>
    <row r="283" spans="1:9" x14ac:dyDescent="0.25">
      <c r="A283" s="13">
        <v>45939</v>
      </c>
      <c r="B283">
        <v>2025</v>
      </c>
      <c r="C283">
        <v>282</v>
      </c>
      <c r="D283">
        <v>20.100000000000001</v>
      </c>
      <c r="E283" s="12">
        <v>26.012589999999999</v>
      </c>
      <c r="F283" s="12">
        <v>13.5</v>
      </c>
      <c r="G283" s="12">
        <f t="shared" si="4"/>
        <v>19.756295000000001</v>
      </c>
      <c r="I283">
        <v>2</v>
      </c>
    </row>
    <row r="284" spans="1:9" x14ac:dyDescent="0.25">
      <c r="A284" s="13">
        <v>45940</v>
      </c>
      <c r="B284">
        <v>2025</v>
      </c>
      <c r="C284">
        <v>283</v>
      </c>
      <c r="D284">
        <v>24</v>
      </c>
      <c r="E284" s="12">
        <v>29.079370000000001</v>
      </c>
      <c r="F284" s="12">
        <v>3.5</v>
      </c>
      <c r="G284" s="12">
        <f t="shared" si="4"/>
        <v>16.289684999999999</v>
      </c>
      <c r="I284">
        <v>0</v>
      </c>
    </row>
    <row r="285" spans="1:9" x14ac:dyDescent="0.25">
      <c r="A285" s="13">
        <v>45941</v>
      </c>
      <c r="B285">
        <v>2025</v>
      </c>
      <c r="C285">
        <v>284</v>
      </c>
      <c r="D285">
        <v>24.1</v>
      </c>
      <c r="E285" s="12">
        <v>27.973140000000001</v>
      </c>
      <c r="F285" s="12">
        <v>3.8</v>
      </c>
      <c r="G285" s="12">
        <f t="shared" si="4"/>
        <v>15.886570000000001</v>
      </c>
      <c r="I285">
        <v>0</v>
      </c>
    </row>
    <row r="286" spans="1:9" x14ac:dyDescent="0.25">
      <c r="A286" s="13">
        <v>45942</v>
      </c>
      <c r="B286">
        <v>2025</v>
      </c>
      <c r="C286">
        <v>285</v>
      </c>
      <c r="D286">
        <v>16.100000000000001</v>
      </c>
      <c r="E286" s="12">
        <v>23.570309999999999</v>
      </c>
      <c r="F286" s="12">
        <v>3.1</v>
      </c>
      <c r="G286" s="12">
        <f t="shared" si="4"/>
        <v>13.335155</v>
      </c>
      <c r="I286">
        <v>0</v>
      </c>
    </row>
    <row r="287" spans="1:9" x14ac:dyDescent="0.25">
      <c r="A287" s="13">
        <v>45943</v>
      </c>
      <c r="B287">
        <v>2025</v>
      </c>
      <c r="C287">
        <v>286</v>
      </c>
      <c r="D287">
        <v>24.2</v>
      </c>
      <c r="E287" s="12">
        <v>25.581019999999999</v>
      </c>
      <c r="F287" s="12">
        <v>3.3</v>
      </c>
      <c r="G287" s="12">
        <f t="shared" si="4"/>
        <v>14.44051</v>
      </c>
      <c r="I287">
        <v>0</v>
      </c>
    </row>
    <row r="288" spans="1:9" x14ac:dyDescent="0.25">
      <c r="A288" s="13">
        <v>45944</v>
      </c>
      <c r="B288">
        <v>2025</v>
      </c>
      <c r="C288">
        <v>287</v>
      </c>
      <c r="D288">
        <v>24.5</v>
      </c>
      <c r="E288" s="12">
        <v>28.989180000000001</v>
      </c>
      <c r="F288" s="12">
        <v>0.3</v>
      </c>
      <c r="G288" s="12">
        <f t="shared" si="4"/>
        <v>14.644590000000001</v>
      </c>
      <c r="I288">
        <v>0</v>
      </c>
    </row>
    <row r="289" spans="1:9" x14ac:dyDescent="0.25">
      <c r="A289" s="13">
        <v>45945</v>
      </c>
      <c r="B289">
        <v>2025</v>
      </c>
      <c r="C289">
        <v>288</v>
      </c>
      <c r="D289">
        <v>24.6</v>
      </c>
      <c r="E289" s="12">
        <v>32.234050000000003</v>
      </c>
      <c r="F289" s="12">
        <v>3.1</v>
      </c>
      <c r="G289" s="12">
        <f t="shared" si="4"/>
        <v>17.667025000000002</v>
      </c>
      <c r="I289">
        <v>0</v>
      </c>
    </row>
    <row r="290" spans="1:9" x14ac:dyDescent="0.25">
      <c r="A290" s="13">
        <v>45946</v>
      </c>
      <c r="B290">
        <v>2025</v>
      </c>
      <c r="C290">
        <v>289</v>
      </c>
      <c r="D290">
        <v>24.5</v>
      </c>
      <c r="E290" s="12">
        <v>36.347610000000003</v>
      </c>
      <c r="F290" s="12">
        <v>5.9</v>
      </c>
      <c r="G290" s="12">
        <f t="shared" si="4"/>
        <v>21.123805000000001</v>
      </c>
      <c r="I290">
        <v>0</v>
      </c>
    </row>
    <row r="291" spans="1:9" x14ac:dyDescent="0.25">
      <c r="A291" s="13">
        <v>45947</v>
      </c>
      <c r="B291">
        <v>2025</v>
      </c>
      <c r="C291">
        <v>290</v>
      </c>
      <c r="D291">
        <v>22.4</v>
      </c>
      <c r="E291" s="12">
        <v>33.249380000000002</v>
      </c>
      <c r="F291" s="12">
        <v>11.5</v>
      </c>
      <c r="G291" s="12">
        <f t="shared" si="4"/>
        <v>22.374690000000001</v>
      </c>
      <c r="I291">
        <v>0</v>
      </c>
    </row>
    <row r="292" spans="1:9" x14ac:dyDescent="0.25">
      <c r="A292" s="13">
        <v>45948</v>
      </c>
      <c r="B292">
        <v>2025</v>
      </c>
      <c r="C292">
        <v>291</v>
      </c>
      <c r="D292">
        <v>24.5</v>
      </c>
      <c r="E292" s="12">
        <v>30.45937</v>
      </c>
      <c r="F292" s="12">
        <v>4.8</v>
      </c>
      <c r="G292" s="12">
        <f t="shared" si="4"/>
        <v>17.629684999999998</v>
      </c>
      <c r="I292">
        <v>0</v>
      </c>
    </row>
    <row r="293" spans="1:9" x14ac:dyDescent="0.25">
      <c r="A293" s="13">
        <v>45949</v>
      </c>
      <c r="B293">
        <v>2025</v>
      </c>
      <c r="C293">
        <v>292</v>
      </c>
      <c r="D293">
        <v>23.2</v>
      </c>
      <c r="E293" s="12">
        <v>36.924050000000001</v>
      </c>
      <c r="F293" s="12">
        <v>5</v>
      </c>
      <c r="G293" s="12">
        <f t="shared" si="4"/>
        <v>20.962025000000001</v>
      </c>
      <c r="I293">
        <v>0</v>
      </c>
    </row>
    <row r="294" spans="1:9" x14ac:dyDescent="0.25">
      <c r="A294" s="13">
        <v>45950</v>
      </c>
      <c r="B294">
        <v>2025</v>
      </c>
      <c r="C294">
        <v>293</v>
      </c>
      <c r="D294">
        <v>18.899999999999999</v>
      </c>
      <c r="E294" s="12">
        <v>37.294960000000003</v>
      </c>
      <c r="F294" s="12">
        <v>11.9</v>
      </c>
      <c r="G294" s="12">
        <f t="shared" si="4"/>
        <v>24.597480000000001</v>
      </c>
      <c r="I294">
        <v>0</v>
      </c>
    </row>
    <row r="295" spans="1:9" x14ac:dyDescent="0.25">
      <c r="A295" s="13">
        <v>45951</v>
      </c>
      <c r="B295">
        <v>2025</v>
      </c>
      <c r="C295">
        <v>294</v>
      </c>
      <c r="D295">
        <v>11</v>
      </c>
      <c r="E295" s="12">
        <v>25.40372</v>
      </c>
      <c r="F295" s="12">
        <v>11.3</v>
      </c>
      <c r="G295" s="12">
        <f t="shared" si="4"/>
        <v>18.351860000000002</v>
      </c>
      <c r="I295">
        <v>0</v>
      </c>
    </row>
    <row r="296" spans="1:9" x14ac:dyDescent="0.25">
      <c r="A296" s="13">
        <v>45952</v>
      </c>
      <c r="B296">
        <v>2025</v>
      </c>
      <c r="C296">
        <v>295</v>
      </c>
      <c r="D296">
        <v>7.4</v>
      </c>
      <c r="E296" s="12">
        <v>22.432400000000001</v>
      </c>
      <c r="F296" s="12">
        <v>15.8</v>
      </c>
      <c r="G296" s="12">
        <f t="shared" si="4"/>
        <v>19.116199999999999</v>
      </c>
      <c r="I296">
        <v>0.8</v>
      </c>
    </row>
    <row r="297" spans="1:9" x14ac:dyDescent="0.25">
      <c r="A297" s="13">
        <v>45953</v>
      </c>
      <c r="B297">
        <v>2025</v>
      </c>
      <c r="C297">
        <v>296</v>
      </c>
      <c r="D297">
        <v>21.5</v>
      </c>
      <c r="E297" s="12">
        <v>28.38214</v>
      </c>
      <c r="F297" s="12">
        <v>5.2</v>
      </c>
      <c r="G297" s="12">
        <f t="shared" si="4"/>
        <v>16.791070000000001</v>
      </c>
      <c r="I297">
        <v>0</v>
      </c>
    </row>
    <row r="298" spans="1:9" x14ac:dyDescent="0.25">
      <c r="A298" s="13">
        <v>45954</v>
      </c>
      <c r="B298">
        <v>2025</v>
      </c>
      <c r="C298">
        <v>297</v>
      </c>
      <c r="D298">
        <v>23.8</v>
      </c>
      <c r="E298" s="12">
        <v>28.950109999999999</v>
      </c>
      <c r="F298" s="12">
        <v>2.1</v>
      </c>
      <c r="G298" s="12">
        <f t="shared" si="4"/>
        <v>15.525055</v>
      </c>
      <c r="I298">
        <v>0</v>
      </c>
    </row>
    <row r="299" spans="1:9" x14ac:dyDescent="0.25">
      <c r="A299" s="13">
        <v>45955</v>
      </c>
      <c r="B299">
        <v>2025</v>
      </c>
      <c r="C299">
        <v>298</v>
      </c>
      <c r="D299">
        <v>20.9</v>
      </c>
      <c r="E299" s="12">
        <v>31.360340000000001</v>
      </c>
      <c r="F299" s="12">
        <v>5.2</v>
      </c>
      <c r="G299" s="12">
        <f t="shared" si="4"/>
        <v>18.280170000000002</v>
      </c>
      <c r="I299">
        <v>0</v>
      </c>
    </row>
    <row r="300" spans="1:9" x14ac:dyDescent="0.25">
      <c r="A300" s="13">
        <v>45956</v>
      </c>
      <c r="B300">
        <v>2025</v>
      </c>
      <c r="C300">
        <v>299</v>
      </c>
      <c r="D300">
        <v>8.5</v>
      </c>
      <c r="E300" s="12">
        <v>25.397870000000001</v>
      </c>
      <c r="F300" s="12">
        <v>15.2</v>
      </c>
      <c r="G300" s="12">
        <f t="shared" si="4"/>
        <v>20.298935</v>
      </c>
      <c r="I300">
        <v>33.600000000000009</v>
      </c>
    </row>
    <row r="301" spans="1:9" x14ac:dyDescent="0.25">
      <c r="A301" s="13">
        <v>45957</v>
      </c>
      <c r="B301">
        <v>2025</v>
      </c>
      <c r="C301">
        <v>300</v>
      </c>
      <c r="D301">
        <v>22.4</v>
      </c>
      <c r="E301" s="12">
        <v>25.08475</v>
      </c>
      <c r="F301" s="12">
        <v>10.6</v>
      </c>
      <c r="G301" s="12">
        <f t="shared" si="4"/>
        <v>17.842375000000001</v>
      </c>
      <c r="I301">
        <v>0.2</v>
      </c>
    </row>
    <row r="302" spans="1:9" x14ac:dyDescent="0.25">
      <c r="A302" s="13">
        <v>45958</v>
      </c>
      <c r="B302">
        <v>2025</v>
      </c>
      <c r="C302">
        <v>301</v>
      </c>
      <c r="D302">
        <v>17.5</v>
      </c>
      <c r="E302" s="12">
        <v>22.08154</v>
      </c>
      <c r="F302" s="12">
        <v>9</v>
      </c>
      <c r="G302" s="12">
        <f t="shared" si="4"/>
        <v>15.54077</v>
      </c>
      <c r="I302">
        <v>0</v>
      </c>
    </row>
    <row r="303" spans="1:9" x14ac:dyDescent="0.25">
      <c r="A303" s="13">
        <v>45959</v>
      </c>
      <c r="B303">
        <v>2025</v>
      </c>
      <c r="C303">
        <v>302</v>
      </c>
      <c r="D303">
        <v>19.3</v>
      </c>
      <c r="E303" s="12">
        <v>24.042380000000001</v>
      </c>
      <c r="F303" s="12">
        <v>9.5</v>
      </c>
      <c r="G303" s="12">
        <f t="shared" si="4"/>
        <v>16.771190000000001</v>
      </c>
      <c r="I303">
        <v>0</v>
      </c>
    </row>
    <row r="304" spans="1:9" x14ac:dyDescent="0.25">
      <c r="A304" s="13">
        <v>45960</v>
      </c>
      <c r="B304">
        <v>2025</v>
      </c>
      <c r="C304">
        <v>303</v>
      </c>
      <c r="D304">
        <v>21</v>
      </c>
      <c r="E304" s="12">
        <v>29.77779</v>
      </c>
      <c r="F304" s="12">
        <v>9</v>
      </c>
      <c r="G304" s="12">
        <f t="shared" si="4"/>
        <v>19.388894999999998</v>
      </c>
      <c r="I304">
        <v>0</v>
      </c>
    </row>
    <row r="305" spans="1:9" x14ac:dyDescent="0.25">
      <c r="A305" s="13">
        <v>45961</v>
      </c>
      <c r="B305">
        <v>2025</v>
      </c>
      <c r="C305">
        <v>304</v>
      </c>
      <c r="D305">
        <v>12.2</v>
      </c>
      <c r="E305" s="12">
        <v>28.495819999999998</v>
      </c>
      <c r="F305" s="12">
        <v>13.9</v>
      </c>
      <c r="G305" s="12">
        <f t="shared" si="4"/>
        <v>21.19791</v>
      </c>
      <c r="I305">
        <v>0</v>
      </c>
    </row>
    <row r="306" spans="1:9" x14ac:dyDescent="0.25">
      <c r="A306" s="13">
        <v>45962</v>
      </c>
      <c r="B306">
        <v>2025</v>
      </c>
      <c r="C306">
        <v>305</v>
      </c>
      <c r="D306">
        <v>25.8</v>
      </c>
      <c r="E306" s="12">
        <v>32.800339999999998</v>
      </c>
      <c r="F306" s="12">
        <v>11.3</v>
      </c>
      <c r="G306" s="12">
        <f t="shared" si="4"/>
        <v>22.050170000000001</v>
      </c>
      <c r="I306">
        <v>0.4</v>
      </c>
    </row>
    <row r="307" spans="1:9" x14ac:dyDescent="0.25">
      <c r="A307" s="13">
        <v>45963</v>
      </c>
      <c r="B307">
        <v>2025</v>
      </c>
      <c r="C307">
        <v>306</v>
      </c>
      <c r="D307">
        <v>25.1</v>
      </c>
      <c r="E307" s="12">
        <v>36.718820000000001</v>
      </c>
      <c r="F307" s="12">
        <v>14.2</v>
      </c>
      <c r="G307" s="12">
        <f t="shared" si="4"/>
        <v>25.459409999999998</v>
      </c>
      <c r="I307">
        <v>0</v>
      </c>
    </row>
    <row r="308" spans="1:9" x14ac:dyDescent="0.25">
      <c r="A308" s="13">
        <v>45964</v>
      </c>
      <c r="B308">
        <v>2025</v>
      </c>
      <c r="C308">
        <v>307</v>
      </c>
      <c r="D308">
        <v>9.1999999999999993</v>
      </c>
      <c r="E308" s="12">
        <v>27.362069999999999</v>
      </c>
      <c r="F308" s="12">
        <v>16.5</v>
      </c>
      <c r="G308" s="12">
        <f t="shared" si="4"/>
        <v>21.931035000000001</v>
      </c>
      <c r="I308">
        <v>7.6000000000000014</v>
      </c>
    </row>
    <row r="309" spans="1:9" x14ac:dyDescent="0.25">
      <c r="A309" s="13">
        <v>45965</v>
      </c>
      <c r="B309">
        <v>2025</v>
      </c>
      <c r="C309">
        <v>308</v>
      </c>
      <c r="D309">
        <v>14.8</v>
      </c>
      <c r="E309" s="12">
        <v>14.709059999999999</v>
      </c>
      <c r="F309" s="12">
        <v>9.1999999999999993</v>
      </c>
      <c r="G309" s="12">
        <f t="shared" si="4"/>
        <v>11.954529999999998</v>
      </c>
      <c r="I309">
        <v>12.4</v>
      </c>
    </row>
    <row r="310" spans="1:9" x14ac:dyDescent="0.25">
      <c r="A310" s="13">
        <v>45966</v>
      </c>
      <c r="B310">
        <v>2025</v>
      </c>
      <c r="C310">
        <v>309</v>
      </c>
      <c r="D310">
        <v>24.2</v>
      </c>
      <c r="E310" s="12">
        <v>24.094740000000002</v>
      </c>
      <c r="F310" s="12">
        <v>8.1</v>
      </c>
      <c r="G310" s="12">
        <f t="shared" si="4"/>
        <v>16.097370000000002</v>
      </c>
      <c r="I310">
        <v>0</v>
      </c>
    </row>
    <row r="311" spans="1:9" x14ac:dyDescent="0.25">
      <c r="A311" s="13">
        <v>45967</v>
      </c>
      <c r="B311">
        <v>2025</v>
      </c>
      <c r="C311">
        <v>310</v>
      </c>
      <c r="D311">
        <v>26</v>
      </c>
      <c r="E311" s="12">
        <v>28.870519999999999</v>
      </c>
      <c r="F311" s="12">
        <v>5</v>
      </c>
      <c r="G311" s="12">
        <f t="shared" si="4"/>
        <v>16.93526</v>
      </c>
      <c r="I311">
        <v>0</v>
      </c>
    </row>
    <row r="312" spans="1:9" x14ac:dyDescent="0.25">
      <c r="A312" s="13">
        <v>45968</v>
      </c>
      <c r="B312">
        <v>2025</v>
      </c>
      <c r="C312">
        <v>311</v>
      </c>
      <c r="D312">
        <v>20.3</v>
      </c>
      <c r="E312" s="12">
        <v>32.670900000000003</v>
      </c>
      <c r="F312" s="12">
        <v>15.4</v>
      </c>
      <c r="G312" s="12">
        <f t="shared" si="4"/>
        <v>24.035450000000001</v>
      </c>
      <c r="I312">
        <v>0</v>
      </c>
    </row>
    <row r="313" spans="1:9" x14ac:dyDescent="0.25">
      <c r="A313" s="13">
        <v>45969</v>
      </c>
      <c r="B313">
        <v>2025</v>
      </c>
      <c r="C313">
        <v>312</v>
      </c>
      <c r="D313">
        <v>26</v>
      </c>
      <c r="E313" s="12">
        <v>30.63618</v>
      </c>
      <c r="F313" s="12">
        <v>17.399999999999999</v>
      </c>
      <c r="G313" s="12">
        <f t="shared" si="4"/>
        <v>24.018090000000001</v>
      </c>
      <c r="I313">
        <v>0</v>
      </c>
    </row>
    <row r="314" spans="1:9" x14ac:dyDescent="0.25">
      <c r="A314" s="13">
        <v>45970</v>
      </c>
      <c r="B314">
        <v>2025</v>
      </c>
      <c r="C314">
        <v>313</v>
      </c>
      <c r="D314">
        <v>26.4</v>
      </c>
      <c r="E314">
        <v>22.7</v>
      </c>
      <c r="F314" s="12">
        <v>6.5</v>
      </c>
      <c r="G314" s="12">
        <f t="shared" si="4"/>
        <v>14.6</v>
      </c>
      <c r="I314">
        <v>0</v>
      </c>
    </row>
    <row r="315" spans="1:9" x14ac:dyDescent="0.25">
      <c r="A315" s="13">
        <v>45971</v>
      </c>
      <c r="B315">
        <v>2025</v>
      </c>
      <c r="C315">
        <v>314</v>
      </c>
      <c r="D315">
        <v>27.4</v>
      </c>
      <c r="E315">
        <v>23.2</v>
      </c>
      <c r="F315" s="12">
        <v>4.9000000000000004</v>
      </c>
      <c r="G315" s="12">
        <f t="shared" si="4"/>
        <v>14.05</v>
      </c>
      <c r="I315">
        <v>0</v>
      </c>
    </row>
    <row r="316" spans="1:9" x14ac:dyDescent="0.25">
      <c r="A316" s="13">
        <v>45972</v>
      </c>
      <c r="B316">
        <v>2025</v>
      </c>
      <c r="C316">
        <v>315</v>
      </c>
      <c r="D316">
        <v>21.5</v>
      </c>
      <c r="E316">
        <v>18.899999999999999</v>
      </c>
      <c r="F316" s="12">
        <v>4.7</v>
      </c>
      <c r="G316" s="12">
        <f t="shared" si="4"/>
        <v>11.799999999999999</v>
      </c>
      <c r="I316">
        <v>0</v>
      </c>
    </row>
    <row r="317" spans="1:9" x14ac:dyDescent="0.25">
      <c r="A317" s="13">
        <v>45973</v>
      </c>
      <c r="B317">
        <v>2025</v>
      </c>
      <c r="C317">
        <v>316</v>
      </c>
      <c r="D317">
        <v>27.6</v>
      </c>
      <c r="E317">
        <v>22.3</v>
      </c>
      <c r="F317" s="12">
        <v>0.2</v>
      </c>
      <c r="G317" s="12">
        <f t="shared" si="4"/>
        <v>11.25</v>
      </c>
      <c r="I317">
        <v>0</v>
      </c>
    </row>
    <row r="318" spans="1:9" x14ac:dyDescent="0.25">
      <c r="A318" s="13">
        <v>45974</v>
      </c>
      <c r="B318">
        <v>2025</v>
      </c>
      <c r="C318">
        <v>317</v>
      </c>
      <c r="D318">
        <v>23.1</v>
      </c>
      <c r="E318">
        <v>29.4</v>
      </c>
      <c r="F318" s="12">
        <v>2.1</v>
      </c>
      <c r="G318" s="12">
        <f t="shared" si="4"/>
        <v>15.75</v>
      </c>
      <c r="I318">
        <v>0</v>
      </c>
    </row>
    <row r="319" spans="1:9" x14ac:dyDescent="0.25">
      <c r="A319" s="13">
        <v>45975</v>
      </c>
      <c r="B319">
        <v>2025</v>
      </c>
      <c r="C319">
        <v>318</v>
      </c>
      <c r="D319">
        <v>25.3</v>
      </c>
      <c r="E319">
        <v>30.1</v>
      </c>
      <c r="F319" s="12">
        <v>11.4</v>
      </c>
      <c r="G319" s="12">
        <f t="shared" si="4"/>
        <v>20.75</v>
      </c>
      <c r="I319">
        <v>0</v>
      </c>
    </row>
    <row r="320" spans="1:9" x14ac:dyDescent="0.25">
      <c r="A320" s="13">
        <v>45976</v>
      </c>
      <c r="B320">
        <v>2025</v>
      </c>
      <c r="C320">
        <v>319</v>
      </c>
      <c r="D320">
        <v>17.600000000000001</v>
      </c>
      <c r="E320">
        <v>34.4</v>
      </c>
      <c r="F320" s="12">
        <v>16.5</v>
      </c>
      <c r="G320" s="12">
        <f t="shared" si="4"/>
        <v>25.45</v>
      </c>
      <c r="I320">
        <v>0</v>
      </c>
    </row>
    <row r="321" spans="1:9" x14ac:dyDescent="0.25">
      <c r="A321" s="13">
        <v>45977</v>
      </c>
      <c r="B321">
        <v>2025</v>
      </c>
      <c r="C321">
        <v>320</v>
      </c>
      <c r="D321">
        <v>23.9</v>
      </c>
      <c r="E321">
        <v>26.7</v>
      </c>
      <c r="F321" s="12">
        <v>13.4</v>
      </c>
      <c r="G321" s="12">
        <f t="shared" si="4"/>
        <v>20.05</v>
      </c>
      <c r="I321">
        <v>0</v>
      </c>
    </row>
    <row r="322" spans="1:9" x14ac:dyDescent="0.25">
      <c r="A322" s="13">
        <v>45978</v>
      </c>
      <c r="B322">
        <v>2025</v>
      </c>
      <c r="C322">
        <v>321</v>
      </c>
      <c r="D322">
        <v>16.600000000000001</v>
      </c>
      <c r="E322">
        <v>19.399999999999999</v>
      </c>
      <c r="F322" s="12">
        <v>9.9</v>
      </c>
      <c r="G322" s="12">
        <f t="shared" si="4"/>
        <v>14.649999999999999</v>
      </c>
      <c r="I322">
        <v>0</v>
      </c>
    </row>
    <row r="323" spans="1:9" x14ac:dyDescent="0.25">
      <c r="A323" s="13">
        <v>45979</v>
      </c>
      <c r="B323">
        <v>2025</v>
      </c>
      <c r="C323">
        <v>322</v>
      </c>
      <c r="D323">
        <v>24.5</v>
      </c>
      <c r="E323">
        <v>26.3</v>
      </c>
      <c r="F323" s="12">
        <v>10</v>
      </c>
      <c r="G323" s="12">
        <f t="shared" ref="G323:G366" si="5">(F323+E323)/2</f>
        <v>18.149999999999999</v>
      </c>
      <c r="I323">
        <v>0</v>
      </c>
    </row>
    <row r="324" spans="1:9" x14ac:dyDescent="0.25">
      <c r="A324" s="13">
        <v>45980</v>
      </c>
      <c r="B324">
        <v>2025</v>
      </c>
      <c r="C324">
        <v>323</v>
      </c>
      <c r="D324">
        <v>26</v>
      </c>
      <c r="E324">
        <v>31.5</v>
      </c>
      <c r="F324" s="12">
        <v>9.8000000000000007</v>
      </c>
      <c r="G324" s="12">
        <f t="shared" si="5"/>
        <v>20.65</v>
      </c>
      <c r="I324">
        <v>0</v>
      </c>
    </row>
    <row r="325" spans="1:9" x14ac:dyDescent="0.25">
      <c r="A325" s="13">
        <v>45981</v>
      </c>
      <c r="B325">
        <v>2025</v>
      </c>
      <c r="C325">
        <v>324</v>
      </c>
      <c r="D325">
        <v>24.2</v>
      </c>
      <c r="E325">
        <v>28</v>
      </c>
      <c r="F325" s="12">
        <v>10.7</v>
      </c>
      <c r="G325" s="12">
        <f t="shared" si="5"/>
        <v>19.350000000000001</v>
      </c>
      <c r="I325">
        <v>0</v>
      </c>
    </row>
    <row r="326" spans="1:9" x14ac:dyDescent="0.25">
      <c r="A326" s="13">
        <v>45982</v>
      </c>
      <c r="B326">
        <v>2025</v>
      </c>
      <c r="C326">
        <v>325</v>
      </c>
      <c r="D326">
        <v>25.4</v>
      </c>
      <c r="E326">
        <v>28.8</v>
      </c>
      <c r="F326" s="12">
        <v>4.7</v>
      </c>
      <c r="G326" s="12">
        <f t="shared" si="5"/>
        <v>16.75</v>
      </c>
      <c r="I326">
        <v>0</v>
      </c>
    </row>
    <row r="327" spans="1:9" x14ac:dyDescent="0.25">
      <c r="A327" s="13">
        <v>45983</v>
      </c>
      <c r="B327">
        <v>2025</v>
      </c>
      <c r="C327">
        <v>326</v>
      </c>
      <c r="D327">
        <v>15.6</v>
      </c>
      <c r="E327">
        <v>28.9</v>
      </c>
      <c r="F327" s="12">
        <v>16</v>
      </c>
      <c r="G327" s="12">
        <f t="shared" si="5"/>
        <v>22.45</v>
      </c>
      <c r="I327">
        <v>2</v>
      </c>
    </row>
    <row r="328" spans="1:9" x14ac:dyDescent="0.25">
      <c r="A328" s="13">
        <v>45984</v>
      </c>
      <c r="B328">
        <v>2025</v>
      </c>
      <c r="C328">
        <v>327</v>
      </c>
      <c r="D328">
        <v>26.4</v>
      </c>
      <c r="E328">
        <v>31.3</v>
      </c>
      <c r="F328" s="12">
        <v>18.2</v>
      </c>
      <c r="G328" s="12">
        <f t="shared" si="5"/>
        <v>24.75</v>
      </c>
      <c r="I328">
        <v>0</v>
      </c>
    </row>
    <row r="329" spans="1:9" x14ac:dyDescent="0.25">
      <c r="A329" s="13">
        <v>45985</v>
      </c>
      <c r="B329">
        <v>2025</v>
      </c>
      <c r="C329">
        <v>328</v>
      </c>
      <c r="D329">
        <v>27</v>
      </c>
      <c r="E329">
        <v>35</v>
      </c>
      <c r="F329" s="12">
        <v>14.3</v>
      </c>
      <c r="G329" s="12">
        <f t="shared" si="5"/>
        <v>24.65</v>
      </c>
      <c r="I329">
        <v>4</v>
      </c>
    </row>
    <row r="330" spans="1:9" x14ac:dyDescent="0.25">
      <c r="A330" s="13">
        <v>45986</v>
      </c>
      <c r="B330">
        <v>2025</v>
      </c>
      <c r="C330">
        <v>329</v>
      </c>
      <c r="D330">
        <v>26.2</v>
      </c>
      <c r="E330">
        <v>34</v>
      </c>
      <c r="F330" s="12">
        <v>17</v>
      </c>
      <c r="G330" s="12">
        <f t="shared" si="5"/>
        <v>25.5</v>
      </c>
      <c r="I330">
        <v>0</v>
      </c>
    </row>
    <row r="331" spans="1:9" x14ac:dyDescent="0.25">
      <c r="A331" s="13">
        <v>45987</v>
      </c>
      <c r="B331">
        <v>2025</v>
      </c>
      <c r="C331">
        <v>330</v>
      </c>
      <c r="D331">
        <v>23.4</v>
      </c>
      <c r="E331">
        <v>29.9</v>
      </c>
      <c r="F331" s="12">
        <v>12.3</v>
      </c>
      <c r="G331" s="12">
        <f t="shared" si="5"/>
        <v>21.1</v>
      </c>
      <c r="I331">
        <v>0.4</v>
      </c>
    </row>
    <row r="332" spans="1:9" x14ac:dyDescent="0.25">
      <c r="A332" s="13">
        <v>45988</v>
      </c>
      <c r="B332">
        <v>2025</v>
      </c>
      <c r="C332">
        <v>331</v>
      </c>
      <c r="D332">
        <v>28.3</v>
      </c>
      <c r="E332">
        <v>26.4</v>
      </c>
      <c r="F332" s="12">
        <v>9</v>
      </c>
      <c r="G332" s="12">
        <f t="shared" si="5"/>
        <v>17.7</v>
      </c>
      <c r="I332">
        <v>0</v>
      </c>
    </row>
    <row r="333" spans="1:9" x14ac:dyDescent="0.25">
      <c r="A333" s="13">
        <v>45989</v>
      </c>
      <c r="B333">
        <v>2025</v>
      </c>
      <c r="C333">
        <v>332</v>
      </c>
      <c r="D333">
        <v>25.2</v>
      </c>
      <c r="E333">
        <v>30.4</v>
      </c>
      <c r="F333" s="12">
        <v>6.9</v>
      </c>
      <c r="G333" s="12">
        <f t="shared" si="5"/>
        <v>18.649999999999999</v>
      </c>
      <c r="I333">
        <v>0</v>
      </c>
    </row>
    <row r="334" spans="1:9" x14ac:dyDescent="0.25">
      <c r="A334" s="13">
        <v>45990</v>
      </c>
      <c r="B334">
        <v>2025</v>
      </c>
      <c r="C334">
        <v>333</v>
      </c>
      <c r="D334">
        <v>20</v>
      </c>
      <c r="E334">
        <v>25.6</v>
      </c>
      <c r="F334" s="12">
        <v>15.8</v>
      </c>
      <c r="G334" s="12">
        <f t="shared" si="5"/>
        <v>20.700000000000003</v>
      </c>
      <c r="I334">
        <v>3.4</v>
      </c>
    </row>
    <row r="335" spans="1:9" x14ac:dyDescent="0.25">
      <c r="A335" s="13">
        <v>45991</v>
      </c>
      <c r="B335">
        <v>2025</v>
      </c>
      <c r="C335">
        <v>334</v>
      </c>
      <c r="D335">
        <v>21.1</v>
      </c>
      <c r="E335">
        <v>21.4</v>
      </c>
      <c r="F335" s="12">
        <v>9.4</v>
      </c>
      <c r="G335" s="12">
        <f t="shared" si="5"/>
        <v>15.399999999999999</v>
      </c>
      <c r="I335">
        <v>0.4</v>
      </c>
    </row>
    <row r="336" spans="1:9" x14ac:dyDescent="0.25">
      <c r="A336" s="13">
        <v>45992</v>
      </c>
      <c r="B336">
        <v>2025</v>
      </c>
      <c r="C336">
        <v>335</v>
      </c>
      <c r="D336">
        <v>17.899999999999999</v>
      </c>
      <c r="E336">
        <v>20.2</v>
      </c>
      <c r="F336" s="12">
        <v>9.6999999999999993</v>
      </c>
      <c r="G336" s="12">
        <f t="shared" si="5"/>
        <v>14.95</v>
      </c>
      <c r="I336">
        <v>1</v>
      </c>
    </row>
    <row r="337" spans="1:9" x14ac:dyDescent="0.25">
      <c r="A337" s="13">
        <v>45993</v>
      </c>
      <c r="B337">
        <v>2025</v>
      </c>
      <c r="C337">
        <v>336</v>
      </c>
      <c r="D337">
        <v>29.9</v>
      </c>
      <c r="E337">
        <v>23.2</v>
      </c>
      <c r="F337" s="12">
        <v>6.3</v>
      </c>
      <c r="G337" s="12">
        <f t="shared" si="5"/>
        <v>14.75</v>
      </c>
      <c r="I337">
        <v>0</v>
      </c>
    </row>
    <row r="338" spans="1:9" x14ac:dyDescent="0.25">
      <c r="A338" s="13">
        <v>45994</v>
      </c>
      <c r="B338">
        <v>2025</v>
      </c>
      <c r="C338">
        <v>337</v>
      </c>
      <c r="D338">
        <v>30</v>
      </c>
      <c r="E338">
        <v>30</v>
      </c>
      <c r="F338" s="12">
        <v>5.4</v>
      </c>
      <c r="G338" s="12">
        <f t="shared" si="5"/>
        <v>17.7</v>
      </c>
      <c r="I338">
        <v>0</v>
      </c>
    </row>
    <row r="339" spans="1:9" x14ac:dyDescent="0.25">
      <c r="A339" s="13">
        <v>45995</v>
      </c>
      <c r="B339">
        <v>2025</v>
      </c>
      <c r="C339">
        <v>338</v>
      </c>
      <c r="D339">
        <v>29.4</v>
      </c>
      <c r="E339">
        <v>35.299999999999997</v>
      </c>
      <c r="F339" s="12">
        <v>9.1999999999999993</v>
      </c>
      <c r="G339" s="12">
        <f t="shared" si="5"/>
        <v>22.25</v>
      </c>
      <c r="I339">
        <v>0</v>
      </c>
    </row>
    <row r="340" spans="1:9" x14ac:dyDescent="0.25">
      <c r="A340" s="13">
        <v>45996</v>
      </c>
      <c r="B340">
        <v>2025</v>
      </c>
      <c r="C340">
        <v>339</v>
      </c>
      <c r="D340">
        <v>27.4</v>
      </c>
      <c r="E340">
        <v>40</v>
      </c>
      <c r="F340" s="12">
        <v>13</v>
      </c>
      <c r="G340" s="12">
        <f t="shared" si="5"/>
        <v>26.5</v>
      </c>
      <c r="I340">
        <v>0</v>
      </c>
    </row>
    <row r="341" spans="1:9" x14ac:dyDescent="0.25">
      <c r="A341" s="13">
        <v>45997</v>
      </c>
      <c r="B341">
        <v>2025</v>
      </c>
      <c r="C341">
        <v>340</v>
      </c>
      <c r="D341">
        <v>13.1</v>
      </c>
      <c r="E341">
        <v>36.299999999999997</v>
      </c>
      <c r="F341" s="12">
        <v>22</v>
      </c>
      <c r="G341" s="12">
        <f t="shared" si="5"/>
        <v>29.15</v>
      </c>
      <c r="I341">
        <v>0</v>
      </c>
    </row>
    <row r="342" spans="1:9" x14ac:dyDescent="0.25">
      <c r="A342" s="13">
        <v>45998</v>
      </c>
      <c r="B342">
        <v>2025</v>
      </c>
      <c r="C342">
        <v>341</v>
      </c>
      <c r="D342">
        <v>29.8</v>
      </c>
      <c r="E342">
        <v>24.9</v>
      </c>
      <c r="F342" s="12">
        <v>11.1</v>
      </c>
      <c r="G342" s="12">
        <f t="shared" si="5"/>
        <v>18</v>
      </c>
      <c r="I342">
        <v>0</v>
      </c>
    </row>
    <row r="343" spans="1:9" x14ac:dyDescent="0.25">
      <c r="A343" s="13">
        <v>45999</v>
      </c>
      <c r="B343">
        <v>2025</v>
      </c>
      <c r="C343">
        <v>342</v>
      </c>
      <c r="D343">
        <v>29.3</v>
      </c>
      <c r="E343">
        <v>30.3</v>
      </c>
      <c r="F343" s="12">
        <v>6.5</v>
      </c>
      <c r="G343" s="12">
        <f t="shared" si="5"/>
        <v>18.399999999999999</v>
      </c>
      <c r="I343">
        <v>0</v>
      </c>
    </row>
    <row r="344" spans="1:9" x14ac:dyDescent="0.25">
      <c r="A344" s="13">
        <v>46000</v>
      </c>
      <c r="B344">
        <v>2025</v>
      </c>
      <c r="C344">
        <v>343</v>
      </c>
      <c r="D344">
        <v>29.8</v>
      </c>
      <c r="E344">
        <v>35.200000000000003</v>
      </c>
      <c r="F344" s="12">
        <v>9.5</v>
      </c>
      <c r="G344" s="12">
        <f t="shared" si="5"/>
        <v>22.35</v>
      </c>
      <c r="I344">
        <v>0</v>
      </c>
    </row>
    <row r="345" spans="1:9" x14ac:dyDescent="0.25">
      <c r="A345" s="13">
        <v>46001</v>
      </c>
      <c r="B345">
        <v>2025</v>
      </c>
      <c r="C345">
        <v>344</v>
      </c>
      <c r="D345">
        <v>24.3</v>
      </c>
      <c r="E345">
        <v>34.5</v>
      </c>
      <c r="F345" s="12">
        <v>15.9</v>
      </c>
      <c r="G345" s="12">
        <f t="shared" si="5"/>
        <v>25.2</v>
      </c>
      <c r="I345">
        <v>0</v>
      </c>
    </row>
    <row r="346" spans="1:9" x14ac:dyDescent="0.25">
      <c r="A346" s="13">
        <v>46002</v>
      </c>
      <c r="B346">
        <v>2025</v>
      </c>
      <c r="C346">
        <v>345</v>
      </c>
      <c r="D346">
        <v>23.1</v>
      </c>
      <c r="E346">
        <v>32.299999999999997</v>
      </c>
      <c r="F346" s="12">
        <v>13.8</v>
      </c>
      <c r="G346" s="12">
        <f t="shared" si="5"/>
        <v>23.049999999999997</v>
      </c>
      <c r="I346">
        <v>0</v>
      </c>
    </row>
    <row r="347" spans="1:9" x14ac:dyDescent="0.25">
      <c r="A347" s="13">
        <v>46003</v>
      </c>
      <c r="B347">
        <v>2025</v>
      </c>
      <c r="C347">
        <v>346</v>
      </c>
      <c r="D347">
        <v>24.5</v>
      </c>
      <c r="E347">
        <v>32.299999999999997</v>
      </c>
      <c r="F347" s="12">
        <v>17.399999999999999</v>
      </c>
      <c r="G347" s="12">
        <f t="shared" si="5"/>
        <v>24.849999999999998</v>
      </c>
      <c r="I347">
        <v>0</v>
      </c>
    </row>
    <row r="348" spans="1:9" x14ac:dyDescent="0.25">
      <c r="A348" s="13">
        <v>46004</v>
      </c>
      <c r="B348">
        <v>2025</v>
      </c>
      <c r="C348">
        <v>347</v>
      </c>
      <c r="D348">
        <v>5</v>
      </c>
      <c r="E348">
        <v>22.7</v>
      </c>
      <c r="F348" s="12">
        <v>17.3</v>
      </c>
      <c r="G348" s="12">
        <f t="shared" si="5"/>
        <v>20</v>
      </c>
      <c r="I348">
        <v>5.6000000000000005</v>
      </c>
    </row>
    <row r="349" spans="1:9" x14ac:dyDescent="0.25">
      <c r="A349" s="13">
        <v>46005</v>
      </c>
      <c r="B349">
        <v>2025</v>
      </c>
      <c r="C349">
        <v>348</v>
      </c>
      <c r="D349">
        <v>22.2</v>
      </c>
      <c r="E349">
        <v>30.2</v>
      </c>
      <c r="F349" s="12">
        <v>13.3</v>
      </c>
      <c r="G349" s="12">
        <f t="shared" si="5"/>
        <v>21.75</v>
      </c>
      <c r="I349">
        <v>0.2</v>
      </c>
    </row>
    <row r="350" spans="1:9" x14ac:dyDescent="0.25">
      <c r="A350" s="13">
        <v>46006</v>
      </c>
      <c r="B350">
        <v>2025</v>
      </c>
      <c r="C350">
        <v>349</v>
      </c>
      <c r="D350">
        <v>30.8</v>
      </c>
      <c r="E350">
        <v>26.6</v>
      </c>
      <c r="F350" s="12">
        <v>8.9</v>
      </c>
      <c r="G350" s="12">
        <f t="shared" si="5"/>
        <v>17.75</v>
      </c>
      <c r="I350">
        <v>0</v>
      </c>
    </row>
    <row r="351" spans="1:9" x14ac:dyDescent="0.25">
      <c r="A351" s="13">
        <v>46007</v>
      </c>
      <c r="B351">
        <v>2025</v>
      </c>
      <c r="C351">
        <v>350</v>
      </c>
      <c r="D351">
        <v>30.7</v>
      </c>
      <c r="E351">
        <v>32.5</v>
      </c>
      <c r="F351" s="12">
        <v>7.3</v>
      </c>
      <c r="G351" s="12">
        <f t="shared" si="5"/>
        <v>19.899999999999999</v>
      </c>
      <c r="I351">
        <v>0</v>
      </c>
    </row>
    <row r="352" spans="1:9" x14ac:dyDescent="0.25">
      <c r="A352" s="13">
        <v>46008</v>
      </c>
      <c r="B352">
        <v>2025</v>
      </c>
      <c r="C352">
        <v>351</v>
      </c>
      <c r="D352">
        <v>30.4</v>
      </c>
      <c r="E352">
        <v>37</v>
      </c>
      <c r="F352" s="12">
        <v>17</v>
      </c>
      <c r="G352" s="12">
        <f t="shared" si="5"/>
        <v>27</v>
      </c>
      <c r="I352">
        <v>0</v>
      </c>
    </row>
    <row r="353" spans="1:9" x14ac:dyDescent="0.25">
      <c r="A353" s="13">
        <v>46009</v>
      </c>
      <c r="B353">
        <v>2025</v>
      </c>
      <c r="C353">
        <v>352</v>
      </c>
      <c r="D353">
        <v>30.2</v>
      </c>
      <c r="E353">
        <v>41.6</v>
      </c>
      <c r="F353" s="12">
        <v>17.3</v>
      </c>
      <c r="G353" s="12">
        <f t="shared" si="5"/>
        <v>29.450000000000003</v>
      </c>
      <c r="I353">
        <v>0</v>
      </c>
    </row>
    <row r="354" spans="1:9" x14ac:dyDescent="0.25">
      <c r="A354" s="13">
        <v>46010</v>
      </c>
      <c r="B354">
        <v>2025</v>
      </c>
      <c r="C354">
        <v>353</v>
      </c>
      <c r="D354">
        <v>22.7</v>
      </c>
      <c r="E354">
        <v>42.2</v>
      </c>
      <c r="F354" s="12">
        <v>16.600000000000001</v>
      </c>
      <c r="G354" s="12">
        <f t="shared" si="5"/>
        <v>29.400000000000002</v>
      </c>
      <c r="I354">
        <v>2.4</v>
      </c>
    </row>
    <row r="355" spans="1:9" x14ac:dyDescent="0.25">
      <c r="A355" s="13">
        <v>46011</v>
      </c>
      <c r="B355">
        <v>2025</v>
      </c>
      <c r="C355">
        <v>354</v>
      </c>
      <c r="D355">
        <v>27.8</v>
      </c>
      <c r="E355">
        <v>36</v>
      </c>
      <c r="F355" s="12">
        <v>19.7</v>
      </c>
      <c r="G355" s="12">
        <f t="shared" si="5"/>
        <v>27.85</v>
      </c>
      <c r="I355">
        <v>3.2000000000000006</v>
      </c>
    </row>
    <row r="356" spans="1:9" x14ac:dyDescent="0.25">
      <c r="A356" s="13">
        <v>46012</v>
      </c>
      <c r="B356">
        <v>2025</v>
      </c>
      <c r="C356">
        <v>355</v>
      </c>
      <c r="D356">
        <v>8</v>
      </c>
      <c r="E356">
        <v>28.4</v>
      </c>
      <c r="F356" s="12">
        <v>22.8</v>
      </c>
      <c r="G356" s="12">
        <f t="shared" si="5"/>
        <v>25.6</v>
      </c>
      <c r="I356">
        <v>19.399999999999999</v>
      </c>
    </row>
    <row r="357" spans="1:9" x14ac:dyDescent="0.25">
      <c r="A357" s="13">
        <v>46013</v>
      </c>
      <c r="B357">
        <v>2025</v>
      </c>
      <c r="C357">
        <v>356</v>
      </c>
      <c r="D357">
        <v>28.5</v>
      </c>
      <c r="E357">
        <v>26.8</v>
      </c>
      <c r="F357" s="12">
        <v>13.4</v>
      </c>
      <c r="G357" s="12">
        <f t="shared" si="5"/>
        <v>20.100000000000001</v>
      </c>
      <c r="I357">
        <v>0</v>
      </c>
    </row>
    <row r="358" spans="1:9" x14ac:dyDescent="0.25">
      <c r="A358" s="13">
        <v>46014</v>
      </c>
      <c r="B358">
        <v>2025</v>
      </c>
      <c r="C358">
        <v>357</v>
      </c>
      <c r="D358">
        <v>31.2</v>
      </c>
      <c r="E358">
        <v>27.5</v>
      </c>
      <c r="F358" s="12">
        <v>10.199999999999999</v>
      </c>
      <c r="G358" s="12">
        <f t="shared" si="5"/>
        <v>18.850000000000001</v>
      </c>
      <c r="I358">
        <v>0</v>
      </c>
    </row>
    <row r="359" spans="1:9" x14ac:dyDescent="0.25">
      <c r="A359" s="13">
        <v>46015</v>
      </c>
      <c r="B359">
        <v>2025</v>
      </c>
      <c r="C359">
        <v>358</v>
      </c>
      <c r="D359">
        <v>31.2</v>
      </c>
      <c r="E359">
        <v>29.3</v>
      </c>
      <c r="F359" s="12">
        <v>8.4</v>
      </c>
      <c r="G359" s="12">
        <f t="shared" si="5"/>
        <v>18.850000000000001</v>
      </c>
      <c r="I359">
        <v>0</v>
      </c>
    </row>
    <row r="360" spans="1:9" x14ac:dyDescent="0.25">
      <c r="A360" s="13">
        <v>46016</v>
      </c>
      <c r="B360">
        <v>2025</v>
      </c>
      <c r="C360">
        <v>359</v>
      </c>
      <c r="D360">
        <v>31.2</v>
      </c>
      <c r="E360">
        <v>25.6</v>
      </c>
      <c r="F360" s="12">
        <v>10.5</v>
      </c>
      <c r="G360" s="12">
        <f t="shared" si="5"/>
        <v>18.05</v>
      </c>
      <c r="I360">
        <v>0</v>
      </c>
    </row>
    <row r="361" spans="1:9" x14ac:dyDescent="0.25">
      <c r="A361" s="13">
        <v>46017</v>
      </c>
      <c r="B361">
        <v>2025</v>
      </c>
      <c r="C361">
        <v>360</v>
      </c>
      <c r="D361">
        <v>31.2</v>
      </c>
      <c r="E361">
        <v>25.1</v>
      </c>
      <c r="F361" s="12">
        <v>6.9</v>
      </c>
      <c r="G361" s="12">
        <f t="shared" si="5"/>
        <v>16</v>
      </c>
      <c r="I361">
        <v>0</v>
      </c>
    </row>
    <row r="362" spans="1:9" x14ac:dyDescent="0.25">
      <c r="A362" s="13">
        <v>46018</v>
      </c>
      <c r="B362">
        <v>2025</v>
      </c>
      <c r="C362">
        <v>361</v>
      </c>
      <c r="D362">
        <v>31.2</v>
      </c>
      <c r="E362">
        <v>28.2</v>
      </c>
      <c r="F362" s="12">
        <v>10.5</v>
      </c>
      <c r="G362" s="12">
        <f t="shared" si="5"/>
        <v>19.350000000000001</v>
      </c>
      <c r="I362">
        <v>0</v>
      </c>
    </row>
    <row r="363" spans="1:9" x14ac:dyDescent="0.25">
      <c r="A363" s="13">
        <v>46019</v>
      </c>
      <c r="B363">
        <v>2025</v>
      </c>
      <c r="C363">
        <v>362</v>
      </c>
      <c r="D363">
        <v>31</v>
      </c>
      <c r="E363">
        <v>30.6</v>
      </c>
      <c r="F363" s="12">
        <v>12.5</v>
      </c>
      <c r="G363" s="12">
        <f t="shared" si="5"/>
        <v>21.55</v>
      </c>
      <c r="I363">
        <v>0</v>
      </c>
    </row>
    <row r="364" spans="1:9" x14ac:dyDescent="0.25">
      <c r="A364" s="13">
        <v>46020</v>
      </c>
      <c r="B364">
        <v>2025</v>
      </c>
      <c r="C364">
        <v>363</v>
      </c>
      <c r="D364">
        <v>30.8</v>
      </c>
      <c r="E364">
        <v>34.4</v>
      </c>
      <c r="F364" s="12">
        <v>14.2</v>
      </c>
      <c r="G364" s="12">
        <f t="shared" si="5"/>
        <v>24.299999999999997</v>
      </c>
      <c r="I364">
        <v>0</v>
      </c>
    </row>
    <row r="365" spans="1:9" x14ac:dyDescent="0.25">
      <c r="A365" s="13">
        <v>46021</v>
      </c>
      <c r="B365">
        <v>2025</v>
      </c>
      <c r="C365">
        <v>364</v>
      </c>
      <c r="D365">
        <v>29.2</v>
      </c>
      <c r="E365">
        <v>37.1</v>
      </c>
      <c r="F365" s="12">
        <v>17.3</v>
      </c>
      <c r="G365" s="12">
        <f t="shared" si="5"/>
        <v>27.200000000000003</v>
      </c>
      <c r="I365">
        <v>0</v>
      </c>
    </row>
    <row r="366" spans="1:9" x14ac:dyDescent="0.25">
      <c r="A366" s="13">
        <v>46022</v>
      </c>
      <c r="B366">
        <v>2025</v>
      </c>
      <c r="C366">
        <v>365</v>
      </c>
      <c r="D366">
        <v>27.9</v>
      </c>
      <c r="E366">
        <v>35.4</v>
      </c>
      <c r="F366" s="12">
        <v>19.899999999999999</v>
      </c>
      <c r="G366" s="12">
        <f t="shared" si="5"/>
        <v>27.65</v>
      </c>
      <c r="I366">
        <v>0</v>
      </c>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71DC-9060-4E49-8486-F6AA8ADA936B}">
  <sheetPr>
    <tabColor rgb="FF92D050"/>
  </sheetPr>
  <dimension ref="A1:O769"/>
  <sheetViews>
    <sheetView workbookViewId="0"/>
  </sheetViews>
  <sheetFormatPr defaultRowHeight="15" x14ac:dyDescent="0.25"/>
  <cols>
    <col min="1" max="11" width="8.85546875" style="6"/>
    <col min="12" max="13" width="13.5703125" customWidth="1"/>
    <col min="14" max="14" width="12.42578125" customWidth="1"/>
    <col min="19" max="19" width="41.140625" bestFit="1" customWidth="1"/>
    <col min="20" max="20" width="15.5703125" bestFit="1" customWidth="1"/>
    <col min="21" max="23" width="4.5703125" bestFit="1" customWidth="1"/>
    <col min="24" max="24" width="12.85546875" bestFit="1" customWidth="1"/>
    <col min="25" max="27" width="4.5703125" bestFit="1" customWidth="1"/>
    <col min="28" max="28" width="12.85546875" bestFit="1" customWidth="1"/>
    <col min="29" max="31" width="4.5703125" bestFit="1" customWidth="1"/>
    <col min="32" max="32" width="11.85546875" bestFit="1" customWidth="1"/>
    <col min="33" max="35" width="4.5703125" bestFit="1" customWidth="1"/>
    <col min="36" max="36" width="12.85546875" bestFit="1" customWidth="1"/>
    <col min="37" max="39" width="4.5703125" bestFit="1" customWidth="1"/>
    <col min="40" max="40" width="10.85546875" bestFit="1" customWidth="1"/>
    <col min="41" max="41" width="11.42578125" bestFit="1" customWidth="1"/>
  </cols>
  <sheetData>
    <row r="1" spans="1:15" ht="71.099999999999994" customHeight="1" x14ac:dyDescent="0.25">
      <c r="A1" s="53" t="s">
        <v>44</v>
      </c>
      <c r="B1" s="53" t="s">
        <v>45</v>
      </c>
      <c r="C1" s="53" t="s">
        <v>46</v>
      </c>
      <c r="D1" s="53" t="s">
        <v>47</v>
      </c>
      <c r="E1" s="53" t="s">
        <v>48</v>
      </c>
      <c r="F1" s="53" t="s">
        <v>49</v>
      </c>
      <c r="G1" s="53" t="s">
        <v>50</v>
      </c>
      <c r="H1" s="53" t="s">
        <v>51</v>
      </c>
      <c r="I1" s="53" t="s">
        <v>52</v>
      </c>
      <c r="J1" s="53" t="s">
        <v>53</v>
      </c>
      <c r="K1" s="53" t="s">
        <v>54</v>
      </c>
      <c r="L1" s="53" t="s">
        <v>150</v>
      </c>
      <c r="M1" s="4" t="s">
        <v>151</v>
      </c>
      <c r="N1" s="4" t="s">
        <v>152</v>
      </c>
      <c r="O1" s="4" t="s">
        <v>551</v>
      </c>
    </row>
    <row r="2" spans="1:15" x14ac:dyDescent="0.25">
      <c r="A2" t="s">
        <v>24</v>
      </c>
      <c r="D2" s="6" t="s">
        <v>28</v>
      </c>
      <c r="E2" s="6">
        <v>1998</v>
      </c>
      <c r="F2" s="6">
        <v>1</v>
      </c>
      <c r="G2" s="6">
        <v>1</v>
      </c>
      <c r="H2" s="6">
        <v>1</v>
      </c>
      <c r="K2" s="6">
        <v>101</v>
      </c>
      <c r="M2" s="13">
        <v>45769</v>
      </c>
      <c r="N2">
        <v>0</v>
      </c>
      <c r="O2">
        <v>112</v>
      </c>
    </row>
    <row r="3" spans="1:15" x14ac:dyDescent="0.25">
      <c r="A3" t="s">
        <v>24</v>
      </c>
      <c r="D3" s="6" t="s">
        <v>28</v>
      </c>
      <c r="E3" s="6">
        <v>1998</v>
      </c>
      <c r="F3" s="6">
        <v>1</v>
      </c>
      <c r="G3" s="6">
        <v>1</v>
      </c>
      <c r="H3" s="6">
        <v>1</v>
      </c>
      <c r="K3" s="6">
        <v>101</v>
      </c>
      <c r="M3" s="13">
        <v>45771</v>
      </c>
      <c r="N3">
        <v>6</v>
      </c>
      <c r="O3">
        <v>114</v>
      </c>
    </row>
    <row r="4" spans="1:15" x14ac:dyDescent="0.25">
      <c r="A4" t="s">
        <v>24</v>
      </c>
      <c r="D4" s="6" t="s">
        <v>28</v>
      </c>
      <c r="E4" s="6">
        <v>1998</v>
      </c>
      <c r="F4" s="6">
        <v>1</v>
      </c>
      <c r="G4" s="6">
        <v>1</v>
      </c>
      <c r="H4" s="6">
        <v>1</v>
      </c>
      <c r="K4" s="6">
        <v>101</v>
      </c>
      <c r="M4" s="13">
        <v>45772</v>
      </c>
      <c r="N4">
        <v>14</v>
      </c>
      <c r="O4">
        <v>115</v>
      </c>
    </row>
    <row r="5" spans="1:15" x14ac:dyDescent="0.25">
      <c r="A5" t="s">
        <v>24</v>
      </c>
      <c r="D5" s="6" t="s">
        <v>28</v>
      </c>
      <c r="E5" s="6">
        <v>1998</v>
      </c>
      <c r="F5" s="6">
        <v>1</v>
      </c>
      <c r="G5" s="6">
        <v>1</v>
      </c>
      <c r="H5" s="6">
        <v>1</v>
      </c>
      <c r="K5" s="6">
        <v>101</v>
      </c>
      <c r="M5" s="13">
        <v>45775</v>
      </c>
      <c r="N5">
        <v>21</v>
      </c>
      <c r="O5">
        <v>118</v>
      </c>
    </row>
    <row r="6" spans="1:15" x14ac:dyDescent="0.25">
      <c r="A6" t="s">
        <v>24</v>
      </c>
      <c r="D6" s="6" t="s">
        <v>28</v>
      </c>
      <c r="E6" s="6">
        <v>1998</v>
      </c>
      <c r="F6" s="6">
        <v>1</v>
      </c>
      <c r="G6" s="6">
        <v>1</v>
      </c>
      <c r="H6" s="6">
        <v>1</v>
      </c>
      <c r="K6" s="6">
        <v>101</v>
      </c>
      <c r="M6" s="13">
        <v>45778</v>
      </c>
      <c r="N6">
        <v>21</v>
      </c>
      <c r="O6">
        <v>121</v>
      </c>
    </row>
    <row r="7" spans="1:15" x14ac:dyDescent="0.25">
      <c r="A7" t="s">
        <v>24</v>
      </c>
      <c r="D7" s="6" t="s">
        <v>28</v>
      </c>
      <c r="E7" s="6">
        <v>1998</v>
      </c>
      <c r="F7" s="6">
        <v>1</v>
      </c>
      <c r="G7" s="6">
        <v>1</v>
      </c>
      <c r="H7" s="6">
        <v>1</v>
      </c>
      <c r="K7" s="6">
        <v>101</v>
      </c>
      <c r="M7" s="13">
        <v>45782</v>
      </c>
      <c r="N7">
        <v>27</v>
      </c>
      <c r="O7">
        <v>125</v>
      </c>
    </row>
    <row r="8" spans="1:15" x14ac:dyDescent="0.25">
      <c r="A8" t="s">
        <v>24</v>
      </c>
      <c r="D8" s="6" t="s">
        <v>28</v>
      </c>
      <c r="E8" s="6">
        <v>1998</v>
      </c>
      <c r="F8" s="6">
        <v>1</v>
      </c>
      <c r="G8" s="6">
        <v>1</v>
      </c>
      <c r="H8" s="6">
        <v>1</v>
      </c>
      <c r="K8" s="6">
        <v>101</v>
      </c>
      <c r="M8" s="13">
        <v>45793</v>
      </c>
      <c r="O8">
        <v>136</v>
      </c>
    </row>
    <row r="9" spans="1:15" x14ac:dyDescent="0.25">
      <c r="A9" t="s">
        <v>24</v>
      </c>
      <c r="D9" s="6" t="s">
        <v>28</v>
      </c>
      <c r="E9" s="6">
        <v>1998</v>
      </c>
      <c r="F9" s="6">
        <v>1</v>
      </c>
      <c r="G9" s="6">
        <v>1</v>
      </c>
      <c r="H9" s="6">
        <v>1</v>
      </c>
      <c r="K9" s="6">
        <v>101</v>
      </c>
      <c r="M9" s="13">
        <v>45796</v>
      </c>
      <c r="O9">
        <v>139</v>
      </c>
    </row>
    <row r="10" spans="1:15" x14ac:dyDescent="0.25">
      <c r="A10" t="s">
        <v>24</v>
      </c>
      <c r="D10" s="6" t="s">
        <v>28</v>
      </c>
      <c r="E10" s="6">
        <v>1998</v>
      </c>
      <c r="F10" s="6">
        <v>1</v>
      </c>
      <c r="G10" s="6">
        <v>1</v>
      </c>
      <c r="H10" s="6">
        <v>1</v>
      </c>
      <c r="K10" s="6">
        <v>101</v>
      </c>
      <c r="M10" s="13">
        <v>45800</v>
      </c>
      <c r="O10">
        <v>143</v>
      </c>
    </row>
    <row r="11" spans="1:15" x14ac:dyDescent="0.25">
      <c r="A11" t="s">
        <v>24</v>
      </c>
      <c r="D11" s="6" t="s">
        <v>28</v>
      </c>
      <c r="E11" s="6">
        <v>1998</v>
      </c>
      <c r="F11" s="6">
        <v>1</v>
      </c>
      <c r="G11" s="6">
        <v>1</v>
      </c>
      <c r="H11" s="6">
        <v>1</v>
      </c>
      <c r="K11" s="6">
        <v>101</v>
      </c>
      <c r="M11" s="13">
        <v>45804</v>
      </c>
      <c r="O11">
        <v>147</v>
      </c>
    </row>
    <row r="12" spans="1:15" x14ac:dyDescent="0.25">
      <c r="A12" t="s">
        <v>24</v>
      </c>
      <c r="D12" s="6" t="s">
        <v>28</v>
      </c>
      <c r="E12" s="6">
        <v>1998</v>
      </c>
      <c r="F12" s="6">
        <v>1</v>
      </c>
      <c r="G12" s="6">
        <v>1</v>
      </c>
      <c r="H12" s="6">
        <v>1</v>
      </c>
      <c r="K12" s="6">
        <v>101</v>
      </c>
      <c r="M12" s="13">
        <v>45807</v>
      </c>
      <c r="O12">
        <v>150</v>
      </c>
    </row>
    <row r="13" spans="1:15" x14ac:dyDescent="0.25">
      <c r="A13" t="s">
        <v>24</v>
      </c>
      <c r="D13" s="6" t="s">
        <v>28</v>
      </c>
      <c r="E13" s="6">
        <v>1998</v>
      </c>
      <c r="F13" s="6">
        <v>1</v>
      </c>
      <c r="G13" s="6">
        <v>1</v>
      </c>
      <c r="H13" s="6">
        <v>1</v>
      </c>
      <c r="K13" s="6">
        <v>101</v>
      </c>
      <c r="M13" s="13">
        <v>45810</v>
      </c>
      <c r="O13">
        <v>153</v>
      </c>
    </row>
    <row r="14" spans="1:15" x14ac:dyDescent="0.25">
      <c r="A14" t="s">
        <v>24</v>
      </c>
      <c r="D14" s="6" t="s">
        <v>313</v>
      </c>
      <c r="E14" s="6">
        <v>2016</v>
      </c>
      <c r="F14" s="6">
        <v>1</v>
      </c>
      <c r="G14" s="6">
        <v>2</v>
      </c>
      <c r="H14" s="6">
        <v>1</v>
      </c>
      <c r="K14" s="6">
        <v>117</v>
      </c>
      <c r="M14" s="13">
        <v>45769</v>
      </c>
      <c r="N14">
        <v>0</v>
      </c>
      <c r="O14">
        <v>112</v>
      </c>
    </row>
    <row r="15" spans="1:15" x14ac:dyDescent="0.25">
      <c r="A15" t="s">
        <v>24</v>
      </c>
      <c r="D15" s="6" t="s">
        <v>313</v>
      </c>
      <c r="E15" s="6">
        <v>2016</v>
      </c>
      <c r="F15" s="6">
        <v>1</v>
      </c>
      <c r="G15" s="6">
        <v>2</v>
      </c>
      <c r="H15" s="6">
        <v>1</v>
      </c>
      <c r="K15" s="6">
        <v>117</v>
      </c>
      <c r="M15" s="13">
        <v>45771</v>
      </c>
      <c r="N15">
        <v>13</v>
      </c>
      <c r="O15">
        <v>114</v>
      </c>
    </row>
    <row r="16" spans="1:15" x14ac:dyDescent="0.25">
      <c r="A16" t="s">
        <v>24</v>
      </c>
      <c r="D16" s="6" t="s">
        <v>313</v>
      </c>
      <c r="E16" s="6">
        <v>2016</v>
      </c>
      <c r="F16" s="6">
        <v>1</v>
      </c>
      <c r="G16" s="6">
        <v>2</v>
      </c>
      <c r="H16" s="6">
        <v>1</v>
      </c>
      <c r="K16" s="6">
        <v>117</v>
      </c>
      <c r="M16" s="13">
        <v>45772</v>
      </c>
      <c r="N16">
        <v>24</v>
      </c>
      <c r="O16">
        <v>115</v>
      </c>
    </row>
    <row r="17" spans="1:15" x14ac:dyDescent="0.25">
      <c r="A17" t="s">
        <v>24</v>
      </c>
      <c r="D17" s="6" t="s">
        <v>313</v>
      </c>
      <c r="E17" s="6">
        <v>2016</v>
      </c>
      <c r="F17" s="6">
        <v>1</v>
      </c>
      <c r="G17" s="6">
        <v>2</v>
      </c>
      <c r="H17" s="6">
        <v>1</v>
      </c>
      <c r="K17" s="6">
        <v>117</v>
      </c>
      <c r="M17" s="13">
        <v>45775</v>
      </c>
      <c r="N17">
        <v>32</v>
      </c>
      <c r="O17">
        <v>118</v>
      </c>
    </row>
    <row r="18" spans="1:15" x14ac:dyDescent="0.25">
      <c r="A18" t="s">
        <v>24</v>
      </c>
      <c r="D18" s="6" t="s">
        <v>313</v>
      </c>
      <c r="E18" s="6">
        <v>2016</v>
      </c>
      <c r="F18" s="6">
        <v>1</v>
      </c>
      <c r="G18" s="6">
        <v>2</v>
      </c>
      <c r="H18" s="6">
        <v>1</v>
      </c>
      <c r="K18" s="6">
        <v>117</v>
      </c>
      <c r="M18" s="13">
        <v>45778</v>
      </c>
      <c r="N18">
        <v>32</v>
      </c>
      <c r="O18">
        <v>121</v>
      </c>
    </row>
    <row r="19" spans="1:15" x14ac:dyDescent="0.25">
      <c r="A19" t="s">
        <v>24</v>
      </c>
      <c r="D19" s="6" t="s">
        <v>313</v>
      </c>
      <c r="E19" s="6">
        <v>2016</v>
      </c>
      <c r="F19" s="6">
        <v>1</v>
      </c>
      <c r="G19" s="6">
        <v>2</v>
      </c>
      <c r="H19" s="6">
        <v>1</v>
      </c>
      <c r="K19" s="6">
        <v>117</v>
      </c>
      <c r="M19" s="13">
        <v>45782</v>
      </c>
      <c r="N19">
        <v>32</v>
      </c>
      <c r="O19">
        <v>125</v>
      </c>
    </row>
    <row r="20" spans="1:15" x14ac:dyDescent="0.25">
      <c r="A20" t="s">
        <v>24</v>
      </c>
      <c r="D20" s="6" t="s">
        <v>313</v>
      </c>
      <c r="E20" s="6">
        <v>2016</v>
      </c>
      <c r="F20" s="6">
        <v>1</v>
      </c>
      <c r="G20" s="6">
        <v>2</v>
      </c>
      <c r="H20" s="6">
        <v>1</v>
      </c>
      <c r="K20" s="6">
        <v>117</v>
      </c>
      <c r="M20" s="13">
        <v>45793</v>
      </c>
      <c r="O20">
        <v>136</v>
      </c>
    </row>
    <row r="21" spans="1:15" x14ac:dyDescent="0.25">
      <c r="A21" t="s">
        <v>24</v>
      </c>
      <c r="D21" s="6" t="s">
        <v>313</v>
      </c>
      <c r="E21" s="6">
        <v>2016</v>
      </c>
      <c r="F21" s="6">
        <v>1</v>
      </c>
      <c r="G21" s="6">
        <v>2</v>
      </c>
      <c r="H21" s="6">
        <v>1</v>
      </c>
      <c r="K21" s="6">
        <v>117</v>
      </c>
      <c r="M21" s="13">
        <v>45796</v>
      </c>
      <c r="O21">
        <v>139</v>
      </c>
    </row>
    <row r="22" spans="1:15" x14ac:dyDescent="0.25">
      <c r="A22" t="s">
        <v>24</v>
      </c>
      <c r="D22" s="6" t="s">
        <v>313</v>
      </c>
      <c r="E22" s="6">
        <v>2016</v>
      </c>
      <c r="F22" s="6">
        <v>1</v>
      </c>
      <c r="G22" s="6">
        <v>2</v>
      </c>
      <c r="H22" s="6">
        <v>1</v>
      </c>
      <c r="K22" s="6">
        <v>117</v>
      </c>
      <c r="M22" s="13">
        <v>45800</v>
      </c>
      <c r="O22">
        <v>143</v>
      </c>
    </row>
    <row r="23" spans="1:15" x14ac:dyDescent="0.25">
      <c r="A23" t="s">
        <v>24</v>
      </c>
      <c r="D23" s="6" t="s">
        <v>313</v>
      </c>
      <c r="E23" s="6">
        <v>2016</v>
      </c>
      <c r="F23" s="6">
        <v>1</v>
      </c>
      <c r="G23" s="6">
        <v>2</v>
      </c>
      <c r="H23" s="6">
        <v>1</v>
      </c>
      <c r="K23" s="6">
        <v>117</v>
      </c>
      <c r="M23" s="13">
        <v>45804</v>
      </c>
      <c r="O23">
        <v>147</v>
      </c>
    </row>
    <row r="24" spans="1:15" x14ac:dyDescent="0.25">
      <c r="A24" t="s">
        <v>24</v>
      </c>
      <c r="D24" s="6" t="s">
        <v>313</v>
      </c>
      <c r="E24" s="6">
        <v>2016</v>
      </c>
      <c r="F24" s="6">
        <v>1</v>
      </c>
      <c r="G24" s="6">
        <v>2</v>
      </c>
      <c r="H24" s="6">
        <v>1</v>
      </c>
      <c r="K24" s="6">
        <v>117</v>
      </c>
      <c r="M24" s="13">
        <v>45807</v>
      </c>
      <c r="O24">
        <v>150</v>
      </c>
    </row>
    <row r="25" spans="1:15" x14ac:dyDescent="0.25">
      <c r="A25" t="s">
        <v>24</v>
      </c>
      <c r="D25" s="6" t="s">
        <v>313</v>
      </c>
      <c r="E25" s="6">
        <v>2016</v>
      </c>
      <c r="F25" s="6">
        <v>1</v>
      </c>
      <c r="G25" s="6">
        <v>2</v>
      </c>
      <c r="H25" s="6">
        <v>1</v>
      </c>
      <c r="K25" s="6">
        <v>117</v>
      </c>
      <c r="M25" s="13">
        <v>45810</v>
      </c>
      <c r="O25">
        <v>153</v>
      </c>
    </row>
    <row r="26" spans="1:15" x14ac:dyDescent="0.25">
      <c r="A26" t="s">
        <v>24</v>
      </c>
      <c r="D26" s="6" t="s">
        <v>26</v>
      </c>
      <c r="E26" s="6">
        <v>1983</v>
      </c>
      <c r="F26" s="6">
        <v>1</v>
      </c>
      <c r="G26" s="6">
        <v>3</v>
      </c>
      <c r="H26" s="6">
        <v>1</v>
      </c>
      <c r="K26" s="6">
        <v>133</v>
      </c>
      <c r="M26" s="13">
        <v>45769</v>
      </c>
      <c r="N26">
        <v>0</v>
      </c>
      <c r="O26">
        <v>112</v>
      </c>
    </row>
    <row r="27" spans="1:15" x14ac:dyDescent="0.25">
      <c r="A27" t="s">
        <v>24</v>
      </c>
      <c r="D27" s="6" t="s">
        <v>26</v>
      </c>
      <c r="E27" s="6">
        <v>1983</v>
      </c>
      <c r="F27" s="6">
        <v>1</v>
      </c>
      <c r="G27" s="6">
        <v>3</v>
      </c>
      <c r="H27" s="6">
        <v>1</v>
      </c>
      <c r="K27" s="6">
        <v>133</v>
      </c>
      <c r="M27" s="13">
        <v>45771</v>
      </c>
      <c r="N27">
        <v>8</v>
      </c>
      <c r="O27">
        <v>114</v>
      </c>
    </row>
    <row r="28" spans="1:15" x14ac:dyDescent="0.25">
      <c r="A28" t="s">
        <v>24</v>
      </c>
      <c r="D28" s="6" t="s">
        <v>26</v>
      </c>
      <c r="E28" s="6">
        <v>1983</v>
      </c>
      <c r="F28" s="6">
        <v>1</v>
      </c>
      <c r="G28" s="6">
        <v>3</v>
      </c>
      <c r="H28" s="6">
        <v>1</v>
      </c>
      <c r="K28" s="6">
        <v>133</v>
      </c>
      <c r="M28" s="13">
        <v>45772</v>
      </c>
      <c r="N28">
        <v>17</v>
      </c>
      <c r="O28">
        <v>115</v>
      </c>
    </row>
    <row r="29" spans="1:15" x14ac:dyDescent="0.25">
      <c r="A29" t="s">
        <v>24</v>
      </c>
      <c r="D29" s="6" t="s">
        <v>26</v>
      </c>
      <c r="E29" s="6">
        <v>1983</v>
      </c>
      <c r="F29" s="6">
        <v>1</v>
      </c>
      <c r="G29" s="6">
        <v>3</v>
      </c>
      <c r="H29" s="6">
        <v>1</v>
      </c>
      <c r="K29" s="6">
        <v>133</v>
      </c>
      <c r="M29" s="13">
        <v>45775</v>
      </c>
      <c r="N29">
        <v>29</v>
      </c>
      <c r="O29">
        <v>118</v>
      </c>
    </row>
    <row r="30" spans="1:15" x14ac:dyDescent="0.25">
      <c r="A30" t="s">
        <v>24</v>
      </c>
      <c r="D30" s="6" t="s">
        <v>26</v>
      </c>
      <c r="E30" s="6">
        <v>1983</v>
      </c>
      <c r="F30" s="6">
        <v>1</v>
      </c>
      <c r="G30" s="6">
        <v>3</v>
      </c>
      <c r="H30" s="6">
        <v>1</v>
      </c>
      <c r="K30" s="6">
        <v>133</v>
      </c>
      <c r="M30" s="13">
        <v>45778</v>
      </c>
      <c r="N30">
        <v>29</v>
      </c>
      <c r="O30">
        <v>121</v>
      </c>
    </row>
    <row r="31" spans="1:15" x14ac:dyDescent="0.25">
      <c r="A31" t="s">
        <v>24</v>
      </c>
      <c r="D31" s="6" t="s">
        <v>26</v>
      </c>
      <c r="E31" s="6">
        <v>1983</v>
      </c>
      <c r="F31" s="6">
        <v>1</v>
      </c>
      <c r="G31" s="6">
        <v>3</v>
      </c>
      <c r="H31" s="6">
        <v>1</v>
      </c>
      <c r="K31" s="6">
        <v>133</v>
      </c>
      <c r="M31" s="13">
        <v>45782</v>
      </c>
      <c r="N31">
        <v>30</v>
      </c>
      <c r="O31">
        <v>125</v>
      </c>
    </row>
    <row r="32" spans="1:15" x14ac:dyDescent="0.25">
      <c r="A32" t="s">
        <v>24</v>
      </c>
      <c r="D32" s="6" t="s">
        <v>26</v>
      </c>
      <c r="E32" s="6">
        <v>1983</v>
      </c>
      <c r="F32" s="6">
        <v>1</v>
      </c>
      <c r="G32" s="6">
        <v>3</v>
      </c>
      <c r="H32" s="6">
        <v>1</v>
      </c>
      <c r="K32" s="6">
        <v>133</v>
      </c>
      <c r="M32" s="13">
        <v>45793</v>
      </c>
      <c r="O32">
        <v>136</v>
      </c>
    </row>
    <row r="33" spans="1:15" x14ac:dyDescent="0.25">
      <c r="A33" t="s">
        <v>24</v>
      </c>
      <c r="D33" s="6" t="s">
        <v>26</v>
      </c>
      <c r="E33" s="6">
        <v>1983</v>
      </c>
      <c r="F33" s="6">
        <v>1</v>
      </c>
      <c r="G33" s="6">
        <v>3</v>
      </c>
      <c r="H33" s="6">
        <v>1</v>
      </c>
      <c r="K33" s="6">
        <v>133</v>
      </c>
      <c r="M33" s="13">
        <v>45796</v>
      </c>
      <c r="O33">
        <v>139</v>
      </c>
    </row>
    <row r="34" spans="1:15" x14ac:dyDescent="0.25">
      <c r="A34" t="s">
        <v>24</v>
      </c>
      <c r="D34" s="6" t="s">
        <v>26</v>
      </c>
      <c r="E34" s="6">
        <v>1983</v>
      </c>
      <c r="F34" s="6">
        <v>1</v>
      </c>
      <c r="G34" s="6">
        <v>3</v>
      </c>
      <c r="H34" s="6">
        <v>1</v>
      </c>
      <c r="K34" s="6">
        <v>133</v>
      </c>
      <c r="M34" s="13">
        <v>45800</v>
      </c>
      <c r="O34">
        <v>143</v>
      </c>
    </row>
    <row r="35" spans="1:15" x14ac:dyDescent="0.25">
      <c r="A35" t="s">
        <v>24</v>
      </c>
      <c r="D35" s="6" t="s">
        <v>26</v>
      </c>
      <c r="E35" s="6">
        <v>1983</v>
      </c>
      <c r="F35" s="6">
        <v>1</v>
      </c>
      <c r="G35" s="6">
        <v>3</v>
      </c>
      <c r="H35" s="6">
        <v>1</v>
      </c>
      <c r="K35" s="6">
        <v>133</v>
      </c>
      <c r="M35" s="13">
        <v>45804</v>
      </c>
      <c r="O35">
        <v>147</v>
      </c>
    </row>
    <row r="36" spans="1:15" x14ac:dyDescent="0.25">
      <c r="A36" t="s">
        <v>24</v>
      </c>
      <c r="D36" s="6" t="s">
        <v>26</v>
      </c>
      <c r="E36" s="6">
        <v>1983</v>
      </c>
      <c r="F36" s="6">
        <v>1</v>
      </c>
      <c r="G36" s="6">
        <v>3</v>
      </c>
      <c r="H36" s="6">
        <v>1</v>
      </c>
      <c r="K36" s="6">
        <v>133</v>
      </c>
      <c r="M36" s="13">
        <v>45807</v>
      </c>
      <c r="O36">
        <v>150</v>
      </c>
    </row>
    <row r="37" spans="1:15" x14ac:dyDescent="0.25">
      <c r="A37" t="s">
        <v>24</v>
      </c>
      <c r="D37" s="6" t="s">
        <v>26</v>
      </c>
      <c r="E37" s="6">
        <v>1983</v>
      </c>
      <c r="F37" s="6">
        <v>1</v>
      </c>
      <c r="G37" s="6">
        <v>3</v>
      </c>
      <c r="H37" s="6">
        <v>1</v>
      </c>
      <c r="K37" s="6">
        <v>133</v>
      </c>
      <c r="M37" s="13">
        <v>45810</v>
      </c>
      <c r="O37">
        <v>153</v>
      </c>
    </row>
    <row r="38" spans="1:15" x14ac:dyDescent="0.25">
      <c r="A38" t="s">
        <v>24</v>
      </c>
      <c r="D38" s="6" t="s">
        <v>29</v>
      </c>
      <c r="E38" s="6">
        <v>1999</v>
      </c>
      <c r="F38" s="6">
        <v>1</v>
      </c>
      <c r="G38" s="6">
        <v>4</v>
      </c>
      <c r="H38" s="6">
        <v>1</v>
      </c>
      <c r="K38" s="6">
        <v>149</v>
      </c>
      <c r="M38" s="13">
        <v>45769</v>
      </c>
      <c r="N38">
        <v>0</v>
      </c>
      <c r="O38">
        <v>112</v>
      </c>
    </row>
    <row r="39" spans="1:15" x14ac:dyDescent="0.25">
      <c r="A39" t="s">
        <v>24</v>
      </c>
      <c r="D39" s="6" t="s">
        <v>29</v>
      </c>
      <c r="E39" s="6">
        <v>1999</v>
      </c>
      <c r="F39" s="6">
        <v>1</v>
      </c>
      <c r="G39" s="6">
        <v>4</v>
      </c>
      <c r="H39" s="6">
        <v>1</v>
      </c>
      <c r="K39" s="6">
        <v>149</v>
      </c>
      <c r="M39" s="13">
        <v>45771</v>
      </c>
      <c r="N39">
        <v>2</v>
      </c>
      <c r="O39">
        <v>114</v>
      </c>
    </row>
    <row r="40" spans="1:15" x14ac:dyDescent="0.25">
      <c r="A40" t="s">
        <v>24</v>
      </c>
      <c r="D40" s="6" t="s">
        <v>29</v>
      </c>
      <c r="E40" s="6">
        <v>1999</v>
      </c>
      <c r="F40" s="6">
        <v>1</v>
      </c>
      <c r="G40" s="6">
        <v>4</v>
      </c>
      <c r="H40" s="6">
        <v>1</v>
      </c>
      <c r="K40" s="6">
        <v>149</v>
      </c>
      <c r="M40" s="13">
        <v>45772</v>
      </c>
      <c r="N40">
        <v>5</v>
      </c>
      <c r="O40">
        <v>115</v>
      </c>
    </row>
    <row r="41" spans="1:15" x14ac:dyDescent="0.25">
      <c r="A41" t="s">
        <v>24</v>
      </c>
      <c r="D41" s="6" t="s">
        <v>29</v>
      </c>
      <c r="E41" s="6">
        <v>1999</v>
      </c>
      <c r="F41" s="6">
        <v>1</v>
      </c>
      <c r="G41" s="6">
        <v>4</v>
      </c>
      <c r="H41" s="6">
        <v>1</v>
      </c>
      <c r="K41" s="6">
        <v>149</v>
      </c>
      <c r="M41" s="13">
        <v>45775</v>
      </c>
      <c r="N41">
        <v>15</v>
      </c>
      <c r="O41">
        <v>118</v>
      </c>
    </row>
    <row r="42" spans="1:15" x14ac:dyDescent="0.25">
      <c r="A42" t="s">
        <v>24</v>
      </c>
      <c r="D42" s="6" t="s">
        <v>29</v>
      </c>
      <c r="E42" s="6">
        <v>1999</v>
      </c>
      <c r="F42" s="6">
        <v>1</v>
      </c>
      <c r="G42" s="6">
        <v>4</v>
      </c>
      <c r="H42" s="6">
        <v>1</v>
      </c>
      <c r="K42" s="6">
        <v>149</v>
      </c>
      <c r="M42" s="13">
        <v>45778</v>
      </c>
      <c r="N42">
        <v>17</v>
      </c>
      <c r="O42">
        <v>121</v>
      </c>
    </row>
    <row r="43" spans="1:15" x14ac:dyDescent="0.25">
      <c r="A43" t="s">
        <v>24</v>
      </c>
      <c r="D43" s="6" t="s">
        <v>29</v>
      </c>
      <c r="E43" s="6">
        <v>1999</v>
      </c>
      <c r="F43" s="6">
        <v>1</v>
      </c>
      <c r="G43" s="6">
        <v>4</v>
      </c>
      <c r="H43" s="6">
        <v>1</v>
      </c>
      <c r="K43" s="6">
        <v>149</v>
      </c>
      <c r="M43" s="13">
        <v>45782</v>
      </c>
      <c r="N43">
        <v>17</v>
      </c>
      <c r="O43">
        <v>125</v>
      </c>
    </row>
    <row r="44" spans="1:15" x14ac:dyDescent="0.25">
      <c r="A44" t="s">
        <v>24</v>
      </c>
      <c r="D44" s="6" t="s">
        <v>29</v>
      </c>
      <c r="E44" s="6">
        <v>1999</v>
      </c>
      <c r="F44" s="6">
        <v>1</v>
      </c>
      <c r="G44" s="6">
        <v>4</v>
      </c>
      <c r="H44" s="6">
        <v>1</v>
      </c>
      <c r="K44" s="6">
        <v>149</v>
      </c>
      <c r="M44" s="13">
        <v>45793</v>
      </c>
      <c r="O44">
        <v>136</v>
      </c>
    </row>
    <row r="45" spans="1:15" x14ac:dyDescent="0.25">
      <c r="A45" t="s">
        <v>24</v>
      </c>
      <c r="D45" s="6" t="s">
        <v>29</v>
      </c>
      <c r="E45" s="6">
        <v>1999</v>
      </c>
      <c r="F45" s="6">
        <v>1</v>
      </c>
      <c r="G45" s="6">
        <v>4</v>
      </c>
      <c r="H45" s="6">
        <v>1</v>
      </c>
      <c r="K45" s="6">
        <v>149</v>
      </c>
      <c r="M45" s="13">
        <v>45796</v>
      </c>
      <c r="O45">
        <v>139</v>
      </c>
    </row>
    <row r="46" spans="1:15" x14ac:dyDescent="0.25">
      <c r="A46" t="s">
        <v>24</v>
      </c>
      <c r="D46" s="6" t="s">
        <v>29</v>
      </c>
      <c r="E46" s="6">
        <v>1999</v>
      </c>
      <c r="F46" s="6">
        <v>1</v>
      </c>
      <c r="G46" s="6">
        <v>4</v>
      </c>
      <c r="H46" s="6">
        <v>1</v>
      </c>
      <c r="K46" s="6">
        <v>149</v>
      </c>
      <c r="M46" s="13">
        <v>45800</v>
      </c>
      <c r="O46">
        <v>143</v>
      </c>
    </row>
    <row r="47" spans="1:15" x14ac:dyDescent="0.25">
      <c r="A47" t="s">
        <v>24</v>
      </c>
      <c r="D47" s="6" t="s">
        <v>29</v>
      </c>
      <c r="E47" s="6">
        <v>1999</v>
      </c>
      <c r="F47" s="6">
        <v>1</v>
      </c>
      <c r="G47" s="6">
        <v>4</v>
      </c>
      <c r="H47" s="6">
        <v>1</v>
      </c>
      <c r="K47" s="6">
        <v>149</v>
      </c>
      <c r="M47" s="13">
        <v>45804</v>
      </c>
      <c r="O47">
        <v>147</v>
      </c>
    </row>
    <row r="48" spans="1:15" x14ac:dyDescent="0.25">
      <c r="A48" t="s">
        <v>24</v>
      </c>
      <c r="D48" s="6" t="s">
        <v>29</v>
      </c>
      <c r="E48" s="6">
        <v>1999</v>
      </c>
      <c r="F48" s="6">
        <v>1</v>
      </c>
      <c r="G48" s="6">
        <v>4</v>
      </c>
      <c r="H48" s="6">
        <v>1</v>
      </c>
      <c r="K48" s="6">
        <v>149</v>
      </c>
      <c r="M48" s="13">
        <v>45807</v>
      </c>
      <c r="O48">
        <v>150</v>
      </c>
    </row>
    <row r="49" spans="1:15" x14ac:dyDescent="0.25">
      <c r="A49" t="s">
        <v>24</v>
      </c>
      <c r="D49" s="6" t="s">
        <v>29</v>
      </c>
      <c r="E49" s="6">
        <v>1999</v>
      </c>
      <c r="F49" s="6">
        <v>1</v>
      </c>
      <c r="G49" s="6">
        <v>4</v>
      </c>
      <c r="H49" s="6">
        <v>1</v>
      </c>
      <c r="K49" s="6">
        <v>149</v>
      </c>
      <c r="M49" s="13">
        <v>45810</v>
      </c>
      <c r="O49">
        <v>153</v>
      </c>
    </row>
    <row r="50" spans="1:15" x14ac:dyDescent="0.25">
      <c r="A50" t="s">
        <v>24</v>
      </c>
      <c r="D50" s="6" t="s">
        <v>312</v>
      </c>
      <c r="E50" s="6">
        <v>2002</v>
      </c>
      <c r="F50" s="6">
        <v>1</v>
      </c>
      <c r="G50" s="6">
        <v>1</v>
      </c>
      <c r="H50" s="6">
        <v>2</v>
      </c>
      <c r="K50" s="6">
        <v>102</v>
      </c>
      <c r="M50" s="13">
        <v>45769</v>
      </c>
      <c r="N50">
        <v>0</v>
      </c>
      <c r="O50">
        <v>112</v>
      </c>
    </row>
    <row r="51" spans="1:15" x14ac:dyDescent="0.25">
      <c r="A51" t="s">
        <v>24</v>
      </c>
      <c r="D51" s="6" t="s">
        <v>312</v>
      </c>
      <c r="E51" s="6">
        <v>2002</v>
      </c>
      <c r="F51" s="6">
        <v>1</v>
      </c>
      <c r="G51" s="6">
        <v>1</v>
      </c>
      <c r="H51" s="6">
        <v>2</v>
      </c>
      <c r="K51" s="6">
        <v>102</v>
      </c>
      <c r="M51" s="13">
        <v>45771</v>
      </c>
      <c r="N51">
        <v>12</v>
      </c>
      <c r="O51">
        <v>114</v>
      </c>
    </row>
    <row r="52" spans="1:15" x14ac:dyDescent="0.25">
      <c r="A52" t="s">
        <v>24</v>
      </c>
      <c r="D52" s="6" t="s">
        <v>312</v>
      </c>
      <c r="E52" s="6">
        <v>2002</v>
      </c>
      <c r="F52" s="6">
        <v>1</v>
      </c>
      <c r="G52" s="6">
        <v>1</v>
      </c>
      <c r="H52" s="6">
        <v>2</v>
      </c>
      <c r="K52" s="6">
        <v>102</v>
      </c>
      <c r="M52" s="13">
        <v>45772</v>
      </c>
      <c r="N52">
        <v>22</v>
      </c>
      <c r="O52">
        <v>115</v>
      </c>
    </row>
    <row r="53" spans="1:15" x14ac:dyDescent="0.25">
      <c r="A53" t="s">
        <v>24</v>
      </c>
      <c r="D53" s="6" t="s">
        <v>312</v>
      </c>
      <c r="E53" s="6">
        <v>2002</v>
      </c>
      <c r="F53" s="6">
        <v>1</v>
      </c>
      <c r="G53" s="6">
        <v>1</v>
      </c>
      <c r="H53" s="6">
        <v>2</v>
      </c>
      <c r="K53" s="6">
        <v>102</v>
      </c>
      <c r="M53" s="13">
        <v>45775</v>
      </c>
      <c r="N53">
        <v>25</v>
      </c>
      <c r="O53">
        <v>118</v>
      </c>
    </row>
    <row r="54" spans="1:15" x14ac:dyDescent="0.25">
      <c r="A54" t="s">
        <v>24</v>
      </c>
      <c r="D54" s="6" t="s">
        <v>312</v>
      </c>
      <c r="E54" s="6">
        <v>2002</v>
      </c>
      <c r="F54" s="6">
        <v>1</v>
      </c>
      <c r="G54" s="6">
        <v>1</v>
      </c>
      <c r="H54" s="6">
        <v>2</v>
      </c>
      <c r="K54" s="6">
        <v>102</v>
      </c>
      <c r="M54" s="13">
        <v>45778</v>
      </c>
      <c r="N54">
        <v>25</v>
      </c>
      <c r="O54">
        <v>121</v>
      </c>
    </row>
    <row r="55" spans="1:15" x14ac:dyDescent="0.25">
      <c r="A55" t="s">
        <v>24</v>
      </c>
      <c r="D55" s="6" t="s">
        <v>312</v>
      </c>
      <c r="E55" s="6">
        <v>2002</v>
      </c>
      <c r="F55" s="6">
        <v>1</v>
      </c>
      <c r="G55" s="6">
        <v>1</v>
      </c>
      <c r="H55" s="6">
        <v>2</v>
      </c>
      <c r="K55" s="6">
        <v>102</v>
      </c>
      <c r="M55" s="13">
        <v>45782</v>
      </c>
      <c r="N55">
        <v>25</v>
      </c>
      <c r="O55">
        <v>125</v>
      </c>
    </row>
    <row r="56" spans="1:15" x14ac:dyDescent="0.25">
      <c r="A56" t="s">
        <v>24</v>
      </c>
      <c r="D56" s="6" t="s">
        <v>312</v>
      </c>
      <c r="E56" s="6">
        <v>2002</v>
      </c>
      <c r="F56" s="6">
        <v>1</v>
      </c>
      <c r="G56" s="6">
        <v>1</v>
      </c>
      <c r="H56" s="6">
        <v>2</v>
      </c>
      <c r="K56" s="6">
        <v>102</v>
      </c>
      <c r="M56" s="13">
        <v>45793</v>
      </c>
      <c r="O56">
        <v>136</v>
      </c>
    </row>
    <row r="57" spans="1:15" x14ac:dyDescent="0.25">
      <c r="A57" t="s">
        <v>24</v>
      </c>
      <c r="D57" s="6" t="s">
        <v>312</v>
      </c>
      <c r="E57" s="6">
        <v>2002</v>
      </c>
      <c r="F57" s="6">
        <v>1</v>
      </c>
      <c r="G57" s="6">
        <v>1</v>
      </c>
      <c r="H57" s="6">
        <v>2</v>
      </c>
      <c r="K57" s="6">
        <v>102</v>
      </c>
      <c r="M57" s="13">
        <v>45796</v>
      </c>
      <c r="O57">
        <v>139</v>
      </c>
    </row>
    <row r="58" spans="1:15" x14ac:dyDescent="0.25">
      <c r="A58" t="s">
        <v>24</v>
      </c>
      <c r="D58" s="6" t="s">
        <v>312</v>
      </c>
      <c r="E58" s="6">
        <v>2002</v>
      </c>
      <c r="F58" s="6">
        <v>1</v>
      </c>
      <c r="G58" s="6">
        <v>1</v>
      </c>
      <c r="H58" s="6">
        <v>2</v>
      </c>
      <c r="K58" s="6">
        <v>102</v>
      </c>
      <c r="M58" s="13">
        <v>45800</v>
      </c>
      <c r="O58">
        <v>143</v>
      </c>
    </row>
    <row r="59" spans="1:15" x14ac:dyDescent="0.25">
      <c r="A59" t="s">
        <v>24</v>
      </c>
      <c r="D59" s="6" t="s">
        <v>312</v>
      </c>
      <c r="E59" s="6">
        <v>2002</v>
      </c>
      <c r="F59" s="6">
        <v>1</v>
      </c>
      <c r="G59" s="6">
        <v>1</v>
      </c>
      <c r="H59" s="6">
        <v>2</v>
      </c>
      <c r="K59" s="6">
        <v>102</v>
      </c>
      <c r="M59" s="13">
        <v>45804</v>
      </c>
      <c r="O59">
        <v>147</v>
      </c>
    </row>
    <row r="60" spans="1:15" x14ac:dyDescent="0.25">
      <c r="A60" t="s">
        <v>24</v>
      </c>
      <c r="D60" s="6" t="s">
        <v>312</v>
      </c>
      <c r="E60" s="6">
        <v>2002</v>
      </c>
      <c r="F60" s="6">
        <v>1</v>
      </c>
      <c r="G60" s="6">
        <v>1</v>
      </c>
      <c r="H60" s="6">
        <v>2</v>
      </c>
      <c r="K60" s="6">
        <v>102</v>
      </c>
      <c r="M60" s="13">
        <v>45807</v>
      </c>
      <c r="O60">
        <v>150</v>
      </c>
    </row>
    <row r="61" spans="1:15" x14ac:dyDescent="0.25">
      <c r="A61" t="s">
        <v>24</v>
      </c>
      <c r="D61" s="6" t="s">
        <v>312</v>
      </c>
      <c r="E61" s="6">
        <v>2002</v>
      </c>
      <c r="F61" s="6">
        <v>1</v>
      </c>
      <c r="G61" s="6">
        <v>1</v>
      </c>
      <c r="H61" s="6">
        <v>2</v>
      </c>
      <c r="K61" s="6">
        <v>102</v>
      </c>
      <c r="M61" s="13">
        <v>45810</v>
      </c>
      <c r="O61">
        <v>153</v>
      </c>
    </row>
    <row r="62" spans="1:15" x14ac:dyDescent="0.25">
      <c r="A62" t="s">
        <v>24</v>
      </c>
      <c r="D62" s="6" t="s">
        <v>311</v>
      </c>
      <c r="E62" s="6">
        <v>2023</v>
      </c>
      <c r="F62" s="6">
        <v>1</v>
      </c>
      <c r="G62" s="6">
        <v>2</v>
      </c>
      <c r="H62" s="6">
        <v>2</v>
      </c>
      <c r="K62" s="6">
        <v>118</v>
      </c>
      <c r="M62" s="13">
        <v>45769</v>
      </c>
      <c r="N62">
        <v>0</v>
      </c>
      <c r="O62">
        <v>112</v>
      </c>
    </row>
    <row r="63" spans="1:15" x14ac:dyDescent="0.25">
      <c r="A63" t="s">
        <v>24</v>
      </c>
      <c r="D63" s="6" t="s">
        <v>311</v>
      </c>
      <c r="E63" s="6">
        <v>2023</v>
      </c>
      <c r="F63" s="6">
        <v>1</v>
      </c>
      <c r="G63" s="6">
        <v>2</v>
      </c>
      <c r="H63" s="6">
        <v>2</v>
      </c>
      <c r="K63" s="6">
        <v>118</v>
      </c>
      <c r="M63" s="13">
        <v>45771</v>
      </c>
      <c r="N63">
        <v>0</v>
      </c>
      <c r="O63">
        <v>114</v>
      </c>
    </row>
    <row r="64" spans="1:15" x14ac:dyDescent="0.25">
      <c r="A64" t="s">
        <v>24</v>
      </c>
      <c r="D64" s="6" t="s">
        <v>311</v>
      </c>
      <c r="E64" s="6">
        <v>2023</v>
      </c>
      <c r="F64" s="6">
        <v>1</v>
      </c>
      <c r="G64" s="6">
        <v>2</v>
      </c>
      <c r="H64" s="6">
        <v>2</v>
      </c>
      <c r="K64" s="6">
        <v>118</v>
      </c>
      <c r="M64" s="13">
        <v>45772</v>
      </c>
      <c r="N64">
        <v>15</v>
      </c>
      <c r="O64">
        <v>115</v>
      </c>
    </row>
    <row r="65" spans="1:15" x14ac:dyDescent="0.25">
      <c r="A65" t="s">
        <v>24</v>
      </c>
      <c r="D65" s="6" t="s">
        <v>311</v>
      </c>
      <c r="E65" s="6">
        <v>2023</v>
      </c>
      <c r="F65" s="6">
        <v>1</v>
      </c>
      <c r="G65" s="6">
        <v>2</v>
      </c>
      <c r="H65" s="6">
        <v>2</v>
      </c>
      <c r="K65" s="6">
        <v>118</v>
      </c>
      <c r="M65" s="13">
        <v>45775</v>
      </c>
      <c r="N65">
        <v>32</v>
      </c>
      <c r="O65">
        <v>118</v>
      </c>
    </row>
    <row r="66" spans="1:15" x14ac:dyDescent="0.25">
      <c r="A66" t="s">
        <v>24</v>
      </c>
      <c r="D66" s="6" t="s">
        <v>311</v>
      </c>
      <c r="E66" s="6">
        <v>2023</v>
      </c>
      <c r="F66" s="6">
        <v>1</v>
      </c>
      <c r="G66" s="6">
        <v>2</v>
      </c>
      <c r="H66" s="6">
        <v>2</v>
      </c>
      <c r="K66" s="6">
        <v>118</v>
      </c>
      <c r="M66" s="13">
        <v>45778</v>
      </c>
      <c r="N66">
        <v>32</v>
      </c>
      <c r="O66">
        <v>121</v>
      </c>
    </row>
    <row r="67" spans="1:15" x14ac:dyDescent="0.25">
      <c r="A67" t="s">
        <v>24</v>
      </c>
      <c r="D67" s="6" t="s">
        <v>311</v>
      </c>
      <c r="E67" s="6">
        <v>2023</v>
      </c>
      <c r="F67" s="6">
        <v>1</v>
      </c>
      <c r="G67" s="6">
        <v>2</v>
      </c>
      <c r="H67" s="6">
        <v>2</v>
      </c>
      <c r="K67" s="6">
        <v>118</v>
      </c>
      <c r="M67" s="13">
        <v>45782</v>
      </c>
      <c r="N67">
        <v>33</v>
      </c>
      <c r="O67">
        <v>125</v>
      </c>
    </row>
    <row r="68" spans="1:15" x14ac:dyDescent="0.25">
      <c r="A68" t="s">
        <v>24</v>
      </c>
      <c r="D68" s="6" t="s">
        <v>311</v>
      </c>
      <c r="E68" s="6">
        <v>2023</v>
      </c>
      <c r="F68" s="6">
        <v>1</v>
      </c>
      <c r="G68" s="6">
        <v>2</v>
      </c>
      <c r="H68" s="6">
        <v>2</v>
      </c>
      <c r="K68" s="6">
        <v>118</v>
      </c>
      <c r="M68" s="13">
        <v>45793</v>
      </c>
      <c r="O68">
        <v>136</v>
      </c>
    </row>
    <row r="69" spans="1:15" x14ac:dyDescent="0.25">
      <c r="A69" t="s">
        <v>24</v>
      </c>
      <c r="D69" s="6" t="s">
        <v>311</v>
      </c>
      <c r="E69" s="6">
        <v>2023</v>
      </c>
      <c r="F69" s="6">
        <v>1</v>
      </c>
      <c r="G69" s="6">
        <v>2</v>
      </c>
      <c r="H69" s="6">
        <v>2</v>
      </c>
      <c r="K69" s="6">
        <v>118</v>
      </c>
      <c r="M69" s="13">
        <v>45796</v>
      </c>
      <c r="O69">
        <v>139</v>
      </c>
    </row>
    <row r="70" spans="1:15" x14ac:dyDescent="0.25">
      <c r="A70" t="s">
        <v>24</v>
      </c>
      <c r="D70" s="6" t="s">
        <v>311</v>
      </c>
      <c r="E70" s="6">
        <v>2023</v>
      </c>
      <c r="F70" s="6">
        <v>1</v>
      </c>
      <c r="G70" s="6">
        <v>2</v>
      </c>
      <c r="H70" s="6">
        <v>2</v>
      </c>
      <c r="K70" s="6">
        <v>118</v>
      </c>
      <c r="M70" s="13">
        <v>45800</v>
      </c>
      <c r="O70">
        <v>143</v>
      </c>
    </row>
    <row r="71" spans="1:15" x14ac:dyDescent="0.25">
      <c r="A71" t="s">
        <v>24</v>
      </c>
      <c r="D71" s="6" t="s">
        <v>311</v>
      </c>
      <c r="E71" s="6">
        <v>2023</v>
      </c>
      <c r="F71" s="6">
        <v>1</v>
      </c>
      <c r="G71" s="6">
        <v>2</v>
      </c>
      <c r="H71" s="6">
        <v>2</v>
      </c>
      <c r="K71" s="6">
        <v>118</v>
      </c>
      <c r="M71" s="13">
        <v>45804</v>
      </c>
      <c r="O71">
        <v>147</v>
      </c>
    </row>
    <row r="72" spans="1:15" x14ac:dyDescent="0.25">
      <c r="A72" t="s">
        <v>24</v>
      </c>
      <c r="D72" s="6" t="s">
        <v>311</v>
      </c>
      <c r="E72" s="6">
        <v>2023</v>
      </c>
      <c r="F72" s="6">
        <v>1</v>
      </c>
      <c r="G72" s="6">
        <v>2</v>
      </c>
      <c r="H72" s="6">
        <v>2</v>
      </c>
      <c r="K72" s="6">
        <v>118</v>
      </c>
      <c r="M72" s="13">
        <v>45807</v>
      </c>
      <c r="O72">
        <v>150</v>
      </c>
    </row>
    <row r="73" spans="1:15" x14ac:dyDescent="0.25">
      <c r="A73" t="s">
        <v>24</v>
      </c>
      <c r="D73" s="6" t="s">
        <v>311</v>
      </c>
      <c r="E73" s="6">
        <v>2023</v>
      </c>
      <c r="F73" s="6">
        <v>1</v>
      </c>
      <c r="G73" s="6">
        <v>2</v>
      </c>
      <c r="H73" s="6">
        <v>2</v>
      </c>
      <c r="K73" s="6">
        <v>118</v>
      </c>
      <c r="M73" s="13">
        <v>45810</v>
      </c>
      <c r="O73">
        <v>153</v>
      </c>
    </row>
    <row r="74" spans="1:15" x14ac:dyDescent="0.25">
      <c r="A74" t="s">
        <v>24</v>
      </c>
      <c r="D74" s="6" t="s">
        <v>27</v>
      </c>
      <c r="E74" s="6">
        <v>1985</v>
      </c>
      <c r="F74" s="6">
        <v>1</v>
      </c>
      <c r="G74" s="6">
        <v>3</v>
      </c>
      <c r="H74" s="6">
        <v>2</v>
      </c>
      <c r="K74" s="6">
        <v>134</v>
      </c>
      <c r="M74" s="13">
        <v>45769</v>
      </c>
      <c r="N74">
        <v>0</v>
      </c>
      <c r="O74">
        <v>112</v>
      </c>
    </row>
    <row r="75" spans="1:15" x14ac:dyDescent="0.25">
      <c r="A75" t="s">
        <v>24</v>
      </c>
      <c r="D75" s="6" t="s">
        <v>27</v>
      </c>
      <c r="E75" s="6">
        <v>1985</v>
      </c>
      <c r="F75" s="6">
        <v>1</v>
      </c>
      <c r="G75" s="6">
        <v>3</v>
      </c>
      <c r="H75" s="6">
        <v>2</v>
      </c>
      <c r="K75" s="6">
        <v>134</v>
      </c>
      <c r="M75" s="13">
        <v>45771</v>
      </c>
      <c r="N75">
        <v>16</v>
      </c>
      <c r="O75">
        <v>114</v>
      </c>
    </row>
    <row r="76" spans="1:15" x14ac:dyDescent="0.25">
      <c r="A76" t="s">
        <v>24</v>
      </c>
      <c r="D76" s="6" t="s">
        <v>27</v>
      </c>
      <c r="E76" s="6">
        <v>1985</v>
      </c>
      <c r="F76" s="6">
        <v>1</v>
      </c>
      <c r="G76" s="6">
        <v>3</v>
      </c>
      <c r="H76" s="6">
        <v>2</v>
      </c>
      <c r="K76" s="6">
        <v>134</v>
      </c>
      <c r="M76" s="13">
        <v>45772</v>
      </c>
      <c r="N76">
        <v>23</v>
      </c>
      <c r="O76">
        <v>115</v>
      </c>
    </row>
    <row r="77" spans="1:15" x14ac:dyDescent="0.25">
      <c r="A77" t="s">
        <v>24</v>
      </c>
      <c r="D77" s="6" t="s">
        <v>27</v>
      </c>
      <c r="E77" s="6">
        <v>1985</v>
      </c>
      <c r="F77" s="6">
        <v>1</v>
      </c>
      <c r="G77" s="6">
        <v>3</v>
      </c>
      <c r="H77" s="6">
        <v>2</v>
      </c>
      <c r="K77" s="6">
        <v>134</v>
      </c>
      <c r="M77" s="13">
        <v>45775</v>
      </c>
      <c r="N77">
        <v>25</v>
      </c>
      <c r="O77">
        <v>118</v>
      </c>
    </row>
    <row r="78" spans="1:15" x14ac:dyDescent="0.25">
      <c r="A78" t="s">
        <v>24</v>
      </c>
      <c r="D78" s="6" t="s">
        <v>27</v>
      </c>
      <c r="E78" s="6">
        <v>1985</v>
      </c>
      <c r="F78" s="6">
        <v>1</v>
      </c>
      <c r="G78" s="6">
        <v>3</v>
      </c>
      <c r="H78" s="6">
        <v>2</v>
      </c>
      <c r="K78" s="6">
        <v>134</v>
      </c>
      <c r="M78" s="13">
        <v>45778</v>
      </c>
      <c r="N78">
        <v>25</v>
      </c>
      <c r="O78">
        <v>121</v>
      </c>
    </row>
    <row r="79" spans="1:15" x14ac:dyDescent="0.25">
      <c r="A79" t="s">
        <v>24</v>
      </c>
      <c r="D79" s="6" t="s">
        <v>27</v>
      </c>
      <c r="E79" s="6">
        <v>1985</v>
      </c>
      <c r="F79" s="6">
        <v>1</v>
      </c>
      <c r="G79" s="6">
        <v>3</v>
      </c>
      <c r="H79" s="6">
        <v>2</v>
      </c>
      <c r="K79" s="6">
        <v>134</v>
      </c>
      <c r="M79" s="13">
        <v>45782</v>
      </c>
      <c r="N79">
        <v>27</v>
      </c>
      <c r="O79">
        <v>125</v>
      </c>
    </row>
    <row r="80" spans="1:15" x14ac:dyDescent="0.25">
      <c r="A80" t="s">
        <v>24</v>
      </c>
      <c r="D80" s="6" t="s">
        <v>27</v>
      </c>
      <c r="E80" s="6">
        <v>1985</v>
      </c>
      <c r="F80" s="6">
        <v>1</v>
      </c>
      <c r="G80" s="6">
        <v>3</v>
      </c>
      <c r="H80" s="6">
        <v>2</v>
      </c>
      <c r="K80" s="6">
        <v>134</v>
      </c>
      <c r="M80" s="13">
        <v>45793</v>
      </c>
      <c r="O80">
        <v>136</v>
      </c>
    </row>
    <row r="81" spans="1:15" x14ac:dyDescent="0.25">
      <c r="A81" t="s">
        <v>24</v>
      </c>
      <c r="D81" s="6" t="s">
        <v>27</v>
      </c>
      <c r="E81" s="6">
        <v>1985</v>
      </c>
      <c r="F81" s="6">
        <v>1</v>
      </c>
      <c r="G81" s="6">
        <v>3</v>
      </c>
      <c r="H81" s="6">
        <v>2</v>
      </c>
      <c r="K81" s="6">
        <v>134</v>
      </c>
      <c r="M81" s="13">
        <v>45796</v>
      </c>
      <c r="O81">
        <v>139</v>
      </c>
    </row>
    <row r="82" spans="1:15" x14ac:dyDescent="0.25">
      <c r="A82" t="s">
        <v>24</v>
      </c>
      <c r="D82" s="6" t="s">
        <v>27</v>
      </c>
      <c r="E82" s="6">
        <v>1985</v>
      </c>
      <c r="F82" s="6">
        <v>1</v>
      </c>
      <c r="G82" s="6">
        <v>3</v>
      </c>
      <c r="H82" s="6">
        <v>2</v>
      </c>
      <c r="K82" s="6">
        <v>134</v>
      </c>
      <c r="M82" s="13">
        <v>45800</v>
      </c>
      <c r="O82">
        <v>143</v>
      </c>
    </row>
    <row r="83" spans="1:15" x14ac:dyDescent="0.25">
      <c r="A83" t="s">
        <v>24</v>
      </c>
      <c r="D83" s="6" t="s">
        <v>27</v>
      </c>
      <c r="E83" s="6">
        <v>1985</v>
      </c>
      <c r="F83" s="6">
        <v>1</v>
      </c>
      <c r="G83" s="6">
        <v>3</v>
      </c>
      <c r="H83" s="6">
        <v>2</v>
      </c>
      <c r="K83" s="6">
        <v>134</v>
      </c>
      <c r="M83" s="13">
        <v>45804</v>
      </c>
      <c r="O83">
        <v>147</v>
      </c>
    </row>
    <row r="84" spans="1:15" x14ac:dyDescent="0.25">
      <c r="A84" t="s">
        <v>24</v>
      </c>
      <c r="D84" s="6" t="s">
        <v>27</v>
      </c>
      <c r="E84" s="6">
        <v>1985</v>
      </c>
      <c r="F84" s="6">
        <v>1</v>
      </c>
      <c r="G84" s="6">
        <v>3</v>
      </c>
      <c r="H84" s="6">
        <v>2</v>
      </c>
      <c r="K84" s="6">
        <v>134</v>
      </c>
      <c r="M84" s="13">
        <v>45807</v>
      </c>
      <c r="O84">
        <v>150</v>
      </c>
    </row>
    <row r="85" spans="1:15" x14ac:dyDescent="0.25">
      <c r="A85" t="s">
        <v>24</v>
      </c>
      <c r="D85" s="6" t="s">
        <v>27</v>
      </c>
      <c r="E85" s="6">
        <v>1985</v>
      </c>
      <c r="F85" s="6">
        <v>1</v>
      </c>
      <c r="G85" s="6">
        <v>3</v>
      </c>
      <c r="H85" s="6">
        <v>2</v>
      </c>
      <c r="K85" s="6">
        <v>134</v>
      </c>
      <c r="M85" s="13">
        <v>45810</v>
      </c>
      <c r="O85">
        <v>153</v>
      </c>
    </row>
    <row r="86" spans="1:15" x14ac:dyDescent="0.25">
      <c r="A86" t="s">
        <v>24</v>
      </c>
      <c r="D86" s="6" t="s">
        <v>32</v>
      </c>
      <c r="E86" s="6">
        <v>2018</v>
      </c>
      <c r="F86" s="6">
        <v>1</v>
      </c>
      <c r="G86" s="6">
        <v>4</v>
      </c>
      <c r="H86" s="6">
        <v>2</v>
      </c>
      <c r="K86" s="6">
        <v>150</v>
      </c>
      <c r="M86" s="13">
        <v>45769</v>
      </c>
      <c r="N86">
        <v>0</v>
      </c>
      <c r="O86">
        <v>112</v>
      </c>
    </row>
    <row r="87" spans="1:15" x14ac:dyDescent="0.25">
      <c r="A87" t="s">
        <v>24</v>
      </c>
      <c r="D87" s="6" t="s">
        <v>32</v>
      </c>
      <c r="E87" s="6">
        <v>2018</v>
      </c>
      <c r="F87" s="6">
        <v>1</v>
      </c>
      <c r="G87" s="6">
        <v>4</v>
      </c>
      <c r="H87" s="6">
        <v>2</v>
      </c>
      <c r="K87" s="6">
        <v>150</v>
      </c>
      <c r="M87" s="13">
        <v>45771</v>
      </c>
      <c r="N87">
        <v>10</v>
      </c>
      <c r="O87">
        <v>114</v>
      </c>
    </row>
    <row r="88" spans="1:15" x14ac:dyDescent="0.25">
      <c r="A88" t="s">
        <v>24</v>
      </c>
      <c r="D88" s="6" t="s">
        <v>32</v>
      </c>
      <c r="E88" s="6">
        <v>2018</v>
      </c>
      <c r="F88" s="6">
        <v>1</v>
      </c>
      <c r="G88" s="6">
        <v>4</v>
      </c>
      <c r="H88" s="6">
        <v>2</v>
      </c>
      <c r="K88" s="6">
        <v>150</v>
      </c>
      <c r="M88" s="13">
        <v>45772</v>
      </c>
      <c r="N88">
        <v>18</v>
      </c>
      <c r="O88">
        <v>115</v>
      </c>
    </row>
    <row r="89" spans="1:15" x14ac:dyDescent="0.25">
      <c r="A89" t="s">
        <v>24</v>
      </c>
      <c r="D89" s="6" t="s">
        <v>32</v>
      </c>
      <c r="E89" s="6">
        <v>2018</v>
      </c>
      <c r="F89" s="6">
        <v>1</v>
      </c>
      <c r="G89" s="6">
        <v>4</v>
      </c>
      <c r="H89" s="6">
        <v>2</v>
      </c>
      <c r="K89" s="6">
        <v>150</v>
      </c>
      <c r="M89" s="13">
        <v>45775</v>
      </c>
      <c r="N89">
        <v>26</v>
      </c>
      <c r="O89">
        <v>118</v>
      </c>
    </row>
    <row r="90" spans="1:15" x14ac:dyDescent="0.25">
      <c r="A90" t="s">
        <v>24</v>
      </c>
      <c r="D90" s="6" t="s">
        <v>32</v>
      </c>
      <c r="E90" s="6">
        <v>2018</v>
      </c>
      <c r="F90" s="6">
        <v>1</v>
      </c>
      <c r="G90" s="6">
        <v>4</v>
      </c>
      <c r="H90" s="6">
        <v>2</v>
      </c>
      <c r="K90" s="6">
        <v>150</v>
      </c>
      <c r="M90" s="13">
        <v>45778</v>
      </c>
      <c r="N90">
        <v>32</v>
      </c>
      <c r="O90">
        <v>121</v>
      </c>
    </row>
    <row r="91" spans="1:15" x14ac:dyDescent="0.25">
      <c r="A91" t="s">
        <v>24</v>
      </c>
      <c r="D91" s="6" t="s">
        <v>32</v>
      </c>
      <c r="E91" s="6">
        <v>2018</v>
      </c>
      <c r="F91" s="6">
        <v>1</v>
      </c>
      <c r="G91" s="6">
        <v>4</v>
      </c>
      <c r="H91" s="6">
        <v>2</v>
      </c>
      <c r="K91" s="6">
        <v>150</v>
      </c>
      <c r="M91" s="13">
        <v>45782</v>
      </c>
      <c r="N91">
        <v>32</v>
      </c>
      <c r="O91">
        <v>125</v>
      </c>
    </row>
    <row r="92" spans="1:15" x14ac:dyDescent="0.25">
      <c r="A92" t="s">
        <v>24</v>
      </c>
      <c r="D92" s="6" t="s">
        <v>32</v>
      </c>
      <c r="E92" s="6">
        <v>2018</v>
      </c>
      <c r="F92" s="6">
        <v>1</v>
      </c>
      <c r="G92" s="6">
        <v>4</v>
      </c>
      <c r="H92" s="6">
        <v>2</v>
      </c>
      <c r="K92" s="6">
        <v>150</v>
      </c>
      <c r="M92" s="13">
        <v>45793</v>
      </c>
      <c r="O92">
        <v>136</v>
      </c>
    </row>
    <row r="93" spans="1:15" x14ac:dyDescent="0.25">
      <c r="A93" t="s">
        <v>24</v>
      </c>
      <c r="D93" s="6" t="s">
        <v>32</v>
      </c>
      <c r="E93" s="6">
        <v>2018</v>
      </c>
      <c r="F93" s="6">
        <v>1</v>
      </c>
      <c r="G93" s="6">
        <v>4</v>
      </c>
      <c r="H93" s="6">
        <v>2</v>
      </c>
      <c r="K93" s="6">
        <v>150</v>
      </c>
      <c r="M93" s="13">
        <v>45796</v>
      </c>
      <c r="O93">
        <v>139</v>
      </c>
    </row>
    <row r="94" spans="1:15" x14ac:dyDescent="0.25">
      <c r="A94" t="s">
        <v>24</v>
      </c>
      <c r="D94" s="6" t="s">
        <v>32</v>
      </c>
      <c r="E94" s="6">
        <v>2018</v>
      </c>
      <c r="F94" s="6">
        <v>1</v>
      </c>
      <c r="G94" s="6">
        <v>4</v>
      </c>
      <c r="H94" s="6">
        <v>2</v>
      </c>
      <c r="K94" s="6">
        <v>150</v>
      </c>
      <c r="M94" s="13">
        <v>45800</v>
      </c>
      <c r="O94">
        <v>143</v>
      </c>
    </row>
    <row r="95" spans="1:15" x14ac:dyDescent="0.25">
      <c r="A95" t="s">
        <v>24</v>
      </c>
      <c r="D95" s="6" t="s">
        <v>32</v>
      </c>
      <c r="E95" s="6">
        <v>2018</v>
      </c>
      <c r="F95" s="6">
        <v>1</v>
      </c>
      <c r="G95" s="6">
        <v>4</v>
      </c>
      <c r="H95" s="6">
        <v>2</v>
      </c>
      <c r="K95" s="6">
        <v>150</v>
      </c>
      <c r="M95" s="13">
        <v>45804</v>
      </c>
      <c r="O95">
        <v>147</v>
      </c>
    </row>
    <row r="96" spans="1:15" x14ac:dyDescent="0.25">
      <c r="A96" t="s">
        <v>24</v>
      </c>
      <c r="D96" s="6" t="s">
        <v>32</v>
      </c>
      <c r="E96" s="6">
        <v>2018</v>
      </c>
      <c r="F96" s="6">
        <v>1</v>
      </c>
      <c r="G96" s="6">
        <v>4</v>
      </c>
      <c r="H96" s="6">
        <v>2</v>
      </c>
      <c r="K96" s="6">
        <v>150</v>
      </c>
      <c r="M96" s="13">
        <v>45807</v>
      </c>
      <c r="O96">
        <v>150</v>
      </c>
    </row>
    <row r="97" spans="1:15" x14ac:dyDescent="0.25">
      <c r="A97" t="s">
        <v>24</v>
      </c>
      <c r="D97" s="6" t="s">
        <v>32</v>
      </c>
      <c r="E97" s="6">
        <v>2018</v>
      </c>
      <c r="F97" s="6">
        <v>1</v>
      </c>
      <c r="G97" s="6">
        <v>4</v>
      </c>
      <c r="H97" s="6">
        <v>2</v>
      </c>
      <c r="K97" s="6">
        <v>150</v>
      </c>
      <c r="M97" s="13">
        <v>45810</v>
      </c>
      <c r="O97">
        <v>153</v>
      </c>
    </row>
    <row r="98" spans="1:15" x14ac:dyDescent="0.25">
      <c r="A98" t="s">
        <v>34</v>
      </c>
      <c r="D98" s="6" t="s">
        <v>39</v>
      </c>
      <c r="E98" s="6">
        <v>2001</v>
      </c>
      <c r="F98" s="6">
        <v>1</v>
      </c>
      <c r="G98" s="6">
        <v>1</v>
      </c>
      <c r="H98" s="6">
        <v>3</v>
      </c>
      <c r="K98" s="6">
        <v>103</v>
      </c>
      <c r="M98" s="13">
        <v>45769</v>
      </c>
      <c r="O98">
        <v>112</v>
      </c>
    </row>
    <row r="99" spans="1:15" x14ac:dyDescent="0.25">
      <c r="A99" t="s">
        <v>34</v>
      </c>
      <c r="D99" s="6" t="s">
        <v>39</v>
      </c>
      <c r="E99" s="6">
        <v>2001</v>
      </c>
      <c r="F99" s="6">
        <v>1</v>
      </c>
      <c r="G99" s="6">
        <v>1</v>
      </c>
      <c r="H99" s="6">
        <v>3</v>
      </c>
      <c r="K99" s="6">
        <v>103</v>
      </c>
      <c r="M99" s="13">
        <v>45771</v>
      </c>
      <c r="O99">
        <v>114</v>
      </c>
    </row>
    <row r="100" spans="1:15" x14ac:dyDescent="0.25">
      <c r="A100" t="s">
        <v>34</v>
      </c>
      <c r="D100" s="6" t="s">
        <v>39</v>
      </c>
      <c r="E100" s="6">
        <v>2001</v>
      </c>
      <c r="F100" s="6">
        <v>1</v>
      </c>
      <c r="G100" s="6">
        <v>1</v>
      </c>
      <c r="H100" s="6">
        <v>3</v>
      </c>
      <c r="K100" s="6">
        <v>103</v>
      </c>
      <c r="M100" s="13">
        <v>45772</v>
      </c>
      <c r="O100">
        <v>115</v>
      </c>
    </row>
    <row r="101" spans="1:15" x14ac:dyDescent="0.25">
      <c r="A101" t="s">
        <v>34</v>
      </c>
      <c r="D101" s="6" t="s">
        <v>39</v>
      </c>
      <c r="E101" s="6">
        <v>2001</v>
      </c>
      <c r="F101" s="6">
        <v>1</v>
      </c>
      <c r="G101" s="6">
        <v>1</v>
      </c>
      <c r="H101" s="6">
        <v>3</v>
      </c>
      <c r="K101" s="6">
        <v>103</v>
      </c>
      <c r="M101" s="13">
        <v>45775</v>
      </c>
      <c r="O101">
        <v>118</v>
      </c>
    </row>
    <row r="102" spans="1:15" x14ac:dyDescent="0.25">
      <c r="A102" t="s">
        <v>34</v>
      </c>
      <c r="D102" s="6" t="s">
        <v>39</v>
      </c>
      <c r="E102" s="6">
        <v>2001</v>
      </c>
      <c r="F102" s="6">
        <v>1</v>
      </c>
      <c r="G102" s="6">
        <v>1</v>
      </c>
      <c r="H102" s="6">
        <v>3</v>
      </c>
      <c r="K102" s="6">
        <v>103</v>
      </c>
      <c r="M102" s="13">
        <v>45778</v>
      </c>
      <c r="O102">
        <v>121</v>
      </c>
    </row>
    <row r="103" spans="1:15" x14ac:dyDescent="0.25">
      <c r="A103" t="s">
        <v>34</v>
      </c>
      <c r="D103" s="6" t="s">
        <v>39</v>
      </c>
      <c r="E103" s="6">
        <v>2001</v>
      </c>
      <c r="F103" s="6">
        <v>1</v>
      </c>
      <c r="G103" s="6">
        <v>1</v>
      </c>
      <c r="H103" s="6">
        <v>3</v>
      </c>
      <c r="K103" s="6">
        <v>103</v>
      </c>
      <c r="M103" s="13">
        <v>45782</v>
      </c>
      <c r="O103">
        <v>125</v>
      </c>
    </row>
    <row r="104" spans="1:15" x14ac:dyDescent="0.25">
      <c r="A104" t="s">
        <v>34</v>
      </c>
      <c r="D104" s="6" t="s">
        <v>39</v>
      </c>
      <c r="E104" s="6">
        <v>2001</v>
      </c>
      <c r="F104" s="6">
        <v>1</v>
      </c>
      <c r="G104" s="6">
        <v>1</v>
      </c>
      <c r="H104" s="6">
        <v>3</v>
      </c>
      <c r="K104" s="6">
        <v>103</v>
      </c>
      <c r="M104" s="13">
        <v>45793</v>
      </c>
      <c r="N104">
        <v>0</v>
      </c>
      <c r="O104">
        <v>136</v>
      </c>
    </row>
    <row r="105" spans="1:15" x14ac:dyDescent="0.25">
      <c r="A105" t="s">
        <v>34</v>
      </c>
      <c r="D105" s="6" t="s">
        <v>39</v>
      </c>
      <c r="E105" s="6">
        <v>2001</v>
      </c>
      <c r="F105" s="6">
        <v>1</v>
      </c>
      <c r="G105" s="6">
        <v>1</v>
      </c>
      <c r="H105" s="6">
        <v>3</v>
      </c>
      <c r="K105" s="6">
        <v>103</v>
      </c>
      <c r="M105" s="13">
        <v>45796</v>
      </c>
      <c r="N105">
        <v>0</v>
      </c>
      <c r="O105">
        <v>139</v>
      </c>
    </row>
    <row r="106" spans="1:15" x14ac:dyDescent="0.25">
      <c r="A106" t="s">
        <v>34</v>
      </c>
      <c r="D106" s="6" t="s">
        <v>39</v>
      </c>
      <c r="E106" s="6">
        <v>2001</v>
      </c>
      <c r="F106" s="6">
        <v>1</v>
      </c>
      <c r="G106" s="6">
        <v>1</v>
      </c>
      <c r="H106" s="6">
        <v>3</v>
      </c>
      <c r="K106" s="6">
        <v>103</v>
      </c>
      <c r="M106" s="13">
        <v>45800</v>
      </c>
      <c r="N106">
        <v>45</v>
      </c>
      <c r="O106">
        <v>143</v>
      </c>
    </row>
    <row r="107" spans="1:15" x14ac:dyDescent="0.25">
      <c r="A107" t="s">
        <v>34</v>
      </c>
      <c r="D107" s="6" t="s">
        <v>39</v>
      </c>
      <c r="E107" s="6">
        <v>2001</v>
      </c>
      <c r="F107" s="6">
        <v>1</v>
      </c>
      <c r="G107" s="6">
        <v>1</v>
      </c>
      <c r="H107" s="6">
        <v>3</v>
      </c>
      <c r="K107" s="6">
        <v>103</v>
      </c>
      <c r="M107" s="13">
        <v>45804</v>
      </c>
      <c r="N107">
        <v>46</v>
      </c>
      <c r="O107">
        <v>147</v>
      </c>
    </row>
    <row r="108" spans="1:15" x14ac:dyDescent="0.25">
      <c r="A108" t="s">
        <v>34</v>
      </c>
      <c r="D108" s="6" t="s">
        <v>39</v>
      </c>
      <c r="E108" s="6">
        <v>2001</v>
      </c>
      <c r="F108" s="6">
        <v>1</v>
      </c>
      <c r="G108" s="6">
        <v>1</v>
      </c>
      <c r="H108" s="6">
        <v>3</v>
      </c>
      <c r="K108" s="6">
        <v>103</v>
      </c>
      <c r="M108" s="13">
        <v>45807</v>
      </c>
      <c r="N108">
        <v>46</v>
      </c>
      <c r="O108">
        <v>150</v>
      </c>
    </row>
    <row r="109" spans="1:15" x14ac:dyDescent="0.25">
      <c r="A109" t="s">
        <v>34</v>
      </c>
      <c r="D109" s="6" t="s">
        <v>39</v>
      </c>
      <c r="E109" s="6">
        <v>2001</v>
      </c>
      <c r="F109" s="6">
        <v>1</v>
      </c>
      <c r="G109" s="6">
        <v>1</v>
      </c>
      <c r="H109" s="6">
        <v>3</v>
      </c>
      <c r="K109" s="6">
        <v>103</v>
      </c>
      <c r="M109" s="13">
        <v>45810</v>
      </c>
      <c r="N109">
        <v>50</v>
      </c>
      <c r="O109">
        <v>153</v>
      </c>
    </row>
    <row r="110" spans="1:15" x14ac:dyDescent="0.25">
      <c r="A110" t="s">
        <v>34</v>
      </c>
      <c r="D110" s="6" t="s">
        <v>318</v>
      </c>
      <c r="E110" s="6">
        <v>2004</v>
      </c>
      <c r="F110" s="6">
        <v>1</v>
      </c>
      <c r="G110" s="6">
        <v>2</v>
      </c>
      <c r="H110" s="6">
        <v>3</v>
      </c>
      <c r="K110" s="6">
        <v>119</v>
      </c>
      <c r="M110" s="13">
        <v>45769</v>
      </c>
      <c r="O110">
        <v>112</v>
      </c>
    </row>
    <row r="111" spans="1:15" x14ac:dyDescent="0.25">
      <c r="A111" t="s">
        <v>34</v>
      </c>
      <c r="D111" s="6" t="s">
        <v>318</v>
      </c>
      <c r="E111" s="6">
        <v>2004</v>
      </c>
      <c r="F111" s="6">
        <v>1</v>
      </c>
      <c r="G111" s="6">
        <v>2</v>
      </c>
      <c r="H111" s="6">
        <v>3</v>
      </c>
      <c r="K111" s="6">
        <v>119</v>
      </c>
      <c r="M111" s="13">
        <v>45771</v>
      </c>
      <c r="O111">
        <v>114</v>
      </c>
    </row>
    <row r="112" spans="1:15" x14ac:dyDescent="0.25">
      <c r="A112" t="s">
        <v>34</v>
      </c>
      <c r="D112" s="6" t="s">
        <v>318</v>
      </c>
      <c r="E112" s="6">
        <v>2004</v>
      </c>
      <c r="F112" s="6">
        <v>1</v>
      </c>
      <c r="G112" s="6">
        <v>2</v>
      </c>
      <c r="H112" s="6">
        <v>3</v>
      </c>
      <c r="K112" s="6">
        <v>119</v>
      </c>
      <c r="M112" s="13">
        <v>45772</v>
      </c>
      <c r="O112">
        <v>115</v>
      </c>
    </row>
    <row r="113" spans="1:15" x14ac:dyDescent="0.25">
      <c r="A113" t="s">
        <v>34</v>
      </c>
      <c r="D113" s="6" t="s">
        <v>318</v>
      </c>
      <c r="E113" s="6">
        <v>2004</v>
      </c>
      <c r="F113" s="6">
        <v>1</v>
      </c>
      <c r="G113" s="6">
        <v>2</v>
      </c>
      <c r="H113" s="6">
        <v>3</v>
      </c>
      <c r="K113" s="6">
        <v>119</v>
      </c>
      <c r="M113" s="13">
        <v>45775</v>
      </c>
      <c r="O113">
        <v>118</v>
      </c>
    </row>
    <row r="114" spans="1:15" x14ac:dyDescent="0.25">
      <c r="A114" t="s">
        <v>34</v>
      </c>
      <c r="D114" s="6" t="s">
        <v>318</v>
      </c>
      <c r="E114" s="6">
        <v>2004</v>
      </c>
      <c r="F114" s="6">
        <v>1</v>
      </c>
      <c r="G114" s="6">
        <v>2</v>
      </c>
      <c r="H114" s="6">
        <v>3</v>
      </c>
      <c r="K114" s="6">
        <v>119</v>
      </c>
      <c r="M114" s="13">
        <v>45778</v>
      </c>
      <c r="O114">
        <v>121</v>
      </c>
    </row>
    <row r="115" spans="1:15" x14ac:dyDescent="0.25">
      <c r="A115" t="s">
        <v>34</v>
      </c>
      <c r="D115" s="6" t="s">
        <v>318</v>
      </c>
      <c r="E115" s="6">
        <v>2004</v>
      </c>
      <c r="F115" s="6">
        <v>1</v>
      </c>
      <c r="G115" s="6">
        <v>2</v>
      </c>
      <c r="H115" s="6">
        <v>3</v>
      </c>
      <c r="K115" s="6">
        <v>119</v>
      </c>
      <c r="M115" s="13">
        <v>45782</v>
      </c>
      <c r="O115">
        <v>125</v>
      </c>
    </row>
    <row r="116" spans="1:15" x14ac:dyDescent="0.25">
      <c r="A116" t="s">
        <v>34</v>
      </c>
      <c r="D116" s="6" t="s">
        <v>318</v>
      </c>
      <c r="E116" s="6">
        <v>2004</v>
      </c>
      <c r="F116" s="6">
        <v>1</v>
      </c>
      <c r="G116" s="6">
        <v>2</v>
      </c>
      <c r="H116" s="6">
        <v>3</v>
      </c>
      <c r="K116" s="6">
        <v>119</v>
      </c>
      <c r="M116" s="13">
        <v>45793</v>
      </c>
      <c r="N116">
        <v>0</v>
      </c>
      <c r="O116">
        <v>136</v>
      </c>
    </row>
    <row r="117" spans="1:15" x14ac:dyDescent="0.25">
      <c r="A117" t="s">
        <v>34</v>
      </c>
      <c r="D117" s="6" t="s">
        <v>318</v>
      </c>
      <c r="E117" s="6">
        <v>2004</v>
      </c>
      <c r="F117" s="6">
        <v>1</v>
      </c>
      <c r="G117" s="6">
        <v>2</v>
      </c>
      <c r="H117" s="6">
        <v>3</v>
      </c>
      <c r="K117" s="6">
        <v>119</v>
      </c>
      <c r="M117" s="13">
        <v>45796</v>
      </c>
      <c r="N117">
        <v>0</v>
      </c>
      <c r="O117">
        <v>139</v>
      </c>
    </row>
    <row r="118" spans="1:15" x14ac:dyDescent="0.25">
      <c r="A118" t="s">
        <v>34</v>
      </c>
      <c r="D118" s="6" t="s">
        <v>318</v>
      </c>
      <c r="E118" s="6">
        <v>2004</v>
      </c>
      <c r="F118" s="6">
        <v>1</v>
      </c>
      <c r="G118" s="6">
        <v>2</v>
      </c>
      <c r="H118" s="6">
        <v>3</v>
      </c>
      <c r="K118" s="6">
        <v>119</v>
      </c>
      <c r="M118" s="13">
        <v>45800</v>
      </c>
      <c r="N118">
        <v>40</v>
      </c>
      <c r="O118">
        <v>143</v>
      </c>
    </row>
    <row r="119" spans="1:15" x14ac:dyDescent="0.25">
      <c r="A119" t="s">
        <v>34</v>
      </c>
      <c r="D119" s="6" t="s">
        <v>318</v>
      </c>
      <c r="E119" s="6">
        <v>2004</v>
      </c>
      <c r="F119" s="6">
        <v>1</v>
      </c>
      <c r="G119" s="6">
        <v>2</v>
      </c>
      <c r="H119" s="6">
        <v>3</v>
      </c>
      <c r="K119" s="6">
        <v>119</v>
      </c>
      <c r="M119" s="13">
        <v>45804</v>
      </c>
      <c r="N119">
        <v>42</v>
      </c>
      <c r="O119">
        <v>147</v>
      </c>
    </row>
    <row r="120" spans="1:15" x14ac:dyDescent="0.25">
      <c r="A120" t="s">
        <v>34</v>
      </c>
      <c r="D120" s="6" t="s">
        <v>318</v>
      </c>
      <c r="E120" s="6">
        <v>2004</v>
      </c>
      <c r="F120" s="6">
        <v>1</v>
      </c>
      <c r="G120" s="6">
        <v>2</v>
      </c>
      <c r="H120" s="6">
        <v>3</v>
      </c>
      <c r="K120" s="6">
        <v>119</v>
      </c>
      <c r="M120" s="13">
        <v>45807</v>
      </c>
      <c r="N120">
        <v>42</v>
      </c>
      <c r="O120">
        <v>150</v>
      </c>
    </row>
    <row r="121" spans="1:15" x14ac:dyDescent="0.25">
      <c r="A121" t="s">
        <v>34</v>
      </c>
      <c r="D121" s="6" t="s">
        <v>318</v>
      </c>
      <c r="E121" s="6">
        <v>2004</v>
      </c>
      <c r="F121" s="6">
        <v>1</v>
      </c>
      <c r="G121" s="6">
        <v>2</v>
      </c>
      <c r="H121" s="6">
        <v>3</v>
      </c>
      <c r="K121" s="6">
        <v>119</v>
      </c>
      <c r="M121" s="13">
        <v>45810</v>
      </c>
      <c r="N121">
        <v>43</v>
      </c>
      <c r="O121">
        <v>153</v>
      </c>
    </row>
    <row r="122" spans="1:15" x14ac:dyDescent="0.25">
      <c r="A122" t="s">
        <v>34</v>
      </c>
      <c r="D122" s="6" t="s">
        <v>41</v>
      </c>
      <c r="E122" s="6">
        <v>2008</v>
      </c>
      <c r="F122" s="6">
        <v>1</v>
      </c>
      <c r="G122" s="6">
        <v>3</v>
      </c>
      <c r="H122" s="6">
        <v>3</v>
      </c>
      <c r="K122" s="6">
        <v>135</v>
      </c>
      <c r="M122" s="13">
        <v>45769</v>
      </c>
      <c r="O122">
        <v>112</v>
      </c>
    </row>
    <row r="123" spans="1:15" x14ac:dyDescent="0.25">
      <c r="A123" t="s">
        <v>34</v>
      </c>
      <c r="D123" s="6" t="s">
        <v>41</v>
      </c>
      <c r="E123" s="6">
        <v>2008</v>
      </c>
      <c r="F123" s="6">
        <v>1</v>
      </c>
      <c r="G123" s="6">
        <v>3</v>
      </c>
      <c r="H123" s="6">
        <v>3</v>
      </c>
      <c r="K123" s="6">
        <v>135</v>
      </c>
      <c r="M123" s="13">
        <v>45771</v>
      </c>
      <c r="O123">
        <v>114</v>
      </c>
    </row>
    <row r="124" spans="1:15" x14ac:dyDescent="0.25">
      <c r="A124" t="s">
        <v>34</v>
      </c>
      <c r="D124" s="6" t="s">
        <v>41</v>
      </c>
      <c r="E124" s="6">
        <v>2008</v>
      </c>
      <c r="F124" s="6">
        <v>1</v>
      </c>
      <c r="G124" s="6">
        <v>3</v>
      </c>
      <c r="H124" s="6">
        <v>3</v>
      </c>
      <c r="K124" s="6">
        <v>135</v>
      </c>
      <c r="M124" s="13">
        <v>45772</v>
      </c>
      <c r="O124">
        <v>115</v>
      </c>
    </row>
    <row r="125" spans="1:15" x14ac:dyDescent="0.25">
      <c r="A125" t="s">
        <v>34</v>
      </c>
      <c r="D125" s="6" t="s">
        <v>41</v>
      </c>
      <c r="E125" s="6">
        <v>2008</v>
      </c>
      <c r="F125" s="6">
        <v>1</v>
      </c>
      <c r="G125" s="6">
        <v>3</v>
      </c>
      <c r="H125" s="6">
        <v>3</v>
      </c>
      <c r="K125" s="6">
        <v>135</v>
      </c>
      <c r="M125" s="13">
        <v>45775</v>
      </c>
      <c r="O125">
        <v>118</v>
      </c>
    </row>
    <row r="126" spans="1:15" x14ac:dyDescent="0.25">
      <c r="A126" t="s">
        <v>34</v>
      </c>
      <c r="D126" s="6" t="s">
        <v>41</v>
      </c>
      <c r="E126" s="6">
        <v>2008</v>
      </c>
      <c r="F126" s="6">
        <v>1</v>
      </c>
      <c r="G126" s="6">
        <v>3</v>
      </c>
      <c r="H126" s="6">
        <v>3</v>
      </c>
      <c r="K126" s="6">
        <v>135</v>
      </c>
      <c r="M126" s="13">
        <v>45778</v>
      </c>
      <c r="O126">
        <v>121</v>
      </c>
    </row>
    <row r="127" spans="1:15" x14ac:dyDescent="0.25">
      <c r="A127" t="s">
        <v>34</v>
      </c>
      <c r="D127" s="6" t="s">
        <v>41</v>
      </c>
      <c r="E127" s="6">
        <v>2008</v>
      </c>
      <c r="F127" s="6">
        <v>1</v>
      </c>
      <c r="G127" s="6">
        <v>3</v>
      </c>
      <c r="H127" s="6">
        <v>3</v>
      </c>
      <c r="K127" s="6">
        <v>135</v>
      </c>
      <c r="M127" s="13">
        <v>45782</v>
      </c>
      <c r="O127">
        <v>125</v>
      </c>
    </row>
    <row r="128" spans="1:15" x14ac:dyDescent="0.25">
      <c r="A128" t="s">
        <v>34</v>
      </c>
      <c r="D128" s="6" t="s">
        <v>41</v>
      </c>
      <c r="E128" s="6">
        <v>2008</v>
      </c>
      <c r="F128" s="6">
        <v>1</v>
      </c>
      <c r="G128" s="6">
        <v>3</v>
      </c>
      <c r="H128" s="6">
        <v>3</v>
      </c>
      <c r="K128" s="6">
        <v>135</v>
      </c>
      <c r="M128" s="13">
        <v>45793</v>
      </c>
      <c r="N128">
        <v>0</v>
      </c>
      <c r="O128">
        <v>136</v>
      </c>
    </row>
    <row r="129" spans="1:15" x14ac:dyDescent="0.25">
      <c r="A129" t="s">
        <v>34</v>
      </c>
      <c r="D129" s="6" t="s">
        <v>41</v>
      </c>
      <c r="E129" s="6">
        <v>2008</v>
      </c>
      <c r="F129" s="6">
        <v>1</v>
      </c>
      <c r="G129" s="6">
        <v>3</v>
      </c>
      <c r="H129" s="6">
        <v>3</v>
      </c>
      <c r="K129" s="6">
        <v>135</v>
      </c>
      <c r="M129" s="13">
        <v>45796</v>
      </c>
      <c r="N129">
        <v>0</v>
      </c>
      <c r="O129">
        <v>139</v>
      </c>
    </row>
    <row r="130" spans="1:15" x14ac:dyDescent="0.25">
      <c r="A130" t="s">
        <v>34</v>
      </c>
      <c r="D130" s="6" t="s">
        <v>41</v>
      </c>
      <c r="E130" s="6">
        <v>2008</v>
      </c>
      <c r="F130" s="6">
        <v>1</v>
      </c>
      <c r="G130" s="6">
        <v>3</v>
      </c>
      <c r="H130" s="6">
        <v>3</v>
      </c>
      <c r="K130" s="6">
        <v>135</v>
      </c>
      <c r="M130" s="13">
        <v>45800</v>
      </c>
      <c r="N130">
        <v>41</v>
      </c>
      <c r="O130">
        <v>143</v>
      </c>
    </row>
    <row r="131" spans="1:15" x14ac:dyDescent="0.25">
      <c r="A131" t="s">
        <v>34</v>
      </c>
      <c r="D131" s="6" t="s">
        <v>41</v>
      </c>
      <c r="E131" s="6">
        <v>2008</v>
      </c>
      <c r="F131" s="6">
        <v>1</v>
      </c>
      <c r="G131" s="6">
        <v>3</v>
      </c>
      <c r="H131" s="6">
        <v>3</v>
      </c>
      <c r="K131" s="6">
        <v>135</v>
      </c>
      <c r="M131" s="13">
        <v>45804</v>
      </c>
      <c r="N131">
        <v>49</v>
      </c>
      <c r="O131">
        <v>147</v>
      </c>
    </row>
    <row r="132" spans="1:15" x14ac:dyDescent="0.25">
      <c r="A132" t="s">
        <v>34</v>
      </c>
      <c r="D132" s="6" t="s">
        <v>41</v>
      </c>
      <c r="E132" s="6">
        <v>2008</v>
      </c>
      <c r="F132" s="6">
        <v>1</v>
      </c>
      <c r="G132" s="6">
        <v>3</v>
      </c>
      <c r="H132" s="6">
        <v>3</v>
      </c>
      <c r="K132" s="6">
        <v>135</v>
      </c>
      <c r="M132" s="13">
        <v>45807</v>
      </c>
      <c r="N132">
        <v>49</v>
      </c>
      <c r="O132">
        <v>150</v>
      </c>
    </row>
    <row r="133" spans="1:15" x14ac:dyDescent="0.25">
      <c r="A133" t="s">
        <v>34</v>
      </c>
      <c r="D133" s="6" t="s">
        <v>41</v>
      </c>
      <c r="E133" s="6">
        <v>2008</v>
      </c>
      <c r="F133" s="6">
        <v>1</v>
      </c>
      <c r="G133" s="6">
        <v>3</v>
      </c>
      <c r="H133" s="6">
        <v>3</v>
      </c>
      <c r="K133" s="6">
        <v>135</v>
      </c>
      <c r="M133" s="13">
        <v>45810</v>
      </c>
      <c r="N133">
        <v>49</v>
      </c>
      <c r="O133">
        <v>153</v>
      </c>
    </row>
    <row r="134" spans="1:15" x14ac:dyDescent="0.25">
      <c r="A134" t="s">
        <v>34</v>
      </c>
      <c r="D134" s="6" t="s">
        <v>38</v>
      </c>
      <c r="E134" s="6">
        <v>1999</v>
      </c>
      <c r="F134" s="6">
        <v>1</v>
      </c>
      <c r="G134" s="6">
        <v>4</v>
      </c>
      <c r="H134" s="6">
        <v>3</v>
      </c>
      <c r="K134" s="6">
        <v>151</v>
      </c>
      <c r="M134" s="13">
        <v>45769</v>
      </c>
      <c r="O134">
        <v>112</v>
      </c>
    </row>
    <row r="135" spans="1:15" x14ac:dyDescent="0.25">
      <c r="A135" t="s">
        <v>34</v>
      </c>
      <c r="D135" s="6" t="s">
        <v>38</v>
      </c>
      <c r="E135" s="6">
        <v>1999</v>
      </c>
      <c r="F135" s="6">
        <v>1</v>
      </c>
      <c r="G135" s="6">
        <v>4</v>
      </c>
      <c r="H135" s="6">
        <v>3</v>
      </c>
      <c r="K135" s="6">
        <v>151</v>
      </c>
      <c r="M135" s="13">
        <v>45771</v>
      </c>
      <c r="O135">
        <v>114</v>
      </c>
    </row>
    <row r="136" spans="1:15" x14ac:dyDescent="0.25">
      <c r="A136" t="s">
        <v>34</v>
      </c>
      <c r="D136" s="6" t="s">
        <v>38</v>
      </c>
      <c r="E136" s="6">
        <v>1999</v>
      </c>
      <c r="F136" s="6">
        <v>1</v>
      </c>
      <c r="G136" s="6">
        <v>4</v>
      </c>
      <c r="H136" s="6">
        <v>3</v>
      </c>
      <c r="K136" s="6">
        <v>151</v>
      </c>
      <c r="M136" s="13">
        <v>45772</v>
      </c>
      <c r="O136">
        <v>115</v>
      </c>
    </row>
    <row r="137" spans="1:15" x14ac:dyDescent="0.25">
      <c r="A137" t="s">
        <v>34</v>
      </c>
      <c r="D137" s="6" t="s">
        <v>38</v>
      </c>
      <c r="E137" s="6">
        <v>1999</v>
      </c>
      <c r="F137" s="6">
        <v>1</v>
      </c>
      <c r="G137" s="6">
        <v>4</v>
      </c>
      <c r="H137" s="6">
        <v>3</v>
      </c>
      <c r="K137" s="6">
        <v>151</v>
      </c>
      <c r="M137" s="13">
        <v>45775</v>
      </c>
      <c r="O137">
        <v>118</v>
      </c>
    </row>
    <row r="138" spans="1:15" x14ac:dyDescent="0.25">
      <c r="A138" t="s">
        <v>34</v>
      </c>
      <c r="D138" s="6" t="s">
        <v>38</v>
      </c>
      <c r="E138" s="6">
        <v>1999</v>
      </c>
      <c r="F138" s="6">
        <v>1</v>
      </c>
      <c r="G138" s="6">
        <v>4</v>
      </c>
      <c r="H138" s="6">
        <v>3</v>
      </c>
      <c r="K138" s="6">
        <v>151</v>
      </c>
      <c r="M138" s="13">
        <v>45778</v>
      </c>
      <c r="O138">
        <v>121</v>
      </c>
    </row>
    <row r="139" spans="1:15" x14ac:dyDescent="0.25">
      <c r="A139" t="s">
        <v>34</v>
      </c>
      <c r="D139" s="6" t="s">
        <v>38</v>
      </c>
      <c r="E139" s="6">
        <v>1999</v>
      </c>
      <c r="F139" s="6">
        <v>1</v>
      </c>
      <c r="G139" s="6">
        <v>4</v>
      </c>
      <c r="H139" s="6">
        <v>3</v>
      </c>
      <c r="K139" s="6">
        <v>151</v>
      </c>
      <c r="M139" s="13">
        <v>45782</v>
      </c>
      <c r="O139">
        <v>125</v>
      </c>
    </row>
    <row r="140" spans="1:15" x14ac:dyDescent="0.25">
      <c r="A140" t="s">
        <v>34</v>
      </c>
      <c r="D140" s="6" t="s">
        <v>38</v>
      </c>
      <c r="E140" s="6">
        <v>1999</v>
      </c>
      <c r="F140" s="6">
        <v>1</v>
      </c>
      <c r="G140" s="6">
        <v>4</v>
      </c>
      <c r="H140" s="6">
        <v>3</v>
      </c>
      <c r="K140" s="6">
        <v>151</v>
      </c>
      <c r="M140" s="13">
        <v>45793</v>
      </c>
      <c r="N140">
        <v>0</v>
      </c>
      <c r="O140">
        <v>136</v>
      </c>
    </row>
    <row r="141" spans="1:15" x14ac:dyDescent="0.25">
      <c r="A141" t="s">
        <v>34</v>
      </c>
      <c r="D141" s="6" t="s">
        <v>38</v>
      </c>
      <c r="E141" s="6">
        <v>1999</v>
      </c>
      <c r="F141" s="6">
        <v>1</v>
      </c>
      <c r="G141" s="6">
        <v>4</v>
      </c>
      <c r="H141" s="6">
        <v>3</v>
      </c>
      <c r="K141" s="6">
        <v>151</v>
      </c>
      <c r="M141" s="13">
        <v>45796</v>
      </c>
      <c r="N141">
        <v>0</v>
      </c>
      <c r="O141">
        <v>139</v>
      </c>
    </row>
    <row r="142" spans="1:15" x14ac:dyDescent="0.25">
      <c r="A142" t="s">
        <v>34</v>
      </c>
      <c r="D142" s="6" t="s">
        <v>38</v>
      </c>
      <c r="E142" s="6">
        <v>1999</v>
      </c>
      <c r="F142" s="6">
        <v>1</v>
      </c>
      <c r="G142" s="6">
        <v>4</v>
      </c>
      <c r="H142" s="6">
        <v>3</v>
      </c>
      <c r="K142" s="6">
        <v>151</v>
      </c>
      <c r="M142" s="13">
        <v>45800</v>
      </c>
      <c r="N142">
        <v>33</v>
      </c>
      <c r="O142">
        <v>143</v>
      </c>
    </row>
    <row r="143" spans="1:15" x14ac:dyDescent="0.25">
      <c r="A143" t="s">
        <v>34</v>
      </c>
      <c r="D143" s="6" t="s">
        <v>38</v>
      </c>
      <c r="E143" s="6">
        <v>1999</v>
      </c>
      <c r="F143" s="6">
        <v>1</v>
      </c>
      <c r="G143" s="6">
        <v>4</v>
      </c>
      <c r="H143" s="6">
        <v>3</v>
      </c>
      <c r="K143" s="6">
        <v>151</v>
      </c>
      <c r="M143" s="13">
        <v>45804</v>
      </c>
      <c r="N143">
        <v>47</v>
      </c>
      <c r="O143">
        <v>147</v>
      </c>
    </row>
    <row r="144" spans="1:15" x14ac:dyDescent="0.25">
      <c r="A144" t="s">
        <v>34</v>
      </c>
      <c r="D144" s="6" t="s">
        <v>38</v>
      </c>
      <c r="E144" s="6">
        <v>1999</v>
      </c>
      <c r="F144" s="6">
        <v>1</v>
      </c>
      <c r="G144" s="6">
        <v>4</v>
      </c>
      <c r="H144" s="6">
        <v>3</v>
      </c>
      <c r="K144" s="6">
        <v>151</v>
      </c>
      <c r="M144" s="13">
        <v>45807</v>
      </c>
      <c r="N144">
        <v>47</v>
      </c>
      <c r="O144">
        <v>150</v>
      </c>
    </row>
    <row r="145" spans="1:15" x14ac:dyDescent="0.25">
      <c r="A145" t="s">
        <v>34</v>
      </c>
      <c r="D145" s="6" t="s">
        <v>38</v>
      </c>
      <c r="E145" s="6">
        <v>1999</v>
      </c>
      <c r="F145" s="6">
        <v>1</v>
      </c>
      <c r="G145" s="6">
        <v>4</v>
      </c>
      <c r="H145" s="6">
        <v>3</v>
      </c>
      <c r="K145" s="6">
        <v>151</v>
      </c>
      <c r="M145" s="13">
        <v>45810</v>
      </c>
      <c r="N145">
        <v>47</v>
      </c>
      <c r="O145">
        <v>153</v>
      </c>
    </row>
    <row r="146" spans="1:15" x14ac:dyDescent="0.25">
      <c r="A146" t="s">
        <v>34</v>
      </c>
      <c r="D146" s="6" t="s">
        <v>37</v>
      </c>
      <c r="E146" s="6">
        <v>1989</v>
      </c>
      <c r="F146" s="6">
        <v>1</v>
      </c>
      <c r="G146" s="6">
        <v>1</v>
      </c>
      <c r="H146" s="6">
        <v>4</v>
      </c>
      <c r="K146" s="6">
        <v>104</v>
      </c>
      <c r="M146" s="13">
        <v>45769</v>
      </c>
      <c r="O146">
        <v>112</v>
      </c>
    </row>
    <row r="147" spans="1:15" x14ac:dyDescent="0.25">
      <c r="A147" t="s">
        <v>34</v>
      </c>
      <c r="D147" s="6" t="s">
        <v>37</v>
      </c>
      <c r="E147" s="6">
        <v>1989</v>
      </c>
      <c r="F147" s="6">
        <v>1</v>
      </c>
      <c r="G147" s="6">
        <v>1</v>
      </c>
      <c r="H147" s="6">
        <v>4</v>
      </c>
      <c r="K147" s="6">
        <v>104</v>
      </c>
      <c r="M147" s="13">
        <v>45771</v>
      </c>
      <c r="O147">
        <v>114</v>
      </c>
    </row>
    <row r="148" spans="1:15" x14ac:dyDescent="0.25">
      <c r="A148" t="s">
        <v>34</v>
      </c>
      <c r="D148" s="6" t="s">
        <v>37</v>
      </c>
      <c r="E148" s="6">
        <v>1989</v>
      </c>
      <c r="F148" s="6">
        <v>1</v>
      </c>
      <c r="G148" s="6">
        <v>1</v>
      </c>
      <c r="H148" s="6">
        <v>4</v>
      </c>
      <c r="K148" s="6">
        <v>104</v>
      </c>
      <c r="M148" s="13">
        <v>45772</v>
      </c>
      <c r="O148">
        <v>115</v>
      </c>
    </row>
    <row r="149" spans="1:15" x14ac:dyDescent="0.25">
      <c r="A149" t="s">
        <v>34</v>
      </c>
      <c r="D149" s="6" t="s">
        <v>37</v>
      </c>
      <c r="E149" s="6">
        <v>1989</v>
      </c>
      <c r="F149" s="6">
        <v>1</v>
      </c>
      <c r="G149" s="6">
        <v>1</v>
      </c>
      <c r="H149" s="6">
        <v>4</v>
      </c>
      <c r="K149" s="6">
        <v>104</v>
      </c>
      <c r="M149" s="13">
        <v>45775</v>
      </c>
      <c r="O149">
        <v>118</v>
      </c>
    </row>
    <row r="150" spans="1:15" x14ac:dyDescent="0.25">
      <c r="A150" t="s">
        <v>34</v>
      </c>
      <c r="D150" s="6" t="s">
        <v>37</v>
      </c>
      <c r="E150" s="6">
        <v>1989</v>
      </c>
      <c r="F150" s="6">
        <v>1</v>
      </c>
      <c r="G150" s="6">
        <v>1</v>
      </c>
      <c r="H150" s="6">
        <v>4</v>
      </c>
      <c r="K150" s="6">
        <v>104</v>
      </c>
      <c r="M150" s="13">
        <v>45778</v>
      </c>
      <c r="O150">
        <v>121</v>
      </c>
    </row>
    <row r="151" spans="1:15" x14ac:dyDescent="0.25">
      <c r="A151" t="s">
        <v>34</v>
      </c>
      <c r="D151" s="6" t="s">
        <v>37</v>
      </c>
      <c r="E151" s="6">
        <v>1989</v>
      </c>
      <c r="F151" s="6">
        <v>1</v>
      </c>
      <c r="G151" s="6">
        <v>1</v>
      </c>
      <c r="H151" s="6">
        <v>4</v>
      </c>
      <c r="K151" s="6">
        <v>104</v>
      </c>
      <c r="M151" s="13">
        <v>45782</v>
      </c>
      <c r="O151">
        <v>125</v>
      </c>
    </row>
    <row r="152" spans="1:15" x14ac:dyDescent="0.25">
      <c r="A152" t="s">
        <v>34</v>
      </c>
      <c r="D152" s="6" t="s">
        <v>37</v>
      </c>
      <c r="E152" s="6">
        <v>1989</v>
      </c>
      <c r="F152" s="6">
        <v>1</v>
      </c>
      <c r="G152" s="6">
        <v>1</v>
      </c>
      <c r="H152" s="6">
        <v>4</v>
      </c>
      <c r="K152" s="6">
        <v>104</v>
      </c>
      <c r="M152" s="13">
        <v>45793</v>
      </c>
      <c r="N152">
        <v>0</v>
      </c>
      <c r="O152">
        <v>136</v>
      </c>
    </row>
    <row r="153" spans="1:15" x14ac:dyDescent="0.25">
      <c r="A153" t="s">
        <v>34</v>
      </c>
      <c r="D153" s="6" t="s">
        <v>37</v>
      </c>
      <c r="E153" s="6">
        <v>1989</v>
      </c>
      <c r="F153" s="6">
        <v>1</v>
      </c>
      <c r="G153" s="6">
        <v>1</v>
      </c>
      <c r="H153" s="6">
        <v>4</v>
      </c>
      <c r="K153" s="6">
        <v>104</v>
      </c>
      <c r="M153" s="13">
        <v>45796</v>
      </c>
      <c r="N153">
        <v>0</v>
      </c>
      <c r="O153">
        <v>139</v>
      </c>
    </row>
    <row r="154" spans="1:15" x14ac:dyDescent="0.25">
      <c r="A154" t="s">
        <v>34</v>
      </c>
      <c r="D154" s="6" t="s">
        <v>37</v>
      </c>
      <c r="E154" s="6">
        <v>1989</v>
      </c>
      <c r="F154" s="6">
        <v>1</v>
      </c>
      <c r="G154" s="6">
        <v>1</v>
      </c>
      <c r="H154" s="6">
        <v>4</v>
      </c>
      <c r="K154" s="6">
        <v>104</v>
      </c>
      <c r="M154" s="13">
        <v>45800</v>
      </c>
      <c r="N154">
        <v>24</v>
      </c>
      <c r="O154">
        <v>143</v>
      </c>
    </row>
    <row r="155" spans="1:15" x14ac:dyDescent="0.25">
      <c r="A155" t="s">
        <v>34</v>
      </c>
      <c r="D155" s="6" t="s">
        <v>37</v>
      </c>
      <c r="E155" s="6">
        <v>1989</v>
      </c>
      <c r="F155" s="6">
        <v>1</v>
      </c>
      <c r="G155" s="6">
        <v>1</v>
      </c>
      <c r="H155" s="6">
        <v>4</v>
      </c>
      <c r="K155" s="6">
        <v>104</v>
      </c>
      <c r="M155" s="13">
        <v>45804</v>
      </c>
      <c r="N155">
        <v>39</v>
      </c>
      <c r="O155">
        <v>147</v>
      </c>
    </row>
    <row r="156" spans="1:15" x14ac:dyDescent="0.25">
      <c r="A156" t="s">
        <v>34</v>
      </c>
      <c r="D156" s="6" t="s">
        <v>37</v>
      </c>
      <c r="E156" s="6">
        <v>1989</v>
      </c>
      <c r="F156" s="6">
        <v>1</v>
      </c>
      <c r="G156" s="6">
        <v>1</v>
      </c>
      <c r="H156" s="6">
        <v>4</v>
      </c>
      <c r="K156" s="6">
        <v>104</v>
      </c>
      <c r="M156" s="13">
        <v>45807</v>
      </c>
      <c r="N156">
        <v>39</v>
      </c>
      <c r="O156">
        <v>150</v>
      </c>
    </row>
    <row r="157" spans="1:15" x14ac:dyDescent="0.25">
      <c r="A157" t="s">
        <v>34</v>
      </c>
      <c r="D157" s="6" t="s">
        <v>37</v>
      </c>
      <c r="E157" s="6">
        <v>1989</v>
      </c>
      <c r="F157" s="6">
        <v>1</v>
      </c>
      <c r="G157" s="6">
        <v>1</v>
      </c>
      <c r="H157" s="6">
        <v>4</v>
      </c>
      <c r="K157" s="6">
        <v>104</v>
      </c>
      <c r="M157" s="13">
        <v>45810</v>
      </c>
      <c r="N157">
        <v>40</v>
      </c>
      <c r="O157">
        <v>153</v>
      </c>
    </row>
    <row r="158" spans="1:15" x14ac:dyDescent="0.25">
      <c r="A158" t="s">
        <v>34</v>
      </c>
      <c r="D158" s="6" t="s">
        <v>42</v>
      </c>
      <c r="E158" s="6">
        <v>2016</v>
      </c>
      <c r="F158" s="6">
        <v>1</v>
      </c>
      <c r="G158" s="6">
        <v>2</v>
      </c>
      <c r="H158" s="6">
        <v>4</v>
      </c>
      <c r="K158" s="6">
        <v>120</v>
      </c>
      <c r="M158" s="13">
        <v>45769</v>
      </c>
      <c r="O158">
        <v>112</v>
      </c>
    </row>
    <row r="159" spans="1:15" x14ac:dyDescent="0.25">
      <c r="A159" t="s">
        <v>34</v>
      </c>
      <c r="D159" s="6" t="s">
        <v>42</v>
      </c>
      <c r="E159" s="6">
        <v>2016</v>
      </c>
      <c r="F159" s="6">
        <v>1</v>
      </c>
      <c r="G159" s="6">
        <v>2</v>
      </c>
      <c r="H159" s="6">
        <v>4</v>
      </c>
      <c r="K159" s="6">
        <v>120</v>
      </c>
      <c r="M159" s="13">
        <v>45771</v>
      </c>
      <c r="O159">
        <v>114</v>
      </c>
    </row>
    <row r="160" spans="1:15" x14ac:dyDescent="0.25">
      <c r="A160" t="s">
        <v>34</v>
      </c>
      <c r="D160" s="6" t="s">
        <v>42</v>
      </c>
      <c r="E160" s="6">
        <v>2016</v>
      </c>
      <c r="F160" s="6">
        <v>1</v>
      </c>
      <c r="G160" s="6">
        <v>2</v>
      </c>
      <c r="H160" s="6">
        <v>4</v>
      </c>
      <c r="K160" s="6">
        <v>120</v>
      </c>
      <c r="M160" s="13">
        <v>45772</v>
      </c>
      <c r="O160">
        <v>115</v>
      </c>
    </row>
    <row r="161" spans="1:15" x14ac:dyDescent="0.25">
      <c r="A161" t="s">
        <v>34</v>
      </c>
      <c r="D161" s="6" t="s">
        <v>42</v>
      </c>
      <c r="E161" s="6">
        <v>2016</v>
      </c>
      <c r="F161" s="6">
        <v>1</v>
      </c>
      <c r="G161" s="6">
        <v>2</v>
      </c>
      <c r="H161" s="6">
        <v>4</v>
      </c>
      <c r="K161" s="6">
        <v>120</v>
      </c>
      <c r="M161" s="13">
        <v>45775</v>
      </c>
      <c r="O161">
        <v>118</v>
      </c>
    </row>
    <row r="162" spans="1:15" x14ac:dyDescent="0.25">
      <c r="A162" t="s">
        <v>34</v>
      </c>
      <c r="D162" s="6" t="s">
        <v>42</v>
      </c>
      <c r="E162" s="6">
        <v>2016</v>
      </c>
      <c r="F162" s="6">
        <v>1</v>
      </c>
      <c r="G162" s="6">
        <v>2</v>
      </c>
      <c r="H162" s="6">
        <v>4</v>
      </c>
      <c r="K162" s="6">
        <v>120</v>
      </c>
      <c r="M162" s="13">
        <v>45778</v>
      </c>
      <c r="O162">
        <v>121</v>
      </c>
    </row>
    <row r="163" spans="1:15" x14ac:dyDescent="0.25">
      <c r="A163" t="s">
        <v>34</v>
      </c>
      <c r="D163" s="6" t="s">
        <v>42</v>
      </c>
      <c r="E163" s="6">
        <v>2016</v>
      </c>
      <c r="F163" s="6">
        <v>1</v>
      </c>
      <c r="G163" s="6">
        <v>2</v>
      </c>
      <c r="H163" s="6">
        <v>4</v>
      </c>
      <c r="K163" s="6">
        <v>120</v>
      </c>
      <c r="M163" s="13">
        <v>45782</v>
      </c>
      <c r="O163">
        <v>125</v>
      </c>
    </row>
    <row r="164" spans="1:15" x14ac:dyDescent="0.25">
      <c r="A164" t="s">
        <v>34</v>
      </c>
      <c r="D164" s="6" t="s">
        <v>42</v>
      </c>
      <c r="E164" s="6">
        <v>2016</v>
      </c>
      <c r="F164" s="6">
        <v>1</v>
      </c>
      <c r="G164" s="6">
        <v>2</v>
      </c>
      <c r="H164" s="6">
        <v>4</v>
      </c>
      <c r="K164" s="6">
        <v>120</v>
      </c>
      <c r="M164" s="13">
        <v>45793</v>
      </c>
      <c r="N164">
        <v>0</v>
      </c>
      <c r="O164">
        <v>136</v>
      </c>
    </row>
    <row r="165" spans="1:15" x14ac:dyDescent="0.25">
      <c r="A165" t="s">
        <v>34</v>
      </c>
      <c r="D165" s="6" t="s">
        <v>42</v>
      </c>
      <c r="E165" s="6">
        <v>2016</v>
      </c>
      <c r="F165" s="6">
        <v>1</v>
      </c>
      <c r="G165" s="6">
        <v>2</v>
      </c>
      <c r="H165" s="6">
        <v>4</v>
      </c>
      <c r="K165" s="6">
        <v>120</v>
      </c>
      <c r="M165" s="13">
        <v>45796</v>
      </c>
      <c r="N165">
        <v>0</v>
      </c>
      <c r="O165">
        <v>139</v>
      </c>
    </row>
    <row r="166" spans="1:15" x14ac:dyDescent="0.25">
      <c r="A166" t="s">
        <v>34</v>
      </c>
      <c r="D166" s="6" t="s">
        <v>42</v>
      </c>
      <c r="E166" s="6">
        <v>2016</v>
      </c>
      <c r="F166" s="6">
        <v>1</v>
      </c>
      <c r="G166" s="6">
        <v>2</v>
      </c>
      <c r="H166" s="6">
        <v>4</v>
      </c>
      <c r="K166" s="6">
        <v>120</v>
      </c>
      <c r="M166" s="13">
        <v>45800</v>
      </c>
      <c r="N166">
        <v>32</v>
      </c>
      <c r="O166">
        <v>143</v>
      </c>
    </row>
    <row r="167" spans="1:15" x14ac:dyDescent="0.25">
      <c r="A167" t="s">
        <v>34</v>
      </c>
      <c r="D167" s="6" t="s">
        <v>42</v>
      </c>
      <c r="E167" s="6">
        <v>2016</v>
      </c>
      <c r="F167" s="6">
        <v>1</v>
      </c>
      <c r="G167" s="6">
        <v>2</v>
      </c>
      <c r="H167" s="6">
        <v>4</v>
      </c>
      <c r="K167" s="6">
        <v>120</v>
      </c>
      <c r="M167" s="13">
        <v>45804</v>
      </c>
      <c r="N167">
        <v>44</v>
      </c>
      <c r="O167">
        <v>147</v>
      </c>
    </row>
    <row r="168" spans="1:15" x14ac:dyDescent="0.25">
      <c r="A168" t="s">
        <v>34</v>
      </c>
      <c r="D168" s="6" t="s">
        <v>42</v>
      </c>
      <c r="E168" s="6">
        <v>2016</v>
      </c>
      <c r="F168" s="6">
        <v>1</v>
      </c>
      <c r="G168" s="6">
        <v>2</v>
      </c>
      <c r="H168" s="6">
        <v>4</v>
      </c>
      <c r="K168" s="6">
        <v>120</v>
      </c>
      <c r="M168" s="13">
        <v>45807</v>
      </c>
      <c r="N168">
        <v>44</v>
      </c>
      <c r="O168">
        <v>150</v>
      </c>
    </row>
    <row r="169" spans="1:15" x14ac:dyDescent="0.25">
      <c r="A169" t="s">
        <v>34</v>
      </c>
      <c r="D169" s="6" t="s">
        <v>42</v>
      </c>
      <c r="E169" s="6">
        <v>2016</v>
      </c>
      <c r="F169" s="6">
        <v>1</v>
      </c>
      <c r="G169" s="6">
        <v>2</v>
      </c>
      <c r="H169" s="6">
        <v>4</v>
      </c>
      <c r="K169" s="6">
        <v>120</v>
      </c>
      <c r="M169" s="13">
        <v>45810</v>
      </c>
      <c r="N169">
        <v>44</v>
      </c>
      <c r="O169">
        <v>153</v>
      </c>
    </row>
    <row r="170" spans="1:15" x14ac:dyDescent="0.25">
      <c r="A170" t="s">
        <v>34</v>
      </c>
      <c r="D170" s="6" t="s">
        <v>36</v>
      </c>
      <c r="E170" s="6">
        <v>1984</v>
      </c>
      <c r="F170" s="6">
        <v>1</v>
      </c>
      <c r="G170" s="6">
        <v>3</v>
      </c>
      <c r="H170" s="6">
        <v>4</v>
      </c>
      <c r="K170" s="6">
        <v>136</v>
      </c>
      <c r="M170" s="13">
        <v>45769</v>
      </c>
      <c r="O170">
        <v>112</v>
      </c>
    </row>
    <row r="171" spans="1:15" x14ac:dyDescent="0.25">
      <c r="A171" t="s">
        <v>34</v>
      </c>
      <c r="D171" s="6" t="s">
        <v>36</v>
      </c>
      <c r="E171" s="6">
        <v>1984</v>
      </c>
      <c r="F171" s="6">
        <v>1</v>
      </c>
      <c r="G171" s="6">
        <v>3</v>
      </c>
      <c r="H171" s="6">
        <v>4</v>
      </c>
      <c r="K171" s="6">
        <v>136</v>
      </c>
      <c r="M171" s="13">
        <v>45771</v>
      </c>
      <c r="O171">
        <v>114</v>
      </c>
    </row>
    <row r="172" spans="1:15" x14ac:dyDescent="0.25">
      <c r="A172" t="s">
        <v>34</v>
      </c>
      <c r="D172" s="6" t="s">
        <v>36</v>
      </c>
      <c r="E172" s="6">
        <v>1984</v>
      </c>
      <c r="F172" s="6">
        <v>1</v>
      </c>
      <c r="G172" s="6">
        <v>3</v>
      </c>
      <c r="H172" s="6">
        <v>4</v>
      </c>
      <c r="K172" s="6">
        <v>136</v>
      </c>
      <c r="M172" s="13">
        <v>45772</v>
      </c>
      <c r="O172">
        <v>115</v>
      </c>
    </row>
    <row r="173" spans="1:15" x14ac:dyDescent="0.25">
      <c r="A173" t="s">
        <v>34</v>
      </c>
      <c r="D173" s="6" t="s">
        <v>36</v>
      </c>
      <c r="E173" s="6">
        <v>1984</v>
      </c>
      <c r="F173" s="6">
        <v>1</v>
      </c>
      <c r="G173" s="6">
        <v>3</v>
      </c>
      <c r="H173" s="6">
        <v>4</v>
      </c>
      <c r="K173" s="6">
        <v>136</v>
      </c>
      <c r="M173" s="13">
        <v>45775</v>
      </c>
      <c r="O173">
        <v>118</v>
      </c>
    </row>
    <row r="174" spans="1:15" x14ac:dyDescent="0.25">
      <c r="A174" t="s">
        <v>34</v>
      </c>
      <c r="D174" s="6" t="s">
        <v>36</v>
      </c>
      <c r="E174" s="6">
        <v>1984</v>
      </c>
      <c r="F174" s="6">
        <v>1</v>
      </c>
      <c r="G174" s="6">
        <v>3</v>
      </c>
      <c r="H174" s="6">
        <v>4</v>
      </c>
      <c r="K174" s="6">
        <v>136</v>
      </c>
      <c r="M174" s="13">
        <v>45778</v>
      </c>
      <c r="O174">
        <v>121</v>
      </c>
    </row>
    <row r="175" spans="1:15" x14ac:dyDescent="0.25">
      <c r="A175" t="s">
        <v>34</v>
      </c>
      <c r="D175" s="6" t="s">
        <v>36</v>
      </c>
      <c r="E175" s="6">
        <v>1984</v>
      </c>
      <c r="F175" s="6">
        <v>1</v>
      </c>
      <c r="G175" s="6">
        <v>3</v>
      </c>
      <c r="H175" s="6">
        <v>4</v>
      </c>
      <c r="K175" s="6">
        <v>136</v>
      </c>
      <c r="M175" s="13">
        <v>45782</v>
      </c>
      <c r="O175">
        <v>125</v>
      </c>
    </row>
    <row r="176" spans="1:15" x14ac:dyDescent="0.25">
      <c r="A176" t="s">
        <v>34</v>
      </c>
      <c r="D176" s="6" t="s">
        <v>36</v>
      </c>
      <c r="E176" s="6">
        <v>1984</v>
      </c>
      <c r="F176" s="6">
        <v>1</v>
      </c>
      <c r="G176" s="6">
        <v>3</v>
      </c>
      <c r="H176" s="6">
        <v>4</v>
      </c>
      <c r="K176" s="6">
        <v>136</v>
      </c>
      <c r="M176" s="13">
        <v>45793</v>
      </c>
      <c r="N176">
        <v>0</v>
      </c>
      <c r="O176">
        <v>136</v>
      </c>
    </row>
    <row r="177" spans="1:15" x14ac:dyDescent="0.25">
      <c r="A177" t="s">
        <v>34</v>
      </c>
      <c r="D177" s="6" t="s">
        <v>36</v>
      </c>
      <c r="E177" s="6">
        <v>1984</v>
      </c>
      <c r="F177" s="6">
        <v>1</v>
      </c>
      <c r="G177" s="6">
        <v>3</v>
      </c>
      <c r="H177" s="6">
        <v>4</v>
      </c>
      <c r="K177" s="6">
        <v>136</v>
      </c>
      <c r="M177" s="13">
        <v>45796</v>
      </c>
      <c r="N177">
        <v>0</v>
      </c>
      <c r="O177">
        <v>139</v>
      </c>
    </row>
    <row r="178" spans="1:15" x14ac:dyDescent="0.25">
      <c r="A178" t="s">
        <v>34</v>
      </c>
      <c r="D178" s="6" t="s">
        <v>36</v>
      </c>
      <c r="E178" s="6">
        <v>1984</v>
      </c>
      <c r="F178" s="6">
        <v>1</v>
      </c>
      <c r="G178" s="6">
        <v>3</v>
      </c>
      <c r="H178" s="6">
        <v>4</v>
      </c>
      <c r="K178" s="6">
        <v>136</v>
      </c>
      <c r="M178" s="13">
        <v>45800</v>
      </c>
      <c r="N178">
        <v>30</v>
      </c>
      <c r="O178">
        <v>143</v>
      </c>
    </row>
    <row r="179" spans="1:15" x14ac:dyDescent="0.25">
      <c r="A179" t="s">
        <v>34</v>
      </c>
      <c r="D179" s="6" t="s">
        <v>36</v>
      </c>
      <c r="E179" s="6">
        <v>1984</v>
      </c>
      <c r="F179" s="6">
        <v>1</v>
      </c>
      <c r="G179" s="6">
        <v>3</v>
      </c>
      <c r="H179" s="6">
        <v>4</v>
      </c>
      <c r="K179" s="6">
        <v>136</v>
      </c>
      <c r="M179" s="13">
        <v>45804</v>
      </c>
      <c r="N179">
        <v>32</v>
      </c>
      <c r="O179">
        <v>147</v>
      </c>
    </row>
    <row r="180" spans="1:15" x14ac:dyDescent="0.25">
      <c r="A180" t="s">
        <v>34</v>
      </c>
      <c r="D180" s="6" t="s">
        <v>36</v>
      </c>
      <c r="E180" s="6">
        <v>1984</v>
      </c>
      <c r="F180" s="6">
        <v>1</v>
      </c>
      <c r="G180" s="6">
        <v>3</v>
      </c>
      <c r="H180" s="6">
        <v>4</v>
      </c>
      <c r="K180" s="6">
        <v>136</v>
      </c>
      <c r="M180" s="13">
        <v>45807</v>
      </c>
      <c r="N180">
        <v>32</v>
      </c>
      <c r="O180">
        <v>150</v>
      </c>
    </row>
    <row r="181" spans="1:15" x14ac:dyDescent="0.25">
      <c r="A181" t="s">
        <v>34</v>
      </c>
      <c r="D181" s="6" t="s">
        <v>36</v>
      </c>
      <c r="E181" s="6">
        <v>1984</v>
      </c>
      <c r="F181" s="6">
        <v>1</v>
      </c>
      <c r="G181" s="6">
        <v>3</v>
      </c>
      <c r="H181" s="6">
        <v>4</v>
      </c>
      <c r="K181" s="6">
        <v>136</v>
      </c>
      <c r="M181" s="13">
        <v>45810</v>
      </c>
      <c r="N181">
        <v>32</v>
      </c>
      <c r="O181">
        <v>153</v>
      </c>
    </row>
    <row r="182" spans="1:15" x14ac:dyDescent="0.25">
      <c r="A182" t="s">
        <v>34</v>
      </c>
      <c r="D182" s="6" t="s">
        <v>43</v>
      </c>
      <c r="E182" s="6">
        <v>2020</v>
      </c>
      <c r="F182" s="6">
        <v>1</v>
      </c>
      <c r="G182" s="6">
        <v>4</v>
      </c>
      <c r="H182" s="6">
        <v>4</v>
      </c>
      <c r="K182" s="6">
        <v>152</v>
      </c>
      <c r="M182" s="13">
        <v>45769</v>
      </c>
      <c r="O182">
        <v>112</v>
      </c>
    </row>
    <row r="183" spans="1:15" x14ac:dyDescent="0.25">
      <c r="A183" t="s">
        <v>34</v>
      </c>
      <c r="D183" s="6" t="s">
        <v>43</v>
      </c>
      <c r="E183" s="6">
        <v>2020</v>
      </c>
      <c r="F183" s="6">
        <v>1</v>
      </c>
      <c r="G183" s="6">
        <v>4</v>
      </c>
      <c r="H183" s="6">
        <v>4</v>
      </c>
      <c r="K183" s="6">
        <v>152</v>
      </c>
      <c r="M183" s="13">
        <v>45771</v>
      </c>
      <c r="O183">
        <v>114</v>
      </c>
    </row>
    <row r="184" spans="1:15" x14ac:dyDescent="0.25">
      <c r="A184" t="s">
        <v>34</v>
      </c>
      <c r="D184" s="6" t="s">
        <v>43</v>
      </c>
      <c r="E184" s="6">
        <v>2020</v>
      </c>
      <c r="F184" s="6">
        <v>1</v>
      </c>
      <c r="G184" s="6">
        <v>4</v>
      </c>
      <c r="H184" s="6">
        <v>4</v>
      </c>
      <c r="K184" s="6">
        <v>152</v>
      </c>
      <c r="M184" s="13">
        <v>45772</v>
      </c>
      <c r="O184">
        <v>115</v>
      </c>
    </row>
    <row r="185" spans="1:15" x14ac:dyDescent="0.25">
      <c r="A185" t="s">
        <v>34</v>
      </c>
      <c r="D185" s="6" t="s">
        <v>43</v>
      </c>
      <c r="E185" s="6">
        <v>2020</v>
      </c>
      <c r="F185" s="6">
        <v>1</v>
      </c>
      <c r="G185" s="6">
        <v>4</v>
      </c>
      <c r="H185" s="6">
        <v>4</v>
      </c>
      <c r="K185" s="6">
        <v>152</v>
      </c>
      <c r="M185" s="13">
        <v>45775</v>
      </c>
      <c r="O185">
        <v>118</v>
      </c>
    </row>
    <row r="186" spans="1:15" x14ac:dyDescent="0.25">
      <c r="A186" t="s">
        <v>34</v>
      </c>
      <c r="D186" s="6" t="s">
        <v>43</v>
      </c>
      <c r="E186" s="6">
        <v>2020</v>
      </c>
      <c r="F186" s="6">
        <v>1</v>
      </c>
      <c r="G186" s="6">
        <v>4</v>
      </c>
      <c r="H186" s="6">
        <v>4</v>
      </c>
      <c r="K186" s="6">
        <v>152</v>
      </c>
      <c r="M186" s="13">
        <v>45778</v>
      </c>
      <c r="O186">
        <v>121</v>
      </c>
    </row>
    <row r="187" spans="1:15" x14ac:dyDescent="0.25">
      <c r="A187" t="s">
        <v>34</v>
      </c>
      <c r="D187" s="6" t="s">
        <v>43</v>
      </c>
      <c r="E187" s="6">
        <v>2020</v>
      </c>
      <c r="F187" s="6">
        <v>1</v>
      </c>
      <c r="G187" s="6">
        <v>4</v>
      </c>
      <c r="H187" s="6">
        <v>4</v>
      </c>
      <c r="K187" s="6">
        <v>152</v>
      </c>
      <c r="M187" s="13">
        <v>45782</v>
      </c>
      <c r="O187">
        <v>125</v>
      </c>
    </row>
    <row r="188" spans="1:15" x14ac:dyDescent="0.25">
      <c r="A188" t="s">
        <v>34</v>
      </c>
      <c r="D188" s="6" t="s">
        <v>43</v>
      </c>
      <c r="E188" s="6">
        <v>2020</v>
      </c>
      <c r="F188" s="6">
        <v>1</v>
      </c>
      <c r="G188" s="6">
        <v>4</v>
      </c>
      <c r="H188" s="6">
        <v>4</v>
      </c>
      <c r="K188" s="6">
        <v>152</v>
      </c>
      <c r="M188" s="13">
        <v>45793</v>
      </c>
      <c r="N188">
        <v>0</v>
      </c>
      <c r="O188">
        <v>136</v>
      </c>
    </row>
    <row r="189" spans="1:15" x14ac:dyDescent="0.25">
      <c r="A189" t="s">
        <v>34</v>
      </c>
      <c r="D189" s="6" t="s">
        <v>43</v>
      </c>
      <c r="E189" s="6">
        <v>2020</v>
      </c>
      <c r="F189" s="6">
        <v>1</v>
      </c>
      <c r="G189" s="6">
        <v>4</v>
      </c>
      <c r="H189" s="6">
        <v>4</v>
      </c>
      <c r="K189" s="6">
        <v>152</v>
      </c>
      <c r="M189" s="13">
        <v>45796</v>
      </c>
      <c r="N189">
        <v>0</v>
      </c>
      <c r="O189">
        <v>139</v>
      </c>
    </row>
    <row r="190" spans="1:15" x14ac:dyDescent="0.25">
      <c r="A190" t="s">
        <v>34</v>
      </c>
      <c r="D190" s="6" t="s">
        <v>43</v>
      </c>
      <c r="E190" s="6">
        <v>2020</v>
      </c>
      <c r="F190" s="6">
        <v>1</v>
      </c>
      <c r="G190" s="6">
        <v>4</v>
      </c>
      <c r="H190" s="6">
        <v>4</v>
      </c>
      <c r="K190" s="6">
        <v>152</v>
      </c>
      <c r="M190" s="13">
        <v>45800</v>
      </c>
      <c r="N190">
        <v>24</v>
      </c>
      <c r="O190">
        <v>143</v>
      </c>
    </row>
    <row r="191" spans="1:15" x14ac:dyDescent="0.25">
      <c r="A191" t="s">
        <v>34</v>
      </c>
      <c r="D191" s="6" t="s">
        <v>43</v>
      </c>
      <c r="E191" s="6">
        <v>2020</v>
      </c>
      <c r="F191" s="6">
        <v>1</v>
      </c>
      <c r="G191" s="6">
        <v>4</v>
      </c>
      <c r="H191" s="6">
        <v>4</v>
      </c>
      <c r="K191" s="6">
        <v>152</v>
      </c>
      <c r="M191" s="13">
        <v>45804</v>
      </c>
      <c r="N191">
        <v>40</v>
      </c>
      <c r="O191">
        <v>147</v>
      </c>
    </row>
    <row r="192" spans="1:15" x14ac:dyDescent="0.25">
      <c r="A192" t="s">
        <v>34</v>
      </c>
      <c r="D192" s="6" t="s">
        <v>43</v>
      </c>
      <c r="E192" s="6">
        <v>2020</v>
      </c>
      <c r="F192" s="6">
        <v>1</v>
      </c>
      <c r="G192" s="6">
        <v>4</v>
      </c>
      <c r="H192" s="6">
        <v>4</v>
      </c>
      <c r="K192" s="6">
        <v>152</v>
      </c>
      <c r="M192" s="13">
        <v>45807</v>
      </c>
      <c r="N192">
        <v>42</v>
      </c>
      <c r="O192">
        <v>150</v>
      </c>
    </row>
    <row r="193" spans="1:15" x14ac:dyDescent="0.25">
      <c r="A193" t="s">
        <v>34</v>
      </c>
      <c r="D193" s="6" t="s">
        <v>43</v>
      </c>
      <c r="E193" s="6">
        <v>2020</v>
      </c>
      <c r="F193" s="6">
        <v>1</v>
      </c>
      <c r="G193" s="6">
        <v>4</v>
      </c>
      <c r="H193" s="6">
        <v>4</v>
      </c>
      <c r="K193" s="6">
        <v>152</v>
      </c>
      <c r="M193" s="13">
        <v>45810</v>
      </c>
      <c r="N193">
        <v>42</v>
      </c>
      <c r="O193">
        <v>153</v>
      </c>
    </row>
    <row r="194" spans="1:15" x14ac:dyDescent="0.25">
      <c r="A194" t="s">
        <v>24</v>
      </c>
      <c r="D194" s="6" t="s">
        <v>29</v>
      </c>
      <c r="E194" s="6">
        <v>1999</v>
      </c>
      <c r="F194" s="6">
        <v>2</v>
      </c>
      <c r="G194" s="6">
        <v>1</v>
      </c>
      <c r="H194" s="6">
        <v>5</v>
      </c>
      <c r="K194" s="6">
        <v>105</v>
      </c>
      <c r="M194" s="13">
        <v>45769</v>
      </c>
      <c r="N194">
        <v>0</v>
      </c>
      <c r="O194">
        <v>112</v>
      </c>
    </row>
    <row r="195" spans="1:15" x14ac:dyDescent="0.25">
      <c r="A195" t="s">
        <v>24</v>
      </c>
      <c r="D195" s="6" t="s">
        <v>29</v>
      </c>
      <c r="E195" s="6">
        <v>1999</v>
      </c>
      <c r="F195" s="6">
        <v>2</v>
      </c>
      <c r="G195" s="6">
        <v>1</v>
      </c>
      <c r="H195" s="6">
        <v>5</v>
      </c>
      <c r="K195" s="6">
        <v>105</v>
      </c>
      <c r="M195" s="13">
        <v>45771</v>
      </c>
      <c r="N195">
        <v>25</v>
      </c>
      <c r="O195">
        <v>114</v>
      </c>
    </row>
    <row r="196" spans="1:15" x14ac:dyDescent="0.25">
      <c r="A196" t="s">
        <v>24</v>
      </c>
      <c r="D196" s="6" t="s">
        <v>29</v>
      </c>
      <c r="E196" s="6">
        <v>1999</v>
      </c>
      <c r="F196" s="6">
        <v>2</v>
      </c>
      <c r="G196" s="6">
        <v>1</v>
      </c>
      <c r="H196" s="6">
        <v>5</v>
      </c>
      <c r="K196" s="6">
        <v>105</v>
      </c>
      <c r="M196" s="13">
        <v>45772</v>
      </c>
      <c r="N196">
        <v>37</v>
      </c>
      <c r="O196">
        <v>115</v>
      </c>
    </row>
    <row r="197" spans="1:15" x14ac:dyDescent="0.25">
      <c r="A197" t="s">
        <v>24</v>
      </c>
      <c r="D197" s="6" t="s">
        <v>29</v>
      </c>
      <c r="E197" s="6">
        <v>1999</v>
      </c>
      <c r="F197" s="6">
        <v>2</v>
      </c>
      <c r="G197" s="6">
        <v>1</v>
      </c>
      <c r="H197" s="6">
        <v>5</v>
      </c>
      <c r="K197" s="6">
        <v>105</v>
      </c>
      <c r="M197" s="13">
        <v>45775</v>
      </c>
      <c r="N197">
        <v>38</v>
      </c>
      <c r="O197">
        <v>118</v>
      </c>
    </row>
    <row r="198" spans="1:15" x14ac:dyDescent="0.25">
      <c r="A198" t="s">
        <v>24</v>
      </c>
      <c r="D198" s="6" t="s">
        <v>29</v>
      </c>
      <c r="E198" s="6">
        <v>1999</v>
      </c>
      <c r="F198" s="6">
        <v>2</v>
      </c>
      <c r="G198" s="6">
        <v>1</v>
      </c>
      <c r="H198" s="6">
        <v>5</v>
      </c>
      <c r="K198" s="6">
        <v>105</v>
      </c>
      <c r="M198" s="13">
        <v>45778</v>
      </c>
      <c r="N198">
        <v>38</v>
      </c>
      <c r="O198">
        <v>121</v>
      </c>
    </row>
    <row r="199" spans="1:15" x14ac:dyDescent="0.25">
      <c r="A199" t="s">
        <v>24</v>
      </c>
      <c r="D199" s="6" t="s">
        <v>29</v>
      </c>
      <c r="E199" s="6">
        <v>1999</v>
      </c>
      <c r="F199" s="6">
        <v>2</v>
      </c>
      <c r="G199" s="6">
        <v>1</v>
      </c>
      <c r="H199" s="6">
        <v>5</v>
      </c>
      <c r="K199" s="6">
        <v>105</v>
      </c>
      <c r="M199" s="13">
        <v>45782</v>
      </c>
      <c r="N199">
        <v>38</v>
      </c>
      <c r="O199">
        <v>125</v>
      </c>
    </row>
    <row r="200" spans="1:15" x14ac:dyDescent="0.25">
      <c r="A200" t="s">
        <v>24</v>
      </c>
      <c r="D200" s="6" t="s">
        <v>29</v>
      </c>
      <c r="E200" s="6">
        <v>1999</v>
      </c>
      <c r="F200" s="6">
        <v>2</v>
      </c>
      <c r="G200" s="6">
        <v>1</v>
      </c>
      <c r="H200" s="6">
        <v>5</v>
      </c>
      <c r="K200" s="6">
        <v>105</v>
      </c>
      <c r="M200" s="13">
        <v>45793</v>
      </c>
      <c r="O200">
        <v>136</v>
      </c>
    </row>
    <row r="201" spans="1:15" x14ac:dyDescent="0.25">
      <c r="A201" t="s">
        <v>24</v>
      </c>
      <c r="D201" s="6" t="s">
        <v>29</v>
      </c>
      <c r="E201" s="6">
        <v>1999</v>
      </c>
      <c r="F201" s="6">
        <v>2</v>
      </c>
      <c r="G201" s="6">
        <v>1</v>
      </c>
      <c r="H201" s="6">
        <v>5</v>
      </c>
      <c r="K201" s="6">
        <v>105</v>
      </c>
      <c r="M201" s="13">
        <v>45796</v>
      </c>
      <c r="O201">
        <v>139</v>
      </c>
    </row>
    <row r="202" spans="1:15" x14ac:dyDescent="0.25">
      <c r="A202" t="s">
        <v>24</v>
      </c>
      <c r="D202" s="6" t="s">
        <v>29</v>
      </c>
      <c r="E202" s="6">
        <v>1999</v>
      </c>
      <c r="F202" s="6">
        <v>2</v>
      </c>
      <c r="G202" s="6">
        <v>1</v>
      </c>
      <c r="H202" s="6">
        <v>5</v>
      </c>
      <c r="K202" s="6">
        <v>105</v>
      </c>
      <c r="M202" s="13">
        <v>45800</v>
      </c>
      <c r="O202">
        <v>143</v>
      </c>
    </row>
    <row r="203" spans="1:15" x14ac:dyDescent="0.25">
      <c r="A203" t="s">
        <v>24</v>
      </c>
      <c r="D203" s="6" t="s">
        <v>29</v>
      </c>
      <c r="E203" s="6">
        <v>1999</v>
      </c>
      <c r="F203" s="6">
        <v>2</v>
      </c>
      <c r="G203" s="6">
        <v>1</v>
      </c>
      <c r="H203" s="6">
        <v>5</v>
      </c>
      <c r="K203" s="6">
        <v>105</v>
      </c>
      <c r="M203" s="13">
        <v>45804</v>
      </c>
      <c r="O203">
        <v>147</v>
      </c>
    </row>
    <row r="204" spans="1:15" x14ac:dyDescent="0.25">
      <c r="A204" t="s">
        <v>24</v>
      </c>
      <c r="D204" s="6" t="s">
        <v>29</v>
      </c>
      <c r="E204" s="6">
        <v>1999</v>
      </c>
      <c r="F204" s="6">
        <v>2</v>
      </c>
      <c r="G204" s="6">
        <v>1</v>
      </c>
      <c r="H204" s="6">
        <v>5</v>
      </c>
      <c r="K204" s="6">
        <v>105</v>
      </c>
      <c r="M204" s="13">
        <v>45807</v>
      </c>
      <c r="O204">
        <v>150</v>
      </c>
    </row>
    <row r="205" spans="1:15" x14ac:dyDescent="0.25">
      <c r="A205" t="s">
        <v>24</v>
      </c>
      <c r="D205" s="6" t="s">
        <v>29</v>
      </c>
      <c r="E205" s="6">
        <v>1999</v>
      </c>
      <c r="F205" s="6">
        <v>2</v>
      </c>
      <c r="G205" s="6">
        <v>1</v>
      </c>
      <c r="H205" s="6">
        <v>5</v>
      </c>
      <c r="K205" s="6">
        <v>105</v>
      </c>
      <c r="M205" s="13">
        <v>45810</v>
      </c>
      <c r="O205">
        <v>153</v>
      </c>
    </row>
    <row r="206" spans="1:15" x14ac:dyDescent="0.25">
      <c r="A206" t="s">
        <v>24</v>
      </c>
      <c r="D206" s="6" t="s">
        <v>27</v>
      </c>
      <c r="E206" s="6">
        <v>1985</v>
      </c>
      <c r="F206" s="6">
        <v>2</v>
      </c>
      <c r="G206" s="6">
        <v>2</v>
      </c>
      <c r="H206" s="6">
        <v>5</v>
      </c>
      <c r="K206" s="6">
        <v>121</v>
      </c>
      <c r="M206" s="13">
        <v>45769</v>
      </c>
      <c r="N206">
        <v>0</v>
      </c>
      <c r="O206">
        <v>112</v>
      </c>
    </row>
    <row r="207" spans="1:15" x14ac:dyDescent="0.25">
      <c r="A207" t="s">
        <v>24</v>
      </c>
      <c r="D207" s="6" t="s">
        <v>27</v>
      </c>
      <c r="E207" s="6">
        <v>1985</v>
      </c>
      <c r="F207" s="6">
        <v>2</v>
      </c>
      <c r="G207" s="6">
        <v>2</v>
      </c>
      <c r="H207" s="6">
        <v>5</v>
      </c>
      <c r="K207" s="6">
        <v>121</v>
      </c>
      <c r="M207" s="13">
        <v>45771</v>
      </c>
      <c r="N207">
        <v>15</v>
      </c>
      <c r="O207">
        <v>114</v>
      </c>
    </row>
    <row r="208" spans="1:15" x14ac:dyDescent="0.25">
      <c r="A208" t="s">
        <v>24</v>
      </c>
      <c r="D208" s="6" t="s">
        <v>27</v>
      </c>
      <c r="E208" s="6">
        <v>1985</v>
      </c>
      <c r="F208" s="6">
        <v>2</v>
      </c>
      <c r="G208" s="6">
        <v>2</v>
      </c>
      <c r="H208" s="6">
        <v>5</v>
      </c>
      <c r="K208" s="6">
        <v>121</v>
      </c>
      <c r="M208" s="13">
        <v>45772</v>
      </c>
      <c r="N208">
        <v>26</v>
      </c>
      <c r="O208">
        <v>115</v>
      </c>
    </row>
    <row r="209" spans="1:15" x14ac:dyDescent="0.25">
      <c r="A209" t="s">
        <v>24</v>
      </c>
      <c r="D209" s="6" t="s">
        <v>27</v>
      </c>
      <c r="E209" s="6">
        <v>1985</v>
      </c>
      <c r="F209" s="6">
        <v>2</v>
      </c>
      <c r="G209" s="6">
        <v>2</v>
      </c>
      <c r="H209" s="6">
        <v>5</v>
      </c>
      <c r="K209" s="6">
        <v>121</v>
      </c>
      <c r="M209" s="13">
        <v>45775</v>
      </c>
      <c r="N209">
        <v>38</v>
      </c>
      <c r="O209">
        <v>118</v>
      </c>
    </row>
    <row r="210" spans="1:15" x14ac:dyDescent="0.25">
      <c r="A210" t="s">
        <v>24</v>
      </c>
      <c r="D210" s="6" t="s">
        <v>27</v>
      </c>
      <c r="E210" s="6">
        <v>1985</v>
      </c>
      <c r="F210" s="6">
        <v>2</v>
      </c>
      <c r="G210" s="6">
        <v>2</v>
      </c>
      <c r="H210" s="6">
        <v>5</v>
      </c>
      <c r="K210" s="6">
        <v>121</v>
      </c>
      <c r="M210" s="13">
        <v>45778</v>
      </c>
      <c r="N210">
        <v>38</v>
      </c>
      <c r="O210">
        <v>121</v>
      </c>
    </row>
    <row r="211" spans="1:15" x14ac:dyDescent="0.25">
      <c r="A211" t="s">
        <v>24</v>
      </c>
      <c r="D211" s="6" t="s">
        <v>27</v>
      </c>
      <c r="E211" s="6">
        <v>1985</v>
      </c>
      <c r="F211" s="6">
        <v>2</v>
      </c>
      <c r="G211" s="6">
        <v>2</v>
      </c>
      <c r="H211" s="6">
        <v>5</v>
      </c>
      <c r="K211" s="6">
        <v>121</v>
      </c>
      <c r="M211" s="13">
        <v>45782</v>
      </c>
      <c r="N211">
        <v>38</v>
      </c>
      <c r="O211">
        <v>125</v>
      </c>
    </row>
    <row r="212" spans="1:15" x14ac:dyDescent="0.25">
      <c r="A212" t="s">
        <v>24</v>
      </c>
      <c r="D212" s="6" t="s">
        <v>27</v>
      </c>
      <c r="E212" s="6">
        <v>1985</v>
      </c>
      <c r="F212" s="6">
        <v>2</v>
      </c>
      <c r="G212" s="6">
        <v>2</v>
      </c>
      <c r="H212" s="6">
        <v>5</v>
      </c>
      <c r="K212" s="6">
        <v>121</v>
      </c>
      <c r="M212" s="13">
        <v>45793</v>
      </c>
      <c r="O212">
        <v>136</v>
      </c>
    </row>
    <row r="213" spans="1:15" x14ac:dyDescent="0.25">
      <c r="A213" t="s">
        <v>24</v>
      </c>
      <c r="D213" s="6" t="s">
        <v>27</v>
      </c>
      <c r="E213" s="6">
        <v>1985</v>
      </c>
      <c r="F213" s="6">
        <v>2</v>
      </c>
      <c r="G213" s="6">
        <v>2</v>
      </c>
      <c r="H213" s="6">
        <v>5</v>
      </c>
      <c r="K213" s="6">
        <v>121</v>
      </c>
      <c r="M213" s="13">
        <v>45796</v>
      </c>
      <c r="O213">
        <v>139</v>
      </c>
    </row>
    <row r="214" spans="1:15" x14ac:dyDescent="0.25">
      <c r="A214" t="s">
        <v>24</v>
      </c>
      <c r="D214" s="6" t="s">
        <v>27</v>
      </c>
      <c r="E214" s="6">
        <v>1985</v>
      </c>
      <c r="F214" s="6">
        <v>2</v>
      </c>
      <c r="G214" s="6">
        <v>2</v>
      </c>
      <c r="H214" s="6">
        <v>5</v>
      </c>
      <c r="K214" s="6">
        <v>121</v>
      </c>
      <c r="M214" s="13">
        <v>45800</v>
      </c>
      <c r="O214">
        <v>143</v>
      </c>
    </row>
    <row r="215" spans="1:15" x14ac:dyDescent="0.25">
      <c r="A215" t="s">
        <v>24</v>
      </c>
      <c r="D215" s="6" t="s">
        <v>27</v>
      </c>
      <c r="E215" s="6">
        <v>1985</v>
      </c>
      <c r="F215" s="6">
        <v>2</v>
      </c>
      <c r="G215" s="6">
        <v>2</v>
      </c>
      <c r="H215" s="6">
        <v>5</v>
      </c>
      <c r="K215" s="6">
        <v>121</v>
      </c>
      <c r="M215" s="13">
        <v>45804</v>
      </c>
      <c r="O215">
        <v>147</v>
      </c>
    </row>
    <row r="216" spans="1:15" x14ac:dyDescent="0.25">
      <c r="A216" t="s">
        <v>24</v>
      </c>
      <c r="D216" s="6" t="s">
        <v>27</v>
      </c>
      <c r="E216" s="6">
        <v>1985</v>
      </c>
      <c r="F216" s="6">
        <v>2</v>
      </c>
      <c r="G216" s="6">
        <v>2</v>
      </c>
      <c r="H216" s="6">
        <v>5</v>
      </c>
      <c r="K216" s="6">
        <v>121</v>
      </c>
      <c r="M216" s="13">
        <v>45807</v>
      </c>
      <c r="O216">
        <v>150</v>
      </c>
    </row>
    <row r="217" spans="1:15" x14ac:dyDescent="0.25">
      <c r="A217" t="s">
        <v>24</v>
      </c>
      <c r="D217" s="6" t="s">
        <v>27</v>
      </c>
      <c r="E217" s="6">
        <v>1985</v>
      </c>
      <c r="F217" s="6">
        <v>2</v>
      </c>
      <c r="G217" s="6">
        <v>2</v>
      </c>
      <c r="H217" s="6">
        <v>5</v>
      </c>
      <c r="K217" s="6">
        <v>121</v>
      </c>
      <c r="M217" s="13">
        <v>45810</v>
      </c>
      <c r="O217">
        <v>153</v>
      </c>
    </row>
    <row r="218" spans="1:15" x14ac:dyDescent="0.25">
      <c r="A218" t="s">
        <v>24</v>
      </c>
      <c r="D218" s="6" t="s">
        <v>313</v>
      </c>
      <c r="E218" s="6">
        <v>2016</v>
      </c>
      <c r="F218" s="6">
        <v>2</v>
      </c>
      <c r="G218" s="6">
        <v>3</v>
      </c>
      <c r="H218" s="6">
        <v>5</v>
      </c>
      <c r="K218" s="6">
        <v>137</v>
      </c>
      <c r="M218" s="13">
        <v>45769</v>
      </c>
      <c r="N218">
        <v>0</v>
      </c>
      <c r="O218">
        <v>112</v>
      </c>
    </row>
    <row r="219" spans="1:15" x14ac:dyDescent="0.25">
      <c r="A219" t="s">
        <v>24</v>
      </c>
      <c r="D219" s="6" t="s">
        <v>313</v>
      </c>
      <c r="E219" s="6">
        <v>2016</v>
      </c>
      <c r="F219" s="6">
        <v>2</v>
      </c>
      <c r="G219" s="6">
        <v>3</v>
      </c>
      <c r="H219" s="6">
        <v>5</v>
      </c>
      <c r="K219" s="6">
        <v>137</v>
      </c>
      <c r="M219" s="13">
        <v>45771</v>
      </c>
      <c r="N219">
        <v>10</v>
      </c>
      <c r="O219">
        <v>114</v>
      </c>
    </row>
    <row r="220" spans="1:15" x14ac:dyDescent="0.25">
      <c r="A220" t="s">
        <v>24</v>
      </c>
      <c r="D220" s="6" t="s">
        <v>313</v>
      </c>
      <c r="E220" s="6">
        <v>2016</v>
      </c>
      <c r="F220" s="6">
        <v>2</v>
      </c>
      <c r="G220" s="6">
        <v>3</v>
      </c>
      <c r="H220" s="6">
        <v>5</v>
      </c>
      <c r="K220" s="6">
        <v>137</v>
      </c>
      <c r="M220" s="13">
        <v>45772</v>
      </c>
      <c r="N220">
        <v>16</v>
      </c>
      <c r="O220">
        <v>115</v>
      </c>
    </row>
    <row r="221" spans="1:15" x14ac:dyDescent="0.25">
      <c r="A221" t="s">
        <v>24</v>
      </c>
      <c r="D221" s="6" t="s">
        <v>313</v>
      </c>
      <c r="E221" s="6">
        <v>2016</v>
      </c>
      <c r="F221" s="6">
        <v>2</v>
      </c>
      <c r="G221" s="6">
        <v>3</v>
      </c>
      <c r="H221" s="6">
        <v>5</v>
      </c>
      <c r="K221" s="6">
        <v>137</v>
      </c>
      <c r="M221" s="13">
        <v>45775</v>
      </c>
      <c r="N221">
        <v>26</v>
      </c>
      <c r="O221">
        <v>118</v>
      </c>
    </row>
    <row r="222" spans="1:15" x14ac:dyDescent="0.25">
      <c r="A222" t="s">
        <v>24</v>
      </c>
      <c r="D222" s="6" t="s">
        <v>313</v>
      </c>
      <c r="E222" s="6">
        <v>2016</v>
      </c>
      <c r="F222" s="6">
        <v>2</v>
      </c>
      <c r="G222" s="6">
        <v>3</v>
      </c>
      <c r="H222" s="6">
        <v>5</v>
      </c>
      <c r="K222" s="6">
        <v>137</v>
      </c>
      <c r="M222" s="13">
        <v>45778</v>
      </c>
      <c r="N222">
        <v>26</v>
      </c>
      <c r="O222">
        <v>121</v>
      </c>
    </row>
    <row r="223" spans="1:15" x14ac:dyDescent="0.25">
      <c r="A223" t="s">
        <v>24</v>
      </c>
      <c r="D223" s="6" t="s">
        <v>313</v>
      </c>
      <c r="E223" s="6">
        <v>2016</v>
      </c>
      <c r="F223" s="6">
        <v>2</v>
      </c>
      <c r="G223" s="6">
        <v>3</v>
      </c>
      <c r="H223" s="6">
        <v>5</v>
      </c>
      <c r="K223" s="6">
        <v>137</v>
      </c>
      <c r="M223" s="13">
        <v>45782</v>
      </c>
      <c r="N223">
        <v>28</v>
      </c>
      <c r="O223">
        <v>125</v>
      </c>
    </row>
    <row r="224" spans="1:15" x14ac:dyDescent="0.25">
      <c r="A224" t="s">
        <v>24</v>
      </c>
      <c r="D224" s="6" t="s">
        <v>313</v>
      </c>
      <c r="E224" s="6">
        <v>2016</v>
      </c>
      <c r="F224" s="6">
        <v>2</v>
      </c>
      <c r="G224" s="6">
        <v>3</v>
      </c>
      <c r="H224" s="6">
        <v>5</v>
      </c>
      <c r="K224" s="6">
        <v>137</v>
      </c>
      <c r="M224" s="13">
        <v>45793</v>
      </c>
      <c r="O224">
        <v>136</v>
      </c>
    </row>
    <row r="225" spans="1:15" x14ac:dyDescent="0.25">
      <c r="A225" t="s">
        <v>24</v>
      </c>
      <c r="D225" s="6" t="s">
        <v>313</v>
      </c>
      <c r="E225" s="6">
        <v>2016</v>
      </c>
      <c r="F225" s="6">
        <v>2</v>
      </c>
      <c r="G225" s="6">
        <v>3</v>
      </c>
      <c r="H225" s="6">
        <v>5</v>
      </c>
      <c r="K225" s="6">
        <v>137</v>
      </c>
      <c r="M225" s="13">
        <v>45796</v>
      </c>
      <c r="O225">
        <v>139</v>
      </c>
    </row>
    <row r="226" spans="1:15" x14ac:dyDescent="0.25">
      <c r="A226" t="s">
        <v>24</v>
      </c>
      <c r="D226" s="6" t="s">
        <v>313</v>
      </c>
      <c r="E226" s="6">
        <v>2016</v>
      </c>
      <c r="F226" s="6">
        <v>2</v>
      </c>
      <c r="G226" s="6">
        <v>3</v>
      </c>
      <c r="H226" s="6">
        <v>5</v>
      </c>
      <c r="K226" s="6">
        <v>137</v>
      </c>
      <c r="M226" s="13">
        <v>45800</v>
      </c>
      <c r="O226">
        <v>143</v>
      </c>
    </row>
    <row r="227" spans="1:15" x14ac:dyDescent="0.25">
      <c r="A227" t="s">
        <v>24</v>
      </c>
      <c r="D227" s="6" t="s">
        <v>313</v>
      </c>
      <c r="E227" s="6">
        <v>2016</v>
      </c>
      <c r="F227" s="6">
        <v>2</v>
      </c>
      <c r="G227" s="6">
        <v>3</v>
      </c>
      <c r="H227" s="6">
        <v>5</v>
      </c>
      <c r="K227" s="6">
        <v>137</v>
      </c>
      <c r="M227" s="13">
        <v>45804</v>
      </c>
      <c r="O227">
        <v>147</v>
      </c>
    </row>
    <row r="228" spans="1:15" x14ac:dyDescent="0.25">
      <c r="A228" t="s">
        <v>24</v>
      </c>
      <c r="D228" s="6" t="s">
        <v>313</v>
      </c>
      <c r="E228" s="6">
        <v>2016</v>
      </c>
      <c r="F228" s="6">
        <v>2</v>
      </c>
      <c r="G228" s="6">
        <v>3</v>
      </c>
      <c r="H228" s="6">
        <v>5</v>
      </c>
      <c r="K228" s="6">
        <v>137</v>
      </c>
      <c r="M228" s="13">
        <v>45807</v>
      </c>
      <c r="O228">
        <v>150</v>
      </c>
    </row>
    <row r="229" spans="1:15" x14ac:dyDescent="0.25">
      <c r="A229" t="s">
        <v>24</v>
      </c>
      <c r="D229" s="6" t="s">
        <v>313</v>
      </c>
      <c r="E229" s="6">
        <v>2016</v>
      </c>
      <c r="F229" s="6">
        <v>2</v>
      </c>
      <c r="G229" s="6">
        <v>3</v>
      </c>
      <c r="H229" s="6">
        <v>5</v>
      </c>
      <c r="K229" s="6">
        <v>137</v>
      </c>
      <c r="M229" s="13">
        <v>45810</v>
      </c>
      <c r="O229">
        <v>153</v>
      </c>
    </row>
    <row r="230" spans="1:15" x14ac:dyDescent="0.25">
      <c r="A230" t="s">
        <v>24</v>
      </c>
      <c r="D230" s="6" t="s">
        <v>312</v>
      </c>
      <c r="E230" s="6">
        <v>2002</v>
      </c>
      <c r="F230" s="6">
        <v>2</v>
      </c>
      <c r="G230" s="6">
        <v>4</v>
      </c>
      <c r="H230" s="6">
        <v>5</v>
      </c>
      <c r="K230" s="6">
        <v>153</v>
      </c>
      <c r="M230" s="13">
        <v>45769</v>
      </c>
      <c r="N230">
        <v>0</v>
      </c>
      <c r="O230">
        <v>112</v>
      </c>
    </row>
    <row r="231" spans="1:15" x14ac:dyDescent="0.25">
      <c r="A231" t="s">
        <v>24</v>
      </c>
      <c r="D231" s="6" t="s">
        <v>312</v>
      </c>
      <c r="E231" s="6">
        <v>2002</v>
      </c>
      <c r="F231" s="6">
        <v>2</v>
      </c>
      <c r="G231" s="6">
        <v>4</v>
      </c>
      <c r="H231" s="6">
        <v>5</v>
      </c>
      <c r="K231" s="6">
        <v>153</v>
      </c>
      <c r="M231" s="13">
        <v>45771</v>
      </c>
      <c r="N231">
        <v>8</v>
      </c>
      <c r="O231">
        <v>114</v>
      </c>
    </row>
    <row r="232" spans="1:15" x14ac:dyDescent="0.25">
      <c r="A232" t="s">
        <v>24</v>
      </c>
      <c r="D232" s="6" t="s">
        <v>312</v>
      </c>
      <c r="E232" s="6">
        <v>2002</v>
      </c>
      <c r="F232" s="6">
        <v>2</v>
      </c>
      <c r="G232" s="6">
        <v>4</v>
      </c>
      <c r="H232" s="6">
        <v>5</v>
      </c>
      <c r="K232" s="6">
        <v>153</v>
      </c>
      <c r="M232" s="13">
        <v>45772</v>
      </c>
      <c r="N232">
        <v>16</v>
      </c>
      <c r="O232">
        <v>115</v>
      </c>
    </row>
    <row r="233" spans="1:15" x14ac:dyDescent="0.25">
      <c r="A233" t="s">
        <v>24</v>
      </c>
      <c r="D233" s="6" t="s">
        <v>312</v>
      </c>
      <c r="E233" s="6">
        <v>2002</v>
      </c>
      <c r="F233" s="6">
        <v>2</v>
      </c>
      <c r="G233" s="6">
        <v>4</v>
      </c>
      <c r="H233" s="6">
        <v>5</v>
      </c>
      <c r="K233" s="6">
        <v>153</v>
      </c>
      <c r="M233" s="13">
        <v>45775</v>
      </c>
      <c r="N233">
        <v>24</v>
      </c>
      <c r="O233">
        <v>118</v>
      </c>
    </row>
    <row r="234" spans="1:15" x14ac:dyDescent="0.25">
      <c r="A234" t="s">
        <v>24</v>
      </c>
      <c r="D234" s="6" t="s">
        <v>312</v>
      </c>
      <c r="E234" s="6">
        <v>2002</v>
      </c>
      <c r="F234" s="6">
        <v>2</v>
      </c>
      <c r="G234" s="6">
        <v>4</v>
      </c>
      <c r="H234" s="6">
        <v>5</v>
      </c>
      <c r="K234" s="6">
        <v>153</v>
      </c>
      <c r="M234" s="13">
        <v>45778</v>
      </c>
      <c r="N234">
        <v>27</v>
      </c>
      <c r="O234">
        <v>121</v>
      </c>
    </row>
    <row r="235" spans="1:15" x14ac:dyDescent="0.25">
      <c r="A235" t="s">
        <v>24</v>
      </c>
      <c r="D235" s="6" t="s">
        <v>312</v>
      </c>
      <c r="E235" s="6">
        <v>2002</v>
      </c>
      <c r="F235" s="6">
        <v>2</v>
      </c>
      <c r="G235" s="6">
        <v>4</v>
      </c>
      <c r="H235" s="6">
        <v>5</v>
      </c>
      <c r="K235" s="6">
        <v>153</v>
      </c>
      <c r="M235" s="13">
        <v>45782</v>
      </c>
      <c r="N235">
        <v>27</v>
      </c>
      <c r="O235">
        <v>125</v>
      </c>
    </row>
    <row r="236" spans="1:15" x14ac:dyDescent="0.25">
      <c r="A236" t="s">
        <v>24</v>
      </c>
      <c r="D236" s="6" t="s">
        <v>312</v>
      </c>
      <c r="E236" s="6">
        <v>2002</v>
      </c>
      <c r="F236" s="6">
        <v>2</v>
      </c>
      <c r="G236" s="6">
        <v>4</v>
      </c>
      <c r="H236" s="6">
        <v>5</v>
      </c>
      <c r="K236" s="6">
        <v>153</v>
      </c>
      <c r="M236" s="13">
        <v>45793</v>
      </c>
      <c r="O236">
        <v>136</v>
      </c>
    </row>
    <row r="237" spans="1:15" x14ac:dyDescent="0.25">
      <c r="A237" t="s">
        <v>24</v>
      </c>
      <c r="D237" s="6" t="s">
        <v>312</v>
      </c>
      <c r="E237" s="6">
        <v>2002</v>
      </c>
      <c r="F237" s="6">
        <v>2</v>
      </c>
      <c r="G237" s="6">
        <v>4</v>
      </c>
      <c r="H237" s="6">
        <v>5</v>
      </c>
      <c r="K237" s="6">
        <v>153</v>
      </c>
      <c r="M237" s="13">
        <v>45796</v>
      </c>
      <c r="O237">
        <v>139</v>
      </c>
    </row>
    <row r="238" spans="1:15" x14ac:dyDescent="0.25">
      <c r="A238" t="s">
        <v>24</v>
      </c>
      <c r="D238" s="6" t="s">
        <v>312</v>
      </c>
      <c r="E238" s="6">
        <v>2002</v>
      </c>
      <c r="F238" s="6">
        <v>2</v>
      </c>
      <c r="G238" s="6">
        <v>4</v>
      </c>
      <c r="H238" s="6">
        <v>5</v>
      </c>
      <c r="K238" s="6">
        <v>153</v>
      </c>
      <c r="M238" s="13">
        <v>45800</v>
      </c>
      <c r="O238">
        <v>143</v>
      </c>
    </row>
    <row r="239" spans="1:15" x14ac:dyDescent="0.25">
      <c r="A239" t="s">
        <v>24</v>
      </c>
      <c r="D239" s="6" t="s">
        <v>312</v>
      </c>
      <c r="E239" s="6">
        <v>2002</v>
      </c>
      <c r="F239" s="6">
        <v>2</v>
      </c>
      <c r="G239" s="6">
        <v>4</v>
      </c>
      <c r="H239" s="6">
        <v>5</v>
      </c>
      <c r="K239" s="6">
        <v>153</v>
      </c>
      <c r="M239" s="13">
        <v>45804</v>
      </c>
      <c r="O239">
        <v>147</v>
      </c>
    </row>
    <row r="240" spans="1:15" x14ac:dyDescent="0.25">
      <c r="A240" t="s">
        <v>24</v>
      </c>
      <c r="D240" s="6" t="s">
        <v>312</v>
      </c>
      <c r="E240" s="6">
        <v>2002</v>
      </c>
      <c r="F240" s="6">
        <v>2</v>
      </c>
      <c r="G240" s="6">
        <v>4</v>
      </c>
      <c r="H240" s="6">
        <v>5</v>
      </c>
      <c r="K240" s="6">
        <v>153</v>
      </c>
      <c r="M240" s="13">
        <v>45807</v>
      </c>
      <c r="O240">
        <v>150</v>
      </c>
    </row>
    <row r="241" spans="1:15" x14ac:dyDescent="0.25">
      <c r="A241" t="s">
        <v>24</v>
      </c>
      <c r="D241" s="6" t="s">
        <v>312</v>
      </c>
      <c r="E241" s="6">
        <v>2002</v>
      </c>
      <c r="F241" s="6">
        <v>2</v>
      </c>
      <c r="G241" s="6">
        <v>4</v>
      </c>
      <c r="H241" s="6">
        <v>5</v>
      </c>
      <c r="K241" s="6">
        <v>153</v>
      </c>
      <c r="M241" s="13">
        <v>45810</v>
      </c>
      <c r="O241">
        <v>153</v>
      </c>
    </row>
    <row r="242" spans="1:15" x14ac:dyDescent="0.25">
      <c r="A242" t="s">
        <v>24</v>
      </c>
      <c r="D242" s="6" t="s">
        <v>311</v>
      </c>
      <c r="E242" s="6">
        <v>2023</v>
      </c>
      <c r="F242" s="6">
        <v>2</v>
      </c>
      <c r="G242" s="6">
        <v>1</v>
      </c>
      <c r="H242" s="6">
        <v>6</v>
      </c>
      <c r="K242" s="6">
        <v>106</v>
      </c>
      <c r="M242" s="13">
        <v>45769</v>
      </c>
      <c r="N242">
        <v>0</v>
      </c>
      <c r="O242">
        <v>112</v>
      </c>
    </row>
    <row r="243" spans="1:15" x14ac:dyDescent="0.25">
      <c r="A243" t="s">
        <v>24</v>
      </c>
      <c r="D243" s="6" t="s">
        <v>311</v>
      </c>
      <c r="E243" s="6">
        <v>2023</v>
      </c>
      <c r="F243" s="6">
        <v>2</v>
      </c>
      <c r="G243" s="6">
        <v>1</v>
      </c>
      <c r="H243" s="6">
        <v>6</v>
      </c>
      <c r="K243" s="6">
        <v>106</v>
      </c>
      <c r="M243" s="13">
        <v>45771</v>
      </c>
      <c r="N243">
        <v>27</v>
      </c>
      <c r="O243">
        <v>114</v>
      </c>
    </row>
    <row r="244" spans="1:15" x14ac:dyDescent="0.25">
      <c r="A244" t="s">
        <v>24</v>
      </c>
      <c r="D244" s="6" t="s">
        <v>311</v>
      </c>
      <c r="E244" s="6">
        <v>2023</v>
      </c>
      <c r="F244" s="6">
        <v>2</v>
      </c>
      <c r="G244" s="6">
        <v>1</v>
      </c>
      <c r="H244" s="6">
        <v>6</v>
      </c>
      <c r="K244" s="6">
        <v>106</v>
      </c>
      <c r="M244" s="13">
        <v>45772</v>
      </c>
      <c r="N244">
        <v>40</v>
      </c>
      <c r="O244">
        <v>115</v>
      </c>
    </row>
    <row r="245" spans="1:15" x14ac:dyDescent="0.25">
      <c r="A245" t="s">
        <v>24</v>
      </c>
      <c r="D245" s="6" t="s">
        <v>311</v>
      </c>
      <c r="E245" s="6">
        <v>2023</v>
      </c>
      <c r="F245" s="6">
        <v>2</v>
      </c>
      <c r="G245" s="6">
        <v>1</v>
      </c>
      <c r="H245" s="6">
        <v>6</v>
      </c>
      <c r="K245" s="6">
        <v>106</v>
      </c>
      <c r="M245" s="13">
        <v>45775</v>
      </c>
      <c r="N245">
        <v>40</v>
      </c>
      <c r="O245">
        <v>118</v>
      </c>
    </row>
    <row r="246" spans="1:15" x14ac:dyDescent="0.25">
      <c r="A246" t="s">
        <v>24</v>
      </c>
      <c r="D246" s="6" t="s">
        <v>311</v>
      </c>
      <c r="E246" s="6">
        <v>2023</v>
      </c>
      <c r="F246" s="6">
        <v>2</v>
      </c>
      <c r="G246" s="6">
        <v>1</v>
      </c>
      <c r="H246" s="6">
        <v>6</v>
      </c>
      <c r="K246" s="6">
        <v>106</v>
      </c>
      <c r="M246" s="13">
        <v>45778</v>
      </c>
      <c r="N246">
        <v>40</v>
      </c>
      <c r="O246">
        <v>121</v>
      </c>
    </row>
    <row r="247" spans="1:15" x14ac:dyDescent="0.25">
      <c r="A247" t="s">
        <v>24</v>
      </c>
      <c r="D247" s="6" t="s">
        <v>311</v>
      </c>
      <c r="E247" s="6">
        <v>2023</v>
      </c>
      <c r="F247" s="6">
        <v>2</v>
      </c>
      <c r="G247" s="6">
        <v>1</v>
      </c>
      <c r="H247" s="6">
        <v>6</v>
      </c>
      <c r="K247" s="6">
        <v>106</v>
      </c>
      <c r="M247" s="13">
        <v>45782</v>
      </c>
      <c r="N247">
        <v>41</v>
      </c>
      <c r="O247">
        <v>125</v>
      </c>
    </row>
    <row r="248" spans="1:15" x14ac:dyDescent="0.25">
      <c r="A248" t="s">
        <v>24</v>
      </c>
      <c r="D248" s="6" t="s">
        <v>311</v>
      </c>
      <c r="E248" s="6">
        <v>2023</v>
      </c>
      <c r="F248" s="6">
        <v>2</v>
      </c>
      <c r="G248" s="6">
        <v>1</v>
      </c>
      <c r="H248" s="6">
        <v>6</v>
      </c>
      <c r="K248" s="6">
        <v>106</v>
      </c>
      <c r="M248" s="13">
        <v>45793</v>
      </c>
      <c r="O248">
        <v>136</v>
      </c>
    </row>
    <row r="249" spans="1:15" x14ac:dyDescent="0.25">
      <c r="A249" t="s">
        <v>24</v>
      </c>
      <c r="D249" s="6" t="s">
        <v>311</v>
      </c>
      <c r="E249" s="6">
        <v>2023</v>
      </c>
      <c r="F249" s="6">
        <v>2</v>
      </c>
      <c r="G249" s="6">
        <v>1</v>
      </c>
      <c r="H249" s="6">
        <v>6</v>
      </c>
      <c r="K249" s="6">
        <v>106</v>
      </c>
      <c r="M249" s="13">
        <v>45796</v>
      </c>
      <c r="O249">
        <v>139</v>
      </c>
    </row>
    <row r="250" spans="1:15" x14ac:dyDescent="0.25">
      <c r="A250" t="s">
        <v>24</v>
      </c>
      <c r="D250" s="6" t="s">
        <v>311</v>
      </c>
      <c r="E250" s="6">
        <v>2023</v>
      </c>
      <c r="F250" s="6">
        <v>2</v>
      </c>
      <c r="G250" s="6">
        <v>1</v>
      </c>
      <c r="H250" s="6">
        <v>6</v>
      </c>
      <c r="K250" s="6">
        <v>106</v>
      </c>
      <c r="M250" s="13">
        <v>45800</v>
      </c>
      <c r="O250">
        <v>143</v>
      </c>
    </row>
    <row r="251" spans="1:15" x14ac:dyDescent="0.25">
      <c r="A251" t="s">
        <v>24</v>
      </c>
      <c r="D251" s="6" t="s">
        <v>311</v>
      </c>
      <c r="E251" s="6">
        <v>2023</v>
      </c>
      <c r="F251" s="6">
        <v>2</v>
      </c>
      <c r="G251" s="6">
        <v>1</v>
      </c>
      <c r="H251" s="6">
        <v>6</v>
      </c>
      <c r="K251" s="6">
        <v>106</v>
      </c>
      <c r="M251" s="13">
        <v>45804</v>
      </c>
      <c r="O251">
        <v>147</v>
      </c>
    </row>
    <row r="252" spans="1:15" x14ac:dyDescent="0.25">
      <c r="A252" t="s">
        <v>24</v>
      </c>
      <c r="D252" s="6" t="s">
        <v>311</v>
      </c>
      <c r="E252" s="6">
        <v>2023</v>
      </c>
      <c r="F252" s="6">
        <v>2</v>
      </c>
      <c r="G252" s="6">
        <v>1</v>
      </c>
      <c r="H252" s="6">
        <v>6</v>
      </c>
      <c r="K252" s="6">
        <v>106</v>
      </c>
      <c r="M252" s="13">
        <v>45807</v>
      </c>
      <c r="O252">
        <v>150</v>
      </c>
    </row>
    <row r="253" spans="1:15" x14ac:dyDescent="0.25">
      <c r="A253" t="s">
        <v>24</v>
      </c>
      <c r="D253" s="6" t="s">
        <v>311</v>
      </c>
      <c r="E253" s="6">
        <v>2023</v>
      </c>
      <c r="F253" s="6">
        <v>2</v>
      </c>
      <c r="G253" s="6">
        <v>1</v>
      </c>
      <c r="H253" s="6">
        <v>6</v>
      </c>
      <c r="K253" s="6">
        <v>106</v>
      </c>
      <c r="M253" s="13">
        <v>45810</v>
      </c>
      <c r="O253">
        <v>153</v>
      </c>
    </row>
    <row r="254" spans="1:15" x14ac:dyDescent="0.25">
      <c r="A254" t="s">
        <v>24</v>
      </c>
      <c r="D254" s="6" t="s">
        <v>28</v>
      </c>
      <c r="E254" s="6">
        <v>1998</v>
      </c>
      <c r="F254" s="6">
        <v>2</v>
      </c>
      <c r="G254" s="6">
        <v>2</v>
      </c>
      <c r="H254" s="6">
        <v>6</v>
      </c>
      <c r="K254" s="6">
        <v>122</v>
      </c>
      <c r="M254" s="13">
        <v>45769</v>
      </c>
      <c r="N254">
        <v>0</v>
      </c>
      <c r="O254">
        <v>112</v>
      </c>
    </row>
    <row r="255" spans="1:15" x14ac:dyDescent="0.25">
      <c r="A255" t="s">
        <v>24</v>
      </c>
      <c r="D255" s="6" t="s">
        <v>28</v>
      </c>
      <c r="E255" s="6">
        <v>1998</v>
      </c>
      <c r="F255" s="6">
        <v>2</v>
      </c>
      <c r="G255" s="6">
        <v>2</v>
      </c>
      <c r="H255" s="6">
        <v>6</v>
      </c>
      <c r="K255" s="6">
        <v>122</v>
      </c>
      <c r="M255" s="13">
        <v>45771</v>
      </c>
      <c r="N255">
        <v>11</v>
      </c>
      <c r="O255">
        <v>114</v>
      </c>
    </row>
    <row r="256" spans="1:15" x14ac:dyDescent="0.25">
      <c r="A256" t="s">
        <v>24</v>
      </c>
      <c r="D256" s="6" t="s">
        <v>28</v>
      </c>
      <c r="E256" s="6">
        <v>1998</v>
      </c>
      <c r="F256" s="6">
        <v>2</v>
      </c>
      <c r="G256" s="6">
        <v>2</v>
      </c>
      <c r="H256" s="6">
        <v>6</v>
      </c>
      <c r="K256" s="6">
        <v>122</v>
      </c>
      <c r="M256" s="13">
        <v>45772</v>
      </c>
      <c r="N256">
        <v>18</v>
      </c>
      <c r="O256">
        <v>115</v>
      </c>
    </row>
    <row r="257" spans="1:15" x14ac:dyDescent="0.25">
      <c r="A257" t="s">
        <v>24</v>
      </c>
      <c r="D257" s="6" t="s">
        <v>28</v>
      </c>
      <c r="E257" s="6">
        <v>1998</v>
      </c>
      <c r="F257" s="6">
        <v>2</v>
      </c>
      <c r="G257" s="6">
        <v>2</v>
      </c>
      <c r="H257" s="6">
        <v>6</v>
      </c>
      <c r="K257" s="6">
        <v>122</v>
      </c>
      <c r="M257" s="13">
        <v>45775</v>
      </c>
      <c r="N257">
        <v>30</v>
      </c>
      <c r="O257">
        <v>118</v>
      </c>
    </row>
    <row r="258" spans="1:15" x14ac:dyDescent="0.25">
      <c r="A258" t="s">
        <v>24</v>
      </c>
      <c r="D258" s="6" t="s">
        <v>28</v>
      </c>
      <c r="E258" s="6">
        <v>1998</v>
      </c>
      <c r="F258" s="6">
        <v>2</v>
      </c>
      <c r="G258" s="6">
        <v>2</v>
      </c>
      <c r="H258" s="6">
        <v>6</v>
      </c>
      <c r="K258" s="6">
        <v>122</v>
      </c>
      <c r="M258" s="13">
        <v>45778</v>
      </c>
      <c r="N258">
        <v>31</v>
      </c>
      <c r="O258">
        <v>121</v>
      </c>
    </row>
    <row r="259" spans="1:15" x14ac:dyDescent="0.25">
      <c r="A259" t="s">
        <v>24</v>
      </c>
      <c r="D259" s="6" t="s">
        <v>28</v>
      </c>
      <c r="E259" s="6">
        <v>1998</v>
      </c>
      <c r="F259" s="6">
        <v>2</v>
      </c>
      <c r="G259" s="6">
        <v>2</v>
      </c>
      <c r="H259" s="6">
        <v>6</v>
      </c>
      <c r="K259" s="6">
        <v>122</v>
      </c>
      <c r="M259" s="13">
        <v>45782</v>
      </c>
      <c r="N259">
        <v>32</v>
      </c>
      <c r="O259">
        <v>125</v>
      </c>
    </row>
    <row r="260" spans="1:15" x14ac:dyDescent="0.25">
      <c r="A260" t="s">
        <v>24</v>
      </c>
      <c r="D260" s="6" t="s">
        <v>28</v>
      </c>
      <c r="E260" s="6">
        <v>1998</v>
      </c>
      <c r="F260" s="6">
        <v>2</v>
      </c>
      <c r="G260" s="6">
        <v>2</v>
      </c>
      <c r="H260" s="6">
        <v>6</v>
      </c>
      <c r="K260" s="6">
        <v>122</v>
      </c>
      <c r="M260" s="13">
        <v>45793</v>
      </c>
      <c r="O260">
        <v>136</v>
      </c>
    </row>
    <row r="261" spans="1:15" x14ac:dyDescent="0.25">
      <c r="A261" t="s">
        <v>24</v>
      </c>
      <c r="D261" s="6" t="s">
        <v>28</v>
      </c>
      <c r="E261" s="6">
        <v>1998</v>
      </c>
      <c r="F261" s="6">
        <v>2</v>
      </c>
      <c r="G261" s="6">
        <v>2</v>
      </c>
      <c r="H261" s="6">
        <v>6</v>
      </c>
      <c r="K261" s="6">
        <v>122</v>
      </c>
      <c r="M261" s="13">
        <v>45796</v>
      </c>
      <c r="O261">
        <v>139</v>
      </c>
    </row>
    <row r="262" spans="1:15" x14ac:dyDescent="0.25">
      <c r="A262" t="s">
        <v>24</v>
      </c>
      <c r="D262" s="6" t="s">
        <v>28</v>
      </c>
      <c r="E262" s="6">
        <v>1998</v>
      </c>
      <c r="F262" s="6">
        <v>2</v>
      </c>
      <c r="G262" s="6">
        <v>2</v>
      </c>
      <c r="H262" s="6">
        <v>6</v>
      </c>
      <c r="K262" s="6">
        <v>122</v>
      </c>
      <c r="M262" s="13">
        <v>45800</v>
      </c>
      <c r="O262">
        <v>143</v>
      </c>
    </row>
    <row r="263" spans="1:15" x14ac:dyDescent="0.25">
      <c r="A263" t="s">
        <v>24</v>
      </c>
      <c r="D263" s="6" t="s">
        <v>28</v>
      </c>
      <c r="E263" s="6">
        <v>1998</v>
      </c>
      <c r="F263" s="6">
        <v>2</v>
      </c>
      <c r="G263" s="6">
        <v>2</v>
      </c>
      <c r="H263" s="6">
        <v>6</v>
      </c>
      <c r="K263" s="6">
        <v>122</v>
      </c>
      <c r="M263" s="13">
        <v>45804</v>
      </c>
      <c r="O263">
        <v>147</v>
      </c>
    </row>
    <row r="264" spans="1:15" x14ac:dyDescent="0.25">
      <c r="A264" t="s">
        <v>24</v>
      </c>
      <c r="D264" s="6" t="s">
        <v>28</v>
      </c>
      <c r="E264" s="6">
        <v>1998</v>
      </c>
      <c r="F264" s="6">
        <v>2</v>
      </c>
      <c r="G264" s="6">
        <v>2</v>
      </c>
      <c r="H264" s="6">
        <v>6</v>
      </c>
      <c r="K264" s="6">
        <v>122</v>
      </c>
      <c r="M264" s="13">
        <v>45807</v>
      </c>
      <c r="O264">
        <v>150</v>
      </c>
    </row>
    <row r="265" spans="1:15" x14ac:dyDescent="0.25">
      <c r="A265" t="s">
        <v>24</v>
      </c>
      <c r="D265" s="6" t="s">
        <v>28</v>
      </c>
      <c r="E265" s="6">
        <v>1998</v>
      </c>
      <c r="F265" s="6">
        <v>2</v>
      </c>
      <c r="G265" s="6">
        <v>2</v>
      </c>
      <c r="H265" s="6">
        <v>6</v>
      </c>
      <c r="K265" s="6">
        <v>122</v>
      </c>
      <c r="M265" s="13">
        <v>45810</v>
      </c>
      <c r="O265">
        <v>153</v>
      </c>
    </row>
    <row r="266" spans="1:15" x14ac:dyDescent="0.25">
      <c r="A266" t="s">
        <v>24</v>
      </c>
      <c r="D266" s="6" t="s">
        <v>32</v>
      </c>
      <c r="E266" s="6">
        <v>2018</v>
      </c>
      <c r="F266" s="6">
        <v>2</v>
      </c>
      <c r="G266" s="6">
        <v>3</v>
      </c>
      <c r="H266" s="6">
        <v>6</v>
      </c>
      <c r="K266" s="6">
        <v>138</v>
      </c>
      <c r="M266" s="13">
        <v>45769</v>
      </c>
      <c r="N266">
        <v>0</v>
      </c>
      <c r="O266">
        <v>112</v>
      </c>
    </row>
    <row r="267" spans="1:15" x14ac:dyDescent="0.25">
      <c r="A267" t="s">
        <v>24</v>
      </c>
      <c r="D267" s="6" t="s">
        <v>32</v>
      </c>
      <c r="E267" s="6">
        <v>2018</v>
      </c>
      <c r="F267" s="6">
        <v>2</v>
      </c>
      <c r="G267" s="6">
        <v>3</v>
      </c>
      <c r="H267" s="6">
        <v>6</v>
      </c>
      <c r="K267" s="6">
        <v>138</v>
      </c>
      <c r="M267" s="13">
        <v>45771</v>
      </c>
      <c r="N267">
        <v>38</v>
      </c>
      <c r="O267">
        <v>114</v>
      </c>
    </row>
    <row r="268" spans="1:15" x14ac:dyDescent="0.25">
      <c r="A268" t="s">
        <v>24</v>
      </c>
      <c r="D268" s="6" t="s">
        <v>32</v>
      </c>
      <c r="E268" s="6">
        <v>2018</v>
      </c>
      <c r="F268" s="6">
        <v>2</v>
      </c>
      <c r="G268" s="6">
        <v>3</v>
      </c>
      <c r="H268" s="6">
        <v>6</v>
      </c>
      <c r="K268" s="6">
        <v>138</v>
      </c>
      <c r="M268" s="13">
        <v>45772</v>
      </c>
      <c r="N268">
        <v>39</v>
      </c>
      <c r="O268">
        <v>115</v>
      </c>
    </row>
    <row r="269" spans="1:15" x14ac:dyDescent="0.25">
      <c r="A269" t="s">
        <v>24</v>
      </c>
      <c r="D269" s="6" t="s">
        <v>32</v>
      </c>
      <c r="E269" s="6">
        <v>2018</v>
      </c>
      <c r="F269" s="6">
        <v>2</v>
      </c>
      <c r="G269" s="6">
        <v>3</v>
      </c>
      <c r="H269" s="6">
        <v>6</v>
      </c>
      <c r="K269" s="6">
        <v>138</v>
      </c>
      <c r="M269" s="13">
        <v>45775</v>
      </c>
      <c r="N269">
        <v>41</v>
      </c>
      <c r="O269">
        <v>118</v>
      </c>
    </row>
    <row r="270" spans="1:15" x14ac:dyDescent="0.25">
      <c r="A270" t="s">
        <v>24</v>
      </c>
      <c r="D270" s="6" t="s">
        <v>32</v>
      </c>
      <c r="E270" s="6">
        <v>2018</v>
      </c>
      <c r="F270" s="6">
        <v>2</v>
      </c>
      <c r="G270" s="6">
        <v>3</v>
      </c>
      <c r="H270" s="6">
        <v>6</v>
      </c>
      <c r="K270" s="6">
        <v>138</v>
      </c>
      <c r="M270" s="13">
        <v>45778</v>
      </c>
      <c r="N270">
        <v>42</v>
      </c>
      <c r="O270">
        <v>121</v>
      </c>
    </row>
    <row r="271" spans="1:15" x14ac:dyDescent="0.25">
      <c r="A271" t="s">
        <v>24</v>
      </c>
      <c r="D271" s="6" t="s">
        <v>32</v>
      </c>
      <c r="E271" s="6">
        <v>2018</v>
      </c>
      <c r="F271" s="6">
        <v>2</v>
      </c>
      <c r="G271" s="6">
        <v>3</v>
      </c>
      <c r="H271" s="6">
        <v>6</v>
      </c>
      <c r="K271" s="6">
        <v>138</v>
      </c>
      <c r="M271" s="13">
        <v>45782</v>
      </c>
      <c r="N271">
        <v>43</v>
      </c>
      <c r="O271">
        <v>125</v>
      </c>
    </row>
    <row r="272" spans="1:15" x14ac:dyDescent="0.25">
      <c r="A272" t="s">
        <v>24</v>
      </c>
      <c r="D272" s="6" t="s">
        <v>32</v>
      </c>
      <c r="E272" s="6">
        <v>2018</v>
      </c>
      <c r="F272" s="6">
        <v>2</v>
      </c>
      <c r="G272" s="6">
        <v>3</v>
      </c>
      <c r="H272" s="6">
        <v>6</v>
      </c>
      <c r="K272" s="6">
        <v>138</v>
      </c>
      <c r="M272" s="13">
        <v>45793</v>
      </c>
      <c r="O272">
        <v>136</v>
      </c>
    </row>
    <row r="273" spans="1:15" x14ac:dyDescent="0.25">
      <c r="A273" t="s">
        <v>24</v>
      </c>
      <c r="D273" s="6" t="s">
        <v>32</v>
      </c>
      <c r="E273" s="6">
        <v>2018</v>
      </c>
      <c r="F273" s="6">
        <v>2</v>
      </c>
      <c r="G273" s="6">
        <v>3</v>
      </c>
      <c r="H273" s="6">
        <v>6</v>
      </c>
      <c r="K273" s="6">
        <v>138</v>
      </c>
      <c r="M273" s="13">
        <v>45796</v>
      </c>
      <c r="O273">
        <v>139</v>
      </c>
    </row>
    <row r="274" spans="1:15" x14ac:dyDescent="0.25">
      <c r="A274" t="s">
        <v>24</v>
      </c>
      <c r="D274" s="6" t="s">
        <v>32</v>
      </c>
      <c r="E274" s="6">
        <v>2018</v>
      </c>
      <c r="F274" s="6">
        <v>2</v>
      </c>
      <c r="G274" s="6">
        <v>3</v>
      </c>
      <c r="H274" s="6">
        <v>6</v>
      </c>
      <c r="K274" s="6">
        <v>138</v>
      </c>
      <c r="M274" s="13">
        <v>45800</v>
      </c>
      <c r="O274">
        <v>143</v>
      </c>
    </row>
    <row r="275" spans="1:15" x14ac:dyDescent="0.25">
      <c r="A275" t="s">
        <v>24</v>
      </c>
      <c r="D275" s="6" t="s">
        <v>32</v>
      </c>
      <c r="E275" s="6">
        <v>2018</v>
      </c>
      <c r="F275" s="6">
        <v>2</v>
      </c>
      <c r="G275" s="6">
        <v>3</v>
      </c>
      <c r="H275" s="6">
        <v>6</v>
      </c>
      <c r="K275" s="6">
        <v>138</v>
      </c>
      <c r="M275" s="13">
        <v>45804</v>
      </c>
      <c r="O275">
        <v>147</v>
      </c>
    </row>
    <row r="276" spans="1:15" x14ac:dyDescent="0.25">
      <c r="A276" t="s">
        <v>24</v>
      </c>
      <c r="D276" s="6" t="s">
        <v>32</v>
      </c>
      <c r="E276" s="6">
        <v>2018</v>
      </c>
      <c r="F276" s="6">
        <v>2</v>
      </c>
      <c r="G276" s="6">
        <v>3</v>
      </c>
      <c r="H276" s="6">
        <v>6</v>
      </c>
      <c r="K276" s="6">
        <v>138</v>
      </c>
      <c r="M276" s="13">
        <v>45807</v>
      </c>
      <c r="O276">
        <v>150</v>
      </c>
    </row>
    <row r="277" spans="1:15" x14ac:dyDescent="0.25">
      <c r="A277" t="s">
        <v>24</v>
      </c>
      <c r="D277" s="6" t="s">
        <v>32</v>
      </c>
      <c r="E277" s="6">
        <v>2018</v>
      </c>
      <c r="F277" s="6">
        <v>2</v>
      </c>
      <c r="G277" s="6">
        <v>3</v>
      </c>
      <c r="H277" s="6">
        <v>6</v>
      </c>
      <c r="K277" s="6">
        <v>138</v>
      </c>
      <c r="M277" s="13">
        <v>45810</v>
      </c>
      <c r="O277">
        <v>153</v>
      </c>
    </row>
    <row r="278" spans="1:15" x14ac:dyDescent="0.25">
      <c r="A278" t="s">
        <v>24</v>
      </c>
      <c r="D278" s="6" t="s">
        <v>26</v>
      </c>
      <c r="E278" s="6">
        <v>1983</v>
      </c>
      <c r="F278" s="6">
        <v>2</v>
      </c>
      <c r="G278" s="6">
        <v>4</v>
      </c>
      <c r="H278" s="6">
        <v>6</v>
      </c>
      <c r="K278" s="6">
        <v>154</v>
      </c>
      <c r="M278" s="13">
        <v>45769</v>
      </c>
      <c r="N278">
        <v>0</v>
      </c>
      <c r="O278">
        <v>112</v>
      </c>
    </row>
    <row r="279" spans="1:15" x14ac:dyDescent="0.25">
      <c r="A279" t="s">
        <v>24</v>
      </c>
      <c r="D279" s="6" t="s">
        <v>26</v>
      </c>
      <c r="E279" s="6">
        <v>1983</v>
      </c>
      <c r="F279" s="6">
        <v>2</v>
      </c>
      <c r="G279" s="6">
        <v>4</v>
      </c>
      <c r="H279" s="6">
        <v>6</v>
      </c>
      <c r="K279" s="6">
        <v>154</v>
      </c>
      <c r="M279" s="13">
        <v>45771</v>
      </c>
      <c r="N279">
        <v>10</v>
      </c>
      <c r="O279">
        <v>114</v>
      </c>
    </row>
    <row r="280" spans="1:15" x14ac:dyDescent="0.25">
      <c r="A280" t="s">
        <v>24</v>
      </c>
      <c r="D280" s="6" t="s">
        <v>26</v>
      </c>
      <c r="E280" s="6">
        <v>1983</v>
      </c>
      <c r="F280" s="6">
        <v>2</v>
      </c>
      <c r="G280" s="6">
        <v>4</v>
      </c>
      <c r="H280" s="6">
        <v>6</v>
      </c>
      <c r="K280" s="6">
        <v>154</v>
      </c>
      <c r="M280" s="13">
        <v>45772</v>
      </c>
      <c r="N280">
        <v>18</v>
      </c>
      <c r="O280">
        <v>115</v>
      </c>
    </row>
    <row r="281" spans="1:15" x14ac:dyDescent="0.25">
      <c r="A281" t="s">
        <v>24</v>
      </c>
      <c r="D281" s="6" t="s">
        <v>26</v>
      </c>
      <c r="E281" s="6">
        <v>1983</v>
      </c>
      <c r="F281" s="6">
        <v>2</v>
      </c>
      <c r="G281" s="6">
        <v>4</v>
      </c>
      <c r="H281" s="6">
        <v>6</v>
      </c>
      <c r="K281" s="6">
        <v>154</v>
      </c>
      <c r="M281" s="13">
        <v>45775</v>
      </c>
      <c r="N281">
        <v>27</v>
      </c>
      <c r="O281">
        <v>118</v>
      </c>
    </row>
    <row r="282" spans="1:15" x14ac:dyDescent="0.25">
      <c r="A282" t="s">
        <v>24</v>
      </c>
      <c r="D282" s="6" t="s">
        <v>26</v>
      </c>
      <c r="E282" s="6">
        <v>1983</v>
      </c>
      <c r="F282" s="6">
        <v>2</v>
      </c>
      <c r="G282" s="6">
        <v>4</v>
      </c>
      <c r="H282" s="6">
        <v>6</v>
      </c>
      <c r="K282" s="6">
        <v>154</v>
      </c>
      <c r="M282" s="13">
        <v>45778</v>
      </c>
      <c r="N282">
        <v>27</v>
      </c>
      <c r="O282">
        <v>121</v>
      </c>
    </row>
    <row r="283" spans="1:15" x14ac:dyDescent="0.25">
      <c r="A283" t="s">
        <v>24</v>
      </c>
      <c r="D283" s="6" t="s">
        <v>26</v>
      </c>
      <c r="E283" s="6">
        <v>1983</v>
      </c>
      <c r="F283" s="6">
        <v>2</v>
      </c>
      <c r="G283" s="6">
        <v>4</v>
      </c>
      <c r="H283" s="6">
        <v>6</v>
      </c>
      <c r="K283" s="6">
        <v>154</v>
      </c>
      <c r="M283" s="13">
        <v>45782</v>
      </c>
      <c r="N283">
        <v>29</v>
      </c>
      <c r="O283">
        <v>125</v>
      </c>
    </row>
    <row r="284" spans="1:15" x14ac:dyDescent="0.25">
      <c r="A284" t="s">
        <v>24</v>
      </c>
      <c r="D284" s="6" t="s">
        <v>26</v>
      </c>
      <c r="E284" s="6">
        <v>1983</v>
      </c>
      <c r="F284" s="6">
        <v>2</v>
      </c>
      <c r="G284" s="6">
        <v>4</v>
      </c>
      <c r="H284" s="6">
        <v>6</v>
      </c>
      <c r="K284" s="6">
        <v>154</v>
      </c>
      <c r="M284" s="13">
        <v>45793</v>
      </c>
      <c r="O284">
        <v>136</v>
      </c>
    </row>
    <row r="285" spans="1:15" x14ac:dyDescent="0.25">
      <c r="A285" t="s">
        <v>24</v>
      </c>
      <c r="D285" s="6" t="s">
        <v>26</v>
      </c>
      <c r="E285" s="6">
        <v>1983</v>
      </c>
      <c r="F285" s="6">
        <v>2</v>
      </c>
      <c r="G285" s="6">
        <v>4</v>
      </c>
      <c r="H285" s="6">
        <v>6</v>
      </c>
      <c r="K285" s="6">
        <v>154</v>
      </c>
      <c r="M285" s="13">
        <v>45796</v>
      </c>
      <c r="O285">
        <v>139</v>
      </c>
    </row>
    <row r="286" spans="1:15" x14ac:dyDescent="0.25">
      <c r="A286" t="s">
        <v>24</v>
      </c>
      <c r="D286" s="6" t="s">
        <v>26</v>
      </c>
      <c r="E286" s="6">
        <v>1983</v>
      </c>
      <c r="F286" s="6">
        <v>2</v>
      </c>
      <c r="G286" s="6">
        <v>4</v>
      </c>
      <c r="H286" s="6">
        <v>6</v>
      </c>
      <c r="K286" s="6">
        <v>154</v>
      </c>
      <c r="M286" s="13">
        <v>45800</v>
      </c>
      <c r="O286">
        <v>143</v>
      </c>
    </row>
    <row r="287" spans="1:15" x14ac:dyDescent="0.25">
      <c r="A287" t="s">
        <v>24</v>
      </c>
      <c r="D287" s="6" t="s">
        <v>26</v>
      </c>
      <c r="E287" s="6">
        <v>1983</v>
      </c>
      <c r="F287" s="6">
        <v>2</v>
      </c>
      <c r="G287" s="6">
        <v>4</v>
      </c>
      <c r="H287" s="6">
        <v>6</v>
      </c>
      <c r="K287" s="6">
        <v>154</v>
      </c>
      <c r="M287" s="13">
        <v>45804</v>
      </c>
      <c r="O287">
        <v>147</v>
      </c>
    </row>
    <row r="288" spans="1:15" x14ac:dyDescent="0.25">
      <c r="A288" t="s">
        <v>24</v>
      </c>
      <c r="D288" s="6" t="s">
        <v>26</v>
      </c>
      <c r="E288" s="6">
        <v>1983</v>
      </c>
      <c r="F288" s="6">
        <v>2</v>
      </c>
      <c r="G288" s="6">
        <v>4</v>
      </c>
      <c r="H288" s="6">
        <v>6</v>
      </c>
      <c r="K288" s="6">
        <v>154</v>
      </c>
      <c r="M288" s="13">
        <v>45807</v>
      </c>
      <c r="O288">
        <v>150</v>
      </c>
    </row>
    <row r="289" spans="1:15" x14ac:dyDescent="0.25">
      <c r="A289" t="s">
        <v>24</v>
      </c>
      <c r="D289" s="6" t="s">
        <v>26</v>
      </c>
      <c r="E289" s="6">
        <v>1983</v>
      </c>
      <c r="F289" s="6">
        <v>2</v>
      </c>
      <c r="G289" s="6">
        <v>4</v>
      </c>
      <c r="H289" s="6">
        <v>6</v>
      </c>
      <c r="K289" s="6">
        <v>154</v>
      </c>
      <c r="M289" s="13">
        <v>45810</v>
      </c>
      <c r="O289">
        <v>153</v>
      </c>
    </row>
    <row r="290" spans="1:15" x14ac:dyDescent="0.25">
      <c r="A290" t="s">
        <v>34</v>
      </c>
      <c r="D290" s="6" t="s">
        <v>41</v>
      </c>
      <c r="E290" s="6">
        <v>2008</v>
      </c>
      <c r="F290" s="6">
        <v>2</v>
      </c>
      <c r="G290" s="6">
        <v>1</v>
      </c>
      <c r="H290" s="6">
        <v>7</v>
      </c>
      <c r="K290" s="6">
        <v>107</v>
      </c>
      <c r="M290" s="13">
        <v>45769</v>
      </c>
      <c r="O290">
        <v>112</v>
      </c>
    </row>
    <row r="291" spans="1:15" x14ac:dyDescent="0.25">
      <c r="A291" t="s">
        <v>34</v>
      </c>
      <c r="D291" s="6" t="s">
        <v>41</v>
      </c>
      <c r="E291" s="6">
        <v>2008</v>
      </c>
      <c r="F291" s="6">
        <v>2</v>
      </c>
      <c r="G291" s="6">
        <v>1</v>
      </c>
      <c r="H291" s="6">
        <v>7</v>
      </c>
      <c r="K291" s="6">
        <v>107</v>
      </c>
      <c r="M291" s="13">
        <v>45771</v>
      </c>
      <c r="O291">
        <v>114</v>
      </c>
    </row>
    <row r="292" spans="1:15" x14ac:dyDescent="0.25">
      <c r="A292" t="s">
        <v>34</v>
      </c>
      <c r="D292" s="6" t="s">
        <v>41</v>
      </c>
      <c r="E292" s="6">
        <v>2008</v>
      </c>
      <c r="F292" s="6">
        <v>2</v>
      </c>
      <c r="G292" s="6">
        <v>1</v>
      </c>
      <c r="H292" s="6">
        <v>7</v>
      </c>
      <c r="K292" s="6">
        <v>107</v>
      </c>
      <c r="M292" s="13">
        <v>45772</v>
      </c>
      <c r="O292">
        <v>115</v>
      </c>
    </row>
    <row r="293" spans="1:15" x14ac:dyDescent="0.25">
      <c r="A293" t="s">
        <v>34</v>
      </c>
      <c r="D293" s="6" t="s">
        <v>41</v>
      </c>
      <c r="E293" s="6">
        <v>2008</v>
      </c>
      <c r="F293" s="6">
        <v>2</v>
      </c>
      <c r="G293" s="6">
        <v>1</v>
      </c>
      <c r="H293" s="6">
        <v>7</v>
      </c>
      <c r="K293" s="6">
        <v>107</v>
      </c>
      <c r="M293" s="13">
        <v>45775</v>
      </c>
      <c r="O293">
        <v>118</v>
      </c>
    </row>
    <row r="294" spans="1:15" x14ac:dyDescent="0.25">
      <c r="A294" t="s">
        <v>34</v>
      </c>
      <c r="D294" s="6" t="s">
        <v>41</v>
      </c>
      <c r="E294" s="6">
        <v>2008</v>
      </c>
      <c r="F294" s="6">
        <v>2</v>
      </c>
      <c r="G294" s="6">
        <v>1</v>
      </c>
      <c r="H294" s="6">
        <v>7</v>
      </c>
      <c r="K294" s="6">
        <v>107</v>
      </c>
      <c r="M294" s="13">
        <v>45778</v>
      </c>
      <c r="O294">
        <v>121</v>
      </c>
    </row>
    <row r="295" spans="1:15" x14ac:dyDescent="0.25">
      <c r="A295" t="s">
        <v>34</v>
      </c>
      <c r="D295" s="6" t="s">
        <v>41</v>
      </c>
      <c r="E295" s="6">
        <v>2008</v>
      </c>
      <c r="F295" s="6">
        <v>2</v>
      </c>
      <c r="G295" s="6">
        <v>1</v>
      </c>
      <c r="H295" s="6">
        <v>7</v>
      </c>
      <c r="K295" s="6">
        <v>107</v>
      </c>
      <c r="M295" s="13">
        <v>45782</v>
      </c>
      <c r="O295">
        <v>125</v>
      </c>
    </row>
    <row r="296" spans="1:15" x14ac:dyDescent="0.25">
      <c r="A296" t="s">
        <v>34</v>
      </c>
      <c r="D296" s="6" t="s">
        <v>41</v>
      </c>
      <c r="E296" s="6">
        <v>2008</v>
      </c>
      <c r="F296" s="6">
        <v>2</v>
      </c>
      <c r="G296" s="6">
        <v>1</v>
      </c>
      <c r="H296" s="6">
        <v>7</v>
      </c>
      <c r="K296" s="6">
        <v>107</v>
      </c>
      <c r="M296" s="13">
        <v>45793</v>
      </c>
      <c r="N296">
        <v>0</v>
      </c>
      <c r="O296">
        <v>136</v>
      </c>
    </row>
    <row r="297" spans="1:15" x14ac:dyDescent="0.25">
      <c r="A297" t="s">
        <v>34</v>
      </c>
      <c r="D297" s="6" t="s">
        <v>41</v>
      </c>
      <c r="E297" s="6">
        <v>2008</v>
      </c>
      <c r="F297" s="6">
        <v>2</v>
      </c>
      <c r="G297" s="6">
        <v>1</v>
      </c>
      <c r="H297" s="6">
        <v>7</v>
      </c>
      <c r="K297" s="6">
        <v>107</v>
      </c>
      <c r="M297" s="13">
        <v>45796</v>
      </c>
      <c r="N297">
        <v>0</v>
      </c>
      <c r="O297">
        <v>139</v>
      </c>
    </row>
    <row r="298" spans="1:15" x14ac:dyDescent="0.25">
      <c r="A298" t="s">
        <v>34</v>
      </c>
      <c r="D298" s="6" t="s">
        <v>41</v>
      </c>
      <c r="E298" s="6">
        <v>2008</v>
      </c>
      <c r="F298" s="6">
        <v>2</v>
      </c>
      <c r="G298" s="6">
        <v>1</v>
      </c>
      <c r="H298" s="6">
        <v>7</v>
      </c>
      <c r="K298" s="6">
        <v>107</v>
      </c>
      <c r="M298" s="13">
        <v>45800</v>
      </c>
      <c r="N298">
        <v>13</v>
      </c>
      <c r="O298">
        <v>143</v>
      </c>
    </row>
    <row r="299" spans="1:15" x14ac:dyDescent="0.25">
      <c r="A299" t="s">
        <v>34</v>
      </c>
      <c r="D299" s="6" t="s">
        <v>41</v>
      </c>
      <c r="E299" s="6">
        <v>2008</v>
      </c>
      <c r="F299" s="6">
        <v>2</v>
      </c>
      <c r="G299" s="6">
        <v>1</v>
      </c>
      <c r="H299" s="6">
        <v>7</v>
      </c>
      <c r="K299" s="6">
        <v>107</v>
      </c>
      <c r="M299" s="13">
        <v>45804</v>
      </c>
      <c r="N299">
        <v>38</v>
      </c>
      <c r="O299">
        <v>147</v>
      </c>
    </row>
    <row r="300" spans="1:15" x14ac:dyDescent="0.25">
      <c r="A300" t="s">
        <v>34</v>
      </c>
      <c r="D300" s="6" t="s">
        <v>41</v>
      </c>
      <c r="E300" s="6">
        <v>2008</v>
      </c>
      <c r="F300" s="6">
        <v>2</v>
      </c>
      <c r="G300" s="6">
        <v>1</v>
      </c>
      <c r="H300" s="6">
        <v>7</v>
      </c>
      <c r="K300" s="6">
        <v>107</v>
      </c>
      <c r="M300" s="13">
        <v>45807</v>
      </c>
      <c r="N300">
        <v>38</v>
      </c>
      <c r="O300">
        <v>150</v>
      </c>
    </row>
    <row r="301" spans="1:15" x14ac:dyDescent="0.25">
      <c r="A301" t="s">
        <v>34</v>
      </c>
      <c r="D301" s="6" t="s">
        <v>41</v>
      </c>
      <c r="E301" s="6">
        <v>2008</v>
      </c>
      <c r="F301" s="6">
        <v>2</v>
      </c>
      <c r="G301" s="6">
        <v>1</v>
      </c>
      <c r="H301" s="6">
        <v>7</v>
      </c>
      <c r="K301" s="6">
        <v>107</v>
      </c>
      <c r="M301" s="13">
        <v>45810</v>
      </c>
      <c r="N301">
        <v>38</v>
      </c>
      <c r="O301">
        <v>153</v>
      </c>
    </row>
    <row r="302" spans="1:15" x14ac:dyDescent="0.25">
      <c r="A302" t="s">
        <v>34</v>
      </c>
      <c r="D302" s="6" t="s">
        <v>37</v>
      </c>
      <c r="E302" s="6">
        <v>1989</v>
      </c>
      <c r="F302" s="6">
        <v>2</v>
      </c>
      <c r="G302" s="6">
        <v>2</v>
      </c>
      <c r="H302" s="6">
        <v>7</v>
      </c>
      <c r="K302" s="6">
        <v>123</v>
      </c>
      <c r="M302" s="13">
        <v>45769</v>
      </c>
      <c r="O302">
        <v>112</v>
      </c>
    </row>
    <row r="303" spans="1:15" x14ac:dyDescent="0.25">
      <c r="A303" t="s">
        <v>34</v>
      </c>
      <c r="D303" s="6" t="s">
        <v>37</v>
      </c>
      <c r="E303" s="6">
        <v>1989</v>
      </c>
      <c r="F303" s="6">
        <v>2</v>
      </c>
      <c r="G303" s="6">
        <v>2</v>
      </c>
      <c r="H303" s="6">
        <v>7</v>
      </c>
      <c r="K303" s="6">
        <v>123</v>
      </c>
      <c r="M303" s="13">
        <v>45771</v>
      </c>
      <c r="O303">
        <v>114</v>
      </c>
    </row>
    <row r="304" spans="1:15" x14ac:dyDescent="0.25">
      <c r="A304" t="s">
        <v>34</v>
      </c>
      <c r="D304" s="6" t="s">
        <v>37</v>
      </c>
      <c r="E304" s="6">
        <v>1989</v>
      </c>
      <c r="F304" s="6">
        <v>2</v>
      </c>
      <c r="G304" s="6">
        <v>2</v>
      </c>
      <c r="H304" s="6">
        <v>7</v>
      </c>
      <c r="K304" s="6">
        <v>123</v>
      </c>
      <c r="M304" s="13">
        <v>45772</v>
      </c>
      <c r="O304">
        <v>115</v>
      </c>
    </row>
    <row r="305" spans="1:15" x14ac:dyDescent="0.25">
      <c r="A305" t="s">
        <v>34</v>
      </c>
      <c r="D305" s="6" t="s">
        <v>37</v>
      </c>
      <c r="E305" s="6">
        <v>1989</v>
      </c>
      <c r="F305" s="6">
        <v>2</v>
      </c>
      <c r="G305" s="6">
        <v>2</v>
      </c>
      <c r="H305" s="6">
        <v>7</v>
      </c>
      <c r="K305" s="6">
        <v>123</v>
      </c>
      <c r="M305" s="13">
        <v>45775</v>
      </c>
      <c r="O305">
        <v>118</v>
      </c>
    </row>
    <row r="306" spans="1:15" x14ac:dyDescent="0.25">
      <c r="A306" t="s">
        <v>34</v>
      </c>
      <c r="D306" s="6" t="s">
        <v>37</v>
      </c>
      <c r="E306" s="6">
        <v>1989</v>
      </c>
      <c r="F306" s="6">
        <v>2</v>
      </c>
      <c r="G306" s="6">
        <v>2</v>
      </c>
      <c r="H306" s="6">
        <v>7</v>
      </c>
      <c r="K306" s="6">
        <v>123</v>
      </c>
      <c r="M306" s="13">
        <v>45778</v>
      </c>
      <c r="O306">
        <v>121</v>
      </c>
    </row>
    <row r="307" spans="1:15" x14ac:dyDescent="0.25">
      <c r="A307" t="s">
        <v>34</v>
      </c>
      <c r="D307" s="6" t="s">
        <v>37</v>
      </c>
      <c r="E307" s="6">
        <v>1989</v>
      </c>
      <c r="F307" s="6">
        <v>2</v>
      </c>
      <c r="G307" s="6">
        <v>2</v>
      </c>
      <c r="H307" s="6">
        <v>7</v>
      </c>
      <c r="K307" s="6">
        <v>123</v>
      </c>
      <c r="M307" s="13">
        <v>45782</v>
      </c>
      <c r="O307">
        <v>125</v>
      </c>
    </row>
    <row r="308" spans="1:15" x14ac:dyDescent="0.25">
      <c r="A308" t="s">
        <v>34</v>
      </c>
      <c r="D308" s="6" t="s">
        <v>37</v>
      </c>
      <c r="E308" s="6">
        <v>1989</v>
      </c>
      <c r="F308" s="6">
        <v>2</v>
      </c>
      <c r="G308" s="6">
        <v>2</v>
      </c>
      <c r="H308" s="6">
        <v>7</v>
      </c>
      <c r="K308" s="6">
        <v>123</v>
      </c>
      <c r="M308" s="13">
        <v>45793</v>
      </c>
      <c r="N308">
        <v>0</v>
      </c>
      <c r="O308">
        <v>136</v>
      </c>
    </row>
    <row r="309" spans="1:15" x14ac:dyDescent="0.25">
      <c r="A309" t="s">
        <v>34</v>
      </c>
      <c r="D309" s="6" t="s">
        <v>37</v>
      </c>
      <c r="E309" s="6">
        <v>1989</v>
      </c>
      <c r="F309" s="6">
        <v>2</v>
      </c>
      <c r="G309" s="6">
        <v>2</v>
      </c>
      <c r="H309" s="6">
        <v>7</v>
      </c>
      <c r="K309" s="6">
        <v>123</v>
      </c>
      <c r="M309" s="13">
        <v>45796</v>
      </c>
      <c r="N309">
        <v>0</v>
      </c>
      <c r="O309">
        <v>139</v>
      </c>
    </row>
    <row r="310" spans="1:15" x14ac:dyDescent="0.25">
      <c r="A310" t="s">
        <v>34</v>
      </c>
      <c r="D310" s="6" t="s">
        <v>37</v>
      </c>
      <c r="E310" s="6">
        <v>1989</v>
      </c>
      <c r="F310" s="6">
        <v>2</v>
      </c>
      <c r="G310" s="6">
        <v>2</v>
      </c>
      <c r="H310" s="6">
        <v>7</v>
      </c>
      <c r="K310" s="6">
        <v>123</v>
      </c>
      <c r="M310" s="13">
        <v>45800</v>
      </c>
      <c r="N310">
        <v>20</v>
      </c>
      <c r="O310">
        <v>143</v>
      </c>
    </row>
    <row r="311" spans="1:15" x14ac:dyDescent="0.25">
      <c r="A311" t="s">
        <v>34</v>
      </c>
      <c r="D311" s="6" t="s">
        <v>37</v>
      </c>
      <c r="E311" s="6">
        <v>1989</v>
      </c>
      <c r="F311" s="6">
        <v>2</v>
      </c>
      <c r="G311" s="6">
        <v>2</v>
      </c>
      <c r="H311" s="6">
        <v>7</v>
      </c>
      <c r="K311" s="6">
        <v>123</v>
      </c>
      <c r="M311" s="13">
        <v>45804</v>
      </c>
      <c r="N311">
        <v>43</v>
      </c>
      <c r="O311">
        <v>147</v>
      </c>
    </row>
    <row r="312" spans="1:15" x14ac:dyDescent="0.25">
      <c r="A312" t="s">
        <v>34</v>
      </c>
      <c r="D312" s="6" t="s">
        <v>37</v>
      </c>
      <c r="E312" s="6">
        <v>1989</v>
      </c>
      <c r="F312" s="6">
        <v>2</v>
      </c>
      <c r="G312" s="6">
        <v>2</v>
      </c>
      <c r="H312" s="6">
        <v>7</v>
      </c>
      <c r="K312" s="6">
        <v>123</v>
      </c>
      <c r="M312" s="13">
        <v>45807</v>
      </c>
      <c r="N312">
        <v>43</v>
      </c>
      <c r="O312">
        <v>150</v>
      </c>
    </row>
    <row r="313" spans="1:15" x14ac:dyDescent="0.25">
      <c r="A313" t="s">
        <v>34</v>
      </c>
      <c r="D313" s="6" t="s">
        <v>37</v>
      </c>
      <c r="E313" s="6">
        <v>1989</v>
      </c>
      <c r="F313" s="6">
        <v>2</v>
      </c>
      <c r="G313" s="6">
        <v>2</v>
      </c>
      <c r="H313" s="6">
        <v>7</v>
      </c>
      <c r="K313" s="6">
        <v>123</v>
      </c>
      <c r="M313" s="13">
        <v>45810</v>
      </c>
      <c r="N313">
        <v>44</v>
      </c>
      <c r="O313">
        <v>153</v>
      </c>
    </row>
    <row r="314" spans="1:15" x14ac:dyDescent="0.25">
      <c r="A314" t="s">
        <v>34</v>
      </c>
      <c r="D314" s="6" t="s">
        <v>39</v>
      </c>
      <c r="E314" s="6">
        <v>2001</v>
      </c>
      <c r="F314" s="6">
        <v>2</v>
      </c>
      <c r="G314" s="6">
        <v>3</v>
      </c>
      <c r="H314" s="6">
        <v>7</v>
      </c>
      <c r="K314" s="6">
        <v>139</v>
      </c>
      <c r="M314" s="13">
        <v>45769</v>
      </c>
      <c r="O314">
        <v>112</v>
      </c>
    </row>
    <row r="315" spans="1:15" x14ac:dyDescent="0.25">
      <c r="A315" t="s">
        <v>34</v>
      </c>
      <c r="D315" s="6" t="s">
        <v>39</v>
      </c>
      <c r="E315" s="6">
        <v>2001</v>
      </c>
      <c r="F315" s="6">
        <v>2</v>
      </c>
      <c r="G315" s="6">
        <v>3</v>
      </c>
      <c r="H315" s="6">
        <v>7</v>
      </c>
      <c r="K315" s="6">
        <v>139</v>
      </c>
      <c r="M315" s="13">
        <v>45771</v>
      </c>
      <c r="O315">
        <v>114</v>
      </c>
    </row>
    <row r="316" spans="1:15" x14ac:dyDescent="0.25">
      <c r="A316" t="s">
        <v>34</v>
      </c>
      <c r="D316" s="6" t="s">
        <v>39</v>
      </c>
      <c r="E316" s="6">
        <v>2001</v>
      </c>
      <c r="F316" s="6">
        <v>2</v>
      </c>
      <c r="G316" s="6">
        <v>3</v>
      </c>
      <c r="H316" s="6">
        <v>7</v>
      </c>
      <c r="K316" s="6">
        <v>139</v>
      </c>
      <c r="M316" s="13">
        <v>45772</v>
      </c>
      <c r="O316">
        <v>115</v>
      </c>
    </row>
    <row r="317" spans="1:15" x14ac:dyDescent="0.25">
      <c r="A317" t="s">
        <v>34</v>
      </c>
      <c r="D317" s="6" t="s">
        <v>39</v>
      </c>
      <c r="E317" s="6">
        <v>2001</v>
      </c>
      <c r="F317" s="6">
        <v>2</v>
      </c>
      <c r="G317" s="6">
        <v>3</v>
      </c>
      <c r="H317" s="6">
        <v>7</v>
      </c>
      <c r="K317" s="6">
        <v>139</v>
      </c>
      <c r="M317" s="13">
        <v>45775</v>
      </c>
      <c r="O317">
        <v>118</v>
      </c>
    </row>
    <row r="318" spans="1:15" x14ac:dyDescent="0.25">
      <c r="A318" t="s">
        <v>34</v>
      </c>
      <c r="D318" s="6" t="s">
        <v>39</v>
      </c>
      <c r="E318" s="6">
        <v>2001</v>
      </c>
      <c r="F318" s="6">
        <v>2</v>
      </c>
      <c r="G318" s="6">
        <v>3</v>
      </c>
      <c r="H318" s="6">
        <v>7</v>
      </c>
      <c r="K318" s="6">
        <v>139</v>
      </c>
      <c r="M318" s="13">
        <v>45778</v>
      </c>
      <c r="O318">
        <v>121</v>
      </c>
    </row>
    <row r="319" spans="1:15" x14ac:dyDescent="0.25">
      <c r="A319" t="s">
        <v>34</v>
      </c>
      <c r="D319" s="6" t="s">
        <v>39</v>
      </c>
      <c r="E319" s="6">
        <v>2001</v>
      </c>
      <c r="F319" s="6">
        <v>2</v>
      </c>
      <c r="G319" s="6">
        <v>3</v>
      </c>
      <c r="H319" s="6">
        <v>7</v>
      </c>
      <c r="K319" s="6">
        <v>139</v>
      </c>
      <c r="M319" s="13">
        <v>45782</v>
      </c>
      <c r="O319">
        <v>125</v>
      </c>
    </row>
    <row r="320" spans="1:15" x14ac:dyDescent="0.25">
      <c r="A320" t="s">
        <v>34</v>
      </c>
      <c r="D320" s="6" t="s">
        <v>39</v>
      </c>
      <c r="E320" s="6">
        <v>2001</v>
      </c>
      <c r="F320" s="6">
        <v>2</v>
      </c>
      <c r="G320" s="6">
        <v>3</v>
      </c>
      <c r="H320" s="6">
        <v>7</v>
      </c>
      <c r="K320" s="6">
        <v>139</v>
      </c>
      <c r="M320" s="13">
        <v>45793</v>
      </c>
      <c r="N320">
        <v>0</v>
      </c>
      <c r="O320">
        <v>136</v>
      </c>
    </row>
    <row r="321" spans="1:15" x14ac:dyDescent="0.25">
      <c r="A321" t="s">
        <v>34</v>
      </c>
      <c r="D321" s="6" t="s">
        <v>39</v>
      </c>
      <c r="E321" s="6">
        <v>2001</v>
      </c>
      <c r="F321" s="6">
        <v>2</v>
      </c>
      <c r="G321" s="6">
        <v>3</v>
      </c>
      <c r="H321" s="6">
        <v>7</v>
      </c>
      <c r="K321" s="6">
        <v>139</v>
      </c>
      <c r="M321" s="13">
        <v>45796</v>
      </c>
      <c r="N321">
        <v>0</v>
      </c>
      <c r="O321">
        <v>139</v>
      </c>
    </row>
    <row r="322" spans="1:15" x14ac:dyDescent="0.25">
      <c r="A322" t="s">
        <v>34</v>
      </c>
      <c r="D322" s="6" t="s">
        <v>39</v>
      </c>
      <c r="E322" s="6">
        <v>2001</v>
      </c>
      <c r="F322" s="6">
        <v>2</v>
      </c>
      <c r="G322" s="6">
        <v>3</v>
      </c>
      <c r="H322" s="6">
        <v>7</v>
      </c>
      <c r="K322" s="6">
        <v>139</v>
      </c>
      <c r="M322" s="13">
        <v>45800</v>
      </c>
      <c r="N322">
        <v>19</v>
      </c>
      <c r="O322">
        <v>143</v>
      </c>
    </row>
    <row r="323" spans="1:15" x14ac:dyDescent="0.25">
      <c r="A323" t="s">
        <v>34</v>
      </c>
      <c r="D323" s="6" t="s">
        <v>39</v>
      </c>
      <c r="E323" s="6">
        <v>2001</v>
      </c>
      <c r="F323" s="6">
        <v>2</v>
      </c>
      <c r="G323" s="6">
        <v>3</v>
      </c>
      <c r="H323" s="6">
        <v>7</v>
      </c>
      <c r="K323" s="6">
        <v>139</v>
      </c>
      <c r="M323" s="13">
        <v>45804</v>
      </c>
      <c r="N323">
        <v>37</v>
      </c>
      <c r="O323">
        <v>147</v>
      </c>
    </row>
    <row r="324" spans="1:15" x14ac:dyDescent="0.25">
      <c r="A324" t="s">
        <v>34</v>
      </c>
      <c r="D324" s="6" t="s">
        <v>39</v>
      </c>
      <c r="E324" s="6">
        <v>2001</v>
      </c>
      <c r="F324" s="6">
        <v>2</v>
      </c>
      <c r="G324" s="6">
        <v>3</v>
      </c>
      <c r="H324" s="6">
        <v>7</v>
      </c>
      <c r="K324" s="6">
        <v>139</v>
      </c>
      <c r="M324" s="13">
        <v>45807</v>
      </c>
      <c r="N324">
        <v>37</v>
      </c>
      <c r="O324">
        <v>150</v>
      </c>
    </row>
    <row r="325" spans="1:15" x14ac:dyDescent="0.25">
      <c r="A325" t="s">
        <v>34</v>
      </c>
      <c r="D325" s="6" t="s">
        <v>39</v>
      </c>
      <c r="E325" s="6">
        <v>2001</v>
      </c>
      <c r="F325" s="6">
        <v>2</v>
      </c>
      <c r="G325" s="6">
        <v>3</v>
      </c>
      <c r="H325" s="6">
        <v>7</v>
      </c>
      <c r="K325" s="6">
        <v>139</v>
      </c>
      <c r="M325" s="13">
        <v>45810</v>
      </c>
      <c r="N325">
        <v>37</v>
      </c>
      <c r="O325">
        <v>153</v>
      </c>
    </row>
    <row r="326" spans="1:15" x14ac:dyDescent="0.25">
      <c r="A326" t="s">
        <v>34</v>
      </c>
      <c r="D326" s="6" t="s">
        <v>36</v>
      </c>
      <c r="E326" s="6">
        <v>1984</v>
      </c>
      <c r="F326" s="6">
        <v>2</v>
      </c>
      <c r="G326" s="6">
        <v>4</v>
      </c>
      <c r="H326" s="6">
        <v>7</v>
      </c>
      <c r="K326" s="6">
        <v>155</v>
      </c>
      <c r="M326" s="13">
        <v>45769</v>
      </c>
      <c r="O326">
        <v>112</v>
      </c>
    </row>
    <row r="327" spans="1:15" x14ac:dyDescent="0.25">
      <c r="A327" t="s">
        <v>34</v>
      </c>
      <c r="D327" s="6" t="s">
        <v>36</v>
      </c>
      <c r="E327" s="6">
        <v>1984</v>
      </c>
      <c r="F327" s="6">
        <v>2</v>
      </c>
      <c r="G327" s="6">
        <v>4</v>
      </c>
      <c r="H327" s="6">
        <v>7</v>
      </c>
      <c r="K327" s="6">
        <v>155</v>
      </c>
      <c r="M327" s="13">
        <v>45771</v>
      </c>
      <c r="O327">
        <v>114</v>
      </c>
    </row>
    <row r="328" spans="1:15" x14ac:dyDescent="0.25">
      <c r="A328" t="s">
        <v>34</v>
      </c>
      <c r="D328" s="6" t="s">
        <v>36</v>
      </c>
      <c r="E328" s="6">
        <v>1984</v>
      </c>
      <c r="F328" s="6">
        <v>2</v>
      </c>
      <c r="G328" s="6">
        <v>4</v>
      </c>
      <c r="H328" s="6">
        <v>7</v>
      </c>
      <c r="K328" s="6">
        <v>155</v>
      </c>
      <c r="M328" s="13">
        <v>45772</v>
      </c>
      <c r="O328">
        <v>115</v>
      </c>
    </row>
    <row r="329" spans="1:15" x14ac:dyDescent="0.25">
      <c r="A329" t="s">
        <v>34</v>
      </c>
      <c r="D329" s="6" t="s">
        <v>36</v>
      </c>
      <c r="E329" s="6">
        <v>1984</v>
      </c>
      <c r="F329" s="6">
        <v>2</v>
      </c>
      <c r="G329" s="6">
        <v>4</v>
      </c>
      <c r="H329" s="6">
        <v>7</v>
      </c>
      <c r="K329" s="6">
        <v>155</v>
      </c>
      <c r="M329" s="13">
        <v>45775</v>
      </c>
      <c r="O329">
        <v>118</v>
      </c>
    </row>
    <row r="330" spans="1:15" x14ac:dyDescent="0.25">
      <c r="A330" t="s">
        <v>34</v>
      </c>
      <c r="D330" s="6" t="s">
        <v>36</v>
      </c>
      <c r="E330" s="6">
        <v>1984</v>
      </c>
      <c r="F330" s="6">
        <v>2</v>
      </c>
      <c r="G330" s="6">
        <v>4</v>
      </c>
      <c r="H330" s="6">
        <v>7</v>
      </c>
      <c r="K330" s="6">
        <v>155</v>
      </c>
      <c r="M330" s="13">
        <v>45778</v>
      </c>
      <c r="O330">
        <v>121</v>
      </c>
    </row>
    <row r="331" spans="1:15" x14ac:dyDescent="0.25">
      <c r="A331" t="s">
        <v>34</v>
      </c>
      <c r="D331" s="6" t="s">
        <v>36</v>
      </c>
      <c r="E331" s="6">
        <v>1984</v>
      </c>
      <c r="F331" s="6">
        <v>2</v>
      </c>
      <c r="G331" s="6">
        <v>4</v>
      </c>
      <c r="H331" s="6">
        <v>7</v>
      </c>
      <c r="K331" s="6">
        <v>155</v>
      </c>
      <c r="M331" s="13">
        <v>45782</v>
      </c>
      <c r="O331">
        <v>125</v>
      </c>
    </row>
    <row r="332" spans="1:15" x14ac:dyDescent="0.25">
      <c r="A332" t="s">
        <v>34</v>
      </c>
      <c r="D332" s="6" t="s">
        <v>36</v>
      </c>
      <c r="E332" s="6">
        <v>1984</v>
      </c>
      <c r="F332" s="6">
        <v>2</v>
      </c>
      <c r="G332" s="6">
        <v>4</v>
      </c>
      <c r="H332" s="6">
        <v>7</v>
      </c>
      <c r="K332" s="6">
        <v>155</v>
      </c>
      <c r="M332" s="13">
        <v>45793</v>
      </c>
      <c r="N332">
        <v>0</v>
      </c>
      <c r="O332">
        <v>136</v>
      </c>
    </row>
    <row r="333" spans="1:15" x14ac:dyDescent="0.25">
      <c r="A333" t="s">
        <v>34</v>
      </c>
      <c r="D333" s="6" t="s">
        <v>36</v>
      </c>
      <c r="E333" s="6">
        <v>1984</v>
      </c>
      <c r="F333" s="6">
        <v>2</v>
      </c>
      <c r="G333" s="6">
        <v>4</v>
      </c>
      <c r="H333" s="6">
        <v>7</v>
      </c>
      <c r="K333" s="6">
        <v>155</v>
      </c>
      <c r="M333" s="13">
        <v>45796</v>
      </c>
      <c r="N333">
        <v>0</v>
      </c>
      <c r="O333">
        <v>139</v>
      </c>
    </row>
    <row r="334" spans="1:15" x14ac:dyDescent="0.25">
      <c r="A334" t="s">
        <v>34</v>
      </c>
      <c r="D334" s="6" t="s">
        <v>36</v>
      </c>
      <c r="E334" s="6">
        <v>1984</v>
      </c>
      <c r="F334" s="6">
        <v>2</v>
      </c>
      <c r="G334" s="6">
        <v>4</v>
      </c>
      <c r="H334" s="6">
        <v>7</v>
      </c>
      <c r="K334" s="6">
        <v>155</v>
      </c>
      <c r="M334" s="13">
        <v>45800</v>
      </c>
      <c r="N334">
        <v>47</v>
      </c>
      <c r="O334">
        <v>143</v>
      </c>
    </row>
    <row r="335" spans="1:15" x14ac:dyDescent="0.25">
      <c r="A335" t="s">
        <v>34</v>
      </c>
      <c r="D335" s="6" t="s">
        <v>36</v>
      </c>
      <c r="E335" s="6">
        <v>1984</v>
      </c>
      <c r="F335" s="6">
        <v>2</v>
      </c>
      <c r="G335" s="6">
        <v>4</v>
      </c>
      <c r="H335" s="6">
        <v>7</v>
      </c>
      <c r="K335" s="6">
        <v>155</v>
      </c>
      <c r="M335" s="13">
        <v>45804</v>
      </c>
      <c r="N335">
        <v>48</v>
      </c>
      <c r="O335">
        <v>147</v>
      </c>
    </row>
    <row r="336" spans="1:15" x14ac:dyDescent="0.25">
      <c r="A336" t="s">
        <v>34</v>
      </c>
      <c r="D336" s="6" t="s">
        <v>36</v>
      </c>
      <c r="E336" s="6">
        <v>1984</v>
      </c>
      <c r="F336" s="6">
        <v>2</v>
      </c>
      <c r="G336" s="6">
        <v>4</v>
      </c>
      <c r="H336" s="6">
        <v>7</v>
      </c>
      <c r="K336" s="6">
        <v>155</v>
      </c>
      <c r="M336" s="13">
        <v>45807</v>
      </c>
      <c r="N336">
        <v>48</v>
      </c>
      <c r="O336">
        <v>150</v>
      </c>
    </row>
    <row r="337" spans="1:15" x14ac:dyDescent="0.25">
      <c r="A337" t="s">
        <v>34</v>
      </c>
      <c r="D337" s="6" t="s">
        <v>36</v>
      </c>
      <c r="E337" s="6">
        <v>1984</v>
      </c>
      <c r="F337" s="6">
        <v>2</v>
      </c>
      <c r="G337" s="6">
        <v>4</v>
      </c>
      <c r="H337" s="6">
        <v>7</v>
      </c>
      <c r="K337" s="6">
        <v>155</v>
      </c>
      <c r="M337" s="13">
        <v>45810</v>
      </c>
      <c r="N337">
        <v>49</v>
      </c>
      <c r="O337">
        <v>153</v>
      </c>
    </row>
    <row r="338" spans="1:15" x14ac:dyDescent="0.25">
      <c r="A338" t="s">
        <v>34</v>
      </c>
      <c r="D338" s="6" t="s">
        <v>318</v>
      </c>
      <c r="E338" s="6">
        <v>2004</v>
      </c>
      <c r="F338" s="6">
        <v>2</v>
      </c>
      <c r="G338" s="6">
        <v>1</v>
      </c>
      <c r="H338" s="6">
        <v>8</v>
      </c>
      <c r="K338" s="6">
        <v>108</v>
      </c>
      <c r="M338" s="13">
        <v>45769</v>
      </c>
      <c r="O338">
        <v>112</v>
      </c>
    </row>
    <row r="339" spans="1:15" x14ac:dyDescent="0.25">
      <c r="A339" t="s">
        <v>34</v>
      </c>
      <c r="D339" s="6" t="s">
        <v>318</v>
      </c>
      <c r="E339" s="6">
        <v>2004</v>
      </c>
      <c r="F339" s="6">
        <v>2</v>
      </c>
      <c r="G339" s="6">
        <v>1</v>
      </c>
      <c r="H339" s="6">
        <v>8</v>
      </c>
      <c r="K339" s="6">
        <v>108</v>
      </c>
      <c r="M339" s="13">
        <v>45771</v>
      </c>
      <c r="O339">
        <v>114</v>
      </c>
    </row>
    <row r="340" spans="1:15" x14ac:dyDescent="0.25">
      <c r="A340" t="s">
        <v>34</v>
      </c>
      <c r="D340" s="6" t="s">
        <v>318</v>
      </c>
      <c r="E340" s="6">
        <v>2004</v>
      </c>
      <c r="F340" s="6">
        <v>2</v>
      </c>
      <c r="G340" s="6">
        <v>1</v>
      </c>
      <c r="H340" s="6">
        <v>8</v>
      </c>
      <c r="K340" s="6">
        <v>108</v>
      </c>
      <c r="M340" s="13">
        <v>45772</v>
      </c>
      <c r="O340">
        <v>115</v>
      </c>
    </row>
    <row r="341" spans="1:15" x14ac:dyDescent="0.25">
      <c r="A341" t="s">
        <v>34</v>
      </c>
      <c r="D341" s="6" t="s">
        <v>318</v>
      </c>
      <c r="E341" s="6">
        <v>2004</v>
      </c>
      <c r="F341" s="6">
        <v>2</v>
      </c>
      <c r="G341" s="6">
        <v>1</v>
      </c>
      <c r="H341" s="6">
        <v>8</v>
      </c>
      <c r="K341" s="6">
        <v>108</v>
      </c>
      <c r="M341" s="13">
        <v>45775</v>
      </c>
      <c r="O341">
        <v>118</v>
      </c>
    </row>
    <row r="342" spans="1:15" x14ac:dyDescent="0.25">
      <c r="A342" t="s">
        <v>34</v>
      </c>
      <c r="D342" s="6" t="s">
        <v>318</v>
      </c>
      <c r="E342" s="6">
        <v>2004</v>
      </c>
      <c r="F342" s="6">
        <v>2</v>
      </c>
      <c r="G342" s="6">
        <v>1</v>
      </c>
      <c r="H342" s="6">
        <v>8</v>
      </c>
      <c r="K342" s="6">
        <v>108</v>
      </c>
      <c r="M342" s="13">
        <v>45778</v>
      </c>
      <c r="O342">
        <v>121</v>
      </c>
    </row>
    <row r="343" spans="1:15" x14ac:dyDescent="0.25">
      <c r="A343" t="s">
        <v>34</v>
      </c>
      <c r="D343" s="6" t="s">
        <v>318</v>
      </c>
      <c r="E343" s="6">
        <v>2004</v>
      </c>
      <c r="F343" s="6">
        <v>2</v>
      </c>
      <c r="G343" s="6">
        <v>1</v>
      </c>
      <c r="H343" s="6">
        <v>8</v>
      </c>
      <c r="K343" s="6">
        <v>108</v>
      </c>
      <c r="M343" s="13">
        <v>45782</v>
      </c>
      <c r="O343">
        <v>125</v>
      </c>
    </row>
    <row r="344" spans="1:15" x14ac:dyDescent="0.25">
      <c r="A344" t="s">
        <v>34</v>
      </c>
      <c r="D344" s="6" t="s">
        <v>318</v>
      </c>
      <c r="E344" s="6">
        <v>2004</v>
      </c>
      <c r="F344" s="6">
        <v>2</v>
      </c>
      <c r="G344" s="6">
        <v>1</v>
      </c>
      <c r="H344" s="6">
        <v>8</v>
      </c>
      <c r="K344" s="6">
        <v>108</v>
      </c>
      <c r="M344" s="13">
        <v>45793</v>
      </c>
      <c r="N344">
        <v>0</v>
      </c>
      <c r="O344">
        <v>136</v>
      </c>
    </row>
    <row r="345" spans="1:15" x14ac:dyDescent="0.25">
      <c r="A345" t="s">
        <v>34</v>
      </c>
      <c r="D345" s="6" t="s">
        <v>318</v>
      </c>
      <c r="E345" s="6">
        <v>2004</v>
      </c>
      <c r="F345" s="6">
        <v>2</v>
      </c>
      <c r="G345" s="6">
        <v>1</v>
      </c>
      <c r="H345" s="6">
        <v>8</v>
      </c>
      <c r="K345" s="6">
        <v>108</v>
      </c>
      <c r="M345" s="13">
        <v>45796</v>
      </c>
      <c r="N345">
        <v>0</v>
      </c>
      <c r="O345">
        <v>139</v>
      </c>
    </row>
    <row r="346" spans="1:15" x14ac:dyDescent="0.25">
      <c r="A346" t="s">
        <v>34</v>
      </c>
      <c r="D346" s="6" t="s">
        <v>318</v>
      </c>
      <c r="E346" s="6">
        <v>2004</v>
      </c>
      <c r="F346" s="6">
        <v>2</v>
      </c>
      <c r="G346" s="6">
        <v>1</v>
      </c>
      <c r="H346" s="6">
        <v>8</v>
      </c>
      <c r="K346" s="6">
        <v>108</v>
      </c>
      <c r="M346" s="13">
        <v>45800</v>
      </c>
      <c r="N346">
        <v>37</v>
      </c>
      <c r="O346">
        <v>143</v>
      </c>
    </row>
    <row r="347" spans="1:15" x14ac:dyDescent="0.25">
      <c r="A347" t="s">
        <v>34</v>
      </c>
      <c r="D347" s="6" t="s">
        <v>318</v>
      </c>
      <c r="E347" s="6">
        <v>2004</v>
      </c>
      <c r="F347" s="6">
        <v>2</v>
      </c>
      <c r="G347" s="6">
        <v>1</v>
      </c>
      <c r="H347" s="6">
        <v>8</v>
      </c>
      <c r="K347" s="6">
        <v>108</v>
      </c>
      <c r="M347" s="13">
        <v>45804</v>
      </c>
      <c r="N347">
        <v>45</v>
      </c>
      <c r="O347">
        <v>147</v>
      </c>
    </row>
    <row r="348" spans="1:15" x14ac:dyDescent="0.25">
      <c r="A348" t="s">
        <v>34</v>
      </c>
      <c r="D348" s="6" t="s">
        <v>318</v>
      </c>
      <c r="E348" s="6">
        <v>2004</v>
      </c>
      <c r="F348" s="6">
        <v>2</v>
      </c>
      <c r="G348" s="6">
        <v>1</v>
      </c>
      <c r="H348" s="6">
        <v>8</v>
      </c>
      <c r="K348" s="6">
        <v>108</v>
      </c>
      <c r="M348" s="13">
        <v>45807</v>
      </c>
      <c r="N348">
        <v>45</v>
      </c>
      <c r="O348">
        <v>150</v>
      </c>
    </row>
    <row r="349" spans="1:15" x14ac:dyDescent="0.25">
      <c r="A349" t="s">
        <v>34</v>
      </c>
      <c r="D349" s="6" t="s">
        <v>318</v>
      </c>
      <c r="E349" s="6">
        <v>2004</v>
      </c>
      <c r="F349" s="6">
        <v>2</v>
      </c>
      <c r="G349" s="6">
        <v>1</v>
      </c>
      <c r="H349" s="6">
        <v>8</v>
      </c>
      <c r="K349" s="6">
        <v>108</v>
      </c>
      <c r="M349" s="13">
        <v>45810</v>
      </c>
      <c r="N349">
        <v>45</v>
      </c>
      <c r="O349">
        <v>153</v>
      </c>
    </row>
    <row r="350" spans="1:15" x14ac:dyDescent="0.25">
      <c r="A350" t="s">
        <v>34</v>
      </c>
      <c r="D350" s="6" t="s">
        <v>43</v>
      </c>
      <c r="E350" s="6">
        <v>2020</v>
      </c>
      <c r="F350" s="6">
        <v>2</v>
      </c>
      <c r="G350" s="6">
        <v>2</v>
      </c>
      <c r="H350" s="6">
        <v>8</v>
      </c>
      <c r="K350" s="6">
        <v>124</v>
      </c>
      <c r="M350" s="13">
        <v>45769</v>
      </c>
      <c r="O350">
        <v>112</v>
      </c>
    </row>
    <row r="351" spans="1:15" x14ac:dyDescent="0.25">
      <c r="A351" t="s">
        <v>34</v>
      </c>
      <c r="D351" s="6" t="s">
        <v>43</v>
      </c>
      <c r="E351" s="6">
        <v>2020</v>
      </c>
      <c r="F351" s="6">
        <v>2</v>
      </c>
      <c r="G351" s="6">
        <v>2</v>
      </c>
      <c r="H351" s="6">
        <v>8</v>
      </c>
      <c r="K351" s="6">
        <v>124</v>
      </c>
      <c r="M351" s="13">
        <v>45771</v>
      </c>
      <c r="O351">
        <v>114</v>
      </c>
    </row>
    <row r="352" spans="1:15" x14ac:dyDescent="0.25">
      <c r="A352" t="s">
        <v>34</v>
      </c>
      <c r="D352" s="6" t="s">
        <v>43</v>
      </c>
      <c r="E352" s="6">
        <v>2020</v>
      </c>
      <c r="F352" s="6">
        <v>2</v>
      </c>
      <c r="G352" s="6">
        <v>2</v>
      </c>
      <c r="H352" s="6">
        <v>8</v>
      </c>
      <c r="K352" s="6">
        <v>124</v>
      </c>
      <c r="M352" s="13">
        <v>45772</v>
      </c>
      <c r="O352">
        <v>115</v>
      </c>
    </row>
    <row r="353" spans="1:15" x14ac:dyDescent="0.25">
      <c r="A353" t="s">
        <v>34</v>
      </c>
      <c r="D353" s="6" t="s">
        <v>43</v>
      </c>
      <c r="E353" s="6">
        <v>2020</v>
      </c>
      <c r="F353" s="6">
        <v>2</v>
      </c>
      <c r="G353" s="6">
        <v>2</v>
      </c>
      <c r="H353" s="6">
        <v>8</v>
      </c>
      <c r="K353" s="6">
        <v>124</v>
      </c>
      <c r="M353" s="13">
        <v>45775</v>
      </c>
      <c r="O353">
        <v>118</v>
      </c>
    </row>
    <row r="354" spans="1:15" x14ac:dyDescent="0.25">
      <c r="A354" t="s">
        <v>34</v>
      </c>
      <c r="D354" s="6" t="s">
        <v>43</v>
      </c>
      <c r="E354" s="6">
        <v>2020</v>
      </c>
      <c r="F354" s="6">
        <v>2</v>
      </c>
      <c r="G354" s="6">
        <v>2</v>
      </c>
      <c r="H354" s="6">
        <v>8</v>
      </c>
      <c r="K354" s="6">
        <v>124</v>
      </c>
      <c r="M354" s="13">
        <v>45778</v>
      </c>
      <c r="O354">
        <v>121</v>
      </c>
    </row>
    <row r="355" spans="1:15" x14ac:dyDescent="0.25">
      <c r="A355" t="s">
        <v>34</v>
      </c>
      <c r="D355" s="6" t="s">
        <v>43</v>
      </c>
      <c r="E355" s="6">
        <v>2020</v>
      </c>
      <c r="F355" s="6">
        <v>2</v>
      </c>
      <c r="G355" s="6">
        <v>2</v>
      </c>
      <c r="H355" s="6">
        <v>8</v>
      </c>
      <c r="K355" s="6">
        <v>124</v>
      </c>
      <c r="M355" s="13">
        <v>45782</v>
      </c>
      <c r="O355">
        <v>125</v>
      </c>
    </row>
    <row r="356" spans="1:15" x14ac:dyDescent="0.25">
      <c r="A356" t="s">
        <v>34</v>
      </c>
      <c r="D356" s="6" t="s">
        <v>43</v>
      </c>
      <c r="E356" s="6">
        <v>2020</v>
      </c>
      <c r="F356" s="6">
        <v>2</v>
      </c>
      <c r="G356" s="6">
        <v>2</v>
      </c>
      <c r="H356" s="6">
        <v>8</v>
      </c>
      <c r="K356" s="6">
        <v>124</v>
      </c>
      <c r="M356" s="13">
        <v>45793</v>
      </c>
      <c r="N356">
        <v>0</v>
      </c>
      <c r="O356">
        <v>136</v>
      </c>
    </row>
    <row r="357" spans="1:15" x14ac:dyDescent="0.25">
      <c r="A357" t="s">
        <v>34</v>
      </c>
      <c r="D357" s="6" t="s">
        <v>43</v>
      </c>
      <c r="E357" s="6">
        <v>2020</v>
      </c>
      <c r="F357" s="6">
        <v>2</v>
      </c>
      <c r="G357" s="6">
        <v>2</v>
      </c>
      <c r="H357" s="6">
        <v>8</v>
      </c>
      <c r="K357" s="6">
        <v>124</v>
      </c>
      <c r="M357" s="13">
        <v>45796</v>
      </c>
      <c r="N357">
        <v>0</v>
      </c>
      <c r="O357">
        <v>139</v>
      </c>
    </row>
    <row r="358" spans="1:15" x14ac:dyDescent="0.25">
      <c r="A358" t="s">
        <v>34</v>
      </c>
      <c r="D358" s="6" t="s">
        <v>43</v>
      </c>
      <c r="E358" s="6">
        <v>2020</v>
      </c>
      <c r="F358" s="6">
        <v>2</v>
      </c>
      <c r="G358" s="6">
        <v>2</v>
      </c>
      <c r="H358" s="6">
        <v>8</v>
      </c>
      <c r="K358" s="6">
        <v>124</v>
      </c>
      <c r="M358" s="13">
        <v>45800</v>
      </c>
      <c r="N358">
        <v>21</v>
      </c>
      <c r="O358">
        <v>143</v>
      </c>
    </row>
    <row r="359" spans="1:15" x14ac:dyDescent="0.25">
      <c r="A359" t="s">
        <v>34</v>
      </c>
      <c r="D359" s="6" t="s">
        <v>43</v>
      </c>
      <c r="E359" s="6">
        <v>2020</v>
      </c>
      <c r="F359" s="6">
        <v>2</v>
      </c>
      <c r="G359" s="6">
        <v>2</v>
      </c>
      <c r="H359" s="6">
        <v>8</v>
      </c>
      <c r="K359" s="6">
        <v>124</v>
      </c>
      <c r="M359" s="13">
        <v>45804</v>
      </c>
      <c r="N359">
        <v>40</v>
      </c>
      <c r="O359">
        <v>147</v>
      </c>
    </row>
    <row r="360" spans="1:15" x14ac:dyDescent="0.25">
      <c r="A360" t="s">
        <v>34</v>
      </c>
      <c r="D360" s="6" t="s">
        <v>43</v>
      </c>
      <c r="E360" s="6">
        <v>2020</v>
      </c>
      <c r="F360" s="6">
        <v>2</v>
      </c>
      <c r="G360" s="6">
        <v>2</v>
      </c>
      <c r="H360" s="6">
        <v>8</v>
      </c>
      <c r="K360" s="6">
        <v>124</v>
      </c>
      <c r="M360" s="13">
        <v>45807</v>
      </c>
      <c r="N360">
        <v>40</v>
      </c>
      <c r="O360">
        <v>150</v>
      </c>
    </row>
    <row r="361" spans="1:15" x14ac:dyDescent="0.25">
      <c r="A361" t="s">
        <v>34</v>
      </c>
      <c r="D361" s="6" t="s">
        <v>43</v>
      </c>
      <c r="E361" s="6">
        <v>2020</v>
      </c>
      <c r="F361" s="6">
        <v>2</v>
      </c>
      <c r="G361" s="6">
        <v>2</v>
      </c>
      <c r="H361" s="6">
        <v>8</v>
      </c>
      <c r="K361" s="6">
        <v>124</v>
      </c>
      <c r="M361" s="13">
        <v>45810</v>
      </c>
      <c r="N361">
        <v>40</v>
      </c>
      <c r="O361">
        <v>153</v>
      </c>
    </row>
    <row r="362" spans="1:15" x14ac:dyDescent="0.25">
      <c r="A362" t="s">
        <v>34</v>
      </c>
      <c r="D362" s="6" t="s">
        <v>38</v>
      </c>
      <c r="E362" s="6">
        <v>1999</v>
      </c>
      <c r="F362" s="6">
        <v>2</v>
      </c>
      <c r="G362" s="6">
        <v>3</v>
      </c>
      <c r="H362" s="6">
        <v>8</v>
      </c>
      <c r="K362" s="6">
        <v>140</v>
      </c>
      <c r="M362" s="13">
        <v>45769</v>
      </c>
      <c r="O362">
        <v>112</v>
      </c>
    </row>
    <row r="363" spans="1:15" x14ac:dyDescent="0.25">
      <c r="A363" t="s">
        <v>34</v>
      </c>
      <c r="D363" s="6" t="s">
        <v>38</v>
      </c>
      <c r="E363" s="6">
        <v>1999</v>
      </c>
      <c r="F363" s="6">
        <v>2</v>
      </c>
      <c r="G363" s="6">
        <v>3</v>
      </c>
      <c r="H363" s="6">
        <v>8</v>
      </c>
      <c r="K363" s="6">
        <v>140</v>
      </c>
      <c r="M363" s="13">
        <v>45771</v>
      </c>
      <c r="O363">
        <v>114</v>
      </c>
    </row>
    <row r="364" spans="1:15" x14ac:dyDescent="0.25">
      <c r="A364" t="s">
        <v>34</v>
      </c>
      <c r="D364" s="6" t="s">
        <v>38</v>
      </c>
      <c r="E364" s="6">
        <v>1999</v>
      </c>
      <c r="F364" s="6">
        <v>2</v>
      </c>
      <c r="G364" s="6">
        <v>3</v>
      </c>
      <c r="H364" s="6">
        <v>8</v>
      </c>
      <c r="K364" s="6">
        <v>140</v>
      </c>
      <c r="M364" s="13">
        <v>45772</v>
      </c>
      <c r="O364">
        <v>115</v>
      </c>
    </row>
    <row r="365" spans="1:15" x14ac:dyDescent="0.25">
      <c r="A365" t="s">
        <v>34</v>
      </c>
      <c r="D365" s="6" t="s">
        <v>38</v>
      </c>
      <c r="E365" s="6">
        <v>1999</v>
      </c>
      <c r="F365" s="6">
        <v>2</v>
      </c>
      <c r="G365" s="6">
        <v>3</v>
      </c>
      <c r="H365" s="6">
        <v>8</v>
      </c>
      <c r="K365" s="6">
        <v>140</v>
      </c>
      <c r="M365" s="13">
        <v>45775</v>
      </c>
      <c r="O365">
        <v>118</v>
      </c>
    </row>
    <row r="366" spans="1:15" x14ac:dyDescent="0.25">
      <c r="A366" t="s">
        <v>34</v>
      </c>
      <c r="D366" s="6" t="s">
        <v>38</v>
      </c>
      <c r="E366" s="6">
        <v>1999</v>
      </c>
      <c r="F366" s="6">
        <v>2</v>
      </c>
      <c r="G366" s="6">
        <v>3</v>
      </c>
      <c r="H366" s="6">
        <v>8</v>
      </c>
      <c r="K366" s="6">
        <v>140</v>
      </c>
      <c r="M366" s="13">
        <v>45778</v>
      </c>
      <c r="O366">
        <v>121</v>
      </c>
    </row>
    <row r="367" spans="1:15" x14ac:dyDescent="0.25">
      <c r="A367" t="s">
        <v>34</v>
      </c>
      <c r="D367" s="6" t="s">
        <v>38</v>
      </c>
      <c r="E367" s="6">
        <v>1999</v>
      </c>
      <c r="F367" s="6">
        <v>2</v>
      </c>
      <c r="G367" s="6">
        <v>3</v>
      </c>
      <c r="H367" s="6">
        <v>8</v>
      </c>
      <c r="K367" s="6">
        <v>140</v>
      </c>
      <c r="M367" s="13">
        <v>45782</v>
      </c>
      <c r="O367">
        <v>125</v>
      </c>
    </row>
    <row r="368" spans="1:15" x14ac:dyDescent="0.25">
      <c r="A368" t="s">
        <v>34</v>
      </c>
      <c r="D368" s="6" t="s">
        <v>38</v>
      </c>
      <c r="E368" s="6">
        <v>1999</v>
      </c>
      <c r="F368" s="6">
        <v>2</v>
      </c>
      <c r="G368" s="6">
        <v>3</v>
      </c>
      <c r="H368" s="6">
        <v>8</v>
      </c>
      <c r="K368" s="6">
        <v>140</v>
      </c>
      <c r="M368" s="13">
        <v>45793</v>
      </c>
      <c r="N368">
        <v>0</v>
      </c>
      <c r="O368">
        <v>136</v>
      </c>
    </row>
    <row r="369" spans="1:15" x14ac:dyDescent="0.25">
      <c r="A369" t="s">
        <v>34</v>
      </c>
      <c r="D369" s="6" t="s">
        <v>38</v>
      </c>
      <c r="E369" s="6">
        <v>1999</v>
      </c>
      <c r="F369" s="6">
        <v>2</v>
      </c>
      <c r="G369" s="6">
        <v>3</v>
      </c>
      <c r="H369" s="6">
        <v>8</v>
      </c>
      <c r="K369" s="6">
        <v>140</v>
      </c>
      <c r="M369" s="13">
        <v>45796</v>
      </c>
      <c r="N369">
        <v>0</v>
      </c>
      <c r="O369">
        <v>139</v>
      </c>
    </row>
    <row r="370" spans="1:15" x14ac:dyDescent="0.25">
      <c r="A370" t="s">
        <v>34</v>
      </c>
      <c r="D370" s="6" t="s">
        <v>38</v>
      </c>
      <c r="E370" s="6">
        <v>1999</v>
      </c>
      <c r="F370" s="6">
        <v>2</v>
      </c>
      <c r="G370" s="6">
        <v>3</v>
      </c>
      <c r="H370" s="6">
        <v>8</v>
      </c>
      <c r="K370" s="6">
        <v>140</v>
      </c>
      <c r="M370" s="13">
        <v>45800</v>
      </c>
      <c r="N370">
        <v>27</v>
      </c>
      <c r="O370">
        <v>143</v>
      </c>
    </row>
    <row r="371" spans="1:15" x14ac:dyDescent="0.25">
      <c r="A371" t="s">
        <v>34</v>
      </c>
      <c r="D371" s="6" t="s">
        <v>38</v>
      </c>
      <c r="E371" s="6">
        <v>1999</v>
      </c>
      <c r="F371" s="6">
        <v>2</v>
      </c>
      <c r="G371" s="6">
        <v>3</v>
      </c>
      <c r="H371" s="6">
        <v>8</v>
      </c>
      <c r="K371" s="6">
        <v>140</v>
      </c>
      <c r="M371" s="13">
        <v>45804</v>
      </c>
      <c r="N371">
        <v>31</v>
      </c>
      <c r="O371">
        <v>147</v>
      </c>
    </row>
    <row r="372" spans="1:15" x14ac:dyDescent="0.25">
      <c r="A372" t="s">
        <v>34</v>
      </c>
      <c r="D372" s="6" t="s">
        <v>38</v>
      </c>
      <c r="E372" s="6">
        <v>1999</v>
      </c>
      <c r="F372" s="6">
        <v>2</v>
      </c>
      <c r="G372" s="6">
        <v>3</v>
      </c>
      <c r="H372" s="6">
        <v>8</v>
      </c>
      <c r="K372" s="6">
        <v>140</v>
      </c>
      <c r="M372" s="13">
        <v>45807</v>
      </c>
      <c r="N372">
        <v>34</v>
      </c>
      <c r="O372">
        <v>150</v>
      </c>
    </row>
    <row r="373" spans="1:15" x14ac:dyDescent="0.25">
      <c r="A373" t="s">
        <v>34</v>
      </c>
      <c r="D373" s="6" t="s">
        <v>38</v>
      </c>
      <c r="E373" s="6">
        <v>1999</v>
      </c>
      <c r="F373" s="6">
        <v>2</v>
      </c>
      <c r="G373" s="6">
        <v>3</v>
      </c>
      <c r="H373" s="6">
        <v>8</v>
      </c>
      <c r="K373" s="6">
        <v>140</v>
      </c>
      <c r="M373" s="13">
        <v>45810</v>
      </c>
      <c r="N373">
        <v>34</v>
      </c>
      <c r="O373">
        <v>153</v>
      </c>
    </row>
    <row r="374" spans="1:15" x14ac:dyDescent="0.25">
      <c r="A374" t="s">
        <v>34</v>
      </c>
      <c r="D374" s="6" t="s">
        <v>42</v>
      </c>
      <c r="E374" s="6">
        <v>2016</v>
      </c>
      <c r="F374" s="6">
        <v>2</v>
      </c>
      <c r="G374" s="6">
        <v>4</v>
      </c>
      <c r="H374" s="6">
        <v>8</v>
      </c>
      <c r="K374" s="6">
        <v>156</v>
      </c>
      <c r="M374" s="13">
        <v>45769</v>
      </c>
      <c r="O374">
        <v>112</v>
      </c>
    </row>
    <row r="375" spans="1:15" x14ac:dyDescent="0.25">
      <c r="A375" t="s">
        <v>34</v>
      </c>
      <c r="D375" s="6" t="s">
        <v>42</v>
      </c>
      <c r="E375" s="6">
        <v>2016</v>
      </c>
      <c r="F375" s="6">
        <v>2</v>
      </c>
      <c r="G375" s="6">
        <v>4</v>
      </c>
      <c r="H375" s="6">
        <v>8</v>
      </c>
      <c r="K375" s="6">
        <v>156</v>
      </c>
      <c r="M375" s="13">
        <v>45771</v>
      </c>
      <c r="O375">
        <v>114</v>
      </c>
    </row>
    <row r="376" spans="1:15" x14ac:dyDescent="0.25">
      <c r="A376" t="s">
        <v>34</v>
      </c>
      <c r="D376" s="6" t="s">
        <v>42</v>
      </c>
      <c r="E376" s="6">
        <v>2016</v>
      </c>
      <c r="F376" s="6">
        <v>2</v>
      </c>
      <c r="G376" s="6">
        <v>4</v>
      </c>
      <c r="H376" s="6">
        <v>8</v>
      </c>
      <c r="K376" s="6">
        <v>156</v>
      </c>
      <c r="M376" s="13">
        <v>45772</v>
      </c>
      <c r="O376">
        <v>115</v>
      </c>
    </row>
    <row r="377" spans="1:15" x14ac:dyDescent="0.25">
      <c r="A377" t="s">
        <v>34</v>
      </c>
      <c r="D377" s="6" t="s">
        <v>42</v>
      </c>
      <c r="E377" s="6">
        <v>2016</v>
      </c>
      <c r="F377" s="6">
        <v>2</v>
      </c>
      <c r="G377" s="6">
        <v>4</v>
      </c>
      <c r="H377" s="6">
        <v>8</v>
      </c>
      <c r="K377" s="6">
        <v>156</v>
      </c>
      <c r="M377" s="13">
        <v>45775</v>
      </c>
      <c r="O377">
        <v>118</v>
      </c>
    </row>
    <row r="378" spans="1:15" x14ac:dyDescent="0.25">
      <c r="A378" t="s">
        <v>34</v>
      </c>
      <c r="D378" s="6" t="s">
        <v>42</v>
      </c>
      <c r="E378" s="6">
        <v>2016</v>
      </c>
      <c r="F378" s="6">
        <v>2</v>
      </c>
      <c r="G378" s="6">
        <v>4</v>
      </c>
      <c r="H378" s="6">
        <v>8</v>
      </c>
      <c r="K378" s="6">
        <v>156</v>
      </c>
      <c r="M378" s="13">
        <v>45778</v>
      </c>
      <c r="O378">
        <v>121</v>
      </c>
    </row>
    <row r="379" spans="1:15" x14ac:dyDescent="0.25">
      <c r="A379" t="s">
        <v>34</v>
      </c>
      <c r="D379" s="6" t="s">
        <v>42</v>
      </c>
      <c r="E379" s="6">
        <v>2016</v>
      </c>
      <c r="F379" s="6">
        <v>2</v>
      </c>
      <c r="G379" s="6">
        <v>4</v>
      </c>
      <c r="H379" s="6">
        <v>8</v>
      </c>
      <c r="K379" s="6">
        <v>156</v>
      </c>
      <c r="M379" s="13">
        <v>45782</v>
      </c>
      <c r="O379">
        <v>125</v>
      </c>
    </row>
    <row r="380" spans="1:15" x14ac:dyDescent="0.25">
      <c r="A380" t="s">
        <v>34</v>
      </c>
      <c r="D380" s="6" t="s">
        <v>42</v>
      </c>
      <c r="E380" s="6">
        <v>2016</v>
      </c>
      <c r="F380" s="6">
        <v>2</v>
      </c>
      <c r="G380" s="6">
        <v>4</v>
      </c>
      <c r="H380" s="6">
        <v>8</v>
      </c>
      <c r="K380" s="6">
        <v>156</v>
      </c>
      <c r="M380" s="13">
        <v>45793</v>
      </c>
      <c r="N380">
        <v>0</v>
      </c>
      <c r="O380">
        <v>136</v>
      </c>
    </row>
    <row r="381" spans="1:15" x14ac:dyDescent="0.25">
      <c r="A381" t="s">
        <v>34</v>
      </c>
      <c r="D381" s="6" t="s">
        <v>42</v>
      </c>
      <c r="E381" s="6">
        <v>2016</v>
      </c>
      <c r="F381" s="6">
        <v>2</v>
      </c>
      <c r="G381" s="6">
        <v>4</v>
      </c>
      <c r="H381" s="6">
        <v>8</v>
      </c>
      <c r="K381" s="6">
        <v>156</v>
      </c>
      <c r="M381" s="13">
        <v>45796</v>
      </c>
      <c r="N381">
        <v>0</v>
      </c>
      <c r="O381">
        <v>139</v>
      </c>
    </row>
    <row r="382" spans="1:15" x14ac:dyDescent="0.25">
      <c r="A382" t="s">
        <v>34</v>
      </c>
      <c r="D382" s="6" t="s">
        <v>42</v>
      </c>
      <c r="E382" s="6">
        <v>2016</v>
      </c>
      <c r="F382" s="6">
        <v>2</v>
      </c>
      <c r="G382" s="6">
        <v>4</v>
      </c>
      <c r="H382" s="6">
        <v>8</v>
      </c>
      <c r="K382" s="6">
        <v>156</v>
      </c>
      <c r="M382" s="13">
        <v>45800</v>
      </c>
      <c r="N382">
        <v>4</v>
      </c>
      <c r="O382">
        <v>143</v>
      </c>
    </row>
    <row r="383" spans="1:15" x14ac:dyDescent="0.25">
      <c r="A383" t="s">
        <v>34</v>
      </c>
      <c r="D383" s="6" t="s">
        <v>42</v>
      </c>
      <c r="E383" s="6">
        <v>2016</v>
      </c>
      <c r="F383" s="6">
        <v>2</v>
      </c>
      <c r="G383" s="6">
        <v>4</v>
      </c>
      <c r="H383" s="6">
        <v>8</v>
      </c>
      <c r="K383" s="6">
        <v>156</v>
      </c>
      <c r="M383" s="13">
        <v>45804</v>
      </c>
      <c r="N383">
        <v>39</v>
      </c>
      <c r="O383">
        <v>147</v>
      </c>
    </row>
    <row r="384" spans="1:15" x14ac:dyDescent="0.25">
      <c r="A384" t="s">
        <v>34</v>
      </c>
      <c r="D384" s="6" t="s">
        <v>42</v>
      </c>
      <c r="E384" s="6">
        <v>2016</v>
      </c>
      <c r="F384" s="6">
        <v>2</v>
      </c>
      <c r="G384" s="6">
        <v>4</v>
      </c>
      <c r="H384" s="6">
        <v>8</v>
      </c>
      <c r="K384" s="6">
        <v>156</v>
      </c>
      <c r="M384" s="13">
        <v>45807</v>
      </c>
      <c r="N384">
        <v>42</v>
      </c>
      <c r="O384">
        <v>150</v>
      </c>
    </row>
    <row r="385" spans="1:15" x14ac:dyDescent="0.25">
      <c r="A385" t="s">
        <v>34</v>
      </c>
      <c r="D385" s="6" t="s">
        <v>42</v>
      </c>
      <c r="E385" s="6">
        <v>2016</v>
      </c>
      <c r="F385" s="6">
        <v>2</v>
      </c>
      <c r="G385" s="6">
        <v>4</v>
      </c>
      <c r="H385" s="6">
        <v>8</v>
      </c>
      <c r="K385" s="6">
        <v>156</v>
      </c>
      <c r="M385" s="13">
        <v>45810</v>
      </c>
      <c r="N385">
        <v>42</v>
      </c>
      <c r="O385">
        <v>153</v>
      </c>
    </row>
    <row r="386" spans="1:15" x14ac:dyDescent="0.25">
      <c r="A386" t="s">
        <v>24</v>
      </c>
      <c r="D386" s="6" t="s">
        <v>26</v>
      </c>
      <c r="E386" s="6">
        <v>1983</v>
      </c>
      <c r="F386" s="6">
        <v>3</v>
      </c>
      <c r="G386" s="6">
        <v>1</v>
      </c>
      <c r="H386" s="6">
        <v>9</v>
      </c>
      <c r="K386" s="6">
        <v>109</v>
      </c>
      <c r="M386" s="13">
        <v>45769</v>
      </c>
      <c r="N386">
        <v>0</v>
      </c>
      <c r="O386">
        <v>112</v>
      </c>
    </row>
    <row r="387" spans="1:15" x14ac:dyDescent="0.25">
      <c r="A387" t="s">
        <v>24</v>
      </c>
      <c r="D387" s="6" t="s">
        <v>26</v>
      </c>
      <c r="E387" s="6">
        <v>1983</v>
      </c>
      <c r="F387" s="6">
        <v>3</v>
      </c>
      <c r="G387" s="6">
        <v>1</v>
      </c>
      <c r="H387" s="6">
        <v>9</v>
      </c>
      <c r="K387" s="6">
        <v>109</v>
      </c>
      <c r="M387" s="13">
        <v>45771</v>
      </c>
      <c r="N387">
        <v>30</v>
      </c>
      <c r="O387">
        <v>114</v>
      </c>
    </row>
    <row r="388" spans="1:15" x14ac:dyDescent="0.25">
      <c r="A388" t="s">
        <v>24</v>
      </c>
      <c r="D388" s="6" t="s">
        <v>26</v>
      </c>
      <c r="E388" s="6">
        <v>1983</v>
      </c>
      <c r="F388" s="6">
        <v>3</v>
      </c>
      <c r="G388" s="6">
        <v>1</v>
      </c>
      <c r="H388" s="6">
        <v>9</v>
      </c>
      <c r="K388" s="6">
        <v>109</v>
      </c>
      <c r="M388" s="13">
        <v>45772</v>
      </c>
      <c r="N388">
        <v>38</v>
      </c>
      <c r="O388">
        <v>115</v>
      </c>
    </row>
    <row r="389" spans="1:15" x14ac:dyDescent="0.25">
      <c r="A389" t="s">
        <v>24</v>
      </c>
      <c r="D389" s="6" t="s">
        <v>26</v>
      </c>
      <c r="E389" s="6">
        <v>1983</v>
      </c>
      <c r="F389" s="6">
        <v>3</v>
      </c>
      <c r="G389" s="6">
        <v>1</v>
      </c>
      <c r="H389" s="6">
        <v>9</v>
      </c>
      <c r="K389" s="6">
        <v>109</v>
      </c>
      <c r="M389" s="13">
        <v>45775</v>
      </c>
      <c r="N389">
        <v>43</v>
      </c>
      <c r="O389">
        <v>118</v>
      </c>
    </row>
    <row r="390" spans="1:15" x14ac:dyDescent="0.25">
      <c r="A390" t="s">
        <v>24</v>
      </c>
      <c r="D390" s="6" t="s">
        <v>26</v>
      </c>
      <c r="E390" s="6">
        <v>1983</v>
      </c>
      <c r="F390" s="6">
        <v>3</v>
      </c>
      <c r="G390" s="6">
        <v>1</v>
      </c>
      <c r="H390" s="6">
        <v>9</v>
      </c>
      <c r="K390" s="6">
        <v>109</v>
      </c>
      <c r="M390" s="13">
        <v>45778</v>
      </c>
      <c r="N390">
        <v>44</v>
      </c>
      <c r="O390">
        <v>121</v>
      </c>
    </row>
    <row r="391" spans="1:15" x14ac:dyDescent="0.25">
      <c r="A391" t="s">
        <v>24</v>
      </c>
      <c r="D391" s="6" t="s">
        <v>26</v>
      </c>
      <c r="E391" s="6">
        <v>1983</v>
      </c>
      <c r="F391" s="6">
        <v>3</v>
      </c>
      <c r="G391" s="6">
        <v>1</v>
      </c>
      <c r="H391" s="6">
        <v>9</v>
      </c>
      <c r="K391" s="6">
        <v>109</v>
      </c>
      <c r="M391" s="13">
        <v>45782</v>
      </c>
      <c r="N391">
        <v>46</v>
      </c>
      <c r="O391">
        <v>125</v>
      </c>
    </row>
    <row r="392" spans="1:15" x14ac:dyDescent="0.25">
      <c r="A392" t="s">
        <v>24</v>
      </c>
      <c r="D392" s="6" t="s">
        <v>26</v>
      </c>
      <c r="E392" s="6">
        <v>1983</v>
      </c>
      <c r="F392" s="6">
        <v>3</v>
      </c>
      <c r="G392" s="6">
        <v>1</v>
      </c>
      <c r="H392" s="6">
        <v>9</v>
      </c>
      <c r="K392" s="6">
        <v>109</v>
      </c>
      <c r="M392" s="13">
        <v>45793</v>
      </c>
      <c r="O392">
        <v>136</v>
      </c>
    </row>
    <row r="393" spans="1:15" x14ac:dyDescent="0.25">
      <c r="A393" t="s">
        <v>24</v>
      </c>
      <c r="D393" s="6" t="s">
        <v>26</v>
      </c>
      <c r="E393" s="6">
        <v>1983</v>
      </c>
      <c r="F393" s="6">
        <v>3</v>
      </c>
      <c r="G393" s="6">
        <v>1</v>
      </c>
      <c r="H393" s="6">
        <v>9</v>
      </c>
      <c r="K393" s="6">
        <v>109</v>
      </c>
      <c r="M393" s="13">
        <v>45796</v>
      </c>
      <c r="O393">
        <v>139</v>
      </c>
    </row>
    <row r="394" spans="1:15" x14ac:dyDescent="0.25">
      <c r="A394" t="s">
        <v>24</v>
      </c>
      <c r="D394" s="6" t="s">
        <v>26</v>
      </c>
      <c r="E394" s="6">
        <v>1983</v>
      </c>
      <c r="F394" s="6">
        <v>3</v>
      </c>
      <c r="G394" s="6">
        <v>1</v>
      </c>
      <c r="H394" s="6">
        <v>9</v>
      </c>
      <c r="K394" s="6">
        <v>109</v>
      </c>
      <c r="M394" s="13">
        <v>45800</v>
      </c>
      <c r="O394">
        <v>143</v>
      </c>
    </row>
    <row r="395" spans="1:15" x14ac:dyDescent="0.25">
      <c r="A395" t="s">
        <v>24</v>
      </c>
      <c r="D395" s="6" t="s">
        <v>26</v>
      </c>
      <c r="E395" s="6">
        <v>1983</v>
      </c>
      <c r="F395" s="6">
        <v>3</v>
      </c>
      <c r="G395" s="6">
        <v>1</v>
      </c>
      <c r="H395" s="6">
        <v>9</v>
      </c>
      <c r="K395" s="6">
        <v>109</v>
      </c>
      <c r="M395" s="13">
        <v>45804</v>
      </c>
      <c r="O395">
        <v>147</v>
      </c>
    </row>
    <row r="396" spans="1:15" x14ac:dyDescent="0.25">
      <c r="A396" t="s">
        <v>24</v>
      </c>
      <c r="D396" s="6" t="s">
        <v>26</v>
      </c>
      <c r="E396" s="6">
        <v>1983</v>
      </c>
      <c r="F396" s="6">
        <v>3</v>
      </c>
      <c r="G396" s="6">
        <v>1</v>
      </c>
      <c r="H396" s="6">
        <v>9</v>
      </c>
      <c r="K396" s="6">
        <v>109</v>
      </c>
      <c r="M396" s="13">
        <v>45807</v>
      </c>
      <c r="O396">
        <v>150</v>
      </c>
    </row>
    <row r="397" spans="1:15" x14ac:dyDescent="0.25">
      <c r="A397" t="s">
        <v>24</v>
      </c>
      <c r="D397" s="6" t="s">
        <v>26</v>
      </c>
      <c r="E397" s="6">
        <v>1983</v>
      </c>
      <c r="F397" s="6">
        <v>3</v>
      </c>
      <c r="G397" s="6">
        <v>1</v>
      </c>
      <c r="H397" s="6">
        <v>9</v>
      </c>
      <c r="K397" s="6">
        <v>109</v>
      </c>
      <c r="M397" s="13">
        <v>45810</v>
      </c>
      <c r="O397">
        <v>153</v>
      </c>
    </row>
    <row r="398" spans="1:15" x14ac:dyDescent="0.25">
      <c r="A398" t="s">
        <v>24</v>
      </c>
      <c r="D398" s="6" t="s">
        <v>312</v>
      </c>
      <c r="E398" s="6">
        <v>2002</v>
      </c>
      <c r="F398" s="6">
        <v>3</v>
      </c>
      <c r="G398" s="6">
        <v>2</v>
      </c>
      <c r="H398" s="6">
        <v>9</v>
      </c>
      <c r="K398" s="6">
        <v>125</v>
      </c>
      <c r="M398" s="13">
        <v>45769</v>
      </c>
      <c r="N398">
        <v>0</v>
      </c>
      <c r="O398">
        <v>112</v>
      </c>
    </row>
    <row r="399" spans="1:15" x14ac:dyDescent="0.25">
      <c r="A399" t="s">
        <v>24</v>
      </c>
      <c r="D399" s="6" t="s">
        <v>312</v>
      </c>
      <c r="E399" s="6">
        <v>2002</v>
      </c>
      <c r="F399" s="6">
        <v>3</v>
      </c>
      <c r="G399" s="6">
        <v>2</v>
      </c>
      <c r="H399" s="6">
        <v>9</v>
      </c>
      <c r="K399" s="6">
        <v>125</v>
      </c>
      <c r="M399" s="13">
        <v>45771</v>
      </c>
      <c r="N399">
        <v>23</v>
      </c>
      <c r="O399">
        <v>114</v>
      </c>
    </row>
    <row r="400" spans="1:15" x14ac:dyDescent="0.25">
      <c r="A400" t="s">
        <v>24</v>
      </c>
      <c r="D400" s="6" t="s">
        <v>312</v>
      </c>
      <c r="E400" s="6">
        <v>2002</v>
      </c>
      <c r="F400" s="6">
        <v>3</v>
      </c>
      <c r="G400" s="6">
        <v>2</v>
      </c>
      <c r="H400" s="6">
        <v>9</v>
      </c>
      <c r="K400" s="6">
        <v>125</v>
      </c>
      <c r="M400" s="13">
        <v>45772</v>
      </c>
      <c r="N400">
        <v>30</v>
      </c>
      <c r="O400">
        <v>115</v>
      </c>
    </row>
    <row r="401" spans="1:15" x14ac:dyDescent="0.25">
      <c r="A401" t="s">
        <v>24</v>
      </c>
      <c r="D401" s="6" t="s">
        <v>312</v>
      </c>
      <c r="E401" s="6">
        <v>2002</v>
      </c>
      <c r="F401" s="6">
        <v>3</v>
      </c>
      <c r="G401" s="6">
        <v>2</v>
      </c>
      <c r="H401" s="6">
        <v>9</v>
      </c>
      <c r="K401" s="6">
        <v>125</v>
      </c>
      <c r="M401" s="13">
        <v>45775</v>
      </c>
      <c r="N401">
        <v>32</v>
      </c>
      <c r="O401">
        <v>118</v>
      </c>
    </row>
    <row r="402" spans="1:15" x14ac:dyDescent="0.25">
      <c r="A402" t="s">
        <v>24</v>
      </c>
      <c r="D402" s="6" t="s">
        <v>312</v>
      </c>
      <c r="E402" s="6">
        <v>2002</v>
      </c>
      <c r="F402" s="6">
        <v>3</v>
      </c>
      <c r="G402" s="6">
        <v>2</v>
      </c>
      <c r="H402" s="6">
        <v>9</v>
      </c>
      <c r="K402" s="6">
        <v>125</v>
      </c>
      <c r="M402" s="13">
        <v>45778</v>
      </c>
      <c r="N402">
        <v>34</v>
      </c>
      <c r="O402">
        <v>121</v>
      </c>
    </row>
    <row r="403" spans="1:15" x14ac:dyDescent="0.25">
      <c r="A403" t="s">
        <v>24</v>
      </c>
      <c r="D403" s="6" t="s">
        <v>312</v>
      </c>
      <c r="E403" s="6">
        <v>2002</v>
      </c>
      <c r="F403" s="6">
        <v>3</v>
      </c>
      <c r="G403" s="6">
        <v>2</v>
      </c>
      <c r="H403" s="6">
        <v>9</v>
      </c>
      <c r="K403" s="6">
        <v>125</v>
      </c>
      <c r="M403" s="13">
        <v>45782</v>
      </c>
      <c r="N403">
        <v>34</v>
      </c>
      <c r="O403">
        <v>125</v>
      </c>
    </row>
    <row r="404" spans="1:15" x14ac:dyDescent="0.25">
      <c r="A404" t="s">
        <v>24</v>
      </c>
      <c r="D404" s="6" t="s">
        <v>312</v>
      </c>
      <c r="E404" s="6">
        <v>2002</v>
      </c>
      <c r="F404" s="6">
        <v>3</v>
      </c>
      <c r="G404" s="6">
        <v>2</v>
      </c>
      <c r="H404" s="6">
        <v>9</v>
      </c>
      <c r="K404" s="6">
        <v>125</v>
      </c>
      <c r="M404" s="13">
        <v>45793</v>
      </c>
      <c r="O404">
        <v>136</v>
      </c>
    </row>
    <row r="405" spans="1:15" x14ac:dyDescent="0.25">
      <c r="A405" t="s">
        <v>24</v>
      </c>
      <c r="D405" s="6" t="s">
        <v>312</v>
      </c>
      <c r="E405" s="6">
        <v>2002</v>
      </c>
      <c r="F405" s="6">
        <v>3</v>
      </c>
      <c r="G405" s="6">
        <v>2</v>
      </c>
      <c r="H405" s="6">
        <v>9</v>
      </c>
      <c r="K405" s="6">
        <v>125</v>
      </c>
      <c r="M405" s="13">
        <v>45796</v>
      </c>
      <c r="O405">
        <v>139</v>
      </c>
    </row>
    <row r="406" spans="1:15" x14ac:dyDescent="0.25">
      <c r="A406" t="s">
        <v>24</v>
      </c>
      <c r="D406" s="6" t="s">
        <v>312</v>
      </c>
      <c r="E406" s="6">
        <v>2002</v>
      </c>
      <c r="F406" s="6">
        <v>3</v>
      </c>
      <c r="G406" s="6">
        <v>2</v>
      </c>
      <c r="H406" s="6">
        <v>9</v>
      </c>
      <c r="K406" s="6">
        <v>125</v>
      </c>
      <c r="M406" s="13">
        <v>45800</v>
      </c>
      <c r="O406">
        <v>143</v>
      </c>
    </row>
    <row r="407" spans="1:15" x14ac:dyDescent="0.25">
      <c r="A407" t="s">
        <v>24</v>
      </c>
      <c r="D407" s="6" t="s">
        <v>312</v>
      </c>
      <c r="E407" s="6">
        <v>2002</v>
      </c>
      <c r="F407" s="6">
        <v>3</v>
      </c>
      <c r="G407" s="6">
        <v>2</v>
      </c>
      <c r="H407" s="6">
        <v>9</v>
      </c>
      <c r="K407" s="6">
        <v>125</v>
      </c>
      <c r="M407" s="13">
        <v>45804</v>
      </c>
      <c r="O407">
        <v>147</v>
      </c>
    </row>
    <row r="408" spans="1:15" x14ac:dyDescent="0.25">
      <c r="A408" t="s">
        <v>24</v>
      </c>
      <c r="D408" s="6" t="s">
        <v>312</v>
      </c>
      <c r="E408" s="6">
        <v>2002</v>
      </c>
      <c r="F408" s="6">
        <v>3</v>
      </c>
      <c r="G408" s="6">
        <v>2</v>
      </c>
      <c r="H408" s="6">
        <v>9</v>
      </c>
      <c r="K408" s="6">
        <v>125</v>
      </c>
      <c r="M408" s="13">
        <v>45807</v>
      </c>
      <c r="O408">
        <v>150</v>
      </c>
    </row>
    <row r="409" spans="1:15" x14ac:dyDescent="0.25">
      <c r="A409" t="s">
        <v>24</v>
      </c>
      <c r="D409" s="6" t="s">
        <v>312</v>
      </c>
      <c r="E409" s="6">
        <v>2002</v>
      </c>
      <c r="F409" s="6">
        <v>3</v>
      </c>
      <c r="G409" s="6">
        <v>2</v>
      </c>
      <c r="H409" s="6">
        <v>9</v>
      </c>
      <c r="K409" s="6">
        <v>125</v>
      </c>
      <c r="M409" s="13">
        <v>45810</v>
      </c>
      <c r="O409">
        <v>153</v>
      </c>
    </row>
    <row r="410" spans="1:15" x14ac:dyDescent="0.25">
      <c r="A410" t="s">
        <v>24</v>
      </c>
      <c r="D410" s="6" t="s">
        <v>28</v>
      </c>
      <c r="E410" s="6">
        <v>1998</v>
      </c>
      <c r="F410" s="6">
        <v>3</v>
      </c>
      <c r="G410" s="6">
        <v>3</v>
      </c>
      <c r="H410" s="6">
        <v>9</v>
      </c>
      <c r="K410" s="6">
        <v>141</v>
      </c>
      <c r="M410" s="13">
        <v>45769</v>
      </c>
      <c r="N410">
        <v>0</v>
      </c>
      <c r="O410">
        <v>112</v>
      </c>
    </row>
    <row r="411" spans="1:15" x14ac:dyDescent="0.25">
      <c r="A411" t="s">
        <v>24</v>
      </c>
      <c r="D411" s="6" t="s">
        <v>28</v>
      </c>
      <c r="E411" s="6">
        <v>1998</v>
      </c>
      <c r="F411" s="6">
        <v>3</v>
      </c>
      <c r="G411" s="6">
        <v>3</v>
      </c>
      <c r="H411" s="6">
        <v>9</v>
      </c>
      <c r="K411" s="6">
        <v>141</v>
      </c>
      <c r="M411" s="13">
        <v>45771</v>
      </c>
      <c r="N411">
        <v>4</v>
      </c>
      <c r="O411">
        <v>114</v>
      </c>
    </row>
    <row r="412" spans="1:15" x14ac:dyDescent="0.25">
      <c r="A412" t="s">
        <v>24</v>
      </c>
      <c r="D412" s="6" t="s">
        <v>28</v>
      </c>
      <c r="E412" s="6">
        <v>1998</v>
      </c>
      <c r="F412" s="6">
        <v>3</v>
      </c>
      <c r="G412" s="6">
        <v>3</v>
      </c>
      <c r="H412" s="6">
        <v>9</v>
      </c>
      <c r="K412" s="6">
        <v>141</v>
      </c>
      <c r="M412" s="13">
        <v>45772</v>
      </c>
      <c r="N412">
        <v>13</v>
      </c>
      <c r="O412">
        <v>115</v>
      </c>
    </row>
    <row r="413" spans="1:15" x14ac:dyDescent="0.25">
      <c r="A413" t="s">
        <v>24</v>
      </c>
      <c r="D413" s="6" t="s">
        <v>28</v>
      </c>
      <c r="E413" s="6">
        <v>1998</v>
      </c>
      <c r="F413" s="6">
        <v>3</v>
      </c>
      <c r="G413" s="6">
        <v>3</v>
      </c>
      <c r="H413" s="6">
        <v>9</v>
      </c>
      <c r="K413" s="6">
        <v>141</v>
      </c>
      <c r="M413" s="13">
        <v>45775</v>
      </c>
      <c r="N413">
        <v>21</v>
      </c>
      <c r="O413">
        <v>118</v>
      </c>
    </row>
    <row r="414" spans="1:15" x14ac:dyDescent="0.25">
      <c r="A414" t="s">
        <v>24</v>
      </c>
      <c r="D414" s="6" t="s">
        <v>28</v>
      </c>
      <c r="E414" s="6">
        <v>1998</v>
      </c>
      <c r="F414" s="6">
        <v>3</v>
      </c>
      <c r="G414" s="6">
        <v>3</v>
      </c>
      <c r="H414" s="6">
        <v>9</v>
      </c>
      <c r="K414" s="6">
        <v>141</v>
      </c>
      <c r="M414" s="13">
        <v>45778</v>
      </c>
      <c r="N414">
        <v>25</v>
      </c>
      <c r="O414">
        <v>121</v>
      </c>
    </row>
    <row r="415" spans="1:15" x14ac:dyDescent="0.25">
      <c r="A415" t="s">
        <v>24</v>
      </c>
      <c r="D415" s="6" t="s">
        <v>28</v>
      </c>
      <c r="E415" s="6">
        <v>1998</v>
      </c>
      <c r="F415" s="6">
        <v>3</v>
      </c>
      <c r="G415" s="6">
        <v>3</v>
      </c>
      <c r="H415" s="6">
        <v>9</v>
      </c>
      <c r="K415" s="6">
        <v>141</v>
      </c>
      <c r="M415" s="13">
        <v>45782</v>
      </c>
      <c r="N415">
        <v>25</v>
      </c>
      <c r="O415">
        <v>125</v>
      </c>
    </row>
    <row r="416" spans="1:15" x14ac:dyDescent="0.25">
      <c r="A416" t="s">
        <v>24</v>
      </c>
      <c r="D416" s="6" t="s">
        <v>28</v>
      </c>
      <c r="E416" s="6">
        <v>1998</v>
      </c>
      <c r="F416" s="6">
        <v>3</v>
      </c>
      <c r="G416" s="6">
        <v>3</v>
      </c>
      <c r="H416" s="6">
        <v>9</v>
      </c>
      <c r="K416" s="6">
        <v>141</v>
      </c>
      <c r="M416" s="13">
        <v>45793</v>
      </c>
      <c r="O416">
        <v>136</v>
      </c>
    </row>
    <row r="417" spans="1:15" x14ac:dyDescent="0.25">
      <c r="A417" t="s">
        <v>24</v>
      </c>
      <c r="D417" s="6" t="s">
        <v>28</v>
      </c>
      <c r="E417" s="6">
        <v>1998</v>
      </c>
      <c r="F417" s="6">
        <v>3</v>
      </c>
      <c r="G417" s="6">
        <v>3</v>
      </c>
      <c r="H417" s="6">
        <v>9</v>
      </c>
      <c r="K417" s="6">
        <v>141</v>
      </c>
      <c r="M417" s="13">
        <v>45796</v>
      </c>
      <c r="O417">
        <v>139</v>
      </c>
    </row>
    <row r="418" spans="1:15" x14ac:dyDescent="0.25">
      <c r="A418" t="s">
        <v>24</v>
      </c>
      <c r="D418" s="6" t="s">
        <v>28</v>
      </c>
      <c r="E418" s="6">
        <v>1998</v>
      </c>
      <c r="F418" s="6">
        <v>3</v>
      </c>
      <c r="G418" s="6">
        <v>3</v>
      </c>
      <c r="H418" s="6">
        <v>9</v>
      </c>
      <c r="K418" s="6">
        <v>141</v>
      </c>
      <c r="M418" s="13">
        <v>45800</v>
      </c>
      <c r="O418">
        <v>143</v>
      </c>
    </row>
    <row r="419" spans="1:15" x14ac:dyDescent="0.25">
      <c r="A419" t="s">
        <v>24</v>
      </c>
      <c r="D419" s="6" t="s">
        <v>28</v>
      </c>
      <c r="E419" s="6">
        <v>1998</v>
      </c>
      <c r="F419" s="6">
        <v>3</v>
      </c>
      <c r="G419" s="6">
        <v>3</v>
      </c>
      <c r="H419" s="6">
        <v>9</v>
      </c>
      <c r="K419" s="6">
        <v>141</v>
      </c>
      <c r="M419" s="13">
        <v>45804</v>
      </c>
      <c r="O419">
        <v>147</v>
      </c>
    </row>
    <row r="420" spans="1:15" x14ac:dyDescent="0.25">
      <c r="A420" t="s">
        <v>24</v>
      </c>
      <c r="D420" s="6" t="s">
        <v>28</v>
      </c>
      <c r="E420" s="6">
        <v>1998</v>
      </c>
      <c r="F420" s="6">
        <v>3</v>
      </c>
      <c r="G420" s="6">
        <v>3</v>
      </c>
      <c r="H420" s="6">
        <v>9</v>
      </c>
      <c r="K420" s="6">
        <v>141</v>
      </c>
      <c r="M420" s="13">
        <v>45807</v>
      </c>
      <c r="O420">
        <v>150</v>
      </c>
    </row>
    <row r="421" spans="1:15" x14ac:dyDescent="0.25">
      <c r="A421" t="s">
        <v>24</v>
      </c>
      <c r="D421" s="6" t="s">
        <v>28</v>
      </c>
      <c r="E421" s="6">
        <v>1998</v>
      </c>
      <c r="F421" s="6">
        <v>3</v>
      </c>
      <c r="G421" s="6">
        <v>3</v>
      </c>
      <c r="H421" s="6">
        <v>9</v>
      </c>
      <c r="K421" s="6">
        <v>141</v>
      </c>
      <c r="M421" s="13">
        <v>45810</v>
      </c>
      <c r="O421">
        <v>153</v>
      </c>
    </row>
    <row r="422" spans="1:15" x14ac:dyDescent="0.25">
      <c r="A422" t="s">
        <v>24</v>
      </c>
      <c r="D422" s="6" t="s">
        <v>27</v>
      </c>
      <c r="E422" s="6">
        <v>1985</v>
      </c>
      <c r="F422" s="6">
        <v>3</v>
      </c>
      <c r="G422" s="6">
        <v>4</v>
      </c>
      <c r="H422" s="6">
        <v>9</v>
      </c>
      <c r="K422" s="6">
        <v>157</v>
      </c>
      <c r="M422" s="13">
        <v>45769</v>
      </c>
      <c r="N422">
        <v>0</v>
      </c>
      <c r="O422">
        <v>112</v>
      </c>
    </row>
    <row r="423" spans="1:15" x14ac:dyDescent="0.25">
      <c r="A423" t="s">
        <v>24</v>
      </c>
      <c r="D423" s="6" t="s">
        <v>27</v>
      </c>
      <c r="E423" s="6">
        <v>1985</v>
      </c>
      <c r="F423" s="6">
        <v>3</v>
      </c>
      <c r="G423" s="6">
        <v>4</v>
      </c>
      <c r="H423" s="6">
        <v>9</v>
      </c>
      <c r="K423" s="6">
        <v>157</v>
      </c>
      <c r="M423" s="13">
        <v>45771</v>
      </c>
      <c r="N423">
        <v>18</v>
      </c>
      <c r="O423">
        <v>114</v>
      </c>
    </row>
    <row r="424" spans="1:15" x14ac:dyDescent="0.25">
      <c r="A424" t="s">
        <v>24</v>
      </c>
      <c r="D424" s="6" t="s">
        <v>27</v>
      </c>
      <c r="E424" s="6">
        <v>1985</v>
      </c>
      <c r="F424" s="6">
        <v>3</v>
      </c>
      <c r="G424" s="6">
        <v>4</v>
      </c>
      <c r="H424" s="6">
        <v>9</v>
      </c>
      <c r="K424" s="6">
        <v>157</v>
      </c>
      <c r="M424" s="13">
        <v>45772</v>
      </c>
      <c r="N424">
        <v>30</v>
      </c>
      <c r="O424">
        <v>115</v>
      </c>
    </row>
    <row r="425" spans="1:15" x14ac:dyDescent="0.25">
      <c r="A425" t="s">
        <v>24</v>
      </c>
      <c r="D425" s="6" t="s">
        <v>27</v>
      </c>
      <c r="E425" s="6">
        <v>1985</v>
      </c>
      <c r="F425" s="6">
        <v>3</v>
      </c>
      <c r="G425" s="6">
        <v>4</v>
      </c>
      <c r="H425" s="6">
        <v>9</v>
      </c>
      <c r="K425" s="6">
        <v>157</v>
      </c>
      <c r="M425" s="13">
        <v>45775</v>
      </c>
      <c r="N425">
        <v>38</v>
      </c>
      <c r="O425">
        <v>118</v>
      </c>
    </row>
    <row r="426" spans="1:15" x14ac:dyDescent="0.25">
      <c r="A426" t="s">
        <v>24</v>
      </c>
      <c r="D426" s="6" t="s">
        <v>27</v>
      </c>
      <c r="E426" s="6">
        <v>1985</v>
      </c>
      <c r="F426" s="6">
        <v>3</v>
      </c>
      <c r="G426" s="6">
        <v>4</v>
      </c>
      <c r="H426" s="6">
        <v>9</v>
      </c>
      <c r="K426" s="6">
        <v>157</v>
      </c>
      <c r="M426" s="13">
        <v>45778</v>
      </c>
      <c r="N426">
        <v>38</v>
      </c>
      <c r="O426">
        <v>121</v>
      </c>
    </row>
    <row r="427" spans="1:15" x14ac:dyDescent="0.25">
      <c r="A427" t="s">
        <v>24</v>
      </c>
      <c r="D427" s="6" t="s">
        <v>27</v>
      </c>
      <c r="E427" s="6">
        <v>1985</v>
      </c>
      <c r="F427" s="6">
        <v>3</v>
      </c>
      <c r="G427" s="6">
        <v>4</v>
      </c>
      <c r="H427" s="6">
        <v>9</v>
      </c>
      <c r="K427" s="6">
        <v>157</v>
      </c>
      <c r="M427" s="13">
        <v>45782</v>
      </c>
      <c r="N427">
        <v>40</v>
      </c>
      <c r="O427">
        <v>125</v>
      </c>
    </row>
    <row r="428" spans="1:15" x14ac:dyDescent="0.25">
      <c r="A428" t="s">
        <v>24</v>
      </c>
      <c r="D428" s="6" t="s">
        <v>27</v>
      </c>
      <c r="E428" s="6">
        <v>1985</v>
      </c>
      <c r="F428" s="6">
        <v>3</v>
      </c>
      <c r="G428" s="6">
        <v>4</v>
      </c>
      <c r="H428" s="6">
        <v>9</v>
      </c>
      <c r="K428" s="6">
        <v>157</v>
      </c>
      <c r="M428" s="13">
        <v>45793</v>
      </c>
      <c r="O428">
        <v>136</v>
      </c>
    </row>
    <row r="429" spans="1:15" x14ac:dyDescent="0.25">
      <c r="A429" t="s">
        <v>24</v>
      </c>
      <c r="D429" s="6" t="s">
        <v>27</v>
      </c>
      <c r="E429" s="6">
        <v>1985</v>
      </c>
      <c r="F429" s="6">
        <v>3</v>
      </c>
      <c r="G429" s="6">
        <v>4</v>
      </c>
      <c r="H429" s="6">
        <v>9</v>
      </c>
      <c r="K429" s="6">
        <v>157</v>
      </c>
      <c r="M429" s="13">
        <v>45796</v>
      </c>
      <c r="O429">
        <v>139</v>
      </c>
    </row>
    <row r="430" spans="1:15" x14ac:dyDescent="0.25">
      <c r="A430" t="s">
        <v>24</v>
      </c>
      <c r="D430" s="6" t="s">
        <v>27</v>
      </c>
      <c r="E430" s="6">
        <v>1985</v>
      </c>
      <c r="F430" s="6">
        <v>3</v>
      </c>
      <c r="G430" s="6">
        <v>4</v>
      </c>
      <c r="H430" s="6">
        <v>9</v>
      </c>
      <c r="K430" s="6">
        <v>157</v>
      </c>
      <c r="M430" s="13">
        <v>45800</v>
      </c>
      <c r="O430">
        <v>143</v>
      </c>
    </row>
    <row r="431" spans="1:15" x14ac:dyDescent="0.25">
      <c r="A431" t="s">
        <v>24</v>
      </c>
      <c r="D431" s="6" t="s">
        <v>27</v>
      </c>
      <c r="E431" s="6">
        <v>1985</v>
      </c>
      <c r="F431" s="6">
        <v>3</v>
      </c>
      <c r="G431" s="6">
        <v>4</v>
      </c>
      <c r="H431" s="6">
        <v>9</v>
      </c>
      <c r="K431" s="6">
        <v>157</v>
      </c>
      <c r="M431" s="13">
        <v>45804</v>
      </c>
      <c r="O431">
        <v>147</v>
      </c>
    </row>
    <row r="432" spans="1:15" x14ac:dyDescent="0.25">
      <c r="A432" t="s">
        <v>24</v>
      </c>
      <c r="D432" s="6" t="s">
        <v>27</v>
      </c>
      <c r="E432" s="6">
        <v>1985</v>
      </c>
      <c r="F432" s="6">
        <v>3</v>
      </c>
      <c r="G432" s="6">
        <v>4</v>
      </c>
      <c r="H432" s="6">
        <v>9</v>
      </c>
      <c r="K432" s="6">
        <v>157</v>
      </c>
      <c r="M432" s="13">
        <v>45807</v>
      </c>
      <c r="O432">
        <v>150</v>
      </c>
    </row>
    <row r="433" spans="1:15" x14ac:dyDescent="0.25">
      <c r="A433" t="s">
        <v>24</v>
      </c>
      <c r="D433" s="6" t="s">
        <v>27</v>
      </c>
      <c r="E433" s="6">
        <v>1985</v>
      </c>
      <c r="F433" s="6">
        <v>3</v>
      </c>
      <c r="G433" s="6">
        <v>4</v>
      </c>
      <c r="H433" s="6">
        <v>9</v>
      </c>
      <c r="K433" s="6">
        <v>157</v>
      </c>
      <c r="M433" s="13">
        <v>45810</v>
      </c>
      <c r="O433">
        <v>153</v>
      </c>
    </row>
    <row r="434" spans="1:15" x14ac:dyDescent="0.25">
      <c r="A434" t="s">
        <v>24</v>
      </c>
      <c r="D434" s="6" t="s">
        <v>313</v>
      </c>
      <c r="E434" s="6">
        <v>2016</v>
      </c>
      <c r="F434" s="6">
        <v>3</v>
      </c>
      <c r="G434" s="6">
        <v>1</v>
      </c>
      <c r="H434" s="6">
        <v>10</v>
      </c>
      <c r="K434" s="6">
        <v>110</v>
      </c>
      <c r="M434" s="13">
        <v>45769</v>
      </c>
      <c r="N434">
        <v>0</v>
      </c>
      <c r="O434">
        <v>112</v>
      </c>
    </row>
    <row r="435" spans="1:15" x14ac:dyDescent="0.25">
      <c r="A435" t="s">
        <v>24</v>
      </c>
      <c r="D435" s="6" t="s">
        <v>313</v>
      </c>
      <c r="E435" s="6">
        <v>2016</v>
      </c>
      <c r="F435" s="6">
        <v>3</v>
      </c>
      <c r="G435" s="6">
        <v>1</v>
      </c>
      <c r="H435" s="6">
        <v>10</v>
      </c>
      <c r="K435" s="6">
        <v>110</v>
      </c>
      <c r="M435" s="13">
        <v>45771</v>
      </c>
      <c r="N435">
        <v>32</v>
      </c>
      <c r="O435">
        <v>114</v>
      </c>
    </row>
    <row r="436" spans="1:15" x14ac:dyDescent="0.25">
      <c r="A436" t="s">
        <v>24</v>
      </c>
      <c r="D436" s="6" t="s">
        <v>313</v>
      </c>
      <c r="E436" s="6">
        <v>2016</v>
      </c>
      <c r="F436" s="6">
        <v>3</v>
      </c>
      <c r="G436" s="6">
        <v>1</v>
      </c>
      <c r="H436" s="6">
        <v>10</v>
      </c>
      <c r="K436" s="6">
        <v>110</v>
      </c>
      <c r="M436" s="13">
        <v>45772</v>
      </c>
      <c r="N436">
        <v>44</v>
      </c>
      <c r="O436">
        <v>115</v>
      </c>
    </row>
    <row r="437" spans="1:15" x14ac:dyDescent="0.25">
      <c r="A437" t="s">
        <v>24</v>
      </c>
      <c r="D437" s="6" t="s">
        <v>313</v>
      </c>
      <c r="E437" s="6">
        <v>2016</v>
      </c>
      <c r="F437" s="6">
        <v>3</v>
      </c>
      <c r="G437" s="6">
        <v>1</v>
      </c>
      <c r="H437" s="6">
        <v>10</v>
      </c>
      <c r="K437" s="6">
        <v>110</v>
      </c>
      <c r="M437" s="13">
        <v>45775</v>
      </c>
      <c r="N437">
        <v>44</v>
      </c>
      <c r="O437">
        <v>118</v>
      </c>
    </row>
    <row r="438" spans="1:15" x14ac:dyDescent="0.25">
      <c r="A438" t="s">
        <v>24</v>
      </c>
      <c r="D438" s="6" t="s">
        <v>313</v>
      </c>
      <c r="E438" s="6">
        <v>2016</v>
      </c>
      <c r="F438" s="6">
        <v>3</v>
      </c>
      <c r="G438" s="6">
        <v>1</v>
      </c>
      <c r="H438" s="6">
        <v>10</v>
      </c>
      <c r="K438" s="6">
        <v>110</v>
      </c>
      <c r="M438" s="13">
        <v>45778</v>
      </c>
      <c r="N438">
        <v>44</v>
      </c>
      <c r="O438">
        <v>121</v>
      </c>
    </row>
    <row r="439" spans="1:15" x14ac:dyDescent="0.25">
      <c r="A439" t="s">
        <v>24</v>
      </c>
      <c r="D439" s="6" t="s">
        <v>313</v>
      </c>
      <c r="E439" s="6">
        <v>2016</v>
      </c>
      <c r="F439" s="6">
        <v>3</v>
      </c>
      <c r="G439" s="6">
        <v>1</v>
      </c>
      <c r="H439" s="6">
        <v>10</v>
      </c>
      <c r="K439" s="6">
        <v>110</v>
      </c>
      <c r="M439" s="13">
        <v>45782</v>
      </c>
      <c r="N439">
        <v>44</v>
      </c>
      <c r="O439">
        <v>125</v>
      </c>
    </row>
    <row r="440" spans="1:15" x14ac:dyDescent="0.25">
      <c r="A440" t="s">
        <v>24</v>
      </c>
      <c r="D440" s="6" t="s">
        <v>313</v>
      </c>
      <c r="E440" s="6">
        <v>2016</v>
      </c>
      <c r="F440" s="6">
        <v>3</v>
      </c>
      <c r="G440" s="6">
        <v>1</v>
      </c>
      <c r="H440" s="6">
        <v>10</v>
      </c>
      <c r="K440" s="6">
        <v>110</v>
      </c>
      <c r="M440" s="13">
        <v>45793</v>
      </c>
      <c r="O440">
        <v>136</v>
      </c>
    </row>
    <row r="441" spans="1:15" x14ac:dyDescent="0.25">
      <c r="A441" t="s">
        <v>24</v>
      </c>
      <c r="D441" s="6" t="s">
        <v>313</v>
      </c>
      <c r="E441" s="6">
        <v>2016</v>
      </c>
      <c r="F441" s="6">
        <v>3</v>
      </c>
      <c r="G441" s="6">
        <v>1</v>
      </c>
      <c r="H441" s="6">
        <v>10</v>
      </c>
      <c r="K441" s="6">
        <v>110</v>
      </c>
      <c r="M441" s="13">
        <v>45796</v>
      </c>
      <c r="O441">
        <v>139</v>
      </c>
    </row>
    <row r="442" spans="1:15" x14ac:dyDescent="0.25">
      <c r="A442" t="s">
        <v>24</v>
      </c>
      <c r="D442" s="6" t="s">
        <v>313</v>
      </c>
      <c r="E442" s="6">
        <v>2016</v>
      </c>
      <c r="F442" s="6">
        <v>3</v>
      </c>
      <c r="G442" s="6">
        <v>1</v>
      </c>
      <c r="H442" s="6">
        <v>10</v>
      </c>
      <c r="K442" s="6">
        <v>110</v>
      </c>
      <c r="M442" s="13">
        <v>45800</v>
      </c>
      <c r="O442">
        <v>143</v>
      </c>
    </row>
    <row r="443" spans="1:15" x14ac:dyDescent="0.25">
      <c r="A443" t="s">
        <v>24</v>
      </c>
      <c r="D443" s="6" t="s">
        <v>313</v>
      </c>
      <c r="E443" s="6">
        <v>2016</v>
      </c>
      <c r="F443" s="6">
        <v>3</v>
      </c>
      <c r="G443" s="6">
        <v>1</v>
      </c>
      <c r="H443" s="6">
        <v>10</v>
      </c>
      <c r="K443" s="6">
        <v>110</v>
      </c>
      <c r="M443" s="13">
        <v>45804</v>
      </c>
      <c r="O443">
        <v>147</v>
      </c>
    </row>
    <row r="444" spans="1:15" x14ac:dyDescent="0.25">
      <c r="A444" t="s">
        <v>24</v>
      </c>
      <c r="D444" s="6" t="s">
        <v>313</v>
      </c>
      <c r="E444" s="6">
        <v>2016</v>
      </c>
      <c r="F444" s="6">
        <v>3</v>
      </c>
      <c r="G444" s="6">
        <v>1</v>
      </c>
      <c r="H444" s="6">
        <v>10</v>
      </c>
      <c r="K444" s="6">
        <v>110</v>
      </c>
      <c r="M444" s="13">
        <v>45807</v>
      </c>
      <c r="O444">
        <v>150</v>
      </c>
    </row>
    <row r="445" spans="1:15" x14ac:dyDescent="0.25">
      <c r="A445" t="s">
        <v>24</v>
      </c>
      <c r="D445" s="6" t="s">
        <v>313</v>
      </c>
      <c r="E445" s="6">
        <v>2016</v>
      </c>
      <c r="F445" s="6">
        <v>3</v>
      </c>
      <c r="G445" s="6">
        <v>1</v>
      </c>
      <c r="H445" s="6">
        <v>10</v>
      </c>
      <c r="K445" s="6">
        <v>110</v>
      </c>
      <c r="M445" s="13">
        <v>45810</v>
      </c>
      <c r="O445">
        <v>153</v>
      </c>
    </row>
    <row r="446" spans="1:15" x14ac:dyDescent="0.25">
      <c r="A446" t="s">
        <v>24</v>
      </c>
      <c r="D446" s="6" t="s">
        <v>32</v>
      </c>
      <c r="E446" s="6">
        <v>2018</v>
      </c>
      <c r="F446" s="6">
        <v>3</v>
      </c>
      <c r="G446" s="6">
        <v>2</v>
      </c>
      <c r="H446" s="6">
        <v>10</v>
      </c>
      <c r="K446" s="6">
        <v>126</v>
      </c>
      <c r="M446" s="13">
        <v>45769</v>
      </c>
      <c r="N446">
        <v>0</v>
      </c>
      <c r="O446">
        <v>112</v>
      </c>
    </row>
    <row r="447" spans="1:15" x14ac:dyDescent="0.25">
      <c r="A447" t="s">
        <v>24</v>
      </c>
      <c r="D447" s="6" t="s">
        <v>32</v>
      </c>
      <c r="E447" s="6">
        <v>2018</v>
      </c>
      <c r="F447" s="6">
        <v>3</v>
      </c>
      <c r="G447" s="6">
        <v>2</v>
      </c>
      <c r="H447" s="6">
        <v>10</v>
      </c>
      <c r="K447" s="6">
        <v>126</v>
      </c>
      <c r="M447" s="13">
        <v>45771</v>
      </c>
      <c r="N447">
        <v>18</v>
      </c>
      <c r="O447">
        <v>114</v>
      </c>
    </row>
    <row r="448" spans="1:15" x14ac:dyDescent="0.25">
      <c r="A448" t="s">
        <v>24</v>
      </c>
      <c r="D448" s="6" t="s">
        <v>32</v>
      </c>
      <c r="E448" s="6">
        <v>2018</v>
      </c>
      <c r="F448" s="6">
        <v>3</v>
      </c>
      <c r="G448" s="6">
        <v>2</v>
      </c>
      <c r="H448" s="6">
        <v>10</v>
      </c>
      <c r="K448" s="6">
        <v>126</v>
      </c>
      <c r="M448" s="13">
        <v>45772</v>
      </c>
      <c r="N448">
        <v>21</v>
      </c>
      <c r="O448">
        <v>115</v>
      </c>
    </row>
    <row r="449" spans="1:15" x14ac:dyDescent="0.25">
      <c r="A449" t="s">
        <v>24</v>
      </c>
      <c r="D449" s="6" t="s">
        <v>32</v>
      </c>
      <c r="E449" s="6">
        <v>2018</v>
      </c>
      <c r="F449" s="6">
        <v>3</v>
      </c>
      <c r="G449" s="6">
        <v>2</v>
      </c>
      <c r="H449" s="6">
        <v>10</v>
      </c>
      <c r="K449" s="6">
        <v>126</v>
      </c>
      <c r="M449" s="13">
        <v>45775</v>
      </c>
      <c r="N449">
        <v>23</v>
      </c>
      <c r="O449">
        <v>118</v>
      </c>
    </row>
    <row r="450" spans="1:15" x14ac:dyDescent="0.25">
      <c r="A450" t="s">
        <v>24</v>
      </c>
      <c r="D450" s="6" t="s">
        <v>32</v>
      </c>
      <c r="E450" s="6">
        <v>2018</v>
      </c>
      <c r="F450" s="6">
        <v>3</v>
      </c>
      <c r="G450" s="6">
        <v>2</v>
      </c>
      <c r="H450" s="6">
        <v>10</v>
      </c>
      <c r="K450" s="6">
        <v>126</v>
      </c>
      <c r="M450" s="13">
        <v>45778</v>
      </c>
      <c r="N450">
        <v>25</v>
      </c>
      <c r="O450">
        <v>121</v>
      </c>
    </row>
    <row r="451" spans="1:15" x14ac:dyDescent="0.25">
      <c r="A451" t="s">
        <v>24</v>
      </c>
      <c r="D451" s="6" t="s">
        <v>32</v>
      </c>
      <c r="E451" s="6">
        <v>2018</v>
      </c>
      <c r="F451" s="6">
        <v>3</v>
      </c>
      <c r="G451" s="6">
        <v>2</v>
      </c>
      <c r="H451" s="6">
        <v>10</v>
      </c>
      <c r="K451" s="6">
        <v>126</v>
      </c>
      <c r="M451" s="13">
        <v>45782</v>
      </c>
      <c r="N451">
        <v>25</v>
      </c>
      <c r="O451">
        <v>125</v>
      </c>
    </row>
    <row r="452" spans="1:15" x14ac:dyDescent="0.25">
      <c r="A452" t="s">
        <v>24</v>
      </c>
      <c r="D452" s="6" t="s">
        <v>32</v>
      </c>
      <c r="E452" s="6">
        <v>2018</v>
      </c>
      <c r="F452" s="6">
        <v>3</v>
      </c>
      <c r="G452" s="6">
        <v>2</v>
      </c>
      <c r="H452" s="6">
        <v>10</v>
      </c>
      <c r="K452" s="6">
        <v>126</v>
      </c>
      <c r="M452" s="13">
        <v>45793</v>
      </c>
      <c r="O452">
        <v>136</v>
      </c>
    </row>
    <row r="453" spans="1:15" x14ac:dyDescent="0.25">
      <c r="A453" t="s">
        <v>24</v>
      </c>
      <c r="D453" s="6" t="s">
        <v>32</v>
      </c>
      <c r="E453" s="6">
        <v>2018</v>
      </c>
      <c r="F453" s="6">
        <v>3</v>
      </c>
      <c r="G453" s="6">
        <v>2</v>
      </c>
      <c r="H453" s="6">
        <v>10</v>
      </c>
      <c r="K453" s="6">
        <v>126</v>
      </c>
      <c r="M453" s="13">
        <v>45796</v>
      </c>
      <c r="O453">
        <v>139</v>
      </c>
    </row>
    <row r="454" spans="1:15" x14ac:dyDescent="0.25">
      <c r="A454" t="s">
        <v>24</v>
      </c>
      <c r="D454" s="6" t="s">
        <v>32</v>
      </c>
      <c r="E454" s="6">
        <v>2018</v>
      </c>
      <c r="F454" s="6">
        <v>3</v>
      </c>
      <c r="G454" s="6">
        <v>2</v>
      </c>
      <c r="H454" s="6">
        <v>10</v>
      </c>
      <c r="K454" s="6">
        <v>126</v>
      </c>
      <c r="M454" s="13">
        <v>45800</v>
      </c>
      <c r="O454">
        <v>143</v>
      </c>
    </row>
    <row r="455" spans="1:15" x14ac:dyDescent="0.25">
      <c r="A455" t="s">
        <v>24</v>
      </c>
      <c r="D455" s="6" t="s">
        <v>32</v>
      </c>
      <c r="E455" s="6">
        <v>2018</v>
      </c>
      <c r="F455" s="6">
        <v>3</v>
      </c>
      <c r="G455" s="6">
        <v>2</v>
      </c>
      <c r="H455" s="6">
        <v>10</v>
      </c>
      <c r="K455" s="6">
        <v>126</v>
      </c>
      <c r="M455" s="13">
        <v>45804</v>
      </c>
      <c r="O455">
        <v>147</v>
      </c>
    </row>
    <row r="456" spans="1:15" x14ac:dyDescent="0.25">
      <c r="A456" t="s">
        <v>24</v>
      </c>
      <c r="D456" s="6" t="s">
        <v>32</v>
      </c>
      <c r="E456" s="6">
        <v>2018</v>
      </c>
      <c r="F456" s="6">
        <v>3</v>
      </c>
      <c r="G456" s="6">
        <v>2</v>
      </c>
      <c r="H456" s="6">
        <v>10</v>
      </c>
      <c r="K456" s="6">
        <v>126</v>
      </c>
      <c r="M456" s="13">
        <v>45807</v>
      </c>
      <c r="O456">
        <v>150</v>
      </c>
    </row>
    <row r="457" spans="1:15" x14ac:dyDescent="0.25">
      <c r="A457" t="s">
        <v>24</v>
      </c>
      <c r="D457" s="6" t="s">
        <v>32</v>
      </c>
      <c r="E457" s="6">
        <v>2018</v>
      </c>
      <c r="F457" s="6">
        <v>3</v>
      </c>
      <c r="G457" s="6">
        <v>2</v>
      </c>
      <c r="H457" s="6">
        <v>10</v>
      </c>
      <c r="K457" s="6">
        <v>126</v>
      </c>
      <c r="M457" s="13">
        <v>45810</v>
      </c>
      <c r="O457">
        <v>153</v>
      </c>
    </row>
    <row r="458" spans="1:15" x14ac:dyDescent="0.25">
      <c r="A458" t="s">
        <v>24</v>
      </c>
      <c r="D458" s="6" t="s">
        <v>29</v>
      </c>
      <c r="E458" s="6">
        <v>1999</v>
      </c>
      <c r="F458" s="6">
        <v>3</v>
      </c>
      <c r="G458" s="6">
        <v>3</v>
      </c>
      <c r="H458" s="6">
        <v>10</v>
      </c>
      <c r="K458" s="6">
        <v>142</v>
      </c>
      <c r="M458" s="13">
        <v>45769</v>
      </c>
      <c r="N458">
        <v>0</v>
      </c>
      <c r="O458">
        <v>112</v>
      </c>
    </row>
    <row r="459" spans="1:15" x14ac:dyDescent="0.25">
      <c r="A459" t="s">
        <v>24</v>
      </c>
      <c r="D459" s="6" t="s">
        <v>29</v>
      </c>
      <c r="E459" s="6">
        <v>1999</v>
      </c>
      <c r="F459" s="6">
        <v>3</v>
      </c>
      <c r="G459" s="6">
        <v>3</v>
      </c>
      <c r="H459" s="6">
        <v>10</v>
      </c>
      <c r="K459" s="6">
        <v>142</v>
      </c>
      <c r="M459" s="13">
        <v>45771</v>
      </c>
      <c r="N459">
        <v>1</v>
      </c>
      <c r="O459">
        <v>114</v>
      </c>
    </row>
    <row r="460" spans="1:15" x14ac:dyDescent="0.25">
      <c r="A460" t="s">
        <v>24</v>
      </c>
      <c r="D460" s="6" t="s">
        <v>29</v>
      </c>
      <c r="E460" s="6">
        <v>1999</v>
      </c>
      <c r="F460" s="6">
        <v>3</v>
      </c>
      <c r="G460" s="6">
        <v>3</v>
      </c>
      <c r="H460" s="6">
        <v>10</v>
      </c>
      <c r="K460" s="6">
        <v>142</v>
      </c>
      <c r="M460" s="13">
        <v>45772</v>
      </c>
      <c r="N460">
        <v>11</v>
      </c>
      <c r="O460">
        <v>115</v>
      </c>
    </row>
    <row r="461" spans="1:15" x14ac:dyDescent="0.25">
      <c r="A461" t="s">
        <v>24</v>
      </c>
      <c r="D461" s="6" t="s">
        <v>29</v>
      </c>
      <c r="E461" s="6">
        <v>1999</v>
      </c>
      <c r="F461" s="6">
        <v>3</v>
      </c>
      <c r="G461" s="6">
        <v>3</v>
      </c>
      <c r="H461" s="6">
        <v>10</v>
      </c>
      <c r="K461" s="6">
        <v>142</v>
      </c>
      <c r="M461" s="13">
        <v>45775</v>
      </c>
      <c r="N461">
        <v>25</v>
      </c>
      <c r="O461">
        <v>118</v>
      </c>
    </row>
    <row r="462" spans="1:15" x14ac:dyDescent="0.25">
      <c r="A462" t="s">
        <v>24</v>
      </c>
      <c r="D462" s="6" t="s">
        <v>29</v>
      </c>
      <c r="E462" s="6">
        <v>1999</v>
      </c>
      <c r="F462" s="6">
        <v>3</v>
      </c>
      <c r="G462" s="6">
        <v>3</v>
      </c>
      <c r="H462" s="6">
        <v>10</v>
      </c>
      <c r="K462" s="6">
        <v>142</v>
      </c>
      <c r="M462" s="13">
        <v>45778</v>
      </c>
      <c r="N462">
        <v>26</v>
      </c>
      <c r="O462">
        <v>121</v>
      </c>
    </row>
    <row r="463" spans="1:15" x14ac:dyDescent="0.25">
      <c r="A463" t="s">
        <v>24</v>
      </c>
      <c r="D463" s="6" t="s">
        <v>29</v>
      </c>
      <c r="E463" s="6">
        <v>1999</v>
      </c>
      <c r="F463" s="6">
        <v>3</v>
      </c>
      <c r="G463" s="6">
        <v>3</v>
      </c>
      <c r="H463" s="6">
        <v>10</v>
      </c>
      <c r="K463" s="6">
        <v>142</v>
      </c>
      <c r="M463" s="13">
        <v>45782</v>
      </c>
      <c r="N463">
        <v>30</v>
      </c>
      <c r="O463">
        <v>125</v>
      </c>
    </row>
    <row r="464" spans="1:15" x14ac:dyDescent="0.25">
      <c r="A464" t="s">
        <v>24</v>
      </c>
      <c r="D464" s="6" t="s">
        <v>29</v>
      </c>
      <c r="E464" s="6">
        <v>1999</v>
      </c>
      <c r="F464" s="6">
        <v>3</v>
      </c>
      <c r="G464" s="6">
        <v>3</v>
      </c>
      <c r="H464" s="6">
        <v>10</v>
      </c>
      <c r="K464" s="6">
        <v>142</v>
      </c>
      <c r="M464" s="13">
        <v>45793</v>
      </c>
      <c r="O464">
        <v>136</v>
      </c>
    </row>
    <row r="465" spans="1:15" x14ac:dyDescent="0.25">
      <c r="A465" t="s">
        <v>24</v>
      </c>
      <c r="D465" s="6" t="s">
        <v>29</v>
      </c>
      <c r="E465" s="6">
        <v>1999</v>
      </c>
      <c r="F465" s="6">
        <v>3</v>
      </c>
      <c r="G465" s="6">
        <v>3</v>
      </c>
      <c r="H465" s="6">
        <v>10</v>
      </c>
      <c r="K465" s="6">
        <v>142</v>
      </c>
      <c r="M465" s="13">
        <v>45796</v>
      </c>
      <c r="O465">
        <v>139</v>
      </c>
    </row>
    <row r="466" spans="1:15" x14ac:dyDescent="0.25">
      <c r="A466" t="s">
        <v>24</v>
      </c>
      <c r="D466" s="6" t="s">
        <v>29</v>
      </c>
      <c r="E466" s="6">
        <v>1999</v>
      </c>
      <c r="F466" s="6">
        <v>3</v>
      </c>
      <c r="G466" s="6">
        <v>3</v>
      </c>
      <c r="H466" s="6">
        <v>10</v>
      </c>
      <c r="K466" s="6">
        <v>142</v>
      </c>
      <c r="M466" s="13">
        <v>45800</v>
      </c>
      <c r="O466">
        <v>143</v>
      </c>
    </row>
    <row r="467" spans="1:15" x14ac:dyDescent="0.25">
      <c r="A467" t="s">
        <v>24</v>
      </c>
      <c r="D467" s="6" t="s">
        <v>29</v>
      </c>
      <c r="E467" s="6">
        <v>1999</v>
      </c>
      <c r="F467" s="6">
        <v>3</v>
      </c>
      <c r="G467" s="6">
        <v>3</v>
      </c>
      <c r="H467" s="6">
        <v>10</v>
      </c>
      <c r="K467" s="6">
        <v>142</v>
      </c>
      <c r="M467" s="13">
        <v>45804</v>
      </c>
      <c r="O467">
        <v>147</v>
      </c>
    </row>
    <row r="468" spans="1:15" x14ac:dyDescent="0.25">
      <c r="A468" t="s">
        <v>24</v>
      </c>
      <c r="D468" s="6" t="s">
        <v>29</v>
      </c>
      <c r="E468" s="6">
        <v>1999</v>
      </c>
      <c r="F468" s="6">
        <v>3</v>
      </c>
      <c r="G468" s="6">
        <v>3</v>
      </c>
      <c r="H468" s="6">
        <v>10</v>
      </c>
      <c r="K468" s="6">
        <v>142</v>
      </c>
      <c r="M468" s="13">
        <v>45807</v>
      </c>
      <c r="O468">
        <v>150</v>
      </c>
    </row>
    <row r="469" spans="1:15" x14ac:dyDescent="0.25">
      <c r="A469" t="s">
        <v>24</v>
      </c>
      <c r="D469" s="6" t="s">
        <v>29</v>
      </c>
      <c r="E469" s="6">
        <v>1999</v>
      </c>
      <c r="F469" s="6">
        <v>3</v>
      </c>
      <c r="G469" s="6">
        <v>3</v>
      </c>
      <c r="H469" s="6">
        <v>10</v>
      </c>
      <c r="K469" s="6">
        <v>142</v>
      </c>
      <c r="M469" s="13">
        <v>45810</v>
      </c>
      <c r="O469">
        <v>153</v>
      </c>
    </row>
    <row r="470" spans="1:15" x14ac:dyDescent="0.25">
      <c r="A470" t="s">
        <v>24</v>
      </c>
      <c r="D470" s="6" t="s">
        <v>311</v>
      </c>
      <c r="E470" s="6">
        <v>2023</v>
      </c>
      <c r="F470" s="6">
        <v>3</v>
      </c>
      <c r="G470" s="6">
        <v>4</v>
      </c>
      <c r="H470" s="6">
        <v>10</v>
      </c>
      <c r="K470" s="6">
        <v>158</v>
      </c>
      <c r="M470" s="13">
        <v>45769</v>
      </c>
      <c r="N470">
        <v>0</v>
      </c>
      <c r="O470">
        <v>112</v>
      </c>
    </row>
    <row r="471" spans="1:15" x14ac:dyDescent="0.25">
      <c r="A471" t="s">
        <v>24</v>
      </c>
      <c r="D471" s="6" t="s">
        <v>311</v>
      </c>
      <c r="E471" s="6">
        <v>2023</v>
      </c>
      <c r="F471" s="6">
        <v>3</v>
      </c>
      <c r="G471" s="6">
        <v>4</v>
      </c>
      <c r="H471" s="6">
        <v>10</v>
      </c>
      <c r="K471" s="6">
        <v>158</v>
      </c>
      <c r="M471" s="13">
        <v>45771</v>
      </c>
      <c r="N471">
        <v>15</v>
      </c>
      <c r="O471">
        <v>114</v>
      </c>
    </row>
    <row r="472" spans="1:15" x14ac:dyDescent="0.25">
      <c r="A472" t="s">
        <v>24</v>
      </c>
      <c r="D472" s="6" t="s">
        <v>311</v>
      </c>
      <c r="E472" s="6">
        <v>2023</v>
      </c>
      <c r="F472" s="6">
        <v>3</v>
      </c>
      <c r="G472" s="6">
        <v>4</v>
      </c>
      <c r="H472" s="6">
        <v>10</v>
      </c>
      <c r="K472" s="6">
        <v>158</v>
      </c>
      <c r="M472" s="13">
        <v>45772</v>
      </c>
      <c r="N472">
        <v>27</v>
      </c>
      <c r="O472">
        <v>115</v>
      </c>
    </row>
    <row r="473" spans="1:15" x14ac:dyDescent="0.25">
      <c r="A473" t="s">
        <v>24</v>
      </c>
      <c r="D473" s="6" t="s">
        <v>311</v>
      </c>
      <c r="E473" s="6">
        <v>2023</v>
      </c>
      <c r="F473" s="6">
        <v>3</v>
      </c>
      <c r="G473" s="6">
        <v>4</v>
      </c>
      <c r="H473" s="6">
        <v>10</v>
      </c>
      <c r="K473" s="6">
        <v>158</v>
      </c>
      <c r="M473" s="13">
        <v>45775</v>
      </c>
      <c r="N473">
        <v>38</v>
      </c>
      <c r="O473">
        <v>118</v>
      </c>
    </row>
    <row r="474" spans="1:15" x14ac:dyDescent="0.25">
      <c r="A474" t="s">
        <v>24</v>
      </c>
      <c r="D474" s="6" t="s">
        <v>311</v>
      </c>
      <c r="E474" s="6">
        <v>2023</v>
      </c>
      <c r="F474" s="6">
        <v>3</v>
      </c>
      <c r="G474" s="6">
        <v>4</v>
      </c>
      <c r="H474" s="6">
        <v>10</v>
      </c>
      <c r="K474" s="6">
        <v>158</v>
      </c>
      <c r="M474" s="13">
        <v>45778</v>
      </c>
      <c r="N474">
        <v>39</v>
      </c>
      <c r="O474">
        <v>121</v>
      </c>
    </row>
    <row r="475" spans="1:15" x14ac:dyDescent="0.25">
      <c r="A475" t="s">
        <v>24</v>
      </c>
      <c r="D475" s="6" t="s">
        <v>311</v>
      </c>
      <c r="E475" s="6">
        <v>2023</v>
      </c>
      <c r="F475" s="6">
        <v>3</v>
      </c>
      <c r="G475" s="6">
        <v>4</v>
      </c>
      <c r="H475" s="6">
        <v>10</v>
      </c>
      <c r="K475" s="6">
        <v>158</v>
      </c>
      <c r="M475" s="13">
        <v>45782</v>
      </c>
      <c r="N475">
        <v>38</v>
      </c>
      <c r="O475">
        <v>125</v>
      </c>
    </row>
    <row r="476" spans="1:15" x14ac:dyDescent="0.25">
      <c r="A476" t="s">
        <v>24</v>
      </c>
      <c r="D476" s="6" t="s">
        <v>311</v>
      </c>
      <c r="E476" s="6">
        <v>2023</v>
      </c>
      <c r="F476" s="6">
        <v>3</v>
      </c>
      <c r="G476" s="6">
        <v>4</v>
      </c>
      <c r="H476" s="6">
        <v>10</v>
      </c>
      <c r="K476" s="6">
        <v>158</v>
      </c>
      <c r="M476" s="13">
        <v>45793</v>
      </c>
      <c r="O476">
        <v>136</v>
      </c>
    </row>
    <row r="477" spans="1:15" x14ac:dyDescent="0.25">
      <c r="A477" t="s">
        <v>24</v>
      </c>
      <c r="D477" s="6" t="s">
        <v>311</v>
      </c>
      <c r="E477" s="6">
        <v>2023</v>
      </c>
      <c r="F477" s="6">
        <v>3</v>
      </c>
      <c r="G477" s="6">
        <v>4</v>
      </c>
      <c r="H477" s="6">
        <v>10</v>
      </c>
      <c r="K477" s="6">
        <v>158</v>
      </c>
      <c r="M477" s="13">
        <v>45796</v>
      </c>
      <c r="O477">
        <v>139</v>
      </c>
    </row>
    <row r="478" spans="1:15" x14ac:dyDescent="0.25">
      <c r="A478" t="s">
        <v>24</v>
      </c>
      <c r="D478" s="6" t="s">
        <v>311</v>
      </c>
      <c r="E478" s="6">
        <v>2023</v>
      </c>
      <c r="F478" s="6">
        <v>3</v>
      </c>
      <c r="G478" s="6">
        <v>4</v>
      </c>
      <c r="H478" s="6">
        <v>10</v>
      </c>
      <c r="K478" s="6">
        <v>158</v>
      </c>
      <c r="M478" s="13">
        <v>45800</v>
      </c>
      <c r="O478">
        <v>143</v>
      </c>
    </row>
    <row r="479" spans="1:15" x14ac:dyDescent="0.25">
      <c r="A479" t="s">
        <v>24</v>
      </c>
      <c r="D479" s="6" t="s">
        <v>311</v>
      </c>
      <c r="E479" s="6">
        <v>2023</v>
      </c>
      <c r="F479" s="6">
        <v>3</v>
      </c>
      <c r="G479" s="6">
        <v>4</v>
      </c>
      <c r="H479" s="6">
        <v>10</v>
      </c>
      <c r="K479" s="6">
        <v>158</v>
      </c>
      <c r="M479" s="13">
        <v>45804</v>
      </c>
      <c r="O479">
        <v>147</v>
      </c>
    </row>
    <row r="480" spans="1:15" x14ac:dyDescent="0.25">
      <c r="A480" t="s">
        <v>24</v>
      </c>
      <c r="D480" s="6" t="s">
        <v>311</v>
      </c>
      <c r="E480" s="6">
        <v>2023</v>
      </c>
      <c r="F480" s="6">
        <v>3</v>
      </c>
      <c r="G480" s="6">
        <v>4</v>
      </c>
      <c r="H480" s="6">
        <v>10</v>
      </c>
      <c r="K480" s="6">
        <v>158</v>
      </c>
      <c r="M480" s="13">
        <v>45807</v>
      </c>
      <c r="O480">
        <v>150</v>
      </c>
    </row>
    <row r="481" spans="1:15" x14ac:dyDescent="0.25">
      <c r="A481" t="s">
        <v>24</v>
      </c>
      <c r="D481" s="6" t="s">
        <v>311</v>
      </c>
      <c r="E481" s="6">
        <v>2023</v>
      </c>
      <c r="F481" s="6">
        <v>3</v>
      </c>
      <c r="G481" s="6">
        <v>4</v>
      </c>
      <c r="H481" s="6">
        <v>10</v>
      </c>
      <c r="K481" s="6">
        <v>158</v>
      </c>
      <c r="M481" s="13">
        <v>45810</v>
      </c>
      <c r="O481">
        <v>153</v>
      </c>
    </row>
    <row r="482" spans="1:15" x14ac:dyDescent="0.25">
      <c r="A482" t="s">
        <v>34</v>
      </c>
      <c r="D482" s="6" t="s">
        <v>42</v>
      </c>
      <c r="E482" s="6">
        <v>2016</v>
      </c>
      <c r="F482" s="6">
        <v>3</v>
      </c>
      <c r="G482" s="6">
        <v>1</v>
      </c>
      <c r="H482" s="6">
        <v>11</v>
      </c>
      <c r="K482" s="6">
        <v>111</v>
      </c>
      <c r="M482" s="13">
        <v>45769</v>
      </c>
      <c r="O482">
        <v>112</v>
      </c>
    </row>
    <row r="483" spans="1:15" x14ac:dyDescent="0.25">
      <c r="A483" t="s">
        <v>34</v>
      </c>
      <c r="D483" s="6" t="s">
        <v>42</v>
      </c>
      <c r="E483" s="6">
        <v>2016</v>
      </c>
      <c r="F483" s="6">
        <v>3</v>
      </c>
      <c r="G483" s="6">
        <v>1</v>
      </c>
      <c r="H483" s="6">
        <v>11</v>
      </c>
      <c r="K483" s="6">
        <v>111</v>
      </c>
      <c r="M483" s="13">
        <v>45771</v>
      </c>
      <c r="O483">
        <v>114</v>
      </c>
    </row>
    <row r="484" spans="1:15" x14ac:dyDescent="0.25">
      <c r="A484" t="s">
        <v>34</v>
      </c>
      <c r="D484" s="6" t="s">
        <v>42</v>
      </c>
      <c r="E484" s="6">
        <v>2016</v>
      </c>
      <c r="F484" s="6">
        <v>3</v>
      </c>
      <c r="G484" s="6">
        <v>1</v>
      </c>
      <c r="H484" s="6">
        <v>11</v>
      </c>
      <c r="K484" s="6">
        <v>111</v>
      </c>
      <c r="M484" s="13">
        <v>45772</v>
      </c>
      <c r="O484">
        <v>115</v>
      </c>
    </row>
    <row r="485" spans="1:15" x14ac:dyDescent="0.25">
      <c r="A485" t="s">
        <v>34</v>
      </c>
      <c r="D485" s="6" t="s">
        <v>42</v>
      </c>
      <c r="E485" s="6">
        <v>2016</v>
      </c>
      <c r="F485" s="6">
        <v>3</v>
      </c>
      <c r="G485" s="6">
        <v>1</v>
      </c>
      <c r="H485" s="6">
        <v>11</v>
      </c>
      <c r="K485" s="6">
        <v>111</v>
      </c>
      <c r="M485" s="13">
        <v>45775</v>
      </c>
      <c r="O485">
        <v>118</v>
      </c>
    </row>
    <row r="486" spans="1:15" x14ac:dyDescent="0.25">
      <c r="A486" t="s">
        <v>34</v>
      </c>
      <c r="D486" s="6" t="s">
        <v>42</v>
      </c>
      <c r="E486" s="6">
        <v>2016</v>
      </c>
      <c r="F486" s="6">
        <v>3</v>
      </c>
      <c r="G486" s="6">
        <v>1</v>
      </c>
      <c r="H486" s="6">
        <v>11</v>
      </c>
      <c r="K486" s="6">
        <v>111</v>
      </c>
      <c r="M486" s="13">
        <v>45778</v>
      </c>
      <c r="O486">
        <v>121</v>
      </c>
    </row>
    <row r="487" spans="1:15" x14ac:dyDescent="0.25">
      <c r="A487" t="s">
        <v>34</v>
      </c>
      <c r="D487" s="6" t="s">
        <v>42</v>
      </c>
      <c r="E487" s="6">
        <v>2016</v>
      </c>
      <c r="F487" s="6">
        <v>3</v>
      </c>
      <c r="G487" s="6">
        <v>1</v>
      </c>
      <c r="H487" s="6">
        <v>11</v>
      </c>
      <c r="K487" s="6">
        <v>111</v>
      </c>
      <c r="M487" s="13">
        <v>45782</v>
      </c>
      <c r="O487">
        <v>125</v>
      </c>
    </row>
    <row r="488" spans="1:15" x14ac:dyDescent="0.25">
      <c r="A488" t="s">
        <v>34</v>
      </c>
      <c r="D488" s="6" t="s">
        <v>42</v>
      </c>
      <c r="E488" s="6">
        <v>2016</v>
      </c>
      <c r="F488" s="6">
        <v>3</v>
      </c>
      <c r="G488" s="6">
        <v>1</v>
      </c>
      <c r="H488" s="6">
        <v>11</v>
      </c>
      <c r="K488" s="6">
        <v>111</v>
      </c>
      <c r="M488" s="13">
        <v>45793</v>
      </c>
      <c r="N488">
        <v>0</v>
      </c>
      <c r="O488">
        <v>136</v>
      </c>
    </row>
    <row r="489" spans="1:15" x14ac:dyDescent="0.25">
      <c r="A489" t="s">
        <v>34</v>
      </c>
      <c r="D489" s="6" t="s">
        <v>42</v>
      </c>
      <c r="E489" s="6">
        <v>2016</v>
      </c>
      <c r="F489" s="6">
        <v>3</v>
      </c>
      <c r="G489" s="6">
        <v>1</v>
      </c>
      <c r="H489" s="6">
        <v>11</v>
      </c>
      <c r="K489" s="6">
        <v>111</v>
      </c>
      <c r="M489" s="13">
        <v>45796</v>
      </c>
      <c r="N489">
        <v>0</v>
      </c>
      <c r="O489">
        <v>139</v>
      </c>
    </row>
    <row r="490" spans="1:15" x14ac:dyDescent="0.25">
      <c r="A490" t="s">
        <v>34</v>
      </c>
      <c r="D490" s="6" t="s">
        <v>42</v>
      </c>
      <c r="E490" s="6">
        <v>2016</v>
      </c>
      <c r="F490" s="6">
        <v>3</v>
      </c>
      <c r="G490" s="6">
        <v>1</v>
      </c>
      <c r="H490" s="6">
        <v>11</v>
      </c>
      <c r="K490" s="6">
        <v>111</v>
      </c>
      <c r="M490" s="13">
        <v>45800</v>
      </c>
      <c r="N490">
        <v>17</v>
      </c>
      <c r="O490">
        <v>143</v>
      </c>
    </row>
    <row r="491" spans="1:15" x14ac:dyDescent="0.25">
      <c r="A491" t="s">
        <v>34</v>
      </c>
      <c r="D491" s="6" t="s">
        <v>42</v>
      </c>
      <c r="E491" s="6">
        <v>2016</v>
      </c>
      <c r="F491" s="6">
        <v>3</v>
      </c>
      <c r="G491" s="6">
        <v>1</v>
      </c>
      <c r="H491" s="6">
        <v>11</v>
      </c>
      <c r="K491" s="6">
        <v>111</v>
      </c>
      <c r="M491" s="13">
        <v>45804</v>
      </c>
      <c r="N491">
        <v>47</v>
      </c>
      <c r="O491">
        <v>147</v>
      </c>
    </row>
    <row r="492" spans="1:15" x14ac:dyDescent="0.25">
      <c r="A492" t="s">
        <v>34</v>
      </c>
      <c r="D492" s="6" t="s">
        <v>42</v>
      </c>
      <c r="E492" s="6">
        <v>2016</v>
      </c>
      <c r="F492" s="6">
        <v>3</v>
      </c>
      <c r="G492" s="6">
        <v>1</v>
      </c>
      <c r="H492" s="6">
        <v>11</v>
      </c>
      <c r="K492" s="6">
        <v>111</v>
      </c>
      <c r="M492" s="13">
        <v>45807</v>
      </c>
      <c r="N492">
        <v>47</v>
      </c>
      <c r="O492">
        <v>150</v>
      </c>
    </row>
    <row r="493" spans="1:15" x14ac:dyDescent="0.25">
      <c r="A493" t="s">
        <v>34</v>
      </c>
      <c r="D493" s="6" t="s">
        <v>42</v>
      </c>
      <c r="E493" s="6">
        <v>2016</v>
      </c>
      <c r="F493" s="6">
        <v>3</v>
      </c>
      <c r="G493" s="6">
        <v>1</v>
      </c>
      <c r="H493" s="6">
        <v>11</v>
      </c>
      <c r="K493" s="6">
        <v>111</v>
      </c>
      <c r="M493" s="13">
        <v>45810</v>
      </c>
      <c r="N493">
        <v>47</v>
      </c>
      <c r="O493">
        <v>153</v>
      </c>
    </row>
    <row r="494" spans="1:15" x14ac:dyDescent="0.25">
      <c r="A494" t="s">
        <v>34</v>
      </c>
      <c r="D494" s="6" t="s">
        <v>39</v>
      </c>
      <c r="E494" s="6">
        <v>2001</v>
      </c>
      <c r="F494" s="6">
        <v>3</v>
      </c>
      <c r="G494" s="6">
        <v>2</v>
      </c>
      <c r="H494" s="6">
        <v>11</v>
      </c>
      <c r="K494" s="6">
        <v>127</v>
      </c>
      <c r="M494" s="13">
        <v>45769</v>
      </c>
      <c r="O494">
        <v>112</v>
      </c>
    </row>
    <row r="495" spans="1:15" x14ac:dyDescent="0.25">
      <c r="A495" t="s">
        <v>34</v>
      </c>
      <c r="D495" s="6" t="s">
        <v>39</v>
      </c>
      <c r="E495" s="6">
        <v>2001</v>
      </c>
      <c r="F495" s="6">
        <v>3</v>
      </c>
      <c r="G495" s="6">
        <v>2</v>
      </c>
      <c r="H495" s="6">
        <v>11</v>
      </c>
      <c r="K495" s="6">
        <v>127</v>
      </c>
      <c r="M495" s="13">
        <v>45771</v>
      </c>
      <c r="O495">
        <v>114</v>
      </c>
    </row>
    <row r="496" spans="1:15" x14ac:dyDescent="0.25">
      <c r="A496" t="s">
        <v>34</v>
      </c>
      <c r="D496" s="6" t="s">
        <v>39</v>
      </c>
      <c r="E496" s="6">
        <v>2001</v>
      </c>
      <c r="F496" s="6">
        <v>3</v>
      </c>
      <c r="G496" s="6">
        <v>2</v>
      </c>
      <c r="H496" s="6">
        <v>11</v>
      </c>
      <c r="K496" s="6">
        <v>127</v>
      </c>
      <c r="M496" s="13">
        <v>45772</v>
      </c>
      <c r="O496">
        <v>115</v>
      </c>
    </row>
    <row r="497" spans="1:15" x14ac:dyDescent="0.25">
      <c r="A497" t="s">
        <v>34</v>
      </c>
      <c r="D497" s="6" t="s">
        <v>39</v>
      </c>
      <c r="E497" s="6">
        <v>2001</v>
      </c>
      <c r="F497" s="6">
        <v>3</v>
      </c>
      <c r="G497" s="6">
        <v>2</v>
      </c>
      <c r="H497" s="6">
        <v>11</v>
      </c>
      <c r="K497" s="6">
        <v>127</v>
      </c>
      <c r="M497" s="13">
        <v>45775</v>
      </c>
      <c r="O497">
        <v>118</v>
      </c>
    </row>
    <row r="498" spans="1:15" x14ac:dyDescent="0.25">
      <c r="A498" t="s">
        <v>34</v>
      </c>
      <c r="D498" s="6" t="s">
        <v>39</v>
      </c>
      <c r="E498" s="6">
        <v>2001</v>
      </c>
      <c r="F498" s="6">
        <v>3</v>
      </c>
      <c r="G498" s="6">
        <v>2</v>
      </c>
      <c r="H498" s="6">
        <v>11</v>
      </c>
      <c r="K498" s="6">
        <v>127</v>
      </c>
      <c r="M498" s="13">
        <v>45778</v>
      </c>
      <c r="O498">
        <v>121</v>
      </c>
    </row>
    <row r="499" spans="1:15" x14ac:dyDescent="0.25">
      <c r="A499" t="s">
        <v>34</v>
      </c>
      <c r="D499" s="6" t="s">
        <v>39</v>
      </c>
      <c r="E499" s="6">
        <v>2001</v>
      </c>
      <c r="F499" s="6">
        <v>3</v>
      </c>
      <c r="G499" s="6">
        <v>2</v>
      </c>
      <c r="H499" s="6">
        <v>11</v>
      </c>
      <c r="K499" s="6">
        <v>127</v>
      </c>
      <c r="M499" s="13">
        <v>45782</v>
      </c>
      <c r="O499">
        <v>125</v>
      </c>
    </row>
    <row r="500" spans="1:15" x14ac:dyDescent="0.25">
      <c r="A500" t="s">
        <v>34</v>
      </c>
      <c r="D500" s="6" t="s">
        <v>39</v>
      </c>
      <c r="E500" s="6">
        <v>2001</v>
      </c>
      <c r="F500" s="6">
        <v>3</v>
      </c>
      <c r="G500" s="6">
        <v>2</v>
      </c>
      <c r="H500" s="6">
        <v>11</v>
      </c>
      <c r="K500" s="6">
        <v>127</v>
      </c>
      <c r="M500" s="13">
        <v>45793</v>
      </c>
      <c r="N500">
        <v>0</v>
      </c>
      <c r="O500">
        <v>136</v>
      </c>
    </row>
    <row r="501" spans="1:15" x14ac:dyDescent="0.25">
      <c r="A501" t="s">
        <v>34</v>
      </c>
      <c r="D501" s="6" t="s">
        <v>39</v>
      </c>
      <c r="E501" s="6">
        <v>2001</v>
      </c>
      <c r="F501" s="6">
        <v>3</v>
      </c>
      <c r="G501" s="6">
        <v>2</v>
      </c>
      <c r="H501" s="6">
        <v>11</v>
      </c>
      <c r="K501" s="6">
        <v>127</v>
      </c>
      <c r="M501" s="13">
        <v>45796</v>
      </c>
      <c r="N501">
        <v>0</v>
      </c>
      <c r="O501">
        <v>139</v>
      </c>
    </row>
    <row r="502" spans="1:15" x14ac:dyDescent="0.25">
      <c r="A502" t="s">
        <v>34</v>
      </c>
      <c r="D502" s="6" t="s">
        <v>39</v>
      </c>
      <c r="E502" s="6">
        <v>2001</v>
      </c>
      <c r="F502" s="6">
        <v>3</v>
      </c>
      <c r="G502" s="6">
        <v>2</v>
      </c>
      <c r="H502" s="6">
        <v>11</v>
      </c>
      <c r="K502" s="6">
        <v>127</v>
      </c>
      <c r="M502" s="13">
        <v>45800</v>
      </c>
      <c r="N502">
        <v>14</v>
      </c>
      <c r="O502">
        <v>143</v>
      </c>
    </row>
    <row r="503" spans="1:15" x14ac:dyDescent="0.25">
      <c r="A503" t="s">
        <v>34</v>
      </c>
      <c r="D503" s="6" t="s">
        <v>39</v>
      </c>
      <c r="E503" s="6">
        <v>2001</v>
      </c>
      <c r="F503" s="6">
        <v>3</v>
      </c>
      <c r="G503" s="6">
        <v>2</v>
      </c>
      <c r="H503" s="6">
        <v>11</v>
      </c>
      <c r="K503" s="6">
        <v>127</v>
      </c>
      <c r="M503" s="13">
        <v>45804</v>
      </c>
      <c r="N503">
        <v>40</v>
      </c>
      <c r="O503">
        <v>147</v>
      </c>
    </row>
    <row r="504" spans="1:15" x14ac:dyDescent="0.25">
      <c r="A504" t="s">
        <v>34</v>
      </c>
      <c r="D504" s="6" t="s">
        <v>39</v>
      </c>
      <c r="E504" s="6">
        <v>2001</v>
      </c>
      <c r="F504" s="6">
        <v>3</v>
      </c>
      <c r="G504" s="6">
        <v>2</v>
      </c>
      <c r="H504" s="6">
        <v>11</v>
      </c>
      <c r="K504" s="6">
        <v>127</v>
      </c>
      <c r="M504" s="13">
        <v>45807</v>
      </c>
      <c r="N504">
        <v>40</v>
      </c>
      <c r="O504">
        <v>150</v>
      </c>
    </row>
    <row r="505" spans="1:15" x14ac:dyDescent="0.25">
      <c r="A505" t="s">
        <v>34</v>
      </c>
      <c r="D505" s="6" t="s">
        <v>39</v>
      </c>
      <c r="E505" s="6">
        <v>2001</v>
      </c>
      <c r="F505" s="6">
        <v>3</v>
      </c>
      <c r="G505" s="6">
        <v>2</v>
      </c>
      <c r="H505" s="6">
        <v>11</v>
      </c>
      <c r="K505" s="6">
        <v>127</v>
      </c>
      <c r="M505" s="13">
        <v>45810</v>
      </c>
      <c r="N505">
        <v>40</v>
      </c>
      <c r="O505">
        <v>153</v>
      </c>
    </row>
    <row r="506" spans="1:15" x14ac:dyDescent="0.25">
      <c r="A506" t="s">
        <v>34</v>
      </c>
      <c r="D506" s="6" t="s">
        <v>43</v>
      </c>
      <c r="E506" s="6">
        <v>2020</v>
      </c>
      <c r="F506" s="6">
        <v>3</v>
      </c>
      <c r="G506" s="6">
        <v>3</v>
      </c>
      <c r="H506" s="6">
        <v>11</v>
      </c>
      <c r="K506" s="6">
        <v>143</v>
      </c>
      <c r="M506" s="13">
        <v>45769</v>
      </c>
      <c r="O506">
        <v>112</v>
      </c>
    </row>
    <row r="507" spans="1:15" x14ac:dyDescent="0.25">
      <c r="A507" t="s">
        <v>34</v>
      </c>
      <c r="D507" s="6" t="s">
        <v>43</v>
      </c>
      <c r="E507" s="6">
        <v>2020</v>
      </c>
      <c r="F507" s="6">
        <v>3</v>
      </c>
      <c r="G507" s="6">
        <v>3</v>
      </c>
      <c r="H507" s="6">
        <v>11</v>
      </c>
      <c r="K507" s="6">
        <v>143</v>
      </c>
      <c r="M507" s="13">
        <v>45771</v>
      </c>
      <c r="O507">
        <v>114</v>
      </c>
    </row>
    <row r="508" spans="1:15" x14ac:dyDescent="0.25">
      <c r="A508" t="s">
        <v>34</v>
      </c>
      <c r="D508" s="6" t="s">
        <v>43</v>
      </c>
      <c r="E508" s="6">
        <v>2020</v>
      </c>
      <c r="F508" s="6">
        <v>3</v>
      </c>
      <c r="G508" s="6">
        <v>3</v>
      </c>
      <c r="H508" s="6">
        <v>11</v>
      </c>
      <c r="K508" s="6">
        <v>143</v>
      </c>
      <c r="M508" s="13">
        <v>45772</v>
      </c>
      <c r="O508">
        <v>115</v>
      </c>
    </row>
    <row r="509" spans="1:15" x14ac:dyDescent="0.25">
      <c r="A509" t="s">
        <v>34</v>
      </c>
      <c r="D509" s="6" t="s">
        <v>43</v>
      </c>
      <c r="E509" s="6">
        <v>2020</v>
      </c>
      <c r="F509" s="6">
        <v>3</v>
      </c>
      <c r="G509" s="6">
        <v>3</v>
      </c>
      <c r="H509" s="6">
        <v>11</v>
      </c>
      <c r="K509" s="6">
        <v>143</v>
      </c>
      <c r="M509" s="13">
        <v>45775</v>
      </c>
      <c r="O509">
        <v>118</v>
      </c>
    </row>
    <row r="510" spans="1:15" x14ac:dyDescent="0.25">
      <c r="A510" t="s">
        <v>34</v>
      </c>
      <c r="D510" s="6" t="s">
        <v>43</v>
      </c>
      <c r="E510" s="6">
        <v>2020</v>
      </c>
      <c r="F510" s="6">
        <v>3</v>
      </c>
      <c r="G510" s="6">
        <v>3</v>
      </c>
      <c r="H510" s="6">
        <v>11</v>
      </c>
      <c r="K510" s="6">
        <v>143</v>
      </c>
      <c r="M510" s="13">
        <v>45778</v>
      </c>
      <c r="O510">
        <v>121</v>
      </c>
    </row>
    <row r="511" spans="1:15" x14ac:dyDescent="0.25">
      <c r="A511" t="s">
        <v>34</v>
      </c>
      <c r="D511" s="6" t="s">
        <v>43</v>
      </c>
      <c r="E511" s="6">
        <v>2020</v>
      </c>
      <c r="F511" s="6">
        <v>3</v>
      </c>
      <c r="G511" s="6">
        <v>3</v>
      </c>
      <c r="H511" s="6">
        <v>11</v>
      </c>
      <c r="K511" s="6">
        <v>143</v>
      </c>
      <c r="M511" s="13">
        <v>45782</v>
      </c>
      <c r="O511">
        <v>125</v>
      </c>
    </row>
    <row r="512" spans="1:15" x14ac:dyDescent="0.25">
      <c r="A512" t="s">
        <v>34</v>
      </c>
      <c r="D512" s="6" t="s">
        <v>43</v>
      </c>
      <c r="E512" s="6">
        <v>2020</v>
      </c>
      <c r="F512" s="6">
        <v>3</v>
      </c>
      <c r="G512" s="6">
        <v>3</v>
      </c>
      <c r="H512" s="6">
        <v>11</v>
      </c>
      <c r="K512" s="6">
        <v>143</v>
      </c>
      <c r="M512" s="13">
        <v>45793</v>
      </c>
      <c r="N512">
        <v>0</v>
      </c>
      <c r="O512">
        <v>136</v>
      </c>
    </row>
    <row r="513" spans="1:15" x14ac:dyDescent="0.25">
      <c r="A513" t="s">
        <v>34</v>
      </c>
      <c r="D513" s="6" t="s">
        <v>43</v>
      </c>
      <c r="E513" s="6">
        <v>2020</v>
      </c>
      <c r="F513" s="6">
        <v>3</v>
      </c>
      <c r="G513" s="6">
        <v>3</v>
      </c>
      <c r="H513" s="6">
        <v>11</v>
      </c>
      <c r="K513" s="6">
        <v>143</v>
      </c>
      <c r="M513" s="13">
        <v>45796</v>
      </c>
      <c r="N513">
        <v>0</v>
      </c>
      <c r="O513">
        <v>139</v>
      </c>
    </row>
    <row r="514" spans="1:15" x14ac:dyDescent="0.25">
      <c r="A514" t="s">
        <v>34</v>
      </c>
      <c r="D514" s="6" t="s">
        <v>43</v>
      </c>
      <c r="E514" s="6">
        <v>2020</v>
      </c>
      <c r="F514" s="6">
        <v>3</v>
      </c>
      <c r="G514" s="6">
        <v>3</v>
      </c>
      <c r="H514" s="6">
        <v>11</v>
      </c>
      <c r="K514" s="6">
        <v>143</v>
      </c>
      <c r="M514" s="13">
        <v>45800</v>
      </c>
      <c r="N514">
        <v>12</v>
      </c>
      <c r="O514">
        <v>143</v>
      </c>
    </row>
    <row r="515" spans="1:15" x14ac:dyDescent="0.25">
      <c r="A515" t="s">
        <v>34</v>
      </c>
      <c r="D515" s="6" t="s">
        <v>43</v>
      </c>
      <c r="E515" s="6">
        <v>2020</v>
      </c>
      <c r="F515" s="6">
        <v>3</v>
      </c>
      <c r="G515" s="6">
        <v>3</v>
      </c>
      <c r="H515" s="6">
        <v>11</v>
      </c>
      <c r="K515" s="6">
        <v>143</v>
      </c>
      <c r="M515" s="13">
        <v>45804</v>
      </c>
      <c r="N515">
        <v>43</v>
      </c>
      <c r="O515">
        <v>147</v>
      </c>
    </row>
    <row r="516" spans="1:15" x14ac:dyDescent="0.25">
      <c r="A516" t="s">
        <v>34</v>
      </c>
      <c r="D516" s="6" t="s">
        <v>43</v>
      </c>
      <c r="E516" s="6">
        <v>2020</v>
      </c>
      <c r="F516" s="6">
        <v>3</v>
      </c>
      <c r="G516" s="6">
        <v>3</v>
      </c>
      <c r="H516" s="6">
        <v>11</v>
      </c>
      <c r="K516" s="6">
        <v>143</v>
      </c>
      <c r="M516" s="13">
        <v>45807</v>
      </c>
      <c r="N516">
        <v>45</v>
      </c>
      <c r="O516">
        <v>150</v>
      </c>
    </row>
    <row r="517" spans="1:15" x14ac:dyDescent="0.25">
      <c r="A517" t="s">
        <v>34</v>
      </c>
      <c r="D517" s="6" t="s">
        <v>43</v>
      </c>
      <c r="E517" s="6">
        <v>2020</v>
      </c>
      <c r="F517" s="6">
        <v>3</v>
      </c>
      <c r="G517" s="6">
        <v>3</v>
      </c>
      <c r="H517" s="6">
        <v>11</v>
      </c>
      <c r="K517" s="6">
        <v>143</v>
      </c>
      <c r="M517" s="13">
        <v>45810</v>
      </c>
      <c r="N517">
        <v>45</v>
      </c>
      <c r="O517">
        <v>153</v>
      </c>
    </row>
    <row r="518" spans="1:15" x14ac:dyDescent="0.25">
      <c r="A518" t="s">
        <v>34</v>
      </c>
      <c r="D518" s="6" t="s">
        <v>41</v>
      </c>
      <c r="E518" s="6">
        <v>2008</v>
      </c>
      <c r="F518" s="6">
        <v>3</v>
      </c>
      <c r="G518" s="6">
        <v>4</v>
      </c>
      <c r="H518" s="6">
        <v>11</v>
      </c>
      <c r="K518" s="6">
        <v>159</v>
      </c>
      <c r="M518" s="13">
        <v>45769</v>
      </c>
      <c r="O518">
        <v>112</v>
      </c>
    </row>
    <row r="519" spans="1:15" x14ac:dyDescent="0.25">
      <c r="A519" t="s">
        <v>34</v>
      </c>
      <c r="D519" s="6" t="s">
        <v>41</v>
      </c>
      <c r="E519" s="6">
        <v>2008</v>
      </c>
      <c r="F519" s="6">
        <v>3</v>
      </c>
      <c r="G519" s="6">
        <v>4</v>
      </c>
      <c r="H519" s="6">
        <v>11</v>
      </c>
      <c r="K519" s="6">
        <v>159</v>
      </c>
      <c r="M519" s="13">
        <v>45771</v>
      </c>
      <c r="O519">
        <v>114</v>
      </c>
    </row>
    <row r="520" spans="1:15" x14ac:dyDescent="0.25">
      <c r="A520" t="s">
        <v>34</v>
      </c>
      <c r="D520" s="6" t="s">
        <v>41</v>
      </c>
      <c r="E520" s="6">
        <v>2008</v>
      </c>
      <c r="F520" s="6">
        <v>3</v>
      </c>
      <c r="G520" s="6">
        <v>4</v>
      </c>
      <c r="H520" s="6">
        <v>11</v>
      </c>
      <c r="K520" s="6">
        <v>159</v>
      </c>
      <c r="M520" s="13">
        <v>45772</v>
      </c>
      <c r="O520">
        <v>115</v>
      </c>
    </row>
    <row r="521" spans="1:15" x14ac:dyDescent="0.25">
      <c r="A521" t="s">
        <v>34</v>
      </c>
      <c r="D521" s="6" t="s">
        <v>41</v>
      </c>
      <c r="E521" s="6">
        <v>2008</v>
      </c>
      <c r="F521" s="6">
        <v>3</v>
      </c>
      <c r="G521" s="6">
        <v>4</v>
      </c>
      <c r="H521" s="6">
        <v>11</v>
      </c>
      <c r="K521" s="6">
        <v>159</v>
      </c>
      <c r="M521" s="13">
        <v>45775</v>
      </c>
      <c r="O521">
        <v>118</v>
      </c>
    </row>
    <row r="522" spans="1:15" x14ac:dyDescent="0.25">
      <c r="A522" t="s">
        <v>34</v>
      </c>
      <c r="D522" s="6" t="s">
        <v>41</v>
      </c>
      <c r="E522" s="6">
        <v>2008</v>
      </c>
      <c r="F522" s="6">
        <v>3</v>
      </c>
      <c r="G522" s="6">
        <v>4</v>
      </c>
      <c r="H522" s="6">
        <v>11</v>
      </c>
      <c r="K522" s="6">
        <v>159</v>
      </c>
      <c r="M522" s="13">
        <v>45778</v>
      </c>
      <c r="O522">
        <v>121</v>
      </c>
    </row>
    <row r="523" spans="1:15" x14ac:dyDescent="0.25">
      <c r="A523" t="s">
        <v>34</v>
      </c>
      <c r="D523" s="6" t="s">
        <v>41</v>
      </c>
      <c r="E523" s="6">
        <v>2008</v>
      </c>
      <c r="F523" s="6">
        <v>3</v>
      </c>
      <c r="G523" s="6">
        <v>4</v>
      </c>
      <c r="H523" s="6">
        <v>11</v>
      </c>
      <c r="K523" s="6">
        <v>159</v>
      </c>
      <c r="M523" s="13">
        <v>45782</v>
      </c>
      <c r="O523">
        <v>125</v>
      </c>
    </row>
    <row r="524" spans="1:15" x14ac:dyDescent="0.25">
      <c r="A524" t="s">
        <v>34</v>
      </c>
      <c r="D524" s="6" t="s">
        <v>41</v>
      </c>
      <c r="E524" s="6">
        <v>2008</v>
      </c>
      <c r="F524" s="6">
        <v>3</v>
      </c>
      <c r="G524" s="6">
        <v>4</v>
      </c>
      <c r="H524" s="6">
        <v>11</v>
      </c>
      <c r="K524" s="6">
        <v>159</v>
      </c>
      <c r="M524" s="13">
        <v>45793</v>
      </c>
      <c r="N524">
        <v>0</v>
      </c>
      <c r="O524">
        <v>136</v>
      </c>
    </row>
    <row r="525" spans="1:15" x14ac:dyDescent="0.25">
      <c r="A525" t="s">
        <v>34</v>
      </c>
      <c r="D525" s="6" t="s">
        <v>41</v>
      </c>
      <c r="E525" s="6">
        <v>2008</v>
      </c>
      <c r="F525" s="6">
        <v>3</v>
      </c>
      <c r="G525" s="6">
        <v>4</v>
      </c>
      <c r="H525" s="6">
        <v>11</v>
      </c>
      <c r="K525" s="6">
        <v>159</v>
      </c>
      <c r="M525" s="13">
        <v>45796</v>
      </c>
      <c r="N525">
        <v>0</v>
      </c>
      <c r="O525">
        <v>139</v>
      </c>
    </row>
    <row r="526" spans="1:15" x14ac:dyDescent="0.25">
      <c r="A526" t="s">
        <v>34</v>
      </c>
      <c r="D526" s="6" t="s">
        <v>41</v>
      </c>
      <c r="E526" s="6">
        <v>2008</v>
      </c>
      <c r="F526" s="6">
        <v>3</v>
      </c>
      <c r="G526" s="6">
        <v>4</v>
      </c>
      <c r="H526" s="6">
        <v>11</v>
      </c>
      <c r="K526" s="6">
        <v>159</v>
      </c>
      <c r="M526" s="13">
        <v>45800</v>
      </c>
      <c r="N526">
        <v>10</v>
      </c>
      <c r="O526">
        <v>143</v>
      </c>
    </row>
    <row r="527" spans="1:15" x14ac:dyDescent="0.25">
      <c r="A527" t="s">
        <v>34</v>
      </c>
      <c r="D527" s="6" t="s">
        <v>41</v>
      </c>
      <c r="E527" s="6">
        <v>2008</v>
      </c>
      <c r="F527" s="6">
        <v>3</v>
      </c>
      <c r="G527" s="6">
        <v>4</v>
      </c>
      <c r="H527" s="6">
        <v>11</v>
      </c>
      <c r="K527" s="6">
        <v>159</v>
      </c>
      <c r="M527" s="13">
        <v>45804</v>
      </c>
      <c r="N527">
        <v>39</v>
      </c>
      <c r="O527">
        <v>147</v>
      </c>
    </row>
    <row r="528" spans="1:15" x14ac:dyDescent="0.25">
      <c r="A528" t="s">
        <v>34</v>
      </c>
      <c r="D528" s="6" t="s">
        <v>41</v>
      </c>
      <c r="E528" s="6">
        <v>2008</v>
      </c>
      <c r="F528" s="6">
        <v>3</v>
      </c>
      <c r="G528" s="6">
        <v>4</v>
      </c>
      <c r="H528" s="6">
        <v>11</v>
      </c>
      <c r="K528" s="6">
        <v>159</v>
      </c>
      <c r="M528" s="13">
        <v>45807</v>
      </c>
      <c r="N528">
        <v>39</v>
      </c>
      <c r="O528">
        <v>150</v>
      </c>
    </row>
    <row r="529" spans="1:15" x14ac:dyDescent="0.25">
      <c r="A529" t="s">
        <v>34</v>
      </c>
      <c r="D529" s="6" t="s">
        <v>41</v>
      </c>
      <c r="E529" s="6">
        <v>2008</v>
      </c>
      <c r="F529" s="6">
        <v>3</v>
      </c>
      <c r="G529" s="6">
        <v>4</v>
      </c>
      <c r="H529" s="6">
        <v>11</v>
      </c>
      <c r="K529" s="6">
        <v>159</v>
      </c>
      <c r="M529" s="13">
        <v>45810</v>
      </c>
      <c r="N529">
        <v>39</v>
      </c>
      <c r="O529">
        <v>153</v>
      </c>
    </row>
    <row r="530" spans="1:15" x14ac:dyDescent="0.25">
      <c r="A530" t="s">
        <v>34</v>
      </c>
      <c r="D530" s="6" t="s">
        <v>38</v>
      </c>
      <c r="E530" s="6">
        <v>1999</v>
      </c>
      <c r="F530" s="6">
        <v>3</v>
      </c>
      <c r="G530" s="6">
        <v>1</v>
      </c>
      <c r="H530" s="6">
        <v>12</v>
      </c>
      <c r="K530" s="6">
        <v>112</v>
      </c>
      <c r="M530" s="13">
        <v>45769</v>
      </c>
      <c r="O530">
        <v>112</v>
      </c>
    </row>
    <row r="531" spans="1:15" x14ac:dyDescent="0.25">
      <c r="A531" t="s">
        <v>34</v>
      </c>
      <c r="D531" s="6" t="s">
        <v>38</v>
      </c>
      <c r="E531" s="6">
        <v>1999</v>
      </c>
      <c r="F531" s="6">
        <v>3</v>
      </c>
      <c r="G531" s="6">
        <v>1</v>
      </c>
      <c r="H531" s="6">
        <v>12</v>
      </c>
      <c r="K531" s="6">
        <v>112</v>
      </c>
      <c r="M531" s="13">
        <v>45771</v>
      </c>
      <c r="O531">
        <v>114</v>
      </c>
    </row>
    <row r="532" spans="1:15" x14ac:dyDescent="0.25">
      <c r="A532" t="s">
        <v>34</v>
      </c>
      <c r="D532" s="6" t="s">
        <v>38</v>
      </c>
      <c r="E532" s="6">
        <v>1999</v>
      </c>
      <c r="F532" s="6">
        <v>3</v>
      </c>
      <c r="G532" s="6">
        <v>1</v>
      </c>
      <c r="H532" s="6">
        <v>12</v>
      </c>
      <c r="K532" s="6">
        <v>112</v>
      </c>
      <c r="M532" s="13">
        <v>45772</v>
      </c>
      <c r="O532">
        <v>115</v>
      </c>
    </row>
    <row r="533" spans="1:15" x14ac:dyDescent="0.25">
      <c r="A533" t="s">
        <v>34</v>
      </c>
      <c r="D533" s="6" t="s">
        <v>38</v>
      </c>
      <c r="E533" s="6">
        <v>1999</v>
      </c>
      <c r="F533" s="6">
        <v>3</v>
      </c>
      <c r="G533" s="6">
        <v>1</v>
      </c>
      <c r="H533" s="6">
        <v>12</v>
      </c>
      <c r="K533" s="6">
        <v>112</v>
      </c>
      <c r="M533" s="13">
        <v>45775</v>
      </c>
      <c r="O533">
        <v>118</v>
      </c>
    </row>
    <row r="534" spans="1:15" x14ac:dyDescent="0.25">
      <c r="A534" t="s">
        <v>34</v>
      </c>
      <c r="D534" s="6" t="s">
        <v>38</v>
      </c>
      <c r="E534" s="6">
        <v>1999</v>
      </c>
      <c r="F534" s="6">
        <v>3</v>
      </c>
      <c r="G534" s="6">
        <v>1</v>
      </c>
      <c r="H534" s="6">
        <v>12</v>
      </c>
      <c r="K534" s="6">
        <v>112</v>
      </c>
      <c r="M534" s="13">
        <v>45778</v>
      </c>
      <c r="O534">
        <v>121</v>
      </c>
    </row>
    <row r="535" spans="1:15" x14ac:dyDescent="0.25">
      <c r="A535" t="s">
        <v>34</v>
      </c>
      <c r="D535" s="6" t="s">
        <v>38</v>
      </c>
      <c r="E535" s="6">
        <v>1999</v>
      </c>
      <c r="F535" s="6">
        <v>3</v>
      </c>
      <c r="G535" s="6">
        <v>1</v>
      </c>
      <c r="H535" s="6">
        <v>12</v>
      </c>
      <c r="K535" s="6">
        <v>112</v>
      </c>
      <c r="M535" s="13">
        <v>45782</v>
      </c>
      <c r="O535">
        <v>125</v>
      </c>
    </row>
    <row r="536" spans="1:15" x14ac:dyDescent="0.25">
      <c r="A536" t="s">
        <v>34</v>
      </c>
      <c r="D536" s="6" t="s">
        <v>38</v>
      </c>
      <c r="E536" s="6">
        <v>1999</v>
      </c>
      <c r="F536" s="6">
        <v>3</v>
      </c>
      <c r="G536" s="6">
        <v>1</v>
      </c>
      <c r="H536" s="6">
        <v>12</v>
      </c>
      <c r="K536" s="6">
        <v>112</v>
      </c>
      <c r="M536" s="13">
        <v>45793</v>
      </c>
      <c r="N536">
        <v>0</v>
      </c>
      <c r="O536">
        <v>136</v>
      </c>
    </row>
    <row r="537" spans="1:15" x14ac:dyDescent="0.25">
      <c r="A537" t="s">
        <v>34</v>
      </c>
      <c r="D537" s="6" t="s">
        <v>38</v>
      </c>
      <c r="E537" s="6">
        <v>1999</v>
      </c>
      <c r="F537" s="6">
        <v>3</v>
      </c>
      <c r="G537" s="6">
        <v>1</v>
      </c>
      <c r="H537" s="6">
        <v>12</v>
      </c>
      <c r="K537" s="6">
        <v>112</v>
      </c>
      <c r="M537" s="13">
        <v>45796</v>
      </c>
      <c r="N537">
        <v>0</v>
      </c>
      <c r="O537">
        <v>139</v>
      </c>
    </row>
    <row r="538" spans="1:15" x14ac:dyDescent="0.25">
      <c r="A538" t="s">
        <v>34</v>
      </c>
      <c r="D538" s="6" t="s">
        <v>38</v>
      </c>
      <c r="E538" s="6">
        <v>1999</v>
      </c>
      <c r="F538" s="6">
        <v>3</v>
      </c>
      <c r="G538" s="6">
        <v>1</v>
      </c>
      <c r="H538" s="6">
        <v>12</v>
      </c>
      <c r="K538" s="6">
        <v>112</v>
      </c>
      <c r="M538" s="13">
        <v>45800</v>
      </c>
      <c r="N538">
        <v>45</v>
      </c>
      <c r="O538">
        <v>143</v>
      </c>
    </row>
    <row r="539" spans="1:15" x14ac:dyDescent="0.25">
      <c r="A539" t="s">
        <v>34</v>
      </c>
      <c r="D539" s="6" t="s">
        <v>38</v>
      </c>
      <c r="E539" s="6">
        <v>1999</v>
      </c>
      <c r="F539" s="6">
        <v>3</v>
      </c>
      <c r="G539" s="6">
        <v>1</v>
      </c>
      <c r="H539" s="6">
        <v>12</v>
      </c>
      <c r="K539" s="6">
        <v>112</v>
      </c>
      <c r="M539" s="13">
        <v>45804</v>
      </c>
      <c r="N539">
        <v>52</v>
      </c>
      <c r="O539">
        <v>147</v>
      </c>
    </row>
    <row r="540" spans="1:15" x14ac:dyDescent="0.25">
      <c r="A540" t="s">
        <v>34</v>
      </c>
      <c r="D540" s="6" t="s">
        <v>38</v>
      </c>
      <c r="E540" s="6">
        <v>1999</v>
      </c>
      <c r="F540" s="6">
        <v>3</v>
      </c>
      <c r="G540" s="6">
        <v>1</v>
      </c>
      <c r="H540" s="6">
        <v>12</v>
      </c>
      <c r="K540" s="6">
        <v>112</v>
      </c>
      <c r="M540" s="13">
        <v>45807</v>
      </c>
      <c r="N540">
        <v>52</v>
      </c>
      <c r="O540">
        <v>150</v>
      </c>
    </row>
    <row r="541" spans="1:15" x14ac:dyDescent="0.25">
      <c r="A541" t="s">
        <v>34</v>
      </c>
      <c r="D541" s="6" t="s">
        <v>38</v>
      </c>
      <c r="E541" s="6">
        <v>1999</v>
      </c>
      <c r="F541" s="6">
        <v>3</v>
      </c>
      <c r="G541" s="6">
        <v>1</v>
      </c>
      <c r="H541" s="6">
        <v>12</v>
      </c>
      <c r="K541" s="6">
        <v>112</v>
      </c>
      <c r="M541" s="13">
        <v>45810</v>
      </c>
      <c r="N541">
        <v>52</v>
      </c>
      <c r="O541">
        <v>153</v>
      </c>
    </row>
    <row r="542" spans="1:15" x14ac:dyDescent="0.25">
      <c r="A542" t="s">
        <v>34</v>
      </c>
      <c r="D542" s="6" t="s">
        <v>36</v>
      </c>
      <c r="E542" s="6">
        <v>1984</v>
      </c>
      <c r="F542" s="6">
        <v>3</v>
      </c>
      <c r="G542" s="6">
        <v>2</v>
      </c>
      <c r="H542" s="6">
        <v>12</v>
      </c>
      <c r="K542" s="6">
        <v>128</v>
      </c>
      <c r="M542" s="13">
        <v>45769</v>
      </c>
      <c r="O542">
        <v>112</v>
      </c>
    </row>
    <row r="543" spans="1:15" x14ac:dyDescent="0.25">
      <c r="A543" t="s">
        <v>34</v>
      </c>
      <c r="D543" s="6" t="s">
        <v>36</v>
      </c>
      <c r="E543" s="6">
        <v>1984</v>
      </c>
      <c r="F543" s="6">
        <v>3</v>
      </c>
      <c r="G543" s="6">
        <v>2</v>
      </c>
      <c r="H543" s="6">
        <v>12</v>
      </c>
      <c r="K543" s="6">
        <v>128</v>
      </c>
      <c r="M543" s="13">
        <v>45771</v>
      </c>
      <c r="O543">
        <v>114</v>
      </c>
    </row>
    <row r="544" spans="1:15" x14ac:dyDescent="0.25">
      <c r="A544" t="s">
        <v>34</v>
      </c>
      <c r="D544" s="6" t="s">
        <v>36</v>
      </c>
      <c r="E544" s="6">
        <v>1984</v>
      </c>
      <c r="F544" s="6">
        <v>3</v>
      </c>
      <c r="G544" s="6">
        <v>2</v>
      </c>
      <c r="H544" s="6">
        <v>12</v>
      </c>
      <c r="K544" s="6">
        <v>128</v>
      </c>
      <c r="M544" s="13">
        <v>45772</v>
      </c>
      <c r="O544">
        <v>115</v>
      </c>
    </row>
    <row r="545" spans="1:15" x14ac:dyDescent="0.25">
      <c r="A545" t="s">
        <v>34</v>
      </c>
      <c r="D545" s="6" t="s">
        <v>36</v>
      </c>
      <c r="E545" s="6">
        <v>1984</v>
      </c>
      <c r="F545" s="6">
        <v>3</v>
      </c>
      <c r="G545" s="6">
        <v>2</v>
      </c>
      <c r="H545" s="6">
        <v>12</v>
      </c>
      <c r="K545" s="6">
        <v>128</v>
      </c>
      <c r="M545" s="13">
        <v>45775</v>
      </c>
      <c r="O545">
        <v>118</v>
      </c>
    </row>
    <row r="546" spans="1:15" x14ac:dyDescent="0.25">
      <c r="A546" t="s">
        <v>34</v>
      </c>
      <c r="D546" s="6" t="s">
        <v>36</v>
      </c>
      <c r="E546" s="6">
        <v>1984</v>
      </c>
      <c r="F546" s="6">
        <v>3</v>
      </c>
      <c r="G546" s="6">
        <v>2</v>
      </c>
      <c r="H546" s="6">
        <v>12</v>
      </c>
      <c r="K546" s="6">
        <v>128</v>
      </c>
      <c r="M546" s="13">
        <v>45778</v>
      </c>
      <c r="O546">
        <v>121</v>
      </c>
    </row>
    <row r="547" spans="1:15" x14ac:dyDescent="0.25">
      <c r="A547" t="s">
        <v>34</v>
      </c>
      <c r="D547" s="6" t="s">
        <v>36</v>
      </c>
      <c r="E547" s="6">
        <v>1984</v>
      </c>
      <c r="F547" s="6">
        <v>3</v>
      </c>
      <c r="G547" s="6">
        <v>2</v>
      </c>
      <c r="H547" s="6">
        <v>12</v>
      </c>
      <c r="K547" s="6">
        <v>128</v>
      </c>
      <c r="M547" s="13">
        <v>45782</v>
      </c>
      <c r="O547">
        <v>125</v>
      </c>
    </row>
    <row r="548" spans="1:15" x14ac:dyDescent="0.25">
      <c r="A548" t="s">
        <v>34</v>
      </c>
      <c r="D548" s="6" t="s">
        <v>36</v>
      </c>
      <c r="E548" s="6">
        <v>1984</v>
      </c>
      <c r="F548" s="6">
        <v>3</v>
      </c>
      <c r="G548" s="6">
        <v>2</v>
      </c>
      <c r="H548" s="6">
        <v>12</v>
      </c>
      <c r="K548" s="6">
        <v>128</v>
      </c>
      <c r="M548" s="13">
        <v>45793</v>
      </c>
      <c r="N548">
        <v>0</v>
      </c>
      <c r="O548">
        <v>136</v>
      </c>
    </row>
    <row r="549" spans="1:15" x14ac:dyDescent="0.25">
      <c r="A549" t="s">
        <v>34</v>
      </c>
      <c r="D549" s="6" t="s">
        <v>36</v>
      </c>
      <c r="E549" s="6">
        <v>1984</v>
      </c>
      <c r="F549" s="6">
        <v>3</v>
      </c>
      <c r="G549" s="6">
        <v>2</v>
      </c>
      <c r="H549" s="6">
        <v>12</v>
      </c>
      <c r="K549" s="6">
        <v>128</v>
      </c>
      <c r="M549" s="13">
        <v>45796</v>
      </c>
      <c r="N549">
        <v>0</v>
      </c>
      <c r="O549">
        <v>139</v>
      </c>
    </row>
    <row r="550" spans="1:15" x14ac:dyDescent="0.25">
      <c r="A550" t="s">
        <v>34</v>
      </c>
      <c r="D550" s="6" t="s">
        <v>36</v>
      </c>
      <c r="E550" s="6">
        <v>1984</v>
      </c>
      <c r="F550" s="6">
        <v>3</v>
      </c>
      <c r="G550" s="6">
        <v>2</v>
      </c>
      <c r="H550" s="6">
        <v>12</v>
      </c>
      <c r="K550" s="6">
        <v>128</v>
      </c>
      <c r="M550" s="13">
        <v>45800</v>
      </c>
      <c r="N550">
        <v>36</v>
      </c>
      <c r="O550">
        <v>143</v>
      </c>
    </row>
    <row r="551" spans="1:15" x14ac:dyDescent="0.25">
      <c r="A551" t="s">
        <v>34</v>
      </c>
      <c r="D551" s="6" t="s">
        <v>36</v>
      </c>
      <c r="E551" s="6">
        <v>1984</v>
      </c>
      <c r="F551" s="6">
        <v>3</v>
      </c>
      <c r="G551" s="6">
        <v>2</v>
      </c>
      <c r="H551" s="6">
        <v>12</v>
      </c>
      <c r="K551" s="6">
        <v>128</v>
      </c>
      <c r="M551" s="13">
        <v>45804</v>
      </c>
      <c r="N551">
        <v>39</v>
      </c>
      <c r="O551">
        <v>147</v>
      </c>
    </row>
    <row r="552" spans="1:15" x14ac:dyDescent="0.25">
      <c r="A552" t="s">
        <v>34</v>
      </c>
      <c r="D552" s="6" t="s">
        <v>36</v>
      </c>
      <c r="E552" s="6">
        <v>1984</v>
      </c>
      <c r="F552" s="6">
        <v>3</v>
      </c>
      <c r="G552" s="6">
        <v>2</v>
      </c>
      <c r="H552" s="6">
        <v>12</v>
      </c>
      <c r="K552" s="6">
        <v>128</v>
      </c>
      <c r="M552" s="13">
        <v>45807</v>
      </c>
      <c r="N552">
        <v>39</v>
      </c>
      <c r="O552">
        <v>150</v>
      </c>
    </row>
    <row r="553" spans="1:15" x14ac:dyDescent="0.25">
      <c r="A553" t="s">
        <v>34</v>
      </c>
      <c r="D553" s="6" t="s">
        <v>36</v>
      </c>
      <c r="E553" s="6">
        <v>1984</v>
      </c>
      <c r="F553" s="6">
        <v>3</v>
      </c>
      <c r="G553" s="6">
        <v>2</v>
      </c>
      <c r="H553" s="6">
        <v>12</v>
      </c>
      <c r="K553" s="6">
        <v>128</v>
      </c>
      <c r="M553" s="13">
        <v>45810</v>
      </c>
      <c r="N553">
        <v>39</v>
      </c>
      <c r="O553">
        <v>153</v>
      </c>
    </row>
    <row r="554" spans="1:15" x14ac:dyDescent="0.25">
      <c r="A554" t="s">
        <v>34</v>
      </c>
      <c r="D554" s="6" t="s">
        <v>318</v>
      </c>
      <c r="E554" s="6">
        <v>2004</v>
      </c>
      <c r="F554" s="6">
        <v>3</v>
      </c>
      <c r="G554" s="6">
        <v>3</v>
      </c>
      <c r="H554" s="6">
        <v>12</v>
      </c>
      <c r="K554" s="6">
        <v>144</v>
      </c>
      <c r="M554" s="13">
        <v>45769</v>
      </c>
      <c r="O554">
        <v>112</v>
      </c>
    </row>
    <row r="555" spans="1:15" x14ac:dyDescent="0.25">
      <c r="A555" t="s">
        <v>34</v>
      </c>
      <c r="D555" s="6" t="s">
        <v>318</v>
      </c>
      <c r="E555" s="6">
        <v>2004</v>
      </c>
      <c r="F555" s="6">
        <v>3</v>
      </c>
      <c r="G555" s="6">
        <v>3</v>
      </c>
      <c r="H555" s="6">
        <v>12</v>
      </c>
      <c r="K555" s="6">
        <v>144</v>
      </c>
      <c r="M555" s="13">
        <v>45771</v>
      </c>
      <c r="O555">
        <v>114</v>
      </c>
    </row>
    <row r="556" spans="1:15" x14ac:dyDescent="0.25">
      <c r="A556" t="s">
        <v>34</v>
      </c>
      <c r="D556" s="6" t="s">
        <v>318</v>
      </c>
      <c r="E556" s="6">
        <v>2004</v>
      </c>
      <c r="F556" s="6">
        <v>3</v>
      </c>
      <c r="G556" s="6">
        <v>3</v>
      </c>
      <c r="H556" s="6">
        <v>12</v>
      </c>
      <c r="K556" s="6">
        <v>144</v>
      </c>
      <c r="M556" s="13">
        <v>45772</v>
      </c>
      <c r="O556">
        <v>115</v>
      </c>
    </row>
    <row r="557" spans="1:15" x14ac:dyDescent="0.25">
      <c r="A557" t="s">
        <v>34</v>
      </c>
      <c r="D557" s="6" t="s">
        <v>318</v>
      </c>
      <c r="E557" s="6">
        <v>2004</v>
      </c>
      <c r="F557" s="6">
        <v>3</v>
      </c>
      <c r="G557" s="6">
        <v>3</v>
      </c>
      <c r="H557" s="6">
        <v>12</v>
      </c>
      <c r="K557" s="6">
        <v>144</v>
      </c>
      <c r="M557" s="13">
        <v>45775</v>
      </c>
      <c r="O557">
        <v>118</v>
      </c>
    </row>
    <row r="558" spans="1:15" x14ac:dyDescent="0.25">
      <c r="A558" t="s">
        <v>34</v>
      </c>
      <c r="D558" s="6" t="s">
        <v>318</v>
      </c>
      <c r="E558" s="6">
        <v>2004</v>
      </c>
      <c r="F558" s="6">
        <v>3</v>
      </c>
      <c r="G558" s="6">
        <v>3</v>
      </c>
      <c r="H558" s="6">
        <v>12</v>
      </c>
      <c r="K558" s="6">
        <v>144</v>
      </c>
      <c r="M558" s="13">
        <v>45778</v>
      </c>
      <c r="O558">
        <v>121</v>
      </c>
    </row>
    <row r="559" spans="1:15" x14ac:dyDescent="0.25">
      <c r="A559" t="s">
        <v>34</v>
      </c>
      <c r="D559" s="6" t="s">
        <v>318</v>
      </c>
      <c r="E559" s="6">
        <v>2004</v>
      </c>
      <c r="F559" s="6">
        <v>3</v>
      </c>
      <c r="G559" s="6">
        <v>3</v>
      </c>
      <c r="H559" s="6">
        <v>12</v>
      </c>
      <c r="K559" s="6">
        <v>144</v>
      </c>
      <c r="M559" s="13">
        <v>45782</v>
      </c>
      <c r="O559">
        <v>125</v>
      </c>
    </row>
    <row r="560" spans="1:15" x14ac:dyDescent="0.25">
      <c r="A560" t="s">
        <v>34</v>
      </c>
      <c r="D560" s="6" t="s">
        <v>318</v>
      </c>
      <c r="E560" s="6">
        <v>2004</v>
      </c>
      <c r="F560" s="6">
        <v>3</v>
      </c>
      <c r="G560" s="6">
        <v>3</v>
      </c>
      <c r="H560" s="6">
        <v>12</v>
      </c>
      <c r="K560" s="6">
        <v>144</v>
      </c>
      <c r="M560" s="13">
        <v>45793</v>
      </c>
      <c r="N560">
        <v>0</v>
      </c>
      <c r="O560">
        <v>136</v>
      </c>
    </row>
    <row r="561" spans="1:15" x14ac:dyDescent="0.25">
      <c r="A561" t="s">
        <v>34</v>
      </c>
      <c r="D561" s="6" t="s">
        <v>318</v>
      </c>
      <c r="E561" s="6">
        <v>2004</v>
      </c>
      <c r="F561" s="6">
        <v>3</v>
      </c>
      <c r="G561" s="6">
        <v>3</v>
      </c>
      <c r="H561" s="6">
        <v>12</v>
      </c>
      <c r="K561" s="6">
        <v>144</v>
      </c>
      <c r="M561" s="13">
        <v>45796</v>
      </c>
      <c r="N561">
        <v>0</v>
      </c>
      <c r="O561">
        <v>139</v>
      </c>
    </row>
    <row r="562" spans="1:15" x14ac:dyDescent="0.25">
      <c r="A562" t="s">
        <v>34</v>
      </c>
      <c r="D562" s="6" t="s">
        <v>318</v>
      </c>
      <c r="E562" s="6">
        <v>2004</v>
      </c>
      <c r="F562" s="6">
        <v>3</v>
      </c>
      <c r="G562" s="6">
        <v>3</v>
      </c>
      <c r="H562" s="6">
        <v>12</v>
      </c>
      <c r="K562" s="6">
        <v>144</v>
      </c>
      <c r="M562" s="13">
        <v>45800</v>
      </c>
      <c r="N562">
        <v>1</v>
      </c>
      <c r="O562">
        <v>143</v>
      </c>
    </row>
    <row r="563" spans="1:15" x14ac:dyDescent="0.25">
      <c r="A563" t="s">
        <v>34</v>
      </c>
      <c r="D563" s="6" t="s">
        <v>318</v>
      </c>
      <c r="E563" s="6">
        <v>2004</v>
      </c>
      <c r="F563" s="6">
        <v>3</v>
      </c>
      <c r="G563" s="6">
        <v>3</v>
      </c>
      <c r="H563" s="6">
        <v>12</v>
      </c>
      <c r="K563" s="6">
        <v>144</v>
      </c>
      <c r="M563" s="13">
        <v>45804</v>
      </c>
      <c r="N563">
        <v>27</v>
      </c>
      <c r="O563">
        <v>147</v>
      </c>
    </row>
    <row r="564" spans="1:15" x14ac:dyDescent="0.25">
      <c r="A564" t="s">
        <v>34</v>
      </c>
      <c r="D564" s="6" t="s">
        <v>318</v>
      </c>
      <c r="E564" s="6">
        <v>2004</v>
      </c>
      <c r="F564" s="6">
        <v>3</v>
      </c>
      <c r="G564" s="6">
        <v>3</v>
      </c>
      <c r="H564" s="6">
        <v>12</v>
      </c>
      <c r="K564" s="6">
        <v>144</v>
      </c>
      <c r="M564" s="13">
        <v>45807</v>
      </c>
      <c r="N564">
        <v>27</v>
      </c>
      <c r="O564">
        <v>150</v>
      </c>
    </row>
    <row r="565" spans="1:15" x14ac:dyDescent="0.25">
      <c r="A565" t="s">
        <v>34</v>
      </c>
      <c r="D565" s="6" t="s">
        <v>318</v>
      </c>
      <c r="E565" s="6">
        <v>2004</v>
      </c>
      <c r="F565" s="6">
        <v>3</v>
      </c>
      <c r="G565" s="6">
        <v>3</v>
      </c>
      <c r="H565" s="6">
        <v>12</v>
      </c>
      <c r="K565" s="6">
        <v>144</v>
      </c>
      <c r="M565" s="13">
        <v>45810</v>
      </c>
      <c r="N565">
        <v>27</v>
      </c>
      <c r="O565">
        <v>153</v>
      </c>
    </row>
    <row r="566" spans="1:15" x14ac:dyDescent="0.25">
      <c r="A566" t="s">
        <v>34</v>
      </c>
      <c r="D566" s="6" t="s">
        <v>37</v>
      </c>
      <c r="E566" s="6">
        <v>1989</v>
      </c>
      <c r="F566" s="6">
        <v>3</v>
      </c>
      <c r="G566" s="6">
        <v>4</v>
      </c>
      <c r="H566" s="6">
        <v>12</v>
      </c>
      <c r="K566" s="6">
        <v>160</v>
      </c>
      <c r="M566" s="13">
        <v>45769</v>
      </c>
      <c r="O566">
        <v>112</v>
      </c>
    </row>
    <row r="567" spans="1:15" x14ac:dyDescent="0.25">
      <c r="A567" t="s">
        <v>34</v>
      </c>
      <c r="D567" s="6" t="s">
        <v>37</v>
      </c>
      <c r="E567" s="6">
        <v>1989</v>
      </c>
      <c r="F567" s="6">
        <v>3</v>
      </c>
      <c r="G567" s="6">
        <v>4</v>
      </c>
      <c r="H567" s="6">
        <v>12</v>
      </c>
      <c r="K567" s="6">
        <v>160</v>
      </c>
      <c r="M567" s="13">
        <v>45771</v>
      </c>
      <c r="O567">
        <v>114</v>
      </c>
    </row>
    <row r="568" spans="1:15" x14ac:dyDescent="0.25">
      <c r="A568" t="s">
        <v>34</v>
      </c>
      <c r="D568" s="6" t="s">
        <v>37</v>
      </c>
      <c r="E568" s="6">
        <v>1989</v>
      </c>
      <c r="F568" s="6">
        <v>3</v>
      </c>
      <c r="G568" s="6">
        <v>4</v>
      </c>
      <c r="H568" s="6">
        <v>12</v>
      </c>
      <c r="K568" s="6">
        <v>160</v>
      </c>
      <c r="M568" s="13">
        <v>45772</v>
      </c>
      <c r="O568">
        <v>115</v>
      </c>
    </row>
    <row r="569" spans="1:15" x14ac:dyDescent="0.25">
      <c r="A569" t="s">
        <v>34</v>
      </c>
      <c r="D569" s="6" t="s">
        <v>37</v>
      </c>
      <c r="E569" s="6">
        <v>1989</v>
      </c>
      <c r="F569" s="6">
        <v>3</v>
      </c>
      <c r="G569" s="6">
        <v>4</v>
      </c>
      <c r="H569" s="6">
        <v>12</v>
      </c>
      <c r="K569" s="6">
        <v>160</v>
      </c>
      <c r="M569" s="13">
        <v>45775</v>
      </c>
      <c r="O569">
        <v>118</v>
      </c>
    </row>
    <row r="570" spans="1:15" x14ac:dyDescent="0.25">
      <c r="A570" t="s">
        <v>34</v>
      </c>
      <c r="D570" s="6" t="s">
        <v>37</v>
      </c>
      <c r="E570" s="6">
        <v>1989</v>
      </c>
      <c r="F570" s="6">
        <v>3</v>
      </c>
      <c r="G570" s="6">
        <v>4</v>
      </c>
      <c r="H570" s="6">
        <v>12</v>
      </c>
      <c r="K570" s="6">
        <v>160</v>
      </c>
      <c r="M570" s="13">
        <v>45778</v>
      </c>
      <c r="O570">
        <v>121</v>
      </c>
    </row>
    <row r="571" spans="1:15" x14ac:dyDescent="0.25">
      <c r="A571" t="s">
        <v>34</v>
      </c>
      <c r="D571" s="6" t="s">
        <v>37</v>
      </c>
      <c r="E571" s="6">
        <v>1989</v>
      </c>
      <c r="F571" s="6">
        <v>3</v>
      </c>
      <c r="G571" s="6">
        <v>4</v>
      </c>
      <c r="H571" s="6">
        <v>12</v>
      </c>
      <c r="K571" s="6">
        <v>160</v>
      </c>
      <c r="M571" s="13">
        <v>45782</v>
      </c>
      <c r="O571">
        <v>125</v>
      </c>
    </row>
    <row r="572" spans="1:15" x14ac:dyDescent="0.25">
      <c r="A572" t="s">
        <v>34</v>
      </c>
      <c r="D572" s="6" t="s">
        <v>37</v>
      </c>
      <c r="E572" s="6">
        <v>1989</v>
      </c>
      <c r="F572" s="6">
        <v>3</v>
      </c>
      <c r="G572" s="6">
        <v>4</v>
      </c>
      <c r="H572" s="6">
        <v>12</v>
      </c>
      <c r="K572" s="6">
        <v>160</v>
      </c>
      <c r="M572" s="13">
        <v>45793</v>
      </c>
      <c r="N572">
        <v>0</v>
      </c>
      <c r="O572">
        <v>136</v>
      </c>
    </row>
    <row r="573" spans="1:15" x14ac:dyDescent="0.25">
      <c r="A573" t="s">
        <v>34</v>
      </c>
      <c r="D573" s="6" t="s">
        <v>37</v>
      </c>
      <c r="E573" s="6">
        <v>1989</v>
      </c>
      <c r="F573" s="6">
        <v>3</v>
      </c>
      <c r="G573" s="6">
        <v>4</v>
      </c>
      <c r="H573" s="6">
        <v>12</v>
      </c>
      <c r="K573" s="6">
        <v>160</v>
      </c>
      <c r="M573" s="13">
        <v>45796</v>
      </c>
      <c r="N573">
        <v>0</v>
      </c>
      <c r="O573">
        <v>139</v>
      </c>
    </row>
    <row r="574" spans="1:15" x14ac:dyDescent="0.25">
      <c r="A574" t="s">
        <v>34</v>
      </c>
      <c r="D574" s="6" t="s">
        <v>37</v>
      </c>
      <c r="E574" s="6">
        <v>1989</v>
      </c>
      <c r="F574" s="6">
        <v>3</v>
      </c>
      <c r="G574" s="6">
        <v>4</v>
      </c>
      <c r="H574" s="6">
        <v>12</v>
      </c>
      <c r="K574" s="6">
        <v>160</v>
      </c>
      <c r="M574" s="13">
        <v>45800</v>
      </c>
      <c r="N574">
        <v>27</v>
      </c>
      <c r="O574">
        <v>143</v>
      </c>
    </row>
    <row r="575" spans="1:15" x14ac:dyDescent="0.25">
      <c r="A575" t="s">
        <v>34</v>
      </c>
      <c r="D575" s="6" t="s">
        <v>37</v>
      </c>
      <c r="E575" s="6">
        <v>1989</v>
      </c>
      <c r="F575" s="6">
        <v>3</v>
      </c>
      <c r="G575" s="6">
        <v>4</v>
      </c>
      <c r="H575" s="6">
        <v>12</v>
      </c>
      <c r="K575" s="6">
        <v>160</v>
      </c>
      <c r="M575" s="13">
        <v>45804</v>
      </c>
      <c r="N575">
        <v>44</v>
      </c>
      <c r="O575">
        <v>147</v>
      </c>
    </row>
    <row r="576" spans="1:15" x14ac:dyDescent="0.25">
      <c r="A576" t="s">
        <v>34</v>
      </c>
      <c r="D576" s="6" t="s">
        <v>37</v>
      </c>
      <c r="E576" s="6">
        <v>1989</v>
      </c>
      <c r="F576" s="6">
        <v>3</v>
      </c>
      <c r="G576" s="6">
        <v>4</v>
      </c>
      <c r="H576" s="6">
        <v>12</v>
      </c>
      <c r="K576" s="6">
        <v>160</v>
      </c>
      <c r="M576" s="13">
        <v>45807</v>
      </c>
      <c r="N576">
        <v>44</v>
      </c>
      <c r="O576">
        <v>150</v>
      </c>
    </row>
    <row r="577" spans="1:15" x14ac:dyDescent="0.25">
      <c r="A577" t="s">
        <v>34</v>
      </c>
      <c r="D577" s="6" t="s">
        <v>37</v>
      </c>
      <c r="E577" s="6">
        <v>1989</v>
      </c>
      <c r="F577" s="6">
        <v>3</v>
      </c>
      <c r="G577" s="6">
        <v>4</v>
      </c>
      <c r="H577" s="6">
        <v>12</v>
      </c>
      <c r="K577" s="6">
        <v>160</v>
      </c>
      <c r="M577" s="13">
        <v>45810</v>
      </c>
      <c r="N577">
        <v>44</v>
      </c>
      <c r="O577">
        <v>153</v>
      </c>
    </row>
    <row r="578" spans="1:15" x14ac:dyDescent="0.25">
      <c r="A578" t="s">
        <v>24</v>
      </c>
      <c r="D578" s="6" t="s">
        <v>32</v>
      </c>
      <c r="E578" s="6">
        <v>2018</v>
      </c>
      <c r="F578" s="6">
        <v>4</v>
      </c>
      <c r="G578" s="6">
        <v>1</v>
      </c>
      <c r="H578" s="6">
        <v>13</v>
      </c>
      <c r="K578" s="6">
        <v>113</v>
      </c>
      <c r="M578" s="13">
        <v>45769</v>
      </c>
      <c r="N578">
        <v>0</v>
      </c>
      <c r="O578">
        <v>112</v>
      </c>
    </row>
    <row r="579" spans="1:15" x14ac:dyDescent="0.25">
      <c r="A579" t="s">
        <v>24</v>
      </c>
      <c r="D579" s="6" t="s">
        <v>32</v>
      </c>
      <c r="E579" s="6">
        <v>2018</v>
      </c>
      <c r="F579" s="6">
        <v>4</v>
      </c>
      <c r="G579" s="6">
        <v>1</v>
      </c>
      <c r="H579" s="6">
        <v>13</v>
      </c>
      <c r="K579" s="6">
        <v>113</v>
      </c>
      <c r="M579" s="13">
        <v>45771</v>
      </c>
      <c r="N579">
        <v>20</v>
      </c>
      <c r="O579">
        <v>114</v>
      </c>
    </row>
    <row r="580" spans="1:15" x14ac:dyDescent="0.25">
      <c r="A580" t="s">
        <v>24</v>
      </c>
      <c r="D580" s="6" t="s">
        <v>32</v>
      </c>
      <c r="E580" s="6">
        <v>2018</v>
      </c>
      <c r="F580" s="6">
        <v>4</v>
      </c>
      <c r="G580" s="6">
        <v>1</v>
      </c>
      <c r="H580" s="6">
        <v>13</v>
      </c>
      <c r="K580" s="6">
        <v>113</v>
      </c>
      <c r="M580" s="13">
        <v>45772</v>
      </c>
      <c r="N580">
        <v>30</v>
      </c>
      <c r="O580">
        <v>115</v>
      </c>
    </row>
    <row r="581" spans="1:15" x14ac:dyDescent="0.25">
      <c r="A581" t="s">
        <v>24</v>
      </c>
      <c r="D581" s="6" t="s">
        <v>32</v>
      </c>
      <c r="E581" s="6">
        <v>2018</v>
      </c>
      <c r="F581" s="6">
        <v>4</v>
      </c>
      <c r="G581" s="6">
        <v>1</v>
      </c>
      <c r="H581" s="6">
        <v>13</v>
      </c>
      <c r="K581" s="6">
        <v>113</v>
      </c>
      <c r="M581" s="13">
        <v>45775</v>
      </c>
      <c r="N581">
        <v>39</v>
      </c>
      <c r="O581">
        <v>118</v>
      </c>
    </row>
    <row r="582" spans="1:15" x14ac:dyDescent="0.25">
      <c r="A582" t="s">
        <v>24</v>
      </c>
      <c r="D582" s="6" t="s">
        <v>32</v>
      </c>
      <c r="E582" s="6">
        <v>2018</v>
      </c>
      <c r="F582" s="6">
        <v>4</v>
      </c>
      <c r="G582" s="6">
        <v>1</v>
      </c>
      <c r="H582" s="6">
        <v>13</v>
      </c>
      <c r="K582" s="6">
        <v>113</v>
      </c>
      <c r="M582" s="13">
        <v>45778</v>
      </c>
      <c r="N582">
        <v>39</v>
      </c>
      <c r="O582">
        <v>121</v>
      </c>
    </row>
    <row r="583" spans="1:15" x14ac:dyDescent="0.25">
      <c r="A583" t="s">
        <v>24</v>
      </c>
      <c r="D583" s="6" t="s">
        <v>32</v>
      </c>
      <c r="E583" s="6">
        <v>2018</v>
      </c>
      <c r="F583" s="6">
        <v>4</v>
      </c>
      <c r="G583" s="6">
        <v>1</v>
      </c>
      <c r="H583" s="6">
        <v>13</v>
      </c>
      <c r="K583" s="6">
        <v>113</v>
      </c>
      <c r="M583" s="13">
        <v>45782</v>
      </c>
      <c r="N583">
        <v>38</v>
      </c>
      <c r="O583">
        <v>125</v>
      </c>
    </row>
    <row r="584" spans="1:15" x14ac:dyDescent="0.25">
      <c r="A584" t="s">
        <v>24</v>
      </c>
      <c r="D584" s="6" t="s">
        <v>32</v>
      </c>
      <c r="E584" s="6">
        <v>2018</v>
      </c>
      <c r="F584" s="6">
        <v>4</v>
      </c>
      <c r="G584" s="6">
        <v>1</v>
      </c>
      <c r="H584" s="6">
        <v>13</v>
      </c>
      <c r="K584" s="6">
        <v>113</v>
      </c>
      <c r="M584" s="13">
        <v>45793</v>
      </c>
      <c r="O584">
        <v>136</v>
      </c>
    </row>
    <row r="585" spans="1:15" x14ac:dyDescent="0.25">
      <c r="A585" t="s">
        <v>24</v>
      </c>
      <c r="D585" s="6" t="s">
        <v>32</v>
      </c>
      <c r="E585" s="6">
        <v>2018</v>
      </c>
      <c r="F585" s="6">
        <v>4</v>
      </c>
      <c r="G585" s="6">
        <v>1</v>
      </c>
      <c r="H585" s="6">
        <v>13</v>
      </c>
      <c r="K585" s="6">
        <v>113</v>
      </c>
      <c r="M585" s="13">
        <v>45796</v>
      </c>
      <c r="O585">
        <v>139</v>
      </c>
    </row>
    <row r="586" spans="1:15" x14ac:dyDescent="0.25">
      <c r="A586" t="s">
        <v>24</v>
      </c>
      <c r="D586" s="6" t="s">
        <v>32</v>
      </c>
      <c r="E586" s="6">
        <v>2018</v>
      </c>
      <c r="F586" s="6">
        <v>4</v>
      </c>
      <c r="G586" s="6">
        <v>1</v>
      </c>
      <c r="H586" s="6">
        <v>13</v>
      </c>
      <c r="K586" s="6">
        <v>113</v>
      </c>
      <c r="M586" s="13">
        <v>45800</v>
      </c>
      <c r="O586">
        <v>143</v>
      </c>
    </row>
    <row r="587" spans="1:15" x14ac:dyDescent="0.25">
      <c r="A587" t="s">
        <v>24</v>
      </c>
      <c r="D587" s="6" t="s">
        <v>32</v>
      </c>
      <c r="E587" s="6">
        <v>2018</v>
      </c>
      <c r="F587" s="6">
        <v>4</v>
      </c>
      <c r="G587" s="6">
        <v>1</v>
      </c>
      <c r="H587" s="6">
        <v>13</v>
      </c>
      <c r="K587" s="6">
        <v>113</v>
      </c>
      <c r="M587" s="13">
        <v>45804</v>
      </c>
      <c r="O587">
        <v>147</v>
      </c>
    </row>
    <row r="588" spans="1:15" x14ac:dyDescent="0.25">
      <c r="A588" t="s">
        <v>24</v>
      </c>
      <c r="D588" s="6" t="s">
        <v>32</v>
      </c>
      <c r="E588" s="6">
        <v>2018</v>
      </c>
      <c r="F588" s="6">
        <v>4</v>
      </c>
      <c r="G588" s="6">
        <v>1</v>
      </c>
      <c r="H588" s="6">
        <v>13</v>
      </c>
      <c r="K588" s="6">
        <v>113</v>
      </c>
      <c r="M588" s="13">
        <v>45807</v>
      </c>
      <c r="O588">
        <v>150</v>
      </c>
    </row>
    <row r="589" spans="1:15" x14ac:dyDescent="0.25">
      <c r="A589" t="s">
        <v>24</v>
      </c>
      <c r="D589" s="6" t="s">
        <v>32</v>
      </c>
      <c r="E589" s="6">
        <v>2018</v>
      </c>
      <c r="F589" s="6">
        <v>4</v>
      </c>
      <c r="G589" s="6">
        <v>1</v>
      </c>
      <c r="H589" s="6">
        <v>13</v>
      </c>
      <c r="K589" s="6">
        <v>113</v>
      </c>
      <c r="M589" s="13">
        <v>45810</v>
      </c>
      <c r="O589">
        <v>153</v>
      </c>
    </row>
    <row r="590" spans="1:15" x14ac:dyDescent="0.25">
      <c r="A590" t="s">
        <v>24</v>
      </c>
      <c r="D590" s="6" t="s">
        <v>26</v>
      </c>
      <c r="E590" s="6">
        <v>1983</v>
      </c>
      <c r="F590" s="6">
        <v>4</v>
      </c>
      <c r="G590" s="6">
        <v>2</v>
      </c>
      <c r="H590" s="6">
        <v>13</v>
      </c>
      <c r="K590" s="6">
        <v>129</v>
      </c>
      <c r="M590" s="13">
        <v>45769</v>
      </c>
      <c r="N590">
        <v>0</v>
      </c>
      <c r="O590">
        <v>112</v>
      </c>
    </row>
    <row r="591" spans="1:15" x14ac:dyDescent="0.25">
      <c r="A591" t="s">
        <v>24</v>
      </c>
      <c r="D591" s="6" t="s">
        <v>26</v>
      </c>
      <c r="E591" s="6">
        <v>1983</v>
      </c>
      <c r="F591" s="6">
        <v>4</v>
      </c>
      <c r="G591" s="6">
        <v>2</v>
      </c>
      <c r="H591" s="6">
        <v>13</v>
      </c>
      <c r="K591" s="6">
        <v>129</v>
      </c>
      <c r="M591" s="13">
        <v>45771</v>
      </c>
      <c r="N591">
        <v>24</v>
      </c>
      <c r="O591">
        <v>114</v>
      </c>
    </row>
    <row r="592" spans="1:15" x14ac:dyDescent="0.25">
      <c r="A592" t="s">
        <v>24</v>
      </c>
      <c r="D592" s="6" t="s">
        <v>26</v>
      </c>
      <c r="E592" s="6">
        <v>1983</v>
      </c>
      <c r="F592" s="6">
        <v>4</v>
      </c>
      <c r="G592" s="6">
        <v>2</v>
      </c>
      <c r="H592" s="6">
        <v>13</v>
      </c>
      <c r="K592" s="6">
        <v>129</v>
      </c>
      <c r="M592" s="13">
        <v>45772</v>
      </c>
      <c r="N592">
        <v>29</v>
      </c>
      <c r="O592">
        <v>115</v>
      </c>
    </row>
    <row r="593" spans="1:15" x14ac:dyDescent="0.25">
      <c r="A593" t="s">
        <v>24</v>
      </c>
      <c r="D593" s="6" t="s">
        <v>26</v>
      </c>
      <c r="E593" s="6">
        <v>1983</v>
      </c>
      <c r="F593" s="6">
        <v>4</v>
      </c>
      <c r="G593" s="6">
        <v>2</v>
      </c>
      <c r="H593" s="6">
        <v>13</v>
      </c>
      <c r="K593" s="6">
        <v>129</v>
      </c>
      <c r="M593" s="13">
        <v>45775</v>
      </c>
      <c r="N593">
        <v>33</v>
      </c>
      <c r="O593">
        <v>118</v>
      </c>
    </row>
    <row r="594" spans="1:15" x14ac:dyDescent="0.25">
      <c r="A594" t="s">
        <v>24</v>
      </c>
      <c r="D594" s="6" t="s">
        <v>26</v>
      </c>
      <c r="E594" s="6">
        <v>1983</v>
      </c>
      <c r="F594" s="6">
        <v>4</v>
      </c>
      <c r="G594" s="6">
        <v>2</v>
      </c>
      <c r="H594" s="6">
        <v>13</v>
      </c>
      <c r="K594" s="6">
        <v>129</v>
      </c>
      <c r="M594" s="13">
        <v>45778</v>
      </c>
      <c r="N594">
        <v>33</v>
      </c>
      <c r="O594">
        <v>121</v>
      </c>
    </row>
    <row r="595" spans="1:15" x14ac:dyDescent="0.25">
      <c r="A595" t="s">
        <v>24</v>
      </c>
      <c r="D595" s="6" t="s">
        <v>26</v>
      </c>
      <c r="E595" s="6">
        <v>1983</v>
      </c>
      <c r="F595" s="6">
        <v>4</v>
      </c>
      <c r="G595" s="6">
        <v>2</v>
      </c>
      <c r="H595" s="6">
        <v>13</v>
      </c>
      <c r="K595" s="6">
        <v>129</v>
      </c>
      <c r="M595" s="13">
        <v>45782</v>
      </c>
      <c r="N595">
        <v>33</v>
      </c>
      <c r="O595">
        <v>125</v>
      </c>
    </row>
    <row r="596" spans="1:15" x14ac:dyDescent="0.25">
      <c r="A596" t="s">
        <v>24</v>
      </c>
      <c r="D596" s="6" t="s">
        <v>26</v>
      </c>
      <c r="E596" s="6">
        <v>1983</v>
      </c>
      <c r="F596" s="6">
        <v>4</v>
      </c>
      <c r="G596" s="6">
        <v>2</v>
      </c>
      <c r="H596" s="6">
        <v>13</v>
      </c>
      <c r="K596" s="6">
        <v>129</v>
      </c>
      <c r="M596" s="13">
        <v>45793</v>
      </c>
      <c r="O596">
        <v>136</v>
      </c>
    </row>
    <row r="597" spans="1:15" x14ac:dyDescent="0.25">
      <c r="A597" t="s">
        <v>24</v>
      </c>
      <c r="D597" s="6" t="s">
        <v>26</v>
      </c>
      <c r="E597" s="6">
        <v>1983</v>
      </c>
      <c r="F597" s="6">
        <v>4</v>
      </c>
      <c r="G597" s="6">
        <v>2</v>
      </c>
      <c r="H597" s="6">
        <v>13</v>
      </c>
      <c r="K597" s="6">
        <v>129</v>
      </c>
      <c r="M597" s="13">
        <v>45796</v>
      </c>
      <c r="O597">
        <v>139</v>
      </c>
    </row>
    <row r="598" spans="1:15" x14ac:dyDescent="0.25">
      <c r="A598" t="s">
        <v>24</v>
      </c>
      <c r="D598" s="6" t="s">
        <v>26</v>
      </c>
      <c r="E598" s="6">
        <v>1983</v>
      </c>
      <c r="F598" s="6">
        <v>4</v>
      </c>
      <c r="G598" s="6">
        <v>2</v>
      </c>
      <c r="H598" s="6">
        <v>13</v>
      </c>
      <c r="K598" s="6">
        <v>129</v>
      </c>
      <c r="M598" s="13">
        <v>45800</v>
      </c>
      <c r="O598">
        <v>143</v>
      </c>
    </row>
    <row r="599" spans="1:15" x14ac:dyDescent="0.25">
      <c r="A599" t="s">
        <v>24</v>
      </c>
      <c r="D599" s="6" t="s">
        <v>26</v>
      </c>
      <c r="E599" s="6">
        <v>1983</v>
      </c>
      <c r="F599" s="6">
        <v>4</v>
      </c>
      <c r="G599" s="6">
        <v>2</v>
      </c>
      <c r="H599" s="6">
        <v>13</v>
      </c>
      <c r="K599" s="6">
        <v>129</v>
      </c>
      <c r="M599" s="13">
        <v>45804</v>
      </c>
      <c r="O599">
        <v>147</v>
      </c>
    </row>
    <row r="600" spans="1:15" x14ac:dyDescent="0.25">
      <c r="A600" t="s">
        <v>24</v>
      </c>
      <c r="D600" s="6" t="s">
        <v>26</v>
      </c>
      <c r="E600" s="6">
        <v>1983</v>
      </c>
      <c r="F600" s="6">
        <v>4</v>
      </c>
      <c r="G600" s="6">
        <v>2</v>
      </c>
      <c r="H600" s="6">
        <v>13</v>
      </c>
      <c r="K600" s="6">
        <v>129</v>
      </c>
      <c r="M600" s="13">
        <v>45807</v>
      </c>
      <c r="O600">
        <v>150</v>
      </c>
    </row>
    <row r="601" spans="1:15" x14ac:dyDescent="0.25">
      <c r="A601" t="s">
        <v>24</v>
      </c>
      <c r="D601" s="6" t="s">
        <v>26</v>
      </c>
      <c r="E601" s="6">
        <v>1983</v>
      </c>
      <c r="F601" s="6">
        <v>4</v>
      </c>
      <c r="G601" s="6">
        <v>2</v>
      </c>
      <c r="H601" s="6">
        <v>13</v>
      </c>
      <c r="K601" s="6">
        <v>129</v>
      </c>
      <c r="M601" s="13">
        <v>45810</v>
      </c>
      <c r="O601">
        <v>153</v>
      </c>
    </row>
    <row r="602" spans="1:15" x14ac:dyDescent="0.25">
      <c r="A602" t="s">
        <v>24</v>
      </c>
      <c r="D602" s="6" t="s">
        <v>311</v>
      </c>
      <c r="E602" s="6">
        <v>2023</v>
      </c>
      <c r="F602" s="6">
        <v>4</v>
      </c>
      <c r="G602" s="6">
        <v>3</v>
      </c>
      <c r="H602" s="6">
        <v>13</v>
      </c>
      <c r="K602" s="6">
        <v>145</v>
      </c>
      <c r="M602" s="13">
        <v>45769</v>
      </c>
      <c r="N602">
        <v>0</v>
      </c>
      <c r="O602">
        <v>112</v>
      </c>
    </row>
    <row r="603" spans="1:15" x14ac:dyDescent="0.25">
      <c r="A603" t="s">
        <v>24</v>
      </c>
      <c r="D603" s="6" t="s">
        <v>311</v>
      </c>
      <c r="E603" s="6">
        <v>2023</v>
      </c>
      <c r="F603" s="6">
        <v>4</v>
      </c>
      <c r="G603" s="6">
        <v>3</v>
      </c>
      <c r="H603" s="6">
        <v>13</v>
      </c>
      <c r="K603" s="6">
        <v>145</v>
      </c>
      <c r="M603" s="13">
        <v>45771</v>
      </c>
      <c r="N603">
        <v>7</v>
      </c>
      <c r="O603">
        <v>114</v>
      </c>
    </row>
    <row r="604" spans="1:15" x14ac:dyDescent="0.25">
      <c r="A604" t="s">
        <v>24</v>
      </c>
      <c r="D604" s="6" t="s">
        <v>311</v>
      </c>
      <c r="E604" s="6">
        <v>2023</v>
      </c>
      <c r="F604" s="6">
        <v>4</v>
      </c>
      <c r="G604" s="6">
        <v>3</v>
      </c>
      <c r="H604" s="6">
        <v>13</v>
      </c>
      <c r="K604" s="6">
        <v>145</v>
      </c>
      <c r="M604" s="13">
        <v>45772</v>
      </c>
      <c r="N604">
        <v>18</v>
      </c>
      <c r="O604">
        <v>115</v>
      </c>
    </row>
    <row r="605" spans="1:15" x14ac:dyDescent="0.25">
      <c r="A605" t="s">
        <v>24</v>
      </c>
      <c r="D605" s="6" t="s">
        <v>311</v>
      </c>
      <c r="E605" s="6">
        <v>2023</v>
      </c>
      <c r="F605" s="6">
        <v>4</v>
      </c>
      <c r="G605" s="6">
        <v>3</v>
      </c>
      <c r="H605" s="6">
        <v>13</v>
      </c>
      <c r="K605" s="6">
        <v>145</v>
      </c>
      <c r="M605" s="13">
        <v>45775</v>
      </c>
      <c r="N605">
        <v>35</v>
      </c>
      <c r="O605">
        <v>118</v>
      </c>
    </row>
    <row r="606" spans="1:15" x14ac:dyDescent="0.25">
      <c r="A606" t="s">
        <v>24</v>
      </c>
      <c r="D606" s="6" t="s">
        <v>311</v>
      </c>
      <c r="E606" s="6">
        <v>2023</v>
      </c>
      <c r="F606" s="6">
        <v>4</v>
      </c>
      <c r="G606" s="6">
        <v>3</v>
      </c>
      <c r="H606" s="6">
        <v>13</v>
      </c>
      <c r="K606" s="6">
        <v>145</v>
      </c>
      <c r="M606" s="13">
        <v>45778</v>
      </c>
      <c r="N606">
        <v>39</v>
      </c>
      <c r="O606">
        <v>121</v>
      </c>
    </row>
    <row r="607" spans="1:15" x14ac:dyDescent="0.25">
      <c r="A607" t="s">
        <v>24</v>
      </c>
      <c r="D607" s="6" t="s">
        <v>311</v>
      </c>
      <c r="E607" s="6">
        <v>2023</v>
      </c>
      <c r="F607" s="6">
        <v>4</v>
      </c>
      <c r="G607" s="6">
        <v>3</v>
      </c>
      <c r="H607" s="6">
        <v>13</v>
      </c>
      <c r="K607" s="6">
        <v>145</v>
      </c>
      <c r="M607" s="13">
        <v>45782</v>
      </c>
      <c r="N607">
        <v>39</v>
      </c>
      <c r="O607">
        <v>125</v>
      </c>
    </row>
    <row r="608" spans="1:15" x14ac:dyDescent="0.25">
      <c r="A608" t="s">
        <v>24</v>
      </c>
      <c r="D608" s="6" t="s">
        <v>311</v>
      </c>
      <c r="E608" s="6">
        <v>2023</v>
      </c>
      <c r="F608" s="6">
        <v>4</v>
      </c>
      <c r="G608" s="6">
        <v>3</v>
      </c>
      <c r="H608" s="6">
        <v>13</v>
      </c>
      <c r="K608" s="6">
        <v>145</v>
      </c>
      <c r="M608" s="13">
        <v>45793</v>
      </c>
      <c r="O608">
        <v>136</v>
      </c>
    </row>
    <row r="609" spans="1:15" x14ac:dyDescent="0.25">
      <c r="A609" t="s">
        <v>24</v>
      </c>
      <c r="D609" s="6" t="s">
        <v>311</v>
      </c>
      <c r="E609" s="6">
        <v>2023</v>
      </c>
      <c r="F609" s="6">
        <v>4</v>
      </c>
      <c r="G609" s="6">
        <v>3</v>
      </c>
      <c r="H609" s="6">
        <v>13</v>
      </c>
      <c r="K609" s="6">
        <v>145</v>
      </c>
      <c r="M609" s="13">
        <v>45796</v>
      </c>
      <c r="O609">
        <v>139</v>
      </c>
    </row>
    <row r="610" spans="1:15" x14ac:dyDescent="0.25">
      <c r="A610" t="s">
        <v>24</v>
      </c>
      <c r="D610" s="6" t="s">
        <v>311</v>
      </c>
      <c r="E610" s="6">
        <v>2023</v>
      </c>
      <c r="F610" s="6">
        <v>4</v>
      </c>
      <c r="G610" s="6">
        <v>3</v>
      </c>
      <c r="H610" s="6">
        <v>13</v>
      </c>
      <c r="K610" s="6">
        <v>145</v>
      </c>
      <c r="M610" s="13">
        <v>45800</v>
      </c>
      <c r="O610">
        <v>143</v>
      </c>
    </row>
    <row r="611" spans="1:15" x14ac:dyDescent="0.25">
      <c r="A611" t="s">
        <v>24</v>
      </c>
      <c r="D611" s="6" t="s">
        <v>311</v>
      </c>
      <c r="E611" s="6">
        <v>2023</v>
      </c>
      <c r="F611" s="6">
        <v>4</v>
      </c>
      <c r="G611" s="6">
        <v>3</v>
      </c>
      <c r="H611" s="6">
        <v>13</v>
      </c>
      <c r="K611" s="6">
        <v>145</v>
      </c>
      <c r="M611" s="13">
        <v>45804</v>
      </c>
      <c r="O611">
        <v>147</v>
      </c>
    </row>
    <row r="612" spans="1:15" x14ac:dyDescent="0.25">
      <c r="A612" t="s">
        <v>24</v>
      </c>
      <c r="D612" s="6" t="s">
        <v>311</v>
      </c>
      <c r="E612" s="6">
        <v>2023</v>
      </c>
      <c r="F612" s="6">
        <v>4</v>
      </c>
      <c r="G612" s="6">
        <v>3</v>
      </c>
      <c r="H612" s="6">
        <v>13</v>
      </c>
      <c r="K612" s="6">
        <v>145</v>
      </c>
      <c r="M612" s="13">
        <v>45807</v>
      </c>
      <c r="O612">
        <v>150</v>
      </c>
    </row>
    <row r="613" spans="1:15" x14ac:dyDescent="0.25">
      <c r="A613" t="s">
        <v>24</v>
      </c>
      <c r="D613" s="6" t="s">
        <v>311</v>
      </c>
      <c r="E613" s="6">
        <v>2023</v>
      </c>
      <c r="F613" s="6">
        <v>4</v>
      </c>
      <c r="G613" s="6">
        <v>3</v>
      </c>
      <c r="H613" s="6">
        <v>13</v>
      </c>
      <c r="K613" s="6">
        <v>145</v>
      </c>
      <c r="M613" s="13">
        <v>45810</v>
      </c>
      <c r="O613">
        <v>153</v>
      </c>
    </row>
    <row r="614" spans="1:15" x14ac:dyDescent="0.25">
      <c r="A614" t="s">
        <v>24</v>
      </c>
      <c r="D614" s="6" t="s">
        <v>28</v>
      </c>
      <c r="E614" s="6">
        <v>1998</v>
      </c>
      <c r="F614" s="6">
        <v>4</v>
      </c>
      <c r="G614" s="6">
        <v>4</v>
      </c>
      <c r="H614" s="6">
        <v>13</v>
      </c>
      <c r="K614" s="6">
        <v>161</v>
      </c>
      <c r="M614" s="13">
        <v>45769</v>
      </c>
      <c r="N614">
        <v>0</v>
      </c>
      <c r="O614">
        <v>112</v>
      </c>
    </row>
    <row r="615" spans="1:15" x14ac:dyDescent="0.25">
      <c r="A615" t="s">
        <v>24</v>
      </c>
      <c r="D615" s="6" t="s">
        <v>28</v>
      </c>
      <c r="E615" s="6">
        <v>1998</v>
      </c>
      <c r="F615" s="6">
        <v>4</v>
      </c>
      <c r="G615" s="6">
        <v>4</v>
      </c>
      <c r="H615" s="6">
        <v>13</v>
      </c>
      <c r="K615" s="6">
        <v>161</v>
      </c>
      <c r="M615" s="13">
        <v>45771</v>
      </c>
      <c r="N615">
        <v>26</v>
      </c>
      <c r="O615">
        <v>114</v>
      </c>
    </row>
    <row r="616" spans="1:15" x14ac:dyDescent="0.25">
      <c r="A616" t="s">
        <v>24</v>
      </c>
      <c r="D616" s="6" t="s">
        <v>28</v>
      </c>
      <c r="E616" s="6">
        <v>1998</v>
      </c>
      <c r="F616" s="6">
        <v>4</v>
      </c>
      <c r="G616" s="6">
        <v>4</v>
      </c>
      <c r="H616" s="6">
        <v>13</v>
      </c>
      <c r="K616" s="6">
        <v>161</v>
      </c>
      <c r="M616" s="13">
        <v>45772</v>
      </c>
      <c r="N616">
        <v>37</v>
      </c>
      <c r="O616">
        <v>115</v>
      </c>
    </row>
    <row r="617" spans="1:15" x14ac:dyDescent="0.25">
      <c r="A617" t="s">
        <v>24</v>
      </c>
      <c r="D617" s="6" t="s">
        <v>28</v>
      </c>
      <c r="E617" s="6">
        <v>1998</v>
      </c>
      <c r="F617" s="6">
        <v>4</v>
      </c>
      <c r="G617" s="6">
        <v>4</v>
      </c>
      <c r="H617" s="6">
        <v>13</v>
      </c>
      <c r="K617" s="6">
        <v>161</v>
      </c>
      <c r="M617" s="13">
        <v>45775</v>
      </c>
      <c r="N617">
        <v>37</v>
      </c>
      <c r="O617">
        <v>118</v>
      </c>
    </row>
    <row r="618" spans="1:15" x14ac:dyDescent="0.25">
      <c r="A618" t="s">
        <v>24</v>
      </c>
      <c r="D618" s="6" t="s">
        <v>28</v>
      </c>
      <c r="E618" s="6">
        <v>1998</v>
      </c>
      <c r="F618" s="6">
        <v>4</v>
      </c>
      <c r="G618" s="6">
        <v>4</v>
      </c>
      <c r="H618" s="6">
        <v>13</v>
      </c>
      <c r="K618" s="6">
        <v>161</v>
      </c>
      <c r="M618" s="13">
        <v>45778</v>
      </c>
      <c r="N618">
        <v>39</v>
      </c>
      <c r="O618">
        <v>121</v>
      </c>
    </row>
    <row r="619" spans="1:15" x14ac:dyDescent="0.25">
      <c r="A619" t="s">
        <v>24</v>
      </c>
      <c r="D619" s="6" t="s">
        <v>28</v>
      </c>
      <c r="E619" s="6">
        <v>1998</v>
      </c>
      <c r="F619" s="6">
        <v>4</v>
      </c>
      <c r="G619" s="6">
        <v>4</v>
      </c>
      <c r="H619" s="6">
        <v>13</v>
      </c>
      <c r="K619" s="6">
        <v>161</v>
      </c>
      <c r="M619" s="13">
        <v>45782</v>
      </c>
      <c r="N619">
        <v>45</v>
      </c>
      <c r="O619">
        <v>125</v>
      </c>
    </row>
    <row r="620" spans="1:15" x14ac:dyDescent="0.25">
      <c r="A620" t="s">
        <v>24</v>
      </c>
      <c r="D620" s="6" t="s">
        <v>28</v>
      </c>
      <c r="E620" s="6">
        <v>1998</v>
      </c>
      <c r="F620" s="6">
        <v>4</v>
      </c>
      <c r="G620" s="6">
        <v>4</v>
      </c>
      <c r="H620" s="6">
        <v>13</v>
      </c>
      <c r="K620" s="6">
        <v>161</v>
      </c>
      <c r="M620" s="13">
        <v>45793</v>
      </c>
      <c r="O620">
        <v>136</v>
      </c>
    </row>
    <row r="621" spans="1:15" x14ac:dyDescent="0.25">
      <c r="A621" t="s">
        <v>24</v>
      </c>
      <c r="D621" s="6" t="s">
        <v>28</v>
      </c>
      <c r="E621" s="6">
        <v>1998</v>
      </c>
      <c r="F621" s="6">
        <v>4</v>
      </c>
      <c r="G621" s="6">
        <v>4</v>
      </c>
      <c r="H621" s="6">
        <v>13</v>
      </c>
      <c r="K621" s="6">
        <v>161</v>
      </c>
      <c r="M621" s="13">
        <v>45796</v>
      </c>
      <c r="O621">
        <v>139</v>
      </c>
    </row>
    <row r="622" spans="1:15" x14ac:dyDescent="0.25">
      <c r="A622" t="s">
        <v>24</v>
      </c>
      <c r="D622" s="6" t="s">
        <v>28</v>
      </c>
      <c r="E622" s="6">
        <v>1998</v>
      </c>
      <c r="F622" s="6">
        <v>4</v>
      </c>
      <c r="G622" s="6">
        <v>4</v>
      </c>
      <c r="H622" s="6">
        <v>13</v>
      </c>
      <c r="K622" s="6">
        <v>161</v>
      </c>
      <c r="M622" s="13">
        <v>45800</v>
      </c>
      <c r="O622">
        <v>143</v>
      </c>
    </row>
    <row r="623" spans="1:15" x14ac:dyDescent="0.25">
      <c r="A623" t="s">
        <v>24</v>
      </c>
      <c r="D623" s="6" t="s">
        <v>28</v>
      </c>
      <c r="E623" s="6">
        <v>1998</v>
      </c>
      <c r="F623" s="6">
        <v>4</v>
      </c>
      <c r="G623" s="6">
        <v>4</v>
      </c>
      <c r="H623" s="6">
        <v>13</v>
      </c>
      <c r="K623" s="6">
        <v>161</v>
      </c>
      <c r="M623" s="13">
        <v>45804</v>
      </c>
      <c r="O623">
        <v>147</v>
      </c>
    </row>
    <row r="624" spans="1:15" x14ac:dyDescent="0.25">
      <c r="A624" t="s">
        <v>24</v>
      </c>
      <c r="D624" s="6" t="s">
        <v>28</v>
      </c>
      <c r="E624" s="6">
        <v>1998</v>
      </c>
      <c r="F624" s="6">
        <v>4</v>
      </c>
      <c r="G624" s="6">
        <v>4</v>
      </c>
      <c r="H624" s="6">
        <v>13</v>
      </c>
      <c r="K624" s="6">
        <v>161</v>
      </c>
      <c r="M624" s="13">
        <v>45807</v>
      </c>
      <c r="O624">
        <v>150</v>
      </c>
    </row>
    <row r="625" spans="1:15" x14ac:dyDescent="0.25">
      <c r="A625" t="s">
        <v>24</v>
      </c>
      <c r="D625" s="6" t="s">
        <v>28</v>
      </c>
      <c r="E625" s="6">
        <v>1998</v>
      </c>
      <c r="F625" s="6">
        <v>4</v>
      </c>
      <c r="G625" s="6">
        <v>4</v>
      </c>
      <c r="H625" s="6">
        <v>13</v>
      </c>
      <c r="K625" s="6">
        <v>161</v>
      </c>
      <c r="M625" s="13">
        <v>45810</v>
      </c>
      <c r="O625">
        <v>153</v>
      </c>
    </row>
    <row r="626" spans="1:15" x14ac:dyDescent="0.25">
      <c r="A626" t="s">
        <v>24</v>
      </c>
      <c r="D626" s="6" t="s">
        <v>27</v>
      </c>
      <c r="E626" s="6">
        <v>1985</v>
      </c>
      <c r="F626" s="6">
        <v>4</v>
      </c>
      <c r="G626" s="6">
        <v>1</v>
      </c>
      <c r="H626" s="6">
        <v>14</v>
      </c>
      <c r="K626" s="6">
        <v>114</v>
      </c>
      <c r="M626" s="13">
        <v>45769</v>
      </c>
      <c r="N626">
        <v>0</v>
      </c>
      <c r="O626">
        <v>112</v>
      </c>
    </row>
    <row r="627" spans="1:15" x14ac:dyDescent="0.25">
      <c r="A627" t="s">
        <v>24</v>
      </c>
      <c r="D627" s="6" t="s">
        <v>27</v>
      </c>
      <c r="E627" s="6">
        <v>1985</v>
      </c>
      <c r="F627" s="6">
        <v>4</v>
      </c>
      <c r="G627" s="6">
        <v>1</v>
      </c>
      <c r="H627" s="6">
        <v>14</v>
      </c>
      <c r="K627" s="6">
        <v>114</v>
      </c>
      <c r="M627" s="13">
        <v>45771</v>
      </c>
      <c r="N627">
        <v>25</v>
      </c>
      <c r="O627">
        <v>114</v>
      </c>
    </row>
    <row r="628" spans="1:15" x14ac:dyDescent="0.25">
      <c r="A628" t="s">
        <v>24</v>
      </c>
      <c r="D628" s="6" t="s">
        <v>27</v>
      </c>
      <c r="E628" s="6">
        <v>1985</v>
      </c>
      <c r="F628" s="6">
        <v>4</v>
      </c>
      <c r="G628" s="6">
        <v>1</v>
      </c>
      <c r="H628" s="6">
        <v>14</v>
      </c>
      <c r="K628" s="6">
        <v>114</v>
      </c>
      <c r="M628" s="13">
        <v>45772</v>
      </c>
      <c r="N628">
        <v>36</v>
      </c>
      <c r="O628">
        <v>115</v>
      </c>
    </row>
    <row r="629" spans="1:15" x14ac:dyDescent="0.25">
      <c r="A629" t="s">
        <v>24</v>
      </c>
      <c r="D629" s="6" t="s">
        <v>27</v>
      </c>
      <c r="E629" s="6">
        <v>1985</v>
      </c>
      <c r="F629" s="6">
        <v>4</v>
      </c>
      <c r="G629" s="6">
        <v>1</v>
      </c>
      <c r="H629" s="6">
        <v>14</v>
      </c>
      <c r="K629" s="6">
        <v>114</v>
      </c>
      <c r="M629" s="13">
        <v>45775</v>
      </c>
      <c r="N629">
        <v>37</v>
      </c>
      <c r="O629">
        <v>118</v>
      </c>
    </row>
    <row r="630" spans="1:15" x14ac:dyDescent="0.25">
      <c r="A630" t="s">
        <v>24</v>
      </c>
      <c r="D630" s="6" t="s">
        <v>27</v>
      </c>
      <c r="E630" s="6">
        <v>1985</v>
      </c>
      <c r="F630" s="6">
        <v>4</v>
      </c>
      <c r="G630" s="6">
        <v>1</v>
      </c>
      <c r="H630" s="6">
        <v>14</v>
      </c>
      <c r="K630" s="6">
        <v>114</v>
      </c>
      <c r="M630" s="13">
        <v>45778</v>
      </c>
      <c r="N630">
        <v>37</v>
      </c>
      <c r="O630">
        <v>121</v>
      </c>
    </row>
    <row r="631" spans="1:15" x14ac:dyDescent="0.25">
      <c r="A631" t="s">
        <v>24</v>
      </c>
      <c r="D631" s="6" t="s">
        <v>27</v>
      </c>
      <c r="E631" s="6">
        <v>1985</v>
      </c>
      <c r="F631" s="6">
        <v>4</v>
      </c>
      <c r="G631" s="6">
        <v>1</v>
      </c>
      <c r="H631" s="6">
        <v>14</v>
      </c>
      <c r="K631" s="6">
        <v>114</v>
      </c>
      <c r="M631" s="13">
        <v>45782</v>
      </c>
      <c r="N631">
        <v>39</v>
      </c>
      <c r="O631">
        <v>125</v>
      </c>
    </row>
    <row r="632" spans="1:15" x14ac:dyDescent="0.25">
      <c r="A632" t="s">
        <v>24</v>
      </c>
      <c r="D632" s="6" t="s">
        <v>27</v>
      </c>
      <c r="E632" s="6">
        <v>1985</v>
      </c>
      <c r="F632" s="6">
        <v>4</v>
      </c>
      <c r="G632" s="6">
        <v>1</v>
      </c>
      <c r="H632" s="6">
        <v>14</v>
      </c>
      <c r="K632" s="6">
        <v>114</v>
      </c>
      <c r="M632" s="13">
        <v>45793</v>
      </c>
      <c r="O632">
        <v>136</v>
      </c>
    </row>
    <row r="633" spans="1:15" x14ac:dyDescent="0.25">
      <c r="A633" t="s">
        <v>24</v>
      </c>
      <c r="D633" s="6" t="s">
        <v>27</v>
      </c>
      <c r="E633" s="6">
        <v>1985</v>
      </c>
      <c r="F633" s="6">
        <v>4</v>
      </c>
      <c r="G633" s="6">
        <v>1</v>
      </c>
      <c r="H633" s="6">
        <v>14</v>
      </c>
      <c r="K633" s="6">
        <v>114</v>
      </c>
      <c r="M633" s="13">
        <v>45796</v>
      </c>
      <c r="O633">
        <v>139</v>
      </c>
    </row>
    <row r="634" spans="1:15" x14ac:dyDescent="0.25">
      <c r="A634" t="s">
        <v>24</v>
      </c>
      <c r="D634" s="6" t="s">
        <v>27</v>
      </c>
      <c r="E634" s="6">
        <v>1985</v>
      </c>
      <c r="F634" s="6">
        <v>4</v>
      </c>
      <c r="G634" s="6">
        <v>1</v>
      </c>
      <c r="H634" s="6">
        <v>14</v>
      </c>
      <c r="K634" s="6">
        <v>114</v>
      </c>
      <c r="M634" s="13">
        <v>45800</v>
      </c>
      <c r="O634">
        <v>143</v>
      </c>
    </row>
    <row r="635" spans="1:15" x14ac:dyDescent="0.25">
      <c r="A635" t="s">
        <v>24</v>
      </c>
      <c r="D635" s="6" t="s">
        <v>27</v>
      </c>
      <c r="E635" s="6">
        <v>1985</v>
      </c>
      <c r="F635" s="6">
        <v>4</v>
      </c>
      <c r="G635" s="6">
        <v>1</v>
      </c>
      <c r="H635" s="6">
        <v>14</v>
      </c>
      <c r="K635" s="6">
        <v>114</v>
      </c>
      <c r="M635" s="13">
        <v>45804</v>
      </c>
      <c r="O635">
        <v>147</v>
      </c>
    </row>
    <row r="636" spans="1:15" x14ac:dyDescent="0.25">
      <c r="A636" t="s">
        <v>24</v>
      </c>
      <c r="D636" s="6" t="s">
        <v>27</v>
      </c>
      <c r="E636" s="6">
        <v>1985</v>
      </c>
      <c r="F636" s="6">
        <v>4</v>
      </c>
      <c r="G636" s="6">
        <v>1</v>
      </c>
      <c r="H636" s="6">
        <v>14</v>
      </c>
      <c r="K636" s="6">
        <v>114</v>
      </c>
      <c r="M636" s="13">
        <v>45807</v>
      </c>
      <c r="O636">
        <v>150</v>
      </c>
    </row>
    <row r="637" spans="1:15" x14ac:dyDescent="0.25">
      <c r="A637" t="s">
        <v>24</v>
      </c>
      <c r="D637" s="6" t="s">
        <v>27</v>
      </c>
      <c r="E637" s="6">
        <v>1985</v>
      </c>
      <c r="F637" s="6">
        <v>4</v>
      </c>
      <c r="G637" s="6">
        <v>1</v>
      </c>
      <c r="H637" s="6">
        <v>14</v>
      </c>
      <c r="K637" s="6">
        <v>114</v>
      </c>
      <c r="M637" s="13">
        <v>45810</v>
      </c>
      <c r="O637">
        <v>153</v>
      </c>
    </row>
    <row r="638" spans="1:15" x14ac:dyDescent="0.25">
      <c r="A638" t="s">
        <v>24</v>
      </c>
      <c r="D638" s="6" t="s">
        <v>29</v>
      </c>
      <c r="E638" s="6">
        <v>1999</v>
      </c>
      <c r="F638" s="6">
        <v>4</v>
      </c>
      <c r="G638" s="6">
        <v>2</v>
      </c>
      <c r="H638" s="6">
        <v>14</v>
      </c>
      <c r="K638" s="6">
        <v>130</v>
      </c>
      <c r="M638" s="13">
        <v>45769</v>
      </c>
      <c r="N638">
        <v>0</v>
      </c>
      <c r="O638">
        <v>112</v>
      </c>
    </row>
    <row r="639" spans="1:15" x14ac:dyDescent="0.25">
      <c r="A639" t="s">
        <v>24</v>
      </c>
      <c r="D639" s="6" t="s">
        <v>29</v>
      </c>
      <c r="E639" s="6">
        <v>1999</v>
      </c>
      <c r="F639" s="6">
        <v>4</v>
      </c>
      <c r="G639" s="6">
        <v>2</v>
      </c>
      <c r="H639" s="6">
        <v>14</v>
      </c>
      <c r="K639" s="6">
        <v>130</v>
      </c>
      <c r="M639" s="13">
        <v>45771</v>
      </c>
      <c r="N639">
        <v>19</v>
      </c>
      <c r="O639">
        <v>114</v>
      </c>
    </row>
    <row r="640" spans="1:15" x14ac:dyDescent="0.25">
      <c r="A640" t="s">
        <v>24</v>
      </c>
      <c r="D640" s="6" t="s">
        <v>29</v>
      </c>
      <c r="E640" s="6">
        <v>1999</v>
      </c>
      <c r="F640" s="6">
        <v>4</v>
      </c>
      <c r="G640" s="6">
        <v>2</v>
      </c>
      <c r="H640" s="6">
        <v>14</v>
      </c>
      <c r="K640" s="6">
        <v>130</v>
      </c>
      <c r="M640" s="13">
        <v>45772</v>
      </c>
      <c r="N640">
        <v>24</v>
      </c>
      <c r="O640">
        <v>115</v>
      </c>
    </row>
    <row r="641" spans="1:15" x14ac:dyDescent="0.25">
      <c r="A641" t="s">
        <v>24</v>
      </c>
      <c r="D641" s="6" t="s">
        <v>29</v>
      </c>
      <c r="E641" s="6">
        <v>1999</v>
      </c>
      <c r="F641" s="6">
        <v>4</v>
      </c>
      <c r="G641" s="6">
        <v>2</v>
      </c>
      <c r="H641" s="6">
        <v>14</v>
      </c>
      <c r="K641" s="6">
        <v>130</v>
      </c>
      <c r="M641" s="13">
        <v>45775</v>
      </c>
      <c r="N641">
        <v>30</v>
      </c>
      <c r="O641">
        <v>118</v>
      </c>
    </row>
    <row r="642" spans="1:15" x14ac:dyDescent="0.25">
      <c r="A642" t="s">
        <v>24</v>
      </c>
      <c r="D642" s="6" t="s">
        <v>29</v>
      </c>
      <c r="E642" s="6">
        <v>1999</v>
      </c>
      <c r="F642" s="6">
        <v>4</v>
      </c>
      <c r="G642" s="6">
        <v>2</v>
      </c>
      <c r="H642" s="6">
        <v>14</v>
      </c>
      <c r="K642" s="6">
        <v>130</v>
      </c>
      <c r="M642" s="13">
        <v>45778</v>
      </c>
      <c r="N642">
        <v>30</v>
      </c>
      <c r="O642">
        <v>121</v>
      </c>
    </row>
    <row r="643" spans="1:15" x14ac:dyDescent="0.25">
      <c r="A643" t="s">
        <v>24</v>
      </c>
      <c r="D643" s="6" t="s">
        <v>29</v>
      </c>
      <c r="E643" s="6">
        <v>1999</v>
      </c>
      <c r="F643" s="6">
        <v>4</v>
      </c>
      <c r="G643" s="6">
        <v>2</v>
      </c>
      <c r="H643" s="6">
        <v>14</v>
      </c>
      <c r="K643" s="6">
        <v>130</v>
      </c>
      <c r="M643" s="13">
        <v>45782</v>
      </c>
      <c r="N643">
        <v>30</v>
      </c>
      <c r="O643">
        <v>125</v>
      </c>
    </row>
    <row r="644" spans="1:15" x14ac:dyDescent="0.25">
      <c r="A644" t="s">
        <v>24</v>
      </c>
      <c r="D644" s="6" t="s">
        <v>29</v>
      </c>
      <c r="E644" s="6">
        <v>1999</v>
      </c>
      <c r="F644" s="6">
        <v>4</v>
      </c>
      <c r="G644" s="6">
        <v>2</v>
      </c>
      <c r="H644" s="6">
        <v>14</v>
      </c>
      <c r="K644" s="6">
        <v>130</v>
      </c>
      <c r="M644" s="13">
        <v>45793</v>
      </c>
      <c r="O644">
        <v>136</v>
      </c>
    </row>
    <row r="645" spans="1:15" x14ac:dyDescent="0.25">
      <c r="A645" t="s">
        <v>24</v>
      </c>
      <c r="D645" s="6" t="s">
        <v>29</v>
      </c>
      <c r="E645" s="6">
        <v>1999</v>
      </c>
      <c r="F645" s="6">
        <v>4</v>
      </c>
      <c r="G645" s="6">
        <v>2</v>
      </c>
      <c r="H645" s="6">
        <v>14</v>
      </c>
      <c r="K645" s="6">
        <v>130</v>
      </c>
      <c r="M645" s="13">
        <v>45796</v>
      </c>
      <c r="O645">
        <v>139</v>
      </c>
    </row>
    <row r="646" spans="1:15" x14ac:dyDescent="0.25">
      <c r="A646" t="s">
        <v>24</v>
      </c>
      <c r="D646" s="6" t="s">
        <v>29</v>
      </c>
      <c r="E646" s="6">
        <v>1999</v>
      </c>
      <c r="F646" s="6">
        <v>4</v>
      </c>
      <c r="G646" s="6">
        <v>2</v>
      </c>
      <c r="H646" s="6">
        <v>14</v>
      </c>
      <c r="K646" s="6">
        <v>130</v>
      </c>
      <c r="M646" s="13">
        <v>45800</v>
      </c>
      <c r="O646">
        <v>143</v>
      </c>
    </row>
    <row r="647" spans="1:15" x14ac:dyDescent="0.25">
      <c r="A647" t="s">
        <v>24</v>
      </c>
      <c r="D647" s="6" t="s">
        <v>29</v>
      </c>
      <c r="E647" s="6">
        <v>1999</v>
      </c>
      <c r="F647" s="6">
        <v>4</v>
      </c>
      <c r="G647" s="6">
        <v>2</v>
      </c>
      <c r="H647" s="6">
        <v>14</v>
      </c>
      <c r="K647" s="6">
        <v>130</v>
      </c>
      <c r="M647" s="13">
        <v>45804</v>
      </c>
      <c r="O647">
        <v>147</v>
      </c>
    </row>
    <row r="648" spans="1:15" x14ac:dyDescent="0.25">
      <c r="A648" t="s">
        <v>24</v>
      </c>
      <c r="D648" s="6" t="s">
        <v>29</v>
      </c>
      <c r="E648" s="6">
        <v>1999</v>
      </c>
      <c r="F648" s="6">
        <v>4</v>
      </c>
      <c r="G648" s="6">
        <v>2</v>
      </c>
      <c r="H648" s="6">
        <v>14</v>
      </c>
      <c r="K648" s="6">
        <v>130</v>
      </c>
      <c r="M648" s="13">
        <v>45807</v>
      </c>
      <c r="O648">
        <v>150</v>
      </c>
    </row>
    <row r="649" spans="1:15" x14ac:dyDescent="0.25">
      <c r="A649" t="s">
        <v>24</v>
      </c>
      <c r="D649" s="6" t="s">
        <v>29</v>
      </c>
      <c r="E649" s="6">
        <v>1999</v>
      </c>
      <c r="F649" s="6">
        <v>4</v>
      </c>
      <c r="G649" s="6">
        <v>2</v>
      </c>
      <c r="H649" s="6">
        <v>14</v>
      </c>
      <c r="K649" s="6">
        <v>130</v>
      </c>
      <c r="M649" s="13">
        <v>45810</v>
      </c>
      <c r="O649">
        <v>153</v>
      </c>
    </row>
    <row r="650" spans="1:15" x14ac:dyDescent="0.25">
      <c r="A650" t="s">
        <v>24</v>
      </c>
      <c r="D650" s="6" t="s">
        <v>312</v>
      </c>
      <c r="E650" s="6">
        <v>2002</v>
      </c>
      <c r="F650" s="6">
        <v>4</v>
      </c>
      <c r="G650" s="6">
        <v>3</v>
      </c>
      <c r="H650" s="6">
        <v>14</v>
      </c>
      <c r="K650" s="6">
        <v>146</v>
      </c>
      <c r="M650" s="13">
        <v>45769</v>
      </c>
      <c r="N650">
        <v>0</v>
      </c>
      <c r="O650">
        <v>112</v>
      </c>
    </row>
    <row r="651" spans="1:15" x14ac:dyDescent="0.25">
      <c r="A651" t="s">
        <v>24</v>
      </c>
      <c r="D651" s="6" t="s">
        <v>312</v>
      </c>
      <c r="E651" s="6">
        <v>2002</v>
      </c>
      <c r="F651" s="6">
        <v>4</v>
      </c>
      <c r="G651" s="6">
        <v>3</v>
      </c>
      <c r="H651" s="6">
        <v>14</v>
      </c>
      <c r="K651" s="6">
        <v>146</v>
      </c>
      <c r="M651" s="13">
        <v>45771</v>
      </c>
      <c r="N651">
        <v>5</v>
      </c>
      <c r="O651">
        <v>114</v>
      </c>
    </row>
    <row r="652" spans="1:15" x14ac:dyDescent="0.25">
      <c r="A652" t="s">
        <v>24</v>
      </c>
      <c r="D652" s="6" t="s">
        <v>312</v>
      </c>
      <c r="E652" s="6">
        <v>2002</v>
      </c>
      <c r="F652" s="6">
        <v>4</v>
      </c>
      <c r="G652" s="6">
        <v>3</v>
      </c>
      <c r="H652" s="6">
        <v>14</v>
      </c>
      <c r="K652" s="6">
        <v>146</v>
      </c>
      <c r="M652" s="13">
        <v>45772</v>
      </c>
      <c r="N652">
        <v>16</v>
      </c>
      <c r="O652">
        <v>115</v>
      </c>
    </row>
    <row r="653" spans="1:15" x14ac:dyDescent="0.25">
      <c r="A653" t="s">
        <v>24</v>
      </c>
      <c r="D653" s="6" t="s">
        <v>312</v>
      </c>
      <c r="E653" s="6">
        <v>2002</v>
      </c>
      <c r="F653" s="6">
        <v>4</v>
      </c>
      <c r="G653" s="6">
        <v>3</v>
      </c>
      <c r="H653" s="6">
        <v>14</v>
      </c>
      <c r="K653" s="6">
        <v>146</v>
      </c>
      <c r="M653" s="13">
        <v>45775</v>
      </c>
      <c r="N653">
        <v>28</v>
      </c>
      <c r="O653">
        <v>118</v>
      </c>
    </row>
    <row r="654" spans="1:15" x14ac:dyDescent="0.25">
      <c r="A654" t="s">
        <v>24</v>
      </c>
      <c r="D654" s="6" t="s">
        <v>312</v>
      </c>
      <c r="E654" s="6">
        <v>2002</v>
      </c>
      <c r="F654" s="6">
        <v>4</v>
      </c>
      <c r="G654" s="6">
        <v>3</v>
      </c>
      <c r="H654" s="6">
        <v>14</v>
      </c>
      <c r="K654" s="6">
        <v>146</v>
      </c>
      <c r="M654" s="13">
        <v>45778</v>
      </c>
      <c r="N654">
        <v>30</v>
      </c>
      <c r="O654">
        <v>121</v>
      </c>
    </row>
    <row r="655" spans="1:15" x14ac:dyDescent="0.25">
      <c r="A655" t="s">
        <v>24</v>
      </c>
      <c r="D655" s="6" t="s">
        <v>312</v>
      </c>
      <c r="E655" s="6">
        <v>2002</v>
      </c>
      <c r="F655" s="6">
        <v>4</v>
      </c>
      <c r="G655" s="6">
        <v>3</v>
      </c>
      <c r="H655" s="6">
        <v>14</v>
      </c>
      <c r="K655" s="6">
        <v>146</v>
      </c>
      <c r="M655" s="13">
        <v>45782</v>
      </c>
      <c r="N655">
        <v>31</v>
      </c>
      <c r="O655">
        <v>125</v>
      </c>
    </row>
    <row r="656" spans="1:15" x14ac:dyDescent="0.25">
      <c r="A656" t="s">
        <v>24</v>
      </c>
      <c r="D656" s="6" t="s">
        <v>312</v>
      </c>
      <c r="E656" s="6">
        <v>2002</v>
      </c>
      <c r="F656" s="6">
        <v>4</v>
      </c>
      <c r="G656" s="6">
        <v>3</v>
      </c>
      <c r="H656" s="6">
        <v>14</v>
      </c>
      <c r="K656" s="6">
        <v>146</v>
      </c>
      <c r="M656" s="13">
        <v>45793</v>
      </c>
      <c r="O656">
        <v>136</v>
      </c>
    </row>
    <row r="657" spans="1:15" x14ac:dyDescent="0.25">
      <c r="A657" t="s">
        <v>24</v>
      </c>
      <c r="D657" s="6" t="s">
        <v>312</v>
      </c>
      <c r="E657" s="6">
        <v>2002</v>
      </c>
      <c r="F657" s="6">
        <v>4</v>
      </c>
      <c r="G657" s="6">
        <v>3</v>
      </c>
      <c r="H657" s="6">
        <v>14</v>
      </c>
      <c r="K657" s="6">
        <v>146</v>
      </c>
      <c r="M657" s="13">
        <v>45796</v>
      </c>
      <c r="O657">
        <v>139</v>
      </c>
    </row>
    <row r="658" spans="1:15" x14ac:dyDescent="0.25">
      <c r="A658" t="s">
        <v>24</v>
      </c>
      <c r="D658" s="6" t="s">
        <v>312</v>
      </c>
      <c r="E658" s="6">
        <v>2002</v>
      </c>
      <c r="F658" s="6">
        <v>4</v>
      </c>
      <c r="G658" s="6">
        <v>3</v>
      </c>
      <c r="H658" s="6">
        <v>14</v>
      </c>
      <c r="K658" s="6">
        <v>146</v>
      </c>
      <c r="M658" s="13">
        <v>45800</v>
      </c>
      <c r="O658">
        <v>143</v>
      </c>
    </row>
    <row r="659" spans="1:15" x14ac:dyDescent="0.25">
      <c r="A659" t="s">
        <v>24</v>
      </c>
      <c r="D659" s="6" t="s">
        <v>312</v>
      </c>
      <c r="E659" s="6">
        <v>2002</v>
      </c>
      <c r="F659" s="6">
        <v>4</v>
      </c>
      <c r="G659" s="6">
        <v>3</v>
      </c>
      <c r="H659" s="6">
        <v>14</v>
      </c>
      <c r="K659" s="6">
        <v>146</v>
      </c>
      <c r="M659" s="13">
        <v>45804</v>
      </c>
      <c r="O659">
        <v>147</v>
      </c>
    </row>
    <row r="660" spans="1:15" x14ac:dyDescent="0.25">
      <c r="A660" t="s">
        <v>24</v>
      </c>
      <c r="D660" s="6" t="s">
        <v>312</v>
      </c>
      <c r="E660" s="6">
        <v>2002</v>
      </c>
      <c r="F660" s="6">
        <v>4</v>
      </c>
      <c r="G660" s="6">
        <v>3</v>
      </c>
      <c r="H660" s="6">
        <v>14</v>
      </c>
      <c r="K660" s="6">
        <v>146</v>
      </c>
      <c r="M660" s="13">
        <v>45807</v>
      </c>
      <c r="O660">
        <v>150</v>
      </c>
    </row>
    <row r="661" spans="1:15" x14ac:dyDescent="0.25">
      <c r="A661" t="s">
        <v>24</v>
      </c>
      <c r="D661" s="6" t="s">
        <v>312</v>
      </c>
      <c r="E661" s="6">
        <v>2002</v>
      </c>
      <c r="F661" s="6">
        <v>4</v>
      </c>
      <c r="G661" s="6">
        <v>3</v>
      </c>
      <c r="H661" s="6">
        <v>14</v>
      </c>
      <c r="K661" s="6">
        <v>146</v>
      </c>
      <c r="M661" s="13">
        <v>45810</v>
      </c>
      <c r="O661">
        <v>153</v>
      </c>
    </row>
    <row r="662" spans="1:15" x14ac:dyDescent="0.25">
      <c r="A662" t="s">
        <v>24</v>
      </c>
      <c r="D662" s="6" t="s">
        <v>313</v>
      </c>
      <c r="E662" s="6">
        <v>2016</v>
      </c>
      <c r="F662" s="6">
        <v>4</v>
      </c>
      <c r="G662" s="6">
        <v>4</v>
      </c>
      <c r="H662" s="6">
        <v>14</v>
      </c>
      <c r="K662" s="6">
        <v>162</v>
      </c>
      <c r="M662" s="13">
        <v>45769</v>
      </c>
      <c r="N662">
        <v>0</v>
      </c>
      <c r="O662">
        <v>112</v>
      </c>
    </row>
    <row r="663" spans="1:15" x14ac:dyDescent="0.25">
      <c r="A663" t="s">
        <v>24</v>
      </c>
      <c r="D663" s="6" t="s">
        <v>313</v>
      </c>
      <c r="E663" s="6">
        <v>2016</v>
      </c>
      <c r="F663" s="6">
        <v>4</v>
      </c>
      <c r="G663" s="6">
        <v>4</v>
      </c>
      <c r="H663" s="6">
        <v>14</v>
      </c>
      <c r="K663" s="6">
        <v>162</v>
      </c>
      <c r="M663" s="13">
        <v>45771</v>
      </c>
      <c r="N663">
        <v>31</v>
      </c>
      <c r="O663">
        <v>114</v>
      </c>
    </row>
    <row r="664" spans="1:15" x14ac:dyDescent="0.25">
      <c r="A664" t="s">
        <v>24</v>
      </c>
      <c r="D664" s="6" t="s">
        <v>313</v>
      </c>
      <c r="E664" s="6">
        <v>2016</v>
      </c>
      <c r="F664" s="6">
        <v>4</v>
      </c>
      <c r="G664" s="6">
        <v>4</v>
      </c>
      <c r="H664" s="6">
        <v>14</v>
      </c>
      <c r="K664" s="6">
        <v>162</v>
      </c>
      <c r="M664" s="13">
        <v>45772</v>
      </c>
      <c r="N664">
        <v>38</v>
      </c>
      <c r="O664">
        <v>115</v>
      </c>
    </row>
    <row r="665" spans="1:15" x14ac:dyDescent="0.25">
      <c r="A665" t="s">
        <v>24</v>
      </c>
      <c r="D665" s="6" t="s">
        <v>313</v>
      </c>
      <c r="E665" s="6">
        <v>2016</v>
      </c>
      <c r="F665" s="6">
        <v>4</v>
      </c>
      <c r="G665" s="6">
        <v>4</v>
      </c>
      <c r="H665" s="6">
        <v>14</v>
      </c>
      <c r="K665" s="6">
        <v>162</v>
      </c>
      <c r="M665" s="13">
        <v>45775</v>
      </c>
      <c r="N665">
        <v>48</v>
      </c>
      <c r="O665">
        <v>118</v>
      </c>
    </row>
    <row r="666" spans="1:15" x14ac:dyDescent="0.25">
      <c r="A666" t="s">
        <v>24</v>
      </c>
      <c r="D666" s="6" t="s">
        <v>313</v>
      </c>
      <c r="E666" s="6">
        <v>2016</v>
      </c>
      <c r="F666" s="6">
        <v>4</v>
      </c>
      <c r="G666" s="6">
        <v>4</v>
      </c>
      <c r="H666" s="6">
        <v>14</v>
      </c>
      <c r="K666" s="6">
        <v>162</v>
      </c>
      <c r="M666" s="13">
        <v>45778</v>
      </c>
      <c r="N666">
        <v>48</v>
      </c>
      <c r="O666">
        <v>121</v>
      </c>
    </row>
    <row r="667" spans="1:15" x14ac:dyDescent="0.25">
      <c r="A667" t="s">
        <v>24</v>
      </c>
      <c r="D667" s="6" t="s">
        <v>313</v>
      </c>
      <c r="E667" s="6">
        <v>2016</v>
      </c>
      <c r="F667" s="6">
        <v>4</v>
      </c>
      <c r="G667" s="6">
        <v>4</v>
      </c>
      <c r="H667" s="6">
        <v>14</v>
      </c>
      <c r="K667" s="6">
        <v>162</v>
      </c>
      <c r="M667" s="13">
        <v>45782</v>
      </c>
      <c r="N667">
        <v>48</v>
      </c>
      <c r="O667">
        <v>125</v>
      </c>
    </row>
    <row r="668" spans="1:15" x14ac:dyDescent="0.25">
      <c r="A668" t="s">
        <v>24</v>
      </c>
      <c r="D668" s="6" t="s">
        <v>313</v>
      </c>
      <c r="E668" s="6">
        <v>2016</v>
      </c>
      <c r="F668" s="6">
        <v>4</v>
      </c>
      <c r="G668" s="6">
        <v>4</v>
      </c>
      <c r="H668" s="6">
        <v>14</v>
      </c>
      <c r="K668" s="6">
        <v>162</v>
      </c>
      <c r="M668" s="13">
        <v>45793</v>
      </c>
      <c r="O668">
        <v>136</v>
      </c>
    </row>
    <row r="669" spans="1:15" x14ac:dyDescent="0.25">
      <c r="A669" t="s">
        <v>24</v>
      </c>
      <c r="D669" s="6" t="s">
        <v>313</v>
      </c>
      <c r="E669" s="6">
        <v>2016</v>
      </c>
      <c r="F669" s="6">
        <v>4</v>
      </c>
      <c r="G669" s="6">
        <v>4</v>
      </c>
      <c r="H669" s="6">
        <v>14</v>
      </c>
      <c r="K669" s="6">
        <v>162</v>
      </c>
      <c r="M669" s="13">
        <v>45796</v>
      </c>
      <c r="O669">
        <v>139</v>
      </c>
    </row>
    <row r="670" spans="1:15" x14ac:dyDescent="0.25">
      <c r="A670" t="s">
        <v>24</v>
      </c>
      <c r="D670" s="6" t="s">
        <v>313</v>
      </c>
      <c r="E670" s="6">
        <v>2016</v>
      </c>
      <c r="F670" s="6">
        <v>4</v>
      </c>
      <c r="G670" s="6">
        <v>4</v>
      </c>
      <c r="H670" s="6">
        <v>14</v>
      </c>
      <c r="K670" s="6">
        <v>162</v>
      </c>
      <c r="M670" s="13">
        <v>45800</v>
      </c>
      <c r="O670">
        <v>143</v>
      </c>
    </row>
    <row r="671" spans="1:15" x14ac:dyDescent="0.25">
      <c r="A671" t="s">
        <v>24</v>
      </c>
      <c r="D671" s="6" t="s">
        <v>313</v>
      </c>
      <c r="E671" s="6">
        <v>2016</v>
      </c>
      <c r="F671" s="6">
        <v>4</v>
      </c>
      <c r="G671" s="6">
        <v>4</v>
      </c>
      <c r="H671" s="6">
        <v>14</v>
      </c>
      <c r="K671" s="6">
        <v>162</v>
      </c>
      <c r="M671" s="13">
        <v>45804</v>
      </c>
      <c r="O671">
        <v>147</v>
      </c>
    </row>
    <row r="672" spans="1:15" x14ac:dyDescent="0.25">
      <c r="A672" t="s">
        <v>24</v>
      </c>
      <c r="D672" s="6" t="s">
        <v>313</v>
      </c>
      <c r="E672" s="6">
        <v>2016</v>
      </c>
      <c r="F672" s="6">
        <v>4</v>
      </c>
      <c r="G672" s="6">
        <v>4</v>
      </c>
      <c r="H672" s="6">
        <v>14</v>
      </c>
      <c r="K672" s="6">
        <v>162</v>
      </c>
      <c r="M672" s="13">
        <v>45807</v>
      </c>
      <c r="O672">
        <v>150</v>
      </c>
    </row>
    <row r="673" spans="1:15" x14ac:dyDescent="0.25">
      <c r="A673" t="s">
        <v>24</v>
      </c>
      <c r="D673" s="6" t="s">
        <v>313</v>
      </c>
      <c r="E673" s="6">
        <v>2016</v>
      </c>
      <c r="F673" s="6">
        <v>4</v>
      </c>
      <c r="G673" s="6">
        <v>4</v>
      </c>
      <c r="H673" s="6">
        <v>14</v>
      </c>
      <c r="K673" s="6">
        <v>162</v>
      </c>
      <c r="M673" s="13">
        <v>45810</v>
      </c>
      <c r="O673">
        <v>153</v>
      </c>
    </row>
    <row r="674" spans="1:15" x14ac:dyDescent="0.25">
      <c r="A674" t="s">
        <v>34</v>
      </c>
      <c r="D674" s="6" t="s">
        <v>36</v>
      </c>
      <c r="E674" s="6">
        <v>1984</v>
      </c>
      <c r="F674" s="6">
        <v>4</v>
      </c>
      <c r="G674" s="6">
        <v>1</v>
      </c>
      <c r="H674" s="6">
        <v>15</v>
      </c>
      <c r="K674" s="6">
        <v>115</v>
      </c>
      <c r="M674" s="13">
        <v>45769</v>
      </c>
      <c r="O674">
        <v>112</v>
      </c>
    </row>
    <row r="675" spans="1:15" x14ac:dyDescent="0.25">
      <c r="A675" t="s">
        <v>34</v>
      </c>
      <c r="D675" s="6" t="s">
        <v>36</v>
      </c>
      <c r="E675" s="6">
        <v>1984</v>
      </c>
      <c r="F675" s="6">
        <v>4</v>
      </c>
      <c r="G675" s="6">
        <v>1</v>
      </c>
      <c r="H675" s="6">
        <v>15</v>
      </c>
      <c r="K675" s="6">
        <v>115</v>
      </c>
      <c r="M675" s="13">
        <v>45771</v>
      </c>
      <c r="O675">
        <v>114</v>
      </c>
    </row>
    <row r="676" spans="1:15" x14ac:dyDescent="0.25">
      <c r="A676" t="s">
        <v>34</v>
      </c>
      <c r="D676" s="6" t="s">
        <v>36</v>
      </c>
      <c r="E676" s="6">
        <v>1984</v>
      </c>
      <c r="F676" s="6">
        <v>4</v>
      </c>
      <c r="G676" s="6">
        <v>1</v>
      </c>
      <c r="H676" s="6">
        <v>15</v>
      </c>
      <c r="K676" s="6">
        <v>115</v>
      </c>
      <c r="M676" s="13">
        <v>45772</v>
      </c>
      <c r="O676">
        <v>115</v>
      </c>
    </row>
    <row r="677" spans="1:15" x14ac:dyDescent="0.25">
      <c r="A677" t="s">
        <v>34</v>
      </c>
      <c r="D677" s="6" t="s">
        <v>36</v>
      </c>
      <c r="E677" s="6">
        <v>1984</v>
      </c>
      <c r="F677" s="6">
        <v>4</v>
      </c>
      <c r="G677" s="6">
        <v>1</v>
      </c>
      <c r="H677" s="6">
        <v>15</v>
      </c>
      <c r="K677" s="6">
        <v>115</v>
      </c>
      <c r="M677" s="13">
        <v>45775</v>
      </c>
      <c r="O677">
        <v>118</v>
      </c>
    </row>
    <row r="678" spans="1:15" x14ac:dyDescent="0.25">
      <c r="A678" t="s">
        <v>34</v>
      </c>
      <c r="D678" s="6" t="s">
        <v>36</v>
      </c>
      <c r="E678" s="6">
        <v>1984</v>
      </c>
      <c r="F678" s="6">
        <v>4</v>
      </c>
      <c r="G678" s="6">
        <v>1</v>
      </c>
      <c r="H678" s="6">
        <v>15</v>
      </c>
      <c r="K678" s="6">
        <v>115</v>
      </c>
      <c r="M678" s="13">
        <v>45778</v>
      </c>
      <c r="O678">
        <v>121</v>
      </c>
    </row>
    <row r="679" spans="1:15" x14ac:dyDescent="0.25">
      <c r="A679" t="s">
        <v>34</v>
      </c>
      <c r="D679" s="6" t="s">
        <v>36</v>
      </c>
      <c r="E679" s="6">
        <v>1984</v>
      </c>
      <c r="F679" s="6">
        <v>4</v>
      </c>
      <c r="G679" s="6">
        <v>1</v>
      </c>
      <c r="H679" s="6">
        <v>15</v>
      </c>
      <c r="K679" s="6">
        <v>115</v>
      </c>
      <c r="M679" s="13">
        <v>45782</v>
      </c>
      <c r="O679">
        <v>125</v>
      </c>
    </row>
    <row r="680" spans="1:15" x14ac:dyDescent="0.25">
      <c r="A680" t="s">
        <v>34</v>
      </c>
      <c r="D680" s="6" t="s">
        <v>36</v>
      </c>
      <c r="E680" s="6">
        <v>1984</v>
      </c>
      <c r="F680" s="6">
        <v>4</v>
      </c>
      <c r="G680" s="6">
        <v>1</v>
      </c>
      <c r="H680" s="6">
        <v>15</v>
      </c>
      <c r="K680" s="6">
        <v>115</v>
      </c>
      <c r="M680" s="13">
        <v>45793</v>
      </c>
      <c r="N680">
        <v>0</v>
      </c>
      <c r="O680">
        <v>136</v>
      </c>
    </row>
    <row r="681" spans="1:15" x14ac:dyDescent="0.25">
      <c r="A681" t="s">
        <v>34</v>
      </c>
      <c r="D681" s="6" t="s">
        <v>36</v>
      </c>
      <c r="E681" s="6">
        <v>1984</v>
      </c>
      <c r="F681" s="6">
        <v>4</v>
      </c>
      <c r="G681" s="6">
        <v>1</v>
      </c>
      <c r="H681" s="6">
        <v>15</v>
      </c>
      <c r="K681" s="6">
        <v>115</v>
      </c>
      <c r="M681" s="13">
        <v>45796</v>
      </c>
      <c r="N681">
        <v>0</v>
      </c>
      <c r="O681">
        <v>139</v>
      </c>
    </row>
    <row r="682" spans="1:15" x14ac:dyDescent="0.25">
      <c r="A682" t="s">
        <v>34</v>
      </c>
      <c r="D682" s="6" t="s">
        <v>36</v>
      </c>
      <c r="E682" s="6">
        <v>1984</v>
      </c>
      <c r="F682" s="6">
        <v>4</v>
      </c>
      <c r="G682" s="6">
        <v>1</v>
      </c>
      <c r="H682" s="6">
        <v>15</v>
      </c>
      <c r="K682" s="6">
        <v>115</v>
      </c>
      <c r="M682" s="13">
        <v>45800</v>
      </c>
      <c r="N682">
        <v>40</v>
      </c>
      <c r="O682">
        <v>143</v>
      </c>
    </row>
    <row r="683" spans="1:15" x14ac:dyDescent="0.25">
      <c r="A683" t="s">
        <v>34</v>
      </c>
      <c r="D683" s="6" t="s">
        <v>36</v>
      </c>
      <c r="E683" s="6">
        <v>1984</v>
      </c>
      <c r="F683" s="6">
        <v>4</v>
      </c>
      <c r="G683" s="6">
        <v>1</v>
      </c>
      <c r="H683" s="6">
        <v>15</v>
      </c>
      <c r="K683" s="6">
        <v>115</v>
      </c>
      <c r="M683" s="13">
        <v>45804</v>
      </c>
      <c r="N683">
        <v>47</v>
      </c>
      <c r="O683">
        <v>147</v>
      </c>
    </row>
    <row r="684" spans="1:15" x14ac:dyDescent="0.25">
      <c r="A684" t="s">
        <v>34</v>
      </c>
      <c r="D684" s="6" t="s">
        <v>36</v>
      </c>
      <c r="E684" s="6">
        <v>1984</v>
      </c>
      <c r="F684" s="6">
        <v>4</v>
      </c>
      <c r="G684" s="6">
        <v>1</v>
      </c>
      <c r="H684" s="6">
        <v>15</v>
      </c>
      <c r="K684" s="6">
        <v>115</v>
      </c>
      <c r="M684" s="13">
        <v>45807</v>
      </c>
      <c r="N684">
        <v>47</v>
      </c>
      <c r="O684">
        <v>150</v>
      </c>
    </row>
    <row r="685" spans="1:15" x14ac:dyDescent="0.25">
      <c r="A685" t="s">
        <v>34</v>
      </c>
      <c r="D685" s="6" t="s">
        <v>36</v>
      </c>
      <c r="E685" s="6">
        <v>1984</v>
      </c>
      <c r="F685" s="6">
        <v>4</v>
      </c>
      <c r="G685" s="6">
        <v>1</v>
      </c>
      <c r="H685" s="6">
        <v>15</v>
      </c>
      <c r="K685" s="6">
        <v>115</v>
      </c>
      <c r="M685" s="13">
        <v>45810</v>
      </c>
      <c r="N685">
        <v>47</v>
      </c>
      <c r="O685">
        <v>153</v>
      </c>
    </row>
    <row r="686" spans="1:15" x14ac:dyDescent="0.25">
      <c r="A686" t="s">
        <v>34</v>
      </c>
      <c r="D686" s="6" t="s">
        <v>38</v>
      </c>
      <c r="E686" s="6">
        <v>1999</v>
      </c>
      <c r="F686" s="6">
        <v>4</v>
      </c>
      <c r="G686" s="6">
        <v>2</v>
      </c>
      <c r="H686" s="6">
        <v>15</v>
      </c>
      <c r="K686" s="6">
        <v>131</v>
      </c>
      <c r="M686" s="13">
        <v>45769</v>
      </c>
      <c r="O686">
        <v>112</v>
      </c>
    </row>
    <row r="687" spans="1:15" x14ac:dyDescent="0.25">
      <c r="A687" t="s">
        <v>34</v>
      </c>
      <c r="D687" s="6" t="s">
        <v>38</v>
      </c>
      <c r="E687" s="6">
        <v>1999</v>
      </c>
      <c r="F687" s="6">
        <v>4</v>
      </c>
      <c r="G687" s="6">
        <v>2</v>
      </c>
      <c r="H687" s="6">
        <v>15</v>
      </c>
      <c r="K687" s="6">
        <v>131</v>
      </c>
      <c r="M687" s="13">
        <v>45771</v>
      </c>
      <c r="O687">
        <v>114</v>
      </c>
    </row>
    <row r="688" spans="1:15" x14ac:dyDescent="0.25">
      <c r="A688" t="s">
        <v>34</v>
      </c>
      <c r="D688" s="6" t="s">
        <v>38</v>
      </c>
      <c r="E688" s="6">
        <v>1999</v>
      </c>
      <c r="F688" s="6">
        <v>4</v>
      </c>
      <c r="G688" s="6">
        <v>2</v>
      </c>
      <c r="H688" s="6">
        <v>15</v>
      </c>
      <c r="K688" s="6">
        <v>131</v>
      </c>
      <c r="M688" s="13">
        <v>45772</v>
      </c>
      <c r="O688">
        <v>115</v>
      </c>
    </row>
    <row r="689" spans="1:15" x14ac:dyDescent="0.25">
      <c r="A689" t="s">
        <v>34</v>
      </c>
      <c r="D689" s="6" t="s">
        <v>38</v>
      </c>
      <c r="E689" s="6">
        <v>1999</v>
      </c>
      <c r="F689" s="6">
        <v>4</v>
      </c>
      <c r="G689" s="6">
        <v>2</v>
      </c>
      <c r="H689" s="6">
        <v>15</v>
      </c>
      <c r="K689" s="6">
        <v>131</v>
      </c>
      <c r="M689" s="13">
        <v>45775</v>
      </c>
      <c r="O689">
        <v>118</v>
      </c>
    </row>
    <row r="690" spans="1:15" x14ac:dyDescent="0.25">
      <c r="A690" t="s">
        <v>34</v>
      </c>
      <c r="D690" s="6" t="s">
        <v>38</v>
      </c>
      <c r="E690" s="6">
        <v>1999</v>
      </c>
      <c r="F690" s="6">
        <v>4</v>
      </c>
      <c r="G690" s="6">
        <v>2</v>
      </c>
      <c r="H690" s="6">
        <v>15</v>
      </c>
      <c r="K690" s="6">
        <v>131</v>
      </c>
      <c r="M690" s="13">
        <v>45778</v>
      </c>
      <c r="O690">
        <v>121</v>
      </c>
    </row>
    <row r="691" spans="1:15" x14ac:dyDescent="0.25">
      <c r="A691" t="s">
        <v>34</v>
      </c>
      <c r="D691" s="6" t="s">
        <v>38</v>
      </c>
      <c r="E691" s="6">
        <v>1999</v>
      </c>
      <c r="F691" s="6">
        <v>4</v>
      </c>
      <c r="G691" s="6">
        <v>2</v>
      </c>
      <c r="H691" s="6">
        <v>15</v>
      </c>
      <c r="K691" s="6">
        <v>131</v>
      </c>
      <c r="M691" s="13">
        <v>45782</v>
      </c>
      <c r="O691">
        <v>125</v>
      </c>
    </row>
    <row r="692" spans="1:15" x14ac:dyDescent="0.25">
      <c r="A692" t="s">
        <v>34</v>
      </c>
      <c r="D692" s="6" t="s">
        <v>38</v>
      </c>
      <c r="E692" s="6">
        <v>1999</v>
      </c>
      <c r="F692" s="6">
        <v>4</v>
      </c>
      <c r="G692" s="6">
        <v>2</v>
      </c>
      <c r="H692" s="6">
        <v>15</v>
      </c>
      <c r="K692" s="6">
        <v>131</v>
      </c>
      <c r="M692" s="13">
        <v>45793</v>
      </c>
      <c r="N692">
        <v>0</v>
      </c>
      <c r="O692">
        <v>136</v>
      </c>
    </row>
    <row r="693" spans="1:15" x14ac:dyDescent="0.25">
      <c r="A693" t="s">
        <v>34</v>
      </c>
      <c r="D693" s="6" t="s">
        <v>38</v>
      </c>
      <c r="E693" s="6">
        <v>1999</v>
      </c>
      <c r="F693" s="6">
        <v>4</v>
      </c>
      <c r="G693" s="6">
        <v>2</v>
      </c>
      <c r="H693" s="6">
        <v>15</v>
      </c>
      <c r="K693" s="6">
        <v>131</v>
      </c>
      <c r="M693" s="13">
        <v>45796</v>
      </c>
      <c r="N693">
        <v>0</v>
      </c>
      <c r="O693">
        <v>139</v>
      </c>
    </row>
    <row r="694" spans="1:15" x14ac:dyDescent="0.25">
      <c r="A694" t="s">
        <v>34</v>
      </c>
      <c r="D694" s="6" t="s">
        <v>38</v>
      </c>
      <c r="E694" s="6">
        <v>1999</v>
      </c>
      <c r="F694" s="6">
        <v>4</v>
      </c>
      <c r="G694" s="6">
        <v>2</v>
      </c>
      <c r="H694" s="6">
        <v>15</v>
      </c>
      <c r="K694" s="6">
        <v>131</v>
      </c>
      <c r="M694" s="13">
        <v>45800</v>
      </c>
      <c r="N694">
        <v>26</v>
      </c>
      <c r="O694">
        <v>143</v>
      </c>
    </row>
    <row r="695" spans="1:15" x14ac:dyDescent="0.25">
      <c r="A695" t="s">
        <v>34</v>
      </c>
      <c r="D695" s="6" t="s">
        <v>38</v>
      </c>
      <c r="E695" s="6">
        <v>1999</v>
      </c>
      <c r="F695" s="6">
        <v>4</v>
      </c>
      <c r="G695" s="6">
        <v>2</v>
      </c>
      <c r="H695" s="6">
        <v>15</v>
      </c>
      <c r="K695" s="6">
        <v>131</v>
      </c>
      <c r="M695" s="13">
        <v>45804</v>
      </c>
      <c r="N695">
        <v>51</v>
      </c>
      <c r="O695">
        <v>147</v>
      </c>
    </row>
    <row r="696" spans="1:15" x14ac:dyDescent="0.25">
      <c r="A696" t="s">
        <v>34</v>
      </c>
      <c r="D696" s="6" t="s">
        <v>38</v>
      </c>
      <c r="E696" s="6">
        <v>1999</v>
      </c>
      <c r="F696" s="6">
        <v>4</v>
      </c>
      <c r="G696" s="6">
        <v>2</v>
      </c>
      <c r="H696" s="6">
        <v>15</v>
      </c>
      <c r="K696" s="6">
        <v>131</v>
      </c>
      <c r="M696" s="13">
        <v>45807</v>
      </c>
      <c r="N696">
        <v>51</v>
      </c>
      <c r="O696">
        <v>150</v>
      </c>
    </row>
    <row r="697" spans="1:15" x14ac:dyDescent="0.25">
      <c r="A697" t="s">
        <v>34</v>
      </c>
      <c r="D697" s="6" t="s">
        <v>38</v>
      </c>
      <c r="E697" s="6">
        <v>1999</v>
      </c>
      <c r="F697" s="6">
        <v>4</v>
      </c>
      <c r="G697" s="6">
        <v>2</v>
      </c>
      <c r="H697" s="6">
        <v>15</v>
      </c>
      <c r="K697" s="6">
        <v>131</v>
      </c>
      <c r="M697" s="13">
        <v>45810</v>
      </c>
      <c r="N697">
        <v>51</v>
      </c>
      <c r="O697">
        <v>153</v>
      </c>
    </row>
    <row r="698" spans="1:15" x14ac:dyDescent="0.25">
      <c r="A698" t="s">
        <v>34</v>
      </c>
      <c r="D698" s="6" t="s">
        <v>37</v>
      </c>
      <c r="E698" s="6">
        <v>1989</v>
      </c>
      <c r="F698" s="6">
        <v>4</v>
      </c>
      <c r="G698" s="6">
        <v>3</v>
      </c>
      <c r="H698" s="6">
        <v>15</v>
      </c>
      <c r="K698" s="6">
        <v>147</v>
      </c>
      <c r="M698" s="13">
        <v>45769</v>
      </c>
      <c r="O698">
        <v>112</v>
      </c>
    </row>
    <row r="699" spans="1:15" x14ac:dyDescent="0.25">
      <c r="A699" t="s">
        <v>34</v>
      </c>
      <c r="D699" s="6" t="s">
        <v>37</v>
      </c>
      <c r="E699" s="6">
        <v>1989</v>
      </c>
      <c r="F699" s="6">
        <v>4</v>
      </c>
      <c r="G699" s="6">
        <v>3</v>
      </c>
      <c r="H699" s="6">
        <v>15</v>
      </c>
      <c r="K699" s="6">
        <v>147</v>
      </c>
      <c r="M699" s="13">
        <v>45771</v>
      </c>
      <c r="O699">
        <v>114</v>
      </c>
    </row>
    <row r="700" spans="1:15" x14ac:dyDescent="0.25">
      <c r="A700" t="s">
        <v>34</v>
      </c>
      <c r="D700" s="6" t="s">
        <v>37</v>
      </c>
      <c r="E700" s="6">
        <v>1989</v>
      </c>
      <c r="F700" s="6">
        <v>4</v>
      </c>
      <c r="G700" s="6">
        <v>3</v>
      </c>
      <c r="H700" s="6">
        <v>15</v>
      </c>
      <c r="K700" s="6">
        <v>147</v>
      </c>
      <c r="M700" s="13">
        <v>45772</v>
      </c>
      <c r="O700">
        <v>115</v>
      </c>
    </row>
    <row r="701" spans="1:15" x14ac:dyDescent="0.25">
      <c r="A701" t="s">
        <v>34</v>
      </c>
      <c r="D701" s="6" t="s">
        <v>37</v>
      </c>
      <c r="E701" s="6">
        <v>1989</v>
      </c>
      <c r="F701" s="6">
        <v>4</v>
      </c>
      <c r="G701" s="6">
        <v>3</v>
      </c>
      <c r="H701" s="6">
        <v>15</v>
      </c>
      <c r="K701" s="6">
        <v>147</v>
      </c>
      <c r="M701" s="13">
        <v>45775</v>
      </c>
      <c r="O701">
        <v>118</v>
      </c>
    </row>
    <row r="702" spans="1:15" x14ac:dyDescent="0.25">
      <c r="A702" t="s">
        <v>34</v>
      </c>
      <c r="D702" s="6" t="s">
        <v>37</v>
      </c>
      <c r="E702" s="6">
        <v>1989</v>
      </c>
      <c r="F702" s="6">
        <v>4</v>
      </c>
      <c r="G702" s="6">
        <v>3</v>
      </c>
      <c r="H702" s="6">
        <v>15</v>
      </c>
      <c r="K702" s="6">
        <v>147</v>
      </c>
      <c r="M702" s="13">
        <v>45778</v>
      </c>
      <c r="O702">
        <v>121</v>
      </c>
    </row>
    <row r="703" spans="1:15" x14ac:dyDescent="0.25">
      <c r="A703" t="s">
        <v>34</v>
      </c>
      <c r="D703" s="6" t="s">
        <v>37</v>
      </c>
      <c r="E703" s="6">
        <v>1989</v>
      </c>
      <c r="F703" s="6">
        <v>4</v>
      </c>
      <c r="G703" s="6">
        <v>3</v>
      </c>
      <c r="H703" s="6">
        <v>15</v>
      </c>
      <c r="K703" s="6">
        <v>147</v>
      </c>
      <c r="M703" s="13">
        <v>45782</v>
      </c>
      <c r="O703">
        <v>125</v>
      </c>
    </row>
    <row r="704" spans="1:15" x14ac:dyDescent="0.25">
      <c r="A704" t="s">
        <v>34</v>
      </c>
      <c r="D704" s="6" t="s">
        <v>37</v>
      </c>
      <c r="E704" s="6">
        <v>1989</v>
      </c>
      <c r="F704" s="6">
        <v>4</v>
      </c>
      <c r="G704" s="6">
        <v>3</v>
      </c>
      <c r="H704" s="6">
        <v>15</v>
      </c>
      <c r="K704" s="6">
        <v>147</v>
      </c>
      <c r="M704" s="13">
        <v>45793</v>
      </c>
      <c r="N704">
        <v>0</v>
      </c>
      <c r="O704">
        <v>136</v>
      </c>
    </row>
    <row r="705" spans="1:15" x14ac:dyDescent="0.25">
      <c r="A705" t="s">
        <v>34</v>
      </c>
      <c r="D705" s="6" t="s">
        <v>37</v>
      </c>
      <c r="E705" s="6">
        <v>1989</v>
      </c>
      <c r="F705" s="6">
        <v>4</v>
      </c>
      <c r="G705" s="6">
        <v>3</v>
      </c>
      <c r="H705" s="6">
        <v>15</v>
      </c>
      <c r="K705" s="6">
        <v>147</v>
      </c>
      <c r="M705" s="13">
        <v>45796</v>
      </c>
      <c r="N705">
        <v>0</v>
      </c>
      <c r="O705">
        <v>139</v>
      </c>
    </row>
    <row r="706" spans="1:15" x14ac:dyDescent="0.25">
      <c r="A706" t="s">
        <v>34</v>
      </c>
      <c r="D706" s="6" t="s">
        <v>37</v>
      </c>
      <c r="E706" s="6">
        <v>1989</v>
      </c>
      <c r="F706" s="6">
        <v>4</v>
      </c>
      <c r="G706" s="6">
        <v>3</v>
      </c>
      <c r="H706" s="6">
        <v>15</v>
      </c>
      <c r="K706" s="6">
        <v>147</v>
      </c>
      <c r="M706" s="13">
        <v>45800</v>
      </c>
      <c r="N706">
        <v>13</v>
      </c>
      <c r="O706">
        <v>143</v>
      </c>
    </row>
    <row r="707" spans="1:15" x14ac:dyDescent="0.25">
      <c r="A707" t="s">
        <v>34</v>
      </c>
      <c r="D707" s="6" t="s">
        <v>37</v>
      </c>
      <c r="E707" s="6">
        <v>1989</v>
      </c>
      <c r="F707" s="6">
        <v>4</v>
      </c>
      <c r="G707" s="6">
        <v>3</v>
      </c>
      <c r="H707" s="6">
        <v>15</v>
      </c>
      <c r="K707" s="6">
        <v>147</v>
      </c>
      <c r="M707" s="13">
        <v>45804</v>
      </c>
      <c r="N707">
        <v>32</v>
      </c>
      <c r="O707">
        <v>147</v>
      </c>
    </row>
    <row r="708" spans="1:15" x14ac:dyDescent="0.25">
      <c r="A708" t="s">
        <v>34</v>
      </c>
      <c r="D708" s="6" t="s">
        <v>37</v>
      </c>
      <c r="E708" s="6">
        <v>1989</v>
      </c>
      <c r="F708" s="6">
        <v>4</v>
      </c>
      <c r="G708" s="6">
        <v>3</v>
      </c>
      <c r="H708" s="6">
        <v>15</v>
      </c>
      <c r="K708" s="6">
        <v>147</v>
      </c>
      <c r="M708" s="13">
        <v>45807</v>
      </c>
      <c r="N708">
        <v>32</v>
      </c>
      <c r="O708">
        <v>150</v>
      </c>
    </row>
    <row r="709" spans="1:15" x14ac:dyDescent="0.25">
      <c r="A709" t="s">
        <v>34</v>
      </c>
      <c r="D709" s="6" t="s">
        <v>37</v>
      </c>
      <c r="E709" s="6">
        <v>1989</v>
      </c>
      <c r="F709" s="6">
        <v>4</v>
      </c>
      <c r="G709" s="6">
        <v>3</v>
      </c>
      <c r="H709" s="6">
        <v>15</v>
      </c>
      <c r="K709" s="6">
        <v>147</v>
      </c>
      <c r="M709" s="13">
        <v>45810</v>
      </c>
      <c r="N709">
        <v>32</v>
      </c>
      <c r="O709">
        <v>153</v>
      </c>
    </row>
    <row r="710" spans="1:15" x14ac:dyDescent="0.25">
      <c r="A710" t="s">
        <v>34</v>
      </c>
      <c r="D710" s="6" t="s">
        <v>318</v>
      </c>
      <c r="E710" s="6">
        <v>2004</v>
      </c>
      <c r="F710" s="6">
        <v>4</v>
      </c>
      <c r="G710" s="6">
        <v>4</v>
      </c>
      <c r="H710" s="6">
        <v>15</v>
      </c>
      <c r="K710" s="6">
        <v>163</v>
      </c>
      <c r="M710" s="13">
        <v>45769</v>
      </c>
      <c r="O710">
        <v>112</v>
      </c>
    </row>
    <row r="711" spans="1:15" x14ac:dyDescent="0.25">
      <c r="A711" t="s">
        <v>34</v>
      </c>
      <c r="D711" s="6" t="s">
        <v>318</v>
      </c>
      <c r="E711" s="6">
        <v>2004</v>
      </c>
      <c r="F711" s="6">
        <v>4</v>
      </c>
      <c r="G711" s="6">
        <v>4</v>
      </c>
      <c r="H711" s="6">
        <v>15</v>
      </c>
      <c r="K711" s="6">
        <v>163</v>
      </c>
      <c r="M711" s="13">
        <v>45771</v>
      </c>
      <c r="O711">
        <v>114</v>
      </c>
    </row>
    <row r="712" spans="1:15" x14ac:dyDescent="0.25">
      <c r="A712" t="s">
        <v>34</v>
      </c>
      <c r="D712" s="6" t="s">
        <v>318</v>
      </c>
      <c r="E712" s="6">
        <v>2004</v>
      </c>
      <c r="F712" s="6">
        <v>4</v>
      </c>
      <c r="G712" s="6">
        <v>4</v>
      </c>
      <c r="H712" s="6">
        <v>15</v>
      </c>
      <c r="K712" s="6">
        <v>163</v>
      </c>
      <c r="M712" s="13">
        <v>45772</v>
      </c>
      <c r="O712">
        <v>115</v>
      </c>
    </row>
    <row r="713" spans="1:15" x14ac:dyDescent="0.25">
      <c r="A713" t="s">
        <v>34</v>
      </c>
      <c r="D713" s="6" t="s">
        <v>318</v>
      </c>
      <c r="E713" s="6">
        <v>2004</v>
      </c>
      <c r="F713" s="6">
        <v>4</v>
      </c>
      <c r="G713" s="6">
        <v>4</v>
      </c>
      <c r="H713" s="6">
        <v>15</v>
      </c>
      <c r="K713" s="6">
        <v>163</v>
      </c>
      <c r="M713" s="13">
        <v>45775</v>
      </c>
      <c r="O713">
        <v>118</v>
      </c>
    </row>
    <row r="714" spans="1:15" x14ac:dyDescent="0.25">
      <c r="A714" t="s">
        <v>34</v>
      </c>
      <c r="D714" s="6" t="s">
        <v>318</v>
      </c>
      <c r="E714" s="6">
        <v>2004</v>
      </c>
      <c r="F714" s="6">
        <v>4</v>
      </c>
      <c r="G714" s="6">
        <v>4</v>
      </c>
      <c r="H714" s="6">
        <v>15</v>
      </c>
      <c r="K714" s="6">
        <v>163</v>
      </c>
      <c r="M714" s="13">
        <v>45778</v>
      </c>
      <c r="O714">
        <v>121</v>
      </c>
    </row>
    <row r="715" spans="1:15" x14ac:dyDescent="0.25">
      <c r="A715" t="s">
        <v>34</v>
      </c>
      <c r="D715" s="6" t="s">
        <v>318</v>
      </c>
      <c r="E715" s="6">
        <v>2004</v>
      </c>
      <c r="F715" s="6">
        <v>4</v>
      </c>
      <c r="G715" s="6">
        <v>4</v>
      </c>
      <c r="H715" s="6">
        <v>15</v>
      </c>
      <c r="K715" s="6">
        <v>163</v>
      </c>
      <c r="M715" s="13">
        <v>45782</v>
      </c>
      <c r="O715">
        <v>125</v>
      </c>
    </row>
    <row r="716" spans="1:15" x14ac:dyDescent="0.25">
      <c r="A716" t="s">
        <v>34</v>
      </c>
      <c r="D716" s="6" t="s">
        <v>318</v>
      </c>
      <c r="E716" s="6">
        <v>2004</v>
      </c>
      <c r="F716" s="6">
        <v>4</v>
      </c>
      <c r="G716" s="6">
        <v>4</v>
      </c>
      <c r="H716" s="6">
        <v>15</v>
      </c>
      <c r="K716" s="6">
        <v>163</v>
      </c>
      <c r="M716" s="13">
        <v>45793</v>
      </c>
      <c r="N716">
        <v>0</v>
      </c>
      <c r="O716">
        <v>136</v>
      </c>
    </row>
    <row r="717" spans="1:15" x14ac:dyDescent="0.25">
      <c r="A717" t="s">
        <v>34</v>
      </c>
      <c r="D717" s="6" t="s">
        <v>318</v>
      </c>
      <c r="E717" s="6">
        <v>2004</v>
      </c>
      <c r="F717" s="6">
        <v>4</v>
      </c>
      <c r="G717" s="6">
        <v>4</v>
      </c>
      <c r="H717" s="6">
        <v>15</v>
      </c>
      <c r="K717" s="6">
        <v>163</v>
      </c>
      <c r="M717" s="13">
        <v>45796</v>
      </c>
      <c r="N717">
        <v>0</v>
      </c>
      <c r="O717">
        <v>139</v>
      </c>
    </row>
    <row r="718" spans="1:15" x14ac:dyDescent="0.25">
      <c r="A718" t="s">
        <v>34</v>
      </c>
      <c r="D718" s="6" t="s">
        <v>318</v>
      </c>
      <c r="E718" s="6">
        <v>2004</v>
      </c>
      <c r="F718" s="6">
        <v>4</v>
      </c>
      <c r="G718" s="6">
        <v>4</v>
      </c>
      <c r="H718" s="6">
        <v>15</v>
      </c>
      <c r="K718" s="6">
        <v>163</v>
      </c>
      <c r="M718" s="13">
        <v>45800</v>
      </c>
      <c r="N718">
        <v>16</v>
      </c>
      <c r="O718">
        <v>143</v>
      </c>
    </row>
    <row r="719" spans="1:15" x14ac:dyDescent="0.25">
      <c r="A719" t="s">
        <v>34</v>
      </c>
      <c r="D719" s="6" t="s">
        <v>318</v>
      </c>
      <c r="E719" s="6">
        <v>2004</v>
      </c>
      <c r="F719" s="6">
        <v>4</v>
      </c>
      <c r="G719" s="6">
        <v>4</v>
      </c>
      <c r="H719" s="6">
        <v>15</v>
      </c>
      <c r="K719" s="6">
        <v>163</v>
      </c>
      <c r="M719" s="13">
        <v>45804</v>
      </c>
      <c r="N719">
        <v>32</v>
      </c>
      <c r="O719">
        <v>147</v>
      </c>
    </row>
    <row r="720" spans="1:15" x14ac:dyDescent="0.25">
      <c r="A720" t="s">
        <v>34</v>
      </c>
      <c r="D720" s="6" t="s">
        <v>318</v>
      </c>
      <c r="E720" s="6">
        <v>2004</v>
      </c>
      <c r="F720" s="6">
        <v>4</v>
      </c>
      <c r="G720" s="6">
        <v>4</v>
      </c>
      <c r="H720" s="6">
        <v>15</v>
      </c>
      <c r="K720" s="6">
        <v>163</v>
      </c>
      <c r="M720" s="13">
        <v>45807</v>
      </c>
      <c r="N720">
        <v>32</v>
      </c>
      <c r="O720">
        <v>150</v>
      </c>
    </row>
    <row r="721" spans="1:15" x14ac:dyDescent="0.25">
      <c r="A721" t="s">
        <v>34</v>
      </c>
      <c r="D721" s="6" t="s">
        <v>318</v>
      </c>
      <c r="E721" s="6">
        <v>2004</v>
      </c>
      <c r="F721" s="6">
        <v>4</v>
      </c>
      <c r="G721" s="6">
        <v>4</v>
      </c>
      <c r="H721" s="6">
        <v>15</v>
      </c>
      <c r="K721" s="6">
        <v>163</v>
      </c>
      <c r="M721" s="13">
        <v>45810</v>
      </c>
      <c r="N721">
        <v>35</v>
      </c>
      <c r="O721">
        <v>153</v>
      </c>
    </row>
    <row r="722" spans="1:15" x14ac:dyDescent="0.25">
      <c r="A722" t="s">
        <v>34</v>
      </c>
      <c r="D722" s="6" t="s">
        <v>43</v>
      </c>
      <c r="E722" s="6">
        <v>2020</v>
      </c>
      <c r="F722" s="6">
        <v>4</v>
      </c>
      <c r="G722" s="6">
        <v>1</v>
      </c>
      <c r="H722" s="6">
        <v>16</v>
      </c>
      <c r="K722" s="6">
        <v>116</v>
      </c>
      <c r="M722" s="13">
        <v>45769</v>
      </c>
      <c r="O722">
        <v>112</v>
      </c>
    </row>
    <row r="723" spans="1:15" x14ac:dyDescent="0.25">
      <c r="A723" t="s">
        <v>34</v>
      </c>
      <c r="D723" s="6" t="s">
        <v>43</v>
      </c>
      <c r="E723" s="6">
        <v>2020</v>
      </c>
      <c r="F723" s="6">
        <v>4</v>
      </c>
      <c r="G723" s="6">
        <v>1</v>
      </c>
      <c r="H723" s="6">
        <v>16</v>
      </c>
      <c r="K723" s="6">
        <v>116</v>
      </c>
      <c r="M723" s="13">
        <v>45771</v>
      </c>
      <c r="O723">
        <v>114</v>
      </c>
    </row>
    <row r="724" spans="1:15" x14ac:dyDescent="0.25">
      <c r="A724" t="s">
        <v>34</v>
      </c>
      <c r="D724" s="6" t="s">
        <v>43</v>
      </c>
      <c r="E724" s="6">
        <v>2020</v>
      </c>
      <c r="F724" s="6">
        <v>4</v>
      </c>
      <c r="G724" s="6">
        <v>1</v>
      </c>
      <c r="H724" s="6">
        <v>16</v>
      </c>
      <c r="K724" s="6">
        <v>116</v>
      </c>
      <c r="M724" s="13">
        <v>45772</v>
      </c>
      <c r="O724">
        <v>115</v>
      </c>
    </row>
    <row r="725" spans="1:15" x14ac:dyDescent="0.25">
      <c r="A725" t="s">
        <v>34</v>
      </c>
      <c r="D725" s="6" t="s">
        <v>43</v>
      </c>
      <c r="E725" s="6">
        <v>2020</v>
      </c>
      <c r="F725" s="6">
        <v>4</v>
      </c>
      <c r="G725" s="6">
        <v>1</v>
      </c>
      <c r="H725" s="6">
        <v>16</v>
      </c>
      <c r="K725" s="6">
        <v>116</v>
      </c>
      <c r="M725" s="13">
        <v>45775</v>
      </c>
      <c r="O725">
        <v>118</v>
      </c>
    </row>
    <row r="726" spans="1:15" x14ac:dyDescent="0.25">
      <c r="A726" t="s">
        <v>34</v>
      </c>
      <c r="D726" s="6" t="s">
        <v>43</v>
      </c>
      <c r="E726" s="6">
        <v>2020</v>
      </c>
      <c r="F726" s="6">
        <v>4</v>
      </c>
      <c r="G726" s="6">
        <v>1</v>
      </c>
      <c r="H726" s="6">
        <v>16</v>
      </c>
      <c r="K726" s="6">
        <v>116</v>
      </c>
      <c r="M726" s="13">
        <v>45778</v>
      </c>
      <c r="O726">
        <v>121</v>
      </c>
    </row>
    <row r="727" spans="1:15" x14ac:dyDescent="0.25">
      <c r="A727" t="s">
        <v>34</v>
      </c>
      <c r="D727" s="6" t="s">
        <v>43</v>
      </c>
      <c r="E727" s="6">
        <v>2020</v>
      </c>
      <c r="F727" s="6">
        <v>4</v>
      </c>
      <c r="G727" s="6">
        <v>1</v>
      </c>
      <c r="H727" s="6">
        <v>16</v>
      </c>
      <c r="K727" s="6">
        <v>116</v>
      </c>
      <c r="M727" s="13">
        <v>45782</v>
      </c>
      <c r="O727">
        <v>125</v>
      </c>
    </row>
    <row r="728" spans="1:15" x14ac:dyDescent="0.25">
      <c r="A728" t="s">
        <v>34</v>
      </c>
      <c r="D728" s="6" t="s">
        <v>43</v>
      </c>
      <c r="E728" s="6">
        <v>2020</v>
      </c>
      <c r="F728" s="6">
        <v>4</v>
      </c>
      <c r="G728" s="6">
        <v>1</v>
      </c>
      <c r="H728" s="6">
        <v>16</v>
      </c>
      <c r="K728" s="6">
        <v>116</v>
      </c>
      <c r="M728" s="13">
        <v>45793</v>
      </c>
      <c r="N728">
        <v>0</v>
      </c>
      <c r="O728">
        <v>136</v>
      </c>
    </row>
    <row r="729" spans="1:15" x14ac:dyDescent="0.25">
      <c r="A729" t="s">
        <v>34</v>
      </c>
      <c r="D729" s="6" t="s">
        <v>43</v>
      </c>
      <c r="E729" s="6">
        <v>2020</v>
      </c>
      <c r="F729" s="6">
        <v>4</v>
      </c>
      <c r="G729" s="6">
        <v>1</v>
      </c>
      <c r="H729" s="6">
        <v>16</v>
      </c>
      <c r="K729" s="6">
        <v>116</v>
      </c>
      <c r="M729" s="13">
        <v>45796</v>
      </c>
      <c r="N729">
        <v>0</v>
      </c>
      <c r="O729">
        <v>139</v>
      </c>
    </row>
    <row r="730" spans="1:15" x14ac:dyDescent="0.25">
      <c r="A730" t="s">
        <v>34</v>
      </c>
      <c r="D730" s="6" t="s">
        <v>43</v>
      </c>
      <c r="E730" s="6">
        <v>2020</v>
      </c>
      <c r="F730" s="6">
        <v>4</v>
      </c>
      <c r="G730" s="6">
        <v>1</v>
      </c>
      <c r="H730" s="6">
        <v>16</v>
      </c>
      <c r="K730" s="6">
        <v>116</v>
      </c>
      <c r="M730" s="13">
        <v>45800</v>
      </c>
      <c r="N730">
        <v>15</v>
      </c>
      <c r="O730">
        <v>143</v>
      </c>
    </row>
    <row r="731" spans="1:15" x14ac:dyDescent="0.25">
      <c r="A731" t="s">
        <v>34</v>
      </c>
      <c r="D731" s="6" t="s">
        <v>43</v>
      </c>
      <c r="E731" s="6">
        <v>2020</v>
      </c>
      <c r="F731" s="6">
        <v>4</v>
      </c>
      <c r="G731" s="6">
        <v>1</v>
      </c>
      <c r="H731" s="6">
        <v>16</v>
      </c>
      <c r="K731" s="6">
        <v>116</v>
      </c>
      <c r="M731" s="13">
        <v>45804</v>
      </c>
      <c r="N731">
        <v>42</v>
      </c>
      <c r="O731">
        <v>147</v>
      </c>
    </row>
    <row r="732" spans="1:15" x14ac:dyDescent="0.25">
      <c r="A732" t="s">
        <v>34</v>
      </c>
      <c r="D732" s="6" t="s">
        <v>43</v>
      </c>
      <c r="E732" s="6">
        <v>2020</v>
      </c>
      <c r="F732" s="6">
        <v>4</v>
      </c>
      <c r="G732" s="6">
        <v>1</v>
      </c>
      <c r="H732" s="6">
        <v>16</v>
      </c>
      <c r="K732" s="6">
        <v>116</v>
      </c>
      <c r="M732" s="13">
        <v>45807</v>
      </c>
      <c r="N732">
        <v>42</v>
      </c>
      <c r="O732">
        <v>150</v>
      </c>
    </row>
    <row r="733" spans="1:15" x14ac:dyDescent="0.25">
      <c r="A733" t="s">
        <v>34</v>
      </c>
      <c r="D733" s="6" t="s">
        <v>43</v>
      </c>
      <c r="E733" s="6">
        <v>2020</v>
      </c>
      <c r="F733" s="6">
        <v>4</v>
      </c>
      <c r="G733" s="6">
        <v>1</v>
      </c>
      <c r="H733" s="6">
        <v>16</v>
      </c>
      <c r="K733" s="6">
        <v>116</v>
      </c>
      <c r="M733" s="13">
        <v>45810</v>
      </c>
      <c r="N733">
        <v>42</v>
      </c>
      <c r="O733">
        <v>153</v>
      </c>
    </row>
    <row r="734" spans="1:15" x14ac:dyDescent="0.25">
      <c r="A734" t="s">
        <v>34</v>
      </c>
      <c r="D734" s="6" t="s">
        <v>41</v>
      </c>
      <c r="E734" s="6">
        <v>2008</v>
      </c>
      <c r="F734" s="6">
        <v>4</v>
      </c>
      <c r="G734" s="6">
        <v>2</v>
      </c>
      <c r="H734" s="6">
        <v>16</v>
      </c>
      <c r="K734" s="6">
        <v>132</v>
      </c>
      <c r="M734" s="13">
        <v>45769</v>
      </c>
      <c r="O734">
        <v>112</v>
      </c>
    </row>
    <row r="735" spans="1:15" x14ac:dyDescent="0.25">
      <c r="A735" t="s">
        <v>34</v>
      </c>
      <c r="D735" s="6" t="s">
        <v>41</v>
      </c>
      <c r="E735" s="6">
        <v>2008</v>
      </c>
      <c r="F735" s="6">
        <v>4</v>
      </c>
      <c r="G735" s="6">
        <v>2</v>
      </c>
      <c r="H735" s="6">
        <v>16</v>
      </c>
      <c r="K735" s="6">
        <v>132</v>
      </c>
      <c r="M735" s="13">
        <v>45771</v>
      </c>
      <c r="O735">
        <v>114</v>
      </c>
    </row>
    <row r="736" spans="1:15" x14ac:dyDescent="0.25">
      <c r="A736" t="s">
        <v>34</v>
      </c>
      <c r="D736" s="6" t="s">
        <v>41</v>
      </c>
      <c r="E736" s="6">
        <v>2008</v>
      </c>
      <c r="F736" s="6">
        <v>4</v>
      </c>
      <c r="G736" s="6">
        <v>2</v>
      </c>
      <c r="H736" s="6">
        <v>16</v>
      </c>
      <c r="K736" s="6">
        <v>132</v>
      </c>
      <c r="M736" s="13">
        <v>45772</v>
      </c>
      <c r="O736">
        <v>115</v>
      </c>
    </row>
    <row r="737" spans="1:15" x14ac:dyDescent="0.25">
      <c r="A737" t="s">
        <v>34</v>
      </c>
      <c r="D737" s="6" t="s">
        <v>41</v>
      </c>
      <c r="E737" s="6">
        <v>2008</v>
      </c>
      <c r="F737" s="6">
        <v>4</v>
      </c>
      <c r="G737" s="6">
        <v>2</v>
      </c>
      <c r="H737" s="6">
        <v>16</v>
      </c>
      <c r="K737" s="6">
        <v>132</v>
      </c>
      <c r="M737" s="13">
        <v>45775</v>
      </c>
      <c r="O737">
        <v>118</v>
      </c>
    </row>
    <row r="738" spans="1:15" x14ac:dyDescent="0.25">
      <c r="A738" t="s">
        <v>34</v>
      </c>
      <c r="D738" s="6" t="s">
        <v>41</v>
      </c>
      <c r="E738" s="6">
        <v>2008</v>
      </c>
      <c r="F738" s="6">
        <v>4</v>
      </c>
      <c r="G738" s="6">
        <v>2</v>
      </c>
      <c r="H738" s="6">
        <v>16</v>
      </c>
      <c r="K738" s="6">
        <v>132</v>
      </c>
      <c r="M738" s="13">
        <v>45778</v>
      </c>
      <c r="O738">
        <v>121</v>
      </c>
    </row>
    <row r="739" spans="1:15" x14ac:dyDescent="0.25">
      <c r="A739" t="s">
        <v>34</v>
      </c>
      <c r="D739" s="6" t="s">
        <v>41</v>
      </c>
      <c r="E739" s="6">
        <v>2008</v>
      </c>
      <c r="F739" s="6">
        <v>4</v>
      </c>
      <c r="G739" s="6">
        <v>2</v>
      </c>
      <c r="H739" s="6">
        <v>16</v>
      </c>
      <c r="K739" s="6">
        <v>132</v>
      </c>
      <c r="M739" s="13">
        <v>45782</v>
      </c>
      <c r="O739">
        <v>125</v>
      </c>
    </row>
    <row r="740" spans="1:15" x14ac:dyDescent="0.25">
      <c r="A740" t="s">
        <v>34</v>
      </c>
      <c r="D740" s="6" t="s">
        <v>41</v>
      </c>
      <c r="E740" s="6">
        <v>2008</v>
      </c>
      <c r="F740" s="6">
        <v>4</v>
      </c>
      <c r="G740" s="6">
        <v>2</v>
      </c>
      <c r="H740" s="6">
        <v>16</v>
      </c>
      <c r="K740" s="6">
        <v>132</v>
      </c>
      <c r="M740" s="13">
        <v>45793</v>
      </c>
      <c r="N740">
        <v>0</v>
      </c>
      <c r="O740">
        <v>136</v>
      </c>
    </row>
    <row r="741" spans="1:15" x14ac:dyDescent="0.25">
      <c r="A741" t="s">
        <v>34</v>
      </c>
      <c r="D741" s="6" t="s">
        <v>41</v>
      </c>
      <c r="E741" s="6">
        <v>2008</v>
      </c>
      <c r="F741" s="6">
        <v>4</v>
      </c>
      <c r="G741" s="6">
        <v>2</v>
      </c>
      <c r="H741" s="6">
        <v>16</v>
      </c>
      <c r="K741" s="6">
        <v>132</v>
      </c>
      <c r="M741" s="13">
        <v>45796</v>
      </c>
      <c r="N741">
        <v>0</v>
      </c>
      <c r="O741">
        <v>139</v>
      </c>
    </row>
    <row r="742" spans="1:15" x14ac:dyDescent="0.25">
      <c r="A742" t="s">
        <v>34</v>
      </c>
      <c r="D742" s="6" t="s">
        <v>41</v>
      </c>
      <c r="E742" s="6">
        <v>2008</v>
      </c>
      <c r="F742" s="6">
        <v>4</v>
      </c>
      <c r="G742" s="6">
        <v>2</v>
      </c>
      <c r="H742" s="6">
        <v>16</v>
      </c>
      <c r="K742" s="6">
        <v>132</v>
      </c>
      <c r="M742" s="13">
        <v>45800</v>
      </c>
      <c r="N742">
        <v>10</v>
      </c>
      <c r="O742">
        <v>143</v>
      </c>
    </row>
    <row r="743" spans="1:15" x14ac:dyDescent="0.25">
      <c r="A743" t="s">
        <v>34</v>
      </c>
      <c r="D743" s="6" t="s">
        <v>41</v>
      </c>
      <c r="E743" s="6">
        <v>2008</v>
      </c>
      <c r="F743" s="6">
        <v>4</v>
      </c>
      <c r="G743" s="6">
        <v>2</v>
      </c>
      <c r="H743" s="6">
        <v>16</v>
      </c>
      <c r="K743" s="6">
        <v>132</v>
      </c>
      <c r="M743" s="13">
        <v>45804</v>
      </c>
      <c r="N743">
        <v>35</v>
      </c>
      <c r="O743">
        <v>147</v>
      </c>
    </row>
    <row r="744" spans="1:15" x14ac:dyDescent="0.25">
      <c r="A744" t="s">
        <v>34</v>
      </c>
      <c r="D744" s="6" t="s">
        <v>41</v>
      </c>
      <c r="E744" s="6">
        <v>2008</v>
      </c>
      <c r="F744" s="6">
        <v>4</v>
      </c>
      <c r="G744" s="6">
        <v>2</v>
      </c>
      <c r="H744" s="6">
        <v>16</v>
      </c>
      <c r="K744" s="6">
        <v>132</v>
      </c>
      <c r="M744" s="13">
        <v>45807</v>
      </c>
      <c r="N744">
        <v>35</v>
      </c>
      <c r="O744">
        <v>150</v>
      </c>
    </row>
    <row r="745" spans="1:15" x14ac:dyDescent="0.25">
      <c r="A745" t="s">
        <v>34</v>
      </c>
      <c r="D745" s="6" t="s">
        <v>41</v>
      </c>
      <c r="E745" s="6">
        <v>2008</v>
      </c>
      <c r="F745" s="6">
        <v>4</v>
      </c>
      <c r="G745" s="6">
        <v>2</v>
      </c>
      <c r="H745" s="6">
        <v>16</v>
      </c>
      <c r="K745" s="6">
        <v>132</v>
      </c>
      <c r="M745" s="13">
        <v>45810</v>
      </c>
      <c r="N745">
        <v>35</v>
      </c>
      <c r="O745">
        <v>153</v>
      </c>
    </row>
    <row r="746" spans="1:15" x14ac:dyDescent="0.25">
      <c r="A746" t="s">
        <v>34</v>
      </c>
      <c r="D746" s="6" t="s">
        <v>42</v>
      </c>
      <c r="E746" s="6">
        <v>2016</v>
      </c>
      <c r="F746" s="6">
        <v>4</v>
      </c>
      <c r="G746" s="6">
        <v>3</v>
      </c>
      <c r="H746" s="6">
        <v>16</v>
      </c>
      <c r="K746" s="6">
        <v>148</v>
      </c>
      <c r="M746" s="13">
        <v>45769</v>
      </c>
      <c r="O746">
        <v>112</v>
      </c>
    </row>
    <row r="747" spans="1:15" x14ac:dyDescent="0.25">
      <c r="A747" t="s">
        <v>34</v>
      </c>
      <c r="D747" s="6" t="s">
        <v>42</v>
      </c>
      <c r="E747" s="6">
        <v>2016</v>
      </c>
      <c r="F747" s="6">
        <v>4</v>
      </c>
      <c r="G747" s="6">
        <v>3</v>
      </c>
      <c r="H747" s="6">
        <v>16</v>
      </c>
      <c r="K747" s="6">
        <v>148</v>
      </c>
      <c r="M747" s="13">
        <v>45771</v>
      </c>
      <c r="O747">
        <v>114</v>
      </c>
    </row>
    <row r="748" spans="1:15" x14ac:dyDescent="0.25">
      <c r="A748" t="s">
        <v>34</v>
      </c>
      <c r="D748" s="6" t="s">
        <v>42</v>
      </c>
      <c r="E748" s="6">
        <v>2016</v>
      </c>
      <c r="F748" s="6">
        <v>4</v>
      </c>
      <c r="G748" s="6">
        <v>3</v>
      </c>
      <c r="H748" s="6">
        <v>16</v>
      </c>
      <c r="K748" s="6">
        <v>148</v>
      </c>
      <c r="M748" s="13">
        <v>45772</v>
      </c>
      <c r="O748">
        <v>115</v>
      </c>
    </row>
    <row r="749" spans="1:15" x14ac:dyDescent="0.25">
      <c r="A749" t="s">
        <v>34</v>
      </c>
      <c r="D749" s="6" t="s">
        <v>42</v>
      </c>
      <c r="E749" s="6">
        <v>2016</v>
      </c>
      <c r="F749" s="6">
        <v>4</v>
      </c>
      <c r="G749" s="6">
        <v>3</v>
      </c>
      <c r="H749" s="6">
        <v>16</v>
      </c>
      <c r="K749" s="6">
        <v>148</v>
      </c>
      <c r="M749" s="13">
        <v>45775</v>
      </c>
      <c r="O749">
        <v>118</v>
      </c>
    </row>
    <row r="750" spans="1:15" x14ac:dyDescent="0.25">
      <c r="A750" t="s">
        <v>34</v>
      </c>
      <c r="D750" s="6" t="s">
        <v>42</v>
      </c>
      <c r="E750" s="6">
        <v>2016</v>
      </c>
      <c r="F750" s="6">
        <v>4</v>
      </c>
      <c r="G750" s="6">
        <v>3</v>
      </c>
      <c r="H750" s="6">
        <v>16</v>
      </c>
      <c r="K750" s="6">
        <v>148</v>
      </c>
      <c r="M750" s="13">
        <v>45778</v>
      </c>
      <c r="O750">
        <v>121</v>
      </c>
    </row>
    <row r="751" spans="1:15" x14ac:dyDescent="0.25">
      <c r="A751" t="s">
        <v>34</v>
      </c>
      <c r="D751" s="6" t="s">
        <v>42</v>
      </c>
      <c r="E751" s="6">
        <v>2016</v>
      </c>
      <c r="F751" s="6">
        <v>4</v>
      </c>
      <c r="G751" s="6">
        <v>3</v>
      </c>
      <c r="H751" s="6">
        <v>16</v>
      </c>
      <c r="K751" s="6">
        <v>148</v>
      </c>
      <c r="M751" s="13">
        <v>45782</v>
      </c>
      <c r="O751">
        <v>125</v>
      </c>
    </row>
    <row r="752" spans="1:15" x14ac:dyDescent="0.25">
      <c r="A752" t="s">
        <v>34</v>
      </c>
      <c r="D752" s="6" t="s">
        <v>42</v>
      </c>
      <c r="E752" s="6">
        <v>2016</v>
      </c>
      <c r="F752" s="6">
        <v>4</v>
      </c>
      <c r="G752" s="6">
        <v>3</v>
      </c>
      <c r="H752" s="6">
        <v>16</v>
      </c>
      <c r="K752" s="6">
        <v>148</v>
      </c>
      <c r="M752" s="13">
        <v>45793</v>
      </c>
      <c r="N752">
        <v>0</v>
      </c>
      <c r="O752">
        <v>136</v>
      </c>
    </row>
    <row r="753" spans="1:15" x14ac:dyDescent="0.25">
      <c r="A753" t="s">
        <v>34</v>
      </c>
      <c r="D753" s="6" t="s">
        <v>42</v>
      </c>
      <c r="E753" s="6">
        <v>2016</v>
      </c>
      <c r="F753" s="6">
        <v>4</v>
      </c>
      <c r="G753" s="6">
        <v>3</v>
      </c>
      <c r="H753" s="6">
        <v>16</v>
      </c>
      <c r="K753" s="6">
        <v>148</v>
      </c>
      <c r="M753" s="13">
        <v>45796</v>
      </c>
      <c r="N753">
        <v>0</v>
      </c>
      <c r="O753">
        <v>139</v>
      </c>
    </row>
    <row r="754" spans="1:15" x14ac:dyDescent="0.25">
      <c r="A754" t="s">
        <v>34</v>
      </c>
      <c r="D754" s="6" t="s">
        <v>42</v>
      </c>
      <c r="E754" s="6">
        <v>2016</v>
      </c>
      <c r="F754" s="6">
        <v>4</v>
      </c>
      <c r="G754" s="6">
        <v>3</v>
      </c>
      <c r="H754" s="6">
        <v>16</v>
      </c>
      <c r="K754" s="6">
        <v>148</v>
      </c>
      <c r="M754" s="13">
        <v>45800</v>
      </c>
      <c r="N754">
        <v>2</v>
      </c>
      <c r="O754">
        <v>143</v>
      </c>
    </row>
    <row r="755" spans="1:15" x14ac:dyDescent="0.25">
      <c r="A755" t="s">
        <v>34</v>
      </c>
      <c r="D755" s="6" t="s">
        <v>42</v>
      </c>
      <c r="E755" s="6">
        <v>2016</v>
      </c>
      <c r="F755" s="6">
        <v>4</v>
      </c>
      <c r="G755" s="6">
        <v>3</v>
      </c>
      <c r="H755" s="6">
        <v>16</v>
      </c>
      <c r="K755" s="6">
        <v>148</v>
      </c>
      <c r="M755" s="13">
        <v>45804</v>
      </c>
      <c r="N755">
        <v>25</v>
      </c>
      <c r="O755">
        <v>147</v>
      </c>
    </row>
    <row r="756" spans="1:15" x14ac:dyDescent="0.25">
      <c r="A756" t="s">
        <v>34</v>
      </c>
      <c r="D756" s="6" t="s">
        <v>42</v>
      </c>
      <c r="E756" s="6">
        <v>2016</v>
      </c>
      <c r="F756" s="6">
        <v>4</v>
      </c>
      <c r="G756" s="6">
        <v>3</v>
      </c>
      <c r="H756" s="6">
        <v>16</v>
      </c>
      <c r="K756" s="6">
        <v>148</v>
      </c>
      <c r="M756" s="13">
        <v>45807</v>
      </c>
      <c r="N756">
        <v>28</v>
      </c>
      <c r="O756">
        <v>150</v>
      </c>
    </row>
    <row r="757" spans="1:15" x14ac:dyDescent="0.25">
      <c r="A757" t="s">
        <v>34</v>
      </c>
      <c r="D757" s="6" t="s">
        <v>42</v>
      </c>
      <c r="E757" s="6">
        <v>2016</v>
      </c>
      <c r="F757" s="6">
        <v>4</v>
      </c>
      <c r="G757" s="6">
        <v>3</v>
      </c>
      <c r="H757" s="6">
        <v>16</v>
      </c>
      <c r="K757" s="6">
        <v>148</v>
      </c>
      <c r="M757" s="13">
        <v>45810</v>
      </c>
      <c r="N757">
        <v>30</v>
      </c>
      <c r="O757">
        <v>153</v>
      </c>
    </row>
    <row r="758" spans="1:15" x14ac:dyDescent="0.25">
      <c r="A758" t="s">
        <v>34</v>
      </c>
      <c r="D758" s="6" t="s">
        <v>39</v>
      </c>
      <c r="E758" s="6">
        <v>2001</v>
      </c>
      <c r="F758" s="6">
        <v>4</v>
      </c>
      <c r="G758" s="6">
        <v>4</v>
      </c>
      <c r="H758" s="6">
        <v>16</v>
      </c>
      <c r="K758" s="6">
        <v>164</v>
      </c>
      <c r="M758" s="13">
        <v>45769</v>
      </c>
      <c r="O758">
        <v>112</v>
      </c>
    </row>
    <row r="759" spans="1:15" x14ac:dyDescent="0.25">
      <c r="A759" t="s">
        <v>34</v>
      </c>
      <c r="D759" s="6" t="s">
        <v>39</v>
      </c>
      <c r="E759" s="6">
        <v>2001</v>
      </c>
      <c r="F759" s="6">
        <v>4</v>
      </c>
      <c r="G759" s="6">
        <v>4</v>
      </c>
      <c r="H759" s="6">
        <v>16</v>
      </c>
      <c r="K759" s="6">
        <v>164</v>
      </c>
      <c r="M759" s="13">
        <v>45771</v>
      </c>
      <c r="O759">
        <v>114</v>
      </c>
    </row>
    <row r="760" spans="1:15" x14ac:dyDescent="0.25">
      <c r="A760" t="s">
        <v>34</v>
      </c>
      <c r="D760" s="6" t="s">
        <v>39</v>
      </c>
      <c r="E760" s="6">
        <v>2001</v>
      </c>
      <c r="F760" s="6">
        <v>4</v>
      </c>
      <c r="G760" s="6">
        <v>4</v>
      </c>
      <c r="H760" s="6">
        <v>16</v>
      </c>
      <c r="K760" s="6">
        <v>164</v>
      </c>
      <c r="M760" s="13">
        <v>45772</v>
      </c>
      <c r="O760">
        <v>115</v>
      </c>
    </row>
    <row r="761" spans="1:15" x14ac:dyDescent="0.25">
      <c r="A761" t="s">
        <v>34</v>
      </c>
      <c r="D761" s="6" t="s">
        <v>39</v>
      </c>
      <c r="E761" s="6">
        <v>2001</v>
      </c>
      <c r="F761" s="6">
        <v>4</v>
      </c>
      <c r="G761" s="6">
        <v>4</v>
      </c>
      <c r="H761" s="6">
        <v>16</v>
      </c>
      <c r="K761" s="6">
        <v>164</v>
      </c>
      <c r="M761" s="13">
        <v>45775</v>
      </c>
      <c r="O761">
        <v>118</v>
      </c>
    </row>
    <row r="762" spans="1:15" x14ac:dyDescent="0.25">
      <c r="A762" t="s">
        <v>34</v>
      </c>
      <c r="D762" s="6" t="s">
        <v>39</v>
      </c>
      <c r="E762" s="6">
        <v>2001</v>
      </c>
      <c r="F762" s="6">
        <v>4</v>
      </c>
      <c r="G762" s="6">
        <v>4</v>
      </c>
      <c r="H762" s="6">
        <v>16</v>
      </c>
      <c r="K762" s="6">
        <v>164</v>
      </c>
      <c r="M762" s="13">
        <v>45778</v>
      </c>
      <c r="O762">
        <v>121</v>
      </c>
    </row>
    <row r="763" spans="1:15" x14ac:dyDescent="0.25">
      <c r="A763" t="s">
        <v>34</v>
      </c>
      <c r="D763" s="6" t="s">
        <v>39</v>
      </c>
      <c r="E763" s="6">
        <v>2001</v>
      </c>
      <c r="F763" s="6">
        <v>4</v>
      </c>
      <c r="G763" s="6">
        <v>4</v>
      </c>
      <c r="H763" s="6">
        <v>16</v>
      </c>
      <c r="K763" s="6">
        <v>164</v>
      </c>
      <c r="M763" s="13">
        <v>45782</v>
      </c>
      <c r="O763">
        <v>125</v>
      </c>
    </row>
    <row r="764" spans="1:15" x14ac:dyDescent="0.25">
      <c r="A764" t="s">
        <v>34</v>
      </c>
      <c r="D764" s="6" t="s">
        <v>39</v>
      </c>
      <c r="E764" s="6">
        <v>2001</v>
      </c>
      <c r="F764" s="6">
        <v>4</v>
      </c>
      <c r="G764" s="6">
        <v>4</v>
      </c>
      <c r="H764" s="6">
        <v>16</v>
      </c>
      <c r="K764" s="6">
        <v>164</v>
      </c>
      <c r="M764" s="13">
        <v>45793</v>
      </c>
      <c r="N764">
        <v>0</v>
      </c>
      <c r="O764">
        <v>136</v>
      </c>
    </row>
    <row r="765" spans="1:15" x14ac:dyDescent="0.25">
      <c r="A765" t="s">
        <v>34</v>
      </c>
      <c r="D765" s="6" t="s">
        <v>39</v>
      </c>
      <c r="E765" s="6">
        <v>2001</v>
      </c>
      <c r="F765" s="6">
        <v>4</v>
      </c>
      <c r="G765" s="6">
        <v>4</v>
      </c>
      <c r="H765" s="6">
        <v>16</v>
      </c>
      <c r="K765" s="6">
        <v>164</v>
      </c>
      <c r="M765" s="13">
        <v>45796</v>
      </c>
      <c r="N765">
        <v>0</v>
      </c>
      <c r="O765">
        <v>139</v>
      </c>
    </row>
    <row r="766" spans="1:15" x14ac:dyDescent="0.25">
      <c r="A766" t="s">
        <v>34</v>
      </c>
      <c r="D766" s="6" t="s">
        <v>39</v>
      </c>
      <c r="E766" s="6">
        <v>2001</v>
      </c>
      <c r="F766" s="6">
        <v>4</v>
      </c>
      <c r="G766" s="6">
        <v>4</v>
      </c>
      <c r="H766" s="6">
        <v>16</v>
      </c>
      <c r="K766" s="6">
        <v>164</v>
      </c>
      <c r="M766" s="13">
        <v>45800</v>
      </c>
      <c r="N766">
        <v>14</v>
      </c>
      <c r="O766">
        <v>143</v>
      </c>
    </row>
    <row r="767" spans="1:15" x14ac:dyDescent="0.25">
      <c r="A767" t="s">
        <v>34</v>
      </c>
      <c r="D767" s="6" t="s">
        <v>39</v>
      </c>
      <c r="E767" s="6">
        <v>2001</v>
      </c>
      <c r="F767" s="6">
        <v>4</v>
      </c>
      <c r="G767" s="6">
        <v>4</v>
      </c>
      <c r="H767" s="6">
        <v>16</v>
      </c>
      <c r="K767" s="6">
        <v>164</v>
      </c>
      <c r="M767" s="13">
        <v>45804</v>
      </c>
      <c r="N767">
        <v>46</v>
      </c>
      <c r="O767">
        <v>147</v>
      </c>
    </row>
    <row r="768" spans="1:15" x14ac:dyDescent="0.25">
      <c r="A768" t="s">
        <v>34</v>
      </c>
      <c r="D768" s="6" t="s">
        <v>39</v>
      </c>
      <c r="E768" s="6">
        <v>2001</v>
      </c>
      <c r="F768" s="6">
        <v>4</v>
      </c>
      <c r="G768" s="6">
        <v>4</v>
      </c>
      <c r="H768" s="6">
        <v>16</v>
      </c>
      <c r="K768" s="6">
        <v>164</v>
      </c>
      <c r="M768" s="13">
        <v>45807</v>
      </c>
      <c r="N768">
        <v>46</v>
      </c>
      <c r="O768">
        <v>150</v>
      </c>
    </row>
    <row r="769" spans="1:15" x14ac:dyDescent="0.25">
      <c r="A769" t="s">
        <v>34</v>
      </c>
      <c r="D769" s="6" t="s">
        <v>39</v>
      </c>
      <c r="E769" s="6">
        <v>2001</v>
      </c>
      <c r="F769" s="6">
        <v>4</v>
      </c>
      <c r="G769" s="6">
        <v>4</v>
      </c>
      <c r="H769" s="6">
        <v>16</v>
      </c>
      <c r="K769" s="6">
        <v>164</v>
      </c>
      <c r="M769" s="13">
        <v>45810</v>
      </c>
      <c r="N769">
        <v>46</v>
      </c>
      <c r="O769">
        <v>153</v>
      </c>
    </row>
  </sheetData>
  <conditionalFormatting pivot="1">
    <cfRule type="colorScale" priority="5">
      <colorScale>
        <cfvo type="min"/>
        <cfvo type="percentile" val="50"/>
        <cfvo type="max"/>
        <color rgb="FFF8696B"/>
        <color rgb="FFFFEB84"/>
        <color rgb="FF63BE7B"/>
      </colorScale>
    </cfRule>
  </conditionalFormatting>
  <conditionalFormatting pivot="1">
    <cfRule type="colorScale" priority="2">
      <colorScale>
        <cfvo type="min"/>
        <cfvo type="percentile" val="50"/>
        <cfvo type="max"/>
        <color rgb="FFF8696B"/>
        <color rgb="FFFFEB84"/>
        <color rgb="FF63BE7B"/>
      </colorScale>
    </cfRule>
  </conditionalFormatting>
  <printOptions gridLines="1"/>
  <pageMargins left="0.7" right="0.7" top="0.75" bottom="0.75" header="0.3" footer="0.3"/>
  <pageSetup paperSize="9" orientation="landscape" horizontalDpi="360" verticalDpi="36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FD7A8-90AA-4356-835F-EE59E16A2389}">
  <sheetPr>
    <tabColor rgb="FF92D050"/>
  </sheetPr>
  <dimension ref="A1:W14"/>
  <sheetViews>
    <sheetView workbookViewId="0">
      <selection activeCell="G21" sqref="G21"/>
    </sheetView>
  </sheetViews>
  <sheetFormatPr defaultRowHeight="15" x14ac:dyDescent="0.25"/>
  <cols>
    <col min="11" max="11" width="11.85546875" customWidth="1"/>
    <col min="19" max="19" width="14.5703125" customWidth="1"/>
  </cols>
  <sheetData>
    <row r="1" spans="1:23" ht="60" x14ac:dyDescent="0.25">
      <c r="A1" s="3" t="s">
        <v>692</v>
      </c>
      <c r="B1" s="3" t="s">
        <v>693</v>
      </c>
      <c r="C1" s="3" t="s">
        <v>694</v>
      </c>
      <c r="D1" s="3" t="s">
        <v>339</v>
      </c>
      <c r="E1" s="123" t="s">
        <v>695</v>
      </c>
      <c r="F1" s="3" t="s">
        <v>340</v>
      </c>
      <c r="G1" s="3" t="s">
        <v>696</v>
      </c>
      <c r="H1" s="3" t="s">
        <v>697</v>
      </c>
      <c r="I1" s="123" t="s">
        <v>550</v>
      </c>
      <c r="J1" s="3" t="s">
        <v>717</v>
      </c>
      <c r="K1" s="124" t="s">
        <v>698</v>
      </c>
      <c r="L1" s="124" t="s">
        <v>699</v>
      </c>
      <c r="M1" s="125" t="s">
        <v>700</v>
      </c>
      <c r="N1" s="10" t="s">
        <v>701</v>
      </c>
      <c r="O1" s="3" t="s">
        <v>702</v>
      </c>
      <c r="P1" s="3" t="s">
        <v>703</v>
      </c>
      <c r="Q1" s="3" t="s">
        <v>704</v>
      </c>
      <c r="S1" s="3" t="s">
        <v>705</v>
      </c>
      <c r="T1" s="3" t="s">
        <v>706</v>
      </c>
      <c r="V1" s="3" t="s">
        <v>707</v>
      </c>
    </row>
    <row r="2" spans="1:23" x14ac:dyDescent="0.25">
      <c r="A2">
        <v>0</v>
      </c>
      <c r="B2">
        <v>10</v>
      </c>
      <c r="C2" s="126">
        <v>100</v>
      </c>
      <c r="D2" s="28">
        <v>6.4375</v>
      </c>
      <c r="E2" s="28">
        <v>0.97499999999999998</v>
      </c>
      <c r="F2" s="28">
        <v>5.8374999999999995</v>
      </c>
      <c r="G2" s="28">
        <v>43.75</v>
      </c>
      <c r="H2" s="28">
        <v>3.9125000000000001</v>
      </c>
      <c r="I2" s="50">
        <v>0.1123160342857005</v>
      </c>
      <c r="J2">
        <v>1.38</v>
      </c>
      <c r="K2" s="28">
        <v>4.6433845533558213E-2</v>
      </c>
      <c r="L2" s="28">
        <v>0.22963199999999998</v>
      </c>
      <c r="M2">
        <f>I2*J2</f>
        <v>0.15499612731426668</v>
      </c>
      <c r="N2" s="12">
        <f>(M2-K2)*C2</f>
        <v>10.856228178070847</v>
      </c>
      <c r="O2" s="12">
        <f>(L2-K2)*C2</f>
        <v>18.319815446644178</v>
      </c>
      <c r="P2" s="12">
        <f>(1-J2/2.65)*100</f>
        <v>47.924528301886795</v>
      </c>
      <c r="Q2" s="50">
        <f>L2*1.1</f>
        <v>0.25259520000000002</v>
      </c>
      <c r="S2" t="s">
        <v>708</v>
      </c>
      <c r="T2">
        <v>222</v>
      </c>
    </row>
    <row r="3" spans="1:23" x14ac:dyDescent="0.25">
      <c r="A3">
        <v>10</v>
      </c>
      <c r="B3">
        <v>20</v>
      </c>
      <c r="C3" s="126">
        <v>100</v>
      </c>
      <c r="D3" s="28">
        <v>5.6000000000000005</v>
      </c>
      <c r="E3" s="28">
        <v>0.38500000000000001</v>
      </c>
      <c r="F3" s="28">
        <v>4.9124999999999996</v>
      </c>
      <c r="G3" s="28">
        <v>28.875</v>
      </c>
      <c r="H3" s="28">
        <v>4.4249999999999998</v>
      </c>
      <c r="I3" s="50">
        <v>0.11945559212344536</v>
      </c>
      <c r="J3">
        <v>1.4</v>
      </c>
      <c r="K3" s="28">
        <v>6.2182570618025436E-2</v>
      </c>
      <c r="L3" s="28">
        <v>0.19075</v>
      </c>
      <c r="M3">
        <f t="shared" ref="M3:M10" si="0">I3*J3</f>
        <v>0.16723782897282349</v>
      </c>
      <c r="N3" s="12">
        <f t="shared" ref="N3:N10" si="1">(M3-K3)*C3</f>
        <v>10.505525835479807</v>
      </c>
      <c r="O3" s="12">
        <f t="shared" ref="O3:O10" si="2">(L3-K3)*C3</f>
        <v>12.856742938197458</v>
      </c>
      <c r="P3" s="12">
        <f t="shared" ref="P3:P10" si="3">(1-J3/2.65)*100</f>
        <v>47.169811320754718</v>
      </c>
      <c r="Q3" s="50">
        <f t="shared" ref="Q3:Q10" si="4">L3*1.1</f>
        <v>0.20982500000000001</v>
      </c>
      <c r="S3" t="s">
        <v>709</v>
      </c>
      <c r="T3">
        <v>60</v>
      </c>
      <c r="V3" s="21">
        <f>T5+T7+T6</f>
        <v>416.30199066559294</v>
      </c>
    </row>
    <row r="4" spans="1:23" x14ac:dyDescent="0.25">
      <c r="A4">
        <v>20</v>
      </c>
      <c r="B4">
        <v>40</v>
      </c>
      <c r="C4" s="126">
        <v>200</v>
      </c>
      <c r="D4" s="28">
        <v>6.1999999999999993</v>
      </c>
      <c r="E4" s="28">
        <v>0.18124999999999999</v>
      </c>
      <c r="F4" s="28">
        <v>5.5374999999999988</v>
      </c>
      <c r="G4" s="28">
        <v>19.625</v>
      </c>
      <c r="H4" s="28">
        <v>3.1749999999999998</v>
      </c>
      <c r="I4" s="50">
        <v>0.14322082350741872</v>
      </c>
      <c r="J4">
        <v>1.44</v>
      </c>
      <c r="K4" s="28">
        <v>0.1024009744988732</v>
      </c>
      <c r="L4" s="28">
        <v>0.21437999999999996</v>
      </c>
      <c r="M4">
        <f t="shared" si="0"/>
        <v>0.20623798585068295</v>
      </c>
      <c r="N4" s="12">
        <f t="shared" si="1"/>
        <v>20.767402270361952</v>
      </c>
      <c r="O4" s="12">
        <f t="shared" si="2"/>
        <v>22.395805100225353</v>
      </c>
      <c r="P4" s="12">
        <f t="shared" si="3"/>
        <v>45.660377358490564</v>
      </c>
      <c r="Q4" s="50">
        <f t="shared" si="4"/>
        <v>0.23581799999999997</v>
      </c>
      <c r="S4" t="s">
        <v>710</v>
      </c>
    </row>
    <row r="5" spans="1:23" x14ac:dyDescent="0.25">
      <c r="A5">
        <v>40</v>
      </c>
      <c r="B5">
        <v>60</v>
      </c>
      <c r="C5" s="126">
        <v>200</v>
      </c>
      <c r="D5" s="28">
        <v>6.5875000000000004</v>
      </c>
      <c r="E5" s="28">
        <v>0.16666666666666666</v>
      </c>
      <c r="F5" s="28">
        <v>5.9250000000000007</v>
      </c>
      <c r="G5" s="28">
        <v>15.137499999999999</v>
      </c>
      <c r="H5" s="28">
        <v>3.0249999999999999</v>
      </c>
      <c r="I5" s="50">
        <v>0.18152549798951875</v>
      </c>
      <c r="J5">
        <v>1.44</v>
      </c>
      <c r="K5" s="28">
        <v>0.16872812964337106</v>
      </c>
      <c r="L5" s="28">
        <v>0.26510400000000006</v>
      </c>
      <c r="M5">
        <f t="shared" si="0"/>
        <v>0.26139671710490697</v>
      </c>
      <c r="N5" s="12">
        <f t="shared" si="1"/>
        <v>18.533717492307183</v>
      </c>
      <c r="O5" s="12">
        <f t="shared" si="2"/>
        <v>19.2751740713258</v>
      </c>
      <c r="P5" s="12">
        <f t="shared" si="3"/>
        <v>45.660377358490564</v>
      </c>
      <c r="Q5" s="50">
        <f t="shared" si="4"/>
        <v>0.29161440000000011</v>
      </c>
      <c r="S5" t="s">
        <v>711</v>
      </c>
      <c r="T5" s="12">
        <f>SUM(N2:N10)</f>
        <v>136.30199066559297</v>
      </c>
    </row>
    <row r="6" spans="1:23" x14ac:dyDescent="0.25">
      <c r="A6">
        <v>60</v>
      </c>
      <c r="B6">
        <v>80</v>
      </c>
      <c r="C6" s="126">
        <v>200</v>
      </c>
      <c r="D6" s="28">
        <v>6.8000000000000007</v>
      </c>
      <c r="E6" s="28">
        <v>0.16</v>
      </c>
      <c r="F6" s="28">
        <v>6.0124999999999993</v>
      </c>
      <c r="G6" s="28">
        <v>9.8374999999999986</v>
      </c>
      <c r="H6" s="28">
        <v>3.45</v>
      </c>
      <c r="I6" s="50">
        <v>0.16679999070486948</v>
      </c>
      <c r="J6">
        <v>1.44</v>
      </c>
      <c r="K6" s="28">
        <v>0.16621856562681211</v>
      </c>
      <c r="L6" s="28">
        <v>0.25977600000000006</v>
      </c>
      <c r="M6">
        <f t="shared" si="0"/>
        <v>0.24019198661501204</v>
      </c>
      <c r="N6" s="12">
        <f t="shared" si="1"/>
        <v>14.794684197639985</v>
      </c>
      <c r="O6" s="12">
        <f t="shared" si="2"/>
        <v>18.71148687463759</v>
      </c>
      <c r="P6" s="12">
        <f t="shared" si="3"/>
        <v>45.660377358490564</v>
      </c>
      <c r="Q6" s="50">
        <f t="shared" si="4"/>
        <v>0.28575360000000011</v>
      </c>
      <c r="S6" t="s">
        <v>712</v>
      </c>
      <c r="T6">
        <v>26</v>
      </c>
    </row>
    <row r="7" spans="1:23" x14ac:dyDescent="0.25">
      <c r="A7">
        <v>80</v>
      </c>
      <c r="B7">
        <v>100</v>
      </c>
      <c r="C7" s="126">
        <v>200</v>
      </c>
      <c r="D7" s="28">
        <v>7.375</v>
      </c>
      <c r="E7" s="28"/>
      <c r="F7" s="28">
        <v>6.3125000000000009</v>
      </c>
      <c r="G7" s="28">
        <v>4.7</v>
      </c>
      <c r="H7" s="28">
        <v>2.5774999999999997</v>
      </c>
      <c r="I7" s="50">
        <v>0.14525545488867084</v>
      </c>
      <c r="J7">
        <v>1.44</v>
      </c>
      <c r="K7" s="28">
        <v>0.15485360586502359</v>
      </c>
      <c r="L7" s="28">
        <v>0.233208</v>
      </c>
      <c r="M7">
        <f t="shared" si="0"/>
        <v>0.20916785503968599</v>
      </c>
      <c r="N7" s="12">
        <f t="shared" si="1"/>
        <v>10.862849834932481</v>
      </c>
      <c r="O7" s="12">
        <f t="shared" si="2"/>
        <v>15.670878826995283</v>
      </c>
      <c r="P7" s="12">
        <f t="shared" si="3"/>
        <v>45.660377358490564</v>
      </c>
      <c r="Q7" s="50">
        <f t="shared" si="4"/>
        <v>0.2565288</v>
      </c>
      <c r="S7" t="s">
        <v>713</v>
      </c>
      <c r="T7">
        <v>254</v>
      </c>
    </row>
    <row r="8" spans="1:23" x14ac:dyDescent="0.25">
      <c r="A8">
        <v>100</v>
      </c>
      <c r="B8">
        <v>120</v>
      </c>
      <c r="C8" s="126">
        <v>200</v>
      </c>
      <c r="D8" s="28">
        <v>7.9833333333333334</v>
      </c>
      <c r="E8" s="28"/>
      <c r="F8" s="28">
        <v>6.833333333333333</v>
      </c>
      <c r="G8" s="28">
        <v>3.6999999999999997</v>
      </c>
      <c r="H8" s="28">
        <v>2.6666666666666674</v>
      </c>
      <c r="I8" s="50">
        <v>0.15532720247564522</v>
      </c>
      <c r="J8">
        <v>1.57</v>
      </c>
      <c r="K8" s="28">
        <v>0.20513712661905417</v>
      </c>
      <c r="L8" s="28">
        <v>0.25135700000000005</v>
      </c>
      <c r="M8">
        <f t="shared" si="0"/>
        <v>0.24386370788676301</v>
      </c>
      <c r="N8" s="12">
        <f t="shared" si="1"/>
        <v>7.7453162535417679</v>
      </c>
      <c r="O8" s="12">
        <f t="shared" si="2"/>
        <v>9.2439746761891755</v>
      </c>
      <c r="P8" s="12">
        <f t="shared" si="3"/>
        <v>40.754716981132063</v>
      </c>
      <c r="Q8" s="50">
        <f t="shared" si="4"/>
        <v>0.27649270000000009</v>
      </c>
    </row>
    <row r="9" spans="1:23" x14ac:dyDescent="0.25">
      <c r="A9">
        <v>120</v>
      </c>
      <c r="B9">
        <v>140</v>
      </c>
      <c r="C9" s="126">
        <v>200</v>
      </c>
      <c r="D9" s="28">
        <v>8.6</v>
      </c>
      <c r="E9" s="28"/>
      <c r="F9" s="28">
        <v>7.7</v>
      </c>
      <c r="G9" s="28">
        <v>4.5</v>
      </c>
      <c r="H9" s="28">
        <v>3.6</v>
      </c>
      <c r="I9" s="127">
        <v>0.17537796976241909</v>
      </c>
      <c r="J9">
        <v>1.57</v>
      </c>
      <c r="K9" s="28">
        <v>0.17</v>
      </c>
      <c r="L9">
        <v>0.33</v>
      </c>
      <c r="M9">
        <f t="shared" si="0"/>
        <v>0.27534341252699801</v>
      </c>
      <c r="N9" s="12">
        <f t="shared" si="1"/>
        <v>21.0686825053996</v>
      </c>
      <c r="O9">
        <f t="shared" si="2"/>
        <v>32</v>
      </c>
      <c r="P9" s="12">
        <f t="shared" si="3"/>
        <v>40.754716981132063</v>
      </c>
      <c r="Q9" s="50">
        <f t="shared" si="4"/>
        <v>0.36300000000000004</v>
      </c>
    </row>
    <row r="10" spans="1:23" ht="18.75" x14ac:dyDescent="0.3">
      <c r="A10">
        <v>140</v>
      </c>
      <c r="B10">
        <v>160</v>
      </c>
      <c r="C10" s="126">
        <v>200</v>
      </c>
      <c r="D10" s="28">
        <v>8.6999999999999993</v>
      </c>
      <c r="E10" s="28"/>
      <c r="F10" s="28">
        <v>7.6</v>
      </c>
      <c r="G10" s="28">
        <v>5.6</v>
      </c>
      <c r="H10" s="28">
        <v>3.3</v>
      </c>
      <c r="I10" s="127">
        <v>0.19480122324159022</v>
      </c>
      <c r="J10">
        <v>1.57</v>
      </c>
      <c r="K10" s="28">
        <v>0.2</v>
      </c>
      <c r="L10">
        <v>0.33</v>
      </c>
      <c r="M10">
        <f t="shared" si="0"/>
        <v>0.30583792048929664</v>
      </c>
      <c r="N10" s="12">
        <f t="shared" si="1"/>
        <v>21.167584097859326</v>
      </c>
      <c r="O10">
        <f t="shared" si="2"/>
        <v>26</v>
      </c>
      <c r="P10" s="12">
        <f t="shared" si="3"/>
        <v>40.754716981132063</v>
      </c>
      <c r="Q10" s="50">
        <f t="shared" si="4"/>
        <v>0.36300000000000004</v>
      </c>
      <c r="S10" t="s">
        <v>714</v>
      </c>
      <c r="V10" s="128">
        <f>((V3-45)*26/1000)</f>
        <v>9.6538517573054161</v>
      </c>
      <c r="W10" t="s">
        <v>647</v>
      </c>
    </row>
    <row r="11" spans="1:23" x14ac:dyDescent="0.25">
      <c r="C11" s="126"/>
    </row>
    <row r="13" spans="1:23" ht="15.75" x14ac:dyDescent="0.25">
      <c r="S13" s="129" t="s">
        <v>715</v>
      </c>
      <c r="T13" s="129"/>
    </row>
    <row r="14" spans="1:23" x14ac:dyDescent="0.25">
      <c r="S14" t="s">
        <v>716</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E15A-3F7C-465A-B71F-4ABDFF613FC9}">
  <sheetPr>
    <tabColor rgb="FF92D050"/>
  </sheetPr>
  <dimension ref="A1:V300"/>
  <sheetViews>
    <sheetView workbookViewId="0"/>
  </sheetViews>
  <sheetFormatPr defaultRowHeight="15" x14ac:dyDescent="0.25"/>
  <cols>
    <col min="1" max="3" width="8.85546875" style="6"/>
    <col min="4" max="4" width="14.7109375" style="6" bestFit="1" customWidth="1"/>
    <col min="5" max="11" width="8.85546875" style="6"/>
    <col min="12" max="13" width="13.5703125" customWidth="1"/>
    <col min="19" max="19" width="9.140625" style="21"/>
    <col min="20" max="20" width="9.140625" style="28"/>
    <col min="21" max="21" width="9.140625" style="21"/>
    <col min="22" max="22" width="13.42578125" style="21" customWidth="1"/>
    <col min="27" max="27" width="13.140625" customWidth="1"/>
    <col min="28" max="28" width="16.28515625" bestFit="1" customWidth="1"/>
    <col min="29" max="29" width="15.28515625" bestFit="1" customWidth="1"/>
    <col min="30" max="35" width="12" bestFit="1" customWidth="1"/>
  </cols>
  <sheetData>
    <row r="1" spans="1:22" ht="68.25" customHeight="1" x14ac:dyDescent="0.25">
      <c r="A1" s="53" t="s">
        <v>44</v>
      </c>
      <c r="B1" s="53" t="s">
        <v>45</v>
      </c>
      <c r="C1" s="53" t="s">
        <v>46</v>
      </c>
      <c r="D1" s="53" t="s">
        <v>47</v>
      </c>
      <c r="E1" s="53" t="s">
        <v>48</v>
      </c>
      <c r="F1" s="53" t="s">
        <v>49</v>
      </c>
      <c r="G1" s="53" t="s">
        <v>50</v>
      </c>
      <c r="H1" s="53" t="s">
        <v>51</v>
      </c>
      <c r="I1" s="53" t="s">
        <v>52</v>
      </c>
      <c r="J1" s="53" t="s">
        <v>53</v>
      </c>
      <c r="K1" s="53" t="s">
        <v>54</v>
      </c>
      <c r="L1" s="4" t="s">
        <v>151</v>
      </c>
      <c r="M1" s="4" t="s">
        <v>560</v>
      </c>
      <c r="N1" s="4" t="s">
        <v>561</v>
      </c>
      <c r="O1" s="4" t="s">
        <v>562</v>
      </c>
      <c r="P1" s="4" t="s">
        <v>563</v>
      </c>
      <c r="Q1" s="4" t="s">
        <v>564</v>
      </c>
      <c r="R1" s="4" t="s">
        <v>565</v>
      </c>
      <c r="S1" s="10" t="s">
        <v>566</v>
      </c>
      <c r="T1" s="4" t="s">
        <v>153</v>
      </c>
      <c r="U1" s="4" t="s">
        <v>567</v>
      </c>
      <c r="V1" s="10"/>
    </row>
    <row r="2" spans="1:22" x14ac:dyDescent="0.25">
      <c r="A2" s="6" t="s">
        <v>24</v>
      </c>
      <c r="D2" s="6" t="s">
        <v>28</v>
      </c>
      <c r="E2" s="6">
        <v>1998</v>
      </c>
      <c r="F2" s="6">
        <v>1</v>
      </c>
      <c r="G2" s="6">
        <v>1</v>
      </c>
      <c r="H2" s="6">
        <v>1</v>
      </c>
      <c r="K2" s="6">
        <v>101</v>
      </c>
      <c r="L2" s="75">
        <v>45782</v>
      </c>
      <c r="M2">
        <v>32</v>
      </c>
      <c r="N2">
        <v>27</v>
      </c>
      <c r="O2">
        <v>44</v>
      </c>
      <c r="P2">
        <v>22</v>
      </c>
      <c r="T2" s="28">
        <v>0.25</v>
      </c>
      <c r="U2" s="21">
        <f t="shared" ref="U2:U33" si="0">AVERAGE(M2:P2)/T2</f>
        <v>125</v>
      </c>
    </row>
    <row r="3" spans="1:22" x14ac:dyDescent="0.25">
      <c r="A3" s="6" t="s">
        <v>24</v>
      </c>
      <c r="D3" s="6" t="s">
        <v>313</v>
      </c>
      <c r="E3" s="6">
        <v>2016</v>
      </c>
      <c r="F3" s="6">
        <v>1</v>
      </c>
      <c r="G3" s="6">
        <v>2</v>
      </c>
      <c r="H3" s="6">
        <v>1</v>
      </c>
      <c r="K3" s="6">
        <v>117</v>
      </c>
      <c r="L3" s="75">
        <v>45782</v>
      </c>
      <c r="M3">
        <v>33</v>
      </c>
      <c r="N3">
        <v>28</v>
      </c>
      <c r="O3">
        <v>30</v>
      </c>
      <c r="P3">
        <v>37</v>
      </c>
      <c r="T3" s="28">
        <v>0.25</v>
      </c>
      <c r="U3" s="21">
        <f t="shared" si="0"/>
        <v>128</v>
      </c>
    </row>
    <row r="4" spans="1:22" x14ac:dyDescent="0.25">
      <c r="A4" s="6" t="s">
        <v>24</v>
      </c>
      <c r="D4" s="6" t="s">
        <v>26</v>
      </c>
      <c r="E4" s="6">
        <v>1983</v>
      </c>
      <c r="F4" s="6">
        <v>1</v>
      </c>
      <c r="G4" s="6">
        <v>3</v>
      </c>
      <c r="H4" s="6">
        <v>1</v>
      </c>
      <c r="K4" s="6">
        <v>133</v>
      </c>
      <c r="L4" s="75">
        <v>45782</v>
      </c>
      <c r="M4">
        <v>25</v>
      </c>
      <c r="N4">
        <v>36</v>
      </c>
      <c r="O4">
        <v>28</v>
      </c>
      <c r="P4">
        <v>33</v>
      </c>
      <c r="T4" s="28">
        <v>0.25</v>
      </c>
      <c r="U4" s="21">
        <f t="shared" si="0"/>
        <v>122</v>
      </c>
    </row>
    <row r="5" spans="1:22" x14ac:dyDescent="0.25">
      <c r="A5" s="6" t="s">
        <v>24</v>
      </c>
      <c r="D5" s="6" t="s">
        <v>29</v>
      </c>
      <c r="E5" s="6">
        <v>1999</v>
      </c>
      <c r="F5" s="6">
        <v>1</v>
      </c>
      <c r="G5" s="6">
        <v>4</v>
      </c>
      <c r="H5" s="6">
        <v>1</v>
      </c>
      <c r="K5" s="6">
        <v>149</v>
      </c>
      <c r="L5" s="75">
        <v>45782</v>
      </c>
      <c r="M5">
        <v>35</v>
      </c>
      <c r="N5">
        <v>28</v>
      </c>
      <c r="O5">
        <v>34</v>
      </c>
      <c r="P5">
        <v>24</v>
      </c>
      <c r="T5" s="28">
        <v>0.25</v>
      </c>
      <c r="U5" s="21">
        <f t="shared" si="0"/>
        <v>121</v>
      </c>
    </row>
    <row r="6" spans="1:22" x14ac:dyDescent="0.25">
      <c r="A6" s="6" t="s">
        <v>24</v>
      </c>
      <c r="D6" s="6" t="s">
        <v>312</v>
      </c>
      <c r="E6" s="6">
        <v>2002</v>
      </c>
      <c r="F6" s="6">
        <v>1</v>
      </c>
      <c r="G6" s="6">
        <v>1</v>
      </c>
      <c r="H6" s="6">
        <v>2</v>
      </c>
      <c r="K6" s="6">
        <v>102</v>
      </c>
      <c r="L6" s="75">
        <v>45782</v>
      </c>
      <c r="M6">
        <v>39</v>
      </c>
      <c r="N6">
        <v>24</v>
      </c>
      <c r="O6">
        <v>35</v>
      </c>
      <c r="P6">
        <v>26</v>
      </c>
      <c r="T6" s="28">
        <v>0.25</v>
      </c>
      <c r="U6" s="21">
        <f t="shared" si="0"/>
        <v>124</v>
      </c>
    </row>
    <row r="7" spans="1:22" x14ac:dyDescent="0.25">
      <c r="A7" s="6" t="s">
        <v>24</v>
      </c>
      <c r="D7" s="6" t="s">
        <v>311</v>
      </c>
      <c r="E7" s="6">
        <v>2023</v>
      </c>
      <c r="F7" s="6">
        <v>1</v>
      </c>
      <c r="G7" s="6">
        <v>2</v>
      </c>
      <c r="H7" s="6">
        <v>2</v>
      </c>
      <c r="K7" s="6">
        <v>118</v>
      </c>
      <c r="L7" s="75">
        <v>45782</v>
      </c>
      <c r="M7">
        <v>30</v>
      </c>
      <c r="N7">
        <v>32</v>
      </c>
      <c r="O7">
        <v>34</v>
      </c>
      <c r="P7">
        <v>21</v>
      </c>
      <c r="T7" s="28">
        <v>0.25</v>
      </c>
      <c r="U7" s="21">
        <f t="shared" si="0"/>
        <v>117</v>
      </c>
    </row>
    <row r="8" spans="1:22" x14ac:dyDescent="0.25">
      <c r="A8" s="6" t="s">
        <v>24</v>
      </c>
      <c r="D8" s="6" t="s">
        <v>27</v>
      </c>
      <c r="E8" s="6">
        <v>1985</v>
      </c>
      <c r="F8" s="6">
        <v>1</v>
      </c>
      <c r="G8" s="6">
        <v>3</v>
      </c>
      <c r="H8" s="6">
        <v>2</v>
      </c>
      <c r="K8" s="6">
        <v>134</v>
      </c>
      <c r="L8" s="75">
        <v>45782</v>
      </c>
      <c r="M8">
        <v>40</v>
      </c>
      <c r="N8">
        <v>27</v>
      </c>
      <c r="O8">
        <v>39</v>
      </c>
      <c r="P8">
        <v>18</v>
      </c>
      <c r="T8" s="28">
        <v>0.25</v>
      </c>
      <c r="U8" s="21">
        <f t="shared" si="0"/>
        <v>124</v>
      </c>
    </row>
    <row r="9" spans="1:22" x14ac:dyDescent="0.25">
      <c r="A9" s="6" t="s">
        <v>24</v>
      </c>
      <c r="D9" s="6" t="s">
        <v>32</v>
      </c>
      <c r="E9" s="6">
        <v>2018</v>
      </c>
      <c r="F9" s="6">
        <v>1</v>
      </c>
      <c r="G9" s="6">
        <v>4</v>
      </c>
      <c r="H9" s="6">
        <v>2</v>
      </c>
      <c r="K9" s="6">
        <v>150</v>
      </c>
      <c r="L9" s="75">
        <v>45782</v>
      </c>
      <c r="M9">
        <v>40</v>
      </c>
      <c r="N9">
        <v>25</v>
      </c>
      <c r="O9">
        <v>25</v>
      </c>
      <c r="P9">
        <v>22</v>
      </c>
      <c r="T9" s="28">
        <v>0.25</v>
      </c>
      <c r="U9" s="21">
        <f t="shared" si="0"/>
        <v>112</v>
      </c>
    </row>
    <row r="10" spans="1:22" x14ac:dyDescent="0.25">
      <c r="A10" s="6" t="s">
        <v>24</v>
      </c>
      <c r="D10" s="6" t="s">
        <v>29</v>
      </c>
      <c r="E10" s="6">
        <v>1999</v>
      </c>
      <c r="F10" s="6">
        <v>2</v>
      </c>
      <c r="G10" s="6">
        <v>1</v>
      </c>
      <c r="H10" s="6">
        <v>5</v>
      </c>
      <c r="K10" s="6">
        <v>105</v>
      </c>
      <c r="L10" s="75">
        <v>45782</v>
      </c>
      <c r="M10">
        <v>34</v>
      </c>
      <c r="N10">
        <v>33</v>
      </c>
      <c r="O10">
        <v>30</v>
      </c>
      <c r="P10">
        <v>35</v>
      </c>
      <c r="T10" s="28">
        <v>0.25</v>
      </c>
      <c r="U10" s="21">
        <f t="shared" si="0"/>
        <v>132</v>
      </c>
    </row>
    <row r="11" spans="1:22" x14ac:dyDescent="0.25">
      <c r="A11" s="6" t="s">
        <v>24</v>
      </c>
      <c r="D11" s="6" t="s">
        <v>27</v>
      </c>
      <c r="E11" s="6">
        <v>1985</v>
      </c>
      <c r="F11" s="6">
        <v>2</v>
      </c>
      <c r="G11" s="6">
        <v>2</v>
      </c>
      <c r="H11" s="6">
        <v>5</v>
      </c>
      <c r="K11" s="6">
        <v>121</v>
      </c>
      <c r="L11" s="75">
        <v>45782</v>
      </c>
      <c r="M11">
        <v>49</v>
      </c>
      <c r="N11">
        <v>30</v>
      </c>
      <c r="O11">
        <v>35</v>
      </c>
      <c r="P11">
        <v>36</v>
      </c>
      <c r="T11" s="28">
        <v>0.25</v>
      </c>
      <c r="U11" s="21">
        <f t="shared" si="0"/>
        <v>150</v>
      </c>
    </row>
    <row r="12" spans="1:22" x14ac:dyDescent="0.25">
      <c r="A12" s="6" t="s">
        <v>24</v>
      </c>
      <c r="D12" s="6" t="s">
        <v>313</v>
      </c>
      <c r="E12" s="6">
        <v>2016</v>
      </c>
      <c r="F12" s="6">
        <v>2</v>
      </c>
      <c r="G12" s="6">
        <v>3</v>
      </c>
      <c r="H12" s="6">
        <v>5</v>
      </c>
      <c r="K12" s="6">
        <v>137</v>
      </c>
      <c r="L12" s="75">
        <v>45782</v>
      </c>
      <c r="M12">
        <v>46</v>
      </c>
      <c r="N12">
        <v>37</v>
      </c>
      <c r="O12">
        <v>39</v>
      </c>
      <c r="P12">
        <v>23</v>
      </c>
      <c r="T12" s="28">
        <v>0.25</v>
      </c>
      <c r="U12" s="21">
        <f t="shared" si="0"/>
        <v>145</v>
      </c>
    </row>
    <row r="13" spans="1:22" x14ac:dyDescent="0.25">
      <c r="A13" s="6" t="s">
        <v>24</v>
      </c>
      <c r="D13" s="6" t="s">
        <v>312</v>
      </c>
      <c r="E13" s="6">
        <v>2002</v>
      </c>
      <c r="F13" s="6">
        <v>2</v>
      </c>
      <c r="G13" s="6">
        <v>4</v>
      </c>
      <c r="H13" s="6">
        <v>5</v>
      </c>
      <c r="K13" s="6">
        <v>153</v>
      </c>
      <c r="L13" s="75">
        <v>45782</v>
      </c>
      <c r="M13">
        <v>26</v>
      </c>
      <c r="N13">
        <v>18</v>
      </c>
      <c r="O13">
        <v>30</v>
      </c>
      <c r="P13">
        <v>32</v>
      </c>
      <c r="T13" s="28">
        <v>0.25</v>
      </c>
      <c r="U13" s="21">
        <f t="shared" si="0"/>
        <v>106</v>
      </c>
    </row>
    <row r="14" spans="1:22" x14ac:dyDescent="0.25">
      <c r="A14" s="6" t="s">
        <v>24</v>
      </c>
      <c r="D14" s="6" t="s">
        <v>311</v>
      </c>
      <c r="E14" s="6">
        <v>2023</v>
      </c>
      <c r="F14" s="6">
        <v>2</v>
      </c>
      <c r="G14" s="6">
        <v>1</v>
      </c>
      <c r="H14" s="6">
        <v>6</v>
      </c>
      <c r="K14" s="6">
        <v>106</v>
      </c>
      <c r="L14" s="75">
        <v>45782</v>
      </c>
      <c r="M14">
        <v>34</v>
      </c>
      <c r="N14">
        <v>34</v>
      </c>
      <c r="O14">
        <v>35</v>
      </c>
      <c r="P14">
        <v>33</v>
      </c>
      <c r="T14" s="28">
        <v>0.25</v>
      </c>
      <c r="U14" s="21">
        <f t="shared" si="0"/>
        <v>136</v>
      </c>
    </row>
    <row r="15" spans="1:22" x14ac:dyDescent="0.25">
      <c r="A15" s="6" t="s">
        <v>24</v>
      </c>
      <c r="D15" s="6" t="s">
        <v>28</v>
      </c>
      <c r="E15" s="6">
        <v>1998</v>
      </c>
      <c r="F15" s="6">
        <v>2</v>
      </c>
      <c r="G15" s="6">
        <v>2</v>
      </c>
      <c r="H15" s="6">
        <v>6</v>
      </c>
      <c r="K15" s="6">
        <v>122</v>
      </c>
      <c r="L15" s="75">
        <v>45782</v>
      </c>
      <c r="M15">
        <v>36</v>
      </c>
      <c r="N15">
        <v>30</v>
      </c>
      <c r="O15">
        <v>38</v>
      </c>
      <c r="P15">
        <v>31</v>
      </c>
      <c r="T15" s="28">
        <v>0.25</v>
      </c>
      <c r="U15" s="21">
        <f t="shared" si="0"/>
        <v>135</v>
      </c>
    </row>
    <row r="16" spans="1:22" x14ac:dyDescent="0.25">
      <c r="A16" s="6" t="s">
        <v>24</v>
      </c>
      <c r="D16" s="6" t="s">
        <v>32</v>
      </c>
      <c r="E16" s="6">
        <v>2018</v>
      </c>
      <c r="F16" s="6">
        <v>2</v>
      </c>
      <c r="G16" s="6">
        <v>3</v>
      </c>
      <c r="H16" s="6">
        <v>6</v>
      </c>
      <c r="K16" s="6">
        <v>138</v>
      </c>
      <c r="L16" s="75">
        <v>45782</v>
      </c>
      <c r="M16">
        <v>27</v>
      </c>
      <c r="N16">
        <v>21</v>
      </c>
      <c r="O16">
        <v>25</v>
      </c>
      <c r="P16">
        <v>20</v>
      </c>
      <c r="T16" s="28">
        <v>0.25</v>
      </c>
      <c r="U16" s="21">
        <f t="shared" si="0"/>
        <v>93</v>
      </c>
    </row>
    <row r="17" spans="1:21" x14ac:dyDescent="0.25">
      <c r="A17" s="6" t="s">
        <v>24</v>
      </c>
      <c r="D17" s="6" t="s">
        <v>26</v>
      </c>
      <c r="E17" s="6">
        <v>1983</v>
      </c>
      <c r="F17" s="6">
        <v>2</v>
      </c>
      <c r="G17" s="6">
        <v>4</v>
      </c>
      <c r="H17" s="6">
        <v>6</v>
      </c>
      <c r="K17" s="6">
        <v>154</v>
      </c>
      <c r="L17" s="75">
        <v>45782</v>
      </c>
      <c r="M17">
        <v>41</v>
      </c>
      <c r="N17">
        <v>24</v>
      </c>
      <c r="O17">
        <v>29</v>
      </c>
      <c r="P17">
        <v>24</v>
      </c>
      <c r="T17" s="28">
        <v>0.25</v>
      </c>
      <c r="U17" s="21">
        <f t="shared" si="0"/>
        <v>118</v>
      </c>
    </row>
    <row r="18" spans="1:21" x14ac:dyDescent="0.25">
      <c r="A18" s="6" t="s">
        <v>24</v>
      </c>
      <c r="D18" s="6" t="s">
        <v>26</v>
      </c>
      <c r="E18" s="6">
        <v>1983</v>
      </c>
      <c r="F18" s="6">
        <v>3</v>
      </c>
      <c r="G18" s="6">
        <v>1</v>
      </c>
      <c r="H18" s="6">
        <v>9</v>
      </c>
      <c r="K18" s="6">
        <v>109</v>
      </c>
      <c r="L18" s="75">
        <v>45782</v>
      </c>
      <c r="M18">
        <v>27</v>
      </c>
      <c r="N18">
        <v>39</v>
      </c>
      <c r="O18">
        <v>34</v>
      </c>
      <c r="P18">
        <v>41</v>
      </c>
      <c r="T18" s="28">
        <v>0.25</v>
      </c>
      <c r="U18" s="21">
        <f t="shared" si="0"/>
        <v>141</v>
      </c>
    </row>
    <row r="19" spans="1:21" x14ac:dyDescent="0.25">
      <c r="A19" s="6" t="s">
        <v>24</v>
      </c>
      <c r="D19" s="6" t="s">
        <v>312</v>
      </c>
      <c r="E19" s="6">
        <v>2002</v>
      </c>
      <c r="F19" s="6">
        <v>3</v>
      </c>
      <c r="G19" s="6">
        <v>2</v>
      </c>
      <c r="H19" s="6">
        <v>9</v>
      </c>
      <c r="K19" s="6">
        <v>125</v>
      </c>
      <c r="L19" s="75">
        <v>45782</v>
      </c>
      <c r="M19">
        <v>27</v>
      </c>
      <c r="N19">
        <v>36</v>
      </c>
      <c r="O19">
        <v>35</v>
      </c>
      <c r="P19">
        <v>35</v>
      </c>
      <c r="T19" s="28">
        <v>0.25</v>
      </c>
      <c r="U19" s="21">
        <f t="shared" si="0"/>
        <v>133</v>
      </c>
    </row>
    <row r="20" spans="1:21" x14ac:dyDescent="0.25">
      <c r="A20" s="6" t="s">
        <v>24</v>
      </c>
      <c r="D20" s="6" t="s">
        <v>28</v>
      </c>
      <c r="E20" s="6">
        <v>1998</v>
      </c>
      <c r="F20" s="6">
        <v>3</v>
      </c>
      <c r="G20" s="6">
        <v>3</v>
      </c>
      <c r="H20" s="6">
        <v>9</v>
      </c>
      <c r="K20" s="6">
        <v>141</v>
      </c>
      <c r="L20" s="75">
        <v>45782</v>
      </c>
      <c r="M20">
        <v>33</v>
      </c>
      <c r="N20">
        <v>34</v>
      </c>
      <c r="O20">
        <v>28</v>
      </c>
      <c r="P20">
        <v>23</v>
      </c>
      <c r="T20" s="28">
        <v>0.25</v>
      </c>
      <c r="U20" s="21">
        <f t="shared" si="0"/>
        <v>118</v>
      </c>
    </row>
    <row r="21" spans="1:21" x14ac:dyDescent="0.25">
      <c r="A21" s="6" t="s">
        <v>24</v>
      </c>
      <c r="D21" s="6" t="s">
        <v>27</v>
      </c>
      <c r="E21" s="6">
        <v>1985</v>
      </c>
      <c r="F21" s="6">
        <v>3</v>
      </c>
      <c r="G21" s="6">
        <v>4</v>
      </c>
      <c r="H21" s="6">
        <v>9</v>
      </c>
      <c r="K21" s="6">
        <v>157</v>
      </c>
      <c r="L21" s="75">
        <v>45782</v>
      </c>
      <c r="M21">
        <v>30</v>
      </c>
      <c r="N21">
        <v>29</v>
      </c>
      <c r="O21">
        <v>38</v>
      </c>
      <c r="P21">
        <v>20</v>
      </c>
      <c r="T21" s="28">
        <v>0.25</v>
      </c>
      <c r="U21" s="21">
        <f t="shared" si="0"/>
        <v>117</v>
      </c>
    </row>
    <row r="22" spans="1:21" x14ac:dyDescent="0.25">
      <c r="A22" s="6" t="s">
        <v>24</v>
      </c>
      <c r="D22" s="6" t="s">
        <v>313</v>
      </c>
      <c r="E22" s="6">
        <v>2016</v>
      </c>
      <c r="F22" s="6">
        <v>3</v>
      </c>
      <c r="G22" s="6">
        <v>1</v>
      </c>
      <c r="H22" s="6">
        <v>10</v>
      </c>
      <c r="K22" s="6">
        <v>110</v>
      </c>
      <c r="L22" s="75">
        <v>45782</v>
      </c>
      <c r="M22">
        <v>42</v>
      </c>
      <c r="N22">
        <v>31</v>
      </c>
      <c r="O22">
        <v>47</v>
      </c>
      <c r="P22">
        <v>41</v>
      </c>
      <c r="T22" s="28">
        <v>0.25</v>
      </c>
      <c r="U22" s="21">
        <f t="shared" si="0"/>
        <v>161</v>
      </c>
    </row>
    <row r="23" spans="1:21" x14ac:dyDescent="0.25">
      <c r="A23" s="6" t="s">
        <v>24</v>
      </c>
      <c r="D23" s="6" t="s">
        <v>32</v>
      </c>
      <c r="E23" s="6">
        <v>2018</v>
      </c>
      <c r="F23" s="6">
        <v>3</v>
      </c>
      <c r="G23" s="6">
        <v>2</v>
      </c>
      <c r="H23" s="6">
        <v>10</v>
      </c>
      <c r="K23" s="6">
        <v>126</v>
      </c>
      <c r="L23" s="75">
        <v>45782</v>
      </c>
      <c r="M23">
        <v>40</v>
      </c>
      <c r="N23">
        <v>40</v>
      </c>
      <c r="O23">
        <v>29</v>
      </c>
      <c r="P23">
        <v>32</v>
      </c>
      <c r="T23" s="28">
        <v>0.25</v>
      </c>
      <c r="U23" s="21">
        <f t="shared" si="0"/>
        <v>141</v>
      </c>
    </row>
    <row r="24" spans="1:21" x14ac:dyDescent="0.25">
      <c r="A24" s="6" t="s">
        <v>24</v>
      </c>
      <c r="D24" s="6" t="s">
        <v>29</v>
      </c>
      <c r="E24" s="6">
        <v>1999</v>
      </c>
      <c r="F24" s="6">
        <v>3</v>
      </c>
      <c r="G24" s="6">
        <v>3</v>
      </c>
      <c r="H24" s="6">
        <v>10</v>
      </c>
      <c r="K24" s="6">
        <v>142</v>
      </c>
      <c r="L24" s="75">
        <v>45782</v>
      </c>
      <c r="M24">
        <v>31</v>
      </c>
      <c r="N24">
        <v>34</v>
      </c>
      <c r="O24">
        <v>39</v>
      </c>
      <c r="P24">
        <v>35</v>
      </c>
      <c r="T24" s="28">
        <v>0.25</v>
      </c>
      <c r="U24" s="21">
        <f t="shared" si="0"/>
        <v>139</v>
      </c>
    </row>
    <row r="25" spans="1:21" x14ac:dyDescent="0.25">
      <c r="A25" s="6" t="s">
        <v>24</v>
      </c>
      <c r="D25" s="6" t="s">
        <v>311</v>
      </c>
      <c r="E25" s="6">
        <v>2023</v>
      </c>
      <c r="F25" s="6">
        <v>3</v>
      </c>
      <c r="G25" s="6">
        <v>4</v>
      </c>
      <c r="H25" s="6">
        <v>10</v>
      </c>
      <c r="K25" s="6">
        <v>158</v>
      </c>
      <c r="L25" s="75">
        <v>45782</v>
      </c>
      <c r="M25">
        <v>39</v>
      </c>
      <c r="N25">
        <v>39</v>
      </c>
      <c r="O25">
        <v>35</v>
      </c>
      <c r="P25">
        <v>24</v>
      </c>
      <c r="T25" s="28">
        <v>0.25</v>
      </c>
      <c r="U25" s="21">
        <f t="shared" si="0"/>
        <v>137</v>
      </c>
    </row>
    <row r="26" spans="1:21" x14ac:dyDescent="0.25">
      <c r="A26" s="6" t="s">
        <v>24</v>
      </c>
      <c r="D26" s="6" t="s">
        <v>32</v>
      </c>
      <c r="E26" s="6">
        <v>2018</v>
      </c>
      <c r="F26" s="6">
        <v>4</v>
      </c>
      <c r="G26" s="6">
        <v>1</v>
      </c>
      <c r="H26" s="6">
        <v>13</v>
      </c>
      <c r="K26" s="6">
        <v>113</v>
      </c>
      <c r="L26" s="75">
        <v>45782</v>
      </c>
      <c r="M26">
        <v>31</v>
      </c>
      <c r="N26">
        <v>33</v>
      </c>
      <c r="O26">
        <v>21</v>
      </c>
      <c r="P26">
        <v>36</v>
      </c>
      <c r="T26" s="28">
        <v>0.25</v>
      </c>
      <c r="U26" s="21">
        <f t="shared" si="0"/>
        <v>121</v>
      </c>
    </row>
    <row r="27" spans="1:21" x14ac:dyDescent="0.25">
      <c r="A27" s="54" t="s">
        <v>24</v>
      </c>
      <c r="B27" s="54"/>
      <c r="C27" s="55"/>
      <c r="D27" s="54" t="s">
        <v>26</v>
      </c>
      <c r="E27" s="54">
        <v>1983</v>
      </c>
      <c r="F27" s="55">
        <v>4</v>
      </c>
      <c r="G27" s="55">
        <v>2</v>
      </c>
      <c r="H27" s="55">
        <v>13</v>
      </c>
      <c r="I27" s="56"/>
      <c r="J27" s="56"/>
      <c r="K27" s="55">
        <v>129</v>
      </c>
      <c r="L27" s="75">
        <v>45782</v>
      </c>
      <c r="M27">
        <v>33</v>
      </c>
      <c r="N27">
        <v>30</v>
      </c>
      <c r="O27">
        <v>43</v>
      </c>
      <c r="P27">
        <v>30</v>
      </c>
      <c r="T27" s="28">
        <v>0.25</v>
      </c>
      <c r="U27" s="21">
        <f t="shared" si="0"/>
        <v>136</v>
      </c>
    </row>
    <row r="28" spans="1:21" x14ac:dyDescent="0.25">
      <c r="A28" s="6" t="s">
        <v>24</v>
      </c>
      <c r="D28" s="6" t="s">
        <v>311</v>
      </c>
      <c r="E28" s="6">
        <v>2023</v>
      </c>
      <c r="F28" s="6">
        <v>4</v>
      </c>
      <c r="G28" s="6">
        <v>3</v>
      </c>
      <c r="H28" s="6">
        <v>13</v>
      </c>
      <c r="K28" s="6">
        <v>145</v>
      </c>
      <c r="L28" s="75">
        <v>45782</v>
      </c>
      <c r="M28">
        <v>41</v>
      </c>
      <c r="N28">
        <v>30</v>
      </c>
      <c r="O28">
        <v>32</v>
      </c>
      <c r="P28">
        <v>33</v>
      </c>
      <c r="T28" s="28">
        <v>0.25</v>
      </c>
      <c r="U28" s="21">
        <f t="shared" si="0"/>
        <v>136</v>
      </c>
    </row>
    <row r="29" spans="1:21" x14ac:dyDescent="0.25">
      <c r="A29" s="6" t="s">
        <v>24</v>
      </c>
      <c r="D29" s="6" t="s">
        <v>28</v>
      </c>
      <c r="E29" s="6">
        <v>1998</v>
      </c>
      <c r="F29" s="6">
        <v>4</v>
      </c>
      <c r="G29" s="6">
        <v>4</v>
      </c>
      <c r="H29" s="6">
        <v>13</v>
      </c>
      <c r="K29" s="6">
        <v>161</v>
      </c>
      <c r="L29" s="75">
        <v>45782</v>
      </c>
      <c r="M29">
        <v>34</v>
      </c>
      <c r="N29">
        <v>29</v>
      </c>
      <c r="O29">
        <v>34</v>
      </c>
      <c r="P29">
        <v>30</v>
      </c>
      <c r="T29" s="28">
        <v>0.25</v>
      </c>
      <c r="U29" s="21">
        <f t="shared" si="0"/>
        <v>127</v>
      </c>
    </row>
    <row r="30" spans="1:21" x14ac:dyDescent="0.25">
      <c r="A30" s="6" t="s">
        <v>24</v>
      </c>
      <c r="D30" s="6" t="s">
        <v>27</v>
      </c>
      <c r="E30" s="6">
        <v>1985</v>
      </c>
      <c r="F30" s="6">
        <v>4</v>
      </c>
      <c r="G30" s="6">
        <v>1</v>
      </c>
      <c r="H30" s="6">
        <v>14</v>
      </c>
      <c r="K30" s="6">
        <v>114</v>
      </c>
      <c r="L30" s="75">
        <v>45782</v>
      </c>
      <c r="M30">
        <v>40</v>
      </c>
      <c r="N30">
        <v>45</v>
      </c>
      <c r="O30">
        <v>52</v>
      </c>
      <c r="P30">
        <v>38</v>
      </c>
      <c r="T30" s="28">
        <v>0.25</v>
      </c>
      <c r="U30" s="21">
        <f t="shared" si="0"/>
        <v>175</v>
      </c>
    </row>
    <row r="31" spans="1:21" x14ac:dyDescent="0.25">
      <c r="A31" s="6" t="s">
        <v>24</v>
      </c>
      <c r="D31" s="6" t="s">
        <v>29</v>
      </c>
      <c r="E31" s="6">
        <v>1999</v>
      </c>
      <c r="F31" s="6">
        <v>4</v>
      </c>
      <c r="G31" s="6">
        <v>2</v>
      </c>
      <c r="H31" s="6">
        <v>14</v>
      </c>
      <c r="K31" s="6">
        <v>130</v>
      </c>
      <c r="L31" s="75">
        <v>45782</v>
      </c>
      <c r="M31">
        <v>39</v>
      </c>
      <c r="N31">
        <v>38</v>
      </c>
      <c r="O31">
        <v>36</v>
      </c>
      <c r="P31">
        <v>29</v>
      </c>
      <c r="T31" s="28">
        <v>0.25</v>
      </c>
      <c r="U31" s="21">
        <f t="shared" si="0"/>
        <v>142</v>
      </c>
    </row>
    <row r="32" spans="1:21" x14ac:dyDescent="0.25">
      <c r="A32" s="6" t="s">
        <v>24</v>
      </c>
      <c r="D32" s="6" t="s">
        <v>312</v>
      </c>
      <c r="E32" s="6">
        <v>2002</v>
      </c>
      <c r="F32" s="6">
        <v>4</v>
      </c>
      <c r="G32" s="6">
        <v>3</v>
      </c>
      <c r="H32" s="6">
        <v>14</v>
      </c>
      <c r="K32" s="6">
        <v>146</v>
      </c>
      <c r="L32" s="75">
        <v>45782</v>
      </c>
      <c r="M32">
        <v>26</v>
      </c>
      <c r="N32">
        <v>34</v>
      </c>
      <c r="O32">
        <v>33</v>
      </c>
      <c r="P32">
        <v>32</v>
      </c>
      <c r="T32" s="28">
        <v>0.25</v>
      </c>
      <c r="U32" s="21">
        <f t="shared" si="0"/>
        <v>125</v>
      </c>
    </row>
    <row r="33" spans="1:21" x14ac:dyDescent="0.25">
      <c r="A33" s="6" t="s">
        <v>24</v>
      </c>
      <c r="D33" s="6" t="s">
        <v>313</v>
      </c>
      <c r="E33" s="6">
        <v>2016</v>
      </c>
      <c r="F33" s="6">
        <v>4</v>
      </c>
      <c r="G33" s="6">
        <v>4</v>
      </c>
      <c r="H33" s="6">
        <v>14</v>
      </c>
      <c r="K33" s="6">
        <v>162</v>
      </c>
      <c r="L33" s="75">
        <v>45782</v>
      </c>
      <c r="M33">
        <v>32</v>
      </c>
      <c r="N33">
        <v>35</v>
      </c>
      <c r="O33">
        <v>40</v>
      </c>
      <c r="P33">
        <v>27</v>
      </c>
      <c r="T33" s="28">
        <v>0.25</v>
      </c>
      <c r="U33" s="21">
        <f t="shared" si="0"/>
        <v>134</v>
      </c>
    </row>
    <row r="34" spans="1:21" x14ac:dyDescent="0.25">
      <c r="A34" s="6" t="s">
        <v>34</v>
      </c>
      <c r="D34" s="6" t="s">
        <v>39</v>
      </c>
      <c r="E34" s="6">
        <v>2001</v>
      </c>
      <c r="F34" s="6">
        <v>1</v>
      </c>
      <c r="G34" s="6">
        <v>1</v>
      </c>
      <c r="H34" s="6">
        <v>3</v>
      </c>
      <c r="K34" s="6">
        <v>103</v>
      </c>
      <c r="L34" s="76">
        <v>45810</v>
      </c>
      <c r="M34">
        <v>38</v>
      </c>
      <c r="N34">
        <v>39</v>
      </c>
      <c r="O34">
        <v>41</v>
      </c>
      <c r="P34">
        <v>35</v>
      </c>
      <c r="T34" s="28">
        <v>0.25</v>
      </c>
      <c r="U34" s="21">
        <f t="shared" ref="U34:U65" si="1">AVERAGE(M34:P34)/T34</f>
        <v>153</v>
      </c>
    </row>
    <row r="35" spans="1:21" x14ac:dyDescent="0.25">
      <c r="A35" s="6" t="s">
        <v>34</v>
      </c>
      <c r="D35" s="6" t="s">
        <v>318</v>
      </c>
      <c r="E35" s="6">
        <v>2004</v>
      </c>
      <c r="F35" s="6">
        <v>1</v>
      </c>
      <c r="G35" s="6">
        <v>2</v>
      </c>
      <c r="H35" s="6">
        <v>3</v>
      </c>
      <c r="K35" s="6">
        <v>119</v>
      </c>
      <c r="L35" s="76">
        <v>45810</v>
      </c>
      <c r="M35">
        <v>40</v>
      </c>
      <c r="N35">
        <v>32</v>
      </c>
      <c r="O35">
        <v>33</v>
      </c>
      <c r="P35">
        <v>30</v>
      </c>
      <c r="T35" s="28">
        <v>0.25</v>
      </c>
      <c r="U35" s="21">
        <f t="shared" si="1"/>
        <v>135</v>
      </c>
    </row>
    <row r="36" spans="1:21" x14ac:dyDescent="0.25">
      <c r="A36" s="6" t="s">
        <v>34</v>
      </c>
      <c r="D36" s="6" t="s">
        <v>41</v>
      </c>
      <c r="E36" s="6">
        <v>2008</v>
      </c>
      <c r="F36" s="6">
        <v>1</v>
      </c>
      <c r="G36" s="6">
        <v>3</v>
      </c>
      <c r="H36" s="6">
        <v>3</v>
      </c>
      <c r="K36" s="6">
        <v>135</v>
      </c>
      <c r="L36" s="76">
        <v>45810</v>
      </c>
      <c r="M36">
        <v>32</v>
      </c>
      <c r="N36">
        <v>42</v>
      </c>
      <c r="O36">
        <v>33</v>
      </c>
      <c r="P36">
        <v>39</v>
      </c>
      <c r="T36" s="28">
        <v>0.25</v>
      </c>
      <c r="U36" s="21">
        <f t="shared" si="1"/>
        <v>146</v>
      </c>
    </row>
    <row r="37" spans="1:21" x14ac:dyDescent="0.25">
      <c r="A37" s="6" t="s">
        <v>34</v>
      </c>
      <c r="D37" s="6" t="s">
        <v>38</v>
      </c>
      <c r="E37" s="6">
        <v>1999</v>
      </c>
      <c r="F37" s="6">
        <v>1</v>
      </c>
      <c r="G37" s="6">
        <v>4</v>
      </c>
      <c r="H37" s="6">
        <v>3</v>
      </c>
      <c r="K37" s="6">
        <v>151</v>
      </c>
      <c r="L37" s="76">
        <v>45810</v>
      </c>
      <c r="M37">
        <v>31</v>
      </c>
      <c r="N37">
        <v>44</v>
      </c>
      <c r="O37">
        <v>44</v>
      </c>
      <c r="P37">
        <v>46</v>
      </c>
      <c r="T37" s="28">
        <v>0.25</v>
      </c>
      <c r="U37" s="21">
        <f t="shared" si="1"/>
        <v>165</v>
      </c>
    </row>
    <row r="38" spans="1:21" x14ac:dyDescent="0.25">
      <c r="A38" s="6" t="s">
        <v>34</v>
      </c>
      <c r="D38" s="6" t="s">
        <v>37</v>
      </c>
      <c r="E38" s="6">
        <v>1989</v>
      </c>
      <c r="F38" s="6">
        <v>1</v>
      </c>
      <c r="G38" s="6">
        <v>1</v>
      </c>
      <c r="H38" s="6">
        <v>4</v>
      </c>
      <c r="K38" s="6">
        <v>104</v>
      </c>
      <c r="L38" s="76">
        <v>45810</v>
      </c>
      <c r="M38">
        <v>33</v>
      </c>
      <c r="N38">
        <v>37</v>
      </c>
      <c r="O38">
        <v>36</v>
      </c>
      <c r="P38">
        <v>40</v>
      </c>
      <c r="T38" s="28">
        <v>0.25</v>
      </c>
      <c r="U38" s="21">
        <f t="shared" si="1"/>
        <v>146</v>
      </c>
    </row>
    <row r="39" spans="1:21" x14ac:dyDescent="0.25">
      <c r="A39" s="6" t="s">
        <v>34</v>
      </c>
      <c r="D39" s="6" t="s">
        <v>42</v>
      </c>
      <c r="E39" s="6">
        <v>2016</v>
      </c>
      <c r="F39" s="6">
        <v>1</v>
      </c>
      <c r="G39" s="6">
        <v>2</v>
      </c>
      <c r="H39" s="6">
        <v>4</v>
      </c>
      <c r="K39" s="6">
        <v>120</v>
      </c>
      <c r="L39" s="76">
        <v>45810</v>
      </c>
      <c r="M39">
        <v>40</v>
      </c>
      <c r="N39">
        <v>41</v>
      </c>
      <c r="O39">
        <v>41</v>
      </c>
      <c r="P39">
        <v>40</v>
      </c>
      <c r="T39" s="28">
        <v>0.25</v>
      </c>
      <c r="U39" s="21">
        <f t="shared" si="1"/>
        <v>162</v>
      </c>
    </row>
    <row r="40" spans="1:21" x14ac:dyDescent="0.25">
      <c r="A40" s="6" t="s">
        <v>34</v>
      </c>
      <c r="D40" s="6" t="s">
        <v>36</v>
      </c>
      <c r="E40" s="6">
        <v>1984</v>
      </c>
      <c r="F40" s="6">
        <v>1</v>
      </c>
      <c r="G40" s="6">
        <v>3</v>
      </c>
      <c r="H40" s="6">
        <v>4</v>
      </c>
      <c r="K40" s="6">
        <v>136</v>
      </c>
      <c r="L40" s="76">
        <v>45810</v>
      </c>
      <c r="M40">
        <v>34</v>
      </c>
      <c r="N40">
        <v>32</v>
      </c>
      <c r="O40">
        <v>33</v>
      </c>
      <c r="P40">
        <v>26</v>
      </c>
      <c r="T40" s="28">
        <v>0.25</v>
      </c>
      <c r="U40" s="21">
        <f t="shared" si="1"/>
        <v>125</v>
      </c>
    </row>
    <row r="41" spans="1:21" x14ac:dyDescent="0.25">
      <c r="A41" s="6" t="s">
        <v>34</v>
      </c>
      <c r="D41" s="6" t="s">
        <v>43</v>
      </c>
      <c r="E41" s="6">
        <v>2020</v>
      </c>
      <c r="F41" s="6">
        <v>1</v>
      </c>
      <c r="G41" s="6">
        <v>4</v>
      </c>
      <c r="H41" s="6">
        <v>4</v>
      </c>
      <c r="K41" s="6">
        <v>152</v>
      </c>
      <c r="L41" s="76">
        <v>45810</v>
      </c>
      <c r="M41">
        <v>40</v>
      </c>
      <c r="N41">
        <v>47</v>
      </c>
      <c r="O41">
        <v>42</v>
      </c>
      <c r="P41">
        <v>33</v>
      </c>
      <c r="T41" s="28">
        <v>0.25</v>
      </c>
      <c r="U41" s="21">
        <f t="shared" si="1"/>
        <v>162</v>
      </c>
    </row>
    <row r="42" spans="1:21" x14ac:dyDescent="0.25">
      <c r="A42" s="6" t="s">
        <v>34</v>
      </c>
      <c r="D42" s="6" t="s">
        <v>41</v>
      </c>
      <c r="E42" s="6">
        <v>2008</v>
      </c>
      <c r="F42" s="6">
        <v>2</v>
      </c>
      <c r="G42" s="6">
        <v>1</v>
      </c>
      <c r="H42" s="6">
        <v>7</v>
      </c>
      <c r="K42" s="6">
        <v>107</v>
      </c>
      <c r="L42" s="76">
        <v>45810</v>
      </c>
      <c r="M42">
        <v>40</v>
      </c>
      <c r="N42">
        <v>34</v>
      </c>
      <c r="O42">
        <v>51</v>
      </c>
      <c r="P42">
        <v>40</v>
      </c>
      <c r="T42" s="28">
        <v>0.25</v>
      </c>
      <c r="U42" s="21">
        <f t="shared" si="1"/>
        <v>165</v>
      </c>
    </row>
    <row r="43" spans="1:21" x14ac:dyDescent="0.25">
      <c r="A43" s="6" t="s">
        <v>34</v>
      </c>
      <c r="D43" s="6" t="s">
        <v>37</v>
      </c>
      <c r="E43" s="6">
        <v>1989</v>
      </c>
      <c r="F43" s="6">
        <v>2</v>
      </c>
      <c r="G43" s="6">
        <v>2</v>
      </c>
      <c r="H43" s="6">
        <v>7</v>
      </c>
      <c r="K43" s="6">
        <v>123</v>
      </c>
      <c r="L43" s="76">
        <v>45810</v>
      </c>
      <c r="M43">
        <v>31</v>
      </c>
      <c r="N43">
        <v>43</v>
      </c>
      <c r="O43">
        <v>40</v>
      </c>
      <c r="P43">
        <v>40</v>
      </c>
      <c r="T43" s="28">
        <v>0.25</v>
      </c>
      <c r="U43" s="21">
        <f t="shared" si="1"/>
        <v>154</v>
      </c>
    </row>
    <row r="44" spans="1:21" x14ac:dyDescent="0.25">
      <c r="A44" s="6" t="s">
        <v>34</v>
      </c>
      <c r="D44" s="6" t="s">
        <v>39</v>
      </c>
      <c r="E44" s="6">
        <v>2001</v>
      </c>
      <c r="F44" s="6">
        <v>2</v>
      </c>
      <c r="G44" s="6">
        <v>3</v>
      </c>
      <c r="H44" s="6">
        <v>7</v>
      </c>
      <c r="K44" s="6">
        <v>139</v>
      </c>
      <c r="L44" s="76">
        <v>45810</v>
      </c>
      <c r="M44">
        <v>40</v>
      </c>
      <c r="N44">
        <v>31</v>
      </c>
      <c r="O44">
        <v>22</v>
      </c>
      <c r="P44">
        <v>35</v>
      </c>
      <c r="T44" s="28">
        <v>0.25</v>
      </c>
      <c r="U44" s="21">
        <f t="shared" si="1"/>
        <v>128</v>
      </c>
    </row>
    <row r="45" spans="1:21" x14ac:dyDescent="0.25">
      <c r="A45" s="6" t="s">
        <v>34</v>
      </c>
      <c r="D45" s="6" t="s">
        <v>36</v>
      </c>
      <c r="E45" s="6">
        <v>1984</v>
      </c>
      <c r="F45" s="6">
        <v>2</v>
      </c>
      <c r="G45" s="6">
        <v>4</v>
      </c>
      <c r="H45" s="6">
        <v>7</v>
      </c>
      <c r="K45" s="6">
        <v>155</v>
      </c>
      <c r="L45" s="76">
        <v>45810</v>
      </c>
      <c r="M45">
        <v>36</v>
      </c>
      <c r="N45">
        <v>40</v>
      </c>
      <c r="O45">
        <v>37</v>
      </c>
      <c r="P45">
        <v>41</v>
      </c>
      <c r="T45" s="28">
        <v>0.25</v>
      </c>
      <c r="U45" s="21">
        <f t="shared" si="1"/>
        <v>154</v>
      </c>
    </row>
    <row r="46" spans="1:21" x14ac:dyDescent="0.25">
      <c r="A46" s="6" t="s">
        <v>34</v>
      </c>
      <c r="D46" s="6" t="s">
        <v>318</v>
      </c>
      <c r="E46" s="6">
        <v>2004</v>
      </c>
      <c r="F46" s="6">
        <v>2</v>
      </c>
      <c r="G46" s="6">
        <v>1</v>
      </c>
      <c r="H46" s="6">
        <v>8</v>
      </c>
      <c r="K46" s="6">
        <v>108</v>
      </c>
      <c r="L46" s="76">
        <v>45810</v>
      </c>
      <c r="M46">
        <v>37</v>
      </c>
      <c r="N46">
        <v>31</v>
      </c>
      <c r="O46">
        <v>38</v>
      </c>
      <c r="P46">
        <v>40</v>
      </c>
      <c r="T46" s="28">
        <v>0.25</v>
      </c>
      <c r="U46" s="21">
        <f t="shared" si="1"/>
        <v>146</v>
      </c>
    </row>
    <row r="47" spans="1:21" x14ac:dyDescent="0.25">
      <c r="A47" s="6" t="s">
        <v>34</v>
      </c>
      <c r="D47" s="6" t="s">
        <v>43</v>
      </c>
      <c r="E47" s="6">
        <v>2020</v>
      </c>
      <c r="F47" s="6">
        <v>2</v>
      </c>
      <c r="G47" s="6">
        <v>2</v>
      </c>
      <c r="H47" s="6">
        <v>8</v>
      </c>
      <c r="K47" s="6">
        <v>124</v>
      </c>
      <c r="L47" s="76">
        <v>45810</v>
      </c>
      <c r="M47">
        <v>44</v>
      </c>
      <c r="N47">
        <v>40</v>
      </c>
      <c r="O47">
        <v>41</v>
      </c>
      <c r="P47">
        <v>38</v>
      </c>
      <c r="T47" s="28">
        <v>0.25</v>
      </c>
      <c r="U47" s="21">
        <f t="shared" si="1"/>
        <v>163</v>
      </c>
    </row>
    <row r="48" spans="1:21" x14ac:dyDescent="0.25">
      <c r="A48" s="6" t="s">
        <v>34</v>
      </c>
      <c r="D48" s="6" t="s">
        <v>38</v>
      </c>
      <c r="E48" s="6">
        <v>1999</v>
      </c>
      <c r="F48" s="6">
        <v>2</v>
      </c>
      <c r="G48" s="6">
        <v>3</v>
      </c>
      <c r="H48" s="6">
        <v>8</v>
      </c>
      <c r="K48" s="6">
        <v>140</v>
      </c>
      <c r="L48" s="76">
        <v>45810</v>
      </c>
      <c r="M48">
        <v>36</v>
      </c>
      <c r="N48">
        <v>31</v>
      </c>
      <c r="O48">
        <v>36</v>
      </c>
      <c r="P48">
        <v>30</v>
      </c>
      <c r="T48" s="28">
        <v>0.25</v>
      </c>
      <c r="U48" s="21">
        <f t="shared" si="1"/>
        <v>133</v>
      </c>
    </row>
    <row r="49" spans="1:21" x14ac:dyDescent="0.25">
      <c r="A49" s="6" t="s">
        <v>34</v>
      </c>
      <c r="D49" s="6" t="s">
        <v>42</v>
      </c>
      <c r="E49" s="6">
        <v>2016</v>
      </c>
      <c r="F49" s="6">
        <v>2</v>
      </c>
      <c r="G49" s="6">
        <v>4</v>
      </c>
      <c r="H49" s="6">
        <v>8</v>
      </c>
      <c r="K49" s="6">
        <v>156</v>
      </c>
      <c r="L49" s="76">
        <v>45810</v>
      </c>
      <c r="M49">
        <v>39</v>
      </c>
      <c r="N49">
        <v>36</v>
      </c>
      <c r="O49">
        <v>42</v>
      </c>
      <c r="P49">
        <v>34</v>
      </c>
      <c r="T49" s="28">
        <v>0.25</v>
      </c>
      <c r="U49" s="21">
        <f t="shared" si="1"/>
        <v>151</v>
      </c>
    </row>
    <row r="50" spans="1:21" x14ac:dyDescent="0.25">
      <c r="A50" s="6" t="s">
        <v>34</v>
      </c>
      <c r="D50" s="6" t="s">
        <v>42</v>
      </c>
      <c r="E50" s="6">
        <v>2016</v>
      </c>
      <c r="F50" s="6">
        <v>3</v>
      </c>
      <c r="G50" s="6">
        <v>1</v>
      </c>
      <c r="H50" s="6">
        <v>11</v>
      </c>
      <c r="K50" s="6">
        <v>111</v>
      </c>
      <c r="L50" s="76">
        <v>45810</v>
      </c>
      <c r="M50">
        <v>37</v>
      </c>
      <c r="N50">
        <v>44</v>
      </c>
      <c r="O50">
        <v>39</v>
      </c>
      <c r="P50">
        <v>35</v>
      </c>
      <c r="T50" s="28">
        <v>0.25</v>
      </c>
      <c r="U50" s="21">
        <f t="shared" si="1"/>
        <v>155</v>
      </c>
    </row>
    <row r="51" spans="1:21" x14ac:dyDescent="0.25">
      <c r="A51" s="6" t="s">
        <v>34</v>
      </c>
      <c r="D51" s="6" t="s">
        <v>39</v>
      </c>
      <c r="E51" s="6">
        <v>2001</v>
      </c>
      <c r="F51" s="6">
        <v>3</v>
      </c>
      <c r="G51" s="6">
        <v>2</v>
      </c>
      <c r="H51" s="6">
        <v>11</v>
      </c>
      <c r="K51" s="6">
        <v>127</v>
      </c>
      <c r="L51" s="76">
        <v>45810</v>
      </c>
      <c r="M51">
        <v>35</v>
      </c>
      <c r="N51">
        <v>34</v>
      </c>
      <c r="O51">
        <v>40</v>
      </c>
      <c r="P51">
        <v>42</v>
      </c>
      <c r="T51" s="28">
        <v>0.25</v>
      </c>
      <c r="U51" s="21">
        <f t="shared" si="1"/>
        <v>151</v>
      </c>
    </row>
    <row r="52" spans="1:21" x14ac:dyDescent="0.25">
      <c r="A52" s="6" t="s">
        <v>34</v>
      </c>
      <c r="D52" s="6" t="s">
        <v>43</v>
      </c>
      <c r="E52" s="6">
        <v>2020</v>
      </c>
      <c r="F52" s="6">
        <v>3</v>
      </c>
      <c r="G52" s="6">
        <v>3</v>
      </c>
      <c r="H52" s="6">
        <v>11</v>
      </c>
      <c r="K52" s="6">
        <v>143</v>
      </c>
      <c r="L52" s="76">
        <v>45810</v>
      </c>
      <c r="M52">
        <v>51</v>
      </c>
      <c r="N52">
        <v>37</v>
      </c>
      <c r="O52">
        <v>46</v>
      </c>
      <c r="P52">
        <v>40</v>
      </c>
      <c r="T52" s="28">
        <v>0.25</v>
      </c>
      <c r="U52" s="21">
        <f t="shared" si="1"/>
        <v>174</v>
      </c>
    </row>
    <row r="53" spans="1:21" x14ac:dyDescent="0.25">
      <c r="A53" s="6" t="s">
        <v>34</v>
      </c>
      <c r="D53" s="6" t="s">
        <v>41</v>
      </c>
      <c r="E53" s="6">
        <v>2008</v>
      </c>
      <c r="F53" s="6">
        <v>3</v>
      </c>
      <c r="G53" s="6">
        <v>4</v>
      </c>
      <c r="H53" s="6">
        <v>11</v>
      </c>
      <c r="K53" s="6">
        <v>159</v>
      </c>
      <c r="L53" s="76">
        <v>45810</v>
      </c>
      <c r="M53">
        <v>38</v>
      </c>
      <c r="N53">
        <v>35</v>
      </c>
      <c r="O53">
        <v>32</v>
      </c>
      <c r="P53">
        <v>32</v>
      </c>
      <c r="T53" s="28">
        <v>0.25</v>
      </c>
      <c r="U53" s="21">
        <f t="shared" si="1"/>
        <v>137</v>
      </c>
    </row>
    <row r="54" spans="1:21" x14ac:dyDescent="0.25">
      <c r="A54" s="6" t="s">
        <v>34</v>
      </c>
      <c r="D54" s="6" t="s">
        <v>38</v>
      </c>
      <c r="E54" s="6">
        <v>1999</v>
      </c>
      <c r="F54" s="6">
        <v>3</v>
      </c>
      <c r="G54" s="6">
        <v>1</v>
      </c>
      <c r="H54" s="6">
        <v>12</v>
      </c>
      <c r="K54" s="6">
        <v>112</v>
      </c>
      <c r="L54" s="76">
        <v>45810</v>
      </c>
      <c r="M54">
        <v>42</v>
      </c>
      <c r="N54">
        <v>43</v>
      </c>
      <c r="O54">
        <v>40</v>
      </c>
      <c r="P54">
        <v>43</v>
      </c>
      <c r="T54" s="28">
        <v>0.25</v>
      </c>
      <c r="U54" s="21">
        <f t="shared" si="1"/>
        <v>168</v>
      </c>
    </row>
    <row r="55" spans="1:21" x14ac:dyDescent="0.25">
      <c r="A55" s="6" t="s">
        <v>34</v>
      </c>
      <c r="D55" s="6" t="s">
        <v>36</v>
      </c>
      <c r="E55" s="6">
        <v>1984</v>
      </c>
      <c r="F55" s="6">
        <v>3</v>
      </c>
      <c r="G55" s="6">
        <v>2</v>
      </c>
      <c r="H55" s="6">
        <v>12</v>
      </c>
      <c r="K55" s="6">
        <v>128</v>
      </c>
      <c r="L55" s="76">
        <v>45810</v>
      </c>
      <c r="M55">
        <v>37</v>
      </c>
      <c r="N55">
        <v>38</v>
      </c>
      <c r="O55">
        <v>37</v>
      </c>
      <c r="P55">
        <v>36</v>
      </c>
      <c r="T55" s="28">
        <v>0.25</v>
      </c>
      <c r="U55" s="21">
        <f t="shared" si="1"/>
        <v>148</v>
      </c>
    </row>
    <row r="56" spans="1:21" x14ac:dyDescent="0.25">
      <c r="A56" s="6" t="s">
        <v>34</v>
      </c>
      <c r="D56" s="6" t="s">
        <v>318</v>
      </c>
      <c r="E56" s="6">
        <v>2004</v>
      </c>
      <c r="F56" s="6">
        <v>3</v>
      </c>
      <c r="G56" s="6">
        <v>3</v>
      </c>
      <c r="H56" s="6">
        <v>12</v>
      </c>
      <c r="K56" s="6">
        <v>144</v>
      </c>
      <c r="L56" s="76">
        <v>45810</v>
      </c>
      <c r="M56">
        <v>24</v>
      </c>
      <c r="N56">
        <v>25</v>
      </c>
      <c r="O56">
        <v>28</v>
      </c>
      <c r="P56">
        <v>24</v>
      </c>
      <c r="T56" s="28">
        <v>0.25</v>
      </c>
      <c r="U56" s="21">
        <f t="shared" si="1"/>
        <v>101</v>
      </c>
    </row>
    <row r="57" spans="1:21" x14ac:dyDescent="0.25">
      <c r="A57" s="6" t="s">
        <v>34</v>
      </c>
      <c r="D57" s="6" t="s">
        <v>37</v>
      </c>
      <c r="E57" s="6">
        <v>1989</v>
      </c>
      <c r="F57" s="6">
        <v>3</v>
      </c>
      <c r="G57" s="6">
        <v>4</v>
      </c>
      <c r="H57" s="6">
        <v>12</v>
      </c>
      <c r="K57" s="6">
        <v>160</v>
      </c>
      <c r="L57" s="76">
        <v>45810</v>
      </c>
      <c r="M57">
        <v>43</v>
      </c>
      <c r="N57">
        <v>35</v>
      </c>
      <c r="O57">
        <v>39</v>
      </c>
      <c r="P57">
        <v>33</v>
      </c>
      <c r="T57" s="28">
        <v>0.25</v>
      </c>
      <c r="U57" s="21">
        <f t="shared" si="1"/>
        <v>150</v>
      </c>
    </row>
    <row r="58" spans="1:21" x14ac:dyDescent="0.25">
      <c r="A58" s="6" t="s">
        <v>34</v>
      </c>
      <c r="D58" s="6" t="s">
        <v>36</v>
      </c>
      <c r="E58" s="6">
        <v>1984</v>
      </c>
      <c r="F58" s="6">
        <v>4</v>
      </c>
      <c r="G58" s="6">
        <v>1</v>
      </c>
      <c r="H58" s="6">
        <v>15</v>
      </c>
      <c r="K58" s="6">
        <v>115</v>
      </c>
      <c r="L58" s="76">
        <v>45810</v>
      </c>
      <c r="M58">
        <v>37</v>
      </c>
      <c r="N58">
        <v>44</v>
      </c>
      <c r="O58">
        <v>37</v>
      </c>
      <c r="P58">
        <v>39</v>
      </c>
      <c r="T58" s="28">
        <v>0.25</v>
      </c>
      <c r="U58" s="21">
        <f t="shared" si="1"/>
        <v>157</v>
      </c>
    </row>
    <row r="59" spans="1:21" x14ac:dyDescent="0.25">
      <c r="A59" s="6" t="s">
        <v>34</v>
      </c>
      <c r="D59" s="6" t="s">
        <v>38</v>
      </c>
      <c r="E59" s="6">
        <v>1999</v>
      </c>
      <c r="F59" s="6">
        <v>4</v>
      </c>
      <c r="G59" s="6">
        <v>2</v>
      </c>
      <c r="H59" s="6">
        <v>15</v>
      </c>
      <c r="K59" s="6">
        <v>131</v>
      </c>
      <c r="L59" s="76">
        <v>45810</v>
      </c>
      <c r="M59">
        <v>33</v>
      </c>
      <c r="N59">
        <v>42</v>
      </c>
      <c r="O59">
        <v>48</v>
      </c>
      <c r="P59">
        <v>39</v>
      </c>
      <c r="T59" s="28">
        <v>0.25</v>
      </c>
      <c r="U59" s="21">
        <f t="shared" si="1"/>
        <v>162</v>
      </c>
    </row>
    <row r="60" spans="1:21" x14ac:dyDescent="0.25">
      <c r="A60" s="6" t="s">
        <v>34</v>
      </c>
      <c r="D60" s="6" t="s">
        <v>37</v>
      </c>
      <c r="E60" s="6">
        <v>1989</v>
      </c>
      <c r="F60" s="6">
        <v>4</v>
      </c>
      <c r="G60" s="6">
        <v>3</v>
      </c>
      <c r="H60" s="6">
        <v>15</v>
      </c>
      <c r="K60" s="6">
        <v>147</v>
      </c>
      <c r="L60" s="76">
        <v>45810</v>
      </c>
      <c r="M60">
        <v>38</v>
      </c>
      <c r="N60">
        <v>26</v>
      </c>
      <c r="O60">
        <v>33</v>
      </c>
      <c r="P60">
        <v>25</v>
      </c>
      <c r="T60" s="28">
        <v>0.25</v>
      </c>
      <c r="U60" s="21">
        <f t="shared" si="1"/>
        <v>122</v>
      </c>
    </row>
    <row r="61" spans="1:21" x14ac:dyDescent="0.25">
      <c r="A61" s="6" t="s">
        <v>34</v>
      </c>
      <c r="D61" s="6" t="s">
        <v>318</v>
      </c>
      <c r="E61" s="6">
        <v>2004</v>
      </c>
      <c r="F61" s="6">
        <v>4</v>
      </c>
      <c r="G61" s="6">
        <v>4</v>
      </c>
      <c r="H61" s="6">
        <v>15</v>
      </c>
      <c r="K61" s="6">
        <v>163</v>
      </c>
      <c r="L61" s="76">
        <v>45810</v>
      </c>
      <c r="M61">
        <v>36</v>
      </c>
      <c r="N61">
        <v>32</v>
      </c>
      <c r="O61">
        <v>41</v>
      </c>
      <c r="P61">
        <v>33</v>
      </c>
      <c r="T61" s="28">
        <v>0.25</v>
      </c>
      <c r="U61" s="21">
        <f t="shared" si="1"/>
        <v>142</v>
      </c>
    </row>
    <row r="62" spans="1:21" x14ac:dyDescent="0.25">
      <c r="A62" s="6" t="s">
        <v>34</v>
      </c>
      <c r="D62" s="6" t="s">
        <v>43</v>
      </c>
      <c r="E62" s="6">
        <v>2020</v>
      </c>
      <c r="F62" s="6">
        <v>4</v>
      </c>
      <c r="G62" s="6">
        <v>1</v>
      </c>
      <c r="H62" s="6">
        <v>16</v>
      </c>
      <c r="K62" s="6">
        <v>116</v>
      </c>
      <c r="L62" s="76">
        <v>45810</v>
      </c>
      <c r="M62">
        <v>42</v>
      </c>
      <c r="N62">
        <v>38</v>
      </c>
      <c r="O62">
        <v>39</v>
      </c>
      <c r="P62">
        <v>32</v>
      </c>
      <c r="T62" s="28">
        <v>0.25</v>
      </c>
      <c r="U62" s="21">
        <f t="shared" si="1"/>
        <v>151</v>
      </c>
    </row>
    <row r="63" spans="1:21" x14ac:dyDescent="0.25">
      <c r="A63" s="6" t="s">
        <v>34</v>
      </c>
      <c r="D63" s="6" t="s">
        <v>41</v>
      </c>
      <c r="E63" s="6">
        <v>2008</v>
      </c>
      <c r="F63" s="6">
        <v>4</v>
      </c>
      <c r="G63" s="6">
        <v>2</v>
      </c>
      <c r="H63" s="6">
        <v>16</v>
      </c>
      <c r="K63" s="6">
        <v>132</v>
      </c>
      <c r="L63" s="76">
        <v>45810</v>
      </c>
      <c r="M63">
        <v>38</v>
      </c>
      <c r="N63">
        <v>33</v>
      </c>
      <c r="O63">
        <v>36</v>
      </c>
      <c r="P63">
        <v>7</v>
      </c>
      <c r="T63" s="28">
        <v>0.25</v>
      </c>
      <c r="U63" s="21">
        <f t="shared" si="1"/>
        <v>114</v>
      </c>
    </row>
    <row r="64" spans="1:21" x14ac:dyDescent="0.25">
      <c r="A64" s="6" t="s">
        <v>34</v>
      </c>
      <c r="D64" s="6" t="s">
        <v>42</v>
      </c>
      <c r="E64" s="6">
        <v>2016</v>
      </c>
      <c r="F64" s="6">
        <v>4</v>
      </c>
      <c r="G64" s="6">
        <v>3</v>
      </c>
      <c r="H64" s="6">
        <v>16</v>
      </c>
      <c r="K64" s="6">
        <v>148</v>
      </c>
      <c r="L64" s="76">
        <v>45810</v>
      </c>
      <c r="M64">
        <v>43</v>
      </c>
      <c r="N64">
        <v>29</v>
      </c>
      <c r="O64">
        <v>33</v>
      </c>
      <c r="P64">
        <v>28</v>
      </c>
      <c r="T64" s="28">
        <v>0.25</v>
      </c>
      <c r="U64" s="21">
        <f t="shared" si="1"/>
        <v>133</v>
      </c>
    </row>
    <row r="65" spans="1:21" x14ac:dyDescent="0.25">
      <c r="A65" s="6" t="s">
        <v>34</v>
      </c>
      <c r="D65" s="6" t="s">
        <v>39</v>
      </c>
      <c r="E65" s="6">
        <v>2001</v>
      </c>
      <c r="F65" s="6">
        <v>4</v>
      </c>
      <c r="G65" s="6">
        <v>4</v>
      </c>
      <c r="H65" s="6">
        <v>16</v>
      </c>
      <c r="K65" s="6">
        <v>164</v>
      </c>
      <c r="L65" s="76">
        <v>45810</v>
      </c>
      <c r="M65">
        <v>38</v>
      </c>
      <c r="N65">
        <v>44</v>
      </c>
      <c r="O65">
        <v>38</v>
      </c>
      <c r="P65">
        <v>38</v>
      </c>
      <c r="T65" s="28">
        <v>0.25</v>
      </c>
      <c r="U65" s="21">
        <f t="shared" si="1"/>
        <v>158</v>
      </c>
    </row>
    <row r="66" spans="1:21" x14ac:dyDescent="0.25">
      <c r="L66" s="6"/>
    </row>
    <row r="67" spans="1:21" x14ac:dyDescent="0.25">
      <c r="L67" s="6"/>
    </row>
    <row r="68" spans="1:21" x14ac:dyDescent="0.25">
      <c r="L68" s="6"/>
    </row>
    <row r="69" spans="1:21" x14ac:dyDescent="0.25">
      <c r="L69" s="6"/>
    </row>
    <row r="70" spans="1:21" x14ac:dyDescent="0.25">
      <c r="L70" s="6"/>
    </row>
    <row r="71" spans="1:21" x14ac:dyDescent="0.25">
      <c r="L71" s="6"/>
    </row>
    <row r="72" spans="1:21" x14ac:dyDescent="0.25">
      <c r="L72" s="6"/>
    </row>
    <row r="73" spans="1:21" x14ac:dyDescent="0.25">
      <c r="L73" s="6"/>
    </row>
    <row r="74" spans="1:21" x14ac:dyDescent="0.25">
      <c r="L74" s="6"/>
    </row>
    <row r="75" spans="1:21" x14ac:dyDescent="0.25">
      <c r="L75" s="6"/>
    </row>
    <row r="76" spans="1:21" x14ac:dyDescent="0.25">
      <c r="L76" s="6"/>
    </row>
    <row r="77" spans="1:21" x14ac:dyDescent="0.25">
      <c r="L77" s="6"/>
    </row>
    <row r="78" spans="1:21" x14ac:dyDescent="0.25">
      <c r="L78" s="6"/>
    </row>
    <row r="79" spans="1:21" x14ac:dyDescent="0.25">
      <c r="L79" s="6"/>
    </row>
    <row r="80" spans="1:21" x14ac:dyDescent="0.25">
      <c r="L80" s="6"/>
    </row>
    <row r="81" spans="12:12" x14ac:dyDescent="0.25">
      <c r="L81" s="6"/>
    </row>
    <row r="82" spans="12:12" x14ac:dyDescent="0.25">
      <c r="L82" s="6"/>
    </row>
    <row r="83" spans="12:12" x14ac:dyDescent="0.25">
      <c r="L83" s="6"/>
    </row>
    <row r="84" spans="12:12" x14ac:dyDescent="0.25">
      <c r="L84" s="6"/>
    </row>
    <row r="85" spans="12:12" x14ac:dyDescent="0.25">
      <c r="L85" s="6"/>
    </row>
    <row r="86" spans="12:12" x14ac:dyDescent="0.25">
      <c r="L86" s="6"/>
    </row>
    <row r="87" spans="12:12" x14ac:dyDescent="0.25">
      <c r="L87" s="6"/>
    </row>
    <row r="88" spans="12:12" x14ac:dyDescent="0.25">
      <c r="L88" s="6"/>
    </row>
    <row r="89" spans="12:12" x14ac:dyDescent="0.25">
      <c r="L89" s="6"/>
    </row>
    <row r="90" spans="12:12" x14ac:dyDescent="0.25">
      <c r="L90" s="6"/>
    </row>
    <row r="91" spans="12:12" x14ac:dyDescent="0.25">
      <c r="L91" s="6"/>
    </row>
    <row r="92" spans="12:12" x14ac:dyDescent="0.25">
      <c r="L92" s="6"/>
    </row>
    <row r="93" spans="12:12" x14ac:dyDescent="0.25">
      <c r="L93" s="6"/>
    </row>
    <row r="94" spans="12:12" x14ac:dyDescent="0.25">
      <c r="L94" s="6"/>
    </row>
    <row r="95" spans="12:12" x14ac:dyDescent="0.25">
      <c r="L95" s="6"/>
    </row>
    <row r="96" spans="12:12" x14ac:dyDescent="0.25">
      <c r="L96" s="6"/>
    </row>
    <row r="97" spans="12:12" x14ac:dyDescent="0.25">
      <c r="L97" s="6"/>
    </row>
    <row r="98" spans="12:12" x14ac:dyDescent="0.25">
      <c r="L98" s="6"/>
    </row>
    <row r="99" spans="12:12" x14ac:dyDescent="0.25">
      <c r="L99" s="6"/>
    </row>
    <row r="100" spans="12:12" x14ac:dyDescent="0.25">
      <c r="L100" s="6"/>
    </row>
    <row r="101" spans="12:12" x14ac:dyDescent="0.25">
      <c r="L101" s="6"/>
    </row>
    <row r="102" spans="12:12" x14ac:dyDescent="0.25">
      <c r="L102" s="6"/>
    </row>
    <row r="103" spans="12:12" x14ac:dyDescent="0.25">
      <c r="L103" s="6"/>
    </row>
    <row r="104" spans="12:12" x14ac:dyDescent="0.25">
      <c r="L104" s="6"/>
    </row>
    <row r="105" spans="12:12" x14ac:dyDescent="0.25">
      <c r="L105" s="6"/>
    </row>
    <row r="106" spans="12:12" x14ac:dyDescent="0.25">
      <c r="L106" s="6"/>
    </row>
    <row r="107" spans="12:12" x14ac:dyDescent="0.25">
      <c r="L107" s="6"/>
    </row>
    <row r="108" spans="12:12" x14ac:dyDescent="0.25">
      <c r="L108" s="6"/>
    </row>
    <row r="109" spans="12:12" x14ac:dyDescent="0.25">
      <c r="L109" s="6"/>
    </row>
    <row r="110" spans="12:12" x14ac:dyDescent="0.25">
      <c r="L110" s="6"/>
    </row>
    <row r="111" spans="12:12" x14ac:dyDescent="0.25">
      <c r="L111" s="6"/>
    </row>
    <row r="112" spans="12:12" x14ac:dyDescent="0.25">
      <c r="L112" s="6"/>
    </row>
    <row r="113" spans="1:12" x14ac:dyDescent="0.25">
      <c r="L113" s="6"/>
    </row>
    <row r="114" spans="1:12" x14ac:dyDescent="0.25">
      <c r="L114" s="6"/>
    </row>
    <row r="115" spans="1:12" x14ac:dyDescent="0.25">
      <c r="A115" s="54"/>
      <c r="B115" s="54"/>
      <c r="C115" s="55"/>
      <c r="D115" s="54"/>
      <c r="E115" s="54"/>
      <c r="F115" s="55"/>
      <c r="G115" s="55"/>
      <c r="H115" s="55"/>
      <c r="I115" s="56"/>
      <c r="J115" s="56"/>
      <c r="K115" s="55"/>
      <c r="L115" s="6"/>
    </row>
    <row r="116" spans="1:12" x14ac:dyDescent="0.25">
      <c r="L116" s="6"/>
    </row>
    <row r="117" spans="1:12" x14ac:dyDescent="0.25">
      <c r="L117" s="6"/>
    </row>
    <row r="118" spans="1:12" x14ac:dyDescent="0.25">
      <c r="L118" s="6"/>
    </row>
    <row r="119" spans="1:12" x14ac:dyDescent="0.25">
      <c r="L119" s="6"/>
    </row>
    <row r="120" spans="1:12" x14ac:dyDescent="0.25">
      <c r="L120" s="6"/>
    </row>
    <row r="121" spans="1:12" x14ac:dyDescent="0.25">
      <c r="L121" s="6"/>
    </row>
    <row r="122" spans="1:12" x14ac:dyDescent="0.25">
      <c r="L122" s="6"/>
    </row>
    <row r="123" spans="1:12" x14ac:dyDescent="0.25">
      <c r="L123" s="6"/>
    </row>
    <row r="124" spans="1:12" x14ac:dyDescent="0.25">
      <c r="L124" s="6"/>
    </row>
    <row r="125" spans="1:12" x14ac:dyDescent="0.25">
      <c r="L125" s="6"/>
    </row>
    <row r="126" spans="1:12" x14ac:dyDescent="0.25">
      <c r="L126" s="6"/>
    </row>
    <row r="127" spans="1:12" x14ac:dyDescent="0.25">
      <c r="L127" s="6"/>
    </row>
    <row r="128" spans="1:12" x14ac:dyDescent="0.25">
      <c r="L128" s="6"/>
    </row>
    <row r="129" spans="12:12" x14ac:dyDescent="0.25">
      <c r="L129" s="6"/>
    </row>
    <row r="130" spans="12:12" x14ac:dyDescent="0.25">
      <c r="L130" s="6"/>
    </row>
    <row r="131" spans="12:12" x14ac:dyDescent="0.25">
      <c r="L131" s="6"/>
    </row>
    <row r="132" spans="12:12" x14ac:dyDescent="0.25">
      <c r="L132" s="6"/>
    </row>
    <row r="133" spans="12:12" x14ac:dyDescent="0.25">
      <c r="L133" s="6"/>
    </row>
    <row r="134" spans="12:12" x14ac:dyDescent="0.25">
      <c r="L134" s="6"/>
    </row>
    <row r="135" spans="12:12" x14ac:dyDescent="0.25">
      <c r="L135" s="6"/>
    </row>
    <row r="136" spans="12:12" x14ac:dyDescent="0.25">
      <c r="L136" s="6"/>
    </row>
    <row r="137" spans="12:12" x14ac:dyDescent="0.25">
      <c r="L137" s="6"/>
    </row>
    <row r="138" spans="12:12" x14ac:dyDescent="0.25">
      <c r="L138" s="6"/>
    </row>
    <row r="139" spans="12:12" x14ac:dyDescent="0.25">
      <c r="L139" s="6"/>
    </row>
    <row r="140" spans="12:12" x14ac:dyDescent="0.25">
      <c r="L140" s="6"/>
    </row>
    <row r="141" spans="12:12" x14ac:dyDescent="0.25">
      <c r="L141" s="6"/>
    </row>
    <row r="142" spans="12:12" x14ac:dyDescent="0.25">
      <c r="L142" s="6"/>
    </row>
    <row r="143" spans="12:12" x14ac:dyDescent="0.25">
      <c r="L143" s="6"/>
    </row>
    <row r="144" spans="12:12" x14ac:dyDescent="0.25">
      <c r="L144" s="6"/>
    </row>
    <row r="145" spans="12:12" x14ac:dyDescent="0.25">
      <c r="L145" s="6"/>
    </row>
    <row r="146" spans="12:12" x14ac:dyDescent="0.25">
      <c r="L146" s="6"/>
    </row>
    <row r="147" spans="12:12" x14ac:dyDescent="0.25">
      <c r="L147" s="6"/>
    </row>
    <row r="148" spans="12:12" x14ac:dyDescent="0.25">
      <c r="L148" s="6"/>
    </row>
    <row r="149" spans="12:12" x14ac:dyDescent="0.25">
      <c r="L149" s="6"/>
    </row>
    <row r="150" spans="12:12" x14ac:dyDescent="0.25">
      <c r="L150" s="6"/>
    </row>
    <row r="151" spans="12:12" x14ac:dyDescent="0.25">
      <c r="L151" s="6"/>
    </row>
    <row r="152" spans="12:12" x14ac:dyDescent="0.25">
      <c r="L152" s="6"/>
    </row>
    <row r="153" spans="12:12" x14ac:dyDescent="0.25">
      <c r="L153" s="6"/>
    </row>
    <row r="154" spans="12:12" x14ac:dyDescent="0.25">
      <c r="L154" s="6"/>
    </row>
    <row r="155" spans="12:12" x14ac:dyDescent="0.25">
      <c r="L155" s="6"/>
    </row>
    <row r="156" spans="12:12" x14ac:dyDescent="0.25">
      <c r="L156" s="6"/>
    </row>
    <row r="157" spans="12:12" x14ac:dyDescent="0.25">
      <c r="L157" s="6"/>
    </row>
    <row r="158" spans="12:12" x14ac:dyDescent="0.25">
      <c r="L158" s="6"/>
    </row>
    <row r="159" spans="12:12" x14ac:dyDescent="0.25">
      <c r="L159" s="6"/>
    </row>
    <row r="160" spans="12:12" x14ac:dyDescent="0.25">
      <c r="L160" s="6"/>
    </row>
    <row r="161" spans="12:12" x14ac:dyDescent="0.25">
      <c r="L161" s="6"/>
    </row>
    <row r="162" spans="12:12" x14ac:dyDescent="0.25">
      <c r="L162" s="6"/>
    </row>
    <row r="163" spans="12:12" x14ac:dyDescent="0.25">
      <c r="L163" s="6"/>
    </row>
    <row r="164" spans="12:12" x14ac:dyDescent="0.25">
      <c r="L164" s="6"/>
    </row>
    <row r="165" spans="12:12" x14ac:dyDescent="0.25">
      <c r="L165" s="6"/>
    </row>
    <row r="166" spans="12:12" x14ac:dyDescent="0.25">
      <c r="L166" s="6"/>
    </row>
    <row r="167" spans="12:12" x14ac:dyDescent="0.25">
      <c r="L167" s="6"/>
    </row>
    <row r="168" spans="12:12" x14ac:dyDescent="0.25">
      <c r="L168" s="6"/>
    </row>
    <row r="169" spans="12:12" x14ac:dyDescent="0.25">
      <c r="L169" s="6"/>
    </row>
    <row r="170" spans="12:12" x14ac:dyDescent="0.25">
      <c r="L170" s="6"/>
    </row>
    <row r="171" spans="12:12" x14ac:dyDescent="0.25">
      <c r="L171" s="6"/>
    </row>
    <row r="172" spans="12:12" x14ac:dyDescent="0.25">
      <c r="L172" s="6"/>
    </row>
    <row r="173" spans="12:12" x14ac:dyDescent="0.25">
      <c r="L173" s="6"/>
    </row>
    <row r="174" spans="12:12" x14ac:dyDescent="0.25">
      <c r="L174" s="6"/>
    </row>
    <row r="175" spans="12:12" x14ac:dyDescent="0.25">
      <c r="L175" s="6"/>
    </row>
    <row r="176" spans="12:12" x14ac:dyDescent="0.25">
      <c r="L176" s="6"/>
    </row>
    <row r="177" spans="1:12" x14ac:dyDescent="0.25">
      <c r="L177" s="6"/>
    </row>
    <row r="178" spans="1:12" x14ac:dyDescent="0.25">
      <c r="L178" s="6"/>
    </row>
    <row r="179" spans="1:12" x14ac:dyDescent="0.25">
      <c r="A179" s="54"/>
      <c r="B179" s="54"/>
      <c r="C179" s="55"/>
      <c r="D179" s="54"/>
      <c r="E179" s="54"/>
      <c r="F179" s="55"/>
      <c r="G179" s="55"/>
      <c r="H179" s="55"/>
      <c r="I179" s="56"/>
      <c r="J179" s="56"/>
      <c r="K179" s="55"/>
      <c r="L179" s="6"/>
    </row>
    <row r="180" spans="1:12" x14ac:dyDescent="0.25">
      <c r="L180" s="6"/>
    </row>
    <row r="181" spans="1:12" x14ac:dyDescent="0.25">
      <c r="L181" s="6"/>
    </row>
    <row r="182" spans="1:12" x14ac:dyDescent="0.25">
      <c r="L182" s="6"/>
    </row>
    <row r="183" spans="1:12" x14ac:dyDescent="0.25">
      <c r="L183" s="6"/>
    </row>
    <row r="184" spans="1:12" x14ac:dyDescent="0.25">
      <c r="L184" s="6"/>
    </row>
    <row r="185" spans="1:12" x14ac:dyDescent="0.25">
      <c r="L185" s="6"/>
    </row>
    <row r="186" spans="1:12" x14ac:dyDescent="0.25">
      <c r="L186" s="6"/>
    </row>
    <row r="187" spans="1:12" x14ac:dyDescent="0.25">
      <c r="L187" s="6"/>
    </row>
    <row r="188" spans="1:12" x14ac:dyDescent="0.25">
      <c r="L188" s="6"/>
    </row>
    <row r="189" spans="1:12" x14ac:dyDescent="0.25">
      <c r="L189" s="6"/>
    </row>
    <row r="190" spans="1:12" x14ac:dyDescent="0.25">
      <c r="L190" s="6"/>
    </row>
    <row r="191" spans="1:12" x14ac:dyDescent="0.25">
      <c r="L191" s="6"/>
    </row>
    <row r="192" spans="1:12" x14ac:dyDescent="0.25">
      <c r="L192" s="6"/>
    </row>
    <row r="193" spans="12:12" x14ac:dyDescent="0.25">
      <c r="L193" s="6"/>
    </row>
    <row r="194" spans="12:12" x14ac:dyDescent="0.25">
      <c r="L194" s="6"/>
    </row>
    <row r="195" spans="12:12" x14ac:dyDescent="0.25">
      <c r="L195" s="6"/>
    </row>
    <row r="196" spans="12:12" x14ac:dyDescent="0.25">
      <c r="L196" s="6"/>
    </row>
    <row r="197" spans="12:12" x14ac:dyDescent="0.25">
      <c r="L197" s="6"/>
    </row>
    <row r="198" spans="12:12" x14ac:dyDescent="0.25">
      <c r="L198" s="6"/>
    </row>
    <row r="199" spans="12:12" x14ac:dyDescent="0.25">
      <c r="L199" s="6"/>
    </row>
    <row r="200" spans="12:12" x14ac:dyDescent="0.25">
      <c r="L200" s="6"/>
    </row>
    <row r="201" spans="12:12" x14ac:dyDescent="0.25">
      <c r="L201" s="6"/>
    </row>
    <row r="202" spans="12:12" x14ac:dyDescent="0.25">
      <c r="L202" s="6"/>
    </row>
    <row r="203" spans="12:12" x14ac:dyDescent="0.25">
      <c r="L203" s="6"/>
    </row>
    <row r="204" spans="12:12" x14ac:dyDescent="0.25">
      <c r="L204" s="6"/>
    </row>
    <row r="205" spans="12:12" x14ac:dyDescent="0.25">
      <c r="L205" s="6"/>
    </row>
    <row r="206" spans="12:12" x14ac:dyDescent="0.25">
      <c r="L206" s="6"/>
    </row>
    <row r="207" spans="12:12" x14ac:dyDescent="0.25">
      <c r="L207" s="6"/>
    </row>
    <row r="208" spans="12:12" x14ac:dyDescent="0.25">
      <c r="L208" s="6"/>
    </row>
    <row r="209" spans="12:12" x14ac:dyDescent="0.25">
      <c r="L209" s="6"/>
    </row>
    <row r="210" spans="12:12" x14ac:dyDescent="0.25">
      <c r="L210" s="6"/>
    </row>
    <row r="211" spans="12:12" x14ac:dyDescent="0.25">
      <c r="L211" s="6"/>
    </row>
    <row r="212" spans="12:12" x14ac:dyDescent="0.25">
      <c r="L212" s="6"/>
    </row>
    <row r="213" spans="12:12" x14ac:dyDescent="0.25">
      <c r="L213" s="6"/>
    </row>
    <row r="214" spans="12:12" x14ac:dyDescent="0.25">
      <c r="L214" s="6"/>
    </row>
    <row r="215" spans="12:12" x14ac:dyDescent="0.25">
      <c r="L215" s="6"/>
    </row>
    <row r="216" spans="12:12" x14ac:dyDescent="0.25">
      <c r="L216" s="6"/>
    </row>
    <row r="217" spans="12:12" x14ac:dyDescent="0.25">
      <c r="L217" s="6"/>
    </row>
    <row r="218" spans="12:12" x14ac:dyDescent="0.25">
      <c r="L218" s="6"/>
    </row>
    <row r="219" spans="12:12" x14ac:dyDescent="0.25">
      <c r="L219" s="6"/>
    </row>
    <row r="220" spans="12:12" x14ac:dyDescent="0.25">
      <c r="L220" s="6"/>
    </row>
    <row r="221" spans="12:12" x14ac:dyDescent="0.25">
      <c r="L221" s="6"/>
    </row>
    <row r="222" spans="12:12" x14ac:dyDescent="0.25">
      <c r="L222" s="6"/>
    </row>
    <row r="223" spans="12:12" x14ac:dyDescent="0.25">
      <c r="L223" s="6"/>
    </row>
    <row r="224" spans="12:12" x14ac:dyDescent="0.25">
      <c r="L224" s="6"/>
    </row>
    <row r="225" spans="12:12" x14ac:dyDescent="0.25">
      <c r="L225" s="6"/>
    </row>
    <row r="226" spans="12:12" x14ac:dyDescent="0.25">
      <c r="L226" s="6"/>
    </row>
    <row r="227" spans="12:12" x14ac:dyDescent="0.25">
      <c r="L227" s="6"/>
    </row>
    <row r="228" spans="12:12" x14ac:dyDescent="0.25">
      <c r="L228" s="6"/>
    </row>
    <row r="229" spans="12:12" x14ac:dyDescent="0.25">
      <c r="L229" s="6"/>
    </row>
    <row r="230" spans="12:12" x14ac:dyDescent="0.25">
      <c r="L230" s="6"/>
    </row>
    <row r="231" spans="12:12" x14ac:dyDescent="0.25">
      <c r="L231" s="6"/>
    </row>
    <row r="232" spans="12:12" x14ac:dyDescent="0.25">
      <c r="L232" s="6"/>
    </row>
    <row r="233" spans="12:12" x14ac:dyDescent="0.25">
      <c r="L233" s="6"/>
    </row>
    <row r="234" spans="12:12" x14ac:dyDescent="0.25">
      <c r="L234" s="6"/>
    </row>
    <row r="235" spans="12:12" x14ac:dyDescent="0.25">
      <c r="L235" s="6"/>
    </row>
    <row r="236" spans="12:12" x14ac:dyDescent="0.25">
      <c r="L236" s="6"/>
    </row>
    <row r="237" spans="12:12" x14ac:dyDescent="0.25">
      <c r="L237" s="6"/>
    </row>
    <row r="238" spans="12:12" x14ac:dyDescent="0.25">
      <c r="L238" s="6"/>
    </row>
    <row r="239" spans="12:12" x14ac:dyDescent="0.25">
      <c r="L239" s="6"/>
    </row>
    <row r="240" spans="12:12" x14ac:dyDescent="0.25">
      <c r="L240" s="6"/>
    </row>
    <row r="241" spans="1:12" x14ac:dyDescent="0.25">
      <c r="L241" s="6"/>
    </row>
    <row r="242" spans="1:12" x14ac:dyDescent="0.25">
      <c r="L242" s="6"/>
    </row>
    <row r="243" spans="1:12" x14ac:dyDescent="0.25">
      <c r="A243" s="54"/>
      <c r="B243" s="54"/>
      <c r="C243" s="55"/>
      <c r="D243" s="54"/>
      <c r="E243" s="54"/>
      <c r="F243" s="55"/>
      <c r="G243" s="55"/>
      <c r="H243" s="55"/>
      <c r="I243" s="56"/>
      <c r="J243" s="56"/>
      <c r="K243" s="55"/>
      <c r="L243" s="6"/>
    </row>
    <row r="244" spans="1:12" x14ac:dyDescent="0.25">
      <c r="L244" s="6"/>
    </row>
    <row r="245" spans="1:12" x14ac:dyDescent="0.25">
      <c r="L245" s="6"/>
    </row>
    <row r="246" spans="1:12" x14ac:dyDescent="0.25">
      <c r="L246" s="6"/>
    </row>
    <row r="247" spans="1:12" x14ac:dyDescent="0.25">
      <c r="L247" s="6"/>
    </row>
    <row r="248" spans="1:12" x14ac:dyDescent="0.25">
      <c r="L248" s="6"/>
    </row>
    <row r="249" spans="1:12" x14ac:dyDescent="0.25">
      <c r="L249" s="6"/>
    </row>
    <row r="250" spans="1:12" x14ac:dyDescent="0.25">
      <c r="L250" s="6"/>
    </row>
    <row r="251" spans="1:12" x14ac:dyDescent="0.25">
      <c r="L251" s="6"/>
    </row>
    <row r="252" spans="1:12" x14ac:dyDescent="0.25">
      <c r="L252" s="6"/>
    </row>
    <row r="253" spans="1:12" x14ac:dyDescent="0.25">
      <c r="L253" s="6"/>
    </row>
    <row r="254" spans="1:12" x14ac:dyDescent="0.25">
      <c r="L254" s="6"/>
    </row>
    <row r="255" spans="1:12" x14ac:dyDescent="0.25">
      <c r="L255" s="6"/>
    </row>
    <row r="256" spans="1:12" x14ac:dyDescent="0.25">
      <c r="L256" s="6"/>
    </row>
    <row r="257" spans="12:12" x14ac:dyDescent="0.25">
      <c r="L257" s="6"/>
    </row>
    <row r="258" spans="12:12" x14ac:dyDescent="0.25">
      <c r="L258" s="6"/>
    </row>
    <row r="259" spans="12:12" x14ac:dyDescent="0.25">
      <c r="L259" s="6"/>
    </row>
    <row r="260" spans="12:12" x14ac:dyDescent="0.25">
      <c r="L260" s="6"/>
    </row>
    <row r="261" spans="12:12" x14ac:dyDescent="0.25">
      <c r="L261" s="6"/>
    </row>
    <row r="262" spans="12:12" x14ac:dyDescent="0.25">
      <c r="L262" s="6"/>
    </row>
    <row r="263" spans="12:12" x14ac:dyDescent="0.25">
      <c r="L263" s="6"/>
    </row>
    <row r="264" spans="12:12" x14ac:dyDescent="0.25">
      <c r="L264" s="6"/>
    </row>
    <row r="265" spans="12:12" x14ac:dyDescent="0.25">
      <c r="L265" s="6"/>
    </row>
    <row r="266" spans="12:12" x14ac:dyDescent="0.25">
      <c r="L266" s="6"/>
    </row>
    <row r="267" spans="12:12" x14ac:dyDescent="0.25">
      <c r="L267" s="6"/>
    </row>
    <row r="268" spans="12:12" x14ac:dyDescent="0.25">
      <c r="L268" s="6"/>
    </row>
    <row r="269" spans="12:12" x14ac:dyDescent="0.25">
      <c r="L269" s="6"/>
    </row>
    <row r="270" spans="12:12" x14ac:dyDescent="0.25">
      <c r="L270" s="6"/>
    </row>
    <row r="271" spans="12:12" x14ac:dyDescent="0.25">
      <c r="L271" s="6"/>
    </row>
    <row r="272" spans="12:12" x14ac:dyDescent="0.25">
      <c r="L272" s="6"/>
    </row>
    <row r="273" spans="12:12" x14ac:dyDescent="0.25">
      <c r="L273" s="6"/>
    </row>
    <row r="274" spans="12:12" x14ac:dyDescent="0.25">
      <c r="L274" s="6"/>
    </row>
    <row r="275" spans="12:12" x14ac:dyDescent="0.25">
      <c r="L275" s="6"/>
    </row>
    <row r="276" spans="12:12" x14ac:dyDescent="0.25">
      <c r="L276" s="6"/>
    </row>
    <row r="277" spans="12:12" x14ac:dyDescent="0.25">
      <c r="L277" s="6"/>
    </row>
    <row r="278" spans="12:12" x14ac:dyDescent="0.25">
      <c r="L278" s="6"/>
    </row>
    <row r="279" spans="12:12" x14ac:dyDescent="0.25">
      <c r="L279" s="6"/>
    </row>
    <row r="280" spans="12:12" x14ac:dyDescent="0.25">
      <c r="L280" s="6"/>
    </row>
    <row r="281" spans="12:12" x14ac:dyDescent="0.25">
      <c r="L281" s="6"/>
    </row>
    <row r="282" spans="12:12" x14ac:dyDescent="0.25">
      <c r="L282" s="6"/>
    </row>
    <row r="283" spans="12:12" x14ac:dyDescent="0.25">
      <c r="L283" s="6"/>
    </row>
    <row r="284" spans="12:12" x14ac:dyDescent="0.25">
      <c r="L284" s="6"/>
    </row>
    <row r="285" spans="12:12" x14ac:dyDescent="0.25">
      <c r="L285" s="6"/>
    </row>
    <row r="286" spans="12:12" x14ac:dyDescent="0.25">
      <c r="L286" s="6"/>
    </row>
    <row r="287" spans="12:12" x14ac:dyDescent="0.25">
      <c r="L287" s="6"/>
    </row>
    <row r="288" spans="12:12" x14ac:dyDescent="0.25">
      <c r="L288" s="6"/>
    </row>
    <row r="289" spans="12:12" x14ac:dyDescent="0.25">
      <c r="L289" s="6"/>
    </row>
    <row r="290" spans="12:12" x14ac:dyDescent="0.25">
      <c r="L290" s="6"/>
    </row>
    <row r="291" spans="12:12" x14ac:dyDescent="0.25">
      <c r="L291" s="6"/>
    </row>
    <row r="292" spans="12:12" x14ac:dyDescent="0.25">
      <c r="L292" s="6"/>
    </row>
    <row r="293" spans="12:12" x14ac:dyDescent="0.25">
      <c r="L293" s="6"/>
    </row>
    <row r="294" spans="12:12" x14ac:dyDescent="0.25">
      <c r="L294" s="6"/>
    </row>
    <row r="295" spans="12:12" x14ac:dyDescent="0.25">
      <c r="L295" s="6"/>
    </row>
    <row r="296" spans="12:12" x14ac:dyDescent="0.25">
      <c r="L296" s="6"/>
    </row>
    <row r="297" spans="12:12" x14ac:dyDescent="0.25">
      <c r="L297" s="6"/>
    </row>
    <row r="298" spans="12:12" x14ac:dyDescent="0.25">
      <c r="L298" s="6"/>
    </row>
    <row r="299" spans="12:12" x14ac:dyDescent="0.25">
      <c r="L299" s="6"/>
    </row>
    <row r="300" spans="12:12" x14ac:dyDescent="0.25">
      <c r="L300" s="6"/>
    </row>
  </sheetData>
  <sortState xmlns:xlrd2="http://schemas.microsoft.com/office/spreadsheetml/2017/richdata2" ref="A2:V300">
    <sortCondition descending="1" ref="A2:A300"/>
  </sortState>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4F36A-D59B-4BFF-91D3-B71888CB95FF}">
  <sheetPr>
    <tabColor rgb="FF92D050"/>
  </sheetPr>
  <dimension ref="A1:J10"/>
  <sheetViews>
    <sheetView workbookViewId="0"/>
  </sheetViews>
  <sheetFormatPr defaultRowHeight="15" x14ac:dyDescent="0.25"/>
  <cols>
    <col min="1" max="1" width="9.42578125" style="5"/>
    <col min="2" max="2" width="11.42578125" style="5" bestFit="1" customWidth="1"/>
    <col min="3" max="3" width="9.42578125" style="5"/>
    <col min="4" max="4" width="8.5703125" style="5"/>
    <col min="5" max="5" width="11.42578125" customWidth="1"/>
  </cols>
  <sheetData>
    <row r="1" spans="1:10" s="16" customFormat="1" ht="45" x14ac:dyDescent="0.25">
      <c r="A1" s="4" t="s">
        <v>150</v>
      </c>
      <c r="B1" s="4" t="s">
        <v>151</v>
      </c>
      <c r="C1" s="4" t="s">
        <v>154</v>
      </c>
      <c r="D1" s="4" t="s">
        <v>155</v>
      </c>
      <c r="E1" s="3" t="s">
        <v>58</v>
      </c>
      <c r="I1" s="1"/>
      <c r="J1" s="1"/>
    </row>
    <row r="2" spans="1:10" x14ac:dyDescent="0.25">
      <c r="A2" s="5">
        <v>1</v>
      </c>
      <c r="B2" s="118">
        <v>45827</v>
      </c>
      <c r="C2" s="50">
        <v>0.22570999999999999</v>
      </c>
      <c r="I2" s="118"/>
      <c r="J2" s="50"/>
    </row>
    <row r="3" spans="1:10" x14ac:dyDescent="0.25">
      <c r="A3" s="5">
        <v>2</v>
      </c>
      <c r="B3" s="118">
        <v>45856</v>
      </c>
      <c r="C3" s="50">
        <v>0.15662999999999999</v>
      </c>
      <c r="I3" s="118"/>
      <c r="J3" s="50"/>
    </row>
    <row r="4" spans="1:10" x14ac:dyDescent="0.25">
      <c r="A4" s="5">
        <v>3</v>
      </c>
      <c r="B4" s="118">
        <v>45869</v>
      </c>
      <c r="C4" s="50">
        <v>0.24326999999999999</v>
      </c>
      <c r="I4" s="118"/>
      <c r="J4" s="50"/>
    </row>
    <row r="5" spans="1:10" x14ac:dyDescent="0.25">
      <c r="A5" s="5">
        <v>4</v>
      </c>
      <c r="B5" s="118">
        <v>45881</v>
      </c>
      <c r="C5" s="50">
        <v>0.20483000000000001</v>
      </c>
      <c r="I5" s="118"/>
      <c r="J5" s="50"/>
    </row>
    <row r="6" spans="1:10" x14ac:dyDescent="0.25">
      <c r="A6" s="5">
        <v>5</v>
      </c>
      <c r="B6" s="118">
        <v>45895</v>
      </c>
      <c r="C6" s="50">
        <v>0.12025</v>
      </c>
      <c r="I6" s="118"/>
      <c r="J6" s="50"/>
    </row>
    <row r="7" spans="1:10" x14ac:dyDescent="0.25">
      <c r="A7" s="5">
        <v>6</v>
      </c>
      <c r="B7" s="118">
        <v>45908</v>
      </c>
      <c r="C7" s="50">
        <v>0.15640000000000001</v>
      </c>
      <c r="I7" s="118"/>
      <c r="J7" s="50"/>
    </row>
    <row r="8" spans="1:10" x14ac:dyDescent="0.25">
      <c r="A8" s="5">
        <v>7</v>
      </c>
      <c r="B8" s="118">
        <v>45925</v>
      </c>
      <c r="C8" s="50">
        <v>0.157</v>
      </c>
      <c r="I8" s="118"/>
      <c r="J8" s="50"/>
    </row>
    <row r="9" spans="1:10" x14ac:dyDescent="0.25">
      <c r="A9" s="5">
        <v>8</v>
      </c>
      <c r="B9" s="118">
        <v>45951</v>
      </c>
      <c r="C9" s="50">
        <v>0.11600000000000001</v>
      </c>
      <c r="I9" s="118"/>
      <c r="J9" s="50"/>
    </row>
    <row r="10" spans="1:10" x14ac:dyDescent="0.25">
      <c r="A10" s="5">
        <v>9</v>
      </c>
      <c r="B10" s="118">
        <v>45967</v>
      </c>
      <c r="C10" s="50">
        <v>0.13059999999999999</v>
      </c>
      <c r="I10" s="118"/>
      <c r="J10" s="5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BF48-D778-4DC7-9F65-DF2FE320A251}">
  <sheetPr>
    <tabColor rgb="FF92D050"/>
  </sheetPr>
  <dimension ref="A1:O1025"/>
  <sheetViews>
    <sheetView workbookViewId="0"/>
  </sheetViews>
  <sheetFormatPr defaultRowHeight="15" x14ac:dyDescent="0.25"/>
  <cols>
    <col min="1" max="4" width="9.140625" style="6"/>
    <col min="6" max="6" width="9.140625" style="6"/>
    <col min="7" max="8" width="8.85546875" style="6"/>
    <col min="9" max="9" width="9.140625" style="6"/>
    <col min="10" max="11" width="13.5703125" customWidth="1"/>
    <col min="12" max="12" width="9.140625" style="50"/>
  </cols>
  <sheetData>
    <row r="1" spans="1:15" s="16" customFormat="1" ht="45" x14ac:dyDescent="0.25">
      <c r="A1" s="53" t="s">
        <v>44</v>
      </c>
      <c r="B1" s="53" t="s">
        <v>45</v>
      </c>
      <c r="C1" s="53" t="s">
        <v>46</v>
      </c>
      <c r="D1" s="53" t="s">
        <v>47</v>
      </c>
      <c r="E1" s="53" t="s">
        <v>48</v>
      </c>
      <c r="F1" s="53" t="s">
        <v>49</v>
      </c>
      <c r="G1" s="53" t="s">
        <v>50</v>
      </c>
      <c r="H1" s="53" t="s">
        <v>51</v>
      </c>
      <c r="I1" s="53" t="s">
        <v>54</v>
      </c>
      <c r="J1" s="53" t="s">
        <v>150</v>
      </c>
      <c r="K1" s="4" t="s">
        <v>151</v>
      </c>
      <c r="L1" s="23" t="s">
        <v>156</v>
      </c>
      <c r="M1" s="23" t="s">
        <v>157</v>
      </c>
      <c r="N1" s="4" t="s">
        <v>158</v>
      </c>
      <c r="O1" s="5"/>
    </row>
    <row r="2" spans="1:15" x14ac:dyDescent="0.25">
      <c r="A2" t="s">
        <v>24</v>
      </c>
      <c r="B2" s="61"/>
      <c r="C2" s="61"/>
      <c r="D2" t="s">
        <v>28</v>
      </c>
      <c r="E2">
        <v>1998</v>
      </c>
      <c r="F2">
        <v>1</v>
      </c>
      <c r="G2">
        <v>1</v>
      </c>
      <c r="H2">
        <v>1</v>
      </c>
      <c r="I2">
        <v>101</v>
      </c>
      <c r="J2" s="61"/>
      <c r="K2" s="13">
        <v>45827</v>
      </c>
      <c r="L2" s="50">
        <v>0.91832999999999998</v>
      </c>
    </row>
    <row r="3" spans="1:15" x14ac:dyDescent="0.25">
      <c r="A3" t="s">
        <v>24</v>
      </c>
      <c r="B3" s="61"/>
      <c r="C3" s="61"/>
      <c r="D3" t="s">
        <v>28</v>
      </c>
      <c r="E3">
        <v>1998</v>
      </c>
      <c r="F3">
        <v>1</v>
      </c>
      <c r="G3">
        <v>1</v>
      </c>
      <c r="H3">
        <v>1</v>
      </c>
      <c r="I3">
        <v>101</v>
      </c>
      <c r="J3" s="61"/>
      <c r="K3" s="13">
        <v>45856</v>
      </c>
      <c r="L3" s="50">
        <v>0.91379999999999995</v>
      </c>
    </row>
    <row r="4" spans="1:15" x14ac:dyDescent="0.25">
      <c r="A4" t="s">
        <v>24</v>
      </c>
      <c r="B4" s="61"/>
      <c r="C4" s="61"/>
      <c r="D4" t="s">
        <v>28</v>
      </c>
      <c r="E4">
        <v>1998</v>
      </c>
      <c r="F4">
        <v>1</v>
      </c>
      <c r="G4">
        <v>1</v>
      </c>
      <c r="H4">
        <v>1</v>
      </c>
      <c r="I4">
        <v>101</v>
      </c>
      <c r="J4" s="61"/>
      <c r="K4" s="13">
        <v>45869</v>
      </c>
      <c r="L4" s="50">
        <v>0.93359999999999999</v>
      </c>
    </row>
    <row r="5" spans="1:15" x14ac:dyDescent="0.25">
      <c r="A5" t="s">
        <v>24</v>
      </c>
      <c r="B5" s="61"/>
      <c r="C5" s="61"/>
      <c r="D5" t="s">
        <v>28</v>
      </c>
      <c r="E5">
        <v>1998</v>
      </c>
      <c r="F5">
        <v>1</v>
      </c>
      <c r="G5">
        <v>1</v>
      </c>
      <c r="H5">
        <v>1</v>
      </c>
      <c r="I5">
        <v>101</v>
      </c>
      <c r="J5" s="61"/>
      <c r="K5" s="13">
        <v>45881</v>
      </c>
      <c r="L5" s="50">
        <v>0.90249999999999997</v>
      </c>
    </row>
    <row r="6" spans="1:15" x14ac:dyDescent="0.25">
      <c r="A6" t="s">
        <v>24</v>
      </c>
      <c r="B6" s="61"/>
      <c r="C6" s="61"/>
      <c r="D6" t="s">
        <v>28</v>
      </c>
      <c r="E6">
        <v>1998</v>
      </c>
      <c r="F6">
        <v>1</v>
      </c>
      <c r="G6">
        <v>1</v>
      </c>
      <c r="H6">
        <v>1</v>
      </c>
      <c r="I6">
        <v>101</v>
      </c>
      <c r="J6" s="61"/>
      <c r="K6" s="13">
        <v>45895</v>
      </c>
      <c r="L6" s="50">
        <v>0.88175000000000003</v>
      </c>
    </row>
    <row r="7" spans="1:15" x14ac:dyDescent="0.25">
      <c r="A7" t="s">
        <v>24</v>
      </c>
      <c r="B7" s="61"/>
      <c r="C7" s="61"/>
      <c r="D7" t="s">
        <v>28</v>
      </c>
      <c r="E7">
        <v>1998</v>
      </c>
      <c r="F7">
        <v>1</v>
      </c>
      <c r="G7">
        <v>1</v>
      </c>
      <c r="H7">
        <v>1</v>
      </c>
      <c r="I7">
        <v>101</v>
      </c>
      <c r="J7" s="61"/>
      <c r="K7" s="13">
        <v>45908</v>
      </c>
      <c r="L7" s="50">
        <v>0.93459999999999999</v>
      </c>
    </row>
    <row r="8" spans="1:15" x14ac:dyDescent="0.25">
      <c r="A8" t="s">
        <v>24</v>
      </c>
      <c r="B8" s="61"/>
      <c r="C8" s="61"/>
      <c r="D8" t="s">
        <v>28</v>
      </c>
      <c r="E8">
        <v>1998</v>
      </c>
      <c r="F8">
        <v>1</v>
      </c>
      <c r="G8">
        <v>1</v>
      </c>
      <c r="H8">
        <v>1</v>
      </c>
      <c r="I8">
        <v>101</v>
      </c>
      <c r="J8" s="61"/>
      <c r="K8" s="13">
        <v>45925</v>
      </c>
      <c r="L8" s="50">
        <v>0.95626999999999995</v>
      </c>
    </row>
    <row r="9" spans="1:15" x14ac:dyDescent="0.25">
      <c r="A9" t="s">
        <v>24</v>
      </c>
      <c r="B9" s="61"/>
      <c r="C9" s="61"/>
      <c r="D9" t="s">
        <v>28</v>
      </c>
      <c r="E9">
        <v>1998</v>
      </c>
      <c r="F9">
        <v>1</v>
      </c>
      <c r="G9">
        <v>1</v>
      </c>
      <c r="H9">
        <v>1</v>
      </c>
      <c r="I9">
        <v>101</v>
      </c>
      <c r="J9" s="61"/>
      <c r="K9" s="13">
        <v>45951</v>
      </c>
      <c r="L9" s="50">
        <v>0.83291999999999999</v>
      </c>
    </row>
    <row r="10" spans="1:15" x14ac:dyDescent="0.25">
      <c r="A10" t="s">
        <v>24</v>
      </c>
      <c r="D10" t="s">
        <v>28</v>
      </c>
      <c r="E10">
        <v>1998</v>
      </c>
      <c r="F10">
        <v>1</v>
      </c>
      <c r="G10">
        <v>1</v>
      </c>
      <c r="H10">
        <v>1</v>
      </c>
      <c r="I10">
        <v>101</v>
      </c>
      <c r="J10" s="6"/>
      <c r="K10" s="13">
        <v>45967</v>
      </c>
      <c r="L10" s="50">
        <v>0.66544000000000003</v>
      </c>
    </row>
    <row r="11" spans="1:15" x14ac:dyDescent="0.25">
      <c r="A11" t="s">
        <v>24</v>
      </c>
      <c r="D11" t="s">
        <v>313</v>
      </c>
      <c r="E11">
        <v>2016</v>
      </c>
      <c r="F11">
        <v>1</v>
      </c>
      <c r="G11">
        <v>2</v>
      </c>
      <c r="H11">
        <v>1</v>
      </c>
      <c r="I11">
        <v>117</v>
      </c>
      <c r="J11" s="6"/>
      <c r="K11" s="13">
        <v>45827</v>
      </c>
      <c r="L11" s="50">
        <v>0.91144999999999998</v>
      </c>
    </row>
    <row r="12" spans="1:15" x14ac:dyDescent="0.25">
      <c r="A12" t="s">
        <v>24</v>
      </c>
      <c r="D12" t="s">
        <v>313</v>
      </c>
      <c r="E12">
        <v>2016</v>
      </c>
      <c r="F12">
        <v>1</v>
      </c>
      <c r="G12">
        <v>2</v>
      </c>
      <c r="H12">
        <v>1</v>
      </c>
      <c r="I12">
        <v>117</v>
      </c>
      <c r="J12" s="6"/>
      <c r="K12" s="13">
        <v>45856</v>
      </c>
      <c r="L12" s="50">
        <v>0.89181999999999995</v>
      </c>
    </row>
    <row r="13" spans="1:15" x14ac:dyDescent="0.25">
      <c r="A13" t="s">
        <v>24</v>
      </c>
      <c r="D13" t="s">
        <v>313</v>
      </c>
      <c r="E13">
        <v>2016</v>
      </c>
      <c r="F13">
        <v>1</v>
      </c>
      <c r="G13">
        <v>2</v>
      </c>
      <c r="H13">
        <v>1</v>
      </c>
      <c r="I13">
        <v>117</v>
      </c>
      <c r="J13" s="6"/>
      <c r="K13" s="13">
        <v>45869</v>
      </c>
      <c r="L13" s="50">
        <v>0.86599999999999999</v>
      </c>
    </row>
    <row r="14" spans="1:15" x14ac:dyDescent="0.25">
      <c r="A14" t="s">
        <v>24</v>
      </c>
      <c r="D14" t="s">
        <v>313</v>
      </c>
      <c r="E14">
        <v>2016</v>
      </c>
      <c r="F14">
        <v>1</v>
      </c>
      <c r="G14">
        <v>2</v>
      </c>
      <c r="H14">
        <v>1</v>
      </c>
      <c r="I14">
        <v>117</v>
      </c>
      <c r="J14" s="6"/>
      <c r="K14" s="13">
        <v>45881</v>
      </c>
      <c r="L14" s="50">
        <v>0.87324999999999997</v>
      </c>
    </row>
    <row r="15" spans="1:15" x14ac:dyDescent="0.25">
      <c r="A15" t="s">
        <v>24</v>
      </c>
      <c r="D15" t="s">
        <v>313</v>
      </c>
      <c r="E15">
        <v>2016</v>
      </c>
      <c r="F15">
        <v>1</v>
      </c>
      <c r="G15">
        <v>2</v>
      </c>
      <c r="H15">
        <v>1</v>
      </c>
      <c r="I15">
        <v>117</v>
      </c>
      <c r="J15" s="6"/>
      <c r="K15" s="13">
        <v>45895</v>
      </c>
      <c r="L15" s="50">
        <v>0.84111000000000002</v>
      </c>
    </row>
    <row r="16" spans="1:15" x14ac:dyDescent="0.25">
      <c r="A16" t="s">
        <v>24</v>
      </c>
      <c r="D16" t="s">
        <v>313</v>
      </c>
      <c r="E16">
        <v>2016</v>
      </c>
      <c r="F16">
        <v>1</v>
      </c>
      <c r="G16">
        <v>2</v>
      </c>
      <c r="H16">
        <v>1</v>
      </c>
      <c r="I16">
        <v>117</v>
      </c>
      <c r="J16" s="6"/>
      <c r="K16" s="13">
        <v>45908</v>
      </c>
      <c r="L16" s="50">
        <v>0.93042999999999998</v>
      </c>
    </row>
    <row r="17" spans="1:12" x14ac:dyDescent="0.25">
      <c r="A17" t="s">
        <v>24</v>
      </c>
      <c r="D17" t="s">
        <v>313</v>
      </c>
      <c r="E17">
        <v>2016</v>
      </c>
      <c r="F17">
        <v>1</v>
      </c>
      <c r="G17">
        <v>2</v>
      </c>
      <c r="H17">
        <v>1</v>
      </c>
      <c r="I17">
        <v>117</v>
      </c>
      <c r="J17" s="6"/>
      <c r="K17" s="13">
        <v>45925</v>
      </c>
      <c r="L17" s="50">
        <v>0.92149999999999999</v>
      </c>
    </row>
    <row r="18" spans="1:12" x14ac:dyDescent="0.25">
      <c r="A18" t="s">
        <v>24</v>
      </c>
      <c r="B18" s="61"/>
      <c r="C18" s="61"/>
      <c r="D18" t="s">
        <v>313</v>
      </c>
      <c r="E18">
        <v>2016</v>
      </c>
      <c r="F18">
        <v>1</v>
      </c>
      <c r="G18">
        <v>2</v>
      </c>
      <c r="H18">
        <v>1</v>
      </c>
      <c r="I18">
        <v>117</v>
      </c>
      <c r="J18" s="61"/>
      <c r="K18" s="13">
        <v>45951</v>
      </c>
      <c r="L18" s="50">
        <v>0.63019999999999998</v>
      </c>
    </row>
    <row r="19" spans="1:12" x14ac:dyDescent="0.25">
      <c r="A19" t="s">
        <v>24</v>
      </c>
      <c r="B19" s="61"/>
      <c r="C19" s="61"/>
      <c r="D19" t="s">
        <v>313</v>
      </c>
      <c r="E19">
        <v>2016</v>
      </c>
      <c r="F19">
        <v>1</v>
      </c>
      <c r="G19">
        <v>2</v>
      </c>
      <c r="H19">
        <v>1</v>
      </c>
      <c r="I19">
        <v>117</v>
      </c>
      <c r="J19" s="61"/>
      <c r="K19" s="13">
        <v>45967</v>
      </c>
      <c r="L19" s="50">
        <v>0.60367000000000004</v>
      </c>
    </row>
    <row r="20" spans="1:12" x14ac:dyDescent="0.25">
      <c r="A20" t="s">
        <v>24</v>
      </c>
      <c r="B20" s="61"/>
      <c r="C20" s="61"/>
      <c r="D20" t="s">
        <v>26</v>
      </c>
      <c r="E20">
        <v>1983</v>
      </c>
      <c r="F20">
        <v>1</v>
      </c>
      <c r="G20">
        <v>3</v>
      </c>
      <c r="H20">
        <v>1</v>
      </c>
      <c r="I20">
        <v>133</v>
      </c>
      <c r="J20" s="61"/>
      <c r="K20" s="13">
        <v>45827</v>
      </c>
      <c r="L20" s="50">
        <v>0.9052</v>
      </c>
    </row>
    <row r="21" spans="1:12" x14ac:dyDescent="0.25">
      <c r="A21" t="s">
        <v>24</v>
      </c>
      <c r="B21" s="61"/>
      <c r="C21" s="61"/>
      <c r="D21" t="s">
        <v>26</v>
      </c>
      <c r="E21">
        <v>1983</v>
      </c>
      <c r="F21">
        <v>1</v>
      </c>
      <c r="G21">
        <v>3</v>
      </c>
      <c r="H21">
        <v>1</v>
      </c>
      <c r="I21">
        <v>133</v>
      </c>
      <c r="J21" s="61"/>
      <c r="K21" s="13">
        <v>45856</v>
      </c>
      <c r="L21" s="50">
        <v>0.92578000000000005</v>
      </c>
    </row>
    <row r="22" spans="1:12" x14ac:dyDescent="0.25">
      <c r="A22" t="s">
        <v>24</v>
      </c>
      <c r="B22" s="61"/>
      <c r="C22" s="61"/>
      <c r="D22" t="s">
        <v>26</v>
      </c>
      <c r="E22">
        <v>1983</v>
      </c>
      <c r="F22">
        <v>1</v>
      </c>
      <c r="G22">
        <v>3</v>
      </c>
      <c r="H22">
        <v>1</v>
      </c>
      <c r="I22">
        <v>133</v>
      </c>
      <c r="J22" s="61"/>
      <c r="K22" s="13">
        <v>45869</v>
      </c>
      <c r="L22" s="50">
        <v>0.93532999999999999</v>
      </c>
    </row>
    <row r="23" spans="1:12" x14ac:dyDescent="0.25">
      <c r="A23" t="s">
        <v>24</v>
      </c>
      <c r="B23" s="61"/>
      <c r="C23" s="61"/>
      <c r="D23" t="s">
        <v>26</v>
      </c>
      <c r="E23">
        <v>1983</v>
      </c>
      <c r="F23">
        <v>1</v>
      </c>
      <c r="G23">
        <v>3</v>
      </c>
      <c r="H23">
        <v>1</v>
      </c>
      <c r="I23">
        <v>133</v>
      </c>
      <c r="J23" s="61"/>
      <c r="K23" s="13">
        <v>45881</v>
      </c>
      <c r="L23" s="50">
        <v>0.89944000000000002</v>
      </c>
    </row>
    <row r="24" spans="1:12" x14ac:dyDescent="0.25">
      <c r="A24" t="s">
        <v>24</v>
      </c>
      <c r="B24" s="61"/>
      <c r="C24" s="61"/>
      <c r="D24" t="s">
        <v>26</v>
      </c>
      <c r="E24">
        <v>1983</v>
      </c>
      <c r="F24">
        <v>1</v>
      </c>
      <c r="G24">
        <v>3</v>
      </c>
      <c r="H24">
        <v>1</v>
      </c>
      <c r="I24">
        <v>133</v>
      </c>
      <c r="J24" s="61"/>
      <c r="K24" s="13">
        <v>45895</v>
      </c>
      <c r="L24" s="50">
        <v>0.87270000000000003</v>
      </c>
    </row>
    <row r="25" spans="1:12" x14ac:dyDescent="0.25">
      <c r="A25" t="s">
        <v>24</v>
      </c>
      <c r="B25" s="61"/>
      <c r="C25" s="61"/>
      <c r="D25" t="s">
        <v>26</v>
      </c>
      <c r="E25">
        <v>1983</v>
      </c>
      <c r="F25">
        <v>1</v>
      </c>
      <c r="G25">
        <v>3</v>
      </c>
      <c r="H25">
        <v>1</v>
      </c>
      <c r="I25">
        <v>133</v>
      </c>
      <c r="J25" s="61"/>
      <c r="K25" s="13">
        <v>45908</v>
      </c>
      <c r="L25" s="50">
        <v>0.94982999999999995</v>
      </c>
    </row>
    <row r="26" spans="1:12" x14ac:dyDescent="0.25">
      <c r="A26" t="s">
        <v>24</v>
      </c>
      <c r="B26" s="54"/>
      <c r="C26" s="55"/>
      <c r="D26" t="s">
        <v>26</v>
      </c>
      <c r="E26">
        <v>1983</v>
      </c>
      <c r="F26">
        <v>1</v>
      </c>
      <c r="G26">
        <v>3</v>
      </c>
      <c r="H26">
        <v>1</v>
      </c>
      <c r="I26">
        <v>133</v>
      </c>
      <c r="J26" s="6"/>
      <c r="K26" s="13">
        <v>45925</v>
      </c>
      <c r="L26" s="50">
        <v>0.94869000000000003</v>
      </c>
    </row>
    <row r="27" spans="1:12" x14ac:dyDescent="0.25">
      <c r="A27" t="s">
        <v>24</v>
      </c>
      <c r="D27" t="s">
        <v>26</v>
      </c>
      <c r="E27">
        <v>1983</v>
      </c>
      <c r="F27">
        <v>1</v>
      </c>
      <c r="G27">
        <v>3</v>
      </c>
      <c r="H27">
        <v>1</v>
      </c>
      <c r="I27">
        <v>133</v>
      </c>
      <c r="J27" s="6"/>
      <c r="K27" s="13">
        <v>45951</v>
      </c>
      <c r="L27" s="50">
        <v>0.85599999999999998</v>
      </c>
    </row>
    <row r="28" spans="1:12" x14ac:dyDescent="0.25">
      <c r="A28" t="s">
        <v>24</v>
      </c>
      <c r="D28" t="s">
        <v>26</v>
      </c>
      <c r="E28">
        <v>1983</v>
      </c>
      <c r="F28">
        <v>1</v>
      </c>
      <c r="G28">
        <v>3</v>
      </c>
      <c r="H28">
        <v>1</v>
      </c>
      <c r="I28">
        <v>133</v>
      </c>
      <c r="J28" s="6"/>
      <c r="K28" s="13">
        <v>45967</v>
      </c>
      <c r="L28" s="50">
        <v>0.68769999999999998</v>
      </c>
    </row>
    <row r="29" spans="1:12" x14ac:dyDescent="0.25">
      <c r="A29" t="s">
        <v>24</v>
      </c>
      <c r="D29" t="s">
        <v>29</v>
      </c>
      <c r="E29">
        <v>1999</v>
      </c>
      <c r="F29">
        <v>1</v>
      </c>
      <c r="G29">
        <v>4</v>
      </c>
      <c r="H29">
        <v>1</v>
      </c>
      <c r="I29">
        <v>149</v>
      </c>
      <c r="J29" s="6"/>
      <c r="K29" s="13">
        <v>45827</v>
      </c>
      <c r="L29" s="50">
        <v>0.90600000000000003</v>
      </c>
    </row>
    <row r="30" spans="1:12" x14ac:dyDescent="0.25">
      <c r="A30" t="s">
        <v>24</v>
      </c>
      <c r="D30" t="s">
        <v>29</v>
      </c>
      <c r="E30">
        <v>1999</v>
      </c>
      <c r="F30">
        <v>1</v>
      </c>
      <c r="G30">
        <v>4</v>
      </c>
      <c r="H30">
        <v>1</v>
      </c>
      <c r="I30">
        <v>149</v>
      </c>
      <c r="J30" s="6"/>
      <c r="K30" s="13">
        <v>45856</v>
      </c>
      <c r="L30" s="50">
        <v>0.90959999999999996</v>
      </c>
    </row>
    <row r="31" spans="1:12" x14ac:dyDescent="0.25">
      <c r="A31" t="s">
        <v>24</v>
      </c>
      <c r="D31" t="s">
        <v>29</v>
      </c>
      <c r="E31">
        <v>1999</v>
      </c>
      <c r="F31">
        <v>1</v>
      </c>
      <c r="G31">
        <v>4</v>
      </c>
      <c r="H31">
        <v>1</v>
      </c>
      <c r="I31">
        <v>149</v>
      </c>
      <c r="J31" s="6"/>
      <c r="K31" s="13">
        <v>45869</v>
      </c>
      <c r="L31" s="50">
        <v>0.91579999999999995</v>
      </c>
    </row>
    <row r="32" spans="1:12" x14ac:dyDescent="0.25">
      <c r="A32" t="s">
        <v>24</v>
      </c>
      <c r="D32" t="s">
        <v>29</v>
      </c>
      <c r="E32">
        <v>1999</v>
      </c>
      <c r="F32">
        <v>1</v>
      </c>
      <c r="G32">
        <v>4</v>
      </c>
      <c r="H32">
        <v>1</v>
      </c>
      <c r="I32">
        <v>149</v>
      </c>
      <c r="J32" s="6"/>
      <c r="K32" s="13">
        <v>45881</v>
      </c>
      <c r="L32" s="50">
        <v>0.89322000000000001</v>
      </c>
    </row>
    <row r="33" spans="1:12" x14ac:dyDescent="0.25">
      <c r="A33" t="s">
        <v>24</v>
      </c>
      <c r="D33" t="s">
        <v>29</v>
      </c>
      <c r="E33">
        <v>1999</v>
      </c>
      <c r="F33">
        <v>1</v>
      </c>
      <c r="G33">
        <v>4</v>
      </c>
      <c r="H33">
        <v>1</v>
      </c>
      <c r="I33">
        <v>149</v>
      </c>
      <c r="J33" s="6"/>
      <c r="K33" s="13">
        <v>45895</v>
      </c>
      <c r="L33" s="50">
        <v>0.87266999999999995</v>
      </c>
    </row>
    <row r="34" spans="1:12" x14ac:dyDescent="0.25">
      <c r="A34" t="s">
        <v>24</v>
      </c>
      <c r="B34" s="61"/>
      <c r="C34" s="61"/>
      <c r="D34" t="s">
        <v>29</v>
      </c>
      <c r="E34">
        <v>1999</v>
      </c>
      <c r="F34">
        <v>1</v>
      </c>
      <c r="G34">
        <v>4</v>
      </c>
      <c r="H34">
        <v>1</v>
      </c>
      <c r="I34">
        <v>149</v>
      </c>
      <c r="J34" s="61"/>
      <c r="K34" s="13">
        <v>45908</v>
      </c>
      <c r="L34" s="50">
        <v>0.94528999999999996</v>
      </c>
    </row>
    <row r="35" spans="1:12" x14ac:dyDescent="0.25">
      <c r="A35" t="s">
        <v>24</v>
      </c>
      <c r="B35" s="61"/>
      <c r="C35" s="61"/>
      <c r="D35" t="s">
        <v>29</v>
      </c>
      <c r="E35">
        <v>1999</v>
      </c>
      <c r="F35">
        <v>1</v>
      </c>
      <c r="G35">
        <v>4</v>
      </c>
      <c r="H35">
        <v>1</v>
      </c>
      <c r="I35">
        <v>149</v>
      </c>
      <c r="J35" s="61"/>
      <c r="K35" s="13">
        <v>45925</v>
      </c>
      <c r="L35" s="50">
        <v>0.95499999999999996</v>
      </c>
    </row>
    <row r="36" spans="1:12" x14ac:dyDescent="0.25">
      <c r="A36" t="s">
        <v>24</v>
      </c>
      <c r="B36" s="61"/>
      <c r="C36" s="61"/>
      <c r="D36" t="s">
        <v>29</v>
      </c>
      <c r="E36">
        <v>1999</v>
      </c>
      <c r="F36">
        <v>1</v>
      </c>
      <c r="G36">
        <v>4</v>
      </c>
      <c r="H36">
        <v>1</v>
      </c>
      <c r="I36">
        <v>149</v>
      </c>
      <c r="J36" s="61"/>
      <c r="K36" s="13">
        <v>45951</v>
      </c>
      <c r="L36" s="50">
        <v>0.79878000000000005</v>
      </c>
    </row>
    <row r="37" spans="1:12" x14ac:dyDescent="0.25">
      <c r="A37" t="s">
        <v>24</v>
      </c>
      <c r="B37" s="61"/>
      <c r="C37" s="61"/>
      <c r="D37" t="s">
        <v>29</v>
      </c>
      <c r="E37">
        <v>1999</v>
      </c>
      <c r="F37">
        <v>1</v>
      </c>
      <c r="G37">
        <v>4</v>
      </c>
      <c r="H37">
        <v>1</v>
      </c>
      <c r="I37">
        <v>149</v>
      </c>
      <c r="J37" s="61"/>
      <c r="K37" s="13">
        <v>45967</v>
      </c>
      <c r="L37" s="50">
        <v>0.626</v>
      </c>
    </row>
    <row r="38" spans="1:12" x14ac:dyDescent="0.25">
      <c r="A38" t="s">
        <v>24</v>
      </c>
      <c r="B38" s="61"/>
      <c r="C38" s="61"/>
      <c r="D38" t="s">
        <v>32</v>
      </c>
      <c r="E38">
        <v>2018</v>
      </c>
      <c r="F38">
        <v>1</v>
      </c>
      <c r="G38">
        <v>4</v>
      </c>
      <c r="H38">
        <v>2</v>
      </c>
      <c r="I38">
        <v>150</v>
      </c>
      <c r="J38" s="61"/>
      <c r="K38" s="13">
        <v>45827</v>
      </c>
      <c r="L38" s="50">
        <v>0.90488999999999997</v>
      </c>
    </row>
    <row r="39" spans="1:12" x14ac:dyDescent="0.25">
      <c r="A39" t="s">
        <v>24</v>
      </c>
      <c r="B39" s="61"/>
      <c r="C39" s="61"/>
      <c r="D39" t="s">
        <v>32</v>
      </c>
      <c r="E39">
        <v>2018</v>
      </c>
      <c r="F39">
        <v>1</v>
      </c>
      <c r="G39">
        <v>4</v>
      </c>
      <c r="H39">
        <v>2</v>
      </c>
      <c r="I39">
        <v>150</v>
      </c>
      <c r="J39" s="61"/>
      <c r="K39" s="13">
        <v>45856</v>
      </c>
      <c r="L39" s="50">
        <v>0.91074999999999995</v>
      </c>
    </row>
    <row r="40" spans="1:12" x14ac:dyDescent="0.25">
      <c r="A40" t="s">
        <v>24</v>
      </c>
      <c r="B40" s="61"/>
      <c r="C40" s="61"/>
      <c r="D40" t="s">
        <v>32</v>
      </c>
      <c r="E40">
        <v>2018</v>
      </c>
      <c r="F40">
        <v>1</v>
      </c>
      <c r="G40">
        <v>4</v>
      </c>
      <c r="H40">
        <v>2</v>
      </c>
      <c r="I40">
        <v>150</v>
      </c>
      <c r="J40" s="61"/>
      <c r="K40" s="13">
        <v>45869</v>
      </c>
      <c r="L40" s="50">
        <v>0.92079999999999995</v>
      </c>
    </row>
    <row r="41" spans="1:12" x14ac:dyDescent="0.25">
      <c r="A41" t="s">
        <v>24</v>
      </c>
      <c r="B41" s="61"/>
      <c r="C41" s="61"/>
      <c r="D41" t="s">
        <v>32</v>
      </c>
      <c r="E41">
        <v>2018</v>
      </c>
      <c r="F41">
        <v>1</v>
      </c>
      <c r="G41">
        <v>4</v>
      </c>
      <c r="H41">
        <v>2</v>
      </c>
      <c r="I41">
        <v>150</v>
      </c>
      <c r="J41" s="61"/>
      <c r="K41" s="13">
        <v>45881</v>
      </c>
      <c r="L41" s="50">
        <v>0.88112999999999997</v>
      </c>
    </row>
    <row r="42" spans="1:12" x14ac:dyDescent="0.25">
      <c r="A42" t="s">
        <v>24</v>
      </c>
      <c r="D42" t="s">
        <v>32</v>
      </c>
      <c r="E42">
        <v>2018</v>
      </c>
      <c r="F42">
        <v>1</v>
      </c>
      <c r="G42">
        <v>4</v>
      </c>
      <c r="H42">
        <v>2</v>
      </c>
      <c r="I42">
        <v>150</v>
      </c>
      <c r="J42" s="6"/>
      <c r="K42" s="13">
        <v>45895</v>
      </c>
      <c r="L42" s="50">
        <v>0.80889</v>
      </c>
    </row>
    <row r="43" spans="1:12" x14ac:dyDescent="0.25">
      <c r="A43" t="s">
        <v>24</v>
      </c>
      <c r="D43" t="s">
        <v>32</v>
      </c>
      <c r="E43">
        <v>2018</v>
      </c>
      <c r="F43">
        <v>1</v>
      </c>
      <c r="G43">
        <v>4</v>
      </c>
      <c r="H43">
        <v>2</v>
      </c>
      <c r="I43">
        <v>150</v>
      </c>
      <c r="J43" s="6"/>
      <c r="K43" s="13">
        <v>45908</v>
      </c>
      <c r="L43" s="50">
        <v>0.92942999999999998</v>
      </c>
    </row>
    <row r="44" spans="1:12" x14ac:dyDescent="0.25">
      <c r="A44" t="s">
        <v>24</v>
      </c>
      <c r="D44" t="s">
        <v>32</v>
      </c>
      <c r="E44">
        <v>2018</v>
      </c>
      <c r="F44">
        <v>1</v>
      </c>
      <c r="G44">
        <v>4</v>
      </c>
      <c r="H44">
        <v>2</v>
      </c>
      <c r="I44">
        <v>150</v>
      </c>
      <c r="J44" s="6"/>
      <c r="K44" s="13">
        <v>45925</v>
      </c>
      <c r="L44" s="50">
        <v>0.93464000000000003</v>
      </c>
    </row>
    <row r="45" spans="1:12" x14ac:dyDescent="0.25">
      <c r="A45" t="s">
        <v>24</v>
      </c>
      <c r="D45" t="s">
        <v>32</v>
      </c>
      <c r="E45">
        <v>2018</v>
      </c>
      <c r="F45">
        <v>1</v>
      </c>
      <c r="G45">
        <v>4</v>
      </c>
      <c r="H45">
        <v>2</v>
      </c>
      <c r="I45">
        <v>150</v>
      </c>
      <c r="J45" s="6"/>
      <c r="K45" s="13">
        <v>45951</v>
      </c>
      <c r="L45" s="50">
        <v>0.59221999999999997</v>
      </c>
    </row>
    <row r="46" spans="1:12" x14ac:dyDescent="0.25">
      <c r="A46" t="s">
        <v>24</v>
      </c>
      <c r="D46" t="s">
        <v>32</v>
      </c>
      <c r="E46">
        <v>2018</v>
      </c>
      <c r="F46">
        <v>1</v>
      </c>
      <c r="G46">
        <v>4</v>
      </c>
      <c r="H46">
        <v>2</v>
      </c>
      <c r="I46">
        <v>150</v>
      </c>
      <c r="J46" s="6"/>
      <c r="K46" s="13">
        <v>45967</v>
      </c>
      <c r="L46" s="50">
        <v>0.53990000000000005</v>
      </c>
    </row>
    <row r="47" spans="1:12" x14ac:dyDescent="0.25">
      <c r="A47" t="s">
        <v>24</v>
      </c>
      <c r="D47" t="s">
        <v>27</v>
      </c>
      <c r="E47">
        <v>1985</v>
      </c>
      <c r="F47">
        <v>1</v>
      </c>
      <c r="G47">
        <v>3</v>
      </c>
      <c r="H47">
        <v>2</v>
      </c>
      <c r="I47">
        <v>134</v>
      </c>
      <c r="J47" s="6"/>
      <c r="K47" s="13">
        <v>45827</v>
      </c>
      <c r="L47" s="50">
        <v>0.90817999999999999</v>
      </c>
    </row>
    <row r="48" spans="1:12" x14ac:dyDescent="0.25">
      <c r="A48" t="s">
        <v>24</v>
      </c>
      <c r="D48" t="s">
        <v>27</v>
      </c>
      <c r="E48">
        <v>1985</v>
      </c>
      <c r="F48">
        <v>1</v>
      </c>
      <c r="G48">
        <v>3</v>
      </c>
      <c r="H48">
        <v>2</v>
      </c>
      <c r="I48">
        <v>134</v>
      </c>
      <c r="J48" s="6"/>
      <c r="K48" s="13">
        <v>45856</v>
      </c>
      <c r="L48" s="50">
        <v>0.91035999999999995</v>
      </c>
    </row>
    <row r="49" spans="1:12" x14ac:dyDescent="0.25">
      <c r="A49" t="s">
        <v>24</v>
      </c>
      <c r="D49" t="s">
        <v>27</v>
      </c>
      <c r="E49">
        <v>1985</v>
      </c>
      <c r="F49">
        <v>1</v>
      </c>
      <c r="G49">
        <v>3</v>
      </c>
      <c r="H49">
        <v>2</v>
      </c>
      <c r="I49">
        <v>134</v>
      </c>
      <c r="J49" s="6"/>
      <c r="K49" s="13">
        <v>45869</v>
      </c>
      <c r="L49" s="50">
        <v>0.91762999999999995</v>
      </c>
    </row>
    <row r="50" spans="1:12" x14ac:dyDescent="0.25">
      <c r="A50" t="s">
        <v>24</v>
      </c>
      <c r="B50" s="61"/>
      <c r="C50" s="61"/>
      <c r="D50" t="s">
        <v>27</v>
      </c>
      <c r="E50">
        <v>1985</v>
      </c>
      <c r="F50">
        <v>1</v>
      </c>
      <c r="G50">
        <v>3</v>
      </c>
      <c r="H50">
        <v>2</v>
      </c>
      <c r="I50">
        <v>134</v>
      </c>
      <c r="J50" s="61"/>
      <c r="K50" s="13">
        <v>45881</v>
      </c>
      <c r="L50" s="50">
        <v>0.87560000000000004</v>
      </c>
    </row>
    <row r="51" spans="1:12" x14ac:dyDescent="0.25">
      <c r="A51" t="s">
        <v>24</v>
      </c>
      <c r="B51" s="61"/>
      <c r="C51" s="61"/>
      <c r="D51" t="s">
        <v>27</v>
      </c>
      <c r="E51">
        <v>1985</v>
      </c>
      <c r="F51">
        <v>1</v>
      </c>
      <c r="G51">
        <v>3</v>
      </c>
      <c r="H51">
        <v>2</v>
      </c>
      <c r="I51">
        <v>134</v>
      </c>
      <c r="J51" s="61"/>
      <c r="K51" s="13">
        <v>45895</v>
      </c>
      <c r="L51" s="50">
        <v>0.8216</v>
      </c>
    </row>
    <row r="52" spans="1:12" x14ac:dyDescent="0.25">
      <c r="A52" t="s">
        <v>24</v>
      </c>
      <c r="B52" s="61"/>
      <c r="C52" s="61"/>
      <c r="D52" t="s">
        <v>27</v>
      </c>
      <c r="E52">
        <v>1985</v>
      </c>
      <c r="F52">
        <v>1</v>
      </c>
      <c r="G52">
        <v>3</v>
      </c>
      <c r="H52">
        <v>2</v>
      </c>
      <c r="I52">
        <v>134</v>
      </c>
      <c r="J52" s="61"/>
      <c r="K52" s="13">
        <v>45908</v>
      </c>
      <c r="L52" s="50">
        <v>0.93655999999999995</v>
      </c>
    </row>
    <row r="53" spans="1:12" x14ac:dyDescent="0.25">
      <c r="A53" t="s">
        <v>24</v>
      </c>
      <c r="B53" s="61"/>
      <c r="C53" s="61"/>
      <c r="D53" t="s">
        <v>27</v>
      </c>
      <c r="E53">
        <v>1985</v>
      </c>
      <c r="F53">
        <v>1</v>
      </c>
      <c r="G53">
        <v>3</v>
      </c>
      <c r="H53">
        <v>2</v>
      </c>
      <c r="I53">
        <v>134</v>
      </c>
      <c r="J53" s="61"/>
      <c r="K53" s="13">
        <v>45925</v>
      </c>
      <c r="L53" s="50">
        <v>0.94369000000000003</v>
      </c>
    </row>
    <row r="54" spans="1:12" x14ac:dyDescent="0.25">
      <c r="A54" t="s">
        <v>24</v>
      </c>
      <c r="B54" s="61"/>
      <c r="C54" s="61"/>
      <c r="D54" t="s">
        <v>27</v>
      </c>
      <c r="E54">
        <v>1985</v>
      </c>
      <c r="F54">
        <v>1</v>
      </c>
      <c r="G54">
        <v>3</v>
      </c>
      <c r="H54">
        <v>2</v>
      </c>
      <c r="I54">
        <v>134</v>
      </c>
      <c r="J54" s="61"/>
      <c r="K54" s="13">
        <v>45951</v>
      </c>
      <c r="L54" s="50">
        <v>0.66281999999999996</v>
      </c>
    </row>
    <row r="55" spans="1:12" x14ac:dyDescent="0.25">
      <c r="A55" t="s">
        <v>24</v>
      </c>
      <c r="B55" s="61"/>
      <c r="C55" s="61"/>
      <c r="D55" t="s">
        <v>27</v>
      </c>
      <c r="E55">
        <v>1985</v>
      </c>
      <c r="F55">
        <v>1</v>
      </c>
      <c r="G55">
        <v>3</v>
      </c>
      <c r="H55">
        <v>2</v>
      </c>
      <c r="I55">
        <v>134</v>
      </c>
      <c r="J55" s="61"/>
      <c r="K55" s="13">
        <v>45967</v>
      </c>
      <c r="L55" s="50">
        <v>0.56850000000000001</v>
      </c>
    </row>
    <row r="56" spans="1:12" x14ac:dyDescent="0.25">
      <c r="A56" t="s">
        <v>24</v>
      </c>
      <c r="B56" s="61"/>
      <c r="C56" s="61"/>
      <c r="D56" t="s">
        <v>311</v>
      </c>
      <c r="E56">
        <v>2023</v>
      </c>
      <c r="F56">
        <v>1</v>
      </c>
      <c r="G56">
        <v>2</v>
      </c>
      <c r="H56">
        <v>2</v>
      </c>
      <c r="I56">
        <v>118</v>
      </c>
      <c r="J56" s="61"/>
      <c r="K56" s="13">
        <v>45827</v>
      </c>
      <c r="L56" s="50">
        <v>0.89107999999999998</v>
      </c>
    </row>
    <row r="57" spans="1:12" x14ac:dyDescent="0.25">
      <c r="A57" t="s">
        <v>24</v>
      </c>
      <c r="B57" s="61"/>
      <c r="C57" s="61"/>
      <c r="D57" t="s">
        <v>311</v>
      </c>
      <c r="E57">
        <v>2023</v>
      </c>
      <c r="F57">
        <v>1</v>
      </c>
      <c r="G57">
        <v>2</v>
      </c>
      <c r="H57">
        <v>2</v>
      </c>
      <c r="I57">
        <v>118</v>
      </c>
      <c r="J57" s="61"/>
      <c r="K57" s="13">
        <v>45856</v>
      </c>
      <c r="L57" s="50">
        <v>0.90476999999999996</v>
      </c>
    </row>
    <row r="58" spans="1:12" x14ac:dyDescent="0.25">
      <c r="A58" t="s">
        <v>24</v>
      </c>
      <c r="D58" t="s">
        <v>311</v>
      </c>
      <c r="E58">
        <v>2023</v>
      </c>
      <c r="F58">
        <v>1</v>
      </c>
      <c r="G58">
        <v>2</v>
      </c>
      <c r="H58">
        <v>2</v>
      </c>
      <c r="I58">
        <v>118</v>
      </c>
      <c r="J58" s="6"/>
      <c r="K58" s="13">
        <v>45869</v>
      </c>
      <c r="L58" s="50">
        <v>0.89663000000000004</v>
      </c>
    </row>
    <row r="59" spans="1:12" x14ac:dyDescent="0.25">
      <c r="A59" t="s">
        <v>24</v>
      </c>
      <c r="D59" t="s">
        <v>311</v>
      </c>
      <c r="E59">
        <v>2023</v>
      </c>
      <c r="F59">
        <v>1</v>
      </c>
      <c r="G59">
        <v>2</v>
      </c>
      <c r="H59">
        <v>2</v>
      </c>
      <c r="I59">
        <v>118</v>
      </c>
      <c r="J59" s="6"/>
      <c r="K59" s="13">
        <v>45881</v>
      </c>
      <c r="L59" s="50">
        <v>0.87658000000000003</v>
      </c>
    </row>
    <row r="60" spans="1:12" x14ac:dyDescent="0.25">
      <c r="A60" t="s">
        <v>24</v>
      </c>
      <c r="D60" t="s">
        <v>311</v>
      </c>
      <c r="E60">
        <v>2023</v>
      </c>
      <c r="F60">
        <v>1</v>
      </c>
      <c r="G60">
        <v>2</v>
      </c>
      <c r="H60">
        <v>2</v>
      </c>
      <c r="I60">
        <v>118</v>
      </c>
      <c r="J60" s="6"/>
      <c r="K60" s="13">
        <v>45895</v>
      </c>
      <c r="L60" s="50">
        <v>0.82125000000000004</v>
      </c>
    </row>
    <row r="61" spans="1:12" x14ac:dyDescent="0.25">
      <c r="A61" t="s">
        <v>24</v>
      </c>
      <c r="D61" t="s">
        <v>311</v>
      </c>
      <c r="E61">
        <v>2023</v>
      </c>
      <c r="F61">
        <v>1</v>
      </c>
      <c r="G61">
        <v>2</v>
      </c>
      <c r="H61">
        <v>2</v>
      </c>
      <c r="I61">
        <v>118</v>
      </c>
      <c r="J61" s="6"/>
      <c r="K61" s="13">
        <v>45908</v>
      </c>
      <c r="L61" s="50">
        <v>0.93989</v>
      </c>
    </row>
    <row r="62" spans="1:12" x14ac:dyDescent="0.25">
      <c r="A62" t="s">
        <v>24</v>
      </c>
      <c r="D62" t="s">
        <v>311</v>
      </c>
      <c r="E62">
        <v>2023</v>
      </c>
      <c r="F62">
        <v>1</v>
      </c>
      <c r="G62">
        <v>2</v>
      </c>
      <c r="H62">
        <v>2</v>
      </c>
      <c r="I62">
        <v>118</v>
      </c>
      <c r="J62" s="6"/>
      <c r="K62" s="13">
        <v>45925</v>
      </c>
      <c r="L62" s="50">
        <v>0.94259000000000004</v>
      </c>
    </row>
    <row r="63" spans="1:12" x14ac:dyDescent="0.25">
      <c r="A63" t="s">
        <v>24</v>
      </c>
      <c r="D63" t="s">
        <v>311</v>
      </c>
      <c r="E63">
        <v>2023</v>
      </c>
      <c r="F63">
        <v>1</v>
      </c>
      <c r="G63">
        <v>2</v>
      </c>
      <c r="H63">
        <v>2</v>
      </c>
      <c r="I63">
        <v>118</v>
      </c>
      <c r="J63" s="6"/>
      <c r="K63" s="13">
        <v>45951</v>
      </c>
      <c r="L63" s="50">
        <v>0.56354000000000004</v>
      </c>
    </row>
    <row r="64" spans="1:12" x14ac:dyDescent="0.25">
      <c r="A64" t="s">
        <v>24</v>
      </c>
      <c r="D64" t="s">
        <v>311</v>
      </c>
      <c r="E64">
        <v>2023</v>
      </c>
      <c r="F64">
        <v>1</v>
      </c>
      <c r="G64">
        <v>2</v>
      </c>
      <c r="H64">
        <v>2</v>
      </c>
      <c r="I64">
        <v>118</v>
      </c>
      <c r="J64" s="6"/>
      <c r="K64" s="13">
        <v>45967</v>
      </c>
      <c r="L64" s="50">
        <v>0.44707999999999998</v>
      </c>
    </row>
    <row r="65" spans="1:12" x14ac:dyDescent="0.25">
      <c r="A65" t="s">
        <v>24</v>
      </c>
      <c r="D65" t="s">
        <v>312</v>
      </c>
      <c r="E65">
        <v>2002</v>
      </c>
      <c r="F65">
        <v>1</v>
      </c>
      <c r="G65">
        <v>1</v>
      </c>
      <c r="H65">
        <v>2</v>
      </c>
      <c r="I65">
        <v>102</v>
      </c>
      <c r="J65" s="6"/>
      <c r="K65" s="13">
        <v>45827</v>
      </c>
      <c r="L65" s="50">
        <v>0.90317999999999998</v>
      </c>
    </row>
    <row r="66" spans="1:12" x14ac:dyDescent="0.25">
      <c r="A66" t="s">
        <v>24</v>
      </c>
      <c r="B66" s="61"/>
      <c r="C66" s="61"/>
      <c r="D66" t="s">
        <v>312</v>
      </c>
      <c r="E66">
        <v>2002</v>
      </c>
      <c r="F66">
        <v>1</v>
      </c>
      <c r="G66">
        <v>1</v>
      </c>
      <c r="H66">
        <v>2</v>
      </c>
      <c r="I66">
        <v>102</v>
      </c>
      <c r="J66" s="61"/>
      <c r="K66" s="13">
        <v>45856</v>
      </c>
      <c r="L66" s="50">
        <v>0.92257</v>
      </c>
    </row>
    <row r="67" spans="1:12" x14ac:dyDescent="0.25">
      <c r="A67" t="s">
        <v>24</v>
      </c>
      <c r="B67" s="61"/>
      <c r="C67" s="61"/>
      <c r="D67" t="s">
        <v>312</v>
      </c>
      <c r="E67">
        <v>2002</v>
      </c>
      <c r="F67">
        <v>1</v>
      </c>
      <c r="G67">
        <v>1</v>
      </c>
      <c r="H67">
        <v>2</v>
      </c>
      <c r="I67">
        <v>102</v>
      </c>
      <c r="J67" s="61"/>
      <c r="K67" s="13">
        <v>45869</v>
      </c>
      <c r="L67" s="50">
        <v>0.88614000000000004</v>
      </c>
    </row>
    <row r="68" spans="1:12" x14ac:dyDescent="0.25">
      <c r="A68" t="s">
        <v>24</v>
      </c>
      <c r="B68" s="61"/>
      <c r="C68" s="61"/>
      <c r="D68" t="s">
        <v>312</v>
      </c>
      <c r="E68">
        <v>2002</v>
      </c>
      <c r="F68">
        <v>1</v>
      </c>
      <c r="G68">
        <v>1</v>
      </c>
      <c r="H68">
        <v>2</v>
      </c>
      <c r="I68">
        <v>102</v>
      </c>
      <c r="J68" s="61"/>
      <c r="K68" s="13">
        <v>45881</v>
      </c>
      <c r="L68" s="50">
        <v>0.87529999999999997</v>
      </c>
    </row>
    <row r="69" spans="1:12" x14ac:dyDescent="0.25">
      <c r="A69" t="s">
        <v>24</v>
      </c>
      <c r="B69" s="61"/>
      <c r="C69" s="61"/>
      <c r="D69" t="s">
        <v>312</v>
      </c>
      <c r="E69">
        <v>2002</v>
      </c>
      <c r="F69">
        <v>1</v>
      </c>
      <c r="G69">
        <v>1</v>
      </c>
      <c r="H69">
        <v>2</v>
      </c>
      <c r="I69">
        <v>102</v>
      </c>
      <c r="J69" s="61"/>
      <c r="K69" s="13">
        <v>45895</v>
      </c>
      <c r="L69" s="50">
        <v>0.84</v>
      </c>
    </row>
    <row r="70" spans="1:12" x14ac:dyDescent="0.25">
      <c r="A70" t="s">
        <v>24</v>
      </c>
      <c r="B70" s="61"/>
      <c r="C70" s="61"/>
      <c r="D70" t="s">
        <v>312</v>
      </c>
      <c r="E70">
        <v>2002</v>
      </c>
      <c r="F70">
        <v>1</v>
      </c>
      <c r="G70">
        <v>1</v>
      </c>
      <c r="H70">
        <v>2</v>
      </c>
      <c r="I70">
        <v>102</v>
      </c>
      <c r="J70" s="61"/>
      <c r="K70" s="13">
        <v>45908</v>
      </c>
      <c r="L70" s="50">
        <v>0.92810000000000004</v>
      </c>
    </row>
    <row r="71" spans="1:12" x14ac:dyDescent="0.25">
      <c r="A71" t="s">
        <v>24</v>
      </c>
      <c r="B71" s="61"/>
      <c r="C71" s="61"/>
      <c r="D71" t="s">
        <v>312</v>
      </c>
      <c r="E71">
        <v>2002</v>
      </c>
      <c r="F71">
        <v>1</v>
      </c>
      <c r="G71">
        <v>1</v>
      </c>
      <c r="H71">
        <v>2</v>
      </c>
      <c r="I71">
        <v>102</v>
      </c>
      <c r="J71" s="61"/>
      <c r="K71" s="13">
        <v>45925</v>
      </c>
      <c r="L71" s="50">
        <v>0.94599999999999995</v>
      </c>
    </row>
    <row r="72" spans="1:12" x14ac:dyDescent="0.25">
      <c r="A72" t="s">
        <v>24</v>
      </c>
      <c r="B72" s="61"/>
      <c r="C72" s="61"/>
      <c r="D72" t="s">
        <v>312</v>
      </c>
      <c r="E72">
        <v>2002</v>
      </c>
      <c r="F72">
        <v>1</v>
      </c>
      <c r="G72">
        <v>1</v>
      </c>
      <c r="H72">
        <v>2</v>
      </c>
      <c r="I72">
        <v>102</v>
      </c>
      <c r="J72" s="61"/>
      <c r="K72" s="13">
        <v>45951</v>
      </c>
      <c r="L72" s="50">
        <v>0.74680000000000002</v>
      </c>
    </row>
    <row r="73" spans="1:12" x14ac:dyDescent="0.25">
      <c r="A73" t="s">
        <v>24</v>
      </c>
      <c r="B73" s="61"/>
      <c r="C73" s="61"/>
      <c r="D73" t="s">
        <v>312</v>
      </c>
      <c r="E73">
        <v>2002</v>
      </c>
      <c r="F73">
        <v>1</v>
      </c>
      <c r="G73">
        <v>1</v>
      </c>
      <c r="H73">
        <v>2</v>
      </c>
      <c r="I73">
        <v>102</v>
      </c>
      <c r="J73" s="61"/>
      <c r="K73" s="13">
        <v>45967</v>
      </c>
      <c r="L73" s="50">
        <v>0.66169</v>
      </c>
    </row>
    <row r="74" spans="1:12" x14ac:dyDescent="0.25">
      <c r="A74" t="s">
        <v>34</v>
      </c>
      <c r="D74" t="s">
        <v>39</v>
      </c>
      <c r="E74">
        <v>2001</v>
      </c>
      <c r="F74">
        <v>1</v>
      </c>
      <c r="G74">
        <v>1</v>
      </c>
      <c r="H74">
        <v>3</v>
      </c>
      <c r="I74">
        <v>103</v>
      </c>
      <c r="J74" s="6"/>
      <c r="K74" s="13">
        <v>45827</v>
      </c>
      <c r="L74" s="50">
        <v>0.36780000000000002</v>
      </c>
    </row>
    <row r="75" spans="1:12" x14ac:dyDescent="0.25">
      <c r="A75" t="s">
        <v>34</v>
      </c>
      <c r="D75" t="s">
        <v>39</v>
      </c>
      <c r="E75">
        <v>2001</v>
      </c>
      <c r="F75">
        <v>1</v>
      </c>
      <c r="G75">
        <v>1</v>
      </c>
      <c r="H75">
        <v>3</v>
      </c>
      <c r="I75">
        <v>103</v>
      </c>
      <c r="J75" s="6"/>
      <c r="K75" s="13">
        <v>45856</v>
      </c>
      <c r="L75" s="50">
        <v>0.71823000000000004</v>
      </c>
    </row>
    <row r="76" spans="1:12" x14ac:dyDescent="0.25">
      <c r="A76" t="s">
        <v>34</v>
      </c>
      <c r="D76" t="s">
        <v>39</v>
      </c>
      <c r="E76">
        <v>2001</v>
      </c>
      <c r="F76">
        <v>1</v>
      </c>
      <c r="G76">
        <v>1</v>
      </c>
      <c r="H76">
        <v>3</v>
      </c>
      <c r="I76">
        <v>103</v>
      </c>
      <c r="J76" s="6"/>
      <c r="K76" s="13">
        <v>45869</v>
      </c>
      <c r="L76" s="50">
        <v>0.82062999999999997</v>
      </c>
    </row>
    <row r="77" spans="1:12" x14ac:dyDescent="0.25">
      <c r="A77" t="s">
        <v>34</v>
      </c>
      <c r="D77" t="s">
        <v>39</v>
      </c>
      <c r="E77">
        <v>2001</v>
      </c>
      <c r="F77">
        <v>1</v>
      </c>
      <c r="G77">
        <v>1</v>
      </c>
      <c r="H77">
        <v>3</v>
      </c>
      <c r="I77">
        <v>103</v>
      </c>
      <c r="J77" s="6"/>
      <c r="K77" s="13">
        <v>45881</v>
      </c>
      <c r="L77" s="50">
        <v>0.86750000000000005</v>
      </c>
    </row>
    <row r="78" spans="1:12" x14ac:dyDescent="0.25">
      <c r="A78" t="s">
        <v>34</v>
      </c>
      <c r="D78" t="s">
        <v>39</v>
      </c>
      <c r="E78">
        <v>2001</v>
      </c>
      <c r="F78">
        <v>1</v>
      </c>
      <c r="G78">
        <v>1</v>
      </c>
      <c r="H78">
        <v>3</v>
      </c>
      <c r="I78">
        <v>103</v>
      </c>
      <c r="J78" s="6"/>
      <c r="K78" s="13">
        <v>45895</v>
      </c>
      <c r="L78" s="50">
        <v>0.84589999999999999</v>
      </c>
    </row>
    <row r="79" spans="1:12" x14ac:dyDescent="0.25">
      <c r="A79" t="s">
        <v>34</v>
      </c>
      <c r="D79" t="s">
        <v>39</v>
      </c>
      <c r="E79">
        <v>2001</v>
      </c>
      <c r="F79">
        <v>1</v>
      </c>
      <c r="G79">
        <v>1</v>
      </c>
      <c r="H79">
        <v>3</v>
      </c>
      <c r="I79">
        <v>103</v>
      </c>
      <c r="J79" s="6"/>
      <c r="K79" s="13">
        <v>45908</v>
      </c>
      <c r="L79" s="50">
        <v>0.92525000000000002</v>
      </c>
    </row>
    <row r="80" spans="1:12" x14ac:dyDescent="0.25">
      <c r="A80" t="s">
        <v>34</v>
      </c>
      <c r="D80" t="s">
        <v>39</v>
      </c>
      <c r="E80">
        <v>2001</v>
      </c>
      <c r="F80">
        <v>1</v>
      </c>
      <c r="G80">
        <v>1</v>
      </c>
      <c r="H80">
        <v>3</v>
      </c>
      <c r="I80">
        <v>103</v>
      </c>
      <c r="J80" s="6"/>
      <c r="K80" s="13">
        <v>45925</v>
      </c>
      <c r="L80" s="50">
        <v>0.9405</v>
      </c>
    </row>
    <row r="81" spans="1:12" x14ac:dyDescent="0.25">
      <c r="A81" t="s">
        <v>34</v>
      </c>
      <c r="D81" t="s">
        <v>39</v>
      </c>
      <c r="E81">
        <v>2001</v>
      </c>
      <c r="F81">
        <v>1</v>
      </c>
      <c r="G81">
        <v>1</v>
      </c>
      <c r="H81">
        <v>3</v>
      </c>
      <c r="I81">
        <v>103</v>
      </c>
      <c r="J81" s="6"/>
      <c r="K81" s="13">
        <v>45951</v>
      </c>
      <c r="L81" s="50">
        <v>0.67122000000000004</v>
      </c>
    </row>
    <row r="82" spans="1:12" x14ac:dyDescent="0.25">
      <c r="A82" t="s">
        <v>34</v>
      </c>
      <c r="B82" s="61"/>
      <c r="C82" s="61"/>
      <c r="D82" t="s">
        <v>39</v>
      </c>
      <c r="E82">
        <v>2001</v>
      </c>
      <c r="F82">
        <v>1</v>
      </c>
      <c r="G82">
        <v>1</v>
      </c>
      <c r="H82">
        <v>3</v>
      </c>
      <c r="I82">
        <v>103</v>
      </c>
      <c r="J82" s="61"/>
      <c r="K82" s="13">
        <v>45967</v>
      </c>
      <c r="L82" s="50">
        <v>0.47928999999999999</v>
      </c>
    </row>
    <row r="83" spans="1:12" x14ac:dyDescent="0.25">
      <c r="A83" t="s">
        <v>34</v>
      </c>
      <c r="B83" s="61"/>
      <c r="C83" s="61"/>
      <c r="D83" t="s">
        <v>318</v>
      </c>
      <c r="E83">
        <v>2004</v>
      </c>
      <c r="F83">
        <v>1</v>
      </c>
      <c r="G83">
        <v>2</v>
      </c>
      <c r="H83">
        <v>3</v>
      </c>
      <c r="I83">
        <v>119</v>
      </c>
      <c r="J83" s="61"/>
      <c r="K83" s="13">
        <v>45827</v>
      </c>
      <c r="L83" s="50">
        <v>0.33910000000000001</v>
      </c>
    </row>
    <row r="84" spans="1:12" x14ac:dyDescent="0.25">
      <c r="A84" t="s">
        <v>34</v>
      </c>
      <c r="B84" s="61"/>
      <c r="C84" s="61"/>
      <c r="D84" t="s">
        <v>318</v>
      </c>
      <c r="E84">
        <v>2004</v>
      </c>
      <c r="F84">
        <v>1</v>
      </c>
      <c r="G84">
        <v>2</v>
      </c>
      <c r="H84">
        <v>3</v>
      </c>
      <c r="I84">
        <v>119</v>
      </c>
      <c r="J84" s="61"/>
      <c r="K84" s="13">
        <v>45856</v>
      </c>
      <c r="L84" s="50">
        <v>0.67573000000000005</v>
      </c>
    </row>
    <row r="85" spans="1:12" x14ac:dyDescent="0.25">
      <c r="A85" t="s">
        <v>34</v>
      </c>
      <c r="B85" s="61"/>
      <c r="C85" s="61"/>
      <c r="D85" t="s">
        <v>318</v>
      </c>
      <c r="E85">
        <v>2004</v>
      </c>
      <c r="F85">
        <v>1</v>
      </c>
      <c r="G85">
        <v>2</v>
      </c>
      <c r="H85">
        <v>3</v>
      </c>
      <c r="I85">
        <v>119</v>
      </c>
      <c r="J85" s="61"/>
      <c r="K85" s="13">
        <v>45869</v>
      </c>
      <c r="L85" s="50">
        <v>0.83357000000000003</v>
      </c>
    </row>
    <row r="86" spans="1:12" x14ac:dyDescent="0.25">
      <c r="A86" t="s">
        <v>34</v>
      </c>
      <c r="B86" s="61"/>
      <c r="C86" s="61"/>
      <c r="D86" t="s">
        <v>318</v>
      </c>
      <c r="E86">
        <v>2004</v>
      </c>
      <c r="F86">
        <v>1</v>
      </c>
      <c r="G86">
        <v>2</v>
      </c>
      <c r="H86">
        <v>3</v>
      </c>
      <c r="I86">
        <v>119</v>
      </c>
      <c r="J86" s="61"/>
      <c r="K86" s="13">
        <v>45881</v>
      </c>
      <c r="L86" s="50">
        <v>0.86624999999999996</v>
      </c>
    </row>
    <row r="87" spans="1:12" x14ac:dyDescent="0.25">
      <c r="A87" t="s">
        <v>34</v>
      </c>
      <c r="B87" s="61"/>
      <c r="C87" s="61"/>
      <c r="D87" t="s">
        <v>318</v>
      </c>
      <c r="E87">
        <v>2004</v>
      </c>
      <c r="F87">
        <v>1</v>
      </c>
      <c r="G87">
        <v>2</v>
      </c>
      <c r="H87">
        <v>3</v>
      </c>
      <c r="I87">
        <v>119</v>
      </c>
      <c r="J87" s="61"/>
      <c r="K87" s="13">
        <v>45895</v>
      </c>
      <c r="L87" s="50">
        <v>0.84911000000000003</v>
      </c>
    </row>
    <row r="88" spans="1:12" x14ac:dyDescent="0.25">
      <c r="A88" t="s">
        <v>34</v>
      </c>
      <c r="B88" s="61"/>
      <c r="C88" s="61"/>
      <c r="D88" t="s">
        <v>318</v>
      </c>
      <c r="E88">
        <v>2004</v>
      </c>
      <c r="F88">
        <v>1</v>
      </c>
      <c r="G88">
        <v>2</v>
      </c>
      <c r="H88">
        <v>3</v>
      </c>
      <c r="I88">
        <v>119</v>
      </c>
      <c r="J88" s="61"/>
      <c r="K88" s="13">
        <v>45908</v>
      </c>
      <c r="L88" s="50">
        <v>0.93332999999999999</v>
      </c>
    </row>
    <row r="89" spans="1:12" x14ac:dyDescent="0.25">
      <c r="A89" t="s">
        <v>34</v>
      </c>
      <c r="B89" s="61"/>
      <c r="C89" s="61"/>
      <c r="D89" t="s">
        <v>318</v>
      </c>
      <c r="E89">
        <v>2004</v>
      </c>
      <c r="F89">
        <v>1</v>
      </c>
      <c r="G89">
        <v>2</v>
      </c>
      <c r="H89">
        <v>3</v>
      </c>
      <c r="I89">
        <v>119</v>
      </c>
      <c r="J89" s="61"/>
      <c r="K89" s="13">
        <v>45925</v>
      </c>
      <c r="L89" s="50">
        <v>0.94654000000000005</v>
      </c>
    </row>
    <row r="90" spans="1:12" x14ac:dyDescent="0.25">
      <c r="A90" t="s">
        <v>34</v>
      </c>
      <c r="B90" s="54"/>
      <c r="C90" s="55"/>
      <c r="D90" t="s">
        <v>318</v>
      </c>
      <c r="E90">
        <v>2004</v>
      </c>
      <c r="F90">
        <v>1</v>
      </c>
      <c r="G90">
        <v>2</v>
      </c>
      <c r="H90">
        <v>3</v>
      </c>
      <c r="I90">
        <v>119</v>
      </c>
      <c r="J90" s="6"/>
      <c r="K90" s="13">
        <v>45951</v>
      </c>
      <c r="L90" s="50">
        <v>0.64181999999999995</v>
      </c>
    </row>
    <row r="91" spans="1:12" x14ac:dyDescent="0.25">
      <c r="A91" t="s">
        <v>34</v>
      </c>
      <c r="D91" t="s">
        <v>318</v>
      </c>
      <c r="E91">
        <v>2004</v>
      </c>
      <c r="F91">
        <v>1</v>
      </c>
      <c r="G91">
        <v>2</v>
      </c>
      <c r="H91">
        <v>3</v>
      </c>
      <c r="I91">
        <v>119</v>
      </c>
      <c r="J91" s="6"/>
      <c r="K91" s="13">
        <v>45967</v>
      </c>
      <c r="L91" s="50">
        <v>0.48118</v>
      </c>
    </row>
    <row r="92" spans="1:12" x14ac:dyDescent="0.25">
      <c r="A92" t="s">
        <v>34</v>
      </c>
      <c r="D92" t="s">
        <v>41</v>
      </c>
      <c r="E92">
        <v>2008</v>
      </c>
      <c r="F92">
        <v>1</v>
      </c>
      <c r="G92">
        <v>3</v>
      </c>
      <c r="H92">
        <v>3</v>
      </c>
      <c r="I92">
        <v>135</v>
      </c>
      <c r="J92" s="6"/>
      <c r="K92" s="13">
        <v>45827</v>
      </c>
      <c r="L92" s="50">
        <v>0.34788000000000002</v>
      </c>
    </row>
    <row r="93" spans="1:12" x14ac:dyDescent="0.25">
      <c r="A93" t="s">
        <v>34</v>
      </c>
      <c r="D93" t="s">
        <v>41</v>
      </c>
      <c r="E93">
        <v>2008</v>
      </c>
      <c r="F93">
        <v>1</v>
      </c>
      <c r="G93">
        <v>3</v>
      </c>
      <c r="H93">
        <v>3</v>
      </c>
      <c r="I93">
        <v>135</v>
      </c>
      <c r="J93" s="6"/>
      <c r="K93" s="13">
        <v>45856</v>
      </c>
      <c r="L93" s="50">
        <v>0.67944000000000004</v>
      </c>
    </row>
    <row r="94" spans="1:12" x14ac:dyDescent="0.25">
      <c r="A94" t="s">
        <v>34</v>
      </c>
      <c r="D94" t="s">
        <v>41</v>
      </c>
      <c r="E94">
        <v>2008</v>
      </c>
      <c r="F94">
        <v>1</v>
      </c>
      <c r="G94">
        <v>3</v>
      </c>
      <c r="H94">
        <v>3</v>
      </c>
      <c r="I94">
        <v>135</v>
      </c>
      <c r="J94" s="6"/>
      <c r="K94" s="13">
        <v>45869</v>
      </c>
      <c r="L94" s="50">
        <v>0.84709999999999996</v>
      </c>
    </row>
    <row r="95" spans="1:12" x14ac:dyDescent="0.25">
      <c r="A95" t="s">
        <v>34</v>
      </c>
      <c r="D95" t="s">
        <v>41</v>
      </c>
      <c r="E95">
        <v>2008</v>
      </c>
      <c r="F95">
        <v>1</v>
      </c>
      <c r="G95">
        <v>3</v>
      </c>
      <c r="H95">
        <v>3</v>
      </c>
      <c r="I95">
        <v>135</v>
      </c>
      <c r="J95" s="6"/>
      <c r="K95" s="13">
        <v>45881</v>
      </c>
      <c r="L95" s="50">
        <v>0.86260999999999999</v>
      </c>
    </row>
    <row r="96" spans="1:12" x14ac:dyDescent="0.25">
      <c r="A96" t="s">
        <v>34</v>
      </c>
      <c r="D96" t="s">
        <v>41</v>
      </c>
      <c r="E96">
        <v>2008</v>
      </c>
      <c r="F96">
        <v>1</v>
      </c>
      <c r="G96">
        <v>3</v>
      </c>
      <c r="H96">
        <v>3</v>
      </c>
      <c r="I96">
        <v>135</v>
      </c>
      <c r="J96" s="6"/>
      <c r="K96" s="13">
        <v>45895</v>
      </c>
      <c r="L96" s="50">
        <v>0.83830000000000005</v>
      </c>
    </row>
    <row r="97" spans="1:12" x14ac:dyDescent="0.25">
      <c r="A97" t="s">
        <v>34</v>
      </c>
      <c r="D97" t="s">
        <v>41</v>
      </c>
      <c r="E97">
        <v>2008</v>
      </c>
      <c r="F97">
        <v>1</v>
      </c>
      <c r="G97">
        <v>3</v>
      </c>
      <c r="H97">
        <v>3</v>
      </c>
      <c r="I97">
        <v>135</v>
      </c>
      <c r="J97" s="6"/>
      <c r="K97" s="13">
        <v>45908</v>
      </c>
      <c r="L97" s="50">
        <v>0.93500000000000005</v>
      </c>
    </row>
    <row r="98" spans="1:12" x14ac:dyDescent="0.25">
      <c r="A98" t="s">
        <v>34</v>
      </c>
      <c r="B98" s="61"/>
      <c r="C98" s="61"/>
      <c r="D98" t="s">
        <v>41</v>
      </c>
      <c r="E98">
        <v>2008</v>
      </c>
      <c r="F98">
        <v>1</v>
      </c>
      <c r="G98">
        <v>3</v>
      </c>
      <c r="H98">
        <v>3</v>
      </c>
      <c r="I98">
        <v>135</v>
      </c>
      <c r="J98" s="61"/>
      <c r="K98" s="13">
        <v>45925</v>
      </c>
      <c r="L98" s="50">
        <v>0.93525000000000003</v>
      </c>
    </row>
    <row r="99" spans="1:12" x14ac:dyDescent="0.25">
      <c r="A99" t="s">
        <v>34</v>
      </c>
      <c r="B99" s="61"/>
      <c r="C99" s="61"/>
      <c r="D99" t="s">
        <v>41</v>
      </c>
      <c r="E99">
        <v>2008</v>
      </c>
      <c r="F99">
        <v>1</v>
      </c>
      <c r="G99">
        <v>3</v>
      </c>
      <c r="H99">
        <v>3</v>
      </c>
      <c r="I99">
        <v>135</v>
      </c>
      <c r="J99" s="61"/>
      <c r="K99" s="13">
        <v>45951</v>
      </c>
      <c r="L99" s="50">
        <v>0.55449999999999999</v>
      </c>
    </row>
    <row r="100" spans="1:12" x14ac:dyDescent="0.25">
      <c r="A100" t="s">
        <v>34</v>
      </c>
      <c r="B100" s="61"/>
      <c r="C100" s="61"/>
      <c r="D100" t="s">
        <v>41</v>
      </c>
      <c r="E100">
        <v>2008</v>
      </c>
      <c r="F100">
        <v>1</v>
      </c>
      <c r="G100">
        <v>3</v>
      </c>
      <c r="H100">
        <v>3</v>
      </c>
      <c r="I100">
        <v>135</v>
      </c>
      <c r="J100" s="61"/>
      <c r="K100" s="13">
        <v>45967</v>
      </c>
      <c r="L100" s="50">
        <v>0.43773000000000001</v>
      </c>
    </row>
    <row r="101" spans="1:12" x14ac:dyDescent="0.25">
      <c r="A101" t="s">
        <v>34</v>
      </c>
      <c r="B101" s="61"/>
      <c r="C101" s="61"/>
      <c r="D101" t="s">
        <v>38</v>
      </c>
      <c r="E101">
        <v>1999</v>
      </c>
      <c r="F101">
        <v>1</v>
      </c>
      <c r="G101">
        <v>4</v>
      </c>
      <c r="H101">
        <v>3</v>
      </c>
      <c r="I101">
        <v>151</v>
      </c>
      <c r="J101" s="61"/>
      <c r="K101" s="13">
        <v>45827</v>
      </c>
      <c r="L101" s="50">
        <v>0.32944000000000001</v>
      </c>
    </row>
    <row r="102" spans="1:12" x14ac:dyDescent="0.25">
      <c r="A102" t="s">
        <v>34</v>
      </c>
      <c r="B102" s="61"/>
      <c r="C102" s="61"/>
      <c r="D102" t="s">
        <v>38</v>
      </c>
      <c r="E102">
        <v>1999</v>
      </c>
      <c r="F102">
        <v>1</v>
      </c>
      <c r="G102">
        <v>4</v>
      </c>
      <c r="H102">
        <v>3</v>
      </c>
      <c r="I102">
        <v>151</v>
      </c>
      <c r="J102" s="61"/>
      <c r="K102" s="13">
        <v>45856</v>
      </c>
      <c r="L102" s="50">
        <v>0.59780999999999995</v>
      </c>
    </row>
    <row r="103" spans="1:12" x14ac:dyDescent="0.25">
      <c r="A103" t="s">
        <v>34</v>
      </c>
      <c r="B103" s="61"/>
      <c r="C103" s="61"/>
      <c r="D103" t="s">
        <v>38</v>
      </c>
      <c r="E103">
        <v>1999</v>
      </c>
      <c r="F103">
        <v>1</v>
      </c>
      <c r="G103">
        <v>4</v>
      </c>
      <c r="H103">
        <v>3</v>
      </c>
      <c r="I103">
        <v>151</v>
      </c>
      <c r="J103" s="61"/>
      <c r="K103" s="13">
        <v>45869</v>
      </c>
      <c r="L103" s="50">
        <v>0.85067000000000004</v>
      </c>
    </row>
    <row r="104" spans="1:12" x14ac:dyDescent="0.25">
      <c r="A104" t="s">
        <v>34</v>
      </c>
      <c r="B104" s="61"/>
      <c r="C104" s="61"/>
      <c r="D104" t="s">
        <v>38</v>
      </c>
      <c r="E104">
        <v>1999</v>
      </c>
      <c r="F104">
        <v>1</v>
      </c>
      <c r="G104">
        <v>4</v>
      </c>
      <c r="H104">
        <v>3</v>
      </c>
      <c r="I104">
        <v>151</v>
      </c>
      <c r="J104" s="61"/>
      <c r="K104" s="13">
        <v>45881</v>
      </c>
      <c r="L104" s="50">
        <v>0.87161999999999995</v>
      </c>
    </row>
    <row r="105" spans="1:12" x14ac:dyDescent="0.25">
      <c r="A105" t="s">
        <v>34</v>
      </c>
      <c r="B105" s="61"/>
      <c r="C105" s="61"/>
      <c r="D105" t="s">
        <v>38</v>
      </c>
      <c r="E105">
        <v>1999</v>
      </c>
      <c r="F105">
        <v>1</v>
      </c>
      <c r="G105">
        <v>4</v>
      </c>
      <c r="H105">
        <v>3</v>
      </c>
      <c r="I105">
        <v>151</v>
      </c>
      <c r="J105" s="61"/>
      <c r="K105" s="13">
        <v>45895</v>
      </c>
      <c r="L105" s="50">
        <v>0.85719999999999996</v>
      </c>
    </row>
    <row r="106" spans="1:12" x14ac:dyDescent="0.25">
      <c r="A106" t="s">
        <v>34</v>
      </c>
      <c r="D106" t="s">
        <v>38</v>
      </c>
      <c r="E106">
        <v>1999</v>
      </c>
      <c r="F106">
        <v>1</v>
      </c>
      <c r="G106">
        <v>4</v>
      </c>
      <c r="H106">
        <v>3</v>
      </c>
      <c r="I106">
        <v>151</v>
      </c>
      <c r="J106" s="6"/>
      <c r="K106" s="13">
        <v>45908</v>
      </c>
      <c r="L106" s="50">
        <v>0.92988000000000004</v>
      </c>
    </row>
    <row r="107" spans="1:12" x14ac:dyDescent="0.25">
      <c r="A107" t="s">
        <v>34</v>
      </c>
      <c r="D107" t="s">
        <v>38</v>
      </c>
      <c r="E107">
        <v>1999</v>
      </c>
      <c r="F107">
        <v>1</v>
      </c>
      <c r="G107">
        <v>4</v>
      </c>
      <c r="H107">
        <v>3</v>
      </c>
      <c r="I107">
        <v>151</v>
      </c>
      <c r="J107" s="6"/>
      <c r="K107" s="13">
        <v>45925</v>
      </c>
      <c r="L107" s="50">
        <v>0.94926999999999995</v>
      </c>
    </row>
    <row r="108" spans="1:12" x14ac:dyDescent="0.25">
      <c r="A108" t="s">
        <v>34</v>
      </c>
      <c r="D108" t="s">
        <v>38</v>
      </c>
      <c r="E108">
        <v>1999</v>
      </c>
      <c r="F108">
        <v>1</v>
      </c>
      <c r="G108">
        <v>4</v>
      </c>
      <c r="H108">
        <v>3</v>
      </c>
      <c r="I108">
        <v>151</v>
      </c>
      <c r="J108" s="6"/>
      <c r="K108" s="13">
        <v>45951</v>
      </c>
      <c r="L108" s="50">
        <v>0.69469999999999998</v>
      </c>
    </row>
    <row r="109" spans="1:12" x14ac:dyDescent="0.25">
      <c r="A109" t="s">
        <v>34</v>
      </c>
      <c r="D109" t="s">
        <v>38</v>
      </c>
      <c r="E109">
        <v>1999</v>
      </c>
      <c r="F109">
        <v>1</v>
      </c>
      <c r="G109">
        <v>4</v>
      </c>
      <c r="H109">
        <v>3</v>
      </c>
      <c r="I109">
        <v>151</v>
      </c>
      <c r="J109" s="6"/>
      <c r="K109" s="13">
        <v>45967</v>
      </c>
      <c r="L109" s="50">
        <v>0.59219999999999995</v>
      </c>
    </row>
    <row r="110" spans="1:12" x14ac:dyDescent="0.25">
      <c r="A110" t="s">
        <v>34</v>
      </c>
      <c r="D110" t="s">
        <v>43</v>
      </c>
      <c r="E110">
        <v>2020</v>
      </c>
      <c r="F110">
        <v>1</v>
      </c>
      <c r="G110">
        <v>4</v>
      </c>
      <c r="H110">
        <v>4</v>
      </c>
      <c r="I110">
        <v>152</v>
      </c>
      <c r="J110" s="6"/>
      <c r="K110" s="13">
        <v>45827</v>
      </c>
      <c r="L110" s="50">
        <v>0.26300000000000001</v>
      </c>
    </row>
    <row r="111" spans="1:12" x14ac:dyDescent="0.25">
      <c r="A111" t="s">
        <v>34</v>
      </c>
      <c r="D111" t="s">
        <v>43</v>
      </c>
      <c r="E111">
        <v>2020</v>
      </c>
      <c r="F111">
        <v>1</v>
      </c>
      <c r="G111">
        <v>4</v>
      </c>
      <c r="H111">
        <v>4</v>
      </c>
      <c r="I111">
        <v>152</v>
      </c>
      <c r="J111" s="6"/>
      <c r="K111" s="13">
        <v>45856</v>
      </c>
      <c r="L111" s="50">
        <v>0.62863999999999998</v>
      </c>
    </row>
    <row r="112" spans="1:12" x14ac:dyDescent="0.25">
      <c r="A112" t="s">
        <v>34</v>
      </c>
      <c r="D112" t="s">
        <v>43</v>
      </c>
      <c r="E112">
        <v>2020</v>
      </c>
      <c r="F112">
        <v>1</v>
      </c>
      <c r="G112">
        <v>4</v>
      </c>
      <c r="H112">
        <v>4</v>
      </c>
      <c r="I112">
        <v>152</v>
      </c>
      <c r="J112" s="6"/>
      <c r="K112" s="13">
        <v>45869</v>
      </c>
      <c r="L112" s="50">
        <v>0.74733000000000005</v>
      </c>
    </row>
    <row r="113" spans="1:12" x14ac:dyDescent="0.25">
      <c r="A113" t="s">
        <v>34</v>
      </c>
      <c r="D113" t="s">
        <v>43</v>
      </c>
      <c r="E113">
        <v>2020</v>
      </c>
      <c r="F113">
        <v>1</v>
      </c>
      <c r="G113">
        <v>4</v>
      </c>
      <c r="H113">
        <v>4</v>
      </c>
      <c r="I113">
        <v>152</v>
      </c>
      <c r="J113" s="6"/>
      <c r="K113" s="13">
        <v>45881</v>
      </c>
      <c r="L113" s="50">
        <v>0.85163</v>
      </c>
    </row>
    <row r="114" spans="1:12" x14ac:dyDescent="0.25">
      <c r="A114" t="s">
        <v>34</v>
      </c>
      <c r="B114" s="61"/>
      <c r="C114" s="61"/>
      <c r="D114" t="s">
        <v>43</v>
      </c>
      <c r="E114">
        <v>2020</v>
      </c>
      <c r="F114">
        <v>1</v>
      </c>
      <c r="G114">
        <v>4</v>
      </c>
      <c r="H114">
        <v>4</v>
      </c>
      <c r="I114">
        <v>152</v>
      </c>
      <c r="J114" s="61"/>
      <c r="K114" s="13">
        <v>45895</v>
      </c>
      <c r="L114" s="50">
        <v>0.84618000000000004</v>
      </c>
    </row>
    <row r="115" spans="1:12" x14ac:dyDescent="0.25">
      <c r="A115" t="s">
        <v>34</v>
      </c>
      <c r="B115" s="61"/>
      <c r="C115" s="61"/>
      <c r="D115" t="s">
        <v>43</v>
      </c>
      <c r="E115">
        <v>2020</v>
      </c>
      <c r="F115">
        <v>1</v>
      </c>
      <c r="G115">
        <v>4</v>
      </c>
      <c r="H115">
        <v>4</v>
      </c>
      <c r="I115">
        <v>152</v>
      </c>
      <c r="J115" s="61"/>
      <c r="K115" s="13">
        <v>45908</v>
      </c>
      <c r="L115" s="50">
        <v>0.93971000000000005</v>
      </c>
    </row>
    <row r="116" spans="1:12" x14ac:dyDescent="0.25">
      <c r="A116" t="s">
        <v>34</v>
      </c>
      <c r="B116" s="61"/>
      <c r="C116" s="61"/>
      <c r="D116" t="s">
        <v>43</v>
      </c>
      <c r="E116">
        <v>2020</v>
      </c>
      <c r="F116">
        <v>1</v>
      </c>
      <c r="G116">
        <v>4</v>
      </c>
      <c r="H116">
        <v>4</v>
      </c>
      <c r="I116">
        <v>152</v>
      </c>
      <c r="J116" s="61"/>
      <c r="K116" s="13">
        <v>45925</v>
      </c>
      <c r="L116" s="50">
        <v>0.93827000000000005</v>
      </c>
    </row>
    <row r="117" spans="1:12" x14ac:dyDescent="0.25">
      <c r="A117" t="s">
        <v>34</v>
      </c>
      <c r="B117" s="61"/>
      <c r="C117" s="61"/>
      <c r="D117" t="s">
        <v>43</v>
      </c>
      <c r="E117">
        <v>2020</v>
      </c>
      <c r="F117">
        <v>1</v>
      </c>
      <c r="G117">
        <v>4</v>
      </c>
      <c r="H117">
        <v>4</v>
      </c>
      <c r="I117">
        <v>152</v>
      </c>
      <c r="J117" s="61"/>
      <c r="K117" s="13">
        <v>45951</v>
      </c>
      <c r="L117" s="50">
        <v>0.70226999999999995</v>
      </c>
    </row>
    <row r="118" spans="1:12" x14ac:dyDescent="0.25">
      <c r="A118" t="s">
        <v>34</v>
      </c>
      <c r="B118" s="61"/>
      <c r="C118" s="61"/>
      <c r="D118" t="s">
        <v>43</v>
      </c>
      <c r="E118">
        <v>2020</v>
      </c>
      <c r="F118">
        <v>1</v>
      </c>
      <c r="G118">
        <v>4</v>
      </c>
      <c r="H118">
        <v>4</v>
      </c>
      <c r="I118">
        <v>152</v>
      </c>
      <c r="J118" s="61"/>
      <c r="K118" s="13">
        <v>45967</v>
      </c>
      <c r="L118" s="50">
        <v>0.62973000000000001</v>
      </c>
    </row>
    <row r="119" spans="1:12" x14ac:dyDescent="0.25">
      <c r="A119" t="s">
        <v>34</v>
      </c>
      <c r="B119" s="61"/>
      <c r="C119" s="61"/>
      <c r="D119" t="s">
        <v>36</v>
      </c>
      <c r="E119">
        <v>1984</v>
      </c>
      <c r="F119">
        <v>1</v>
      </c>
      <c r="G119">
        <v>3</v>
      </c>
      <c r="H119">
        <v>4</v>
      </c>
      <c r="I119">
        <v>136</v>
      </c>
      <c r="J119" s="61"/>
      <c r="K119" s="13">
        <v>45827</v>
      </c>
      <c r="L119" s="50">
        <v>0.31817000000000001</v>
      </c>
    </row>
    <row r="120" spans="1:12" x14ac:dyDescent="0.25">
      <c r="A120" t="s">
        <v>34</v>
      </c>
      <c r="B120" s="61"/>
      <c r="C120" s="61"/>
      <c r="D120" t="s">
        <v>36</v>
      </c>
      <c r="E120">
        <v>1984</v>
      </c>
      <c r="F120">
        <v>1</v>
      </c>
      <c r="G120">
        <v>3</v>
      </c>
      <c r="H120">
        <v>4</v>
      </c>
      <c r="I120">
        <v>136</v>
      </c>
      <c r="J120" s="61"/>
      <c r="K120" s="13">
        <v>45856</v>
      </c>
      <c r="L120" s="50">
        <v>0.71018000000000003</v>
      </c>
    </row>
    <row r="121" spans="1:12" x14ac:dyDescent="0.25">
      <c r="A121" t="s">
        <v>34</v>
      </c>
      <c r="B121" s="61"/>
      <c r="C121" s="61"/>
      <c r="D121" t="s">
        <v>36</v>
      </c>
      <c r="E121">
        <v>1984</v>
      </c>
      <c r="F121">
        <v>1</v>
      </c>
      <c r="G121">
        <v>3</v>
      </c>
      <c r="H121">
        <v>4</v>
      </c>
      <c r="I121">
        <v>136</v>
      </c>
      <c r="J121" s="61"/>
      <c r="K121" s="13">
        <v>45869</v>
      </c>
      <c r="L121" s="50">
        <v>0.85887999999999998</v>
      </c>
    </row>
    <row r="122" spans="1:12" x14ac:dyDescent="0.25">
      <c r="A122" t="s">
        <v>34</v>
      </c>
      <c r="D122" t="s">
        <v>36</v>
      </c>
      <c r="E122">
        <v>1984</v>
      </c>
      <c r="F122">
        <v>1</v>
      </c>
      <c r="G122">
        <v>3</v>
      </c>
      <c r="H122">
        <v>4</v>
      </c>
      <c r="I122">
        <v>136</v>
      </c>
      <c r="J122" s="6"/>
      <c r="K122" s="13">
        <v>45881</v>
      </c>
      <c r="L122" s="50">
        <v>0.88019000000000003</v>
      </c>
    </row>
    <row r="123" spans="1:12" x14ac:dyDescent="0.25">
      <c r="A123" t="s">
        <v>34</v>
      </c>
      <c r="D123" t="s">
        <v>36</v>
      </c>
      <c r="E123">
        <v>1984</v>
      </c>
      <c r="F123">
        <v>1</v>
      </c>
      <c r="G123">
        <v>3</v>
      </c>
      <c r="H123">
        <v>4</v>
      </c>
      <c r="I123">
        <v>136</v>
      </c>
      <c r="J123" s="6"/>
      <c r="K123" s="13">
        <v>45895</v>
      </c>
      <c r="L123" s="50">
        <v>0.84716999999999998</v>
      </c>
    </row>
    <row r="124" spans="1:12" x14ac:dyDescent="0.25">
      <c r="A124" t="s">
        <v>34</v>
      </c>
      <c r="D124" t="s">
        <v>36</v>
      </c>
      <c r="E124">
        <v>1984</v>
      </c>
      <c r="F124">
        <v>1</v>
      </c>
      <c r="G124">
        <v>3</v>
      </c>
      <c r="H124">
        <v>4</v>
      </c>
      <c r="I124">
        <v>136</v>
      </c>
      <c r="J124" s="6"/>
      <c r="K124" s="13">
        <v>45908</v>
      </c>
      <c r="L124" s="50">
        <v>0.93774999999999997</v>
      </c>
    </row>
    <row r="125" spans="1:12" x14ac:dyDescent="0.25">
      <c r="A125" t="s">
        <v>34</v>
      </c>
      <c r="D125" t="s">
        <v>36</v>
      </c>
      <c r="E125">
        <v>1984</v>
      </c>
      <c r="F125">
        <v>1</v>
      </c>
      <c r="G125">
        <v>3</v>
      </c>
      <c r="H125">
        <v>4</v>
      </c>
      <c r="I125">
        <v>136</v>
      </c>
      <c r="J125" s="6"/>
      <c r="K125" s="13">
        <v>45925</v>
      </c>
      <c r="L125" s="50">
        <v>0.94216</v>
      </c>
    </row>
    <row r="126" spans="1:12" x14ac:dyDescent="0.25">
      <c r="A126" t="s">
        <v>34</v>
      </c>
      <c r="D126" t="s">
        <v>36</v>
      </c>
      <c r="E126">
        <v>1984</v>
      </c>
      <c r="F126">
        <v>1</v>
      </c>
      <c r="G126">
        <v>3</v>
      </c>
      <c r="H126">
        <v>4</v>
      </c>
      <c r="I126">
        <v>136</v>
      </c>
      <c r="J126" s="6"/>
      <c r="K126" s="13">
        <v>45951</v>
      </c>
      <c r="L126" s="50">
        <v>0.74709000000000003</v>
      </c>
    </row>
    <row r="127" spans="1:12" x14ac:dyDescent="0.25">
      <c r="A127" t="s">
        <v>34</v>
      </c>
      <c r="D127" t="s">
        <v>36</v>
      </c>
      <c r="E127">
        <v>1984</v>
      </c>
      <c r="F127">
        <v>1</v>
      </c>
      <c r="G127">
        <v>3</v>
      </c>
      <c r="H127">
        <v>4</v>
      </c>
      <c r="I127">
        <v>136</v>
      </c>
      <c r="J127" s="6"/>
      <c r="K127" s="13">
        <v>45967</v>
      </c>
      <c r="L127" s="50">
        <v>0.63109999999999999</v>
      </c>
    </row>
    <row r="128" spans="1:12" x14ac:dyDescent="0.25">
      <c r="A128" t="s">
        <v>34</v>
      </c>
      <c r="D128" t="s">
        <v>42</v>
      </c>
      <c r="E128">
        <v>2016</v>
      </c>
      <c r="F128">
        <v>1</v>
      </c>
      <c r="G128">
        <v>2</v>
      </c>
      <c r="H128">
        <v>4</v>
      </c>
      <c r="I128">
        <v>120</v>
      </c>
      <c r="J128" s="6"/>
      <c r="K128" s="13">
        <v>45827</v>
      </c>
      <c r="L128" s="50">
        <v>0.29459999999999997</v>
      </c>
    </row>
    <row r="129" spans="1:12" x14ac:dyDescent="0.25">
      <c r="A129" t="s">
        <v>34</v>
      </c>
      <c r="D129" t="s">
        <v>42</v>
      </c>
      <c r="E129">
        <v>2016</v>
      </c>
      <c r="F129">
        <v>1</v>
      </c>
      <c r="G129">
        <v>2</v>
      </c>
      <c r="H129">
        <v>4</v>
      </c>
      <c r="I129">
        <v>120</v>
      </c>
      <c r="J129" s="6"/>
      <c r="K129" s="13">
        <v>45856</v>
      </c>
      <c r="L129" s="50">
        <v>0.68130000000000002</v>
      </c>
    </row>
    <row r="130" spans="1:12" x14ac:dyDescent="0.25">
      <c r="A130" t="s">
        <v>34</v>
      </c>
      <c r="D130" t="s">
        <v>42</v>
      </c>
      <c r="E130">
        <v>2016</v>
      </c>
      <c r="F130">
        <v>1</v>
      </c>
      <c r="G130">
        <v>2</v>
      </c>
      <c r="H130">
        <v>4</v>
      </c>
      <c r="I130">
        <v>120</v>
      </c>
      <c r="J130" s="6"/>
      <c r="K130" s="13">
        <v>45869</v>
      </c>
      <c r="L130" s="50">
        <v>0.82262999999999997</v>
      </c>
    </row>
    <row r="131" spans="1:12" x14ac:dyDescent="0.25">
      <c r="A131" t="s">
        <v>34</v>
      </c>
      <c r="D131" t="s">
        <v>42</v>
      </c>
      <c r="E131">
        <v>2016</v>
      </c>
      <c r="F131">
        <v>1</v>
      </c>
      <c r="G131">
        <v>2</v>
      </c>
      <c r="H131">
        <v>4</v>
      </c>
      <c r="I131">
        <v>120</v>
      </c>
      <c r="J131" s="6"/>
      <c r="K131" s="13">
        <v>45881</v>
      </c>
      <c r="L131" s="50">
        <v>0.86516999999999999</v>
      </c>
    </row>
    <row r="132" spans="1:12" x14ac:dyDescent="0.25">
      <c r="A132" t="s">
        <v>34</v>
      </c>
      <c r="D132" t="s">
        <v>42</v>
      </c>
      <c r="E132">
        <v>2016</v>
      </c>
      <c r="F132">
        <v>1</v>
      </c>
      <c r="G132">
        <v>2</v>
      </c>
      <c r="H132">
        <v>4</v>
      </c>
      <c r="I132">
        <v>120</v>
      </c>
      <c r="J132" s="6"/>
      <c r="K132" s="13">
        <v>45895</v>
      </c>
      <c r="L132" s="50">
        <v>0.85018000000000005</v>
      </c>
    </row>
    <row r="133" spans="1:12" x14ac:dyDescent="0.25">
      <c r="A133" t="s">
        <v>34</v>
      </c>
      <c r="D133" t="s">
        <v>42</v>
      </c>
      <c r="E133">
        <v>2016</v>
      </c>
      <c r="F133">
        <v>1</v>
      </c>
      <c r="G133">
        <v>2</v>
      </c>
      <c r="H133">
        <v>4</v>
      </c>
      <c r="I133">
        <v>120</v>
      </c>
      <c r="J133" s="6"/>
      <c r="K133" s="13">
        <v>45908</v>
      </c>
      <c r="L133" s="50">
        <v>0.94474999999999998</v>
      </c>
    </row>
    <row r="134" spans="1:12" x14ac:dyDescent="0.25">
      <c r="A134" t="s">
        <v>34</v>
      </c>
      <c r="D134" t="s">
        <v>42</v>
      </c>
      <c r="E134">
        <v>2016</v>
      </c>
      <c r="F134">
        <v>1</v>
      </c>
      <c r="G134">
        <v>2</v>
      </c>
      <c r="H134">
        <v>4</v>
      </c>
      <c r="I134">
        <v>120</v>
      </c>
      <c r="J134" s="6"/>
      <c r="K134" s="13">
        <v>45925</v>
      </c>
      <c r="L134" s="50">
        <v>0.94388000000000005</v>
      </c>
    </row>
    <row r="135" spans="1:12" x14ac:dyDescent="0.25">
      <c r="A135" t="s">
        <v>34</v>
      </c>
      <c r="D135" t="s">
        <v>42</v>
      </c>
      <c r="E135">
        <v>2016</v>
      </c>
      <c r="F135">
        <v>1</v>
      </c>
      <c r="G135">
        <v>2</v>
      </c>
      <c r="H135">
        <v>4</v>
      </c>
      <c r="I135">
        <v>120</v>
      </c>
      <c r="J135" s="6"/>
      <c r="K135" s="13">
        <v>45951</v>
      </c>
      <c r="L135" s="50">
        <v>0.7097</v>
      </c>
    </row>
    <row r="136" spans="1:12" x14ac:dyDescent="0.25">
      <c r="A136" t="s">
        <v>34</v>
      </c>
      <c r="D136" t="s">
        <v>42</v>
      </c>
      <c r="E136">
        <v>2016</v>
      </c>
      <c r="F136">
        <v>1</v>
      </c>
      <c r="G136">
        <v>2</v>
      </c>
      <c r="H136">
        <v>4</v>
      </c>
      <c r="I136">
        <v>120</v>
      </c>
      <c r="J136" s="6"/>
      <c r="K136" s="13">
        <v>45967</v>
      </c>
      <c r="L136" s="50">
        <v>0.47166999999999998</v>
      </c>
    </row>
    <row r="137" spans="1:12" x14ac:dyDescent="0.25">
      <c r="A137" t="s">
        <v>34</v>
      </c>
      <c r="D137" t="s">
        <v>37</v>
      </c>
      <c r="E137">
        <v>1989</v>
      </c>
      <c r="F137">
        <v>1</v>
      </c>
      <c r="G137">
        <v>1</v>
      </c>
      <c r="H137">
        <v>4</v>
      </c>
      <c r="I137">
        <v>104</v>
      </c>
      <c r="J137" s="6"/>
      <c r="K137" s="13">
        <v>45827</v>
      </c>
      <c r="L137" s="50">
        <v>0.33400000000000002</v>
      </c>
    </row>
    <row r="138" spans="1:12" x14ac:dyDescent="0.25">
      <c r="A138" t="s">
        <v>34</v>
      </c>
      <c r="D138" t="s">
        <v>37</v>
      </c>
      <c r="E138">
        <v>1989</v>
      </c>
      <c r="F138">
        <v>1</v>
      </c>
      <c r="G138">
        <v>1</v>
      </c>
      <c r="H138">
        <v>4</v>
      </c>
      <c r="I138">
        <v>104</v>
      </c>
      <c r="J138" s="6"/>
      <c r="K138" s="13">
        <v>45856</v>
      </c>
      <c r="L138" s="50">
        <v>0.71858</v>
      </c>
    </row>
    <row r="139" spans="1:12" x14ac:dyDescent="0.25">
      <c r="A139" t="s">
        <v>34</v>
      </c>
      <c r="D139" t="s">
        <v>37</v>
      </c>
      <c r="E139">
        <v>1989</v>
      </c>
      <c r="F139">
        <v>1</v>
      </c>
      <c r="G139">
        <v>1</v>
      </c>
      <c r="H139">
        <v>4</v>
      </c>
      <c r="I139">
        <v>104</v>
      </c>
      <c r="J139" s="6"/>
      <c r="K139" s="13">
        <v>45869</v>
      </c>
      <c r="L139" s="50">
        <v>0.84325000000000006</v>
      </c>
    </row>
    <row r="140" spans="1:12" x14ac:dyDescent="0.25">
      <c r="A140" t="s">
        <v>34</v>
      </c>
      <c r="D140" t="s">
        <v>37</v>
      </c>
      <c r="E140">
        <v>1989</v>
      </c>
      <c r="F140">
        <v>1</v>
      </c>
      <c r="G140">
        <v>1</v>
      </c>
      <c r="H140">
        <v>4</v>
      </c>
      <c r="I140">
        <v>104</v>
      </c>
      <c r="J140" s="6"/>
      <c r="K140" s="13">
        <v>45881</v>
      </c>
      <c r="L140" s="50">
        <v>0.87360000000000004</v>
      </c>
    </row>
    <row r="141" spans="1:12" x14ac:dyDescent="0.25">
      <c r="A141" t="s">
        <v>34</v>
      </c>
      <c r="D141" t="s">
        <v>37</v>
      </c>
      <c r="E141">
        <v>1989</v>
      </c>
      <c r="F141">
        <v>1</v>
      </c>
      <c r="G141">
        <v>1</v>
      </c>
      <c r="H141">
        <v>4</v>
      </c>
      <c r="I141">
        <v>104</v>
      </c>
      <c r="J141" s="6"/>
      <c r="K141" s="13">
        <v>45895</v>
      </c>
      <c r="L141" s="50">
        <v>0.85368999999999995</v>
      </c>
    </row>
    <row r="142" spans="1:12" x14ac:dyDescent="0.25">
      <c r="A142" t="s">
        <v>34</v>
      </c>
      <c r="D142" t="s">
        <v>37</v>
      </c>
      <c r="E142">
        <v>1989</v>
      </c>
      <c r="F142">
        <v>1</v>
      </c>
      <c r="G142">
        <v>1</v>
      </c>
      <c r="H142">
        <v>4</v>
      </c>
      <c r="I142">
        <v>104</v>
      </c>
      <c r="J142" s="6"/>
      <c r="K142" s="13">
        <v>45908</v>
      </c>
      <c r="L142" s="50">
        <v>0.93479999999999996</v>
      </c>
    </row>
    <row r="143" spans="1:12" x14ac:dyDescent="0.25">
      <c r="A143" t="s">
        <v>34</v>
      </c>
      <c r="D143" t="s">
        <v>37</v>
      </c>
      <c r="E143">
        <v>1989</v>
      </c>
      <c r="F143">
        <v>1</v>
      </c>
      <c r="G143">
        <v>1</v>
      </c>
      <c r="H143">
        <v>4</v>
      </c>
      <c r="I143">
        <v>104</v>
      </c>
      <c r="J143" s="6"/>
      <c r="K143" s="13">
        <v>45925</v>
      </c>
      <c r="L143" s="50">
        <v>0.94360999999999995</v>
      </c>
    </row>
    <row r="144" spans="1:12" x14ac:dyDescent="0.25">
      <c r="A144" t="s">
        <v>34</v>
      </c>
      <c r="D144" t="s">
        <v>37</v>
      </c>
      <c r="E144">
        <v>1989</v>
      </c>
      <c r="F144">
        <v>1</v>
      </c>
      <c r="G144">
        <v>1</v>
      </c>
      <c r="H144">
        <v>4</v>
      </c>
      <c r="I144">
        <v>104</v>
      </c>
      <c r="J144" s="6"/>
      <c r="K144" s="13">
        <v>45951</v>
      </c>
      <c r="L144" s="50">
        <v>0.72391000000000005</v>
      </c>
    </row>
    <row r="145" spans="1:12" x14ac:dyDescent="0.25">
      <c r="A145" t="s">
        <v>34</v>
      </c>
      <c r="D145" t="s">
        <v>37</v>
      </c>
      <c r="E145">
        <v>1989</v>
      </c>
      <c r="F145">
        <v>1</v>
      </c>
      <c r="G145">
        <v>1</v>
      </c>
      <c r="H145">
        <v>4</v>
      </c>
      <c r="I145">
        <v>104</v>
      </c>
      <c r="J145" s="6"/>
      <c r="K145" s="13">
        <v>45967</v>
      </c>
      <c r="L145" s="50">
        <v>0.58282</v>
      </c>
    </row>
    <row r="146" spans="1:12" x14ac:dyDescent="0.25">
      <c r="A146" t="s">
        <v>24</v>
      </c>
      <c r="D146" t="s">
        <v>29</v>
      </c>
      <c r="E146">
        <v>1999</v>
      </c>
      <c r="F146">
        <v>2</v>
      </c>
      <c r="G146">
        <v>1</v>
      </c>
      <c r="H146">
        <v>5</v>
      </c>
      <c r="I146">
        <v>105</v>
      </c>
      <c r="J146" s="6"/>
      <c r="K146" s="13">
        <v>45827</v>
      </c>
      <c r="L146" s="50">
        <v>0.92245999999999995</v>
      </c>
    </row>
    <row r="147" spans="1:12" x14ac:dyDescent="0.25">
      <c r="A147" t="s">
        <v>24</v>
      </c>
      <c r="D147" t="s">
        <v>29</v>
      </c>
      <c r="E147">
        <v>1999</v>
      </c>
      <c r="F147">
        <v>2</v>
      </c>
      <c r="G147">
        <v>1</v>
      </c>
      <c r="H147">
        <v>5</v>
      </c>
      <c r="I147">
        <v>105</v>
      </c>
      <c r="J147" s="6"/>
      <c r="K147" s="13">
        <v>45856</v>
      </c>
      <c r="L147" s="50">
        <v>0.91593000000000002</v>
      </c>
    </row>
    <row r="148" spans="1:12" x14ac:dyDescent="0.25">
      <c r="A148" t="s">
        <v>24</v>
      </c>
      <c r="D148" t="s">
        <v>29</v>
      </c>
      <c r="E148">
        <v>1999</v>
      </c>
      <c r="F148">
        <v>2</v>
      </c>
      <c r="G148">
        <v>1</v>
      </c>
      <c r="H148">
        <v>5</v>
      </c>
      <c r="I148">
        <v>105</v>
      </c>
      <c r="J148" s="6"/>
      <c r="K148" s="13">
        <v>45869</v>
      </c>
      <c r="L148" s="50">
        <v>0.87666999999999995</v>
      </c>
    </row>
    <row r="149" spans="1:12" x14ac:dyDescent="0.25">
      <c r="A149" t="s">
        <v>24</v>
      </c>
      <c r="D149" t="s">
        <v>29</v>
      </c>
      <c r="E149">
        <v>1999</v>
      </c>
      <c r="F149">
        <v>2</v>
      </c>
      <c r="G149">
        <v>1</v>
      </c>
      <c r="H149">
        <v>5</v>
      </c>
      <c r="I149">
        <v>105</v>
      </c>
      <c r="J149" s="6"/>
      <c r="K149" s="13">
        <v>45881</v>
      </c>
      <c r="L149" s="50">
        <v>0.86845000000000006</v>
      </c>
    </row>
    <row r="150" spans="1:12" x14ac:dyDescent="0.25">
      <c r="A150" t="s">
        <v>24</v>
      </c>
      <c r="D150" t="s">
        <v>29</v>
      </c>
      <c r="E150">
        <v>1999</v>
      </c>
      <c r="F150">
        <v>2</v>
      </c>
      <c r="G150">
        <v>1</v>
      </c>
      <c r="H150">
        <v>5</v>
      </c>
      <c r="I150">
        <v>105</v>
      </c>
      <c r="J150" s="6"/>
      <c r="K150" s="13">
        <v>45895</v>
      </c>
      <c r="L150" s="50">
        <v>0.84162999999999999</v>
      </c>
    </row>
    <row r="151" spans="1:12" x14ac:dyDescent="0.25">
      <c r="A151" t="s">
        <v>24</v>
      </c>
      <c r="D151" t="s">
        <v>29</v>
      </c>
      <c r="E151">
        <v>1999</v>
      </c>
      <c r="F151">
        <v>2</v>
      </c>
      <c r="G151">
        <v>1</v>
      </c>
      <c r="H151">
        <v>5</v>
      </c>
      <c r="I151">
        <v>105</v>
      </c>
      <c r="J151" s="6"/>
      <c r="K151" s="13">
        <v>45908</v>
      </c>
      <c r="L151" s="50">
        <v>0.88232999999999995</v>
      </c>
    </row>
    <row r="152" spans="1:12" x14ac:dyDescent="0.25">
      <c r="A152" t="s">
        <v>24</v>
      </c>
      <c r="D152" t="s">
        <v>29</v>
      </c>
      <c r="E152">
        <v>1999</v>
      </c>
      <c r="F152">
        <v>2</v>
      </c>
      <c r="G152">
        <v>1</v>
      </c>
      <c r="H152">
        <v>5</v>
      </c>
      <c r="I152">
        <v>105</v>
      </c>
      <c r="J152" s="6"/>
      <c r="K152" s="13">
        <v>45925</v>
      </c>
      <c r="L152" s="50">
        <v>0.91893000000000002</v>
      </c>
    </row>
    <row r="153" spans="1:12" x14ac:dyDescent="0.25">
      <c r="A153" t="s">
        <v>24</v>
      </c>
      <c r="D153" t="s">
        <v>29</v>
      </c>
      <c r="E153">
        <v>1999</v>
      </c>
      <c r="F153">
        <v>2</v>
      </c>
      <c r="G153">
        <v>1</v>
      </c>
      <c r="H153">
        <v>5</v>
      </c>
      <c r="I153">
        <v>105</v>
      </c>
      <c r="J153" s="6"/>
      <c r="K153" s="13">
        <v>45951</v>
      </c>
      <c r="L153" s="50">
        <v>0.78512999999999999</v>
      </c>
    </row>
    <row r="154" spans="1:12" x14ac:dyDescent="0.25">
      <c r="A154" t="s">
        <v>24</v>
      </c>
      <c r="B154" s="54"/>
      <c r="C154" s="55"/>
      <c r="D154" t="s">
        <v>29</v>
      </c>
      <c r="E154">
        <v>1999</v>
      </c>
      <c r="F154">
        <v>2</v>
      </c>
      <c r="G154">
        <v>1</v>
      </c>
      <c r="H154">
        <v>5</v>
      </c>
      <c r="I154">
        <v>105</v>
      </c>
      <c r="J154" s="6"/>
      <c r="K154" s="13">
        <v>45967</v>
      </c>
      <c r="L154" s="50">
        <v>0.70330999999999999</v>
      </c>
    </row>
    <row r="155" spans="1:12" x14ac:dyDescent="0.25">
      <c r="A155" t="s">
        <v>24</v>
      </c>
      <c r="D155" t="s">
        <v>27</v>
      </c>
      <c r="E155">
        <v>1985</v>
      </c>
      <c r="F155">
        <v>2</v>
      </c>
      <c r="G155">
        <v>2</v>
      </c>
      <c r="H155">
        <v>5</v>
      </c>
      <c r="I155">
        <v>121</v>
      </c>
      <c r="J155" s="6"/>
      <c r="K155" s="13">
        <v>45827</v>
      </c>
      <c r="L155" s="50">
        <v>0.89409000000000005</v>
      </c>
    </row>
    <row r="156" spans="1:12" x14ac:dyDescent="0.25">
      <c r="A156" t="s">
        <v>24</v>
      </c>
      <c r="D156" t="s">
        <v>27</v>
      </c>
      <c r="E156">
        <v>1985</v>
      </c>
      <c r="F156">
        <v>2</v>
      </c>
      <c r="G156">
        <v>2</v>
      </c>
      <c r="H156">
        <v>5</v>
      </c>
      <c r="I156">
        <v>121</v>
      </c>
      <c r="J156" s="6"/>
      <c r="K156" s="13">
        <v>45856</v>
      </c>
      <c r="L156" s="50">
        <v>0.91585000000000005</v>
      </c>
    </row>
    <row r="157" spans="1:12" x14ac:dyDescent="0.25">
      <c r="A157" t="s">
        <v>24</v>
      </c>
      <c r="D157" t="s">
        <v>27</v>
      </c>
      <c r="E157">
        <v>1985</v>
      </c>
      <c r="F157">
        <v>2</v>
      </c>
      <c r="G157">
        <v>2</v>
      </c>
      <c r="H157">
        <v>5</v>
      </c>
      <c r="I157">
        <v>121</v>
      </c>
      <c r="J157" s="6"/>
      <c r="K157" s="13">
        <v>45869</v>
      </c>
      <c r="L157" s="50">
        <v>0.90129000000000004</v>
      </c>
    </row>
    <row r="158" spans="1:12" x14ac:dyDescent="0.25">
      <c r="A158" t="s">
        <v>24</v>
      </c>
      <c r="D158" t="s">
        <v>27</v>
      </c>
      <c r="E158">
        <v>1985</v>
      </c>
      <c r="F158">
        <v>2</v>
      </c>
      <c r="G158">
        <v>2</v>
      </c>
      <c r="H158">
        <v>5</v>
      </c>
      <c r="I158">
        <v>121</v>
      </c>
      <c r="J158" s="6"/>
      <c r="K158" s="13">
        <v>45881</v>
      </c>
      <c r="L158" s="50">
        <v>0.88190000000000002</v>
      </c>
    </row>
    <row r="159" spans="1:12" x14ac:dyDescent="0.25">
      <c r="A159" t="s">
        <v>24</v>
      </c>
      <c r="D159" t="s">
        <v>27</v>
      </c>
      <c r="E159">
        <v>1985</v>
      </c>
      <c r="F159">
        <v>2</v>
      </c>
      <c r="G159">
        <v>2</v>
      </c>
      <c r="H159">
        <v>5</v>
      </c>
      <c r="I159">
        <v>121</v>
      </c>
      <c r="J159" s="6"/>
      <c r="K159" s="13">
        <v>45895</v>
      </c>
      <c r="L159" s="50">
        <v>0.85540000000000005</v>
      </c>
    </row>
    <row r="160" spans="1:12" x14ac:dyDescent="0.25">
      <c r="A160" t="s">
        <v>24</v>
      </c>
      <c r="D160" t="s">
        <v>27</v>
      </c>
      <c r="E160">
        <v>1985</v>
      </c>
      <c r="F160">
        <v>2</v>
      </c>
      <c r="G160">
        <v>2</v>
      </c>
      <c r="H160">
        <v>5</v>
      </c>
      <c r="I160">
        <v>121</v>
      </c>
      <c r="J160" s="6"/>
      <c r="K160" s="13">
        <v>45908</v>
      </c>
      <c r="L160" s="50">
        <v>0.94650000000000001</v>
      </c>
    </row>
    <row r="161" spans="1:12" x14ac:dyDescent="0.25">
      <c r="A161" t="s">
        <v>24</v>
      </c>
      <c r="D161" t="s">
        <v>27</v>
      </c>
      <c r="E161">
        <v>1985</v>
      </c>
      <c r="F161">
        <v>2</v>
      </c>
      <c r="G161">
        <v>2</v>
      </c>
      <c r="H161">
        <v>5</v>
      </c>
      <c r="I161">
        <v>121</v>
      </c>
      <c r="J161" s="6"/>
      <c r="K161" s="13">
        <v>45925</v>
      </c>
      <c r="L161" s="50">
        <v>0.94054000000000004</v>
      </c>
    </row>
    <row r="162" spans="1:12" x14ac:dyDescent="0.25">
      <c r="A162" t="s">
        <v>24</v>
      </c>
      <c r="D162" t="s">
        <v>27</v>
      </c>
      <c r="E162">
        <v>1985</v>
      </c>
      <c r="F162">
        <v>2</v>
      </c>
      <c r="G162">
        <v>2</v>
      </c>
      <c r="H162">
        <v>5</v>
      </c>
      <c r="I162">
        <v>121</v>
      </c>
      <c r="J162" s="6"/>
      <c r="K162" s="13">
        <v>45951</v>
      </c>
      <c r="L162" s="50">
        <v>0.78500000000000003</v>
      </c>
    </row>
    <row r="163" spans="1:12" x14ac:dyDescent="0.25">
      <c r="A163" t="s">
        <v>24</v>
      </c>
      <c r="D163" t="s">
        <v>27</v>
      </c>
      <c r="E163">
        <v>1985</v>
      </c>
      <c r="F163">
        <v>2</v>
      </c>
      <c r="G163">
        <v>2</v>
      </c>
      <c r="H163">
        <v>5</v>
      </c>
      <c r="I163">
        <v>121</v>
      </c>
      <c r="J163" s="6"/>
      <c r="K163" s="13">
        <v>45967</v>
      </c>
      <c r="L163" s="50">
        <v>0.72621000000000002</v>
      </c>
    </row>
    <row r="164" spans="1:12" x14ac:dyDescent="0.25">
      <c r="A164" t="s">
        <v>24</v>
      </c>
      <c r="D164" t="s">
        <v>313</v>
      </c>
      <c r="E164">
        <v>2016</v>
      </c>
      <c r="F164">
        <v>2</v>
      </c>
      <c r="G164">
        <v>3</v>
      </c>
      <c r="H164">
        <v>5</v>
      </c>
      <c r="I164">
        <v>137</v>
      </c>
      <c r="J164" s="6"/>
      <c r="K164" s="13">
        <v>45827</v>
      </c>
      <c r="L164" s="50">
        <v>0.90312999999999999</v>
      </c>
    </row>
    <row r="165" spans="1:12" x14ac:dyDescent="0.25">
      <c r="A165" t="s">
        <v>24</v>
      </c>
      <c r="D165" t="s">
        <v>313</v>
      </c>
      <c r="E165">
        <v>2016</v>
      </c>
      <c r="F165">
        <v>2</v>
      </c>
      <c r="G165">
        <v>3</v>
      </c>
      <c r="H165">
        <v>5</v>
      </c>
      <c r="I165">
        <v>137</v>
      </c>
      <c r="J165" s="6"/>
      <c r="K165" s="13">
        <v>45856</v>
      </c>
      <c r="L165" s="50">
        <v>0.90712999999999999</v>
      </c>
    </row>
    <row r="166" spans="1:12" x14ac:dyDescent="0.25">
      <c r="A166" t="s">
        <v>24</v>
      </c>
      <c r="D166" t="s">
        <v>313</v>
      </c>
      <c r="E166">
        <v>2016</v>
      </c>
      <c r="F166">
        <v>2</v>
      </c>
      <c r="G166">
        <v>3</v>
      </c>
      <c r="H166">
        <v>5</v>
      </c>
      <c r="I166">
        <v>137</v>
      </c>
      <c r="J166" s="6"/>
      <c r="K166" s="13">
        <v>45869</v>
      </c>
      <c r="L166" s="50">
        <v>0.92557</v>
      </c>
    </row>
    <row r="167" spans="1:12" x14ac:dyDescent="0.25">
      <c r="A167" t="s">
        <v>24</v>
      </c>
      <c r="D167" t="s">
        <v>313</v>
      </c>
      <c r="E167">
        <v>2016</v>
      </c>
      <c r="F167">
        <v>2</v>
      </c>
      <c r="G167">
        <v>3</v>
      </c>
      <c r="H167">
        <v>5</v>
      </c>
      <c r="I167">
        <v>137</v>
      </c>
      <c r="J167" s="6"/>
      <c r="K167" s="13">
        <v>45881</v>
      </c>
      <c r="L167" s="50">
        <v>0.87733000000000005</v>
      </c>
    </row>
    <row r="168" spans="1:12" x14ac:dyDescent="0.25">
      <c r="A168" t="s">
        <v>24</v>
      </c>
      <c r="D168" t="s">
        <v>313</v>
      </c>
      <c r="E168">
        <v>2016</v>
      </c>
      <c r="F168">
        <v>2</v>
      </c>
      <c r="G168">
        <v>3</v>
      </c>
      <c r="H168">
        <v>5</v>
      </c>
      <c r="I168">
        <v>137</v>
      </c>
      <c r="J168" s="6"/>
      <c r="K168" s="13">
        <v>45895</v>
      </c>
      <c r="L168" s="50">
        <v>0.87329999999999997</v>
      </c>
    </row>
    <row r="169" spans="1:12" x14ac:dyDescent="0.25">
      <c r="A169" t="s">
        <v>24</v>
      </c>
      <c r="D169" t="s">
        <v>313</v>
      </c>
      <c r="E169">
        <v>2016</v>
      </c>
      <c r="F169">
        <v>2</v>
      </c>
      <c r="G169">
        <v>3</v>
      </c>
      <c r="H169">
        <v>5</v>
      </c>
      <c r="I169">
        <v>137</v>
      </c>
      <c r="J169" s="6"/>
      <c r="K169" s="13">
        <v>45908</v>
      </c>
      <c r="L169" s="50">
        <v>0.93389</v>
      </c>
    </row>
    <row r="170" spans="1:12" x14ac:dyDescent="0.25">
      <c r="A170" t="s">
        <v>24</v>
      </c>
      <c r="D170" t="s">
        <v>313</v>
      </c>
      <c r="E170">
        <v>2016</v>
      </c>
      <c r="F170">
        <v>2</v>
      </c>
      <c r="G170">
        <v>3</v>
      </c>
      <c r="H170">
        <v>5</v>
      </c>
      <c r="I170">
        <v>137</v>
      </c>
      <c r="J170" s="6"/>
      <c r="K170" s="13">
        <v>45925</v>
      </c>
      <c r="L170" s="50">
        <v>0.91873000000000005</v>
      </c>
    </row>
    <row r="171" spans="1:12" x14ac:dyDescent="0.25">
      <c r="A171" t="s">
        <v>24</v>
      </c>
      <c r="D171" t="s">
        <v>313</v>
      </c>
      <c r="E171">
        <v>2016</v>
      </c>
      <c r="F171">
        <v>2</v>
      </c>
      <c r="G171">
        <v>3</v>
      </c>
      <c r="H171">
        <v>5</v>
      </c>
      <c r="I171">
        <v>137</v>
      </c>
      <c r="J171" s="6"/>
      <c r="K171" s="13">
        <v>45951</v>
      </c>
      <c r="L171" s="50">
        <v>0.71087999999999996</v>
      </c>
    </row>
    <row r="172" spans="1:12" x14ac:dyDescent="0.25">
      <c r="A172" t="s">
        <v>24</v>
      </c>
      <c r="D172" t="s">
        <v>313</v>
      </c>
      <c r="E172">
        <v>2016</v>
      </c>
      <c r="F172">
        <v>2</v>
      </c>
      <c r="G172">
        <v>3</v>
      </c>
      <c r="H172">
        <v>5</v>
      </c>
      <c r="I172">
        <v>137</v>
      </c>
      <c r="J172" s="6"/>
      <c r="K172" s="13">
        <v>45967</v>
      </c>
      <c r="L172" s="50">
        <v>0.66008</v>
      </c>
    </row>
    <row r="173" spans="1:12" x14ac:dyDescent="0.25">
      <c r="A173" t="s">
        <v>24</v>
      </c>
      <c r="D173" t="s">
        <v>312</v>
      </c>
      <c r="E173">
        <v>2002</v>
      </c>
      <c r="F173">
        <v>2</v>
      </c>
      <c r="G173">
        <v>4</v>
      </c>
      <c r="H173">
        <v>5</v>
      </c>
      <c r="I173">
        <v>153</v>
      </c>
      <c r="J173" s="6"/>
      <c r="K173" s="13">
        <v>45827</v>
      </c>
      <c r="L173" s="50">
        <v>0.89749999999999996</v>
      </c>
    </row>
    <row r="174" spans="1:12" x14ac:dyDescent="0.25">
      <c r="A174" t="s">
        <v>24</v>
      </c>
      <c r="D174" t="s">
        <v>312</v>
      </c>
      <c r="E174">
        <v>2002</v>
      </c>
      <c r="F174">
        <v>2</v>
      </c>
      <c r="G174">
        <v>4</v>
      </c>
      <c r="H174">
        <v>5</v>
      </c>
      <c r="I174">
        <v>153</v>
      </c>
      <c r="J174" s="6"/>
      <c r="K174" s="13">
        <v>45856</v>
      </c>
      <c r="L174" s="50">
        <v>0.91317000000000004</v>
      </c>
    </row>
    <row r="175" spans="1:12" x14ac:dyDescent="0.25">
      <c r="A175" t="s">
        <v>24</v>
      </c>
      <c r="D175" t="s">
        <v>312</v>
      </c>
      <c r="E175">
        <v>2002</v>
      </c>
      <c r="F175">
        <v>2</v>
      </c>
      <c r="G175">
        <v>4</v>
      </c>
      <c r="H175">
        <v>5</v>
      </c>
      <c r="I175">
        <v>153</v>
      </c>
      <c r="J175" s="6"/>
      <c r="K175" s="13">
        <v>45869</v>
      </c>
      <c r="L175" s="50">
        <v>0.91600000000000004</v>
      </c>
    </row>
    <row r="176" spans="1:12" x14ac:dyDescent="0.25">
      <c r="A176" t="s">
        <v>24</v>
      </c>
      <c r="D176" t="s">
        <v>312</v>
      </c>
      <c r="E176">
        <v>2002</v>
      </c>
      <c r="F176">
        <v>2</v>
      </c>
      <c r="G176">
        <v>4</v>
      </c>
      <c r="H176">
        <v>5</v>
      </c>
      <c r="I176">
        <v>153</v>
      </c>
      <c r="J176" s="6"/>
      <c r="K176" s="13">
        <v>45881</v>
      </c>
      <c r="L176" s="50">
        <v>0.88636000000000004</v>
      </c>
    </row>
    <row r="177" spans="1:12" x14ac:dyDescent="0.25">
      <c r="A177" t="s">
        <v>24</v>
      </c>
      <c r="D177" t="s">
        <v>312</v>
      </c>
      <c r="E177">
        <v>2002</v>
      </c>
      <c r="F177">
        <v>2</v>
      </c>
      <c r="G177">
        <v>4</v>
      </c>
      <c r="H177">
        <v>5</v>
      </c>
      <c r="I177">
        <v>153</v>
      </c>
      <c r="J177" s="6"/>
      <c r="K177" s="13">
        <v>45895</v>
      </c>
      <c r="L177" s="50">
        <v>0.91074999999999995</v>
      </c>
    </row>
    <row r="178" spans="1:12" x14ac:dyDescent="0.25">
      <c r="A178" t="s">
        <v>24</v>
      </c>
      <c r="D178" t="s">
        <v>312</v>
      </c>
      <c r="E178">
        <v>2002</v>
      </c>
      <c r="F178">
        <v>2</v>
      </c>
      <c r="G178">
        <v>4</v>
      </c>
      <c r="H178">
        <v>5</v>
      </c>
      <c r="I178">
        <v>153</v>
      </c>
      <c r="J178" s="6"/>
      <c r="K178" s="13">
        <v>45908</v>
      </c>
      <c r="L178" s="50">
        <v>0.96099999999999997</v>
      </c>
    </row>
    <row r="179" spans="1:12" x14ac:dyDescent="0.25">
      <c r="A179" t="s">
        <v>24</v>
      </c>
      <c r="D179" t="s">
        <v>312</v>
      </c>
      <c r="E179">
        <v>2002</v>
      </c>
      <c r="F179">
        <v>2</v>
      </c>
      <c r="G179">
        <v>4</v>
      </c>
      <c r="H179">
        <v>5</v>
      </c>
      <c r="I179">
        <v>153</v>
      </c>
      <c r="J179" s="6"/>
      <c r="K179" s="13">
        <v>45925</v>
      </c>
      <c r="L179" s="50">
        <v>0.94599999999999995</v>
      </c>
    </row>
    <row r="180" spans="1:12" x14ac:dyDescent="0.25">
      <c r="A180" t="s">
        <v>24</v>
      </c>
      <c r="D180" t="s">
        <v>312</v>
      </c>
      <c r="E180">
        <v>2002</v>
      </c>
      <c r="F180">
        <v>2</v>
      </c>
      <c r="G180">
        <v>4</v>
      </c>
      <c r="H180">
        <v>5</v>
      </c>
      <c r="I180">
        <v>153</v>
      </c>
      <c r="J180" s="6"/>
      <c r="K180" s="13">
        <v>45951</v>
      </c>
      <c r="L180" s="50">
        <v>0.78674999999999995</v>
      </c>
    </row>
    <row r="181" spans="1:12" x14ac:dyDescent="0.25">
      <c r="A181" t="s">
        <v>24</v>
      </c>
      <c r="D181" t="s">
        <v>312</v>
      </c>
      <c r="E181">
        <v>2002</v>
      </c>
      <c r="F181">
        <v>2</v>
      </c>
      <c r="G181">
        <v>4</v>
      </c>
      <c r="H181">
        <v>5</v>
      </c>
      <c r="I181">
        <v>153</v>
      </c>
      <c r="J181" s="6"/>
      <c r="K181" s="13">
        <v>45967</v>
      </c>
      <c r="L181" s="50">
        <v>0.69210000000000005</v>
      </c>
    </row>
    <row r="182" spans="1:12" x14ac:dyDescent="0.25">
      <c r="A182" t="s">
        <v>24</v>
      </c>
      <c r="D182" t="s">
        <v>26</v>
      </c>
      <c r="E182">
        <v>1983</v>
      </c>
      <c r="F182">
        <v>2</v>
      </c>
      <c r="G182">
        <v>4</v>
      </c>
      <c r="H182">
        <v>6</v>
      </c>
      <c r="I182">
        <v>154</v>
      </c>
      <c r="J182" s="6"/>
      <c r="K182" s="13">
        <v>45827</v>
      </c>
      <c r="L182" s="50">
        <v>0.88790999999999998</v>
      </c>
    </row>
    <row r="183" spans="1:12" x14ac:dyDescent="0.25">
      <c r="A183" t="s">
        <v>24</v>
      </c>
      <c r="D183" t="s">
        <v>26</v>
      </c>
      <c r="E183">
        <v>1983</v>
      </c>
      <c r="F183">
        <v>2</v>
      </c>
      <c r="G183">
        <v>4</v>
      </c>
      <c r="H183">
        <v>6</v>
      </c>
      <c r="I183">
        <v>154</v>
      </c>
      <c r="J183" s="6"/>
      <c r="K183" s="13">
        <v>45856</v>
      </c>
      <c r="L183" s="50">
        <v>0.92217000000000005</v>
      </c>
    </row>
    <row r="184" spans="1:12" x14ac:dyDescent="0.25">
      <c r="A184" t="s">
        <v>24</v>
      </c>
      <c r="D184" t="s">
        <v>26</v>
      </c>
      <c r="E184">
        <v>1983</v>
      </c>
      <c r="F184">
        <v>2</v>
      </c>
      <c r="G184">
        <v>4</v>
      </c>
      <c r="H184">
        <v>6</v>
      </c>
      <c r="I184">
        <v>154</v>
      </c>
      <c r="J184" s="6"/>
      <c r="K184" s="13">
        <v>45869</v>
      </c>
      <c r="L184" s="50">
        <v>0.91400000000000003</v>
      </c>
    </row>
    <row r="185" spans="1:12" x14ac:dyDescent="0.25">
      <c r="A185" t="s">
        <v>24</v>
      </c>
      <c r="D185" t="s">
        <v>26</v>
      </c>
      <c r="E185">
        <v>1983</v>
      </c>
      <c r="F185">
        <v>2</v>
      </c>
      <c r="G185">
        <v>4</v>
      </c>
      <c r="H185">
        <v>6</v>
      </c>
      <c r="I185">
        <v>154</v>
      </c>
      <c r="J185" s="6"/>
      <c r="K185" s="13">
        <v>45881</v>
      </c>
      <c r="L185" s="50">
        <v>0.90608</v>
      </c>
    </row>
    <row r="186" spans="1:12" x14ac:dyDescent="0.25">
      <c r="A186" t="s">
        <v>24</v>
      </c>
      <c r="D186" t="s">
        <v>26</v>
      </c>
      <c r="E186">
        <v>1983</v>
      </c>
      <c r="F186">
        <v>2</v>
      </c>
      <c r="G186">
        <v>4</v>
      </c>
      <c r="H186">
        <v>6</v>
      </c>
      <c r="I186">
        <v>154</v>
      </c>
      <c r="J186" s="6"/>
      <c r="K186" s="13">
        <v>45895</v>
      </c>
      <c r="L186" s="50">
        <v>0.84760000000000002</v>
      </c>
    </row>
    <row r="187" spans="1:12" x14ac:dyDescent="0.25">
      <c r="A187" t="s">
        <v>24</v>
      </c>
      <c r="D187" t="s">
        <v>26</v>
      </c>
      <c r="E187">
        <v>1983</v>
      </c>
      <c r="F187">
        <v>2</v>
      </c>
      <c r="G187">
        <v>4</v>
      </c>
      <c r="H187">
        <v>6</v>
      </c>
      <c r="I187">
        <v>154</v>
      </c>
      <c r="J187" s="6"/>
      <c r="K187" s="13">
        <v>45908</v>
      </c>
      <c r="L187" s="50">
        <v>0.95108999999999999</v>
      </c>
    </row>
    <row r="188" spans="1:12" x14ac:dyDescent="0.25">
      <c r="A188" t="s">
        <v>24</v>
      </c>
      <c r="D188" t="s">
        <v>26</v>
      </c>
      <c r="E188">
        <v>1983</v>
      </c>
      <c r="F188">
        <v>2</v>
      </c>
      <c r="G188">
        <v>4</v>
      </c>
      <c r="H188">
        <v>6</v>
      </c>
      <c r="I188">
        <v>154</v>
      </c>
      <c r="J188" s="6"/>
      <c r="K188" s="13">
        <v>45925</v>
      </c>
      <c r="L188" s="50">
        <v>0.93111999999999995</v>
      </c>
    </row>
    <row r="189" spans="1:12" x14ac:dyDescent="0.25">
      <c r="A189" t="s">
        <v>24</v>
      </c>
      <c r="D189" t="s">
        <v>26</v>
      </c>
      <c r="E189">
        <v>1983</v>
      </c>
      <c r="F189">
        <v>2</v>
      </c>
      <c r="G189">
        <v>4</v>
      </c>
      <c r="H189">
        <v>6</v>
      </c>
      <c r="I189">
        <v>154</v>
      </c>
      <c r="J189" s="6"/>
      <c r="K189" s="13">
        <v>45951</v>
      </c>
      <c r="L189" s="50">
        <v>0.68899999999999995</v>
      </c>
    </row>
    <row r="190" spans="1:12" x14ac:dyDescent="0.25">
      <c r="A190" t="s">
        <v>24</v>
      </c>
      <c r="D190" t="s">
        <v>26</v>
      </c>
      <c r="E190">
        <v>1983</v>
      </c>
      <c r="F190">
        <v>2</v>
      </c>
      <c r="G190">
        <v>4</v>
      </c>
      <c r="H190">
        <v>6</v>
      </c>
      <c r="I190">
        <v>154</v>
      </c>
      <c r="J190" s="6"/>
      <c r="K190" s="13">
        <v>45967</v>
      </c>
      <c r="L190" s="50">
        <v>0.50414000000000003</v>
      </c>
    </row>
    <row r="191" spans="1:12" x14ac:dyDescent="0.25">
      <c r="A191" t="s">
        <v>24</v>
      </c>
      <c r="D191" t="s">
        <v>32</v>
      </c>
      <c r="E191">
        <v>2018</v>
      </c>
      <c r="F191">
        <v>2</v>
      </c>
      <c r="G191">
        <v>3</v>
      </c>
      <c r="H191">
        <v>6</v>
      </c>
      <c r="I191">
        <v>138</v>
      </c>
      <c r="J191" s="6"/>
      <c r="K191" s="13">
        <v>45827</v>
      </c>
      <c r="L191" s="50">
        <v>0.88844999999999996</v>
      </c>
    </row>
    <row r="192" spans="1:12" x14ac:dyDescent="0.25">
      <c r="A192" t="s">
        <v>24</v>
      </c>
      <c r="D192" t="s">
        <v>32</v>
      </c>
      <c r="E192">
        <v>2018</v>
      </c>
      <c r="F192">
        <v>2</v>
      </c>
      <c r="G192">
        <v>3</v>
      </c>
      <c r="H192">
        <v>6</v>
      </c>
      <c r="I192">
        <v>138</v>
      </c>
      <c r="J192" s="6"/>
      <c r="K192" s="13">
        <v>45856</v>
      </c>
      <c r="L192" s="50">
        <v>0.90607000000000004</v>
      </c>
    </row>
    <row r="193" spans="1:12" x14ac:dyDescent="0.25">
      <c r="A193" t="s">
        <v>24</v>
      </c>
      <c r="D193" t="s">
        <v>32</v>
      </c>
      <c r="E193">
        <v>2018</v>
      </c>
      <c r="F193">
        <v>2</v>
      </c>
      <c r="G193">
        <v>3</v>
      </c>
      <c r="H193">
        <v>6</v>
      </c>
      <c r="I193">
        <v>138</v>
      </c>
      <c r="J193" s="6"/>
      <c r="K193" s="13">
        <v>45869</v>
      </c>
      <c r="L193" s="50">
        <v>0.90069999999999995</v>
      </c>
    </row>
    <row r="194" spans="1:12" x14ac:dyDescent="0.25">
      <c r="A194" t="s">
        <v>24</v>
      </c>
      <c r="D194" t="s">
        <v>32</v>
      </c>
      <c r="E194">
        <v>2018</v>
      </c>
      <c r="F194">
        <v>2</v>
      </c>
      <c r="G194">
        <v>3</v>
      </c>
      <c r="H194">
        <v>6</v>
      </c>
      <c r="I194">
        <v>138</v>
      </c>
      <c r="J194" s="6"/>
      <c r="K194" s="13">
        <v>45881</v>
      </c>
      <c r="L194" s="50">
        <v>0.87087000000000003</v>
      </c>
    </row>
    <row r="195" spans="1:12" x14ac:dyDescent="0.25">
      <c r="A195" t="s">
        <v>24</v>
      </c>
      <c r="D195" t="s">
        <v>32</v>
      </c>
      <c r="E195">
        <v>2018</v>
      </c>
      <c r="F195">
        <v>2</v>
      </c>
      <c r="G195">
        <v>3</v>
      </c>
      <c r="H195">
        <v>6</v>
      </c>
      <c r="I195">
        <v>138</v>
      </c>
      <c r="J195" s="6"/>
      <c r="K195" s="13">
        <v>45895</v>
      </c>
      <c r="L195" s="50">
        <v>0.81691000000000003</v>
      </c>
    </row>
    <row r="196" spans="1:12" x14ac:dyDescent="0.25">
      <c r="A196" t="s">
        <v>24</v>
      </c>
      <c r="D196" t="s">
        <v>32</v>
      </c>
      <c r="E196">
        <v>2018</v>
      </c>
      <c r="F196">
        <v>2</v>
      </c>
      <c r="G196">
        <v>3</v>
      </c>
      <c r="H196">
        <v>6</v>
      </c>
      <c r="I196">
        <v>138</v>
      </c>
      <c r="J196" s="6"/>
      <c r="K196" s="13">
        <v>45908</v>
      </c>
      <c r="L196" s="50">
        <v>0.94121999999999995</v>
      </c>
    </row>
    <row r="197" spans="1:12" x14ac:dyDescent="0.25">
      <c r="A197" t="s">
        <v>24</v>
      </c>
      <c r="D197" t="s">
        <v>32</v>
      </c>
      <c r="E197">
        <v>2018</v>
      </c>
      <c r="F197">
        <v>2</v>
      </c>
      <c r="G197">
        <v>3</v>
      </c>
      <c r="H197">
        <v>6</v>
      </c>
      <c r="I197">
        <v>138</v>
      </c>
      <c r="J197" s="6"/>
      <c r="K197" s="13">
        <v>45925</v>
      </c>
      <c r="L197" s="50">
        <v>0.94530999999999998</v>
      </c>
    </row>
    <row r="198" spans="1:12" x14ac:dyDescent="0.25">
      <c r="A198" t="s">
        <v>24</v>
      </c>
      <c r="D198" t="s">
        <v>32</v>
      </c>
      <c r="E198">
        <v>2018</v>
      </c>
      <c r="F198">
        <v>2</v>
      </c>
      <c r="G198">
        <v>3</v>
      </c>
      <c r="H198">
        <v>6</v>
      </c>
      <c r="I198">
        <v>138</v>
      </c>
      <c r="J198" s="6"/>
      <c r="K198" s="13">
        <v>45951</v>
      </c>
      <c r="L198" s="50">
        <v>0.73729</v>
      </c>
    </row>
    <row r="199" spans="1:12" x14ac:dyDescent="0.25">
      <c r="A199" t="s">
        <v>24</v>
      </c>
      <c r="D199" t="s">
        <v>32</v>
      </c>
      <c r="E199">
        <v>2018</v>
      </c>
      <c r="F199">
        <v>2</v>
      </c>
      <c r="G199">
        <v>3</v>
      </c>
      <c r="H199">
        <v>6</v>
      </c>
      <c r="I199">
        <v>138</v>
      </c>
      <c r="J199" s="6"/>
      <c r="K199" s="13">
        <v>45967</v>
      </c>
      <c r="L199" s="50">
        <v>0.64339999999999997</v>
      </c>
    </row>
    <row r="200" spans="1:12" x14ac:dyDescent="0.25">
      <c r="A200" t="s">
        <v>24</v>
      </c>
      <c r="D200" t="s">
        <v>28</v>
      </c>
      <c r="E200">
        <v>1998</v>
      </c>
      <c r="F200">
        <v>2</v>
      </c>
      <c r="G200">
        <v>2</v>
      </c>
      <c r="H200">
        <v>6</v>
      </c>
      <c r="I200">
        <v>122</v>
      </c>
      <c r="J200" s="6"/>
      <c r="K200" s="13">
        <v>45827</v>
      </c>
      <c r="L200" s="50">
        <v>0.89292000000000005</v>
      </c>
    </row>
    <row r="201" spans="1:12" x14ac:dyDescent="0.25">
      <c r="A201" t="s">
        <v>24</v>
      </c>
      <c r="D201" t="s">
        <v>28</v>
      </c>
      <c r="E201">
        <v>1998</v>
      </c>
      <c r="F201">
        <v>2</v>
      </c>
      <c r="G201">
        <v>2</v>
      </c>
      <c r="H201">
        <v>6</v>
      </c>
      <c r="I201">
        <v>122</v>
      </c>
      <c r="J201" s="6"/>
      <c r="K201" s="13">
        <v>45856</v>
      </c>
      <c r="L201" s="50">
        <v>0.91822999999999999</v>
      </c>
    </row>
    <row r="202" spans="1:12" x14ac:dyDescent="0.25">
      <c r="A202" t="s">
        <v>24</v>
      </c>
      <c r="D202" t="s">
        <v>28</v>
      </c>
      <c r="E202">
        <v>1998</v>
      </c>
      <c r="F202">
        <v>2</v>
      </c>
      <c r="G202">
        <v>2</v>
      </c>
      <c r="H202">
        <v>6</v>
      </c>
      <c r="I202">
        <v>122</v>
      </c>
      <c r="J202" s="6"/>
      <c r="K202" s="13">
        <v>45869</v>
      </c>
      <c r="L202" s="50">
        <v>0.92459999999999998</v>
      </c>
    </row>
    <row r="203" spans="1:12" x14ac:dyDescent="0.25">
      <c r="A203" t="s">
        <v>24</v>
      </c>
      <c r="D203" t="s">
        <v>28</v>
      </c>
      <c r="E203">
        <v>1998</v>
      </c>
      <c r="F203">
        <v>2</v>
      </c>
      <c r="G203">
        <v>2</v>
      </c>
      <c r="H203">
        <v>6</v>
      </c>
      <c r="I203">
        <v>122</v>
      </c>
      <c r="J203" s="6"/>
      <c r="K203" s="13">
        <v>45881</v>
      </c>
      <c r="L203" s="50">
        <v>0.88863999999999999</v>
      </c>
    </row>
    <row r="204" spans="1:12" x14ac:dyDescent="0.25">
      <c r="A204" t="s">
        <v>24</v>
      </c>
      <c r="D204" t="s">
        <v>28</v>
      </c>
      <c r="E204">
        <v>1998</v>
      </c>
      <c r="F204">
        <v>2</v>
      </c>
      <c r="G204">
        <v>2</v>
      </c>
      <c r="H204">
        <v>6</v>
      </c>
      <c r="I204">
        <v>122</v>
      </c>
      <c r="J204" s="6"/>
      <c r="K204" s="13">
        <v>45895</v>
      </c>
      <c r="L204" s="50">
        <v>0.85885999999999996</v>
      </c>
    </row>
    <row r="205" spans="1:12" x14ac:dyDescent="0.25">
      <c r="A205" t="s">
        <v>24</v>
      </c>
      <c r="D205" t="s">
        <v>28</v>
      </c>
      <c r="E205">
        <v>1998</v>
      </c>
      <c r="F205">
        <v>2</v>
      </c>
      <c r="G205">
        <v>2</v>
      </c>
      <c r="H205">
        <v>6</v>
      </c>
      <c r="I205">
        <v>122</v>
      </c>
      <c r="J205" s="6"/>
      <c r="K205" s="13">
        <v>45908</v>
      </c>
      <c r="L205" s="50">
        <v>0.93400000000000005</v>
      </c>
    </row>
    <row r="206" spans="1:12" x14ac:dyDescent="0.25">
      <c r="A206" t="s">
        <v>24</v>
      </c>
      <c r="D206" t="s">
        <v>28</v>
      </c>
      <c r="E206">
        <v>1998</v>
      </c>
      <c r="F206">
        <v>2</v>
      </c>
      <c r="G206">
        <v>2</v>
      </c>
      <c r="H206">
        <v>6</v>
      </c>
      <c r="I206">
        <v>122</v>
      </c>
      <c r="J206" s="6"/>
      <c r="K206" s="13">
        <v>45925</v>
      </c>
      <c r="L206" s="50">
        <v>0.94311999999999996</v>
      </c>
    </row>
    <row r="207" spans="1:12" x14ac:dyDescent="0.25">
      <c r="A207" t="s">
        <v>24</v>
      </c>
      <c r="D207" t="s">
        <v>28</v>
      </c>
      <c r="E207">
        <v>1998</v>
      </c>
      <c r="F207">
        <v>2</v>
      </c>
      <c r="G207">
        <v>2</v>
      </c>
      <c r="H207">
        <v>6</v>
      </c>
      <c r="I207">
        <v>122</v>
      </c>
      <c r="J207" s="6"/>
      <c r="K207" s="13">
        <v>45951</v>
      </c>
      <c r="L207" s="50">
        <v>0.79700000000000004</v>
      </c>
    </row>
    <row r="208" spans="1:12" x14ac:dyDescent="0.25">
      <c r="A208" t="s">
        <v>24</v>
      </c>
      <c r="D208" t="s">
        <v>28</v>
      </c>
      <c r="E208">
        <v>1998</v>
      </c>
      <c r="F208">
        <v>2</v>
      </c>
      <c r="G208">
        <v>2</v>
      </c>
      <c r="H208">
        <v>6</v>
      </c>
      <c r="I208">
        <v>122</v>
      </c>
      <c r="J208" s="6"/>
      <c r="K208" s="13">
        <v>45967</v>
      </c>
      <c r="L208" s="50">
        <v>0.71619999999999995</v>
      </c>
    </row>
    <row r="209" spans="1:12" x14ac:dyDescent="0.25">
      <c r="A209" t="s">
        <v>24</v>
      </c>
      <c r="D209" t="s">
        <v>311</v>
      </c>
      <c r="E209">
        <v>2023</v>
      </c>
      <c r="F209">
        <v>2</v>
      </c>
      <c r="G209">
        <v>1</v>
      </c>
      <c r="H209">
        <v>6</v>
      </c>
      <c r="I209">
        <v>106</v>
      </c>
      <c r="J209" s="6"/>
      <c r="K209" s="13">
        <v>45827</v>
      </c>
      <c r="L209" s="50">
        <v>0.89063999999999999</v>
      </c>
    </row>
    <row r="210" spans="1:12" x14ac:dyDescent="0.25">
      <c r="A210" t="s">
        <v>24</v>
      </c>
      <c r="D210" t="s">
        <v>311</v>
      </c>
      <c r="E210">
        <v>2023</v>
      </c>
      <c r="F210">
        <v>2</v>
      </c>
      <c r="G210">
        <v>1</v>
      </c>
      <c r="H210">
        <v>6</v>
      </c>
      <c r="I210">
        <v>106</v>
      </c>
      <c r="J210" s="6"/>
      <c r="K210" s="13">
        <v>45856</v>
      </c>
      <c r="L210" s="50">
        <v>0.9032</v>
      </c>
    </row>
    <row r="211" spans="1:12" x14ac:dyDescent="0.25">
      <c r="A211" t="s">
        <v>24</v>
      </c>
      <c r="D211" t="s">
        <v>311</v>
      </c>
      <c r="E211">
        <v>2023</v>
      </c>
      <c r="F211">
        <v>2</v>
      </c>
      <c r="G211">
        <v>1</v>
      </c>
      <c r="H211">
        <v>6</v>
      </c>
      <c r="I211">
        <v>106</v>
      </c>
      <c r="J211" s="6"/>
      <c r="K211" s="13">
        <v>45869</v>
      </c>
      <c r="L211" s="50">
        <v>0.8952</v>
      </c>
    </row>
    <row r="212" spans="1:12" x14ac:dyDescent="0.25">
      <c r="A212" t="s">
        <v>24</v>
      </c>
      <c r="D212" t="s">
        <v>311</v>
      </c>
      <c r="E212">
        <v>2023</v>
      </c>
      <c r="F212">
        <v>2</v>
      </c>
      <c r="G212">
        <v>1</v>
      </c>
      <c r="H212">
        <v>6</v>
      </c>
      <c r="I212">
        <v>106</v>
      </c>
      <c r="J212" s="6"/>
      <c r="K212" s="13">
        <v>45881</v>
      </c>
      <c r="L212" s="50">
        <v>0.87273000000000001</v>
      </c>
    </row>
    <row r="213" spans="1:12" x14ac:dyDescent="0.25">
      <c r="A213" t="s">
        <v>24</v>
      </c>
      <c r="D213" t="s">
        <v>311</v>
      </c>
      <c r="E213">
        <v>2023</v>
      </c>
      <c r="F213">
        <v>2</v>
      </c>
      <c r="G213">
        <v>1</v>
      </c>
      <c r="H213">
        <v>6</v>
      </c>
      <c r="I213">
        <v>106</v>
      </c>
      <c r="J213" s="6"/>
      <c r="K213" s="13">
        <v>45895</v>
      </c>
      <c r="L213" s="50">
        <v>0.82554000000000005</v>
      </c>
    </row>
    <row r="214" spans="1:12" x14ac:dyDescent="0.25">
      <c r="A214" t="s">
        <v>24</v>
      </c>
      <c r="D214" t="s">
        <v>311</v>
      </c>
      <c r="E214">
        <v>2023</v>
      </c>
      <c r="F214">
        <v>2</v>
      </c>
      <c r="G214">
        <v>1</v>
      </c>
      <c r="H214">
        <v>6</v>
      </c>
      <c r="I214">
        <v>106</v>
      </c>
      <c r="J214" s="6"/>
      <c r="K214" s="13">
        <v>45908</v>
      </c>
      <c r="L214" s="50">
        <v>0.91335999999999995</v>
      </c>
    </row>
    <row r="215" spans="1:12" x14ac:dyDescent="0.25">
      <c r="A215" t="s">
        <v>24</v>
      </c>
      <c r="D215" t="s">
        <v>311</v>
      </c>
      <c r="E215">
        <v>2023</v>
      </c>
      <c r="F215">
        <v>2</v>
      </c>
      <c r="G215">
        <v>1</v>
      </c>
      <c r="H215">
        <v>6</v>
      </c>
      <c r="I215">
        <v>106</v>
      </c>
      <c r="J215" s="6"/>
      <c r="K215" s="13">
        <v>45925</v>
      </c>
      <c r="L215" s="50">
        <v>0.89593999999999996</v>
      </c>
    </row>
    <row r="216" spans="1:12" x14ac:dyDescent="0.25">
      <c r="A216" t="s">
        <v>24</v>
      </c>
      <c r="D216" t="s">
        <v>311</v>
      </c>
      <c r="E216">
        <v>2023</v>
      </c>
      <c r="F216">
        <v>2</v>
      </c>
      <c r="G216">
        <v>1</v>
      </c>
      <c r="H216">
        <v>6</v>
      </c>
      <c r="I216">
        <v>106</v>
      </c>
      <c r="J216" s="6"/>
      <c r="K216" s="13">
        <v>45951</v>
      </c>
      <c r="L216" s="50">
        <v>0.57545999999999997</v>
      </c>
    </row>
    <row r="217" spans="1:12" x14ac:dyDescent="0.25">
      <c r="A217" t="s">
        <v>24</v>
      </c>
      <c r="D217" t="s">
        <v>311</v>
      </c>
      <c r="E217">
        <v>2023</v>
      </c>
      <c r="F217">
        <v>2</v>
      </c>
      <c r="G217">
        <v>1</v>
      </c>
      <c r="H217">
        <v>6</v>
      </c>
      <c r="I217">
        <v>106</v>
      </c>
      <c r="J217" s="6"/>
      <c r="K217" s="13">
        <v>45967</v>
      </c>
      <c r="L217" s="50">
        <v>0.48818</v>
      </c>
    </row>
    <row r="218" spans="1:12" x14ac:dyDescent="0.25">
      <c r="A218" t="s">
        <v>34</v>
      </c>
      <c r="B218" s="54"/>
      <c r="C218" s="55"/>
      <c r="D218" t="s">
        <v>41</v>
      </c>
      <c r="E218">
        <v>2008</v>
      </c>
      <c r="F218">
        <v>2</v>
      </c>
      <c r="G218">
        <v>1</v>
      </c>
      <c r="H218">
        <v>7</v>
      </c>
      <c r="I218">
        <v>107</v>
      </c>
      <c r="J218" s="6"/>
      <c r="K218" s="13">
        <v>45827</v>
      </c>
      <c r="L218" s="50">
        <v>0.31424999999999997</v>
      </c>
    </row>
    <row r="219" spans="1:12" x14ac:dyDescent="0.25">
      <c r="A219" t="s">
        <v>34</v>
      </c>
      <c r="D219" t="s">
        <v>41</v>
      </c>
      <c r="E219">
        <v>2008</v>
      </c>
      <c r="F219">
        <v>2</v>
      </c>
      <c r="G219">
        <v>1</v>
      </c>
      <c r="H219">
        <v>7</v>
      </c>
      <c r="I219">
        <v>107</v>
      </c>
      <c r="J219" s="6"/>
      <c r="K219" s="13">
        <v>45856</v>
      </c>
      <c r="L219" s="50">
        <v>0.62807999999999997</v>
      </c>
    </row>
    <row r="220" spans="1:12" x14ac:dyDescent="0.25">
      <c r="A220" t="s">
        <v>34</v>
      </c>
      <c r="D220" t="s">
        <v>41</v>
      </c>
      <c r="E220">
        <v>2008</v>
      </c>
      <c r="F220">
        <v>2</v>
      </c>
      <c r="G220">
        <v>1</v>
      </c>
      <c r="H220">
        <v>7</v>
      </c>
      <c r="I220">
        <v>107</v>
      </c>
      <c r="J220" s="6"/>
      <c r="K220" s="13">
        <v>45869</v>
      </c>
      <c r="L220" s="50">
        <v>0.81133</v>
      </c>
    </row>
    <row r="221" spans="1:12" x14ac:dyDescent="0.25">
      <c r="A221" t="s">
        <v>34</v>
      </c>
      <c r="D221" t="s">
        <v>41</v>
      </c>
      <c r="E221">
        <v>2008</v>
      </c>
      <c r="F221">
        <v>2</v>
      </c>
      <c r="G221">
        <v>1</v>
      </c>
      <c r="H221">
        <v>7</v>
      </c>
      <c r="I221">
        <v>107</v>
      </c>
      <c r="J221" s="6"/>
      <c r="K221" s="13">
        <v>45881</v>
      </c>
      <c r="L221" s="50">
        <v>0.85475000000000001</v>
      </c>
    </row>
    <row r="222" spans="1:12" x14ac:dyDescent="0.25">
      <c r="A222" t="s">
        <v>34</v>
      </c>
      <c r="D222" t="s">
        <v>41</v>
      </c>
      <c r="E222">
        <v>2008</v>
      </c>
      <c r="F222">
        <v>2</v>
      </c>
      <c r="G222">
        <v>1</v>
      </c>
      <c r="H222">
        <v>7</v>
      </c>
      <c r="I222">
        <v>107</v>
      </c>
      <c r="J222" s="6"/>
      <c r="K222" s="13">
        <v>45895</v>
      </c>
      <c r="L222" s="50">
        <v>0.86092000000000002</v>
      </c>
    </row>
    <row r="223" spans="1:12" x14ac:dyDescent="0.25">
      <c r="A223" t="s">
        <v>34</v>
      </c>
      <c r="D223" t="s">
        <v>41</v>
      </c>
      <c r="E223">
        <v>2008</v>
      </c>
      <c r="F223">
        <v>2</v>
      </c>
      <c r="G223">
        <v>1</v>
      </c>
      <c r="H223">
        <v>7</v>
      </c>
      <c r="I223">
        <v>107</v>
      </c>
      <c r="J223" s="6"/>
      <c r="K223" s="13">
        <v>45908</v>
      </c>
      <c r="L223" s="50">
        <v>0.93567</v>
      </c>
    </row>
    <row r="224" spans="1:12" x14ac:dyDescent="0.25">
      <c r="A224" t="s">
        <v>34</v>
      </c>
      <c r="D224" t="s">
        <v>41</v>
      </c>
      <c r="E224">
        <v>2008</v>
      </c>
      <c r="F224">
        <v>2</v>
      </c>
      <c r="G224">
        <v>1</v>
      </c>
      <c r="H224">
        <v>7</v>
      </c>
      <c r="I224">
        <v>107</v>
      </c>
      <c r="J224" s="6"/>
      <c r="K224" s="13">
        <v>45925</v>
      </c>
      <c r="L224" s="50">
        <v>0.93518999999999997</v>
      </c>
    </row>
    <row r="225" spans="1:12" x14ac:dyDescent="0.25">
      <c r="A225" t="s">
        <v>34</v>
      </c>
      <c r="D225" t="s">
        <v>41</v>
      </c>
      <c r="E225">
        <v>2008</v>
      </c>
      <c r="F225">
        <v>2</v>
      </c>
      <c r="G225">
        <v>1</v>
      </c>
      <c r="H225">
        <v>7</v>
      </c>
      <c r="I225">
        <v>107</v>
      </c>
      <c r="J225" s="6"/>
      <c r="K225" s="13">
        <v>45951</v>
      </c>
      <c r="L225" s="50">
        <v>0.54349999999999998</v>
      </c>
    </row>
    <row r="226" spans="1:12" x14ac:dyDescent="0.25">
      <c r="A226" t="s">
        <v>34</v>
      </c>
      <c r="D226" t="s">
        <v>41</v>
      </c>
      <c r="E226">
        <v>2008</v>
      </c>
      <c r="F226">
        <v>2</v>
      </c>
      <c r="G226">
        <v>1</v>
      </c>
      <c r="H226">
        <v>7</v>
      </c>
      <c r="I226">
        <v>107</v>
      </c>
      <c r="J226" s="6"/>
      <c r="K226" s="13">
        <v>45967</v>
      </c>
      <c r="L226" s="50">
        <v>0.45933000000000002</v>
      </c>
    </row>
    <row r="227" spans="1:12" x14ac:dyDescent="0.25">
      <c r="A227" t="s">
        <v>34</v>
      </c>
      <c r="D227" t="s">
        <v>37</v>
      </c>
      <c r="E227">
        <v>1989</v>
      </c>
      <c r="F227">
        <v>2</v>
      </c>
      <c r="G227">
        <v>2</v>
      </c>
      <c r="H227">
        <v>7</v>
      </c>
      <c r="I227">
        <v>123</v>
      </c>
      <c r="J227" s="6"/>
      <c r="K227" s="13">
        <v>45827</v>
      </c>
      <c r="L227" s="50">
        <v>0.31140000000000001</v>
      </c>
    </row>
    <row r="228" spans="1:12" x14ac:dyDescent="0.25">
      <c r="A228" t="s">
        <v>34</v>
      </c>
      <c r="D228" t="s">
        <v>37</v>
      </c>
      <c r="E228">
        <v>1989</v>
      </c>
      <c r="F228">
        <v>2</v>
      </c>
      <c r="G228">
        <v>2</v>
      </c>
      <c r="H228">
        <v>7</v>
      </c>
      <c r="I228">
        <v>123</v>
      </c>
      <c r="J228" s="6"/>
      <c r="K228" s="13">
        <v>45856</v>
      </c>
      <c r="L228" s="50">
        <v>0.65261999999999998</v>
      </c>
    </row>
    <row r="229" spans="1:12" x14ac:dyDescent="0.25">
      <c r="A229" t="s">
        <v>34</v>
      </c>
      <c r="D229" t="s">
        <v>37</v>
      </c>
      <c r="E229">
        <v>1989</v>
      </c>
      <c r="F229">
        <v>2</v>
      </c>
      <c r="G229">
        <v>2</v>
      </c>
      <c r="H229">
        <v>7</v>
      </c>
      <c r="I229">
        <v>123</v>
      </c>
      <c r="J229" s="6"/>
      <c r="K229" s="13">
        <v>45869</v>
      </c>
      <c r="L229" s="50">
        <v>0.80279999999999996</v>
      </c>
    </row>
    <row r="230" spans="1:12" x14ac:dyDescent="0.25">
      <c r="A230" t="s">
        <v>34</v>
      </c>
      <c r="D230" t="s">
        <v>37</v>
      </c>
      <c r="E230">
        <v>1989</v>
      </c>
      <c r="F230">
        <v>2</v>
      </c>
      <c r="G230">
        <v>2</v>
      </c>
      <c r="H230">
        <v>7</v>
      </c>
      <c r="I230">
        <v>123</v>
      </c>
      <c r="J230" s="6"/>
      <c r="K230" s="13">
        <v>45881</v>
      </c>
      <c r="L230" s="50">
        <v>0.85555000000000003</v>
      </c>
    </row>
    <row r="231" spans="1:12" x14ac:dyDescent="0.25">
      <c r="A231" t="s">
        <v>34</v>
      </c>
      <c r="D231" t="s">
        <v>37</v>
      </c>
      <c r="E231">
        <v>1989</v>
      </c>
      <c r="F231">
        <v>2</v>
      </c>
      <c r="G231">
        <v>2</v>
      </c>
      <c r="H231">
        <v>7</v>
      </c>
      <c r="I231">
        <v>123</v>
      </c>
      <c r="J231" s="6"/>
      <c r="K231" s="13">
        <v>45895</v>
      </c>
      <c r="L231" s="50">
        <v>0.85667000000000004</v>
      </c>
    </row>
    <row r="232" spans="1:12" x14ac:dyDescent="0.25">
      <c r="A232" t="s">
        <v>34</v>
      </c>
      <c r="D232" t="s">
        <v>37</v>
      </c>
      <c r="E232">
        <v>1989</v>
      </c>
      <c r="F232">
        <v>2</v>
      </c>
      <c r="G232">
        <v>2</v>
      </c>
      <c r="H232">
        <v>7</v>
      </c>
      <c r="I232">
        <v>123</v>
      </c>
      <c r="J232" s="6"/>
      <c r="K232" s="13">
        <v>45908</v>
      </c>
      <c r="L232" s="50">
        <v>0.94850000000000001</v>
      </c>
    </row>
    <row r="233" spans="1:12" x14ac:dyDescent="0.25">
      <c r="A233" t="s">
        <v>34</v>
      </c>
      <c r="D233" t="s">
        <v>37</v>
      </c>
      <c r="E233">
        <v>1989</v>
      </c>
      <c r="F233">
        <v>2</v>
      </c>
      <c r="G233">
        <v>2</v>
      </c>
      <c r="H233">
        <v>7</v>
      </c>
      <c r="I233">
        <v>123</v>
      </c>
      <c r="J233" s="6"/>
      <c r="K233" s="13">
        <v>45925</v>
      </c>
      <c r="L233" s="50">
        <v>0.93493000000000004</v>
      </c>
    </row>
    <row r="234" spans="1:12" x14ac:dyDescent="0.25">
      <c r="A234" t="s">
        <v>34</v>
      </c>
      <c r="D234" t="s">
        <v>37</v>
      </c>
      <c r="E234">
        <v>1989</v>
      </c>
      <c r="F234">
        <v>2</v>
      </c>
      <c r="G234">
        <v>2</v>
      </c>
      <c r="H234">
        <v>7</v>
      </c>
      <c r="I234">
        <v>123</v>
      </c>
      <c r="J234" s="6"/>
      <c r="K234" s="13">
        <v>45951</v>
      </c>
      <c r="L234" s="50">
        <v>0.66735999999999995</v>
      </c>
    </row>
    <row r="235" spans="1:12" x14ac:dyDescent="0.25">
      <c r="A235" t="s">
        <v>34</v>
      </c>
      <c r="D235" t="s">
        <v>37</v>
      </c>
      <c r="E235">
        <v>1989</v>
      </c>
      <c r="F235">
        <v>2</v>
      </c>
      <c r="G235">
        <v>2</v>
      </c>
      <c r="H235">
        <v>7</v>
      </c>
      <c r="I235">
        <v>123</v>
      </c>
      <c r="J235" s="6"/>
      <c r="K235" s="13">
        <v>45967</v>
      </c>
      <c r="L235" s="50">
        <v>0.53127000000000002</v>
      </c>
    </row>
    <row r="236" spans="1:12" x14ac:dyDescent="0.25">
      <c r="A236" t="s">
        <v>34</v>
      </c>
      <c r="D236" t="s">
        <v>39</v>
      </c>
      <c r="E236">
        <v>2001</v>
      </c>
      <c r="F236">
        <v>2</v>
      </c>
      <c r="G236">
        <v>3</v>
      </c>
      <c r="H236">
        <v>7</v>
      </c>
      <c r="I236">
        <v>139</v>
      </c>
      <c r="J236" s="6"/>
      <c r="K236" s="13">
        <v>45827</v>
      </c>
      <c r="L236" s="50">
        <v>0.314</v>
      </c>
    </row>
    <row r="237" spans="1:12" x14ac:dyDescent="0.25">
      <c r="A237" t="s">
        <v>34</v>
      </c>
      <c r="D237" t="s">
        <v>39</v>
      </c>
      <c r="E237">
        <v>2001</v>
      </c>
      <c r="F237">
        <v>2</v>
      </c>
      <c r="G237">
        <v>3</v>
      </c>
      <c r="H237">
        <v>7</v>
      </c>
      <c r="I237">
        <v>139</v>
      </c>
      <c r="J237" s="6"/>
      <c r="K237" s="13">
        <v>45856</v>
      </c>
      <c r="L237" s="50">
        <v>0.68654999999999999</v>
      </c>
    </row>
    <row r="238" spans="1:12" x14ac:dyDescent="0.25">
      <c r="A238" t="s">
        <v>34</v>
      </c>
      <c r="D238" t="s">
        <v>39</v>
      </c>
      <c r="E238">
        <v>2001</v>
      </c>
      <c r="F238">
        <v>2</v>
      </c>
      <c r="G238">
        <v>3</v>
      </c>
      <c r="H238">
        <v>7</v>
      </c>
      <c r="I238">
        <v>139</v>
      </c>
      <c r="J238" s="6"/>
      <c r="K238" s="13">
        <v>45869</v>
      </c>
      <c r="L238" s="50">
        <v>0.83599999999999997</v>
      </c>
    </row>
    <row r="239" spans="1:12" x14ac:dyDescent="0.25">
      <c r="A239" t="s">
        <v>34</v>
      </c>
      <c r="D239" t="s">
        <v>39</v>
      </c>
      <c r="E239">
        <v>2001</v>
      </c>
      <c r="F239">
        <v>2</v>
      </c>
      <c r="G239">
        <v>3</v>
      </c>
      <c r="H239">
        <v>7</v>
      </c>
      <c r="I239">
        <v>139</v>
      </c>
      <c r="J239" s="6"/>
      <c r="K239" s="13">
        <v>45881</v>
      </c>
      <c r="L239" s="50">
        <v>0.86590999999999996</v>
      </c>
    </row>
    <row r="240" spans="1:12" x14ac:dyDescent="0.25">
      <c r="A240" t="s">
        <v>34</v>
      </c>
      <c r="D240" t="s">
        <v>39</v>
      </c>
      <c r="E240">
        <v>2001</v>
      </c>
      <c r="F240">
        <v>2</v>
      </c>
      <c r="G240">
        <v>3</v>
      </c>
      <c r="H240">
        <v>7</v>
      </c>
      <c r="I240">
        <v>139</v>
      </c>
      <c r="J240" s="6"/>
      <c r="K240" s="13">
        <v>45895</v>
      </c>
      <c r="L240" s="50">
        <v>0.84055000000000002</v>
      </c>
    </row>
    <row r="241" spans="1:12" x14ac:dyDescent="0.25">
      <c r="A241" t="s">
        <v>34</v>
      </c>
      <c r="D241" t="s">
        <v>39</v>
      </c>
      <c r="E241">
        <v>2001</v>
      </c>
      <c r="F241">
        <v>2</v>
      </c>
      <c r="G241">
        <v>3</v>
      </c>
      <c r="H241">
        <v>7</v>
      </c>
      <c r="I241">
        <v>139</v>
      </c>
      <c r="J241" s="6"/>
      <c r="K241" s="13">
        <v>45908</v>
      </c>
      <c r="L241" s="50">
        <v>0.94438</v>
      </c>
    </row>
    <row r="242" spans="1:12" x14ac:dyDescent="0.25">
      <c r="A242" t="s">
        <v>34</v>
      </c>
      <c r="D242" t="s">
        <v>39</v>
      </c>
      <c r="E242">
        <v>2001</v>
      </c>
      <c r="F242">
        <v>2</v>
      </c>
      <c r="G242">
        <v>3</v>
      </c>
      <c r="H242">
        <v>7</v>
      </c>
      <c r="I242">
        <v>139</v>
      </c>
      <c r="J242" s="6"/>
      <c r="K242" s="13">
        <v>45925</v>
      </c>
      <c r="L242" s="50">
        <v>0.92479999999999996</v>
      </c>
    </row>
    <row r="243" spans="1:12" x14ac:dyDescent="0.25">
      <c r="A243" t="s">
        <v>34</v>
      </c>
      <c r="D243" t="s">
        <v>39</v>
      </c>
      <c r="E243">
        <v>2001</v>
      </c>
      <c r="F243">
        <v>2</v>
      </c>
      <c r="G243">
        <v>3</v>
      </c>
      <c r="H243">
        <v>7</v>
      </c>
      <c r="I243">
        <v>139</v>
      </c>
      <c r="J243" s="6"/>
      <c r="K243" s="13">
        <v>45951</v>
      </c>
      <c r="L243" s="50">
        <v>0.62166999999999994</v>
      </c>
    </row>
    <row r="244" spans="1:12" x14ac:dyDescent="0.25">
      <c r="A244" t="s">
        <v>34</v>
      </c>
      <c r="D244" t="s">
        <v>39</v>
      </c>
      <c r="E244">
        <v>2001</v>
      </c>
      <c r="F244">
        <v>2</v>
      </c>
      <c r="G244">
        <v>3</v>
      </c>
      <c r="H244">
        <v>7</v>
      </c>
      <c r="I244">
        <v>139</v>
      </c>
      <c r="J244" s="6"/>
      <c r="K244" s="13">
        <v>45967</v>
      </c>
      <c r="L244" s="50">
        <v>0.5</v>
      </c>
    </row>
    <row r="245" spans="1:12" x14ac:dyDescent="0.25">
      <c r="A245" t="s">
        <v>34</v>
      </c>
      <c r="D245" t="s">
        <v>36</v>
      </c>
      <c r="E245">
        <v>1984</v>
      </c>
      <c r="F245">
        <v>2</v>
      </c>
      <c r="G245">
        <v>4</v>
      </c>
      <c r="H245">
        <v>7</v>
      </c>
      <c r="I245">
        <v>155</v>
      </c>
      <c r="J245" s="6"/>
      <c r="K245" s="13">
        <v>45827</v>
      </c>
      <c r="L245" s="50">
        <v>0.32679999999999998</v>
      </c>
    </row>
    <row r="246" spans="1:12" x14ac:dyDescent="0.25">
      <c r="A246" t="s">
        <v>34</v>
      </c>
      <c r="D246" t="s">
        <v>36</v>
      </c>
      <c r="E246">
        <v>1984</v>
      </c>
      <c r="F246">
        <v>2</v>
      </c>
      <c r="G246">
        <v>4</v>
      </c>
      <c r="H246">
        <v>7</v>
      </c>
      <c r="I246">
        <v>155</v>
      </c>
      <c r="J246" s="6"/>
      <c r="K246" s="13">
        <v>45856</v>
      </c>
      <c r="L246" s="50">
        <v>0.69225000000000003</v>
      </c>
    </row>
    <row r="247" spans="1:12" x14ac:dyDescent="0.25">
      <c r="A247" t="s">
        <v>34</v>
      </c>
      <c r="D247" t="s">
        <v>36</v>
      </c>
      <c r="E247">
        <v>1984</v>
      </c>
      <c r="F247">
        <v>2</v>
      </c>
      <c r="G247">
        <v>4</v>
      </c>
      <c r="H247">
        <v>7</v>
      </c>
      <c r="I247">
        <v>155</v>
      </c>
      <c r="J247" s="6"/>
      <c r="K247" s="13">
        <v>45869</v>
      </c>
      <c r="L247" s="50">
        <v>0.85599999999999998</v>
      </c>
    </row>
    <row r="248" spans="1:12" x14ac:dyDescent="0.25">
      <c r="A248" t="s">
        <v>34</v>
      </c>
      <c r="D248" t="s">
        <v>36</v>
      </c>
      <c r="E248">
        <v>1984</v>
      </c>
      <c r="F248">
        <v>2</v>
      </c>
      <c r="G248">
        <v>4</v>
      </c>
      <c r="H248">
        <v>7</v>
      </c>
      <c r="I248">
        <v>155</v>
      </c>
      <c r="J248" s="6"/>
      <c r="K248" s="13">
        <v>45881</v>
      </c>
      <c r="L248" s="50">
        <v>0.88163999999999998</v>
      </c>
    </row>
    <row r="249" spans="1:12" x14ac:dyDescent="0.25">
      <c r="A249" t="s">
        <v>34</v>
      </c>
      <c r="D249" t="s">
        <v>36</v>
      </c>
      <c r="E249">
        <v>1984</v>
      </c>
      <c r="F249">
        <v>2</v>
      </c>
      <c r="G249">
        <v>4</v>
      </c>
      <c r="H249">
        <v>7</v>
      </c>
      <c r="I249">
        <v>155</v>
      </c>
      <c r="J249" s="6"/>
      <c r="K249" s="13">
        <v>45895</v>
      </c>
      <c r="L249" s="50">
        <v>0.88153999999999999</v>
      </c>
    </row>
    <row r="250" spans="1:12" x14ac:dyDescent="0.25">
      <c r="A250" t="s">
        <v>34</v>
      </c>
      <c r="D250" t="s">
        <v>36</v>
      </c>
      <c r="E250">
        <v>1984</v>
      </c>
      <c r="F250">
        <v>2</v>
      </c>
      <c r="G250">
        <v>4</v>
      </c>
      <c r="H250">
        <v>7</v>
      </c>
      <c r="I250">
        <v>155</v>
      </c>
      <c r="J250" s="6"/>
      <c r="K250" s="13">
        <v>45908</v>
      </c>
      <c r="L250" s="50">
        <v>0.93600000000000005</v>
      </c>
    </row>
    <row r="251" spans="1:12" x14ac:dyDescent="0.25">
      <c r="A251" t="s">
        <v>34</v>
      </c>
      <c r="D251" t="s">
        <v>36</v>
      </c>
      <c r="E251">
        <v>1984</v>
      </c>
      <c r="F251">
        <v>2</v>
      </c>
      <c r="G251">
        <v>4</v>
      </c>
      <c r="H251">
        <v>7</v>
      </c>
      <c r="I251">
        <v>155</v>
      </c>
      <c r="J251" s="6"/>
      <c r="K251" s="13">
        <v>45925</v>
      </c>
      <c r="L251" s="50">
        <v>0.93771000000000004</v>
      </c>
    </row>
    <row r="252" spans="1:12" x14ac:dyDescent="0.25">
      <c r="A252" t="s">
        <v>34</v>
      </c>
      <c r="D252" t="s">
        <v>36</v>
      </c>
      <c r="E252">
        <v>1984</v>
      </c>
      <c r="F252">
        <v>2</v>
      </c>
      <c r="G252">
        <v>4</v>
      </c>
      <c r="H252">
        <v>7</v>
      </c>
      <c r="I252">
        <v>155</v>
      </c>
      <c r="J252" s="6"/>
      <c r="K252" s="13">
        <v>45951</v>
      </c>
      <c r="L252" s="50">
        <v>0.67564000000000002</v>
      </c>
    </row>
    <row r="253" spans="1:12" x14ac:dyDescent="0.25">
      <c r="A253" t="s">
        <v>34</v>
      </c>
      <c r="D253" t="s">
        <v>36</v>
      </c>
      <c r="E253">
        <v>1984</v>
      </c>
      <c r="F253">
        <v>2</v>
      </c>
      <c r="G253">
        <v>4</v>
      </c>
      <c r="H253">
        <v>7</v>
      </c>
      <c r="I253">
        <v>155</v>
      </c>
      <c r="J253" s="6"/>
      <c r="K253" s="13">
        <v>45967</v>
      </c>
      <c r="L253" s="50">
        <v>0.46100000000000002</v>
      </c>
    </row>
    <row r="254" spans="1:12" x14ac:dyDescent="0.25">
      <c r="A254" t="s">
        <v>34</v>
      </c>
      <c r="D254" t="s">
        <v>42</v>
      </c>
      <c r="E254">
        <v>2016</v>
      </c>
      <c r="F254">
        <v>2</v>
      </c>
      <c r="G254">
        <v>4</v>
      </c>
      <c r="H254">
        <v>8</v>
      </c>
      <c r="I254">
        <v>156</v>
      </c>
      <c r="J254" s="6"/>
      <c r="K254" s="13">
        <v>45827</v>
      </c>
      <c r="L254" s="50">
        <v>0.29287999999999997</v>
      </c>
    </row>
    <row r="255" spans="1:12" x14ac:dyDescent="0.25">
      <c r="A255" t="s">
        <v>34</v>
      </c>
      <c r="D255" t="s">
        <v>42</v>
      </c>
      <c r="E255">
        <v>2016</v>
      </c>
      <c r="F255">
        <v>2</v>
      </c>
      <c r="G255">
        <v>4</v>
      </c>
      <c r="H255">
        <v>8</v>
      </c>
      <c r="I255">
        <v>156</v>
      </c>
      <c r="J255" s="6"/>
      <c r="K255" s="13">
        <v>45856</v>
      </c>
      <c r="L255" s="50">
        <v>0.62460000000000004</v>
      </c>
    </row>
    <row r="256" spans="1:12" x14ac:dyDescent="0.25">
      <c r="A256" t="s">
        <v>34</v>
      </c>
      <c r="D256" t="s">
        <v>42</v>
      </c>
      <c r="E256">
        <v>2016</v>
      </c>
      <c r="F256">
        <v>2</v>
      </c>
      <c r="G256">
        <v>4</v>
      </c>
      <c r="H256">
        <v>8</v>
      </c>
      <c r="I256">
        <v>156</v>
      </c>
      <c r="J256" s="6"/>
      <c r="K256" s="13">
        <v>45869</v>
      </c>
      <c r="L256" s="50">
        <v>0.80183000000000004</v>
      </c>
    </row>
    <row r="257" spans="1:12" x14ac:dyDescent="0.25">
      <c r="A257" t="s">
        <v>34</v>
      </c>
      <c r="D257" t="s">
        <v>42</v>
      </c>
      <c r="E257">
        <v>2016</v>
      </c>
      <c r="F257">
        <v>2</v>
      </c>
      <c r="G257">
        <v>4</v>
      </c>
      <c r="H257">
        <v>8</v>
      </c>
      <c r="I257">
        <v>156</v>
      </c>
      <c r="J257" s="6"/>
      <c r="K257" s="13">
        <v>45881</v>
      </c>
      <c r="L257" s="50">
        <v>0.85909999999999997</v>
      </c>
    </row>
    <row r="258" spans="1:12" x14ac:dyDescent="0.25">
      <c r="A258" t="s">
        <v>34</v>
      </c>
      <c r="D258" t="s">
        <v>42</v>
      </c>
      <c r="E258">
        <v>2016</v>
      </c>
      <c r="F258">
        <v>2</v>
      </c>
      <c r="G258">
        <v>4</v>
      </c>
      <c r="H258">
        <v>8</v>
      </c>
      <c r="I258">
        <v>156</v>
      </c>
      <c r="J258" s="6"/>
      <c r="K258" s="13">
        <v>45895</v>
      </c>
      <c r="L258" s="50">
        <v>0.86109000000000002</v>
      </c>
    </row>
    <row r="259" spans="1:12" x14ac:dyDescent="0.25">
      <c r="A259" t="s">
        <v>34</v>
      </c>
      <c r="D259" t="s">
        <v>42</v>
      </c>
      <c r="E259">
        <v>2016</v>
      </c>
      <c r="F259">
        <v>2</v>
      </c>
      <c r="G259">
        <v>4</v>
      </c>
      <c r="H259">
        <v>8</v>
      </c>
      <c r="I259">
        <v>156</v>
      </c>
      <c r="J259" s="6"/>
      <c r="K259" s="13">
        <v>45908</v>
      </c>
      <c r="L259" s="50">
        <v>0.93374999999999997</v>
      </c>
    </row>
    <row r="260" spans="1:12" x14ac:dyDescent="0.25">
      <c r="A260" t="s">
        <v>34</v>
      </c>
      <c r="D260" t="s">
        <v>42</v>
      </c>
      <c r="E260">
        <v>2016</v>
      </c>
      <c r="F260">
        <v>2</v>
      </c>
      <c r="G260">
        <v>4</v>
      </c>
      <c r="H260">
        <v>8</v>
      </c>
      <c r="I260">
        <v>156</v>
      </c>
      <c r="J260" s="6"/>
      <c r="K260" s="13">
        <v>45925</v>
      </c>
      <c r="L260" s="50">
        <v>0.94342000000000004</v>
      </c>
    </row>
    <row r="261" spans="1:12" x14ac:dyDescent="0.25">
      <c r="A261" t="s">
        <v>34</v>
      </c>
      <c r="D261" t="s">
        <v>42</v>
      </c>
      <c r="E261">
        <v>2016</v>
      </c>
      <c r="F261">
        <v>2</v>
      </c>
      <c r="G261">
        <v>4</v>
      </c>
      <c r="H261">
        <v>8</v>
      </c>
      <c r="I261">
        <v>156</v>
      </c>
      <c r="J261" s="6"/>
      <c r="K261" s="13">
        <v>45951</v>
      </c>
      <c r="L261" s="50">
        <v>0.69826999999999995</v>
      </c>
    </row>
    <row r="262" spans="1:12" x14ac:dyDescent="0.25">
      <c r="A262" t="s">
        <v>34</v>
      </c>
      <c r="D262" t="s">
        <v>42</v>
      </c>
      <c r="E262">
        <v>2016</v>
      </c>
      <c r="F262">
        <v>2</v>
      </c>
      <c r="G262">
        <v>4</v>
      </c>
      <c r="H262">
        <v>8</v>
      </c>
      <c r="I262">
        <v>156</v>
      </c>
      <c r="J262" s="6"/>
      <c r="K262" s="13">
        <v>45967</v>
      </c>
      <c r="L262" s="50">
        <v>0.43</v>
      </c>
    </row>
    <row r="263" spans="1:12" x14ac:dyDescent="0.25">
      <c r="A263" t="s">
        <v>34</v>
      </c>
      <c r="D263" t="s">
        <v>38</v>
      </c>
      <c r="E263">
        <v>1999</v>
      </c>
      <c r="F263">
        <v>2</v>
      </c>
      <c r="G263">
        <v>3</v>
      </c>
      <c r="H263">
        <v>8</v>
      </c>
      <c r="I263">
        <v>140</v>
      </c>
      <c r="J263" s="6"/>
      <c r="K263" s="13">
        <v>45827</v>
      </c>
      <c r="L263" s="50">
        <v>0.3115</v>
      </c>
    </row>
    <row r="264" spans="1:12" x14ac:dyDescent="0.25">
      <c r="A264" t="s">
        <v>34</v>
      </c>
      <c r="D264" t="s">
        <v>38</v>
      </c>
      <c r="E264">
        <v>1999</v>
      </c>
      <c r="F264">
        <v>2</v>
      </c>
      <c r="G264">
        <v>3</v>
      </c>
      <c r="H264">
        <v>8</v>
      </c>
      <c r="I264">
        <v>140</v>
      </c>
      <c r="J264" s="6"/>
      <c r="K264" s="13">
        <v>45856</v>
      </c>
      <c r="L264" s="50">
        <v>0.59089999999999998</v>
      </c>
    </row>
    <row r="265" spans="1:12" x14ac:dyDescent="0.25">
      <c r="A265" t="s">
        <v>34</v>
      </c>
      <c r="D265" t="s">
        <v>38</v>
      </c>
      <c r="E265">
        <v>1999</v>
      </c>
      <c r="F265">
        <v>2</v>
      </c>
      <c r="G265">
        <v>3</v>
      </c>
      <c r="H265">
        <v>8</v>
      </c>
      <c r="I265">
        <v>140</v>
      </c>
      <c r="J265" s="6"/>
      <c r="K265" s="13">
        <v>45869</v>
      </c>
      <c r="L265" s="50">
        <v>0.72819999999999996</v>
      </c>
    </row>
    <row r="266" spans="1:12" x14ac:dyDescent="0.25">
      <c r="A266" t="s">
        <v>34</v>
      </c>
      <c r="D266" t="s">
        <v>38</v>
      </c>
      <c r="E266">
        <v>1999</v>
      </c>
      <c r="F266">
        <v>2</v>
      </c>
      <c r="G266">
        <v>3</v>
      </c>
      <c r="H266">
        <v>8</v>
      </c>
      <c r="I266">
        <v>140</v>
      </c>
      <c r="J266" s="6"/>
      <c r="K266" s="13">
        <v>45881</v>
      </c>
      <c r="L266" s="50">
        <v>0.81542000000000003</v>
      </c>
    </row>
    <row r="267" spans="1:12" x14ac:dyDescent="0.25">
      <c r="A267" t="s">
        <v>34</v>
      </c>
      <c r="D267" t="s">
        <v>38</v>
      </c>
      <c r="E267">
        <v>1999</v>
      </c>
      <c r="F267">
        <v>2</v>
      </c>
      <c r="G267">
        <v>3</v>
      </c>
      <c r="H267">
        <v>8</v>
      </c>
      <c r="I267">
        <v>140</v>
      </c>
      <c r="J267" s="6"/>
      <c r="K267" s="13">
        <v>45895</v>
      </c>
      <c r="L267" s="50">
        <v>0.83799999999999997</v>
      </c>
    </row>
    <row r="268" spans="1:12" x14ac:dyDescent="0.25">
      <c r="A268" t="s">
        <v>34</v>
      </c>
      <c r="D268" t="s">
        <v>38</v>
      </c>
      <c r="E268">
        <v>1999</v>
      </c>
      <c r="F268">
        <v>2</v>
      </c>
      <c r="G268">
        <v>3</v>
      </c>
      <c r="H268">
        <v>8</v>
      </c>
      <c r="I268">
        <v>140</v>
      </c>
      <c r="J268" s="6"/>
      <c r="K268" s="13">
        <v>45908</v>
      </c>
      <c r="L268" s="50">
        <v>0.93833</v>
      </c>
    </row>
    <row r="269" spans="1:12" x14ac:dyDescent="0.25">
      <c r="A269" t="s">
        <v>34</v>
      </c>
      <c r="D269" t="s">
        <v>38</v>
      </c>
      <c r="E269">
        <v>1999</v>
      </c>
      <c r="F269">
        <v>2</v>
      </c>
      <c r="G269">
        <v>3</v>
      </c>
      <c r="H269">
        <v>8</v>
      </c>
      <c r="I269">
        <v>140</v>
      </c>
      <c r="J269" s="6"/>
      <c r="K269" s="13">
        <v>45925</v>
      </c>
      <c r="L269" s="50">
        <v>0.89719000000000004</v>
      </c>
    </row>
    <row r="270" spans="1:12" x14ac:dyDescent="0.25">
      <c r="A270" t="s">
        <v>34</v>
      </c>
      <c r="D270" t="s">
        <v>38</v>
      </c>
      <c r="E270">
        <v>1999</v>
      </c>
      <c r="F270">
        <v>2</v>
      </c>
      <c r="G270">
        <v>3</v>
      </c>
      <c r="H270">
        <v>8</v>
      </c>
      <c r="I270">
        <v>140</v>
      </c>
      <c r="J270" s="6"/>
      <c r="K270" s="13">
        <v>45951</v>
      </c>
      <c r="L270" s="50">
        <v>0.71367000000000003</v>
      </c>
    </row>
    <row r="271" spans="1:12" x14ac:dyDescent="0.25">
      <c r="A271" t="s">
        <v>34</v>
      </c>
      <c r="D271" t="s">
        <v>38</v>
      </c>
      <c r="E271">
        <v>1999</v>
      </c>
      <c r="F271">
        <v>2</v>
      </c>
      <c r="G271">
        <v>3</v>
      </c>
      <c r="H271">
        <v>8</v>
      </c>
      <c r="I271">
        <v>140</v>
      </c>
      <c r="J271" s="6"/>
      <c r="K271" s="13">
        <v>45967</v>
      </c>
      <c r="L271" s="50">
        <v>0.63854999999999995</v>
      </c>
    </row>
    <row r="272" spans="1:12" x14ac:dyDescent="0.25">
      <c r="A272" t="s">
        <v>34</v>
      </c>
      <c r="D272" t="s">
        <v>43</v>
      </c>
      <c r="E272">
        <v>2020</v>
      </c>
      <c r="F272">
        <v>2</v>
      </c>
      <c r="G272">
        <v>2</v>
      </c>
      <c r="H272">
        <v>8</v>
      </c>
      <c r="I272">
        <v>124</v>
      </c>
      <c r="J272" s="6"/>
      <c r="K272" s="13">
        <v>45827</v>
      </c>
      <c r="L272" s="50">
        <v>0.26062999999999997</v>
      </c>
    </row>
    <row r="273" spans="1:12" x14ac:dyDescent="0.25">
      <c r="A273" t="s">
        <v>34</v>
      </c>
      <c r="D273" t="s">
        <v>43</v>
      </c>
      <c r="E273">
        <v>2020</v>
      </c>
      <c r="F273">
        <v>2</v>
      </c>
      <c r="G273">
        <v>2</v>
      </c>
      <c r="H273">
        <v>8</v>
      </c>
      <c r="I273">
        <v>124</v>
      </c>
      <c r="J273" s="6"/>
      <c r="K273" s="13">
        <v>45856</v>
      </c>
      <c r="L273" s="50">
        <v>0.52178000000000002</v>
      </c>
    </row>
    <row r="274" spans="1:12" x14ac:dyDescent="0.25">
      <c r="A274" t="s">
        <v>34</v>
      </c>
      <c r="D274" t="s">
        <v>43</v>
      </c>
      <c r="E274">
        <v>2020</v>
      </c>
      <c r="F274">
        <v>2</v>
      </c>
      <c r="G274">
        <v>2</v>
      </c>
      <c r="H274">
        <v>8</v>
      </c>
      <c r="I274">
        <v>124</v>
      </c>
      <c r="J274" s="6"/>
      <c r="K274" s="13">
        <v>45869</v>
      </c>
      <c r="L274" s="50">
        <v>0.77969999999999995</v>
      </c>
    </row>
    <row r="275" spans="1:12" x14ac:dyDescent="0.25">
      <c r="A275" t="s">
        <v>34</v>
      </c>
      <c r="D275" t="s">
        <v>43</v>
      </c>
      <c r="E275">
        <v>2020</v>
      </c>
      <c r="F275">
        <v>2</v>
      </c>
      <c r="G275">
        <v>2</v>
      </c>
      <c r="H275">
        <v>8</v>
      </c>
      <c r="I275">
        <v>124</v>
      </c>
      <c r="J275" s="6"/>
      <c r="K275" s="13">
        <v>45881</v>
      </c>
      <c r="L275" s="50">
        <v>0.84113000000000004</v>
      </c>
    </row>
    <row r="276" spans="1:12" x14ac:dyDescent="0.25">
      <c r="A276" t="s">
        <v>34</v>
      </c>
      <c r="D276" t="s">
        <v>43</v>
      </c>
      <c r="E276">
        <v>2020</v>
      </c>
      <c r="F276">
        <v>2</v>
      </c>
      <c r="G276">
        <v>2</v>
      </c>
      <c r="H276">
        <v>8</v>
      </c>
      <c r="I276">
        <v>124</v>
      </c>
      <c r="J276" s="6"/>
      <c r="K276" s="13">
        <v>45895</v>
      </c>
      <c r="L276" s="50">
        <v>0.84253</v>
      </c>
    </row>
    <row r="277" spans="1:12" x14ac:dyDescent="0.25">
      <c r="A277" t="s">
        <v>34</v>
      </c>
      <c r="D277" t="s">
        <v>43</v>
      </c>
      <c r="E277">
        <v>2020</v>
      </c>
      <c r="F277">
        <v>2</v>
      </c>
      <c r="G277">
        <v>2</v>
      </c>
      <c r="H277">
        <v>8</v>
      </c>
      <c r="I277">
        <v>124</v>
      </c>
      <c r="J277" s="6"/>
      <c r="K277" s="13">
        <v>45908</v>
      </c>
      <c r="L277" s="50">
        <v>0.91600000000000004</v>
      </c>
    </row>
    <row r="278" spans="1:12" x14ac:dyDescent="0.25">
      <c r="A278" t="s">
        <v>34</v>
      </c>
      <c r="D278" t="s">
        <v>43</v>
      </c>
      <c r="E278">
        <v>2020</v>
      </c>
      <c r="F278">
        <v>2</v>
      </c>
      <c r="G278">
        <v>2</v>
      </c>
      <c r="H278">
        <v>8</v>
      </c>
      <c r="I278">
        <v>124</v>
      </c>
      <c r="J278" s="6"/>
      <c r="K278" s="13">
        <v>45925</v>
      </c>
      <c r="L278" s="50">
        <v>0.90822999999999998</v>
      </c>
    </row>
    <row r="279" spans="1:12" x14ac:dyDescent="0.25">
      <c r="A279" t="s">
        <v>34</v>
      </c>
      <c r="D279" t="s">
        <v>43</v>
      </c>
      <c r="E279">
        <v>2020</v>
      </c>
      <c r="F279">
        <v>2</v>
      </c>
      <c r="G279">
        <v>2</v>
      </c>
      <c r="H279">
        <v>8</v>
      </c>
      <c r="I279">
        <v>124</v>
      </c>
      <c r="J279" s="6"/>
      <c r="K279" s="13">
        <v>45951</v>
      </c>
      <c r="L279" s="50">
        <v>0.70562000000000002</v>
      </c>
    </row>
    <row r="280" spans="1:12" x14ac:dyDescent="0.25">
      <c r="A280" t="s">
        <v>34</v>
      </c>
      <c r="D280" t="s">
        <v>43</v>
      </c>
      <c r="E280">
        <v>2020</v>
      </c>
      <c r="F280">
        <v>2</v>
      </c>
      <c r="G280">
        <v>2</v>
      </c>
      <c r="H280">
        <v>8</v>
      </c>
      <c r="I280">
        <v>124</v>
      </c>
      <c r="J280" s="6"/>
      <c r="K280" s="13">
        <v>45967</v>
      </c>
      <c r="L280" s="50">
        <v>0.64737999999999996</v>
      </c>
    </row>
    <row r="281" spans="1:12" x14ac:dyDescent="0.25">
      <c r="A281" t="s">
        <v>34</v>
      </c>
      <c r="D281" t="s">
        <v>318</v>
      </c>
      <c r="E281">
        <v>2004</v>
      </c>
      <c r="F281">
        <v>2</v>
      </c>
      <c r="G281">
        <v>1</v>
      </c>
      <c r="H281">
        <v>8</v>
      </c>
      <c r="I281">
        <v>108</v>
      </c>
      <c r="J281" s="6"/>
      <c r="K281" s="13">
        <v>45827</v>
      </c>
      <c r="L281" s="50">
        <v>0.2964</v>
      </c>
    </row>
    <row r="282" spans="1:12" x14ac:dyDescent="0.25">
      <c r="A282" t="s">
        <v>34</v>
      </c>
      <c r="B282" s="54"/>
      <c r="C282" s="55"/>
      <c r="D282" t="s">
        <v>318</v>
      </c>
      <c r="E282">
        <v>2004</v>
      </c>
      <c r="F282">
        <v>2</v>
      </c>
      <c r="G282">
        <v>1</v>
      </c>
      <c r="H282">
        <v>8</v>
      </c>
      <c r="I282">
        <v>108</v>
      </c>
      <c r="J282" s="6"/>
      <c r="K282" s="13">
        <v>45856</v>
      </c>
      <c r="L282" s="50">
        <v>0.68633</v>
      </c>
    </row>
    <row r="283" spans="1:12" x14ac:dyDescent="0.25">
      <c r="A283" t="s">
        <v>34</v>
      </c>
      <c r="D283" t="s">
        <v>318</v>
      </c>
      <c r="E283">
        <v>2004</v>
      </c>
      <c r="F283">
        <v>2</v>
      </c>
      <c r="G283">
        <v>1</v>
      </c>
      <c r="H283">
        <v>8</v>
      </c>
      <c r="I283">
        <v>108</v>
      </c>
      <c r="J283" s="6"/>
      <c r="K283" s="13">
        <v>45869</v>
      </c>
      <c r="L283" s="50">
        <v>0.81884999999999997</v>
      </c>
    </row>
    <row r="284" spans="1:12" x14ac:dyDescent="0.25">
      <c r="A284" t="s">
        <v>34</v>
      </c>
      <c r="D284" t="s">
        <v>318</v>
      </c>
      <c r="E284">
        <v>2004</v>
      </c>
      <c r="F284">
        <v>2</v>
      </c>
      <c r="G284">
        <v>1</v>
      </c>
      <c r="H284">
        <v>8</v>
      </c>
      <c r="I284">
        <v>108</v>
      </c>
      <c r="J284" s="6"/>
      <c r="K284" s="13">
        <v>45881</v>
      </c>
      <c r="L284" s="50">
        <v>0.85772999999999999</v>
      </c>
    </row>
    <row r="285" spans="1:12" x14ac:dyDescent="0.25">
      <c r="A285" t="s">
        <v>34</v>
      </c>
      <c r="D285" t="s">
        <v>318</v>
      </c>
      <c r="E285">
        <v>2004</v>
      </c>
      <c r="F285">
        <v>2</v>
      </c>
      <c r="G285">
        <v>1</v>
      </c>
      <c r="H285">
        <v>8</v>
      </c>
      <c r="I285">
        <v>108</v>
      </c>
      <c r="J285" s="6"/>
      <c r="K285" s="13">
        <v>45895</v>
      </c>
      <c r="L285" s="50">
        <v>0.87343000000000004</v>
      </c>
    </row>
    <row r="286" spans="1:12" x14ac:dyDescent="0.25">
      <c r="A286" t="s">
        <v>34</v>
      </c>
      <c r="D286" t="s">
        <v>318</v>
      </c>
      <c r="E286">
        <v>2004</v>
      </c>
      <c r="F286">
        <v>2</v>
      </c>
      <c r="G286">
        <v>1</v>
      </c>
      <c r="H286">
        <v>8</v>
      </c>
      <c r="I286">
        <v>108</v>
      </c>
      <c r="J286" s="6"/>
      <c r="K286" s="13">
        <v>45908</v>
      </c>
      <c r="L286" s="50">
        <v>0.93613000000000002</v>
      </c>
    </row>
    <row r="287" spans="1:12" x14ac:dyDescent="0.25">
      <c r="A287" t="s">
        <v>34</v>
      </c>
      <c r="D287" t="s">
        <v>318</v>
      </c>
      <c r="E287">
        <v>2004</v>
      </c>
      <c r="F287">
        <v>2</v>
      </c>
      <c r="G287">
        <v>1</v>
      </c>
      <c r="H287">
        <v>8</v>
      </c>
      <c r="I287">
        <v>108</v>
      </c>
      <c r="J287" s="6"/>
      <c r="K287" s="13">
        <v>45925</v>
      </c>
      <c r="L287" s="50">
        <v>0.94477</v>
      </c>
    </row>
    <row r="288" spans="1:12" x14ac:dyDescent="0.25">
      <c r="A288" t="s">
        <v>34</v>
      </c>
      <c r="D288" t="s">
        <v>318</v>
      </c>
      <c r="E288">
        <v>2004</v>
      </c>
      <c r="F288">
        <v>2</v>
      </c>
      <c r="G288">
        <v>1</v>
      </c>
      <c r="H288">
        <v>8</v>
      </c>
      <c r="I288">
        <v>108</v>
      </c>
      <c r="J288" s="6"/>
      <c r="K288" s="13">
        <v>45951</v>
      </c>
      <c r="L288" s="50">
        <v>0.69718000000000002</v>
      </c>
    </row>
    <row r="289" spans="1:12" x14ac:dyDescent="0.25">
      <c r="A289" t="s">
        <v>34</v>
      </c>
      <c r="D289" t="s">
        <v>318</v>
      </c>
      <c r="E289">
        <v>2004</v>
      </c>
      <c r="F289">
        <v>2</v>
      </c>
      <c r="G289">
        <v>1</v>
      </c>
      <c r="H289">
        <v>8</v>
      </c>
      <c r="I289">
        <v>108</v>
      </c>
      <c r="J289" s="6"/>
      <c r="K289" s="13">
        <v>45967</v>
      </c>
      <c r="L289" s="50">
        <v>0.5625</v>
      </c>
    </row>
    <row r="290" spans="1:12" x14ac:dyDescent="0.25">
      <c r="A290" t="s">
        <v>24</v>
      </c>
      <c r="D290" t="s">
        <v>26</v>
      </c>
      <c r="E290">
        <v>1983</v>
      </c>
      <c r="F290">
        <v>3</v>
      </c>
      <c r="G290">
        <v>1</v>
      </c>
      <c r="H290">
        <v>9</v>
      </c>
      <c r="I290">
        <v>109</v>
      </c>
      <c r="J290" s="6"/>
      <c r="K290" s="13">
        <v>45827</v>
      </c>
      <c r="L290" s="50">
        <v>0.90600000000000003</v>
      </c>
    </row>
    <row r="291" spans="1:12" x14ac:dyDescent="0.25">
      <c r="A291" t="s">
        <v>24</v>
      </c>
      <c r="D291" t="s">
        <v>26</v>
      </c>
      <c r="E291">
        <v>1983</v>
      </c>
      <c r="F291">
        <v>3</v>
      </c>
      <c r="G291">
        <v>1</v>
      </c>
      <c r="H291">
        <v>9</v>
      </c>
      <c r="I291">
        <v>109</v>
      </c>
      <c r="J291" s="6"/>
      <c r="K291" s="13">
        <v>45856</v>
      </c>
      <c r="L291" s="50">
        <v>0.90920000000000001</v>
      </c>
    </row>
    <row r="292" spans="1:12" x14ac:dyDescent="0.25">
      <c r="A292" t="s">
        <v>24</v>
      </c>
      <c r="D292" t="s">
        <v>26</v>
      </c>
      <c r="E292">
        <v>1983</v>
      </c>
      <c r="F292">
        <v>3</v>
      </c>
      <c r="G292">
        <v>1</v>
      </c>
      <c r="H292">
        <v>9</v>
      </c>
      <c r="I292">
        <v>109</v>
      </c>
      <c r="J292" s="6"/>
      <c r="K292" s="13">
        <v>45869</v>
      </c>
      <c r="L292" s="50">
        <v>0.88273999999999997</v>
      </c>
    </row>
    <row r="293" spans="1:12" x14ac:dyDescent="0.25">
      <c r="A293" t="s">
        <v>24</v>
      </c>
      <c r="D293" t="s">
        <v>26</v>
      </c>
      <c r="E293">
        <v>1983</v>
      </c>
      <c r="F293">
        <v>3</v>
      </c>
      <c r="G293">
        <v>1</v>
      </c>
      <c r="H293">
        <v>9</v>
      </c>
      <c r="I293">
        <v>109</v>
      </c>
      <c r="J293" s="6"/>
      <c r="K293" s="13">
        <v>45881</v>
      </c>
      <c r="L293" s="50">
        <v>0.88644999999999996</v>
      </c>
    </row>
    <row r="294" spans="1:12" x14ac:dyDescent="0.25">
      <c r="A294" t="s">
        <v>24</v>
      </c>
      <c r="D294" t="s">
        <v>26</v>
      </c>
      <c r="E294">
        <v>1983</v>
      </c>
      <c r="F294">
        <v>3</v>
      </c>
      <c r="G294">
        <v>1</v>
      </c>
      <c r="H294">
        <v>9</v>
      </c>
      <c r="I294">
        <v>109</v>
      </c>
      <c r="J294" s="6"/>
      <c r="K294" s="13">
        <v>45895</v>
      </c>
      <c r="L294" s="50">
        <v>0.88356999999999997</v>
      </c>
    </row>
    <row r="295" spans="1:12" x14ac:dyDescent="0.25">
      <c r="A295" t="s">
        <v>24</v>
      </c>
      <c r="D295" t="s">
        <v>26</v>
      </c>
      <c r="E295">
        <v>1983</v>
      </c>
      <c r="F295">
        <v>3</v>
      </c>
      <c r="G295">
        <v>1</v>
      </c>
      <c r="H295">
        <v>9</v>
      </c>
      <c r="I295">
        <v>109</v>
      </c>
      <c r="J295" s="6"/>
      <c r="K295" s="13">
        <v>45908</v>
      </c>
      <c r="L295" s="50">
        <v>0.93855999999999995</v>
      </c>
    </row>
    <row r="296" spans="1:12" x14ac:dyDescent="0.25">
      <c r="A296" t="s">
        <v>24</v>
      </c>
      <c r="D296" t="s">
        <v>26</v>
      </c>
      <c r="E296">
        <v>1983</v>
      </c>
      <c r="F296">
        <v>3</v>
      </c>
      <c r="G296">
        <v>1</v>
      </c>
      <c r="H296">
        <v>9</v>
      </c>
      <c r="I296">
        <v>109</v>
      </c>
      <c r="J296" s="6"/>
      <c r="K296" s="13">
        <v>45925</v>
      </c>
      <c r="L296" s="50">
        <v>0.89519000000000004</v>
      </c>
    </row>
    <row r="297" spans="1:12" x14ac:dyDescent="0.25">
      <c r="A297" t="s">
        <v>24</v>
      </c>
      <c r="D297" t="s">
        <v>26</v>
      </c>
      <c r="E297">
        <v>1983</v>
      </c>
      <c r="F297">
        <v>3</v>
      </c>
      <c r="G297">
        <v>1</v>
      </c>
      <c r="H297">
        <v>9</v>
      </c>
      <c r="I297">
        <v>109</v>
      </c>
      <c r="J297" s="6"/>
      <c r="K297" s="13">
        <v>45951</v>
      </c>
      <c r="L297" s="50">
        <v>0.84728999999999999</v>
      </c>
    </row>
    <row r="298" spans="1:12" x14ac:dyDescent="0.25">
      <c r="A298" t="s">
        <v>24</v>
      </c>
      <c r="D298" t="s">
        <v>26</v>
      </c>
      <c r="E298">
        <v>1983</v>
      </c>
      <c r="F298">
        <v>3</v>
      </c>
      <c r="G298">
        <v>1</v>
      </c>
      <c r="H298">
        <v>9</v>
      </c>
      <c r="I298">
        <v>109</v>
      </c>
      <c r="J298" s="6"/>
      <c r="K298" s="13">
        <v>45967</v>
      </c>
      <c r="L298" s="50">
        <v>0.69467000000000001</v>
      </c>
    </row>
    <row r="299" spans="1:12" x14ac:dyDescent="0.25">
      <c r="A299" t="s">
        <v>24</v>
      </c>
      <c r="D299" t="s">
        <v>312</v>
      </c>
      <c r="E299">
        <v>2002</v>
      </c>
      <c r="F299">
        <v>3</v>
      </c>
      <c r="G299">
        <v>2</v>
      </c>
      <c r="H299">
        <v>9</v>
      </c>
      <c r="I299">
        <v>125</v>
      </c>
      <c r="J299" s="6"/>
      <c r="K299" s="13">
        <v>45827</v>
      </c>
      <c r="L299" s="50">
        <v>0.89780000000000004</v>
      </c>
    </row>
    <row r="300" spans="1:12" x14ac:dyDescent="0.25">
      <c r="A300" t="s">
        <v>24</v>
      </c>
      <c r="D300" t="s">
        <v>312</v>
      </c>
      <c r="E300">
        <v>2002</v>
      </c>
      <c r="F300">
        <v>3</v>
      </c>
      <c r="G300">
        <v>2</v>
      </c>
      <c r="H300">
        <v>9</v>
      </c>
      <c r="I300">
        <v>125</v>
      </c>
      <c r="J300" s="6"/>
      <c r="K300" s="13">
        <v>45856</v>
      </c>
      <c r="L300" s="50">
        <v>0.91600000000000004</v>
      </c>
    </row>
    <row r="301" spans="1:12" x14ac:dyDescent="0.25">
      <c r="A301" t="s">
        <v>24</v>
      </c>
      <c r="D301" t="s">
        <v>312</v>
      </c>
      <c r="E301">
        <v>2002</v>
      </c>
      <c r="F301">
        <v>3</v>
      </c>
      <c r="G301">
        <v>2</v>
      </c>
      <c r="H301">
        <v>9</v>
      </c>
      <c r="I301">
        <v>125</v>
      </c>
      <c r="J301" s="6"/>
      <c r="K301" s="13">
        <v>45869</v>
      </c>
      <c r="L301" s="50">
        <v>0.87255000000000005</v>
      </c>
    </row>
    <row r="302" spans="1:12" x14ac:dyDescent="0.25">
      <c r="A302" t="s">
        <v>24</v>
      </c>
      <c r="D302" t="s">
        <v>312</v>
      </c>
      <c r="E302">
        <v>2002</v>
      </c>
      <c r="F302">
        <v>3</v>
      </c>
      <c r="G302">
        <v>2</v>
      </c>
      <c r="H302">
        <v>9</v>
      </c>
      <c r="I302">
        <v>125</v>
      </c>
      <c r="J302" s="6"/>
      <c r="K302" s="13">
        <v>45881</v>
      </c>
      <c r="L302" s="50">
        <v>0.86751999999999996</v>
      </c>
    </row>
    <row r="303" spans="1:12" x14ac:dyDescent="0.25">
      <c r="A303" t="s">
        <v>24</v>
      </c>
      <c r="D303" t="s">
        <v>312</v>
      </c>
      <c r="E303">
        <v>2002</v>
      </c>
      <c r="F303">
        <v>3</v>
      </c>
      <c r="G303">
        <v>2</v>
      </c>
      <c r="H303">
        <v>9</v>
      </c>
      <c r="I303">
        <v>125</v>
      </c>
      <c r="J303" s="6"/>
      <c r="K303" s="13">
        <v>45895</v>
      </c>
      <c r="L303" s="50">
        <v>0.82830000000000004</v>
      </c>
    </row>
    <row r="304" spans="1:12" x14ac:dyDescent="0.25">
      <c r="A304" t="s">
        <v>24</v>
      </c>
      <c r="D304" t="s">
        <v>312</v>
      </c>
      <c r="E304">
        <v>2002</v>
      </c>
      <c r="F304">
        <v>3</v>
      </c>
      <c r="G304">
        <v>2</v>
      </c>
      <c r="H304">
        <v>9</v>
      </c>
      <c r="I304">
        <v>125</v>
      </c>
      <c r="J304" s="6"/>
      <c r="K304" s="13">
        <v>45908</v>
      </c>
      <c r="L304" s="50">
        <v>0.94077999999999995</v>
      </c>
    </row>
    <row r="305" spans="1:12" x14ac:dyDescent="0.25">
      <c r="A305" t="s">
        <v>24</v>
      </c>
      <c r="D305" t="s">
        <v>312</v>
      </c>
      <c r="E305">
        <v>2002</v>
      </c>
      <c r="F305">
        <v>3</v>
      </c>
      <c r="G305">
        <v>2</v>
      </c>
      <c r="H305">
        <v>9</v>
      </c>
      <c r="I305">
        <v>125</v>
      </c>
      <c r="J305" s="6"/>
      <c r="K305" s="13">
        <v>45925</v>
      </c>
      <c r="L305" s="50">
        <v>0.93289</v>
      </c>
    </row>
    <row r="306" spans="1:12" x14ac:dyDescent="0.25">
      <c r="A306" t="s">
        <v>24</v>
      </c>
      <c r="D306" t="s">
        <v>312</v>
      </c>
      <c r="E306">
        <v>2002</v>
      </c>
      <c r="F306">
        <v>3</v>
      </c>
      <c r="G306">
        <v>2</v>
      </c>
      <c r="H306">
        <v>9</v>
      </c>
      <c r="I306">
        <v>125</v>
      </c>
      <c r="J306" s="6"/>
      <c r="K306" s="13">
        <v>45951</v>
      </c>
      <c r="L306" s="50">
        <v>0.74163000000000001</v>
      </c>
    </row>
    <row r="307" spans="1:12" x14ac:dyDescent="0.25">
      <c r="A307" t="s">
        <v>24</v>
      </c>
      <c r="D307" t="s">
        <v>312</v>
      </c>
      <c r="E307">
        <v>2002</v>
      </c>
      <c r="F307">
        <v>3</v>
      </c>
      <c r="G307">
        <v>2</v>
      </c>
      <c r="H307">
        <v>9</v>
      </c>
      <c r="I307">
        <v>125</v>
      </c>
      <c r="J307" s="6"/>
      <c r="K307" s="13">
        <v>45967</v>
      </c>
      <c r="L307" s="50">
        <v>0.70950000000000002</v>
      </c>
    </row>
    <row r="308" spans="1:12" x14ac:dyDescent="0.25">
      <c r="A308" t="s">
        <v>24</v>
      </c>
      <c r="D308" t="s">
        <v>28</v>
      </c>
      <c r="E308">
        <v>1998</v>
      </c>
      <c r="F308">
        <v>3</v>
      </c>
      <c r="G308">
        <v>3</v>
      </c>
      <c r="H308">
        <v>9</v>
      </c>
      <c r="I308">
        <v>141</v>
      </c>
      <c r="J308" s="6"/>
      <c r="K308" s="13">
        <v>45827</v>
      </c>
      <c r="L308" s="50">
        <v>0.89441999999999999</v>
      </c>
    </row>
    <row r="309" spans="1:12" x14ac:dyDescent="0.25">
      <c r="A309" t="s">
        <v>24</v>
      </c>
      <c r="D309" t="s">
        <v>28</v>
      </c>
      <c r="E309">
        <v>1998</v>
      </c>
      <c r="F309">
        <v>3</v>
      </c>
      <c r="G309">
        <v>3</v>
      </c>
      <c r="H309">
        <v>9</v>
      </c>
      <c r="I309">
        <v>141</v>
      </c>
      <c r="J309" s="6"/>
      <c r="K309" s="13">
        <v>45856</v>
      </c>
      <c r="L309" s="50">
        <v>0.92074999999999996</v>
      </c>
    </row>
    <row r="310" spans="1:12" x14ac:dyDescent="0.25">
      <c r="A310" t="s">
        <v>24</v>
      </c>
      <c r="D310" t="s">
        <v>28</v>
      </c>
      <c r="E310">
        <v>1998</v>
      </c>
      <c r="F310">
        <v>3</v>
      </c>
      <c r="G310">
        <v>3</v>
      </c>
      <c r="H310">
        <v>9</v>
      </c>
      <c r="I310">
        <v>141</v>
      </c>
      <c r="J310" s="6"/>
      <c r="K310" s="13">
        <v>45869</v>
      </c>
      <c r="L310" s="50">
        <v>0.91535999999999995</v>
      </c>
    </row>
    <row r="311" spans="1:12" x14ac:dyDescent="0.25">
      <c r="A311" t="s">
        <v>24</v>
      </c>
      <c r="D311" t="s">
        <v>28</v>
      </c>
      <c r="E311">
        <v>1998</v>
      </c>
      <c r="F311">
        <v>3</v>
      </c>
      <c r="G311">
        <v>3</v>
      </c>
      <c r="H311">
        <v>9</v>
      </c>
      <c r="I311">
        <v>141</v>
      </c>
      <c r="J311" s="6"/>
      <c r="K311" s="13">
        <v>45881</v>
      </c>
      <c r="L311" s="50">
        <v>0.88622000000000001</v>
      </c>
    </row>
    <row r="312" spans="1:12" x14ac:dyDescent="0.25">
      <c r="A312" t="s">
        <v>24</v>
      </c>
      <c r="D312" t="s">
        <v>28</v>
      </c>
      <c r="E312">
        <v>1998</v>
      </c>
      <c r="F312">
        <v>3</v>
      </c>
      <c r="G312">
        <v>3</v>
      </c>
      <c r="H312">
        <v>9</v>
      </c>
      <c r="I312">
        <v>141</v>
      </c>
      <c r="J312" s="6"/>
      <c r="K312" s="13">
        <v>45895</v>
      </c>
      <c r="L312" s="50">
        <v>0.86399999999999999</v>
      </c>
    </row>
    <row r="313" spans="1:12" x14ac:dyDescent="0.25">
      <c r="A313" t="s">
        <v>24</v>
      </c>
      <c r="D313" t="s">
        <v>28</v>
      </c>
      <c r="E313">
        <v>1998</v>
      </c>
      <c r="F313">
        <v>3</v>
      </c>
      <c r="G313">
        <v>3</v>
      </c>
      <c r="H313">
        <v>9</v>
      </c>
      <c r="I313">
        <v>141</v>
      </c>
      <c r="J313" s="6"/>
      <c r="K313" s="13">
        <v>45908</v>
      </c>
      <c r="L313" s="50">
        <v>0.93037999999999998</v>
      </c>
    </row>
    <row r="314" spans="1:12" x14ac:dyDescent="0.25">
      <c r="A314" t="s">
        <v>24</v>
      </c>
      <c r="D314" t="s">
        <v>28</v>
      </c>
      <c r="E314">
        <v>1998</v>
      </c>
      <c r="F314">
        <v>3</v>
      </c>
      <c r="G314">
        <v>3</v>
      </c>
      <c r="H314">
        <v>9</v>
      </c>
      <c r="I314">
        <v>141</v>
      </c>
      <c r="J314" s="6"/>
      <c r="K314" s="13">
        <v>45925</v>
      </c>
      <c r="L314" s="50">
        <v>0.94108000000000003</v>
      </c>
    </row>
    <row r="315" spans="1:12" x14ac:dyDescent="0.25">
      <c r="A315" t="s">
        <v>24</v>
      </c>
      <c r="D315" t="s">
        <v>28</v>
      </c>
      <c r="E315">
        <v>1998</v>
      </c>
      <c r="F315">
        <v>3</v>
      </c>
      <c r="G315">
        <v>3</v>
      </c>
      <c r="H315">
        <v>9</v>
      </c>
      <c r="I315">
        <v>141</v>
      </c>
      <c r="J315" s="6"/>
      <c r="K315" s="13">
        <v>45951</v>
      </c>
      <c r="L315" s="50">
        <v>0.69950000000000001</v>
      </c>
    </row>
    <row r="316" spans="1:12" x14ac:dyDescent="0.25">
      <c r="A316" t="s">
        <v>24</v>
      </c>
      <c r="D316" t="s">
        <v>28</v>
      </c>
      <c r="E316">
        <v>1998</v>
      </c>
      <c r="F316">
        <v>3</v>
      </c>
      <c r="G316">
        <v>3</v>
      </c>
      <c r="H316">
        <v>9</v>
      </c>
      <c r="I316">
        <v>141</v>
      </c>
      <c r="J316" s="6"/>
      <c r="K316" s="13">
        <v>45967</v>
      </c>
      <c r="L316" s="50">
        <v>0.60389999999999999</v>
      </c>
    </row>
    <row r="317" spans="1:12" x14ac:dyDescent="0.25">
      <c r="A317" t="s">
        <v>24</v>
      </c>
      <c r="D317" t="s">
        <v>27</v>
      </c>
      <c r="E317">
        <v>1985</v>
      </c>
      <c r="F317">
        <v>3</v>
      </c>
      <c r="G317">
        <v>4</v>
      </c>
      <c r="H317">
        <v>9</v>
      </c>
      <c r="I317">
        <v>157</v>
      </c>
      <c r="J317" s="6"/>
      <c r="K317" s="13">
        <v>45827</v>
      </c>
      <c r="L317" s="50">
        <v>0.89649999999999996</v>
      </c>
    </row>
    <row r="318" spans="1:12" x14ac:dyDescent="0.25">
      <c r="A318" t="s">
        <v>24</v>
      </c>
      <c r="D318" t="s">
        <v>27</v>
      </c>
      <c r="E318">
        <v>1985</v>
      </c>
      <c r="F318">
        <v>3</v>
      </c>
      <c r="G318">
        <v>4</v>
      </c>
      <c r="H318">
        <v>9</v>
      </c>
      <c r="I318">
        <v>157</v>
      </c>
      <c r="J318" s="6"/>
      <c r="K318" s="13">
        <v>45856</v>
      </c>
      <c r="L318" s="50">
        <v>0.93164000000000002</v>
      </c>
    </row>
    <row r="319" spans="1:12" x14ac:dyDescent="0.25">
      <c r="A319" t="s">
        <v>24</v>
      </c>
      <c r="D319" t="s">
        <v>27</v>
      </c>
      <c r="E319">
        <v>1985</v>
      </c>
      <c r="F319">
        <v>3</v>
      </c>
      <c r="G319">
        <v>4</v>
      </c>
      <c r="H319">
        <v>9</v>
      </c>
      <c r="I319">
        <v>157</v>
      </c>
      <c r="J319" s="6"/>
      <c r="K319" s="13">
        <v>45869</v>
      </c>
      <c r="L319" s="50">
        <v>0.91586000000000001</v>
      </c>
    </row>
    <row r="320" spans="1:12" x14ac:dyDescent="0.25">
      <c r="A320" t="s">
        <v>24</v>
      </c>
      <c r="D320" t="s">
        <v>27</v>
      </c>
      <c r="E320">
        <v>1985</v>
      </c>
      <c r="F320">
        <v>3</v>
      </c>
      <c r="G320">
        <v>4</v>
      </c>
      <c r="H320">
        <v>9</v>
      </c>
      <c r="I320">
        <v>157</v>
      </c>
      <c r="J320" s="6"/>
      <c r="K320" s="13">
        <v>45881</v>
      </c>
      <c r="L320" s="50">
        <v>0.87446000000000002</v>
      </c>
    </row>
    <row r="321" spans="1:12" x14ac:dyDescent="0.25">
      <c r="A321" t="s">
        <v>24</v>
      </c>
      <c r="D321" t="s">
        <v>27</v>
      </c>
      <c r="E321">
        <v>1985</v>
      </c>
      <c r="F321">
        <v>3</v>
      </c>
      <c r="G321">
        <v>4</v>
      </c>
      <c r="H321">
        <v>9</v>
      </c>
      <c r="I321">
        <v>157</v>
      </c>
      <c r="J321" s="6"/>
      <c r="K321" s="13">
        <v>45895</v>
      </c>
      <c r="L321" s="50">
        <v>0.87907999999999997</v>
      </c>
    </row>
    <row r="322" spans="1:12" x14ac:dyDescent="0.25">
      <c r="A322" t="s">
        <v>24</v>
      </c>
      <c r="D322" t="s">
        <v>27</v>
      </c>
      <c r="E322">
        <v>1985</v>
      </c>
      <c r="F322">
        <v>3</v>
      </c>
      <c r="G322">
        <v>4</v>
      </c>
      <c r="H322">
        <v>9</v>
      </c>
      <c r="I322">
        <v>157</v>
      </c>
      <c r="J322" s="6"/>
      <c r="K322" s="13">
        <v>45908</v>
      </c>
      <c r="L322" s="50">
        <v>0.94428999999999996</v>
      </c>
    </row>
    <row r="323" spans="1:12" x14ac:dyDescent="0.25">
      <c r="A323" t="s">
        <v>24</v>
      </c>
      <c r="D323" t="s">
        <v>27</v>
      </c>
      <c r="E323">
        <v>1985</v>
      </c>
      <c r="F323">
        <v>3</v>
      </c>
      <c r="G323">
        <v>4</v>
      </c>
      <c r="H323">
        <v>9</v>
      </c>
      <c r="I323">
        <v>157</v>
      </c>
      <c r="J323" s="6"/>
      <c r="K323" s="13">
        <v>45925</v>
      </c>
      <c r="L323" s="50">
        <v>0.92717000000000005</v>
      </c>
    </row>
    <row r="324" spans="1:12" x14ac:dyDescent="0.25">
      <c r="A324" t="s">
        <v>24</v>
      </c>
      <c r="D324" t="s">
        <v>27</v>
      </c>
      <c r="E324">
        <v>1985</v>
      </c>
      <c r="F324">
        <v>3</v>
      </c>
      <c r="G324">
        <v>4</v>
      </c>
      <c r="H324">
        <v>9</v>
      </c>
      <c r="I324">
        <v>157</v>
      </c>
      <c r="J324" s="6"/>
      <c r="K324" s="13">
        <v>45951</v>
      </c>
      <c r="L324" s="50">
        <v>0.68300000000000005</v>
      </c>
    </row>
    <row r="325" spans="1:12" x14ac:dyDescent="0.25">
      <c r="A325" t="s">
        <v>24</v>
      </c>
      <c r="D325" t="s">
        <v>27</v>
      </c>
      <c r="E325">
        <v>1985</v>
      </c>
      <c r="F325">
        <v>3</v>
      </c>
      <c r="G325">
        <v>4</v>
      </c>
      <c r="H325">
        <v>9</v>
      </c>
      <c r="I325">
        <v>157</v>
      </c>
      <c r="J325" s="6"/>
      <c r="K325" s="13">
        <v>45967</v>
      </c>
      <c r="L325" s="50">
        <v>0.67664000000000002</v>
      </c>
    </row>
    <row r="326" spans="1:12" x14ac:dyDescent="0.25">
      <c r="A326" t="s">
        <v>24</v>
      </c>
      <c r="D326" t="s">
        <v>311</v>
      </c>
      <c r="E326">
        <v>2023</v>
      </c>
      <c r="F326">
        <v>3</v>
      </c>
      <c r="G326">
        <v>4</v>
      </c>
      <c r="H326">
        <v>10</v>
      </c>
      <c r="I326">
        <v>158</v>
      </c>
      <c r="J326" s="6"/>
      <c r="K326" s="13">
        <v>45827</v>
      </c>
      <c r="L326" s="50">
        <v>0.88500000000000001</v>
      </c>
    </row>
    <row r="327" spans="1:12" x14ac:dyDescent="0.25">
      <c r="A327" t="s">
        <v>24</v>
      </c>
      <c r="D327" t="s">
        <v>311</v>
      </c>
      <c r="E327">
        <v>2023</v>
      </c>
      <c r="F327">
        <v>3</v>
      </c>
      <c r="G327">
        <v>4</v>
      </c>
      <c r="H327">
        <v>10</v>
      </c>
      <c r="I327">
        <v>158</v>
      </c>
      <c r="J327" s="6"/>
      <c r="K327" s="13">
        <v>45856</v>
      </c>
      <c r="L327" s="50">
        <v>0.89266999999999996</v>
      </c>
    </row>
    <row r="328" spans="1:12" x14ac:dyDescent="0.25">
      <c r="A328" t="s">
        <v>24</v>
      </c>
      <c r="D328" t="s">
        <v>311</v>
      </c>
      <c r="E328">
        <v>2023</v>
      </c>
      <c r="F328">
        <v>3</v>
      </c>
      <c r="G328">
        <v>4</v>
      </c>
      <c r="H328">
        <v>10</v>
      </c>
      <c r="I328">
        <v>158</v>
      </c>
      <c r="J328" s="6"/>
      <c r="K328" s="13">
        <v>45869</v>
      </c>
      <c r="L328" s="50">
        <v>0.87450000000000006</v>
      </c>
    </row>
    <row r="329" spans="1:12" x14ac:dyDescent="0.25">
      <c r="A329" t="s">
        <v>24</v>
      </c>
      <c r="D329" t="s">
        <v>311</v>
      </c>
      <c r="E329">
        <v>2023</v>
      </c>
      <c r="F329">
        <v>3</v>
      </c>
      <c r="G329">
        <v>4</v>
      </c>
      <c r="H329">
        <v>10</v>
      </c>
      <c r="I329">
        <v>158</v>
      </c>
      <c r="J329" s="6"/>
      <c r="K329" s="13">
        <v>45881</v>
      </c>
      <c r="L329" s="50">
        <v>0.87348000000000003</v>
      </c>
    </row>
    <row r="330" spans="1:12" x14ac:dyDescent="0.25">
      <c r="A330" t="s">
        <v>24</v>
      </c>
      <c r="D330" t="s">
        <v>311</v>
      </c>
      <c r="E330">
        <v>2023</v>
      </c>
      <c r="F330">
        <v>3</v>
      </c>
      <c r="G330">
        <v>4</v>
      </c>
      <c r="H330">
        <v>10</v>
      </c>
      <c r="I330">
        <v>158</v>
      </c>
      <c r="J330" s="6"/>
      <c r="K330" s="13">
        <v>45895</v>
      </c>
      <c r="L330" s="50">
        <v>0.81923999999999997</v>
      </c>
    </row>
    <row r="331" spans="1:12" x14ac:dyDescent="0.25">
      <c r="A331" t="s">
        <v>24</v>
      </c>
      <c r="D331" t="s">
        <v>311</v>
      </c>
      <c r="E331">
        <v>2023</v>
      </c>
      <c r="F331">
        <v>3</v>
      </c>
      <c r="G331">
        <v>4</v>
      </c>
      <c r="H331">
        <v>10</v>
      </c>
      <c r="I331">
        <v>158</v>
      </c>
      <c r="J331" s="6"/>
      <c r="K331" s="13">
        <v>45908</v>
      </c>
      <c r="L331" s="50">
        <v>0.91332999999999998</v>
      </c>
    </row>
    <row r="332" spans="1:12" x14ac:dyDescent="0.25">
      <c r="A332" t="s">
        <v>24</v>
      </c>
      <c r="D332" t="s">
        <v>311</v>
      </c>
      <c r="E332">
        <v>2023</v>
      </c>
      <c r="F332">
        <v>3</v>
      </c>
      <c r="G332">
        <v>4</v>
      </c>
      <c r="H332">
        <v>10</v>
      </c>
      <c r="I332">
        <v>158</v>
      </c>
      <c r="J332" s="6"/>
      <c r="K332" s="13">
        <v>45925</v>
      </c>
      <c r="L332" s="50">
        <v>0.88456000000000001</v>
      </c>
    </row>
    <row r="333" spans="1:12" x14ac:dyDescent="0.25">
      <c r="A333" t="s">
        <v>24</v>
      </c>
      <c r="D333" t="s">
        <v>311</v>
      </c>
      <c r="E333">
        <v>2023</v>
      </c>
      <c r="F333">
        <v>3</v>
      </c>
      <c r="G333">
        <v>4</v>
      </c>
      <c r="H333">
        <v>10</v>
      </c>
      <c r="I333">
        <v>158</v>
      </c>
      <c r="J333" s="6"/>
      <c r="K333" s="13">
        <v>45951</v>
      </c>
      <c r="L333" s="50">
        <v>0.57133</v>
      </c>
    </row>
    <row r="334" spans="1:12" x14ac:dyDescent="0.25">
      <c r="A334" t="s">
        <v>24</v>
      </c>
      <c r="D334" t="s">
        <v>311</v>
      </c>
      <c r="E334">
        <v>2023</v>
      </c>
      <c r="F334">
        <v>3</v>
      </c>
      <c r="G334">
        <v>4</v>
      </c>
      <c r="H334">
        <v>10</v>
      </c>
      <c r="I334">
        <v>158</v>
      </c>
      <c r="J334" s="6"/>
      <c r="K334" s="13">
        <v>45967</v>
      </c>
      <c r="L334" s="50">
        <v>0.499</v>
      </c>
    </row>
    <row r="335" spans="1:12" x14ac:dyDescent="0.25">
      <c r="A335" t="s">
        <v>24</v>
      </c>
      <c r="D335" t="s">
        <v>29</v>
      </c>
      <c r="E335">
        <v>1999</v>
      </c>
      <c r="F335">
        <v>3</v>
      </c>
      <c r="G335">
        <v>3</v>
      </c>
      <c r="H335">
        <v>10</v>
      </c>
      <c r="I335">
        <v>142</v>
      </c>
      <c r="J335" s="6"/>
      <c r="K335" s="13">
        <v>45827</v>
      </c>
      <c r="L335" s="50">
        <v>0.89700000000000002</v>
      </c>
    </row>
    <row r="336" spans="1:12" x14ac:dyDescent="0.25">
      <c r="A336" t="s">
        <v>24</v>
      </c>
      <c r="D336" t="s">
        <v>29</v>
      </c>
      <c r="E336">
        <v>1999</v>
      </c>
      <c r="F336">
        <v>3</v>
      </c>
      <c r="G336">
        <v>3</v>
      </c>
      <c r="H336">
        <v>10</v>
      </c>
      <c r="I336">
        <v>142</v>
      </c>
      <c r="J336" s="6"/>
      <c r="K336" s="13">
        <v>45856</v>
      </c>
      <c r="L336" s="50">
        <v>0.92249999999999999</v>
      </c>
    </row>
    <row r="337" spans="1:12" x14ac:dyDescent="0.25">
      <c r="A337" t="s">
        <v>24</v>
      </c>
      <c r="D337" t="s">
        <v>29</v>
      </c>
      <c r="E337">
        <v>1999</v>
      </c>
      <c r="F337">
        <v>3</v>
      </c>
      <c r="G337">
        <v>3</v>
      </c>
      <c r="H337">
        <v>10</v>
      </c>
      <c r="I337">
        <v>142</v>
      </c>
      <c r="J337" s="6"/>
      <c r="K337" s="13">
        <v>45869</v>
      </c>
      <c r="L337" s="50">
        <v>0.88490000000000002</v>
      </c>
    </row>
    <row r="338" spans="1:12" x14ac:dyDescent="0.25">
      <c r="A338" t="s">
        <v>24</v>
      </c>
      <c r="D338" t="s">
        <v>29</v>
      </c>
      <c r="E338">
        <v>1999</v>
      </c>
      <c r="F338">
        <v>3</v>
      </c>
      <c r="G338">
        <v>3</v>
      </c>
      <c r="H338">
        <v>10</v>
      </c>
      <c r="I338">
        <v>142</v>
      </c>
      <c r="J338" s="6"/>
      <c r="K338" s="13">
        <v>45881</v>
      </c>
      <c r="L338" s="50">
        <v>0.88371</v>
      </c>
    </row>
    <row r="339" spans="1:12" x14ac:dyDescent="0.25">
      <c r="A339" t="s">
        <v>24</v>
      </c>
      <c r="D339" t="s">
        <v>29</v>
      </c>
      <c r="E339">
        <v>1999</v>
      </c>
      <c r="F339">
        <v>3</v>
      </c>
      <c r="G339">
        <v>3</v>
      </c>
      <c r="H339">
        <v>10</v>
      </c>
      <c r="I339">
        <v>142</v>
      </c>
      <c r="J339" s="6"/>
      <c r="K339" s="13">
        <v>45895</v>
      </c>
      <c r="L339" s="50">
        <v>0.84523000000000004</v>
      </c>
    </row>
    <row r="340" spans="1:12" x14ac:dyDescent="0.25">
      <c r="A340" t="s">
        <v>24</v>
      </c>
      <c r="D340" t="s">
        <v>29</v>
      </c>
      <c r="E340">
        <v>1999</v>
      </c>
      <c r="F340">
        <v>3</v>
      </c>
      <c r="G340">
        <v>3</v>
      </c>
      <c r="H340">
        <v>10</v>
      </c>
      <c r="I340">
        <v>142</v>
      </c>
      <c r="J340" s="6"/>
      <c r="K340" s="13">
        <v>45908</v>
      </c>
      <c r="L340" s="50">
        <v>0.94599999999999995</v>
      </c>
    </row>
    <row r="341" spans="1:12" x14ac:dyDescent="0.25">
      <c r="A341" t="s">
        <v>24</v>
      </c>
      <c r="D341" t="s">
        <v>29</v>
      </c>
      <c r="E341">
        <v>1999</v>
      </c>
      <c r="F341">
        <v>3</v>
      </c>
      <c r="G341">
        <v>3</v>
      </c>
      <c r="H341">
        <v>10</v>
      </c>
      <c r="I341">
        <v>142</v>
      </c>
      <c r="J341" s="6"/>
      <c r="K341" s="13">
        <v>45925</v>
      </c>
      <c r="L341" s="50">
        <v>0.91613</v>
      </c>
    </row>
    <row r="342" spans="1:12" x14ac:dyDescent="0.25">
      <c r="A342" t="s">
        <v>24</v>
      </c>
      <c r="D342" t="s">
        <v>29</v>
      </c>
      <c r="E342">
        <v>1999</v>
      </c>
      <c r="F342">
        <v>3</v>
      </c>
      <c r="G342">
        <v>3</v>
      </c>
      <c r="H342">
        <v>10</v>
      </c>
      <c r="I342">
        <v>142</v>
      </c>
      <c r="J342" s="6"/>
      <c r="K342" s="13">
        <v>45951</v>
      </c>
      <c r="L342" s="50">
        <v>0.72863999999999995</v>
      </c>
    </row>
    <row r="343" spans="1:12" x14ac:dyDescent="0.25">
      <c r="A343" t="s">
        <v>24</v>
      </c>
      <c r="D343" t="s">
        <v>29</v>
      </c>
      <c r="E343">
        <v>1999</v>
      </c>
      <c r="F343">
        <v>3</v>
      </c>
      <c r="G343">
        <v>3</v>
      </c>
      <c r="H343">
        <v>10</v>
      </c>
      <c r="I343">
        <v>142</v>
      </c>
      <c r="J343" s="6"/>
      <c r="K343" s="13">
        <v>45967</v>
      </c>
      <c r="L343" s="50">
        <v>0.58333000000000002</v>
      </c>
    </row>
    <row r="344" spans="1:12" x14ac:dyDescent="0.25">
      <c r="A344" t="s">
        <v>24</v>
      </c>
      <c r="D344" t="s">
        <v>32</v>
      </c>
      <c r="E344">
        <v>2018</v>
      </c>
      <c r="F344">
        <v>3</v>
      </c>
      <c r="G344">
        <v>2</v>
      </c>
      <c r="H344">
        <v>10</v>
      </c>
      <c r="I344">
        <v>126</v>
      </c>
      <c r="J344" s="6"/>
      <c r="K344" s="13">
        <v>45827</v>
      </c>
      <c r="L344" s="50">
        <v>0.89700000000000002</v>
      </c>
    </row>
    <row r="345" spans="1:12" x14ac:dyDescent="0.25">
      <c r="A345" t="s">
        <v>24</v>
      </c>
      <c r="D345" t="s">
        <v>32</v>
      </c>
      <c r="E345">
        <v>2018</v>
      </c>
      <c r="F345">
        <v>3</v>
      </c>
      <c r="G345">
        <v>2</v>
      </c>
      <c r="H345">
        <v>10</v>
      </c>
      <c r="I345">
        <v>126</v>
      </c>
      <c r="J345" s="6"/>
      <c r="K345" s="13">
        <v>45856</v>
      </c>
      <c r="L345" s="50">
        <v>0.91418999999999995</v>
      </c>
    </row>
    <row r="346" spans="1:12" x14ac:dyDescent="0.25">
      <c r="A346" t="s">
        <v>24</v>
      </c>
      <c r="B346" s="54"/>
      <c r="C346" s="55"/>
      <c r="D346" t="s">
        <v>32</v>
      </c>
      <c r="E346">
        <v>2018</v>
      </c>
      <c r="F346">
        <v>3</v>
      </c>
      <c r="G346">
        <v>2</v>
      </c>
      <c r="H346">
        <v>10</v>
      </c>
      <c r="I346">
        <v>126</v>
      </c>
      <c r="J346" s="6"/>
      <c r="K346" s="13">
        <v>45869</v>
      </c>
      <c r="L346" s="50">
        <v>0.85855999999999999</v>
      </c>
    </row>
    <row r="347" spans="1:12" x14ac:dyDescent="0.25">
      <c r="A347" t="s">
        <v>24</v>
      </c>
      <c r="D347" t="s">
        <v>32</v>
      </c>
      <c r="E347">
        <v>2018</v>
      </c>
      <c r="F347">
        <v>3</v>
      </c>
      <c r="G347">
        <v>2</v>
      </c>
      <c r="H347">
        <v>10</v>
      </c>
      <c r="I347">
        <v>126</v>
      </c>
      <c r="J347" s="6"/>
      <c r="K347" s="13">
        <v>45881</v>
      </c>
      <c r="L347" s="50">
        <v>0.87258000000000002</v>
      </c>
    </row>
    <row r="348" spans="1:12" x14ac:dyDescent="0.25">
      <c r="A348" t="s">
        <v>24</v>
      </c>
      <c r="D348" t="s">
        <v>32</v>
      </c>
      <c r="E348">
        <v>2018</v>
      </c>
      <c r="F348">
        <v>3</v>
      </c>
      <c r="G348">
        <v>2</v>
      </c>
      <c r="H348">
        <v>10</v>
      </c>
      <c r="I348">
        <v>126</v>
      </c>
      <c r="J348" s="6"/>
      <c r="K348" s="13">
        <v>45895</v>
      </c>
      <c r="L348" s="50">
        <v>0.82552999999999999</v>
      </c>
    </row>
    <row r="349" spans="1:12" x14ac:dyDescent="0.25">
      <c r="A349" t="s">
        <v>24</v>
      </c>
      <c r="D349" t="s">
        <v>32</v>
      </c>
      <c r="E349">
        <v>2018</v>
      </c>
      <c r="F349">
        <v>3</v>
      </c>
      <c r="G349">
        <v>2</v>
      </c>
      <c r="H349">
        <v>10</v>
      </c>
      <c r="I349">
        <v>126</v>
      </c>
      <c r="J349" s="6"/>
      <c r="K349" s="13">
        <v>45908</v>
      </c>
      <c r="L349" s="50">
        <v>0.93957000000000002</v>
      </c>
    </row>
    <row r="350" spans="1:12" x14ac:dyDescent="0.25">
      <c r="A350" t="s">
        <v>24</v>
      </c>
      <c r="D350" t="s">
        <v>32</v>
      </c>
      <c r="E350">
        <v>2018</v>
      </c>
      <c r="F350">
        <v>3</v>
      </c>
      <c r="G350">
        <v>2</v>
      </c>
      <c r="H350">
        <v>10</v>
      </c>
      <c r="I350">
        <v>126</v>
      </c>
      <c r="J350" s="6"/>
      <c r="K350" s="13">
        <v>45925</v>
      </c>
      <c r="L350" s="50">
        <v>0.92191000000000001</v>
      </c>
    </row>
    <row r="351" spans="1:12" x14ac:dyDescent="0.25">
      <c r="A351" t="s">
        <v>24</v>
      </c>
      <c r="D351" t="s">
        <v>32</v>
      </c>
      <c r="E351">
        <v>2018</v>
      </c>
      <c r="F351">
        <v>3</v>
      </c>
      <c r="G351">
        <v>2</v>
      </c>
      <c r="H351">
        <v>10</v>
      </c>
      <c r="I351">
        <v>126</v>
      </c>
      <c r="J351" s="6"/>
      <c r="K351" s="13">
        <v>45951</v>
      </c>
      <c r="L351" s="50">
        <v>0.81691999999999998</v>
      </c>
    </row>
    <row r="352" spans="1:12" x14ac:dyDescent="0.25">
      <c r="A352" t="s">
        <v>24</v>
      </c>
      <c r="D352" t="s">
        <v>32</v>
      </c>
      <c r="E352">
        <v>2018</v>
      </c>
      <c r="F352">
        <v>3</v>
      </c>
      <c r="G352">
        <v>2</v>
      </c>
      <c r="H352">
        <v>10</v>
      </c>
      <c r="I352">
        <v>126</v>
      </c>
      <c r="J352" s="6"/>
      <c r="K352" s="13">
        <v>45967</v>
      </c>
      <c r="L352" s="50">
        <v>0.72246999999999995</v>
      </c>
    </row>
    <row r="353" spans="1:12" x14ac:dyDescent="0.25">
      <c r="A353" t="s">
        <v>24</v>
      </c>
      <c r="D353" t="s">
        <v>313</v>
      </c>
      <c r="E353">
        <v>2016</v>
      </c>
      <c r="F353">
        <v>3</v>
      </c>
      <c r="G353">
        <v>1</v>
      </c>
      <c r="H353">
        <v>10</v>
      </c>
      <c r="I353">
        <v>110</v>
      </c>
      <c r="J353" s="6"/>
      <c r="K353" s="13">
        <v>45827</v>
      </c>
      <c r="L353" s="50">
        <v>0.90208999999999995</v>
      </c>
    </row>
    <row r="354" spans="1:12" x14ac:dyDescent="0.25">
      <c r="A354" t="s">
        <v>24</v>
      </c>
      <c r="D354" t="s">
        <v>313</v>
      </c>
      <c r="E354">
        <v>2016</v>
      </c>
      <c r="F354">
        <v>3</v>
      </c>
      <c r="G354">
        <v>1</v>
      </c>
      <c r="H354">
        <v>10</v>
      </c>
      <c r="I354">
        <v>110</v>
      </c>
      <c r="J354" s="6"/>
      <c r="K354" s="13">
        <v>45856</v>
      </c>
      <c r="L354" s="50">
        <v>0.91700000000000004</v>
      </c>
    </row>
    <row r="355" spans="1:12" x14ac:dyDescent="0.25">
      <c r="A355" t="s">
        <v>24</v>
      </c>
      <c r="D355" t="s">
        <v>313</v>
      </c>
      <c r="E355">
        <v>2016</v>
      </c>
      <c r="F355">
        <v>3</v>
      </c>
      <c r="G355">
        <v>1</v>
      </c>
      <c r="H355">
        <v>10</v>
      </c>
      <c r="I355">
        <v>110</v>
      </c>
      <c r="J355" s="6"/>
      <c r="K355" s="13">
        <v>45869</v>
      </c>
      <c r="L355" s="50">
        <v>0.872</v>
      </c>
    </row>
    <row r="356" spans="1:12" x14ac:dyDescent="0.25">
      <c r="A356" t="s">
        <v>24</v>
      </c>
      <c r="D356" t="s">
        <v>313</v>
      </c>
      <c r="E356">
        <v>2016</v>
      </c>
      <c r="F356">
        <v>3</v>
      </c>
      <c r="G356">
        <v>1</v>
      </c>
      <c r="H356">
        <v>10</v>
      </c>
      <c r="I356">
        <v>110</v>
      </c>
      <c r="J356" s="6"/>
      <c r="K356" s="13">
        <v>45881</v>
      </c>
      <c r="L356" s="50">
        <v>0.86492000000000002</v>
      </c>
    </row>
    <row r="357" spans="1:12" x14ac:dyDescent="0.25">
      <c r="A357" t="s">
        <v>24</v>
      </c>
      <c r="D357" t="s">
        <v>313</v>
      </c>
      <c r="E357">
        <v>2016</v>
      </c>
      <c r="F357">
        <v>3</v>
      </c>
      <c r="G357">
        <v>1</v>
      </c>
      <c r="H357">
        <v>10</v>
      </c>
      <c r="I357">
        <v>110</v>
      </c>
      <c r="J357" s="6"/>
      <c r="K357" s="13">
        <v>45895</v>
      </c>
      <c r="L357" s="50">
        <v>0.84338000000000002</v>
      </c>
    </row>
    <row r="358" spans="1:12" x14ac:dyDescent="0.25">
      <c r="A358" t="s">
        <v>24</v>
      </c>
      <c r="D358" t="s">
        <v>313</v>
      </c>
      <c r="E358">
        <v>2016</v>
      </c>
      <c r="F358">
        <v>3</v>
      </c>
      <c r="G358">
        <v>1</v>
      </c>
      <c r="H358">
        <v>10</v>
      </c>
      <c r="I358">
        <v>110</v>
      </c>
      <c r="J358" s="6"/>
      <c r="K358" s="13">
        <v>45908</v>
      </c>
      <c r="L358" s="50">
        <v>0.93230000000000002</v>
      </c>
    </row>
    <row r="359" spans="1:12" x14ac:dyDescent="0.25">
      <c r="A359" t="s">
        <v>24</v>
      </c>
      <c r="D359" t="s">
        <v>313</v>
      </c>
      <c r="E359">
        <v>2016</v>
      </c>
      <c r="F359">
        <v>3</v>
      </c>
      <c r="G359">
        <v>1</v>
      </c>
      <c r="H359">
        <v>10</v>
      </c>
      <c r="I359">
        <v>110</v>
      </c>
      <c r="J359" s="6"/>
      <c r="K359" s="13">
        <v>45925</v>
      </c>
      <c r="L359" s="50">
        <v>0.93059000000000003</v>
      </c>
    </row>
    <row r="360" spans="1:12" x14ac:dyDescent="0.25">
      <c r="A360" t="s">
        <v>24</v>
      </c>
      <c r="D360" t="s">
        <v>313</v>
      </c>
      <c r="E360">
        <v>2016</v>
      </c>
      <c r="F360">
        <v>3</v>
      </c>
      <c r="G360">
        <v>1</v>
      </c>
      <c r="H360">
        <v>10</v>
      </c>
      <c r="I360">
        <v>110</v>
      </c>
      <c r="J360" s="6"/>
      <c r="K360" s="13">
        <v>45951</v>
      </c>
      <c r="L360" s="50">
        <v>0.75390999999999997</v>
      </c>
    </row>
    <row r="361" spans="1:12" x14ac:dyDescent="0.25">
      <c r="A361" t="s">
        <v>24</v>
      </c>
      <c r="D361" t="s">
        <v>313</v>
      </c>
      <c r="E361">
        <v>2016</v>
      </c>
      <c r="F361">
        <v>3</v>
      </c>
      <c r="G361">
        <v>1</v>
      </c>
      <c r="H361">
        <v>10</v>
      </c>
      <c r="I361">
        <v>110</v>
      </c>
      <c r="J361" s="6"/>
      <c r="K361" s="13">
        <v>45967</v>
      </c>
      <c r="L361" s="50">
        <v>0.71608000000000005</v>
      </c>
    </row>
    <row r="362" spans="1:12" x14ac:dyDescent="0.25">
      <c r="A362" t="s">
        <v>34</v>
      </c>
      <c r="D362" t="s">
        <v>42</v>
      </c>
      <c r="E362">
        <v>2016</v>
      </c>
      <c r="F362">
        <v>3</v>
      </c>
      <c r="G362">
        <v>1</v>
      </c>
      <c r="H362">
        <v>11</v>
      </c>
      <c r="I362">
        <v>111</v>
      </c>
      <c r="J362" s="6"/>
      <c r="K362" s="13">
        <v>45827</v>
      </c>
      <c r="L362" s="50">
        <v>0.34721000000000002</v>
      </c>
    </row>
    <row r="363" spans="1:12" x14ac:dyDescent="0.25">
      <c r="A363" t="s">
        <v>34</v>
      </c>
      <c r="D363" t="s">
        <v>42</v>
      </c>
      <c r="E363">
        <v>2016</v>
      </c>
      <c r="F363">
        <v>3</v>
      </c>
      <c r="G363">
        <v>1</v>
      </c>
      <c r="H363">
        <v>11</v>
      </c>
      <c r="I363">
        <v>111</v>
      </c>
      <c r="J363" s="6"/>
      <c r="K363" s="13">
        <v>45856</v>
      </c>
      <c r="L363" s="50">
        <v>0.65778999999999999</v>
      </c>
    </row>
    <row r="364" spans="1:12" x14ac:dyDescent="0.25">
      <c r="A364" t="s">
        <v>34</v>
      </c>
      <c r="D364" t="s">
        <v>42</v>
      </c>
      <c r="E364">
        <v>2016</v>
      </c>
      <c r="F364">
        <v>3</v>
      </c>
      <c r="G364">
        <v>1</v>
      </c>
      <c r="H364">
        <v>11</v>
      </c>
      <c r="I364">
        <v>111</v>
      </c>
      <c r="J364" s="6"/>
      <c r="K364" s="13">
        <v>45869</v>
      </c>
      <c r="L364" s="50">
        <v>0.78088999999999997</v>
      </c>
    </row>
    <row r="365" spans="1:12" x14ac:dyDescent="0.25">
      <c r="A365" t="s">
        <v>34</v>
      </c>
      <c r="D365" t="s">
        <v>42</v>
      </c>
      <c r="E365">
        <v>2016</v>
      </c>
      <c r="F365">
        <v>3</v>
      </c>
      <c r="G365">
        <v>1</v>
      </c>
      <c r="H365">
        <v>11</v>
      </c>
      <c r="I365">
        <v>111</v>
      </c>
      <c r="J365" s="6"/>
      <c r="K365" s="13">
        <v>45881</v>
      </c>
      <c r="L365" s="50">
        <v>0.85250000000000004</v>
      </c>
    </row>
    <row r="366" spans="1:12" x14ac:dyDescent="0.25">
      <c r="A366" t="s">
        <v>34</v>
      </c>
      <c r="D366" t="s">
        <v>42</v>
      </c>
      <c r="E366">
        <v>2016</v>
      </c>
      <c r="F366">
        <v>3</v>
      </c>
      <c r="G366">
        <v>1</v>
      </c>
      <c r="H366">
        <v>11</v>
      </c>
      <c r="I366">
        <v>111</v>
      </c>
      <c r="J366" s="6"/>
      <c r="K366" s="13">
        <v>45895</v>
      </c>
      <c r="L366" s="50">
        <v>0.87311000000000005</v>
      </c>
    </row>
    <row r="367" spans="1:12" x14ac:dyDescent="0.25">
      <c r="A367" t="s">
        <v>34</v>
      </c>
      <c r="D367" t="s">
        <v>42</v>
      </c>
      <c r="E367">
        <v>2016</v>
      </c>
      <c r="F367">
        <v>3</v>
      </c>
      <c r="G367">
        <v>1</v>
      </c>
      <c r="H367">
        <v>11</v>
      </c>
      <c r="I367">
        <v>111</v>
      </c>
      <c r="J367" s="6"/>
      <c r="K367" s="13">
        <v>45908</v>
      </c>
      <c r="L367" s="50">
        <v>0.9425</v>
      </c>
    </row>
    <row r="368" spans="1:12" x14ac:dyDescent="0.25">
      <c r="A368" t="s">
        <v>34</v>
      </c>
      <c r="D368" t="s">
        <v>42</v>
      </c>
      <c r="E368">
        <v>2016</v>
      </c>
      <c r="F368">
        <v>3</v>
      </c>
      <c r="G368">
        <v>1</v>
      </c>
      <c r="H368">
        <v>11</v>
      </c>
      <c r="I368">
        <v>111</v>
      </c>
      <c r="J368" s="6"/>
      <c r="K368" s="13">
        <v>45925</v>
      </c>
      <c r="L368" s="50">
        <v>0.93600000000000005</v>
      </c>
    </row>
    <row r="369" spans="1:12" x14ac:dyDescent="0.25">
      <c r="A369" t="s">
        <v>34</v>
      </c>
      <c r="D369" t="s">
        <v>42</v>
      </c>
      <c r="E369">
        <v>2016</v>
      </c>
      <c r="F369">
        <v>3</v>
      </c>
      <c r="G369">
        <v>1</v>
      </c>
      <c r="H369">
        <v>11</v>
      </c>
      <c r="I369">
        <v>111</v>
      </c>
      <c r="J369" s="6"/>
      <c r="K369" s="13">
        <v>45951</v>
      </c>
      <c r="L369" s="50">
        <v>0.52529000000000003</v>
      </c>
    </row>
    <row r="370" spans="1:12" x14ac:dyDescent="0.25">
      <c r="A370" t="s">
        <v>34</v>
      </c>
      <c r="D370" t="s">
        <v>42</v>
      </c>
      <c r="E370">
        <v>2016</v>
      </c>
      <c r="F370">
        <v>3</v>
      </c>
      <c r="G370">
        <v>1</v>
      </c>
      <c r="H370">
        <v>11</v>
      </c>
      <c r="I370">
        <v>111</v>
      </c>
      <c r="J370" s="6"/>
      <c r="K370" s="13">
        <v>45967</v>
      </c>
      <c r="L370" s="50">
        <v>0.43</v>
      </c>
    </row>
    <row r="371" spans="1:12" x14ac:dyDescent="0.25">
      <c r="A371" t="s">
        <v>34</v>
      </c>
      <c r="D371" t="s">
        <v>39</v>
      </c>
      <c r="E371">
        <v>2001</v>
      </c>
      <c r="F371">
        <v>3</v>
      </c>
      <c r="G371">
        <v>2</v>
      </c>
      <c r="H371">
        <v>11</v>
      </c>
      <c r="I371">
        <v>127</v>
      </c>
      <c r="J371" s="6"/>
      <c r="K371" s="13">
        <v>45827</v>
      </c>
      <c r="L371" s="50">
        <v>0.35558000000000001</v>
      </c>
    </row>
    <row r="372" spans="1:12" x14ac:dyDescent="0.25">
      <c r="A372" t="s">
        <v>34</v>
      </c>
      <c r="D372" t="s">
        <v>39</v>
      </c>
      <c r="E372">
        <v>2001</v>
      </c>
      <c r="F372">
        <v>3</v>
      </c>
      <c r="G372">
        <v>2</v>
      </c>
      <c r="H372">
        <v>11</v>
      </c>
      <c r="I372">
        <v>127</v>
      </c>
      <c r="J372" s="6"/>
      <c r="K372" s="13">
        <v>45856</v>
      </c>
      <c r="L372" s="50">
        <v>0.71814</v>
      </c>
    </row>
    <row r="373" spans="1:12" x14ac:dyDescent="0.25">
      <c r="A373" t="s">
        <v>34</v>
      </c>
      <c r="D373" t="s">
        <v>39</v>
      </c>
      <c r="E373">
        <v>2001</v>
      </c>
      <c r="F373">
        <v>3</v>
      </c>
      <c r="G373">
        <v>2</v>
      </c>
      <c r="H373">
        <v>11</v>
      </c>
      <c r="I373">
        <v>127</v>
      </c>
      <c r="J373" s="6"/>
      <c r="K373" s="13">
        <v>45869</v>
      </c>
      <c r="L373" s="50">
        <v>0.84370000000000001</v>
      </c>
    </row>
    <row r="374" spans="1:12" x14ac:dyDescent="0.25">
      <c r="A374" t="s">
        <v>34</v>
      </c>
      <c r="D374" t="s">
        <v>39</v>
      </c>
      <c r="E374">
        <v>2001</v>
      </c>
      <c r="F374">
        <v>3</v>
      </c>
      <c r="G374">
        <v>2</v>
      </c>
      <c r="H374">
        <v>11</v>
      </c>
      <c r="I374">
        <v>127</v>
      </c>
      <c r="J374" s="6"/>
      <c r="K374" s="13">
        <v>45881</v>
      </c>
      <c r="L374" s="50">
        <v>0.87063999999999997</v>
      </c>
    </row>
    <row r="375" spans="1:12" x14ac:dyDescent="0.25">
      <c r="A375" t="s">
        <v>34</v>
      </c>
      <c r="D375" t="s">
        <v>39</v>
      </c>
      <c r="E375">
        <v>2001</v>
      </c>
      <c r="F375">
        <v>3</v>
      </c>
      <c r="G375">
        <v>2</v>
      </c>
      <c r="H375">
        <v>11</v>
      </c>
      <c r="I375">
        <v>127</v>
      </c>
      <c r="J375" s="6"/>
      <c r="K375" s="13">
        <v>45895</v>
      </c>
      <c r="L375" s="50">
        <v>0.84882000000000002</v>
      </c>
    </row>
    <row r="376" spans="1:12" x14ac:dyDescent="0.25">
      <c r="A376" t="s">
        <v>34</v>
      </c>
      <c r="D376" t="s">
        <v>39</v>
      </c>
      <c r="E376">
        <v>2001</v>
      </c>
      <c r="F376">
        <v>3</v>
      </c>
      <c r="G376">
        <v>2</v>
      </c>
      <c r="H376">
        <v>11</v>
      </c>
      <c r="I376">
        <v>127</v>
      </c>
      <c r="J376" s="6"/>
      <c r="K376" s="13">
        <v>45908</v>
      </c>
      <c r="L376" s="50">
        <v>0.92625000000000002</v>
      </c>
    </row>
    <row r="377" spans="1:12" x14ac:dyDescent="0.25">
      <c r="A377" t="s">
        <v>34</v>
      </c>
      <c r="D377" t="s">
        <v>39</v>
      </c>
      <c r="E377">
        <v>2001</v>
      </c>
      <c r="F377">
        <v>3</v>
      </c>
      <c r="G377">
        <v>2</v>
      </c>
      <c r="H377">
        <v>11</v>
      </c>
      <c r="I377">
        <v>127</v>
      </c>
      <c r="J377" s="6"/>
      <c r="K377" s="13">
        <v>45925</v>
      </c>
      <c r="L377" s="50">
        <v>0.93325000000000002</v>
      </c>
    </row>
    <row r="378" spans="1:12" x14ac:dyDescent="0.25">
      <c r="A378" t="s">
        <v>34</v>
      </c>
      <c r="D378" t="s">
        <v>39</v>
      </c>
      <c r="E378">
        <v>2001</v>
      </c>
      <c r="F378">
        <v>3</v>
      </c>
      <c r="G378">
        <v>2</v>
      </c>
      <c r="H378">
        <v>11</v>
      </c>
      <c r="I378">
        <v>127</v>
      </c>
      <c r="J378" s="6"/>
      <c r="K378" s="13">
        <v>45951</v>
      </c>
      <c r="L378" s="50">
        <v>0.5625</v>
      </c>
    </row>
    <row r="379" spans="1:12" x14ac:dyDescent="0.25">
      <c r="A379" t="s">
        <v>34</v>
      </c>
      <c r="D379" t="s">
        <v>39</v>
      </c>
      <c r="E379">
        <v>2001</v>
      </c>
      <c r="F379">
        <v>3</v>
      </c>
      <c r="G379">
        <v>2</v>
      </c>
      <c r="H379">
        <v>11</v>
      </c>
      <c r="I379">
        <v>127</v>
      </c>
      <c r="J379" s="6"/>
      <c r="K379" s="13">
        <v>45967</v>
      </c>
      <c r="L379" s="50">
        <v>0.47025</v>
      </c>
    </row>
    <row r="380" spans="1:12" x14ac:dyDescent="0.25">
      <c r="A380" t="s">
        <v>34</v>
      </c>
      <c r="D380" t="s">
        <v>43</v>
      </c>
      <c r="E380">
        <v>2020</v>
      </c>
      <c r="F380">
        <v>3</v>
      </c>
      <c r="G380">
        <v>3</v>
      </c>
      <c r="H380">
        <v>11</v>
      </c>
      <c r="I380">
        <v>143</v>
      </c>
      <c r="J380" s="6"/>
      <c r="K380" s="13">
        <v>45827</v>
      </c>
      <c r="L380" s="50">
        <v>0.25740000000000002</v>
      </c>
    </row>
    <row r="381" spans="1:12" x14ac:dyDescent="0.25">
      <c r="A381" t="s">
        <v>34</v>
      </c>
      <c r="D381" t="s">
        <v>43</v>
      </c>
      <c r="E381">
        <v>2020</v>
      </c>
      <c r="F381">
        <v>3</v>
      </c>
      <c r="G381">
        <v>3</v>
      </c>
      <c r="H381">
        <v>11</v>
      </c>
      <c r="I381">
        <v>143</v>
      </c>
      <c r="J381" s="6"/>
      <c r="K381" s="13">
        <v>45856</v>
      </c>
      <c r="L381" s="50">
        <v>0.58911999999999998</v>
      </c>
    </row>
    <row r="382" spans="1:12" x14ac:dyDescent="0.25">
      <c r="A382" t="s">
        <v>34</v>
      </c>
      <c r="D382" t="s">
        <v>43</v>
      </c>
      <c r="E382">
        <v>2020</v>
      </c>
      <c r="F382">
        <v>3</v>
      </c>
      <c r="G382">
        <v>3</v>
      </c>
      <c r="H382">
        <v>11</v>
      </c>
      <c r="I382">
        <v>143</v>
      </c>
      <c r="J382" s="6"/>
      <c r="K382" s="13">
        <v>45869</v>
      </c>
      <c r="L382" s="50">
        <v>0.80249999999999999</v>
      </c>
    </row>
    <row r="383" spans="1:12" x14ac:dyDescent="0.25">
      <c r="A383" t="s">
        <v>34</v>
      </c>
      <c r="D383" t="s">
        <v>43</v>
      </c>
      <c r="E383">
        <v>2020</v>
      </c>
      <c r="F383">
        <v>3</v>
      </c>
      <c r="G383">
        <v>3</v>
      </c>
      <c r="H383">
        <v>11</v>
      </c>
      <c r="I383">
        <v>143</v>
      </c>
      <c r="J383" s="6"/>
      <c r="K383" s="13">
        <v>45881</v>
      </c>
      <c r="L383" s="50">
        <v>0.85699999999999998</v>
      </c>
    </row>
    <row r="384" spans="1:12" x14ac:dyDescent="0.25">
      <c r="A384" t="s">
        <v>34</v>
      </c>
      <c r="D384" t="s">
        <v>43</v>
      </c>
      <c r="E384">
        <v>2020</v>
      </c>
      <c r="F384">
        <v>3</v>
      </c>
      <c r="G384">
        <v>3</v>
      </c>
      <c r="H384">
        <v>11</v>
      </c>
      <c r="I384">
        <v>143</v>
      </c>
      <c r="J384" s="6"/>
      <c r="K384" s="13">
        <v>45895</v>
      </c>
      <c r="L384" s="50">
        <v>0.8821</v>
      </c>
    </row>
    <row r="385" spans="1:12" x14ac:dyDescent="0.25">
      <c r="A385" t="s">
        <v>34</v>
      </c>
      <c r="D385" t="s">
        <v>43</v>
      </c>
      <c r="E385">
        <v>2020</v>
      </c>
      <c r="F385">
        <v>3</v>
      </c>
      <c r="G385">
        <v>3</v>
      </c>
      <c r="H385">
        <v>11</v>
      </c>
      <c r="I385">
        <v>143</v>
      </c>
      <c r="J385" s="6"/>
      <c r="K385" s="13">
        <v>45908</v>
      </c>
      <c r="L385" s="50">
        <v>0.93637999999999999</v>
      </c>
    </row>
    <row r="386" spans="1:12" x14ac:dyDescent="0.25">
      <c r="A386" t="s">
        <v>34</v>
      </c>
      <c r="D386" t="s">
        <v>43</v>
      </c>
      <c r="E386">
        <v>2020</v>
      </c>
      <c r="F386">
        <v>3</v>
      </c>
      <c r="G386">
        <v>3</v>
      </c>
      <c r="H386">
        <v>11</v>
      </c>
      <c r="I386">
        <v>143</v>
      </c>
      <c r="J386" s="6"/>
      <c r="K386" s="13">
        <v>45925</v>
      </c>
      <c r="L386" s="50">
        <v>0.93832000000000004</v>
      </c>
    </row>
    <row r="387" spans="1:12" x14ac:dyDescent="0.25">
      <c r="A387" t="s">
        <v>34</v>
      </c>
      <c r="D387" t="s">
        <v>43</v>
      </c>
      <c r="E387">
        <v>2020</v>
      </c>
      <c r="F387">
        <v>3</v>
      </c>
      <c r="G387">
        <v>3</v>
      </c>
      <c r="H387">
        <v>11</v>
      </c>
      <c r="I387">
        <v>143</v>
      </c>
      <c r="J387" s="6"/>
      <c r="K387" s="13">
        <v>45951</v>
      </c>
      <c r="L387" s="50">
        <v>0.65466999999999997</v>
      </c>
    </row>
    <row r="388" spans="1:12" x14ac:dyDescent="0.25">
      <c r="A388" t="s">
        <v>34</v>
      </c>
      <c r="D388" t="s">
        <v>43</v>
      </c>
      <c r="E388">
        <v>2020</v>
      </c>
      <c r="F388">
        <v>3</v>
      </c>
      <c r="G388">
        <v>3</v>
      </c>
      <c r="H388">
        <v>11</v>
      </c>
      <c r="I388">
        <v>143</v>
      </c>
      <c r="J388" s="6"/>
      <c r="K388" s="13">
        <v>45967</v>
      </c>
      <c r="L388" s="50">
        <v>0.56455999999999995</v>
      </c>
    </row>
    <row r="389" spans="1:12" x14ac:dyDescent="0.25">
      <c r="A389" t="s">
        <v>34</v>
      </c>
      <c r="D389" t="s">
        <v>41</v>
      </c>
      <c r="E389">
        <v>2008</v>
      </c>
      <c r="F389">
        <v>3</v>
      </c>
      <c r="G389">
        <v>4</v>
      </c>
      <c r="H389">
        <v>11</v>
      </c>
      <c r="I389">
        <v>159</v>
      </c>
      <c r="J389" s="6"/>
      <c r="K389" s="13">
        <v>45827</v>
      </c>
      <c r="L389" s="50">
        <v>0.27356000000000003</v>
      </c>
    </row>
    <row r="390" spans="1:12" x14ac:dyDescent="0.25">
      <c r="A390" t="s">
        <v>34</v>
      </c>
      <c r="D390" t="s">
        <v>41</v>
      </c>
      <c r="E390">
        <v>2008</v>
      </c>
      <c r="F390">
        <v>3</v>
      </c>
      <c r="G390">
        <v>4</v>
      </c>
      <c r="H390">
        <v>11</v>
      </c>
      <c r="I390">
        <v>159</v>
      </c>
      <c r="J390" s="6"/>
      <c r="K390" s="13">
        <v>45856</v>
      </c>
      <c r="L390" s="50">
        <v>0.67417000000000005</v>
      </c>
    </row>
    <row r="391" spans="1:12" x14ac:dyDescent="0.25">
      <c r="A391" t="s">
        <v>34</v>
      </c>
      <c r="D391" t="s">
        <v>41</v>
      </c>
      <c r="E391">
        <v>2008</v>
      </c>
      <c r="F391">
        <v>3</v>
      </c>
      <c r="G391">
        <v>4</v>
      </c>
      <c r="H391">
        <v>11</v>
      </c>
      <c r="I391">
        <v>159</v>
      </c>
      <c r="J391" s="6"/>
      <c r="K391" s="13">
        <v>45869</v>
      </c>
      <c r="L391" s="50">
        <v>0.83825000000000005</v>
      </c>
    </row>
    <row r="392" spans="1:12" x14ac:dyDescent="0.25">
      <c r="A392" t="s">
        <v>34</v>
      </c>
      <c r="D392" t="s">
        <v>41</v>
      </c>
      <c r="E392">
        <v>2008</v>
      </c>
      <c r="F392">
        <v>3</v>
      </c>
      <c r="G392">
        <v>4</v>
      </c>
      <c r="H392">
        <v>11</v>
      </c>
      <c r="I392">
        <v>159</v>
      </c>
      <c r="J392" s="6"/>
      <c r="K392" s="13">
        <v>45881</v>
      </c>
      <c r="L392" s="50">
        <v>0.87280000000000002</v>
      </c>
    </row>
    <row r="393" spans="1:12" x14ac:dyDescent="0.25">
      <c r="A393" t="s">
        <v>34</v>
      </c>
      <c r="D393" t="s">
        <v>41</v>
      </c>
      <c r="E393">
        <v>2008</v>
      </c>
      <c r="F393">
        <v>3</v>
      </c>
      <c r="G393">
        <v>4</v>
      </c>
      <c r="H393">
        <v>11</v>
      </c>
      <c r="I393">
        <v>159</v>
      </c>
      <c r="J393" s="6"/>
      <c r="K393" s="13">
        <v>45895</v>
      </c>
      <c r="L393" s="50">
        <v>0.871</v>
      </c>
    </row>
    <row r="394" spans="1:12" x14ac:dyDescent="0.25">
      <c r="A394" t="s">
        <v>34</v>
      </c>
      <c r="D394" t="s">
        <v>41</v>
      </c>
      <c r="E394">
        <v>2008</v>
      </c>
      <c r="F394">
        <v>3</v>
      </c>
      <c r="G394">
        <v>4</v>
      </c>
      <c r="H394">
        <v>11</v>
      </c>
      <c r="I394">
        <v>159</v>
      </c>
      <c r="J394" s="6"/>
      <c r="K394" s="13">
        <v>45908</v>
      </c>
      <c r="L394" s="50">
        <v>0.94486000000000003</v>
      </c>
    </row>
    <row r="395" spans="1:12" x14ac:dyDescent="0.25">
      <c r="A395" t="s">
        <v>34</v>
      </c>
      <c r="D395" t="s">
        <v>41</v>
      </c>
      <c r="E395">
        <v>2008</v>
      </c>
      <c r="F395">
        <v>3</v>
      </c>
      <c r="G395">
        <v>4</v>
      </c>
      <c r="H395">
        <v>11</v>
      </c>
      <c r="I395">
        <v>159</v>
      </c>
      <c r="J395" s="6"/>
      <c r="K395" s="13">
        <v>45925</v>
      </c>
      <c r="L395" s="50">
        <v>0.91986000000000001</v>
      </c>
    </row>
    <row r="396" spans="1:12" x14ac:dyDescent="0.25">
      <c r="A396" t="s">
        <v>34</v>
      </c>
      <c r="D396" t="s">
        <v>41</v>
      </c>
      <c r="E396">
        <v>2008</v>
      </c>
      <c r="F396">
        <v>3</v>
      </c>
      <c r="G396">
        <v>4</v>
      </c>
      <c r="H396">
        <v>11</v>
      </c>
      <c r="I396">
        <v>159</v>
      </c>
      <c r="J396" s="6"/>
      <c r="K396" s="13">
        <v>45951</v>
      </c>
      <c r="L396" s="50">
        <v>0.58718000000000004</v>
      </c>
    </row>
    <row r="397" spans="1:12" x14ac:dyDescent="0.25">
      <c r="A397" t="s">
        <v>34</v>
      </c>
      <c r="D397" t="s">
        <v>41</v>
      </c>
      <c r="E397">
        <v>2008</v>
      </c>
      <c r="F397">
        <v>3</v>
      </c>
      <c r="G397">
        <v>4</v>
      </c>
      <c r="H397">
        <v>11</v>
      </c>
      <c r="I397">
        <v>159</v>
      </c>
      <c r="J397" s="6"/>
      <c r="K397" s="13">
        <v>45967</v>
      </c>
      <c r="L397" s="50">
        <v>0.53488999999999998</v>
      </c>
    </row>
    <row r="398" spans="1:12" x14ac:dyDescent="0.25">
      <c r="A398" t="s">
        <v>34</v>
      </c>
      <c r="D398" t="s">
        <v>37</v>
      </c>
      <c r="E398">
        <v>1989</v>
      </c>
      <c r="F398">
        <v>3</v>
      </c>
      <c r="G398">
        <v>4</v>
      </c>
      <c r="H398">
        <v>12</v>
      </c>
      <c r="I398">
        <v>160</v>
      </c>
      <c r="J398" s="6"/>
      <c r="K398" s="13">
        <v>45827</v>
      </c>
      <c r="L398" s="50">
        <v>0.31390000000000001</v>
      </c>
    </row>
    <row r="399" spans="1:12" x14ac:dyDescent="0.25">
      <c r="A399" t="s">
        <v>34</v>
      </c>
      <c r="D399" t="s">
        <v>37</v>
      </c>
      <c r="E399">
        <v>1989</v>
      </c>
      <c r="F399">
        <v>3</v>
      </c>
      <c r="G399">
        <v>4</v>
      </c>
      <c r="H399">
        <v>12</v>
      </c>
      <c r="I399">
        <v>160</v>
      </c>
      <c r="J399" s="6"/>
      <c r="K399" s="13">
        <v>45856</v>
      </c>
      <c r="L399" s="50">
        <v>0.67017000000000004</v>
      </c>
    </row>
    <row r="400" spans="1:12" x14ac:dyDescent="0.25">
      <c r="A400" t="s">
        <v>34</v>
      </c>
      <c r="D400" t="s">
        <v>37</v>
      </c>
      <c r="E400">
        <v>1989</v>
      </c>
      <c r="F400">
        <v>3</v>
      </c>
      <c r="G400">
        <v>4</v>
      </c>
      <c r="H400">
        <v>12</v>
      </c>
      <c r="I400">
        <v>160</v>
      </c>
      <c r="J400" s="6"/>
      <c r="K400" s="13">
        <v>45869</v>
      </c>
      <c r="L400" s="50">
        <v>0.85521999999999998</v>
      </c>
    </row>
    <row r="401" spans="1:12" x14ac:dyDescent="0.25">
      <c r="A401" t="s">
        <v>34</v>
      </c>
      <c r="D401" t="s">
        <v>37</v>
      </c>
      <c r="E401">
        <v>1989</v>
      </c>
      <c r="F401">
        <v>3</v>
      </c>
      <c r="G401">
        <v>4</v>
      </c>
      <c r="H401">
        <v>12</v>
      </c>
      <c r="I401">
        <v>160</v>
      </c>
      <c r="J401" s="6"/>
      <c r="K401" s="13">
        <v>45881</v>
      </c>
      <c r="L401" s="50">
        <v>0.88029999999999997</v>
      </c>
    </row>
    <row r="402" spans="1:12" x14ac:dyDescent="0.25">
      <c r="A402" t="s">
        <v>34</v>
      </c>
      <c r="D402" t="s">
        <v>37</v>
      </c>
      <c r="E402">
        <v>1989</v>
      </c>
      <c r="F402">
        <v>3</v>
      </c>
      <c r="G402">
        <v>4</v>
      </c>
      <c r="H402">
        <v>12</v>
      </c>
      <c r="I402">
        <v>160</v>
      </c>
      <c r="J402" s="6"/>
      <c r="K402" s="13">
        <v>45895</v>
      </c>
      <c r="L402" s="50">
        <v>0.88146000000000002</v>
      </c>
    </row>
    <row r="403" spans="1:12" x14ac:dyDescent="0.25">
      <c r="A403" t="s">
        <v>34</v>
      </c>
      <c r="D403" t="s">
        <v>37</v>
      </c>
      <c r="E403">
        <v>1989</v>
      </c>
      <c r="F403">
        <v>3</v>
      </c>
      <c r="G403">
        <v>4</v>
      </c>
      <c r="H403">
        <v>12</v>
      </c>
      <c r="I403">
        <v>160</v>
      </c>
      <c r="J403" s="6"/>
      <c r="K403" s="13">
        <v>45908</v>
      </c>
      <c r="L403" s="50">
        <v>0.92757000000000001</v>
      </c>
    </row>
    <row r="404" spans="1:12" x14ac:dyDescent="0.25">
      <c r="A404" t="s">
        <v>34</v>
      </c>
      <c r="D404" t="s">
        <v>37</v>
      </c>
      <c r="E404">
        <v>1989</v>
      </c>
      <c r="F404">
        <v>3</v>
      </c>
      <c r="G404">
        <v>4</v>
      </c>
      <c r="H404">
        <v>12</v>
      </c>
      <c r="I404">
        <v>160</v>
      </c>
      <c r="J404" s="6"/>
      <c r="K404" s="13">
        <v>45925</v>
      </c>
      <c r="L404" s="50">
        <v>0.94706000000000001</v>
      </c>
    </row>
    <row r="405" spans="1:12" x14ac:dyDescent="0.25">
      <c r="A405" t="s">
        <v>34</v>
      </c>
      <c r="D405" t="s">
        <v>37</v>
      </c>
      <c r="E405">
        <v>1989</v>
      </c>
      <c r="F405">
        <v>3</v>
      </c>
      <c r="G405">
        <v>4</v>
      </c>
      <c r="H405">
        <v>12</v>
      </c>
      <c r="I405">
        <v>160</v>
      </c>
      <c r="J405" s="6"/>
      <c r="K405" s="13">
        <v>45951</v>
      </c>
      <c r="L405" s="50">
        <v>0.68722000000000005</v>
      </c>
    </row>
    <row r="406" spans="1:12" x14ac:dyDescent="0.25">
      <c r="A406" t="s">
        <v>34</v>
      </c>
      <c r="D406" t="s">
        <v>37</v>
      </c>
      <c r="E406">
        <v>1989</v>
      </c>
      <c r="F406">
        <v>3</v>
      </c>
      <c r="G406">
        <v>4</v>
      </c>
      <c r="H406">
        <v>12</v>
      </c>
      <c r="I406">
        <v>160</v>
      </c>
      <c r="J406" s="6"/>
      <c r="K406" s="13">
        <v>45967</v>
      </c>
      <c r="L406" s="50">
        <v>0.46916999999999998</v>
      </c>
    </row>
    <row r="407" spans="1:12" x14ac:dyDescent="0.25">
      <c r="A407" t="s">
        <v>34</v>
      </c>
      <c r="D407" t="s">
        <v>318</v>
      </c>
      <c r="E407">
        <v>2004</v>
      </c>
      <c r="F407">
        <v>3</v>
      </c>
      <c r="G407">
        <v>3</v>
      </c>
      <c r="H407">
        <v>12</v>
      </c>
      <c r="I407">
        <v>144</v>
      </c>
      <c r="J407" s="6"/>
      <c r="K407" s="13">
        <v>45827</v>
      </c>
      <c r="L407" s="50">
        <v>0.27779999999999999</v>
      </c>
    </row>
    <row r="408" spans="1:12" x14ac:dyDescent="0.25">
      <c r="A408" t="s">
        <v>34</v>
      </c>
      <c r="D408" t="s">
        <v>318</v>
      </c>
      <c r="E408">
        <v>2004</v>
      </c>
      <c r="F408">
        <v>3</v>
      </c>
      <c r="G408">
        <v>3</v>
      </c>
      <c r="H408">
        <v>12</v>
      </c>
      <c r="I408">
        <v>144</v>
      </c>
      <c r="J408" s="6"/>
      <c r="K408" s="13">
        <v>45856</v>
      </c>
      <c r="L408" s="50">
        <v>0.62021000000000004</v>
      </c>
    </row>
    <row r="409" spans="1:12" x14ac:dyDescent="0.25">
      <c r="A409" t="s">
        <v>34</v>
      </c>
      <c r="D409" t="s">
        <v>318</v>
      </c>
      <c r="E409">
        <v>2004</v>
      </c>
      <c r="F409">
        <v>3</v>
      </c>
      <c r="G409">
        <v>3</v>
      </c>
      <c r="H409">
        <v>12</v>
      </c>
      <c r="I409">
        <v>144</v>
      </c>
      <c r="J409" s="6"/>
      <c r="K409" s="13">
        <v>45869</v>
      </c>
      <c r="L409" s="50">
        <v>0.85555999999999999</v>
      </c>
    </row>
    <row r="410" spans="1:12" x14ac:dyDescent="0.25">
      <c r="A410" t="s">
        <v>34</v>
      </c>
      <c r="B410" s="54"/>
      <c r="C410" s="55"/>
      <c r="D410" t="s">
        <v>318</v>
      </c>
      <c r="E410">
        <v>2004</v>
      </c>
      <c r="F410">
        <v>3</v>
      </c>
      <c r="G410">
        <v>3</v>
      </c>
      <c r="H410">
        <v>12</v>
      </c>
      <c r="I410">
        <v>144</v>
      </c>
      <c r="J410" s="6"/>
      <c r="K410" s="13">
        <v>45881</v>
      </c>
      <c r="L410" s="50">
        <v>0.87585000000000002</v>
      </c>
    </row>
    <row r="411" spans="1:12" x14ac:dyDescent="0.25">
      <c r="A411" t="s">
        <v>34</v>
      </c>
      <c r="D411" t="s">
        <v>318</v>
      </c>
      <c r="E411">
        <v>2004</v>
      </c>
      <c r="F411">
        <v>3</v>
      </c>
      <c r="G411">
        <v>3</v>
      </c>
      <c r="H411">
        <v>12</v>
      </c>
      <c r="I411">
        <v>144</v>
      </c>
      <c r="J411" s="6"/>
      <c r="K411" s="13">
        <v>45895</v>
      </c>
      <c r="L411" s="50">
        <v>0.91064000000000001</v>
      </c>
    </row>
    <row r="412" spans="1:12" x14ac:dyDescent="0.25">
      <c r="A412" t="s">
        <v>34</v>
      </c>
      <c r="D412" t="s">
        <v>318</v>
      </c>
      <c r="E412">
        <v>2004</v>
      </c>
      <c r="F412">
        <v>3</v>
      </c>
      <c r="G412">
        <v>3</v>
      </c>
      <c r="H412">
        <v>12</v>
      </c>
      <c r="I412">
        <v>144</v>
      </c>
      <c r="J412" s="6"/>
      <c r="K412" s="13">
        <v>45908</v>
      </c>
      <c r="L412" s="50">
        <v>0.9415</v>
      </c>
    </row>
    <row r="413" spans="1:12" x14ac:dyDescent="0.25">
      <c r="A413" t="s">
        <v>34</v>
      </c>
      <c r="D413" t="s">
        <v>318</v>
      </c>
      <c r="E413">
        <v>2004</v>
      </c>
      <c r="F413">
        <v>3</v>
      </c>
      <c r="G413">
        <v>3</v>
      </c>
      <c r="H413">
        <v>12</v>
      </c>
      <c r="I413">
        <v>144</v>
      </c>
      <c r="J413" s="6"/>
      <c r="K413" s="13">
        <v>45925</v>
      </c>
      <c r="L413" s="50">
        <v>0.94167999999999996</v>
      </c>
    </row>
    <row r="414" spans="1:12" x14ac:dyDescent="0.25">
      <c r="A414" t="s">
        <v>34</v>
      </c>
      <c r="D414" t="s">
        <v>318</v>
      </c>
      <c r="E414">
        <v>2004</v>
      </c>
      <c r="F414">
        <v>3</v>
      </c>
      <c r="G414">
        <v>3</v>
      </c>
      <c r="H414">
        <v>12</v>
      </c>
      <c r="I414">
        <v>144</v>
      </c>
      <c r="J414" s="6"/>
      <c r="K414" s="13">
        <v>45951</v>
      </c>
      <c r="L414" s="50">
        <v>0.75970000000000004</v>
      </c>
    </row>
    <row r="415" spans="1:12" x14ac:dyDescent="0.25">
      <c r="A415" t="s">
        <v>34</v>
      </c>
      <c r="D415" t="s">
        <v>318</v>
      </c>
      <c r="E415">
        <v>2004</v>
      </c>
      <c r="F415">
        <v>3</v>
      </c>
      <c r="G415">
        <v>3</v>
      </c>
      <c r="H415">
        <v>12</v>
      </c>
      <c r="I415">
        <v>144</v>
      </c>
      <c r="J415" s="6"/>
      <c r="K415" s="13">
        <v>45967</v>
      </c>
      <c r="L415" s="50">
        <v>0.623</v>
      </c>
    </row>
    <row r="416" spans="1:12" x14ac:dyDescent="0.25">
      <c r="A416" t="s">
        <v>34</v>
      </c>
      <c r="D416" t="s">
        <v>36</v>
      </c>
      <c r="E416">
        <v>1984</v>
      </c>
      <c r="F416">
        <v>3</v>
      </c>
      <c r="G416">
        <v>2</v>
      </c>
      <c r="H416">
        <v>12</v>
      </c>
      <c r="I416">
        <v>128</v>
      </c>
      <c r="J416" s="6"/>
      <c r="K416" s="13">
        <v>45827</v>
      </c>
      <c r="L416" s="50">
        <v>0.35625000000000001</v>
      </c>
    </row>
    <row r="417" spans="1:12" x14ac:dyDescent="0.25">
      <c r="A417" t="s">
        <v>34</v>
      </c>
      <c r="D417" t="s">
        <v>36</v>
      </c>
      <c r="E417">
        <v>1984</v>
      </c>
      <c r="F417">
        <v>3</v>
      </c>
      <c r="G417">
        <v>2</v>
      </c>
      <c r="H417">
        <v>12</v>
      </c>
      <c r="I417">
        <v>128</v>
      </c>
      <c r="J417" s="6"/>
      <c r="K417" s="13">
        <v>45856</v>
      </c>
      <c r="L417" s="50">
        <v>0.71299999999999997</v>
      </c>
    </row>
    <row r="418" spans="1:12" x14ac:dyDescent="0.25">
      <c r="A418" t="s">
        <v>34</v>
      </c>
      <c r="D418" t="s">
        <v>36</v>
      </c>
      <c r="E418">
        <v>1984</v>
      </c>
      <c r="F418">
        <v>3</v>
      </c>
      <c r="G418">
        <v>2</v>
      </c>
      <c r="H418">
        <v>12</v>
      </c>
      <c r="I418">
        <v>128</v>
      </c>
      <c r="J418" s="6"/>
      <c r="K418" s="13">
        <v>45869</v>
      </c>
      <c r="L418" s="50">
        <v>0.85682999999999998</v>
      </c>
    </row>
    <row r="419" spans="1:12" x14ac:dyDescent="0.25">
      <c r="A419" t="s">
        <v>34</v>
      </c>
      <c r="D419" t="s">
        <v>36</v>
      </c>
      <c r="E419">
        <v>1984</v>
      </c>
      <c r="F419">
        <v>3</v>
      </c>
      <c r="G419">
        <v>2</v>
      </c>
      <c r="H419">
        <v>12</v>
      </c>
      <c r="I419">
        <v>128</v>
      </c>
      <c r="J419" s="6"/>
      <c r="K419" s="13">
        <v>45881</v>
      </c>
      <c r="L419" s="50">
        <v>0.88446999999999998</v>
      </c>
    </row>
    <row r="420" spans="1:12" x14ac:dyDescent="0.25">
      <c r="A420" t="s">
        <v>34</v>
      </c>
      <c r="D420" t="s">
        <v>36</v>
      </c>
      <c r="E420">
        <v>1984</v>
      </c>
      <c r="F420">
        <v>3</v>
      </c>
      <c r="G420">
        <v>2</v>
      </c>
      <c r="H420">
        <v>12</v>
      </c>
      <c r="I420">
        <v>128</v>
      </c>
      <c r="J420" s="6"/>
      <c r="K420" s="13">
        <v>45895</v>
      </c>
      <c r="L420" s="50">
        <v>0.93372999999999995</v>
      </c>
    </row>
    <row r="421" spans="1:12" x14ac:dyDescent="0.25">
      <c r="A421" t="s">
        <v>34</v>
      </c>
      <c r="D421" t="s">
        <v>36</v>
      </c>
      <c r="E421">
        <v>1984</v>
      </c>
      <c r="F421">
        <v>3</v>
      </c>
      <c r="G421">
        <v>2</v>
      </c>
      <c r="H421">
        <v>12</v>
      </c>
      <c r="I421">
        <v>128</v>
      </c>
      <c r="J421" s="6"/>
      <c r="K421" s="13">
        <v>45908</v>
      </c>
      <c r="L421" s="50">
        <v>0.94438</v>
      </c>
    </row>
    <row r="422" spans="1:12" x14ac:dyDescent="0.25">
      <c r="A422" t="s">
        <v>34</v>
      </c>
      <c r="D422" t="s">
        <v>36</v>
      </c>
      <c r="E422">
        <v>1984</v>
      </c>
      <c r="F422">
        <v>3</v>
      </c>
      <c r="G422">
        <v>2</v>
      </c>
      <c r="H422">
        <v>12</v>
      </c>
      <c r="I422">
        <v>128</v>
      </c>
      <c r="J422" s="6"/>
      <c r="K422" s="13">
        <v>45925</v>
      </c>
      <c r="L422" s="50">
        <v>0.94599999999999995</v>
      </c>
    </row>
    <row r="423" spans="1:12" x14ac:dyDescent="0.25">
      <c r="A423" t="s">
        <v>34</v>
      </c>
      <c r="D423" t="s">
        <v>36</v>
      </c>
      <c r="E423">
        <v>1984</v>
      </c>
      <c r="F423">
        <v>3</v>
      </c>
      <c r="G423">
        <v>2</v>
      </c>
      <c r="H423">
        <v>12</v>
      </c>
      <c r="I423">
        <v>128</v>
      </c>
      <c r="J423" s="6"/>
      <c r="K423" s="13">
        <v>45951</v>
      </c>
      <c r="L423" s="50">
        <v>0.70469999999999999</v>
      </c>
    </row>
    <row r="424" spans="1:12" x14ac:dyDescent="0.25">
      <c r="A424" t="s">
        <v>34</v>
      </c>
      <c r="D424" t="s">
        <v>36</v>
      </c>
      <c r="E424">
        <v>1984</v>
      </c>
      <c r="F424">
        <v>3</v>
      </c>
      <c r="G424">
        <v>2</v>
      </c>
      <c r="H424">
        <v>12</v>
      </c>
      <c r="I424">
        <v>128</v>
      </c>
      <c r="J424" s="6"/>
      <c r="K424" s="13">
        <v>45967</v>
      </c>
      <c r="L424" s="50">
        <v>0.54225999999999996</v>
      </c>
    </row>
    <row r="425" spans="1:12" x14ac:dyDescent="0.25">
      <c r="A425" t="s">
        <v>34</v>
      </c>
      <c r="D425" t="s">
        <v>38</v>
      </c>
      <c r="E425">
        <v>1999</v>
      </c>
      <c r="F425">
        <v>3</v>
      </c>
      <c r="G425">
        <v>1</v>
      </c>
      <c r="H425">
        <v>12</v>
      </c>
      <c r="I425">
        <v>112</v>
      </c>
      <c r="J425" s="6"/>
      <c r="K425" s="13">
        <v>45827</v>
      </c>
      <c r="L425" s="50">
        <v>0.32977000000000001</v>
      </c>
    </row>
    <row r="426" spans="1:12" x14ac:dyDescent="0.25">
      <c r="A426" t="s">
        <v>34</v>
      </c>
      <c r="D426" t="s">
        <v>38</v>
      </c>
      <c r="E426">
        <v>1999</v>
      </c>
      <c r="F426">
        <v>3</v>
      </c>
      <c r="G426">
        <v>1</v>
      </c>
      <c r="H426">
        <v>12</v>
      </c>
      <c r="I426">
        <v>112</v>
      </c>
      <c r="J426" s="6"/>
      <c r="K426" s="13">
        <v>45856</v>
      </c>
      <c r="L426" s="50">
        <v>0.71818000000000004</v>
      </c>
    </row>
    <row r="427" spans="1:12" x14ac:dyDescent="0.25">
      <c r="A427" t="s">
        <v>34</v>
      </c>
      <c r="D427" t="s">
        <v>38</v>
      </c>
      <c r="E427">
        <v>1999</v>
      </c>
      <c r="F427">
        <v>3</v>
      </c>
      <c r="G427">
        <v>1</v>
      </c>
      <c r="H427">
        <v>12</v>
      </c>
      <c r="I427">
        <v>112</v>
      </c>
      <c r="J427" s="6"/>
      <c r="K427" s="13">
        <v>45869</v>
      </c>
      <c r="L427" s="50">
        <v>0.88800000000000001</v>
      </c>
    </row>
    <row r="428" spans="1:12" x14ac:dyDescent="0.25">
      <c r="A428" t="s">
        <v>34</v>
      </c>
      <c r="D428" t="s">
        <v>38</v>
      </c>
      <c r="E428">
        <v>1999</v>
      </c>
      <c r="F428">
        <v>3</v>
      </c>
      <c r="G428">
        <v>1</v>
      </c>
      <c r="H428">
        <v>12</v>
      </c>
      <c r="I428">
        <v>112</v>
      </c>
      <c r="J428" s="6"/>
      <c r="K428" s="13">
        <v>45881</v>
      </c>
      <c r="L428" s="50">
        <v>0.88261999999999996</v>
      </c>
    </row>
    <row r="429" spans="1:12" x14ac:dyDescent="0.25">
      <c r="A429" t="s">
        <v>34</v>
      </c>
      <c r="D429" t="s">
        <v>38</v>
      </c>
      <c r="E429">
        <v>1999</v>
      </c>
      <c r="F429">
        <v>3</v>
      </c>
      <c r="G429">
        <v>1</v>
      </c>
      <c r="H429">
        <v>12</v>
      </c>
      <c r="I429">
        <v>112</v>
      </c>
      <c r="J429" s="6"/>
      <c r="K429" s="13">
        <v>45895</v>
      </c>
      <c r="L429" s="50">
        <v>0.89666999999999997</v>
      </c>
    </row>
    <row r="430" spans="1:12" x14ac:dyDescent="0.25">
      <c r="A430" t="s">
        <v>34</v>
      </c>
      <c r="D430" t="s">
        <v>38</v>
      </c>
      <c r="E430">
        <v>1999</v>
      </c>
      <c r="F430">
        <v>3</v>
      </c>
      <c r="G430">
        <v>1</v>
      </c>
      <c r="H430">
        <v>12</v>
      </c>
      <c r="I430">
        <v>112</v>
      </c>
      <c r="J430" s="6"/>
      <c r="K430" s="13">
        <v>45908</v>
      </c>
      <c r="L430" s="50">
        <v>0.94299999999999995</v>
      </c>
    </row>
    <row r="431" spans="1:12" x14ac:dyDescent="0.25">
      <c r="A431" t="s">
        <v>34</v>
      </c>
      <c r="D431" t="s">
        <v>38</v>
      </c>
      <c r="E431">
        <v>1999</v>
      </c>
      <c r="F431">
        <v>3</v>
      </c>
      <c r="G431">
        <v>1</v>
      </c>
      <c r="H431">
        <v>12</v>
      </c>
      <c r="I431">
        <v>112</v>
      </c>
      <c r="J431" s="6"/>
      <c r="K431" s="13">
        <v>45925</v>
      </c>
      <c r="L431" s="50">
        <v>0.94559000000000004</v>
      </c>
    </row>
    <row r="432" spans="1:12" x14ac:dyDescent="0.25">
      <c r="A432" t="s">
        <v>34</v>
      </c>
      <c r="D432" t="s">
        <v>38</v>
      </c>
      <c r="E432">
        <v>1999</v>
      </c>
      <c r="F432">
        <v>3</v>
      </c>
      <c r="G432">
        <v>1</v>
      </c>
      <c r="H432">
        <v>12</v>
      </c>
      <c r="I432">
        <v>112</v>
      </c>
      <c r="J432" s="6"/>
      <c r="K432" s="13">
        <v>45951</v>
      </c>
      <c r="L432" s="50">
        <v>0.57899999999999996</v>
      </c>
    </row>
    <row r="433" spans="1:12" x14ac:dyDescent="0.25">
      <c r="A433" t="s">
        <v>34</v>
      </c>
      <c r="D433" t="s">
        <v>38</v>
      </c>
      <c r="E433">
        <v>1999</v>
      </c>
      <c r="F433">
        <v>3</v>
      </c>
      <c r="G433">
        <v>1</v>
      </c>
      <c r="H433">
        <v>12</v>
      </c>
      <c r="I433">
        <v>112</v>
      </c>
      <c r="J433" s="6"/>
      <c r="K433" s="13">
        <v>45967</v>
      </c>
      <c r="L433" s="50">
        <v>0.45494000000000001</v>
      </c>
    </row>
    <row r="434" spans="1:12" x14ac:dyDescent="0.25">
      <c r="A434" t="s">
        <v>24</v>
      </c>
      <c r="D434" t="s">
        <v>32</v>
      </c>
      <c r="E434">
        <v>2018</v>
      </c>
      <c r="F434">
        <v>4</v>
      </c>
      <c r="G434">
        <v>1</v>
      </c>
      <c r="H434">
        <v>13</v>
      </c>
      <c r="I434">
        <v>113</v>
      </c>
      <c r="J434" s="6"/>
      <c r="K434" s="13">
        <v>45827</v>
      </c>
      <c r="L434" s="50">
        <v>0.89990999999999999</v>
      </c>
    </row>
    <row r="435" spans="1:12" x14ac:dyDescent="0.25">
      <c r="A435" t="s">
        <v>24</v>
      </c>
      <c r="D435" t="s">
        <v>32</v>
      </c>
      <c r="E435">
        <v>2018</v>
      </c>
      <c r="F435">
        <v>4</v>
      </c>
      <c r="G435">
        <v>1</v>
      </c>
      <c r="H435">
        <v>13</v>
      </c>
      <c r="I435">
        <v>113</v>
      </c>
      <c r="J435" s="6"/>
      <c r="K435" s="13">
        <v>45856</v>
      </c>
      <c r="L435" s="50">
        <v>0.90917999999999999</v>
      </c>
    </row>
    <row r="436" spans="1:12" x14ac:dyDescent="0.25">
      <c r="A436" t="s">
        <v>24</v>
      </c>
      <c r="D436" t="s">
        <v>32</v>
      </c>
      <c r="E436">
        <v>2018</v>
      </c>
      <c r="F436">
        <v>4</v>
      </c>
      <c r="G436">
        <v>1</v>
      </c>
      <c r="H436">
        <v>13</v>
      </c>
      <c r="I436">
        <v>113</v>
      </c>
      <c r="J436" s="6"/>
      <c r="K436" s="13">
        <v>45869</v>
      </c>
      <c r="L436" s="50">
        <v>0.92689999999999995</v>
      </c>
    </row>
    <row r="437" spans="1:12" x14ac:dyDescent="0.25">
      <c r="A437" t="s">
        <v>24</v>
      </c>
      <c r="D437" t="s">
        <v>32</v>
      </c>
      <c r="E437">
        <v>2018</v>
      </c>
      <c r="F437">
        <v>4</v>
      </c>
      <c r="G437">
        <v>1</v>
      </c>
      <c r="H437">
        <v>13</v>
      </c>
      <c r="I437">
        <v>113</v>
      </c>
      <c r="J437" s="6"/>
      <c r="K437" s="13">
        <v>45881</v>
      </c>
      <c r="L437" s="50">
        <v>0.86782999999999999</v>
      </c>
    </row>
    <row r="438" spans="1:12" x14ac:dyDescent="0.25">
      <c r="A438" t="s">
        <v>24</v>
      </c>
      <c r="D438" t="s">
        <v>32</v>
      </c>
      <c r="E438">
        <v>2018</v>
      </c>
      <c r="F438">
        <v>4</v>
      </c>
      <c r="G438">
        <v>1</v>
      </c>
      <c r="H438">
        <v>13</v>
      </c>
      <c r="I438">
        <v>113</v>
      </c>
      <c r="J438" s="6"/>
      <c r="K438" s="13">
        <v>45895</v>
      </c>
      <c r="L438" s="50">
        <v>0.93740000000000001</v>
      </c>
    </row>
    <row r="439" spans="1:12" x14ac:dyDescent="0.25">
      <c r="A439" t="s">
        <v>24</v>
      </c>
      <c r="D439" t="s">
        <v>32</v>
      </c>
      <c r="E439">
        <v>2018</v>
      </c>
      <c r="F439">
        <v>4</v>
      </c>
      <c r="G439">
        <v>1</v>
      </c>
      <c r="H439">
        <v>13</v>
      </c>
      <c r="I439">
        <v>113</v>
      </c>
      <c r="J439" s="6"/>
      <c r="K439" s="13">
        <v>45908</v>
      </c>
      <c r="L439" s="50">
        <v>0.94774999999999998</v>
      </c>
    </row>
    <row r="440" spans="1:12" x14ac:dyDescent="0.25">
      <c r="A440" t="s">
        <v>24</v>
      </c>
      <c r="D440" t="s">
        <v>32</v>
      </c>
      <c r="E440">
        <v>2018</v>
      </c>
      <c r="F440">
        <v>4</v>
      </c>
      <c r="G440">
        <v>1</v>
      </c>
      <c r="H440">
        <v>13</v>
      </c>
      <c r="I440">
        <v>113</v>
      </c>
      <c r="J440" s="6"/>
      <c r="K440" s="13">
        <v>45925</v>
      </c>
      <c r="L440" s="50">
        <v>0.93613000000000002</v>
      </c>
    </row>
    <row r="441" spans="1:12" x14ac:dyDescent="0.25">
      <c r="A441" t="s">
        <v>24</v>
      </c>
      <c r="D441" t="s">
        <v>32</v>
      </c>
      <c r="E441">
        <v>2018</v>
      </c>
      <c r="F441">
        <v>4</v>
      </c>
      <c r="G441">
        <v>1</v>
      </c>
      <c r="H441">
        <v>13</v>
      </c>
      <c r="I441">
        <v>113</v>
      </c>
      <c r="J441" s="6"/>
      <c r="K441" s="13">
        <v>45951</v>
      </c>
      <c r="L441" s="50">
        <v>0.78966999999999998</v>
      </c>
    </row>
    <row r="442" spans="1:12" x14ac:dyDescent="0.25">
      <c r="A442" t="s">
        <v>24</v>
      </c>
      <c r="D442" t="s">
        <v>32</v>
      </c>
      <c r="E442">
        <v>2018</v>
      </c>
      <c r="F442">
        <v>4</v>
      </c>
      <c r="G442">
        <v>1</v>
      </c>
      <c r="H442">
        <v>13</v>
      </c>
      <c r="I442">
        <v>113</v>
      </c>
      <c r="J442" s="6"/>
      <c r="K442" s="13">
        <v>45967</v>
      </c>
      <c r="L442" s="50">
        <v>0.63590000000000002</v>
      </c>
    </row>
    <row r="443" spans="1:12" x14ac:dyDescent="0.25">
      <c r="A443" t="s">
        <v>24</v>
      </c>
      <c r="D443" t="s">
        <v>26</v>
      </c>
      <c r="E443">
        <v>1983</v>
      </c>
      <c r="F443">
        <v>4</v>
      </c>
      <c r="G443">
        <v>2</v>
      </c>
      <c r="H443">
        <v>13</v>
      </c>
      <c r="I443">
        <v>129</v>
      </c>
      <c r="J443" s="6"/>
      <c r="K443" s="13">
        <v>45827</v>
      </c>
      <c r="L443" s="50">
        <v>0.90081999999999995</v>
      </c>
    </row>
    <row r="444" spans="1:12" x14ac:dyDescent="0.25">
      <c r="A444" t="s">
        <v>24</v>
      </c>
      <c r="D444" t="s">
        <v>26</v>
      </c>
      <c r="E444">
        <v>1983</v>
      </c>
      <c r="F444">
        <v>4</v>
      </c>
      <c r="G444">
        <v>2</v>
      </c>
      <c r="H444">
        <v>13</v>
      </c>
      <c r="I444">
        <v>129</v>
      </c>
      <c r="J444" s="6"/>
      <c r="K444" s="13">
        <v>45856</v>
      </c>
      <c r="L444" s="50">
        <v>0.91752999999999996</v>
      </c>
    </row>
    <row r="445" spans="1:12" x14ac:dyDescent="0.25">
      <c r="A445" t="s">
        <v>24</v>
      </c>
      <c r="D445" t="s">
        <v>26</v>
      </c>
      <c r="E445">
        <v>1983</v>
      </c>
      <c r="F445">
        <v>4</v>
      </c>
      <c r="G445">
        <v>2</v>
      </c>
      <c r="H445">
        <v>13</v>
      </c>
      <c r="I445">
        <v>129</v>
      </c>
      <c r="J445" s="6"/>
      <c r="K445" s="13">
        <v>45869</v>
      </c>
      <c r="L445" s="50">
        <v>0.90929000000000004</v>
      </c>
    </row>
    <row r="446" spans="1:12" x14ac:dyDescent="0.25">
      <c r="A446" t="s">
        <v>24</v>
      </c>
      <c r="D446" t="s">
        <v>26</v>
      </c>
      <c r="E446">
        <v>1983</v>
      </c>
      <c r="F446">
        <v>4</v>
      </c>
      <c r="G446">
        <v>2</v>
      </c>
      <c r="H446">
        <v>13</v>
      </c>
      <c r="I446">
        <v>129</v>
      </c>
      <c r="J446" s="6"/>
      <c r="K446" s="13">
        <v>45881</v>
      </c>
      <c r="L446" s="50">
        <v>0.89417000000000002</v>
      </c>
    </row>
    <row r="447" spans="1:12" x14ac:dyDescent="0.25">
      <c r="A447" t="s">
        <v>24</v>
      </c>
      <c r="D447" t="s">
        <v>26</v>
      </c>
      <c r="E447">
        <v>1983</v>
      </c>
      <c r="F447">
        <v>4</v>
      </c>
      <c r="G447">
        <v>2</v>
      </c>
      <c r="H447">
        <v>13</v>
      </c>
      <c r="I447">
        <v>129</v>
      </c>
      <c r="J447" s="6"/>
      <c r="K447" s="13">
        <v>45895</v>
      </c>
      <c r="L447" s="50">
        <v>0.95587999999999995</v>
      </c>
    </row>
    <row r="448" spans="1:12" x14ac:dyDescent="0.25">
      <c r="A448" t="s">
        <v>24</v>
      </c>
      <c r="D448" t="s">
        <v>26</v>
      </c>
      <c r="E448">
        <v>1983</v>
      </c>
      <c r="F448">
        <v>4</v>
      </c>
      <c r="G448">
        <v>2</v>
      </c>
      <c r="H448">
        <v>13</v>
      </c>
      <c r="I448">
        <v>129</v>
      </c>
      <c r="J448" s="6"/>
      <c r="K448" s="13">
        <v>45908</v>
      </c>
      <c r="L448" s="50">
        <v>0.94825000000000004</v>
      </c>
    </row>
    <row r="449" spans="1:12" x14ac:dyDescent="0.25">
      <c r="A449" t="s">
        <v>24</v>
      </c>
      <c r="D449" t="s">
        <v>26</v>
      </c>
      <c r="E449">
        <v>1983</v>
      </c>
      <c r="F449">
        <v>4</v>
      </c>
      <c r="G449">
        <v>2</v>
      </c>
      <c r="H449">
        <v>13</v>
      </c>
      <c r="I449">
        <v>129</v>
      </c>
      <c r="J449" s="6"/>
      <c r="K449" s="13">
        <v>45925</v>
      </c>
      <c r="L449" s="50">
        <v>0.94137999999999999</v>
      </c>
    </row>
    <row r="450" spans="1:12" x14ac:dyDescent="0.25">
      <c r="A450" t="s">
        <v>24</v>
      </c>
      <c r="D450" t="s">
        <v>26</v>
      </c>
      <c r="E450">
        <v>1983</v>
      </c>
      <c r="F450">
        <v>4</v>
      </c>
      <c r="G450">
        <v>2</v>
      </c>
      <c r="H450">
        <v>13</v>
      </c>
      <c r="I450">
        <v>129</v>
      </c>
      <c r="J450" s="6"/>
      <c r="K450" s="13">
        <v>45951</v>
      </c>
      <c r="L450" s="50">
        <v>0.81559999999999999</v>
      </c>
    </row>
    <row r="451" spans="1:12" x14ac:dyDescent="0.25">
      <c r="A451" t="s">
        <v>24</v>
      </c>
      <c r="D451" t="s">
        <v>26</v>
      </c>
      <c r="E451">
        <v>1983</v>
      </c>
      <c r="F451">
        <v>4</v>
      </c>
      <c r="G451">
        <v>2</v>
      </c>
      <c r="H451">
        <v>13</v>
      </c>
      <c r="I451">
        <v>129</v>
      </c>
      <c r="J451" s="6"/>
      <c r="K451" s="13">
        <v>45967</v>
      </c>
      <c r="L451" s="50">
        <v>0.55322000000000005</v>
      </c>
    </row>
    <row r="452" spans="1:12" x14ac:dyDescent="0.25">
      <c r="A452" t="s">
        <v>24</v>
      </c>
      <c r="D452" t="s">
        <v>311</v>
      </c>
      <c r="E452">
        <v>2023</v>
      </c>
      <c r="F452">
        <v>4</v>
      </c>
      <c r="G452">
        <v>3</v>
      </c>
      <c r="H452">
        <v>13</v>
      </c>
      <c r="I452">
        <v>145</v>
      </c>
      <c r="J452" s="6"/>
      <c r="K452" s="13">
        <v>45827</v>
      </c>
      <c r="L452" s="50">
        <v>0.89022000000000001</v>
      </c>
    </row>
    <row r="453" spans="1:12" x14ac:dyDescent="0.25">
      <c r="A453" t="s">
        <v>24</v>
      </c>
      <c r="D453" t="s">
        <v>311</v>
      </c>
      <c r="E453">
        <v>2023</v>
      </c>
      <c r="F453">
        <v>4</v>
      </c>
      <c r="G453">
        <v>3</v>
      </c>
      <c r="H453">
        <v>13</v>
      </c>
      <c r="I453">
        <v>145</v>
      </c>
      <c r="J453" s="6"/>
      <c r="K453" s="13">
        <v>45856</v>
      </c>
      <c r="L453" s="50">
        <v>0.89793000000000001</v>
      </c>
    </row>
    <row r="454" spans="1:12" x14ac:dyDescent="0.25">
      <c r="A454" t="s">
        <v>24</v>
      </c>
      <c r="D454" t="s">
        <v>311</v>
      </c>
      <c r="E454">
        <v>2023</v>
      </c>
      <c r="F454">
        <v>4</v>
      </c>
      <c r="G454">
        <v>3</v>
      </c>
      <c r="H454">
        <v>13</v>
      </c>
      <c r="I454">
        <v>145</v>
      </c>
      <c r="J454" s="6"/>
      <c r="K454" s="13">
        <v>45869</v>
      </c>
      <c r="L454" s="50">
        <v>0.92478000000000005</v>
      </c>
    </row>
    <row r="455" spans="1:12" x14ac:dyDescent="0.25">
      <c r="A455" t="s">
        <v>24</v>
      </c>
      <c r="D455" t="s">
        <v>311</v>
      </c>
      <c r="E455">
        <v>2023</v>
      </c>
      <c r="F455">
        <v>4</v>
      </c>
      <c r="G455">
        <v>3</v>
      </c>
      <c r="H455">
        <v>13</v>
      </c>
      <c r="I455">
        <v>145</v>
      </c>
      <c r="J455" s="6"/>
      <c r="K455" s="13">
        <v>45881</v>
      </c>
      <c r="L455" s="50">
        <v>0.86260000000000003</v>
      </c>
    </row>
    <row r="456" spans="1:12" x14ac:dyDescent="0.25">
      <c r="A456" t="s">
        <v>24</v>
      </c>
      <c r="D456" t="s">
        <v>311</v>
      </c>
      <c r="E456">
        <v>2023</v>
      </c>
      <c r="F456">
        <v>4</v>
      </c>
      <c r="G456">
        <v>3</v>
      </c>
      <c r="H456">
        <v>13</v>
      </c>
      <c r="I456">
        <v>145</v>
      </c>
      <c r="J456" s="6"/>
      <c r="K456" s="13">
        <v>45895</v>
      </c>
      <c r="L456" s="50">
        <v>0.90185999999999999</v>
      </c>
    </row>
    <row r="457" spans="1:12" x14ac:dyDescent="0.25">
      <c r="A457" t="s">
        <v>24</v>
      </c>
      <c r="D457" t="s">
        <v>311</v>
      </c>
      <c r="E457">
        <v>2023</v>
      </c>
      <c r="F457">
        <v>4</v>
      </c>
      <c r="G457">
        <v>3</v>
      </c>
      <c r="H457">
        <v>13</v>
      </c>
      <c r="I457">
        <v>145</v>
      </c>
      <c r="J457" s="6"/>
      <c r="K457" s="13">
        <v>45908</v>
      </c>
      <c r="L457" s="50">
        <v>0.94186000000000003</v>
      </c>
    </row>
    <row r="458" spans="1:12" x14ac:dyDescent="0.25">
      <c r="A458" t="s">
        <v>24</v>
      </c>
      <c r="D458" t="s">
        <v>311</v>
      </c>
      <c r="E458">
        <v>2023</v>
      </c>
      <c r="F458">
        <v>4</v>
      </c>
      <c r="G458">
        <v>3</v>
      </c>
      <c r="H458">
        <v>13</v>
      </c>
      <c r="I458">
        <v>145</v>
      </c>
      <c r="J458" s="6"/>
      <c r="K458" s="13">
        <v>45925</v>
      </c>
      <c r="L458" s="50">
        <v>0.93081999999999998</v>
      </c>
    </row>
    <row r="459" spans="1:12" x14ac:dyDescent="0.25">
      <c r="A459" t="s">
        <v>24</v>
      </c>
      <c r="D459" t="s">
        <v>311</v>
      </c>
      <c r="E459">
        <v>2023</v>
      </c>
      <c r="F459">
        <v>4</v>
      </c>
      <c r="G459">
        <v>3</v>
      </c>
      <c r="H459">
        <v>13</v>
      </c>
      <c r="I459">
        <v>145</v>
      </c>
      <c r="J459" s="6"/>
      <c r="K459" s="13">
        <v>45951</v>
      </c>
      <c r="L459" s="50">
        <v>0.74933000000000005</v>
      </c>
    </row>
    <row r="460" spans="1:12" x14ac:dyDescent="0.25">
      <c r="A460" t="s">
        <v>24</v>
      </c>
      <c r="D460" t="s">
        <v>311</v>
      </c>
      <c r="E460">
        <v>2023</v>
      </c>
      <c r="F460">
        <v>4</v>
      </c>
      <c r="G460">
        <v>3</v>
      </c>
      <c r="H460">
        <v>13</v>
      </c>
      <c r="I460">
        <v>145</v>
      </c>
      <c r="J460" s="6"/>
      <c r="K460" s="13">
        <v>45967</v>
      </c>
      <c r="L460" s="50">
        <v>0.57515000000000005</v>
      </c>
    </row>
    <row r="461" spans="1:12" x14ac:dyDescent="0.25">
      <c r="A461" t="s">
        <v>24</v>
      </c>
      <c r="D461" t="s">
        <v>28</v>
      </c>
      <c r="E461">
        <v>1998</v>
      </c>
      <c r="F461">
        <v>4</v>
      </c>
      <c r="G461">
        <v>4</v>
      </c>
      <c r="H461">
        <v>13</v>
      </c>
      <c r="I461">
        <v>161</v>
      </c>
      <c r="J461" s="6"/>
      <c r="K461" s="13">
        <v>45827</v>
      </c>
      <c r="L461" s="50">
        <v>0.89146000000000003</v>
      </c>
    </row>
    <row r="462" spans="1:12" x14ac:dyDescent="0.25">
      <c r="A462" t="s">
        <v>24</v>
      </c>
      <c r="D462" t="s">
        <v>28</v>
      </c>
      <c r="E462">
        <v>1998</v>
      </c>
      <c r="F462">
        <v>4</v>
      </c>
      <c r="G462">
        <v>4</v>
      </c>
      <c r="H462">
        <v>13</v>
      </c>
      <c r="I462">
        <v>161</v>
      </c>
      <c r="J462" s="6"/>
      <c r="K462" s="13">
        <v>45856</v>
      </c>
      <c r="L462" s="50">
        <v>0.90307999999999999</v>
      </c>
    </row>
    <row r="463" spans="1:12" x14ac:dyDescent="0.25">
      <c r="A463" t="s">
        <v>24</v>
      </c>
      <c r="D463" t="s">
        <v>28</v>
      </c>
      <c r="E463">
        <v>1998</v>
      </c>
      <c r="F463">
        <v>4</v>
      </c>
      <c r="G463">
        <v>4</v>
      </c>
      <c r="H463">
        <v>13</v>
      </c>
      <c r="I463">
        <v>161</v>
      </c>
      <c r="J463" s="6"/>
      <c r="K463" s="13">
        <v>45869</v>
      </c>
      <c r="L463" s="50">
        <v>0.90480000000000005</v>
      </c>
    </row>
    <row r="464" spans="1:12" x14ac:dyDescent="0.25">
      <c r="A464" t="s">
        <v>24</v>
      </c>
      <c r="D464" t="s">
        <v>28</v>
      </c>
      <c r="E464">
        <v>1998</v>
      </c>
      <c r="F464">
        <v>4</v>
      </c>
      <c r="G464">
        <v>4</v>
      </c>
      <c r="H464">
        <v>13</v>
      </c>
      <c r="I464">
        <v>161</v>
      </c>
      <c r="J464" s="6"/>
      <c r="K464" s="13">
        <v>45881</v>
      </c>
      <c r="L464" s="50">
        <v>0.88214999999999999</v>
      </c>
    </row>
    <row r="465" spans="1:12" x14ac:dyDescent="0.25">
      <c r="A465" t="s">
        <v>24</v>
      </c>
      <c r="D465" t="s">
        <v>28</v>
      </c>
      <c r="E465">
        <v>1998</v>
      </c>
      <c r="F465">
        <v>4</v>
      </c>
      <c r="G465">
        <v>4</v>
      </c>
      <c r="H465">
        <v>13</v>
      </c>
      <c r="I465">
        <v>161</v>
      </c>
      <c r="J465" s="6"/>
      <c r="K465" s="13">
        <v>45895</v>
      </c>
      <c r="L465" s="50">
        <v>0.88958000000000004</v>
      </c>
    </row>
    <row r="466" spans="1:12" x14ac:dyDescent="0.25">
      <c r="A466" t="s">
        <v>24</v>
      </c>
      <c r="D466" t="s">
        <v>28</v>
      </c>
      <c r="E466">
        <v>1998</v>
      </c>
      <c r="F466">
        <v>4</v>
      </c>
      <c r="G466">
        <v>4</v>
      </c>
      <c r="H466">
        <v>13</v>
      </c>
      <c r="I466">
        <v>161</v>
      </c>
      <c r="J466" s="6"/>
      <c r="K466" s="13">
        <v>45908</v>
      </c>
      <c r="L466" s="50">
        <v>0.92622000000000004</v>
      </c>
    </row>
    <row r="467" spans="1:12" x14ac:dyDescent="0.25">
      <c r="A467" t="s">
        <v>24</v>
      </c>
      <c r="D467" t="s">
        <v>28</v>
      </c>
      <c r="E467">
        <v>1998</v>
      </c>
      <c r="F467">
        <v>4</v>
      </c>
      <c r="G467">
        <v>4</v>
      </c>
      <c r="H467">
        <v>13</v>
      </c>
      <c r="I467">
        <v>161</v>
      </c>
      <c r="J467" s="6"/>
      <c r="K467" s="13">
        <v>45925</v>
      </c>
      <c r="L467" s="50">
        <v>0.93799999999999994</v>
      </c>
    </row>
    <row r="468" spans="1:12" x14ac:dyDescent="0.25">
      <c r="A468" t="s">
        <v>24</v>
      </c>
      <c r="D468" t="s">
        <v>28</v>
      </c>
      <c r="E468">
        <v>1998</v>
      </c>
      <c r="F468">
        <v>4</v>
      </c>
      <c r="G468">
        <v>4</v>
      </c>
      <c r="H468">
        <v>13</v>
      </c>
      <c r="I468">
        <v>161</v>
      </c>
      <c r="J468" s="6"/>
      <c r="K468" s="13">
        <v>45951</v>
      </c>
      <c r="L468" s="50">
        <v>0.71692999999999996</v>
      </c>
    </row>
    <row r="469" spans="1:12" x14ac:dyDescent="0.25">
      <c r="A469" t="s">
        <v>24</v>
      </c>
      <c r="D469" t="s">
        <v>28</v>
      </c>
      <c r="E469">
        <v>1998</v>
      </c>
      <c r="F469">
        <v>4</v>
      </c>
      <c r="G469">
        <v>4</v>
      </c>
      <c r="H469">
        <v>13</v>
      </c>
      <c r="I469">
        <v>161</v>
      </c>
      <c r="J469" s="6"/>
      <c r="K469" s="13">
        <v>45967</v>
      </c>
      <c r="L469" s="50">
        <v>0.64219999999999999</v>
      </c>
    </row>
    <row r="470" spans="1:12" x14ac:dyDescent="0.25">
      <c r="A470" t="s">
        <v>24</v>
      </c>
      <c r="D470" t="s">
        <v>313</v>
      </c>
      <c r="E470">
        <v>2016</v>
      </c>
      <c r="F470">
        <v>4</v>
      </c>
      <c r="G470">
        <v>4</v>
      </c>
      <c r="H470">
        <v>14</v>
      </c>
      <c r="I470">
        <v>162</v>
      </c>
      <c r="J470" s="6"/>
      <c r="K470" s="13">
        <v>45827</v>
      </c>
      <c r="L470" s="50">
        <v>0.90476999999999996</v>
      </c>
    </row>
    <row r="471" spans="1:12" x14ac:dyDescent="0.25">
      <c r="A471" t="s">
        <v>24</v>
      </c>
      <c r="D471" t="s">
        <v>313</v>
      </c>
      <c r="E471">
        <v>2016</v>
      </c>
      <c r="F471">
        <v>4</v>
      </c>
      <c r="G471">
        <v>4</v>
      </c>
      <c r="H471">
        <v>14</v>
      </c>
      <c r="I471">
        <v>162</v>
      </c>
      <c r="J471" s="6"/>
      <c r="K471" s="13">
        <v>45856</v>
      </c>
      <c r="L471" s="50">
        <v>0.92069999999999996</v>
      </c>
    </row>
    <row r="472" spans="1:12" x14ac:dyDescent="0.25">
      <c r="A472" t="s">
        <v>24</v>
      </c>
      <c r="D472" t="s">
        <v>313</v>
      </c>
      <c r="E472">
        <v>2016</v>
      </c>
      <c r="F472">
        <v>4</v>
      </c>
      <c r="G472">
        <v>4</v>
      </c>
      <c r="H472">
        <v>14</v>
      </c>
      <c r="I472">
        <v>162</v>
      </c>
      <c r="J472" s="6"/>
      <c r="K472" s="13">
        <v>45869</v>
      </c>
      <c r="L472" s="50">
        <v>0.88354999999999995</v>
      </c>
    </row>
    <row r="473" spans="1:12" x14ac:dyDescent="0.25">
      <c r="A473" t="s">
        <v>24</v>
      </c>
      <c r="D473" t="s">
        <v>313</v>
      </c>
      <c r="E473">
        <v>2016</v>
      </c>
      <c r="F473">
        <v>4</v>
      </c>
      <c r="G473">
        <v>4</v>
      </c>
      <c r="H473">
        <v>14</v>
      </c>
      <c r="I473">
        <v>162</v>
      </c>
      <c r="J473" s="6"/>
      <c r="K473" s="13">
        <v>45881</v>
      </c>
      <c r="L473" s="50">
        <v>0.87390000000000001</v>
      </c>
    </row>
    <row r="474" spans="1:12" x14ac:dyDescent="0.25">
      <c r="A474" t="s">
        <v>24</v>
      </c>
      <c r="B474" s="54"/>
      <c r="C474" s="55"/>
      <c r="D474" t="s">
        <v>313</v>
      </c>
      <c r="E474">
        <v>2016</v>
      </c>
      <c r="F474">
        <v>4</v>
      </c>
      <c r="G474">
        <v>4</v>
      </c>
      <c r="H474">
        <v>14</v>
      </c>
      <c r="I474">
        <v>162</v>
      </c>
      <c r="J474" s="6"/>
      <c r="K474" s="13">
        <v>45895</v>
      </c>
      <c r="L474" s="50">
        <v>0.92700000000000005</v>
      </c>
    </row>
    <row r="475" spans="1:12" x14ac:dyDescent="0.25">
      <c r="A475" t="s">
        <v>24</v>
      </c>
      <c r="D475" t="s">
        <v>313</v>
      </c>
      <c r="E475">
        <v>2016</v>
      </c>
      <c r="F475">
        <v>4</v>
      </c>
      <c r="G475">
        <v>4</v>
      </c>
      <c r="H475">
        <v>14</v>
      </c>
      <c r="I475">
        <v>162</v>
      </c>
      <c r="J475" s="6"/>
      <c r="K475" s="13">
        <v>45908</v>
      </c>
      <c r="L475" s="50">
        <v>0.96425000000000005</v>
      </c>
    </row>
    <row r="476" spans="1:12" x14ac:dyDescent="0.25">
      <c r="A476" t="s">
        <v>24</v>
      </c>
      <c r="D476" t="s">
        <v>313</v>
      </c>
      <c r="E476">
        <v>2016</v>
      </c>
      <c r="F476">
        <v>4</v>
      </c>
      <c r="G476">
        <v>4</v>
      </c>
      <c r="H476">
        <v>14</v>
      </c>
      <c r="I476">
        <v>162</v>
      </c>
      <c r="J476" s="6"/>
      <c r="K476" s="13">
        <v>45925</v>
      </c>
      <c r="L476" s="50">
        <v>0.94188000000000005</v>
      </c>
    </row>
    <row r="477" spans="1:12" x14ac:dyDescent="0.25">
      <c r="A477" t="s">
        <v>24</v>
      </c>
      <c r="D477" t="s">
        <v>313</v>
      </c>
      <c r="E477">
        <v>2016</v>
      </c>
      <c r="F477">
        <v>4</v>
      </c>
      <c r="G477">
        <v>4</v>
      </c>
      <c r="H477">
        <v>14</v>
      </c>
      <c r="I477">
        <v>162</v>
      </c>
      <c r="J477" s="6"/>
      <c r="K477" s="13">
        <v>45951</v>
      </c>
      <c r="L477" s="50">
        <v>0.64624999999999999</v>
      </c>
    </row>
    <row r="478" spans="1:12" x14ac:dyDescent="0.25">
      <c r="A478" t="s">
        <v>24</v>
      </c>
      <c r="D478" t="s">
        <v>313</v>
      </c>
      <c r="E478">
        <v>2016</v>
      </c>
      <c r="F478">
        <v>4</v>
      </c>
      <c r="G478">
        <v>4</v>
      </c>
      <c r="H478">
        <v>14</v>
      </c>
      <c r="I478">
        <v>162</v>
      </c>
      <c r="J478" s="6"/>
      <c r="K478" s="13">
        <v>45967</v>
      </c>
      <c r="L478" s="50">
        <v>0.62385000000000002</v>
      </c>
    </row>
    <row r="479" spans="1:12" x14ac:dyDescent="0.25">
      <c r="A479" t="s">
        <v>24</v>
      </c>
      <c r="D479" t="s">
        <v>312</v>
      </c>
      <c r="E479">
        <v>2002</v>
      </c>
      <c r="F479">
        <v>4</v>
      </c>
      <c r="G479">
        <v>3</v>
      </c>
      <c r="H479">
        <v>14</v>
      </c>
      <c r="I479">
        <v>146</v>
      </c>
      <c r="J479" s="6"/>
      <c r="K479" s="13">
        <v>45827</v>
      </c>
      <c r="L479" s="50">
        <v>0.89419999999999999</v>
      </c>
    </row>
    <row r="480" spans="1:12" x14ac:dyDescent="0.25">
      <c r="A480" t="s">
        <v>24</v>
      </c>
      <c r="D480" t="s">
        <v>312</v>
      </c>
      <c r="E480">
        <v>2002</v>
      </c>
      <c r="F480">
        <v>4</v>
      </c>
      <c r="G480">
        <v>3</v>
      </c>
      <c r="H480">
        <v>14</v>
      </c>
      <c r="I480">
        <v>146</v>
      </c>
      <c r="J480" s="6"/>
      <c r="K480" s="13">
        <v>45856</v>
      </c>
      <c r="L480" s="50">
        <v>0.92100000000000004</v>
      </c>
    </row>
    <row r="481" spans="1:12" x14ac:dyDescent="0.25">
      <c r="A481" t="s">
        <v>24</v>
      </c>
      <c r="D481" t="s">
        <v>312</v>
      </c>
      <c r="E481">
        <v>2002</v>
      </c>
      <c r="F481">
        <v>4</v>
      </c>
      <c r="G481">
        <v>3</v>
      </c>
      <c r="H481">
        <v>14</v>
      </c>
      <c r="I481">
        <v>146</v>
      </c>
      <c r="J481" s="6"/>
      <c r="K481" s="13">
        <v>45869</v>
      </c>
      <c r="L481" s="50">
        <v>0.87980000000000003</v>
      </c>
    </row>
    <row r="482" spans="1:12" x14ac:dyDescent="0.25">
      <c r="A482" t="s">
        <v>24</v>
      </c>
      <c r="D482" t="s">
        <v>312</v>
      </c>
      <c r="E482">
        <v>2002</v>
      </c>
      <c r="F482">
        <v>4</v>
      </c>
      <c r="G482">
        <v>3</v>
      </c>
      <c r="H482">
        <v>14</v>
      </c>
      <c r="I482">
        <v>146</v>
      </c>
      <c r="J482" s="6"/>
      <c r="K482" s="13">
        <v>45881</v>
      </c>
      <c r="L482" s="50">
        <v>0.88283</v>
      </c>
    </row>
    <row r="483" spans="1:12" x14ac:dyDescent="0.25">
      <c r="A483" t="s">
        <v>24</v>
      </c>
      <c r="D483" t="s">
        <v>312</v>
      </c>
      <c r="E483">
        <v>2002</v>
      </c>
      <c r="F483">
        <v>4</v>
      </c>
      <c r="G483">
        <v>3</v>
      </c>
      <c r="H483">
        <v>14</v>
      </c>
      <c r="I483">
        <v>146</v>
      </c>
      <c r="J483" s="6"/>
      <c r="K483" s="13">
        <v>45895</v>
      </c>
      <c r="L483" s="50">
        <v>0.85872999999999999</v>
      </c>
    </row>
    <row r="484" spans="1:12" x14ac:dyDescent="0.25">
      <c r="A484" t="s">
        <v>24</v>
      </c>
      <c r="D484" t="s">
        <v>312</v>
      </c>
      <c r="E484">
        <v>2002</v>
      </c>
      <c r="F484">
        <v>4</v>
      </c>
      <c r="G484">
        <v>3</v>
      </c>
      <c r="H484">
        <v>14</v>
      </c>
      <c r="I484">
        <v>146</v>
      </c>
      <c r="J484" s="6"/>
      <c r="K484" s="13">
        <v>45908</v>
      </c>
      <c r="L484" s="50">
        <v>0.96125000000000005</v>
      </c>
    </row>
    <row r="485" spans="1:12" x14ac:dyDescent="0.25">
      <c r="A485" t="s">
        <v>24</v>
      </c>
      <c r="D485" t="s">
        <v>312</v>
      </c>
      <c r="E485">
        <v>2002</v>
      </c>
      <c r="F485">
        <v>4</v>
      </c>
      <c r="G485">
        <v>3</v>
      </c>
      <c r="H485">
        <v>14</v>
      </c>
      <c r="I485">
        <v>146</v>
      </c>
      <c r="J485" s="6"/>
      <c r="K485" s="13">
        <v>45925</v>
      </c>
      <c r="L485" s="50">
        <v>0.94006000000000001</v>
      </c>
    </row>
    <row r="486" spans="1:12" x14ac:dyDescent="0.25">
      <c r="A486" t="s">
        <v>24</v>
      </c>
      <c r="D486" t="s">
        <v>312</v>
      </c>
      <c r="E486">
        <v>2002</v>
      </c>
      <c r="F486">
        <v>4</v>
      </c>
      <c r="G486">
        <v>3</v>
      </c>
      <c r="H486">
        <v>14</v>
      </c>
      <c r="I486">
        <v>146</v>
      </c>
      <c r="J486" s="6"/>
      <c r="K486" s="13">
        <v>45951</v>
      </c>
      <c r="L486" s="50">
        <v>0.75492000000000004</v>
      </c>
    </row>
    <row r="487" spans="1:12" x14ac:dyDescent="0.25">
      <c r="A487" t="s">
        <v>24</v>
      </c>
      <c r="D487" t="s">
        <v>312</v>
      </c>
      <c r="E487">
        <v>2002</v>
      </c>
      <c r="F487">
        <v>4</v>
      </c>
      <c r="G487">
        <v>3</v>
      </c>
      <c r="H487">
        <v>14</v>
      </c>
      <c r="I487">
        <v>146</v>
      </c>
      <c r="J487" s="6"/>
      <c r="K487" s="13">
        <v>45967</v>
      </c>
      <c r="L487" s="50">
        <v>0.66130999999999995</v>
      </c>
    </row>
    <row r="488" spans="1:12" x14ac:dyDescent="0.25">
      <c r="A488" t="s">
        <v>24</v>
      </c>
      <c r="D488" t="s">
        <v>29</v>
      </c>
      <c r="E488">
        <v>1999</v>
      </c>
      <c r="F488">
        <v>4</v>
      </c>
      <c r="G488">
        <v>2</v>
      </c>
      <c r="H488">
        <v>14</v>
      </c>
      <c r="I488">
        <v>130</v>
      </c>
      <c r="J488" s="6"/>
      <c r="K488" s="13">
        <v>45827</v>
      </c>
      <c r="L488" s="50">
        <v>0.90154999999999996</v>
      </c>
    </row>
    <row r="489" spans="1:12" x14ac:dyDescent="0.25">
      <c r="A489" t="s">
        <v>24</v>
      </c>
      <c r="D489" t="s">
        <v>29</v>
      </c>
      <c r="E489">
        <v>1999</v>
      </c>
      <c r="F489">
        <v>4</v>
      </c>
      <c r="G489">
        <v>2</v>
      </c>
      <c r="H489">
        <v>14</v>
      </c>
      <c r="I489">
        <v>130</v>
      </c>
      <c r="J489" s="6"/>
      <c r="K489" s="13">
        <v>45856</v>
      </c>
      <c r="L489" s="50">
        <v>0.91071000000000002</v>
      </c>
    </row>
    <row r="490" spans="1:12" x14ac:dyDescent="0.25">
      <c r="A490" t="s">
        <v>24</v>
      </c>
      <c r="D490" t="s">
        <v>29</v>
      </c>
      <c r="E490">
        <v>1999</v>
      </c>
      <c r="F490">
        <v>4</v>
      </c>
      <c r="G490">
        <v>2</v>
      </c>
      <c r="H490">
        <v>14</v>
      </c>
      <c r="I490">
        <v>130</v>
      </c>
      <c r="J490" s="6"/>
      <c r="K490" s="13">
        <v>45869</v>
      </c>
      <c r="L490" s="50">
        <v>0.87</v>
      </c>
    </row>
    <row r="491" spans="1:12" x14ac:dyDescent="0.25">
      <c r="A491" t="s">
        <v>24</v>
      </c>
      <c r="D491" t="s">
        <v>29</v>
      </c>
      <c r="E491">
        <v>1999</v>
      </c>
      <c r="F491">
        <v>4</v>
      </c>
      <c r="G491">
        <v>2</v>
      </c>
      <c r="H491">
        <v>14</v>
      </c>
      <c r="I491">
        <v>130</v>
      </c>
      <c r="J491" s="6"/>
      <c r="K491" s="13">
        <v>45881</v>
      </c>
      <c r="L491" s="50">
        <v>0.87629000000000001</v>
      </c>
    </row>
    <row r="492" spans="1:12" x14ac:dyDescent="0.25">
      <c r="A492" t="s">
        <v>24</v>
      </c>
      <c r="D492" t="s">
        <v>29</v>
      </c>
      <c r="E492">
        <v>1999</v>
      </c>
      <c r="F492">
        <v>4</v>
      </c>
      <c r="G492">
        <v>2</v>
      </c>
      <c r="H492">
        <v>14</v>
      </c>
      <c r="I492">
        <v>130</v>
      </c>
      <c r="J492" s="6"/>
      <c r="K492" s="13">
        <v>45895</v>
      </c>
      <c r="L492" s="50">
        <v>0.84391000000000005</v>
      </c>
    </row>
    <row r="493" spans="1:12" x14ac:dyDescent="0.25">
      <c r="A493" t="s">
        <v>24</v>
      </c>
      <c r="D493" t="s">
        <v>29</v>
      </c>
      <c r="E493">
        <v>1999</v>
      </c>
      <c r="F493">
        <v>4</v>
      </c>
      <c r="G493">
        <v>2</v>
      </c>
      <c r="H493">
        <v>14</v>
      </c>
      <c r="I493">
        <v>130</v>
      </c>
      <c r="J493" s="6"/>
      <c r="K493" s="13">
        <v>45908</v>
      </c>
      <c r="L493" s="50">
        <v>0.95333000000000001</v>
      </c>
    </row>
    <row r="494" spans="1:12" x14ac:dyDescent="0.25">
      <c r="A494" t="s">
        <v>24</v>
      </c>
      <c r="D494" t="s">
        <v>29</v>
      </c>
      <c r="E494">
        <v>1999</v>
      </c>
      <c r="F494">
        <v>4</v>
      </c>
      <c r="G494">
        <v>2</v>
      </c>
      <c r="H494">
        <v>14</v>
      </c>
      <c r="I494">
        <v>130</v>
      </c>
      <c r="J494" s="6"/>
      <c r="K494" s="13">
        <v>45925</v>
      </c>
      <c r="L494" s="50">
        <v>0.93418000000000001</v>
      </c>
    </row>
    <row r="495" spans="1:12" x14ac:dyDescent="0.25">
      <c r="A495" t="s">
        <v>24</v>
      </c>
      <c r="D495" t="s">
        <v>29</v>
      </c>
      <c r="E495">
        <v>1999</v>
      </c>
      <c r="F495">
        <v>4</v>
      </c>
      <c r="G495">
        <v>2</v>
      </c>
      <c r="H495">
        <v>14</v>
      </c>
      <c r="I495">
        <v>130</v>
      </c>
      <c r="J495" s="6"/>
      <c r="K495" s="13">
        <v>45951</v>
      </c>
      <c r="L495" s="50">
        <v>0.81299999999999994</v>
      </c>
    </row>
    <row r="496" spans="1:12" x14ac:dyDescent="0.25">
      <c r="A496" t="s">
        <v>24</v>
      </c>
      <c r="D496" t="s">
        <v>29</v>
      </c>
      <c r="E496">
        <v>1999</v>
      </c>
      <c r="F496">
        <v>4</v>
      </c>
      <c r="G496">
        <v>2</v>
      </c>
      <c r="H496">
        <v>14</v>
      </c>
      <c r="I496">
        <v>130</v>
      </c>
      <c r="J496" s="6"/>
      <c r="K496" s="13">
        <v>45967</v>
      </c>
      <c r="L496" s="50">
        <v>0.6492</v>
      </c>
    </row>
    <row r="497" spans="1:12" x14ac:dyDescent="0.25">
      <c r="A497" t="s">
        <v>24</v>
      </c>
      <c r="D497" t="s">
        <v>27</v>
      </c>
      <c r="E497">
        <v>1985</v>
      </c>
      <c r="F497">
        <v>4</v>
      </c>
      <c r="G497">
        <v>1</v>
      </c>
      <c r="H497">
        <v>14</v>
      </c>
      <c r="I497">
        <v>114</v>
      </c>
      <c r="J497" s="6"/>
      <c r="K497" s="13">
        <v>45827</v>
      </c>
      <c r="L497" s="50">
        <v>0.89775000000000005</v>
      </c>
    </row>
    <row r="498" spans="1:12" x14ac:dyDescent="0.25">
      <c r="A498" t="s">
        <v>24</v>
      </c>
      <c r="D498" t="s">
        <v>27</v>
      </c>
      <c r="E498">
        <v>1985</v>
      </c>
      <c r="F498">
        <v>4</v>
      </c>
      <c r="G498">
        <v>1</v>
      </c>
      <c r="H498">
        <v>14</v>
      </c>
      <c r="I498">
        <v>114</v>
      </c>
      <c r="J498" s="6"/>
      <c r="K498" s="13">
        <v>45856</v>
      </c>
      <c r="L498" s="50">
        <v>0.90937999999999997</v>
      </c>
    </row>
    <row r="499" spans="1:12" x14ac:dyDescent="0.25">
      <c r="A499" t="s">
        <v>24</v>
      </c>
      <c r="D499" t="s">
        <v>27</v>
      </c>
      <c r="E499">
        <v>1985</v>
      </c>
      <c r="F499">
        <v>4</v>
      </c>
      <c r="G499">
        <v>1</v>
      </c>
      <c r="H499">
        <v>14</v>
      </c>
      <c r="I499">
        <v>114</v>
      </c>
      <c r="J499" s="6"/>
      <c r="K499" s="13">
        <v>45869</v>
      </c>
      <c r="L499" s="50">
        <v>0.89544000000000001</v>
      </c>
    </row>
    <row r="500" spans="1:12" x14ac:dyDescent="0.25">
      <c r="A500" t="s">
        <v>24</v>
      </c>
      <c r="D500" t="s">
        <v>27</v>
      </c>
      <c r="E500">
        <v>1985</v>
      </c>
      <c r="F500">
        <v>4</v>
      </c>
      <c r="G500">
        <v>1</v>
      </c>
      <c r="H500">
        <v>14</v>
      </c>
      <c r="I500">
        <v>114</v>
      </c>
      <c r="J500" s="6"/>
      <c r="K500" s="13">
        <v>45881</v>
      </c>
      <c r="L500" s="50">
        <v>0.86780000000000002</v>
      </c>
    </row>
    <row r="501" spans="1:12" x14ac:dyDescent="0.25">
      <c r="A501" t="s">
        <v>24</v>
      </c>
      <c r="D501" t="s">
        <v>27</v>
      </c>
      <c r="E501">
        <v>1985</v>
      </c>
      <c r="F501">
        <v>4</v>
      </c>
      <c r="G501">
        <v>1</v>
      </c>
      <c r="H501">
        <v>14</v>
      </c>
      <c r="I501">
        <v>114</v>
      </c>
      <c r="J501" s="6"/>
      <c r="K501" s="13">
        <v>45895</v>
      </c>
      <c r="L501" s="50">
        <v>0.86560000000000004</v>
      </c>
    </row>
    <row r="502" spans="1:12" x14ac:dyDescent="0.25">
      <c r="A502" t="s">
        <v>24</v>
      </c>
      <c r="D502" t="s">
        <v>27</v>
      </c>
      <c r="E502">
        <v>1985</v>
      </c>
      <c r="F502">
        <v>4</v>
      </c>
      <c r="G502">
        <v>1</v>
      </c>
      <c r="H502">
        <v>14</v>
      </c>
      <c r="I502">
        <v>114</v>
      </c>
      <c r="J502" s="6"/>
      <c r="K502" s="13">
        <v>45908</v>
      </c>
      <c r="L502" s="50">
        <v>0.94774999999999998</v>
      </c>
    </row>
    <row r="503" spans="1:12" x14ac:dyDescent="0.25">
      <c r="A503" t="s">
        <v>24</v>
      </c>
      <c r="D503" t="s">
        <v>27</v>
      </c>
      <c r="E503">
        <v>1985</v>
      </c>
      <c r="F503">
        <v>4</v>
      </c>
      <c r="G503">
        <v>1</v>
      </c>
      <c r="H503">
        <v>14</v>
      </c>
      <c r="I503">
        <v>114</v>
      </c>
      <c r="J503" s="6"/>
      <c r="K503" s="13">
        <v>45925</v>
      </c>
      <c r="L503" s="50">
        <v>0.93128999999999995</v>
      </c>
    </row>
    <row r="504" spans="1:12" x14ac:dyDescent="0.25">
      <c r="A504" t="s">
        <v>24</v>
      </c>
      <c r="D504" t="s">
        <v>27</v>
      </c>
      <c r="E504">
        <v>1985</v>
      </c>
      <c r="F504">
        <v>4</v>
      </c>
      <c r="G504">
        <v>1</v>
      </c>
      <c r="H504">
        <v>14</v>
      </c>
      <c r="I504">
        <v>114</v>
      </c>
      <c r="J504" s="6"/>
      <c r="K504" s="13">
        <v>45951</v>
      </c>
      <c r="L504" s="50">
        <v>0.72392000000000001</v>
      </c>
    </row>
    <row r="505" spans="1:12" x14ac:dyDescent="0.25">
      <c r="A505" t="s">
        <v>24</v>
      </c>
      <c r="D505" t="s">
        <v>27</v>
      </c>
      <c r="E505">
        <v>1985</v>
      </c>
      <c r="F505">
        <v>4</v>
      </c>
      <c r="G505">
        <v>1</v>
      </c>
      <c r="H505">
        <v>14</v>
      </c>
      <c r="I505">
        <v>114</v>
      </c>
      <c r="J505" s="6"/>
      <c r="K505" s="13">
        <v>45967</v>
      </c>
      <c r="L505" s="50">
        <v>0.59519</v>
      </c>
    </row>
    <row r="506" spans="1:12" x14ac:dyDescent="0.25">
      <c r="A506" t="s">
        <v>34</v>
      </c>
      <c r="D506" t="s">
        <v>36</v>
      </c>
      <c r="E506">
        <v>1984</v>
      </c>
      <c r="F506">
        <v>4</v>
      </c>
      <c r="G506">
        <v>1</v>
      </c>
      <c r="H506">
        <v>15</v>
      </c>
      <c r="I506">
        <v>115</v>
      </c>
      <c r="J506" s="6"/>
      <c r="K506" s="13">
        <v>45827</v>
      </c>
      <c r="L506" s="50">
        <v>0.35269</v>
      </c>
    </row>
    <row r="507" spans="1:12" x14ac:dyDescent="0.25">
      <c r="A507" t="s">
        <v>34</v>
      </c>
      <c r="D507" t="s">
        <v>36</v>
      </c>
      <c r="E507">
        <v>1984</v>
      </c>
      <c r="F507">
        <v>4</v>
      </c>
      <c r="G507">
        <v>1</v>
      </c>
      <c r="H507">
        <v>15</v>
      </c>
      <c r="I507">
        <v>115</v>
      </c>
      <c r="J507" s="6"/>
      <c r="K507" s="13">
        <v>45856</v>
      </c>
      <c r="L507" s="50">
        <v>0.71728999999999998</v>
      </c>
    </row>
    <row r="508" spans="1:12" x14ac:dyDescent="0.25">
      <c r="A508" t="s">
        <v>34</v>
      </c>
      <c r="D508" t="s">
        <v>36</v>
      </c>
      <c r="E508">
        <v>1984</v>
      </c>
      <c r="F508">
        <v>4</v>
      </c>
      <c r="G508">
        <v>1</v>
      </c>
      <c r="H508">
        <v>15</v>
      </c>
      <c r="I508">
        <v>115</v>
      </c>
      <c r="J508" s="6"/>
      <c r="K508" s="13">
        <v>45869</v>
      </c>
      <c r="L508" s="50">
        <v>0.86189000000000004</v>
      </c>
    </row>
    <row r="509" spans="1:12" x14ac:dyDescent="0.25">
      <c r="A509" t="s">
        <v>34</v>
      </c>
      <c r="D509" t="s">
        <v>36</v>
      </c>
      <c r="E509">
        <v>1984</v>
      </c>
      <c r="F509">
        <v>4</v>
      </c>
      <c r="G509">
        <v>1</v>
      </c>
      <c r="H509">
        <v>15</v>
      </c>
      <c r="I509">
        <v>115</v>
      </c>
      <c r="J509" s="6"/>
      <c r="K509" s="13">
        <v>45881</v>
      </c>
      <c r="L509" s="50">
        <v>0.88036000000000003</v>
      </c>
    </row>
    <row r="510" spans="1:12" x14ac:dyDescent="0.25">
      <c r="A510" t="s">
        <v>34</v>
      </c>
      <c r="D510" t="s">
        <v>36</v>
      </c>
      <c r="E510">
        <v>1984</v>
      </c>
      <c r="F510">
        <v>4</v>
      </c>
      <c r="G510">
        <v>1</v>
      </c>
      <c r="H510">
        <v>15</v>
      </c>
      <c r="I510">
        <v>115</v>
      </c>
      <c r="J510" s="6"/>
      <c r="K510" s="13">
        <v>45895</v>
      </c>
      <c r="L510" s="50">
        <v>0.93722000000000005</v>
      </c>
    </row>
    <row r="511" spans="1:12" x14ac:dyDescent="0.25">
      <c r="A511" t="s">
        <v>34</v>
      </c>
      <c r="D511" t="s">
        <v>36</v>
      </c>
      <c r="E511">
        <v>1984</v>
      </c>
      <c r="F511">
        <v>4</v>
      </c>
      <c r="G511">
        <v>1</v>
      </c>
      <c r="H511">
        <v>15</v>
      </c>
      <c r="I511">
        <v>115</v>
      </c>
      <c r="J511" s="6"/>
      <c r="K511" s="13">
        <v>45908</v>
      </c>
      <c r="L511" s="50">
        <v>0.93271000000000004</v>
      </c>
    </row>
    <row r="512" spans="1:12" x14ac:dyDescent="0.25">
      <c r="A512" t="s">
        <v>34</v>
      </c>
      <c r="D512" t="s">
        <v>36</v>
      </c>
      <c r="E512">
        <v>1984</v>
      </c>
      <c r="F512">
        <v>4</v>
      </c>
      <c r="G512">
        <v>1</v>
      </c>
      <c r="H512">
        <v>15</v>
      </c>
      <c r="I512">
        <v>115</v>
      </c>
      <c r="J512" s="6"/>
      <c r="K512" s="13">
        <v>45925</v>
      </c>
      <c r="L512" s="50">
        <v>0.94367000000000001</v>
      </c>
    </row>
    <row r="513" spans="1:12" x14ac:dyDescent="0.25">
      <c r="A513" t="s">
        <v>34</v>
      </c>
      <c r="D513" t="s">
        <v>36</v>
      </c>
      <c r="E513">
        <v>1984</v>
      </c>
      <c r="F513">
        <v>4</v>
      </c>
      <c r="G513">
        <v>1</v>
      </c>
      <c r="H513">
        <v>15</v>
      </c>
      <c r="I513">
        <v>115</v>
      </c>
      <c r="J513" s="6"/>
      <c r="K513" s="13">
        <v>45951</v>
      </c>
      <c r="L513" s="50">
        <v>0.62958000000000003</v>
      </c>
    </row>
    <row r="514" spans="1:12" x14ac:dyDescent="0.25">
      <c r="A514" t="s">
        <v>34</v>
      </c>
      <c r="D514" t="s">
        <v>36</v>
      </c>
      <c r="E514">
        <v>1984</v>
      </c>
      <c r="F514">
        <v>4</v>
      </c>
      <c r="G514">
        <v>1</v>
      </c>
      <c r="H514">
        <v>15</v>
      </c>
      <c r="I514">
        <v>115</v>
      </c>
      <c r="J514" s="6"/>
      <c r="K514" s="13">
        <v>45967</v>
      </c>
      <c r="L514" s="50">
        <v>0.41957</v>
      </c>
    </row>
    <row r="515" spans="1:12" x14ac:dyDescent="0.25">
      <c r="A515" t="s">
        <v>34</v>
      </c>
      <c r="D515" t="s">
        <v>38</v>
      </c>
      <c r="E515">
        <v>1999</v>
      </c>
      <c r="F515">
        <v>4</v>
      </c>
      <c r="G515">
        <v>2</v>
      </c>
      <c r="H515">
        <v>15</v>
      </c>
      <c r="I515">
        <v>131</v>
      </c>
      <c r="J515" s="6"/>
      <c r="K515" s="13">
        <v>45827</v>
      </c>
      <c r="L515" s="50">
        <v>0.31444</v>
      </c>
    </row>
    <row r="516" spans="1:12" x14ac:dyDescent="0.25">
      <c r="A516" t="s">
        <v>34</v>
      </c>
      <c r="D516" t="s">
        <v>38</v>
      </c>
      <c r="E516">
        <v>1999</v>
      </c>
      <c r="F516">
        <v>4</v>
      </c>
      <c r="G516">
        <v>2</v>
      </c>
      <c r="H516">
        <v>15</v>
      </c>
      <c r="I516">
        <v>131</v>
      </c>
      <c r="J516" s="6"/>
      <c r="K516" s="13">
        <v>45856</v>
      </c>
      <c r="L516" s="50">
        <v>0.63414000000000004</v>
      </c>
    </row>
    <row r="517" spans="1:12" x14ac:dyDescent="0.25">
      <c r="A517" t="s">
        <v>34</v>
      </c>
      <c r="D517" t="s">
        <v>38</v>
      </c>
      <c r="E517">
        <v>1999</v>
      </c>
      <c r="F517">
        <v>4</v>
      </c>
      <c r="G517">
        <v>2</v>
      </c>
      <c r="H517">
        <v>15</v>
      </c>
      <c r="I517">
        <v>131</v>
      </c>
      <c r="J517" s="6"/>
      <c r="K517" s="13">
        <v>45869</v>
      </c>
      <c r="L517" s="50">
        <v>0.83743999999999996</v>
      </c>
    </row>
    <row r="518" spans="1:12" x14ac:dyDescent="0.25">
      <c r="A518" t="s">
        <v>34</v>
      </c>
      <c r="D518" t="s">
        <v>38</v>
      </c>
      <c r="E518">
        <v>1999</v>
      </c>
      <c r="F518">
        <v>4</v>
      </c>
      <c r="G518">
        <v>2</v>
      </c>
      <c r="H518">
        <v>15</v>
      </c>
      <c r="I518">
        <v>131</v>
      </c>
      <c r="J518" s="6"/>
      <c r="K518" s="13">
        <v>45881</v>
      </c>
      <c r="L518" s="50">
        <v>0.88066999999999995</v>
      </c>
    </row>
    <row r="519" spans="1:12" x14ac:dyDescent="0.25">
      <c r="A519" t="s">
        <v>34</v>
      </c>
      <c r="D519" t="s">
        <v>38</v>
      </c>
      <c r="E519">
        <v>1999</v>
      </c>
      <c r="F519">
        <v>4</v>
      </c>
      <c r="G519">
        <v>2</v>
      </c>
      <c r="H519">
        <v>15</v>
      </c>
      <c r="I519">
        <v>131</v>
      </c>
      <c r="J519" s="6"/>
      <c r="K519" s="13">
        <v>45895</v>
      </c>
      <c r="L519" s="50">
        <v>0.90878000000000003</v>
      </c>
    </row>
    <row r="520" spans="1:12" x14ac:dyDescent="0.25">
      <c r="A520" t="s">
        <v>34</v>
      </c>
      <c r="D520" t="s">
        <v>38</v>
      </c>
      <c r="E520">
        <v>1999</v>
      </c>
      <c r="F520">
        <v>4</v>
      </c>
      <c r="G520">
        <v>2</v>
      </c>
      <c r="H520">
        <v>15</v>
      </c>
      <c r="I520">
        <v>131</v>
      </c>
      <c r="J520" s="6"/>
      <c r="K520" s="13">
        <v>45908</v>
      </c>
      <c r="L520" s="50">
        <v>0.94562999999999997</v>
      </c>
    </row>
    <row r="521" spans="1:12" x14ac:dyDescent="0.25">
      <c r="A521" t="s">
        <v>34</v>
      </c>
      <c r="D521" t="s">
        <v>38</v>
      </c>
      <c r="E521">
        <v>1999</v>
      </c>
      <c r="F521">
        <v>4</v>
      </c>
      <c r="G521">
        <v>2</v>
      </c>
      <c r="H521">
        <v>15</v>
      </c>
      <c r="I521">
        <v>131</v>
      </c>
      <c r="J521" s="6"/>
      <c r="K521" s="13">
        <v>45925</v>
      </c>
      <c r="L521" s="50">
        <v>0.94576000000000005</v>
      </c>
    </row>
    <row r="522" spans="1:12" x14ac:dyDescent="0.25">
      <c r="A522" t="s">
        <v>34</v>
      </c>
      <c r="D522" t="s">
        <v>38</v>
      </c>
      <c r="E522">
        <v>1999</v>
      </c>
      <c r="F522">
        <v>4</v>
      </c>
      <c r="G522">
        <v>2</v>
      </c>
      <c r="H522">
        <v>15</v>
      </c>
      <c r="I522">
        <v>131</v>
      </c>
      <c r="J522" s="6"/>
      <c r="K522" s="13">
        <v>45951</v>
      </c>
      <c r="L522" s="50">
        <v>0.64683000000000002</v>
      </c>
    </row>
    <row r="523" spans="1:12" x14ac:dyDescent="0.25">
      <c r="A523" t="s">
        <v>34</v>
      </c>
      <c r="D523" t="s">
        <v>38</v>
      </c>
      <c r="E523">
        <v>1999</v>
      </c>
      <c r="F523">
        <v>4</v>
      </c>
      <c r="G523">
        <v>2</v>
      </c>
      <c r="H523">
        <v>15</v>
      </c>
      <c r="I523">
        <v>131</v>
      </c>
      <c r="J523" s="6"/>
      <c r="K523" s="13">
        <v>45967</v>
      </c>
      <c r="L523" s="50">
        <v>0.52285000000000004</v>
      </c>
    </row>
    <row r="524" spans="1:12" x14ac:dyDescent="0.25">
      <c r="A524" t="s">
        <v>34</v>
      </c>
      <c r="D524" t="s">
        <v>37</v>
      </c>
      <c r="E524">
        <v>1989</v>
      </c>
      <c r="F524">
        <v>4</v>
      </c>
      <c r="G524">
        <v>3</v>
      </c>
      <c r="H524">
        <v>15</v>
      </c>
      <c r="I524">
        <v>147</v>
      </c>
      <c r="J524" s="6"/>
      <c r="K524" s="13">
        <v>45827</v>
      </c>
      <c r="L524" s="50">
        <v>0.27627000000000002</v>
      </c>
    </row>
    <row r="525" spans="1:12" x14ac:dyDescent="0.25">
      <c r="A525" t="s">
        <v>34</v>
      </c>
      <c r="D525" t="s">
        <v>37</v>
      </c>
      <c r="E525">
        <v>1989</v>
      </c>
      <c r="F525">
        <v>4</v>
      </c>
      <c r="G525">
        <v>3</v>
      </c>
      <c r="H525">
        <v>15</v>
      </c>
      <c r="I525">
        <v>147</v>
      </c>
      <c r="J525" s="6"/>
      <c r="K525" s="13">
        <v>45856</v>
      </c>
      <c r="L525" s="50">
        <v>0.59872999999999998</v>
      </c>
    </row>
    <row r="526" spans="1:12" x14ac:dyDescent="0.25">
      <c r="A526" t="s">
        <v>34</v>
      </c>
      <c r="D526" t="s">
        <v>37</v>
      </c>
      <c r="E526">
        <v>1989</v>
      </c>
      <c r="F526">
        <v>4</v>
      </c>
      <c r="G526">
        <v>3</v>
      </c>
      <c r="H526">
        <v>15</v>
      </c>
      <c r="I526">
        <v>147</v>
      </c>
      <c r="J526" s="6"/>
      <c r="K526" s="13">
        <v>45869</v>
      </c>
      <c r="L526" s="50">
        <v>0.80422000000000005</v>
      </c>
    </row>
    <row r="527" spans="1:12" x14ac:dyDescent="0.25">
      <c r="A527" t="s">
        <v>34</v>
      </c>
      <c r="D527" t="s">
        <v>37</v>
      </c>
      <c r="E527">
        <v>1989</v>
      </c>
      <c r="F527">
        <v>4</v>
      </c>
      <c r="G527">
        <v>3</v>
      </c>
      <c r="H527">
        <v>15</v>
      </c>
      <c r="I527">
        <v>147</v>
      </c>
      <c r="J527" s="6"/>
      <c r="K527" s="13">
        <v>45881</v>
      </c>
      <c r="L527" s="50">
        <v>0.87050000000000005</v>
      </c>
    </row>
    <row r="528" spans="1:12" x14ac:dyDescent="0.25">
      <c r="A528" t="s">
        <v>34</v>
      </c>
      <c r="D528" t="s">
        <v>37</v>
      </c>
      <c r="E528">
        <v>1989</v>
      </c>
      <c r="F528">
        <v>4</v>
      </c>
      <c r="G528">
        <v>3</v>
      </c>
      <c r="H528">
        <v>15</v>
      </c>
      <c r="I528">
        <v>147</v>
      </c>
      <c r="J528" s="6"/>
      <c r="K528" s="13">
        <v>45895</v>
      </c>
      <c r="L528" s="50">
        <v>0.88409000000000004</v>
      </c>
    </row>
    <row r="529" spans="1:12" x14ac:dyDescent="0.25">
      <c r="A529" t="s">
        <v>34</v>
      </c>
      <c r="D529" t="s">
        <v>37</v>
      </c>
      <c r="E529">
        <v>1989</v>
      </c>
      <c r="F529">
        <v>4</v>
      </c>
      <c r="G529">
        <v>3</v>
      </c>
      <c r="H529">
        <v>15</v>
      </c>
      <c r="I529">
        <v>147</v>
      </c>
      <c r="J529" s="6"/>
      <c r="K529" s="13">
        <v>45908</v>
      </c>
      <c r="L529" s="50">
        <v>0.93757000000000001</v>
      </c>
    </row>
    <row r="530" spans="1:12" x14ac:dyDescent="0.25">
      <c r="A530" t="s">
        <v>34</v>
      </c>
      <c r="D530" t="s">
        <v>37</v>
      </c>
      <c r="E530">
        <v>1989</v>
      </c>
      <c r="F530">
        <v>4</v>
      </c>
      <c r="G530">
        <v>3</v>
      </c>
      <c r="H530">
        <v>15</v>
      </c>
      <c r="I530">
        <v>147</v>
      </c>
      <c r="J530" s="6"/>
      <c r="K530" s="13">
        <v>45925</v>
      </c>
      <c r="L530" s="50">
        <v>0.93428999999999995</v>
      </c>
    </row>
    <row r="531" spans="1:12" x14ac:dyDescent="0.25">
      <c r="A531" t="s">
        <v>34</v>
      </c>
      <c r="D531" t="s">
        <v>37</v>
      </c>
      <c r="E531">
        <v>1989</v>
      </c>
      <c r="F531">
        <v>4</v>
      </c>
      <c r="G531">
        <v>3</v>
      </c>
      <c r="H531">
        <v>15</v>
      </c>
      <c r="I531">
        <v>147</v>
      </c>
      <c r="J531" s="6"/>
      <c r="K531" s="13">
        <v>45951</v>
      </c>
      <c r="L531" s="50">
        <v>0.78966999999999998</v>
      </c>
    </row>
    <row r="532" spans="1:12" x14ac:dyDescent="0.25">
      <c r="A532" t="s">
        <v>34</v>
      </c>
      <c r="D532" t="s">
        <v>37</v>
      </c>
      <c r="E532">
        <v>1989</v>
      </c>
      <c r="F532">
        <v>4</v>
      </c>
      <c r="G532">
        <v>3</v>
      </c>
      <c r="H532">
        <v>15</v>
      </c>
      <c r="I532">
        <v>147</v>
      </c>
      <c r="J532" s="6"/>
      <c r="K532" s="13">
        <v>45967</v>
      </c>
      <c r="L532" s="50">
        <v>0.66181999999999996</v>
      </c>
    </row>
    <row r="533" spans="1:12" x14ac:dyDescent="0.25">
      <c r="A533" t="s">
        <v>34</v>
      </c>
      <c r="D533" t="s">
        <v>318</v>
      </c>
      <c r="E533">
        <v>2004</v>
      </c>
      <c r="F533">
        <v>4</v>
      </c>
      <c r="G533">
        <v>4</v>
      </c>
      <c r="H533">
        <v>15</v>
      </c>
      <c r="I533">
        <v>163</v>
      </c>
      <c r="J533" s="6"/>
      <c r="K533" s="13">
        <v>45827</v>
      </c>
      <c r="L533" s="50">
        <v>0.28492000000000001</v>
      </c>
    </row>
    <row r="534" spans="1:12" x14ac:dyDescent="0.25">
      <c r="A534" t="s">
        <v>34</v>
      </c>
      <c r="D534" t="s">
        <v>318</v>
      </c>
      <c r="E534">
        <v>2004</v>
      </c>
      <c r="F534">
        <v>4</v>
      </c>
      <c r="G534">
        <v>4</v>
      </c>
      <c r="H534">
        <v>15</v>
      </c>
      <c r="I534">
        <v>163</v>
      </c>
      <c r="J534" s="6"/>
      <c r="K534" s="13">
        <v>45856</v>
      </c>
      <c r="L534" s="50">
        <v>0.61939</v>
      </c>
    </row>
    <row r="535" spans="1:12" x14ac:dyDescent="0.25">
      <c r="A535" t="s">
        <v>34</v>
      </c>
      <c r="D535" t="s">
        <v>318</v>
      </c>
      <c r="E535">
        <v>2004</v>
      </c>
      <c r="F535">
        <v>4</v>
      </c>
      <c r="G535">
        <v>4</v>
      </c>
      <c r="H535">
        <v>15</v>
      </c>
      <c r="I535">
        <v>163</v>
      </c>
      <c r="J535" s="6"/>
      <c r="K535" s="13">
        <v>45869</v>
      </c>
      <c r="L535" s="50">
        <v>0.80230000000000001</v>
      </c>
    </row>
    <row r="536" spans="1:12" x14ac:dyDescent="0.25">
      <c r="A536" t="s">
        <v>34</v>
      </c>
      <c r="D536" t="s">
        <v>318</v>
      </c>
      <c r="E536">
        <v>2004</v>
      </c>
      <c r="F536">
        <v>4</v>
      </c>
      <c r="G536">
        <v>4</v>
      </c>
      <c r="H536">
        <v>15</v>
      </c>
      <c r="I536">
        <v>163</v>
      </c>
      <c r="J536" s="6"/>
      <c r="K536" s="13">
        <v>45881</v>
      </c>
      <c r="L536" s="50">
        <v>0.86050000000000004</v>
      </c>
    </row>
    <row r="537" spans="1:12" x14ac:dyDescent="0.25">
      <c r="A537" t="s">
        <v>34</v>
      </c>
      <c r="D537" t="s">
        <v>318</v>
      </c>
      <c r="E537">
        <v>2004</v>
      </c>
      <c r="F537">
        <v>4</v>
      </c>
      <c r="G537">
        <v>4</v>
      </c>
      <c r="H537">
        <v>15</v>
      </c>
      <c r="I537">
        <v>163</v>
      </c>
      <c r="J537" s="6"/>
      <c r="K537" s="13">
        <v>45895</v>
      </c>
      <c r="L537" s="50">
        <v>0.87792000000000003</v>
      </c>
    </row>
    <row r="538" spans="1:12" x14ac:dyDescent="0.25">
      <c r="A538" t="s">
        <v>34</v>
      </c>
      <c r="B538" s="54"/>
      <c r="C538" s="55"/>
      <c r="D538" t="s">
        <v>318</v>
      </c>
      <c r="E538">
        <v>2004</v>
      </c>
      <c r="F538">
        <v>4</v>
      </c>
      <c r="G538">
        <v>4</v>
      </c>
      <c r="H538">
        <v>15</v>
      </c>
      <c r="I538">
        <v>163</v>
      </c>
      <c r="J538" s="6"/>
      <c r="K538" s="13">
        <v>45908</v>
      </c>
      <c r="L538" s="50">
        <v>0.93157000000000001</v>
      </c>
    </row>
    <row r="539" spans="1:12" x14ac:dyDescent="0.25">
      <c r="A539" t="s">
        <v>34</v>
      </c>
      <c r="D539" t="s">
        <v>318</v>
      </c>
      <c r="E539">
        <v>2004</v>
      </c>
      <c r="F539">
        <v>4</v>
      </c>
      <c r="G539">
        <v>4</v>
      </c>
      <c r="H539">
        <v>15</v>
      </c>
      <c r="I539">
        <v>163</v>
      </c>
      <c r="J539" s="6"/>
      <c r="K539" s="13">
        <v>45925</v>
      </c>
      <c r="L539" s="50">
        <v>0.93520000000000003</v>
      </c>
    </row>
    <row r="540" spans="1:12" x14ac:dyDescent="0.25">
      <c r="A540" t="s">
        <v>34</v>
      </c>
      <c r="D540" t="s">
        <v>318</v>
      </c>
      <c r="E540">
        <v>2004</v>
      </c>
      <c r="F540">
        <v>4</v>
      </c>
      <c r="G540">
        <v>4</v>
      </c>
      <c r="H540">
        <v>15</v>
      </c>
      <c r="I540">
        <v>163</v>
      </c>
      <c r="J540" s="6"/>
      <c r="K540" s="13">
        <v>45951</v>
      </c>
      <c r="L540" s="50">
        <v>0.75600000000000001</v>
      </c>
    </row>
    <row r="541" spans="1:12" x14ac:dyDescent="0.25">
      <c r="A541" t="s">
        <v>34</v>
      </c>
      <c r="D541" t="s">
        <v>318</v>
      </c>
      <c r="E541">
        <v>2004</v>
      </c>
      <c r="F541">
        <v>4</v>
      </c>
      <c r="G541">
        <v>4</v>
      </c>
      <c r="H541">
        <v>15</v>
      </c>
      <c r="I541">
        <v>163</v>
      </c>
      <c r="J541" s="6"/>
      <c r="K541" s="13">
        <v>45967</v>
      </c>
      <c r="L541" s="50">
        <v>0.64964</v>
      </c>
    </row>
    <row r="542" spans="1:12" x14ac:dyDescent="0.25">
      <c r="A542" t="s">
        <v>34</v>
      </c>
      <c r="D542" t="s">
        <v>39</v>
      </c>
      <c r="E542">
        <v>2001</v>
      </c>
      <c r="F542">
        <v>4</v>
      </c>
      <c r="G542">
        <v>4</v>
      </c>
      <c r="H542">
        <v>16</v>
      </c>
      <c r="I542">
        <v>164</v>
      </c>
      <c r="J542" s="6"/>
      <c r="K542" s="13">
        <v>45827</v>
      </c>
      <c r="L542" s="50">
        <v>0.32278000000000001</v>
      </c>
    </row>
    <row r="543" spans="1:12" x14ac:dyDescent="0.25">
      <c r="A543" t="s">
        <v>34</v>
      </c>
      <c r="D543" t="s">
        <v>39</v>
      </c>
      <c r="E543">
        <v>2001</v>
      </c>
      <c r="F543">
        <v>4</v>
      </c>
      <c r="G543">
        <v>4</v>
      </c>
      <c r="H543">
        <v>16</v>
      </c>
      <c r="I543">
        <v>164</v>
      </c>
      <c r="J543" s="6"/>
      <c r="K543" s="13">
        <v>45856</v>
      </c>
      <c r="L543" s="50">
        <v>0.71343999999999996</v>
      </c>
    </row>
    <row r="544" spans="1:12" x14ac:dyDescent="0.25">
      <c r="A544" t="s">
        <v>34</v>
      </c>
      <c r="D544" t="s">
        <v>39</v>
      </c>
      <c r="E544">
        <v>2001</v>
      </c>
      <c r="F544">
        <v>4</v>
      </c>
      <c r="G544">
        <v>4</v>
      </c>
      <c r="H544">
        <v>16</v>
      </c>
      <c r="I544">
        <v>164</v>
      </c>
      <c r="J544" s="6"/>
      <c r="K544" s="13">
        <v>45869</v>
      </c>
      <c r="L544" s="50">
        <v>0.85</v>
      </c>
    </row>
    <row r="545" spans="1:12" x14ac:dyDescent="0.25">
      <c r="A545" t="s">
        <v>34</v>
      </c>
      <c r="D545" t="s">
        <v>39</v>
      </c>
      <c r="E545">
        <v>2001</v>
      </c>
      <c r="F545">
        <v>4</v>
      </c>
      <c r="G545">
        <v>4</v>
      </c>
      <c r="H545">
        <v>16</v>
      </c>
      <c r="I545">
        <v>164</v>
      </c>
      <c r="J545" s="6"/>
      <c r="K545" s="13">
        <v>45881</v>
      </c>
      <c r="L545" s="50">
        <v>0.88141999999999998</v>
      </c>
    </row>
    <row r="546" spans="1:12" x14ac:dyDescent="0.25">
      <c r="A546" t="s">
        <v>34</v>
      </c>
      <c r="D546" t="s">
        <v>39</v>
      </c>
      <c r="E546">
        <v>2001</v>
      </c>
      <c r="F546">
        <v>4</v>
      </c>
      <c r="G546">
        <v>4</v>
      </c>
      <c r="H546">
        <v>16</v>
      </c>
      <c r="I546">
        <v>164</v>
      </c>
      <c r="J546" s="6"/>
      <c r="K546" s="13">
        <v>45895</v>
      </c>
      <c r="L546" s="50">
        <v>0.85521999999999998</v>
      </c>
    </row>
    <row r="547" spans="1:12" x14ac:dyDescent="0.25">
      <c r="A547" t="s">
        <v>34</v>
      </c>
      <c r="D547" t="s">
        <v>39</v>
      </c>
      <c r="E547">
        <v>2001</v>
      </c>
      <c r="F547">
        <v>4</v>
      </c>
      <c r="G547">
        <v>4</v>
      </c>
      <c r="H547">
        <v>16</v>
      </c>
      <c r="I547">
        <v>164</v>
      </c>
      <c r="J547" s="6"/>
      <c r="K547" s="13">
        <v>45908</v>
      </c>
      <c r="L547" s="50">
        <v>0.93388000000000004</v>
      </c>
    </row>
    <row r="548" spans="1:12" x14ac:dyDescent="0.25">
      <c r="A548" t="s">
        <v>34</v>
      </c>
      <c r="D548" t="s">
        <v>39</v>
      </c>
      <c r="E548">
        <v>2001</v>
      </c>
      <c r="F548">
        <v>4</v>
      </c>
      <c r="G548">
        <v>4</v>
      </c>
      <c r="H548">
        <v>16</v>
      </c>
      <c r="I548">
        <v>164</v>
      </c>
      <c r="J548" s="6"/>
      <c r="K548" s="13">
        <v>45925</v>
      </c>
      <c r="L548" s="50">
        <v>0.93130999999999997</v>
      </c>
    </row>
    <row r="549" spans="1:12" x14ac:dyDescent="0.25">
      <c r="A549" t="s">
        <v>34</v>
      </c>
      <c r="D549" t="s">
        <v>39</v>
      </c>
      <c r="E549">
        <v>2001</v>
      </c>
      <c r="F549">
        <v>4</v>
      </c>
      <c r="G549">
        <v>4</v>
      </c>
      <c r="H549">
        <v>16</v>
      </c>
      <c r="I549">
        <v>164</v>
      </c>
      <c r="J549" s="6"/>
      <c r="K549" s="13">
        <v>45951</v>
      </c>
      <c r="L549" s="50">
        <v>0.60918000000000005</v>
      </c>
    </row>
    <row r="550" spans="1:12" x14ac:dyDescent="0.25">
      <c r="A550" t="s">
        <v>34</v>
      </c>
      <c r="D550" t="s">
        <v>39</v>
      </c>
      <c r="E550">
        <v>2001</v>
      </c>
      <c r="F550">
        <v>4</v>
      </c>
      <c r="G550">
        <v>4</v>
      </c>
      <c r="H550">
        <v>16</v>
      </c>
      <c r="I550">
        <v>164</v>
      </c>
      <c r="J550" s="6"/>
      <c r="K550" s="13">
        <v>45967</v>
      </c>
      <c r="L550" s="50">
        <v>0.44869999999999999</v>
      </c>
    </row>
    <row r="551" spans="1:12" x14ac:dyDescent="0.25">
      <c r="A551" t="s">
        <v>34</v>
      </c>
      <c r="D551" t="s">
        <v>42</v>
      </c>
      <c r="E551">
        <v>2016</v>
      </c>
      <c r="F551">
        <v>4</v>
      </c>
      <c r="G551">
        <v>3</v>
      </c>
      <c r="H551">
        <v>16</v>
      </c>
      <c r="I551">
        <v>148</v>
      </c>
      <c r="J551" s="6"/>
      <c r="K551" s="13">
        <v>45827</v>
      </c>
      <c r="L551" s="50">
        <v>0.27679999999999999</v>
      </c>
    </row>
    <row r="552" spans="1:12" x14ac:dyDescent="0.25">
      <c r="A552" t="s">
        <v>34</v>
      </c>
      <c r="D552" t="s">
        <v>42</v>
      </c>
      <c r="E552">
        <v>2016</v>
      </c>
      <c r="F552">
        <v>4</v>
      </c>
      <c r="G552">
        <v>3</v>
      </c>
      <c r="H552">
        <v>16</v>
      </c>
      <c r="I552">
        <v>148</v>
      </c>
      <c r="J552" s="6"/>
      <c r="K552" s="13">
        <v>45856</v>
      </c>
      <c r="L552" s="50">
        <v>0.62733000000000005</v>
      </c>
    </row>
    <row r="553" spans="1:12" x14ac:dyDescent="0.25">
      <c r="A553" t="s">
        <v>34</v>
      </c>
      <c r="D553" t="s">
        <v>42</v>
      </c>
      <c r="E553">
        <v>2016</v>
      </c>
      <c r="F553">
        <v>4</v>
      </c>
      <c r="G553">
        <v>3</v>
      </c>
      <c r="H553">
        <v>16</v>
      </c>
      <c r="I553">
        <v>148</v>
      </c>
      <c r="J553" s="6"/>
      <c r="K553" s="13">
        <v>45869</v>
      </c>
      <c r="L553" s="50">
        <v>0.80420000000000003</v>
      </c>
    </row>
    <row r="554" spans="1:12" x14ac:dyDescent="0.25">
      <c r="A554" t="s">
        <v>34</v>
      </c>
      <c r="D554" t="s">
        <v>42</v>
      </c>
      <c r="E554">
        <v>2016</v>
      </c>
      <c r="F554">
        <v>4</v>
      </c>
      <c r="G554">
        <v>3</v>
      </c>
      <c r="H554">
        <v>16</v>
      </c>
      <c r="I554">
        <v>148</v>
      </c>
      <c r="J554" s="6"/>
      <c r="K554" s="13">
        <v>45881</v>
      </c>
      <c r="L554" s="50">
        <v>0.84821000000000002</v>
      </c>
    </row>
    <row r="555" spans="1:12" x14ac:dyDescent="0.25">
      <c r="A555" t="s">
        <v>34</v>
      </c>
      <c r="D555" t="s">
        <v>42</v>
      </c>
      <c r="E555">
        <v>2016</v>
      </c>
      <c r="F555">
        <v>4</v>
      </c>
      <c r="G555">
        <v>3</v>
      </c>
      <c r="H555">
        <v>16</v>
      </c>
      <c r="I555">
        <v>148</v>
      </c>
      <c r="J555" s="6"/>
      <c r="K555" s="13">
        <v>45895</v>
      </c>
      <c r="L555" s="50">
        <v>0.87522999999999995</v>
      </c>
    </row>
    <row r="556" spans="1:12" x14ac:dyDescent="0.25">
      <c r="A556" t="s">
        <v>34</v>
      </c>
      <c r="D556" t="s">
        <v>42</v>
      </c>
      <c r="E556">
        <v>2016</v>
      </c>
      <c r="F556">
        <v>4</v>
      </c>
      <c r="G556">
        <v>3</v>
      </c>
      <c r="H556">
        <v>16</v>
      </c>
      <c r="I556">
        <v>148</v>
      </c>
      <c r="J556" s="6"/>
      <c r="K556" s="13">
        <v>45908</v>
      </c>
      <c r="L556" s="50">
        <v>0.94350000000000001</v>
      </c>
    </row>
    <row r="557" spans="1:12" x14ac:dyDescent="0.25">
      <c r="A557" t="s">
        <v>34</v>
      </c>
      <c r="D557" t="s">
        <v>42</v>
      </c>
      <c r="E557">
        <v>2016</v>
      </c>
      <c r="F557">
        <v>4</v>
      </c>
      <c r="G557">
        <v>3</v>
      </c>
      <c r="H557">
        <v>16</v>
      </c>
      <c r="I557">
        <v>148</v>
      </c>
      <c r="J557" s="6"/>
      <c r="K557" s="13">
        <v>45925</v>
      </c>
      <c r="L557" s="50">
        <v>0.92800000000000005</v>
      </c>
    </row>
    <row r="558" spans="1:12" x14ac:dyDescent="0.25">
      <c r="A558" t="s">
        <v>34</v>
      </c>
      <c r="D558" t="s">
        <v>42</v>
      </c>
      <c r="E558">
        <v>2016</v>
      </c>
      <c r="F558">
        <v>4</v>
      </c>
      <c r="G558">
        <v>3</v>
      </c>
      <c r="H558">
        <v>16</v>
      </c>
      <c r="I558">
        <v>148</v>
      </c>
      <c r="J558" s="6"/>
      <c r="K558" s="13">
        <v>45951</v>
      </c>
      <c r="L558" s="50">
        <v>0.59714999999999996</v>
      </c>
    </row>
    <row r="559" spans="1:12" x14ac:dyDescent="0.25">
      <c r="A559" t="s">
        <v>34</v>
      </c>
      <c r="D559" t="s">
        <v>42</v>
      </c>
      <c r="E559">
        <v>2016</v>
      </c>
      <c r="F559">
        <v>4</v>
      </c>
      <c r="G559">
        <v>3</v>
      </c>
      <c r="H559">
        <v>16</v>
      </c>
      <c r="I559">
        <v>148</v>
      </c>
      <c r="J559" s="6"/>
      <c r="K559" s="13">
        <v>45967</v>
      </c>
      <c r="L559" s="50">
        <v>0.46057999999999999</v>
      </c>
    </row>
    <row r="560" spans="1:12" x14ac:dyDescent="0.25">
      <c r="A560" t="s">
        <v>34</v>
      </c>
      <c r="D560" t="s">
        <v>41</v>
      </c>
      <c r="E560">
        <v>2008</v>
      </c>
      <c r="F560">
        <v>4</v>
      </c>
      <c r="G560">
        <v>2</v>
      </c>
      <c r="H560">
        <v>16</v>
      </c>
      <c r="I560">
        <v>132</v>
      </c>
      <c r="J560" s="6"/>
      <c r="K560" s="13">
        <v>45827</v>
      </c>
      <c r="L560" s="50">
        <v>0.32133</v>
      </c>
    </row>
    <row r="561" spans="1:12" x14ac:dyDescent="0.25">
      <c r="A561" t="s">
        <v>34</v>
      </c>
      <c r="D561" t="s">
        <v>41</v>
      </c>
      <c r="E561">
        <v>2008</v>
      </c>
      <c r="F561">
        <v>4</v>
      </c>
      <c r="G561">
        <v>2</v>
      </c>
      <c r="H561">
        <v>16</v>
      </c>
      <c r="I561">
        <v>132</v>
      </c>
      <c r="J561" s="6"/>
      <c r="K561" s="13">
        <v>45856</v>
      </c>
      <c r="L561" s="50">
        <v>0.72558</v>
      </c>
    </row>
    <row r="562" spans="1:12" x14ac:dyDescent="0.25">
      <c r="A562" t="s">
        <v>34</v>
      </c>
      <c r="D562" t="s">
        <v>41</v>
      </c>
      <c r="E562">
        <v>2008</v>
      </c>
      <c r="F562">
        <v>4</v>
      </c>
      <c r="G562">
        <v>2</v>
      </c>
      <c r="H562">
        <v>16</v>
      </c>
      <c r="I562">
        <v>132</v>
      </c>
      <c r="J562" s="6"/>
      <c r="K562" s="13">
        <v>45869</v>
      </c>
      <c r="L562" s="50">
        <v>0.83662999999999998</v>
      </c>
    </row>
    <row r="563" spans="1:12" x14ac:dyDescent="0.25">
      <c r="A563" t="s">
        <v>34</v>
      </c>
      <c r="D563" t="s">
        <v>41</v>
      </c>
      <c r="E563">
        <v>2008</v>
      </c>
      <c r="F563">
        <v>4</v>
      </c>
      <c r="G563">
        <v>2</v>
      </c>
      <c r="H563">
        <v>16</v>
      </c>
      <c r="I563">
        <v>132</v>
      </c>
      <c r="J563" s="6"/>
      <c r="K563" s="13">
        <v>45881</v>
      </c>
      <c r="L563" s="50">
        <v>0.86206000000000005</v>
      </c>
    </row>
    <row r="564" spans="1:12" x14ac:dyDescent="0.25">
      <c r="A564" t="s">
        <v>34</v>
      </c>
      <c r="D564" t="s">
        <v>41</v>
      </c>
      <c r="E564">
        <v>2008</v>
      </c>
      <c r="F564">
        <v>4</v>
      </c>
      <c r="G564">
        <v>2</v>
      </c>
      <c r="H564">
        <v>16</v>
      </c>
      <c r="I564">
        <v>132</v>
      </c>
      <c r="J564" s="6"/>
      <c r="K564" s="13">
        <v>45895</v>
      </c>
      <c r="L564" s="50">
        <v>0.89588000000000001</v>
      </c>
    </row>
    <row r="565" spans="1:12" x14ac:dyDescent="0.25">
      <c r="A565" t="s">
        <v>34</v>
      </c>
      <c r="D565" t="s">
        <v>41</v>
      </c>
      <c r="E565">
        <v>2008</v>
      </c>
      <c r="F565">
        <v>4</v>
      </c>
      <c r="G565">
        <v>2</v>
      </c>
      <c r="H565">
        <v>16</v>
      </c>
      <c r="I565">
        <v>132</v>
      </c>
      <c r="J565" s="6"/>
      <c r="K565" s="13">
        <v>45908</v>
      </c>
      <c r="L565" s="50">
        <v>0.92171000000000003</v>
      </c>
    </row>
    <row r="566" spans="1:12" x14ac:dyDescent="0.25">
      <c r="A566" t="s">
        <v>34</v>
      </c>
      <c r="D566" t="s">
        <v>41</v>
      </c>
      <c r="E566">
        <v>2008</v>
      </c>
      <c r="F566">
        <v>4</v>
      </c>
      <c r="G566">
        <v>2</v>
      </c>
      <c r="H566">
        <v>16</v>
      </c>
      <c r="I566">
        <v>132</v>
      </c>
      <c r="J566" s="6"/>
      <c r="K566" s="13">
        <v>45925</v>
      </c>
      <c r="L566" s="50">
        <v>0.93374999999999997</v>
      </c>
    </row>
    <row r="567" spans="1:12" x14ac:dyDescent="0.25">
      <c r="A567" t="s">
        <v>34</v>
      </c>
      <c r="D567" t="s">
        <v>41</v>
      </c>
      <c r="E567">
        <v>2008</v>
      </c>
      <c r="F567">
        <v>4</v>
      </c>
      <c r="G567">
        <v>2</v>
      </c>
      <c r="H567">
        <v>16</v>
      </c>
      <c r="I567">
        <v>132</v>
      </c>
      <c r="J567" s="6"/>
      <c r="K567" s="13">
        <v>45951</v>
      </c>
      <c r="L567" s="50">
        <v>0.57091999999999998</v>
      </c>
    </row>
    <row r="568" spans="1:12" x14ac:dyDescent="0.25">
      <c r="A568" t="s">
        <v>34</v>
      </c>
      <c r="D568" t="s">
        <v>41</v>
      </c>
      <c r="E568">
        <v>2008</v>
      </c>
      <c r="F568">
        <v>4</v>
      </c>
      <c r="G568">
        <v>2</v>
      </c>
      <c r="H568">
        <v>16</v>
      </c>
      <c r="I568">
        <v>132</v>
      </c>
      <c r="J568" s="6"/>
      <c r="K568" s="13">
        <v>45967</v>
      </c>
      <c r="L568" s="50">
        <v>0.45929999999999999</v>
      </c>
    </row>
    <row r="569" spans="1:12" x14ac:dyDescent="0.25">
      <c r="A569" t="s">
        <v>34</v>
      </c>
      <c r="D569" t="s">
        <v>43</v>
      </c>
      <c r="E569">
        <v>2020</v>
      </c>
      <c r="F569">
        <v>4</v>
      </c>
      <c r="G569">
        <v>1</v>
      </c>
      <c r="H569">
        <v>16</v>
      </c>
      <c r="I569">
        <v>116</v>
      </c>
      <c r="J569" s="6"/>
      <c r="K569" s="13">
        <v>45827</v>
      </c>
      <c r="L569" s="50">
        <v>0.29592000000000002</v>
      </c>
    </row>
    <row r="570" spans="1:12" x14ac:dyDescent="0.25">
      <c r="A570" t="s">
        <v>34</v>
      </c>
      <c r="D570" t="s">
        <v>43</v>
      </c>
      <c r="E570">
        <v>2020</v>
      </c>
      <c r="F570">
        <v>4</v>
      </c>
      <c r="G570">
        <v>1</v>
      </c>
      <c r="H570">
        <v>16</v>
      </c>
      <c r="I570">
        <v>116</v>
      </c>
      <c r="J570" s="6"/>
      <c r="K570" s="13">
        <v>45856</v>
      </c>
      <c r="L570" s="50">
        <v>0.66152999999999995</v>
      </c>
    </row>
    <row r="571" spans="1:12" x14ac:dyDescent="0.25">
      <c r="A571" t="s">
        <v>34</v>
      </c>
      <c r="D571" t="s">
        <v>43</v>
      </c>
      <c r="E571">
        <v>2020</v>
      </c>
      <c r="F571">
        <v>4</v>
      </c>
      <c r="G571">
        <v>1</v>
      </c>
      <c r="H571">
        <v>16</v>
      </c>
      <c r="I571">
        <v>116</v>
      </c>
      <c r="J571" s="6"/>
      <c r="K571" s="13">
        <v>45869</v>
      </c>
      <c r="L571" s="50">
        <v>0.83467000000000002</v>
      </c>
    </row>
    <row r="572" spans="1:12" x14ac:dyDescent="0.25">
      <c r="A572" t="s">
        <v>34</v>
      </c>
      <c r="D572" t="s">
        <v>43</v>
      </c>
      <c r="E572">
        <v>2020</v>
      </c>
      <c r="F572">
        <v>4</v>
      </c>
      <c r="G572">
        <v>1</v>
      </c>
      <c r="H572">
        <v>16</v>
      </c>
      <c r="I572">
        <v>116</v>
      </c>
      <c r="J572" s="6"/>
      <c r="K572" s="13">
        <v>45881</v>
      </c>
      <c r="L572" s="50">
        <v>0.86189000000000004</v>
      </c>
    </row>
    <row r="573" spans="1:12" x14ac:dyDescent="0.25">
      <c r="A573" t="s">
        <v>34</v>
      </c>
      <c r="D573" t="s">
        <v>43</v>
      </c>
      <c r="E573">
        <v>2020</v>
      </c>
      <c r="F573">
        <v>4</v>
      </c>
      <c r="G573">
        <v>1</v>
      </c>
      <c r="H573">
        <v>16</v>
      </c>
      <c r="I573">
        <v>116</v>
      </c>
      <c r="J573" s="6"/>
      <c r="K573" s="13">
        <v>45895</v>
      </c>
      <c r="L573" s="50">
        <v>0.88019000000000003</v>
      </c>
    </row>
    <row r="574" spans="1:12" x14ac:dyDescent="0.25">
      <c r="A574" t="s">
        <v>34</v>
      </c>
      <c r="D574" t="s">
        <v>43</v>
      </c>
      <c r="E574">
        <v>2020</v>
      </c>
      <c r="F574">
        <v>4</v>
      </c>
      <c r="G574">
        <v>1</v>
      </c>
      <c r="H574">
        <v>16</v>
      </c>
      <c r="I574">
        <v>116</v>
      </c>
      <c r="J574" s="6"/>
      <c r="K574" s="13">
        <v>45908</v>
      </c>
      <c r="L574" s="50">
        <v>0.9335</v>
      </c>
    </row>
    <row r="575" spans="1:12" x14ac:dyDescent="0.25">
      <c r="A575" t="s">
        <v>34</v>
      </c>
      <c r="D575" t="s">
        <v>43</v>
      </c>
      <c r="E575">
        <v>2020</v>
      </c>
      <c r="F575">
        <v>4</v>
      </c>
      <c r="G575">
        <v>1</v>
      </c>
      <c r="H575">
        <v>16</v>
      </c>
      <c r="I575">
        <v>116</v>
      </c>
      <c r="J575" s="6"/>
      <c r="K575" s="13">
        <v>45925</v>
      </c>
      <c r="L575" s="50">
        <v>0.93130999999999997</v>
      </c>
    </row>
    <row r="576" spans="1:12" x14ac:dyDescent="0.25">
      <c r="A576" t="s">
        <v>34</v>
      </c>
      <c r="D576" t="s">
        <v>43</v>
      </c>
      <c r="E576">
        <v>2020</v>
      </c>
      <c r="F576">
        <v>4</v>
      </c>
      <c r="G576">
        <v>1</v>
      </c>
      <c r="H576">
        <v>16</v>
      </c>
      <c r="I576">
        <v>116</v>
      </c>
      <c r="J576" s="6"/>
      <c r="K576" s="13">
        <v>45951</v>
      </c>
      <c r="L576" s="50">
        <v>0.65088000000000001</v>
      </c>
    </row>
    <row r="577" spans="1:12" x14ac:dyDescent="0.25">
      <c r="A577" t="s">
        <v>34</v>
      </c>
      <c r="D577" t="s">
        <v>43</v>
      </c>
      <c r="E577">
        <v>2020</v>
      </c>
      <c r="F577">
        <v>4</v>
      </c>
      <c r="G577">
        <v>1</v>
      </c>
      <c r="H577">
        <v>16</v>
      </c>
      <c r="I577">
        <v>116</v>
      </c>
      <c r="J577" s="6"/>
      <c r="K577" s="13">
        <v>45967</v>
      </c>
      <c r="L577" s="50">
        <v>0.53669999999999995</v>
      </c>
    </row>
    <row r="578" spans="1:12" x14ac:dyDescent="0.25">
      <c r="A578"/>
      <c r="D578"/>
      <c r="F578"/>
      <c r="G578"/>
      <c r="H578"/>
      <c r="I578"/>
      <c r="K578" s="84"/>
    </row>
    <row r="579" spans="1:12" x14ac:dyDescent="0.25">
      <c r="A579"/>
      <c r="D579"/>
      <c r="F579"/>
      <c r="G579"/>
      <c r="H579"/>
      <c r="I579"/>
      <c r="K579" s="84"/>
    </row>
    <row r="580" spans="1:12" x14ac:dyDescent="0.25">
      <c r="A580"/>
      <c r="D580"/>
      <c r="F580"/>
      <c r="G580"/>
      <c r="H580"/>
      <c r="I580"/>
      <c r="K580" s="84"/>
    </row>
    <row r="581" spans="1:12" x14ac:dyDescent="0.25">
      <c r="A581"/>
      <c r="D581"/>
      <c r="F581"/>
      <c r="G581"/>
      <c r="H581"/>
      <c r="I581"/>
      <c r="K581" s="84"/>
    </row>
    <row r="582" spans="1:12" x14ac:dyDescent="0.25">
      <c r="A582"/>
      <c r="D582"/>
      <c r="F582"/>
      <c r="G582"/>
      <c r="H582"/>
      <c r="I582"/>
      <c r="K582" s="84"/>
    </row>
    <row r="583" spans="1:12" x14ac:dyDescent="0.25">
      <c r="A583"/>
      <c r="D583"/>
      <c r="F583"/>
      <c r="G583"/>
      <c r="H583"/>
      <c r="I583"/>
      <c r="K583" s="84"/>
    </row>
    <row r="584" spans="1:12" x14ac:dyDescent="0.25">
      <c r="A584"/>
      <c r="D584"/>
      <c r="F584"/>
      <c r="G584"/>
      <c r="H584"/>
      <c r="I584"/>
      <c r="K584" s="84"/>
    </row>
    <row r="585" spans="1:12" x14ac:dyDescent="0.25">
      <c r="A585"/>
      <c r="D585"/>
      <c r="F585"/>
      <c r="G585"/>
      <c r="H585"/>
      <c r="I585"/>
      <c r="K585" s="84"/>
    </row>
    <row r="586" spans="1:12" x14ac:dyDescent="0.25">
      <c r="A586"/>
      <c r="D586"/>
      <c r="F586"/>
      <c r="G586"/>
      <c r="H586"/>
      <c r="I586"/>
      <c r="K586" s="84"/>
    </row>
    <row r="587" spans="1:12" x14ac:dyDescent="0.25">
      <c r="A587"/>
      <c r="D587"/>
      <c r="F587"/>
      <c r="G587"/>
      <c r="H587"/>
      <c r="I587"/>
      <c r="K587" s="84"/>
    </row>
    <row r="588" spans="1:12" x14ac:dyDescent="0.25">
      <c r="A588"/>
      <c r="D588"/>
      <c r="F588"/>
      <c r="G588"/>
      <c r="H588"/>
      <c r="I588"/>
      <c r="K588" s="84"/>
    </row>
    <row r="589" spans="1:12" x14ac:dyDescent="0.25">
      <c r="A589"/>
      <c r="D589"/>
      <c r="F589"/>
      <c r="G589"/>
      <c r="H589"/>
      <c r="I589"/>
      <c r="K589" s="84"/>
    </row>
    <row r="590" spans="1:12" x14ac:dyDescent="0.25">
      <c r="A590"/>
      <c r="D590"/>
      <c r="F590"/>
      <c r="G590"/>
      <c r="H590"/>
      <c r="I590"/>
      <c r="K590" s="84"/>
    </row>
    <row r="591" spans="1:12" x14ac:dyDescent="0.25">
      <c r="A591"/>
      <c r="D591"/>
      <c r="F591"/>
      <c r="G591"/>
      <c r="H591"/>
      <c r="I591"/>
      <c r="K591" s="84"/>
    </row>
    <row r="592" spans="1:12" x14ac:dyDescent="0.25">
      <c r="A592"/>
      <c r="D592"/>
      <c r="F592"/>
      <c r="G592"/>
      <c r="H592"/>
      <c r="I592"/>
      <c r="K592" s="84"/>
    </row>
    <row r="593" spans="1:11" x14ac:dyDescent="0.25">
      <c r="A593"/>
      <c r="D593"/>
      <c r="F593"/>
      <c r="G593"/>
      <c r="H593"/>
      <c r="I593"/>
      <c r="K593" s="84"/>
    </row>
    <row r="594" spans="1:11" x14ac:dyDescent="0.25">
      <c r="A594"/>
      <c r="D594"/>
      <c r="F594"/>
      <c r="G594"/>
      <c r="H594"/>
      <c r="I594"/>
      <c r="K594" s="84"/>
    </row>
    <row r="595" spans="1:11" x14ac:dyDescent="0.25">
      <c r="A595"/>
      <c r="D595"/>
      <c r="F595"/>
      <c r="G595"/>
      <c r="H595"/>
      <c r="I595"/>
      <c r="K595" s="84"/>
    </row>
    <row r="596" spans="1:11" x14ac:dyDescent="0.25">
      <c r="A596"/>
      <c r="D596"/>
      <c r="F596"/>
      <c r="G596"/>
      <c r="H596"/>
      <c r="I596"/>
      <c r="K596" s="84"/>
    </row>
    <row r="597" spans="1:11" x14ac:dyDescent="0.25">
      <c r="A597"/>
      <c r="D597"/>
      <c r="F597"/>
      <c r="G597"/>
      <c r="H597"/>
      <c r="I597"/>
      <c r="K597" s="84"/>
    </row>
    <row r="598" spans="1:11" x14ac:dyDescent="0.25">
      <c r="A598"/>
      <c r="D598"/>
      <c r="F598"/>
      <c r="G598"/>
      <c r="H598"/>
      <c r="I598"/>
      <c r="K598" s="84"/>
    </row>
    <row r="599" spans="1:11" x14ac:dyDescent="0.25">
      <c r="A599"/>
      <c r="D599"/>
      <c r="F599"/>
      <c r="G599"/>
      <c r="H599"/>
      <c r="I599"/>
      <c r="K599" s="84"/>
    </row>
    <row r="600" spans="1:11" x14ac:dyDescent="0.25">
      <c r="A600"/>
      <c r="D600"/>
      <c r="F600"/>
      <c r="G600"/>
      <c r="H600"/>
      <c r="I600"/>
      <c r="K600" s="84"/>
    </row>
    <row r="601" spans="1:11" x14ac:dyDescent="0.25">
      <c r="A601"/>
      <c r="D601"/>
      <c r="F601"/>
      <c r="G601"/>
      <c r="H601"/>
      <c r="I601"/>
      <c r="K601" s="84"/>
    </row>
    <row r="602" spans="1:11" x14ac:dyDescent="0.25">
      <c r="A602"/>
      <c r="D602"/>
      <c r="F602"/>
      <c r="G602"/>
      <c r="H602"/>
      <c r="I602"/>
      <c r="K602" s="84"/>
    </row>
    <row r="603" spans="1:11" x14ac:dyDescent="0.25">
      <c r="A603"/>
      <c r="D603"/>
      <c r="F603"/>
      <c r="G603"/>
      <c r="H603"/>
      <c r="I603"/>
      <c r="K603" s="84"/>
    </row>
    <row r="604" spans="1:11" x14ac:dyDescent="0.25">
      <c r="A604"/>
      <c r="D604"/>
      <c r="F604"/>
      <c r="G604"/>
      <c r="H604"/>
      <c r="I604"/>
      <c r="K604" s="84"/>
    </row>
    <row r="605" spans="1:11" x14ac:dyDescent="0.25">
      <c r="A605"/>
      <c r="D605"/>
      <c r="F605"/>
      <c r="G605"/>
      <c r="H605"/>
      <c r="I605"/>
      <c r="K605" s="84"/>
    </row>
    <row r="606" spans="1:11" x14ac:dyDescent="0.25">
      <c r="A606"/>
      <c r="D606"/>
      <c r="F606"/>
      <c r="G606"/>
      <c r="H606"/>
      <c r="I606"/>
      <c r="K606" s="84"/>
    </row>
    <row r="607" spans="1:11" x14ac:dyDescent="0.25">
      <c r="A607"/>
      <c r="D607"/>
      <c r="F607"/>
      <c r="G607"/>
      <c r="H607"/>
      <c r="I607"/>
      <c r="K607" s="84"/>
    </row>
    <row r="608" spans="1:11" x14ac:dyDescent="0.25">
      <c r="A608"/>
      <c r="D608"/>
      <c r="F608"/>
      <c r="G608"/>
      <c r="H608"/>
      <c r="I608"/>
      <c r="K608" s="84"/>
    </row>
    <row r="609" spans="1:11" x14ac:dyDescent="0.25">
      <c r="A609"/>
      <c r="D609"/>
      <c r="F609"/>
      <c r="G609"/>
      <c r="H609"/>
      <c r="I609"/>
      <c r="K609" s="84"/>
    </row>
    <row r="610" spans="1:11" x14ac:dyDescent="0.25">
      <c r="A610"/>
      <c r="D610"/>
      <c r="F610"/>
      <c r="G610"/>
      <c r="H610"/>
      <c r="I610"/>
      <c r="K610" s="84"/>
    </row>
    <row r="611" spans="1:11" x14ac:dyDescent="0.25">
      <c r="A611"/>
      <c r="D611"/>
      <c r="F611"/>
      <c r="G611"/>
      <c r="H611"/>
      <c r="I611"/>
      <c r="K611" s="84"/>
    </row>
    <row r="612" spans="1:11" x14ac:dyDescent="0.25">
      <c r="A612"/>
      <c r="D612"/>
      <c r="F612"/>
      <c r="G612"/>
      <c r="H612"/>
      <c r="I612"/>
      <c r="K612" s="84"/>
    </row>
    <row r="613" spans="1:11" x14ac:dyDescent="0.25">
      <c r="A613"/>
      <c r="D613"/>
      <c r="F613"/>
      <c r="G613"/>
      <c r="H613"/>
      <c r="I613"/>
      <c r="K613" s="84"/>
    </row>
    <row r="614" spans="1:11" x14ac:dyDescent="0.25">
      <c r="A614"/>
      <c r="D614"/>
      <c r="F614"/>
      <c r="G614"/>
      <c r="H614"/>
      <c r="I614"/>
      <c r="K614" s="84"/>
    </row>
    <row r="615" spans="1:11" x14ac:dyDescent="0.25">
      <c r="A615"/>
      <c r="D615"/>
      <c r="F615"/>
      <c r="G615"/>
      <c r="H615"/>
      <c r="I615"/>
      <c r="K615" s="84"/>
    </row>
    <row r="616" spans="1:11" x14ac:dyDescent="0.25">
      <c r="A616"/>
      <c r="D616"/>
      <c r="F616"/>
      <c r="G616"/>
      <c r="H616"/>
      <c r="I616"/>
      <c r="K616" s="84"/>
    </row>
    <row r="617" spans="1:11" x14ac:dyDescent="0.25">
      <c r="A617"/>
      <c r="D617"/>
      <c r="F617"/>
      <c r="G617"/>
      <c r="H617"/>
      <c r="I617"/>
      <c r="K617" s="84"/>
    </row>
    <row r="618" spans="1:11" x14ac:dyDescent="0.25">
      <c r="A618"/>
      <c r="D618"/>
      <c r="F618"/>
      <c r="G618"/>
      <c r="H618"/>
      <c r="I618"/>
      <c r="K618" s="84"/>
    </row>
    <row r="619" spans="1:11" x14ac:dyDescent="0.25">
      <c r="A619"/>
      <c r="D619"/>
      <c r="F619"/>
      <c r="G619"/>
      <c r="H619"/>
      <c r="I619"/>
      <c r="K619" s="84"/>
    </row>
    <row r="620" spans="1:11" x14ac:dyDescent="0.25">
      <c r="A620"/>
      <c r="D620"/>
      <c r="F620"/>
      <c r="G620"/>
      <c r="H620"/>
      <c r="I620"/>
      <c r="K620" s="84"/>
    </row>
    <row r="621" spans="1:11" x14ac:dyDescent="0.25">
      <c r="A621"/>
      <c r="D621"/>
      <c r="F621"/>
      <c r="G621"/>
      <c r="H621"/>
      <c r="I621"/>
      <c r="K621" s="84"/>
    </row>
    <row r="622" spans="1:11" x14ac:dyDescent="0.25">
      <c r="A622"/>
      <c r="D622"/>
      <c r="F622"/>
      <c r="G622"/>
      <c r="H622"/>
      <c r="I622"/>
      <c r="K622" s="84"/>
    </row>
    <row r="623" spans="1:11" x14ac:dyDescent="0.25">
      <c r="A623"/>
      <c r="D623"/>
      <c r="F623"/>
      <c r="G623"/>
      <c r="H623"/>
      <c r="I623"/>
      <c r="K623" s="84"/>
    </row>
    <row r="624" spans="1:11" x14ac:dyDescent="0.25">
      <c r="A624"/>
      <c r="D624"/>
      <c r="F624"/>
      <c r="G624"/>
      <c r="H624"/>
      <c r="I624"/>
      <c r="K624" s="84"/>
    </row>
    <row r="625" spans="1:11" x14ac:dyDescent="0.25">
      <c r="A625"/>
      <c r="D625"/>
      <c r="F625"/>
      <c r="G625"/>
      <c r="H625"/>
      <c r="I625"/>
      <c r="K625" s="84"/>
    </row>
    <row r="626" spans="1:11" x14ac:dyDescent="0.25">
      <c r="A626"/>
      <c r="D626"/>
      <c r="F626"/>
      <c r="G626"/>
      <c r="H626"/>
      <c r="I626"/>
      <c r="K626" s="84"/>
    </row>
    <row r="627" spans="1:11" x14ac:dyDescent="0.25">
      <c r="A627"/>
      <c r="D627"/>
      <c r="F627"/>
      <c r="G627"/>
      <c r="H627"/>
      <c r="I627"/>
      <c r="K627" s="84"/>
    </row>
    <row r="628" spans="1:11" x14ac:dyDescent="0.25">
      <c r="A628"/>
      <c r="D628"/>
      <c r="F628"/>
      <c r="G628"/>
      <c r="H628"/>
      <c r="I628"/>
      <c r="K628" s="84"/>
    </row>
    <row r="629" spans="1:11" x14ac:dyDescent="0.25">
      <c r="A629"/>
      <c r="D629"/>
      <c r="F629"/>
      <c r="G629"/>
      <c r="H629"/>
      <c r="I629"/>
      <c r="K629" s="84"/>
    </row>
    <row r="630" spans="1:11" x14ac:dyDescent="0.25">
      <c r="A630"/>
      <c r="D630"/>
      <c r="F630"/>
      <c r="G630"/>
      <c r="H630"/>
      <c r="I630"/>
      <c r="K630" s="84"/>
    </row>
    <row r="631" spans="1:11" x14ac:dyDescent="0.25">
      <c r="A631"/>
      <c r="D631"/>
      <c r="F631"/>
      <c r="G631"/>
      <c r="H631"/>
      <c r="I631"/>
      <c r="K631" s="84"/>
    </row>
    <row r="632" spans="1:11" x14ac:dyDescent="0.25">
      <c r="A632"/>
      <c r="D632"/>
      <c r="F632"/>
      <c r="G632"/>
      <c r="H632"/>
      <c r="I632"/>
      <c r="K632" s="84"/>
    </row>
    <row r="633" spans="1:11" x14ac:dyDescent="0.25">
      <c r="A633"/>
      <c r="D633"/>
      <c r="F633"/>
      <c r="G633"/>
      <c r="H633"/>
      <c r="I633"/>
      <c r="K633" s="84"/>
    </row>
    <row r="634" spans="1:11" x14ac:dyDescent="0.25">
      <c r="A634"/>
      <c r="D634"/>
      <c r="F634"/>
      <c r="G634"/>
      <c r="H634"/>
      <c r="I634"/>
      <c r="K634" s="84"/>
    </row>
    <row r="635" spans="1:11" x14ac:dyDescent="0.25">
      <c r="A635"/>
      <c r="D635"/>
      <c r="F635"/>
      <c r="G635"/>
      <c r="H635"/>
      <c r="I635"/>
      <c r="K635" s="84"/>
    </row>
    <row r="636" spans="1:11" x14ac:dyDescent="0.25">
      <c r="A636"/>
      <c r="D636"/>
      <c r="F636"/>
      <c r="G636"/>
      <c r="H636"/>
      <c r="I636"/>
      <c r="K636" s="84"/>
    </row>
    <row r="637" spans="1:11" x14ac:dyDescent="0.25">
      <c r="A637"/>
      <c r="D637"/>
      <c r="F637"/>
      <c r="G637"/>
      <c r="H637"/>
      <c r="I637"/>
      <c r="K637" s="84"/>
    </row>
    <row r="638" spans="1:11" x14ac:dyDescent="0.25">
      <c r="A638"/>
      <c r="D638"/>
      <c r="F638"/>
      <c r="G638"/>
      <c r="H638"/>
      <c r="I638"/>
      <c r="K638" s="84"/>
    </row>
    <row r="639" spans="1:11" x14ac:dyDescent="0.25">
      <c r="A639"/>
      <c r="D639"/>
      <c r="F639"/>
      <c r="G639"/>
      <c r="H639"/>
      <c r="I639"/>
      <c r="K639" s="84"/>
    </row>
    <row r="640" spans="1:11" x14ac:dyDescent="0.25">
      <c r="A640"/>
      <c r="D640"/>
      <c r="F640"/>
      <c r="G640"/>
      <c r="H640"/>
      <c r="I640"/>
      <c r="K640" s="84"/>
    </row>
    <row r="641" spans="1:11" x14ac:dyDescent="0.25">
      <c r="A641"/>
      <c r="D641"/>
      <c r="F641"/>
      <c r="G641"/>
      <c r="H641"/>
      <c r="I641"/>
      <c r="K641" s="84"/>
    </row>
    <row r="642" spans="1:11" x14ac:dyDescent="0.25">
      <c r="A642"/>
      <c r="D642"/>
      <c r="F642"/>
      <c r="G642"/>
      <c r="H642"/>
      <c r="I642"/>
      <c r="K642" s="84"/>
    </row>
    <row r="643" spans="1:11" x14ac:dyDescent="0.25">
      <c r="A643"/>
      <c r="D643"/>
      <c r="F643"/>
      <c r="G643"/>
      <c r="H643"/>
      <c r="I643"/>
      <c r="K643" s="84"/>
    </row>
    <row r="644" spans="1:11" x14ac:dyDescent="0.25">
      <c r="A644"/>
      <c r="D644"/>
      <c r="F644"/>
      <c r="G644"/>
      <c r="H644"/>
      <c r="I644"/>
      <c r="K644" s="84"/>
    </row>
    <row r="645" spans="1:11" x14ac:dyDescent="0.25">
      <c r="A645"/>
      <c r="D645"/>
      <c r="F645"/>
      <c r="G645"/>
      <c r="H645"/>
      <c r="I645"/>
      <c r="K645" s="84"/>
    </row>
    <row r="646" spans="1:11" x14ac:dyDescent="0.25">
      <c r="A646"/>
      <c r="D646"/>
      <c r="F646"/>
      <c r="G646"/>
      <c r="H646"/>
      <c r="I646"/>
      <c r="K646" s="84"/>
    </row>
    <row r="647" spans="1:11" x14ac:dyDescent="0.25">
      <c r="A647"/>
      <c r="D647"/>
      <c r="F647"/>
      <c r="G647"/>
      <c r="H647"/>
      <c r="I647"/>
      <c r="K647" s="84"/>
    </row>
    <row r="648" spans="1:11" x14ac:dyDescent="0.25">
      <c r="A648"/>
      <c r="D648"/>
      <c r="F648"/>
      <c r="G648"/>
      <c r="H648"/>
      <c r="I648"/>
      <c r="K648" s="84"/>
    </row>
    <row r="649" spans="1:11" x14ac:dyDescent="0.25">
      <c r="A649"/>
      <c r="D649"/>
      <c r="F649"/>
      <c r="G649"/>
      <c r="H649"/>
      <c r="I649"/>
      <c r="K649" s="84"/>
    </row>
    <row r="650" spans="1:11" x14ac:dyDescent="0.25">
      <c r="A650"/>
      <c r="D650"/>
      <c r="F650"/>
      <c r="G650"/>
      <c r="H650"/>
      <c r="I650"/>
      <c r="K650" s="84"/>
    </row>
    <row r="651" spans="1:11" x14ac:dyDescent="0.25">
      <c r="A651"/>
      <c r="D651"/>
      <c r="F651"/>
      <c r="G651"/>
      <c r="H651"/>
      <c r="I651"/>
      <c r="K651" s="84"/>
    </row>
    <row r="652" spans="1:11" x14ac:dyDescent="0.25">
      <c r="A652"/>
      <c r="D652"/>
      <c r="F652"/>
      <c r="G652"/>
      <c r="H652"/>
      <c r="I652"/>
      <c r="K652" s="84"/>
    </row>
    <row r="653" spans="1:11" x14ac:dyDescent="0.25">
      <c r="A653"/>
      <c r="D653"/>
      <c r="F653"/>
      <c r="G653"/>
      <c r="H653"/>
      <c r="I653"/>
      <c r="K653" s="84"/>
    </row>
    <row r="654" spans="1:11" x14ac:dyDescent="0.25">
      <c r="A654"/>
      <c r="D654"/>
      <c r="F654"/>
      <c r="G654"/>
      <c r="H654"/>
      <c r="I654"/>
      <c r="K654" s="84"/>
    </row>
    <row r="655" spans="1:11" x14ac:dyDescent="0.25">
      <c r="A655"/>
      <c r="D655"/>
      <c r="F655"/>
      <c r="G655"/>
      <c r="H655"/>
      <c r="I655"/>
      <c r="K655" s="84"/>
    </row>
    <row r="656" spans="1:11" x14ac:dyDescent="0.25">
      <c r="A656"/>
      <c r="D656"/>
      <c r="F656"/>
      <c r="G656"/>
      <c r="H656"/>
      <c r="I656"/>
      <c r="K656" s="84"/>
    </row>
    <row r="657" spans="1:11" x14ac:dyDescent="0.25">
      <c r="A657"/>
      <c r="D657"/>
      <c r="F657"/>
      <c r="G657"/>
      <c r="H657"/>
      <c r="I657"/>
      <c r="K657" s="84"/>
    </row>
    <row r="658" spans="1:11" x14ac:dyDescent="0.25">
      <c r="A658"/>
      <c r="D658"/>
      <c r="F658"/>
      <c r="G658"/>
      <c r="H658"/>
      <c r="I658"/>
      <c r="K658" s="84"/>
    </row>
    <row r="659" spans="1:11" x14ac:dyDescent="0.25">
      <c r="A659"/>
      <c r="D659"/>
      <c r="F659"/>
      <c r="G659"/>
      <c r="H659"/>
      <c r="I659"/>
      <c r="K659" s="84"/>
    </row>
    <row r="660" spans="1:11" x14ac:dyDescent="0.25">
      <c r="A660"/>
      <c r="D660"/>
      <c r="F660"/>
      <c r="G660"/>
      <c r="H660"/>
      <c r="I660"/>
      <c r="K660" s="84"/>
    </row>
    <row r="661" spans="1:11" x14ac:dyDescent="0.25">
      <c r="A661"/>
      <c r="D661"/>
      <c r="F661"/>
      <c r="G661"/>
      <c r="H661"/>
      <c r="I661"/>
      <c r="K661" s="84"/>
    </row>
    <row r="662" spans="1:11" x14ac:dyDescent="0.25">
      <c r="A662"/>
      <c r="D662"/>
      <c r="F662"/>
      <c r="G662"/>
      <c r="H662"/>
      <c r="I662"/>
      <c r="K662" s="84"/>
    </row>
    <row r="663" spans="1:11" x14ac:dyDescent="0.25">
      <c r="A663"/>
      <c r="D663"/>
      <c r="F663"/>
      <c r="G663"/>
      <c r="H663"/>
      <c r="I663"/>
      <c r="K663" s="84"/>
    </row>
    <row r="664" spans="1:11" x14ac:dyDescent="0.25">
      <c r="A664"/>
      <c r="D664"/>
      <c r="F664"/>
      <c r="G664"/>
      <c r="H664"/>
      <c r="I664"/>
      <c r="K664" s="84"/>
    </row>
    <row r="665" spans="1:11" x14ac:dyDescent="0.25">
      <c r="A665"/>
      <c r="D665"/>
      <c r="F665"/>
      <c r="G665"/>
      <c r="H665"/>
      <c r="I665"/>
      <c r="K665" s="84"/>
    </row>
    <row r="666" spans="1:11" x14ac:dyDescent="0.25">
      <c r="A666"/>
      <c r="D666"/>
      <c r="F666"/>
      <c r="G666"/>
      <c r="H666"/>
      <c r="I666"/>
      <c r="K666" s="84"/>
    </row>
    <row r="667" spans="1:11" x14ac:dyDescent="0.25">
      <c r="A667"/>
      <c r="D667"/>
      <c r="F667"/>
      <c r="G667"/>
      <c r="H667"/>
      <c r="I667"/>
      <c r="K667" s="84"/>
    </row>
    <row r="668" spans="1:11" x14ac:dyDescent="0.25">
      <c r="A668"/>
      <c r="D668"/>
      <c r="F668"/>
      <c r="G668"/>
      <c r="H668"/>
      <c r="I668"/>
      <c r="K668" s="84"/>
    </row>
    <row r="669" spans="1:11" x14ac:dyDescent="0.25">
      <c r="A669"/>
      <c r="D669"/>
      <c r="F669"/>
      <c r="G669"/>
      <c r="H669"/>
      <c r="I669"/>
      <c r="K669" s="84"/>
    </row>
    <row r="670" spans="1:11" x14ac:dyDescent="0.25">
      <c r="A670"/>
      <c r="D670"/>
      <c r="F670"/>
      <c r="G670"/>
      <c r="H670"/>
      <c r="I670"/>
      <c r="K670" s="84"/>
    </row>
    <row r="671" spans="1:11" x14ac:dyDescent="0.25">
      <c r="A671"/>
      <c r="D671"/>
      <c r="F671"/>
      <c r="G671"/>
      <c r="H671"/>
      <c r="I671"/>
      <c r="K671" s="84"/>
    </row>
    <row r="672" spans="1:11" x14ac:dyDescent="0.25">
      <c r="A672"/>
      <c r="D672"/>
      <c r="F672"/>
      <c r="G672"/>
      <c r="H672"/>
      <c r="I672"/>
      <c r="K672" s="84"/>
    </row>
    <row r="673" spans="1:11" x14ac:dyDescent="0.25">
      <c r="A673"/>
      <c r="D673"/>
      <c r="F673"/>
      <c r="G673"/>
      <c r="H673"/>
      <c r="I673"/>
      <c r="K673" s="84"/>
    </row>
    <row r="674" spans="1:11" x14ac:dyDescent="0.25">
      <c r="A674"/>
      <c r="D674"/>
      <c r="F674"/>
      <c r="G674"/>
      <c r="H674"/>
      <c r="I674"/>
      <c r="K674" s="84"/>
    </row>
    <row r="675" spans="1:11" x14ac:dyDescent="0.25">
      <c r="A675"/>
      <c r="D675"/>
      <c r="F675"/>
      <c r="G675"/>
      <c r="H675"/>
      <c r="I675"/>
      <c r="K675" s="84"/>
    </row>
    <row r="676" spans="1:11" x14ac:dyDescent="0.25">
      <c r="A676"/>
      <c r="D676"/>
      <c r="F676"/>
      <c r="G676"/>
      <c r="H676"/>
      <c r="I676"/>
      <c r="K676" s="84"/>
    </row>
    <row r="677" spans="1:11" x14ac:dyDescent="0.25">
      <c r="A677"/>
      <c r="D677"/>
      <c r="F677"/>
      <c r="G677"/>
      <c r="H677"/>
      <c r="I677"/>
      <c r="K677" s="84"/>
    </row>
    <row r="678" spans="1:11" x14ac:dyDescent="0.25">
      <c r="A678"/>
      <c r="D678"/>
      <c r="F678"/>
      <c r="G678"/>
      <c r="H678"/>
      <c r="I678"/>
      <c r="K678" s="84"/>
    </row>
    <row r="679" spans="1:11" x14ac:dyDescent="0.25">
      <c r="A679"/>
      <c r="D679"/>
      <c r="F679"/>
      <c r="G679"/>
      <c r="H679"/>
      <c r="I679"/>
      <c r="K679" s="84"/>
    </row>
    <row r="680" spans="1:11" x14ac:dyDescent="0.25">
      <c r="A680"/>
      <c r="D680"/>
      <c r="F680"/>
      <c r="G680"/>
      <c r="H680"/>
      <c r="I680"/>
      <c r="K680" s="84"/>
    </row>
    <row r="681" spans="1:11" x14ac:dyDescent="0.25">
      <c r="A681"/>
      <c r="D681"/>
      <c r="F681"/>
      <c r="G681"/>
      <c r="H681"/>
      <c r="I681"/>
      <c r="K681" s="84"/>
    </row>
    <row r="682" spans="1:11" x14ac:dyDescent="0.25">
      <c r="A682"/>
      <c r="D682"/>
      <c r="F682"/>
      <c r="G682"/>
      <c r="H682"/>
      <c r="I682"/>
      <c r="K682" s="84"/>
    </row>
    <row r="683" spans="1:11" x14ac:dyDescent="0.25">
      <c r="A683"/>
      <c r="D683"/>
      <c r="F683"/>
      <c r="G683"/>
      <c r="H683"/>
      <c r="I683"/>
      <c r="K683" s="84"/>
    </row>
    <row r="684" spans="1:11" x14ac:dyDescent="0.25">
      <c r="A684"/>
      <c r="D684"/>
      <c r="F684"/>
      <c r="G684"/>
      <c r="H684"/>
      <c r="I684"/>
      <c r="K684" s="84"/>
    </row>
    <row r="685" spans="1:11" x14ac:dyDescent="0.25">
      <c r="A685"/>
      <c r="D685"/>
      <c r="F685"/>
      <c r="G685"/>
      <c r="H685"/>
      <c r="I685"/>
      <c r="K685" s="84"/>
    </row>
    <row r="686" spans="1:11" x14ac:dyDescent="0.25">
      <c r="A686"/>
      <c r="D686"/>
      <c r="F686"/>
      <c r="G686"/>
      <c r="H686"/>
      <c r="I686"/>
      <c r="K686" s="84"/>
    </row>
    <row r="687" spans="1:11" x14ac:dyDescent="0.25">
      <c r="A687"/>
      <c r="D687"/>
      <c r="F687"/>
      <c r="G687"/>
      <c r="H687"/>
      <c r="I687"/>
      <c r="K687" s="84"/>
    </row>
    <row r="688" spans="1:11" x14ac:dyDescent="0.25">
      <c r="A688"/>
      <c r="D688"/>
      <c r="F688"/>
      <c r="G688"/>
      <c r="H688"/>
      <c r="I688"/>
      <c r="K688" s="84"/>
    </row>
    <row r="689" spans="1:11" x14ac:dyDescent="0.25">
      <c r="A689"/>
      <c r="D689"/>
      <c r="F689"/>
      <c r="G689"/>
      <c r="H689"/>
      <c r="I689"/>
      <c r="K689" s="84"/>
    </row>
    <row r="690" spans="1:11" x14ac:dyDescent="0.25">
      <c r="A690"/>
      <c r="D690"/>
      <c r="F690"/>
      <c r="G690"/>
      <c r="H690"/>
      <c r="I690"/>
      <c r="K690" s="84"/>
    </row>
    <row r="691" spans="1:11" x14ac:dyDescent="0.25">
      <c r="A691"/>
      <c r="D691"/>
      <c r="F691"/>
      <c r="G691"/>
      <c r="H691"/>
      <c r="I691"/>
      <c r="K691" s="84"/>
    </row>
    <row r="692" spans="1:11" x14ac:dyDescent="0.25">
      <c r="A692"/>
      <c r="D692"/>
      <c r="F692"/>
      <c r="G692"/>
      <c r="H692"/>
      <c r="I692"/>
      <c r="K692" s="84"/>
    </row>
    <row r="693" spans="1:11" x14ac:dyDescent="0.25">
      <c r="A693"/>
      <c r="D693"/>
      <c r="F693"/>
      <c r="G693"/>
      <c r="H693"/>
      <c r="I693"/>
      <c r="K693" s="84"/>
    </row>
    <row r="694" spans="1:11" x14ac:dyDescent="0.25">
      <c r="A694"/>
      <c r="D694"/>
      <c r="F694"/>
      <c r="G694"/>
      <c r="H694"/>
      <c r="I694"/>
      <c r="K694" s="84"/>
    </row>
    <row r="695" spans="1:11" x14ac:dyDescent="0.25">
      <c r="A695"/>
      <c r="D695"/>
      <c r="F695"/>
      <c r="G695"/>
      <c r="H695"/>
      <c r="I695"/>
      <c r="K695" s="84"/>
    </row>
    <row r="696" spans="1:11" x14ac:dyDescent="0.25">
      <c r="A696"/>
      <c r="D696"/>
      <c r="F696"/>
      <c r="G696"/>
      <c r="H696"/>
      <c r="I696"/>
      <c r="K696" s="84"/>
    </row>
    <row r="697" spans="1:11" x14ac:dyDescent="0.25">
      <c r="A697"/>
      <c r="D697"/>
      <c r="F697"/>
      <c r="G697"/>
      <c r="H697"/>
      <c r="I697"/>
      <c r="K697" s="84"/>
    </row>
    <row r="698" spans="1:11" x14ac:dyDescent="0.25">
      <c r="A698"/>
      <c r="D698"/>
      <c r="F698"/>
      <c r="G698"/>
      <c r="H698"/>
      <c r="I698"/>
      <c r="K698" s="84"/>
    </row>
    <row r="699" spans="1:11" x14ac:dyDescent="0.25">
      <c r="A699"/>
      <c r="D699"/>
      <c r="F699"/>
      <c r="G699"/>
      <c r="H699"/>
      <c r="I699"/>
      <c r="K699" s="84"/>
    </row>
    <row r="700" spans="1:11" x14ac:dyDescent="0.25">
      <c r="A700"/>
      <c r="D700"/>
      <c r="F700"/>
      <c r="G700"/>
      <c r="H700"/>
      <c r="I700"/>
      <c r="K700" s="84"/>
    </row>
    <row r="701" spans="1:11" x14ac:dyDescent="0.25">
      <c r="A701"/>
      <c r="D701"/>
      <c r="F701"/>
      <c r="G701"/>
      <c r="H701"/>
      <c r="I701"/>
      <c r="K701" s="84"/>
    </row>
    <row r="702" spans="1:11" x14ac:dyDescent="0.25">
      <c r="A702"/>
      <c r="D702"/>
      <c r="F702"/>
      <c r="G702"/>
      <c r="H702"/>
      <c r="I702"/>
      <c r="K702" s="84"/>
    </row>
    <row r="703" spans="1:11" x14ac:dyDescent="0.25">
      <c r="A703"/>
      <c r="D703"/>
      <c r="F703"/>
      <c r="G703"/>
      <c r="H703"/>
      <c r="I703"/>
      <c r="K703" s="84"/>
    </row>
    <row r="704" spans="1:11" x14ac:dyDescent="0.25">
      <c r="A704"/>
      <c r="D704"/>
      <c r="F704"/>
      <c r="G704"/>
      <c r="H704"/>
      <c r="I704"/>
      <c r="K704" s="84"/>
    </row>
    <row r="705" spans="1:11" x14ac:dyDescent="0.25">
      <c r="A705"/>
      <c r="D705"/>
      <c r="F705"/>
      <c r="G705"/>
      <c r="H705"/>
      <c r="I705"/>
      <c r="K705" s="84"/>
    </row>
    <row r="706" spans="1:11" x14ac:dyDescent="0.25">
      <c r="A706"/>
      <c r="D706"/>
      <c r="F706"/>
      <c r="G706"/>
      <c r="H706"/>
      <c r="I706"/>
      <c r="K706" s="84"/>
    </row>
    <row r="707" spans="1:11" x14ac:dyDescent="0.25">
      <c r="A707"/>
      <c r="D707"/>
      <c r="F707"/>
      <c r="G707"/>
      <c r="H707"/>
      <c r="I707"/>
      <c r="K707" s="84"/>
    </row>
    <row r="708" spans="1:11" x14ac:dyDescent="0.25">
      <c r="A708"/>
      <c r="D708"/>
      <c r="F708"/>
      <c r="G708"/>
      <c r="H708"/>
      <c r="I708"/>
      <c r="K708" s="84"/>
    </row>
    <row r="709" spans="1:11" x14ac:dyDescent="0.25">
      <c r="A709"/>
      <c r="D709"/>
      <c r="F709"/>
      <c r="G709"/>
      <c r="H709"/>
      <c r="I709"/>
      <c r="K709" s="84"/>
    </row>
    <row r="710" spans="1:11" x14ac:dyDescent="0.25">
      <c r="A710"/>
      <c r="D710"/>
      <c r="F710"/>
      <c r="G710"/>
      <c r="H710"/>
      <c r="I710"/>
      <c r="K710" s="84"/>
    </row>
    <row r="711" spans="1:11" x14ac:dyDescent="0.25">
      <c r="A711"/>
      <c r="D711"/>
      <c r="F711"/>
      <c r="G711"/>
      <c r="H711"/>
      <c r="I711"/>
      <c r="K711" s="84"/>
    </row>
    <row r="712" spans="1:11" x14ac:dyDescent="0.25">
      <c r="A712"/>
      <c r="D712"/>
      <c r="F712"/>
      <c r="G712"/>
      <c r="H712"/>
      <c r="I712"/>
      <c r="K712" s="84"/>
    </row>
    <row r="713" spans="1:11" x14ac:dyDescent="0.25">
      <c r="A713"/>
      <c r="D713"/>
      <c r="F713"/>
      <c r="G713"/>
      <c r="H713"/>
      <c r="I713"/>
      <c r="K713" s="84"/>
    </row>
    <row r="714" spans="1:11" x14ac:dyDescent="0.25">
      <c r="A714"/>
      <c r="D714"/>
      <c r="F714"/>
      <c r="G714"/>
      <c r="H714"/>
      <c r="I714"/>
      <c r="K714" s="84"/>
    </row>
    <row r="715" spans="1:11" x14ac:dyDescent="0.25">
      <c r="A715"/>
      <c r="D715"/>
      <c r="F715"/>
      <c r="G715"/>
      <c r="H715"/>
      <c r="I715"/>
      <c r="K715" s="84"/>
    </row>
    <row r="716" spans="1:11" x14ac:dyDescent="0.25">
      <c r="A716"/>
      <c r="D716"/>
      <c r="F716"/>
      <c r="G716"/>
      <c r="H716"/>
      <c r="I716"/>
      <c r="K716" s="84"/>
    </row>
    <row r="717" spans="1:11" x14ac:dyDescent="0.25">
      <c r="A717"/>
      <c r="D717"/>
      <c r="F717"/>
      <c r="G717"/>
      <c r="H717"/>
      <c r="I717"/>
      <c r="K717" s="84"/>
    </row>
    <row r="718" spans="1:11" x14ac:dyDescent="0.25">
      <c r="A718"/>
      <c r="D718"/>
      <c r="F718"/>
      <c r="G718"/>
      <c r="H718"/>
      <c r="I718"/>
      <c r="K718" s="84"/>
    </row>
    <row r="719" spans="1:11" x14ac:dyDescent="0.25">
      <c r="A719"/>
      <c r="D719"/>
      <c r="F719"/>
      <c r="G719"/>
      <c r="H719"/>
      <c r="I719"/>
      <c r="K719" s="84"/>
    </row>
    <row r="720" spans="1:11" x14ac:dyDescent="0.25">
      <c r="A720"/>
      <c r="D720"/>
      <c r="F720"/>
      <c r="G720"/>
      <c r="H720"/>
      <c r="I720"/>
      <c r="K720" s="84"/>
    </row>
    <row r="721" spans="1:11" x14ac:dyDescent="0.25">
      <c r="A721"/>
      <c r="D721"/>
      <c r="F721"/>
      <c r="G721"/>
      <c r="H721"/>
      <c r="I721"/>
      <c r="K721" s="84"/>
    </row>
    <row r="722" spans="1:11" x14ac:dyDescent="0.25">
      <c r="A722"/>
      <c r="D722"/>
      <c r="F722"/>
      <c r="G722"/>
      <c r="H722"/>
      <c r="I722"/>
      <c r="K722" s="84"/>
    </row>
    <row r="723" spans="1:11" x14ac:dyDescent="0.25">
      <c r="A723"/>
      <c r="D723"/>
      <c r="F723"/>
      <c r="G723"/>
      <c r="H723"/>
      <c r="I723"/>
      <c r="K723" s="84"/>
    </row>
    <row r="724" spans="1:11" x14ac:dyDescent="0.25">
      <c r="A724"/>
      <c r="D724"/>
      <c r="F724"/>
      <c r="G724"/>
      <c r="H724"/>
      <c r="I724"/>
      <c r="K724" s="84"/>
    </row>
    <row r="725" spans="1:11" x14ac:dyDescent="0.25">
      <c r="A725"/>
      <c r="D725"/>
      <c r="F725"/>
      <c r="G725"/>
      <c r="H725"/>
      <c r="I725"/>
      <c r="K725" s="84"/>
    </row>
    <row r="726" spans="1:11" x14ac:dyDescent="0.25">
      <c r="A726"/>
      <c r="D726"/>
      <c r="F726"/>
      <c r="G726"/>
      <c r="H726"/>
      <c r="I726"/>
      <c r="K726" s="84"/>
    </row>
    <row r="727" spans="1:11" x14ac:dyDescent="0.25">
      <c r="A727"/>
      <c r="D727"/>
      <c r="F727"/>
      <c r="G727"/>
      <c r="H727"/>
      <c r="I727"/>
      <c r="K727" s="84"/>
    </row>
    <row r="728" spans="1:11" x14ac:dyDescent="0.25">
      <c r="A728"/>
      <c r="D728"/>
      <c r="F728"/>
      <c r="G728"/>
      <c r="H728"/>
      <c r="I728"/>
      <c r="K728" s="84"/>
    </row>
    <row r="729" spans="1:11" x14ac:dyDescent="0.25">
      <c r="A729"/>
      <c r="D729"/>
      <c r="F729"/>
      <c r="G729"/>
      <c r="H729"/>
      <c r="I729"/>
      <c r="K729" s="84"/>
    </row>
    <row r="730" spans="1:11" x14ac:dyDescent="0.25">
      <c r="A730"/>
      <c r="D730"/>
      <c r="F730"/>
      <c r="G730"/>
      <c r="H730"/>
      <c r="I730"/>
      <c r="K730" s="84"/>
    </row>
    <row r="731" spans="1:11" x14ac:dyDescent="0.25">
      <c r="A731"/>
      <c r="D731"/>
      <c r="F731"/>
      <c r="G731"/>
      <c r="H731"/>
      <c r="I731"/>
      <c r="K731" s="84"/>
    </row>
    <row r="732" spans="1:11" x14ac:dyDescent="0.25">
      <c r="A732"/>
      <c r="D732"/>
      <c r="F732"/>
      <c r="G732"/>
      <c r="H732"/>
      <c r="I732"/>
      <c r="K732" s="84"/>
    </row>
    <row r="733" spans="1:11" x14ac:dyDescent="0.25">
      <c r="A733"/>
      <c r="D733"/>
      <c r="F733"/>
      <c r="G733"/>
      <c r="H733"/>
      <c r="I733"/>
      <c r="K733" s="84"/>
    </row>
    <row r="734" spans="1:11" x14ac:dyDescent="0.25">
      <c r="A734"/>
      <c r="D734"/>
      <c r="F734"/>
      <c r="G734"/>
      <c r="H734"/>
      <c r="I734"/>
      <c r="K734" s="84"/>
    </row>
    <row r="735" spans="1:11" x14ac:dyDescent="0.25">
      <c r="A735"/>
      <c r="D735"/>
      <c r="F735"/>
      <c r="G735"/>
      <c r="H735"/>
      <c r="I735"/>
      <c r="K735" s="84"/>
    </row>
    <row r="736" spans="1:11" x14ac:dyDescent="0.25">
      <c r="A736"/>
      <c r="D736"/>
      <c r="F736"/>
      <c r="G736"/>
      <c r="H736"/>
      <c r="I736"/>
      <c r="K736" s="84"/>
    </row>
    <row r="737" spans="1:11" x14ac:dyDescent="0.25">
      <c r="A737"/>
      <c r="D737"/>
      <c r="F737"/>
      <c r="G737"/>
      <c r="H737"/>
      <c r="I737"/>
      <c r="K737" s="84"/>
    </row>
    <row r="738" spans="1:11" x14ac:dyDescent="0.25">
      <c r="A738"/>
      <c r="D738"/>
      <c r="F738"/>
      <c r="G738"/>
      <c r="H738"/>
      <c r="I738"/>
      <c r="K738" s="84"/>
    </row>
    <row r="739" spans="1:11" x14ac:dyDescent="0.25">
      <c r="A739"/>
      <c r="D739"/>
      <c r="F739"/>
      <c r="G739"/>
      <c r="H739"/>
      <c r="I739"/>
      <c r="K739" s="84"/>
    </row>
    <row r="740" spans="1:11" x14ac:dyDescent="0.25">
      <c r="A740"/>
      <c r="D740"/>
      <c r="F740"/>
      <c r="G740"/>
      <c r="H740"/>
      <c r="I740"/>
      <c r="K740" s="84"/>
    </row>
    <row r="741" spans="1:11" x14ac:dyDescent="0.25">
      <c r="A741"/>
      <c r="D741"/>
      <c r="F741"/>
      <c r="G741"/>
      <c r="H741"/>
      <c r="I741"/>
      <c r="K741" s="84"/>
    </row>
    <row r="742" spans="1:11" x14ac:dyDescent="0.25">
      <c r="A742"/>
      <c r="D742"/>
      <c r="F742"/>
      <c r="G742"/>
      <c r="H742"/>
      <c r="I742"/>
      <c r="K742" s="84"/>
    </row>
    <row r="743" spans="1:11" x14ac:dyDescent="0.25">
      <c r="A743"/>
      <c r="D743"/>
      <c r="F743"/>
      <c r="G743"/>
      <c r="H743"/>
      <c r="I743"/>
      <c r="K743" s="84"/>
    </row>
    <row r="744" spans="1:11" x14ac:dyDescent="0.25">
      <c r="A744"/>
      <c r="D744"/>
      <c r="F744"/>
      <c r="G744"/>
      <c r="H744"/>
      <c r="I744"/>
      <c r="K744" s="84"/>
    </row>
    <row r="745" spans="1:11" x14ac:dyDescent="0.25">
      <c r="A745"/>
      <c r="D745"/>
      <c r="F745"/>
      <c r="G745"/>
      <c r="H745"/>
      <c r="I745"/>
      <c r="K745" s="84"/>
    </row>
    <row r="746" spans="1:11" x14ac:dyDescent="0.25">
      <c r="A746"/>
      <c r="D746"/>
      <c r="F746"/>
      <c r="G746"/>
      <c r="H746"/>
      <c r="I746"/>
      <c r="K746" s="84"/>
    </row>
    <row r="747" spans="1:11" x14ac:dyDescent="0.25">
      <c r="A747"/>
      <c r="D747"/>
      <c r="F747"/>
      <c r="G747"/>
      <c r="H747"/>
      <c r="I747"/>
      <c r="K747" s="84"/>
    </row>
    <row r="748" spans="1:11" x14ac:dyDescent="0.25">
      <c r="A748"/>
      <c r="D748"/>
      <c r="F748"/>
      <c r="G748"/>
      <c r="H748"/>
      <c r="I748"/>
      <c r="K748" s="84"/>
    </row>
    <row r="749" spans="1:11" x14ac:dyDescent="0.25">
      <c r="A749"/>
      <c r="D749"/>
      <c r="F749"/>
      <c r="G749"/>
      <c r="H749"/>
      <c r="I749"/>
      <c r="K749" s="84"/>
    </row>
    <row r="750" spans="1:11" x14ac:dyDescent="0.25">
      <c r="A750"/>
      <c r="D750"/>
      <c r="F750"/>
      <c r="G750"/>
      <c r="H750"/>
      <c r="I750"/>
      <c r="K750" s="84"/>
    </row>
    <row r="751" spans="1:11" x14ac:dyDescent="0.25">
      <c r="A751"/>
      <c r="D751"/>
      <c r="F751"/>
      <c r="G751"/>
      <c r="H751"/>
      <c r="I751"/>
      <c r="K751" s="84"/>
    </row>
    <row r="752" spans="1:11" x14ac:dyDescent="0.25">
      <c r="A752"/>
      <c r="D752"/>
      <c r="F752"/>
      <c r="G752"/>
      <c r="H752"/>
      <c r="I752"/>
      <c r="K752" s="84"/>
    </row>
    <row r="753" spans="1:11" x14ac:dyDescent="0.25">
      <c r="A753"/>
      <c r="D753"/>
      <c r="F753"/>
      <c r="G753"/>
      <c r="H753"/>
      <c r="I753"/>
      <c r="K753" s="84"/>
    </row>
    <row r="754" spans="1:11" x14ac:dyDescent="0.25">
      <c r="A754"/>
      <c r="D754"/>
      <c r="F754"/>
      <c r="G754"/>
      <c r="H754"/>
      <c r="I754"/>
      <c r="K754" s="84"/>
    </row>
    <row r="755" spans="1:11" x14ac:dyDescent="0.25">
      <c r="A755"/>
      <c r="D755"/>
      <c r="F755"/>
      <c r="G755"/>
      <c r="H755"/>
      <c r="I755"/>
      <c r="K755" s="84"/>
    </row>
    <row r="756" spans="1:11" x14ac:dyDescent="0.25">
      <c r="A756"/>
      <c r="D756"/>
      <c r="F756"/>
      <c r="G756"/>
      <c r="H756"/>
      <c r="I756"/>
      <c r="K756" s="84"/>
    </row>
    <row r="757" spans="1:11" x14ac:dyDescent="0.25">
      <c r="A757"/>
      <c r="D757"/>
      <c r="F757"/>
      <c r="G757"/>
      <c r="H757"/>
      <c r="I757"/>
      <c r="K757" s="84"/>
    </row>
    <row r="758" spans="1:11" x14ac:dyDescent="0.25">
      <c r="A758"/>
      <c r="D758"/>
      <c r="F758"/>
      <c r="G758"/>
      <c r="H758"/>
      <c r="I758"/>
      <c r="K758" s="84"/>
    </row>
    <row r="759" spans="1:11" x14ac:dyDescent="0.25">
      <c r="A759"/>
      <c r="D759"/>
      <c r="F759"/>
      <c r="G759"/>
      <c r="H759"/>
      <c r="I759"/>
      <c r="K759" s="84"/>
    </row>
    <row r="760" spans="1:11" x14ac:dyDescent="0.25">
      <c r="A760"/>
      <c r="D760"/>
      <c r="F760"/>
      <c r="G760"/>
      <c r="H760"/>
      <c r="I760"/>
      <c r="K760" s="84"/>
    </row>
    <row r="761" spans="1:11" x14ac:dyDescent="0.25">
      <c r="A761"/>
      <c r="D761"/>
      <c r="F761"/>
      <c r="G761"/>
      <c r="H761"/>
      <c r="I761"/>
      <c r="K761" s="84"/>
    </row>
    <row r="762" spans="1:11" x14ac:dyDescent="0.25">
      <c r="A762"/>
      <c r="D762"/>
      <c r="F762"/>
      <c r="G762"/>
      <c r="H762"/>
      <c r="I762"/>
      <c r="K762" s="84"/>
    </row>
    <row r="763" spans="1:11" x14ac:dyDescent="0.25">
      <c r="A763"/>
      <c r="D763"/>
      <c r="F763"/>
      <c r="G763"/>
      <c r="H763"/>
      <c r="I763"/>
      <c r="K763" s="84"/>
    </row>
    <row r="764" spans="1:11" x14ac:dyDescent="0.25">
      <c r="A764"/>
      <c r="D764"/>
      <c r="F764"/>
      <c r="G764"/>
      <c r="H764"/>
      <c r="I764"/>
      <c r="K764" s="84"/>
    </row>
    <row r="765" spans="1:11" x14ac:dyDescent="0.25">
      <c r="A765"/>
      <c r="D765"/>
      <c r="F765"/>
      <c r="G765"/>
      <c r="H765"/>
      <c r="I765"/>
      <c r="K765" s="84"/>
    </row>
    <row r="766" spans="1:11" x14ac:dyDescent="0.25">
      <c r="A766"/>
      <c r="D766"/>
      <c r="F766"/>
      <c r="G766"/>
      <c r="H766"/>
      <c r="I766"/>
      <c r="K766" s="84"/>
    </row>
    <row r="767" spans="1:11" x14ac:dyDescent="0.25">
      <c r="A767"/>
      <c r="D767"/>
      <c r="F767"/>
      <c r="G767"/>
      <c r="H767"/>
      <c r="I767"/>
      <c r="K767" s="84"/>
    </row>
    <row r="768" spans="1:11" x14ac:dyDescent="0.25">
      <c r="A768"/>
      <c r="D768"/>
      <c r="F768"/>
      <c r="G768"/>
      <c r="H768"/>
      <c r="I768"/>
      <c r="K768" s="84"/>
    </row>
    <row r="769" spans="1:11" x14ac:dyDescent="0.25">
      <c r="A769"/>
      <c r="D769"/>
      <c r="F769"/>
      <c r="G769"/>
      <c r="H769"/>
      <c r="I769"/>
      <c r="K769" s="84"/>
    </row>
    <row r="770" spans="1:11" x14ac:dyDescent="0.25">
      <c r="A770"/>
      <c r="D770"/>
      <c r="F770"/>
      <c r="G770"/>
      <c r="H770"/>
      <c r="I770"/>
      <c r="K770" s="84"/>
    </row>
    <row r="771" spans="1:11" x14ac:dyDescent="0.25">
      <c r="A771"/>
      <c r="D771"/>
      <c r="F771"/>
      <c r="G771"/>
      <c r="H771"/>
      <c r="I771"/>
      <c r="K771" s="84"/>
    </row>
    <row r="772" spans="1:11" x14ac:dyDescent="0.25">
      <c r="A772"/>
      <c r="D772"/>
      <c r="F772"/>
      <c r="G772"/>
      <c r="H772"/>
      <c r="I772"/>
      <c r="K772" s="84"/>
    </row>
    <row r="773" spans="1:11" x14ac:dyDescent="0.25">
      <c r="A773"/>
      <c r="D773"/>
      <c r="F773"/>
      <c r="G773"/>
      <c r="H773"/>
      <c r="I773"/>
      <c r="K773" s="84"/>
    </row>
    <row r="774" spans="1:11" x14ac:dyDescent="0.25">
      <c r="A774"/>
      <c r="D774"/>
      <c r="F774"/>
      <c r="G774"/>
      <c r="H774"/>
      <c r="I774"/>
      <c r="K774" s="84"/>
    </row>
    <row r="775" spans="1:11" x14ac:dyDescent="0.25">
      <c r="A775"/>
      <c r="D775"/>
      <c r="F775"/>
      <c r="G775"/>
      <c r="H775"/>
      <c r="I775"/>
      <c r="K775" s="84"/>
    </row>
    <row r="776" spans="1:11" x14ac:dyDescent="0.25">
      <c r="A776"/>
      <c r="D776"/>
      <c r="F776"/>
      <c r="G776"/>
      <c r="H776"/>
      <c r="I776"/>
      <c r="K776" s="84"/>
    </row>
    <row r="777" spans="1:11" x14ac:dyDescent="0.25">
      <c r="A777"/>
      <c r="D777"/>
      <c r="F777"/>
      <c r="G777"/>
      <c r="H777"/>
      <c r="I777"/>
      <c r="K777" s="84"/>
    </row>
    <row r="778" spans="1:11" x14ac:dyDescent="0.25">
      <c r="A778"/>
      <c r="D778"/>
      <c r="F778"/>
      <c r="G778"/>
      <c r="H778"/>
      <c r="I778"/>
      <c r="K778" s="84"/>
    </row>
    <row r="779" spans="1:11" x14ac:dyDescent="0.25">
      <c r="A779"/>
      <c r="D779"/>
      <c r="F779"/>
      <c r="G779"/>
      <c r="H779"/>
      <c r="I779"/>
      <c r="K779" s="84"/>
    </row>
    <row r="780" spans="1:11" x14ac:dyDescent="0.25">
      <c r="A780"/>
      <c r="D780"/>
      <c r="F780"/>
      <c r="G780"/>
      <c r="H780"/>
      <c r="I780"/>
      <c r="K780" s="84"/>
    </row>
    <row r="781" spans="1:11" x14ac:dyDescent="0.25">
      <c r="A781"/>
      <c r="D781"/>
      <c r="F781"/>
      <c r="G781"/>
      <c r="H781"/>
      <c r="I781"/>
      <c r="K781" s="84"/>
    </row>
    <row r="782" spans="1:11" x14ac:dyDescent="0.25">
      <c r="A782"/>
      <c r="D782"/>
      <c r="F782"/>
      <c r="G782"/>
      <c r="H782"/>
      <c r="I782"/>
      <c r="K782" s="84"/>
    </row>
    <row r="783" spans="1:11" x14ac:dyDescent="0.25">
      <c r="A783"/>
      <c r="D783"/>
      <c r="F783"/>
      <c r="G783"/>
      <c r="H783"/>
      <c r="I783"/>
      <c r="K783" s="84"/>
    </row>
    <row r="784" spans="1:11" x14ac:dyDescent="0.25">
      <c r="A784"/>
      <c r="D784"/>
      <c r="F784"/>
      <c r="G784"/>
      <c r="H784"/>
      <c r="I784"/>
      <c r="K784" s="84"/>
    </row>
    <row r="785" spans="1:11" x14ac:dyDescent="0.25">
      <c r="A785"/>
      <c r="D785"/>
      <c r="F785"/>
      <c r="G785"/>
      <c r="H785"/>
      <c r="I785"/>
      <c r="K785" s="84"/>
    </row>
    <row r="786" spans="1:11" x14ac:dyDescent="0.25">
      <c r="A786"/>
      <c r="D786"/>
      <c r="F786"/>
      <c r="G786"/>
      <c r="H786"/>
      <c r="I786"/>
      <c r="K786" s="84"/>
    </row>
    <row r="787" spans="1:11" x14ac:dyDescent="0.25">
      <c r="A787"/>
      <c r="D787"/>
      <c r="F787"/>
      <c r="G787"/>
      <c r="H787"/>
      <c r="I787"/>
      <c r="K787" s="84"/>
    </row>
    <row r="788" spans="1:11" x14ac:dyDescent="0.25">
      <c r="A788"/>
      <c r="D788"/>
      <c r="F788"/>
      <c r="G788"/>
      <c r="H788"/>
      <c r="I788"/>
      <c r="K788" s="84"/>
    </row>
    <row r="789" spans="1:11" x14ac:dyDescent="0.25">
      <c r="A789"/>
      <c r="D789"/>
      <c r="F789"/>
      <c r="G789"/>
      <c r="H789"/>
      <c r="I789"/>
      <c r="K789" s="84"/>
    </row>
    <row r="790" spans="1:11" x14ac:dyDescent="0.25">
      <c r="A790"/>
      <c r="D790"/>
      <c r="F790"/>
      <c r="G790"/>
      <c r="H790"/>
      <c r="I790"/>
      <c r="K790" s="84"/>
    </row>
    <row r="791" spans="1:11" x14ac:dyDescent="0.25">
      <c r="A791"/>
      <c r="D791"/>
      <c r="F791"/>
      <c r="G791"/>
      <c r="H791"/>
      <c r="I791"/>
      <c r="K791" s="84"/>
    </row>
    <row r="792" spans="1:11" x14ac:dyDescent="0.25">
      <c r="A792"/>
      <c r="D792"/>
      <c r="F792"/>
      <c r="G792"/>
      <c r="H792"/>
      <c r="I792"/>
      <c r="K792" s="84"/>
    </row>
    <row r="793" spans="1:11" x14ac:dyDescent="0.25">
      <c r="A793"/>
      <c r="D793"/>
      <c r="F793"/>
      <c r="G793"/>
      <c r="H793"/>
      <c r="I793"/>
      <c r="K793" s="84"/>
    </row>
    <row r="794" spans="1:11" x14ac:dyDescent="0.25">
      <c r="A794"/>
      <c r="D794"/>
      <c r="F794"/>
      <c r="G794"/>
      <c r="H794"/>
      <c r="I794"/>
      <c r="K794" s="84"/>
    </row>
    <row r="795" spans="1:11" x14ac:dyDescent="0.25">
      <c r="A795"/>
      <c r="D795"/>
      <c r="F795"/>
      <c r="G795"/>
      <c r="H795"/>
      <c r="I795"/>
      <c r="K795" s="84"/>
    </row>
    <row r="796" spans="1:11" x14ac:dyDescent="0.25">
      <c r="A796"/>
      <c r="D796"/>
      <c r="F796"/>
      <c r="G796"/>
      <c r="H796"/>
      <c r="I796"/>
      <c r="K796" s="84"/>
    </row>
    <row r="797" spans="1:11" x14ac:dyDescent="0.25">
      <c r="A797"/>
      <c r="D797"/>
      <c r="F797"/>
      <c r="G797"/>
      <c r="H797"/>
      <c r="I797"/>
      <c r="K797" s="84"/>
    </row>
    <row r="798" spans="1:11" x14ac:dyDescent="0.25">
      <c r="A798"/>
      <c r="D798"/>
      <c r="F798"/>
      <c r="G798"/>
      <c r="H798"/>
      <c r="I798"/>
      <c r="K798" s="84"/>
    </row>
    <row r="799" spans="1:11" x14ac:dyDescent="0.25">
      <c r="A799"/>
      <c r="D799"/>
      <c r="F799"/>
      <c r="G799"/>
      <c r="H799"/>
      <c r="I799"/>
      <c r="K799" s="84"/>
    </row>
    <row r="800" spans="1:11" x14ac:dyDescent="0.25">
      <c r="A800"/>
      <c r="D800"/>
      <c r="F800"/>
      <c r="G800"/>
      <c r="H800"/>
      <c r="I800"/>
      <c r="K800" s="84"/>
    </row>
    <row r="801" spans="1:11" x14ac:dyDescent="0.25">
      <c r="A801"/>
      <c r="D801"/>
      <c r="F801"/>
      <c r="G801"/>
      <c r="H801"/>
      <c r="I801"/>
      <c r="K801" s="84"/>
    </row>
    <row r="802" spans="1:11" x14ac:dyDescent="0.25">
      <c r="A802"/>
      <c r="D802"/>
      <c r="F802"/>
      <c r="G802"/>
      <c r="H802"/>
      <c r="I802"/>
      <c r="K802" s="84"/>
    </row>
    <row r="803" spans="1:11" x14ac:dyDescent="0.25">
      <c r="A803"/>
      <c r="D803"/>
      <c r="F803"/>
      <c r="G803"/>
      <c r="H803"/>
      <c r="I803"/>
      <c r="K803" s="84"/>
    </row>
    <row r="804" spans="1:11" x14ac:dyDescent="0.25">
      <c r="A804"/>
      <c r="D804"/>
      <c r="F804"/>
      <c r="G804"/>
      <c r="H804"/>
      <c r="I804"/>
      <c r="K804" s="84"/>
    </row>
    <row r="805" spans="1:11" x14ac:dyDescent="0.25">
      <c r="A805"/>
      <c r="D805"/>
      <c r="F805"/>
      <c r="G805"/>
      <c r="H805"/>
      <c r="I805"/>
      <c r="K805" s="84"/>
    </row>
    <row r="806" spans="1:11" x14ac:dyDescent="0.25">
      <c r="A806"/>
      <c r="D806"/>
      <c r="F806"/>
      <c r="G806"/>
      <c r="H806"/>
      <c r="I806"/>
      <c r="K806" s="84"/>
    </row>
    <row r="807" spans="1:11" x14ac:dyDescent="0.25">
      <c r="A807"/>
      <c r="D807"/>
      <c r="F807"/>
      <c r="G807"/>
      <c r="H807"/>
      <c r="I807"/>
      <c r="K807" s="84"/>
    </row>
    <row r="808" spans="1:11" x14ac:dyDescent="0.25">
      <c r="A808"/>
      <c r="D808"/>
      <c r="F808"/>
      <c r="G808"/>
      <c r="H808"/>
      <c r="I808"/>
      <c r="K808" s="84"/>
    </row>
    <row r="809" spans="1:11" x14ac:dyDescent="0.25">
      <c r="A809"/>
      <c r="D809"/>
      <c r="F809"/>
      <c r="G809"/>
      <c r="H809"/>
      <c r="I809"/>
      <c r="K809" s="84"/>
    </row>
    <row r="810" spans="1:11" x14ac:dyDescent="0.25">
      <c r="A810"/>
      <c r="D810"/>
      <c r="F810"/>
      <c r="G810"/>
      <c r="H810"/>
      <c r="I810"/>
      <c r="K810" s="84"/>
    </row>
    <row r="811" spans="1:11" x14ac:dyDescent="0.25">
      <c r="A811"/>
      <c r="D811"/>
      <c r="F811"/>
      <c r="G811"/>
      <c r="H811"/>
      <c r="I811"/>
      <c r="K811" s="84"/>
    </row>
    <row r="812" spans="1:11" x14ac:dyDescent="0.25">
      <c r="A812"/>
      <c r="D812"/>
      <c r="F812"/>
      <c r="G812"/>
      <c r="H812"/>
      <c r="I812"/>
      <c r="K812" s="84"/>
    </row>
    <row r="813" spans="1:11" x14ac:dyDescent="0.25">
      <c r="A813"/>
      <c r="D813"/>
      <c r="F813"/>
      <c r="G813"/>
      <c r="H813"/>
      <c r="I813"/>
      <c r="K813" s="84"/>
    </row>
    <row r="814" spans="1:11" x14ac:dyDescent="0.25">
      <c r="A814"/>
      <c r="D814"/>
      <c r="F814"/>
      <c r="G814"/>
      <c r="H814"/>
      <c r="I814"/>
      <c r="K814" s="84"/>
    </row>
    <row r="815" spans="1:11" x14ac:dyDescent="0.25">
      <c r="A815"/>
      <c r="D815"/>
      <c r="F815"/>
      <c r="G815"/>
      <c r="H815"/>
      <c r="I815"/>
      <c r="K815" s="84"/>
    </row>
    <row r="816" spans="1:11" x14ac:dyDescent="0.25">
      <c r="A816"/>
      <c r="D816"/>
      <c r="F816"/>
      <c r="G816"/>
      <c r="H816"/>
      <c r="I816"/>
      <c r="K816" s="84"/>
    </row>
    <row r="817" spans="1:11" x14ac:dyDescent="0.25">
      <c r="A817"/>
      <c r="D817"/>
      <c r="F817"/>
      <c r="G817"/>
      <c r="H817"/>
      <c r="I817"/>
      <c r="K817" s="84"/>
    </row>
    <row r="818" spans="1:11" x14ac:dyDescent="0.25">
      <c r="A818"/>
      <c r="D818"/>
      <c r="F818"/>
      <c r="G818"/>
      <c r="H818"/>
      <c r="I818"/>
      <c r="K818" s="84"/>
    </row>
    <row r="819" spans="1:11" x14ac:dyDescent="0.25">
      <c r="A819"/>
      <c r="D819"/>
      <c r="F819"/>
      <c r="G819"/>
      <c r="H819"/>
      <c r="I819"/>
      <c r="K819" s="84"/>
    </row>
    <row r="820" spans="1:11" x14ac:dyDescent="0.25">
      <c r="A820"/>
      <c r="D820"/>
      <c r="F820"/>
      <c r="G820"/>
      <c r="H820"/>
      <c r="I820"/>
      <c r="K820" s="84"/>
    </row>
    <row r="821" spans="1:11" x14ac:dyDescent="0.25">
      <c r="A821"/>
      <c r="D821"/>
      <c r="F821"/>
      <c r="G821"/>
      <c r="H821"/>
      <c r="I821"/>
      <c r="K821" s="84"/>
    </row>
    <row r="822" spans="1:11" x14ac:dyDescent="0.25">
      <c r="A822"/>
      <c r="D822"/>
      <c r="F822"/>
      <c r="G822"/>
      <c r="H822"/>
      <c r="I822"/>
      <c r="K822" s="84"/>
    </row>
    <row r="823" spans="1:11" x14ac:dyDescent="0.25">
      <c r="A823"/>
      <c r="D823"/>
      <c r="F823"/>
      <c r="G823"/>
      <c r="H823"/>
      <c r="I823"/>
      <c r="K823" s="84"/>
    </row>
    <row r="824" spans="1:11" x14ac:dyDescent="0.25">
      <c r="A824"/>
      <c r="D824"/>
      <c r="F824"/>
      <c r="G824"/>
      <c r="H824"/>
      <c r="I824"/>
      <c r="K824" s="84"/>
    </row>
    <row r="825" spans="1:11" x14ac:dyDescent="0.25">
      <c r="A825"/>
      <c r="D825"/>
      <c r="F825"/>
      <c r="G825"/>
      <c r="H825"/>
      <c r="I825"/>
      <c r="K825" s="84"/>
    </row>
    <row r="826" spans="1:11" x14ac:dyDescent="0.25">
      <c r="A826"/>
      <c r="D826"/>
      <c r="F826"/>
      <c r="G826"/>
      <c r="H826"/>
      <c r="I826"/>
      <c r="K826" s="84"/>
    </row>
    <row r="827" spans="1:11" x14ac:dyDescent="0.25">
      <c r="A827"/>
      <c r="D827"/>
      <c r="F827"/>
      <c r="G827"/>
      <c r="H827"/>
      <c r="I827"/>
      <c r="K827" s="84"/>
    </row>
    <row r="828" spans="1:11" x14ac:dyDescent="0.25">
      <c r="A828"/>
      <c r="D828"/>
      <c r="F828"/>
      <c r="G828"/>
      <c r="H828"/>
      <c r="I828"/>
      <c r="K828" s="84"/>
    </row>
    <row r="829" spans="1:11" x14ac:dyDescent="0.25">
      <c r="A829"/>
      <c r="D829"/>
      <c r="F829"/>
      <c r="G829"/>
      <c r="H829"/>
      <c r="I829"/>
      <c r="K829" s="84"/>
    </row>
    <row r="830" spans="1:11" x14ac:dyDescent="0.25">
      <c r="A830"/>
      <c r="D830"/>
      <c r="F830"/>
      <c r="G830"/>
      <c r="H830"/>
      <c r="I830"/>
      <c r="K830" s="84"/>
    </row>
    <row r="831" spans="1:11" x14ac:dyDescent="0.25">
      <c r="A831"/>
      <c r="D831"/>
      <c r="F831"/>
      <c r="G831"/>
      <c r="H831"/>
      <c r="I831"/>
      <c r="K831" s="84"/>
    </row>
    <row r="832" spans="1:11" x14ac:dyDescent="0.25">
      <c r="A832"/>
      <c r="D832"/>
      <c r="F832"/>
      <c r="G832"/>
      <c r="H832"/>
      <c r="I832"/>
      <c r="K832" s="84"/>
    </row>
    <row r="833" spans="1:11" x14ac:dyDescent="0.25">
      <c r="A833"/>
      <c r="D833"/>
      <c r="F833"/>
      <c r="G833"/>
      <c r="H833"/>
      <c r="I833"/>
      <c r="K833" s="84"/>
    </row>
    <row r="834" spans="1:11" x14ac:dyDescent="0.25">
      <c r="A834"/>
      <c r="D834"/>
      <c r="F834"/>
      <c r="G834"/>
      <c r="H834"/>
      <c r="I834"/>
      <c r="K834" s="84"/>
    </row>
    <row r="835" spans="1:11" x14ac:dyDescent="0.25">
      <c r="A835"/>
      <c r="D835"/>
      <c r="F835"/>
      <c r="G835"/>
      <c r="H835"/>
      <c r="I835"/>
      <c r="K835" s="84"/>
    </row>
    <row r="836" spans="1:11" x14ac:dyDescent="0.25">
      <c r="A836"/>
      <c r="D836"/>
      <c r="F836"/>
      <c r="G836"/>
      <c r="H836"/>
      <c r="I836"/>
      <c r="K836" s="84"/>
    </row>
    <row r="837" spans="1:11" x14ac:dyDescent="0.25">
      <c r="A837"/>
      <c r="D837"/>
      <c r="F837"/>
      <c r="G837"/>
      <c r="H837"/>
      <c r="I837"/>
      <c r="K837" s="84"/>
    </row>
    <row r="838" spans="1:11" x14ac:dyDescent="0.25">
      <c r="A838"/>
      <c r="D838"/>
      <c r="F838"/>
      <c r="G838"/>
      <c r="H838"/>
      <c r="I838"/>
      <c r="K838" s="84"/>
    </row>
    <row r="839" spans="1:11" x14ac:dyDescent="0.25">
      <c r="A839"/>
      <c r="D839"/>
      <c r="F839"/>
      <c r="G839"/>
      <c r="H839"/>
      <c r="I839"/>
      <c r="K839" s="84"/>
    </row>
    <row r="840" spans="1:11" x14ac:dyDescent="0.25">
      <c r="A840"/>
      <c r="D840"/>
      <c r="F840"/>
      <c r="G840"/>
      <c r="H840"/>
      <c r="I840"/>
      <c r="K840" s="84"/>
    </row>
    <row r="841" spans="1:11" x14ac:dyDescent="0.25">
      <c r="A841"/>
      <c r="D841"/>
      <c r="F841"/>
      <c r="G841"/>
      <c r="H841"/>
      <c r="I841"/>
      <c r="K841" s="84"/>
    </row>
    <row r="842" spans="1:11" x14ac:dyDescent="0.25">
      <c r="A842"/>
      <c r="D842"/>
      <c r="F842"/>
      <c r="G842"/>
      <c r="H842"/>
      <c r="I842"/>
      <c r="K842" s="84"/>
    </row>
    <row r="843" spans="1:11" x14ac:dyDescent="0.25">
      <c r="A843"/>
      <c r="D843"/>
      <c r="F843"/>
      <c r="G843"/>
      <c r="H843"/>
      <c r="I843"/>
      <c r="K843" s="84"/>
    </row>
    <row r="844" spans="1:11" x14ac:dyDescent="0.25">
      <c r="A844"/>
      <c r="D844"/>
      <c r="F844"/>
      <c r="G844"/>
      <c r="H844"/>
      <c r="I844"/>
      <c r="K844" s="84"/>
    </row>
    <row r="845" spans="1:11" x14ac:dyDescent="0.25">
      <c r="A845"/>
      <c r="D845"/>
      <c r="F845"/>
      <c r="G845"/>
      <c r="H845"/>
      <c r="I845"/>
      <c r="K845" s="84"/>
    </row>
    <row r="846" spans="1:11" x14ac:dyDescent="0.25">
      <c r="A846"/>
      <c r="D846"/>
      <c r="F846"/>
      <c r="G846"/>
      <c r="H846"/>
      <c r="I846"/>
      <c r="K846" s="84"/>
    </row>
    <row r="847" spans="1:11" x14ac:dyDescent="0.25">
      <c r="A847"/>
      <c r="D847"/>
      <c r="F847"/>
      <c r="G847"/>
      <c r="H847"/>
      <c r="I847"/>
      <c r="K847" s="84"/>
    </row>
    <row r="848" spans="1:11" x14ac:dyDescent="0.25">
      <c r="A848"/>
      <c r="D848"/>
      <c r="F848"/>
      <c r="G848"/>
      <c r="H848"/>
      <c r="I848"/>
      <c r="K848" s="84"/>
    </row>
    <row r="849" spans="1:11" x14ac:dyDescent="0.25">
      <c r="A849"/>
      <c r="D849"/>
      <c r="F849"/>
      <c r="G849"/>
      <c r="H849"/>
      <c r="I849"/>
      <c r="K849" s="84"/>
    </row>
    <row r="850" spans="1:11" x14ac:dyDescent="0.25">
      <c r="A850"/>
      <c r="D850"/>
      <c r="F850"/>
      <c r="G850"/>
      <c r="H850"/>
      <c r="I850"/>
      <c r="K850" s="84"/>
    </row>
    <row r="851" spans="1:11" x14ac:dyDescent="0.25">
      <c r="A851"/>
      <c r="D851"/>
      <c r="F851"/>
      <c r="G851"/>
      <c r="H851"/>
      <c r="I851"/>
      <c r="K851" s="84"/>
    </row>
    <row r="852" spans="1:11" x14ac:dyDescent="0.25">
      <c r="A852"/>
      <c r="D852"/>
      <c r="F852"/>
      <c r="G852"/>
      <c r="H852"/>
      <c r="I852"/>
      <c r="K852" s="84"/>
    </row>
    <row r="853" spans="1:11" x14ac:dyDescent="0.25">
      <c r="A853"/>
      <c r="D853"/>
      <c r="F853"/>
      <c r="G853"/>
      <c r="H853"/>
      <c r="I853"/>
      <c r="K853" s="84"/>
    </row>
    <row r="854" spans="1:11" x14ac:dyDescent="0.25">
      <c r="A854"/>
      <c r="D854"/>
      <c r="F854"/>
      <c r="G854"/>
      <c r="H854"/>
      <c r="I854"/>
      <c r="K854" s="84"/>
    </row>
    <row r="855" spans="1:11" x14ac:dyDescent="0.25">
      <c r="A855"/>
      <c r="D855"/>
      <c r="F855"/>
      <c r="G855"/>
      <c r="H855"/>
      <c r="I855"/>
      <c r="K855" s="84"/>
    </row>
    <row r="856" spans="1:11" x14ac:dyDescent="0.25">
      <c r="A856"/>
      <c r="D856"/>
      <c r="F856"/>
      <c r="G856"/>
      <c r="H856"/>
      <c r="I856"/>
      <c r="K856" s="84"/>
    </row>
    <row r="857" spans="1:11" x14ac:dyDescent="0.25">
      <c r="A857"/>
      <c r="D857"/>
      <c r="F857"/>
      <c r="G857"/>
      <c r="H857"/>
      <c r="I857"/>
      <c r="K857" s="84"/>
    </row>
    <row r="858" spans="1:11" x14ac:dyDescent="0.25">
      <c r="A858"/>
      <c r="D858"/>
      <c r="F858"/>
      <c r="G858"/>
      <c r="H858"/>
      <c r="I858"/>
      <c r="K858" s="84"/>
    </row>
    <row r="859" spans="1:11" x14ac:dyDescent="0.25">
      <c r="A859"/>
      <c r="D859"/>
      <c r="F859"/>
      <c r="G859"/>
      <c r="H859"/>
      <c r="I859"/>
      <c r="K859" s="84"/>
    </row>
    <row r="860" spans="1:11" x14ac:dyDescent="0.25">
      <c r="A860"/>
      <c r="D860"/>
      <c r="F860"/>
      <c r="G860"/>
      <c r="H860"/>
      <c r="I860"/>
      <c r="K860" s="84"/>
    </row>
    <row r="861" spans="1:11" x14ac:dyDescent="0.25">
      <c r="A861"/>
      <c r="D861"/>
      <c r="F861"/>
      <c r="G861"/>
      <c r="H861"/>
      <c r="I861"/>
      <c r="K861" s="84"/>
    </row>
    <row r="862" spans="1:11" x14ac:dyDescent="0.25">
      <c r="A862"/>
      <c r="D862"/>
      <c r="F862"/>
      <c r="G862"/>
      <c r="H862"/>
      <c r="I862"/>
      <c r="K862" s="84"/>
    </row>
    <row r="863" spans="1:11" x14ac:dyDescent="0.25">
      <c r="A863"/>
      <c r="D863"/>
      <c r="F863"/>
      <c r="G863"/>
      <c r="H863"/>
      <c r="I863"/>
      <c r="K863" s="84"/>
    </row>
    <row r="864" spans="1:11" x14ac:dyDescent="0.25">
      <c r="A864"/>
      <c r="D864"/>
      <c r="F864"/>
      <c r="G864"/>
      <c r="H864"/>
      <c r="I864"/>
      <c r="K864" s="84"/>
    </row>
    <row r="865" spans="1:11" x14ac:dyDescent="0.25">
      <c r="A865"/>
      <c r="D865"/>
      <c r="F865"/>
      <c r="G865"/>
      <c r="H865"/>
      <c r="I865"/>
      <c r="K865" s="84"/>
    </row>
    <row r="866" spans="1:11" x14ac:dyDescent="0.25">
      <c r="A866"/>
      <c r="D866"/>
      <c r="F866"/>
      <c r="G866"/>
      <c r="H866"/>
      <c r="I866"/>
      <c r="K866" s="84"/>
    </row>
    <row r="867" spans="1:11" x14ac:dyDescent="0.25">
      <c r="A867"/>
      <c r="D867"/>
      <c r="F867"/>
      <c r="G867"/>
      <c r="H867"/>
      <c r="I867"/>
      <c r="K867" s="84"/>
    </row>
    <row r="868" spans="1:11" x14ac:dyDescent="0.25">
      <c r="A868"/>
      <c r="D868"/>
      <c r="F868"/>
      <c r="G868"/>
      <c r="H868"/>
      <c r="I868"/>
      <c r="K868" s="84"/>
    </row>
    <row r="869" spans="1:11" x14ac:dyDescent="0.25">
      <c r="A869"/>
      <c r="D869"/>
      <c r="F869"/>
      <c r="G869"/>
      <c r="H869"/>
      <c r="I869"/>
      <c r="K869" s="84"/>
    </row>
    <row r="870" spans="1:11" x14ac:dyDescent="0.25">
      <c r="A870"/>
      <c r="D870"/>
      <c r="F870"/>
      <c r="G870"/>
      <c r="H870"/>
      <c r="I870"/>
      <c r="K870" s="84"/>
    </row>
    <row r="871" spans="1:11" x14ac:dyDescent="0.25">
      <c r="A871"/>
      <c r="D871"/>
      <c r="F871"/>
      <c r="G871"/>
      <c r="H871"/>
      <c r="I871"/>
      <c r="K871" s="84"/>
    </row>
    <row r="872" spans="1:11" x14ac:dyDescent="0.25">
      <c r="A872"/>
      <c r="D872"/>
      <c r="F872"/>
      <c r="G872"/>
      <c r="H872"/>
      <c r="I872"/>
      <c r="K872" s="84"/>
    </row>
    <row r="873" spans="1:11" x14ac:dyDescent="0.25">
      <c r="A873"/>
      <c r="D873"/>
      <c r="F873"/>
      <c r="G873"/>
      <c r="H873"/>
      <c r="I873"/>
      <c r="K873" s="84"/>
    </row>
    <row r="874" spans="1:11" x14ac:dyDescent="0.25">
      <c r="A874"/>
      <c r="D874"/>
      <c r="F874"/>
      <c r="G874"/>
      <c r="H874"/>
      <c r="I874"/>
      <c r="K874" s="84"/>
    </row>
    <row r="875" spans="1:11" x14ac:dyDescent="0.25">
      <c r="A875"/>
      <c r="D875"/>
      <c r="F875"/>
      <c r="G875"/>
      <c r="H875"/>
      <c r="I875"/>
      <c r="K875" s="84"/>
    </row>
    <row r="876" spans="1:11" x14ac:dyDescent="0.25">
      <c r="A876"/>
      <c r="D876"/>
      <c r="F876"/>
      <c r="G876"/>
      <c r="H876"/>
      <c r="I876"/>
      <c r="K876" s="84"/>
    </row>
    <row r="877" spans="1:11" x14ac:dyDescent="0.25">
      <c r="A877"/>
      <c r="D877"/>
      <c r="F877"/>
      <c r="G877"/>
      <c r="H877"/>
      <c r="I877"/>
      <c r="K877" s="84"/>
    </row>
    <row r="878" spans="1:11" x14ac:dyDescent="0.25">
      <c r="A878"/>
      <c r="D878"/>
      <c r="F878"/>
      <c r="G878"/>
      <c r="H878"/>
      <c r="I878"/>
      <c r="K878" s="84"/>
    </row>
    <row r="879" spans="1:11" x14ac:dyDescent="0.25">
      <c r="A879"/>
      <c r="D879"/>
      <c r="F879"/>
      <c r="G879"/>
      <c r="H879"/>
      <c r="I879"/>
      <c r="K879" s="84"/>
    </row>
    <row r="880" spans="1:11" x14ac:dyDescent="0.25">
      <c r="A880"/>
      <c r="D880"/>
      <c r="F880"/>
      <c r="G880"/>
      <c r="H880"/>
      <c r="I880"/>
      <c r="K880" s="84"/>
    </row>
    <row r="881" spans="1:11" x14ac:dyDescent="0.25">
      <c r="A881"/>
      <c r="D881"/>
      <c r="F881"/>
      <c r="G881"/>
      <c r="H881"/>
      <c r="I881"/>
      <c r="K881" s="84"/>
    </row>
    <row r="882" spans="1:11" x14ac:dyDescent="0.25">
      <c r="A882"/>
      <c r="D882"/>
      <c r="F882"/>
      <c r="G882"/>
      <c r="H882"/>
      <c r="I882"/>
      <c r="K882" s="84"/>
    </row>
    <row r="883" spans="1:11" x14ac:dyDescent="0.25">
      <c r="A883"/>
      <c r="D883"/>
      <c r="F883"/>
      <c r="G883"/>
      <c r="H883"/>
      <c r="I883"/>
      <c r="K883" s="84"/>
    </row>
    <row r="884" spans="1:11" x14ac:dyDescent="0.25">
      <c r="A884"/>
      <c r="D884"/>
      <c r="F884"/>
      <c r="G884"/>
      <c r="H884"/>
      <c r="I884"/>
      <c r="K884" s="84"/>
    </row>
    <row r="885" spans="1:11" x14ac:dyDescent="0.25">
      <c r="A885"/>
      <c r="D885"/>
      <c r="F885"/>
      <c r="G885"/>
      <c r="H885"/>
      <c r="I885"/>
      <c r="K885" s="84"/>
    </row>
    <row r="886" spans="1:11" x14ac:dyDescent="0.25">
      <c r="A886"/>
      <c r="D886"/>
      <c r="F886"/>
      <c r="G886"/>
      <c r="H886"/>
      <c r="I886"/>
      <c r="K886" s="84"/>
    </row>
    <row r="887" spans="1:11" x14ac:dyDescent="0.25">
      <c r="A887"/>
      <c r="D887"/>
      <c r="F887"/>
      <c r="G887"/>
      <c r="H887"/>
      <c r="I887"/>
      <c r="K887" s="84"/>
    </row>
    <row r="888" spans="1:11" x14ac:dyDescent="0.25">
      <c r="A888"/>
      <c r="D888"/>
      <c r="F888"/>
      <c r="G888"/>
      <c r="H888"/>
      <c r="I888"/>
      <c r="K888" s="84"/>
    </row>
    <row r="889" spans="1:11" x14ac:dyDescent="0.25">
      <c r="A889"/>
      <c r="D889"/>
      <c r="F889"/>
      <c r="G889"/>
      <c r="H889"/>
      <c r="I889"/>
      <c r="K889" s="84"/>
    </row>
    <row r="890" spans="1:11" x14ac:dyDescent="0.25">
      <c r="A890"/>
      <c r="D890"/>
      <c r="F890"/>
      <c r="G890"/>
      <c r="H890"/>
      <c r="I890"/>
      <c r="K890" s="84"/>
    </row>
    <row r="891" spans="1:11" x14ac:dyDescent="0.25">
      <c r="A891"/>
      <c r="D891"/>
      <c r="F891"/>
      <c r="G891"/>
      <c r="H891"/>
      <c r="I891"/>
      <c r="K891" s="84"/>
    </row>
    <row r="892" spans="1:11" x14ac:dyDescent="0.25">
      <c r="A892"/>
      <c r="D892"/>
      <c r="F892"/>
      <c r="G892"/>
      <c r="H892"/>
      <c r="I892"/>
      <c r="K892" s="84"/>
    </row>
    <row r="893" spans="1:11" x14ac:dyDescent="0.25">
      <c r="A893"/>
      <c r="D893"/>
      <c r="F893"/>
      <c r="G893"/>
      <c r="H893"/>
      <c r="I893"/>
      <c r="K893" s="84"/>
    </row>
    <row r="894" spans="1:11" x14ac:dyDescent="0.25">
      <c r="A894"/>
      <c r="D894"/>
      <c r="F894"/>
      <c r="G894"/>
      <c r="H894"/>
      <c r="I894"/>
      <c r="K894" s="84"/>
    </row>
    <row r="895" spans="1:11" x14ac:dyDescent="0.25">
      <c r="A895"/>
      <c r="D895"/>
      <c r="F895"/>
      <c r="G895"/>
      <c r="H895"/>
      <c r="I895"/>
      <c r="K895" s="84"/>
    </row>
    <row r="896" spans="1:11" x14ac:dyDescent="0.25">
      <c r="A896"/>
      <c r="D896"/>
      <c r="F896"/>
      <c r="G896"/>
      <c r="H896"/>
      <c r="I896"/>
      <c r="K896" s="84"/>
    </row>
    <row r="897" spans="1:11" x14ac:dyDescent="0.25">
      <c r="A897"/>
      <c r="D897"/>
      <c r="F897"/>
      <c r="G897"/>
      <c r="H897"/>
      <c r="I897"/>
      <c r="K897" s="84"/>
    </row>
    <row r="898" spans="1:11" x14ac:dyDescent="0.25">
      <c r="A898"/>
      <c r="D898"/>
      <c r="F898"/>
      <c r="G898"/>
      <c r="H898"/>
      <c r="I898"/>
      <c r="K898" s="84"/>
    </row>
    <row r="899" spans="1:11" x14ac:dyDescent="0.25">
      <c r="A899"/>
      <c r="D899"/>
      <c r="F899"/>
      <c r="G899"/>
      <c r="H899"/>
      <c r="I899"/>
      <c r="K899" s="84"/>
    </row>
    <row r="900" spans="1:11" x14ac:dyDescent="0.25">
      <c r="A900"/>
      <c r="D900"/>
      <c r="F900"/>
      <c r="G900"/>
      <c r="H900"/>
      <c r="I900"/>
      <c r="K900" s="84"/>
    </row>
    <row r="901" spans="1:11" x14ac:dyDescent="0.25">
      <c r="A901"/>
      <c r="D901"/>
      <c r="F901"/>
      <c r="G901"/>
      <c r="H901"/>
      <c r="I901"/>
      <c r="K901" s="84"/>
    </row>
    <row r="902" spans="1:11" x14ac:dyDescent="0.25">
      <c r="A902"/>
      <c r="D902"/>
      <c r="F902"/>
      <c r="G902"/>
      <c r="H902"/>
      <c r="I902"/>
      <c r="K902" s="84"/>
    </row>
    <row r="903" spans="1:11" x14ac:dyDescent="0.25">
      <c r="A903"/>
      <c r="D903"/>
      <c r="F903"/>
      <c r="G903"/>
      <c r="H903"/>
      <c r="I903"/>
      <c r="K903" s="84"/>
    </row>
    <row r="904" spans="1:11" x14ac:dyDescent="0.25">
      <c r="A904"/>
      <c r="D904"/>
      <c r="F904"/>
      <c r="G904"/>
      <c r="H904"/>
      <c r="I904"/>
      <c r="K904" s="84"/>
    </row>
    <row r="905" spans="1:11" x14ac:dyDescent="0.25">
      <c r="A905"/>
      <c r="D905"/>
      <c r="F905"/>
      <c r="G905"/>
      <c r="H905"/>
      <c r="I905"/>
      <c r="K905" s="84"/>
    </row>
    <row r="906" spans="1:11" x14ac:dyDescent="0.25">
      <c r="A906"/>
      <c r="D906"/>
      <c r="F906"/>
      <c r="G906"/>
      <c r="H906"/>
      <c r="I906"/>
      <c r="K906" s="84"/>
    </row>
    <row r="907" spans="1:11" x14ac:dyDescent="0.25">
      <c r="A907"/>
      <c r="D907"/>
      <c r="F907"/>
      <c r="G907"/>
      <c r="H907"/>
      <c r="I907"/>
      <c r="K907" s="84"/>
    </row>
    <row r="908" spans="1:11" x14ac:dyDescent="0.25">
      <c r="A908"/>
      <c r="D908"/>
      <c r="F908"/>
      <c r="G908"/>
      <c r="H908"/>
      <c r="I908"/>
      <c r="K908" s="84"/>
    </row>
    <row r="909" spans="1:11" x14ac:dyDescent="0.25">
      <c r="A909"/>
      <c r="D909"/>
      <c r="F909"/>
      <c r="G909"/>
      <c r="H909"/>
      <c r="I909"/>
      <c r="K909" s="84"/>
    </row>
    <row r="910" spans="1:11" x14ac:dyDescent="0.25">
      <c r="A910"/>
      <c r="D910"/>
      <c r="F910"/>
      <c r="G910"/>
      <c r="H910"/>
      <c r="I910"/>
      <c r="K910" s="84"/>
    </row>
    <row r="911" spans="1:11" x14ac:dyDescent="0.25">
      <c r="A911"/>
      <c r="D911"/>
      <c r="F911"/>
      <c r="G911"/>
      <c r="H911"/>
      <c r="I911"/>
      <c r="K911" s="84"/>
    </row>
    <row r="912" spans="1:11" x14ac:dyDescent="0.25">
      <c r="A912"/>
      <c r="D912"/>
      <c r="F912"/>
      <c r="G912"/>
      <c r="H912"/>
      <c r="I912"/>
      <c r="K912" s="84"/>
    </row>
    <row r="913" spans="1:11" x14ac:dyDescent="0.25">
      <c r="A913"/>
      <c r="D913"/>
      <c r="F913"/>
      <c r="G913"/>
      <c r="H913"/>
      <c r="I913"/>
      <c r="K913" s="84"/>
    </row>
    <row r="914" spans="1:11" x14ac:dyDescent="0.25">
      <c r="A914"/>
      <c r="D914"/>
      <c r="F914"/>
      <c r="G914"/>
      <c r="H914"/>
      <c r="I914"/>
      <c r="K914" s="84"/>
    </row>
    <row r="915" spans="1:11" x14ac:dyDescent="0.25">
      <c r="A915"/>
      <c r="D915"/>
      <c r="F915"/>
      <c r="G915"/>
      <c r="H915"/>
      <c r="I915"/>
      <c r="K915" s="84"/>
    </row>
    <row r="916" spans="1:11" x14ac:dyDescent="0.25">
      <c r="A916"/>
      <c r="D916"/>
      <c r="F916"/>
      <c r="G916"/>
      <c r="H916"/>
      <c r="I916"/>
      <c r="K916" s="84"/>
    </row>
    <row r="917" spans="1:11" x14ac:dyDescent="0.25">
      <c r="A917"/>
      <c r="D917"/>
      <c r="F917"/>
      <c r="G917"/>
      <c r="H917"/>
      <c r="I917"/>
      <c r="K917" s="84"/>
    </row>
    <row r="918" spans="1:11" x14ac:dyDescent="0.25">
      <c r="A918"/>
      <c r="D918"/>
      <c r="F918"/>
      <c r="G918"/>
      <c r="H918"/>
      <c r="I918"/>
      <c r="K918" s="84"/>
    </row>
    <row r="919" spans="1:11" x14ac:dyDescent="0.25">
      <c r="A919"/>
      <c r="D919"/>
      <c r="F919"/>
      <c r="G919"/>
      <c r="H919"/>
      <c r="I919"/>
      <c r="K919" s="84"/>
    </row>
    <row r="920" spans="1:11" x14ac:dyDescent="0.25">
      <c r="A920"/>
      <c r="D920"/>
      <c r="F920"/>
      <c r="G920"/>
      <c r="H920"/>
      <c r="I920"/>
      <c r="K920" s="84"/>
    </row>
    <row r="921" spans="1:11" x14ac:dyDescent="0.25">
      <c r="A921"/>
      <c r="D921"/>
      <c r="F921"/>
      <c r="G921"/>
      <c r="H921"/>
      <c r="I921"/>
      <c r="K921" s="84"/>
    </row>
    <row r="922" spans="1:11" x14ac:dyDescent="0.25">
      <c r="A922"/>
      <c r="D922"/>
      <c r="F922"/>
      <c r="G922"/>
      <c r="H922"/>
      <c r="I922"/>
      <c r="K922" s="84"/>
    </row>
    <row r="923" spans="1:11" x14ac:dyDescent="0.25">
      <c r="A923"/>
      <c r="D923"/>
      <c r="F923"/>
      <c r="G923"/>
      <c r="H923"/>
      <c r="I923"/>
      <c r="K923" s="84"/>
    </row>
    <row r="924" spans="1:11" x14ac:dyDescent="0.25">
      <c r="A924"/>
      <c r="D924"/>
      <c r="F924"/>
      <c r="G924"/>
      <c r="H924"/>
      <c r="I924"/>
      <c r="K924" s="84"/>
    </row>
    <row r="925" spans="1:11" x14ac:dyDescent="0.25">
      <c r="A925"/>
      <c r="D925"/>
      <c r="F925"/>
      <c r="G925"/>
      <c r="H925"/>
      <c r="I925"/>
      <c r="K925" s="84"/>
    </row>
    <row r="926" spans="1:11" x14ac:dyDescent="0.25">
      <c r="A926"/>
      <c r="D926"/>
      <c r="F926"/>
      <c r="G926"/>
      <c r="H926"/>
      <c r="I926"/>
      <c r="K926" s="84"/>
    </row>
    <row r="927" spans="1:11" x14ac:dyDescent="0.25">
      <c r="A927"/>
      <c r="D927"/>
      <c r="F927"/>
      <c r="G927"/>
      <c r="H927"/>
      <c r="I927"/>
      <c r="K927" s="84"/>
    </row>
    <row r="928" spans="1:11" x14ac:dyDescent="0.25">
      <c r="A928"/>
      <c r="D928"/>
      <c r="F928"/>
      <c r="G928"/>
      <c r="H928"/>
      <c r="I928"/>
      <c r="K928" s="84"/>
    </row>
    <row r="929" spans="1:11" x14ac:dyDescent="0.25">
      <c r="A929"/>
      <c r="D929"/>
      <c r="F929"/>
      <c r="G929"/>
      <c r="H929"/>
      <c r="I929"/>
      <c r="K929" s="84"/>
    </row>
    <row r="930" spans="1:11" x14ac:dyDescent="0.25">
      <c r="A930"/>
      <c r="D930"/>
      <c r="F930"/>
      <c r="G930"/>
      <c r="H930"/>
      <c r="I930"/>
      <c r="K930" s="84"/>
    </row>
    <row r="931" spans="1:11" x14ac:dyDescent="0.25">
      <c r="A931"/>
      <c r="D931"/>
      <c r="F931"/>
      <c r="G931"/>
      <c r="H931"/>
      <c r="I931"/>
      <c r="K931" s="84"/>
    </row>
    <row r="932" spans="1:11" x14ac:dyDescent="0.25">
      <c r="A932"/>
      <c r="D932"/>
      <c r="F932"/>
      <c r="G932"/>
      <c r="H932"/>
      <c r="I932"/>
      <c r="K932" s="84"/>
    </row>
    <row r="933" spans="1:11" x14ac:dyDescent="0.25">
      <c r="A933"/>
      <c r="D933"/>
      <c r="F933"/>
      <c r="G933"/>
      <c r="H933"/>
      <c r="I933"/>
      <c r="K933" s="84"/>
    </row>
    <row r="934" spans="1:11" x14ac:dyDescent="0.25">
      <c r="A934"/>
      <c r="D934"/>
      <c r="F934"/>
      <c r="G934"/>
      <c r="H934"/>
      <c r="I934"/>
      <c r="K934" s="84"/>
    </row>
    <row r="935" spans="1:11" x14ac:dyDescent="0.25">
      <c r="A935"/>
      <c r="D935"/>
      <c r="F935"/>
      <c r="G935"/>
      <c r="H935"/>
      <c r="I935"/>
      <c r="K935" s="84"/>
    </row>
    <row r="936" spans="1:11" x14ac:dyDescent="0.25">
      <c r="A936"/>
      <c r="D936"/>
      <c r="F936"/>
      <c r="G936"/>
      <c r="H936"/>
      <c r="I936"/>
      <c r="K936" s="84"/>
    </row>
    <row r="937" spans="1:11" x14ac:dyDescent="0.25">
      <c r="A937"/>
      <c r="D937"/>
      <c r="F937"/>
      <c r="G937"/>
      <c r="H937"/>
      <c r="I937"/>
      <c r="K937" s="84"/>
    </row>
    <row r="938" spans="1:11" x14ac:dyDescent="0.25">
      <c r="A938"/>
      <c r="D938"/>
      <c r="F938"/>
      <c r="G938"/>
      <c r="H938"/>
      <c r="I938"/>
      <c r="K938" s="84"/>
    </row>
    <row r="939" spans="1:11" x14ac:dyDescent="0.25">
      <c r="A939"/>
      <c r="D939"/>
      <c r="F939"/>
      <c r="G939"/>
      <c r="H939"/>
      <c r="I939"/>
      <c r="K939" s="84"/>
    </row>
    <row r="940" spans="1:11" x14ac:dyDescent="0.25">
      <c r="A940"/>
      <c r="D940"/>
      <c r="F940"/>
      <c r="G940"/>
      <c r="H940"/>
      <c r="I940"/>
      <c r="K940" s="84"/>
    </row>
    <row r="941" spans="1:11" x14ac:dyDescent="0.25">
      <c r="A941"/>
      <c r="D941"/>
      <c r="F941"/>
      <c r="G941"/>
      <c r="H941"/>
      <c r="I941"/>
      <c r="K941" s="84"/>
    </row>
    <row r="942" spans="1:11" x14ac:dyDescent="0.25">
      <c r="A942"/>
      <c r="D942"/>
      <c r="F942"/>
      <c r="G942"/>
      <c r="H942"/>
      <c r="I942"/>
      <c r="K942" s="84"/>
    </row>
    <row r="943" spans="1:11" x14ac:dyDescent="0.25">
      <c r="A943"/>
      <c r="D943"/>
      <c r="F943"/>
      <c r="G943"/>
      <c r="H943"/>
      <c r="I943"/>
      <c r="K943" s="84"/>
    </row>
    <row r="944" spans="1:11" x14ac:dyDescent="0.25">
      <c r="A944"/>
      <c r="D944"/>
      <c r="F944"/>
      <c r="G944"/>
      <c r="H944"/>
      <c r="I944"/>
      <c r="K944" s="84"/>
    </row>
    <row r="945" spans="1:11" x14ac:dyDescent="0.25">
      <c r="A945"/>
      <c r="D945"/>
      <c r="F945"/>
      <c r="G945"/>
      <c r="H945"/>
      <c r="I945"/>
      <c r="K945" s="84"/>
    </row>
    <row r="946" spans="1:11" x14ac:dyDescent="0.25">
      <c r="A946"/>
      <c r="D946"/>
      <c r="F946"/>
      <c r="G946"/>
      <c r="H946"/>
      <c r="I946"/>
      <c r="K946" s="84"/>
    </row>
    <row r="947" spans="1:11" x14ac:dyDescent="0.25">
      <c r="A947"/>
      <c r="D947"/>
      <c r="F947"/>
      <c r="G947"/>
      <c r="H947"/>
      <c r="I947"/>
      <c r="K947" s="84"/>
    </row>
    <row r="948" spans="1:11" x14ac:dyDescent="0.25">
      <c r="A948"/>
      <c r="D948"/>
      <c r="F948"/>
      <c r="G948"/>
      <c r="H948"/>
      <c r="I948"/>
      <c r="K948" s="84"/>
    </row>
    <row r="949" spans="1:11" x14ac:dyDescent="0.25">
      <c r="A949"/>
      <c r="D949"/>
      <c r="F949"/>
      <c r="G949"/>
      <c r="H949"/>
      <c r="I949"/>
      <c r="K949" s="84"/>
    </row>
    <row r="950" spans="1:11" x14ac:dyDescent="0.25">
      <c r="A950"/>
      <c r="D950"/>
      <c r="F950"/>
      <c r="G950"/>
      <c r="H950"/>
      <c r="I950"/>
      <c r="K950" s="84"/>
    </row>
    <row r="951" spans="1:11" x14ac:dyDescent="0.25">
      <c r="A951"/>
      <c r="D951"/>
      <c r="F951"/>
      <c r="G951"/>
      <c r="H951"/>
      <c r="I951"/>
      <c r="K951" s="84"/>
    </row>
    <row r="952" spans="1:11" x14ac:dyDescent="0.25">
      <c r="A952"/>
      <c r="D952"/>
      <c r="F952"/>
      <c r="G952"/>
      <c r="H952"/>
      <c r="I952"/>
      <c r="K952" s="84"/>
    </row>
    <row r="953" spans="1:11" x14ac:dyDescent="0.25">
      <c r="A953"/>
      <c r="D953"/>
      <c r="F953"/>
      <c r="G953"/>
      <c r="H953"/>
      <c r="I953"/>
      <c r="K953" s="84"/>
    </row>
    <row r="954" spans="1:11" x14ac:dyDescent="0.25">
      <c r="A954"/>
      <c r="D954"/>
      <c r="F954"/>
      <c r="G954"/>
      <c r="H954"/>
      <c r="I954"/>
      <c r="K954" s="84"/>
    </row>
    <row r="955" spans="1:11" x14ac:dyDescent="0.25">
      <c r="A955"/>
      <c r="D955"/>
      <c r="F955"/>
      <c r="G955"/>
      <c r="H955"/>
      <c r="I955"/>
      <c r="K955" s="84"/>
    </row>
    <row r="956" spans="1:11" x14ac:dyDescent="0.25">
      <c r="A956"/>
      <c r="D956"/>
      <c r="F956"/>
      <c r="G956"/>
      <c r="H956"/>
      <c r="I956"/>
      <c r="K956" s="84"/>
    </row>
    <row r="957" spans="1:11" x14ac:dyDescent="0.25">
      <c r="A957"/>
      <c r="D957"/>
      <c r="F957"/>
      <c r="G957"/>
      <c r="H957"/>
      <c r="I957"/>
      <c r="K957" s="84"/>
    </row>
    <row r="958" spans="1:11" x14ac:dyDescent="0.25">
      <c r="A958"/>
      <c r="D958"/>
      <c r="F958"/>
      <c r="G958"/>
      <c r="H958"/>
      <c r="I958"/>
      <c r="K958" s="84"/>
    </row>
    <row r="959" spans="1:11" x14ac:dyDescent="0.25">
      <c r="A959"/>
      <c r="D959"/>
      <c r="F959"/>
      <c r="G959"/>
      <c r="H959"/>
      <c r="I959"/>
      <c r="K959" s="84"/>
    </row>
    <row r="960" spans="1:11" x14ac:dyDescent="0.25">
      <c r="A960"/>
      <c r="D960"/>
      <c r="F960"/>
      <c r="G960"/>
      <c r="H960"/>
      <c r="I960"/>
      <c r="K960" s="84"/>
    </row>
    <row r="961" spans="1:11" x14ac:dyDescent="0.25">
      <c r="A961"/>
      <c r="D961"/>
      <c r="F961"/>
      <c r="G961"/>
      <c r="H961"/>
      <c r="I961"/>
      <c r="K961" s="84"/>
    </row>
    <row r="962" spans="1:11" x14ac:dyDescent="0.25">
      <c r="A962"/>
      <c r="D962"/>
      <c r="F962"/>
      <c r="G962"/>
      <c r="H962"/>
      <c r="I962"/>
      <c r="K962" s="84"/>
    </row>
    <row r="963" spans="1:11" x14ac:dyDescent="0.25">
      <c r="A963"/>
      <c r="D963"/>
      <c r="F963"/>
      <c r="G963"/>
      <c r="H963"/>
      <c r="I963"/>
      <c r="K963" s="84"/>
    </row>
    <row r="964" spans="1:11" x14ac:dyDescent="0.25">
      <c r="A964"/>
      <c r="D964"/>
      <c r="F964"/>
      <c r="G964"/>
      <c r="H964"/>
      <c r="I964"/>
      <c r="K964" s="84"/>
    </row>
    <row r="965" spans="1:11" x14ac:dyDescent="0.25">
      <c r="A965"/>
      <c r="D965"/>
      <c r="F965"/>
      <c r="G965"/>
      <c r="H965"/>
      <c r="I965"/>
      <c r="K965" s="84"/>
    </row>
    <row r="966" spans="1:11" x14ac:dyDescent="0.25">
      <c r="A966"/>
      <c r="D966"/>
      <c r="F966"/>
      <c r="G966"/>
      <c r="H966"/>
      <c r="I966"/>
      <c r="K966" s="84"/>
    </row>
    <row r="967" spans="1:11" x14ac:dyDescent="0.25">
      <c r="A967"/>
      <c r="D967"/>
      <c r="F967"/>
      <c r="G967"/>
      <c r="H967"/>
      <c r="I967"/>
      <c r="K967" s="84"/>
    </row>
    <row r="968" spans="1:11" x14ac:dyDescent="0.25">
      <c r="A968"/>
      <c r="D968"/>
      <c r="F968"/>
      <c r="G968"/>
      <c r="H968"/>
      <c r="I968"/>
      <c r="K968" s="84"/>
    </row>
    <row r="969" spans="1:11" x14ac:dyDescent="0.25">
      <c r="A969"/>
      <c r="D969"/>
      <c r="F969"/>
      <c r="G969"/>
      <c r="H969"/>
      <c r="I969"/>
      <c r="K969" s="84"/>
    </row>
    <row r="970" spans="1:11" x14ac:dyDescent="0.25">
      <c r="A970"/>
      <c r="D970"/>
      <c r="F970"/>
      <c r="G970"/>
      <c r="H970"/>
      <c r="I970"/>
      <c r="K970" s="84"/>
    </row>
    <row r="971" spans="1:11" x14ac:dyDescent="0.25">
      <c r="A971"/>
      <c r="D971"/>
      <c r="F971"/>
      <c r="G971"/>
      <c r="H971"/>
      <c r="I971"/>
      <c r="K971" s="84"/>
    </row>
    <row r="972" spans="1:11" x14ac:dyDescent="0.25">
      <c r="A972"/>
      <c r="D972"/>
      <c r="F972"/>
      <c r="G972"/>
      <c r="H972"/>
      <c r="I972"/>
      <c r="K972" s="84"/>
    </row>
    <row r="973" spans="1:11" x14ac:dyDescent="0.25">
      <c r="A973"/>
      <c r="D973"/>
      <c r="F973"/>
      <c r="G973"/>
      <c r="H973"/>
      <c r="I973"/>
      <c r="K973" s="84"/>
    </row>
    <row r="974" spans="1:11" x14ac:dyDescent="0.25">
      <c r="A974"/>
      <c r="D974"/>
      <c r="F974"/>
      <c r="G974"/>
      <c r="H974"/>
      <c r="I974"/>
      <c r="K974" s="84"/>
    </row>
    <row r="975" spans="1:11" x14ac:dyDescent="0.25">
      <c r="A975"/>
      <c r="D975"/>
      <c r="F975"/>
      <c r="G975"/>
      <c r="H975"/>
      <c r="I975"/>
      <c r="K975" s="84"/>
    </row>
    <row r="976" spans="1:11" x14ac:dyDescent="0.25">
      <c r="A976"/>
      <c r="D976"/>
      <c r="F976"/>
      <c r="G976"/>
      <c r="H976"/>
      <c r="I976"/>
      <c r="K976" s="84"/>
    </row>
    <row r="977" spans="1:11" x14ac:dyDescent="0.25">
      <c r="A977"/>
      <c r="D977"/>
      <c r="F977"/>
      <c r="G977"/>
      <c r="H977"/>
      <c r="I977"/>
      <c r="K977" s="84"/>
    </row>
    <row r="978" spans="1:11" x14ac:dyDescent="0.25">
      <c r="A978"/>
      <c r="D978"/>
      <c r="F978"/>
      <c r="G978"/>
      <c r="H978"/>
      <c r="I978"/>
      <c r="K978" s="84"/>
    </row>
    <row r="979" spans="1:11" x14ac:dyDescent="0.25">
      <c r="A979"/>
      <c r="D979"/>
      <c r="F979"/>
      <c r="G979"/>
      <c r="H979"/>
      <c r="I979"/>
      <c r="K979" s="84"/>
    </row>
    <row r="980" spans="1:11" x14ac:dyDescent="0.25">
      <c r="A980"/>
      <c r="D980"/>
      <c r="F980"/>
      <c r="G980"/>
      <c r="H980"/>
      <c r="I980"/>
      <c r="K980" s="84"/>
    </row>
    <row r="981" spans="1:11" x14ac:dyDescent="0.25">
      <c r="A981"/>
      <c r="D981"/>
      <c r="F981"/>
      <c r="G981"/>
      <c r="H981"/>
      <c r="I981"/>
      <c r="K981" s="84"/>
    </row>
    <row r="982" spans="1:11" x14ac:dyDescent="0.25">
      <c r="A982"/>
      <c r="D982"/>
      <c r="F982"/>
      <c r="G982"/>
      <c r="H982"/>
      <c r="I982"/>
      <c r="K982" s="84"/>
    </row>
    <row r="983" spans="1:11" x14ac:dyDescent="0.25">
      <c r="A983"/>
      <c r="D983"/>
      <c r="F983"/>
      <c r="G983"/>
      <c r="H983"/>
      <c r="I983"/>
      <c r="K983" s="84"/>
    </row>
    <row r="984" spans="1:11" x14ac:dyDescent="0.25">
      <c r="A984"/>
      <c r="D984"/>
      <c r="F984"/>
      <c r="G984"/>
      <c r="H984"/>
      <c r="I984"/>
      <c r="K984" s="84"/>
    </row>
    <row r="985" spans="1:11" x14ac:dyDescent="0.25">
      <c r="A985"/>
      <c r="D985"/>
      <c r="F985"/>
      <c r="G985"/>
      <c r="H985"/>
      <c r="I985"/>
      <c r="K985" s="84"/>
    </row>
    <row r="986" spans="1:11" x14ac:dyDescent="0.25">
      <c r="A986"/>
      <c r="D986"/>
      <c r="F986"/>
      <c r="G986"/>
      <c r="H986"/>
      <c r="I986"/>
      <c r="K986" s="84"/>
    </row>
    <row r="987" spans="1:11" x14ac:dyDescent="0.25">
      <c r="A987"/>
      <c r="D987"/>
      <c r="F987"/>
      <c r="G987"/>
      <c r="H987"/>
      <c r="I987"/>
      <c r="K987" s="84"/>
    </row>
    <row r="988" spans="1:11" x14ac:dyDescent="0.25">
      <c r="A988"/>
      <c r="D988"/>
      <c r="F988"/>
      <c r="G988"/>
      <c r="H988"/>
      <c r="I988"/>
      <c r="K988" s="84"/>
    </row>
    <row r="989" spans="1:11" x14ac:dyDescent="0.25">
      <c r="A989"/>
      <c r="D989"/>
      <c r="F989"/>
      <c r="G989"/>
      <c r="H989"/>
      <c r="I989"/>
      <c r="K989" s="84"/>
    </row>
    <row r="990" spans="1:11" x14ac:dyDescent="0.25">
      <c r="A990"/>
      <c r="D990"/>
      <c r="F990"/>
      <c r="G990"/>
      <c r="H990"/>
      <c r="I990"/>
      <c r="K990" s="84"/>
    </row>
    <row r="991" spans="1:11" x14ac:dyDescent="0.25">
      <c r="A991"/>
      <c r="D991"/>
      <c r="F991"/>
      <c r="G991"/>
      <c r="H991"/>
      <c r="I991"/>
      <c r="K991" s="84"/>
    </row>
    <row r="992" spans="1:11" x14ac:dyDescent="0.25">
      <c r="A992"/>
      <c r="D992"/>
      <c r="F992"/>
      <c r="G992"/>
      <c r="H992"/>
      <c r="I992"/>
      <c r="K992" s="84"/>
    </row>
    <row r="993" spans="1:11" x14ac:dyDescent="0.25">
      <c r="A993"/>
      <c r="D993"/>
      <c r="F993"/>
      <c r="G993"/>
      <c r="H993"/>
      <c r="I993"/>
      <c r="K993" s="84"/>
    </row>
    <row r="994" spans="1:11" x14ac:dyDescent="0.25">
      <c r="A994"/>
      <c r="D994"/>
      <c r="F994"/>
      <c r="G994"/>
      <c r="H994"/>
      <c r="I994"/>
      <c r="K994" s="84"/>
    </row>
    <row r="995" spans="1:11" x14ac:dyDescent="0.25">
      <c r="A995"/>
      <c r="D995"/>
      <c r="F995"/>
      <c r="G995"/>
      <c r="H995"/>
      <c r="I995"/>
      <c r="K995" s="84"/>
    </row>
    <row r="996" spans="1:11" x14ac:dyDescent="0.25">
      <c r="A996"/>
      <c r="D996"/>
      <c r="F996"/>
      <c r="G996"/>
      <c r="H996"/>
      <c r="I996"/>
      <c r="K996" s="84"/>
    </row>
    <row r="997" spans="1:11" x14ac:dyDescent="0.25">
      <c r="A997"/>
      <c r="D997"/>
      <c r="F997"/>
      <c r="G997"/>
      <c r="H997"/>
      <c r="I997"/>
      <c r="K997" s="84"/>
    </row>
    <row r="998" spans="1:11" x14ac:dyDescent="0.25">
      <c r="A998"/>
      <c r="D998"/>
      <c r="F998"/>
      <c r="G998"/>
      <c r="H998"/>
      <c r="I998"/>
      <c r="K998" s="84"/>
    </row>
    <row r="999" spans="1:11" x14ac:dyDescent="0.25">
      <c r="A999"/>
      <c r="D999"/>
      <c r="F999"/>
      <c r="G999"/>
      <c r="H999"/>
      <c r="I999"/>
      <c r="K999" s="84"/>
    </row>
    <row r="1000" spans="1:11" x14ac:dyDescent="0.25">
      <c r="A1000"/>
      <c r="D1000"/>
      <c r="F1000"/>
      <c r="G1000"/>
      <c r="H1000"/>
      <c r="I1000"/>
      <c r="K1000" s="84"/>
    </row>
    <row r="1001" spans="1:11" x14ac:dyDescent="0.25">
      <c r="A1001"/>
      <c r="D1001"/>
      <c r="F1001"/>
      <c r="G1001"/>
      <c r="H1001"/>
      <c r="I1001"/>
      <c r="K1001" s="84"/>
    </row>
    <row r="1002" spans="1:11" x14ac:dyDescent="0.25">
      <c r="A1002"/>
      <c r="D1002"/>
      <c r="F1002"/>
      <c r="G1002"/>
      <c r="H1002"/>
      <c r="I1002"/>
      <c r="K1002" s="84"/>
    </row>
    <row r="1003" spans="1:11" x14ac:dyDescent="0.25">
      <c r="A1003"/>
      <c r="D1003"/>
      <c r="F1003"/>
      <c r="G1003"/>
      <c r="H1003"/>
      <c r="I1003"/>
      <c r="K1003" s="84"/>
    </row>
    <row r="1004" spans="1:11" x14ac:dyDescent="0.25">
      <c r="A1004"/>
      <c r="D1004"/>
      <c r="F1004"/>
      <c r="G1004"/>
      <c r="H1004"/>
      <c r="I1004"/>
      <c r="K1004" s="84"/>
    </row>
    <row r="1005" spans="1:11" x14ac:dyDescent="0.25">
      <c r="A1005"/>
      <c r="D1005"/>
      <c r="F1005"/>
      <c r="G1005"/>
      <c r="H1005"/>
      <c r="I1005"/>
      <c r="K1005" s="84"/>
    </row>
    <row r="1006" spans="1:11" x14ac:dyDescent="0.25">
      <c r="A1006"/>
      <c r="D1006"/>
      <c r="F1006"/>
      <c r="G1006"/>
      <c r="H1006"/>
      <c r="I1006"/>
      <c r="K1006" s="84"/>
    </row>
    <row r="1007" spans="1:11" x14ac:dyDescent="0.25">
      <c r="A1007"/>
      <c r="D1007"/>
      <c r="F1007"/>
      <c r="G1007"/>
      <c r="H1007"/>
      <c r="I1007"/>
      <c r="K1007" s="84"/>
    </row>
    <row r="1008" spans="1:11" x14ac:dyDescent="0.25">
      <c r="A1008"/>
      <c r="D1008"/>
      <c r="F1008"/>
      <c r="G1008"/>
      <c r="H1008"/>
      <c r="I1008"/>
      <c r="K1008" s="84"/>
    </row>
    <row r="1009" spans="1:11" x14ac:dyDescent="0.25">
      <c r="A1009"/>
      <c r="D1009"/>
      <c r="F1009"/>
      <c r="G1009"/>
      <c r="H1009"/>
      <c r="I1009"/>
      <c r="K1009" s="84"/>
    </row>
    <row r="1010" spans="1:11" x14ac:dyDescent="0.25">
      <c r="A1010"/>
      <c r="D1010"/>
      <c r="F1010"/>
      <c r="G1010"/>
      <c r="H1010"/>
      <c r="I1010"/>
      <c r="K1010" s="84"/>
    </row>
    <row r="1011" spans="1:11" x14ac:dyDescent="0.25">
      <c r="A1011"/>
      <c r="D1011"/>
      <c r="F1011"/>
      <c r="G1011"/>
      <c r="H1011"/>
      <c r="I1011"/>
      <c r="K1011" s="84"/>
    </row>
    <row r="1012" spans="1:11" x14ac:dyDescent="0.25">
      <c r="A1012"/>
      <c r="D1012"/>
      <c r="F1012"/>
      <c r="G1012"/>
      <c r="H1012"/>
      <c r="I1012"/>
      <c r="K1012" s="84"/>
    </row>
    <row r="1013" spans="1:11" x14ac:dyDescent="0.25">
      <c r="A1013"/>
      <c r="D1013"/>
      <c r="F1013"/>
      <c r="G1013"/>
      <c r="H1013"/>
      <c r="I1013"/>
      <c r="K1013" s="84"/>
    </row>
    <row r="1014" spans="1:11" x14ac:dyDescent="0.25">
      <c r="A1014"/>
      <c r="D1014"/>
      <c r="F1014"/>
      <c r="G1014"/>
      <c r="H1014"/>
      <c r="I1014"/>
      <c r="K1014" s="84"/>
    </row>
    <row r="1015" spans="1:11" x14ac:dyDescent="0.25">
      <c r="A1015"/>
      <c r="D1015"/>
      <c r="F1015"/>
      <c r="G1015"/>
      <c r="H1015"/>
      <c r="I1015"/>
      <c r="K1015" s="84"/>
    </row>
    <row r="1016" spans="1:11" x14ac:dyDescent="0.25">
      <c r="A1016"/>
      <c r="D1016"/>
      <c r="F1016"/>
      <c r="G1016"/>
      <c r="H1016"/>
      <c r="I1016"/>
      <c r="K1016" s="84"/>
    </row>
    <row r="1017" spans="1:11" x14ac:dyDescent="0.25">
      <c r="A1017"/>
      <c r="D1017"/>
      <c r="F1017"/>
      <c r="G1017"/>
      <c r="H1017"/>
      <c r="I1017"/>
      <c r="K1017" s="84"/>
    </row>
    <row r="1018" spans="1:11" x14ac:dyDescent="0.25">
      <c r="A1018"/>
      <c r="D1018"/>
      <c r="F1018"/>
      <c r="G1018"/>
      <c r="H1018"/>
      <c r="I1018"/>
      <c r="K1018" s="84"/>
    </row>
    <row r="1019" spans="1:11" x14ac:dyDescent="0.25">
      <c r="A1019"/>
      <c r="D1019"/>
      <c r="F1019"/>
      <c r="G1019"/>
      <c r="H1019"/>
      <c r="I1019"/>
      <c r="K1019" s="84"/>
    </row>
    <row r="1020" spans="1:11" x14ac:dyDescent="0.25">
      <c r="A1020"/>
      <c r="D1020"/>
      <c r="F1020"/>
      <c r="G1020"/>
      <c r="H1020"/>
      <c r="I1020"/>
      <c r="K1020" s="84"/>
    </row>
    <row r="1021" spans="1:11" x14ac:dyDescent="0.25">
      <c r="A1021"/>
      <c r="D1021"/>
      <c r="F1021"/>
      <c r="G1021"/>
      <c r="H1021"/>
      <c r="I1021"/>
      <c r="K1021" s="84"/>
    </row>
    <row r="1022" spans="1:11" x14ac:dyDescent="0.25">
      <c r="A1022"/>
      <c r="D1022"/>
      <c r="F1022"/>
      <c r="G1022"/>
      <c r="H1022"/>
      <c r="I1022"/>
      <c r="K1022" s="84"/>
    </row>
    <row r="1023" spans="1:11" x14ac:dyDescent="0.25">
      <c r="A1023"/>
      <c r="D1023"/>
      <c r="F1023"/>
      <c r="G1023"/>
      <c r="H1023"/>
      <c r="I1023"/>
      <c r="K1023" s="84"/>
    </row>
    <row r="1024" spans="1:11" x14ac:dyDescent="0.25">
      <c r="A1024"/>
      <c r="D1024"/>
      <c r="F1024"/>
      <c r="G1024"/>
      <c r="H1024"/>
      <c r="I1024"/>
      <c r="K1024" s="84"/>
    </row>
    <row r="1025" spans="1:11" x14ac:dyDescent="0.25">
      <c r="A1025"/>
      <c r="D1025"/>
      <c r="F1025"/>
      <c r="G1025"/>
      <c r="H1025"/>
      <c r="I1025"/>
      <c r="K1025" s="84"/>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3B83-FE2B-4466-B48A-94013F892B5F}">
  <sheetPr>
    <tabColor rgb="FF92D050"/>
  </sheetPr>
  <dimension ref="A1:L961"/>
  <sheetViews>
    <sheetView workbookViewId="0"/>
  </sheetViews>
  <sheetFormatPr defaultRowHeight="15" x14ac:dyDescent="0.25"/>
  <cols>
    <col min="2" max="2" width="10.7109375" style="13" bestFit="1" customWidth="1"/>
    <col min="4" max="4" width="14.7109375" bestFit="1" customWidth="1"/>
    <col min="11" max="11" width="10.7109375" bestFit="1" customWidth="1"/>
  </cols>
  <sheetData>
    <row r="1" spans="1:12" ht="45" x14ac:dyDescent="0.25">
      <c r="A1" s="53" t="s">
        <v>44</v>
      </c>
      <c r="B1" s="53" t="s">
        <v>45</v>
      </c>
      <c r="C1" s="53" t="s">
        <v>46</v>
      </c>
      <c r="D1" s="53" t="s">
        <v>47</v>
      </c>
      <c r="E1" s="53" t="s">
        <v>48</v>
      </c>
      <c r="F1" s="53" t="s">
        <v>49</v>
      </c>
      <c r="G1" s="53" t="s">
        <v>50</v>
      </c>
      <c r="H1" s="53" t="s">
        <v>51</v>
      </c>
      <c r="I1" s="53" t="s">
        <v>54</v>
      </c>
      <c r="J1" s="53" t="s">
        <v>150</v>
      </c>
      <c r="K1" s="4" t="s">
        <v>151</v>
      </c>
      <c r="L1" s="4" t="s">
        <v>158</v>
      </c>
    </row>
    <row r="2" spans="1:12" x14ac:dyDescent="0.25">
      <c r="A2" t="s">
        <v>34</v>
      </c>
      <c r="D2" t="s">
        <v>39</v>
      </c>
      <c r="E2">
        <v>2001</v>
      </c>
      <c r="F2">
        <v>1</v>
      </c>
      <c r="G2">
        <v>1</v>
      </c>
      <c r="H2">
        <v>3</v>
      </c>
      <c r="I2">
        <v>103</v>
      </c>
      <c r="K2" s="13">
        <v>45810</v>
      </c>
      <c r="L2">
        <v>8</v>
      </c>
    </row>
    <row r="3" spans="1:12" x14ac:dyDescent="0.25">
      <c r="A3" t="s">
        <v>34</v>
      </c>
      <c r="D3" t="s">
        <v>39</v>
      </c>
      <c r="E3">
        <v>2001</v>
      </c>
      <c r="F3">
        <v>1</v>
      </c>
      <c r="G3">
        <v>1</v>
      </c>
      <c r="H3">
        <v>3</v>
      </c>
      <c r="I3">
        <v>103</v>
      </c>
      <c r="K3" s="13">
        <v>45827</v>
      </c>
      <c r="L3">
        <v>10</v>
      </c>
    </row>
    <row r="4" spans="1:12" x14ac:dyDescent="0.25">
      <c r="A4" t="s">
        <v>34</v>
      </c>
      <c r="D4" t="s">
        <v>39</v>
      </c>
      <c r="E4">
        <v>2001</v>
      </c>
      <c r="F4">
        <v>1</v>
      </c>
      <c r="G4">
        <v>1</v>
      </c>
      <c r="H4">
        <v>3</v>
      </c>
      <c r="I4">
        <v>103</v>
      </c>
      <c r="K4" s="13">
        <v>45856</v>
      </c>
      <c r="L4">
        <v>23</v>
      </c>
    </row>
    <row r="5" spans="1:12" x14ac:dyDescent="0.25">
      <c r="A5" t="s">
        <v>34</v>
      </c>
      <c r="D5" t="s">
        <v>39</v>
      </c>
      <c r="E5">
        <v>2001</v>
      </c>
      <c r="F5">
        <v>1</v>
      </c>
      <c r="G5">
        <v>1</v>
      </c>
      <c r="H5">
        <v>3</v>
      </c>
      <c r="I5">
        <v>103</v>
      </c>
      <c r="K5" s="13">
        <v>45869</v>
      </c>
      <c r="L5">
        <v>34</v>
      </c>
    </row>
    <row r="6" spans="1:12" x14ac:dyDescent="0.25">
      <c r="A6" t="s">
        <v>34</v>
      </c>
      <c r="D6" t="s">
        <v>39</v>
      </c>
      <c r="E6">
        <v>2001</v>
      </c>
      <c r="F6">
        <v>1</v>
      </c>
      <c r="G6">
        <v>1</v>
      </c>
      <c r="H6">
        <v>3</v>
      </c>
      <c r="I6">
        <v>103</v>
      </c>
      <c r="K6" s="13">
        <v>45881</v>
      </c>
      <c r="L6">
        <v>41</v>
      </c>
    </row>
    <row r="7" spans="1:12" x14ac:dyDescent="0.25">
      <c r="A7" t="s">
        <v>34</v>
      </c>
      <c r="D7" t="s">
        <v>39</v>
      </c>
      <c r="E7">
        <v>2001</v>
      </c>
      <c r="F7">
        <v>1</v>
      </c>
      <c r="G7">
        <v>1</v>
      </c>
      <c r="H7">
        <v>3</v>
      </c>
      <c r="I7">
        <v>103</v>
      </c>
      <c r="K7" s="13">
        <v>45895</v>
      </c>
      <c r="L7">
        <v>56</v>
      </c>
    </row>
    <row r="8" spans="1:12" x14ac:dyDescent="0.25">
      <c r="A8" t="s">
        <v>34</v>
      </c>
      <c r="D8" t="s">
        <v>39</v>
      </c>
      <c r="E8">
        <v>2001</v>
      </c>
      <c r="F8">
        <v>1</v>
      </c>
      <c r="G8">
        <v>1</v>
      </c>
      <c r="H8">
        <v>3</v>
      </c>
      <c r="I8">
        <v>103</v>
      </c>
      <c r="K8" s="13">
        <v>45908</v>
      </c>
      <c r="L8">
        <v>59</v>
      </c>
    </row>
    <row r="9" spans="1:12" x14ac:dyDescent="0.25">
      <c r="A9" t="s">
        <v>34</v>
      </c>
      <c r="D9" t="s">
        <v>39</v>
      </c>
      <c r="E9">
        <v>2001</v>
      </c>
      <c r="F9">
        <v>1</v>
      </c>
      <c r="G9">
        <v>1</v>
      </c>
      <c r="H9">
        <v>3</v>
      </c>
      <c r="I9">
        <v>103</v>
      </c>
      <c r="K9" s="13">
        <v>45923</v>
      </c>
      <c r="L9">
        <v>69</v>
      </c>
    </row>
    <row r="10" spans="1:12" x14ac:dyDescent="0.25">
      <c r="A10" t="s">
        <v>34</v>
      </c>
      <c r="D10" t="s">
        <v>39</v>
      </c>
      <c r="E10">
        <v>2001</v>
      </c>
      <c r="F10">
        <v>1</v>
      </c>
      <c r="G10">
        <v>1</v>
      </c>
      <c r="H10">
        <v>3</v>
      </c>
      <c r="I10">
        <v>103</v>
      </c>
      <c r="K10" s="13">
        <v>45939</v>
      </c>
      <c r="L10">
        <v>78</v>
      </c>
    </row>
    <row r="11" spans="1:12" x14ac:dyDescent="0.25">
      <c r="A11" t="s">
        <v>34</v>
      </c>
      <c r="D11" t="s">
        <v>39</v>
      </c>
      <c r="E11">
        <v>2001</v>
      </c>
      <c r="F11">
        <v>1</v>
      </c>
      <c r="G11">
        <v>1</v>
      </c>
      <c r="H11">
        <v>3</v>
      </c>
      <c r="I11">
        <v>103</v>
      </c>
      <c r="K11" s="13">
        <v>45959</v>
      </c>
      <c r="L11">
        <v>80</v>
      </c>
    </row>
    <row r="12" spans="1:12" x14ac:dyDescent="0.25">
      <c r="A12" t="s">
        <v>34</v>
      </c>
      <c r="D12" t="s">
        <v>39</v>
      </c>
      <c r="E12">
        <v>2001</v>
      </c>
      <c r="F12">
        <v>1</v>
      </c>
      <c r="G12">
        <v>1</v>
      </c>
      <c r="H12">
        <v>3</v>
      </c>
      <c r="I12">
        <v>103</v>
      </c>
      <c r="K12" s="13">
        <v>45966</v>
      </c>
      <c r="L12">
        <v>80</v>
      </c>
    </row>
    <row r="13" spans="1:12" x14ac:dyDescent="0.25">
      <c r="A13" t="s">
        <v>34</v>
      </c>
      <c r="D13" t="s">
        <v>37</v>
      </c>
      <c r="E13">
        <v>1989</v>
      </c>
      <c r="F13">
        <v>1</v>
      </c>
      <c r="G13">
        <v>1</v>
      </c>
      <c r="H13">
        <v>4</v>
      </c>
      <c r="I13">
        <v>104</v>
      </c>
      <c r="K13" s="13">
        <v>45810</v>
      </c>
      <c r="L13">
        <v>8</v>
      </c>
    </row>
    <row r="14" spans="1:12" x14ac:dyDescent="0.25">
      <c r="A14" t="s">
        <v>34</v>
      </c>
      <c r="D14" t="s">
        <v>37</v>
      </c>
      <c r="E14">
        <v>1989</v>
      </c>
      <c r="F14">
        <v>1</v>
      </c>
      <c r="G14">
        <v>1</v>
      </c>
      <c r="H14">
        <v>4</v>
      </c>
      <c r="I14">
        <v>104</v>
      </c>
      <c r="K14" s="13">
        <v>45827</v>
      </c>
      <c r="L14">
        <v>10</v>
      </c>
    </row>
    <row r="15" spans="1:12" x14ac:dyDescent="0.25">
      <c r="A15" t="s">
        <v>34</v>
      </c>
      <c r="D15" t="s">
        <v>37</v>
      </c>
      <c r="E15">
        <v>1989</v>
      </c>
      <c r="F15">
        <v>1</v>
      </c>
      <c r="G15">
        <v>1</v>
      </c>
      <c r="H15">
        <v>4</v>
      </c>
      <c r="I15">
        <v>104</v>
      </c>
      <c r="K15" s="13">
        <v>45856</v>
      </c>
      <c r="L15">
        <v>22</v>
      </c>
    </row>
    <row r="16" spans="1:12" x14ac:dyDescent="0.25">
      <c r="A16" t="s">
        <v>34</v>
      </c>
      <c r="D16" t="s">
        <v>37</v>
      </c>
      <c r="E16">
        <v>1989</v>
      </c>
      <c r="F16">
        <v>1</v>
      </c>
      <c r="G16">
        <v>1</v>
      </c>
      <c r="H16">
        <v>4</v>
      </c>
      <c r="I16">
        <v>104</v>
      </c>
      <c r="K16" s="13">
        <v>45869</v>
      </c>
      <c r="L16">
        <v>34</v>
      </c>
    </row>
    <row r="17" spans="1:12" x14ac:dyDescent="0.25">
      <c r="A17" t="s">
        <v>34</v>
      </c>
      <c r="D17" t="s">
        <v>37</v>
      </c>
      <c r="E17">
        <v>1989</v>
      </c>
      <c r="F17">
        <v>1</v>
      </c>
      <c r="G17">
        <v>1</v>
      </c>
      <c r="H17">
        <v>4</v>
      </c>
      <c r="I17">
        <v>104</v>
      </c>
      <c r="K17" s="13">
        <v>45881</v>
      </c>
      <c r="L17">
        <v>39</v>
      </c>
    </row>
    <row r="18" spans="1:12" x14ac:dyDescent="0.25">
      <c r="A18" t="s">
        <v>34</v>
      </c>
      <c r="D18" t="s">
        <v>37</v>
      </c>
      <c r="E18">
        <v>1989</v>
      </c>
      <c r="F18">
        <v>1</v>
      </c>
      <c r="G18">
        <v>1</v>
      </c>
      <c r="H18">
        <v>4</v>
      </c>
      <c r="I18">
        <v>104</v>
      </c>
      <c r="K18" s="13">
        <v>45895</v>
      </c>
      <c r="L18">
        <v>53</v>
      </c>
    </row>
    <row r="19" spans="1:12" x14ac:dyDescent="0.25">
      <c r="A19" t="s">
        <v>34</v>
      </c>
      <c r="D19" t="s">
        <v>37</v>
      </c>
      <c r="E19">
        <v>1989</v>
      </c>
      <c r="F19">
        <v>1</v>
      </c>
      <c r="G19">
        <v>1</v>
      </c>
      <c r="H19">
        <v>4</v>
      </c>
      <c r="I19">
        <v>104</v>
      </c>
      <c r="K19" s="13">
        <v>45908</v>
      </c>
      <c r="L19">
        <v>59</v>
      </c>
    </row>
    <row r="20" spans="1:12" x14ac:dyDescent="0.25">
      <c r="A20" t="s">
        <v>34</v>
      </c>
      <c r="D20" t="s">
        <v>37</v>
      </c>
      <c r="E20">
        <v>1989</v>
      </c>
      <c r="F20">
        <v>1</v>
      </c>
      <c r="G20">
        <v>1</v>
      </c>
      <c r="H20">
        <v>4</v>
      </c>
      <c r="I20">
        <v>104</v>
      </c>
      <c r="K20" s="13">
        <v>45923</v>
      </c>
      <c r="L20">
        <v>68</v>
      </c>
    </row>
    <row r="21" spans="1:12" x14ac:dyDescent="0.25">
      <c r="A21" t="s">
        <v>34</v>
      </c>
      <c r="D21" t="s">
        <v>37</v>
      </c>
      <c r="E21">
        <v>1989</v>
      </c>
      <c r="F21">
        <v>1</v>
      </c>
      <c r="G21">
        <v>1</v>
      </c>
      <c r="H21">
        <v>4</v>
      </c>
      <c r="I21">
        <v>104</v>
      </c>
      <c r="K21" s="13">
        <v>45939</v>
      </c>
      <c r="L21">
        <v>91</v>
      </c>
    </row>
    <row r="22" spans="1:12" x14ac:dyDescent="0.25">
      <c r="A22" t="s">
        <v>34</v>
      </c>
      <c r="D22" t="s">
        <v>37</v>
      </c>
      <c r="E22">
        <v>1989</v>
      </c>
      <c r="F22">
        <v>1</v>
      </c>
      <c r="G22">
        <v>1</v>
      </c>
      <c r="H22">
        <v>4</v>
      </c>
      <c r="I22">
        <v>104</v>
      </c>
      <c r="K22" s="13">
        <v>45959</v>
      </c>
      <c r="L22">
        <v>93</v>
      </c>
    </row>
    <row r="23" spans="1:12" x14ac:dyDescent="0.25">
      <c r="A23" t="s">
        <v>34</v>
      </c>
      <c r="D23" t="s">
        <v>37</v>
      </c>
      <c r="E23">
        <v>1989</v>
      </c>
      <c r="F23">
        <v>1</v>
      </c>
      <c r="G23">
        <v>1</v>
      </c>
      <c r="H23">
        <v>4</v>
      </c>
      <c r="I23">
        <v>104</v>
      </c>
      <c r="K23" s="13">
        <v>45966</v>
      </c>
      <c r="L23">
        <v>93</v>
      </c>
    </row>
    <row r="24" spans="1:12" x14ac:dyDescent="0.25">
      <c r="A24" t="s">
        <v>34</v>
      </c>
      <c r="D24" t="s">
        <v>41</v>
      </c>
      <c r="E24">
        <v>2008</v>
      </c>
      <c r="F24">
        <v>2</v>
      </c>
      <c r="G24">
        <v>1</v>
      </c>
      <c r="H24">
        <v>7</v>
      </c>
      <c r="I24">
        <v>107</v>
      </c>
      <c r="K24" s="13">
        <v>45810</v>
      </c>
      <c r="L24">
        <v>8</v>
      </c>
    </row>
    <row r="25" spans="1:12" x14ac:dyDescent="0.25">
      <c r="A25" t="s">
        <v>34</v>
      </c>
      <c r="D25" t="s">
        <v>41</v>
      </c>
      <c r="E25">
        <v>2008</v>
      </c>
      <c r="F25">
        <v>2</v>
      </c>
      <c r="G25">
        <v>1</v>
      </c>
      <c r="H25">
        <v>7</v>
      </c>
      <c r="I25">
        <v>107</v>
      </c>
      <c r="K25" s="13">
        <v>45827</v>
      </c>
      <c r="L25">
        <v>12</v>
      </c>
    </row>
    <row r="26" spans="1:12" x14ac:dyDescent="0.25">
      <c r="A26" t="s">
        <v>34</v>
      </c>
      <c r="D26" t="s">
        <v>41</v>
      </c>
      <c r="E26">
        <v>2008</v>
      </c>
      <c r="F26">
        <v>2</v>
      </c>
      <c r="G26">
        <v>1</v>
      </c>
      <c r="H26">
        <v>7</v>
      </c>
      <c r="I26">
        <v>107</v>
      </c>
      <c r="K26" s="13">
        <v>45856</v>
      </c>
      <c r="L26">
        <v>24</v>
      </c>
    </row>
    <row r="27" spans="1:12" x14ac:dyDescent="0.25">
      <c r="A27" t="s">
        <v>34</v>
      </c>
      <c r="D27" t="s">
        <v>41</v>
      </c>
      <c r="E27">
        <v>2008</v>
      </c>
      <c r="F27">
        <v>2</v>
      </c>
      <c r="G27">
        <v>1</v>
      </c>
      <c r="H27">
        <v>7</v>
      </c>
      <c r="I27">
        <v>107</v>
      </c>
      <c r="K27" s="13">
        <v>45869</v>
      </c>
      <c r="L27">
        <v>34</v>
      </c>
    </row>
    <row r="28" spans="1:12" x14ac:dyDescent="0.25">
      <c r="A28" t="s">
        <v>34</v>
      </c>
      <c r="D28" t="s">
        <v>41</v>
      </c>
      <c r="E28">
        <v>2008</v>
      </c>
      <c r="F28">
        <v>2</v>
      </c>
      <c r="G28">
        <v>1</v>
      </c>
      <c r="H28">
        <v>7</v>
      </c>
      <c r="I28">
        <v>107</v>
      </c>
      <c r="K28" s="13">
        <v>45881</v>
      </c>
      <c r="L28">
        <v>41</v>
      </c>
    </row>
    <row r="29" spans="1:12" x14ac:dyDescent="0.25">
      <c r="A29" t="s">
        <v>34</v>
      </c>
      <c r="D29" t="s">
        <v>41</v>
      </c>
      <c r="E29">
        <v>2008</v>
      </c>
      <c r="F29">
        <v>2</v>
      </c>
      <c r="G29">
        <v>1</v>
      </c>
      <c r="H29">
        <v>7</v>
      </c>
      <c r="I29">
        <v>107</v>
      </c>
      <c r="K29" s="13">
        <v>45895</v>
      </c>
      <c r="L29">
        <v>52</v>
      </c>
    </row>
    <row r="30" spans="1:12" x14ac:dyDescent="0.25">
      <c r="A30" t="s">
        <v>34</v>
      </c>
      <c r="D30" t="s">
        <v>41</v>
      </c>
      <c r="E30">
        <v>2008</v>
      </c>
      <c r="F30">
        <v>2</v>
      </c>
      <c r="G30">
        <v>1</v>
      </c>
      <c r="H30">
        <v>7</v>
      </c>
      <c r="I30">
        <v>107</v>
      </c>
      <c r="K30" s="13">
        <v>45908</v>
      </c>
      <c r="L30">
        <v>59</v>
      </c>
    </row>
    <row r="31" spans="1:12" x14ac:dyDescent="0.25">
      <c r="A31" t="s">
        <v>34</v>
      </c>
      <c r="D31" t="s">
        <v>41</v>
      </c>
      <c r="E31">
        <v>2008</v>
      </c>
      <c r="F31">
        <v>2</v>
      </c>
      <c r="G31">
        <v>1</v>
      </c>
      <c r="H31">
        <v>7</v>
      </c>
      <c r="I31">
        <v>107</v>
      </c>
      <c r="K31" s="13">
        <v>45923</v>
      </c>
      <c r="L31">
        <v>74</v>
      </c>
    </row>
    <row r="32" spans="1:12" x14ac:dyDescent="0.25">
      <c r="A32" t="s">
        <v>34</v>
      </c>
      <c r="D32" t="s">
        <v>41</v>
      </c>
      <c r="E32">
        <v>2008</v>
      </c>
      <c r="F32">
        <v>2</v>
      </c>
      <c r="G32">
        <v>1</v>
      </c>
      <c r="H32">
        <v>7</v>
      </c>
      <c r="I32">
        <v>107</v>
      </c>
      <c r="K32" s="13">
        <v>45939</v>
      </c>
      <c r="L32">
        <v>86</v>
      </c>
    </row>
    <row r="33" spans="1:12" x14ac:dyDescent="0.25">
      <c r="A33" t="s">
        <v>34</v>
      </c>
      <c r="D33" t="s">
        <v>41</v>
      </c>
      <c r="E33">
        <v>2008</v>
      </c>
      <c r="F33">
        <v>2</v>
      </c>
      <c r="G33">
        <v>1</v>
      </c>
      <c r="H33">
        <v>7</v>
      </c>
      <c r="I33">
        <v>107</v>
      </c>
      <c r="K33" s="13">
        <v>45959</v>
      </c>
      <c r="L33">
        <v>89</v>
      </c>
    </row>
    <row r="34" spans="1:12" x14ac:dyDescent="0.25">
      <c r="A34" t="s">
        <v>34</v>
      </c>
      <c r="D34" t="s">
        <v>41</v>
      </c>
      <c r="E34">
        <v>2008</v>
      </c>
      <c r="F34">
        <v>2</v>
      </c>
      <c r="G34">
        <v>1</v>
      </c>
      <c r="H34">
        <v>7</v>
      </c>
      <c r="I34">
        <v>107</v>
      </c>
      <c r="K34" s="13">
        <v>45966</v>
      </c>
      <c r="L34">
        <v>89</v>
      </c>
    </row>
    <row r="35" spans="1:12" x14ac:dyDescent="0.25">
      <c r="A35" t="s">
        <v>34</v>
      </c>
      <c r="D35" t="s">
        <v>318</v>
      </c>
      <c r="E35">
        <v>2004</v>
      </c>
      <c r="F35">
        <v>2</v>
      </c>
      <c r="G35">
        <v>1</v>
      </c>
      <c r="H35">
        <v>8</v>
      </c>
      <c r="I35">
        <v>108</v>
      </c>
      <c r="K35" s="13">
        <v>45810</v>
      </c>
      <c r="L35">
        <v>8</v>
      </c>
    </row>
    <row r="36" spans="1:12" x14ac:dyDescent="0.25">
      <c r="A36" t="s">
        <v>34</v>
      </c>
      <c r="D36" t="s">
        <v>318</v>
      </c>
      <c r="E36">
        <v>2004</v>
      </c>
      <c r="F36">
        <v>2</v>
      </c>
      <c r="G36">
        <v>1</v>
      </c>
      <c r="H36">
        <v>8</v>
      </c>
      <c r="I36">
        <v>108</v>
      </c>
      <c r="K36" s="13">
        <v>45827</v>
      </c>
      <c r="L36">
        <v>11</v>
      </c>
    </row>
    <row r="37" spans="1:12" x14ac:dyDescent="0.25">
      <c r="A37" t="s">
        <v>34</v>
      </c>
      <c r="D37" t="s">
        <v>318</v>
      </c>
      <c r="E37">
        <v>2004</v>
      </c>
      <c r="F37">
        <v>2</v>
      </c>
      <c r="G37">
        <v>1</v>
      </c>
      <c r="H37">
        <v>8</v>
      </c>
      <c r="I37">
        <v>108</v>
      </c>
      <c r="K37" s="13">
        <v>45856</v>
      </c>
      <c r="L37">
        <v>19</v>
      </c>
    </row>
    <row r="38" spans="1:12" x14ac:dyDescent="0.25">
      <c r="A38" t="s">
        <v>34</v>
      </c>
      <c r="D38" t="s">
        <v>318</v>
      </c>
      <c r="E38">
        <v>2004</v>
      </c>
      <c r="F38">
        <v>2</v>
      </c>
      <c r="G38">
        <v>1</v>
      </c>
      <c r="H38">
        <v>8</v>
      </c>
      <c r="I38">
        <v>108</v>
      </c>
      <c r="K38" s="13">
        <v>45869</v>
      </c>
      <c r="L38">
        <v>36</v>
      </c>
    </row>
    <row r="39" spans="1:12" x14ac:dyDescent="0.25">
      <c r="A39" t="s">
        <v>34</v>
      </c>
      <c r="D39" t="s">
        <v>318</v>
      </c>
      <c r="E39">
        <v>2004</v>
      </c>
      <c r="F39">
        <v>2</v>
      </c>
      <c r="G39">
        <v>1</v>
      </c>
      <c r="H39">
        <v>8</v>
      </c>
      <c r="I39">
        <v>108</v>
      </c>
      <c r="K39" s="13">
        <v>45881</v>
      </c>
      <c r="L39">
        <v>42</v>
      </c>
    </row>
    <row r="40" spans="1:12" x14ac:dyDescent="0.25">
      <c r="A40" t="s">
        <v>34</v>
      </c>
      <c r="D40" t="s">
        <v>318</v>
      </c>
      <c r="E40">
        <v>2004</v>
      </c>
      <c r="F40">
        <v>2</v>
      </c>
      <c r="G40">
        <v>1</v>
      </c>
      <c r="H40">
        <v>8</v>
      </c>
      <c r="I40">
        <v>108</v>
      </c>
      <c r="K40" s="13">
        <v>45895</v>
      </c>
      <c r="L40">
        <v>54</v>
      </c>
    </row>
    <row r="41" spans="1:12" x14ac:dyDescent="0.25">
      <c r="A41" t="s">
        <v>34</v>
      </c>
      <c r="D41" t="s">
        <v>318</v>
      </c>
      <c r="E41">
        <v>2004</v>
      </c>
      <c r="F41">
        <v>2</v>
      </c>
      <c r="G41">
        <v>1</v>
      </c>
      <c r="H41">
        <v>8</v>
      </c>
      <c r="I41">
        <v>108</v>
      </c>
      <c r="K41" s="13">
        <v>45908</v>
      </c>
      <c r="L41">
        <v>63</v>
      </c>
    </row>
    <row r="42" spans="1:12" x14ac:dyDescent="0.25">
      <c r="A42" t="s">
        <v>34</v>
      </c>
      <c r="D42" t="s">
        <v>318</v>
      </c>
      <c r="E42">
        <v>2004</v>
      </c>
      <c r="F42">
        <v>2</v>
      </c>
      <c r="G42">
        <v>1</v>
      </c>
      <c r="H42">
        <v>8</v>
      </c>
      <c r="I42">
        <v>108</v>
      </c>
      <c r="K42" s="13">
        <v>45923</v>
      </c>
      <c r="L42">
        <v>79</v>
      </c>
    </row>
    <row r="43" spans="1:12" x14ac:dyDescent="0.25">
      <c r="A43" t="s">
        <v>34</v>
      </c>
      <c r="D43" t="s">
        <v>318</v>
      </c>
      <c r="E43">
        <v>2004</v>
      </c>
      <c r="F43">
        <v>2</v>
      </c>
      <c r="G43">
        <v>1</v>
      </c>
      <c r="H43">
        <v>8</v>
      </c>
      <c r="I43">
        <v>108</v>
      </c>
      <c r="K43" s="13">
        <v>45939</v>
      </c>
      <c r="L43">
        <v>96</v>
      </c>
    </row>
    <row r="44" spans="1:12" x14ac:dyDescent="0.25">
      <c r="A44" t="s">
        <v>34</v>
      </c>
      <c r="D44" t="s">
        <v>318</v>
      </c>
      <c r="E44">
        <v>2004</v>
      </c>
      <c r="F44">
        <v>2</v>
      </c>
      <c r="G44">
        <v>1</v>
      </c>
      <c r="H44">
        <v>8</v>
      </c>
      <c r="I44">
        <v>108</v>
      </c>
      <c r="K44" s="13">
        <v>45959</v>
      </c>
      <c r="L44">
        <v>102</v>
      </c>
    </row>
    <row r="45" spans="1:12" x14ac:dyDescent="0.25">
      <c r="A45" t="s">
        <v>34</v>
      </c>
      <c r="D45" t="s">
        <v>318</v>
      </c>
      <c r="E45">
        <v>2004</v>
      </c>
      <c r="F45">
        <v>2</v>
      </c>
      <c r="G45">
        <v>1</v>
      </c>
      <c r="H45">
        <v>8</v>
      </c>
      <c r="I45">
        <v>108</v>
      </c>
      <c r="K45" s="13">
        <v>45966</v>
      </c>
      <c r="L45">
        <v>102</v>
      </c>
    </row>
    <row r="46" spans="1:12" x14ac:dyDescent="0.25">
      <c r="A46" t="s">
        <v>34</v>
      </c>
      <c r="D46" t="s">
        <v>42</v>
      </c>
      <c r="E46">
        <v>2016</v>
      </c>
      <c r="F46">
        <v>3</v>
      </c>
      <c r="G46">
        <v>1</v>
      </c>
      <c r="H46">
        <v>11</v>
      </c>
      <c r="I46">
        <v>111</v>
      </c>
      <c r="K46" s="13">
        <v>45810</v>
      </c>
      <c r="L46">
        <v>8</v>
      </c>
    </row>
    <row r="47" spans="1:12" x14ac:dyDescent="0.25">
      <c r="A47" t="s">
        <v>34</v>
      </c>
      <c r="D47" t="s">
        <v>42</v>
      </c>
      <c r="E47">
        <v>2016</v>
      </c>
      <c r="F47">
        <v>3</v>
      </c>
      <c r="G47">
        <v>1</v>
      </c>
      <c r="H47">
        <v>11</v>
      </c>
      <c r="I47">
        <v>111</v>
      </c>
      <c r="K47" s="13">
        <v>45827</v>
      </c>
      <c r="L47">
        <v>12</v>
      </c>
    </row>
    <row r="48" spans="1:12" x14ac:dyDescent="0.25">
      <c r="A48" t="s">
        <v>34</v>
      </c>
      <c r="D48" t="s">
        <v>42</v>
      </c>
      <c r="E48">
        <v>2016</v>
      </c>
      <c r="F48">
        <v>3</v>
      </c>
      <c r="G48">
        <v>1</v>
      </c>
      <c r="H48">
        <v>11</v>
      </c>
      <c r="I48">
        <v>111</v>
      </c>
      <c r="K48" s="13">
        <v>45856</v>
      </c>
      <c r="L48">
        <v>22</v>
      </c>
    </row>
    <row r="49" spans="1:12" x14ac:dyDescent="0.25">
      <c r="A49" t="s">
        <v>34</v>
      </c>
      <c r="D49" t="s">
        <v>42</v>
      </c>
      <c r="E49">
        <v>2016</v>
      </c>
      <c r="F49">
        <v>3</v>
      </c>
      <c r="G49">
        <v>1</v>
      </c>
      <c r="H49">
        <v>11</v>
      </c>
      <c r="I49">
        <v>111</v>
      </c>
      <c r="K49" s="13">
        <v>45869</v>
      </c>
      <c r="L49">
        <v>35</v>
      </c>
    </row>
    <row r="50" spans="1:12" x14ac:dyDescent="0.25">
      <c r="A50" t="s">
        <v>34</v>
      </c>
      <c r="D50" t="s">
        <v>42</v>
      </c>
      <c r="E50">
        <v>2016</v>
      </c>
      <c r="F50">
        <v>3</v>
      </c>
      <c r="G50">
        <v>1</v>
      </c>
      <c r="H50">
        <v>11</v>
      </c>
      <c r="I50">
        <v>111</v>
      </c>
      <c r="K50" s="13">
        <v>45881</v>
      </c>
      <c r="L50">
        <v>41</v>
      </c>
    </row>
    <row r="51" spans="1:12" x14ac:dyDescent="0.25">
      <c r="A51" t="s">
        <v>34</v>
      </c>
      <c r="D51" t="s">
        <v>42</v>
      </c>
      <c r="E51">
        <v>2016</v>
      </c>
      <c r="F51">
        <v>3</v>
      </c>
      <c r="G51">
        <v>1</v>
      </c>
      <c r="H51">
        <v>11</v>
      </c>
      <c r="I51">
        <v>111</v>
      </c>
      <c r="K51" s="13">
        <v>45895</v>
      </c>
      <c r="L51">
        <v>55</v>
      </c>
    </row>
    <row r="52" spans="1:12" x14ac:dyDescent="0.25">
      <c r="A52" t="s">
        <v>34</v>
      </c>
      <c r="D52" t="s">
        <v>42</v>
      </c>
      <c r="E52">
        <v>2016</v>
      </c>
      <c r="F52">
        <v>3</v>
      </c>
      <c r="G52">
        <v>1</v>
      </c>
      <c r="H52">
        <v>11</v>
      </c>
      <c r="I52">
        <v>111</v>
      </c>
      <c r="K52" s="13">
        <v>45908</v>
      </c>
      <c r="L52">
        <v>58</v>
      </c>
    </row>
    <row r="53" spans="1:12" x14ac:dyDescent="0.25">
      <c r="A53" t="s">
        <v>34</v>
      </c>
      <c r="D53" t="s">
        <v>42</v>
      </c>
      <c r="E53">
        <v>2016</v>
      </c>
      <c r="F53">
        <v>3</v>
      </c>
      <c r="G53">
        <v>1</v>
      </c>
      <c r="H53">
        <v>11</v>
      </c>
      <c r="I53">
        <v>111</v>
      </c>
      <c r="K53" s="13">
        <v>45923</v>
      </c>
      <c r="L53">
        <v>73</v>
      </c>
    </row>
    <row r="54" spans="1:12" x14ac:dyDescent="0.25">
      <c r="A54" t="s">
        <v>34</v>
      </c>
      <c r="D54" t="s">
        <v>42</v>
      </c>
      <c r="E54">
        <v>2016</v>
      </c>
      <c r="F54">
        <v>3</v>
      </c>
      <c r="G54">
        <v>1</v>
      </c>
      <c r="H54">
        <v>11</v>
      </c>
      <c r="I54">
        <v>111</v>
      </c>
      <c r="K54" s="13">
        <v>45939</v>
      </c>
      <c r="L54">
        <v>84</v>
      </c>
    </row>
    <row r="55" spans="1:12" x14ac:dyDescent="0.25">
      <c r="A55" t="s">
        <v>34</v>
      </c>
      <c r="D55" t="s">
        <v>42</v>
      </c>
      <c r="E55">
        <v>2016</v>
      </c>
      <c r="F55">
        <v>3</v>
      </c>
      <c r="G55">
        <v>1</v>
      </c>
      <c r="H55">
        <v>11</v>
      </c>
      <c r="I55">
        <v>111</v>
      </c>
      <c r="K55" s="13">
        <v>45959</v>
      </c>
      <c r="L55">
        <v>88</v>
      </c>
    </row>
    <row r="56" spans="1:12" x14ac:dyDescent="0.25">
      <c r="A56" t="s">
        <v>34</v>
      </c>
      <c r="D56" t="s">
        <v>42</v>
      </c>
      <c r="E56">
        <v>2016</v>
      </c>
      <c r="F56">
        <v>3</v>
      </c>
      <c r="G56">
        <v>1</v>
      </c>
      <c r="H56">
        <v>11</v>
      </c>
      <c r="I56">
        <v>111</v>
      </c>
      <c r="K56" s="13">
        <v>45966</v>
      </c>
      <c r="L56">
        <v>88</v>
      </c>
    </row>
    <row r="57" spans="1:12" x14ac:dyDescent="0.25">
      <c r="A57" t="s">
        <v>34</v>
      </c>
      <c r="D57" t="s">
        <v>38</v>
      </c>
      <c r="E57">
        <v>1999</v>
      </c>
      <c r="F57">
        <v>3</v>
      </c>
      <c r="G57">
        <v>1</v>
      </c>
      <c r="H57">
        <v>12</v>
      </c>
      <c r="I57">
        <v>112</v>
      </c>
      <c r="K57" s="13">
        <v>45810</v>
      </c>
      <c r="L57">
        <v>8</v>
      </c>
    </row>
    <row r="58" spans="1:12" x14ac:dyDescent="0.25">
      <c r="A58" t="s">
        <v>34</v>
      </c>
      <c r="D58" t="s">
        <v>38</v>
      </c>
      <c r="E58">
        <v>1999</v>
      </c>
      <c r="F58">
        <v>3</v>
      </c>
      <c r="G58">
        <v>1</v>
      </c>
      <c r="H58">
        <v>12</v>
      </c>
      <c r="I58">
        <v>112</v>
      </c>
      <c r="K58" s="13">
        <v>45827</v>
      </c>
      <c r="L58">
        <v>12</v>
      </c>
    </row>
    <row r="59" spans="1:12" x14ac:dyDescent="0.25">
      <c r="A59" t="s">
        <v>34</v>
      </c>
      <c r="D59" t="s">
        <v>38</v>
      </c>
      <c r="E59">
        <v>1999</v>
      </c>
      <c r="F59">
        <v>3</v>
      </c>
      <c r="G59">
        <v>1</v>
      </c>
      <c r="H59">
        <v>12</v>
      </c>
      <c r="I59">
        <v>112</v>
      </c>
      <c r="K59" s="13">
        <v>45856</v>
      </c>
      <c r="L59">
        <v>33</v>
      </c>
    </row>
    <row r="60" spans="1:12" x14ac:dyDescent="0.25">
      <c r="A60" t="s">
        <v>34</v>
      </c>
      <c r="D60" t="s">
        <v>38</v>
      </c>
      <c r="E60">
        <v>1999</v>
      </c>
      <c r="F60">
        <v>3</v>
      </c>
      <c r="G60">
        <v>1</v>
      </c>
      <c r="H60">
        <v>12</v>
      </c>
      <c r="I60">
        <v>112</v>
      </c>
      <c r="K60" s="13">
        <v>45869</v>
      </c>
      <c r="L60">
        <v>39</v>
      </c>
    </row>
    <row r="61" spans="1:12" x14ac:dyDescent="0.25">
      <c r="A61" t="s">
        <v>34</v>
      </c>
      <c r="D61" t="s">
        <v>38</v>
      </c>
      <c r="E61">
        <v>1999</v>
      </c>
      <c r="F61">
        <v>3</v>
      </c>
      <c r="G61">
        <v>1</v>
      </c>
      <c r="H61">
        <v>12</v>
      </c>
      <c r="I61">
        <v>112</v>
      </c>
      <c r="K61" s="13">
        <v>45881</v>
      </c>
      <c r="L61">
        <v>42</v>
      </c>
    </row>
    <row r="62" spans="1:12" x14ac:dyDescent="0.25">
      <c r="A62" t="s">
        <v>34</v>
      </c>
      <c r="D62" t="s">
        <v>38</v>
      </c>
      <c r="E62">
        <v>1999</v>
      </c>
      <c r="F62">
        <v>3</v>
      </c>
      <c r="G62">
        <v>1</v>
      </c>
      <c r="H62">
        <v>12</v>
      </c>
      <c r="I62">
        <v>112</v>
      </c>
      <c r="K62" s="13">
        <v>45895</v>
      </c>
      <c r="L62">
        <v>54</v>
      </c>
    </row>
    <row r="63" spans="1:12" x14ac:dyDescent="0.25">
      <c r="A63" t="s">
        <v>34</v>
      </c>
      <c r="D63" t="s">
        <v>38</v>
      </c>
      <c r="E63">
        <v>1999</v>
      </c>
      <c r="F63">
        <v>3</v>
      </c>
      <c r="G63">
        <v>1</v>
      </c>
      <c r="H63">
        <v>12</v>
      </c>
      <c r="I63">
        <v>112</v>
      </c>
      <c r="K63" s="13">
        <v>45908</v>
      </c>
      <c r="L63">
        <v>66</v>
      </c>
    </row>
    <row r="64" spans="1:12" x14ac:dyDescent="0.25">
      <c r="A64" t="s">
        <v>34</v>
      </c>
      <c r="D64" t="s">
        <v>38</v>
      </c>
      <c r="E64">
        <v>1999</v>
      </c>
      <c r="F64">
        <v>3</v>
      </c>
      <c r="G64">
        <v>1</v>
      </c>
      <c r="H64">
        <v>12</v>
      </c>
      <c r="I64">
        <v>112</v>
      </c>
      <c r="K64" s="13">
        <v>45923</v>
      </c>
      <c r="L64">
        <v>75</v>
      </c>
    </row>
    <row r="65" spans="1:12" x14ac:dyDescent="0.25">
      <c r="A65" t="s">
        <v>34</v>
      </c>
      <c r="D65" t="s">
        <v>38</v>
      </c>
      <c r="E65">
        <v>1999</v>
      </c>
      <c r="F65">
        <v>3</v>
      </c>
      <c r="G65">
        <v>1</v>
      </c>
      <c r="H65">
        <v>12</v>
      </c>
      <c r="I65">
        <v>112</v>
      </c>
      <c r="K65" s="13">
        <v>45939</v>
      </c>
      <c r="L65">
        <v>96</v>
      </c>
    </row>
    <row r="66" spans="1:12" x14ac:dyDescent="0.25">
      <c r="A66" t="s">
        <v>34</v>
      </c>
      <c r="D66" t="s">
        <v>38</v>
      </c>
      <c r="E66">
        <v>1999</v>
      </c>
      <c r="F66">
        <v>3</v>
      </c>
      <c r="G66">
        <v>1</v>
      </c>
      <c r="H66">
        <v>12</v>
      </c>
      <c r="I66">
        <v>112</v>
      </c>
      <c r="K66" s="13">
        <v>45959</v>
      </c>
      <c r="L66">
        <v>100</v>
      </c>
    </row>
    <row r="67" spans="1:12" x14ac:dyDescent="0.25">
      <c r="A67" t="s">
        <v>34</v>
      </c>
      <c r="D67" t="s">
        <v>38</v>
      </c>
      <c r="E67">
        <v>1999</v>
      </c>
      <c r="F67">
        <v>3</v>
      </c>
      <c r="G67">
        <v>1</v>
      </c>
      <c r="H67">
        <v>12</v>
      </c>
      <c r="I67">
        <v>112</v>
      </c>
      <c r="K67" s="13">
        <v>45966</v>
      </c>
      <c r="L67">
        <v>100</v>
      </c>
    </row>
    <row r="68" spans="1:12" x14ac:dyDescent="0.25">
      <c r="A68" t="s">
        <v>34</v>
      </c>
      <c r="D68" t="s">
        <v>36</v>
      </c>
      <c r="E68">
        <v>1984</v>
      </c>
      <c r="F68">
        <v>4</v>
      </c>
      <c r="G68">
        <v>1</v>
      </c>
      <c r="H68">
        <v>15</v>
      </c>
      <c r="I68">
        <v>115</v>
      </c>
      <c r="K68" s="13">
        <v>45810</v>
      </c>
      <c r="L68">
        <v>8</v>
      </c>
    </row>
    <row r="69" spans="1:12" x14ac:dyDescent="0.25">
      <c r="A69" t="s">
        <v>34</v>
      </c>
      <c r="D69" t="s">
        <v>36</v>
      </c>
      <c r="E69">
        <v>1984</v>
      </c>
      <c r="F69">
        <v>4</v>
      </c>
      <c r="G69">
        <v>1</v>
      </c>
      <c r="H69">
        <v>15</v>
      </c>
      <c r="I69">
        <v>115</v>
      </c>
      <c r="K69" s="13">
        <v>45827</v>
      </c>
      <c r="L69">
        <v>12</v>
      </c>
    </row>
    <row r="70" spans="1:12" x14ac:dyDescent="0.25">
      <c r="A70" t="s">
        <v>34</v>
      </c>
      <c r="D70" t="s">
        <v>36</v>
      </c>
      <c r="E70">
        <v>1984</v>
      </c>
      <c r="F70">
        <v>4</v>
      </c>
      <c r="G70">
        <v>1</v>
      </c>
      <c r="H70">
        <v>15</v>
      </c>
      <c r="I70">
        <v>115</v>
      </c>
      <c r="K70" s="13">
        <v>45856</v>
      </c>
      <c r="L70">
        <v>28</v>
      </c>
    </row>
    <row r="71" spans="1:12" x14ac:dyDescent="0.25">
      <c r="A71" t="s">
        <v>34</v>
      </c>
      <c r="D71" t="s">
        <v>36</v>
      </c>
      <c r="E71">
        <v>1984</v>
      </c>
      <c r="F71">
        <v>4</v>
      </c>
      <c r="G71">
        <v>1</v>
      </c>
      <c r="H71">
        <v>15</v>
      </c>
      <c r="I71">
        <v>115</v>
      </c>
      <c r="K71" s="13">
        <v>45869</v>
      </c>
      <c r="L71">
        <v>37</v>
      </c>
    </row>
    <row r="72" spans="1:12" x14ac:dyDescent="0.25">
      <c r="A72" t="s">
        <v>34</v>
      </c>
      <c r="D72" t="s">
        <v>36</v>
      </c>
      <c r="E72">
        <v>1984</v>
      </c>
      <c r="F72">
        <v>4</v>
      </c>
      <c r="G72">
        <v>1</v>
      </c>
      <c r="H72">
        <v>15</v>
      </c>
      <c r="I72">
        <v>115</v>
      </c>
      <c r="K72" s="13">
        <v>45881</v>
      </c>
      <c r="L72">
        <v>40</v>
      </c>
    </row>
    <row r="73" spans="1:12" x14ac:dyDescent="0.25">
      <c r="A73" t="s">
        <v>34</v>
      </c>
      <c r="D73" t="s">
        <v>36</v>
      </c>
      <c r="E73">
        <v>1984</v>
      </c>
      <c r="F73">
        <v>4</v>
      </c>
      <c r="G73">
        <v>1</v>
      </c>
      <c r="H73">
        <v>15</v>
      </c>
      <c r="I73">
        <v>115</v>
      </c>
      <c r="K73" s="13">
        <v>45895</v>
      </c>
      <c r="L73">
        <v>51</v>
      </c>
    </row>
    <row r="74" spans="1:12" x14ac:dyDescent="0.25">
      <c r="A74" t="s">
        <v>34</v>
      </c>
      <c r="D74" t="s">
        <v>36</v>
      </c>
      <c r="E74">
        <v>1984</v>
      </c>
      <c r="F74">
        <v>4</v>
      </c>
      <c r="G74">
        <v>1</v>
      </c>
      <c r="H74">
        <v>15</v>
      </c>
      <c r="I74">
        <v>115</v>
      </c>
      <c r="K74" s="13">
        <v>45908</v>
      </c>
      <c r="L74">
        <v>57</v>
      </c>
    </row>
    <row r="75" spans="1:12" x14ac:dyDescent="0.25">
      <c r="A75" t="s">
        <v>34</v>
      </c>
      <c r="D75" t="s">
        <v>36</v>
      </c>
      <c r="E75">
        <v>1984</v>
      </c>
      <c r="F75">
        <v>4</v>
      </c>
      <c r="G75">
        <v>1</v>
      </c>
      <c r="H75">
        <v>15</v>
      </c>
      <c r="I75">
        <v>115</v>
      </c>
      <c r="K75" s="13">
        <v>45923</v>
      </c>
      <c r="L75">
        <v>62</v>
      </c>
    </row>
    <row r="76" spans="1:12" x14ac:dyDescent="0.25">
      <c r="A76" t="s">
        <v>34</v>
      </c>
      <c r="D76" t="s">
        <v>36</v>
      </c>
      <c r="E76">
        <v>1984</v>
      </c>
      <c r="F76">
        <v>4</v>
      </c>
      <c r="G76">
        <v>1</v>
      </c>
      <c r="H76">
        <v>15</v>
      </c>
      <c r="I76">
        <v>115</v>
      </c>
      <c r="K76" s="13">
        <v>45939</v>
      </c>
      <c r="L76">
        <v>89</v>
      </c>
    </row>
    <row r="77" spans="1:12" x14ac:dyDescent="0.25">
      <c r="A77" t="s">
        <v>34</v>
      </c>
      <c r="D77" t="s">
        <v>36</v>
      </c>
      <c r="E77">
        <v>1984</v>
      </c>
      <c r="F77">
        <v>4</v>
      </c>
      <c r="G77">
        <v>1</v>
      </c>
      <c r="H77">
        <v>15</v>
      </c>
      <c r="I77">
        <v>115</v>
      </c>
      <c r="K77" s="13">
        <v>45959</v>
      </c>
      <c r="L77">
        <v>100</v>
      </c>
    </row>
    <row r="78" spans="1:12" x14ac:dyDescent="0.25">
      <c r="A78" t="s">
        <v>34</v>
      </c>
      <c r="D78" t="s">
        <v>36</v>
      </c>
      <c r="E78">
        <v>1984</v>
      </c>
      <c r="F78">
        <v>4</v>
      </c>
      <c r="G78">
        <v>1</v>
      </c>
      <c r="H78">
        <v>15</v>
      </c>
      <c r="I78">
        <v>115</v>
      </c>
      <c r="K78" s="13">
        <v>45966</v>
      </c>
      <c r="L78">
        <v>100</v>
      </c>
    </row>
    <row r="79" spans="1:12" x14ac:dyDescent="0.25">
      <c r="A79" t="s">
        <v>34</v>
      </c>
      <c r="D79" t="s">
        <v>43</v>
      </c>
      <c r="E79">
        <v>2020</v>
      </c>
      <c r="F79">
        <v>4</v>
      </c>
      <c r="G79">
        <v>1</v>
      </c>
      <c r="H79">
        <v>16</v>
      </c>
      <c r="I79">
        <v>116</v>
      </c>
      <c r="K79" s="13">
        <v>45810</v>
      </c>
      <c r="L79">
        <v>8</v>
      </c>
    </row>
    <row r="80" spans="1:12" x14ac:dyDescent="0.25">
      <c r="A80" t="s">
        <v>34</v>
      </c>
      <c r="D80" t="s">
        <v>43</v>
      </c>
      <c r="E80">
        <v>2020</v>
      </c>
      <c r="F80">
        <v>4</v>
      </c>
      <c r="G80">
        <v>1</v>
      </c>
      <c r="H80">
        <v>16</v>
      </c>
      <c r="I80">
        <v>116</v>
      </c>
      <c r="K80" s="13">
        <v>45827</v>
      </c>
      <c r="L80">
        <v>14</v>
      </c>
    </row>
    <row r="81" spans="1:12" x14ac:dyDescent="0.25">
      <c r="A81" t="s">
        <v>34</v>
      </c>
      <c r="D81" t="s">
        <v>43</v>
      </c>
      <c r="E81">
        <v>2020</v>
      </c>
      <c r="F81">
        <v>4</v>
      </c>
      <c r="G81">
        <v>1</v>
      </c>
      <c r="H81">
        <v>16</v>
      </c>
      <c r="I81">
        <v>116</v>
      </c>
      <c r="K81" s="13">
        <v>45856</v>
      </c>
      <c r="L81">
        <v>27</v>
      </c>
    </row>
    <row r="82" spans="1:12" x14ac:dyDescent="0.25">
      <c r="A82" t="s">
        <v>34</v>
      </c>
      <c r="D82" t="s">
        <v>43</v>
      </c>
      <c r="E82">
        <v>2020</v>
      </c>
      <c r="F82">
        <v>4</v>
      </c>
      <c r="G82">
        <v>1</v>
      </c>
      <c r="H82">
        <v>16</v>
      </c>
      <c r="I82">
        <v>116</v>
      </c>
      <c r="K82" s="13">
        <v>45869</v>
      </c>
      <c r="L82">
        <v>37</v>
      </c>
    </row>
    <row r="83" spans="1:12" x14ac:dyDescent="0.25">
      <c r="A83" t="s">
        <v>34</v>
      </c>
      <c r="D83" t="s">
        <v>43</v>
      </c>
      <c r="E83">
        <v>2020</v>
      </c>
      <c r="F83">
        <v>4</v>
      </c>
      <c r="G83">
        <v>1</v>
      </c>
      <c r="H83">
        <v>16</v>
      </c>
      <c r="I83">
        <v>116</v>
      </c>
      <c r="K83" s="13">
        <v>45881</v>
      </c>
      <c r="L83">
        <v>45</v>
      </c>
    </row>
    <row r="84" spans="1:12" x14ac:dyDescent="0.25">
      <c r="A84" t="s">
        <v>34</v>
      </c>
      <c r="D84" t="s">
        <v>43</v>
      </c>
      <c r="E84">
        <v>2020</v>
      </c>
      <c r="F84">
        <v>4</v>
      </c>
      <c r="G84">
        <v>1</v>
      </c>
      <c r="H84">
        <v>16</v>
      </c>
      <c r="I84">
        <v>116</v>
      </c>
      <c r="K84" s="13">
        <v>45895</v>
      </c>
      <c r="L84">
        <v>53</v>
      </c>
    </row>
    <row r="85" spans="1:12" x14ac:dyDescent="0.25">
      <c r="A85" t="s">
        <v>34</v>
      </c>
      <c r="D85" t="s">
        <v>43</v>
      </c>
      <c r="E85">
        <v>2020</v>
      </c>
      <c r="F85">
        <v>4</v>
      </c>
      <c r="G85">
        <v>1</v>
      </c>
      <c r="H85">
        <v>16</v>
      </c>
      <c r="I85">
        <v>116</v>
      </c>
      <c r="K85" s="13">
        <v>45908</v>
      </c>
      <c r="L85">
        <v>62</v>
      </c>
    </row>
    <row r="86" spans="1:12" x14ac:dyDescent="0.25">
      <c r="A86" t="s">
        <v>34</v>
      </c>
      <c r="D86" t="s">
        <v>43</v>
      </c>
      <c r="E86">
        <v>2020</v>
      </c>
      <c r="F86">
        <v>4</v>
      </c>
      <c r="G86">
        <v>1</v>
      </c>
      <c r="H86">
        <v>16</v>
      </c>
      <c r="I86">
        <v>116</v>
      </c>
      <c r="K86" s="13">
        <v>45923</v>
      </c>
      <c r="L86">
        <v>71</v>
      </c>
    </row>
    <row r="87" spans="1:12" x14ac:dyDescent="0.25">
      <c r="A87" t="s">
        <v>34</v>
      </c>
      <c r="D87" t="s">
        <v>43</v>
      </c>
      <c r="E87">
        <v>2020</v>
      </c>
      <c r="F87">
        <v>4</v>
      </c>
      <c r="G87">
        <v>1</v>
      </c>
      <c r="H87">
        <v>16</v>
      </c>
      <c r="I87">
        <v>116</v>
      </c>
      <c r="K87" s="13">
        <v>45939</v>
      </c>
      <c r="L87">
        <v>89</v>
      </c>
    </row>
    <row r="88" spans="1:12" x14ac:dyDescent="0.25">
      <c r="A88" t="s">
        <v>34</v>
      </c>
      <c r="D88" t="s">
        <v>43</v>
      </c>
      <c r="E88">
        <v>2020</v>
      </c>
      <c r="F88">
        <v>4</v>
      </c>
      <c r="G88">
        <v>1</v>
      </c>
      <c r="H88">
        <v>16</v>
      </c>
      <c r="I88">
        <v>116</v>
      </c>
      <c r="K88" s="13">
        <v>45959</v>
      </c>
      <c r="L88">
        <v>93</v>
      </c>
    </row>
    <row r="89" spans="1:12" x14ac:dyDescent="0.25">
      <c r="A89" t="s">
        <v>34</v>
      </c>
      <c r="D89" t="s">
        <v>43</v>
      </c>
      <c r="E89">
        <v>2020</v>
      </c>
      <c r="F89">
        <v>4</v>
      </c>
      <c r="G89">
        <v>1</v>
      </c>
      <c r="H89">
        <v>16</v>
      </c>
      <c r="I89">
        <v>116</v>
      </c>
      <c r="K89" s="13">
        <v>45966</v>
      </c>
      <c r="L89">
        <v>93</v>
      </c>
    </row>
    <row r="90" spans="1:12" x14ac:dyDescent="0.25">
      <c r="A90" t="s">
        <v>34</v>
      </c>
      <c r="D90" t="s">
        <v>318</v>
      </c>
      <c r="E90">
        <v>2004</v>
      </c>
      <c r="F90">
        <v>1</v>
      </c>
      <c r="G90">
        <v>2</v>
      </c>
      <c r="H90">
        <v>3</v>
      </c>
      <c r="I90">
        <v>119</v>
      </c>
      <c r="K90" s="13">
        <v>45810</v>
      </c>
      <c r="L90">
        <v>8</v>
      </c>
    </row>
    <row r="91" spans="1:12" x14ac:dyDescent="0.25">
      <c r="A91" t="s">
        <v>34</v>
      </c>
      <c r="D91" t="s">
        <v>318</v>
      </c>
      <c r="E91">
        <v>2004</v>
      </c>
      <c r="F91">
        <v>1</v>
      </c>
      <c r="G91">
        <v>2</v>
      </c>
      <c r="H91">
        <v>3</v>
      </c>
      <c r="I91">
        <v>119</v>
      </c>
      <c r="K91" s="13">
        <v>45827</v>
      </c>
      <c r="L91">
        <v>11</v>
      </c>
    </row>
    <row r="92" spans="1:12" x14ac:dyDescent="0.25">
      <c r="A92" t="s">
        <v>34</v>
      </c>
      <c r="D92" t="s">
        <v>318</v>
      </c>
      <c r="E92">
        <v>2004</v>
      </c>
      <c r="F92">
        <v>1</v>
      </c>
      <c r="G92">
        <v>2</v>
      </c>
      <c r="H92">
        <v>3</v>
      </c>
      <c r="I92">
        <v>119</v>
      </c>
      <c r="K92" s="13">
        <v>45856</v>
      </c>
      <c r="L92">
        <v>20</v>
      </c>
    </row>
    <row r="93" spans="1:12" x14ac:dyDescent="0.25">
      <c r="A93" t="s">
        <v>34</v>
      </c>
      <c r="D93" t="s">
        <v>318</v>
      </c>
      <c r="E93">
        <v>2004</v>
      </c>
      <c r="F93">
        <v>1</v>
      </c>
      <c r="G93">
        <v>2</v>
      </c>
      <c r="H93">
        <v>3</v>
      </c>
      <c r="I93">
        <v>119</v>
      </c>
      <c r="K93" s="13">
        <v>45869</v>
      </c>
      <c r="L93">
        <v>34</v>
      </c>
    </row>
    <row r="94" spans="1:12" x14ac:dyDescent="0.25">
      <c r="A94" t="s">
        <v>34</v>
      </c>
      <c r="D94" t="s">
        <v>318</v>
      </c>
      <c r="E94">
        <v>2004</v>
      </c>
      <c r="F94">
        <v>1</v>
      </c>
      <c r="G94">
        <v>2</v>
      </c>
      <c r="H94">
        <v>3</v>
      </c>
      <c r="I94">
        <v>119</v>
      </c>
      <c r="K94" s="13">
        <v>45881</v>
      </c>
      <c r="L94">
        <v>39</v>
      </c>
    </row>
    <row r="95" spans="1:12" x14ac:dyDescent="0.25">
      <c r="A95" t="s">
        <v>34</v>
      </c>
      <c r="D95" t="s">
        <v>318</v>
      </c>
      <c r="E95">
        <v>2004</v>
      </c>
      <c r="F95">
        <v>1</v>
      </c>
      <c r="G95">
        <v>2</v>
      </c>
      <c r="H95">
        <v>3</v>
      </c>
      <c r="I95">
        <v>119</v>
      </c>
      <c r="K95" s="13">
        <v>45895</v>
      </c>
      <c r="L95">
        <v>53</v>
      </c>
    </row>
    <row r="96" spans="1:12" x14ac:dyDescent="0.25">
      <c r="A96" t="s">
        <v>34</v>
      </c>
      <c r="D96" t="s">
        <v>318</v>
      </c>
      <c r="E96">
        <v>2004</v>
      </c>
      <c r="F96">
        <v>1</v>
      </c>
      <c r="G96">
        <v>2</v>
      </c>
      <c r="H96">
        <v>3</v>
      </c>
      <c r="I96">
        <v>119</v>
      </c>
      <c r="K96" s="13">
        <v>45908</v>
      </c>
      <c r="L96">
        <v>65</v>
      </c>
    </row>
    <row r="97" spans="1:12" x14ac:dyDescent="0.25">
      <c r="A97" t="s">
        <v>34</v>
      </c>
      <c r="D97" t="s">
        <v>318</v>
      </c>
      <c r="E97">
        <v>2004</v>
      </c>
      <c r="F97">
        <v>1</v>
      </c>
      <c r="G97">
        <v>2</v>
      </c>
      <c r="H97">
        <v>3</v>
      </c>
      <c r="I97">
        <v>119</v>
      </c>
      <c r="K97" s="13">
        <v>45923</v>
      </c>
      <c r="L97">
        <v>76</v>
      </c>
    </row>
    <row r="98" spans="1:12" x14ac:dyDescent="0.25">
      <c r="A98" t="s">
        <v>34</v>
      </c>
      <c r="D98" t="s">
        <v>318</v>
      </c>
      <c r="E98">
        <v>2004</v>
      </c>
      <c r="F98">
        <v>1</v>
      </c>
      <c r="G98">
        <v>2</v>
      </c>
      <c r="H98">
        <v>3</v>
      </c>
      <c r="I98">
        <v>119</v>
      </c>
      <c r="K98" s="13">
        <v>45939</v>
      </c>
      <c r="L98">
        <v>95</v>
      </c>
    </row>
    <row r="99" spans="1:12" x14ac:dyDescent="0.25">
      <c r="A99" t="s">
        <v>34</v>
      </c>
      <c r="D99" t="s">
        <v>318</v>
      </c>
      <c r="E99">
        <v>2004</v>
      </c>
      <c r="F99">
        <v>1</v>
      </c>
      <c r="G99">
        <v>2</v>
      </c>
      <c r="H99">
        <v>3</v>
      </c>
      <c r="I99">
        <v>119</v>
      </c>
      <c r="K99" s="13">
        <v>45959</v>
      </c>
      <c r="L99">
        <v>101</v>
      </c>
    </row>
    <row r="100" spans="1:12" x14ac:dyDescent="0.25">
      <c r="A100" t="s">
        <v>34</v>
      </c>
      <c r="D100" t="s">
        <v>318</v>
      </c>
      <c r="E100">
        <v>2004</v>
      </c>
      <c r="F100">
        <v>1</v>
      </c>
      <c r="G100">
        <v>2</v>
      </c>
      <c r="H100">
        <v>3</v>
      </c>
      <c r="I100">
        <v>119</v>
      </c>
      <c r="K100" s="13">
        <v>45966</v>
      </c>
      <c r="L100">
        <v>101</v>
      </c>
    </row>
    <row r="101" spans="1:12" x14ac:dyDescent="0.25">
      <c r="A101" t="s">
        <v>34</v>
      </c>
      <c r="D101" t="s">
        <v>42</v>
      </c>
      <c r="E101">
        <v>2016</v>
      </c>
      <c r="F101">
        <v>1</v>
      </c>
      <c r="G101">
        <v>2</v>
      </c>
      <c r="H101">
        <v>4</v>
      </c>
      <c r="I101">
        <v>120</v>
      </c>
      <c r="K101" s="13">
        <v>45810</v>
      </c>
      <c r="L101">
        <v>8</v>
      </c>
    </row>
    <row r="102" spans="1:12" x14ac:dyDescent="0.25">
      <c r="A102" t="s">
        <v>34</v>
      </c>
      <c r="D102" t="s">
        <v>42</v>
      </c>
      <c r="E102">
        <v>2016</v>
      </c>
      <c r="F102">
        <v>1</v>
      </c>
      <c r="G102">
        <v>2</v>
      </c>
      <c r="H102">
        <v>4</v>
      </c>
      <c r="I102">
        <v>120</v>
      </c>
      <c r="K102" s="13">
        <v>45827</v>
      </c>
      <c r="L102">
        <v>11</v>
      </c>
    </row>
    <row r="103" spans="1:12" x14ac:dyDescent="0.25">
      <c r="A103" t="s">
        <v>34</v>
      </c>
      <c r="D103" t="s">
        <v>42</v>
      </c>
      <c r="E103">
        <v>2016</v>
      </c>
      <c r="F103">
        <v>1</v>
      </c>
      <c r="G103">
        <v>2</v>
      </c>
      <c r="H103">
        <v>4</v>
      </c>
      <c r="I103">
        <v>120</v>
      </c>
      <c r="K103" s="13">
        <v>45856</v>
      </c>
      <c r="L103">
        <v>24</v>
      </c>
    </row>
    <row r="104" spans="1:12" x14ac:dyDescent="0.25">
      <c r="A104" t="s">
        <v>34</v>
      </c>
      <c r="D104" t="s">
        <v>42</v>
      </c>
      <c r="E104">
        <v>2016</v>
      </c>
      <c r="F104">
        <v>1</v>
      </c>
      <c r="G104">
        <v>2</v>
      </c>
      <c r="H104">
        <v>4</v>
      </c>
      <c r="I104">
        <v>120</v>
      </c>
      <c r="K104" s="13">
        <v>45869</v>
      </c>
      <c r="L104">
        <v>35</v>
      </c>
    </row>
    <row r="105" spans="1:12" x14ac:dyDescent="0.25">
      <c r="A105" t="s">
        <v>34</v>
      </c>
      <c r="D105" t="s">
        <v>42</v>
      </c>
      <c r="E105">
        <v>2016</v>
      </c>
      <c r="F105">
        <v>1</v>
      </c>
      <c r="G105">
        <v>2</v>
      </c>
      <c r="H105">
        <v>4</v>
      </c>
      <c r="I105">
        <v>120</v>
      </c>
      <c r="K105" s="13">
        <v>45881</v>
      </c>
      <c r="L105">
        <v>42</v>
      </c>
    </row>
    <row r="106" spans="1:12" x14ac:dyDescent="0.25">
      <c r="A106" t="s">
        <v>34</v>
      </c>
      <c r="D106" t="s">
        <v>42</v>
      </c>
      <c r="E106">
        <v>2016</v>
      </c>
      <c r="F106">
        <v>1</v>
      </c>
      <c r="G106">
        <v>2</v>
      </c>
      <c r="H106">
        <v>4</v>
      </c>
      <c r="I106">
        <v>120</v>
      </c>
      <c r="K106" s="13">
        <v>45895</v>
      </c>
      <c r="L106">
        <v>55</v>
      </c>
    </row>
    <row r="107" spans="1:12" x14ac:dyDescent="0.25">
      <c r="A107" t="s">
        <v>34</v>
      </c>
      <c r="D107" t="s">
        <v>42</v>
      </c>
      <c r="E107">
        <v>2016</v>
      </c>
      <c r="F107">
        <v>1</v>
      </c>
      <c r="G107">
        <v>2</v>
      </c>
      <c r="H107">
        <v>4</v>
      </c>
      <c r="I107">
        <v>120</v>
      </c>
      <c r="K107" s="13">
        <v>45908</v>
      </c>
      <c r="L107">
        <v>62</v>
      </c>
    </row>
    <row r="108" spans="1:12" x14ac:dyDescent="0.25">
      <c r="A108" t="s">
        <v>34</v>
      </c>
      <c r="D108" t="s">
        <v>42</v>
      </c>
      <c r="E108">
        <v>2016</v>
      </c>
      <c r="F108">
        <v>1</v>
      </c>
      <c r="G108">
        <v>2</v>
      </c>
      <c r="H108">
        <v>4</v>
      </c>
      <c r="I108">
        <v>120</v>
      </c>
      <c r="K108" s="13">
        <v>45923</v>
      </c>
      <c r="L108">
        <v>69</v>
      </c>
    </row>
    <row r="109" spans="1:12" x14ac:dyDescent="0.25">
      <c r="A109" t="s">
        <v>34</v>
      </c>
      <c r="D109" t="s">
        <v>42</v>
      </c>
      <c r="E109">
        <v>2016</v>
      </c>
      <c r="F109">
        <v>1</v>
      </c>
      <c r="G109">
        <v>2</v>
      </c>
      <c r="H109">
        <v>4</v>
      </c>
      <c r="I109">
        <v>120</v>
      </c>
      <c r="K109" s="13">
        <v>45939</v>
      </c>
      <c r="L109">
        <v>89</v>
      </c>
    </row>
    <row r="110" spans="1:12" x14ac:dyDescent="0.25">
      <c r="A110" t="s">
        <v>34</v>
      </c>
      <c r="D110" t="s">
        <v>42</v>
      </c>
      <c r="E110">
        <v>2016</v>
      </c>
      <c r="F110">
        <v>1</v>
      </c>
      <c r="G110">
        <v>2</v>
      </c>
      <c r="H110">
        <v>4</v>
      </c>
      <c r="I110">
        <v>120</v>
      </c>
      <c r="K110" s="13">
        <v>45959</v>
      </c>
      <c r="L110">
        <v>89</v>
      </c>
    </row>
    <row r="111" spans="1:12" x14ac:dyDescent="0.25">
      <c r="A111" t="s">
        <v>34</v>
      </c>
      <c r="D111" t="s">
        <v>42</v>
      </c>
      <c r="E111">
        <v>2016</v>
      </c>
      <c r="F111">
        <v>1</v>
      </c>
      <c r="G111">
        <v>2</v>
      </c>
      <c r="H111">
        <v>4</v>
      </c>
      <c r="I111">
        <v>120</v>
      </c>
      <c r="K111" s="13">
        <v>45966</v>
      </c>
      <c r="L111">
        <v>89</v>
      </c>
    </row>
    <row r="112" spans="1:12" x14ac:dyDescent="0.25">
      <c r="A112" t="s">
        <v>34</v>
      </c>
      <c r="D112" t="s">
        <v>37</v>
      </c>
      <c r="E112">
        <v>1989</v>
      </c>
      <c r="F112">
        <v>2</v>
      </c>
      <c r="G112">
        <v>2</v>
      </c>
      <c r="H112">
        <v>7</v>
      </c>
      <c r="I112">
        <v>123</v>
      </c>
      <c r="K112" s="13">
        <v>45810</v>
      </c>
      <c r="L112">
        <v>8</v>
      </c>
    </row>
    <row r="113" spans="1:12" x14ac:dyDescent="0.25">
      <c r="A113" t="s">
        <v>34</v>
      </c>
      <c r="D113" t="s">
        <v>37</v>
      </c>
      <c r="E113">
        <v>1989</v>
      </c>
      <c r="F113">
        <v>2</v>
      </c>
      <c r="G113">
        <v>2</v>
      </c>
      <c r="H113">
        <v>7</v>
      </c>
      <c r="I113">
        <v>123</v>
      </c>
      <c r="K113" s="13">
        <v>45827</v>
      </c>
      <c r="L113">
        <v>11</v>
      </c>
    </row>
    <row r="114" spans="1:12" x14ac:dyDescent="0.25">
      <c r="A114" t="s">
        <v>34</v>
      </c>
      <c r="D114" t="s">
        <v>37</v>
      </c>
      <c r="E114">
        <v>1989</v>
      </c>
      <c r="F114">
        <v>2</v>
      </c>
      <c r="G114">
        <v>2</v>
      </c>
      <c r="H114">
        <v>7</v>
      </c>
      <c r="I114">
        <v>123</v>
      </c>
      <c r="K114" s="13">
        <v>45856</v>
      </c>
      <c r="L114">
        <v>20</v>
      </c>
    </row>
    <row r="115" spans="1:12" x14ac:dyDescent="0.25">
      <c r="A115" t="s">
        <v>34</v>
      </c>
      <c r="D115" t="s">
        <v>37</v>
      </c>
      <c r="E115">
        <v>1989</v>
      </c>
      <c r="F115">
        <v>2</v>
      </c>
      <c r="G115">
        <v>2</v>
      </c>
      <c r="H115">
        <v>7</v>
      </c>
      <c r="I115">
        <v>123</v>
      </c>
      <c r="K115" s="13">
        <v>45869</v>
      </c>
      <c r="L115">
        <v>33</v>
      </c>
    </row>
    <row r="116" spans="1:12" x14ac:dyDescent="0.25">
      <c r="A116" t="s">
        <v>34</v>
      </c>
      <c r="D116" t="s">
        <v>37</v>
      </c>
      <c r="E116">
        <v>1989</v>
      </c>
      <c r="F116">
        <v>2</v>
      </c>
      <c r="G116">
        <v>2</v>
      </c>
      <c r="H116">
        <v>7</v>
      </c>
      <c r="I116">
        <v>123</v>
      </c>
      <c r="K116" s="13">
        <v>45881</v>
      </c>
      <c r="L116">
        <v>38</v>
      </c>
    </row>
    <row r="117" spans="1:12" x14ac:dyDescent="0.25">
      <c r="A117" t="s">
        <v>34</v>
      </c>
      <c r="D117" t="s">
        <v>37</v>
      </c>
      <c r="E117">
        <v>1989</v>
      </c>
      <c r="F117">
        <v>2</v>
      </c>
      <c r="G117">
        <v>2</v>
      </c>
      <c r="H117">
        <v>7</v>
      </c>
      <c r="I117">
        <v>123</v>
      </c>
      <c r="K117" s="13">
        <v>45895</v>
      </c>
      <c r="L117">
        <v>52</v>
      </c>
    </row>
    <row r="118" spans="1:12" x14ac:dyDescent="0.25">
      <c r="A118" t="s">
        <v>34</v>
      </c>
      <c r="D118" t="s">
        <v>37</v>
      </c>
      <c r="E118">
        <v>1989</v>
      </c>
      <c r="F118">
        <v>2</v>
      </c>
      <c r="G118">
        <v>2</v>
      </c>
      <c r="H118">
        <v>7</v>
      </c>
      <c r="I118">
        <v>123</v>
      </c>
      <c r="K118" s="13">
        <v>45908</v>
      </c>
      <c r="L118">
        <v>57</v>
      </c>
    </row>
    <row r="119" spans="1:12" x14ac:dyDescent="0.25">
      <c r="A119" t="s">
        <v>34</v>
      </c>
      <c r="D119" t="s">
        <v>37</v>
      </c>
      <c r="E119">
        <v>1989</v>
      </c>
      <c r="F119">
        <v>2</v>
      </c>
      <c r="G119">
        <v>2</v>
      </c>
      <c r="H119">
        <v>7</v>
      </c>
      <c r="I119">
        <v>123</v>
      </c>
      <c r="K119" s="13">
        <v>45923</v>
      </c>
      <c r="L119">
        <v>66</v>
      </c>
    </row>
    <row r="120" spans="1:12" x14ac:dyDescent="0.25">
      <c r="A120" t="s">
        <v>34</v>
      </c>
      <c r="D120" t="s">
        <v>37</v>
      </c>
      <c r="E120">
        <v>1989</v>
      </c>
      <c r="F120">
        <v>2</v>
      </c>
      <c r="G120">
        <v>2</v>
      </c>
      <c r="H120">
        <v>7</v>
      </c>
      <c r="I120">
        <v>123</v>
      </c>
      <c r="K120" s="13">
        <v>45939</v>
      </c>
      <c r="L120">
        <v>82</v>
      </c>
    </row>
    <row r="121" spans="1:12" x14ac:dyDescent="0.25">
      <c r="A121" t="s">
        <v>34</v>
      </c>
      <c r="D121" t="s">
        <v>37</v>
      </c>
      <c r="E121">
        <v>1989</v>
      </c>
      <c r="F121">
        <v>2</v>
      </c>
      <c r="G121">
        <v>2</v>
      </c>
      <c r="H121">
        <v>7</v>
      </c>
      <c r="I121">
        <v>123</v>
      </c>
      <c r="K121" s="13">
        <v>45959</v>
      </c>
      <c r="L121">
        <v>86</v>
      </c>
    </row>
    <row r="122" spans="1:12" x14ac:dyDescent="0.25">
      <c r="A122" t="s">
        <v>34</v>
      </c>
      <c r="D122" t="s">
        <v>37</v>
      </c>
      <c r="E122">
        <v>1989</v>
      </c>
      <c r="F122">
        <v>2</v>
      </c>
      <c r="G122">
        <v>2</v>
      </c>
      <c r="H122">
        <v>7</v>
      </c>
      <c r="I122">
        <v>123</v>
      </c>
      <c r="K122" s="13">
        <v>45966</v>
      </c>
      <c r="L122">
        <v>86</v>
      </c>
    </row>
    <row r="123" spans="1:12" x14ac:dyDescent="0.25">
      <c r="A123" t="s">
        <v>34</v>
      </c>
      <c r="D123" t="s">
        <v>43</v>
      </c>
      <c r="E123">
        <v>2020</v>
      </c>
      <c r="F123">
        <v>2</v>
      </c>
      <c r="G123">
        <v>2</v>
      </c>
      <c r="H123">
        <v>8</v>
      </c>
      <c r="I123">
        <v>124</v>
      </c>
      <c r="K123" s="13">
        <v>45810</v>
      </c>
      <c r="L123">
        <v>8</v>
      </c>
    </row>
    <row r="124" spans="1:12" x14ac:dyDescent="0.25">
      <c r="A124" t="s">
        <v>34</v>
      </c>
      <c r="D124" t="s">
        <v>43</v>
      </c>
      <c r="E124">
        <v>2020</v>
      </c>
      <c r="F124">
        <v>2</v>
      </c>
      <c r="G124">
        <v>2</v>
      </c>
      <c r="H124">
        <v>8</v>
      </c>
      <c r="I124">
        <v>124</v>
      </c>
      <c r="K124" s="13">
        <v>45827</v>
      </c>
      <c r="L124">
        <v>13</v>
      </c>
    </row>
    <row r="125" spans="1:12" x14ac:dyDescent="0.25">
      <c r="A125" t="s">
        <v>34</v>
      </c>
      <c r="D125" t="s">
        <v>43</v>
      </c>
      <c r="E125">
        <v>2020</v>
      </c>
      <c r="F125">
        <v>2</v>
      </c>
      <c r="G125">
        <v>2</v>
      </c>
      <c r="H125">
        <v>8</v>
      </c>
      <c r="I125">
        <v>124</v>
      </c>
      <c r="K125" s="13">
        <v>45856</v>
      </c>
      <c r="L125">
        <v>23</v>
      </c>
    </row>
    <row r="126" spans="1:12" x14ac:dyDescent="0.25">
      <c r="A126" t="s">
        <v>34</v>
      </c>
      <c r="D126" t="s">
        <v>43</v>
      </c>
      <c r="E126">
        <v>2020</v>
      </c>
      <c r="F126">
        <v>2</v>
      </c>
      <c r="G126">
        <v>2</v>
      </c>
      <c r="H126">
        <v>8</v>
      </c>
      <c r="I126">
        <v>124</v>
      </c>
      <c r="K126" s="13">
        <v>45869</v>
      </c>
      <c r="L126">
        <v>36</v>
      </c>
    </row>
    <row r="127" spans="1:12" x14ac:dyDescent="0.25">
      <c r="A127" t="s">
        <v>34</v>
      </c>
      <c r="D127" t="s">
        <v>43</v>
      </c>
      <c r="E127">
        <v>2020</v>
      </c>
      <c r="F127">
        <v>2</v>
      </c>
      <c r="G127">
        <v>2</v>
      </c>
      <c r="H127">
        <v>8</v>
      </c>
      <c r="I127">
        <v>124</v>
      </c>
      <c r="K127" s="13">
        <v>45881</v>
      </c>
      <c r="L127">
        <v>43</v>
      </c>
    </row>
    <row r="128" spans="1:12" x14ac:dyDescent="0.25">
      <c r="A128" t="s">
        <v>34</v>
      </c>
      <c r="D128" t="s">
        <v>43</v>
      </c>
      <c r="E128">
        <v>2020</v>
      </c>
      <c r="F128">
        <v>2</v>
      </c>
      <c r="G128">
        <v>2</v>
      </c>
      <c r="H128">
        <v>8</v>
      </c>
      <c r="I128">
        <v>124</v>
      </c>
      <c r="K128" s="13">
        <v>45895</v>
      </c>
      <c r="L128">
        <v>50</v>
      </c>
    </row>
    <row r="129" spans="1:12" x14ac:dyDescent="0.25">
      <c r="A129" t="s">
        <v>34</v>
      </c>
      <c r="D129" t="s">
        <v>43</v>
      </c>
      <c r="E129">
        <v>2020</v>
      </c>
      <c r="F129">
        <v>2</v>
      </c>
      <c r="G129">
        <v>2</v>
      </c>
      <c r="H129">
        <v>8</v>
      </c>
      <c r="I129">
        <v>124</v>
      </c>
      <c r="K129" s="13">
        <v>45908</v>
      </c>
      <c r="L129">
        <v>59</v>
      </c>
    </row>
    <row r="130" spans="1:12" x14ac:dyDescent="0.25">
      <c r="A130" t="s">
        <v>34</v>
      </c>
      <c r="D130" t="s">
        <v>43</v>
      </c>
      <c r="E130">
        <v>2020</v>
      </c>
      <c r="F130">
        <v>2</v>
      </c>
      <c r="G130">
        <v>2</v>
      </c>
      <c r="H130">
        <v>8</v>
      </c>
      <c r="I130">
        <v>124</v>
      </c>
      <c r="K130" s="13">
        <v>45923</v>
      </c>
      <c r="L130">
        <v>73</v>
      </c>
    </row>
    <row r="131" spans="1:12" x14ac:dyDescent="0.25">
      <c r="A131" t="s">
        <v>34</v>
      </c>
      <c r="D131" t="s">
        <v>43</v>
      </c>
      <c r="E131">
        <v>2020</v>
      </c>
      <c r="F131">
        <v>2</v>
      </c>
      <c r="G131">
        <v>2</v>
      </c>
      <c r="H131">
        <v>8</v>
      </c>
      <c r="I131">
        <v>124</v>
      </c>
      <c r="K131" s="13">
        <v>45939</v>
      </c>
      <c r="L131">
        <v>85</v>
      </c>
    </row>
    <row r="132" spans="1:12" x14ac:dyDescent="0.25">
      <c r="A132" t="s">
        <v>34</v>
      </c>
      <c r="D132" t="s">
        <v>43</v>
      </c>
      <c r="E132">
        <v>2020</v>
      </c>
      <c r="F132">
        <v>2</v>
      </c>
      <c r="G132">
        <v>2</v>
      </c>
      <c r="H132">
        <v>8</v>
      </c>
      <c r="I132">
        <v>124</v>
      </c>
      <c r="K132" s="13">
        <v>45959</v>
      </c>
      <c r="L132">
        <v>90</v>
      </c>
    </row>
    <row r="133" spans="1:12" x14ac:dyDescent="0.25">
      <c r="A133" t="s">
        <v>34</v>
      </c>
      <c r="D133" t="s">
        <v>43</v>
      </c>
      <c r="E133">
        <v>2020</v>
      </c>
      <c r="F133">
        <v>2</v>
      </c>
      <c r="G133">
        <v>2</v>
      </c>
      <c r="H133">
        <v>8</v>
      </c>
      <c r="I133">
        <v>124</v>
      </c>
      <c r="K133" s="13">
        <v>45966</v>
      </c>
      <c r="L133">
        <v>90</v>
      </c>
    </row>
    <row r="134" spans="1:12" x14ac:dyDescent="0.25">
      <c r="A134" t="s">
        <v>34</v>
      </c>
      <c r="D134" t="s">
        <v>39</v>
      </c>
      <c r="E134">
        <v>2001</v>
      </c>
      <c r="F134">
        <v>3</v>
      </c>
      <c r="G134">
        <v>2</v>
      </c>
      <c r="H134">
        <v>11</v>
      </c>
      <c r="I134">
        <v>127</v>
      </c>
      <c r="K134" s="13">
        <v>45810</v>
      </c>
      <c r="L134">
        <v>8</v>
      </c>
    </row>
    <row r="135" spans="1:12" x14ac:dyDescent="0.25">
      <c r="A135" t="s">
        <v>34</v>
      </c>
      <c r="D135" t="s">
        <v>39</v>
      </c>
      <c r="E135">
        <v>2001</v>
      </c>
      <c r="F135">
        <v>3</v>
      </c>
      <c r="G135">
        <v>2</v>
      </c>
      <c r="H135">
        <v>11</v>
      </c>
      <c r="I135">
        <v>127</v>
      </c>
      <c r="K135" s="13">
        <v>45827</v>
      </c>
      <c r="L135">
        <v>10</v>
      </c>
    </row>
    <row r="136" spans="1:12" x14ac:dyDescent="0.25">
      <c r="A136" t="s">
        <v>34</v>
      </c>
      <c r="D136" t="s">
        <v>39</v>
      </c>
      <c r="E136">
        <v>2001</v>
      </c>
      <c r="F136">
        <v>3</v>
      </c>
      <c r="G136">
        <v>2</v>
      </c>
      <c r="H136">
        <v>11</v>
      </c>
      <c r="I136">
        <v>127</v>
      </c>
      <c r="K136" s="13">
        <v>45856</v>
      </c>
      <c r="L136">
        <v>23</v>
      </c>
    </row>
    <row r="137" spans="1:12" x14ac:dyDescent="0.25">
      <c r="A137" t="s">
        <v>34</v>
      </c>
      <c r="D137" t="s">
        <v>39</v>
      </c>
      <c r="E137">
        <v>2001</v>
      </c>
      <c r="F137">
        <v>3</v>
      </c>
      <c r="G137">
        <v>2</v>
      </c>
      <c r="H137">
        <v>11</v>
      </c>
      <c r="I137">
        <v>127</v>
      </c>
      <c r="K137" s="13">
        <v>45869</v>
      </c>
      <c r="L137">
        <v>32</v>
      </c>
    </row>
    <row r="138" spans="1:12" x14ac:dyDescent="0.25">
      <c r="A138" t="s">
        <v>34</v>
      </c>
      <c r="D138" t="s">
        <v>39</v>
      </c>
      <c r="E138">
        <v>2001</v>
      </c>
      <c r="F138">
        <v>3</v>
      </c>
      <c r="G138">
        <v>2</v>
      </c>
      <c r="H138">
        <v>11</v>
      </c>
      <c r="I138">
        <v>127</v>
      </c>
      <c r="K138" s="13">
        <v>45881</v>
      </c>
      <c r="L138">
        <v>39</v>
      </c>
    </row>
    <row r="139" spans="1:12" x14ac:dyDescent="0.25">
      <c r="A139" t="s">
        <v>34</v>
      </c>
      <c r="D139" t="s">
        <v>39</v>
      </c>
      <c r="E139">
        <v>2001</v>
      </c>
      <c r="F139">
        <v>3</v>
      </c>
      <c r="G139">
        <v>2</v>
      </c>
      <c r="H139">
        <v>11</v>
      </c>
      <c r="I139">
        <v>127</v>
      </c>
      <c r="K139" s="13">
        <v>45895</v>
      </c>
      <c r="L139">
        <v>47</v>
      </c>
    </row>
    <row r="140" spans="1:12" x14ac:dyDescent="0.25">
      <c r="A140" t="s">
        <v>34</v>
      </c>
      <c r="D140" t="s">
        <v>39</v>
      </c>
      <c r="E140">
        <v>2001</v>
      </c>
      <c r="F140">
        <v>3</v>
      </c>
      <c r="G140">
        <v>2</v>
      </c>
      <c r="H140">
        <v>11</v>
      </c>
      <c r="I140">
        <v>127</v>
      </c>
      <c r="K140" s="13">
        <v>45908</v>
      </c>
      <c r="L140">
        <v>55</v>
      </c>
    </row>
    <row r="141" spans="1:12" x14ac:dyDescent="0.25">
      <c r="A141" t="s">
        <v>34</v>
      </c>
      <c r="D141" t="s">
        <v>39</v>
      </c>
      <c r="E141">
        <v>2001</v>
      </c>
      <c r="F141">
        <v>3</v>
      </c>
      <c r="G141">
        <v>2</v>
      </c>
      <c r="H141">
        <v>11</v>
      </c>
      <c r="I141">
        <v>127</v>
      </c>
      <c r="K141" s="13">
        <v>45923</v>
      </c>
      <c r="L141">
        <v>67</v>
      </c>
    </row>
    <row r="142" spans="1:12" x14ac:dyDescent="0.25">
      <c r="A142" t="s">
        <v>34</v>
      </c>
      <c r="D142" t="s">
        <v>39</v>
      </c>
      <c r="E142">
        <v>2001</v>
      </c>
      <c r="F142">
        <v>3</v>
      </c>
      <c r="G142">
        <v>2</v>
      </c>
      <c r="H142">
        <v>11</v>
      </c>
      <c r="I142">
        <v>127</v>
      </c>
      <c r="K142" s="13">
        <v>45939</v>
      </c>
      <c r="L142">
        <v>77</v>
      </c>
    </row>
    <row r="143" spans="1:12" x14ac:dyDescent="0.25">
      <c r="A143" t="s">
        <v>34</v>
      </c>
      <c r="D143" t="s">
        <v>39</v>
      </c>
      <c r="E143">
        <v>2001</v>
      </c>
      <c r="F143">
        <v>3</v>
      </c>
      <c r="G143">
        <v>2</v>
      </c>
      <c r="H143">
        <v>11</v>
      </c>
      <c r="I143">
        <v>127</v>
      </c>
      <c r="K143" s="13">
        <v>45959</v>
      </c>
      <c r="L143">
        <v>80</v>
      </c>
    </row>
    <row r="144" spans="1:12" x14ac:dyDescent="0.25">
      <c r="A144" t="s">
        <v>34</v>
      </c>
      <c r="D144" t="s">
        <v>39</v>
      </c>
      <c r="E144">
        <v>2001</v>
      </c>
      <c r="F144">
        <v>3</v>
      </c>
      <c r="G144">
        <v>2</v>
      </c>
      <c r="H144">
        <v>11</v>
      </c>
      <c r="I144">
        <v>127</v>
      </c>
      <c r="K144" s="13">
        <v>45966</v>
      </c>
      <c r="L144">
        <v>80</v>
      </c>
    </row>
    <row r="145" spans="1:12" x14ac:dyDescent="0.25">
      <c r="A145" t="s">
        <v>34</v>
      </c>
      <c r="D145" t="s">
        <v>36</v>
      </c>
      <c r="E145">
        <v>1984</v>
      </c>
      <c r="F145">
        <v>3</v>
      </c>
      <c r="G145">
        <v>2</v>
      </c>
      <c r="H145">
        <v>12</v>
      </c>
      <c r="I145">
        <v>128</v>
      </c>
      <c r="K145" s="13">
        <v>45810</v>
      </c>
      <c r="L145">
        <v>8</v>
      </c>
    </row>
    <row r="146" spans="1:12" x14ac:dyDescent="0.25">
      <c r="A146" t="s">
        <v>34</v>
      </c>
      <c r="D146" t="s">
        <v>36</v>
      </c>
      <c r="E146">
        <v>1984</v>
      </c>
      <c r="F146">
        <v>3</v>
      </c>
      <c r="G146">
        <v>2</v>
      </c>
      <c r="H146">
        <v>12</v>
      </c>
      <c r="I146">
        <v>128</v>
      </c>
      <c r="K146" s="13">
        <v>45827</v>
      </c>
      <c r="L146">
        <v>10</v>
      </c>
    </row>
    <row r="147" spans="1:12" x14ac:dyDescent="0.25">
      <c r="A147" t="s">
        <v>34</v>
      </c>
      <c r="D147" t="s">
        <v>36</v>
      </c>
      <c r="E147">
        <v>1984</v>
      </c>
      <c r="F147">
        <v>3</v>
      </c>
      <c r="G147">
        <v>2</v>
      </c>
      <c r="H147">
        <v>12</v>
      </c>
      <c r="I147">
        <v>128</v>
      </c>
      <c r="K147" s="13">
        <v>45856</v>
      </c>
      <c r="L147">
        <v>28</v>
      </c>
    </row>
    <row r="148" spans="1:12" x14ac:dyDescent="0.25">
      <c r="A148" t="s">
        <v>34</v>
      </c>
      <c r="D148" t="s">
        <v>36</v>
      </c>
      <c r="E148">
        <v>1984</v>
      </c>
      <c r="F148">
        <v>3</v>
      </c>
      <c r="G148">
        <v>2</v>
      </c>
      <c r="H148">
        <v>12</v>
      </c>
      <c r="I148">
        <v>128</v>
      </c>
      <c r="K148" s="13">
        <v>45869</v>
      </c>
      <c r="L148">
        <v>33</v>
      </c>
    </row>
    <row r="149" spans="1:12" x14ac:dyDescent="0.25">
      <c r="A149" t="s">
        <v>34</v>
      </c>
      <c r="D149" t="s">
        <v>36</v>
      </c>
      <c r="E149">
        <v>1984</v>
      </c>
      <c r="F149">
        <v>3</v>
      </c>
      <c r="G149">
        <v>2</v>
      </c>
      <c r="H149">
        <v>12</v>
      </c>
      <c r="I149">
        <v>128</v>
      </c>
      <c r="K149" s="13">
        <v>45881</v>
      </c>
      <c r="L149">
        <v>41</v>
      </c>
    </row>
    <row r="150" spans="1:12" x14ac:dyDescent="0.25">
      <c r="A150" t="s">
        <v>34</v>
      </c>
      <c r="D150" t="s">
        <v>36</v>
      </c>
      <c r="E150">
        <v>1984</v>
      </c>
      <c r="F150">
        <v>3</v>
      </c>
      <c r="G150">
        <v>2</v>
      </c>
      <c r="H150">
        <v>12</v>
      </c>
      <c r="I150">
        <v>128</v>
      </c>
      <c r="K150" s="13">
        <v>45895</v>
      </c>
      <c r="L150">
        <v>51</v>
      </c>
    </row>
    <row r="151" spans="1:12" x14ac:dyDescent="0.25">
      <c r="A151" t="s">
        <v>34</v>
      </c>
      <c r="D151" t="s">
        <v>36</v>
      </c>
      <c r="E151">
        <v>1984</v>
      </c>
      <c r="F151">
        <v>3</v>
      </c>
      <c r="G151">
        <v>2</v>
      </c>
      <c r="H151">
        <v>12</v>
      </c>
      <c r="I151">
        <v>128</v>
      </c>
      <c r="K151" s="13">
        <v>45908</v>
      </c>
      <c r="L151">
        <v>61</v>
      </c>
    </row>
    <row r="152" spans="1:12" x14ac:dyDescent="0.25">
      <c r="A152" t="s">
        <v>34</v>
      </c>
      <c r="D152" t="s">
        <v>36</v>
      </c>
      <c r="E152">
        <v>1984</v>
      </c>
      <c r="F152">
        <v>3</v>
      </c>
      <c r="G152">
        <v>2</v>
      </c>
      <c r="H152">
        <v>12</v>
      </c>
      <c r="I152">
        <v>128</v>
      </c>
      <c r="K152" s="13">
        <v>45923</v>
      </c>
      <c r="L152">
        <v>67</v>
      </c>
    </row>
    <row r="153" spans="1:12" x14ac:dyDescent="0.25">
      <c r="A153" t="s">
        <v>34</v>
      </c>
      <c r="D153" t="s">
        <v>36</v>
      </c>
      <c r="E153">
        <v>1984</v>
      </c>
      <c r="F153">
        <v>3</v>
      </c>
      <c r="G153">
        <v>2</v>
      </c>
      <c r="H153">
        <v>12</v>
      </c>
      <c r="I153">
        <v>128</v>
      </c>
      <c r="K153" s="13">
        <v>45939</v>
      </c>
      <c r="L153">
        <v>87</v>
      </c>
    </row>
    <row r="154" spans="1:12" x14ac:dyDescent="0.25">
      <c r="A154" t="s">
        <v>34</v>
      </c>
      <c r="D154" t="s">
        <v>36</v>
      </c>
      <c r="E154">
        <v>1984</v>
      </c>
      <c r="F154">
        <v>3</v>
      </c>
      <c r="G154">
        <v>2</v>
      </c>
      <c r="H154">
        <v>12</v>
      </c>
      <c r="I154">
        <v>128</v>
      </c>
      <c r="K154" s="13">
        <v>45959</v>
      </c>
      <c r="L154">
        <v>93</v>
      </c>
    </row>
    <row r="155" spans="1:12" x14ac:dyDescent="0.25">
      <c r="A155" t="s">
        <v>34</v>
      </c>
      <c r="D155" t="s">
        <v>36</v>
      </c>
      <c r="E155">
        <v>1984</v>
      </c>
      <c r="F155">
        <v>3</v>
      </c>
      <c r="G155">
        <v>2</v>
      </c>
      <c r="H155">
        <v>12</v>
      </c>
      <c r="I155">
        <v>128</v>
      </c>
      <c r="K155" s="13">
        <v>45966</v>
      </c>
      <c r="L155">
        <v>93</v>
      </c>
    </row>
    <row r="156" spans="1:12" x14ac:dyDescent="0.25">
      <c r="A156" t="s">
        <v>34</v>
      </c>
      <c r="D156" t="s">
        <v>38</v>
      </c>
      <c r="E156">
        <v>1999</v>
      </c>
      <c r="F156">
        <v>4</v>
      </c>
      <c r="G156">
        <v>2</v>
      </c>
      <c r="H156">
        <v>15</v>
      </c>
      <c r="I156">
        <v>131</v>
      </c>
      <c r="K156" s="13">
        <v>45810</v>
      </c>
      <c r="L156">
        <v>8</v>
      </c>
    </row>
    <row r="157" spans="1:12" x14ac:dyDescent="0.25">
      <c r="A157" t="s">
        <v>34</v>
      </c>
      <c r="D157" t="s">
        <v>38</v>
      </c>
      <c r="E157">
        <v>1999</v>
      </c>
      <c r="F157">
        <v>4</v>
      </c>
      <c r="G157">
        <v>2</v>
      </c>
      <c r="H157">
        <v>15</v>
      </c>
      <c r="I157">
        <v>131</v>
      </c>
      <c r="K157" s="13">
        <v>45827</v>
      </c>
      <c r="L157">
        <v>12</v>
      </c>
    </row>
    <row r="158" spans="1:12" x14ac:dyDescent="0.25">
      <c r="A158" t="s">
        <v>34</v>
      </c>
      <c r="D158" t="s">
        <v>38</v>
      </c>
      <c r="E158">
        <v>1999</v>
      </c>
      <c r="F158">
        <v>4</v>
      </c>
      <c r="G158">
        <v>2</v>
      </c>
      <c r="H158">
        <v>15</v>
      </c>
      <c r="I158">
        <v>131</v>
      </c>
      <c r="K158" s="13">
        <v>45856</v>
      </c>
      <c r="L158">
        <v>27</v>
      </c>
    </row>
    <row r="159" spans="1:12" x14ac:dyDescent="0.25">
      <c r="A159" t="s">
        <v>34</v>
      </c>
      <c r="D159" t="s">
        <v>38</v>
      </c>
      <c r="E159">
        <v>1999</v>
      </c>
      <c r="F159">
        <v>4</v>
      </c>
      <c r="G159">
        <v>2</v>
      </c>
      <c r="H159">
        <v>15</v>
      </c>
      <c r="I159">
        <v>131</v>
      </c>
      <c r="K159" s="13">
        <v>45869</v>
      </c>
      <c r="L159">
        <v>33</v>
      </c>
    </row>
    <row r="160" spans="1:12" x14ac:dyDescent="0.25">
      <c r="A160" t="s">
        <v>34</v>
      </c>
      <c r="D160" t="s">
        <v>38</v>
      </c>
      <c r="E160">
        <v>1999</v>
      </c>
      <c r="F160">
        <v>4</v>
      </c>
      <c r="G160">
        <v>2</v>
      </c>
      <c r="H160">
        <v>15</v>
      </c>
      <c r="I160">
        <v>131</v>
      </c>
      <c r="K160" s="13">
        <v>45881</v>
      </c>
      <c r="L160">
        <v>43</v>
      </c>
    </row>
    <row r="161" spans="1:12" x14ac:dyDescent="0.25">
      <c r="A161" t="s">
        <v>34</v>
      </c>
      <c r="D161" t="s">
        <v>38</v>
      </c>
      <c r="E161">
        <v>1999</v>
      </c>
      <c r="F161">
        <v>4</v>
      </c>
      <c r="G161">
        <v>2</v>
      </c>
      <c r="H161">
        <v>15</v>
      </c>
      <c r="I161">
        <v>131</v>
      </c>
      <c r="K161" s="13">
        <v>45895</v>
      </c>
      <c r="L161">
        <v>54</v>
      </c>
    </row>
    <row r="162" spans="1:12" x14ac:dyDescent="0.25">
      <c r="A162" t="s">
        <v>34</v>
      </c>
      <c r="D162" t="s">
        <v>38</v>
      </c>
      <c r="E162">
        <v>1999</v>
      </c>
      <c r="F162">
        <v>4</v>
      </c>
      <c r="G162">
        <v>2</v>
      </c>
      <c r="H162">
        <v>15</v>
      </c>
      <c r="I162">
        <v>131</v>
      </c>
      <c r="K162" s="13">
        <v>45908</v>
      </c>
      <c r="L162">
        <v>59</v>
      </c>
    </row>
    <row r="163" spans="1:12" x14ac:dyDescent="0.25">
      <c r="A163" t="s">
        <v>34</v>
      </c>
      <c r="D163" t="s">
        <v>38</v>
      </c>
      <c r="E163">
        <v>1999</v>
      </c>
      <c r="F163">
        <v>4</v>
      </c>
      <c r="G163">
        <v>2</v>
      </c>
      <c r="H163">
        <v>15</v>
      </c>
      <c r="I163">
        <v>131</v>
      </c>
      <c r="K163" s="13">
        <v>45923</v>
      </c>
      <c r="L163">
        <v>72</v>
      </c>
    </row>
    <row r="164" spans="1:12" x14ac:dyDescent="0.25">
      <c r="A164" t="s">
        <v>34</v>
      </c>
      <c r="D164" t="s">
        <v>38</v>
      </c>
      <c r="E164">
        <v>1999</v>
      </c>
      <c r="F164">
        <v>4</v>
      </c>
      <c r="G164">
        <v>2</v>
      </c>
      <c r="H164">
        <v>15</v>
      </c>
      <c r="I164">
        <v>131</v>
      </c>
      <c r="K164" s="13">
        <v>45939</v>
      </c>
      <c r="L164">
        <v>92</v>
      </c>
    </row>
    <row r="165" spans="1:12" x14ac:dyDescent="0.25">
      <c r="A165" t="s">
        <v>34</v>
      </c>
      <c r="D165" t="s">
        <v>38</v>
      </c>
      <c r="E165">
        <v>1999</v>
      </c>
      <c r="F165">
        <v>4</v>
      </c>
      <c r="G165">
        <v>2</v>
      </c>
      <c r="H165">
        <v>15</v>
      </c>
      <c r="I165">
        <v>131</v>
      </c>
      <c r="K165" s="13">
        <v>45959</v>
      </c>
      <c r="L165">
        <v>101</v>
      </c>
    </row>
    <row r="166" spans="1:12" x14ac:dyDescent="0.25">
      <c r="A166" t="s">
        <v>34</v>
      </c>
      <c r="D166" t="s">
        <v>38</v>
      </c>
      <c r="E166">
        <v>1999</v>
      </c>
      <c r="F166">
        <v>4</v>
      </c>
      <c r="G166">
        <v>2</v>
      </c>
      <c r="H166">
        <v>15</v>
      </c>
      <c r="I166">
        <v>131</v>
      </c>
      <c r="K166" s="13">
        <v>45966</v>
      </c>
      <c r="L166">
        <v>101</v>
      </c>
    </row>
    <row r="167" spans="1:12" x14ac:dyDescent="0.25">
      <c r="A167" t="s">
        <v>34</v>
      </c>
      <c r="D167" t="s">
        <v>41</v>
      </c>
      <c r="E167">
        <v>2008</v>
      </c>
      <c r="F167">
        <v>4</v>
      </c>
      <c r="G167">
        <v>2</v>
      </c>
      <c r="H167">
        <v>16</v>
      </c>
      <c r="I167">
        <v>132</v>
      </c>
      <c r="K167" s="13">
        <v>45810</v>
      </c>
      <c r="L167">
        <v>8</v>
      </c>
    </row>
    <row r="168" spans="1:12" x14ac:dyDescent="0.25">
      <c r="A168" t="s">
        <v>34</v>
      </c>
      <c r="D168" t="s">
        <v>41</v>
      </c>
      <c r="E168">
        <v>2008</v>
      </c>
      <c r="F168">
        <v>4</v>
      </c>
      <c r="G168">
        <v>2</v>
      </c>
      <c r="H168">
        <v>16</v>
      </c>
      <c r="I168">
        <v>132</v>
      </c>
      <c r="K168" s="13">
        <v>45827</v>
      </c>
      <c r="L168">
        <v>12</v>
      </c>
    </row>
    <row r="169" spans="1:12" x14ac:dyDescent="0.25">
      <c r="A169" t="s">
        <v>34</v>
      </c>
      <c r="D169" t="s">
        <v>41</v>
      </c>
      <c r="E169">
        <v>2008</v>
      </c>
      <c r="F169">
        <v>4</v>
      </c>
      <c r="G169">
        <v>2</v>
      </c>
      <c r="H169">
        <v>16</v>
      </c>
      <c r="I169">
        <v>132</v>
      </c>
      <c r="K169" s="13">
        <v>45856</v>
      </c>
      <c r="L169">
        <v>24</v>
      </c>
    </row>
    <row r="170" spans="1:12" x14ac:dyDescent="0.25">
      <c r="A170" t="s">
        <v>34</v>
      </c>
      <c r="D170" t="s">
        <v>41</v>
      </c>
      <c r="E170">
        <v>2008</v>
      </c>
      <c r="F170">
        <v>4</v>
      </c>
      <c r="G170">
        <v>2</v>
      </c>
      <c r="H170">
        <v>16</v>
      </c>
      <c r="I170">
        <v>132</v>
      </c>
      <c r="K170" s="13">
        <v>45869</v>
      </c>
      <c r="L170">
        <v>36</v>
      </c>
    </row>
    <row r="171" spans="1:12" x14ac:dyDescent="0.25">
      <c r="A171" t="s">
        <v>34</v>
      </c>
      <c r="D171" t="s">
        <v>41</v>
      </c>
      <c r="E171">
        <v>2008</v>
      </c>
      <c r="F171">
        <v>4</v>
      </c>
      <c r="G171">
        <v>2</v>
      </c>
      <c r="H171">
        <v>16</v>
      </c>
      <c r="I171">
        <v>132</v>
      </c>
      <c r="K171" s="13">
        <v>45881</v>
      </c>
      <c r="L171">
        <v>42</v>
      </c>
    </row>
    <row r="172" spans="1:12" x14ac:dyDescent="0.25">
      <c r="A172" t="s">
        <v>34</v>
      </c>
      <c r="D172" t="s">
        <v>41</v>
      </c>
      <c r="E172">
        <v>2008</v>
      </c>
      <c r="F172">
        <v>4</v>
      </c>
      <c r="G172">
        <v>2</v>
      </c>
      <c r="H172">
        <v>16</v>
      </c>
      <c r="I172">
        <v>132</v>
      </c>
      <c r="K172" s="13">
        <v>45895</v>
      </c>
      <c r="L172">
        <v>53</v>
      </c>
    </row>
    <row r="173" spans="1:12" x14ac:dyDescent="0.25">
      <c r="A173" t="s">
        <v>34</v>
      </c>
      <c r="D173" t="s">
        <v>41</v>
      </c>
      <c r="E173">
        <v>2008</v>
      </c>
      <c r="F173">
        <v>4</v>
      </c>
      <c r="G173">
        <v>2</v>
      </c>
      <c r="H173">
        <v>16</v>
      </c>
      <c r="I173">
        <v>132</v>
      </c>
      <c r="K173" s="13">
        <v>45908</v>
      </c>
      <c r="L173">
        <v>59</v>
      </c>
    </row>
    <row r="174" spans="1:12" x14ac:dyDescent="0.25">
      <c r="A174" t="s">
        <v>34</v>
      </c>
      <c r="D174" t="s">
        <v>41</v>
      </c>
      <c r="E174">
        <v>2008</v>
      </c>
      <c r="F174">
        <v>4</v>
      </c>
      <c r="G174">
        <v>2</v>
      </c>
      <c r="H174">
        <v>16</v>
      </c>
      <c r="I174">
        <v>132</v>
      </c>
      <c r="K174" s="13">
        <v>45923</v>
      </c>
      <c r="L174">
        <v>73</v>
      </c>
    </row>
    <row r="175" spans="1:12" x14ac:dyDescent="0.25">
      <c r="A175" t="s">
        <v>34</v>
      </c>
      <c r="D175" t="s">
        <v>41</v>
      </c>
      <c r="E175">
        <v>2008</v>
      </c>
      <c r="F175">
        <v>4</v>
      </c>
      <c r="G175">
        <v>2</v>
      </c>
      <c r="H175">
        <v>16</v>
      </c>
      <c r="I175">
        <v>132</v>
      </c>
      <c r="K175" s="13">
        <v>45939</v>
      </c>
      <c r="L175">
        <v>86</v>
      </c>
    </row>
    <row r="176" spans="1:12" x14ac:dyDescent="0.25">
      <c r="A176" t="s">
        <v>34</v>
      </c>
      <c r="D176" t="s">
        <v>41</v>
      </c>
      <c r="E176">
        <v>2008</v>
      </c>
      <c r="F176">
        <v>4</v>
      </c>
      <c r="G176">
        <v>2</v>
      </c>
      <c r="H176">
        <v>16</v>
      </c>
      <c r="I176">
        <v>132</v>
      </c>
      <c r="K176" s="13">
        <v>45959</v>
      </c>
      <c r="L176">
        <v>84</v>
      </c>
    </row>
    <row r="177" spans="1:12" x14ac:dyDescent="0.25">
      <c r="A177" t="s">
        <v>34</v>
      </c>
      <c r="D177" t="s">
        <v>41</v>
      </c>
      <c r="E177">
        <v>2008</v>
      </c>
      <c r="F177">
        <v>4</v>
      </c>
      <c r="G177">
        <v>2</v>
      </c>
      <c r="H177">
        <v>16</v>
      </c>
      <c r="I177">
        <v>132</v>
      </c>
      <c r="K177" s="13">
        <v>45966</v>
      </c>
      <c r="L177">
        <v>84</v>
      </c>
    </row>
    <row r="178" spans="1:12" x14ac:dyDescent="0.25">
      <c r="A178" t="s">
        <v>34</v>
      </c>
      <c r="D178" t="s">
        <v>41</v>
      </c>
      <c r="E178">
        <v>2008</v>
      </c>
      <c r="F178">
        <v>1</v>
      </c>
      <c r="G178">
        <v>3</v>
      </c>
      <c r="H178">
        <v>3</v>
      </c>
      <c r="I178">
        <v>135</v>
      </c>
      <c r="K178" s="13">
        <v>45810</v>
      </c>
      <c r="L178">
        <v>8</v>
      </c>
    </row>
    <row r="179" spans="1:12" x14ac:dyDescent="0.25">
      <c r="A179" t="s">
        <v>34</v>
      </c>
      <c r="D179" t="s">
        <v>41</v>
      </c>
      <c r="E179">
        <v>2008</v>
      </c>
      <c r="F179">
        <v>1</v>
      </c>
      <c r="G179">
        <v>3</v>
      </c>
      <c r="H179">
        <v>3</v>
      </c>
      <c r="I179">
        <v>135</v>
      </c>
      <c r="K179" s="13">
        <v>45827</v>
      </c>
      <c r="L179">
        <v>12</v>
      </c>
    </row>
    <row r="180" spans="1:12" x14ac:dyDescent="0.25">
      <c r="A180" t="s">
        <v>34</v>
      </c>
      <c r="D180" t="s">
        <v>41</v>
      </c>
      <c r="E180">
        <v>2008</v>
      </c>
      <c r="F180">
        <v>1</v>
      </c>
      <c r="G180">
        <v>3</v>
      </c>
      <c r="H180">
        <v>3</v>
      </c>
      <c r="I180">
        <v>135</v>
      </c>
      <c r="K180" s="13">
        <v>45856</v>
      </c>
      <c r="L180">
        <v>24</v>
      </c>
    </row>
    <row r="181" spans="1:12" x14ac:dyDescent="0.25">
      <c r="A181" t="s">
        <v>34</v>
      </c>
      <c r="D181" t="s">
        <v>41</v>
      </c>
      <c r="E181">
        <v>2008</v>
      </c>
      <c r="F181">
        <v>1</v>
      </c>
      <c r="G181">
        <v>3</v>
      </c>
      <c r="H181">
        <v>3</v>
      </c>
      <c r="I181">
        <v>135</v>
      </c>
      <c r="K181" s="13">
        <v>45869</v>
      </c>
      <c r="L181">
        <v>36</v>
      </c>
    </row>
    <row r="182" spans="1:12" x14ac:dyDescent="0.25">
      <c r="A182" t="s">
        <v>34</v>
      </c>
      <c r="D182" t="s">
        <v>41</v>
      </c>
      <c r="E182">
        <v>2008</v>
      </c>
      <c r="F182">
        <v>1</v>
      </c>
      <c r="G182">
        <v>3</v>
      </c>
      <c r="H182">
        <v>3</v>
      </c>
      <c r="I182">
        <v>135</v>
      </c>
      <c r="K182" s="13">
        <v>45881</v>
      </c>
      <c r="L182">
        <v>40</v>
      </c>
    </row>
    <row r="183" spans="1:12" x14ac:dyDescent="0.25">
      <c r="A183" t="s">
        <v>34</v>
      </c>
      <c r="D183" t="s">
        <v>41</v>
      </c>
      <c r="E183">
        <v>2008</v>
      </c>
      <c r="F183">
        <v>1</v>
      </c>
      <c r="G183">
        <v>3</v>
      </c>
      <c r="H183">
        <v>3</v>
      </c>
      <c r="I183">
        <v>135</v>
      </c>
      <c r="K183" s="13">
        <v>45895</v>
      </c>
      <c r="L183">
        <v>54</v>
      </c>
    </row>
    <row r="184" spans="1:12" x14ac:dyDescent="0.25">
      <c r="A184" t="s">
        <v>34</v>
      </c>
      <c r="D184" t="s">
        <v>41</v>
      </c>
      <c r="E184">
        <v>2008</v>
      </c>
      <c r="F184">
        <v>1</v>
      </c>
      <c r="G184">
        <v>3</v>
      </c>
      <c r="H184">
        <v>3</v>
      </c>
      <c r="I184">
        <v>135</v>
      </c>
      <c r="K184" s="13">
        <v>45908</v>
      </c>
      <c r="L184">
        <v>61</v>
      </c>
    </row>
    <row r="185" spans="1:12" x14ac:dyDescent="0.25">
      <c r="A185" t="s">
        <v>34</v>
      </c>
      <c r="D185" t="s">
        <v>41</v>
      </c>
      <c r="E185">
        <v>2008</v>
      </c>
      <c r="F185">
        <v>1</v>
      </c>
      <c r="G185">
        <v>3</v>
      </c>
      <c r="H185">
        <v>3</v>
      </c>
      <c r="I185">
        <v>135</v>
      </c>
      <c r="K185" s="13">
        <v>45923</v>
      </c>
      <c r="L185">
        <v>74</v>
      </c>
    </row>
    <row r="186" spans="1:12" x14ac:dyDescent="0.25">
      <c r="A186" t="s">
        <v>34</v>
      </c>
      <c r="D186" t="s">
        <v>41</v>
      </c>
      <c r="E186">
        <v>2008</v>
      </c>
      <c r="F186">
        <v>1</v>
      </c>
      <c r="G186">
        <v>3</v>
      </c>
      <c r="H186">
        <v>3</v>
      </c>
      <c r="I186">
        <v>135</v>
      </c>
      <c r="K186" s="13">
        <v>45939</v>
      </c>
      <c r="L186">
        <v>87</v>
      </c>
    </row>
    <row r="187" spans="1:12" x14ac:dyDescent="0.25">
      <c r="A187" t="s">
        <v>34</v>
      </c>
      <c r="D187" t="s">
        <v>41</v>
      </c>
      <c r="E187">
        <v>2008</v>
      </c>
      <c r="F187">
        <v>1</v>
      </c>
      <c r="G187">
        <v>3</v>
      </c>
      <c r="H187">
        <v>3</v>
      </c>
      <c r="I187">
        <v>135</v>
      </c>
      <c r="K187" s="13">
        <v>45959</v>
      </c>
      <c r="L187">
        <v>87</v>
      </c>
    </row>
    <row r="188" spans="1:12" x14ac:dyDescent="0.25">
      <c r="A188" t="s">
        <v>34</v>
      </c>
      <c r="D188" t="s">
        <v>41</v>
      </c>
      <c r="E188">
        <v>2008</v>
      </c>
      <c r="F188">
        <v>1</v>
      </c>
      <c r="G188">
        <v>3</v>
      </c>
      <c r="H188">
        <v>3</v>
      </c>
      <c r="I188">
        <v>135</v>
      </c>
      <c r="K188" s="13">
        <v>45966</v>
      </c>
      <c r="L188">
        <v>87</v>
      </c>
    </row>
    <row r="189" spans="1:12" x14ac:dyDescent="0.25">
      <c r="A189" t="s">
        <v>34</v>
      </c>
      <c r="D189" t="s">
        <v>36</v>
      </c>
      <c r="E189">
        <v>1984</v>
      </c>
      <c r="F189">
        <v>1</v>
      </c>
      <c r="G189">
        <v>3</v>
      </c>
      <c r="H189">
        <v>4</v>
      </c>
      <c r="I189">
        <v>136</v>
      </c>
      <c r="K189" s="13">
        <v>45810</v>
      </c>
      <c r="L189">
        <v>8</v>
      </c>
    </row>
    <row r="190" spans="1:12" x14ac:dyDescent="0.25">
      <c r="A190" t="s">
        <v>34</v>
      </c>
      <c r="D190" t="s">
        <v>36</v>
      </c>
      <c r="E190">
        <v>1984</v>
      </c>
      <c r="F190">
        <v>1</v>
      </c>
      <c r="G190">
        <v>3</v>
      </c>
      <c r="H190">
        <v>4</v>
      </c>
      <c r="I190">
        <v>136</v>
      </c>
      <c r="K190" s="13">
        <v>45827</v>
      </c>
      <c r="L190">
        <v>10</v>
      </c>
    </row>
    <row r="191" spans="1:12" x14ac:dyDescent="0.25">
      <c r="A191" t="s">
        <v>34</v>
      </c>
      <c r="D191" t="s">
        <v>36</v>
      </c>
      <c r="E191">
        <v>1984</v>
      </c>
      <c r="F191">
        <v>1</v>
      </c>
      <c r="G191">
        <v>3</v>
      </c>
      <c r="H191">
        <v>4</v>
      </c>
      <c r="I191">
        <v>136</v>
      </c>
      <c r="K191" s="13">
        <v>45856</v>
      </c>
      <c r="L191">
        <v>23</v>
      </c>
    </row>
    <row r="192" spans="1:12" x14ac:dyDescent="0.25">
      <c r="A192" t="s">
        <v>34</v>
      </c>
      <c r="D192" t="s">
        <v>36</v>
      </c>
      <c r="E192">
        <v>1984</v>
      </c>
      <c r="F192">
        <v>1</v>
      </c>
      <c r="G192">
        <v>3</v>
      </c>
      <c r="H192">
        <v>4</v>
      </c>
      <c r="I192">
        <v>136</v>
      </c>
      <c r="K192" s="13">
        <v>45869</v>
      </c>
      <c r="L192">
        <v>33</v>
      </c>
    </row>
    <row r="193" spans="1:12" x14ac:dyDescent="0.25">
      <c r="A193" t="s">
        <v>34</v>
      </c>
      <c r="D193" t="s">
        <v>36</v>
      </c>
      <c r="E193">
        <v>1984</v>
      </c>
      <c r="F193">
        <v>1</v>
      </c>
      <c r="G193">
        <v>3</v>
      </c>
      <c r="H193">
        <v>4</v>
      </c>
      <c r="I193">
        <v>136</v>
      </c>
      <c r="K193" s="13">
        <v>45881</v>
      </c>
      <c r="L193">
        <v>35</v>
      </c>
    </row>
    <row r="194" spans="1:12" x14ac:dyDescent="0.25">
      <c r="A194" t="s">
        <v>34</v>
      </c>
      <c r="D194" t="s">
        <v>36</v>
      </c>
      <c r="E194">
        <v>1984</v>
      </c>
      <c r="F194">
        <v>1</v>
      </c>
      <c r="G194">
        <v>3</v>
      </c>
      <c r="H194">
        <v>4</v>
      </c>
      <c r="I194">
        <v>136</v>
      </c>
      <c r="K194" s="13">
        <v>45895</v>
      </c>
      <c r="L194">
        <v>50</v>
      </c>
    </row>
    <row r="195" spans="1:12" x14ac:dyDescent="0.25">
      <c r="A195" t="s">
        <v>34</v>
      </c>
      <c r="D195" t="s">
        <v>36</v>
      </c>
      <c r="E195">
        <v>1984</v>
      </c>
      <c r="F195">
        <v>1</v>
      </c>
      <c r="G195">
        <v>3</v>
      </c>
      <c r="H195">
        <v>4</v>
      </c>
      <c r="I195">
        <v>136</v>
      </c>
      <c r="K195" s="13">
        <v>45908</v>
      </c>
      <c r="L195">
        <v>53</v>
      </c>
    </row>
    <row r="196" spans="1:12" x14ac:dyDescent="0.25">
      <c r="A196" t="s">
        <v>34</v>
      </c>
      <c r="D196" t="s">
        <v>36</v>
      </c>
      <c r="E196">
        <v>1984</v>
      </c>
      <c r="F196">
        <v>1</v>
      </c>
      <c r="G196">
        <v>3</v>
      </c>
      <c r="H196">
        <v>4</v>
      </c>
      <c r="I196">
        <v>136</v>
      </c>
      <c r="K196" s="13">
        <v>45923</v>
      </c>
      <c r="L196">
        <v>70</v>
      </c>
    </row>
    <row r="197" spans="1:12" x14ac:dyDescent="0.25">
      <c r="A197" t="s">
        <v>34</v>
      </c>
      <c r="D197" t="s">
        <v>36</v>
      </c>
      <c r="E197">
        <v>1984</v>
      </c>
      <c r="F197">
        <v>1</v>
      </c>
      <c r="G197">
        <v>3</v>
      </c>
      <c r="H197">
        <v>4</v>
      </c>
      <c r="I197">
        <v>136</v>
      </c>
      <c r="K197" s="13">
        <v>45939</v>
      </c>
      <c r="L197">
        <v>89</v>
      </c>
    </row>
    <row r="198" spans="1:12" x14ac:dyDescent="0.25">
      <c r="A198" t="s">
        <v>34</v>
      </c>
      <c r="D198" t="s">
        <v>36</v>
      </c>
      <c r="E198">
        <v>1984</v>
      </c>
      <c r="F198">
        <v>1</v>
      </c>
      <c r="G198">
        <v>3</v>
      </c>
      <c r="H198">
        <v>4</v>
      </c>
      <c r="I198">
        <v>136</v>
      </c>
      <c r="K198" s="13">
        <v>45959</v>
      </c>
      <c r="L198">
        <v>85</v>
      </c>
    </row>
    <row r="199" spans="1:12" x14ac:dyDescent="0.25">
      <c r="A199" t="s">
        <v>34</v>
      </c>
      <c r="D199" t="s">
        <v>36</v>
      </c>
      <c r="E199">
        <v>1984</v>
      </c>
      <c r="F199">
        <v>1</v>
      </c>
      <c r="G199">
        <v>3</v>
      </c>
      <c r="H199">
        <v>4</v>
      </c>
      <c r="I199">
        <v>136</v>
      </c>
      <c r="K199" s="13">
        <v>45966</v>
      </c>
      <c r="L199">
        <v>85</v>
      </c>
    </row>
    <row r="200" spans="1:12" x14ac:dyDescent="0.25">
      <c r="A200" t="s">
        <v>34</v>
      </c>
      <c r="D200" t="s">
        <v>39</v>
      </c>
      <c r="E200">
        <v>2001</v>
      </c>
      <c r="F200">
        <v>2</v>
      </c>
      <c r="G200">
        <v>3</v>
      </c>
      <c r="H200">
        <v>7</v>
      </c>
      <c r="I200">
        <v>139</v>
      </c>
      <c r="K200" s="13">
        <v>45810</v>
      </c>
      <c r="L200">
        <v>8</v>
      </c>
    </row>
    <row r="201" spans="1:12" x14ac:dyDescent="0.25">
      <c r="A201" t="s">
        <v>34</v>
      </c>
      <c r="D201" t="s">
        <v>39</v>
      </c>
      <c r="E201">
        <v>2001</v>
      </c>
      <c r="F201">
        <v>2</v>
      </c>
      <c r="G201">
        <v>3</v>
      </c>
      <c r="H201">
        <v>7</v>
      </c>
      <c r="I201">
        <v>139</v>
      </c>
      <c r="K201" s="13">
        <v>45827</v>
      </c>
      <c r="L201">
        <v>10</v>
      </c>
    </row>
    <row r="202" spans="1:12" x14ac:dyDescent="0.25">
      <c r="A202" t="s">
        <v>34</v>
      </c>
      <c r="D202" t="s">
        <v>39</v>
      </c>
      <c r="E202">
        <v>2001</v>
      </c>
      <c r="F202">
        <v>2</v>
      </c>
      <c r="G202">
        <v>3</v>
      </c>
      <c r="H202">
        <v>7</v>
      </c>
      <c r="I202">
        <v>139</v>
      </c>
      <c r="K202" s="13">
        <v>45856</v>
      </c>
      <c r="L202">
        <v>19</v>
      </c>
    </row>
    <row r="203" spans="1:12" x14ac:dyDescent="0.25">
      <c r="A203" t="s">
        <v>34</v>
      </c>
      <c r="D203" t="s">
        <v>39</v>
      </c>
      <c r="E203">
        <v>2001</v>
      </c>
      <c r="F203">
        <v>2</v>
      </c>
      <c r="G203">
        <v>3</v>
      </c>
      <c r="H203">
        <v>7</v>
      </c>
      <c r="I203">
        <v>139</v>
      </c>
      <c r="K203" s="13">
        <v>45869</v>
      </c>
      <c r="L203">
        <v>30</v>
      </c>
    </row>
    <row r="204" spans="1:12" x14ac:dyDescent="0.25">
      <c r="A204" t="s">
        <v>34</v>
      </c>
      <c r="D204" t="s">
        <v>39</v>
      </c>
      <c r="E204">
        <v>2001</v>
      </c>
      <c r="F204">
        <v>2</v>
      </c>
      <c r="G204">
        <v>3</v>
      </c>
      <c r="H204">
        <v>7</v>
      </c>
      <c r="I204">
        <v>139</v>
      </c>
      <c r="K204" s="13">
        <v>45881</v>
      </c>
      <c r="L204">
        <v>38</v>
      </c>
    </row>
    <row r="205" spans="1:12" x14ac:dyDescent="0.25">
      <c r="A205" t="s">
        <v>34</v>
      </c>
      <c r="D205" t="s">
        <v>39</v>
      </c>
      <c r="E205">
        <v>2001</v>
      </c>
      <c r="F205">
        <v>2</v>
      </c>
      <c r="G205">
        <v>3</v>
      </c>
      <c r="H205">
        <v>7</v>
      </c>
      <c r="I205">
        <v>139</v>
      </c>
      <c r="K205" s="13">
        <v>45895</v>
      </c>
      <c r="L205">
        <v>48</v>
      </c>
    </row>
    <row r="206" spans="1:12" x14ac:dyDescent="0.25">
      <c r="A206" t="s">
        <v>34</v>
      </c>
      <c r="D206" t="s">
        <v>39</v>
      </c>
      <c r="E206">
        <v>2001</v>
      </c>
      <c r="F206">
        <v>2</v>
      </c>
      <c r="G206">
        <v>3</v>
      </c>
      <c r="H206">
        <v>7</v>
      </c>
      <c r="I206">
        <v>139</v>
      </c>
      <c r="K206" s="13">
        <v>45908</v>
      </c>
      <c r="L206">
        <v>57</v>
      </c>
    </row>
    <row r="207" spans="1:12" x14ac:dyDescent="0.25">
      <c r="A207" t="s">
        <v>34</v>
      </c>
      <c r="D207" t="s">
        <v>39</v>
      </c>
      <c r="E207">
        <v>2001</v>
      </c>
      <c r="F207">
        <v>2</v>
      </c>
      <c r="G207">
        <v>3</v>
      </c>
      <c r="H207">
        <v>7</v>
      </c>
      <c r="I207">
        <v>139</v>
      </c>
      <c r="K207" s="13">
        <v>45923</v>
      </c>
      <c r="L207">
        <v>70</v>
      </c>
    </row>
    <row r="208" spans="1:12" x14ac:dyDescent="0.25">
      <c r="A208" t="s">
        <v>34</v>
      </c>
      <c r="D208" t="s">
        <v>39</v>
      </c>
      <c r="E208">
        <v>2001</v>
      </c>
      <c r="F208">
        <v>2</v>
      </c>
      <c r="G208">
        <v>3</v>
      </c>
      <c r="H208">
        <v>7</v>
      </c>
      <c r="I208">
        <v>139</v>
      </c>
      <c r="K208" s="13">
        <v>45939</v>
      </c>
      <c r="L208">
        <v>82</v>
      </c>
    </row>
    <row r="209" spans="1:12" x14ac:dyDescent="0.25">
      <c r="A209" t="s">
        <v>34</v>
      </c>
      <c r="D209" t="s">
        <v>39</v>
      </c>
      <c r="E209">
        <v>2001</v>
      </c>
      <c r="F209">
        <v>2</v>
      </c>
      <c r="G209">
        <v>3</v>
      </c>
      <c r="H209">
        <v>7</v>
      </c>
      <c r="I209">
        <v>139</v>
      </c>
      <c r="K209" s="13">
        <v>45959</v>
      </c>
      <c r="L209">
        <v>83</v>
      </c>
    </row>
    <row r="210" spans="1:12" x14ac:dyDescent="0.25">
      <c r="A210" t="s">
        <v>34</v>
      </c>
      <c r="D210" t="s">
        <v>39</v>
      </c>
      <c r="E210">
        <v>2001</v>
      </c>
      <c r="F210">
        <v>2</v>
      </c>
      <c r="G210">
        <v>3</v>
      </c>
      <c r="H210">
        <v>7</v>
      </c>
      <c r="I210">
        <v>139</v>
      </c>
      <c r="K210" s="13">
        <v>45966</v>
      </c>
      <c r="L210">
        <v>83</v>
      </c>
    </row>
    <row r="211" spans="1:12" x14ac:dyDescent="0.25">
      <c r="A211" t="s">
        <v>34</v>
      </c>
      <c r="D211" t="s">
        <v>38</v>
      </c>
      <c r="E211">
        <v>1999</v>
      </c>
      <c r="F211">
        <v>2</v>
      </c>
      <c r="G211">
        <v>3</v>
      </c>
      <c r="H211">
        <v>8</v>
      </c>
      <c r="I211">
        <v>140</v>
      </c>
      <c r="K211" s="13">
        <v>45810</v>
      </c>
      <c r="L211">
        <v>8</v>
      </c>
    </row>
    <row r="212" spans="1:12" x14ac:dyDescent="0.25">
      <c r="A212" t="s">
        <v>34</v>
      </c>
      <c r="D212" t="s">
        <v>38</v>
      </c>
      <c r="E212">
        <v>1999</v>
      </c>
      <c r="F212">
        <v>2</v>
      </c>
      <c r="G212">
        <v>3</v>
      </c>
      <c r="H212">
        <v>8</v>
      </c>
      <c r="I212">
        <v>140</v>
      </c>
      <c r="K212" s="13">
        <v>45827</v>
      </c>
      <c r="L212">
        <v>10</v>
      </c>
    </row>
    <row r="213" spans="1:12" x14ac:dyDescent="0.25">
      <c r="A213" t="s">
        <v>34</v>
      </c>
      <c r="D213" t="s">
        <v>38</v>
      </c>
      <c r="E213">
        <v>1999</v>
      </c>
      <c r="F213">
        <v>2</v>
      </c>
      <c r="G213">
        <v>3</v>
      </c>
      <c r="H213">
        <v>8</v>
      </c>
      <c r="I213">
        <v>140</v>
      </c>
      <c r="K213" s="13">
        <v>45856</v>
      </c>
      <c r="L213">
        <v>28</v>
      </c>
    </row>
    <row r="214" spans="1:12" x14ac:dyDescent="0.25">
      <c r="A214" t="s">
        <v>34</v>
      </c>
      <c r="D214" t="s">
        <v>38</v>
      </c>
      <c r="E214">
        <v>1999</v>
      </c>
      <c r="F214">
        <v>2</v>
      </c>
      <c r="G214">
        <v>3</v>
      </c>
      <c r="H214">
        <v>8</v>
      </c>
      <c r="I214">
        <v>140</v>
      </c>
      <c r="K214" s="13">
        <v>45869</v>
      </c>
      <c r="L214">
        <v>39</v>
      </c>
    </row>
    <row r="215" spans="1:12" x14ac:dyDescent="0.25">
      <c r="A215" t="s">
        <v>34</v>
      </c>
      <c r="D215" t="s">
        <v>38</v>
      </c>
      <c r="E215">
        <v>1999</v>
      </c>
      <c r="F215">
        <v>2</v>
      </c>
      <c r="G215">
        <v>3</v>
      </c>
      <c r="H215">
        <v>8</v>
      </c>
      <c r="I215">
        <v>140</v>
      </c>
      <c r="K215" s="13">
        <v>45881</v>
      </c>
      <c r="L215">
        <v>47</v>
      </c>
    </row>
    <row r="216" spans="1:12" x14ac:dyDescent="0.25">
      <c r="A216" t="s">
        <v>34</v>
      </c>
      <c r="D216" t="s">
        <v>38</v>
      </c>
      <c r="E216">
        <v>1999</v>
      </c>
      <c r="F216">
        <v>2</v>
      </c>
      <c r="G216">
        <v>3</v>
      </c>
      <c r="H216">
        <v>8</v>
      </c>
      <c r="I216">
        <v>140</v>
      </c>
      <c r="K216" s="13">
        <v>45895</v>
      </c>
      <c r="L216">
        <v>59</v>
      </c>
    </row>
    <row r="217" spans="1:12" x14ac:dyDescent="0.25">
      <c r="A217" t="s">
        <v>34</v>
      </c>
      <c r="D217" t="s">
        <v>38</v>
      </c>
      <c r="E217">
        <v>1999</v>
      </c>
      <c r="F217">
        <v>2</v>
      </c>
      <c r="G217">
        <v>3</v>
      </c>
      <c r="H217">
        <v>8</v>
      </c>
      <c r="I217">
        <v>140</v>
      </c>
      <c r="K217" s="13">
        <v>45908</v>
      </c>
      <c r="L217">
        <v>64</v>
      </c>
    </row>
    <row r="218" spans="1:12" x14ac:dyDescent="0.25">
      <c r="A218" t="s">
        <v>34</v>
      </c>
      <c r="D218" t="s">
        <v>38</v>
      </c>
      <c r="E218">
        <v>1999</v>
      </c>
      <c r="F218">
        <v>2</v>
      </c>
      <c r="G218">
        <v>3</v>
      </c>
      <c r="H218">
        <v>8</v>
      </c>
      <c r="I218">
        <v>140</v>
      </c>
      <c r="K218" s="13">
        <v>45923</v>
      </c>
      <c r="L218">
        <v>73</v>
      </c>
    </row>
    <row r="219" spans="1:12" x14ac:dyDescent="0.25">
      <c r="A219" t="s">
        <v>34</v>
      </c>
      <c r="D219" t="s">
        <v>38</v>
      </c>
      <c r="E219">
        <v>1999</v>
      </c>
      <c r="F219">
        <v>2</v>
      </c>
      <c r="G219">
        <v>3</v>
      </c>
      <c r="H219">
        <v>8</v>
      </c>
      <c r="I219">
        <v>140</v>
      </c>
      <c r="K219" s="13">
        <v>45939</v>
      </c>
      <c r="L219">
        <v>96</v>
      </c>
    </row>
    <row r="220" spans="1:12" x14ac:dyDescent="0.25">
      <c r="A220" t="s">
        <v>34</v>
      </c>
      <c r="D220" t="s">
        <v>38</v>
      </c>
      <c r="E220">
        <v>1999</v>
      </c>
      <c r="F220">
        <v>2</v>
      </c>
      <c r="G220">
        <v>3</v>
      </c>
      <c r="H220">
        <v>8</v>
      </c>
      <c r="I220">
        <v>140</v>
      </c>
      <c r="K220" s="13">
        <v>45959</v>
      </c>
      <c r="L220">
        <v>99</v>
      </c>
    </row>
    <row r="221" spans="1:12" x14ac:dyDescent="0.25">
      <c r="A221" t="s">
        <v>34</v>
      </c>
      <c r="D221" t="s">
        <v>38</v>
      </c>
      <c r="E221">
        <v>1999</v>
      </c>
      <c r="F221">
        <v>2</v>
      </c>
      <c r="G221">
        <v>3</v>
      </c>
      <c r="H221">
        <v>8</v>
      </c>
      <c r="I221">
        <v>140</v>
      </c>
      <c r="K221" s="13">
        <v>45966</v>
      </c>
      <c r="L221">
        <v>99</v>
      </c>
    </row>
    <row r="222" spans="1:12" x14ac:dyDescent="0.25">
      <c r="A222" t="s">
        <v>34</v>
      </c>
      <c r="D222" t="s">
        <v>43</v>
      </c>
      <c r="E222">
        <v>2020</v>
      </c>
      <c r="F222">
        <v>3</v>
      </c>
      <c r="G222">
        <v>3</v>
      </c>
      <c r="H222">
        <v>11</v>
      </c>
      <c r="I222">
        <v>143</v>
      </c>
      <c r="K222" s="13">
        <v>45810</v>
      </c>
      <c r="L222">
        <v>8</v>
      </c>
    </row>
    <row r="223" spans="1:12" x14ac:dyDescent="0.25">
      <c r="A223" t="s">
        <v>34</v>
      </c>
      <c r="D223" t="s">
        <v>43</v>
      </c>
      <c r="E223">
        <v>2020</v>
      </c>
      <c r="F223">
        <v>3</v>
      </c>
      <c r="G223">
        <v>3</v>
      </c>
      <c r="H223">
        <v>11</v>
      </c>
      <c r="I223">
        <v>143</v>
      </c>
      <c r="K223" s="13">
        <v>45827</v>
      </c>
      <c r="L223">
        <v>16</v>
      </c>
    </row>
    <row r="224" spans="1:12" x14ac:dyDescent="0.25">
      <c r="A224" t="s">
        <v>34</v>
      </c>
      <c r="D224" t="s">
        <v>43</v>
      </c>
      <c r="E224">
        <v>2020</v>
      </c>
      <c r="F224">
        <v>3</v>
      </c>
      <c r="G224">
        <v>3</v>
      </c>
      <c r="H224">
        <v>11</v>
      </c>
      <c r="I224">
        <v>143</v>
      </c>
      <c r="K224" s="13">
        <v>45856</v>
      </c>
      <c r="L224">
        <v>27</v>
      </c>
    </row>
    <row r="225" spans="1:12" x14ac:dyDescent="0.25">
      <c r="A225" t="s">
        <v>34</v>
      </c>
      <c r="D225" t="s">
        <v>43</v>
      </c>
      <c r="E225">
        <v>2020</v>
      </c>
      <c r="F225">
        <v>3</v>
      </c>
      <c r="G225">
        <v>3</v>
      </c>
      <c r="H225">
        <v>11</v>
      </c>
      <c r="I225">
        <v>143</v>
      </c>
      <c r="K225" s="13">
        <v>45869</v>
      </c>
      <c r="L225">
        <v>35</v>
      </c>
    </row>
    <row r="226" spans="1:12" x14ac:dyDescent="0.25">
      <c r="A226" t="s">
        <v>34</v>
      </c>
      <c r="D226" t="s">
        <v>43</v>
      </c>
      <c r="E226">
        <v>2020</v>
      </c>
      <c r="F226">
        <v>3</v>
      </c>
      <c r="G226">
        <v>3</v>
      </c>
      <c r="H226">
        <v>11</v>
      </c>
      <c r="I226">
        <v>143</v>
      </c>
      <c r="K226" s="13">
        <v>45881</v>
      </c>
      <c r="L226">
        <v>43</v>
      </c>
    </row>
    <row r="227" spans="1:12" x14ac:dyDescent="0.25">
      <c r="A227" t="s">
        <v>34</v>
      </c>
      <c r="D227" t="s">
        <v>43</v>
      </c>
      <c r="E227">
        <v>2020</v>
      </c>
      <c r="F227">
        <v>3</v>
      </c>
      <c r="G227">
        <v>3</v>
      </c>
      <c r="H227">
        <v>11</v>
      </c>
      <c r="I227">
        <v>143</v>
      </c>
      <c r="K227" s="13">
        <v>45895</v>
      </c>
      <c r="L227">
        <v>53</v>
      </c>
    </row>
    <row r="228" spans="1:12" x14ac:dyDescent="0.25">
      <c r="A228" t="s">
        <v>34</v>
      </c>
      <c r="D228" t="s">
        <v>43</v>
      </c>
      <c r="E228">
        <v>2020</v>
      </c>
      <c r="F228">
        <v>3</v>
      </c>
      <c r="G228">
        <v>3</v>
      </c>
      <c r="H228">
        <v>11</v>
      </c>
      <c r="I228">
        <v>143</v>
      </c>
      <c r="K228" s="13">
        <v>45908</v>
      </c>
      <c r="L228">
        <v>55</v>
      </c>
    </row>
    <row r="229" spans="1:12" x14ac:dyDescent="0.25">
      <c r="A229" t="s">
        <v>34</v>
      </c>
      <c r="D229" t="s">
        <v>43</v>
      </c>
      <c r="E229">
        <v>2020</v>
      </c>
      <c r="F229">
        <v>3</v>
      </c>
      <c r="G229">
        <v>3</v>
      </c>
      <c r="H229">
        <v>11</v>
      </c>
      <c r="I229">
        <v>143</v>
      </c>
      <c r="K229" s="13">
        <v>45923</v>
      </c>
      <c r="L229">
        <v>70</v>
      </c>
    </row>
    <row r="230" spans="1:12" x14ac:dyDescent="0.25">
      <c r="A230" t="s">
        <v>34</v>
      </c>
      <c r="D230" t="s">
        <v>43</v>
      </c>
      <c r="E230">
        <v>2020</v>
      </c>
      <c r="F230">
        <v>3</v>
      </c>
      <c r="G230">
        <v>3</v>
      </c>
      <c r="H230">
        <v>11</v>
      </c>
      <c r="I230">
        <v>143</v>
      </c>
      <c r="K230" s="13">
        <v>45939</v>
      </c>
      <c r="L230">
        <v>83</v>
      </c>
    </row>
    <row r="231" spans="1:12" x14ac:dyDescent="0.25">
      <c r="A231" t="s">
        <v>34</v>
      </c>
      <c r="D231" t="s">
        <v>43</v>
      </c>
      <c r="E231">
        <v>2020</v>
      </c>
      <c r="F231">
        <v>3</v>
      </c>
      <c r="G231">
        <v>3</v>
      </c>
      <c r="H231">
        <v>11</v>
      </c>
      <c r="I231">
        <v>143</v>
      </c>
      <c r="K231" s="13">
        <v>45959</v>
      </c>
      <c r="L231">
        <v>88</v>
      </c>
    </row>
    <row r="232" spans="1:12" x14ac:dyDescent="0.25">
      <c r="A232" t="s">
        <v>34</v>
      </c>
      <c r="D232" t="s">
        <v>43</v>
      </c>
      <c r="E232">
        <v>2020</v>
      </c>
      <c r="F232">
        <v>3</v>
      </c>
      <c r="G232">
        <v>3</v>
      </c>
      <c r="H232">
        <v>11</v>
      </c>
      <c r="I232">
        <v>143</v>
      </c>
      <c r="K232" s="13">
        <v>45966</v>
      </c>
      <c r="L232">
        <v>88</v>
      </c>
    </row>
    <row r="233" spans="1:12" x14ac:dyDescent="0.25">
      <c r="A233" t="s">
        <v>34</v>
      </c>
      <c r="D233" t="s">
        <v>318</v>
      </c>
      <c r="E233">
        <v>2004</v>
      </c>
      <c r="F233">
        <v>3</v>
      </c>
      <c r="G233">
        <v>3</v>
      </c>
      <c r="H233">
        <v>12</v>
      </c>
      <c r="I233">
        <v>144</v>
      </c>
      <c r="K233" s="13">
        <v>45810</v>
      </c>
      <c r="L233">
        <v>8</v>
      </c>
    </row>
    <row r="234" spans="1:12" x14ac:dyDescent="0.25">
      <c r="A234" t="s">
        <v>34</v>
      </c>
      <c r="D234" t="s">
        <v>318</v>
      </c>
      <c r="E234">
        <v>2004</v>
      </c>
      <c r="F234">
        <v>3</v>
      </c>
      <c r="G234">
        <v>3</v>
      </c>
      <c r="H234">
        <v>12</v>
      </c>
      <c r="I234">
        <v>144</v>
      </c>
      <c r="K234" s="13">
        <v>45827</v>
      </c>
      <c r="L234">
        <v>12</v>
      </c>
    </row>
    <row r="235" spans="1:12" x14ac:dyDescent="0.25">
      <c r="A235" t="s">
        <v>34</v>
      </c>
      <c r="D235" t="s">
        <v>318</v>
      </c>
      <c r="E235">
        <v>2004</v>
      </c>
      <c r="F235">
        <v>3</v>
      </c>
      <c r="G235">
        <v>3</v>
      </c>
      <c r="H235">
        <v>12</v>
      </c>
      <c r="I235">
        <v>144</v>
      </c>
      <c r="K235" s="13">
        <v>45856</v>
      </c>
      <c r="L235">
        <v>20</v>
      </c>
    </row>
    <row r="236" spans="1:12" x14ac:dyDescent="0.25">
      <c r="A236" t="s">
        <v>34</v>
      </c>
      <c r="D236" t="s">
        <v>318</v>
      </c>
      <c r="E236">
        <v>2004</v>
      </c>
      <c r="F236">
        <v>3</v>
      </c>
      <c r="G236">
        <v>3</v>
      </c>
      <c r="H236">
        <v>12</v>
      </c>
      <c r="I236">
        <v>144</v>
      </c>
      <c r="K236" s="13">
        <v>45869</v>
      </c>
      <c r="L236">
        <v>31</v>
      </c>
    </row>
    <row r="237" spans="1:12" x14ac:dyDescent="0.25">
      <c r="A237" t="s">
        <v>34</v>
      </c>
      <c r="D237" t="s">
        <v>318</v>
      </c>
      <c r="E237">
        <v>2004</v>
      </c>
      <c r="F237">
        <v>3</v>
      </c>
      <c r="G237">
        <v>3</v>
      </c>
      <c r="H237">
        <v>12</v>
      </c>
      <c r="I237">
        <v>144</v>
      </c>
      <c r="K237" s="13">
        <v>45881</v>
      </c>
      <c r="L237">
        <v>40</v>
      </c>
    </row>
    <row r="238" spans="1:12" x14ac:dyDescent="0.25">
      <c r="A238" t="s">
        <v>34</v>
      </c>
      <c r="D238" t="s">
        <v>318</v>
      </c>
      <c r="E238">
        <v>2004</v>
      </c>
      <c r="F238">
        <v>3</v>
      </c>
      <c r="G238">
        <v>3</v>
      </c>
      <c r="H238">
        <v>12</v>
      </c>
      <c r="I238">
        <v>144</v>
      </c>
      <c r="K238" s="13">
        <v>45895</v>
      </c>
      <c r="L238">
        <v>53</v>
      </c>
    </row>
    <row r="239" spans="1:12" x14ac:dyDescent="0.25">
      <c r="A239" t="s">
        <v>34</v>
      </c>
      <c r="D239" t="s">
        <v>318</v>
      </c>
      <c r="E239">
        <v>2004</v>
      </c>
      <c r="F239">
        <v>3</v>
      </c>
      <c r="G239">
        <v>3</v>
      </c>
      <c r="H239">
        <v>12</v>
      </c>
      <c r="I239">
        <v>144</v>
      </c>
      <c r="K239" s="13">
        <v>45908</v>
      </c>
      <c r="L239">
        <v>62</v>
      </c>
    </row>
    <row r="240" spans="1:12" x14ac:dyDescent="0.25">
      <c r="A240" t="s">
        <v>34</v>
      </c>
      <c r="D240" t="s">
        <v>318</v>
      </c>
      <c r="E240">
        <v>2004</v>
      </c>
      <c r="F240">
        <v>3</v>
      </c>
      <c r="G240">
        <v>3</v>
      </c>
      <c r="H240">
        <v>12</v>
      </c>
      <c r="I240">
        <v>144</v>
      </c>
      <c r="K240" s="13">
        <v>45923</v>
      </c>
      <c r="L240">
        <v>79</v>
      </c>
    </row>
    <row r="241" spans="1:12" x14ac:dyDescent="0.25">
      <c r="A241" t="s">
        <v>34</v>
      </c>
      <c r="D241" t="s">
        <v>318</v>
      </c>
      <c r="E241">
        <v>2004</v>
      </c>
      <c r="F241">
        <v>3</v>
      </c>
      <c r="G241">
        <v>3</v>
      </c>
      <c r="H241">
        <v>12</v>
      </c>
      <c r="I241">
        <v>144</v>
      </c>
      <c r="K241" s="13">
        <v>45939</v>
      </c>
      <c r="L241">
        <v>97</v>
      </c>
    </row>
    <row r="242" spans="1:12" x14ac:dyDescent="0.25">
      <c r="A242" t="s">
        <v>34</v>
      </c>
      <c r="D242" t="s">
        <v>318</v>
      </c>
      <c r="E242">
        <v>2004</v>
      </c>
      <c r="F242">
        <v>3</v>
      </c>
      <c r="G242">
        <v>3</v>
      </c>
      <c r="H242">
        <v>12</v>
      </c>
      <c r="I242">
        <v>144</v>
      </c>
      <c r="K242" s="13">
        <v>45959</v>
      </c>
      <c r="L242">
        <v>104</v>
      </c>
    </row>
    <row r="243" spans="1:12" x14ac:dyDescent="0.25">
      <c r="A243" t="s">
        <v>34</v>
      </c>
      <c r="D243" t="s">
        <v>318</v>
      </c>
      <c r="E243">
        <v>2004</v>
      </c>
      <c r="F243">
        <v>3</v>
      </c>
      <c r="G243">
        <v>3</v>
      </c>
      <c r="H243">
        <v>12</v>
      </c>
      <c r="I243">
        <v>144</v>
      </c>
      <c r="K243" s="13">
        <v>45966</v>
      </c>
      <c r="L243">
        <v>104</v>
      </c>
    </row>
    <row r="244" spans="1:12" x14ac:dyDescent="0.25">
      <c r="A244" t="s">
        <v>34</v>
      </c>
      <c r="D244" t="s">
        <v>37</v>
      </c>
      <c r="E244">
        <v>1989</v>
      </c>
      <c r="F244">
        <v>4</v>
      </c>
      <c r="G244">
        <v>3</v>
      </c>
      <c r="H244">
        <v>15</v>
      </c>
      <c r="I244">
        <v>147</v>
      </c>
      <c r="K244" s="13">
        <v>45810</v>
      </c>
      <c r="L244">
        <v>8</v>
      </c>
    </row>
    <row r="245" spans="1:12" x14ac:dyDescent="0.25">
      <c r="A245" t="s">
        <v>34</v>
      </c>
      <c r="D245" t="s">
        <v>37</v>
      </c>
      <c r="E245">
        <v>1989</v>
      </c>
      <c r="F245">
        <v>4</v>
      </c>
      <c r="G245">
        <v>3</v>
      </c>
      <c r="H245">
        <v>15</v>
      </c>
      <c r="I245">
        <v>147</v>
      </c>
      <c r="K245" s="13">
        <v>45827</v>
      </c>
      <c r="L245">
        <v>10</v>
      </c>
    </row>
    <row r="246" spans="1:12" x14ac:dyDescent="0.25">
      <c r="A246" t="s">
        <v>34</v>
      </c>
      <c r="D246" t="s">
        <v>37</v>
      </c>
      <c r="E246">
        <v>1989</v>
      </c>
      <c r="F246">
        <v>4</v>
      </c>
      <c r="G246">
        <v>3</v>
      </c>
      <c r="H246">
        <v>15</v>
      </c>
      <c r="I246">
        <v>147</v>
      </c>
      <c r="K246" s="13">
        <v>45856</v>
      </c>
      <c r="L246">
        <v>20</v>
      </c>
    </row>
    <row r="247" spans="1:12" x14ac:dyDescent="0.25">
      <c r="A247" t="s">
        <v>34</v>
      </c>
      <c r="D247" t="s">
        <v>37</v>
      </c>
      <c r="E247">
        <v>1989</v>
      </c>
      <c r="F247">
        <v>4</v>
      </c>
      <c r="G247">
        <v>3</v>
      </c>
      <c r="H247">
        <v>15</v>
      </c>
      <c r="I247">
        <v>147</v>
      </c>
      <c r="K247" s="13">
        <v>45869</v>
      </c>
      <c r="L247">
        <v>30</v>
      </c>
    </row>
    <row r="248" spans="1:12" x14ac:dyDescent="0.25">
      <c r="A248" t="s">
        <v>34</v>
      </c>
      <c r="D248" t="s">
        <v>37</v>
      </c>
      <c r="E248">
        <v>1989</v>
      </c>
      <c r="F248">
        <v>4</v>
      </c>
      <c r="G248">
        <v>3</v>
      </c>
      <c r="H248">
        <v>15</v>
      </c>
      <c r="I248">
        <v>147</v>
      </c>
      <c r="K248" s="13">
        <v>45881</v>
      </c>
      <c r="L248">
        <v>41</v>
      </c>
    </row>
    <row r="249" spans="1:12" x14ac:dyDescent="0.25">
      <c r="A249" t="s">
        <v>34</v>
      </c>
      <c r="D249" t="s">
        <v>37</v>
      </c>
      <c r="E249">
        <v>1989</v>
      </c>
      <c r="F249">
        <v>4</v>
      </c>
      <c r="G249">
        <v>3</v>
      </c>
      <c r="H249">
        <v>15</v>
      </c>
      <c r="I249">
        <v>147</v>
      </c>
      <c r="K249" s="13">
        <v>45895</v>
      </c>
      <c r="L249">
        <v>51</v>
      </c>
    </row>
    <row r="250" spans="1:12" x14ac:dyDescent="0.25">
      <c r="A250" t="s">
        <v>34</v>
      </c>
      <c r="D250" t="s">
        <v>37</v>
      </c>
      <c r="E250">
        <v>1989</v>
      </c>
      <c r="F250">
        <v>4</v>
      </c>
      <c r="G250">
        <v>3</v>
      </c>
      <c r="H250">
        <v>15</v>
      </c>
      <c r="I250">
        <v>147</v>
      </c>
      <c r="K250" s="13">
        <v>45908</v>
      </c>
      <c r="L250">
        <v>59</v>
      </c>
    </row>
    <row r="251" spans="1:12" x14ac:dyDescent="0.25">
      <c r="A251" t="s">
        <v>34</v>
      </c>
      <c r="D251" t="s">
        <v>37</v>
      </c>
      <c r="E251">
        <v>1989</v>
      </c>
      <c r="F251">
        <v>4</v>
      </c>
      <c r="G251">
        <v>3</v>
      </c>
      <c r="H251">
        <v>15</v>
      </c>
      <c r="I251">
        <v>147</v>
      </c>
      <c r="K251" s="13">
        <v>45923</v>
      </c>
      <c r="L251">
        <v>67</v>
      </c>
    </row>
    <row r="252" spans="1:12" x14ac:dyDescent="0.25">
      <c r="A252" t="s">
        <v>34</v>
      </c>
      <c r="D252" t="s">
        <v>37</v>
      </c>
      <c r="E252">
        <v>1989</v>
      </c>
      <c r="F252">
        <v>4</v>
      </c>
      <c r="G252">
        <v>3</v>
      </c>
      <c r="H252">
        <v>15</v>
      </c>
      <c r="I252">
        <v>147</v>
      </c>
      <c r="K252" s="13">
        <v>45939</v>
      </c>
      <c r="L252">
        <v>92</v>
      </c>
    </row>
    <row r="253" spans="1:12" x14ac:dyDescent="0.25">
      <c r="A253" t="s">
        <v>34</v>
      </c>
      <c r="D253" t="s">
        <v>37</v>
      </c>
      <c r="E253">
        <v>1989</v>
      </c>
      <c r="F253">
        <v>4</v>
      </c>
      <c r="G253">
        <v>3</v>
      </c>
      <c r="H253">
        <v>15</v>
      </c>
      <c r="I253">
        <v>147</v>
      </c>
      <c r="K253" s="13">
        <v>45959</v>
      </c>
      <c r="L253">
        <v>92</v>
      </c>
    </row>
    <row r="254" spans="1:12" x14ac:dyDescent="0.25">
      <c r="A254" t="s">
        <v>34</v>
      </c>
      <c r="D254" t="s">
        <v>37</v>
      </c>
      <c r="E254">
        <v>1989</v>
      </c>
      <c r="F254">
        <v>4</v>
      </c>
      <c r="G254">
        <v>3</v>
      </c>
      <c r="H254">
        <v>15</v>
      </c>
      <c r="I254">
        <v>147</v>
      </c>
      <c r="K254" s="13">
        <v>45966</v>
      </c>
      <c r="L254">
        <v>92</v>
      </c>
    </row>
    <row r="255" spans="1:12" x14ac:dyDescent="0.25">
      <c r="A255" t="s">
        <v>34</v>
      </c>
      <c r="D255" t="s">
        <v>42</v>
      </c>
      <c r="E255">
        <v>2016</v>
      </c>
      <c r="F255">
        <v>4</v>
      </c>
      <c r="G255">
        <v>3</v>
      </c>
      <c r="H255">
        <v>16</v>
      </c>
      <c r="I255">
        <v>148</v>
      </c>
      <c r="K255" s="13">
        <v>45810</v>
      </c>
      <c r="L255">
        <v>8</v>
      </c>
    </row>
    <row r="256" spans="1:12" x14ac:dyDescent="0.25">
      <c r="A256" t="s">
        <v>34</v>
      </c>
      <c r="D256" t="s">
        <v>42</v>
      </c>
      <c r="E256">
        <v>2016</v>
      </c>
      <c r="F256">
        <v>4</v>
      </c>
      <c r="G256">
        <v>3</v>
      </c>
      <c r="H256">
        <v>16</v>
      </c>
      <c r="I256">
        <v>148</v>
      </c>
      <c r="K256" s="13">
        <v>45827</v>
      </c>
      <c r="L256">
        <v>12</v>
      </c>
    </row>
    <row r="257" spans="1:12" x14ac:dyDescent="0.25">
      <c r="A257" t="s">
        <v>34</v>
      </c>
      <c r="D257" t="s">
        <v>42</v>
      </c>
      <c r="E257">
        <v>2016</v>
      </c>
      <c r="F257">
        <v>4</v>
      </c>
      <c r="G257">
        <v>3</v>
      </c>
      <c r="H257">
        <v>16</v>
      </c>
      <c r="I257">
        <v>148</v>
      </c>
      <c r="K257" s="13">
        <v>45856</v>
      </c>
      <c r="L257">
        <v>22</v>
      </c>
    </row>
    <row r="258" spans="1:12" x14ac:dyDescent="0.25">
      <c r="A258" t="s">
        <v>34</v>
      </c>
      <c r="D258" t="s">
        <v>42</v>
      </c>
      <c r="E258">
        <v>2016</v>
      </c>
      <c r="F258">
        <v>4</v>
      </c>
      <c r="G258">
        <v>3</v>
      </c>
      <c r="H258">
        <v>16</v>
      </c>
      <c r="I258">
        <v>148</v>
      </c>
      <c r="K258" s="13">
        <v>45869</v>
      </c>
      <c r="L258">
        <v>34</v>
      </c>
    </row>
    <row r="259" spans="1:12" x14ac:dyDescent="0.25">
      <c r="A259" t="s">
        <v>34</v>
      </c>
      <c r="D259" t="s">
        <v>42</v>
      </c>
      <c r="E259">
        <v>2016</v>
      </c>
      <c r="F259">
        <v>4</v>
      </c>
      <c r="G259">
        <v>3</v>
      </c>
      <c r="H259">
        <v>16</v>
      </c>
      <c r="I259">
        <v>148</v>
      </c>
      <c r="K259" s="13">
        <v>45881</v>
      </c>
      <c r="L259">
        <v>38</v>
      </c>
    </row>
    <row r="260" spans="1:12" x14ac:dyDescent="0.25">
      <c r="A260" t="s">
        <v>34</v>
      </c>
      <c r="D260" t="s">
        <v>42</v>
      </c>
      <c r="E260">
        <v>2016</v>
      </c>
      <c r="F260">
        <v>4</v>
      </c>
      <c r="G260">
        <v>3</v>
      </c>
      <c r="H260">
        <v>16</v>
      </c>
      <c r="I260">
        <v>148</v>
      </c>
      <c r="K260" s="13">
        <v>45895</v>
      </c>
      <c r="L260">
        <v>51</v>
      </c>
    </row>
    <row r="261" spans="1:12" x14ac:dyDescent="0.25">
      <c r="A261" t="s">
        <v>34</v>
      </c>
      <c r="D261" t="s">
        <v>42</v>
      </c>
      <c r="E261">
        <v>2016</v>
      </c>
      <c r="F261">
        <v>4</v>
      </c>
      <c r="G261">
        <v>3</v>
      </c>
      <c r="H261">
        <v>16</v>
      </c>
      <c r="I261">
        <v>148</v>
      </c>
      <c r="K261" s="13">
        <v>45908</v>
      </c>
      <c r="L261">
        <v>62</v>
      </c>
    </row>
    <row r="262" spans="1:12" x14ac:dyDescent="0.25">
      <c r="A262" t="s">
        <v>34</v>
      </c>
      <c r="D262" t="s">
        <v>42</v>
      </c>
      <c r="E262">
        <v>2016</v>
      </c>
      <c r="F262">
        <v>4</v>
      </c>
      <c r="G262">
        <v>3</v>
      </c>
      <c r="H262">
        <v>16</v>
      </c>
      <c r="I262">
        <v>148</v>
      </c>
      <c r="K262" s="13">
        <v>45923</v>
      </c>
      <c r="L262">
        <v>68</v>
      </c>
    </row>
    <row r="263" spans="1:12" x14ac:dyDescent="0.25">
      <c r="A263" t="s">
        <v>34</v>
      </c>
      <c r="D263" t="s">
        <v>42</v>
      </c>
      <c r="E263">
        <v>2016</v>
      </c>
      <c r="F263">
        <v>4</v>
      </c>
      <c r="G263">
        <v>3</v>
      </c>
      <c r="H263">
        <v>16</v>
      </c>
      <c r="I263">
        <v>148</v>
      </c>
      <c r="K263" s="13">
        <v>45939</v>
      </c>
      <c r="L263">
        <v>84</v>
      </c>
    </row>
    <row r="264" spans="1:12" x14ac:dyDescent="0.25">
      <c r="A264" t="s">
        <v>34</v>
      </c>
      <c r="D264" t="s">
        <v>42</v>
      </c>
      <c r="E264">
        <v>2016</v>
      </c>
      <c r="F264">
        <v>4</v>
      </c>
      <c r="G264">
        <v>3</v>
      </c>
      <c r="H264">
        <v>16</v>
      </c>
      <c r="I264">
        <v>148</v>
      </c>
      <c r="K264" s="13">
        <v>45959</v>
      </c>
      <c r="L264">
        <v>87</v>
      </c>
    </row>
    <row r="265" spans="1:12" x14ac:dyDescent="0.25">
      <c r="A265" t="s">
        <v>34</v>
      </c>
      <c r="D265" t="s">
        <v>42</v>
      </c>
      <c r="E265">
        <v>2016</v>
      </c>
      <c r="F265">
        <v>4</v>
      </c>
      <c r="G265">
        <v>3</v>
      </c>
      <c r="H265">
        <v>16</v>
      </c>
      <c r="I265">
        <v>148</v>
      </c>
      <c r="K265" s="13">
        <v>45966</v>
      </c>
      <c r="L265">
        <v>87</v>
      </c>
    </row>
    <row r="266" spans="1:12" x14ac:dyDescent="0.25">
      <c r="A266" t="s">
        <v>34</v>
      </c>
      <c r="D266" t="s">
        <v>38</v>
      </c>
      <c r="E266">
        <v>1999</v>
      </c>
      <c r="F266">
        <v>1</v>
      </c>
      <c r="G266">
        <v>4</v>
      </c>
      <c r="H266">
        <v>3</v>
      </c>
      <c r="I266">
        <v>151</v>
      </c>
      <c r="K266" s="13">
        <v>45810</v>
      </c>
      <c r="L266">
        <v>8</v>
      </c>
    </row>
    <row r="267" spans="1:12" x14ac:dyDescent="0.25">
      <c r="A267" t="s">
        <v>34</v>
      </c>
      <c r="D267" t="s">
        <v>38</v>
      </c>
      <c r="E267">
        <v>1999</v>
      </c>
      <c r="F267">
        <v>1</v>
      </c>
      <c r="G267">
        <v>4</v>
      </c>
      <c r="H267">
        <v>3</v>
      </c>
      <c r="I267">
        <v>151</v>
      </c>
      <c r="K267" s="13">
        <v>45827</v>
      </c>
      <c r="L267">
        <v>13</v>
      </c>
    </row>
    <row r="268" spans="1:12" x14ac:dyDescent="0.25">
      <c r="A268" t="s">
        <v>34</v>
      </c>
      <c r="D268" t="s">
        <v>38</v>
      </c>
      <c r="E268">
        <v>1999</v>
      </c>
      <c r="F268">
        <v>1</v>
      </c>
      <c r="G268">
        <v>4</v>
      </c>
      <c r="H268">
        <v>3</v>
      </c>
      <c r="I268">
        <v>151</v>
      </c>
      <c r="K268" s="13">
        <v>45856</v>
      </c>
      <c r="L268">
        <v>25</v>
      </c>
    </row>
    <row r="269" spans="1:12" x14ac:dyDescent="0.25">
      <c r="A269" t="s">
        <v>34</v>
      </c>
      <c r="D269" t="s">
        <v>38</v>
      </c>
      <c r="E269">
        <v>1999</v>
      </c>
      <c r="F269">
        <v>1</v>
      </c>
      <c r="G269">
        <v>4</v>
      </c>
      <c r="H269">
        <v>3</v>
      </c>
      <c r="I269">
        <v>151</v>
      </c>
      <c r="K269" s="13">
        <v>45869</v>
      </c>
      <c r="L269">
        <v>38</v>
      </c>
    </row>
    <row r="270" spans="1:12" x14ac:dyDescent="0.25">
      <c r="A270" t="s">
        <v>34</v>
      </c>
      <c r="D270" t="s">
        <v>38</v>
      </c>
      <c r="E270">
        <v>1999</v>
      </c>
      <c r="F270">
        <v>1</v>
      </c>
      <c r="G270">
        <v>4</v>
      </c>
      <c r="H270">
        <v>3</v>
      </c>
      <c r="I270">
        <v>151</v>
      </c>
      <c r="K270" s="13">
        <v>45881</v>
      </c>
      <c r="L270">
        <v>43</v>
      </c>
    </row>
    <row r="271" spans="1:12" x14ac:dyDescent="0.25">
      <c r="A271" t="s">
        <v>34</v>
      </c>
      <c r="D271" t="s">
        <v>38</v>
      </c>
      <c r="E271">
        <v>1999</v>
      </c>
      <c r="F271">
        <v>1</v>
      </c>
      <c r="G271">
        <v>4</v>
      </c>
      <c r="H271">
        <v>3</v>
      </c>
      <c r="I271">
        <v>151</v>
      </c>
      <c r="K271" s="13">
        <v>45895</v>
      </c>
      <c r="L271">
        <v>56</v>
      </c>
    </row>
    <row r="272" spans="1:12" x14ac:dyDescent="0.25">
      <c r="A272" t="s">
        <v>34</v>
      </c>
      <c r="D272" t="s">
        <v>38</v>
      </c>
      <c r="E272">
        <v>1999</v>
      </c>
      <c r="F272">
        <v>1</v>
      </c>
      <c r="G272">
        <v>4</v>
      </c>
      <c r="H272">
        <v>3</v>
      </c>
      <c r="I272">
        <v>151</v>
      </c>
      <c r="K272" s="13">
        <v>45908</v>
      </c>
      <c r="L272">
        <v>65</v>
      </c>
    </row>
    <row r="273" spans="1:12" x14ac:dyDescent="0.25">
      <c r="A273" t="s">
        <v>34</v>
      </c>
      <c r="D273" t="s">
        <v>38</v>
      </c>
      <c r="E273">
        <v>1999</v>
      </c>
      <c r="F273">
        <v>1</v>
      </c>
      <c r="G273">
        <v>4</v>
      </c>
      <c r="H273">
        <v>3</v>
      </c>
      <c r="I273">
        <v>151</v>
      </c>
      <c r="K273" s="13">
        <v>45923</v>
      </c>
      <c r="L273">
        <v>70</v>
      </c>
    </row>
    <row r="274" spans="1:12" x14ac:dyDescent="0.25">
      <c r="A274" t="s">
        <v>34</v>
      </c>
      <c r="D274" t="s">
        <v>38</v>
      </c>
      <c r="E274">
        <v>1999</v>
      </c>
      <c r="F274">
        <v>1</v>
      </c>
      <c r="G274">
        <v>4</v>
      </c>
      <c r="H274">
        <v>3</v>
      </c>
      <c r="I274">
        <v>151</v>
      </c>
      <c r="K274" s="13">
        <v>45939</v>
      </c>
      <c r="L274">
        <v>99</v>
      </c>
    </row>
    <row r="275" spans="1:12" x14ac:dyDescent="0.25">
      <c r="A275" t="s">
        <v>34</v>
      </c>
      <c r="D275" t="s">
        <v>38</v>
      </c>
      <c r="E275">
        <v>1999</v>
      </c>
      <c r="F275">
        <v>1</v>
      </c>
      <c r="G275">
        <v>4</v>
      </c>
      <c r="H275">
        <v>3</v>
      </c>
      <c r="I275">
        <v>151</v>
      </c>
      <c r="K275" s="13">
        <v>45959</v>
      </c>
      <c r="L275">
        <v>104</v>
      </c>
    </row>
    <row r="276" spans="1:12" x14ac:dyDescent="0.25">
      <c r="A276" t="s">
        <v>34</v>
      </c>
      <c r="D276" t="s">
        <v>38</v>
      </c>
      <c r="E276">
        <v>1999</v>
      </c>
      <c r="F276">
        <v>1</v>
      </c>
      <c r="G276">
        <v>4</v>
      </c>
      <c r="H276">
        <v>3</v>
      </c>
      <c r="I276">
        <v>151</v>
      </c>
      <c r="K276" s="13">
        <v>45966</v>
      </c>
      <c r="L276">
        <v>104</v>
      </c>
    </row>
    <row r="277" spans="1:12" x14ac:dyDescent="0.25">
      <c r="A277" t="s">
        <v>34</v>
      </c>
      <c r="D277" t="s">
        <v>43</v>
      </c>
      <c r="E277">
        <v>2020</v>
      </c>
      <c r="F277">
        <v>1</v>
      </c>
      <c r="G277">
        <v>4</v>
      </c>
      <c r="H277">
        <v>4</v>
      </c>
      <c r="I277">
        <v>152</v>
      </c>
      <c r="K277" s="13">
        <v>45810</v>
      </c>
      <c r="L277">
        <v>8</v>
      </c>
    </row>
    <row r="278" spans="1:12" x14ac:dyDescent="0.25">
      <c r="A278" t="s">
        <v>34</v>
      </c>
      <c r="D278" t="s">
        <v>43</v>
      </c>
      <c r="E278">
        <v>2020</v>
      </c>
      <c r="F278">
        <v>1</v>
      </c>
      <c r="G278">
        <v>4</v>
      </c>
      <c r="H278">
        <v>4</v>
      </c>
      <c r="I278">
        <v>152</v>
      </c>
      <c r="K278" s="13">
        <v>45827</v>
      </c>
      <c r="L278">
        <v>15</v>
      </c>
    </row>
    <row r="279" spans="1:12" x14ac:dyDescent="0.25">
      <c r="A279" t="s">
        <v>34</v>
      </c>
      <c r="D279" t="s">
        <v>43</v>
      </c>
      <c r="E279">
        <v>2020</v>
      </c>
      <c r="F279">
        <v>1</v>
      </c>
      <c r="G279">
        <v>4</v>
      </c>
      <c r="H279">
        <v>4</v>
      </c>
      <c r="I279">
        <v>152</v>
      </c>
      <c r="K279" s="13">
        <v>45856</v>
      </c>
      <c r="L279">
        <v>26</v>
      </c>
    </row>
    <row r="280" spans="1:12" x14ac:dyDescent="0.25">
      <c r="A280" t="s">
        <v>34</v>
      </c>
      <c r="D280" t="s">
        <v>43</v>
      </c>
      <c r="E280">
        <v>2020</v>
      </c>
      <c r="F280">
        <v>1</v>
      </c>
      <c r="G280">
        <v>4</v>
      </c>
      <c r="H280">
        <v>4</v>
      </c>
      <c r="I280">
        <v>152</v>
      </c>
      <c r="K280" s="13">
        <v>45869</v>
      </c>
      <c r="L280">
        <v>38</v>
      </c>
    </row>
    <row r="281" spans="1:12" x14ac:dyDescent="0.25">
      <c r="A281" t="s">
        <v>34</v>
      </c>
      <c r="D281" t="s">
        <v>43</v>
      </c>
      <c r="E281">
        <v>2020</v>
      </c>
      <c r="F281">
        <v>1</v>
      </c>
      <c r="G281">
        <v>4</v>
      </c>
      <c r="H281">
        <v>4</v>
      </c>
      <c r="I281">
        <v>152</v>
      </c>
      <c r="K281" s="13">
        <v>45881</v>
      </c>
      <c r="L281">
        <v>41</v>
      </c>
    </row>
    <row r="282" spans="1:12" x14ac:dyDescent="0.25">
      <c r="A282" t="s">
        <v>34</v>
      </c>
      <c r="D282" t="s">
        <v>43</v>
      </c>
      <c r="E282">
        <v>2020</v>
      </c>
      <c r="F282">
        <v>1</v>
      </c>
      <c r="G282">
        <v>4</v>
      </c>
      <c r="H282">
        <v>4</v>
      </c>
      <c r="I282">
        <v>152</v>
      </c>
      <c r="K282" s="13">
        <v>45895</v>
      </c>
      <c r="L282">
        <v>55</v>
      </c>
    </row>
    <row r="283" spans="1:12" x14ac:dyDescent="0.25">
      <c r="A283" t="s">
        <v>34</v>
      </c>
      <c r="D283" t="s">
        <v>43</v>
      </c>
      <c r="E283">
        <v>2020</v>
      </c>
      <c r="F283">
        <v>1</v>
      </c>
      <c r="G283">
        <v>4</v>
      </c>
      <c r="H283">
        <v>4</v>
      </c>
      <c r="I283">
        <v>152</v>
      </c>
      <c r="K283" s="13">
        <v>45908</v>
      </c>
      <c r="L283">
        <v>58</v>
      </c>
    </row>
    <row r="284" spans="1:12" x14ac:dyDescent="0.25">
      <c r="A284" t="s">
        <v>34</v>
      </c>
      <c r="D284" t="s">
        <v>43</v>
      </c>
      <c r="E284">
        <v>2020</v>
      </c>
      <c r="F284">
        <v>1</v>
      </c>
      <c r="G284">
        <v>4</v>
      </c>
      <c r="H284">
        <v>4</v>
      </c>
      <c r="I284">
        <v>152</v>
      </c>
      <c r="K284" s="13">
        <v>45923</v>
      </c>
      <c r="L284">
        <v>69</v>
      </c>
    </row>
    <row r="285" spans="1:12" x14ac:dyDescent="0.25">
      <c r="A285" t="s">
        <v>34</v>
      </c>
      <c r="D285" t="s">
        <v>43</v>
      </c>
      <c r="E285">
        <v>2020</v>
      </c>
      <c r="F285">
        <v>1</v>
      </c>
      <c r="G285">
        <v>4</v>
      </c>
      <c r="H285">
        <v>4</v>
      </c>
      <c r="I285">
        <v>152</v>
      </c>
      <c r="K285" s="13">
        <v>45939</v>
      </c>
      <c r="L285">
        <v>85</v>
      </c>
    </row>
    <row r="286" spans="1:12" x14ac:dyDescent="0.25">
      <c r="A286" t="s">
        <v>34</v>
      </c>
      <c r="D286" t="s">
        <v>43</v>
      </c>
      <c r="E286">
        <v>2020</v>
      </c>
      <c r="F286">
        <v>1</v>
      </c>
      <c r="G286">
        <v>4</v>
      </c>
      <c r="H286">
        <v>4</v>
      </c>
      <c r="I286">
        <v>152</v>
      </c>
      <c r="K286" s="13">
        <v>45959</v>
      </c>
      <c r="L286">
        <v>92</v>
      </c>
    </row>
    <row r="287" spans="1:12" x14ac:dyDescent="0.25">
      <c r="A287" t="s">
        <v>34</v>
      </c>
      <c r="D287" t="s">
        <v>43</v>
      </c>
      <c r="E287">
        <v>2020</v>
      </c>
      <c r="F287">
        <v>1</v>
      </c>
      <c r="G287">
        <v>4</v>
      </c>
      <c r="H287">
        <v>4</v>
      </c>
      <c r="I287">
        <v>152</v>
      </c>
      <c r="K287" s="13">
        <v>45966</v>
      </c>
      <c r="L287">
        <v>92</v>
      </c>
    </row>
    <row r="288" spans="1:12" x14ac:dyDescent="0.25">
      <c r="A288" t="s">
        <v>34</v>
      </c>
      <c r="D288" t="s">
        <v>36</v>
      </c>
      <c r="E288">
        <v>1984</v>
      </c>
      <c r="F288">
        <v>2</v>
      </c>
      <c r="G288">
        <v>4</v>
      </c>
      <c r="H288">
        <v>7</v>
      </c>
      <c r="I288">
        <v>155</v>
      </c>
      <c r="K288" s="13">
        <v>45810</v>
      </c>
      <c r="L288">
        <v>8</v>
      </c>
    </row>
    <row r="289" spans="1:12" x14ac:dyDescent="0.25">
      <c r="A289" t="s">
        <v>34</v>
      </c>
      <c r="D289" t="s">
        <v>36</v>
      </c>
      <c r="E289">
        <v>1984</v>
      </c>
      <c r="F289">
        <v>2</v>
      </c>
      <c r="G289">
        <v>4</v>
      </c>
      <c r="H289">
        <v>7</v>
      </c>
      <c r="I289">
        <v>155</v>
      </c>
      <c r="K289" s="13">
        <v>45827</v>
      </c>
      <c r="L289">
        <v>12</v>
      </c>
    </row>
    <row r="290" spans="1:12" x14ac:dyDescent="0.25">
      <c r="A290" t="s">
        <v>34</v>
      </c>
      <c r="D290" t="s">
        <v>36</v>
      </c>
      <c r="E290">
        <v>1984</v>
      </c>
      <c r="F290">
        <v>2</v>
      </c>
      <c r="G290">
        <v>4</v>
      </c>
      <c r="H290">
        <v>7</v>
      </c>
      <c r="I290">
        <v>155</v>
      </c>
      <c r="K290" s="13">
        <v>45856</v>
      </c>
      <c r="L290">
        <v>22</v>
      </c>
    </row>
    <row r="291" spans="1:12" x14ac:dyDescent="0.25">
      <c r="A291" t="s">
        <v>34</v>
      </c>
      <c r="D291" t="s">
        <v>36</v>
      </c>
      <c r="E291">
        <v>1984</v>
      </c>
      <c r="F291">
        <v>2</v>
      </c>
      <c r="G291">
        <v>4</v>
      </c>
      <c r="H291">
        <v>7</v>
      </c>
      <c r="I291">
        <v>155</v>
      </c>
      <c r="K291" s="13">
        <v>45869</v>
      </c>
      <c r="L291">
        <v>34</v>
      </c>
    </row>
    <row r="292" spans="1:12" x14ac:dyDescent="0.25">
      <c r="A292" t="s">
        <v>34</v>
      </c>
      <c r="D292" t="s">
        <v>36</v>
      </c>
      <c r="E292">
        <v>1984</v>
      </c>
      <c r="F292">
        <v>2</v>
      </c>
      <c r="G292">
        <v>4</v>
      </c>
      <c r="H292">
        <v>7</v>
      </c>
      <c r="I292">
        <v>155</v>
      </c>
      <c r="K292" s="13">
        <v>45881</v>
      </c>
      <c r="L292">
        <v>40</v>
      </c>
    </row>
    <row r="293" spans="1:12" x14ac:dyDescent="0.25">
      <c r="A293" t="s">
        <v>34</v>
      </c>
      <c r="D293" t="s">
        <v>36</v>
      </c>
      <c r="E293">
        <v>1984</v>
      </c>
      <c r="F293">
        <v>2</v>
      </c>
      <c r="G293">
        <v>4</v>
      </c>
      <c r="H293">
        <v>7</v>
      </c>
      <c r="I293">
        <v>155</v>
      </c>
      <c r="K293" s="13">
        <v>45895</v>
      </c>
      <c r="L293">
        <v>51</v>
      </c>
    </row>
    <row r="294" spans="1:12" x14ac:dyDescent="0.25">
      <c r="A294" t="s">
        <v>34</v>
      </c>
      <c r="D294" t="s">
        <v>36</v>
      </c>
      <c r="E294">
        <v>1984</v>
      </c>
      <c r="F294">
        <v>2</v>
      </c>
      <c r="G294">
        <v>4</v>
      </c>
      <c r="H294">
        <v>7</v>
      </c>
      <c r="I294">
        <v>155</v>
      </c>
      <c r="K294" s="13">
        <v>45908</v>
      </c>
      <c r="L294">
        <v>57</v>
      </c>
    </row>
    <row r="295" spans="1:12" x14ac:dyDescent="0.25">
      <c r="A295" t="s">
        <v>34</v>
      </c>
      <c r="D295" t="s">
        <v>36</v>
      </c>
      <c r="E295">
        <v>1984</v>
      </c>
      <c r="F295">
        <v>2</v>
      </c>
      <c r="G295">
        <v>4</v>
      </c>
      <c r="H295">
        <v>7</v>
      </c>
      <c r="I295">
        <v>155</v>
      </c>
      <c r="K295" s="13">
        <v>45923</v>
      </c>
      <c r="L295">
        <v>68</v>
      </c>
    </row>
    <row r="296" spans="1:12" x14ac:dyDescent="0.25">
      <c r="A296" t="s">
        <v>34</v>
      </c>
      <c r="D296" t="s">
        <v>36</v>
      </c>
      <c r="E296">
        <v>1984</v>
      </c>
      <c r="F296">
        <v>2</v>
      </c>
      <c r="G296">
        <v>4</v>
      </c>
      <c r="H296">
        <v>7</v>
      </c>
      <c r="I296">
        <v>155</v>
      </c>
      <c r="K296" s="13">
        <v>45939</v>
      </c>
      <c r="L296">
        <v>89</v>
      </c>
    </row>
    <row r="297" spans="1:12" x14ac:dyDescent="0.25">
      <c r="A297" t="s">
        <v>34</v>
      </c>
      <c r="D297" t="s">
        <v>36</v>
      </c>
      <c r="E297">
        <v>1984</v>
      </c>
      <c r="F297">
        <v>2</v>
      </c>
      <c r="G297">
        <v>4</v>
      </c>
      <c r="H297">
        <v>7</v>
      </c>
      <c r="I297">
        <v>155</v>
      </c>
      <c r="K297" s="13">
        <v>45959</v>
      </c>
      <c r="L297">
        <v>91</v>
      </c>
    </row>
    <row r="298" spans="1:12" x14ac:dyDescent="0.25">
      <c r="A298" t="s">
        <v>34</v>
      </c>
      <c r="D298" t="s">
        <v>36</v>
      </c>
      <c r="E298">
        <v>1984</v>
      </c>
      <c r="F298">
        <v>2</v>
      </c>
      <c r="G298">
        <v>4</v>
      </c>
      <c r="H298">
        <v>7</v>
      </c>
      <c r="I298">
        <v>155</v>
      </c>
      <c r="K298" s="13">
        <v>45966</v>
      </c>
      <c r="L298">
        <v>91</v>
      </c>
    </row>
    <row r="299" spans="1:12" x14ac:dyDescent="0.25">
      <c r="A299" t="s">
        <v>34</v>
      </c>
      <c r="D299" t="s">
        <v>42</v>
      </c>
      <c r="E299">
        <v>2016</v>
      </c>
      <c r="F299">
        <v>2</v>
      </c>
      <c r="G299">
        <v>4</v>
      </c>
      <c r="H299">
        <v>8</v>
      </c>
      <c r="I299">
        <v>156</v>
      </c>
      <c r="K299" s="13">
        <v>45810</v>
      </c>
      <c r="L299">
        <v>8</v>
      </c>
    </row>
    <row r="300" spans="1:12" x14ac:dyDescent="0.25">
      <c r="A300" t="s">
        <v>34</v>
      </c>
      <c r="D300" t="s">
        <v>42</v>
      </c>
      <c r="E300">
        <v>2016</v>
      </c>
      <c r="F300">
        <v>2</v>
      </c>
      <c r="G300">
        <v>4</v>
      </c>
      <c r="H300">
        <v>8</v>
      </c>
      <c r="I300">
        <v>156</v>
      </c>
      <c r="K300" s="13">
        <v>45827</v>
      </c>
      <c r="L300">
        <v>12</v>
      </c>
    </row>
    <row r="301" spans="1:12" x14ac:dyDescent="0.25">
      <c r="A301" t="s">
        <v>34</v>
      </c>
      <c r="D301" t="s">
        <v>42</v>
      </c>
      <c r="E301">
        <v>2016</v>
      </c>
      <c r="F301">
        <v>2</v>
      </c>
      <c r="G301">
        <v>4</v>
      </c>
      <c r="H301">
        <v>8</v>
      </c>
      <c r="I301">
        <v>156</v>
      </c>
      <c r="K301" s="13">
        <v>45856</v>
      </c>
      <c r="L301">
        <v>25</v>
      </c>
    </row>
    <row r="302" spans="1:12" x14ac:dyDescent="0.25">
      <c r="A302" t="s">
        <v>34</v>
      </c>
      <c r="D302" t="s">
        <v>42</v>
      </c>
      <c r="E302">
        <v>2016</v>
      </c>
      <c r="F302">
        <v>2</v>
      </c>
      <c r="G302">
        <v>4</v>
      </c>
      <c r="H302">
        <v>8</v>
      </c>
      <c r="I302">
        <v>156</v>
      </c>
      <c r="K302" s="13">
        <v>45869</v>
      </c>
      <c r="L302">
        <v>36</v>
      </c>
    </row>
    <row r="303" spans="1:12" x14ac:dyDescent="0.25">
      <c r="A303" t="s">
        <v>34</v>
      </c>
      <c r="D303" t="s">
        <v>42</v>
      </c>
      <c r="E303">
        <v>2016</v>
      </c>
      <c r="F303">
        <v>2</v>
      </c>
      <c r="G303">
        <v>4</v>
      </c>
      <c r="H303">
        <v>8</v>
      </c>
      <c r="I303">
        <v>156</v>
      </c>
      <c r="K303" s="13">
        <v>45881</v>
      </c>
      <c r="L303">
        <v>40</v>
      </c>
    </row>
    <row r="304" spans="1:12" x14ac:dyDescent="0.25">
      <c r="A304" t="s">
        <v>34</v>
      </c>
      <c r="D304" t="s">
        <v>42</v>
      </c>
      <c r="E304">
        <v>2016</v>
      </c>
      <c r="F304">
        <v>2</v>
      </c>
      <c r="G304">
        <v>4</v>
      </c>
      <c r="H304">
        <v>8</v>
      </c>
      <c r="I304">
        <v>156</v>
      </c>
      <c r="K304" s="13">
        <v>45895</v>
      </c>
      <c r="L304">
        <v>54</v>
      </c>
    </row>
    <row r="305" spans="1:12" x14ac:dyDescent="0.25">
      <c r="A305" t="s">
        <v>34</v>
      </c>
      <c r="D305" t="s">
        <v>42</v>
      </c>
      <c r="E305">
        <v>2016</v>
      </c>
      <c r="F305">
        <v>2</v>
      </c>
      <c r="G305">
        <v>4</v>
      </c>
      <c r="H305">
        <v>8</v>
      </c>
      <c r="I305">
        <v>156</v>
      </c>
      <c r="K305" s="13">
        <v>45908</v>
      </c>
      <c r="L305">
        <v>66</v>
      </c>
    </row>
    <row r="306" spans="1:12" x14ac:dyDescent="0.25">
      <c r="A306" t="s">
        <v>34</v>
      </c>
      <c r="D306" t="s">
        <v>42</v>
      </c>
      <c r="E306">
        <v>2016</v>
      </c>
      <c r="F306">
        <v>2</v>
      </c>
      <c r="G306">
        <v>4</v>
      </c>
      <c r="H306">
        <v>8</v>
      </c>
      <c r="I306">
        <v>156</v>
      </c>
      <c r="K306" s="13">
        <v>45923</v>
      </c>
      <c r="L306">
        <v>75</v>
      </c>
    </row>
    <row r="307" spans="1:12" x14ac:dyDescent="0.25">
      <c r="A307" t="s">
        <v>34</v>
      </c>
      <c r="D307" t="s">
        <v>42</v>
      </c>
      <c r="E307">
        <v>2016</v>
      </c>
      <c r="F307">
        <v>2</v>
      </c>
      <c r="G307">
        <v>4</v>
      </c>
      <c r="H307">
        <v>8</v>
      </c>
      <c r="I307">
        <v>156</v>
      </c>
      <c r="K307" s="13">
        <v>45939</v>
      </c>
      <c r="L307">
        <v>85</v>
      </c>
    </row>
    <row r="308" spans="1:12" x14ac:dyDescent="0.25">
      <c r="A308" t="s">
        <v>34</v>
      </c>
      <c r="D308" t="s">
        <v>42</v>
      </c>
      <c r="E308">
        <v>2016</v>
      </c>
      <c r="F308">
        <v>2</v>
      </c>
      <c r="G308">
        <v>4</v>
      </c>
      <c r="H308">
        <v>8</v>
      </c>
      <c r="I308">
        <v>156</v>
      </c>
      <c r="K308" s="13">
        <v>45959</v>
      </c>
      <c r="L308">
        <v>91</v>
      </c>
    </row>
    <row r="309" spans="1:12" x14ac:dyDescent="0.25">
      <c r="A309" t="s">
        <v>34</v>
      </c>
      <c r="D309" t="s">
        <v>42</v>
      </c>
      <c r="E309">
        <v>2016</v>
      </c>
      <c r="F309">
        <v>2</v>
      </c>
      <c r="G309">
        <v>4</v>
      </c>
      <c r="H309">
        <v>8</v>
      </c>
      <c r="I309">
        <v>156</v>
      </c>
      <c r="K309" s="13">
        <v>45966</v>
      </c>
      <c r="L309">
        <v>91</v>
      </c>
    </row>
    <row r="310" spans="1:12" x14ac:dyDescent="0.25">
      <c r="A310" t="s">
        <v>34</v>
      </c>
      <c r="D310" t="s">
        <v>41</v>
      </c>
      <c r="E310">
        <v>2008</v>
      </c>
      <c r="F310">
        <v>3</v>
      </c>
      <c r="G310">
        <v>4</v>
      </c>
      <c r="H310">
        <v>11</v>
      </c>
      <c r="I310">
        <v>159</v>
      </c>
      <c r="K310" s="13">
        <v>45810</v>
      </c>
      <c r="L310">
        <v>8</v>
      </c>
    </row>
    <row r="311" spans="1:12" x14ac:dyDescent="0.25">
      <c r="A311" t="s">
        <v>34</v>
      </c>
      <c r="D311" t="s">
        <v>41</v>
      </c>
      <c r="E311">
        <v>2008</v>
      </c>
      <c r="F311">
        <v>3</v>
      </c>
      <c r="G311">
        <v>4</v>
      </c>
      <c r="H311">
        <v>11</v>
      </c>
      <c r="I311">
        <v>159</v>
      </c>
      <c r="K311" s="13">
        <v>45827</v>
      </c>
      <c r="L311">
        <v>15</v>
      </c>
    </row>
    <row r="312" spans="1:12" x14ac:dyDescent="0.25">
      <c r="A312" t="s">
        <v>34</v>
      </c>
      <c r="D312" t="s">
        <v>41</v>
      </c>
      <c r="E312">
        <v>2008</v>
      </c>
      <c r="F312">
        <v>3</v>
      </c>
      <c r="G312">
        <v>4</v>
      </c>
      <c r="H312">
        <v>11</v>
      </c>
      <c r="I312">
        <v>159</v>
      </c>
      <c r="K312" s="13">
        <v>45856</v>
      </c>
      <c r="L312">
        <v>22</v>
      </c>
    </row>
    <row r="313" spans="1:12" x14ac:dyDescent="0.25">
      <c r="A313" t="s">
        <v>34</v>
      </c>
      <c r="D313" t="s">
        <v>41</v>
      </c>
      <c r="E313">
        <v>2008</v>
      </c>
      <c r="F313">
        <v>3</v>
      </c>
      <c r="G313">
        <v>4</v>
      </c>
      <c r="H313">
        <v>11</v>
      </c>
      <c r="I313">
        <v>159</v>
      </c>
      <c r="K313" s="13">
        <v>45869</v>
      </c>
      <c r="L313">
        <v>32</v>
      </c>
    </row>
    <row r="314" spans="1:12" x14ac:dyDescent="0.25">
      <c r="A314" t="s">
        <v>34</v>
      </c>
      <c r="D314" t="s">
        <v>41</v>
      </c>
      <c r="E314">
        <v>2008</v>
      </c>
      <c r="F314">
        <v>3</v>
      </c>
      <c r="G314">
        <v>4</v>
      </c>
      <c r="H314">
        <v>11</v>
      </c>
      <c r="I314">
        <v>159</v>
      </c>
      <c r="K314" s="13">
        <v>45881</v>
      </c>
      <c r="L314">
        <v>41</v>
      </c>
    </row>
    <row r="315" spans="1:12" x14ac:dyDescent="0.25">
      <c r="A315" t="s">
        <v>34</v>
      </c>
      <c r="D315" t="s">
        <v>41</v>
      </c>
      <c r="E315">
        <v>2008</v>
      </c>
      <c r="F315">
        <v>3</v>
      </c>
      <c r="G315">
        <v>4</v>
      </c>
      <c r="H315">
        <v>11</v>
      </c>
      <c r="I315">
        <v>159</v>
      </c>
      <c r="K315" s="13">
        <v>45895</v>
      </c>
      <c r="L315">
        <v>55</v>
      </c>
    </row>
    <row r="316" spans="1:12" x14ac:dyDescent="0.25">
      <c r="A316" t="s">
        <v>34</v>
      </c>
      <c r="D316" t="s">
        <v>41</v>
      </c>
      <c r="E316">
        <v>2008</v>
      </c>
      <c r="F316">
        <v>3</v>
      </c>
      <c r="G316">
        <v>4</v>
      </c>
      <c r="H316">
        <v>11</v>
      </c>
      <c r="I316">
        <v>159</v>
      </c>
      <c r="K316" s="13">
        <v>45908</v>
      </c>
      <c r="L316">
        <v>58</v>
      </c>
    </row>
    <row r="317" spans="1:12" x14ac:dyDescent="0.25">
      <c r="A317" t="s">
        <v>34</v>
      </c>
      <c r="D317" t="s">
        <v>41</v>
      </c>
      <c r="E317">
        <v>2008</v>
      </c>
      <c r="F317">
        <v>3</v>
      </c>
      <c r="G317">
        <v>4</v>
      </c>
      <c r="H317">
        <v>11</v>
      </c>
      <c r="I317">
        <v>159</v>
      </c>
      <c r="K317" s="13">
        <v>45923</v>
      </c>
      <c r="L317">
        <v>71</v>
      </c>
    </row>
    <row r="318" spans="1:12" x14ac:dyDescent="0.25">
      <c r="A318" t="s">
        <v>34</v>
      </c>
      <c r="D318" t="s">
        <v>41</v>
      </c>
      <c r="E318">
        <v>2008</v>
      </c>
      <c r="F318">
        <v>3</v>
      </c>
      <c r="G318">
        <v>4</v>
      </c>
      <c r="H318">
        <v>11</v>
      </c>
      <c r="I318">
        <v>159</v>
      </c>
      <c r="K318" s="13">
        <v>45939</v>
      </c>
      <c r="L318">
        <v>87</v>
      </c>
    </row>
    <row r="319" spans="1:12" x14ac:dyDescent="0.25">
      <c r="A319" t="s">
        <v>34</v>
      </c>
      <c r="D319" t="s">
        <v>41</v>
      </c>
      <c r="E319">
        <v>2008</v>
      </c>
      <c r="F319">
        <v>3</v>
      </c>
      <c r="G319">
        <v>4</v>
      </c>
      <c r="H319">
        <v>11</v>
      </c>
      <c r="I319">
        <v>159</v>
      </c>
      <c r="K319" s="13">
        <v>45959</v>
      </c>
      <c r="L319">
        <v>88</v>
      </c>
    </row>
    <row r="320" spans="1:12" x14ac:dyDescent="0.25">
      <c r="A320" t="s">
        <v>34</v>
      </c>
      <c r="D320" t="s">
        <v>41</v>
      </c>
      <c r="E320">
        <v>2008</v>
      </c>
      <c r="F320">
        <v>3</v>
      </c>
      <c r="G320">
        <v>4</v>
      </c>
      <c r="H320">
        <v>11</v>
      </c>
      <c r="I320">
        <v>159</v>
      </c>
      <c r="K320" s="13">
        <v>45966</v>
      </c>
      <c r="L320">
        <v>88</v>
      </c>
    </row>
    <row r="321" spans="1:12" x14ac:dyDescent="0.25">
      <c r="A321" t="s">
        <v>34</v>
      </c>
      <c r="D321" t="s">
        <v>37</v>
      </c>
      <c r="E321">
        <v>1989</v>
      </c>
      <c r="F321">
        <v>3</v>
      </c>
      <c r="G321">
        <v>4</v>
      </c>
      <c r="H321">
        <v>12</v>
      </c>
      <c r="I321">
        <v>160</v>
      </c>
      <c r="K321" s="13">
        <v>45810</v>
      </c>
      <c r="L321">
        <v>8</v>
      </c>
    </row>
    <row r="322" spans="1:12" x14ac:dyDescent="0.25">
      <c r="A322" t="s">
        <v>34</v>
      </c>
      <c r="D322" t="s">
        <v>37</v>
      </c>
      <c r="E322">
        <v>1989</v>
      </c>
      <c r="F322">
        <v>3</v>
      </c>
      <c r="G322">
        <v>4</v>
      </c>
      <c r="H322">
        <v>12</v>
      </c>
      <c r="I322">
        <v>160</v>
      </c>
      <c r="K322" s="13">
        <v>45827</v>
      </c>
      <c r="L322">
        <v>10</v>
      </c>
    </row>
    <row r="323" spans="1:12" x14ac:dyDescent="0.25">
      <c r="A323" t="s">
        <v>34</v>
      </c>
      <c r="D323" t="s">
        <v>37</v>
      </c>
      <c r="E323">
        <v>1989</v>
      </c>
      <c r="F323">
        <v>3</v>
      </c>
      <c r="G323">
        <v>4</v>
      </c>
      <c r="H323">
        <v>12</v>
      </c>
      <c r="I323">
        <v>160</v>
      </c>
      <c r="K323" s="13">
        <v>45856</v>
      </c>
      <c r="L323">
        <v>21</v>
      </c>
    </row>
    <row r="324" spans="1:12" x14ac:dyDescent="0.25">
      <c r="A324" t="s">
        <v>34</v>
      </c>
      <c r="D324" t="s">
        <v>37</v>
      </c>
      <c r="E324">
        <v>1989</v>
      </c>
      <c r="F324">
        <v>3</v>
      </c>
      <c r="G324">
        <v>4</v>
      </c>
      <c r="H324">
        <v>12</v>
      </c>
      <c r="I324">
        <v>160</v>
      </c>
      <c r="K324" s="13">
        <v>45869</v>
      </c>
      <c r="L324">
        <v>36</v>
      </c>
    </row>
    <row r="325" spans="1:12" x14ac:dyDescent="0.25">
      <c r="A325" t="s">
        <v>34</v>
      </c>
      <c r="D325" t="s">
        <v>37</v>
      </c>
      <c r="E325">
        <v>1989</v>
      </c>
      <c r="F325">
        <v>3</v>
      </c>
      <c r="G325">
        <v>4</v>
      </c>
      <c r="H325">
        <v>12</v>
      </c>
      <c r="I325">
        <v>160</v>
      </c>
      <c r="K325" s="13">
        <v>45881</v>
      </c>
      <c r="L325">
        <v>40</v>
      </c>
    </row>
    <row r="326" spans="1:12" x14ac:dyDescent="0.25">
      <c r="A326" t="s">
        <v>34</v>
      </c>
      <c r="D326" t="s">
        <v>37</v>
      </c>
      <c r="E326">
        <v>1989</v>
      </c>
      <c r="F326">
        <v>3</v>
      </c>
      <c r="G326">
        <v>4</v>
      </c>
      <c r="H326">
        <v>12</v>
      </c>
      <c r="I326">
        <v>160</v>
      </c>
      <c r="K326" s="13">
        <v>45895</v>
      </c>
      <c r="L326">
        <v>51</v>
      </c>
    </row>
    <row r="327" spans="1:12" x14ac:dyDescent="0.25">
      <c r="A327" t="s">
        <v>34</v>
      </c>
      <c r="D327" t="s">
        <v>37</v>
      </c>
      <c r="E327">
        <v>1989</v>
      </c>
      <c r="F327">
        <v>3</v>
      </c>
      <c r="G327">
        <v>4</v>
      </c>
      <c r="H327">
        <v>12</v>
      </c>
      <c r="I327">
        <v>160</v>
      </c>
      <c r="K327" s="13">
        <v>45908</v>
      </c>
      <c r="L327">
        <v>57</v>
      </c>
    </row>
    <row r="328" spans="1:12" x14ac:dyDescent="0.25">
      <c r="A328" t="s">
        <v>34</v>
      </c>
      <c r="D328" t="s">
        <v>37</v>
      </c>
      <c r="E328">
        <v>1989</v>
      </c>
      <c r="F328">
        <v>3</v>
      </c>
      <c r="G328">
        <v>4</v>
      </c>
      <c r="H328">
        <v>12</v>
      </c>
      <c r="I328">
        <v>160</v>
      </c>
      <c r="K328" s="13">
        <v>45923</v>
      </c>
      <c r="L328">
        <v>68</v>
      </c>
    </row>
    <row r="329" spans="1:12" x14ac:dyDescent="0.25">
      <c r="A329" t="s">
        <v>34</v>
      </c>
      <c r="D329" t="s">
        <v>37</v>
      </c>
      <c r="E329">
        <v>1989</v>
      </c>
      <c r="F329">
        <v>3</v>
      </c>
      <c r="G329">
        <v>4</v>
      </c>
      <c r="H329">
        <v>12</v>
      </c>
      <c r="I329">
        <v>160</v>
      </c>
      <c r="K329" s="13">
        <v>45939</v>
      </c>
      <c r="L329">
        <v>86</v>
      </c>
    </row>
    <row r="330" spans="1:12" x14ac:dyDescent="0.25">
      <c r="A330" t="s">
        <v>34</v>
      </c>
      <c r="D330" t="s">
        <v>37</v>
      </c>
      <c r="E330">
        <v>1989</v>
      </c>
      <c r="F330">
        <v>3</v>
      </c>
      <c r="G330">
        <v>4</v>
      </c>
      <c r="H330">
        <v>12</v>
      </c>
      <c r="I330">
        <v>160</v>
      </c>
      <c r="K330" s="13">
        <v>45959</v>
      </c>
      <c r="L330">
        <v>85</v>
      </c>
    </row>
    <row r="331" spans="1:12" x14ac:dyDescent="0.25">
      <c r="A331" t="s">
        <v>34</v>
      </c>
      <c r="D331" t="s">
        <v>37</v>
      </c>
      <c r="E331">
        <v>1989</v>
      </c>
      <c r="F331">
        <v>3</v>
      </c>
      <c r="G331">
        <v>4</v>
      </c>
      <c r="H331">
        <v>12</v>
      </c>
      <c r="I331">
        <v>160</v>
      </c>
      <c r="K331" s="13">
        <v>45966</v>
      </c>
      <c r="L331">
        <v>85</v>
      </c>
    </row>
    <row r="332" spans="1:12" x14ac:dyDescent="0.25">
      <c r="A332" t="s">
        <v>34</v>
      </c>
      <c r="D332" t="s">
        <v>318</v>
      </c>
      <c r="E332">
        <v>2004</v>
      </c>
      <c r="F332">
        <v>4</v>
      </c>
      <c r="G332">
        <v>4</v>
      </c>
      <c r="H332">
        <v>15</v>
      </c>
      <c r="I332">
        <v>163</v>
      </c>
      <c r="K332" s="13">
        <v>45810</v>
      </c>
      <c r="L332">
        <v>8</v>
      </c>
    </row>
    <row r="333" spans="1:12" x14ac:dyDescent="0.25">
      <c r="A333" t="s">
        <v>34</v>
      </c>
      <c r="D333" t="s">
        <v>318</v>
      </c>
      <c r="E333">
        <v>2004</v>
      </c>
      <c r="F333">
        <v>4</v>
      </c>
      <c r="G333">
        <v>4</v>
      </c>
      <c r="H333">
        <v>15</v>
      </c>
      <c r="I333">
        <v>163</v>
      </c>
      <c r="K333" s="13">
        <v>45827</v>
      </c>
      <c r="L333">
        <v>11</v>
      </c>
    </row>
    <row r="334" spans="1:12" x14ac:dyDescent="0.25">
      <c r="A334" t="s">
        <v>34</v>
      </c>
      <c r="D334" t="s">
        <v>318</v>
      </c>
      <c r="E334">
        <v>2004</v>
      </c>
      <c r="F334">
        <v>4</v>
      </c>
      <c r="G334">
        <v>4</v>
      </c>
      <c r="H334">
        <v>15</v>
      </c>
      <c r="I334">
        <v>163</v>
      </c>
      <c r="K334" s="13">
        <v>45856</v>
      </c>
      <c r="L334">
        <v>23</v>
      </c>
    </row>
    <row r="335" spans="1:12" x14ac:dyDescent="0.25">
      <c r="A335" t="s">
        <v>34</v>
      </c>
      <c r="D335" t="s">
        <v>318</v>
      </c>
      <c r="E335">
        <v>2004</v>
      </c>
      <c r="F335">
        <v>4</v>
      </c>
      <c r="G335">
        <v>4</v>
      </c>
      <c r="H335">
        <v>15</v>
      </c>
      <c r="I335">
        <v>163</v>
      </c>
      <c r="K335" s="13">
        <v>45869</v>
      </c>
      <c r="L335">
        <v>35</v>
      </c>
    </row>
    <row r="336" spans="1:12" x14ac:dyDescent="0.25">
      <c r="A336" t="s">
        <v>34</v>
      </c>
      <c r="D336" t="s">
        <v>318</v>
      </c>
      <c r="E336">
        <v>2004</v>
      </c>
      <c r="F336">
        <v>4</v>
      </c>
      <c r="G336">
        <v>4</v>
      </c>
      <c r="H336">
        <v>15</v>
      </c>
      <c r="I336">
        <v>163</v>
      </c>
      <c r="K336" s="13">
        <v>45881</v>
      </c>
      <c r="L336">
        <v>42</v>
      </c>
    </row>
    <row r="337" spans="1:12" x14ac:dyDescent="0.25">
      <c r="A337" t="s">
        <v>34</v>
      </c>
      <c r="D337" t="s">
        <v>318</v>
      </c>
      <c r="E337">
        <v>2004</v>
      </c>
      <c r="F337">
        <v>4</v>
      </c>
      <c r="G337">
        <v>4</v>
      </c>
      <c r="H337">
        <v>15</v>
      </c>
      <c r="I337">
        <v>163</v>
      </c>
      <c r="K337" s="13">
        <v>45895</v>
      </c>
      <c r="L337">
        <v>52</v>
      </c>
    </row>
    <row r="338" spans="1:12" x14ac:dyDescent="0.25">
      <c r="A338" t="s">
        <v>34</v>
      </c>
      <c r="D338" t="s">
        <v>318</v>
      </c>
      <c r="E338">
        <v>2004</v>
      </c>
      <c r="F338">
        <v>4</v>
      </c>
      <c r="G338">
        <v>4</v>
      </c>
      <c r="H338">
        <v>15</v>
      </c>
      <c r="I338">
        <v>163</v>
      </c>
      <c r="K338" s="13">
        <v>45908</v>
      </c>
      <c r="L338">
        <v>60</v>
      </c>
    </row>
    <row r="339" spans="1:12" x14ac:dyDescent="0.25">
      <c r="A339" t="s">
        <v>34</v>
      </c>
      <c r="D339" t="s">
        <v>318</v>
      </c>
      <c r="E339">
        <v>2004</v>
      </c>
      <c r="F339">
        <v>4</v>
      </c>
      <c r="G339">
        <v>4</v>
      </c>
      <c r="H339">
        <v>15</v>
      </c>
      <c r="I339">
        <v>163</v>
      </c>
      <c r="K339" s="13">
        <v>45923</v>
      </c>
      <c r="L339">
        <v>71</v>
      </c>
    </row>
    <row r="340" spans="1:12" x14ac:dyDescent="0.25">
      <c r="A340" t="s">
        <v>34</v>
      </c>
      <c r="D340" t="s">
        <v>318</v>
      </c>
      <c r="E340">
        <v>2004</v>
      </c>
      <c r="F340">
        <v>4</v>
      </c>
      <c r="G340">
        <v>4</v>
      </c>
      <c r="H340">
        <v>15</v>
      </c>
      <c r="I340">
        <v>163</v>
      </c>
      <c r="K340" s="13">
        <v>45939</v>
      </c>
      <c r="L340">
        <v>94</v>
      </c>
    </row>
    <row r="341" spans="1:12" x14ac:dyDescent="0.25">
      <c r="A341" t="s">
        <v>34</v>
      </c>
      <c r="D341" t="s">
        <v>318</v>
      </c>
      <c r="E341">
        <v>2004</v>
      </c>
      <c r="F341">
        <v>4</v>
      </c>
      <c r="G341">
        <v>4</v>
      </c>
      <c r="H341">
        <v>15</v>
      </c>
      <c r="I341">
        <v>163</v>
      </c>
      <c r="K341" s="13">
        <v>45959</v>
      </c>
      <c r="L341">
        <v>105</v>
      </c>
    </row>
    <row r="342" spans="1:12" x14ac:dyDescent="0.25">
      <c r="A342" t="s">
        <v>34</v>
      </c>
      <c r="D342" t="s">
        <v>318</v>
      </c>
      <c r="E342">
        <v>2004</v>
      </c>
      <c r="F342">
        <v>4</v>
      </c>
      <c r="G342">
        <v>4</v>
      </c>
      <c r="H342">
        <v>15</v>
      </c>
      <c r="I342">
        <v>163</v>
      </c>
      <c r="K342" s="13">
        <v>45966</v>
      </c>
      <c r="L342">
        <v>105</v>
      </c>
    </row>
    <row r="343" spans="1:12" x14ac:dyDescent="0.25">
      <c r="A343" t="s">
        <v>34</v>
      </c>
      <c r="D343" t="s">
        <v>39</v>
      </c>
      <c r="E343">
        <v>2001</v>
      </c>
      <c r="F343">
        <v>4</v>
      </c>
      <c r="G343">
        <v>4</v>
      </c>
      <c r="H343">
        <v>16</v>
      </c>
      <c r="I343">
        <v>164</v>
      </c>
      <c r="K343" s="13">
        <v>45810</v>
      </c>
      <c r="L343">
        <v>8</v>
      </c>
    </row>
    <row r="344" spans="1:12" x14ac:dyDescent="0.25">
      <c r="A344" t="s">
        <v>34</v>
      </c>
      <c r="D344" t="s">
        <v>39</v>
      </c>
      <c r="E344">
        <v>2001</v>
      </c>
      <c r="F344">
        <v>4</v>
      </c>
      <c r="G344">
        <v>4</v>
      </c>
      <c r="H344">
        <v>16</v>
      </c>
      <c r="I344">
        <v>164</v>
      </c>
      <c r="K344" s="13">
        <v>45827</v>
      </c>
      <c r="L344">
        <v>12</v>
      </c>
    </row>
    <row r="345" spans="1:12" x14ac:dyDescent="0.25">
      <c r="A345" t="s">
        <v>34</v>
      </c>
      <c r="D345" t="s">
        <v>39</v>
      </c>
      <c r="E345">
        <v>2001</v>
      </c>
      <c r="F345">
        <v>4</v>
      </c>
      <c r="G345">
        <v>4</v>
      </c>
      <c r="H345">
        <v>16</v>
      </c>
      <c r="I345">
        <v>164</v>
      </c>
      <c r="K345" s="13">
        <v>45856</v>
      </c>
      <c r="L345">
        <v>22</v>
      </c>
    </row>
    <row r="346" spans="1:12" x14ac:dyDescent="0.25">
      <c r="A346" t="s">
        <v>34</v>
      </c>
      <c r="D346" t="s">
        <v>39</v>
      </c>
      <c r="E346">
        <v>2001</v>
      </c>
      <c r="F346">
        <v>4</v>
      </c>
      <c r="G346">
        <v>4</v>
      </c>
      <c r="H346">
        <v>16</v>
      </c>
      <c r="I346">
        <v>164</v>
      </c>
      <c r="K346" s="13">
        <v>45869</v>
      </c>
      <c r="L346">
        <v>32</v>
      </c>
    </row>
    <row r="347" spans="1:12" x14ac:dyDescent="0.25">
      <c r="A347" t="s">
        <v>34</v>
      </c>
      <c r="D347" t="s">
        <v>39</v>
      </c>
      <c r="E347">
        <v>2001</v>
      </c>
      <c r="F347">
        <v>4</v>
      </c>
      <c r="G347">
        <v>4</v>
      </c>
      <c r="H347">
        <v>16</v>
      </c>
      <c r="I347">
        <v>164</v>
      </c>
      <c r="K347" s="13">
        <v>45881</v>
      </c>
      <c r="L347">
        <v>38</v>
      </c>
    </row>
    <row r="348" spans="1:12" x14ac:dyDescent="0.25">
      <c r="A348" t="s">
        <v>34</v>
      </c>
      <c r="D348" t="s">
        <v>39</v>
      </c>
      <c r="E348">
        <v>2001</v>
      </c>
      <c r="F348">
        <v>4</v>
      </c>
      <c r="G348">
        <v>4</v>
      </c>
      <c r="H348">
        <v>16</v>
      </c>
      <c r="I348">
        <v>164</v>
      </c>
      <c r="K348" s="13">
        <v>45895</v>
      </c>
      <c r="L348">
        <v>50</v>
      </c>
    </row>
    <row r="349" spans="1:12" x14ac:dyDescent="0.25">
      <c r="A349" t="s">
        <v>34</v>
      </c>
      <c r="D349" t="s">
        <v>39</v>
      </c>
      <c r="E349">
        <v>2001</v>
      </c>
      <c r="F349">
        <v>4</v>
      </c>
      <c r="G349">
        <v>4</v>
      </c>
      <c r="H349">
        <v>16</v>
      </c>
      <c r="I349">
        <v>164</v>
      </c>
      <c r="K349" s="13">
        <v>45908</v>
      </c>
      <c r="L349">
        <v>55</v>
      </c>
    </row>
    <row r="350" spans="1:12" x14ac:dyDescent="0.25">
      <c r="A350" t="s">
        <v>34</v>
      </c>
      <c r="D350" t="s">
        <v>39</v>
      </c>
      <c r="E350">
        <v>2001</v>
      </c>
      <c r="F350">
        <v>4</v>
      </c>
      <c r="G350">
        <v>4</v>
      </c>
      <c r="H350">
        <v>16</v>
      </c>
      <c r="I350">
        <v>164</v>
      </c>
      <c r="K350" s="13">
        <v>45923</v>
      </c>
      <c r="L350">
        <v>67</v>
      </c>
    </row>
    <row r="351" spans="1:12" x14ac:dyDescent="0.25">
      <c r="A351" t="s">
        <v>34</v>
      </c>
      <c r="D351" t="s">
        <v>39</v>
      </c>
      <c r="E351">
        <v>2001</v>
      </c>
      <c r="F351">
        <v>4</v>
      </c>
      <c r="G351">
        <v>4</v>
      </c>
      <c r="H351">
        <v>16</v>
      </c>
      <c r="I351">
        <v>164</v>
      </c>
      <c r="K351" s="13">
        <v>45939</v>
      </c>
      <c r="L351">
        <v>78</v>
      </c>
    </row>
    <row r="352" spans="1:12" x14ac:dyDescent="0.25">
      <c r="A352" t="s">
        <v>34</v>
      </c>
      <c r="D352" t="s">
        <v>39</v>
      </c>
      <c r="E352">
        <v>2001</v>
      </c>
      <c r="F352">
        <v>4</v>
      </c>
      <c r="G352">
        <v>4</v>
      </c>
      <c r="H352">
        <v>16</v>
      </c>
      <c r="I352">
        <v>164</v>
      </c>
      <c r="K352" s="13">
        <v>45959</v>
      </c>
      <c r="L352">
        <v>78</v>
      </c>
    </row>
    <row r="353" spans="1:12" x14ac:dyDescent="0.25">
      <c r="A353" t="s">
        <v>34</v>
      </c>
      <c r="D353" t="s">
        <v>39</v>
      </c>
      <c r="E353">
        <v>2001</v>
      </c>
      <c r="F353">
        <v>4</v>
      </c>
      <c r="G353">
        <v>4</v>
      </c>
      <c r="H353">
        <v>16</v>
      </c>
      <c r="I353">
        <v>164</v>
      </c>
      <c r="K353" s="13">
        <v>45966</v>
      </c>
      <c r="L353">
        <v>78</v>
      </c>
    </row>
    <row r="354" spans="1:12" x14ac:dyDescent="0.25">
      <c r="A354" t="s">
        <v>24</v>
      </c>
      <c r="D354" t="s">
        <v>28</v>
      </c>
      <c r="E354">
        <v>1998</v>
      </c>
      <c r="F354">
        <v>1</v>
      </c>
      <c r="G354">
        <v>1</v>
      </c>
      <c r="H354">
        <v>1</v>
      </c>
      <c r="I354">
        <v>101</v>
      </c>
      <c r="K354" s="13">
        <v>45810</v>
      </c>
      <c r="L354">
        <v>21</v>
      </c>
    </row>
    <row r="355" spans="1:12" x14ac:dyDescent="0.25">
      <c r="A355" t="s">
        <v>24</v>
      </c>
      <c r="D355" t="s">
        <v>28</v>
      </c>
      <c r="E355">
        <v>1998</v>
      </c>
      <c r="F355">
        <v>1</v>
      </c>
      <c r="G355">
        <v>1</v>
      </c>
      <c r="H355">
        <v>1</v>
      </c>
      <c r="I355">
        <v>101</v>
      </c>
      <c r="K355" s="13">
        <v>45827</v>
      </c>
      <c r="L355">
        <v>33</v>
      </c>
    </row>
    <row r="356" spans="1:12" x14ac:dyDescent="0.25">
      <c r="A356" t="s">
        <v>24</v>
      </c>
      <c r="D356" t="s">
        <v>28</v>
      </c>
      <c r="E356">
        <v>1998</v>
      </c>
      <c r="F356">
        <v>1</v>
      </c>
      <c r="G356">
        <v>1</v>
      </c>
      <c r="H356">
        <v>1</v>
      </c>
      <c r="I356">
        <v>101</v>
      </c>
      <c r="K356" s="13">
        <v>45856</v>
      </c>
      <c r="L356">
        <v>43</v>
      </c>
    </row>
    <row r="357" spans="1:12" x14ac:dyDescent="0.25">
      <c r="A357" t="s">
        <v>24</v>
      </c>
      <c r="D357" t="s">
        <v>28</v>
      </c>
      <c r="E357">
        <v>1998</v>
      </c>
      <c r="F357">
        <v>1</v>
      </c>
      <c r="G357">
        <v>1</v>
      </c>
      <c r="H357">
        <v>1</v>
      </c>
      <c r="I357">
        <v>101</v>
      </c>
      <c r="K357" s="13">
        <v>45869</v>
      </c>
      <c r="L357">
        <v>48</v>
      </c>
    </row>
    <row r="358" spans="1:12" x14ac:dyDescent="0.25">
      <c r="A358" t="s">
        <v>24</v>
      </c>
      <c r="D358" t="s">
        <v>28</v>
      </c>
      <c r="E358">
        <v>1998</v>
      </c>
      <c r="F358">
        <v>1</v>
      </c>
      <c r="G358">
        <v>1</v>
      </c>
      <c r="H358">
        <v>1</v>
      </c>
      <c r="I358">
        <v>101</v>
      </c>
      <c r="K358" s="13">
        <v>45881</v>
      </c>
      <c r="L358">
        <v>48</v>
      </c>
    </row>
    <row r="359" spans="1:12" x14ac:dyDescent="0.25">
      <c r="A359" t="s">
        <v>24</v>
      </c>
      <c r="D359" t="s">
        <v>28</v>
      </c>
      <c r="E359">
        <v>1998</v>
      </c>
      <c r="F359">
        <v>1</v>
      </c>
      <c r="G359">
        <v>1</v>
      </c>
      <c r="H359">
        <v>1</v>
      </c>
      <c r="I359">
        <v>101</v>
      </c>
      <c r="K359" s="13">
        <v>45895</v>
      </c>
      <c r="L359">
        <v>56</v>
      </c>
    </row>
    <row r="360" spans="1:12" x14ac:dyDescent="0.25">
      <c r="A360" t="s">
        <v>24</v>
      </c>
      <c r="D360" t="s">
        <v>28</v>
      </c>
      <c r="E360">
        <v>1998</v>
      </c>
      <c r="F360">
        <v>1</v>
      </c>
      <c r="G360">
        <v>1</v>
      </c>
      <c r="H360">
        <v>1</v>
      </c>
      <c r="I360">
        <v>101</v>
      </c>
      <c r="K360" s="13">
        <v>45908</v>
      </c>
      <c r="L360">
        <v>65</v>
      </c>
    </row>
    <row r="361" spans="1:12" x14ac:dyDescent="0.25">
      <c r="A361" t="s">
        <v>24</v>
      </c>
      <c r="D361" t="s">
        <v>28</v>
      </c>
      <c r="E361">
        <v>1998</v>
      </c>
      <c r="F361">
        <v>1</v>
      </c>
      <c r="G361">
        <v>1</v>
      </c>
      <c r="H361">
        <v>1</v>
      </c>
      <c r="I361">
        <v>101</v>
      </c>
      <c r="K361" s="13">
        <v>45923</v>
      </c>
      <c r="L361">
        <v>74</v>
      </c>
    </row>
    <row r="362" spans="1:12" x14ac:dyDescent="0.25">
      <c r="A362" t="s">
        <v>24</v>
      </c>
      <c r="D362" t="s">
        <v>28</v>
      </c>
      <c r="E362">
        <v>1998</v>
      </c>
      <c r="F362">
        <v>1</v>
      </c>
      <c r="G362">
        <v>1</v>
      </c>
      <c r="H362">
        <v>1</v>
      </c>
      <c r="I362">
        <v>101</v>
      </c>
      <c r="K362" s="13">
        <v>45939</v>
      </c>
      <c r="L362">
        <v>91</v>
      </c>
    </row>
    <row r="363" spans="1:12" x14ac:dyDescent="0.25">
      <c r="A363" t="s">
        <v>24</v>
      </c>
      <c r="D363" t="s">
        <v>28</v>
      </c>
      <c r="E363">
        <v>1998</v>
      </c>
      <c r="F363">
        <v>1</v>
      </c>
      <c r="G363">
        <v>1</v>
      </c>
      <c r="H363">
        <v>1</v>
      </c>
      <c r="I363">
        <v>101</v>
      </c>
      <c r="K363" s="13">
        <v>45959</v>
      </c>
      <c r="L363">
        <v>95</v>
      </c>
    </row>
    <row r="364" spans="1:12" x14ac:dyDescent="0.25">
      <c r="A364" t="s">
        <v>24</v>
      </c>
      <c r="D364" t="s">
        <v>28</v>
      </c>
      <c r="E364">
        <v>1998</v>
      </c>
      <c r="F364">
        <v>1</v>
      </c>
      <c r="G364">
        <v>1</v>
      </c>
      <c r="H364">
        <v>1</v>
      </c>
      <c r="I364">
        <v>101</v>
      </c>
      <c r="K364" s="13">
        <v>45966</v>
      </c>
      <c r="L364">
        <v>95</v>
      </c>
    </row>
    <row r="365" spans="1:12" x14ac:dyDescent="0.25">
      <c r="A365" t="s">
        <v>24</v>
      </c>
      <c r="D365" t="s">
        <v>312</v>
      </c>
      <c r="E365">
        <v>2002</v>
      </c>
      <c r="F365">
        <v>1</v>
      </c>
      <c r="G365">
        <v>1</v>
      </c>
      <c r="H365">
        <v>2</v>
      </c>
      <c r="I365">
        <v>102</v>
      </c>
      <c r="K365" s="13">
        <v>45810</v>
      </c>
      <c r="L365">
        <v>25</v>
      </c>
    </row>
    <row r="366" spans="1:12" x14ac:dyDescent="0.25">
      <c r="A366" t="s">
        <v>24</v>
      </c>
      <c r="D366" t="s">
        <v>312</v>
      </c>
      <c r="E366">
        <v>2002</v>
      </c>
      <c r="F366">
        <v>1</v>
      </c>
      <c r="G366">
        <v>1</v>
      </c>
      <c r="H366">
        <v>2</v>
      </c>
      <c r="I366">
        <v>102</v>
      </c>
      <c r="K366" s="13">
        <v>45827</v>
      </c>
      <c r="L366">
        <v>29</v>
      </c>
    </row>
    <row r="367" spans="1:12" x14ac:dyDescent="0.25">
      <c r="A367" t="s">
        <v>24</v>
      </c>
      <c r="D367" t="s">
        <v>312</v>
      </c>
      <c r="E367">
        <v>2002</v>
      </c>
      <c r="F367">
        <v>1</v>
      </c>
      <c r="G367">
        <v>1</v>
      </c>
      <c r="H367">
        <v>2</v>
      </c>
      <c r="I367">
        <v>102</v>
      </c>
      <c r="K367" s="13">
        <v>45856</v>
      </c>
      <c r="L367">
        <v>43</v>
      </c>
    </row>
    <row r="368" spans="1:12" x14ac:dyDescent="0.25">
      <c r="A368" t="s">
        <v>24</v>
      </c>
      <c r="D368" t="s">
        <v>312</v>
      </c>
      <c r="E368">
        <v>2002</v>
      </c>
      <c r="F368">
        <v>1</v>
      </c>
      <c r="G368">
        <v>1</v>
      </c>
      <c r="H368">
        <v>2</v>
      </c>
      <c r="I368">
        <v>102</v>
      </c>
      <c r="K368" s="13">
        <v>45869</v>
      </c>
      <c r="L368">
        <v>48</v>
      </c>
    </row>
    <row r="369" spans="1:12" x14ac:dyDescent="0.25">
      <c r="A369" t="s">
        <v>24</v>
      </c>
      <c r="D369" t="s">
        <v>312</v>
      </c>
      <c r="E369">
        <v>2002</v>
      </c>
      <c r="F369">
        <v>1</v>
      </c>
      <c r="G369">
        <v>1</v>
      </c>
      <c r="H369">
        <v>2</v>
      </c>
      <c r="I369">
        <v>102</v>
      </c>
      <c r="K369" s="13">
        <v>45881</v>
      </c>
      <c r="L369">
        <v>51</v>
      </c>
    </row>
    <row r="370" spans="1:12" x14ac:dyDescent="0.25">
      <c r="A370" t="s">
        <v>24</v>
      </c>
      <c r="D370" t="s">
        <v>312</v>
      </c>
      <c r="E370">
        <v>2002</v>
      </c>
      <c r="F370">
        <v>1</v>
      </c>
      <c r="G370">
        <v>1</v>
      </c>
      <c r="H370">
        <v>2</v>
      </c>
      <c r="I370">
        <v>102</v>
      </c>
      <c r="K370" s="13">
        <v>45895</v>
      </c>
      <c r="L370">
        <v>58</v>
      </c>
    </row>
    <row r="371" spans="1:12" x14ac:dyDescent="0.25">
      <c r="A371" t="s">
        <v>24</v>
      </c>
      <c r="D371" t="s">
        <v>312</v>
      </c>
      <c r="E371">
        <v>2002</v>
      </c>
      <c r="F371">
        <v>1</v>
      </c>
      <c r="G371">
        <v>1</v>
      </c>
      <c r="H371">
        <v>2</v>
      </c>
      <c r="I371">
        <v>102</v>
      </c>
      <c r="K371" s="13">
        <v>45908</v>
      </c>
      <c r="L371">
        <v>60</v>
      </c>
    </row>
    <row r="372" spans="1:12" x14ac:dyDescent="0.25">
      <c r="A372" t="s">
        <v>24</v>
      </c>
      <c r="D372" t="s">
        <v>312</v>
      </c>
      <c r="E372">
        <v>2002</v>
      </c>
      <c r="F372">
        <v>1</v>
      </c>
      <c r="G372">
        <v>1</v>
      </c>
      <c r="H372">
        <v>2</v>
      </c>
      <c r="I372">
        <v>102</v>
      </c>
      <c r="K372" s="13">
        <v>45923</v>
      </c>
      <c r="L372">
        <v>60</v>
      </c>
    </row>
    <row r="373" spans="1:12" x14ac:dyDescent="0.25">
      <c r="A373" t="s">
        <v>24</v>
      </c>
      <c r="D373" t="s">
        <v>312</v>
      </c>
      <c r="E373">
        <v>2002</v>
      </c>
      <c r="F373">
        <v>1</v>
      </c>
      <c r="G373">
        <v>1</v>
      </c>
      <c r="H373">
        <v>2</v>
      </c>
      <c r="I373">
        <v>102</v>
      </c>
      <c r="K373" s="13">
        <v>45939</v>
      </c>
      <c r="L373">
        <v>86</v>
      </c>
    </row>
    <row r="374" spans="1:12" x14ac:dyDescent="0.25">
      <c r="A374" t="s">
        <v>24</v>
      </c>
      <c r="D374" t="s">
        <v>312</v>
      </c>
      <c r="E374">
        <v>2002</v>
      </c>
      <c r="F374">
        <v>1</v>
      </c>
      <c r="G374">
        <v>1</v>
      </c>
      <c r="H374">
        <v>2</v>
      </c>
      <c r="I374">
        <v>102</v>
      </c>
      <c r="K374" s="13">
        <v>45959</v>
      </c>
      <c r="L374">
        <v>90</v>
      </c>
    </row>
    <row r="375" spans="1:12" x14ac:dyDescent="0.25">
      <c r="A375" t="s">
        <v>24</v>
      </c>
      <c r="D375" t="s">
        <v>312</v>
      </c>
      <c r="E375">
        <v>2002</v>
      </c>
      <c r="F375">
        <v>1</v>
      </c>
      <c r="G375">
        <v>1</v>
      </c>
      <c r="H375">
        <v>2</v>
      </c>
      <c r="I375">
        <v>102</v>
      </c>
      <c r="K375" s="13">
        <v>45966</v>
      </c>
      <c r="L375">
        <v>90</v>
      </c>
    </row>
    <row r="376" spans="1:12" x14ac:dyDescent="0.25">
      <c r="A376" t="s">
        <v>24</v>
      </c>
      <c r="D376" t="s">
        <v>29</v>
      </c>
      <c r="E376">
        <v>1999</v>
      </c>
      <c r="F376">
        <v>2</v>
      </c>
      <c r="G376">
        <v>1</v>
      </c>
      <c r="H376">
        <v>5</v>
      </c>
      <c r="I376">
        <v>105</v>
      </c>
      <c r="K376" s="13">
        <v>45810</v>
      </c>
      <c r="L376">
        <v>30</v>
      </c>
    </row>
    <row r="377" spans="1:12" x14ac:dyDescent="0.25">
      <c r="A377" t="s">
        <v>24</v>
      </c>
      <c r="D377" t="s">
        <v>29</v>
      </c>
      <c r="E377">
        <v>1999</v>
      </c>
      <c r="F377">
        <v>2</v>
      </c>
      <c r="G377">
        <v>1</v>
      </c>
      <c r="H377">
        <v>5</v>
      </c>
      <c r="I377">
        <v>105</v>
      </c>
      <c r="K377" s="13">
        <v>45827</v>
      </c>
      <c r="L377">
        <v>28</v>
      </c>
    </row>
    <row r="378" spans="1:12" x14ac:dyDescent="0.25">
      <c r="A378" t="s">
        <v>24</v>
      </c>
      <c r="D378" t="s">
        <v>29</v>
      </c>
      <c r="E378">
        <v>1999</v>
      </c>
      <c r="F378">
        <v>2</v>
      </c>
      <c r="G378">
        <v>1</v>
      </c>
      <c r="H378">
        <v>5</v>
      </c>
      <c r="I378">
        <v>105</v>
      </c>
      <c r="K378" s="13">
        <v>45856</v>
      </c>
      <c r="L378">
        <v>39</v>
      </c>
    </row>
    <row r="379" spans="1:12" x14ac:dyDescent="0.25">
      <c r="A379" t="s">
        <v>24</v>
      </c>
      <c r="D379" t="s">
        <v>29</v>
      </c>
      <c r="E379">
        <v>1999</v>
      </c>
      <c r="F379">
        <v>2</v>
      </c>
      <c r="G379">
        <v>1</v>
      </c>
      <c r="H379">
        <v>5</v>
      </c>
      <c r="I379">
        <v>105</v>
      </c>
      <c r="K379" s="13">
        <v>45869</v>
      </c>
      <c r="L379">
        <v>45</v>
      </c>
    </row>
    <row r="380" spans="1:12" x14ac:dyDescent="0.25">
      <c r="A380" t="s">
        <v>24</v>
      </c>
      <c r="D380" t="s">
        <v>29</v>
      </c>
      <c r="E380">
        <v>1999</v>
      </c>
      <c r="F380">
        <v>2</v>
      </c>
      <c r="G380">
        <v>1</v>
      </c>
      <c r="H380">
        <v>5</v>
      </c>
      <c r="I380">
        <v>105</v>
      </c>
      <c r="K380" s="13">
        <v>45881</v>
      </c>
      <c r="L380">
        <v>48</v>
      </c>
    </row>
    <row r="381" spans="1:12" x14ac:dyDescent="0.25">
      <c r="A381" t="s">
        <v>24</v>
      </c>
      <c r="D381" t="s">
        <v>29</v>
      </c>
      <c r="E381">
        <v>1999</v>
      </c>
      <c r="F381">
        <v>2</v>
      </c>
      <c r="G381">
        <v>1</v>
      </c>
      <c r="H381">
        <v>5</v>
      </c>
      <c r="I381">
        <v>105</v>
      </c>
      <c r="K381" s="13">
        <v>45895</v>
      </c>
      <c r="L381">
        <v>57</v>
      </c>
    </row>
    <row r="382" spans="1:12" x14ac:dyDescent="0.25">
      <c r="A382" t="s">
        <v>24</v>
      </c>
      <c r="D382" t="s">
        <v>29</v>
      </c>
      <c r="E382">
        <v>1999</v>
      </c>
      <c r="F382">
        <v>2</v>
      </c>
      <c r="G382">
        <v>1</v>
      </c>
      <c r="H382">
        <v>5</v>
      </c>
      <c r="I382">
        <v>105</v>
      </c>
      <c r="K382" s="13">
        <v>45908</v>
      </c>
      <c r="L382">
        <v>58</v>
      </c>
    </row>
    <row r="383" spans="1:12" x14ac:dyDescent="0.25">
      <c r="A383" t="s">
        <v>24</v>
      </c>
      <c r="D383" t="s">
        <v>29</v>
      </c>
      <c r="E383">
        <v>1999</v>
      </c>
      <c r="F383">
        <v>2</v>
      </c>
      <c r="G383">
        <v>1</v>
      </c>
      <c r="H383">
        <v>5</v>
      </c>
      <c r="I383">
        <v>105</v>
      </c>
      <c r="K383" s="13">
        <v>45923</v>
      </c>
      <c r="L383">
        <v>68</v>
      </c>
    </row>
    <row r="384" spans="1:12" x14ac:dyDescent="0.25">
      <c r="A384" t="s">
        <v>24</v>
      </c>
      <c r="D384" t="s">
        <v>29</v>
      </c>
      <c r="E384">
        <v>1999</v>
      </c>
      <c r="F384">
        <v>2</v>
      </c>
      <c r="G384">
        <v>1</v>
      </c>
      <c r="H384">
        <v>5</v>
      </c>
      <c r="I384">
        <v>105</v>
      </c>
      <c r="K384" s="13">
        <v>45939</v>
      </c>
      <c r="L384">
        <v>87</v>
      </c>
    </row>
    <row r="385" spans="1:12" x14ac:dyDescent="0.25">
      <c r="A385" t="s">
        <v>24</v>
      </c>
      <c r="D385" t="s">
        <v>29</v>
      </c>
      <c r="E385">
        <v>1999</v>
      </c>
      <c r="F385">
        <v>2</v>
      </c>
      <c r="G385">
        <v>1</v>
      </c>
      <c r="H385">
        <v>5</v>
      </c>
      <c r="I385">
        <v>105</v>
      </c>
      <c r="K385" s="13">
        <v>45959</v>
      </c>
      <c r="L385">
        <v>92</v>
      </c>
    </row>
    <row r="386" spans="1:12" x14ac:dyDescent="0.25">
      <c r="A386" t="s">
        <v>24</v>
      </c>
      <c r="D386" t="s">
        <v>29</v>
      </c>
      <c r="E386">
        <v>1999</v>
      </c>
      <c r="F386">
        <v>2</v>
      </c>
      <c r="G386">
        <v>1</v>
      </c>
      <c r="H386">
        <v>5</v>
      </c>
      <c r="I386">
        <v>105</v>
      </c>
      <c r="K386" s="13">
        <v>45966</v>
      </c>
      <c r="L386">
        <v>92</v>
      </c>
    </row>
    <row r="387" spans="1:12" x14ac:dyDescent="0.25">
      <c r="A387" t="s">
        <v>24</v>
      </c>
      <c r="D387" t="s">
        <v>311</v>
      </c>
      <c r="E387">
        <v>2023</v>
      </c>
      <c r="F387">
        <v>2</v>
      </c>
      <c r="G387">
        <v>1</v>
      </c>
      <c r="H387">
        <v>6</v>
      </c>
      <c r="I387">
        <v>106</v>
      </c>
      <c r="K387" s="13">
        <v>45810</v>
      </c>
      <c r="L387">
        <v>25</v>
      </c>
    </row>
    <row r="388" spans="1:12" x14ac:dyDescent="0.25">
      <c r="A388" t="s">
        <v>24</v>
      </c>
      <c r="D388" t="s">
        <v>311</v>
      </c>
      <c r="E388">
        <v>2023</v>
      </c>
      <c r="F388">
        <v>2</v>
      </c>
      <c r="G388">
        <v>1</v>
      </c>
      <c r="H388">
        <v>6</v>
      </c>
      <c r="I388">
        <v>106</v>
      </c>
      <c r="K388" s="13">
        <v>45827</v>
      </c>
      <c r="L388">
        <v>36</v>
      </c>
    </row>
    <row r="389" spans="1:12" x14ac:dyDescent="0.25">
      <c r="A389" t="s">
        <v>24</v>
      </c>
      <c r="D389" t="s">
        <v>311</v>
      </c>
      <c r="E389">
        <v>2023</v>
      </c>
      <c r="F389">
        <v>2</v>
      </c>
      <c r="G389">
        <v>1</v>
      </c>
      <c r="H389">
        <v>6</v>
      </c>
      <c r="I389">
        <v>106</v>
      </c>
      <c r="K389" s="13">
        <v>45856</v>
      </c>
      <c r="L389">
        <v>43</v>
      </c>
    </row>
    <row r="390" spans="1:12" x14ac:dyDescent="0.25">
      <c r="A390" t="s">
        <v>24</v>
      </c>
      <c r="D390" t="s">
        <v>311</v>
      </c>
      <c r="E390">
        <v>2023</v>
      </c>
      <c r="F390">
        <v>2</v>
      </c>
      <c r="G390">
        <v>1</v>
      </c>
      <c r="H390">
        <v>6</v>
      </c>
      <c r="I390">
        <v>106</v>
      </c>
      <c r="K390" s="13">
        <v>45869</v>
      </c>
      <c r="L390">
        <v>45</v>
      </c>
    </row>
    <row r="391" spans="1:12" x14ac:dyDescent="0.25">
      <c r="A391" t="s">
        <v>24</v>
      </c>
      <c r="D391" t="s">
        <v>311</v>
      </c>
      <c r="E391">
        <v>2023</v>
      </c>
      <c r="F391">
        <v>2</v>
      </c>
      <c r="G391">
        <v>1</v>
      </c>
      <c r="H391">
        <v>6</v>
      </c>
      <c r="I391">
        <v>106</v>
      </c>
      <c r="K391" s="13">
        <v>45881</v>
      </c>
      <c r="L391">
        <v>45</v>
      </c>
    </row>
    <row r="392" spans="1:12" x14ac:dyDescent="0.25">
      <c r="A392" t="s">
        <v>24</v>
      </c>
      <c r="D392" t="s">
        <v>311</v>
      </c>
      <c r="E392">
        <v>2023</v>
      </c>
      <c r="F392">
        <v>2</v>
      </c>
      <c r="G392">
        <v>1</v>
      </c>
      <c r="H392">
        <v>6</v>
      </c>
      <c r="I392">
        <v>106</v>
      </c>
      <c r="K392" s="13">
        <v>45895</v>
      </c>
      <c r="L392">
        <v>53</v>
      </c>
    </row>
    <row r="393" spans="1:12" x14ac:dyDescent="0.25">
      <c r="A393" t="s">
        <v>24</v>
      </c>
      <c r="D393" t="s">
        <v>311</v>
      </c>
      <c r="E393">
        <v>2023</v>
      </c>
      <c r="F393">
        <v>2</v>
      </c>
      <c r="G393">
        <v>1</v>
      </c>
      <c r="H393">
        <v>6</v>
      </c>
      <c r="I393">
        <v>106</v>
      </c>
      <c r="K393" s="13">
        <v>45908</v>
      </c>
      <c r="L393">
        <v>59</v>
      </c>
    </row>
    <row r="394" spans="1:12" x14ac:dyDescent="0.25">
      <c r="A394" t="s">
        <v>24</v>
      </c>
      <c r="D394" t="s">
        <v>311</v>
      </c>
      <c r="E394">
        <v>2023</v>
      </c>
      <c r="F394">
        <v>2</v>
      </c>
      <c r="G394">
        <v>1</v>
      </c>
      <c r="H394">
        <v>6</v>
      </c>
      <c r="I394">
        <v>106</v>
      </c>
      <c r="K394" s="13">
        <v>45923</v>
      </c>
      <c r="L394">
        <v>76</v>
      </c>
    </row>
    <row r="395" spans="1:12" x14ac:dyDescent="0.25">
      <c r="A395" t="s">
        <v>24</v>
      </c>
      <c r="D395" t="s">
        <v>311</v>
      </c>
      <c r="E395">
        <v>2023</v>
      </c>
      <c r="F395">
        <v>2</v>
      </c>
      <c r="G395">
        <v>1</v>
      </c>
      <c r="H395">
        <v>6</v>
      </c>
      <c r="I395">
        <v>106</v>
      </c>
      <c r="K395" s="13">
        <v>45939</v>
      </c>
      <c r="L395">
        <v>84</v>
      </c>
    </row>
    <row r="396" spans="1:12" x14ac:dyDescent="0.25">
      <c r="A396" t="s">
        <v>24</v>
      </c>
      <c r="D396" t="s">
        <v>311</v>
      </c>
      <c r="E396">
        <v>2023</v>
      </c>
      <c r="F396">
        <v>2</v>
      </c>
      <c r="G396">
        <v>1</v>
      </c>
      <c r="H396">
        <v>6</v>
      </c>
      <c r="I396">
        <v>106</v>
      </c>
      <c r="K396" s="13">
        <v>45959</v>
      </c>
      <c r="L396">
        <v>87</v>
      </c>
    </row>
    <row r="397" spans="1:12" x14ac:dyDescent="0.25">
      <c r="A397" t="s">
        <v>24</v>
      </c>
      <c r="D397" t="s">
        <v>311</v>
      </c>
      <c r="E397">
        <v>2023</v>
      </c>
      <c r="F397">
        <v>2</v>
      </c>
      <c r="G397">
        <v>1</v>
      </c>
      <c r="H397">
        <v>6</v>
      </c>
      <c r="I397">
        <v>106</v>
      </c>
      <c r="K397" s="13">
        <v>45966</v>
      </c>
      <c r="L397">
        <v>87</v>
      </c>
    </row>
    <row r="398" spans="1:12" x14ac:dyDescent="0.25">
      <c r="A398" t="s">
        <v>24</v>
      </c>
      <c r="D398" t="s">
        <v>26</v>
      </c>
      <c r="E398">
        <v>1983</v>
      </c>
      <c r="F398">
        <v>3</v>
      </c>
      <c r="G398">
        <v>1</v>
      </c>
      <c r="H398">
        <v>9</v>
      </c>
      <c r="I398">
        <v>109</v>
      </c>
      <c r="K398" s="13">
        <v>45810</v>
      </c>
      <c r="L398">
        <v>29</v>
      </c>
    </row>
    <row r="399" spans="1:12" x14ac:dyDescent="0.25">
      <c r="A399" t="s">
        <v>24</v>
      </c>
      <c r="D399" t="s">
        <v>26</v>
      </c>
      <c r="E399">
        <v>1983</v>
      </c>
      <c r="F399">
        <v>3</v>
      </c>
      <c r="G399">
        <v>1</v>
      </c>
      <c r="H399">
        <v>9</v>
      </c>
      <c r="I399">
        <v>109</v>
      </c>
      <c r="K399" s="13">
        <v>45827</v>
      </c>
      <c r="L399">
        <v>30</v>
      </c>
    </row>
    <row r="400" spans="1:12" x14ac:dyDescent="0.25">
      <c r="A400" t="s">
        <v>24</v>
      </c>
      <c r="D400" t="s">
        <v>26</v>
      </c>
      <c r="E400">
        <v>1983</v>
      </c>
      <c r="F400">
        <v>3</v>
      </c>
      <c r="G400">
        <v>1</v>
      </c>
      <c r="H400">
        <v>9</v>
      </c>
      <c r="I400">
        <v>109</v>
      </c>
      <c r="K400" s="13">
        <v>45856</v>
      </c>
      <c r="L400">
        <v>44</v>
      </c>
    </row>
    <row r="401" spans="1:12" x14ac:dyDescent="0.25">
      <c r="A401" t="s">
        <v>24</v>
      </c>
      <c r="D401" t="s">
        <v>26</v>
      </c>
      <c r="E401">
        <v>1983</v>
      </c>
      <c r="F401">
        <v>3</v>
      </c>
      <c r="G401">
        <v>1</v>
      </c>
      <c r="H401">
        <v>9</v>
      </c>
      <c r="I401">
        <v>109</v>
      </c>
      <c r="K401" s="13">
        <v>45869</v>
      </c>
      <c r="L401">
        <v>44</v>
      </c>
    </row>
    <row r="402" spans="1:12" x14ac:dyDescent="0.25">
      <c r="A402" t="s">
        <v>24</v>
      </c>
      <c r="D402" t="s">
        <v>26</v>
      </c>
      <c r="E402">
        <v>1983</v>
      </c>
      <c r="F402">
        <v>3</v>
      </c>
      <c r="G402">
        <v>1</v>
      </c>
      <c r="H402">
        <v>9</v>
      </c>
      <c r="I402">
        <v>109</v>
      </c>
      <c r="K402" s="13">
        <v>45881</v>
      </c>
      <c r="L402">
        <v>49</v>
      </c>
    </row>
    <row r="403" spans="1:12" x14ac:dyDescent="0.25">
      <c r="A403" t="s">
        <v>24</v>
      </c>
      <c r="D403" t="s">
        <v>26</v>
      </c>
      <c r="E403">
        <v>1983</v>
      </c>
      <c r="F403">
        <v>3</v>
      </c>
      <c r="G403">
        <v>1</v>
      </c>
      <c r="H403">
        <v>9</v>
      </c>
      <c r="I403">
        <v>109</v>
      </c>
      <c r="K403" s="13">
        <v>45895</v>
      </c>
      <c r="L403">
        <v>58</v>
      </c>
    </row>
    <row r="404" spans="1:12" x14ac:dyDescent="0.25">
      <c r="A404" t="s">
        <v>24</v>
      </c>
      <c r="D404" t="s">
        <v>26</v>
      </c>
      <c r="E404">
        <v>1983</v>
      </c>
      <c r="F404">
        <v>3</v>
      </c>
      <c r="G404">
        <v>1</v>
      </c>
      <c r="H404">
        <v>9</v>
      </c>
      <c r="I404">
        <v>109</v>
      </c>
      <c r="K404" s="13">
        <v>45908</v>
      </c>
      <c r="L404">
        <v>67</v>
      </c>
    </row>
    <row r="405" spans="1:12" x14ac:dyDescent="0.25">
      <c r="A405" t="s">
        <v>24</v>
      </c>
      <c r="D405" t="s">
        <v>26</v>
      </c>
      <c r="E405">
        <v>1983</v>
      </c>
      <c r="F405">
        <v>3</v>
      </c>
      <c r="G405">
        <v>1</v>
      </c>
      <c r="H405">
        <v>9</v>
      </c>
      <c r="I405">
        <v>109</v>
      </c>
      <c r="K405" s="13">
        <v>45923</v>
      </c>
      <c r="L405">
        <v>85</v>
      </c>
    </row>
    <row r="406" spans="1:12" x14ac:dyDescent="0.25">
      <c r="A406" t="s">
        <v>24</v>
      </c>
      <c r="D406" t="s">
        <v>26</v>
      </c>
      <c r="E406">
        <v>1983</v>
      </c>
      <c r="F406">
        <v>3</v>
      </c>
      <c r="G406">
        <v>1</v>
      </c>
      <c r="H406">
        <v>9</v>
      </c>
      <c r="I406">
        <v>109</v>
      </c>
      <c r="K406" s="13">
        <v>45939</v>
      </c>
      <c r="L406">
        <v>100</v>
      </c>
    </row>
    <row r="407" spans="1:12" x14ac:dyDescent="0.25">
      <c r="A407" t="s">
        <v>24</v>
      </c>
      <c r="D407" t="s">
        <v>26</v>
      </c>
      <c r="E407">
        <v>1983</v>
      </c>
      <c r="F407">
        <v>3</v>
      </c>
      <c r="G407">
        <v>1</v>
      </c>
      <c r="H407">
        <v>9</v>
      </c>
      <c r="I407">
        <v>109</v>
      </c>
      <c r="K407" s="13">
        <v>45959</v>
      </c>
      <c r="L407">
        <v>110</v>
      </c>
    </row>
    <row r="408" spans="1:12" x14ac:dyDescent="0.25">
      <c r="A408" t="s">
        <v>24</v>
      </c>
      <c r="D408" t="s">
        <v>26</v>
      </c>
      <c r="E408">
        <v>1983</v>
      </c>
      <c r="F408">
        <v>3</v>
      </c>
      <c r="G408">
        <v>1</v>
      </c>
      <c r="H408">
        <v>9</v>
      </c>
      <c r="I408">
        <v>109</v>
      </c>
      <c r="K408" s="13">
        <v>45966</v>
      </c>
      <c r="L408">
        <v>110</v>
      </c>
    </row>
    <row r="409" spans="1:12" x14ac:dyDescent="0.25">
      <c r="A409" t="s">
        <v>24</v>
      </c>
      <c r="D409" t="s">
        <v>313</v>
      </c>
      <c r="E409">
        <v>2016</v>
      </c>
      <c r="F409">
        <v>3</v>
      </c>
      <c r="G409">
        <v>1</v>
      </c>
      <c r="H409">
        <v>10</v>
      </c>
      <c r="I409">
        <v>110</v>
      </c>
      <c r="K409" s="13">
        <v>45810</v>
      </c>
      <c r="L409">
        <v>25</v>
      </c>
    </row>
    <row r="410" spans="1:12" x14ac:dyDescent="0.25">
      <c r="A410" t="s">
        <v>24</v>
      </c>
      <c r="D410" t="s">
        <v>313</v>
      </c>
      <c r="E410">
        <v>2016</v>
      </c>
      <c r="F410">
        <v>3</v>
      </c>
      <c r="G410">
        <v>1</v>
      </c>
      <c r="H410">
        <v>10</v>
      </c>
      <c r="I410">
        <v>110</v>
      </c>
      <c r="K410" s="13">
        <v>45827</v>
      </c>
      <c r="L410">
        <v>27</v>
      </c>
    </row>
    <row r="411" spans="1:12" x14ac:dyDescent="0.25">
      <c r="A411" t="s">
        <v>24</v>
      </c>
      <c r="D411" t="s">
        <v>313</v>
      </c>
      <c r="E411">
        <v>2016</v>
      </c>
      <c r="F411">
        <v>3</v>
      </c>
      <c r="G411">
        <v>1</v>
      </c>
      <c r="H411">
        <v>10</v>
      </c>
      <c r="I411">
        <v>110</v>
      </c>
      <c r="K411" s="13">
        <v>45856</v>
      </c>
      <c r="L411">
        <v>43</v>
      </c>
    </row>
    <row r="412" spans="1:12" x14ac:dyDescent="0.25">
      <c r="A412" t="s">
        <v>24</v>
      </c>
      <c r="D412" t="s">
        <v>313</v>
      </c>
      <c r="E412">
        <v>2016</v>
      </c>
      <c r="F412">
        <v>3</v>
      </c>
      <c r="G412">
        <v>1</v>
      </c>
      <c r="H412">
        <v>10</v>
      </c>
      <c r="I412">
        <v>110</v>
      </c>
      <c r="K412" s="13">
        <v>45869</v>
      </c>
      <c r="L412">
        <v>47</v>
      </c>
    </row>
    <row r="413" spans="1:12" x14ac:dyDescent="0.25">
      <c r="A413" t="s">
        <v>24</v>
      </c>
      <c r="D413" t="s">
        <v>313</v>
      </c>
      <c r="E413">
        <v>2016</v>
      </c>
      <c r="F413">
        <v>3</v>
      </c>
      <c r="G413">
        <v>1</v>
      </c>
      <c r="H413">
        <v>10</v>
      </c>
      <c r="I413">
        <v>110</v>
      </c>
      <c r="K413" s="13">
        <v>45881</v>
      </c>
      <c r="L413">
        <v>51</v>
      </c>
    </row>
    <row r="414" spans="1:12" x14ac:dyDescent="0.25">
      <c r="A414" t="s">
        <v>24</v>
      </c>
      <c r="D414" t="s">
        <v>313</v>
      </c>
      <c r="E414">
        <v>2016</v>
      </c>
      <c r="F414">
        <v>3</v>
      </c>
      <c r="G414">
        <v>1</v>
      </c>
      <c r="H414">
        <v>10</v>
      </c>
      <c r="I414">
        <v>110</v>
      </c>
      <c r="K414" s="13">
        <v>45895</v>
      </c>
      <c r="L414">
        <v>58</v>
      </c>
    </row>
    <row r="415" spans="1:12" x14ac:dyDescent="0.25">
      <c r="A415" t="s">
        <v>24</v>
      </c>
      <c r="D415" t="s">
        <v>313</v>
      </c>
      <c r="E415">
        <v>2016</v>
      </c>
      <c r="F415">
        <v>3</v>
      </c>
      <c r="G415">
        <v>1</v>
      </c>
      <c r="H415">
        <v>10</v>
      </c>
      <c r="I415">
        <v>110</v>
      </c>
      <c r="K415" s="13">
        <v>45908</v>
      </c>
      <c r="L415">
        <v>65</v>
      </c>
    </row>
    <row r="416" spans="1:12" x14ac:dyDescent="0.25">
      <c r="A416" t="s">
        <v>24</v>
      </c>
      <c r="D416" t="s">
        <v>313</v>
      </c>
      <c r="E416">
        <v>2016</v>
      </c>
      <c r="F416">
        <v>3</v>
      </c>
      <c r="G416">
        <v>1</v>
      </c>
      <c r="H416">
        <v>10</v>
      </c>
      <c r="I416">
        <v>110</v>
      </c>
      <c r="K416" s="13">
        <v>45923</v>
      </c>
      <c r="L416">
        <v>78</v>
      </c>
    </row>
    <row r="417" spans="1:12" x14ac:dyDescent="0.25">
      <c r="A417" t="s">
        <v>24</v>
      </c>
      <c r="D417" t="s">
        <v>313</v>
      </c>
      <c r="E417">
        <v>2016</v>
      </c>
      <c r="F417">
        <v>3</v>
      </c>
      <c r="G417">
        <v>1</v>
      </c>
      <c r="H417">
        <v>10</v>
      </c>
      <c r="I417">
        <v>110</v>
      </c>
      <c r="K417" s="13">
        <v>45939</v>
      </c>
      <c r="L417">
        <v>95</v>
      </c>
    </row>
    <row r="418" spans="1:12" x14ac:dyDescent="0.25">
      <c r="A418" t="s">
        <v>24</v>
      </c>
      <c r="D418" t="s">
        <v>313</v>
      </c>
      <c r="E418">
        <v>2016</v>
      </c>
      <c r="F418">
        <v>3</v>
      </c>
      <c r="G418">
        <v>1</v>
      </c>
      <c r="H418">
        <v>10</v>
      </c>
      <c r="I418">
        <v>110</v>
      </c>
      <c r="K418" s="13">
        <v>45959</v>
      </c>
      <c r="L418">
        <v>93</v>
      </c>
    </row>
    <row r="419" spans="1:12" x14ac:dyDescent="0.25">
      <c r="A419" t="s">
        <v>24</v>
      </c>
      <c r="D419" t="s">
        <v>313</v>
      </c>
      <c r="E419">
        <v>2016</v>
      </c>
      <c r="F419">
        <v>3</v>
      </c>
      <c r="G419">
        <v>1</v>
      </c>
      <c r="H419">
        <v>10</v>
      </c>
      <c r="I419">
        <v>110</v>
      </c>
      <c r="K419" s="13">
        <v>45966</v>
      </c>
      <c r="L419">
        <v>93</v>
      </c>
    </row>
    <row r="420" spans="1:12" x14ac:dyDescent="0.25">
      <c r="A420" t="s">
        <v>24</v>
      </c>
      <c r="D420" t="s">
        <v>32</v>
      </c>
      <c r="E420">
        <v>2018</v>
      </c>
      <c r="F420">
        <v>4</v>
      </c>
      <c r="G420">
        <v>1</v>
      </c>
      <c r="H420">
        <v>13</v>
      </c>
      <c r="I420">
        <v>113</v>
      </c>
      <c r="K420" s="13">
        <v>45810</v>
      </c>
      <c r="L420">
        <v>23</v>
      </c>
    </row>
    <row r="421" spans="1:12" x14ac:dyDescent="0.25">
      <c r="A421" t="s">
        <v>24</v>
      </c>
      <c r="D421" t="s">
        <v>32</v>
      </c>
      <c r="E421">
        <v>2018</v>
      </c>
      <c r="F421">
        <v>4</v>
      </c>
      <c r="G421">
        <v>1</v>
      </c>
      <c r="H421">
        <v>13</v>
      </c>
      <c r="I421">
        <v>113</v>
      </c>
      <c r="K421" s="13">
        <v>45827</v>
      </c>
      <c r="L421">
        <v>31</v>
      </c>
    </row>
    <row r="422" spans="1:12" x14ac:dyDescent="0.25">
      <c r="A422" t="s">
        <v>24</v>
      </c>
      <c r="D422" t="s">
        <v>32</v>
      </c>
      <c r="E422">
        <v>2018</v>
      </c>
      <c r="F422">
        <v>4</v>
      </c>
      <c r="G422">
        <v>1</v>
      </c>
      <c r="H422">
        <v>13</v>
      </c>
      <c r="I422">
        <v>113</v>
      </c>
      <c r="K422" s="13">
        <v>45856</v>
      </c>
      <c r="L422">
        <v>42</v>
      </c>
    </row>
    <row r="423" spans="1:12" x14ac:dyDescent="0.25">
      <c r="A423" t="s">
        <v>24</v>
      </c>
      <c r="D423" t="s">
        <v>32</v>
      </c>
      <c r="E423">
        <v>2018</v>
      </c>
      <c r="F423">
        <v>4</v>
      </c>
      <c r="G423">
        <v>1</v>
      </c>
      <c r="H423">
        <v>13</v>
      </c>
      <c r="I423">
        <v>113</v>
      </c>
      <c r="K423" s="13">
        <v>45869</v>
      </c>
      <c r="L423">
        <v>47</v>
      </c>
    </row>
    <row r="424" spans="1:12" x14ac:dyDescent="0.25">
      <c r="A424" t="s">
        <v>24</v>
      </c>
      <c r="D424" t="s">
        <v>32</v>
      </c>
      <c r="E424">
        <v>2018</v>
      </c>
      <c r="F424">
        <v>4</v>
      </c>
      <c r="G424">
        <v>1</v>
      </c>
      <c r="H424">
        <v>13</v>
      </c>
      <c r="I424">
        <v>113</v>
      </c>
      <c r="K424" s="13">
        <v>45881</v>
      </c>
      <c r="L424">
        <v>48</v>
      </c>
    </row>
    <row r="425" spans="1:12" x14ac:dyDescent="0.25">
      <c r="A425" t="s">
        <v>24</v>
      </c>
      <c r="D425" t="s">
        <v>32</v>
      </c>
      <c r="E425">
        <v>2018</v>
      </c>
      <c r="F425">
        <v>4</v>
      </c>
      <c r="G425">
        <v>1</v>
      </c>
      <c r="H425">
        <v>13</v>
      </c>
      <c r="I425">
        <v>113</v>
      </c>
      <c r="K425" s="13">
        <v>45895</v>
      </c>
      <c r="L425">
        <v>53</v>
      </c>
    </row>
    <row r="426" spans="1:12" x14ac:dyDescent="0.25">
      <c r="A426" t="s">
        <v>24</v>
      </c>
      <c r="D426" t="s">
        <v>32</v>
      </c>
      <c r="E426">
        <v>2018</v>
      </c>
      <c r="F426">
        <v>4</v>
      </c>
      <c r="G426">
        <v>1</v>
      </c>
      <c r="H426">
        <v>13</v>
      </c>
      <c r="I426">
        <v>113</v>
      </c>
      <c r="K426" s="13">
        <v>45908</v>
      </c>
      <c r="L426">
        <v>60</v>
      </c>
    </row>
    <row r="427" spans="1:12" x14ac:dyDescent="0.25">
      <c r="A427" t="s">
        <v>24</v>
      </c>
      <c r="D427" t="s">
        <v>32</v>
      </c>
      <c r="E427">
        <v>2018</v>
      </c>
      <c r="F427">
        <v>4</v>
      </c>
      <c r="G427">
        <v>1</v>
      </c>
      <c r="H427">
        <v>13</v>
      </c>
      <c r="I427">
        <v>113</v>
      </c>
      <c r="K427" s="13">
        <v>45923</v>
      </c>
      <c r="L427">
        <v>68</v>
      </c>
    </row>
    <row r="428" spans="1:12" x14ac:dyDescent="0.25">
      <c r="A428" t="s">
        <v>24</v>
      </c>
      <c r="D428" t="s">
        <v>32</v>
      </c>
      <c r="E428">
        <v>2018</v>
      </c>
      <c r="F428">
        <v>4</v>
      </c>
      <c r="G428">
        <v>1</v>
      </c>
      <c r="H428">
        <v>13</v>
      </c>
      <c r="I428">
        <v>113</v>
      </c>
      <c r="K428" s="13">
        <v>45939</v>
      </c>
      <c r="L428">
        <v>84</v>
      </c>
    </row>
    <row r="429" spans="1:12" x14ac:dyDescent="0.25">
      <c r="A429" t="s">
        <v>24</v>
      </c>
      <c r="D429" t="s">
        <v>32</v>
      </c>
      <c r="E429">
        <v>2018</v>
      </c>
      <c r="F429">
        <v>4</v>
      </c>
      <c r="G429">
        <v>1</v>
      </c>
      <c r="H429">
        <v>13</v>
      </c>
      <c r="I429">
        <v>113</v>
      </c>
      <c r="K429" s="13">
        <v>45959</v>
      </c>
      <c r="L429">
        <v>88</v>
      </c>
    </row>
    <row r="430" spans="1:12" x14ac:dyDescent="0.25">
      <c r="A430" t="s">
        <v>24</v>
      </c>
      <c r="D430" t="s">
        <v>32</v>
      </c>
      <c r="E430">
        <v>2018</v>
      </c>
      <c r="F430">
        <v>4</v>
      </c>
      <c r="G430">
        <v>1</v>
      </c>
      <c r="H430">
        <v>13</v>
      </c>
      <c r="I430">
        <v>113</v>
      </c>
      <c r="K430" s="13">
        <v>45966</v>
      </c>
      <c r="L430">
        <v>88</v>
      </c>
    </row>
    <row r="431" spans="1:12" x14ac:dyDescent="0.25">
      <c r="A431" t="s">
        <v>24</v>
      </c>
      <c r="D431" t="s">
        <v>27</v>
      </c>
      <c r="E431">
        <v>1985</v>
      </c>
      <c r="F431">
        <v>4</v>
      </c>
      <c r="G431">
        <v>1</v>
      </c>
      <c r="H431">
        <v>14</v>
      </c>
      <c r="I431">
        <v>114</v>
      </c>
      <c r="K431" s="13">
        <v>45810</v>
      </c>
      <c r="L431">
        <v>27</v>
      </c>
    </row>
    <row r="432" spans="1:12" x14ac:dyDescent="0.25">
      <c r="A432" t="s">
        <v>24</v>
      </c>
      <c r="D432" t="s">
        <v>27</v>
      </c>
      <c r="E432">
        <v>1985</v>
      </c>
      <c r="F432">
        <v>4</v>
      </c>
      <c r="G432">
        <v>1</v>
      </c>
      <c r="H432">
        <v>14</v>
      </c>
      <c r="I432">
        <v>114</v>
      </c>
      <c r="K432" s="13">
        <v>45827</v>
      </c>
      <c r="L432">
        <v>27</v>
      </c>
    </row>
    <row r="433" spans="1:12" x14ac:dyDescent="0.25">
      <c r="A433" t="s">
        <v>24</v>
      </c>
      <c r="D433" t="s">
        <v>27</v>
      </c>
      <c r="E433">
        <v>1985</v>
      </c>
      <c r="F433">
        <v>4</v>
      </c>
      <c r="G433">
        <v>1</v>
      </c>
      <c r="H433">
        <v>14</v>
      </c>
      <c r="I433">
        <v>114</v>
      </c>
      <c r="K433" s="13">
        <v>45856</v>
      </c>
      <c r="L433">
        <v>46</v>
      </c>
    </row>
    <row r="434" spans="1:12" x14ac:dyDescent="0.25">
      <c r="A434" t="s">
        <v>24</v>
      </c>
      <c r="D434" t="s">
        <v>27</v>
      </c>
      <c r="E434">
        <v>1985</v>
      </c>
      <c r="F434">
        <v>4</v>
      </c>
      <c r="G434">
        <v>1</v>
      </c>
      <c r="H434">
        <v>14</v>
      </c>
      <c r="I434">
        <v>114</v>
      </c>
      <c r="K434" s="13">
        <v>45869</v>
      </c>
      <c r="L434">
        <v>45</v>
      </c>
    </row>
    <row r="435" spans="1:12" x14ac:dyDescent="0.25">
      <c r="A435" t="s">
        <v>24</v>
      </c>
      <c r="D435" t="s">
        <v>27</v>
      </c>
      <c r="E435">
        <v>1985</v>
      </c>
      <c r="F435">
        <v>4</v>
      </c>
      <c r="G435">
        <v>1</v>
      </c>
      <c r="H435">
        <v>14</v>
      </c>
      <c r="I435">
        <v>114</v>
      </c>
      <c r="K435" s="13">
        <v>45881</v>
      </c>
      <c r="L435">
        <v>51</v>
      </c>
    </row>
    <row r="436" spans="1:12" x14ac:dyDescent="0.25">
      <c r="A436" t="s">
        <v>24</v>
      </c>
      <c r="D436" t="s">
        <v>27</v>
      </c>
      <c r="E436">
        <v>1985</v>
      </c>
      <c r="F436">
        <v>4</v>
      </c>
      <c r="G436">
        <v>1</v>
      </c>
      <c r="H436">
        <v>14</v>
      </c>
      <c r="I436">
        <v>114</v>
      </c>
      <c r="K436" s="13">
        <v>45895</v>
      </c>
      <c r="L436">
        <v>60</v>
      </c>
    </row>
    <row r="437" spans="1:12" x14ac:dyDescent="0.25">
      <c r="A437" t="s">
        <v>24</v>
      </c>
      <c r="D437" t="s">
        <v>27</v>
      </c>
      <c r="E437">
        <v>1985</v>
      </c>
      <c r="F437">
        <v>4</v>
      </c>
      <c r="G437">
        <v>1</v>
      </c>
      <c r="H437">
        <v>14</v>
      </c>
      <c r="I437">
        <v>114</v>
      </c>
      <c r="K437" s="13">
        <v>45908</v>
      </c>
      <c r="L437">
        <v>65</v>
      </c>
    </row>
    <row r="438" spans="1:12" x14ac:dyDescent="0.25">
      <c r="A438" t="s">
        <v>24</v>
      </c>
      <c r="D438" t="s">
        <v>27</v>
      </c>
      <c r="E438">
        <v>1985</v>
      </c>
      <c r="F438">
        <v>4</v>
      </c>
      <c r="G438">
        <v>1</v>
      </c>
      <c r="H438">
        <v>14</v>
      </c>
      <c r="I438">
        <v>114</v>
      </c>
      <c r="K438" s="13">
        <v>45923</v>
      </c>
      <c r="L438">
        <v>80</v>
      </c>
    </row>
    <row r="439" spans="1:12" x14ac:dyDescent="0.25">
      <c r="A439" t="s">
        <v>24</v>
      </c>
      <c r="D439" t="s">
        <v>27</v>
      </c>
      <c r="E439">
        <v>1985</v>
      </c>
      <c r="F439">
        <v>4</v>
      </c>
      <c r="G439">
        <v>1</v>
      </c>
      <c r="H439">
        <v>14</v>
      </c>
      <c r="I439">
        <v>114</v>
      </c>
      <c r="K439" s="13">
        <v>45939</v>
      </c>
      <c r="L439">
        <v>90</v>
      </c>
    </row>
    <row r="440" spans="1:12" x14ac:dyDescent="0.25">
      <c r="A440" t="s">
        <v>24</v>
      </c>
      <c r="D440" t="s">
        <v>27</v>
      </c>
      <c r="E440">
        <v>1985</v>
      </c>
      <c r="F440">
        <v>4</v>
      </c>
      <c r="G440">
        <v>1</v>
      </c>
      <c r="H440">
        <v>14</v>
      </c>
      <c r="I440">
        <v>114</v>
      </c>
      <c r="K440" s="13">
        <v>45959</v>
      </c>
      <c r="L440">
        <v>100</v>
      </c>
    </row>
    <row r="441" spans="1:12" x14ac:dyDescent="0.25">
      <c r="A441" t="s">
        <v>24</v>
      </c>
      <c r="D441" t="s">
        <v>27</v>
      </c>
      <c r="E441">
        <v>1985</v>
      </c>
      <c r="F441">
        <v>4</v>
      </c>
      <c r="G441">
        <v>1</v>
      </c>
      <c r="H441">
        <v>14</v>
      </c>
      <c r="I441">
        <v>114</v>
      </c>
      <c r="K441" s="13">
        <v>45966</v>
      </c>
      <c r="L441">
        <v>100</v>
      </c>
    </row>
    <row r="442" spans="1:12" x14ac:dyDescent="0.25">
      <c r="A442" t="s">
        <v>24</v>
      </c>
      <c r="D442" t="s">
        <v>313</v>
      </c>
      <c r="E442">
        <v>2016</v>
      </c>
      <c r="F442">
        <v>1</v>
      </c>
      <c r="G442">
        <v>2</v>
      </c>
      <c r="H442">
        <v>1</v>
      </c>
      <c r="I442">
        <v>117</v>
      </c>
      <c r="K442" s="13">
        <v>45810</v>
      </c>
      <c r="L442">
        <v>23</v>
      </c>
    </row>
    <row r="443" spans="1:12" x14ac:dyDescent="0.25">
      <c r="A443" t="s">
        <v>24</v>
      </c>
      <c r="D443" t="s">
        <v>313</v>
      </c>
      <c r="E443">
        <v>2016</v>
      </c>
      <c r="F443">
        <v>1</v>
      </c>
      <c r="G443">
        <v>2</v>
      </c>
      <c r="H443">
        <v>1</v>
      </c>
      <c r="I443">
        <v>117</v>
      </c>
      <c r="K443" s="13">
        <v>45827</v>
      </c>
      <c r="L443">
        <v>32</v>
      </c>
    </row>
    <row r="444" spans="1:12" x14ac:dyDescent="0.25">
      <c r="A444" t="s">
        <v>24</v>
      </c>
      <c r="D444" t="s">
        <v>313</v>
      </c>
      <c r="E444">
        <v>2016</v>
      </c>
      <c r="F444">
        <v>1</v>
      </c>
      <c r="G444">
        <v>2</v>
      </c>
      <c r="H444">
        <v>1</v>
      </c>
      <c r="I444">
        <v>117</v>
      </c>
      <c r="K444" s="13">
        <v>45856</v>
      </c>
      <c r="L444">
        <v>42</v>
      </c>
    </row>
    <row r="445" spans="1:12" x14ac:dyDescent="0.25">
      <c r="A445" t="s">
        <v>24</v>
      </c>
      <c r="D445" t="s">
        <v>313</v>
      </c>
      <c r="E445">
        <v>2016</v>
      </c>
      <c r="F445">
        <v>1</v>
      </c>
      <c r="G445">
        <v>2</v>
      </c>
      <c r="H445">
        <v>1</v>
      </c>
      <c r="I445">
        <v>117</v>
      </c>
      <c r="K445" s="13">
        <v>45869</v>
      </c>
      <c r="L445">
        <v>49</v>
      </c>
    </row>
    <row r="446" spans="1:12" x14ac:dyDescent="0.25">
      <c r="A446" t="s">
        <v>24</v>
      </c>
      <c r="D446" t="s">
        <v>313</v>
      </c>
      <c r="E446">
        <v>2016</v>
      </c>
      <c r="F446">
        <v>1</v>
      </c>
      <c r="G446">
        <v>2</v>
      </c>
      <c r="H446">
        <v>1</v>
      </c>
      <c r="I446">
        <v>117</v>
      </c>
      <c r="K446" s="13">
        <v>45881</v>
      </c>
      <c r="L446">
        <v>53</v>
      </c>
    </row>
    <row r="447" spans="1:12" x14ac:dyDescent="0.25">
      <c r="A447" t="s">
        <v>24</v>
      </c>
      <c r="D447" t="s">
        <v>313</v>
      </c>
      <c r="E447">
        <v>2016</v>
      </c>
      <c r="F447">
        <v>1</v>
      </c>
      <c r="G447">
        <v>2</v>
      </c>
      <c r="H447">
        <v>1</v>
      </c>
      <c r="I447">
        <v>117</v>
      </c>
      <c r="K447" s="13">
        <v>45895</v>
      </c>
      <c r="L447">
        <v>59</v>
      </c>
    </row>
    <row r="448" spans="1:12" x14ac:dyDescent="0.25">
      <c r="A448" t="s">
        <v>24</v>
      </c>
      <c r="D448" t="s">
        <v>313</v>
      </c>
      <c r="E448">
        <v>2016</v>
      </c>
      <c r="F448">
        <v>1</v>
      </c>
      <c r="G448">
        <v>2</v>
      </c>
      <c r="H448">
        <v>1</v>
      </c>
      <c r="I448">
        <v>117</v>
      </c>
      <c r="K448" s="13">
        <v>45908</v>
      </c>
      <c r="L448">
        <v>64</v>
      </c>
    </row>
    <row r="449" spans="1:12" x14ac:dyDescent="0.25">
      <c r="A449" t="s">
        <v>24</v>
      </c>
      <c r="D449" t="s">
        <v>313</v>
      </c>
      <c r="E449">
        <v>2016</v>
      </c>
      <c r="F449">
        <v>1</v>
      </c>
      <c r="G449">
        <v>2</v>
      </c>
      <c r="H449">
        <v>1</v>
      </c>
      <c r="I449">
        <v>117</v>
      </c>
      <c r="K449" s="13">
        <v>45923</v>
      </c>
      <c r="L449">
        <v>70</v>
      </c>
    </row>
    <row r="450" spans="1:12" x14ac:dyDescent="0.25">
      <c r="A450" t="s">
        <v>24</v>
      </c>
      <c r="D450" t="s">
        <v>313</v>
      </c>
      <c r="E450">
        <v>2016</v>
      </c>
      <c r="F450">
        <v>1</v>
      </c>
      <c r="G450">
        <v>2</v>
      </c>
      <c r="H450">
        <v>1</v>
      </c>
      <c r="I450">
        <v>117</v>
      </c>
      <c r="K450" s="13">
        <v>45939</v>
      </c>
      <c r="L450">
        <v>89</v>
      </c>
    </row>
    <row r="451" spans="1:12" x14ac:dyDescent="0.25">
      <c r="A451" t="s">
        <v>24</v>
      </c>
      <c r="D451" t="s">
        <v>313</v>
      </c>
      <c r="E451">
        <v>2016</v>
      </c>
      <c r="F451">
        <v>1</v>
      </c>
      <c r="G451">
        <v>2</v>
      </c>
      <c r="H451">
        <v>1</v>
      </c>
      <c r="I451">
        <v>117</v>
      </c>
      <c r="K451" s="13">
        <v>45959</v>
      </c>
      <c r="L451">
        <v>93</v>
      </c>
    </row>
    <row r="452" spans="1:12" x14ac:dyDescent="0.25">
      <c r="A452" t="s">
        <v>24</v>
      </c>
      <c r="D452" t="s">
        <v>313</v>
      </c>
      <c r="E452">
        <v>2016</v>
      </c>
      <c r="F452">
        <v>1</v>
      </c>
      <c r="G452">
        <v>2</v>
      </c>
      <c r="H452">
        <v>1</v>
      </c>
      <c r="I452">
        <v>117</v>
      </c>
      <c r="K452" s="13">
        <v>45966</v>
      </c>
      <c r="L452">
        <v>93</v>
      </c>
    </row>
    <row r="453" spans="1:12" x14ac:dyDescent="0.25">
      <c r="A453" t="s">
        <v>24</v>
      </c>
      <c r="D453" t="s">
        <v>311</v>
      </c>
      <c r="E453">
        <v>2023</v>
      </c>
      <c r="F453">
        <v>1</v>
      </c>
      <c r="G453">
        <v>2</v>
      </c>
      <c r="H453">
        <v>2</v>
      </c>
      <c r="I453">
        <v>118</v>
      </c>
      <c r="K453" s="13">
        <v>45810</v>
      </c>
      <c r="L453">
        <v>19</v>
      </c>
    </row>
    <row r="454" spans="1:12" x14ac:dyDescent="0.25">
      <c r="A454" t="s">
        <v>24</v>
      </c>
      <c r="D454" t="s">
        <v>311</v>
      </c>
      <c r="E454">
        <v>2023</v>
      </c>
      <c r="F454">
        <v>1</v>
      </c>
      <c r="G454">
        <v>2</v>
      </c>
      <c r="H454">
        <v>2</v>
      </c>
      <c r="I454">
        <v>118</v>
      </c>
      <c r="K454" s="13">
        <v>45827</v>
      </c>
      <c r="L454">
        <v>32</v>
      </c>
    </row>
    <row r="455" spans="1:12" x14ac:dyDescent="0.25">
      <c r="A455" t="s">
        <v>24</v>
      </c>
      <c r="D455" t="s">
        <v>311</v>
      </c>
      <c r="E455">
        <v>2023</v>
      </c>
      <c r="F455">
        <v>1</v>
      </c>
      <c r="G455">
        <v>2</v>
      </c>
      <c r="H455">
        <v>2</v>
      </c>
      <c r="I455">
        <v>118</v>
      </c>
      <c r="K455" s="13">
        <v>45856</v>
      </c>
      <c r="L455">
        <v>42</v>
      </c>
    </row>
    <row r="456" spans="1:12" x14ac:dyDescent="0.25">
      <c r="A456" t="s">
        <v>24</v>
      </c>
      <c r="D456" t="s">
        <v>311</v>
      </c>
      <c r="E456">
        <v>2023</v>
      </c>
      <c r="F456">
        <v>1</v>
      </c>
      <c r="G456">
        <v>2</v>
      </c>
      <c r="H456">
        <v>2</v>
      </c>
      <c r="I456">
        <v>118</v>
      </c>
      <c r="K456" s="13">
        <v>45869</v>
      </c>
      <c r="L456">
        <v>44</v>
      </c>
    </row>
    <row r="457" spans="1:12" x14ac:dyDescent="0.25">
      <c r="A457" t="s">
        <v>24</v>
      </c>
      <c r="D457" t="s">
        <v>311</v>
      </c>
      <c r="E457">
        <v>2023</v>
      </c>
      <c r="F457">
        <v>1</v>
      </c>
      <c r="G457">
        <v>2</v>
      </c>
      <c r="H457">
        <v>2</v>
      </c>
      <c r="I457">
        <v>118</v>
      </c>
      <c r="K457" s="13">
        <v>45881</v>
      </c>
      <c r="L457">
        <v>45</v>
      </c>
    </row>
    <row r="458" spans="1:12" x14ac:dyDescent="0.25">
      <c r="A458" t="s">
        <v>24</v>
      </c>
      <c r="D458" t="s">
        <v>311</v>
      </c>
      <c r="E458">
        <v>2023</v>
      </c>
      <c r="F458">
        <v>1</v>
      </c>
      <c r="G458">
        <v>2</v>
      </c>
      <c r="H458">
        <v>2</v>
      </c>
      <c r="I458">
        <v>118</v>
      </c>
      <c r="K458" s="13">
        <v>45895</v>
      </c>
      <c r="L458">
        <v>60</v>
      </c>
    </row>
    <row r="459" spans="1:12" x14ac:dyDescent="0.25">
      <c r="A459" t="s">
        <v>24</v>
      </c>
      <c r="D459" t="s">
        <v>311</v>
      </c>
      <c r="E459">
        <v>2023</v>
      </c>
      <c r="F459">
        <v>1</v>
      </c>
      <c r="G459">
        <v>2</v>
      </c>
      <c r="H459">
        <v>2</v>
      </c>
      <c r="I459">
        <v>118</v>
      </c>
      <c r="K459" s="13">
        <v>45908</v>
      </c>
      <c r="L459">
        <v>65</v>
      </c>
    </row>
    <row r="460" spans="1:12" x14ac:dyDescent="0.25">
      <c r="A460" t="s">
        <v>24</v>
      </c>
      <c r="D460" t="s">
        <v>311</v>
      </c>
      <c r="E460">
        <v>2023</v>
      </c>
      <c r="F460">
        <v>1</v>
      </c>
      <c r="G460">
        <v>2</v>
      </c>
      <c r="H460">
        <v>2</v>
      </c>
      <c r="I460">
        <v>118</v>
      </c>
      <c r="K460" s="13">
        <v>45923</v>
      </c>
      <c r="L460">
        <v>73</v>
      </c>
    </row>
    <row r="461" spans="1:12" x14ac:dyDescent="0.25">
      <c r="A461" t="s">
        <v>24</v>
      </c>
      <c r="D461" t="s">
        <v>311</v>
      </c>
      <c r="E461">
        <v>2023</v>
      </c>
      <c r="F461">
        <v>1</v>
      </c>
      <c r="G461">
        <v>2</v>
      </c>
      <c r="H461">
        <v>2</v>
      </c>
      <c r="I461">
        <v>118</v>
      </c>
      <c r="K461" s="13">
        <v>45939</v>
      </c>
      <c r="L461">
        <v>91</v>
      </c>
    </row>
    <row r="462" spans="1:12" x14ac:dyDescent="0.25">
      <c r="A462" t="s">
        <v>24</v>
      </c>
      <c r="D462" t="s">
        <v>311</v>
      </c>
      <c r="E462">
        <v>2023</v>
      </c>
      <c r="F462">
        <v>1</v>
      </c>
      <c r="G462">
        <v>2</v>
      </c>
      <c r="H462">
        <v>2</v>
      </c>
      <c r="I462">
        <v>118</v>
      </c>
      <c r="K462" s="13">
        <v>45959</v>
      </c>
      <c r="L462">
        <v>92</v>
      </c>
    </row>
    <row r="463" spans="1:12" x14ac:dyDescent="0.25">
      <c r="A463" t="s">
        <v>24</v>
      </c>
      <c r="D463" t="s">
        <v>311</v>
      </c>
      <c r="E463">
        <v>2023</v>
      </c>
      <c r="F463">
        <v>1</v>
      </c>
      <c r="G463">
        <v>2</v>
      </c>
      <c r="H463">
        <v>2</v>
      </c>
      <c r="I463">
        <v>118</v>
      </c>
      <c r="K463" s="13">
        <v>45966</v>
      </c>
      <c r="L463">
        <v>92</v>
      </c>
    </row>
    <row r="464" spans="1:12" x14ac:dyDescent="0.25">
      <c r="A464" t="s">
        <v>24</v>
      </c>
      <c r="D464" t="s">
        <v>27</v>
      </c>
      <c r="E464">
        <v>1985</v>
      </c>
      <c r="F464">
        <v>2</v>
      </c>
      <c r="G464">
        <v>2</v>
      </c>
      <c r="H464">
        <v>5</v>
      </c>
      <c r="I464">
        <v>121</v>
      </c>
      <c r="K464" s="13">
        <v>45810</v>
      </c>
      <c r="L464">
        <v>27</v>
      </c>
    </row>
    <row r="465" spans="1:12" x14ac:dyDescent="0.25">
      <c r="A465" t="s">
        <v>24</v>
      </c>
      <c r="D465" t="s">
        <v>27</v>
      </c>
      <c r="E465">
        <v>1985</v>
      </c>
      <c r="F465">
        <v>2</v>
      </c>
      <c r="G465">
        <v>2</v>
      </c>
      <c r="H465">
        <v>5</v>
      </c>
      <c r="I465">
        <v>121</v>
      </c>
      <c r="K465" s="13">
        <v>45827</v>
      </c>
      <c r="L465">
        <v>33</v>
      </c>
    </row>
    <row r="466" spans="1:12" x14ac:dyDescent="0.25">
      <c r="A466" t="s">
        <v>24</v>
      </c>
      <c r="D466" t="s">
        <v>27</v>
      </c>
      <c r="E466">
        <v>1985</v>
      </c>
      <c r="F466">
        <v>2</v>
      </c>
      <c r="G466">
        <v>2</v>
      </c>
      <c r="H466">
        <v>5</v>
      </c>
      <c r="I466">
        <v>121</v>
      </c>
      <c r="K466" s="13">
        <v>45856</v>
      </c>
      <c r="L466">
        <v>44</v>
      </c>
    </row>
    <row r="467" spans="1:12" x14ac:dyDescent="0.25">
      <c r="A467" t="s">
        <v>24</v>
      </c>
      <c r="D467" t="s">
        <v>27</v>
      </c>
      <c r="E467">
        <v>1985</v>
      </c>
      <c r="F467">
        <v>2</v>
      </c>
      <c r="G467">
        <v>2</v>
      </c>
      <c r="H467">
        <v>5</v>
      </c>
      <c r="I467">
        <v>121</v>
      </c>
      <c r="K467" s="13">
        <v>45869</v>
      </c>
      <c r="L467">
        <v>46</v>
      </c>
    </row>
    <row r="468" spans="1:12" x14ac:dyDescent="0.25">
      <c r="A468" t="s">
        <v>24</v>
      </c>
      <c r="D468" t="s">
        <v>27</v>
      </c>
      <c r="E468">
        <v>1985</v>
      </c>
      <c r="F468">
        <v>2</v>
      </c>
      <c r="G468">
        <v>2</v>
      </c>
      <c r="H468">
        <v>5</v>
      </c>
      <c r="I468">
        <v>121</v>
      </c>
      <c r="K468" s="13">
        <v>45881</v>
      </c>
      <c r="L468">
        <v>47</v>
      </c>
    </row>
    <row r="469" spans="1:12" x14ac:dyDescent="0.25">
      <c r="A469" t="s">
        <v>24</v>
      </c>
      <c r="D469" t="s">
        <v>27</v>
      </c>
      <c r="E469">
        <v>1985</v>
      </c>
      <c r="F469">
        <v>2</v>
      </c>
      <c r="G469">
        <v>2</v>
      </c>
      <c r="H469">
        <v>5</v>
      </c>
      <c r="I469">
        <v>121</v>
      </c>
      <c r="K469" s="13">
        <v>45895</v>
      </c>
      <c r="L469">
        <v>54</v>
      </c>
    </row>
    <row r="470" spans="1:12" x14ac:dyDescent="0.25">
      <c r="A470" t="s">
        <v>24</v>
      </c>
      <c r="D470" t="s">
        <v>27</v>
      </c>
      <c r="E470">
        <v>1985</v>
      </c>
      <c r="F470">
        <v>2</v>
      </c>
      <c r="G470">
        <v>2</v>
      </c>
      <c r="H470">
        <v>5</v>
      </c>
      <c r="I470">
        <v>121</v>
      </c>
      <c r="K470" s="13">
        <v>45908</v>
      </c>
      <c r="L470">
        <v>60</v>
      </c>
    </row>
    <row r="471" spans="1:12" x14ac:dyDescent="0.25">
      <c r="A471" t="s">
        <v>24</v>
      </c>
      <c r="D471" t="s">
        <v>27</v>
      </c>
      <c r="E471">
        <v>1985</v>
      </c>
      <c r="F471">
        <v>2</v>
      </c>
      <c r="G471">
        <v>2</v>
      </c>
      <c r="H471">
        <v>5</v>
      </c>
      <c r="I471">
        <v>121</v>
      </c>
      <c r="K471" s="13">
        <v>45923</v>
      </c>
      <c r="L471">
        <v>71</v>
      </c>
    </row>
    <row r="472" spans="1:12" x14ac:dyDescent="0.25">
      <c r="A472" t="s">
        <v>24</v>
      </c>
      <c r="D472" t="s">
        <v>27</v>
      </c>
      <c r="E472">
        <v>1985</v>
      </c>
      <c r="F472">
        <v>2</v>
      </c>
      <c r="G472">
        <v>2</v>
      </c>
      <c r="H472">
        <v>5</v>
      </c>
      <c r="I472">
        <v>121</v>
      </c>
      <c r="K472" s="13">
        <v>45939</v>
      </c>
      <c r="L472">
        <v>86</v>
      </c>
    </row>
    <row r="473" spans="1:12" x14ac:dyDescent="0.25">
      <c r="A473" t="s">
        <v>24</v>
      </c>
      <c r="D473" t="s">
        <v>27</v>
      </c>
      <c r="E473">
        <v>1985</v>
      </c>
      <c r="F473">
        <v>2</v>
      </c>
      <c r="G473">
        <v>2</v>
      </c>
      <c r="H473">
        <v>5</v>
      </c>
      <c r="I473">
        <v>121</v>
      </c>
      <c r="K473" s="13">
        <v>45959</v>
      </c>
      <c r="L473">
        <v>91</v>
      </c>
    </row>
    <row r="474" spans="1:12" x14ac:dyDescent="0.25">
      <c r="A474" t="s">
        <v>24</v>
      </c>
      <c r="D474" t="s">
        <v>27</v>
      </c>
      <c r="E474">
        <v>1985</v>
      </c>
      <c r="F474">
        <v>2</v>
      </c>
      <c r="G474">
        <v>2</v>
      </c>
      <c r="H474">
        <v>5</v>
      </c>
      <c r="I474">
        <v>121</v>
      </c>
      <c r="K474" s="13">
        <v>45966</v>
      </c>
      <c r="L474">
        <v>91</v>
      </c>
    </row>
    <row r="475" spans="1:12" x14ac:dyDescent="0.25">
      <c r="A475" t="s">
        <v>24</v>
      </c>
      <c r="D475" t="s">
        <v>28</v>
      </c>
      <c r="E475">
        <v>1998</v>
      </c>
      <c r="F475">
        <v>2</v>
      </c>
      <c r="G475">
        <v>2</v>
      </c>
      <c r="H475">
        <v>6</v>
      </c>
      <c r="I475">
        <v>122</v>
      </c>
      <c r="K475" s="13">
        <v>45810</v>
      </c>
      <c r="L475">
        <v>24</v>
      </c>
    </row>
    <row r="476" spans="1:12" x14ac:dyDescent="0.25">
      <c r="A476" t="s">
        <v>24</v>
      </c>
      <c r="D476" t="s">
        <v>28</v>
      </c>
      <c r="E476">
        <v>1998</v>
      </c>
      <c r="F476">
        <v>2</v>
      </c>
      <c r="G476">
        <v>2</v>
      </c>
      <c r="H476">
        <v>6</v>
      </c>
      <c r="I476">
        <v>122</v>
      </c>
      <c r="K476" s="13">
        <v>45827</v>
      </c>
      <c r="L476">
        <v>33</v>
      </c>
    </row>
    <row r="477" spans="1:12" x14ac:dyDescent="0.25">
      <c r="A477" t="s">
        <v>24</v>
      </c>
      <c r="D477" t="s">
        <v>28</v>
      </c>
      <c r="E477">
        <v>1998</v>
      </c>
      <c r="F477">
        <v>2</v>
      </c>
      <c r="G477">
        <v>2</v>
      </c>
      <c r="H477">
        <v>6</v>
      </c>
      <c r="I477">
        <v>122</v>
      </c>
      <c r="K477" s="13">
        <v>45856</v>
      </c>
      <c r="L477">
        <v>43</v>
      </c>
    </row>
    <row r="478" spans="1:12" x14ac:dyDescent="0.25">
      <c r="A478" t="s">
        <v>24</v>
      </c>
      <c r="D478" t="s">
        <v>28</v>
      </c>
      <c r="E478">
        <v>1998</v>
      </c>
      <c r="F478">
        <v>2</v>
      </c>
      <c r="G478">
        <v>2</v>
      </c>
      <c r="H478">
        <v>6</v>
      </c>
      <c r="I478">
        <v>122</v>
      </c>
      <c r="K478" s="13">
        <v>45869</v>
      </c>
      <c r="L478">
        <v>47</v>
      </c>
    </row>
    <row r="479" spans="1:12" x14ac:dyDescent="0.25">
      <c r="A479" t="s">
        <v>24</v>
      </c>
      <c r="D479" t="s">
        <v>28</v>
      </c>
      <c r="E479">
        <v>1998</v>
      </c>
      <c r="F479">
        <v>2</v>
      </c>
      <c r="G479">
        <v>2</v>
      </c>
      <c r="H479">
        <v>6</v>
      </c>
      <c r="I479">
        <v>122</v>
      </c>
      <c r="K479" s="13">
        <v>45881</v>
      </c>
      <c r="L479">
        <v>47</v>
      </c>
    </row>
    <row r="480" spans="1:12" x14ac:dyDescent="0.25">
      <c r="A480" t="s">
        <v>24</v>
      </c>
      <c r="D480" t="s">
        <v>28</v>
      </c>
      <c r="E480">
        <v>1998</v>
      </c>
      <c r="F480">
        <v>2</v>
      </c>
      <c r="G480">
        <v>2</v>
      </c>
      <c r="H480">
        <v>6</v>
      </c>
      <c r="I480">
        <v>122</v>
      </c>
      <c r="K480" s="13">
        <v>45895</v>
      </c>
      <c r="L480">
        <v>53</v>
      </c>
    </row>
    <row r="481" spans="1:12" x14ac:dyDescent="0.25">
      <c r="A481" t="s">
        <v>24</v>
      </c>
      <c r="D481" t="s">
        <v>28</v>
      </c>
      <c r="E481">
        <v>1998</v>
      </c>
      <c r="F481">
        <v>2</v>
      </c>
      <c r="G481">
        <v>2</v>
      </c>
      <c r="H481">
        <v>6</v>
      </c>
      <c r="I481">
        <v>122</v>
      </c>
      <c r="K481" s="13">
        <v>45908</v>
      </c>
      <c r="L481">
        <v>56</v>
      </c>
    </row>
    <row r="482" spans="1:12" x14ac:dyDescent="0.25">
      <c r="A482" t="s">
        <v>24</v>
      </c>
      <c r="D482" t="s">
        <v>28</v>
      </c>
      <c r="E482">
        <v>1998</v>
      </c>
      <c r="F482">
        <v>2</v>
      </c>
      <c r="G482">
        <v>2</v>
      </c>
      <c r="H482">
        <v>6</v>
      </c>
      <c r="I482">
        <v>122</v>
      </c>
      <c r="K482" s="13">
        <v>45923</v>
      </c>
      <c r="L482">
        <v>70</v>
      </c>
    </row>
    <row r="483" spans="1:12" x14ac:dyDescent="0.25">
      <c r="A483" t="s">
        <v>24</v>
      </c>
      <c r="D483" t="s">
        <v>28</v>
      </c>
      <c r="E483">
        <v>1998</v>
      </c>
      <c r="F483">
        <v>2</v>
      </c>
      <c r="G483">
        <v>2</v>
      </c>
      <c r="H483">
        <v>6</v>
      </c>
      <c r="I483">
        <v>122</v>
      </c>
      <c r="K483" s="13">
        <v>45939</v>
      </c>
      <c r="L483">
        <v>89</v>
      </c>
    </row>
    <row r="484" spans="1:12" x14ac:dyDescent="0.25">
      <c r="A484" t="s">
        <v>24</v>
      </c>
      <c r="D484" t="s">
        <v>28</v>
      </c>
      <c r="E484">
        <v>1998</v>
      </c>
      <c r="F484">
        <v>2</v>
      </c>
      <c r="G484">
        <v>2</v>
      </c>
      <c r="H484">
        <v>6</v>
      </c>
      <c r="I484">
        <v>122</v>
      </c>
      <c r="K484" s="13">
        <v>45959</v>
      </c>
      <c r="L484">
        <v>92</v>
      </c>
    </row>
    <row r="485" spans="1:12" x14ac:dyDescent="0.25">
      <c r="A485" t="s">
        <v>24</v>
      </c>
      <c r="D485" t="s">
        <v>28</v>
      </c>
      <c r="E485">
        <v>1998</v>
      </c>
      <c r="F485">
        <v>2</v>
      </c>
      <c r="G485">
        <v>2</v>
      </c>
      <c r="H485">
        <v>6</v>
      </c>
      <c r="I485">
        <v>122</v>
      </c>
      <c r="K485" s="13">
        <v>45966</v>
      </c>
      <c r="L485">
        <v>92</v>
      </c>
    </row>
    <row r="486" spans="1:12" x14ac:dyDescent="0.25">
      <c r="A486" t="s">
        <v>24</v>
      </c>
      <c r="D486" t="s">
        <v>312</v>
      </c>
      <c r="E486">
        <v>2002</v>
      </c>
      <c r="F486">
        <v>3</v>
      </c>
      <c r="G486">
        <v>2</v>
      </c>
      <c r="H486">
        <v>9</v>
      </c>
      <c r="I486">
        <v>125</v>
      </c>
      <c r="K486" s="13">
        <v>45810</v>
      </c>
      <c r="L486">
        <v>26</v>
      </c>
    </row>
    <row r="487" spans="1:12" x14ac:dyDescent="0.25">
      <c r="A487" t="s">
        <v>24</v>
      </c>
      <c r="D487" t="s">
        <v>312</v>
      </c>
      <c r="E487">
        <v>2002</v>
      </c>
      <c r="F487">
        <v>3</v>
      </c>
      <c r="G487">
        <v>2</v>
      </c>
      <c r="H487">
        <v>9</v>
      </c>
      <c r="I487">
        <v>125</v>
      </c>
      <c r="K487" s="13">
        <v>45827</v>
      </c>
      <c r="L487">
        <v>28</v>
      </c>
    </row>
    <row r="488" spans="1:12" x14ac:dyDescent="0.25">
      <c r="A488" t="s">
        <v>24</v>
      </c>
      <c r="D488" t="s">
        <v>312</v>
      </c>
      <c r="E488">
        <v>2002</v>
      </c>
      <c r="F488">
        <v>3</v>
      </c>
      <c r="G488">
        <v>2</v>
      </c>
      <c r="H488">
        <v>9</v>
      </c>
      <c r="I488">
        <v>125</v>
      </c>
      <c r="K488" s="13">
        <v>45856</v>
      </c>
      <c r="L488">
        <v>43</v>
      </c>
    </row>
    <row r="489" spans="1:12" x14ac:dyDescent="0.25">
      <c r="A489" t="s">
        <v>24</v>
      </c>
      <c r="D489" t="s">
        <v>312</v>
      </c>
      <c r="E489">
        <v>2002</v>
      </c>
      <c r="F489">
        <v>3</v>
      </c>
      <c r="G489">
        <v>2</v>
      </c>
      <c r="H489">
        <v>9</v>
      </c>
      <c r="I489">
        <v>125</v>
      </c>
      <c r="K489" s="13">
        <v>45869</v>
      </c>
      <c r="L489">
        <v>48</v>
      </c>
    </row>
    <row r="490" spans="1:12" x14ac:dyDescent="0.25">
      <c r="A490" t="s">
        <v>24</v>
      </c>
      <c r="D490" t="s">
        <v>312</v>
      </c>
      <c r="E490">
        <v>2002</v>
      </c>
      <c r="F490">
        <v>3</v>
      </c>
      <c r="G490">
        <v>2</v>
      </c>
      <c r="H490">
        <v>9</v>
      </c>
      <c r="I490">
        <v>125</v>
      </c>
      <c r="K490" s="13">
        <v>45881</v>
      </c>
      <c r="L490">
        <v>52</v>
      </c>
    </row>
    <row r="491" spans="1:12" x14ac:dyDescent="0.25">
      <c r="A491" t="s">
        <v>24</v>
      </c>
      <c r="D491" t="s">
        <v>312</v>
      </c>
      <c r="E491">
        <v>2002</v>
      </c>
      <c r="F491">
        <v>3</v>
      </c>
      <c r="G491">
        <v>2</v>
      </c>
      <c r="H491">
        <v>9</v>
      </c>
      <c r="I491">
        <v>125</v>
      </c>
      <c r="K491" s="13">
        <v>45895</v>
      </c>
      <c r="L491">
        <v>54</v>
      </c>
    </row>
    <row r="492" spans="1:12" x14ac:dyDescent="0.25">
      <c r="A492" t="s">
        <v>24</v>
      </c>
      <c r="D492" t="s">
        <v>312</v>
      </c>
      <c r="E492">
        <v>2002</v>
      </c>
      <c r="F492">
        <v>3</v>
      </c>
      <c r="G492">
        <v>2</v>
      </c>
      <c r="H492">
        <v>9</v>
      </c>
      <c r="I492">
        <v>125</v>
      </c>
      <c r="K492" s="13">
        <v>45908</v>
      </c>
      <c r="L492">
        <v>58</v>
      </c>
    </row>
    <row r="493" spans="1:12" x14ac:dyDescent="0.25">
      <c r="A493" t="s">
        <v>24</v>
      </c>
      <c r="D493" t="s">
        <v>312</v>
      </c>
      <c r="E493">
        <v>2002</v>
      </c>
      <c r="F493">
        <v>3</v>
      </c>
      <c r="G493">
        <v>2</v>
      </c>
      <c r="H493">
        <v>9</v>
      </c>
      <c r="I493">
        <v>125</v>
      </c>
      <c r="K493" s="13">
        <v>45923</v>
      </c>
      <c r="L493">
        <v>72</v>
      </c>
    </row>
    <row r="494" spans="1:12" x14ac:dyDescent="0.25">
      <c r="A494" t="s">
        <v>24</v>
      </c>
      <c r="D494" t="s">
        <v>312</v>
      </c>
      <c r="E494">
        <v>2002</v>
      </c>
      <c r="F494">
        <v>3</v>
      </c>
      <c r="G494">
        <v>2</v>
      </c>
      <c r="H494">
        <v>9</v>
      </c>
      <c r="I494">
        <v>125</v>
      </c>
      <c r="K494" s="13">
        <v>45939</v>
      </c>
      <c r="L494">
        <v>82</v>
      </c>
    </row>
    <row r="495" spans="1:12" x14ac:dyDescent="0.25">
      <c r="A495" t="s">
        <v>24</v>
      </c>
      <c r="D495" t="s">
        <v>312</v>
      </c>
      <c r="E495">
        <v>2002</v>
      </c>
      <c r="F495">
        <v>3</v>
      </c>
      <c r="G495">
        <v>2</v>
      </c>
      <c r="H495">
        <v>9</v>
      </c>
      <c r="I495">
        <v>125</v>
      </c>
      <c r="K495" s="13">
        <v>45959</v>
      </c>
      <c r="L495">
        <v>99</v>
      </c>
    </row>
    <row r="496" spans="1:12" x14ac:dyDescent="0.25">
      <c r="A496" t="s">
        <v>24</v>
      </c>
      <c r="D496" t="s">
        <v>312</v>
      </c>
      <c r="E496">
        <v>2002</v>
      </c>
      <c r="F496">
        <v>3</v>
      </c>
      <c r="G496">
        <v>2</v>
      </c>
      <c r="H496">
        <v>9</v>
      </c>
      <c r="I496">
        <v>125</v>
      </c>
      <c r="K496" s="13">
        <v>45966</v>
      </c>
      <c r="L496">
        <v>99</v>
      </c>
    </row>
    <row r="497" spans="1:12" x14ac:dyDescent="0.25">
      <c r="A497" t="s">
        <v>24</v>
      </c>
      <c r="D497" t="s">
        <v>32</v>
      </c>
      <c r="E497">
        <v>2018</v>
      </c>
      <c r="F497">
        <v>3</v>
      </c>
      <c r="G497">
        <v>2</v>
      </c>
      <c r="H497">
        <v>10</v>
      </c>
      <c r="I497">
        <v>126</v>
      </c>
      <c r="K497" s="13">
        <v>45810</v>
      </c>
      <c r="L497">
        <v>21</v>
      </c>
    </row>
    <row r="498" spans="1:12" x14ac:dyDescent="0.25">
      <c r="A498" t="s">
        <v>24</v>
      </c>
      <c r="D498" t="s">
        <v>32</v>
      </c>
      <c r="E498">
        <v>2018</v>
      </c>
      <c r="F498">
        <v>3</v>
      </c>
      <c r="G498">
        <v>2</v>
      </c>
      <c r="H498">
        <v>10</v>
      </c>
      <c r="I498">
        <v>126</v>
      </c>
      <c r="K498" s="13">
        <v>45827</v>
      </c>
      <c r="L498">
        <v>32</v>
      </c>
    </row>
    <row r="499" spans="1:12" x14ac:dyDescent="0.25">
      <c r="A499" t="s">
        <v>24</v>
      </c>
      <c r="D499" t="s">
        <v>32</v>
      </c>
      <c r="E499">
        <v>2018</v>
      </c>
      <c r="F499">
        <v>3</v>
      </c>
      <c r="G499">
        <v>2</v>
      </c>
      <c r="H499">
        <v>10</v>
      </c>
      <c r="I499">
        <v>126</v>
      </c>
      <c r="K499" s="13">
        <v>45856</v>
      </c>
      <c r="L499">
        <v>40</v>
      </c>
    </row>
    <row r="500" spans="1:12" x14ac:dyDescent="0.25">
      <c r="A500" t="s">
        <v>24</v>
      </c>
      <c r="D500" t="s">
        <v>32</v>
      </c>
      <c r="E500">
        <v>2018</v>
      </c>
      <c r="F500">
        <v>3</v>
      </c>
      <c r="G500">
        <v>2</v>
      </c>
      <c r="H500">
        <v>10</v>
      </c>
      <c r="I500">
        <v>126</v>
      </c>
      <c r="K500" s="13">
        <v>45869</v>
      </c>
      <c r="L500">
        <v>47</v>
      </c>
    </row>
    <row r="501" spans="1:12" x14ac:dyDescent="0.25">
      <c r="A501" t="s">
        <v>24</v>
      </c>
      <c r="D501" t="s">
        <v>32</v>
      </c>
      <c r="E501">
        <v>2018</v>
      </c>
      <c r="F501">
        <v>3</v>
      </c>
      <c r="G501">
        <v>2</v>
      </c>
      <c r="H501">
        <v>10</v>
      </c>
      <c r="I501">
        <v>126</v>
      </c>
      <c r="K501" s="13">
        <v>45881</v>
      </c>
      <c r="L501">
        <v>45</v>
      </c>
    </row>
    <row r="502" spans="1:12" x14ac:dyDescent="0.25">
      <c r="A502" t="s">
        <v>24</v>
      </c>
      <c r="D502" t="s">
        <v>32</v>
      </c>
      <c r="E502">
        <v>2018</v>
      </c>
      <c r="F502">
        <v>3</v>
      </c>
      <c r="G502">
        <v>2</v>
      </c>
      <c r="H502">
        <v>10</v>
      </c>
      <c r="I502">
        <v>126</v>
      </c>
      <c r="K502" s="13">
        <v>45895</v>
      </c>
      <c r="L502">
        <v>52</v>
      </c>
    </row>
    <row r="503" spans="1:12" x14ac:dyDescent="0.25">
      <c r="A503" t="s">
        <v>24</v>
      </c>
      <c r="D503" t="s">
        <v>32</v>
      </c>
      <c r="E503">
        <v>2018</v>
      </c>
      <c r="F503">
        <v>3</v>
      </c>
      <c r="G503">
        <v>2</v>
      </c>
      <c r="H503">
        <v>10</v>
      </c>
      <c r="I503">
        <v>126</v>
      </c>
      <c r="K503" s="13">
        <v>45908</v>
      </c>
      <c r="L503">
        <v>58</v>
      </c>
    </row>
    <row r="504" spans="1:12" x14ac:dyDescent="0.25">
      <c r="A504" t="s">
        <v>24</v>
      </c>
      <c r="D504" t="s">
        <v>32</v>
      </c>
      <c r="E504">
        <v>2018</v>
      </c>
      <c r="F504">
        <v>3</v>
      </c>
      <c r="G504">
        <v>2</v>
      </c>
      <c r="H504">
        <v>10</v>
      </c>
      <c r="I504">
        <v>126</v>
      </c>
      <c r="K504" s="13">
        <v>45923</v>
      </c>
      <c r="L504">
        <v>74</v>
      </c>
    </row>
    <row r="505" spans="1:12" x14ac:dyDescent="0.25">
      <c r="A505" t="s">
        <v>24</v>
      </c>
      <c r="D505" t="s">
        <v>32</v>
      </c>
      <c r="E505">
        <v>2018</v>
      </c>
      <c r="F505">
        <v>3</v>
      </c>
      <c r="G505">
        <v>2</v>
      </c>
      <c r="H505">
        <v>10</v>
      </c>
      <c r="I505">
        <v>126</v>
      </c>
      <c r="K505" s="13">
        <v>45939</v>
      </c>
      <c r="L505">
        <v>84</v>
      </c>
    </row>
    <row r="506" spans="1:12" x14ac:dyDescent="0.25">
      <c r="A506" t="s">
        <v>24</v>
      </c>
      <c r="D506" t="s">
        <v>32</v>
      </c>
      <c r="E506">
        <v>2018</v>
      </c>
      <c r="F506">
        <v>3</v>
      </c>
      <c r="G506">
        <v>2</v>
      </c>
      <c r="H506">
        <v>10</v>
      </c>
      <c r="I506">
        <v>126</v>
      </c>
      <c r="K506" s="13">
        <v>45959</v>
      </c>
      <c r="L506">
        <v>82</v>
      </c>
    </row>
    <row r="507" spans="1:12" x14ac:dyDescent="0.25">
      <c r="A507" t="s">
        <v>24</v>
      </c>
      <c r="D507" t="s">
        <v>32</v>
      </c>
      <c r="E507">
        <v>2018</v>
      </c>
      <c r="F507">
        <v>3</v>
      </c>
      <c r="G507">
        <v>2</v>
      </c>
      <c r="H507">
        <v>10</v>
      </c>
      <c r="I507">
        <v>126</v>
      </c>
      <c r="K507" s="13">
        <v>45966</v>
      </c>
      <c r="L507">
        <v>82</v>
      </c>
    </row>
    <row r="508" spans="1:12" x14ac:dyDescent="0.25">
      <c r="A508" t="s">
        <v>24</v>
      </c>
      <c r="D508" t="s">
        <v>26</v>
      </c>
      <c r="E508">
        <v>1983</v>
      </c>
      <c r="F508">
        <v>4</v>
      </c>
      <c r="G508">
        <v>2</v>
      </c>
      <c r="H508">
        <v>13</v>
      </c>
      <c r="I508">
        <v>129</v>
      </c>
      <c r="K508" s="13">
        <v>45810</v>
      </c>
      <c r="L508">
        <v>26</v>
      </c>
    </row>
    <row r="509" spans="1:12" x14ac:dyDescent="0.25">
      <c r="A509" t="s">
        <v>24</v>
      </c>
      <c r="D509" t="s">
        <v>26</v>
      </c>
      <c r="E509">
        <v>1983</v>
      </c>
      <c r="F509">
        <v>4</v>
      </c>
      <c r="G509">
        <v>2</v>
      </c>
      <c r="H509">
        <v>13</v>
      </c>
      <c r="I509">
        <v>129</v>
      </c>
      <c r="K509" s="13">
        <v>45827</v>
      </c>
      <c r="L509">
        <v>32</v>
      </c>
    </row>
    <row r="510" spans="1:12" x14ac:dyDescent="0.25">
      <c r="A510" t="s">
        <v>24</v>
      </c>
      <c r="D510" t="s">
        <v>26</v>
      </c>
      <c r="E510">
        <v>1983</v>
      </c>
      <c r="F510">
        <v>4</v>
      </c>
      <c r="G510">
        <v>2</v>
      </c>
      <c r="H510">
        <v>13</v>
      </c>
      <c r="I510">
        <v>129</v>
      </c>
      <c r="K510" s="13">
        <v>45856</v>
      </c>
      <c r="L510">
        <v>45</v>
      </c>
    </row>
    <row r="511" spans="1:12" x14ac:dyDescent="0.25">
      <c r="A511" t="s">
        <v>24</v>
      </c>
      <c r="D511" t="s">
        <v>26</v>
      </c>
      <c r="E511">
        <v>1983</v>
      </c>
      <c r="F511">
        <v>4</v>
      </c>
      <c r="G511">
        <v>2</v>
      </c>
      <c r="H511">
        <v>13</v>
      </c>
      <c r="I511">
        <v>129</v>
      </c>
      <c r="K511" s="13">
        <v>45869</v>
      </c>
      <c r="L511">
        <v>48</v>
      </c>
    </row>
    <row r="512" spans="1:12" x14ac:dyDescent="0.25">
      <c r="A512" t="s">
        <v>24</v>
      </c>
      <c r="D512" t="s">
        <v>26</v>
      </c>
      <c r="E512">
        <v>1983</v>
      </c>
      <c r="F512">
        <v>4</v>
      </c>
      <c r="G512">
        <v>2</v>
      </c>
      <c r="H512">
        <v>13</v>
      </c>
      <c r="I512">
        <v>129</v>
      </c>
      <c r="K512" s="13">
        <v>45881</v>
      </c>
      <c r="L512">
        <v>51</v>
      </c>
    </row>
    <row r="513" spans="1:12" x14ac:dyDescent="0.25">
      <c r="A513" t="s">
        <v>24</v>
      </c>
      <c r="D513" t="s">
        <v>26</v>
      </c>
      <c r="E513">
        <v>1983</v>
      </c>
      <c r="F513">
        <v>4</v>
      </c>
      <c r="G513">
        <v>2</v>
      </c>
      <c r="H513">
        <v>13</v>
      </c>
      <c r="I513">
        <v>129</v>
      </c>
      <c r="K513" s="13">
        <v>45895</v>
      </c>
      <c r="L513">
        <v>59</v>
      </c>
    </row>
    <row r="514" spans="1:12" x14ac:dyDescent="0.25">
      <c r="A514" t="s">
        <v>24</v>
      </c>
      <c r="D514" t="s">
        <v>26</v>
      </c>
      <c r="E514">
        <v>1983</v>
      </c>
      <c r="F514">
        <v>4</v>
      </c>
      <c r="G514">
        <v>2</v>
      </c>
      <c r="H514">
        <v>13</v>
      </c>
      <c r="I514">
        <v>129</v>
      </c>
      <c r="K514" s="13">
        <v>45908</v>
      </c>
      <c r="L514">
        <v>68</v>
      </c>
    </row>
    <row r="515" spans="1:12" x14ac:dyDescent="0.25">
      <c r="A515" t="s">
        <v>24</v>
      </c>
      <c r="D515" t="s">
        <v>26</v>
      </c>
      <c r="E515">
        <v>1983</v>
      </c>
      <c r="F515">
        <v>4</v>
      </c>
      <c r="G515">
        <v>2</v>
      </c>
      <c r="H515">
        <v>13</v>
      </c>
      <c r="I515">
        <v>129</v>
      </c>
      <c r="K515" s="13">
        <v>45923</v>
      </c>
      <c r="L515">
        <v>80</v>
      </c>
    </row>
    <row r="516" spans="1:12" x14ac:dyDescent="0.25">
      <c r="A516" t="s">
        <v>24</v>
      </c>
      <c r="D516" t="s">
        <v>26</v>
      </c>
      <c r="E516">
        <v>1983</v>
      </c>
      <c r="F516">
        <v>4</v>
      </c>
      <c r="G516">
        <v>2</v>
      </c>
      <c r="H516">
        <v>13</v>
      </c>
      <c r="I516">
        <v>129</v>
      </c>
      <c r="K516" s="13">
        <v>45939</v>
      </c>
      <c r="L516">
        <v>112</v>
      </c>
    </row>
    <row r="517" spans="1:12" x14ac:dyDescent="0.25">
      <c r="A517" t="s">
        <v>24</v>
      </c>
      <c r="D517" t="s">
        <v>26</v>
      </c>
      <c r="E517">
        <v>1983</v>
      </c>
      <c r="F517">
        <v>4</v>
      </c>
      <c r="G517">
        <v>2</v>
      </c>
      <c r="H517">
        <v>13</v>
      </c>
      <c r="I517">
        <v>129</v>
      </c>
      <c r="K517" s="13">
        <v>45959</v>
      </c>
      <c r="L517">
        <v>112</v>
      </c>
    </row>
    <row r="518" spans="1:12" x14ac:dyDescent="0.25">
      <c r="A518" t="s">
        <v>24</v>
      </c>
      <c r="D518" t="s">
        <v>26</v>
      </c>
      <c r="E518">
        <v>1983</v>
      </c>
      <c r="F518">
        <v>4</v>
      </c>
      <c r="G518">
        <v>2</v>
      </c>
      <c r="H518">
        <v>13</v>
      </c>
      <c r="I518">
        <v>129</v>
      </c>
      <c r="K518" s="13">
        <v>45966</v>
      </c>
      <c r="L518">
        <v>112</v>
      </c>
    </row>
    <row r="519" spans="1:12" x14ac:dyDescent="0.25">
      <c r="A519" t="s">
        <v>24</v>
      </c>
      <c r="D519" t="s">
        <v>29</v>
      </c>
      <c r="E519">
        <v>1999</v>
      </c>
      <c r="F519">
        <v>4</v>
      </c>
      <c r="G519">
        <v>2</v>
      </c>
      <c r="H519">
        <v>14</v>
      </c>
      <c r="I519">
        <v>130</v>
      </c>
      <c r="K519" s="13">
        <v>45810</v>
      </c>
      <c r="L519">
        <v>25</v>
      </c>
    </row>
    <row r="520" spans="1:12" x14ac:dyDescent="0.25">
      <c r="A520" t="s">
        <v>24</v>
      </c>
      <c r="D520" t="s">
        <v>29</v>
      </c>
      <c r="E520">
        <v>1999</v>
      </c>
      <c r="F520">
        <v>4</v>
      </c>
      <c r="G520">
        <v>2</v>
      </c>
      <c r="H520">
        <v>14</v>
      </c>
      <c r="I520">
        <v>130</v>
      </c>
      <c r="K520" s="13">
        <v>45827</v>
      </c>
      <c r="L520">
        <v>32</v>
      </c>
    </row>
    <row r="521" spans="1:12" x14ac:dyDescent="0.25">
      <c r="A521" t="s">
        <v>24</v>
      </c>
      <c r="D521" t="s">
        <v>29</v>
      </c>
      <c r="E521">
        <v>1999</v>
      </c>
      <c r="F521">
        <v>4</v>
      </c>
      <c r="G521">
        <v>2</v>
      </c>
      <c r="H521">
        <v>14</v>
      </c>
      <c r="I521">
        <v>130</v>
      </c>
      <c r="K521" s="13">
        <v>45856</v>
      </c>
      <c r="L521">
        <v>43</v>
      </c>
    </row>
    <row r="522" spans="1:12" x14ac:dyDescent="0.25">
      <c r="A522" t="s">
        <v>24</v>
      </c>
      <c r="D522" t="s">
        <v>29</v>
      </c>
      <c r="E522">
        <v>1999</v>
      </c>
      <c r="F522">
        <v>4</v>
      </c>
      <c r="G522">
        <v>2</v>
      </c>
      <c r="H522">
        <v>14</v>
      </c>
      <c r="I522">
        <v>130</v>
      </c>
      <c r="K522" s="13">
        <v>45869</v>
      </c>
      <c r="L522">
        <v>44</v>
      </c>
    </row>
    <row r="523" spans="1:12" x14ac:dyDescent="0.25">
      <c r="A523" t="s">
        <v>24</v>
      </c>
      <c r="D523" t="s">
        <v>29</v>
      </c>
      <c r="E523">
        <v>1999</v>
      </c>
      <c r="F523">
        <v>4</v>
      </c>
      <c r="G523">
        <v>2</v>
      </c>
      <c r="H523">
        <v>14</v>
      </c>
      <c r="I523">
        <v>130</v>
      </c>
      <c r="K523" s="13">
        <v>45881</v>
      </c>
      <c r="L523">
        <v>48</v>
      </c>
    </row>
    <row r="524" spans="1:12" x14ac:dyDescent="0.25">
      <c r="A524" t="s">
        <v>24</v>
      </c>
      <c r="D524" t="s">
        <v>29</v>
      </c>
      <c r="E524">
        <v>1999</v>
      </c>
      <c r="F524">
        <v>4</v>
      </c>
      <c r="G524">
        <v>2</v>
      </c>
      <c r="H524">
        <v>14</v>
      </c>
      <c r="I524">
        <v>130</v>
      </c>
      <c r="K524" s="13">
        <v>45895</v>
      </c>
      <c r="L524">
        <v>51</v>
      </c>
    </row>
    <row r="525" spans="1:12" x14ac:dyDescent="0.25">
      <c r="A525" t="s">
        <v>24</v>
      </c>
      <c r="D525" t="s">
        <v>29</v>
      </c>
      <c r="E525">
        <v>1999</v>
      </c>
      <c r="F525">
        <v>4</v>
      </c>
      <c r="G525">
        <v>2</v>
      </c>
      <c r="H525">
        <v>14</v>
      </c>
      <c r="I525">
        <v>130</v>
      </c>
      <c r="K525" s="13">
        <v>45908</v>
      </c>
      <c r="L525">
        <v>55</v>
      </c>
    </row>
    <row r="526" spans="1:12" x14ac:dyDescent="0.25">
      <c r="A526" t="s">
        <v>24</v>
      </c>
      <c r="D526" t="s">
        <v>29</v>
      </c>
      <c r="E526">
        <v>1999</v>
      </c>
      <c r="F526">
        <v>4</v>
      </c>
      <c r="G526">
        <v>2</v>
      </c>
      <c r="H526">
        <v>14</v>
      </c>
      <c r="I526">
        <v>130</v>
      </c>
      <c r="K526" s="13">
        <v>45923</v>
      </c>
      <c r="L526">
        <v>73</v>
      </c>
    </row>
    <row r="527" spans="1:12" x14ac:dyDescent="0.25">
      <c r="A527" t="s">
        <v>24</v>
      </c>
      <c r="D527" t="s">
        <v>29</v>
      </c>
      <c r="E527">
        <v>1999</v>
      </c>
      <c r="F527">
        <v>4</v>
      </c>
      <c r="G527">
        <v>2</v>
      </c>
      <c r="H527">
        <v>14</v>
      </c>
      <c r="I527">
        <v>130</v>
      </c>
      <c r="K527" s="13">
        <v>45939</v>
      </c>
      <c r="L527">
        <v>91</v>
      </c>
    </row>
    <row r="528" spans="1:12" x14ac:dyDescent="0.25">
      <c r="A528" t="s">
        <v>24</v>
      </c>
      <c r="D528" t="s">
        <v>29</v>
      </c>
      <c r="E528">
        <v>1999</v>
      </c>
      <c r="F528">
        <v>4</v>
      </c>
      <c r="G528">
        <v>2</v>
      </c>
      <c r="H528">
        <v>14</v>
      </c>
      <c r="I528">
        <v>130</v>
      </c>
      <c r="K528" s="13">
        <v>45959</v>
      </c>
      <c r="L528">
        <v>100</v>
      </c>
    </row>
    <row r="529" spans="1:12" x14ac:dyDescent="0.25">
      <c r="A529" t="s">
        <v>24</v>
      </c>
      <c r="D529" t="s">
        <v>29</v>
      </c>
      <c r="E529">
        <v>1999</v>
      </c>
      <c r="F529">
        <v>4</v>
      </c>
      <c r="G529">
        <v>2</v>
      </c>
      <c r="H529">
        <v>14</v>
      </c>
      <c r="I529">
        <v>130</v>
      </c>
      <c r="K529" s="13">
        <v>45966</v>
      </c>
      <c r="L529">
        <v>100</v>
      </c>
    </row>
    <row r="530" spans="1:12" x14ac:dyDescent="0.25">
      <c r="A530" t="s">
        <v>24</v>
      </c>
      <c r="D530" t="s">
        <v>26</v>
      </c>
      <c r="E530">
        <v>1983</v>
      </c>
      <c r="F530">
        <v>1</v>
      </c>
      <c r="G530">
        <v>3</v>
      </c>
      <c r="H530">
        <v>1</v>
      </c>
      <c r="I530">
        <v>133</v>
      </c>
      <c r="K530" s="13">
        <v>45810</v>
      </c>
      <c r="L530">
        <v>22</v>
      </c>
    </row>
    <row r="531" spans="1:12" x14ac:dyDescent="0.25">
      <c r="A531" t="s">
        <v>24</v>
      </c>
      <c r="D531" t="s">
        <v>26</v>
      </c>
      <c r="E531">
        <v>1983</v>
      </c>
      <c r="F531">
        <v>1</v>
      </c>
      <c r="G531">
        <v>3</v>
      </c>
      <c r="H531">
        <v>1</v>
      </c>
      <c r="I531">
        <v>133</v>
      </c>
      <c r="K531" s="13">
        <v>45827</v>
      </c>
      <c r="L531">
        <v>34</v>
      </c>
    </row>
    <row r="532" spans="1:12" x14ac:dyDescent="0.25">
      <c r="A532" t="s">
        <v>24</v>
      </c>
      <c r="D532" t="s">
        <v>26</v>
      </c>
      <c r="E532">
        <v>1983</v>
      </c>
      <c r="F532">
        <v>1</v>
      </c>
      <c r="G532">
        <v>3</v>
      </c>
      <c r="H532">
        <v>1</v>
      </c>
      <c r="I532">
        <v>133</v>
      </c>
      <c r="K532" s="13">
        <v>45856</v>
      </c>
      <c r="L532">
        <v>43</v>
      </c>
    </row>
    <row r="533" spans="1:12" x14ac:dyDescent="0.25">
      <c r="A533" t="s">
        <v>24</v>
      </c>
      <c r="D533" t="s">
        <v>26</v>
      </c>
      <c r="E533">
        <v>1983</v>
      </c>
      <c r="F533">
        <v>1</v>
      </c>
      <c r="G533">
        <v>3</v>
      </c>
      <c r="H533">
        <v>1</v>
      </c>
      <c r="I533">
        <v>133</v>
      </c>
      <c r="K533" s="13">
        <v>45869</v>
      </c>
      <c r="L533">
        <v>49</v>
      </c>
    </row>
    <row r="534" spans="1:12" x14ac:dyDescent="0.25">
      <c r="A534" t="s">
        <v>24</v>
      </c>
      <c r="D534" t="s">
        <v>26</v>
      </c>
      <c r="E534">
        <v>1983</v>
      </c>
      <c r="F534">
        <v>1</v>
      </c>
      <c r="G534">
        <v>3</v>
      </c>
      <c r="H534">
        <v>1</v>
      </c>
      <c r="I534">
        <v>133</v>
      </c>
      <c r="K534" s="13">
        <v>45881</v>
      </c>
      <c r="L534">
        <v>50</v>
      </c>
    </row>
    <row r="535" spans="1:12" x14ac:dyDescent="0.25">
      <c r="A535" t="s">
        <v>24</v>
      </c>
      <c r="D535" t="s">
        <v>26</v>
      </c>
      <c r="E535">
        <v>1983</v>
      </c>
      <c r="F535">
        <v>1</v>
      </c>
      <c r="G535">
        <v>3</v>
      </c>
      <c r="H535">
        <v>1</v>
      </c>
      <c r="I535">
        <v>133</v>
      </c>
      <c r="K535" s="13">
        <v>45895</v>
      </c>
      <c r="L535">
        <v>59</v>
      </c>
    </row>
    <row r="536" spans="1:12" x14ac:dyDescent="0.25">
      <c r="A536" t="s">
        <v>24</v>
      </c>
      <c r="D536" t="s">
        <v>26</v>
      </c>
      <c r="E536">
        <v>1983</v>
      </c>
      <c r="F536">
        <v>1</v>
      </c>
      <c r="G536">
        <v>3</v>
      </c>
      <c r="H536">
        <v>1</v>
      </c>
      <c r="I536">
        <v>133</v>
      </c>
      <c r="K536" s="13">
        <v>45908</v>
      </c>
      <c r="L536">
        <v>71</v>
      </c>
    </row>
    <row r="537" spans="1:12" x14ac:dyDescent="0.25">
      <c r="A537" t="s">
        <v>24</v>
      </c>
      <c r="D537" t="s">
        <v>26</v>
      </c>
      <c r="E537">
        <v>1983</v>
      </c>
      <c r="F537">
        <v>1</v>
      </c>
      <c r="G537">
        <v>3</v>
      </c>
      <c r="H537">
        <v>1</v>
      </c>
      <c r="I537">
        <v>133</v>
      </c>
      <c r="K537" s="13">
        <v>45923</v>
      </c>
      <c r="L537">
        <v>82</v>
      </c>
    </row>
    <row r="538" spans="1:12" x14ac:dyDescent="0.25">
      <c r="A538" t="s">
        <v>24</v>
      </c>
      <c r="D538" t="s">
        <v>26</v>
      </c>
      <c r="E538">
        <v>1983</v>
      </c>
      <c r="F538">
        <v>1</v>
      </c>
      <c r="G538">
        <v>3</v>
      </c>
      <c r="H538">
        <v>1</v>
      </c>
      <c r="I538">
        <v>133</v>
      </c>
      <c r="K538" s="13">
        <v>45939</v>
      </c>
      <c r="L538">
        <v>110</v>
      </c>
    </row>
    <row r="539" spans="1:12" x14ac:dyDescent="0.25">
      <c r="A539" t="s">
        <v>24</v>
      </c>
      <c r="D539" t="s">
        <v>26</v>
      </c>
      <c r="E539">
        <v>1983</v>
      </c>
      <c r="F539">
        <v>1</v>
      </c>
      <c r="G539">
        <v>3</v>
      </c>
      <c r="H539">
        <v>1</v>
      </c>
      <c r="I539">
        <v>133</v>
      </c>
      <c r="K539" s="13">
        <v>45959</v>
      </c>
      <c r="L539" t="s">
        <v>730</v>
      </c>
    </row>
    <row r="540" spans="1:12" x14ac:dyDescent="0.25">
      <c r="A540" t="s">
        <v>24</v>
      </c>
      <c r="D540" t="s">
        <v>26</v>
      </c>
      <c r="E540">
        <v>1983</v>
      </c>
      <c r="F540">
        <v>1</v>
      </c>
      <c r="G540">
        <v>3</v>
      </c>
      <c r="H540">
        <v>1</v>
      </c>
      <c r="I540">
        <v>133</v>
      </c>
      <c r="K540" s="13">
        <v>45966</v>
      </c>
      <c r="L540" t="s">
        <v>730</v>
      </c>
    </row>
    <row r="541" spans="1:12" x14ac:dyDescent="0.25">
      <c r="A541" t="s">
        <v>24</v>
      </c>
      <c r="D541" t="s">
        <v>27</v>
      </c>
      <c r="E541">
        <v>1985</v>
      </c>
      <c r="F541">
        <v>1</v>
      </c>
      <c r="G541">
        <v>3</v>
      </c>
      <c r="H541">
        <v>2</v>
      </c>
      <c r="I541">
        <v>134</v>
      </c>
      <c r="K541" s="13">
        <v>45810</v>
      </c>
      <c r="L541">
        <v>27</v>
      </c>
    </row>
    <row r="542" spans="1:12" x14ac:dyDescent="0.25">
      <c r="A542" t="s">
        <v>24</v>
      </c>
      <c r="D542" t="s">
        <v>27</v>
      </c>
      <c r="E542">
        <v>1985</v>
      </c>
      <c r="F542">
        <v>1</v>
      </c>
      <c r="G542">
        <v>3</v>
      </c>
      <c r="H542">
        <v>2</v>
      </c>
      <c r="I542">
        <v>134</v>
      </c>
      <c r="K542" s="13">
        <v>45827</v>
      </c>
      <c r="L542">
        <v>33</v>
      </c>
    </row>
    <row r="543" spans="1:12" x14ac:dyDescent="0.25">
      <c r="A543" t="s">
        <v>24</v>
      </c>
      <c r="D543" t="s">
        <v>27</v>
      </c>
      <c r="E543">
        <v>1985</v>
      </c>
      <c r="F543">
        <v>1</v>
      </c>
      <c r="G543">
        <v>3</v>
      </c>
      <c r="H543">
        <v>2</v>
      </c>
      <c r="I543">
        <v>134</v>
      </c>
      <c r="K543" s="13">
        <v>45856</v>
      </c>
      <c r="L543">
        <v>44</v>
      </c>
    </row>
    <row r="544" spans="1:12" x14ac:dyDescent="0.25">
      <c r="A544" t="s">
        <v>24</v>
      </c>
      <c r="D544" t="s">
        <v>27</v>
      </c>
      <c r="E544">
        <v>1985</v>
      </c>
      <c r="F544">
        <v>1</v>
      </c>
      <c r="G544">
        <v>3</v>
      </c>
      <c r="H544">
        <v>2</v>
      </c>
      <c r="I544">
        <v>134</v>
      </c>
      <c r="K544" s="13">
        <v>45869</v>
      </c>
      <c r="L544">
        <v>51</v>
      </c>
    </row>
    <row r="545" spans="1:12" x14ac:dyDescent="0.25">
      <c r="A545" t="s">
        <v>24</v>
      </c>
      <c r="D545" t="s">
        <v>27</v>
      </c>
      <c r="E545">
        <v>1985</v>
      </c>
      <c r="F545">
        <v>1</v>
      </c>
      <c r="G545">
        <v>3</v>
      </c>
      <c r="H545">
        <v>2</v>
      </c>
      <c r="I545">
        <v>134</v>
      </c>
      <c r="K545" s="13">
        <v>45881</v>
      </c>
      <c r="L545">
        <v>53</v>
      </c>
    </row>
    <row r="546" spans="1:12" x14ac:dyDescent="0.25">
      <c r="A546" t="s">
        <v>24</v>
      </c>
      <c r="D546" t="s">
        <v>27</v>
      </c>
      <c r="E546">
        <v>1985</v>
      </c>
      <c r="F546">
        <v>1</v>
      </c>
      <c r="G546">
        <v>3</v>
      </c>
      <c r="H546">
        <v>2</v>
      </c>
      <c r="I546">
        <v>134</v>
      </c>
      <c r="K546" s="13">
        <v>45895</v>
      </c>
      <c r="L546">
        <v>60</v>
      </c>
    </row>
    <row r="547" spans="1:12" x14ac:dyDescent="0.25">
      <c r="A547" t="s">
        <v>24</v>
      </c>
      <c r="D547" t="s">
        <v>27</v>
      </c>
      <c r="E547">
        <v>1985</v>
      </c>
      <c r="F547">
        <v>1</v>
      </c>
      <c r="G547">
        <v>3</v>
      </c>
      <c r="H547">
        <v>2</v>
      </c>
      <c r="I547">
        <v>134</v>
      </c>
      <c r="K547" s="13">
        <v>45908</v>
      </c>
      <c r="L547">
        <v>69</v>
      </c>
    </row>
    <row r="548" spans="1:12" x14ac:dyDescent="0.25">
      <c r="A548" t="s">
        <v>24</v>
      </c>
      <c r="D548" t="s">
        <v>27</v>
      </c>
      <c r="E548">
        <v>1985</v>
      </c>
      <c r="F548">
        <v>1</v>
      </c>
      <c r="G548">
        <v>3</v>
      </c>
      <c r="H548">
        <v>2</v>
      </c>
      <c r="I548">
        <v>134</v>
      </c>
      <c r="K548" s="13">
        <v>45923</v>
      </c>
      <c r="L548">
        <v>76</v>
      </c>
    </row>
    <row r="549" spans="1:12" x14ac:dyDescent="0.25">
      <c r="A549" t="s">
        <v>24</v>
      </c>
      <c r="D549" t="s">
        <v>27</v>
      </c>
      <c r="E549">
        <v>1985</v>
      </c>
      <c r="F549">
        <v>1</v>
      </c>
      <c r="G549">
        <v>3</v>
      </c>
      <c r="H549">
        <v>2</v>
      </c>
      <c r="I549">
        <v>134</v>
      </c>
      <c r="K549" s="13">
        <v>45939</v>
      </c>
      <c r="L549">
        <v>98</v>
      </c>
    </row>
    <row r="550" spans="1:12" x14ac:dyDescent="0.25">
      <c r="A550" t="s">
        <v>24</v>
      </c>
      <c r="D550" t="s">
        <v>27</v>
      </c>
      <c r="E550">
        <v>1985</v>
      </c>
      <c r="F550">
        <v>1</v>
      </c>
      <c r="G550">
        <v>3</v>
      </c>
      <c r="H550">
        <v>2</v>
      </c>
      <c r="I550">
        <v>134</v>
      </c>
      <c r="K550" s="13">
        <v>45959</v>
      </c>
      <c r="L550">
        <v>101</v>
      </c>
    </row>
    <row r="551" spans="1:12" x14ac:dyDescent="0.25">
      <c r="A551" t="s">
        <v>24</v>
      </c>
      <c r="D551" t="s">
        <v>27</v>
      </c>
      <c r="E551">
        <v>1985</v>
      </c>
      <c r="F551">
        <v>1</v>
      </c>
      <c r="G551">
        <v>3</v>
      </c>
      <c r="H551">
        <v>2</v>
      </c>
      <c r="I551">
        <v>134</v>
      </c>
      <c r="K551" s="13">
        <v>45966</v>
      </c>
      <c r="L551">
        <v>101</v>
      </c>
    </row>
    <row r="552" spans="1:12" x14ac:dyDescent="0.25">
      <c r="A552" t="s">
        <v>24</v>
      </c>
      <c r="D552" t="s">
        <v>313</v>
      </c>
      <c r="E552">
        <v>2016</v>
      </c>
      <c r="F552">
        <v>2</v>
      </c>
      <c r="G552">
        <v>3</v>
      </c>
      <c r="H552">
        <v>5</v>
      </c>
      <c r="I552">
        <v>137</v>
      </c>
      <c r="K552" s="13">
        <v>45810</v>
      </c>
      <c r="L552">
        <v>25</v>
      </c>
    </row>
    <row r="553" spans="1:12" x14ac:dyDescent="0.25">
      <c r="A553" t="s">
        <v>24</v>
      </c>
      <c r="D553" t="s">
        <v>313</v>
      </c>
      <c r="E553">
        <v>2016</v>
      </c>
      <c r="F553">
        <v>2</v>
      </c>
      <c r="G553">
        <v>3</v>
      </c>
      <c r="H553">
        <v>5</v>
      </c>
      <c r="I553">
        <v>137</v>
      </c>
      <c r="K553" s="13">
        <v>45827</v>
      </c>
      <c r="L553">
        <v>30</v>
      </c>
    </row>
    <row r="554" spans="1:12" x14ac:dyDescent="0.25">
      <c r="A554" t="s">
        <v>24</v>
      </c>
      <c r="D554" t="s">
        <v>313</v>
      </c>
      <c r="E554">
        <v>2016</v>
      </c>
      <c r="F554">
        <v>2</v>
      </c>
      <c r="G554">
        <v>3</v>
      </c>
      <c r="H554">
        <v>5</v>
      </c>
      <c r="I554">
        <v>137</v>
      </c>
      <c r="K554" s="13">
        <v>45856</v>
      </c>
      <c r="L554">
        <v>42</v>
      </c>
    </row>
    <row r="555" spans="1:12" x14ac:dyDescent="0.25">
      <c r="A555" t="s">
        <v>24</v>
      </c>
      <c r="D555" t="s">
        <v>313</v>
      </c>
      <c r="E555">
        <v>2016</v>
      </c>
      <c r="F555">
        <v>2</v>
      </c>
      <c r="G555">
        <v>3</v>
      </c>
      <c r="H555">
        <v>5</v>
      </c>
      <c r="I555">
        <v>137</v>
      </c>
      <c r="K555" s="13">
        <v>45869</v>
      </c>
      <c r="L555">
        <v>51</v>
      </c>
    </row>
    <row r="556" spans="1:12" x14ac:dyDescent="0.25">
      <c r="A556" t="s">
        <v>24</v>
      </c>
      <c r="D556" t="s">
        <v>313</v>
      </c>
      <c r="E556">
        <v>2016</v>
      </c>
      <c r="F556">
        <v>2</v>
      </c>
      <c r="G556">
        <v>3</v>
      </c>
      <c r="H556">
        <v>5</v>
      </c>
      <c r="I556">
        <v>137</v>
      </c>
      <c r="K556" s="13">
        <v>45881</v>
      </c>
      <c r="L556">
        <v>50</v>
      </c>
    </row>
    <row r="557" spans="1:12" x14ac:dyDescent="0.25">
      <c r="A557" t="s">
        <v>24</v>
      </c>
      <c r="D557" t="s">
        <v>313</v>
      </c>
      <c r="E557">
        <v>2016</v>
      </c>
      <c r="F557">
        <v>2</v>
      </c>
      <c r="G557">
        <v>3</v>
      </c>
      <c r="H557">
        <v>5</v>
      </c>
      <c r="I557">
        <v>137</v>
      </c>
      <c r="K557" s="13">
        <v>45895</v>
      </c>
      <c r="L557">
        <v>57</v>
      </c>
    </row>
    <row r="558" spans="1:12" x14ac:dyDescent="0.25">
      <c r="A558" t="s">
        <v>24</v>
      </c>
      <c r="D558" t="s">
        <v>313</v>
      </c>
      <c r="E558">
        <v>2016</v>
      </c>
      <c r="F558">
        <v>2</v>
      </c>
      <c r="G558">
        <v>3</v>
      </c>
      <c r="H558">
        <v>5</v>
      </c>
      <c r="I558">
        <v>137</v>
      </c>
      <c r="K558" s="13">
        <v>45908</v>
      </c>
      <c r="L558">
        <v>63</v>
      </c>
    </row>
    <row r="559" spans="1:12" x14ac:dyDescent="0.25">
      <c r="A559" t="s">
        <v>24</v>
      </c>
      <c r="D559" t="s">
        <v>313</v>
      </c>
      <c r="E559">
        <v>2016</v>
      </c>
      <c r="F559">
        <v>2</v>
      </c>
      <c r="G559">
        <v>3</v>
      </c>
      <c r="H559">
        <v>5</v>
      </c>
      <c r="I559">
        <v>137</v>
      </c>
      <c r="K559" s="13">
        <v>45923</v>
      </c>
      <c r="L559">
        <v>65</v>
      </c>
    </row>
    <row r="560" spans="1:12" x14ac:dyDescent="0.25">
      <c r="A560" t="s">
        <v>24</v>
      </c>
      <c r="D560" t="s">
        <v>313</v>
      </c>
      <c r="E560">
        <v>2016</v>
      </c>
      <c r="F560">
        <v>2</v>
      </c>
      <c r="G560">
        <v>3</v>
      </c>
      <c r="H560">
        <v>5</v>
      </c>
      <c r="I560">
        <v>137</v>
      </c>
      <c r="K560" s="13">
        <v>45939</v>
      </c>
      <c r="L560">
        <v>86</v>
      </c>
    </row>
    <row r="561" spans="1:12" x14ac:dyDescent="0.25">
      <c r="A561" t="s">
        <v>24</v>
      </c>
      <c r="D561" t="s">
        <v>313</v>
      </c>
      <c r="E561">
        <v>2016</v>
      </c>
      <c r="F561">
        <v>2</v>
      </c>
      <c r="G561">
        <v>3</v>
      </c>
      <c r="H561">
        <v>5</v>
      </c>
      <c r="I561">
        <v>137</v>
      </c>
      <c r="K561" s="13">
        <v>45959</v>
      </c>
      <c r="L561">
        <v>93</v>
      </c>
    </row>
    <row r="562" spans="1:12" x14ac:dyDescent="0.25">
      <c r="A562" t="s">
        <v>24</v>
      </c>
      <c r="D562" t="s">
        <v>313</v>
      </c>
      <c r="E562">
        <v>2016</v>
      </c>
      <c r="F562">
        <v>2</v>
      </c>
      <c r="G562">
        <v>3</v>
      </c>
      <c r="H562">
        <v>5</v>
      </c>
      <c r="I562">
        <v>137</v>
      </c>
      <c r="K562" s="13">
        <v>45966</v>
      </c>
      <c r="L562">
        <v>93</v>
      </c>
    </row>
    <row r="563" spans="1:12" x14ac:dyDescent="0.25">
      <c r="A563" t="s">
        <v>24</v>
      </c>
      <c r="D563" t="s">
        <v>32</v>
      </c>
      <c r="E563">
        <v>2018</v>
      </c>
      <c r="F563">
        <v>2</v>
      </c>
      <c r="G563">
        <v>3</v>
      </c>
      <c r="H563">
        <v>6</v>
      </c>
      <c r="I563">
        <v>138</v>
      </c>
      <c r="K563" s="13">
        <v>45810</v>
      </c>
      <c r="L563">
        <v>26</v>
      </c>
    </row>
    <row r="564" spans="1:12" x14ac:dyDescent="0.25">
      <c r="A564" t="s">
        <v>24</v>
      </c>
      <c r="D564" t="s">
        <v>32</v>
      </c>
      <c r="E564">
        <v>2018</v>
      </c>
      <c r="F564">
        <v>2</v>
      </c>
      <c r="G564">
        <v>3</v>
      </c>
      <c r="H564">
        <v>6</v>
      </c>
      <c r="I564">
        <v>138</v>
      </c>
      <c r="K564" s="13">
        <v>45827</v>
      </c>
      <c r="L564">
        <v>33</v>
      </c>
    </row>
    <row r="565" spans="1:12" x14ac:dyDescent="0.25">
      <c r="A565" t="s">
        <v>24</v>
      </c>
      <c r="D565" t="s">
        <v>32</v>
      </c>
      <c r="E565">
        <v>2018</v>
      </c>
      <c r="F565">
        <v>2</v>
      </c>
      <c r="G565">
        <v>3</v>
      </c>
      <c r="H565">
        <v>6</v>
      </c>
      <c r="I565">
        <v>138</v>
      </c>
      <c r="K565" s="13">
        <v>45856</v>
      </c>
      <c r="L565">
        <v>46</v>
      </c>
    </row>
    <row r="566" spans="1:12" x14ac:dyDescent="0.25">
      <c r="A566" t="s">
        <v>24</v>
      </c>
      <c r="D566" t="s">
        <v>32</v>
      </c>
      <c r="E566">
        <v>2018</v>
      </c>
      <c r="F566">
        <v>2</v>
      </c>
      <c r="G566">
        <v>3</v>
      </c>
      <c r="H566">
        <v>6</v>
      </c>
      <c r="I566">
        <v>138</v>
      </c>
      <c r="K566" s="13">
        <v>45869</v>
      </c>
      <c r="L566">
        <v>47</v>
      </c>
    </row>
    <row r="567" spans="1:12" x14ac:dyDescent="0.25">
      <c r="A567" t="s">
        <v>24</v>
      </c>
      <c r="D567" t="s">
        <v>32</v>
      </c>
      <c r="E567">
        <v>2018</v>
      </c>
      <c r="F567">
        <v>2</v>
      </c>
      <c r="G567">
        <v>3</v>
      </c>
      <c r="H567">
        <v>6</v>
      </c>
      <c r="I567">
        <v>138</v>
      </c>
      <c r="K567" s="13">
        <v>45881</v>
      </c>
      <c r="L567">
        <v>47</v>
      </c>
    </row>
    <row r="568" spans="1:12" x14ac:dyDescent="0.25">
      <c r="A568" t="s">
        <v>24</v>
      </c>
      <c r="D568" t="s">
        <v>32</v>
      </c>
      <c r="E568">
        <v>2018</v>
      </c>
      <c r="F568">
        <v>2</v>
      </c>
      <c r="G568">
        <v>3</v>
      </c>
      <c r="H568">
        <v>6</v>
      </c>
      <c r="I568">
        <v>138</v>
      </c>
      <c r="K568" s="13">
        <v>45895</v>
      </c>
      <c r="L568">
        <v>52</v>
      </c>
    </row>
    <row r="569" spans="1:12" x14ac:dyDescent="0.25">
      <c r="A569" t="s">
        <v>24</v>
      </c>
      <c r="D569" t="s">
        <v>32</v>
      </c>
      <c r="E569">
        <v>2018</v>
      </c>
      <c r="F569">
        <v>2</v>
      </c>
      <c r="G569">
        <v>3</v>
      </c>
      <c r="H569">
        <v>6</v>
      </c>
      <c r="I569">
        <v>138</v>
      </c>
      <c r="K569" s="13">
        <v>45908</v>
      </c>
      <c r="L569">
        <v>55</v>
      </c>
    </row>
    <row r="570" spans="1:12" x14ac:dyDescent="0.25">
      <c r="A570" t="s">
        <v>24</v>
      </c>
      <c r="D570" t="s">
        <v>32</v>
      </c>
      <c r="E570">
        <v>2018</v>
      </c>
      <c r="F570">
        <v>2</v>
      </c>
      <c r="G570">
        <v>3</v>
      </c>
      <c r="H570">
        <v>6</v>
      </c>
      <c r="I570">
        <v>138</v>
      </c>
      <c r="K570" s="13">
        <v>45923</v>
      </c>
      <c r="L570">
        <v>56</v>
      </c>
    </row>
    <row r="571" spans="1:12" x14ac:dyDescent="0.25">
      <c r="A571" t="s">
        <v>24</v>
      </c>
      <c r="D571" t="s">
        <v>32</v>
      </c>
      <c r="E571">
        <v>2018</v>
      </c>
      <c r="F571">
        <v>2</v>
      </c>
      <c r="G571">
        <v>3</v>
      </c>
      <c r="H571">
        <v>6</v>
      </c>
      <c r="I571">
        <v>138</v>
      </c>
      <c r="K571" s="13">
        <v>45939</v>
      </c>
      <c r="L571">
        <v>76</v>
      </c>
    </row>
    <row r="572" spans="1:12" x14ac:dyDescent="0.25">
      <c r="A572" t="s">
        <v>24</v>
      </c>
      <c r="D572" t="s">
        <v>32</v>
      </c>
      <c r="E572">
        <v>2018</v>
      </c>
      <c r="F572">
        <v>2</v>
      </c>
      <c r="G572">
        <v>3</v>
      </c>
      <c r="H572">
        <v>6</v>
      </c>
      <c r="I572">
        <v>138</v>
      </c>
      <c r="K572" s="13">
        <v>45959</v>
      </c>
      <c r="L572">
        <v>82</v>
      </c>
    </row>
    <row r="573" spans="1:12" x14ac:dyDescent="0.25">
      <c r="A573" t="s">
        <v>24</v>
      </c>
      <c r="D573" t="s">
        <v>32</v>
      </c>
      <c r="E573">
        <v>2018</v>
      </c>
      <c r="F573">
        <v>2</v>
      </c>
      <c r="G573">
        <v>3</v>
      </c>
      <c r="H573">
        <v>6</v>
      </c>
      <c r="I573">
        <v>138</v>
      </c>
      <c r="K573" s="13">
        <v>45966</v>
      </c>
      <c r="L573">
        <v>82</v>
      </c>
    </row>
    <row r="574" spans="1:12" x14ac:dyDescent="0.25">
      <c r="A574" t="s">
        <v>24</v>
      </c>
      <c r="D574" t="s">
        <v>28</v>
      </c>
      <c r="E574">
        <v>1998</v>
      </c>
      <c r="F574">
        <v>3</v>
      </c>
      <c r="G574">
        <v>3</v>
      </c>
      <c r="H574">
        <v>9</v>
      </c>
      <c r="I574">
        <v>141</v>
      </c>
      <c r="K574" s="13">
        <v>45810</v>
      </c>
      <c r="L574">
        <v>24</v>
      </c>
    </row>
    <row r="575" spans="1:12" x14ac:dyDescent="0.25">
      <c r="A575" t="s">
        <v>24</v>
      </c>
      <c r="D575" t="s">
        <v>28</v>
      </c>
      <c r="E575">
        <v>1998</v>
      </c>
      <c r="F575">
        <v>3</v>
      </c>
      <c r="G575">
        <v>3</v>
      </c>
      <c r="H575">
        <v>9</v>
      </c>
      <c r="I575">
        <v>141</v>
      </c>
      <c r="K575" s="13">
        <v>45827</v>
      </c>
      <c r="L575">
        <v>36</v>
      </c>
    </row>
    <row r="576" spans="1:12" x14ac:dyDescent="0.25">
      <c r="A576" t="s">
        <v>24</v>
      </c>
      <c r="D576" t="s">
        <v>28</v>
      </c>
      <c r="E576">
        <v>1998</v>
      </c>
      <c r="F576">
        <v>3</v>
      </c>
      <c r="G576">
        <v>3</v>
      </c>
      <c r="H576">
        <v>9</v>
      </c>
      <c r="I576">
        <v>141</v>
      </c>
      <c r="K576" s="13">
        <v>45856</v>
      </c>
      <c r="L576">
        <v>43</v>
      </c>
    </row>
    <row r="577" spans="1:12" x14ac:dyDescent="0.25">
      <c r="A577" t="s">
        <v>24</v>
      </c>
      <c r="D577" t="s">
        <v>28</v>
      </c>
      <c r="E577">
        <v>1998</v>
      </c>
      <c r="F577">
        <v>3</v>
      </c>
      <c r="G577">
        <v>3</v>
      </c>
      <c r="H577">
        <v>9</v>
      </c>
      <c r="I577">
        <v>141</v>
      </c>
      <c r="K577" s="13">
        <v>45869</v>
      </c>
      <c r="L577">
        <v>44</v>
      </c>
    </row>
    <row r="578" spans="1:12" x14ac:dyDescent="0.25">
      <c r="A578" t="s">
        <v>24</v>
      </c>
      <c r="D578" t="s">
        <v>28</v>
      </c>
      <c r="E578">
        <v>1998</v>
      </c>
      <c r="F578">
        <v>3</v>
      </c>
      <c r="G578">
        <v>3</v>
      </c>
      <c r="H578">
        <v>9</v>
      </c>
      <c r="I578">
        <v>141</v>
      </c>
      <c r="K578" s="13">
        <v>45881</v>
      </c>
      <c r="L578">
        <v>50</v>
      </c>
    </row>
    <row r="579" spans="1:12" x14ac:dyDescent="0.25">
      <c r="A579" t="s">
        <v>24</v>
      </c>
      <c r="D579" t="s">
        <v>28</v>
      </c>
      <c r="E579">
        <v>1998</v>
      </c>
      <c r="F579">
        <v>3</v>
      </c>
      <c r="G579">
        <v>3</v>
      </c>
      <c r="H579">
        <v>9</v>
      </c>
      <c r="I579">
        <v>141</v>
      </c>
      <c r="K579" s="13">
        <v>45895</v>
      </c>
      <c r="L579">
        <v>60</v>
      </c>
    </row>
    <row r="580" spans="1:12" x14ac:dyDescent="0.25">
      <c r="A580" t="s">
        <v>24</v>
      </c>
      <c r="D580" t="s">
        <v>28</v>
      </c>
      <c r="E580">
        <v>1998</v>
      </c>
      <c r="F580">
        <v>3</v>
      </c>
      <c r="G580">
        <v>3</v>
      </c>
      <c r="H580">
        <v>9</v>
      </c>
      <c r="I580">
        <v>141</v>
      </c>
      <c r="K580" s="13">
        <v>45908</v>
      </c>
      <c r="L580">
        <v>63</v>
      </c>
    </row>
    <row r="581" spans="1:12" x14ac:dyDescent="0.25">
      <c r="A581" t="s">
        <v>24</v>
      </c>
      <c r="D581" t="s">
        <v>28</v>
      </c>
      <c r="E581">
        <v>1998</v>
      </c>
      <c r="F581">
        <v>3</v>
      </c>
      <c r="G581">
        <v>3</v>
      </c>
      <c r="H581">
        <v>9</v>
      </c>
      <c r="I581">
        <v>141</v>
      </c>
      <c r="K581" s="13">
        <v>45923</v>
      </c>
      <c r="L581">
        <v>71</v>
      </c>
    </row>
    <row r="582" spans="1:12" x14ac:dyDescent="0.25">
      <c r="A582" t="s">
        <v>24</v>
      </c>
      <c r="D582" t="s">
        <v>28</v>
      </c>
      <c r="E582">
        <v>1998</v>
      </c>
      <c r="F582">
        <v>3</v>
      </c>
      <c r="G582">
        <v>3</v>
      </c>
      <c r="H582">
        <v>9</v>
      </c>
      <c r="I582">
        <v>141</v>
      </c>
      <c r="K582" s="13">
        <v>45939</v>
      </c>
      <c r="L582">
        <v>100</v>
      </c>
    </row>
    <row r="583" spans="1:12" x14ac:dyDescent="0.25">
      <c r="A583" t="s">
        <v>24</v>
      </c>
      <c r="D583" t="s">
        <v>28</v>
      </c>
      <c r="E583">
        <v>1998</v>
      </c>
      <c r="F583">
        <v>3</v>
      </c>
      <c r="G583">
        <v>3</v>
      </c>
      <c r="H583">
        <v>9</v>
      </c>
      <c r="I583">
        <v>141</v>
      </c>
      <c r="K583" s="13">
        <v>45959</v>
      </c>
      <c r="L583">
        <v>97</v>
      </c>
    </row>
    <row r="584" spans="1:12" x14ac:dyDescent="0.25">
      <c r="A584" t="s">
        <v>24</v>
      </c>
      <c r="D584" t="s">
        <v>28</v>
      </c>
      <c r="E584">
        <v>1998</v>
      </c>
      <c r="F584">
        <v>3</v>
      </c>
      <c r="G584">
        <v>3</v>
      </c>
      <c r="H584">
        <v>9</v>
      </c>
      <c r="I584">
        <v>141</v>
      </c>
      <c r="K584" s="13">
        <v>45966</v>
      </c>
      <c r="L584">
        <v>97</v>
      </c>
    </row>
    <row r="585" spans="1:12" x14ac:dyDescent="0.25">
      <c r="A585" t="s">
        <v>24</v>
      </c>
      <c r="D585" t="s">
        <v>29</v>
      </c>
      <c r="E585">
        <v>1999</v>
      </c>
      <c r="F585">
        <v>3</v>
      </c>
      <c r="G585">
        <v>3</v>
      </c>
      <c r="H585">
        <v>10</v>
      </c>
      <c r="I585">
        <v>142</v>
      </c>
      <c r="K585" s="13">
        <v>45810</v>
      </c>
      <c r="L585">
        <v>22</v>
      </c>
    </row>
    <row r="586" spans="1:12" x14ac:dyDescent="0.25">
      <c r="A586" t="s">
        <v>24</v>
      </c>
      <c r="D586" t="s">
        <v>29</v>
      </c>
      <c r="E586">
        <v>1999</v>
      </c>
      <c r="F586">
        <v>3</v>
      </c>
      <c r="G586">
        <v>3</v>
      </c>
      <c r="H586">
        <v>10</v>
      </c>
      <c r="I586">
        <v>142</v>
      </c>
      <c r="K586" s="13">
        <v>45827</v>
      </c>
      <c r="L586">
        <v>25</v>
      </c>
    </row>
    <row r="587" spans="1:12" x14ac:dyDescent="0.25">
      <c r="A587" t="s">
        <v>24</v>
      </c>
      <c r="D587" t="s">
        <v>29</v>
      </c>
      <c r="E587">
        <v>1999</v>
      </c>
      <c r="F587">
        <v>3</v>
      </c>
      <c r="G587">
        <v>3</v>
      </c>
      <c r="H587">
        <v>10</v>
      </c>
      <c r="I587">
        <v>142</v>
      </c>
      <c r="K587" s="13">
        <v>45856</v>
      </c>
      <c r="L587">
        <v>37</v>
      </c>
    </row>
    <row r="588" spans="1:12" x14ac:dyDescent="0.25">
      <c r="A588" t="s">
        <v>24</v>
      </c>
      <c r="D588" t="s">
        <v>29</v>
      </c>
      <c r="E588">
        <v>1999</v>
      </c>
      <c r="F588">
        <v>3</v>
      </c>
      <c r="G588">
        <v>3</v>
      </c>
      <c r="H588">
        <v>10</v>
      </c>
      <c r="I588">
        <v>142</v>
      </c>
      <c r="K588" s="13">
        <v>45869</v>
      </c>
      <c r="L588">
        <v>46</v>
      </c>
    </row>
    <row r="589" spans="1:12" x14ac:dyDescent="0.25">
      <c r="A589" t="s">
        <v>24</v>
      </c>
      <c r="D589" t="s">
        <v>29</v>
      </c>
      <c r="E589">
        <v>1999</v>
      </c>
      <c r="F589">
        <v>3</v>
      </c>
      <c r="G589">
        <v>3</v>
      </c>
      <c r="H589">
        <v>10</v>
      </c>
      <c r="I589">
        <v>142</v>
      </c>
      <c r="K589" s="13">
        <v>45881</v>
      </c>
      <c r="L589">
        <v>48</v>
      </c>
    </row>
    <row r="590" spans="1:12" x14ac:dyDescent="0.25">
      <c r="A590" t="s">
        <v>24</v>
      </c>
      <c r="D590" t="s">
        <v>29</v>
      </c>
      <c r="E590">
        <v>1999</v>
      </c>
      <c r="F590">
        <v>3</v>
      </c>
      <c r="G590">
        <v>3</v>
      </c>
      <c r="H590">
        <v>10</v>
      </c>
      <c r="I590">
        <v>142</v>
      </c>
      <c r="K590" s="13">
        <v>45895</v>
      </c>
      <c r="L590">
        <v>53</v>
      </c>
    </row>
    <row r="591" spans="1:12" x14ac:dyDescent="0.25">
      <c r="A591" t="s">
        <v>24</v>
      </c>
      <c r="D591" t="s">
        <v>29</v>
      </c>
      <c r="E591">
        <v>1999</v>
      </c>
      <c r="F591">
        <v>3</v>
      </c>
      <c r="G591">
        <v>3</v>
      </c>
      <c r="H591">
        <v>10</v>
      </c>
      <c r="I591">
        <v>142</v>
      </c>
      <c r="K591" s="13">
        <v>45908</v>
      </c>
      <c r="L591">
        <v>56</v>
      </c>
    </row>
    <row r="592" spans="1:12" x14ac:dyDescent="0.25">
      <c r="A592" t="s">
        <v>24</v>
      </c>
      <c r="D592" t="s">
        <v>29</v>
      </c>
      <c r="E592">
        <v>1999</v>
      </c>
      <c r="F592">
        <v>3</v>
      </c>
      <c r="G592">
        <v>3</v>
      </c>
      <c r="H592">
        <v>10</v>
      </c>
      <c r="I592">
        <v>142</v>
      </c>
      <c r="K592" s="13">
        <v>45923</v>
      </c>
      <c r="L592">
        <v>71</v>
      </c>
    </row>
    <row r="593" spans="1:12" x14ac:dyDescent="0.25">
      <c r="A593" t="s">
        <v>24</v>
      </c>
      <c r="D593" t="s">
        <v>29</v>
      </c>
      <c r="E593">
        <v>1999</v>
      </c>
      <c r="F593">
        <v>3</v>
      </c>
      <c r="G593">
        <v>3</v>
      </c>
      <c r="H593">
        <v>10</v>
      </c>
      <c r="I593">
        <v>142</v>
      </c>
      <c r="K593" s="13">
        <v>45939</v>
      </c>
      <c r="L593">
        <v>91</v>
      </c>
    </row>
    <row r="594" spans="1:12" x14ac:dyDescent="0.25">
      <c r="A594" t="s">
        <v>24</v>
      </c>
      <c r="D594" t="s">
        <v>29</v>
      </c>
      <c r="E594">
        <v>1999</v>
      </c>
      <c r="F594">
        <v>3</v>
      </c>
      <c r="G594">
        <v>3</v>
      </c>
      <c r="H594">
        <v>10</v>
      </c>
      <c r="I594">
        <v>142</v>
      </c>
      <c r="K594" s="13">
        <v>45959</v>
      </c>
      <c r="L594">
        <v>94</v>
      </c>
    </row>
    <row r="595" spans="1:12" x14ac:dyDescent="0.25">
      <c r="A595" t="s">
        <v>24</v>
      </c>
      <c r="D595" t="s">
        <v>29</v>
      </c>
      <c r="E595">
        <v>1999</v>
      </c>
      <c r="F595">
        <v>3</v>
      </c>
      <c r="G595">
        <v>3</v>
      </c>
      <c r="H595">
        <v>10</v>
      </c>
      <c r="I595">
        <v>142</v>
      </c>
      <c r="K595" s="13">
        <v>45966</v>
      </c>
      <c r="L595">
        <v>94</v>
      </c>
    </row>
    <row r="596" spans="1:12" x14ac:dyDescent="0.25">
      <c r="A596" t="s">
        <v>24</v>
      </c>
      <c r="D596" t="s">
        <v>311</v>
      </c>
      <c r="E596">
        <v>2023</v>
      </c>
      <c r="F596">
        <v>4</v>
      </c>
      <c r="G596">
        <v>3</v>
      </c>
      <c r="H596">
        <v>13</v>
      </c>
      <c r="I596">
        <v>145</v>
      </c>
      <c r="K596" s="13">
        <v>45810</v>
      </c>
      <c r="L596">
        <v>22</v>
      </c>
    </row>
    <row r="597" spans="1:12" x14ac:dyDescent="0.25">
      <c r="A597" t="s">
        <v>24</v>
      </c>
      <c r="D597" t="s">
        <v>311</v>
      </c>
      <c r="E597">
        <v>2023</v>
      </c>
      <c r="F597">
        <v>4</v>
      </c>
      <c r="G597">
        <v>3</v>
      </c>
      <c r="H597">
        <v>13</v>
      </c>
      <c r="I597">
        <v>145</v>
      </c>
      <c r="K597" s="13">
        <v>45827</v>
      </c>
      <c r="L597">
        <v>33</v>
      </c>
    </row>
    <row r="598" spans="1:12" x14ac:dyDescent="0.25">
      <c r="A598" t="s">
        <v>24</v>
      </c>
      <c r="D598" t="s">
        <v>311</v>
      </c>
      <c r="E598">
        <v>2023</v>
      </c>
      <c r="F598">
        <v>4</v>
      </c>
      <c r="G598">
        <v>3</v>
      </c>
      <c r="H598">
        <v>13</v>
      </c>
      <c r="I598">
        <v>145</v>
      </c>
      <c r="K598" s="13">
        <v>45856</v>
      </c>
      <c r="L598">
        <v>44</v>
      </c>
    </row>
    <row r="599" spans="1:12" x14ac:dyDescent="0.25">
      <c r="A599" t="s">
        <v>24</v>
      </c>
      <c r="D599" t="s">
        <v>311</v>
      </c>
      <c r="E599">
        <v>2023</v>
      </c>
      <c r="F599">
        <v>4</v>
      </c>
      <c r="G599">
        <v>3</v>
      </c>
      <c r="H599">
        <v>13</v>
      </c>
      <c r="I599">
        <v>145</v>
      </c>
      <c r="K599" s="13">
        <v>45869</v>
      </c>
      <c r="L599">
        <v>45</v>
      </c>
    </row>
    <row r="600" spans="1:12" x14ac:dyDescent="0.25">
      <c r="A600" t="s">
        <v>24</v>
      </c>
      <c r="D600" t="s">
        <v>311</v>
      </c>
      <c r="E600">
        <v>2023</v>
      </c>
      <c r="F600">
        <v>4</v>
      </c>
      <c r="G600">
        <v>3</v>
      </c>
      <c r="H600">
        <v>13</v>
      </c>
      <c r="I600">
        <v>145</v>
      </c>
      <c r="K600" s="13">
        <v>45881</v>
      </c>
      <c r="L600">
        <v>48</v>
      </c>
    </row>
    <row r="601" spans="1:12" x14ac:dyDescent="0.25">
      <c r="A601" t="s">
        <v>24</v>
      </c>
      <c r="D601" t="s">
        <v>311</v>
      </c>
      <c r="E601">
        <v>2023</v>
      </c>
      <c r="F601">
        <v>4</v>
      </c>
      <c r="G601">
        <v>3</v>
      </c>
      <c r="H601">
        <v>13</v>
      </c>
      <c r="I601">
        <v>145</v>
      </c>
      <c r="K601" s="13">
        <v>45895</v>
      </c>
      <c r="L601">
        <v>57</v>
      </c>
    </row>
    <row r="602" spans="1:12" x14ac:dyDescent="0.25">
      <c r="A602" t="s">
        <v>24</v>
      </c>
      <c r="D602" t="s">
        <v>311</v>
      </c>
      <c r="E602">
        <v>2023</v>
      </c>
      <c r="F602">
        <v>4</v>
      </c>
      <c r="G602">
        <v>3</v>
      </c>
      <c r="H602">
        <v>13</v>
      </c>
      <c r="I602">
        <v>145</v>
      </c>
      <c r="K602" s="13">
        <v>45908</v>
      </c>
      <c r="L602">
        <v>67</v>
      </c>
    </row>
    <row r="603" spans="1:12" x14ac:dyDescent="0.25">
      <c r="A603" t="s">
        <v>24</v>
      </c>
      <c r="D603" t="s">
        <v>311</v>
      </c>
      <c r="E603">
        <v>2023</v>
      </c>
      <c r="F603">
        <v>4</v>
      </c>
      <c r="G603">
        <v>3</v>
      </c>
      <c r="H603">
        <v>13</v>
      </c>
      <c r="I603">
        <v>145</v>
      </c>
      <c r="K603" s="13">
        <v>45923</v>
      </c>
      <c r="L603">
        <v>74</v>
      </c>
    </row>
    <row r="604" spans="1:12" x14ac:dyDescent="0.25">
      <c r="A604" t="s">
        <v>24</v>
      </c>
      <c r="D604" t="s">
        <v>311</v>
      </c>
      <c r="E604">
        <v>2023</v>
      </c>
      <c r="F604">
        <v>4</v>
      </c>
      <c r="G604">
        <v>3</v>
      </c>
      <c r="H604">
        <v>13</v>
      </c>
      <c r="I604">
        <v>145</v>
      </c>
      <c r="K604" s="13">
        <v>45939</v>
      </c>
      <c r="L604">
        <v>94</v>
      </c>
    </row>
    <row r="605" spans="1:12" x14ac:dyDescent="0.25">
      <c r="A605" t="s">
        <v>24</v>
      </c>
      <c r="D605" t="s">
        <v>311</v>
      </c>
      <c r="E605">
        <v>2023</v>
      </c>
      <c r="F605">
        <v>4</v>
      </c>
      <c r="G605">
        <v>3</v>
      </c>
      <c r="H605">
        <v>13</v>
      </c>
      <c r="I605">
        <v>145</v>
      </c>
      <c r="K605" s="13">
        <v>45959</v>
      </c>
      <c r="L605">
        <v>94</v>
      </c>
    </row>
    <row r="606" spans="1:12" x14ac:dyDescent="0.25">
      <c r="A606" t="s">
        <v>24</v>
      </c>
      <c r="D606" t="s">
        <v>311</v>
      </c>
      <c r="E606">
        <v>2023</v>
      </c>
      <c r="F606">
        <v>4</v>
      </c>
      <c r="G606">
        <v>3</v>
      </c>
      <c r="H606">
        <v>13</v>
      </c>
      <c r="I606">
        <v>145</v>
      </c>
      <c r="K606" s="13">
        <v>45966</v>
      </c>
      <c r="L606">
        <v>94</v>
      </c>
    </row>
    <row r="607" spans="1:12" x14ac:dyDescent="0.25">
      <c r="A607" t="s">
        <v>24</v>
      </c>
      <c r="D607" t="s">
        <v>312</v>
      </c>
      <c r="E607">
        <v>2002</v>
      </c>
      <c r="F607">
        <v>4</v>
      </c>
      <c r="G607">
        <v>3</v>
      </c>
      <c r="H607">
        <v>14</v>
      </c>
      <c r="I607">
        <v>146</v>
      </c>
      <c r="K607" s="13">
        <v>45810</v>
      </c>
      <c r="L607">
        <v>25</v>
      </c>
    </row>
    <row r="608" spans="1:12" x14ac:dyDescent="0.25">
      <c r="A608" t="s">
        <v>24</v>
      </c>
      <c r="D608" t="s">
        <v>312</v>
      </c>
      <c r="E608">
        <v>2002</v>
      </c>
      <c r="F608">
        <v>4</v>
      </c>
      <c r="G608">
        <v>3</v>
      </c>
      <c r="H608">
        <v>14</v>
      </c>
      <c r="I608">
        <v>146</v>
      </c>
      <c r="K608" s="13">
        <v>45827</v>
      </c>
      <c r="L608">
        <v>29</v>
      </c>
    </row>
    <row r="609" spans="1:12" x14ac:dyDescent="0.25">
      <c r="A609" t="s">
        <v>24</v>
      </c>
      <c r="D609" t="s">
        <v>312</v>
      </c>
      <c r="E609">
        <v>2002</v>
      </c>
      <c r="F609">
        <v>4</v>
      </c>
      <c r="G609">
        <v>3</v>
      </c>
      <c r="H609">
        <v>14</v>
      </c>
      <c r="I609">
        <v>146</v>
      </c>
      <c r="K609" s="13">
        <v>45856</v>
      </c>
      <c r="L609">
        <v>45</v>
      </c>
    </row>
    <row r="610" spans="1:12" x14ac:dyDescent="0.25">
      <c r="A610" t="s">
        <v>24</v>
      </c>
      <c r="D610" t="s">
        <v>312</v>
      </c>
      <c r="E610">
        <v>2002</v>
      </c>
      <c r="F610">
        <v>4</v>
      </c>
      <c r="G610">
        <v>3</v>
      </c>
      <c r="H610">
        <v>14</v>
      </c>
      <c r="I610">
        <v>146</v>
      </c>
      <c r="K610" s="13">
        <v>45869</v>
      </c>
      <c r="L610">
        <v>49</v>
      </c>
    </row>
    <row r="611" spans="1:12" x14ac:dyDescent="0.25">
      <c r="A611" t="s">
        <v>24</v>
      </c>
      <c r="D611" t="s">
        <v>312</v>
      </c>
      <c r="E611">
        <v>2002</v>
      </c>
      <c r="F611">
        <v>4</v>
      </c>
      <c r="G611">
        <v>3</v>
      </c>
      <c r="H611">
        <v>14</v>
      </c>
      <c r="I611">
        <v>146</v>
      </c>
      <c r="K611" s="13">
        <v>45881</v>
      </c>
      <c r="L611">
        <v>51</v>
      </c>
    </row>
    <row r="612" spans="1:12" x14ac:dyDescent="0.25">
      <c r="A612" t="s">
        <v>24</v>
      </c>
      <c r="D612" t="s">
        <v>312</v>
      </c>
      <c r="E612">
        <v>2002</v>
      </c>
      <c r="F612">
        <v>4</v>
      </c>
      <c r="G612">
        <v>3</v>
      </c>
      <c r="H612">
        <v>14</v>
      </c>
      <c r="I612">
        <v>146</v>
      </c>
      <c r="K612" s="13">
        <v>45895</v>
      </c>
      <c r="L612">
        <v>54</v>
      </c>
    </row>
    <row r="613" spans="1:12" x14ac:dyDescent="0.25">
      <c r="A613" t="s">
        <v>24</v>
      </c>
      <c r="D613" t="s">
        <v>312</v>
      </c>
      <c r="E613">
        <v>2002</v>
      </c>
      <c r="F613">
        <v>4</v>
      </c>
      <c r="G613">
        <v>3</v>
      </c>
      <c r="H613">
        <v>14</v>
      </c>
      <c r="I613">
        <v>146</v>
      </c>
      <c r="K613" s="13">
        <v>45908</v>
      </c>
      <c r="L613">
        <v>59</v>
      </c>
    </row>
    <row r="614" spans="1:12" x14ac:dyDescent="0.25">
      <c r="A614" t="s">
        <v>24</v>
      </c>
      <c r="D614" t="s">
        <v>312</v>
      </c>
      <c r="E614">
        <v>2002</v>
      </c>
      <c r="F614">
        <v>4</v>
      </c>
      <c r="G614">
        <v>3</v>
      </c>
      <c r="H614">
        <v>14</v>
      </c>
      <c r="I614">
        <v>146</v>
      </c>
      <c r="K614" s="13">
        <v>45923</v>
      </c>
      <c r="L614">
        <v>71</v>
      </c>
    </row>
    <row r="615" spans="1:12" x14ac:dyDescent="0.25">
      <c r="A615" t="s">
        <v>24</v>
      </c>
      <c r="D615" t="s">
        <v>312</v>
      </c>
      <c r="E615">
        <v>2002</v>
      </c>
      <c r="F615">
        <v>4</v>
      </c>
      <c r="G615">
        <v>3</v>
      </c>
      <c r="H615">
        <v>14</v>
      </c>
      <c r="I615">
        <v>146</v>
      </c>
      <c r="K615" s="13">
        <v>45939</v>
      </c>
      <c r="L615">
        <v>87</v>
      </c>
    </row>
    <row r="616" spans="1:12" x14ac:dyDescent="0.25">
      <c r="A616" t="s">
        <v>24</v>
      </c>
      <c r="D616" t="s">
        <v>312</v>
      </c>
      <c r="E616">
        <v>2002</v>
      </c>
      <c r="F616">
        <v>4</v>
      </c>
      <c r="G616">
        <v>3</v>
      </c>
      <c r="H616">
        <v>14</v>
      </c>
      <c r="I616">
        <v>146</v>
      </c>
      <c r="K616" s="13">
        <v>45959</v>
      </c>
      <c r="L616">
        <v>100</v>
      </c>
    </row>
    <row r="617" spans="1:12" x14ac:dyDescent="0.25">
      <c r="A617" t="s">
        <v>24</v>
      </c>
      <c r="D617" t="s">
        <v>312</v>
      </c>
      <c r="E617">
        <v>2002</v>
      </c>
      <c r="F617">
        <v>4</v>
      </c>
      <c r="G617">
        <v>3</v>
      </c>
      <c r="H617">
        <v>14</v>
      </c>
      <c r="I617">
        <v>146</v>
      </c>
      <c r="K617" s="13">
        <v>45966</v>
      </c>
      <c r="L617">
        <v>100</v>
      </c>
    </row>
    <row r="618" spans="1:12" x14ac:dyDescent="0.25">
      <c r="A618" t="s">
        <v>24</v>
      </c>
      <c r="D618" t="s">
        <v>29</v>
      </c>
      <c r="E618">
        <v>1999</v>
      </c>
      <c r="F618">
        <v>1</v>
      </c>
      <c r="G618">
        <v>4</v>
      </c>
      <c r="H618">
        <v>1</v>
      </c>
      <c r="I618">
        <v>149</v>
      </c>
      <c r="K618" s="13">
        <v>45810</v>
      </c>
      <c r="L618">
        <v>20</v>
      </c>
    </row>
    <row r="619" spans="1:12" x14ac:dyDescent="0.25">
      <c r="A619" t="s">
        <v>24</v>
      </c>
      <c r="D619" t="s">
        <v>29</v>
      </c>
      <c r="E619">
        <v>1999</v>
      </c>
      <c r="F619">
        <v>1</v>
      </c>
      <c r="G619">
        <v>4</v>
      </c>
      <c r="H619">
        <v>1</v>
      </c>
      <c r="I619">
        <v>149</v>
      </c>
      <c r="K619" s="13">
        <v>45827</v>
      </c>
      <c r="L619">
        <v>29</v>
      </c>
    </row>
    <row r="620" spans="1:12" x14ac:dyDescent="0.25">
      <c r="A620" t="s">
        <v>24</v>
      </c>
      <c r="D620" t="s">
        <v>29</v>
      </c>
      <c r="E620">
        <v>1999</v>
      </c>
      <c r="F620">
        <v>1</v>
      </c>
      <c r="G620">
        <v>4</v>
      </c>
      <c r="H620">
        <v>1</v>
      </c>
      <c r="I620">
        <v>149</v>
      </c>
      <c r="K620" s="13">
        <v>45856</v>
      </c>
      <c r="L620">
        <v>39</v>
      </c>
    </row>
    <row r="621" spans="1:12" x14ac:dyDescent="0.25">
      <c r="A621" t="s">
        <v>24</v>
      </c>
      <c r="D621" t="s">
        <v>29</v>
      </c>
      <c r="E621">
        <v>1999</v>
      </c>
      <c r="F621">
        <v>1</v>
      </c>
      <c r="G621">
        <v>4</v>
      </c>
      <c r="H621">
        <v>1</v>
      </c>
      <c r="I621">
        <v>149</v>
      </c>
      <c r="K621" s="13">
        <v>45869</v>
      </c>
      <c r="L621">
        <v>49</v>
      </c>
    </row>
    <row r="622" spans="1:12" x14ac:dyDescent="0.25">
      <c r="A622" t="s">
        <v>24</v>
      </c>
      <c r="D622" t="s">
        <v>29</v>
      </c>
      <c r="E622">
        <v>1999</v>
      </c>
      <c r="F622">
        <v>1</v>
      </c>
      <c r="G622">
        <v>4</v>
      </c>
      <c r="H622">
        <v>1</v>
      </c>
      <c r="I622">
        <v>149</v>
      </c>
      <c r="K622" s="13">
        <v>45881</v>
      </c>
      <c r="L622">
        <v>48</v>
      </c>
    </row>
    <row r="623" spans="1:12" x14ac:dyDescent="0.25">
      <c r="A623" t="s">
        <v>24</v>
      </c>
      <c r="D623" t="s">
        <v>29</v>
      </c>
      <c r="E623">
        <v>1999</v>
      </c>
      <c r="F623">
        <v>1</v>
      </c>
      <c r="G623">
        <v>4</v>
      </c>
      <c r="H623">
        <v>1</v>
      </c>
      <c r="I623">
        <v>149</v>
      </c>
      <c r="K623" s="13">
        <v>45895</v>
      </c>
      <c r="L623">
        <v>56</v>
      </c>
    </row>
    <row r="624" spans="1:12" x14ac:dyDescent="0.25">
      <c r="A624" t="s">
        <v>24</v>
      </c>
      <c r="D624" t="s">
        <v>29</v>
      </c>
      <c r="E624">
        <v>1999</v>
      </c>
      <c r="F624">
        <v>1</v>
      </c>
      <c r="G624">
        <v>4</v>
      </c>
      <c r="H624">
        <v>1</v>
      </c>
      <c r="I624">
        <v>149</v>
      </c>
      <c r="K624" s="13">
        <v>45908</v>
      </c>
      <c r="L624">
        <v>66</v>
      </c>
    </row>
    <row r="625" spans="1:12" x14ac:dyDescent="0.25">
      <c r="A625" t="s">
        <v>24</v>
      </c>
      <c r="D625" t="s">
        <v>29</v>
      </c>
      <c r="E625">
        <v>1999</v>
      </c>
      <c r="F625">
        <v>1</v>
      </c>
      <c r="G625">
        <v>4</v>
      </c>
      <c r="H625">
        <v>1</v>
      </c>
      <c r="I625">
        <v>149</v>
      </c>
      <c r="K625" s="13">
        <v>45923</v>
      </c>
      <c r="L625">
        <v>75</v>
      </c>
    </row>
    <row r="626" spans="1:12" x14ac:dyDescent="0.25">
      <c r="A626" t="s">
        <v>24</v>
      </c>
      <c r="D626" t="s">
        <v>29</v>
      </c>
      <c r="E626">
        <v>1999</v>
      </c>
      <c r="F626">
        <v>1</v>
      </c>
      <c r="G626">
        <v>4</v>
      </c>
      <c r="H626">
        <v>1</v>
      </c>
      <c r="I626">
        <v>149</v>
      </c>
      <c r="K626" s="13">
        <v>45939</v>
      </c>
      <c r="L626">
        <v>106</v>
      </c>
    </row>
    <row r="627" spans="1:12" x14ac:dyDescent="0.25">
      <c r="A627" t="s">
        <v>24</v>
      </c>
      <c r="D627" t="s">
        <v>29</v>
      </c>
      <c r="E627">
        <v>1999</v>
      </c>
      <c r="F627">
        <v>1</v>
      </c>
      <c r="G627">
        <v>4</v>
      </c>
      <c r="H627">
        <v>1</v>
      </c>
      <c r="I627">
        <v>149</v>
      </c>
      <c r="K627" s="13">
        <v>45959</v>
      </c>
      <c r="L627">
        <v>108</v>
      </c>
    </row>
    <row r="628" spans="1:12" x14ac:dyDescent="0.25">
      <c r="A628" t="s">
        <v>24</v>
      </c>
      <c r="D628" t="s">
        <v>29</v>
      </c>
      <c r="E628">
        <v>1999</v>
      </c>
      <c r="F628">
        <v>1</v>
      </c>
      <c r="G628">
        <v>4</v>
      </c>
      <c r="H628">
        <v>1</v>
      </c>
      <c r="I628">
        <v>149</v>
      </c>
      <c r="K628" s="13">
        <v>45966</v>
      </c>
      <c r="L628">
        <v>108</v>
      </c>
    </row>
    <row r="629" spans="1:12" x14ac:dyDescent="0.25">
      <c r="A629" t="s">
        <v>24</v>
      </c>
      <c r="D629" t="s">
        <v>32</v>
      </c>
      <c r="E629">
        <v>2018</v>
      </c>
      <c r="F629">
        <v>1</v>
      </c>
      <c r="G629">
        <v>4</v>
      </c>
      <c r="H629">
        <v>2</v>
      </c>
      <c r="I629">
        <v>150</v>
      </c>
      <c r="K629" s="13">
        <v>45810</v>
      </c>
      <c r="L629">
        <v>18</v>
      </c>
    </row>
    <row r="630" spans="1:12" x14ac:dyDescent="0.25">
      <c r="A630" t="s">
        <v>24</v>
      </c>
      <c r="D630" t="s">
        <v>32</v>
      </c>
      <c r="E630">
        <v>2018</v>
      </c>
      <c r="F630">
        <v>1</v>
      </c>
      <c r="G630">
        <v>4</v>
      </c>
      <c r="H630">
        <v>2</v>
      </c>
      <c r="I630">
        <v>150</v>
      </c>
      <c r="K630" s="13">
        <v>45827</v>
      </c>
      <c r="L630">
        <v>28</v>
      </c>
    </row>
    <row r="631" spans="1:12" x14ac:dyDescent="0.25">
      <c r="A631" t="s">
        <v>24</v>
      </c>
      <c r="D631" t="s">
        <v>32</v>
      </c>
      <c r="E631">
        <v>2018</v>
      </c>
      <c r="F631">
        <v>1</v>
      </c>
      <c r="G631">
        <v>4</v>
      </c>
      <c r="H631">
        <v>2</v>
      </c>
      <c r="I631">
        <v>150</v>
      </c>
      <c r="K631" s="13">
        <v>45856</v>
      </c>
      <c r="L631">
        <v>42</v>
      </c>
    </row>
    <row r="632" spans="1:12" x14ac:dyDescent="0.25">
      <c r="A632" t="s">
        <v>24</v>
      </c>
      <c r="D632" t="s">
        <v>32</v>
      </c>
      <c r="E632">
        <v>2018</v>
      </c>
      <c r="F632">
        <v>1</v>
      </c>
      <c r="G632">
        <v>4</v>
      </c>
      <c r="H632">
        <v>2</v>
      </c>
      <c r="I632">
        <v>150</v>
      </c>
      <c r="K632" s="13">
        <v>45869</v>
      </c>
      <c r="L632">
        <v>48</v>
      </c>
    </row>
    <row r="633" spans="1:12" x14ac:dyDescent="0.25">
      <c r="A633" t="s">
        <v>24</v>
      </c>
      <c r="D633" t="s">
        <v>32</v>
      </c>
      <c r="E633">
        <v>2018</v>
      </c>
      <c r="F633">
        <v>1</v>
      </c>
      <c r="G633">
        <v>4</v>
      </c>
      <c r="H633">
        <v>2</v>
      </c>
      <c r="I633">
        <v>150</v>
      </c>
      <c r="K633" s="13">
        <v>45881</v>
      </c>
      <c r="L633">
        <v>48</v>
      </c>
    </row>
    <row r="634" spans="1:12" x14ac:dyDescent="0.25">
      <c r="A634" t="s">
        <v>24</v>
      </c>
      <c r="D634" t="s">
        <v>32</v>
      </c>
      <c r="E634">
        <v>2018</v>
      </c>
      <c r="F634">
        <v>1</v>
      </c>
      <c r="G634">
        <v>4</v>
      </c>
      <c r="H634">
        <v>2</v>
      </c>
      <c r="I634">
        <v>150</v>
      </c>
      <c r="K634" s="13">
        <v>45895</v>
      </c>
      <c r="L634">
        <v>54</v>
      </c>
    </row>
    <row r="635" spans="1:12" x14ac:dyDescent="0.25">
      <c r="A635" t="s">
        <v>24</v>
      </c>
      <c r="D635" t="s">
        <v>32</v>
      </c>
      <c r="E635">
        <v>2018</v>
      </c>
      <c r="F635">
        <v>1</v>
      </c>
      <c r="G635">
        <v>4</v>
      </c>
      <c r="H635">
        <v>2</v>
      </c>
      <c r="I635">
        <v>150</v>
      </c>
      <c r="K635" s="13">
        <v>45908</v>
      </c>
      <c r="L635">
        <v>63</v>
      </c>
    </row>
    <row r="636" spans="1:12" x14ac:dyDescent="0.25">
      <c r="A636" t="s">
        <v>24</v>
      </c>
      <c r="D636" t="s">
        <v>32</v>
      </c>
      <c r="E636">
        <v>2018</v>
      </c>
      <c r="F636">
        <v>1</v>
      </c>
      <c r="G636">
        <v>4</v>
      </c>
      <c r="H636">
        <v>2</v>
      </c>
      <c r="I636">
        <v>150</v>
      </c>
      <c r="K636" s="13">
        <v>45923</v>
      </c>
      <c r="L636">
        <v>63</v>
      </c>
    </row>
    <row r="637" spans="1:12" x14ac:dyDescent="0.25">
      <c r="A637" t="s">
        <v>24</v>
      </c>
      <c r="D637" t="s">
        <v>32</v>
      </c>
      <c r="E637">
        <v>2018</v>
      </c>
      <c r="F637">
        <v>1</v>
      </c>
      <c r="G637">
        <v>4</v>
      </c>
      <c r="H637">
        <v>2</v>
      </c>
      <c r="I637">
        <v>150</v>
      </c>
      <c r="K637" s="13">
        <v>45939</v>
      </c>
      <c r="L637">
        <v>84</v>
      </c>
    </row>
    <row r="638" spans="1:12" x14ac:dyDescent="0.25">
      <c r="A638" t="s">
        <v>24</v>
      </c>
      <c r="D638" t="s">
        <v>32</v>
      </c>
      <c r="E638">
        <v>2018</v>
      </c>
      <c r="F638">
        <v>1</v>
      </c>
      <c r="G638">
        <v>4</v>
      </c>
      <c r="H638">
        <v>2</v>
      </c>
      <c r="I638">
        <v>150</v>
      </c>
      <c r="K638" s="13">
        <v>45959</v>
      </c>
      <c r="L638">
        <v>86</v>
      </c>
    </row>
    <row r="639" spans="1:12" x14ac:dyDescent="0.25">
      <c r="A639" t="s">
        <v>24</v>
      </c>
      <c r="D639" t="s">
        <v>32</v>
      </c>
      <c r="E639">
        <v>2018</v>
      </c>
      <c r="F639">
        <v>1</v>
      </c>
      <c r="G639">
        <v>4</v>
      </c>
      <c r="H639">
        <v>2</v>
      </c>
      <c r="I639">
        <v>150</v>
      </c>
      <c r="K639" s="13">
        <v>45966</v>
      </c>
      <c r="L639">
        <v>86</v>
      </c>
    </row>
    <row r="640" spans="1:12" x14ac:dyDescent="0.25">
      <c r="A640" t="s">
        <v>24</v>
      </c>
      <c r="D640" t="s">
        <v>312</v>
      </c>
      <c r="E640">
        <v>2002</v>
      </c>
      <c r="F640">
        <v>2</v>
      </c>
      <c r="G640">
        <v>4</v>
      </c>
      <c r="H640">
        <v>5</v>
      </c>
      <c r="I640">
        <v>153</v>
      </c>
      <c r="K640" s="13">
        <v>45810</v>
      </c>
      <c r="L640">
        <v>23</v>
      </c>
    </row>
    <row r="641" spans="1:12" x14ac:dyDescent="0.25">
      <c r="A641" t="s">
        <v>24</v>
      </c>
      <c r="D641" t="s">
        <v>312</v>
      </c>
      <c r="E641">
        <v>2002</v>
      </c>
      <c r="F641">
        <v>2</v>
      </c>
      <c r="G641">
        <v>4</v>
      </c>
      <c r="H641">
        <v>5</v>
      </c>
      <c r="I641">
        <v>153</v>
      </c>
      <c r="K641" s="13">
        <v>45827</v>
      </c>
      <c r="L641">
        <v>32</v>
      </c>
    </row>
    <row r="642" spans="1:12" x14ac:dyDescent="0.25">
      <c r="A642" t="s">
        <v>24</v>
      </c>
      <c r="D642" t="s">
        <v>312</v>
      </c>
      <c r="E642">
        <v>2002</v>
      </c>
      <c r="F642">
        <v>2</v>
      </c>
      <c r="G642">
        <v>4</v>
      </c>
      <c r="H642">
        <v>5</v>
      </c>
      <c r="I642">
        <v>153</v>
      </c>
      <c r="K642" s="13">
        <v>45856</v>
      </c>
      <c r="L642">
        <v>43</v>
      </c>
    </row>
    <row r="643" spans="1:12" x14ac:dyDescent="0.25">
      <c r="A643" t="s">
        <v>24</v>
      </c>
      <c r="D643" t="s">
        <v>312</v>
      </c>
      <c r="E643">
        <v>2002</v>
      </c>
      <c r="F643">
        <v>2</v>
      </c>
      <c r="G643">
        <v>4</v>
      </c>
      <c r="H643">
        <v>5</v>
      </c>
      <c r="I643">
        <v>153</v>
      </c>
      <c r="K643" s="13">
        <v>45869</v>
      </c>
      <c r="L643">
        <v>48</v>
      </c>
    </row>
    <row r="644" spans="1:12" x14ac:dyDescent="0.25">
      <c r="A644" t="s">
        <v>24</v>
      </c>
      <c r="D644" t="s">
        <v>312</v>
      </c>
      <c r="E644">
        <v>2002</v>
      </c>
      <c r="F644">
        <v>2</v>
      </c>
      <c r="G644">
        <v>4</v>
      </c>
      <c r="H644">
        <v>5</v>
      </c>
      <c r="I644">
        <v>153</v>
      </c>
      <c r="K644" s="13">
        <v>45881</v>
      </c>
      <c r="L644">
        <v>45</v>
      </c>
    </row>
    <row r="645" spans="1:12" x14ac:dyDescent="0.25">
      <c r="A645" t="s">
        <v>24</v>
      </c>
      <c r="D645" t="s">
        <v>312</v>
      </c>
      <c r="E645">
        <v>2002</v>
      </c>
      <c r="F645">
        <v>2</v>
      </c>
      <c r="G645">
        <v>4</v>
      </c>
      <c r="H645">
        <v>5</v>
      </c>
      <c r="I645">
        <v>153</v>
      </c>
      <c r="K645" s="13">
        <v>45895</v>
      </c>
      <c r="L645">
        <v>53</v>
      </c>
    </row>
    <row r="646" spans="1:12" x14ac:dyDescent="0.25">
      <c r="A646" t="s">
        <v>24</v>
      </c>
      <c r="D646" t="s">
        <v>312</v>
      </c>
      <c r="E646">
        <v>2002</v>
      </c>
      <c r="F646">
        <v>2</v>
      </c>
      <c r="G646">
        <v>4</v>
      </c>
      <c r="H646">
        <v>5</v>
      </c>
      <c r="I646">
        <v>153</v>
      </c>
      <c r="K646" s="13">
        <v>45908</v>
      </c>
      <c r="L646">
        <v>57</v>
      </c>
    </row>
    <row r="647" spans="1:12" x14ac:dyDescent="0.25">
      <c r="A647" t="s">
        <v>24</v>
      </c>
      <c r="D647" t="s">
        <v>312</v>
      </c>
      <c r="E647">
        <v>2002</v>
      </c>
      <c r="F647">
        <v>2</v>
      </c>
      <c r="G647">
        <v>4</v>
      </c>
      <c r="H647">
        <v>5</v>
      </c>
      <c r="I647">
        <v>153</v>
      </c>
      <c r="K647" s="13">
        <v>45923</v>
      </c>
      <c r="L647">
        <v>68</v>
      </c>
    </row>
    <row r="648" spans="1:12" x14ac:dyDescent="0.25">
      <c r="A648" t="s">
        <v>24</v>
      </c>
      <c r="D648" t="s">
        <v>312</v>
      </c>
      <c r="E648">
        <v>2002</v>
      </c>
      <c r="F648">
        <v>2</v>
      </c>
      <c r="G648">
        <v>4</v>
      </c>
      <c r="H648">
        <v>5</v>
      </c>
      <c r="I648">
        <v>153</v>
      </c>
      <c r="K648" s="13">
        <v>45939</v>
      </c>
      <c r="L648">
        <v>80</v>
      </c>
    </row>
    <row r="649" spans="1:12" x14ac:dyDescent="0.25">
      <c r="A649" t="s">
        <v>24</v>
      </c>
      <c r="D649" t="s">
        <v>312</v>
      </c>
      <c r="E649">
        <v>2002</v>
      </c>
      <c r="F649">
        <v>2</v>
      </c>
      <c r="G649">
        <v>4</v>
      </c>
      <c r="H649">
        <v>5</v>
      </c>
      <c r="I649">
        <v>153</v>
      </c>
      <c r="K649" s="13">
        <v>45959</v>
      </c>
      <c r="L649">
        <v>91</v>
      </c>
    </row>
    <row r="650" spans="1:12" x14ac:dyDescent="0.25">
      <c r="A650" t="s">
        <v>24</v>
      </c>
      <c r="D650" t="s">
        <v>312</v>
      </c>
      <c r="E650">
        <v>2002</v>
      </c>
      <c r="F650">
        <v>2</v>
      </c>
      <c r="G650">
        <v>4</v>
      </c>
      <c r="H650">
        <v>5</v>
      </c>
      <c r="I650">
        <v>153</v>
      </c>
      <c r="K650" s="13">
        <v>45966</v>
      </c>
      <c r="L650">
        <v>91</v>
      </c>
    </row>
    <row r="651" spans="1:12" x14ac:dyDescent="0.25">
      <c r="A651" t="s">
        <v>24</v>
      </c>
      <c r="D651" t="s">
        <v>26</v>
      </c>
      <c r="E651">
        <v>1983</v>
      </c>
      <c r="F651">
        <v>2</v>
      </c>
      <c r="G651">
        <v>4</v>
      </c>
      <c r="H651">
        <v>6</v>
      </c>
      <c r="I651">
        <v>154</v>
      </c>
      <c r="K651" s="13">
        <v>45810</v>
      </c>
      <c r="L651">
        <v>20</v>
      </c>
    </row>
    <row r="652" spans="1:12" x14ac:dyDescent="0.25">
      <c r="A652" t="s">
        <v>24</v>
      </c>
      <c r="D652" t="s">
        <v>26</v>
      </c>
      <c r="E652">
        <v>1983</v>
      </c>
      <c r="F652">
        <v>2</v>
      </c>
      <c r="G652">
        <v>4</v>
      </c>
      <c r="H652">
        <v>6</v>
      </c>
      <c r="I652">
        <v>154</v>
      </c>
      <c r="K652" s="13">
        <v>45827</v>
      </c>
      <c r="L652">
        <v>31</v>
      </c>
    </row>
    <row r="653" spans="1:12" x14ac:dyDescent="0.25">
      <c r="A653" t="s">
        <v>24</v>
      </c>
      <c r="D653" t="s">
        <v>26</v>
      </c>
      <c r="E653">
        <v>1983</v>
      </c>
      <c r="F653">
        <v>2</v>
      </c>
      <c r="G653">
        <v>4</v>
      </c>
      <c r="H653">
        <v>6</v>
      </c>
      <c r="I653">
        <v>154</v>
      </c>
      <c r="K653" s="13">
        <v>45856</v>
      </c>
      <c r="L653">
        <v>41</v>
      </c>
    </row>
    <row r="654" spans="1:12" x14ac:dyDescent="0.25">
      <c r="A654" t="s">
        <v>24</v>
      </c>
      <c r="D654" t="s">
        <v>26</v>
      </c>
      <c r="E654">
        <v>1983</v>
      </c>
      <c r="F654">
        <v>2</v>
      </c>
      <c r="G654">
        <v>4</v>
      </c>
      <c r="H654">
        <v>6</v>
      </c>
      <c r="I654">
        <v>154</v>
      </c>
      <c r="K654" s="13">
        <v>45869</v>
      </c>
      <c r="L654">
        <v>48</v>
      </c>
    </row>
    <row r="655" spans="1:12" x14ac:dyDescent="0.25">
      <c r="A655" t="s">
        <v>24</v>
      </c>
      <c r="D655" t="s">
        <v>26</v>
      </c>
      <c r="E655">
        <v>1983</v>
      </c>
      <c r="F655">
        <v>2</v>
      </c>
      <c r="G655">
        <v>4</v>
      </c>
      <c r="H655">
        <v>6</v>
      </c>
      <c r="I655">
        <v>154</v>
      </c>
      <c r="K655" s="13">
        <v>45881</v>
      </c>
      <c r="L655">
        <v>46</v>
      </c>
    </row>
    <row r="656" spans="1:12" x14ac:dyDescent="0.25">
      <c r="A656" t="s">
        <v>24</v>
      </c>
      <c r="D656" t="s">
        <v>26</v>
      </c>
      <c r="E656">
        <v>1983</v>
      </c>
      <c r="F656">
        <v>2</v>
      </c>
      <c r="G656">
        <v>4</v>
      </c>
      <c r="H656">
        <v>6</v>
      </c>
      <c r="I656">
        <v>154</v>
      </c>
      <c r="K656" s="13">
        <v>45895</v>
      </c>
      <c r="L656">
        <v>52</v>
      </c>
    </row>
    <row r="657" spans="1:12" x14ac:dyDescent="0.25">
      <c r="A657" t="s">
        <v>24</v>
      </c>
      <c r="D657" t="s">
        <v>26</v>
      </c>
      <c r="E657">
        <v>1983</v>
      </c>
      <c r="F657">
        <v>2</v>
      </c>
      <c r="G657">
        <v>4</v>
      </c>
      <c r="H657">
        <v>6</v>
      </c>
      <c r="I657">
        <v>154</v>
      </c>
      <c r="K657" s="13">
        <v>45908</v>
      </c>
      <c r="L657">
        <v>64</v>
      </c>
    </row>
    <row r="658" spans="1:12" x14ac:dyDescent="0.25">
      <c r="A658" t="s">
        <v>24</v>
      </c>
      <c r="D658" t="s">
        <v>26</v>
      </c>
      <c r="E658">
        <v>1983</v>
      </c>
      <c r="F658">
        <v>2</v>
      </c>
      <c r="G658">
        <v>4</v>
      </c>
      <c r="H658">
        <v>6</v>
      </c>
      <c r="I658">
        <v>154</v>
      </c>
      <c r="K658" s="13">
        <v>45923</v>
      </c>
      <c r="L658">
        <v>78</v>
      </c>
    </row>
    <row r="659" spans="1:12" x14ac:dyDescent="0.25">
      <c r="A659" t="s">
        <v>24</v>
      </c>
      <c r="D659" t="s">
        <v>26</v>
      </c>
      <c r="E659">
        <v>1983</v>
      </c>
      <c r="F659">
        <v>2</v>
      </c>
      <c r="G659">
        <v>4</v>
      </c>
      <c r="H659">
        <v>6</v>
      </c>
      <c r="I659">
        <v>154</v>
      </c>
      <c r="K659" s="13">
        <v>45939</v>
      </c>
      <c r="L659">
        <v>93</v>
      </c>
    </row>
    <row r="660" spans="1:12" x14ac:dyDescent="0.25">
      <c r="A660" t="s">
        <v>24</v>
      </c>
      <c r="D660" t="s">
        <v>26</v>
      </c>
      <c r="E660">
        <v>1983</v>
      </c>
      <c r="F660">
        <v>2</v>
      </c>
      <c r="G660">
        <v>4</v>
      </c>
      <c r="H660">
        <v>6</v>
      </c>
      <c r="I660">
        <v>154</v>
      </c>
      <c r="K660" s="13">
        <v>45959</v>
      </c>
      <c r="L660">
        <v>99</v>
      </c>
    </row>
    <row r="661" spans="1:12" x14ac:dyDescent="0.25">
      <c r="A661" t="s">
        <v>24</v>
      </c>
      <c r="D661" t="s">
        <v>26</v>
      </c>
      <c r="E661">
        <v>1983</v>
      </c>
      <c r="F661">
        <v>2</v>
      </c>
      <c r="G661">
        <v>4</v>
      </c>
      <c r="H661">
        <v>6</v>
      </c>
      <c r="I661">
        <v>154</v>
      </c>
      <c r="K661" s="13">
        <v>45966</v>
      </c>
      <c r="L661">
        <v>99</v>
      </c>
    </row>
    <row r="662" spans="1:12" x14ac:dyDescent="0.25">
      <c r="A662" t="s">
        <v>24</v>
      </c>
      <c r="D662" t="s">
        <v>27</v>
      </c>
      <c r="E662">
        <v>1985</v>
      </c>
      <c r="F662">
        <v>3</v>
      </c>
      <c r="G662">
        <v>4</v>
      </c>
      <c r="H662">
        <v>9</v>
      </c>
      <c r="I662">
        <v>157</v>
      </c>
      <c r="K662" s="13">
        <v>45810</v>
      </c>
      <c r="L662">
        <v>24</v>
      </c>
    </row>
    <row r="663" spans="1:12" x14ac:dyDescent="0.25">
      <c r="A663" t="s">
        <v>24</v>
      </c>
      <c r="D663" t="s">
        <v>27</v>
      </c>
      <c r="E663">
        <v>1985</v>
      </c>
      <c r="F663">
        <v>3</v>
      </c>
      <c r="G663">
        <v>4</v>
      </c>
      <c r="H663">
        <v>9</v>
      </c>
      <c r="I663">
        <v>157</v>
      </c>
      <c r="K663" s="13">
        <v>45827</v>
      </c>
      <c r="L663">
        <v>33</v>
      </c>
    </row>
    <row r="664" spans="1:12" x14ac:dyDescent="0.25">
      <c r="A664" t="s">
        <v>24</v>
      </c>
      <c r="D664" t="s">
        <v>27</v>
      </c>
      <c r="E664">
        <v>1985</v>
      </c>
      <c r="F664">
        <v>3</v>
      </c>
      <c r="G664">
        <v>4</v>
      </c>
      <c r="H664">
        <v>9</v>
      </c>
      <c r="I664">
        <v>157</v>
      </c>
      <c r="K664" s="13">
        <v>45856</v>
      </c>
      <c r="L664">
        <v>44</v>
      </c>
    </row>
    <row r="665" spans="1:12" x14ac:dyDescent="0.25">
      <c r="A665" t="s">
        <v>24</v>
      </c>
      <c r="D665" t="s">
        <v>27</v>
      </c>
      <c r="E665">
        <v>1985</v>
      </c>
      <c r="F665">
        <v>3</v>
      </c>
      <c r="G665">
        <v>4</v>
      </c>
      <c r="H665">
        <v>9</v>
      </c>
      <c r="I665">
        <v>157</v>
      </c>
      <c r="K665" s="13">
        <v>45869</v>
      </c>
      <c r="L665">
        <v>50</v>
      </c>
    </row>
    <row r="666" spans="1:12" x14ac:dyDescent="0.25">
      <c r="A666" t="s">
        <v>24</v>
      </c>
      <c r="D666" t="s">
        <v>27</v>
      </c>
      <c r="E666">
        <v>1985</v>
      </c>
      <c r="F666">
        <v>3</v>
      </c>
      <c r="G666">
        <v>4</v>
      </c>
      <c r="H666">
        <v>9</v>
      </c>
      <c r="I666">
        <v>157</v>
      </c>
      <c r="K666" s="13">
        <v>45881</v>
      </c>
      <c r="L666">
        <v>52</v>
      </c>
    </row>
    <row r="667" spans="1:12" x14ac:dyDescent="0.25">
      <c r="A667" t="s">
        <v>24</v>
      </c>
      <c r="D667" t="s">
        <v>27</v>
      </c>
      <c r="E667">
        <v>1985</v>
      </c>
      <c r="F667">
        <v>3</v>
      </c>
      <c r="G667">
        <v>4</v>
      </c>
      <c r="H667">
        <v>9</v>
      </c>
      <c r="I667">
        <v>157</v>
      </c>
      <c r="K667" s="13">
        <v>45895</v>
      </c>
      <c r="L667">
        <v>57</v>
      </c>
    </row>
    <row r="668" spans="1:12" x14ac:dyDescent="0.25">
      <c r="A668" t="s">
        <v>24</v>
      </c>
      <c r="D668" t="s">
        <v>27</v>
      </c>
      <c r="E668">
        <v>1985</v>
      </c>
      <c r="F668">
        <v>3</v>
      </c>
      <c r="G668">
        <v>4</v>
      </c>
      <c r="H668">
        <v>9</v>
      </c>
      <c r="I668">
        <v>157</v>
      </c>
      <c r="K668" s="13">
        <v>45908</v>
      </c>
      <c r="L668">
        <v>66</v>
      </c>
    </row>
    <row r="669" spans="1:12" x14ac:dyDescent="0.25">
      <c r="A669" t="s">
        <v>24</v>
      </c>
      <c r="D669" t="s">
        <v>27</v>
      </c>
      <c r="E669">
        <v>1985</v>
      </c>
      <c r="F669">
        <v>3</v>
      </c>
      <c r="G669">
        <v>4</v>
      </c>
      <c r="H669">
        <v>9</v>
      </c>
      <c r="I669">
        <v>157</v>
      </c>
      <c r="K669" s="13">
        <v>45923</v>
      </c>
      <c r="L669">
        <v>75</v>
      </c>
    </row>
    <row r="670" spans="1:12" x14ac:dyDescent="0.25">
      <c r="A670" t="s">
        <v>24</v>
      </c>
      <c r="D670" t="s">
        <v>27</v>
      </c>
      <c r="E670">
        <v>1985</v>
      </c>
      <c r="F670">
        <v>3</v>
      </c>
      <c r="G670">
        <v>4</v>
      </c>
      <c r="H670">
        <v>9</v>
      </c>
      <c r="I670">
        <v>157</v>
      </c>
      <c r="K670" s="13">
        <v>45939</v>
      </c>
      <c r="L670">
        <v>93</v>
      </c>
    </row>
    <row r="671" spans="1:12" x14ac:dyDescent="0.25">
      <c r="A671" t="s">
        <v>24</v>
      </c>
      <c r="D671" t="s">
        <v>27</v>
      </c>
      <c r="E671">
        <v>1985</v>
      </c>
      <c r="F671">
        <v>3</v>
      </c>
      <c r="G671">
        <v>4</v>
      </c>
      <c r="H671">
        <v>9</v>
      </c>
      <c r="I671">
        <v>157</v>
      </c>
      <c r="K671" s="13">
        <v>45959</v>
      </c>
      <c r="L671">
        <v>94</v>
      </c>
    </row>
    <row r="672" spans="1:12" x14ac:dyDescent="0.25">
      <c r="A672" t="s">
        <v>24</v>
      </c>
      <c r="D672" t="s">
        <v>27</v>
      </c>
      <c r="E672">
        <v>1985</v>
      </c>
      <c r="F672">
        <v>3</v>
      </c>
      <c r="G672">
        <v>4</v>
      </c>
      <c r="H672">
        <v>9</v>
      </c>
      <c r="I672">
        <v>157</v>
      </c>
      <c r="K672" s="13">
        <v>45966</v>
      </c>
      <c r="L672">
        <v>94</v>
      </c>
    </row>
    <row r="673" spans="1:12" x14ac:dyDescent="0.25">
      <c r="A673" t="s">
        <v>24</v>
      </c>
      <c r="D673" t="s">
        <v>311</v>
      </c>
      <c r="E673">
        <v>2023</v>
      </c>
      <c r="F673">
        <v>3</v>
      </c>
      <c r="G673">
        <v>4</v>
      </c>
      <c r="H673">
        <v>10</v>
      </c>
      <c r="I673">
        <v>158</v>
      </c>
      <c r="K673" s="13">
        <v>45810</v>
      </c>
      <c r="L673">
        <v>23</v>
      </c>
    </row>
    <row r="674" spans="1:12" x14ac:dyDescent="0.25">
      <c r="A674" t="s">
        <v>24</v>
      </c>
      <c r="D674" t="s">
        <v>311</v>
      </c>
      <c r="E674">
        <v>2023</v>
      </c>
      <c r="F674">
        <v>3</v>
      </c>
      <c r="G674">
        <v>4</v>
      </c>
      <c r="H674">
        <v>10</v>
      </c>
      <c r="I674">
        <v>158</v>
      </c>
      <c r="K674" s="13">
        <v>45827</v>
      </c>
      <c r="L674">
        <v>29</v>
      </c>
    </row>
    <row r="675" spans="1:12" x14ac:dyDescent="0.25">
      <c r="A675" t="s">
        <v>24</v>
      </c>
      <c r="D675" t="s">
        <v>311</v>
      </c>
      <c r="E675">
        <v>2023</v>
      </c>
      <c r="F675">
        <v>3</v>
      </c>
      <c r="G675">
        <v>4</v>
      </c>
      <c r="H675">
        <v>10</v>
      </c>
      <c r="I675">
        <v>158</v>
      </c>
      <c r="K675" s="13">
        <v>45856</v>
      </c>
      <c r="L675">
        <v>40</v>
      </c>
    </row>
    <row r="676" spans="1:12" x14ac:dyDescent="0.25">
      <c r="A676" t="s">
        <v>24</v>
      </c>
      <c r="D676" t="s">
        <v>311</v>
      </c>
      <c r="E676">
        <v>2023</v>
      </c>
      <c r="F676">
        <v>3</v>
      </c>
      <c r="G676">
        <v>4</v>
      </c>
      <c r="H676">
        <v>10</v>
      </c>
      <c r="I676">
        <v>158</v>
      </c>
      <c r="K676" s="13">
        <v>45869</v>
      </c>
      <c r="L676">
        <v>46</v>
      </c>
    </row>
    <row r="677" spans="1:12" x14ac:dyDescent="0.25">
      <c r="A677" t="s">
        <v>24</v>
      </c>
      <c r="D677" t="s">
        <v>311</v>
      </c>
      <c r="E677">
        <v>2023</v>
      </c>
      <c r="F677">
        <v>3</v>
      </c>
      <c r="G677">
        <v>4</v>
      </c>
      <c r="H677">
        <v>10</v>
      </c>
      <c r="I677">
        <v>158</v>
      </c>
      <c r="K677" s="13">
        <v>45881</v>
      </c>
      <c r="L677">
        <v>47</v>
      </c>
    </row>
    <row r="678" spans="1:12" x14ac:dyDescent="0.25">
      <c r="A678" t="s">
        <v>24</v>
      </c>
      <c r="D678" t="s">
        <v>311</v>
      </c>
      <c r="E678">
        <v>2023</v>
      </c>
      <c r="F678">
        <v>3</v>
      </c>
      <c r="G678">
        <v>4</v>
      </c>
      <c r="H678">
        <v>10</v>
      </c>
      <c r="I678">
        <v>158</v>
      </c>
      <c r="K678" s="13">
        <v>45895</v>
      </c>
      <c r="L678">
        <v>59</v>
      </c>
    </row>
    <row r="679" spans="1:12" x14ac:dyDescent="0.25">
      <c r="A679" t="s">
        <v>24</v>
      </c>
      <c r="D679" t="s">
        <v>311</v>
      </c>
      <c r="E679">
        <v>2023</v>
      </c>
      <c r="F679">
        <v>3</v>
      </c>
      <c r="G679">
        <v>4</v>
      </c>
      <c r="H679">
        <v>10</v>
      </c>
      <c r="I679">
        <v>158</v>
      </c>
      <c r="K679" s="13">
        <v>45908</v>
      </c>
      <c r="L679">
        <v>65</v>
      </c>
    </row>
    <row r="680" spans="1:12" x14ac:dyDescent="0.25">
      <c r="A680" t="s">
        <v>24</v>
      </c>
      <c r="D680" t="s">
        <v>311</v>
      </c>
      <c r="E680">
        <v>2023</v>
      </c>
      <c r="F680">
        <v>3</v>
      </c>
      <c r="G680">
        <v>4</v>
      </c>
      <c r="H680">
        <v>10</v>
      </c>
      <c r="I680">
        <v>158</v>
      </c>
      <c r="K680" s="13">
        <v>45923</v>
      </c>
      <c r="L680">
        <v>75</v>
      </c>
    </row>
    <row r="681" spans="1:12" x14ac:dyDescent="0.25">
      <c r="A681" t="s">
        <v>24</v>
      </c>
      <c r="D681" t="s">
        <v>311</v>
      </c>
      <c r="E681">
        <v>2023</v>
      </c>
      <c r="F681">
        <v>3</v>
      </c>
      <c r="G681">
        <v>4</v>
      </c>
      <c r="H681">
        <v>10</v>
      </c>
      <c r="I681">
        <v>158</v>
      </c>
      <c r="K681" s="13">
        <v>45939</v>
      </c>
      <c r="L681">
        <v>91</v>
      </c>
    </row>
    <row r="682" spans="1:12" x14ac:dyDescent="0.25">
      <c r="A682" t="s">
        <v>24</v>
      </c>
      <c r="D682" t="s">
        <v>311</v>
      </c>
      <c r="E682">
        <v>2023</v>
      </c>
      <c r="F682">
        <v>3</v>
      </c>
      <c r="G682">
        <v>4</v>
      </c>
      <c r="H682">
        <v>10</v>
      </c>
      <c r="I682">
        <v>158</v>
      </c>
      <c r="K682" s="13">
        <v>45959</v>
      </c>
      <c r="L682">
        <v>90</v>
      </c>
    </row>
    <row r="683" spans="1:12" x14ac:dyDescent="0.25">
      <c r="A683" t="s">
        <v>24</v>
      </c>
      <c r="D683" t="s">
        <v>311</v>
      </c>
      <c r="E683">
        <v>2023</v>
      </c>
      <c r="F683">
        <v>3</v>
      </c>
      <c r="G683">
        <v>4</v>
      </c>
      <c r="H683">
        <v>10</v>
      </c>
      <c r="I683">
        <v>158</v>
      </c>
      <c r="K683" s="13">
        <v>45966</v>
      </c>
      <c r="L683">
        <v>90</v>
      </c>
    </row>
    <row r="684" spans="1:12" x14ac:dyDescent="0.25">
      <c r="A684" t="s">
        <v>24</v>
      </c>
      <c r="D684" t="s">
        <v>28</v>
      </c>
      <c r="E684">
        <v>1998</v>
      </c>
      <c r="F684">
        <v>4</v>
      </c>
      <c r="G684">
        <v>4</v>
      </c>
      <c r="H684">
        <v>13</v>
      </c>
      <c r="I684">
        <v>161</v>
      </c>
      <c r="K684" s="13">
        <v>45810</v>
      </c>
      <c r="L684">
        <v>27</v>
      </c>
    </row>
    <row r="685" spans="1:12" x14ac:dyDescent="0.25">
      <c r="A685" t="s">
        <v>24</v>
      </c>
      <c r="D685" t="s">
        <v>28</v>
      </c>
      <c r="E685">
        <v>1998</v>
      </c>
      <c r="F685">
        <v>4</v>
      </c>
      <c r="G685">
        <v>4</v>
      </c>
      <c r="H685">
        <v>13</v>
      </c>
      <c r="I685">
        <v>161</v>
      </c>
      <c r="K685" s="13">
        <v>45827</v>
      </c>
      <c r="L685">
        <v>35</v>
      </c>
    </row>
    <row r="686" spans="1:12" x14ac:dyDescent="0.25">
      <c r="A686" t="s">
        <v>24</v>
      </c>
      <c r="D686" t="s">
        <v>28</v>
      </c>
      <c r="E686">
        <v>1998</v>
      </c>
      <c r="F686">
        <v>4</v>
      </c>
      <c r="G686">
        <v>4</v>
      </c>
      <c r="H686">
        <v>13</v>
      </c>
      <c r="I686">
        <v>161</v>
      </c>
      <c r="K686" s="13">
        <v>45856</v>
      </c>
      <c r="L686">
        <v>43</v>
      </c>
    </row>
    <row r="687" spans="1:12" x14ac:dyDescent="0.25">
      <c r="A687" t="s">
        <v>24</v>
      </c>
      <c r="D687" t="s">
        <v>28</v>
      </c>
      <c r="E687">
        <v>1998</v>
      </c>
      <c r="F687">
        <v>4</v>
      </c>
      <c r="G687">
        <v>4</v>
      </c>
      <c r="H687">
        <v>13</v>
      </c>
      <c r="I687">
        <v>161</v>
      </c>
      <c r="K687" s="13">
        <v>45869</v>
      </c>
      <c r="L687">
        <v>47</v>
      </c>
    </row>
    <row r="688" spans="1:12" x14ac:dyDescent="0.25">
      <c r="A688" t="s">
        <v>24</v>
      </c>
      <c r="D688" t="s">
        <v>28</v>
      </c>
      <c r="E688">
        <v>1998</v>
      </c>
      <c r="F688">
        <v>4</v>
      </c>
      <c r="G688">
        <v>4</v>
      </c>
      <c r="H688">
        <v>13</v>
      </c>
      <c r="I688">
        <v>161</v>
      </c>
      <c r="K688" s="13">
        <v>45881</v>
      </c>
      <c r="L688">
        <v>48</v>
      </c>
    </row>
    <row r="689" spans="1:12" x14ac:dyDescent="0.25">
      <c r="A689" t="s">
        <v>24</v>
      </c>
      <c r="D689" t="s">
        <v>28</v>
      </c>
      <c r="E689">
        <v>1998</v>
      </c>
      <c r="F689">
        <v>4</v>
      </c>
      <c r="G689">
        <v>4</v>
      </c>
      <c r="H689">
        <v>13</v>
      </c>
      <c r="I689">
        <v>161</v>
      </c>
      <c r="K689" s="13">
        <v>45895</v>
      </c>
      <c r="L689">
        <v>58</v>
      </c>
    </row>
    <row r="690" spans="1:12" x14ac:dyDescent="0.25">
      <c r="A690" t="s">
        <v>24</v>
      </c>
      <c r="D690" t="s">
        <v>28</v>
      </c>
      <c r="E690">
        <v>1998</v>
      </c>
      <c r="F690">
        <v>4</v>
      </c>
      <c r="G690">
        <v>4</v>
      </c>
      <c r="H690">
        <v>13</v>
      </c>
      <c r="I690">
        <v>161</v>
      </c>
      <c r="K690" s="13">
        <v>45908</v>
      </c>
      <c r="L690">
        <v>62</v>
      </c>
    </row>
    <row r="691" spans="1:12" x14ac:dyDescent="0.25">
      <c r="A691" t="s">
        <v>24</v>
      </c>
      <c r="D691" t="s">
        <v>28</v>
      </c>
      <c r="E691">
        <v>1998</v>
      </c>
      <c r="F691">
        <v>4</v>
      </c>
      <c r="G691">
        <v>4</v>
      </c>
      <c r="H691">
        <v>13</v>
      </c>
      <c r="I691">
        <v>161</v>
      </c>
      <c r="K691" s="13">
        <v>45923</v>
      </c>
      <c r="L691">
        <v>78</v>
      </c>
    </row>
    <row r="692" spans="1:12" x14ac:dyDescent="0.25">
      <c r="A692" t="s">
        <v>24</v>
      </c>
      <c r="D692" t="s">
        <v>28</v>
      </c>
      <c r="E692">
        <v>1998</v>
      </c>
      <c r="F692">
        <v>4</v>
      </c>
      <c r="G692">
        <v>4</v>
      </c>
      <c r="H692">
        <v>13</v>
      </c>
      <c r="I692">
        <v>161</v>
      </c>
      <c r="K692" s="13">
        <v>45939</v>
      </c>
      <c r="L692">
        <v>90</v>
      </c>
    </row>
    <row r="693" spans="1:12" x14ac:dyDescent="0.25">
      <c r="A693" t="s">
        <v>24</v>
      </c>
      <c r="D693" t="s">
        <v>28</v>
      </c>
      <c r="E693">
        <v>1998</v>
      </c>
      <c r="F693">
        <v>4</v>
      </c>
      <c r="G693">
        <v>4</v>
      </c>
      <c r="H693">
        <v>13</v>
      </c>
      <c r="I693">
        <v>161</v>
      </c>
      <c r="K693" s="13">
        <v>45959</v>
      </c>
      <c r="L693">
        <v>96</v>
      </c>
    </row>
    <row r="694" spans="1:12" x14ac:dyDescent="0.25">
      <c r="A694" t="s">
        <v>24</v>
      </c>
      <c r="D694" t="s">
        <v>28</v>
      </c>
      <c r="E694">
        <v>1998</v>
      </c>
      <c r="F694">
        <v>4</v>
      </c>
      <c r="G694">
        <v>4</v>
      </c>
      <c r="H694">
        <v>13</v>
      </c>
      <c r="I694">
        <v>161</v>
      </c>
      <c r="K694" s="13">
        <v>45966</v>
      </c>
      <c r="L694">
        <v>96</v>
      </c>
    </row>
    <row r="695" spans="1:12" x14ac:dyDescent="0.25">
      <c r="A695" t="s">
        <v>24</v>
      </c>
      <c r="D695" t="s">
        <v>313</v>
      </c>
      <c r="E695">
        <v>2016</v>
      </c>
      <c r="F695">
        <v>4</v>
      </c>
      <c r="G695">
        <v>4</v>
      </c>
      <c r="H695">
        <v>14</v>
      </c>
      <c r="I695">
        <v>162</v>
      </c>
      <c r="K695" s="13">
        <v>45810</v>
      </c>
      <c r="L695">
        <v>22</v>
      </c>
    </row>
    <row r="696" spans="1:12" x14ac:dyDescent="0.25">
      <c r="A696" t="s">
        <v>24</v>
      </c>
      <c r="D696" t="s">
        <v>313</v>
      </c>
      <c r="E696">
        <v>2016</v>
      </c>
      <c r="F696">
        <v>4</v>
      </c>
      <c r="G696">
        <v>4</v>
      </c>
      <c r="H696">
        <v>14</v>
      </c>
      <c r="I696">
        <v>162</v>
      </c>
      <c r="K696" s="13">
        <v>45827</v>
      </c>
      <c r="L696">
        <v>29</v>
      </c>
    </row>
    <row r="697" spans="1:12" x14ac:dyDescent="0.25">
      <c r="A697" t="s">
        <v>24</v>
      </c>
      <c r="D697" t="s">
        <v>313</v>
      </c>
      <c r="E697">
        <v>2016</v>
      </c>
      <c r="F697">
        <v>4</v>
      </c>
      <c r="G697">
        <v>4</v>
      </c>
      <c r="H697">
        <v>14</v>
      </c>
      <c r="I697">
        <v>162</v>
      </c>
      <c r="K697" s="13">
        <v>45856</v>
      </c>
      <c r="L697">
        <v>47</v>
      </c>
    </row>
    <row r="698" spans="1:12" x14ac:dyDescent="0.25">
      <c r="A698" t="s">
        <v>24</v>
      </c>
      <c r="D698" t="s">
        <v>313</v>
      </c>
      <c r="E698">
        <v>2016</v>
      </c>
      <c r="F698">
        <v>4</v>
      </c>
      <c r="G698">
        <v>4</v>
      </c>
      <c r="H698">
        <v>14</v>
      </c>
      <c r="I698">
        <v>162</v>
      </c>
      <c r="K698" s="13">
        <v>45869</v>
      </c>
      <c r="L698">
        <v>51</v>
      </c>
    </row>
    <row r="699" spans="1:12" x14ac:dyDescent="0.25">
      <c r="A699" t="s">
        <v>24</v>
      </c>
      <c r="D699" t="s">
        <v>313</v>
      </c>
      <c r="E699">
        <v>2016</v>
      </c>
      <c r="F699">
        <v>4</v>
      </c>
      <c r="G699">
        <v>4</v>
      </c>
      <c r="H699">
        <v>14</v>
      </c>
      <c r="I699">
        <v>162</v>
      </c>
      <c r="K699" s="13">
        <v>45881</v>
      </c>
      <c r="L699">
        <v>53</v>
      </c>
    </row>
    <row r="700" spans="1:12" x14ac:dyDescent="0.25">
      <c r="A700" t="s">
        <v>24</v>
      </c>
      <c r="D700" t="s">
        <v>313</v>
      </c>
      <c r="E700">
        <v>2016</v>
      </c>
      <c r="F700">
        <v>4</v>
      </c>
      <c r="G700">
        <v>4</v>
      </c>
      <c r="H700">
        <v>14</v>
      </c>
      <c r="I700">
        <v>162</v>
      </c>
      <c r="K700" s="13">
        <v>45895</v>
      </c>
      <c r="L700">
        <v>58</v>
      </c>
    </row>
    <row r="701" spans="1:12" x14ac:dyDescent="0.25">
      <c r="A701" t="s">
        <v>24</v>
      </c>
      <c r="D701" t="s">
        <v>313</v>
      </c>
      <c r="E701">
        <v>2016</v>
      </c>
      <c r="F701">
        <v>4</v>
      </c>
      <c r="G701">
        <v>4</v>
      </c>
      <c r="H701">
        <v>14</v>
      </c>
      <c r="I701">
        <v>162</v>
      </c>
      <c r="K701" s="13">
        <v>45908</v>
      </c>
      <c r="L701">
        <v>63</v>
      </c>
    </row>
    <row r="702" spans="1:12" x14ac:dyDescent="0.25">
      <c r="A702" t="s">
        <v>24</v>
      </c>
      <c r="D702" t="s">
        <v>313</v>
      </c>
      <c r="E702">
        <v>2016</v>
      </c>
      <c r="F702">
        <v>4</v>
      </c>
      <c r="G702">
        <v>4</v>
      </c>
      <c r="H702">
        <v>14</v>
      </c>
      <c r="I702">
        <v>162</v>
      </c>
      <c r="K702" s="13">
        <v>45923</v>
      </c>
      <c r="L702">
        <v>69</v>
      </c>
    </row>
    <row r="703" spans="1:12" x14ac:dyDescent="0.25">
      <c r="A703" t="s">
        <v>24</v>
      </c>
      <c r="D703" t="s">
        <v>313</v>
      </c>
      <c r="E703">
        <v>2016</v>
      </c>
      <c r="F703">
        <v>4</v>
      </c>
      <c r="G703">
        <v>4</v>
      </c>
      <c r="H703">
        <v>14</v>
      </c>
      <c r="I703">
        <v>162</v>
      </c>
      <c r="K703" s="13">
        <v>45939</v>
      </c>
      <c r="L703">
        <v>90</v>
      </c>
    </row>
    <row r="704" spans="1:12" x14ac:dyDescent="0.25">
      <c r="A704" t="s">
        <v>24</v>
      </c>
      <c r="D704" t="s">
        <v>313</v>
      </c>
      <c r="E704">
        <v>2016</v>
      </c>
      <c r="F704">
        <v>4</v>
      </c>
      <c r="G704">
        <v>4</v>
      </c>
      <c r="H704">
        <v>14</v>
      </c>
      <c r="I704">
        <v>162</v>
      </c>
      <c r="K704" s="13">
        <v>45959</v>
      </c>
      <c r="L704">
        <v>92</v>
      </c>
    </row>
    <row r="705" spans="1:12" x14ac:dyDescent="0.25">
      <c r="A705" t="s">
        <v>24</v>
      </c>
      <c r="D705" t="s">
        <v>313</v>
      </c>
      <c r="E705">
        <v>2016</v>
      </c>
      <c r="F705">
        <v>4</v>
      </c>
      <c r="G705">
        <v>4</v>
      </c>
      <c r="H705">
        <v>14</v>
      </c>
      <c r="I705">
        <v>162</v>
      </c>
      <c r="K705" s="13">
        <v>45966</v>
      </c>
      <c r="L705">
        <v>92</v>
      </c>
    </row>
    <row r="706" spans="1:12" x14ac:dyDescent="0.25">
      <c r="K706" s="85"/>
    </row>
    <row r="707" spans="1:12" x14ac:dyDescent="0.25">
      <c r="K707" s="85"/>
    </row>
    <row r="708" spans="1:12" x14ac:dyDescent="0.25">
      <c r="K708" s="85"/>
    </row>
    <row r="709" spans="1:12" x14ac:dyDescent="0.25">
      <c r="K709" s="85"/>
    </row>
    <row r="710" spans="1:12" x14ac:dyDescent="0.25">
      <c r="K710" s="85"/>
    </row>
    <row r="711" spans="1:12" x14ac:dyDescent="0.25">
      <c r="K711" s="85"/>
    </row>
    <row r="712" spans="1:12" x14ac:dyDescent="0.25">
      <c r="K712" s="85"/>
    </row>
    <row r="713" spans="1:12" x14ac:dyDescent="0.25">
      <c r="K713" s="85"/>
    </row>
    <row r="714" spans="1:12" x14ac:dyDescent="0.25">
      <c r="K714" s="85"/>
    </row>
    <row r="715" spans="1:12" x14ac:dyDescent="0.25">
      <c r="K715" s="85"/>
    </row>
    <row r="716" spans="1:12" x14ac:dyDescent="0.25">
      <c r="K716" s="85"/>
    </row>
    <row r="717" spans="1:12" x14ac:dyDescent="0.25">
      <c r="K717" s="85"/>
    </row>
    <row r="718" spans="1:12" x14ac:dyDescent="0.25">
      <c r="K718" s="85"/>
    </row>
    <row r="719" spans="1:12" x14ac:dyDescent="0.25">
      <c r="K719" s="85"/>
    </row>
    <row r="720" spans="1:12" x14ac:dyDescent="0.25">
      <c r="K720" s="85"/>
    </row>
    <row r="721" spans="11:11" x14ac:dyDescent="0.25">
      <c r="K721" s="85"/>
    </row>
    <row r="722" spans="11:11" x14ac:dyDescent="0.25">
      <c r="K722" s="85"/>
    </row>
    <row r="723" spans="11:11" x14ac:dyDescent="0.25">
      <c r="K723" s="85"/>
    </row>
    <row r="724" spans="11:11" x14ac:dyDescent="0.25">
      <c r="K724" s="85"/>
    </row>
    <row r="725" spans="11:11" x14ac:dyDescent="0.25">
      <c r="K725" s="85"/>
    </row>
    <row r="726" spans="11:11" x14ac:dyDescent="0.25">
      <c r="K726" s="85"/>
    </row>
    <row r="727" spans="11:11" x14ac:dyDescent="0.25">
      <c r="K727" s="85"/>
    </row>
    <row r="728" spans="11:11" x14ac:dyDescent="0.25">
      <c r="K728" s="85"/>
    </row>
    <row r="729" spans="11:11" x14ac:dyDescent="0.25">
      <c r="K729" s="85"/>
    </row>
    <row r="730" spans="11:11" x14ac:dyDescent="0.25">
      <c r="K730" s="85"/>
    </row>
    <row r="731" spans="11:11" x14ac:dyDescent="0.25">
      <c r="K731" s="85"/>
    </row>
    <row r="732" spans="11:11" x14ac:dyDescent="0.25">
      <c r="K732" s="85"/>
    </row>
    <row r="733" spans="11:11" x14ac:dyDescent="0.25">
      <c r="K733" s="85"/>
    </row>
    <row r="734" spans="11:11" x14ac:dyDescent="0.25">
      <c r="K734" s="85"/>
    </row>
    <row r="735" spans="11:11" x14ac:dyDescent="0.25">
      <c r="K735" s="85"/>
    </row>
    <row r="736" spans="11:11" x14ac:dyDescent="0.25">
      <c r="K736" s="85"/>
    </row>
    <row r="737" spans="11:11" x14ac:dyDescent="0.25">
      <c r="K737" s="85"/>
    </row>
    <row r="738" spans="11:11" x14ac:dyDescent="0.25">
      <c r="K738" s="85"/>
    </row>
    <row r="739" spans="11:11" x14ac:dyDescent="0.25">
      <c r="K739" s="85"/>
    </row>
    <row r="740" spans="11:11" x14ac:dyDescent="0.25">
      <c r="K740" s="85"/>
    </row>
    <row r="741" spans="11:11" x14ac:dyDescent="0.25">
      <c r="K741" s="85"/>
    </row>
    <row r="742" spans="11:11" x14ac:dyDescent="0.25">
      <c r="K742" s="85"/>
    </row>
    <row r="743" spans="11:11" x14ac:dyDescent="0.25">
      <c r="K743" s="85"/>
    </row>
    <row r="744" spans="11:11" x14ac:dyDescent="0.25">
      <c r="K744" s="85"/>
    </row>
    <row r="745" spans="11:11" x14ac:dyDescent="0.25">
      <c r="K745" s="85"/>
    </row>
    <row r="746" spans="11:11" x14ac:dyDescent="0.25">
      <c r="K746" s="85"/>
    </row>
    <row r="747" spans="11:11" x14ac:dyDescent="0.25">
      <c r="K747" s="85"/>
    </row>
    <row r="748" spans="11:11" x14ac:dyDescent="0.25">
      <c r="K748" s="85"/>
    </row>
    <row r="749" spans="11:11" x14ac:dyDescent="0.25">
      <c r="K749" s="85"/>
    </row>
    <row r="750" spans="11:11" x14ac:dyDescent="0.25">
      <c r="K750" s="85"/>
    </row>
    <row r="751" spans="11:11" x14ac:dyDescent="0.25">
      <c r="K751" s="85"/>
    </row>
    <row r="752" spans="11:11" x14ac:dyDescent="0.25">
      <c r="K752" s="85"/>
    </row>
    <row r="753" spans="11:11" x14ac:dyDescent="0.25">
      <c r="K753" s="85"/>
    </row>
    <row r="754" spans="11:11" x14ac:dyDescent="0.25">
      <c r="K754" s="85"/>
    </row>
    <row r="755" spans="11:11" x14ac:dyDescent="0.25">
      <c r="K755" s="85"/>
    </row>
    <row r="756" spans="11:11" x14ac:dyDescent="0.25">
      <c r="K756" s="85"/>
    </row>
    <row r="757" spans="11:11" x14ac:dyDescent="0.25">
      <c r="K757" s="85"/>
    </row>
    <row r="758" spans="11:11" x14ac:dyDescent="0.25">
      <c r="K758" s="85"/>
    </row>
    <row r="759" spans="11:11" x14ac:dyDescent="0.25">
      <c r="K759" s="85"/>
    </row>
    <row r="760" spans="11:11" x14ac:dyDescent="0.25">
      <c r="K760" s="85"/>
    </row>
    <row r="761" spans="11:11" x14ac:dyDescent="0.25">
      <c r="K761" s="85"/>
    </row>
    <row r="762" spans="11:11" x14ac:dyDescent="0.25">
      <c r="K762" s="85"/>
    </row>
    <row r="763" spans="11:11" x14ac:dyDescent="0.25">
      <c r="K763" s="85"/>
    </row>
    <row r="764" spans="11:11" x14ac:dyDescent="0.25">
      <c r="K764" s="85"/>
    </row>
    <row r="765" spans="11:11" x14ac:dyDescent="0.25">
      <c r="K765" s="85"/>
    </row>
    <row r="766" spans="11:11" x14ac:dyDescent="0.25">
      <c r="K766" s="85"/>
    </row>
    <row r="767" spans="11:11" x14ac:dyDescent="0.25">
      <c r="K767" s="85"/>
    </row>
    <row r="768" spans="11:11" x14ac:dyDescent="0.25">
      <c r="K768" s="85"/>
    </row>
    <row r="769" spans="11:11" x14ac:dyDescent="0.25">
      <c r="K769" s="85"/>
    </row>
    <row r="770" spans="11:11" x14ac:dyDescent="0.25">
      <c r="K770" s="85"/>
    </row>
    <row r="771" spans="11:11" x14ac:dyDescent="0.25">
      <c r="K771" s="85"/>
    </row>
    <row r="772" spans="11:11" x14ac:dyDescent="0.25">
      <c r="K772" s="85"/>
    </row>
    <row r="773" spans="11:11" x14ac:dyDescent="0.25">
      <c r="K773" s="85"/>
    </row>
    <row r="774" spans="11:11" x14ac:dyDescent="0.25">
      <c r="K774" s="85"/>
    </row>
    <row r="775" spans="11:11" x14ac:dyDescent="0.25">
      <c r="K775" s="85"/>
    </row>
    <row r="776" spans="11:11" x14ac:dyDescent="0.25">
      <c r="K776" s="85"/>
    </row>
    <row r="777" spans="11:11" x14ac:dyDescent="0.25">
      <c r="K777" s="85"/>
    </row>
    <row r="778" spans="11:11" x14ac:dyDescent="0.25">
      <c r="K778" s="85"/>
    </row>
    <row r="779" spans="11:11" x14ac:dyDescent="0.25">
      <c r="K779" s="85"/>
    </row>
    <row r="780" spans="11:11" x14ac:dyDescent="0.25">
      <c r="K780" s="85"/>
    </row>
    <row r="781" spans="11:11" x14ac:dyDescent="0.25">
      <c r="K781" s="85"/>
    </row>
    <row r="782" spans="11:11" x14ac:dyDescent="0.25">
      <c r="K782" s="85"/>
    </row>
    <row r="783" spans="11:11" x14ac:dyDescent="0.25">
      <c r="K783" s="85"/>
    </row>
    <row r="784" spans="11:11" x14ac:dyDescent="0.25">
      <c r="K784" s="85"/>
    </row>
    <row r="785" spans="11:11" x14ac:dyDescent="0.25">
      <c r="K785" s="85"/>
    </row>
    <row r="786" spans="11:11" x14ac:dyDescent="0.25">
      <c r="K786" s="85"/>
    </row>
    <row r="787" spans="11:11" x14ac:dyDescent="0.25">
      <c r="K787" s="85"/>
    </row>
    <row r="788" spans="11:11" x14ac:dyDescent="0.25">
      <c r="K788" s="85"/>
    </row>
    <row r="789" spans="11:11" x14ac:dyDescent="0.25">
      <c r="K789" s="85"/>
    </row>
    <row r="790" spans="11:11" x14ac:dyDescent="0.25">
      <c r="K790" s="85"/>
    </row>
    <row r="791" spans="11:11" x14ac:dyDescent="0.25">
      <c r="K791" s="85"/>
    </row>
    <row r="792" spans="11:11" x14ac:dyDescent="0.25">
      <c r="K792" s="85"/>
    </row>
    <row r="793" spans="11:11" x14ac:dyDescent="0.25">
      <c r="K793" s="85"/>
    </row>
    <row r="794" spans="11:11" x14ac:dyDescent="0.25">
      <c r="K794" s="85"/>
    </row>
    <row r="795" spans="11:11" x14ac:dyDescent="0.25">
      <c r="K795" s="85"/>
    </row>
    <row r="796" spans="11:11" x14ac:dyDescent="0.25">
      <c r="K796" s="85"/>
    </row>
    <row r="797" spans="11:11" x14ac:dyDescent="0.25">
      <c r="K797" s="85"/>
    </row>
    <row r="798" spans="11:11" x14ac:dyDescent="0.25">
      <c r="K798" s="85"/>
    </row>
    <row r="799" spans="11:11" x14ac:dyDescent="0.25">
      <c r="K799" s="85"/>
    </row>
    <row r="800" spans="11:11" x14ac:dyDescent="0.25">
      <c r="K800" s="85"/>
    </row>
    <row r="801" spans="11:11" x14ac:dyDescent="0.25">
      <c r="K801" s="85"/>
    </row>
    <row r="802" spans="11:11" x14ac:dyDescent="0.25">
      <c r="K802" s="85"/>
    </row>
    <row r="803" spans="11:11" x14ac:dyDescent="0.25">
      <c r="K803" s="85"/>
    </row>
    <row r="804" spans="11:11" x14ac:dyDescent="0.25">
      <c r="K804" s="85"/>
    </row>
    <row r="805" spans="11:11" x14ac:dyDescent="0.25">
      <c r="K805" s="85"/>
    </row>
    <row r="806" spans="11:11" x14ac:dyDescent="0.25">
      <c r="K806" s="85"/>
    </row>
    <row r="807" spans="11:11" x14ac:dyDescent="0.25">
      <c r="K807" s="85"/>
    </row>
    <row r="808" spans="11:11" x14ac:dyDescent="0.25">
      <c r="K808" s="85"/>
    </row>
    <row r="809" spans="11:11" x14ac:dyDescent="0.25">
      <c r="K809" s="85"/>
    </row>
    <row r="810" spans="11:11" x14ac:dyDescent="0.25">
      <c r="K810" s="85"/>
    </row>
    <row r="811" spans="11:11" x14ac:dyDescent="0.25">
      <c r="K811" s="85"/>
    </row>
    <row r="812" spans="11:11" x14ac:dyDescent="0.25">
      <c r="K812" s="85"/>
    </row>
    <row r="813" spans="11:11" x14ac:dyDescent="0.25">
      <c r="K813" s="85"/>
    </row>
    <row r="814" spans="11:11" x14ac:dyDescent="0.25">
      <c r="K814" s="85"/>
    </row>
    <row r="815" spans="11:11" x14ac:dyDescent="0.25">
      <c r="K815" s="85"/>
    </row>
    <row r="816" spans="11:11" x14ac:dyDescent="0.25">
      <c r="K816" s="85"/>
    </row>
    <row r="817" spans="11:11" x14ac:dyDescent="0.25">
      <c r="K817" s="85"/>
    </row>
    <row r="818" spans="11:11" x14ac:dyDescent="0.25">
      <c r="K818" s="85"/>
    </row>
    <row r="819" spans="11:11" x14ac:dyDescent="0.25">
      <c r="K819" s="85"/>
    </row>
    <row r="820" spans="11:11" x14ac:dyDescent="0.25">
      <c r="K820" s="85"/>
    </row>
    <row r="821" spans="11:11" x14ac:dyDescent="0.25">
      <c r="K821" s="85"/>
    </row>
    <row r="822" spans="11:11" x14ac:dyDescent="0.25">
      <c r="K822" s="85"/>
    </row>
    <row r="823" spans="11:11" x14ac:dyDescent="0.25">
      <c r="K823" s="85"/>
    </row>
    <row r="824" spans="11:11" x14ac:dyDescent="0.25">
      <c r="K824" s="85"/>
    </row>
    <row r="825" spans="11:11" x14ac:dyDescent="0.25">
      <c r="K825" s="85"/>
    </row>
    <row r="826" spans="11:11" x14ac:dyDescent="0.25">
      <c r="K826" s="85"/>
    </row>
    <row r="827" spans="11:11" x14ac:dyDescent="0.25">
      <c r="K827" s="85"/>
    </row>
    <row r="828" spans="11:11" x14ac:dyDescent="0.25">
      <c r="K828" s="85"/>
    </row>
    <row r="829" spans="11:11" x14ac:dyDescent="0.25">
      <c r="K829" s="85"/>
    </row>
    <row r="830" spans="11:11" x14ac:dyDescent="0.25">
      <c r="K830" s="85"/>
    </row>
    <row r="831" spans="11:11" x14ac:dyDescent="0.25">
      <c r="K831" s="85"/>
    </row>
    <row r="832" spans="11:11" x14ac:dyDescent="0.25">
      <c r="K832" s="85"/>
    </row>
    <row r="833" spans="11:11" x14ac:dyDescent="0.25">
      <c r="K833" s="85"/>
    </row>
    <row r="834" spans="11:11" x14ac:dyDescent="0.25">
      <c r="K834" s="85"/>
    </row>
    <row r="835" spans="11:11" x14ac:dyDescent="0.25">
      <c r="K835" s="85"/>
    </row>
    <row r="836" spans="11:11" x14ac:dyDescent="0.25">
      <c r="K836" s="85"/>
    </row>
    <row r="837" spans="11:11" x14ac:dyDescent="0.25">
      <c r="K837" s="85"/>
    </row>
    <row r="838" spans="11:11" x14ac:dyDescent="0.25">
      <c r="K838" s="85"/>
    </row>
    <row r="839" spans="11:11" x14ac:dyDescent="0.25">
      <c r="K839" s="85"/>
    </row>
    <row r="840" spans="11:11" x14ac:dyDescent="0.25">
      <c r="K840" s="85"/>
    </row>
    <row r="841" spans="11:11" x14ac:dyDescent="0.25">
      <c r="K841" s="85"/>
    </row>
    <row r="842" spans="11:11" x14ac:dyDescent="0.25">
      <c r="K842" s="85"/>
    </row>
    <row r="843" spans="11:11" x14ac:dyDescent="0.25">
      <c r="K843" s="85"/>
    </row>
    <row r="844" spans="11:11" x14ac:dyDescent="0.25">
      <c r="K844" s="85"/>
    </row>
    <row r="845" spans="11:11" x14ac:dyDescent="0.25">
      <c r="K845" s="85"/>
    </row>
    <row r="846" spans="11:11" x14ac:dyDescent="0.25">
      <c r="K846" s="85"/>
    </row>
    <row r="847" spans="11:11" x14ac:dyDescent="0.25">
      <c r="K847" s="85"/>
    </row>
    <row r="848" spans="11:11" x14ac:dyDescent="0.25">
      <c r="K848" s="85"/>
    </row>
    <row r="849" spans="11:11" x14ac:dyDescent="0.25">
      <c r="K849" s="85"/>
    </row>
    <row r="850" spans="11:11" x14ac:dyDescent="0.25">
      <c r="K850" s="85"/>
    </row>
    <row r="851" spans="11:11" x14ac:dyDescent="0.25">
      <c r="K851" s="85"/>
    </row>
    <row r="852" spans="11:11" x14ac:dyDescent="0.25">
      <c r="K852" s="85"/>
    </row>
    <row r="853" spans="11:11" x14ac:dyDescent="0.25">
      <c r="K853" s="85"/>
    </row>
    <row r="854" spans="11:11" x14ac:dyDescent="0.25">
      <c r="K854" s="85"/>
    </row>
    <row r="855" spans="11:11" x14ac:dyDescent="0.25">
      <c r="K855" s="85"/>
    </row>
    <row r="856" spans="11:11" x14ac:dyDescent="0.25">
      <c r="K856" s="85"/>
    </row>
    <row r="857" spans="11:11" x14ac:dyDescent="0.25">
      <c r="K857" s="85"/>
    </row>
    <row r="858" spans="11:11" x14ac:dyDescent="0.25">
      <c r="K858" s="85"/>
    </row>
    <row r="859" spans="11:11" x14ac:dyDescent="0.25">
      <c r="K859" s="85"/>
    </row>
    <row r="860" spans="11:11" x14ac:dyDescent="0.25">
      <c r="K860" s="85"/>
    </row>
    <row r="861" spans="11:11" x14ac:dyDescent="0.25">
      <c r="K861" s="85"/>
    </row>
    <row r="862" spans="11:11" x14ac:dyDescent="0.25">
      <c r="K862" s="85"/>
    </row>
    <row r="863" spans="11:11" x14ac:dyDescent="0.25">
      <c r="K863" s="85"/>
    </row>
    <row r="864" spans="11:11" x14ac:dyDescent="0.25">
      <c r="K864" s="85"/>
    </row>
    <row r="865" spans="11:11" x14ac:dyDescent="0.25">
      <c r="K865" s="85"/>
    </row>
    <row r="866" spans="11:11" x14ac:dyDescent="0.25">
      <c r="K866" s="85"/>
    </row>
    <row r="867" spans="11:11" x14ac:dyDescent="0.25">
      <c r="K867" s="85"/>
    </row>
    <row r="868" spans="11:11" x14ac:dyDescent="0.25">
      <c r="K868" s="85"/>
    </row>
    <row r="869" spans="11:11" x14ac:dyDescent="0.25">
      <c r="K869" s="85"/>
    </row>
    <row r="870" spans="11:11" x14ac:dyDescent="0.25">
      <c r="K870" s="85"/>
    </row>
    <row r="871" spans="11:11" x14ac:dyDescent="0.25">
      <c r="K871" s="85"/>
    </row>
    <row r="872" spans="11:11" x14ac:dyDescent="0.25">
      <c r="K872" s="85"/>
    </row>
    <row r="873" spans="11:11" x14ac:dyDescent="0.25">
      <c r="K873" s="85"/>
    </row>
    <row r="874" spans="11:11" x14ac:dyDescent="0.25">
      <c r="K874" s="85"/>
    </row>
    <row r="875" spans="11:11" x14ac:dyDescent="0.25">
      <c r="K875" s="85"/>
    </row>
    <row r="876" spans="11:11" x14ac:dyDescent="0.25">
      <c r="K876" s="85"/>
    </row>
    <row r="877" spans="11:11" x14ac:dyDescent="0.25">
      <c r="K877" s="85"/>
    </row>
    <row r="878" spans="11:11" x14ac:dyDescent="0.25">
      <c r="K878" s="85"/>
    </row>
    <row r="879" spans="11:11" x14ac:dyDescent="0.25">
      <c r="K879" s="85"/>
    </row>
    <row r="880" spans="11:11" x14ac:dyDescent="0.25">
      <c r="K880" s="85"/>
    </row>
    <row r="881" spans="11:11" x14ac:dyDescent="0.25">
      <c r="K881" s="85"/>
    </row>
    <row r="882" spans="11:11" x14ac:dyDescent="0.25">
      <c r="K882" s="85"/>
    </row>
    <row r="883" spans="11:11" x14ac:dyDescent="0.25">
      <c r="K883" s="85"/>
    </row>
    <row r="884" spans="11:11" x14ac:dyDescent="0.25">
      <c r="K884" s="85"/>
    </row>
    <row r="885" spans="11:11" x14ac:dyDescent="0.25">
      <c r="K885" s="85"/>
    </row>
    <row r="886" spans="11:11" x14ac:dyDescent="0.25">
      <c r="K886" s="85"/>
    </row>
    <row r="887" spans="11:11" x14ac:dyDescent="0.25">
      <c r="K887" s="85"/>
    </row>
    <row r="888" spans="11:11" x14ac:dyDescent="0.25">
      <c r="K888" s="85"/>
    </row>
    <row r="889" spans="11:11" x14ac:dyDescent="0.25">
      <c r="K889" s="85"/>
    </row>
    <row r="890" spans="11:11" x14ac:dyDescent="0.25">
      <c r="K890" s="85"/>
    </row>
    <row r="891" spans="11:11" x14ac:dyDescent="0.25">
      <c r="K891" s="85"/>
    </row>
    <row r="892" spans="11:11" x14ac:dyDescent="0.25">
      <c r="K892" s="85"/>
    </row>
    <row r="893" spans="11:11" x14ac:dyDescent="0.25">
      <c r="K893" s="85"/>
    </row>
    <row r="894" spans="11:11" x14ac:dyDescent="0.25">
      <c r="K894" s="85"/>
    </row>
    <row r="895" spans="11:11" x14ac:dyDescent="0.25">
      <c r="K895" s="85"/>
    </row>
    <row r="896" spans="11:11" x14ac:dyDescent="0.25">
      <c r="K896" s="85"/>
    </row>
    <row r="897" spans="11:11" x14ac:dyDescent="0.25">
      <c r="K897" s="85"/>
    </row>
    <row r="898" spans="11:11" x14ac:dyDescent="0.25">
      <c r="K898" s="85"/>
    </row>
    <row r="899" spans="11:11" x14ac:dyDescent="0.25">
      <c r="K899" s="85"/>
    </row>
    <row r="900" spans="11:11" x14ac:dyDescent="0.25">
      <c r="K900" s="85"/>
    </row>
    <row r="901" spans="11:11" x14ac:dyDescent="0.25">
      <c r="K901" s="85"/>
    </row>
    <row r="902" spans="11:11" x14ac:dyDescent="0.25">
      <c r="K902" s="85"/>
    </row>
    <row r="903" spans="11:11" x14ac:dyDescent="0.25">
      <c r="K903" s="85"/>
    </row>
    <row r="904" spans="11:11" x14ac:dyDescent="0.25">
      <c r="K904" s="85"/>
    </row>
    <row r="905" spans="11:11" x14ac:dyDescent="0.25">
      <c r="K905" s="85"/>
    </row>
    <row r="906" spans="11:11" x14ac:dyDescent="0.25">
      <c r="K906" s="85"/>
    </row>
    <row r="907" spans="11:11" x14ac:dyDescent="0.25">
      <c r="K907" s="85"/>
    </row>
    <row r="908" spans="11:11" x14ac:dyDescent="0.25">
      <c r="K908" s="85"/>
    </row>
    <row r="909" spans="11:11" x14ac:dyDescent="0.25">
      <c r="K909" s="85"/>
    </row>
    <row r="910" spans="11:11" x14ac:dyDescent="0.25">
      <c r="K910" s="85"/>
    </row>
    <row r="911" spans="11:11" x14ac:dyDescent="0.25">
      <c r="K911" s="85"/>
    </row>
    <row r="912" spans="11:11" x14ac:dyDescent="0.25">
      <c r="K912" s="85"/>
    </row>
    <row r="913" spans="11:11" x14ac:dyDescent="0.25">
      <c r="K913" s="85"/>
    </row>
    <row r="914" spans="11:11" x14ac:dyDescent="0.25">
      <c r="K914" s="85"/>
    </row>
    <row r="915" spans="11:11" x14ac:dyDescent="0.25">
      <c r="K915" s="85"/>
    </row>
    <row r="916" spans="11:11" x14ac:dyDescent="0.25">
      <c r="K916" s="85"/>
    </row>
    <row r="917" spans="11:11" x14ac:dyDescent="0.25">
      <c r="K917" s="85"/>
    </row>
    <row r="918" spans="11:11" x14ac:dyDescent="0.25">
      <c r="K918" s="85"/>
    </row>
    <row r="919" spans="11:11" x14ac:dyDescent="0.25">
      <c r="K919" s="85"/>
    </row>
    <row r="920" spans="11:11" x14ac:dyDescent="0.25">
      <c r="K920" s="85"/>
    </row>
    <row r="921" spans="11:11" x14ac:dyDescent="0.25">
      <c r="K921" s="85"/>
    </row>
    <row r="922" spans="11:11" x14ac:dyDescent="0.25">
      <c r="K922" s="85"/>
    </row>
    <row r="923" spans="11:11" x14ac:dyDescent="0.25">
      <c r="K923" s="85"/>
    </row>
    <row r="924" spans="11:11" x14ac:dyDescent="0.25">
      <c r="K924" s="85"/>
    </row>
    <row r="925" spans="11:11" x14ac:dyDescent="0.25">
      <c r="K925" s="85"/>
    </row>
    <row r="926" spans="11:11" x14ac:dyDescent="0.25">
      <c r="K926" s="85"/>
    </row>
    <row r="927" spans="11:11" x14ac:dyDescent="0.25">
      <c r="K927" s="85"/>
    </row>
    <row r="928" spans="11:11" x14ac:dyDescent="0.25">
      <c r="K928" s="85"/>
    </row>
    <row r="929" spans="11:11" x14ac:dyDescent="0.25">
      <c r="K929" s="85"/>
    </row>
    <row r="930" spans="11:11" x14ac:dyDescent="0.25">
      <c r="K930" s="85"/>
    </row>
    <row r="931" spans="11:11" x14ac:dyDescent="0.25">
      <c r="K931" s="85"/>
    </row>
    <row r="932" spans="11:11" x14ac:dyDescent="0.25">
      <c r="K932" s="85"/>
    </row>
    <row r="933" spans="11:11" x14ac:dyDescent="0.25">
      <c r="K933" s="85"/>
    </row>
    <row r="934" spans="11:11" x14ac:dyDescent="0.25">
      <c r="K934" s="85"/>
    </row>
    <row r="935" spans="11:11" x14ac:dyDescent="0.25">
      <c r="K935" s="85"/>
    </row>
    <row r="936" spans="11:11" x14ac:dyDescent="0.25">
      <c r="K936" s="85"/>
    </row>
    <row r="937" spans="11:11" x14ac:dyDescent="0.25">
      <c r="K937" s="85"/>
    </row>
    <row r="938" spans="11:11" x14ac:dyDescent="0.25">
      <c r="K938" s="85"/>
    </row>
    <row r="939" spans="11:11" x14ac:dyDescent="0.25">
      <c r="K939" s="85"/>
    </row>
    <row r="940" spans="11:11" x14ac:dyDescent="0.25">
      <c r="K940" s="85"/>
    </row>
    <row r="941" spans="11:11" x14ac:dyDescent="0.25">
      <c r="K941" s="85"/>
    </row>
    <row r="942" spans="11:11" x14ac:dyDescent="0.25">
      <c r="K942" s="85"/>
    </row>
    <row r="943" spans="11:11" x14ac:dyDescent="0.25">
      <c r="K943" s="85"/>
    </row>
    <row r="944" spans="11:11" x14ac:dyDescent="0.25">
      <c r="K944" s="85"/>
    </row>
    <row r="945" spans="11:11" x14ac:dyDescent="0.25">
      <c r="K945" s="85"/>
    </row>
    <row r="946" spans="11:11" x14ac:dyDescent="0.25">
      <c r="K946" s="85"/>
    </row>
    <row r="947" spans="11:11" x14ac:dyDescent="0.25">
      <c r="K947" s="85"/>
    </row>
    <row r="948" spans="11:11" x14ac:dyDescent="0.25">
      <c r="K948" s="85"/>
    </row>
    <row r="949" spans="11:11" x14ac:dyDescent="0.25">
      <c r="K949" s="85"/>
    </row>
    <row r="950" spans="11:11" x14ac:dyDescent="0.25">
      <c r="K950" s="85"/>
    </row>
    <row r="951" spans="11:11" x14ac:dyDescent="0.25">
      <c r="K951" s="85"/>
    </row>
    <row r="952" spans="11:11" x14ac:dyDescent="0.25">
      <c r="K952" s="85"/>
    </row>
    <row r="953" spans="11:11" x14ac:dyDescent="0.25">
      <c r="K953" s="85"/>
    </row>
    <row r="954" spans="11:11" x14ac:dyDescent="0.25">
      <c r="K954" s="85"/>
    </row>
    <row r="955" spans="11:11" x14ac:dyDescent="0.25">
      <c r="K955" s="85"/>
    </row>
    <row r="956" spans="11:11" x14ac:dyDescent="0.25">
      <c r="K956" s="85"/>
    </row>
    <row r="957" spans="11:11" x14ac:dyDescent="0.25">
      <c r="K957" s="85"/>
    </row>
    <row r="958" spans="11:11" x14ac:dyDescent="0.25">
      <c r="K958" s="85"/>
    </row>
    <row r="959" spans="11:11" x14ac:dyDescent="0.25">
      <c r="K959" s="85"/>
    </row>
    <row r="960" spans="11:11" x14ac:dyDescent="0.25">
      <c r="K960" s="85"/>
    </row>
    <row r="961" spans="11:11" x14ac:dyDescent="0.25">
      <c r="K961" s="85"/>
    </row>
  </sheetData>
  <sortState xmlns:xlrd2="http://schemas.microsoft.com/office/spreadsheetml/2017/richdata2" ref="A2:L961">
    <sortCondition ref="I2:I961"/>
    <sortCondition ref="K2:K961"/>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92AF-EAD7-4218-A8DF-F4F8B8B6E220}">
  <sheetPr>
    <tabColor theme="9" tint="0.39997558519241921"/>
  </sheetPr>
  <dimension ref="A1:S2305"/>
  <sheetViews>
    <sheetView workbookViewId="0"/>
  </sheetViews>
  <sheetFormatPr defaultRowHeight="15" x14ac:dyDescent="0.25"/>
  <cols>
    <col min="1" max="4" width="8.85546875" style="6"/>
    <col min="5" max="5" width="8.85546875"/>
    <col min="6" max="9" width="8.85546875" style="6"/>
    <col min="10" max="11" width="13.5703125" customWidth="1"/>
    <col min="12" max="12" width="11.42578125"/>
  </cols>
  <sheetData>
    <row r="1" spans="1:19" ht="45" x14ac:dyDescent="0.25">
      <c r="A1" s="53" t="s">
        <v>44</v>
      </c>
      <c r="B1" s="53" t="s">
        <v>45</v>
      </c>
      <c r="C1" s="53" t="s">
        <v>46</v>
      </c>
      <c r="D1" s="53" t="s">
        <v>47</v>
      </c>
      <c r="E1" s="53" t="s">
        <v>48</v>
      </c>
      <c r="F1" s="53" t="s">
        <v>50</v>
      </c>
      <c r="G1" s="53" t="s">
        <v>51</v>
      </c>
      <c r="H1" s="53" t="s">
        <v>49</v>
      </c>
      <c r="I1" s="53" t="s">
        <v>54</v>
      </c>
      <c r="J1" s="53" t="s">
        <v>150</v>
      </c>
      <c r="K1" s="4" t="s">
        <v>151</v>
      </c>
      <c r="L1" s="1" t="s">
        <v>553</v>
      </c>
      <c r="M1" s="4" t="s">
        <v>552</v>
      </c>
      <c r="N1" s="87" t="s">
        <v>159</v>
      </c>
      <c r="O1" s="87" t="s">
        <v>160</v>
      </c>
      <c r="P1" s="87" t="s">
        <v>161</v>
      </c>
      <c r="Q1" s="87" t="s">
        <v>162</v>
      </c>
      <c r="R1" s="87" t="s">
        <v>163</v>
      </c>
      <c r="S1" s="4"/>
    </row>
    <row r="2" spans="1:19" s="27" customFormat="1" x14ac:dyDescent="0.25">
      <c r="A2" t="s">
        <v>24</v>
      </c>
      <c r="B2" s="61"/>
      <c r="C2" s="61"/>
      <c r="D2" t="s">
        <v>28</v>
      </c>
      <c r="E2">
        <v>1998</v>
      </c>
      <c r="F2">
        <v>1</v>
      </c>
      <c r="G2">
        <v>1</v>
      </c>
      <c r="H2">
        <v>1</v>
      </c>
      <c r="I2">
        <v>101</v>
      </c>
      <c r="J2" s="61"/>
      <c r="K2" s="13">
        <v>45796</v>
      </c>
      <c r="L2" t="s">
        <v>687</v>
      </c>
      <c r="M2">
        <v>5.0999999999999996</v>
      </c>
    </row>
    <row r="3" spans="1:19" s="27" customFormat="1" x14ac:dyDescent="0.25">
      <c r="A3" t="s">
        <v>24</v>
      </c>
      <c r="B3" s="61"/>
      <c r="C3" s="61"/>
      <c r="D3" t="s">
        <v>28</v>
      </c>
      <c r="E3">
        <v>1998</v>
      </c>
      <c r="F3">
        <v>1</v>
      </c>
      <c r="G3">
        <v>1</v>
      </c>
      <c r="H3">
        <v>1</v>
      </c>
      <c r="I3">
        <v>101</v>
      </c>
      <c r="J3" s="61"/>
      <c r="K3" s="13">
        <v>45796</v>
      </c>
      <c r="L3" t="s">
        <v>688</v>
      </c>
      <c r="M3">
        <v>5.2</v>
      </c>
    </row>
    <row r="4" spans="1:19" s="27" customFormat="1" x14ac:dyDescent="0.25">
      <c r="A4" t="s">
        <v>24</v>
      </c>
      <c r="B4" s="61"/>
      <c r="C4" s="61"/>
      <c r="D4" t="s">
        <v>28</v>
      </c>
      <c r="E4">
        <v>1998</v>
      </c>
      <c r="F4">
        <v>1</v>
      </c>
      <c r="G4">
        <v>1</v>
      </c>
      <c r="H4">
        <v>1</v>
      </c>
      <c r="I4">
        <v>101</v>
      </c>
      <c r="J4" s="61"/>
      <c r="K4" s="13">
        <v>45796</v>
      </c>
      <c r="L4" t="s">
        <v>689</v>
      </c>
      <c r="M4">
        <v>5.2</v>
      </c>
    </row>
    <row r="5" spans="1:19" s="27" customFormat="1" x14ac:dyDescent="0.25">
      <c r="A5" t="s">
        <v>24</v>
      </c>
      <c r="B5" s="61"/>
      <c r="C5" s="61"/>
      <c r="D5" t="s">
        <v>28</v>
      </c>
      <c r="E5">
        <v>1998</v>
      </c>
      <c r="F5">
        <v>1</v>
      </c>
      <c r="G5">
        <v>1</v>
      </c>
      <c r="H5">
        <v>1</v>
      </c>
      <c r="I5">
        <v>101</v>
      </c>
      <c r="J5" s="61"/>
      <c r="K5" s="13">
        <v>45820</v>
      </c>
      <c r="L5" t="s">
        <v>687</v>
      </c>
      <c r="M5"/>
    </row>
    <row r="6" spans="1:19" s="27" customFormat="1" x14ac:dyDescent="0.25">
      <c r="A6" t="s">
        <v>24</v>
      </c>
      <c r="B6" s="61"/>
      <c r="C6" s="61"/>
      <c r="D6" t="s">
        <v>28</v>
      </c>
      <c r="E6">
        <v>1998</v>
      </c>
      <c r="F6">
        <v>1</v>
      </c>
      <c r="G6">
        <v>1</v>
      </c>
      <c r="H6">
        <v>1</v>
      </c>
      <c r="I6">
        <v>101</v>
      </c>
      <c r="J6" s="61"/>
      <c r="K6" s="13">
        <v>45820</v>
      </c>
      <c r="L6" t="s">
        <v>688</v>
      </c>
      <c r="M6"/>
    </row>
    <row r="7" spans="1:19" s="27" customFormat="1" x14ac:dyDescent="0.25">
      <c r="A7" t="s">
        <v>24</v>
      </c>
      <c r="B7" s="61"/>
      <c r="C7" s="61"/>
      <c r="D7" t="s">
        <v>28</v>
      </c>
      <c r="E7">
        <v>1998</v>
      </c>
      <c r="F7">
        <v>1</v>
      </c>
      <c r="G7">
        <v>1</v>
      </c>
      <c r="H7">
        <v>1</v>
      </c>
      <c r="I7">
        <v>101</v>
      </c>
      <c r="J7" s="61"/>
      <c r="K7" s="13">
        <v>45820</v>
      </c>
      <c r="L7" t="s">
        <v>689</v>
      </c>
      <c r="M7"/>
    </row>
    <row r="8" spans="1:19" s="27" customFormat="1" x14ac:dyDescent="0.25">
      <c r="A8" t="s">
        <v>24</v>
      </c>
      <c r="B8" s="61"/>
      <c r="C8" s="61"/>
      <c r="D8" t="s">
        <v>28</v>
      </c>
      <c r="E8">
        <v>1998</v>
      </c>
      <c r="F8">
        <v>1</v>
      </c>
      <c r="G8">
        <v>1</v>
      </c>
      <c r="H8">
        <v>1</v>
      </c>
      <c r="I8">
        <v>101</v>
      </c>
      <c r="J8" s="61"/>
      <c r="K8" s="13">
        <v>45825</v>
      </c>
      <c r="L8" t="s">
        <v>687</v>
      </c>
      <c r="M8">
        <v>6.5</v>
      </c>
    </row>
    <row r="9" spans="1:19" s="27" customFormat="1" x14ac:dyDescent="0.25">
      <c r="A9" t="s">
        <v>24</v>
      </c>
      <c r="B9" s="61"/>
      <c r="C9" s="61"/>
      <c r="D9" t="s">
        <v>28</v>
      </c>
      <c r="E9">
        <v>1998</v>
      </c>
      <c r="F9">
        <v>1</v>
      </c>
      <c r="G9">
        <v>1</v>
      </c>
      <c r="H9">
        <v>1</v>
      </c>
      <c r="I9">
        <v>101</v>
      </c>
      <c r="J9" s="61"/>
      <c r="K9" s="13">
        <v>45825</v>
      </c>
      <c r="L9" t="s">
        <v>688</v>
      </c>
      <c r="M9">
        <v>6.5</v>
      </c>
    </row>
    <row r="10" spans="1:19" x14ac:dyDescent="0.25">
      <c r="A10" t="s">
        <v>24</v>
      </c>
      <c r="D10" t="s">
        <v>28</v>
      </c>
      <c r="E10">
        <v>1998</v>
      </c>
      <c r="F10">
        <v>1</v>
      </c>
      <c r="G10">
        <v>1</v>
      </c>
      <c r="H10">
        <v>1</v>
      </c>
      <c r="I10">
        <v>101</v>
      </c>
      <c r="J10" s="6"/>
      <c r="K10" s="13">
        <v>45825</v>
      </c>
      <c r="L10" t="s">
        <v>689</v>
      </c>
      <c r="M10">
        <v>6.5</v>
      </c>
    </row>
    <row r="11" spans="1:19" x14ac:dyDescent="0.25">
      <c r="A11" t="s">
        <v>24</v>
      </c>
      <c r="D11" t="s">
        <v>28</v>
      </c>
      <c r="E11">
        <v>1998</v>
      </c>
      <c r="F11">
        <v>1</v>
      </c>
      <c r="G11">
        <v>1</v>
      </c>
      <c r="H11">
        <v>1</v>
      </c>
      <c r="I11">
        <v>101</v>
      </c>
      <c r="J11" s="6"/>
      <c r="K11" s="13">
        <v>45827</v>
      </c>
      <c r="L11" t="s">
        <v>687</v>
      </c>
    </row>
    <row r="12" spans="1:19" x14ac:dyDescent="0.25">
      <c r="A12" t="s">
        <v>24</v>
      </c>
      <c r="D12" t="s">
        <v>28</v>
      </c>
      <c r="E12">
        <v>1998</v>
      </c>
      <c r="F12">
        <v>1</v>
      </c>
      <c r="G12">
        <v>1</v>
      </c>
      <c r="H12">
        <v>1</v>
      </c>
      <c r="I12">
        <v>101</v>
      </c>
      <c r="J12" s="6"/>
      <c r="K12" s="13">
        <v>45827</v>
      </c>
      <c r="L12" t="s">
        <v>688</v>
      </c>
    </row>
    <row r="13" spans="1:19" x14ac:dyDescent="0.25">
      <c r="A13" t="s">
        <v>24</v>
      </c>
      <c r="D13" t="s">
        <v>28</v>
      </c>
      <c r="E13">
        <v>1998</v>
      </c>
      <c r="F13">
        <v>1</v>
      </c>
      <c r="G13">
        <v>1</v>
      </c>
      <c r="H13">
        <v>1</v>
      </c>
      <c r="I13">
        <v>101</v>
      </c>
      <c r="J13" s="6"/>
      <c r="K13" s="13">
        <v>45827</v>
      </c>
      <c r="L13" t="s">
        <v>689</v>
      </c>
    </row>
    <row r="14" spans="1:19" x14ac:dyDescent="0.25">
      <c r="A14" t="s">
        <v>24</v>
      </c>
      <c r="D14" t="s">
        <v>28</v>
      </c>
      <c r="E14">
        <v>1998</v>
      </c>
      <c r="F14">
        <v>1</v>
      </c>
      <c r="G14">
        <v>1</v>
      </c>
      <c r="H14">
        <v>1</v>
      </c>
      <c r="I14">
        <v>101</v>
      </c>
      <c r="J14" s="6"/>
      <c r="K14" s="13">
        <v>45859</v>
      </c>
      <c r="L14" t="s">
        <v>687</v>
      </c>
      <c r="M14">
        <v>8.8000000000000007</v>
      </c>
    </row>
    <row r="15" spans="1:19" x14ac:dyDescent="0.25">
      <c r="A15" t="s">
        <v>24</v>
      </c>
      <c r="D15" t="s">
        <v>28</v>
      </c>
      <c r="E15">
        <v>1998</v>
      </c>
      <c r="F15">
        <v>1</v>
      </c>
      <c r="G15">
        <v>1</v>
      </c>
      <c r="H15">
        <v>1</v>
      </c>
      <c r="I15">
        <v>101</v>
      </c>
      <c r="J15" s="6"/>
      <c r="K15" s="13">
        <v>45859</v>
      </c>
      <c r="L15" t="s">
        <v>688</v>
      </c>
      <c r="M15">
        <v>8.6999999999999993</v>
      </c>
    </row>
    <row r="16" spans="1:19" x14ac:dyDescent="0.25">
      <c r="A16" t="s">
        <v>24</v>
      </c>
      <c r="D16" t="s">
        <v>28</v>
      </c>
      <c r="E16">
        <v>1998</v>
      </c>
      <c r="F16">
        <v>1</v>
      </c>
      <c r="G16">
        <v>1</v>
      </c>
      <c r="H16">
        <v>1</v>
      </c>
      <c r="I16">
        <v>101</v>
      </c>
      <c r="J16" s="6"/>
      <c r="K16" s="13">
        <v>45859</v>
      </c>
      <c r="L16" t="s">
        <v>689</v>
      </c>
      <c r="M16">
        <v>8.6999999999999993</v>
      </c>
    </row>
    <row r="17" spans="1:13" x14ac:dyDescent="0.25">
      <c r="A17" t="s">
        <v>24</v>
      </c>
      <c r="D17" t="s">
        <v>28</v>
      </c>
      <c r="E17">
        <v>1998</v>
      </c>
      <c r="F17">
        <v>1</v>
      </c>
      <c r="G17">
        <v>1</v>
      </c>
      <c r="H17">
        <v>1</v>
      </c>
      <c r="I17">
        <v>101</v>
      </c>
      <c r="J17" s="6"/>
      <c r="K17" s="13">
        <v>45868</v>
      </c>
      <c r="L17" t="s">
        <v>687</v>
      </c>
      <c r="M17">
        <v>9.5</v>
      </c>
    </row>
    <row r="18" spans="1:13" s="27" customFormat="1" x14ac:dyDescent="0.25">
      <c r="A18" t="s">
        <v>24</v>
      </c>
      <c r="B18" s="61"/>
      <c r="C18" s="61"/>
      <c r="D18" t="s">
        <v>28</v>
      </c>
      <c r="E18">
        <v>1998</v>
      </c>
      <c r="F18">
        <v>1</v>
      </c>
      <c r="G18">
        <v>1</v>
      </c>
      <c r="H18">
        <v>1</v>
      </c>
      <c r="I18">
        <v>101</v>
      </c>
      <c r="J18" s="61"/>
      <c r="K18" s="13">
        <v>45868</v>
      </c>
      <c r="L18" t="s">
        <v>688</v>
      </c>
      <c r="M18">
        <v>9.6</v>
      </c>
    </row>
    <row r="19" spans="1:13" s="27" customFormat="1" x14ac:dyDescent="0.25">
      <c r="A19" t="s">
        <v>24</v>
      </c>
      <c r="B19" s="61"/>
      <c r="C19" s="61"/>
      <c r="D19" t="s">
        <v>28</v>
      </c>
      <c r="E19">
        <v>1998</v>
      </c>
      <c r="F19">
        <v>1</v>
      </c>
      <c r="G19">
        <v>1</v>
      </c>
      <c r="H19">
        <v>1</v>
      </c>
      <c r="I19">
        <v>101</v>
      </c>
      <c r="J19" s="61"/>
      <c r="K19" s="13">
        <v>45868</v>
      </c>
      <c r="L19" t="s">
        <v>689</v>
      </c>
      <c r="M19">
        <v>9.6</v>
      </c>
    </row>
    <row r="20" spans="1:13" s="27" customFormat="1" x14ac:dyDescent="0.25">
      <c r="A20" t="s">
        <v>24</v>
      </c>
      <c r="B20" s="61"/>
      <c r="C20" s="61"/>
      <c r="D20" t="s">
        <v>28</v>
      </c>
      <c r="E20">
        <v>1998</v>
      </c>
      <c r="F20">
        <v>1</v>
      </c>
      <c r="G20">
        <v>1</v>
      </c>
      <c r="H20">
        <v>1</v>
      </c>
      <c r="I20">
        <v>101</v>
      </c>
      <c r="J20" s="61"/>
      <c r="K20" s="13">
        <v>45875</v>
      </c>
      <c r="L20" t="s">
        <v>687</v>
      </c>
      <c r="M20">
        <v>10.199999999999999</v>
      </c>
    </row>
    <row r="21" spans="1:13" s="27" customFormat="1" x14ac:dyDescent="0.25">
      <c r="A21" t="s">
        <v>24</v>
      </c>
      <c r="B21" s="61"/>
      <c r="C21" s="61"/>
      <c r="D21" t="s">
        <v>28</v>
      </c>
      <c r="E21">
        <v>1998</v>
      </c>
      <c r="F21">
        <v>1</v>
      </c>
      <c r="G21">
        <v>1</v>
      </c>
      <c r="H21">
        <v>1</v>
      </c>
      <c r="I21">
        <v>101</v>
      </c>
      <c r="J21" s="61"/>
      <c r="K21" s="13">
        <v>45875</v>
      </c>
      <c r="L21" t="s">
        <v>688</v>
      </c>
      <c r="M21">
        <v>10.1</v>
      </c>
    </row>
    <row r="22" spans="1:13" s="27" customFormat="1" x14ac:dyDescent="0.25">
      <c r="A22" t="s">
        <v>24</v>
      </c>
      <c r="B22" s="61"/>
      <c r="C22" s="61"/>
      <c r="D22" t="s">
        <v>28</v>
      </c>
      <c r="E22">
        <v>1998</v>
      </c>
      <c r="F22">
        <v>1</v>
      </c>
      <c r="G22">
        <v>1</v>
      </c>
      <c r="H22">
        <v>1</v>
      </c>
      <c r="I22">
        <v>101</v>
      </c>
      <c r="J22" s="61"/>
      <c r="K22" s="13">
        <v>45875</v>
      </c>
      <c r="L22" t="s">
        <v>689</v>
      </c>
      <c r="M22">
        <v>10.1</v>
      </c>
    </row>
    <row r="23" spans="1:13" s="27" customFormat="1" x14ac:dyDescent="0.25">
      <c r="A23" t="s">
        <v>24</v>
      </c>
      <c r="B23" s="61"/>
      <c r="C23" s="61"/>
      <c r="D23" t="s">
        <v>28</v>
      </c>
      <c r="E23">
        <v>1998</v>
      </c>
      <c r="F23">
        <v>1</v>
      </c>
      <c r="G23">
        <v>1</v>
      </c>
      <c r="H23">
        <v>1</v>
      </c>
      <c r="I23">
        <v>101</v>
      </c>
      <c r="J23" s="61"/>
      <c r="K23" s="13">
        <v>45880</v>
      </c>
      <c r="L23" t="s">
        <v>687</v>
      </c>
      <c r="M23"/>
    </row>
    <row r="24" spans="1:13" s="27" customFormat="1" x14ac:dyDescent="0.25">
      <c r="A24" t="s">
        <v>24</v>
      </c>
      <c r="B24" s="61"/>
      <c r="C24" s="61"/>
      <c r="D24" t="s">
        <v>28</v>
      </c>
      <c r="E24">
        <v>1998</v>
      </c>
      <c r="F24">
        <v>1</v>
      </c>
      <c r="G24">
        <v>1</v>
      </c>
      <c r="H24">
        <v>1</v>
      </c>
      <c r="I24">
        <v>101</v>
      </c>
      <c r="J24" s="61"/>
      <c r="K24" s="13">
        <v>45880</v>
      </c>
      <c r="L24" t="s">
        <v>688</v>
      </c>
      <c r="M24"/>
    </row>
    <row r="25" spans="1:13" s="27" customFormat="1" x14ac:dyDescent="0.25">
      <c r="A25" t="s">
        <v>24</v>
      </c>
      <c r="B25" s="61"/>
      <c r="C25" s="61"/>
      <c r="D25" t="s">
        <v>28</v>
      </c>
      <c r="E25">
        <v>1998</v>
      </c>
      <c r="F25">
        <v>1</v>
      </c>
      <c r="G25">
        <v>1</v>
      </c>
      <c r="H25">
        <v>1</v>
      </c>
      <c r="I25">
        <v>101</v>
      </c>
      <c r="J25" s="61"/>
      <c r="K25" s="13">
        <v>45880</v>
      </c>
      <c r="L25" t="s">
        <v>689</v>
      </c>
      <c r="M25"/>
    </row>
    <row r="26" spans="1:13" x14ac:dyDescent="0.25">
      <c r="A26" t="s">
        <v>24</v>
      </c>
      <c r="B26" s="54"/>
      <c r="C26" s="55"/>
      <c r="D26" t="s">
        <v>28</v>
      </c>
      <c r="E26">
        <v>1998</v>
      </c>
      <c r="F26">
        <v>1</v>
      </c>
      <c r="G26">
        <v>1</v>
      </c>
      <c r="H26">
        <v>1</v>
      </c>
      <c r="I26">
        <v>101</v>
      </c>
      <c r="J26" s="6"/>
      <c r="K26" s="13">
        <v>45897</v>
      </c>
      <c r="L26" t="s">
        <v>687</v>
      </c>
      <c r="M26">
        <v>11.8</v>
      </c>
    </row>
    <row r="27" spans="1:13" x14ac:dyDescent="0.25">
      <c r="A27" t="s">
        <v>24</v>
      </c>
      <c r="D27" t="s">
        <v>28</v>
      </c>
      <c r="E27">
        <v>1998</v>
      </c>
      <c r="F27">
        <v>1</v>
      </c>
      <c r="G27">
        <v>1</v>
      </c>
      <c r="H27">
        <v>1</v>
      </c>
      <c r="I27">
        <v>101</v>
      </c>
      <c r="J27" s="6"/>
      <c r="K27" s="13">
        <v>45897</v>
      </c>
      <c r="L27" t="s">
        <v>688</v>
      </c>
      <c r="M27">
        <v>11.9</v>
      </c>
    </row>
    <row r="28" spans="1:13" x14ac:dyDescent="0.25">
      <c r="A28" t="s">
        <v>24</v>
      </c>
      <c r="D28" t="s">
        <v>28</v>
      </c>
      <c r="E28">
        <v>1998</v>
      </c>
      <c r="F28">
        <v>1</v>
      </c>
      <c r="G28">
        <v>1</v>
      </c>
      <c r="H28">
        <v>1</v>
      </c>
      <c r="I28">
        <v>101</v>
      </c>
      <c r="J28" s="6"/>
      <c r="K28" s="13">
        <v>45897</v>
      </c>
      <c r="L28" t="s">
        <v>689</v>
      </c>
    </row>
    <row r="29" spans="1:13" x14ac:dyDescent="0.25">
      <c r="A29" t="s">
        <v>24</v>
      </c>
      <c r="D29" t="s">
        <v>28</v>
      </c>
      <c r="E29">
        <v>1998</v>
      </c>
      <c r="F29">
        <v>1</v>
      </c>
      <c r="G29">
        <v>1</v>
      </c>
      <c r="H29">
        <v>1</v>
      </c>
      <c r="I29">
        <v>101</v>
      </c>
      <c r="J29" s="6"/>
      <c r="K29" s="13">
        <v>45911</v>
      </c>
      <c r="L29" t="s">
        <v>687</v>
      </c>
      <c r="M29">
        <v>12.7</v>
      </c>
    </row>
    <row r="30" spans="1:13" x14ac:dyDescent="0.25">
      <c r="A30" t="s">
        <v>24</v>
      </c>
      <c r="D30" t="s">
        <v>28</v>
      </c>
      <c r="E30">
        <v>1998</v>
      </c>
      <c r="F30">
        <v>1</v>
      </c>
      <c r="G30">
        <v>1</v>
      </c>
      <c r="H30">
        <v>1</v>
      </c>
      <c r="I30">
        <v>101</v>
      </c>
      <c r="J30" s="6"/>
      <c r="K30" s="13">
        <v>45911</v>
      </c>
      <c r="L30" t="s">
        <v>688</v>
      </c>
      <c r="M30">
        <v>12.7</v>
      </c>
    </row>
    <row r="31" spans="1:13" x14ac:dyDescent="0.25">
      <c r="A31" t="s">
        <v>24</v>
      </c>
      <c r="D31" t="s">
        <v>28</v>
      </c>
      <c r="E31">
        <v>1998</v>
      </c>
      <c r="F31">
        <v>1</v>
      </c>
      <c r="G31">
        <v>1</v>
      </c>
      <c r="H31">
        <v>1</v>
      </c>
      <c r="I31">
        <v>101</v>
      </c>
      <c r="J31" s="6"/>
      <c r="K31" s="13">
        <v>45911</v>
      </c>
      <c r="L31" t="s">
        <v>689</v>
      </c>
    </row>
    <row r="32" spans="1:13" x14ac:dyDescent="0.25">
      <c r="A32" t="s">
        <v>24</v>
      </c>
      <c r="D32" t="s">
        <v>313</v>
      </c>
      <c r="E32">
        <v>2016</v>
      </c>
      <c r="F32">
        <v>2</v>
      </c>
      <c r="G32">
        <v>1</v>
      </c>
      <c r="H32">
        <v>1</v>
      </c>
      <c r="I32">
        <v>117</v>
      </c>
      <c r="J32" s="6"/>
      <c r="K32" s="13">
        <v>45796</v>
      </c>
      <c r="L32" t="s">
        <v>687</v>
      </c>
      <c r="M32">
        <v>5.5</v>
      </c>
    </row>
    <row r="33" spans="1:13" x14ac:dyDescent="0.25">
      <c r="A33" t="s">
        <v>24</v>
      </c>
      <c r="D33" t="s">
        <v>313</v>
      </c>
      <c r="E33">
        <v>2016</v>
      </c>
      <c r="F33">
        <v>2</v>
      </c>
      <c r="G33">
        <v>1</v>
      </c>
      <c r="H33">
        <v>1</v>
      </c>
      <c r="I33">
        <v>117</v>
      </c>
      <c r="J33" s="6"/>
      <c r="K33" s="13">
        <v>45796</v>
      </c>
      <c r="L33" t="s">
        <v>688</v>
      </c>
      <c r="M33">
        <v>5.2</v>
      </c>
    </row>
    <row r="34" spans="1:13" s="27" customFormat="1" x14ac:dyDescent="0.25">
      <c r="A34" t="s">
        <v>24</v>
      </c>
      <c r="B34" s="61"/>
      <c r="C34" s="61"/>
      <c r="D34" t="s">
        <v>313</v>
      </c>
      <c r="E34">
        <v>2016</v>
      </c>
      <c r="F34">
        <v>2</v>
      </c>
      <c r="G34">
        <v>1</v>
      </c>
      <c r="H34">
        <v>1</v>
      </c>
      <c r="I34">
        <v>117</v>
      </c>
      <c r="J34" s="61"/>
      <c r="K34" s="13">
        <v>45796</v>
      </c>
      <c r="L34" t="s">
        <v>689</v>
      </c>
      <c r="M34">
        <v>5.0999999999999996</v>
      </c>
    </row>
    <row r="35" spans="1:13" s="27" customFormat="1" x14ac:dyDescent="0.25">
      <c r="A35" t="s">
        <v>24</v>
      </c>
      <c r="B35" s="61"/>
      <c r="C35" s="61"/>
      <c r="D35" t="s">
        <v>313</v>
      </c>
      <c r="E35">
        <v>2016</v>
      </c>
      <c r="F35">
        <v>2</v>
      </c>
      <c r="G35">
        <v>1</v>
      </c>
      <c r="H35">
        <v>1</v>
      </c>
      <c r="I35">
        <v>117</v>
      </c>
      <c r="J35" s="61"/>
      <c r="K35" s="13">
        <v>45820</v>
      </c>
      <c r="L35" t="s">
        <v>687</v>
      </c>
      <c r="M35"/>
    </row>
    <row r="36" spans="1:13" s="27" customFormat="1" x14ac:dyDescent="0.25">
      <c r="A36" t="s">
        <v>24</v>
      </c>
      <c r="B36" s="61"/>
      <c r="C36" s="61"/>
      <c r="D36" t="s">
        <v>313</v>
      </c>
      <c r="E36">
        <v>2016</v>
      </c>
      <c r="F36">
        <v>2</v>
      </c>
      <c r="G36">
        <v>1</v>
      </c>
      <c r="H36">
        <v>1</v>
      </c>
      <c r="I36">
        <v>117</v>
      </c>
      <c r="J36" s="61"/>
      <c r="K36" s="13">
        <v>45820</v>
      </c>
      <c r="L36" t="s">
        <v>688</v>
      </c>
      <c r="M36"/>
    </row>
    <row r="37" spans="1:13" s="27" customFormat="1" x14ac:dyDescent="0.25">
      <c r="A37" t="s">
        <v>24</v>
      </c>
      <c r="B37" s="61"/>
      <c r="C37" s="61"/>
      <c r="D37" t="s">
        <v>313</v>
      </c>
      <c r="E37">
        <v>2016</v>
      </c>
      <c r="F37">
        <v>2</v>
      </c>
      <c r="G37">
        <v>1</v>
      </c>
      <c r="H37">
        <v>1</v>
      </c>
      <c r="I37">
        <v>117</v>
      </c>
      <c r="J37" s="61"/>
      <c r="K37" s="13">
        <v>45820</v>
      </c>
      <c r="L37" t="s">
        <v>689</v>
      </c>
      <c r="M37"/>
    </row>
    <row r="38" spans="1:13" s="27" customFormat="1" x14ac:dyDescent="0.25">
      <c r="A38" t="s">
        <v>24</v>
      </c>
      <c r="B38" s="61"/>
      <c r="C38" s="61"/>
      <c r="D38" t="s">
        <v>313</v>
      </c>
      <c r="E38">
        <v>2016</v>
      </c>
      <c r="F38">
        <v>2</v>
      </c>
      <c r="G38">
        <v>1</v>
      </c>
      <c r="H38">
        <v>1</v>
      </c>
      <c r="I38">
        <v>117</v>
      </c>
      <c r="J38" s="61"/>
      <c r="K38" s="13">
        <v>45825</v>
      </c>
      <c r="L38" t="s">
        <v>687</v>
      </c>
      <c r="M38">
        <v>6.1</v>
      </c>
    </row>
    <row r="39" spans="1:13" s="27" customFormat="1" x14ac:dyDescent="0.25">
      <c r="A39" t="s">
        <v>24</v>
      </c>
      <c r="B39" s="61"/>
      <c r="C39" s="61"/>
      <c r="D39" t="s">
        <v>313</v>
      </c>
      <c r="E39">
        <v>2016</v>
      </c>
      <c r="F39">
        <v>2</v>
      </c>
      <c r="G39">
        <v>1</v>
      </c>
      <c r="H39">
        <v>1</v>
      </c>
      <c r="I39">
        <v>117</v>
      </c>
      <c r="J39" s="61"/>
      <c r="K39" s="13">
        <v>45825</v>
      </c>
      <c r="L39" t="s">
        <v>688</v>
      </c>
      <c r="M39">
        <v>6.3</v>
      </c>
    </row>
    <row r="40" spans="1:13" s="27" customFormat="1" x14ac:dyDescent="0.25">
      <c r="A40" t="s">
        <v>24</v>
      </c>
      <c r="B40" s="61"/>
      <c r="C40" s="61"/>
      <c r="D40" t="s">
        <v>313</v>
      </c>
      <c r="E40">
        <v>2016</v>
      </c>
      <c r="F40">
        <v>2</v>
      </c>
      <c r="G40">
        <v>1</v>
      </c>
      <c r="H40">
        <v>1</v>
      </c>
      <c r="I40">
        <v>117</v>
      </c>
      <c r="J40" s="61"/>
      <c r="K40" s="13">
        <v>45825</v>
      </c>
      <c r="L40" t="s">
        <v>689</v>
      </c>
      <c r="M40">
        <v>6.6</v>
      </c>
    </row>
    <row r="41" spans="1:13" s="27" customFormat="1" x14ac:dyDescent="0.25">
      <c r="A41" t="s">
        <v>24</v>
      </c>
      <c r="B41" s="61"/>
      <c r="C41" s="61"/>
      <c r="D41" t="s">
        <v>313</v>
      </c>
      <c r="E41">
        <v>2016</v>
      </c>
      <c r="F41">
        <v>2</v>
      </c>
      <c r="G41">
        <v>1</v>
      </c>
      <c r="H41">
        <v>1</v>
      </c>
      <c r="I41">
        <v>117</v>
      </c>
      <c r="J41" s="61"/>
      <c r="K41" s="13">
        <v>45827</v>
      </c>
      <c r="L41" t="s">
        <v>687</v>
      </c>
      <c r="M41"/>
    </row>
    <row r="42" spans="1:13" x14ac:dyDescent="0.25">
      <c r="A42" t="s">
        <v>24</v>
      </c>
      <c r="D42" t="s">
        <v>313</v>
      </c>
      <c r="E42">
        <v>2016</v>
      </c>
      <c r="F42">
        <v>2</v>
      </c>
      <c r="G42">
        <v>1</v>
      </c>
      <c r="H42">
        <v>1</v>
      </c>
      <c r="I42">
        <v>117</v>
      </c>
      <c r="J42" s="6"/>
      <c r="K42" s="13">
        <v>45827</v>
      </c>
      <c r="L42" t="s">
        <v>688</v>
      </c>
    </row>
    <row r="43" spans="1:13" x14ac:dyDescent="0.25">
      <c r="A43" t="s">
        <v>24</v>
      </c>
      <c r="D43" t="s">
        <v>313</v>
      </c>
      <c r="E43">
        <v>2016</v>
      </c>
      <c r="F43">
        <v>2</v>
      </c>
      <c r="G43">
        <v>1</v>
      </c>
      <c r="H43">
        <v>1</v>
      </c>
      <c r="I43">
        <v>117</v>
      </c>
      <c r="J43" s="6"/>
      <c r="K43" s="13">
        <v>45827</v>
      </c>
      <c r="L43" t="s">
        <v>689</v>
      </c>
    </row>
    <row r="44" spans="1:13" x14ac:dyDescent="0.25">
      <c r="A44" t="s">
        <v>24</v>
      </c>
      <c r="D44" t="s">
        <v>313</v>
      </c>
      <c r="E44">
        <v>2016</v>
      </c>
      <c r="F44">
        <v>2</v>
      </c>
      <c r="G44">
        <v>1</v>
      </c>
      <c r="H44">
        <v>1</v>
      </c>
      <c r="I44">
        <v>117</v>
      </c>
      <c r="J44" s="6"/>
      <c r="K44" s="13">
        <v>45859</v>
      </c>
      <c r="L44" t="s">
        <v>687</v>
      </c>
      <c r="M44">
        <v>8.1</v>
      </c>
    </row>
    <row r="45" spans="1:13" x14ac:dyDescent="0.25">
      <c r="A45" t="s">
        <v>24</v>
      </c>
      <c r="D45" t="s">
        <v>313</v>
      </c>
      <c r="E45">
        <v>2016</v>
      </c>
      <c r="F45">
        <v>2</v>
      </c>
      <c r="G45">
        <v>1</v>
      </c>
      <c r="H45">
        <v>1</v>
      </c>
      <c r="I45">
        <v>117</v>
      </c>
      <c r="J45" s="6"/>
      <c r="K45" s="13">
        <v>45859</v>
      </c>
      <c r="L45" t="s">
        <v>688</v>
      </c>
      <c r="M45">
        <v>9.6999999999999993</v>
      </c>
    </row>
    <row r="46" spans="1:13" x14ac:dyDescent="0.25">
      <c r="A46" t="s">
        <v>24</v>
      </c>
      <c r="D46" t="s">
        <v>313</v>
      </c>
      <c r="E46">
        <v>2016</v>
      </c>
      <c r="F46">
        <v>2</v>
      </c>
      <c r="G46">
        <v>1</v>
      </c>
      <c r="H46">
        <v>1</v>
      </c>
      <c r="I46">
        <v>117</v>
      </c>
      <c r="J46" s="6"/>
      <c r="K46" s="13">
        <v>45859</v>
      </c>
      <c r="L46" t="s">
        <v>689</v>
      </c>
      <c r="M46">
        <v>8.1999999999999993</v>
      </c>
    </row>
    <row r="47" spans="1:13" x14ac:dyDescent="0.25">
      <c r="A47" t="s">
        <v>24</v>
      </c>
      <c r="D47" t="s">
        <v>313</v>
      </c>
      <c r="E47">
        <v>2016</v>
      </c>
      <c r="F47">
        <v>2</v>
      </c>
      <c r="G47">
        <v>1</v>
      </c>
      <c r="H47">
        <v>1</v>
      </c>
      <c r="I47">
        <v>117</v>
      </c>
      <c r="J47" s="6"/>
      <c r="K47" s="13">
        <v>45868</v>
      </c>
      <c r="L47" t="s">
        <v>687</v>
      </c>
      <c r="M47">
        <v>10.5</v>
      </c>
    </row>
    <row r="48" spans="1:13" x14ac:dyDescent="0.25">
      <c r="A48" t="s">
        <v>24</v>
      </c>
      <c r="D48" t="s">
        <v>313</v>
      </c>
      <c r="E48">
        <v>2016</v>
      </c>
      <c r="F48">
        <v>2</v>
      </c>
      <c r="G48">
        <v>1</v>
      </c>
      <c r="H48">
        <v>1</v>
      </c>
      <c r="I48">
        <v>117</v>
      </c>
      <c r="J48" s="6"/>
      <c r="K48" s="13">
        <v>45868</v>
      </c>
      <c r="L48" t="s">
        <v>688</v>
      </c>
      <c r="M48">
        <v>8.8000000000000007</v>
      </c>
    </row>
    <row r="49" spans="1:13" x14ac:dyDescent="0.25">
      <c r="A49" t="s">
        <v>24</v>
      </c>
      <c r="D49" t="s">
        <v>313</v>
      </c>
      <c r="E49">
        <v>2016</v>
      </c>
      <c r="F49">
        <v>2</v>
      </c>
      <c r="G49">
        <v>1</v>
      </c>
      <c r="H49">
        <v>1</v>
      </c>
      <c r="I49">
        <v>117</v>
      </c>
      <c r="J49" s="6"/>
      <c r="K49" s="13">
        <v>45868</v>
      </c>
      <c r="L49" t="s">
        <v>689</v>
      </c>
      <c r="M49">
        <v>8.8000000000000007</v>
      </c>
    </row>
    <row r="50" spans="1:13" s="27" customFormat="1" x14ac:dyDescent="0.25">
      <c r="A50" t="s">
        <v>24</v>
      </c>
      <c r="B50" s="61"/>
      <c r="C50" s="61"/>
      <c r="D50" t="s">
        <v>313</v>
      </c>
      <c r="E50">
        <v>2016</v>
      </c>
      <c r="F50">
        <v>2</v>
      </c>
      <c r="G50">
        <v>1</v>
      </c>
      <c r="H50">
        <v>1</v>
      </c>
      <c r="I50">
        <v>117</v>
      </c>
      <c r="J50" s="61"/>
      <c r="K50" s="13">
        <v>45875</v>
      </c>
      <c r="L50" t="s">
        <v>687</v>
      </c>
      <c r="M50">
        <v>10.3</v>
      </c>
    </row>
    <row r="51" spans="1:13" s="27" customFormat="1" x14ac:dyDescent="0.25">
      <c r="A51" t="s">
        <v>24</v>
      </c>
      <c r="B51" s="61"/>
      <c r="C51" s="61"/>
      <c r="D51" t="s">
        <v>313</v>
      </c>
      <c r="E51">
        <v>2016</v>
      </c>
      <c r="F51">
        <v>2</v>
      </c>
      <c r="G51">
        <v>1</v>
      </c>
      <c r="H51">
        <v>1</v>
      </c>
      <c r="I51">
        <v>117</v>
      </c>
      <c r="J51" s="61"/>
      <c r="K51" s="13">
        <v>45875</v>
      </c>
      <c r="L51" t="s">
        <v>688</v>
      </c>
      <c r="M51">
        <v>9.1999999999999993</v>
      </c>
    </row>
    <row r="52" spans="1:13" s="27" customFormat="1" x14ac:dyDescent="0.25">
      <c r="A52" t="s">
        <v>24</v>
      </c>
      <c r="B52" s="61"/>
      <c r="C52" s="61"/>
      <c r="D52" t="s">
        <v>313</v>
      </c>
      <c r="E52">
        <v>2016</v>
      </c>
      <c r="F52">
        <v>2</v>
      </c>
      <c r="G52">
        <v>1</v>
      </c>
      <c r="H52">
        <v>1</v>
      </c>
      <c r="I52">
        <v>117</v>
      </c>
      <c r="J52" s="61"/>
      <c r="K52" s="13">
        <v>45875</v>
      </c>
      <c r="L52" t="s">
        <v>689</v>
      </c>
      <c r="M52">
        <v>10.8</v>
      </c>
    </row>
    <row r="53" spans="1:13" s="27" customFormat="1" x14ac:dyDescent="0.25">
      <c r="A53" t="s">
        <v>24</v>
      </c>
      <c r="B53" s="61"/>
      <c r="C53" s="61"/>
      <c r="D53" t="s">
        <v>313</v>
      </c>
      <c r="E53">
        <v>2016</v>
      </c>
      <c r="F53">
        <v>2</v>
      </c>
      <c r="G53">
        <v>1</v>
      </c>
      <c r="H53">
        <v>1</v>
      </c>
      <c r="I53">
        <v>117</v>
      </c>
      <c r="J53" s="61"/>
      <c r="K53" s="13">
        <v>45880</v>
      </c>
      <c r="L53" t="s">
        <v>687</v>
      </c>
      <c r="M53"/>
    </row>
    <row r="54" spans="1:13" s="27" customFormat="1" x14ac:dyDescent="0.25">
      <c r="A54" t="s">
        <v>24</v>
      </c>
      <c r="B54" s="61"/>
      <c r="C54" s="61"/>
      <c r="D54" t="s">
        <v>313</v>
      </c>
      <c r="E54">
        <v>2016</v>
      </c>
      <c r="F54">
        <v>2</v>
      </c>
      <c r="G54">
        <v>1</v>
      </c>
      <c r="H54">
        <v>1</v>
      </c>
      <c r="I54">
        <v>117</v>
      </c>
      <c r="J54" s="61"/>
      <c r="K54" s="13">
        <v>45880</v>
      </c>
      <c r="L54" t="s">
        <v>688</v>
      </c>
      <c r="M54"/>
    </row>
    <row r="55" spans="1:13" s="27" customFormat="1" x14ac:dyDescent="0.25">
      <c r="A55" t="s">
        <v>24</v>
      </c>
      <c r="B55" s="61"/>
      <c r="C55" s="61"/>
      <c r="D55" t="s">
        <v>313</v>
      </c>
      <c r="E55">
        <v>2016</v>
      </c>
      <c r="F55">
        <v>2</v>
      </c>
      <c r="G55">
        <v>1</v>
      </c>
      <c r="H55">
        <v>1</v>
      </c>
      <c r="I55">
        <v>117</v>
      </c>
      <c r="J55" s="61"/>
      <c r="K55" s="13">
        <v>45880</v>
      </c>
      <c r="L55" t="s">
        <v>689</v>
      </c>
      <c r="M55"/>
    </row>
    <row r="56" spans="1:13" s="27" customFormat="1" x14ac:dyDescent="0.25">
      <c r="A56" t="s">
        <v>24</v>
      </c>
      <c r="B56" s="61"/>
      <c r="C56" s="61"/>
      <c r="D56" t="s">
        <v>313</v>
      </c>
      <c r="E56">
        <v>2016</v>
      </c>
      <c r="F56">
        <v>2</v>
      </c>
      <c r="G56">
        <v>1</v>
      </c>
      <c r="H56">
        <v>1</v>
      </c>
      <c r="I56">
        <v>117</v>
      </c>
      <c r="J56" s="61"/>
      <c r="K56" s="13">
        <v>45897</v>
      </c>
      <c r="L56" t="s">
        <v>687</v>
      </c>
      <c r="M56">
        <v>11.9</v>
      </c>
    </row>
    <row r="57" spans="1:13" s="27" customFormat="1" x14ac:dyDescent="0.25">
      <c r="A57" t="s">
        <v>24</v>
      </c>
      <c r="B57" s="61"/>
      <c r="C57" s="61"/>
      <c r="D57" t="s">
        <v>313</v>
      </c>
      <c r="E57">
        <v>2016</v>
      </c>
      <c r="F57">
        <v>2</v>
      </c>
      <c r="G57">
        <v>1</v>
      </c>
      <c r="H57">
        <v>1</v>
      </c>
      <c r="I57">
        <v>117</v>
      </c>
      <c r="J57" s="61"/>
      <c r="K57" s="13">
        <v>45897</v>
      </c>
      <c r="L57" t="s">
        <v>688</v>
      </c>
      <c r="M57">
        <v>10.9</v>
      </c>
    </row>
    <row r="58" spans="1:13" x14ac:dyDescent="0.25">
      <c r="A58" t="s">
        <v>24</v>
      </c>
      <c r="D58" t="s">
        <v>313</v>
      </c>
      <c r="E58">
        <v>2016</v>
      </c>
      <c r="F58">
        <v>2</v>
      </c>
      <c r="G58">
        <v>1</v>
      </c>
      <c r="H58">
        <v>1</v>
      </c>
      <c r="I58">
        <v>117</v>
      </c>
      <c r="J58" s="6"/>
      <c r="K58" s="13">
        <v>45897</v>
      </c>
      <c r="L58" t="s">
        <v>689</v>
      </c>
    </row>
    <row r="59" spans="1:13" x14ac:dyDescent="0.25">
      <c r="A59" t="s">
        <v>24</v>
      </c>
      <c r="D59" t="s">
        <v>313</v>
      </c>
      <c r="E59">
        <v>2016</v>
      </c>
      <c r="F59">
        <v>2</v>
      </c>
      <c r="G59">
        <v>1</v>
      </c>
      <c r="H59">
        <v>1</v>
      </c>
      <c r="I59">
        <v>117</v>
      </c>
      <c r="J59" s="6"/>
      <c r="K59" s="13">
        <v>45911</v>
      </c>
      <c r="L59" t="s">
        <v>687</v>
      </c>
      <c r="M59">
        <v>11.9</v>
      </c>
    </row>
    <row r="60" spans="1:13" x14ac:dyDescent="0.25">
      <c r="A60" t="s">
        <v>24</v>
      </c>
      <c r="D60" t="s">
        <v>313</v>
      </c>
      <c r="E60">
        <v>2016</v>
      </c>
      <c r="F60">
        <v>2</v>
      </c>
      <c r="G60">
        <v>1</v>
      </c>
      <c r="H60">
        <v>1</v>
      </c>
      <c r="I60">
        <v>117</v>
      </c>
      <c r="J60" s="6"/>
      <c r="K60" s="13">
        <v>45911</v>
      </c>
      <c r="L60" t="s">
        <v>688</v>
      </c>
    </row>
    <row r="61" spans="1:13" x14ac:dyDescent="0.25">
      <c r="A61" t="s">
        <v>24</v>
      </c>
      <c r="D61" t="s">
        <v>313</v>
      </c>
      <c r="E61">
        <v>2016</v>
      </c>
      <c r="F61">
        <v>2</v>
      </c>
      <c r="G61">
        <v>1</v>
      </c>
      <c r="H61">
        <v>1</v>
      </c>
      <c r="I61">
        <v>117</v>
      </c>
      <c r="J61" s="6"/>
      <c r="K61" s="13">
        <v>45911</v>
      </c>
      <c r="L61" t="s">
        <v>689</v>
      </c>
    </row>
    <row r="62" spans="1:13" x14ac:dyDescent="0.25">
      <c r="A62" t="s">
        <v>24</v>
      </c>
      <c r="D62" t="s">
        <v>26</v>
      </c>
      <c r="E62">
        <v>1983</v>
      </c>
      <c r="F62">
        <v>3</v>
      </c>
      <c r="G62">
        <v>1</v>
      </c>
      <c r="H62">
        <v>1</v>
      </c>
      <c r="I62">
        <v>133</v>
      </c>
      <c r="J62" s="6"/>
      <c r="K62" s="13">
        <v>45796</v>
      </c>
      <c r="L62" t="s">
        <v>687</v>
      </c>
      <c r="M62">
        <v>5.5</v>
      </c>
    </row>
    <row r="63" spans="1:13" x14ac:dyDescent="0.25">
      <c r="A63" t="s">
        <v>24</v>
      </c>
      <c r="D63" t="s">
        <v>26</v>
      </c>
      <c r="E63">
        <v>1983</v>
      </c>
      <c r="F63">
        <v>3</v>
      </c>
      <c r="G63">
        <v>1</v>
      </c>
      <c r="H63">
        <v>1</v>
      </c>
      <c r="I63">
        <v>133</v>
      </c>
      <c r="J63" s="6"/>
      <c r="K63" s="13">
        <v>45796</v>
      </c>
      <c r="L63" t="s">
        <v>688</v>
      </c>
      <c r="M63">
        <v>5.3</v>
      </c>
    </row>
    <row r="64" spans="1:13" x14ac:dyDescent="0.25">
      <c r="A64" t="s">
        <v>24</v>
      </c>
      <c r="D64" t="s">
        <v>26</v>
      </c>
      <c r="E64">
        <v>1983</v>
      </c>
      <c r="F64">
        <v>3</v>
      </c>
      <c r="G64">
        <v>1</v>
      </c>
      <c r="H64">
        <v>1</v>
      </c>
      <c r="I64">
        <v>133</v>
      </c>
      <c r="J64" s="6"/>
      <c r="K64" s="13">
        <v>45796</v>
      </c>
      <c r="L64" t="s">
        <v>689</v>
      </c>
      <c r="M64">
        <v>5.3</v>
      </c>
    </row>
    <row r="65" spans="1:13" x14ac:dyDescent="0.25">
      <c r="A65" t="s">
        <v>24</v>
      </c>
      <c r="D65" t="s">
        <v>26</v>
      </c>
      <c r="E65">
        <v>1983</v>
      </c>
      <c r="F65">
        <v>3</v>
      </c>
      <c r="G65">
        <v>1</v>
      </c>
      <c r="H65">
        <v>1</v>
      </c>
      <c r="I65">
        <v>133</v>
      </c>
      <c r="J65" s="6"/>
      <c r="K65" s="13">
        <v>45820</v>
      </c>
      <c r="L65" t="s">
        <v>687</v>
      </c>
    </row>
    <row r="66" spans="1:13" s="27" customFormat="1" x14ac:dyDescent="0.25">
      <c r="A66" t="s">
        <v>24</v>
      </c>
      <c r="B66" s="61"/>
      <c r="C66" s="61"/>
      <c r="D66" t="s">
        <v>26</v>
      </c>
      <c r="E66">
        <v>1983</v>
      </c>
      <c r="F66">
        <v>3</v>
      </c>
      <c r="G66">
        <v>1</v>
      </c>
      <c r="H66">
        <v>1</v>
      </c>
      <c r="I66">
        <v>133</v>
      </c>
      <c r="J66" s="61"/>
      <c r="K66" s="13">
        <v>45820</v>
      </c>
      <c r="L66" t="s">
        <v>688</v>
      </c>
      <c r="M66"/>
    </row>
    <row r="67" spans="1:13" s="27" customFormat="1" x14ac:dyDescent="0.25">
      <c r="A67" t="s">
        <v>24</v>
      </c>
      <c r="B67" s="61"/>
      <c r="C67" s="61"/>
      <c r="D67" t="s">
        <v>26</v>
      </c>
      <c r="E67">
        <v>1983</v>
      </c>
      <c r="F67">
        <v>3</v>
      </c>
      <c r="G67">
        <v>1</v>
      </c>
      <c r="H67">
        <v>1</v>
      </c>
      <c r="I67">
        <v>133</v>
      </c>
      <c r="J67" s="61"/>
      <c r="K67" s="13">
        <v>45820</v>
      </c>
      <c r="L67" t="s">
        <v>689</v>
      </c>
      <c r="M67"/>
    </row>
    <row r="68" spans="1:13" s="27" customFormat="1" x14ac:dyDescent="0.25">
      <c r="A68" t="s">
        <v>24</v>
      </c>
      <c r="B68" s="61"/>
      <c r="C68" s="61"/>
      <c r="D68" t="s">
        <v>26</v>
      </c>
      <c r="E68">
        <v>1983</v>
      </c>
      <c r="F68">
        <v>3</v>
      </c>
      <c r="G68">
        <v>1</v>
      </c>
      <c r="H68">
        <v>1</v>
      </c>
      <c r="I68">
        <v>133</v>
      </c>
      <c r="J68" s="61"/>
      <c r="K68" s="13">
        <v>45825</v>
      </c>
      <c r="L68" t="s">
        <v>687</v>
      </c>
      <c r="M68">
        <v>6.8</v>
      </c>
    </row>
    <row r="69" spans="1:13" s="27" customFormat="1" x14ac:dyDescent="0.25">
      <c r="A69" t="s">
        <v>24</v>
      </c>
      <c r="B69" s="61"/>
      <c r="C69" s="61"/>
      <c r="D69" t="s">
        <v>26</v>
      </c>
      <c r="E69">
        <v>1983</v>
      </c>
      <c r="F69">
        <v>3</v>
      </c>
      <c r="G69">
        <v>1</v>
      </c>
      <c r="H69">
        <v>1</v>
      </c>
      <c r="I69">
        <v>133</v>
      </c>
      <c r="J69" s="61"/>
      <c r="K69" s="13">
        <v>45825</v>
      </c>
      <c r="L69" t="s">
        <v>688</v>
      </c>
      <c r="M69">
        <v>6.4</v>
      </c>
    </row>
    <row r="70" spans="1:13" s="27" customFormat="1" x14ac:dyDescent="0.25">
      <c r="A70" t="s">
        <v>24</v>
      </c>
      <c r="B70" s="61"/>
      <c r="C70" s="61"/>
      <c r="D70" t="s">
        <v>26</v>
      </c>
      <c r="E70">
        <v>1983</v>
      </c>
      <c r="F70">
        <v>3</v>
      </c>
      <c r="G70">
        <v>1</v>
      </c>
      <c r="H70">
        <v>1</v>
      </c>
      <c r="I70">
        <v>133</v>
      </c>
      <c r="J70" s="61"/>
      <c r="K70" s="13">
        <v>45825</v>
      </c>
      <c r="L70" t="s">
        <v>689</v>
      </c>
      <c r="M70">
        <v>6.6</v>
      </c>
    </row>
    <row r="71" spans="1:13" s="27" customFormat="1" x14ac:dyDescent="0.25">
      <c r="A71" t="s">
        <v>24</v>
      </c>
      <c r="B71" s="61"/>
      <c r="C71" s="61"/>
      <c r="D71" t="s">
        <v>26</v>
      </c>
      <c r="E71">
        <v>1983</v>
      </c>
      <c r="F71">
        <v>3</v>
      </c>
      <c r="G71">
        <v>1</v>
      </c>
      <c r="H71">
        <v>1</v>
      </c>
      <c r="I71">
        <v>133</v>
      </c>
      <c r="J71" s="61"/>
      <c r="K71" s="13">
        <v>45827</v>
      </c>
      <c r="L71" t="s">
        <v>687</v>
      </c>
      <c r="M71"/>
    </row>
    <row r="72" spans="1:13" s="27" customFormat="1" x14ac:dyDescent="0.25">
      <c r="A72" t="s">
        <v>24</v>
      </c>
      <c r="B72" s="61"/>
      <c r="C72" s="61"/>
      <c r="D72" t="s">
        <v>26</v>
      </c>
      <c r="E72">
        <v>1983</v>
      </c>
      <c r="F72">
        <v>3</v>
      </c>
      <c r="G72">
        <v>1</v>
      </c>
      <c r="H72">
        <v>1</v>
      </c>
      <c r="I72">
        <v>133</v>
      </c>
      <c r="J72" s="61"/>
      <c r="K72" s="13">
        <v>45827</v>
      </c>
      <c r="L72" t="s">
        <v>688</v>
      </c>
      <c r="M72"/>
    </row>
    <row r="73" spans="1:13" s="27" customFormat="1" x14ac:dyDescent="0.25">
      <c r="A73" t="s">
        <v>24</v>
      </c>
      <c r="B73" s="61"/>
      <c r="C73" s="61"/>
      <c r="D73" t="s">
        <v>26</v>
      </c>
      <c r="E73">
        <v>1983</v>
      </c>
      <c r="F73">
        <v>3</v>
      </c>
      <c r="G73">
        <v>1</v>
      </c>
      <c r="H73">
        <v>1</v>
      </c>
      <c r="I73">
        <v>133</v>
      </c>
      <c r="J73" s="61"/>
      <c r="K73" s="13">
        <v>45827</v>
      </c>
      <c r="L73" t="s">
        <v>689</v>
      </c>
      <c r="M73"/>
    </row>
    <row r="74" spans="1:13" x14ac:dyDescent="0.25">
      <c r="A74" t="s">
        <v>24</v>
      </c>
      <c r="D74" t="s">
        <v>26</v>
      </c>
      <c r="E74">
        <v>1983</v>
      </c>
      <c r="F74">
        <v>3</v>
      </c>
      <c r="G74">
        <v>1</v>
      </c>
      <c r="H74">
        <v>1</v>
      </c>
      <c r="I74">
        <v>133</v>
      </c>
      <c r="J74" s="6"/>
      <c r="K74" s="13">
        <v>45859</v>
      </c>
      <c r="L74" t="s">
        <v>687</v>
      </c>
      <c r="M74">
        <v>8.6999999999999993</v>
      </c>
    </row>
    <row r="75" spans="1:13" x14ac:dyDescent="0.25">
      <c r="A75" t="s">
        <v>24</v>
      </c>
      <c r="D75" t="s">
        <v>26</v>
      </c>
      <c r="E75">
        <v>1983</v>
      </c>
      <c r="F75">
        <v>3</v>
      </c>
      <c r="G75">
        <v>1</v>
      </c>
      <c r="H75">
        <v>1</v>
      </c>
      <c r="I75">
        <v>133</v>
      </c>
      <c r="J75" s="6"/>
      <c r="K75" s="13">
        <v>45859</v>
      </c>
      <c r="L75" t="s">
        <v>688</v>
      </c>
      <c r="M75">
        <v>8.5</v>
      </c>
    </row>
    <row r="76" spans="1:13" x14ac:dyDescent="0.25">
      <c r="A76" t="s">
        <v>24</v>
      </c>
      <c r="D76" t="s">
        <v>26</v>
      </c>
      <c r="E76">
        <v>1983</v>
      </c>
      <c r="F76">
        <v>3</v>
      </c>
      <c r="G76">
        <v>1</v>
      </c>
      <c r="H76">
        <v>1</v>
      </c>
      <c r="I76">
        <v>133</v>
      </c>
      <c r="J76" s="6"/>
      <c r="K76" s="13">
        <v>45859</v>
      </c>
      <c r="L76" t="s">
        <v>689</v>
      </c>
      <c r="M76">
        <v>8.3000000000000007</v>
      </c>
    </row>
    <row r="77" spans="1:13" x14ac:dyDescent="0.25">
      <c r="A77" t="s">
        <v>24</v>
      </c>
      <c r="D77" t="s">
        <v>26</v>
      </c>
      <c r="E77">
        <v>1983</v>
      </c>
      <c r="F77">
        <v>3</v>
      </c>
      <c r="G77">
        <v>1</v>
      </c>
      <c r="H77">
        <v>1</v>
      </c>
      <c r="I77">
        <v>133</v>
      </c>
      <c r="J77" s="6"/>
      <c r="K77" s="13">
        <v>45868</v>
      </c>
      <c r="L77" t="s">
        <v>687</v>
      </c>
      <c r="M77">
        <v>9.6</v>
      </c>
    </row>
    <row r="78" spans="1:13" x14ac:dyDescent="0.25">
      <c r="A78" t="s">
        <v>24</v>
      </c>
      <c r="D78" t="s">
        <v>26</v>
      </c>
      <c r="E78">
        <v>1983</v>
      </c>
      <c r="F78">
        <v>3</v>
      </c>
      <c r="G78">
        <v>1</v>
      </c>
      <c r="H78">
        <v>1</v>
      </c>
      <c r="I78">
        <v>133</v>
      </c>
      <c r="J78" s="6"/>
      <c r="K78" s="13">
        <v>45868</v>
      </c>
      <c r="L78" t="s">
        <v>688</v>
      </c>
      <c r="M78">
        <v>9.1999999999999993</v>
      </c>
    </row>
    <row r="79" spans="1:13" x14ac:dyDescent="0.25">
      <c r="A79" t="s">
        <v>24</v>
      </c>
      <c r="D79" t="s">
        <v>26</v>
      </c>
      <c r="E79">
        <v>1983</v>
      </c>
      <c r="F79">
        <v>3</v>
      </c>
      <c r="G79">
        <v>1</v>
      </c>
      <c r="H79">
        <v>1</v>
      </c>
      <c r="I79">
        <v>133</v>
      </c>
      <c r="J79" s="6"/>
      <c r="K79" s="13">
        <v>45868</v>
      </c>
      <c r="L79" t="s">
        <v>689</v>
      </c>
      <c r="M79">
        <v>9.3000000000000007</v>
      </c>
    </row>
    <row r="80" spans="1:13" x14ac:dyDescent="0.25">
      <c r="A80" t="s">
        <v>24</v>
      </c>
      <c r="D80" t="s">
        <v>26</v>
      </c>
      <c r="E80">
        <v>1983</v>
      </c>
      <c r="F80">
        <v>3</v>
      </c>
      <c r="G80">
        <v>1</v>
      </c>
      <c r="H80">
        <v>1</v>
      </c>
      <c r="I80">
        <v>133</v>
      </c>
      <c r="J80" s="6"/>
      <c r="K80" s="13">
        <v>45875</v>
      </c>
      <c r="L80" t="s">
        <v>687</v>
      </c>
      <c r="M80">
        <v>10.199999999999999</v>
      </c>
    </row>
    <row r="81" spans="1:13" x14ac:dyDescent="0.25">
      <c r="A81" t="s">
        <v>24</v>
      </c>
      <c r="D81" t="s">
        <v>26</v>
      </c>
      <c r="E81">
        <v>1983</v>
      </c>
      <c r="F81">
        <v>3</v>
      </c>
      <c r="G81">
        <v>1</v>
      </c>
      <c r="H81">
        <v>1</v>
      </c>
      <c r="I81">
        <v>133</v>
      </c>
      <c r="J81" s="6"/>
      <c r="K81" s="13">
        <v>45875</v>
      </c>
      <c r="L81" t="s">
        <v>688</v>
      </c>
      <c r="M81">
        <v>9.8000000000000007</v>
      </c>
    </row>
    <row r="82" spans="1:13" s="27" customFormat="1" x14ac:dyDescent="0.25">
      <c r="A82" t="s">
        <v>24</v>
      </c>
      <c r="B82" s="61"/>
      <c r="C82" s="61"/>
      <c r="D82" t="s">
        <v>26</v>
      </c>
      <c r="E82">
        <v>1983</v>
      </c>
      <c r="F82">
        <v>3</v>
      </c>
      <c r="G82">
        <v>1</v>
      </c>
      <c r="H82">
        <v>1</v>
      </c>
      <c r="I82">
        <v>133</v>
      </c>
      <c r="J82" s="61"/>
      <c r="K82" s="13">
        <v>45875</v>
      </c>
      <c r="L82" t="s">
        <v>689</v>
      </c>
      <c r="M82">
        <v>10.1</v>
      </c>
    </row>
    <row r="83" spans="1:13" s="27" customFormat="1" x14ac:dyDescent="0.25">
      <c r="A83" t="s">
        <v>24</v>
      </c>
      <c r="B83" s="61"/>
      <c r="C83" s="61"/>
      <c r="D83" t="s">
        <v>26</v>
      </c>
      <c r="E83">
        <v>1983</v>
      </c>
      <c r="F83">
        <v>3</v>
      </c>
      <c r="G83">
        <v>1</v>
      </c>
      <c r="H83">
        <v>1</v>
      </c>
      <c r="I83">
        <v>133</v>
      </c>
      <c r="J83" s="61"/>
      <c r="K83" s="13">
        <v>45880</v>
      </c>
      <c r="L83" t="s">
        <v>687</v>
      </c>
      <c r="M83"/>
    </row>
    <row r="84" spans="1:13" s="27" customFormat="1" x14ac:dyDescent="0.25">
      <c r="A84" t="s">
        <v>24</v>
      </c>
      <c r="B84" s="61"/>
      <c r="C84" s="61"/>
      <c r="D84" t="s">
        <v>26</v>
      </c>
      <c r="E84">
        <v>1983</v>
      </c>
      <c r="F84">
        <v>3</v>
      </c>
      <c r="G84">
        <v>1</v>
      </c>
      <c r="H84">
        <v>1</v>
      </c>
      <c r="I84">
        <v>133</v>
      </c>
      <c r="J84" s="61"/>
      <c r="K84" s="13">
        <v>45880</v>
      </c>
      <c r="L84" t="s">
        <v>688</v>
      </c>
      <c r="M84"/>
    </row>
    <row r="85" spans="1:13" s="27" customFormat="1" x14ac:dyDescent="0.25">
      <c r="A85" t="s">
        <v>24</v>
      </c>
      <c r="B85" s="61"/>
      <c r="C85" s="61"/>
      <c r="D85" t="s">
        <v>26</v>
      </c>
      <c r="E85">
        <v>1983</v>
      </c>
      <c r="F85">
        <v>3</v>
      </c>
      <c r="G85">
        <v>1</v>
      </c>
      <c r="H85">
        <v>1</v>
      </c>
      <c r="I85">
        <v>133</v>
      </c>
      <c r="J85" s="61"/>
      <c r="K85" s="13">
        <v>45880</v>
      </c>
      <c r="L85" t="s">
        <v>689</v>
      </c>
      <c r="M85"/>
    </row>
    <row r="86" spans="1:13" s="27" customFormat="1" x14ac:dyDescent="0.25">
      <c r="A86" t="s">
        <v>24</v>
      </c>
      <c r="B86" s="61"/>
      <c r="C86" s="61"/>
      <c r="D86" t="s">
        <v>26</v>
      </c>
      <c r="E86">
        <v>1983</v>
      </c>
      <c r="F86">
        <v>3</v>
      </c>
      <c r="G86">
        <v>1</v>
      </c>
      <c r="H86">
        <v>1</v>
      </c>
      <c r="I86">
        <v>133</v>
      </c>
      <c r="J86" s="61"/>
      <c r="K86" s="13">
        <v>45897</v>
      </c>
      <c r="L86" t="s">
        <v>687</v>
      </c>
      <c r="M86">
        <v>12.5</v>
      </c>
    </row>
    <row r="87" spans="1:13" s="27" customFormat="1" x14ac:dyDescent="0.25">
      <c r="A87" t="s">
        <v>24</v>
      </c>
      <c r="B87" s="61"/>
      <c r="C87" s="61"/>
      <c r="D87" t="s">
        <v>26</v>
      </c>
      <c r="E87">
        <v>1983</v>
      </c>
      <c r="F87">
        <v>3</v>
      </c>
      <c r="G87">
        <v>1</v>
      </c>
      <c r="H87">
        <v>1</v>
      </c>
      <c r="I87">
        <v>133</v>
      </c>
      <c r="J87" s="61"/>
      <c r="K87" s="13">
        <v>45897</v>
      </c>
      <c r="L87" t="s">
        <v>688</v>
      </c>
      <c r="M87">
        <v>12.2</v>
      </c>
    </row>
    <row r="88" spans="1:13" s="27" customFormat="1" x14ac:dyDescent="0.25">
      <c r="A88" t="s">
        <v>24</v>
      </c>
      <c r="B88" s="61"/>
      <c r="C88" s="61"/>
      <c r="D88" t="s">
        <v>26</v>
      </c>
      <c r="E88">
        <v>1983</v>
      </c>
      <c r="F88">
        <v>3</v>
      </c>
      <c r="G88">
        <v>1</v>
      </c>
      <c r="H88">
        <v>1</v>
      </c>
      <c r="I88">
        <v>133</v>
      </c>
      <c r="J88" s="61"/>
      <c r="K88" s="13">
        <v>45897</v>
      </c>
      <c r="L88" t="s">
        <v>689</v>
      </c>
      <c r="M88">
        <v>12.5</v>
      </c>
    </row>
    <row r="89" spans="1:13" s="27" customFormat="1" x14ac:dyDescent="0.25">
      <c r="A89" t="s">
        <v>24</v>
      </c>
      <c r="B89" s="61"/>
      <c r="C89" s="61"/>
      <c r="D89" t="s">
        <v>26</v>
      </c>
      <c r="E89">
        <v>1983</v>
      </c>
      <c r="F89">
        <v>3</v>
      </c>
      <c r="G89">
        <v>1</v>
      </c>
      <c r="H89">
        <v>1</v>
      </c>
      <c r="I89">
        <v>133</v>
      </c>
      <c r="J89" s="61"/>
      <c r="K89" s="13">
        <v>45911</v>
      </c>
      <c r="L89" t="s">
        <v>687</v>
      </c>
      <c r="M89">
        <v>13.5</v>
      </c>
    </row>
    <row r="90" spans="1:13" x14ac:dyDescent="0.25">
      <c r="A90" t="s">
        <v>24</v>
      </c>
      <c r="B90" s="54"/>
      <c r="C90" s="55"/>
      <c r="D90" t="s">
        <v>26</v>
      </c>
      <c r="E90">
        <v>1983</v>
      </c>
      <c r="F90">
        <v>3</v>
      </c>
      <c r="G90">
        <v>1</v>
      </c>
      <c r="H90">
        <v>1</v>
      </c>
      <c r="I90">
        <v>133</v>
      </c>
      <c r="J90" s="6"/>
      <c r="K90" s="13">
        <v>45911</v>
      </c>
      <c r="L90" t="s">
        <v>688</v>
      </c>
      <c r="M90">
        <v>13.5</v>
      </c>
    </row>
    <row r="91" spans="1:13" x14ac:dyDescent="0.25">
      <c r="A91" t="s">
        <v>24</v>
      </c>
      <c r="D91" t="s">
        <v>26</v>
      </c>
      <c r="E91">
        <v>1983</v>
      </c>
      <c r="F91">
        <v>3</v>
      </c>
      <c r="G91">
        <v>1</v>
      </c>
      <c r="H91">
        <v>1</v>
      </c>
      <c r="I91">
        <v>133</v>
      </c>
      <c r="J91" s="6"/>
      <c r="K91" s="13">
        <v>45911</v>
      </c>
      <c r="L91" t="s">
        <v>689</v>
      </c>
      <c r="M91">
        <v>13.1</v>
      </c>
    </row>
    <row r="92" spans="1:13" x14ac:dyDescent="0.25">
      <c r="A92" t="s">
        <v>24</v>
      </c>
      <c r="D92" t="s">
        <v>29</v>
      </c>
      <c r="E92">
        <v>1999</v>
      </c>
      <c r="F92">
        <v>4</v>
      </c>
      <c r="G92">
        <v>1</v>
      </c>
      <c r="H92">
        <v>1</v>
      </c>
      <c r="I92">
        <v>149</v>
      </c>
      <c r="J92" s="6"/>
      <c r="K92" s="13">
        <v>45796</v>
      </c>
      <c r="L92" t="s">
        <v>687</v>
      </c>
      <c r="M92">
        <v>5.3</v>
      </c>
    </row>
    <row r="93" spans="1:13" x14ac:dyDescent="0.25">
      <c r="A93" t="s">
        <v>24</v>
      </c>
      <c r="D93" t="s">
        <v>29</v>
      </c>
      <c r="E93">
        <v>1999</v>
      </c>
      <c r="F93">
        <v>4</v>
      </c>
      <c r="G93">
        <v>1</v>
      </c>
      <c r="H93">
        <v>1</v>
      </c>
      <c r="I93">
        <v>149</v>
      </c>
      <c r="J93" s="6"/>
      <c r="K93" s="13">
        <v>45796</v>
      </c>
      <c r="L93" t="s">
        <v>688</v>
      </c>
      <c r="M93">
        <v>5.5</v>
      </c>
    </row>
    <row r="94" spans="1:13" x14ac:dyDescent="0.25">
      <c r="A94" t="s">
        <v>24</v>
      </c>
      <c r="D94" t="s">
        <v>29</v>
      </c>
      <c r="E94">
        <v>1999</v>
      </c>
      <c r="F94">
        <v>4</v>
      </c>
      <c r="G94">
        <v>1</v>
      </c>
      <c r="H94">
        <v>1</v>
      </c>
      <c r="I94">
        <v>149</v>
      </c>
      <c r="J94" s="6"/>
      <c r="K94" s="13">
        <v>45796</v>
      </c>
      <c r="L94" t="s">
        <v>689</v>
      </c>
      <c r="M94">
        <v>5.6</v>
      </c>
    </row>
    <row r="95" spans="1:13" x14ac:dyDescent="0.25">
      <c r="A95" t="s">
        <v>24</v>
      </c>
      <c r="D95" t="s">
        <v>29</v>
      </c>
      <c r="E95">
        <v>1999</v>
      </c>
      <c r="F95">
        <v>4</v>
      </c>
      <c r="G95">
        <v>1</v>
      </c>
      <c r="H95">
        <v>1</v>
      </c>
      <c r="I95">
        <v>149</v>
      </c>
      <c r="J95" s="6"/>
      <c r="K95" s="13">
        <v>45820</v>
      </c>
      <c r="L95" t="s">
        <v>687</v>
      </c>
    </row>
    <row r="96" spans="1:13" x14ac:dyDescent="0.25">
      <c r="A96" t="s">
        <v>24</v>
      </c>
      <c r="D96" t="s">
        <v>29</v>
      </c>
      <c r="E96">
        <v>1999</v>
      </c>
      <c r="F96">
        <v>4</v>
      </c>
      <c r="G96">
        <v>1</v>
      </c>
      <c r="H96">
        <v>1</v>
      </c>
      <c r="I96">
        <v>149</v>
      </c>
      <c r="J96" s="6"/>
      <c r="K96" s="13">
        <v>45820</v>
      </c>
      <c r="L96" t="s">
        <v>688</v>
      </c>
    </row>
    <row r="97" spans="1:13" x14ac:dyDescent="0.25">
      <c r="A97" t="s">
        <v>24</v>
      </c>
      <c r="D97" t="s">
        <v>29</v>
      </c>
      <c r="E97">
        <v>1999</v>
      </c>
      <c r="F97">
        <v>4</v>
      </c>
      <c r="G97">
        <v>1</v>
      </c>
      <c r="H97">
        <v>1</v>
      </c>
      <c r="I97">
        <v>149</v>
      </c>
      <c r="J97" s="6"/>
      <c r="K97" s="13">
        <v>45820</v>
      </c>
      <c r="L97" t="s">
        <v>689</v>
      </c>
    </row>
    <row r="98" spans="1:13" s="27" customFormat="1" x14ac:dyDescent="0.25">
      <c r="A98" t="s">
        <v>24</v>
      </c>
      <c r="B98" s="61"/>
      <c r="C98" s="61"/>
      <c r="D98" t="s">
        <v>29</v>
      </c>
      <c r="E98">
        <v>1999</v>
      </c>
      <c r="F98">
        <v>4</v>
      </c>
      <c r="G98">
        <v>1</v>
      </c>
      <c r="H98">
        <v>1</v>
      </c>
      <c r="I98">
        <v>149</v>
      </c>
      <c r="J98" s="61"/>
      <c r="K98" s="13">
        <v>45825</v>
      </c>
      <c r="L98" t="s">
        <v>687</v>
      </c>
      <c r="M98">
        <v>6.3</v>
      </c>
    </row>
    <row r="99" spans="1:13" s="27" customFormat="1" x14ac:dyDescent="0.25">
      <c r="A99" t="s">
        <v>24</v>
      </c>
      <c r="B99" s="61"/>
      <c r="C99" s="61"/>
      <c r="D99" t="s">
        <v>29</v>
      </c>
      <c r="E99">
        <v>1999</v>
      </c>
      <c r="F99">
        <v>4</v>
      </c>
      <c r="G99">
        <v>1</v>
      </c>
      <c r="H99">
        <v>1</v>
      </c>
      <c r="I99">
        <v>149</v>
      </c>
      <c r="J99" s="61"/>
      <c r="K99" s="13">
        <v>45825</v>
      </c>
      <c r="L99" t="s">
        <v>688</v>
      </c>
      <c r="M99">
        <v>6.7</v>
      </c>
    </row>
    <row r="100" spans="1:13" s="27" customFormat="1" x14ac:dyDescent="0.25">
      <c r="A100" t="s">
        <v>24</v>
      </c>
      <c r="B100" s="61"/>
      <c r="C100" s="61"/>
      <c r="D100" t="s">
        <v>29</v>
      </c>
      <c r="E100">
        <v>1999</v>
      </c>
      <c r="F100">
        <v>4</v>
      </c>
      <c r="G100">
        <v>1</v>
      </c>
      <c r="H100">
        <v>1</v>
      </c>
      <c r="I100">
        <v>149</v>
      </c>
      <c r="J100" s="61"/>
      <c r="K100" s="13">
        <v>45825</v>
      </c>
      <c r="L100" t="s">
        <v>689</v>
      </c>
      <c r="M100">
        <v>6.7</v>
      </c>
    </row>
    <row r="101" spans="1:13" s="27" customFormat="1" x14ac:dyDescent="0.25">
      <c r="A101" t="s">
        <v>24</v>
      </c>
      <c r="B101" s="61"/>
      <c r="C101" s="61"/>
      <c r="D101" t="s">
        <v>29</v>
      </c>
      <c r="E101">
        <v>1999</v>
      </c>
      <c r="F101">
        <v>4</v>
      </c>
      <c r="G101">
        <v>1</v>
      </c>
      <c r="H101">
        <v>1</v>
      </c>
      <c r="I101">
        <v>149</v>
      </c>
      <c r="J101" s="61"/>
      <c r="K101" s="13">
        <v>45827</v>
      </c>
      <c r="L101" t="s">
        <v>687</v>
      </c>
      <c r="M101"/>
    </row>
    <row r="102" spans="1:13" s="27" customFormat="1" x14ac:dyDescent="0.25">
      <c r="A102" t="s">
        <v>24</v>
      </c>
      <c r="B102" s="61"/>
      <c r="C102" s="61"/>
      <c r="D102" t="s">
        <v>29</v>
      </c>
      <c r="E102">
        <v>1999</v>
      </c>
      <c r="F102">
        <v>4</v>
      </c>
      <c r="G102">
        <v>1</v>
      </c>
      <c r="H102">
        <v>1</v>
      </c>
      <c r="I102">
        <v>149</v>
      </c>
      <c r="J102" s="61"/>
      <c r="K102" s="13">
        <v>45827</v>
      </c>
      <c r="L102" t="s">
        <v>688</v>
      </c>
      <c r="M102"/>
    </row>
    <row r="103" spans="1:13" s="27" customFormat="1" x14ac:dyDescent="0.25">
      <c r="A103" t="s">
        <v>24</v>
      </c>
      <c r="B103" s="61"/>
      <c r="C103" s="61"/>
      <c r="D103" t="s">
        <v>29</v>
      </c>
      <c r="E103">
        <v>1999</v>
      </c>
      <c r="F103">
        <v>4</v>
      </c>
      <c r="G103">
        <v>1</v>
      </c>
      <c r="H103">
        <v>1</v>
      </c>
      <c r="I103">
        <v>149</v>
      </c>
      <c r="J103" s="61"/>
      <c r="K103" s="13">
        <v>45827</v>
      </c>
      <c r="L103" t="s">
        <v>689</v>
      </c>
      <c r="M103"/>
    </row>
    <row r="104" spans="1:13" s="27" customFormat="1" x14ac:dyDescent="0.25">
      <c r="A104" t="s">
        <v>24</v>
      </c>
      <c r="B104" s="61"/>
      <c r="C104" s="61"/>
      <c r="D104" t="s">
        <v>29</v>
      </c>
      <c r="E104">
        <v>1999</v>
      </c>
      <c r="F104">
        <v>4</v>
      </c>
      <c r="G104">
        <v>1</v>
      </c>
      <c r="H104">
        <v>1</v>
      </c>
      <c r="I104">
        <v>149</v>
      </c>
      <c r="J104" s="61"/>
      <c r="K104" s="13">
        <v>45859</v>
      </c>
      <c r="L104" t="s">
        <v>687</v>
      </c>
      <c r="M104">
        <v>8.3000000000000007</v>
      </c>
    </row>
    <row r="105" spans="1:13" s="27" customFormat="1" x14ac:dyDescent="0.25">
      <c r="A105" t="s">
        <v>24</v>
      </c>
      <c r="B105" s="61"/>
      <c r="C105" s="61"/>
      <c r="D105" t="s">
        <v>29</v>
      </c>
      <c r="E105">
        <v>1999</v>
      </c>
      <c r="F105">
        <v>4</v>
      </c>
      <c r="G105">
        <v>1</v>
      </c>
      <c r="H105">
        <v>1</v>
      </c>
      <c r="I105">
        <v>149</v>
      </c>
      <c r="J105" s="61"/>
      <c r="K105" s="13">
        <v>45859</v>
      </c>
      <c r="L105" t="s">
        <v>688</v>
      </c>
      <c r="M105">
        <v>8.4</v>
      </c>
    </row>
    <row r="106" spans="1:13" x14ac:dyDescent="0.25">
      <c r="A106" t="s">
        <v>24</v>
      </c>
      <c r="D106" t="s">
        <v>29</v>
      </c>
      <c r="E106">
        <v>1999</v>
      </c>
      <c r="F106">
        <v>4</v>
      </c>
      <c r="G106">
        <v>1</v>
      </c>
      <c r="H106">
        <v>1</v>
      </c>
      <c r="I106">
        <v>149</v>
      </c>
      <c r="J106" s="6"/>
      <c r="K106" s="13">
        <v>45859</v>
      </c>
      <c r="L106" t="s">
        <v>689</v>
      </c>
      <c r="M106">
        <v>8.5</v>
      </c>
    </row>
    <row r="107" spans="1:13" x14ac:dyDescent="0.25">
      <c r="A107" t="s">
        <v>24</v>
      </c>
      <c r="D107" t="s">
        <v>29</v>
      </c>
      <c r="E107">
        <v>1999</v>
      </c>
      <c r="F107">
        <v>4</v>
      </c>
      <c r="G107">
        <v>1</v>
      </c>
      <c r="H107">
        <v>1</v>
      </c>
      <c r="I107">
        <v>149</v>
      </c>
      <c r="J107" s="6"/>
      <c r="K107" s="13">
        <v>45868</v>
      </c>
      <c r="L107" t="s">
        <v>687</v>
      </c>
      <c r="M107">
        <v>8.9</v>
      </c>
    </row>
    <row r="108" spans="1:13" x14ac:dyDescent="0.25">
      <c r="A108" t="s">
        <v>24</v>
      </c>
      <c r="D108" t="s">
        <v>29</v>
      </c>
      <c r="E108">
        <v>1999</v>
      </c>
      <c r="F108">
        <v>4</v>
      </c>
      <c r="G108">
        <v>1</v>
      </c>
      <c r="H108">
        <v>1</v>
      </c>
      <c r="I108">
        <v>149</v>
      </c>
      <c r="J108" s="6"/>
      <c r="K108" s="13">
        <v>45868</v>
      </c>
      <c r="L108" t="s">
        <v>688</v>
      </c>
      <c r="M108">
        <v>9.6</v>
      </c>
    </row>
    <row r="109" spans="1:13" x14ac:dyDescent="0.25">
      <c r="A109" t="s">
        <v>24</v>
      </c>
      <c r="D109" t="s">
        <v>29</v>
      </c>
      <c r="E109">
        <v>1999</v>
      </c>
      <c r="F109">
        <v>4</v>
      </c>
      <c r="G109">
        <v>1</v>
      </c>
      <c r="H109">
        <v>1</v>
      </c>
      <c r="I109">
        <v>149</v>
      </c>
      <c r="J109" s="6"/>
      <c r="K109" s="13">
        <v>45868</v>
      </c>
      <c r="L109" t="s">
        <v>689</v>
      </c>
      <c r="M109">
        <v>9.3000000000000007</v>
      </c>
    </row>
    <row r="110" spans="1:13" x14ac:dyDescent="0.25">
      <c r="A110" t="s">
        <v>24</v>
      </c>
      <c r="D110" t="s">
        <v>29</v>
      </c>
      <c r="E110">
        <v>1999</v>
      </c>
      <c r="F110">
        <v>4</v>
      </c>
      <c r="G110">
        <v>1</v>
      </c>
      <c r="H110">
        <v>1</v>
      </c>
      <c r="I110">
        <v>149</v>
      </c>
      <c r="J110" s="6"/>
      <c r="K110" s="13">
        <v>45875</v>
      </c>
      <c r="L110" t="s">
        <v>687</v>
      </c>
      <c r="M110">
        <v>9.4</v>
      </c>
    </row>
    <row r="111" spans="1:13" x14ac:dyDescent="0.25">
      <c r="A111" t="s">
        <v>24</v>
      </c>
      <c r="D111" t="s">
        <v>29</v>
      </c>
      <c r="E111">
        <v>1999</v>
      </c>
      <c r="F111">
        <v>4</v>
      </c>
      <c r="G111">
        <v>1</v>
      </c>
      <c r="H111">
        <v>1</v>
      </c>
      <c r="I111">
        <v>149</v>
      </c>
      <c r="J111" s="6"/>
      <c r="K111" s="13">
        <v>45875</v>
      </c>
      <c r="L111" t="s">
        <v>688</v>
      </c>
      <c r="M111">
        <v>10.3</v>
      </c>
    </row>
    <row r="112" spans="1:13" x14ac:dyDescent="0.25">
      <c r="A112" t="s">
        <v>24</v>
      </c>
      <c r="D112" t="s">
        <v>29</v>
      </c>
      <c r="E112">
        <v>1999</v>
      </c>
      <c r="F112">
        <v>4</v>
      </c>
      <c r="G112">
        <v>1</v>
      </c>
      <c r="H112">
        <v>1</v>
      </c>
      <c r="I112">
        <v>149</v>
      </c>
      <c r="J112" s="6"/>
      <c r="K112" s="13">
        <v>45875</v>
      </c>
      <c r="L112" t="s">
        <v>689</v>
      </c>
      <c r="M112">
        <v>9.6999999999999993</v>
      </c>
    </row>
    <row r="113" spans="1:13" x14ac:dyDescent="0.25">
      <c r="A113" t="s">
        <v>24</v>
      </c>
      <c r="D113" t="s">
        <v>29</v>
      </c>
      <c r="E113">
        <v>1999</v>
      </c>
      <c r="F113">
        <v>4</v>
      </c>
      <c r="G113">
        <v>1</v>
      </c>
      <c r="H113">
        <v>1</v>
      </c>
      <c r="I113">
        <v>149</v>
      </c>
      <c r="J113" s="6"/>
      <c r="K113" s="13">
        <v>45880</v>
      </c>
      <c r="L113" t="s">
        <v>687</v>
      </c>
    </row>
    <row r="114" spans="1:13" s="27" customFormat="1" x14ac:dyDescent="0.25">
      <c r="A114" t="s">
        <v>24</v>
      </c>
      <c r="B114" s="61"/>
      <c r="C114" s="61"/>
      <c r="D114" t="s">
        <v>29</v>
      </c>
      <c r="E114">
        <v>1999</v>
      </c>
      <c r="F114">
        <v>4</v>
      </c>
      <c r="G114">
        <v>1</v>
      </c>
      <c r="H114">
        <v>1</v>
      </c>
      <c r="I114">
        <v>149</v>
      </c>
      <c r="J114" s="61"/>
      <c r="K114" s="13">
        <v>45880</v>
      </c>
      <c r="L114" t="s">
        <v>688</v>
      </c>
      <c r="M114"/>
    </row>
    <row r="115" spans="1:13" s="27" customFormat="1" x14ac:dyDescent="0.25">
      <c r="A115" t="s">
        <v>24</v>
      </c>
      <c r="B115" s="61"/>
      <c r="C115" s="61"/>
      <c r="D115" t="s">
        <v>29</v>
      </c>
      <c r="E115">
        <v>1999</v>
      </c>
      <c r="F115">
        <v>4</v>
      </c>
      <c r="G115">
        <v>1</v>
      </c>
      <c r="H115">
        <v>1</v>
      </c>
      <c r="I115">
        <v>149</v>
      </c>
      <c r="J115" s="61"/>
      <c r="K115" s="13">
        <v>45880</v>
      </c>
      <c r="L115" t="s">
        <v>689</v>
      </c>
      <c r="M115"/>
    </row>
    <row r="116" spans="1:13" s="27" customFormat="1" x14ac:dyDescent="0.25">
      <c r="A116" t="s">
        <v>24</v>
      </c>
      <c r="B116" s="61"/>
      <c r="C116" s="61"/>
      <c r="D116" t="s">
        <v>29</v>
      </c>
      <c r="E116">
        <v>1999</v>
      </c>
      <c r="F116">
        <v>4</v>
      </c>
      <c r="G116">
        <v>1</v>
      </c>
      <c r="H116">
        <v>1</v>
      </c>
      <c r="I116">
        <v>149</v>
      </c>
      <c r="J116" s="61"/>
      <c r="K116" s="13">
        <v>45897</v>
      </c>
      <c r="L116" t="s">
        <v>687</v>
      </c>
      <c r="M116">
        <v>11.7</v>
      </c>
    </row>
    <row r="117" spans="1:13" s="27" customFormat="1" x14ac:dyDescent="0.25">
      <c r="A117" t="s">
        <v>24</v>
      </c>
      <c r="B117" s="61"/>
      <c r="C117" s="61"/>
      <c r="D117" t="s">
        <v>29</v>
      </c>
      <c r="E117">
        <v>1999</v>
      </c>
      <c r="F117">
        <v>4</v>
      </c>
      <c r="G117">
        <v>1</v>
      </c>
      <c r="H117">
        <v>1</v>
      </c>
      <c r="I117">
        <v>149</v>
      </c>
      <c r="J117" s="61"/>
      <c r="K117" s="13">
        <v>45897</v>
      </c>
      <c r="L117" t="s">
        <v>688</v>
      </c>
      <c r="M117">
        <v>12.6</v>
      </c>
    </row>
    <row r="118" spans="1:13" s="27" customFormat="1" x14ac:dyDescent="0.25">
      <c r="A118" t="s">
        <v>24</v>
      </c>
      <c r="B118" s="61"/>
      <c r="C118" s="61"/>
      <c r="D118" t="s">
        <v>29</v>
      </c>
      <c r="E118">
        <v>1999</v>
      </c>
      <c r="F118">
        <v>4</v>
      </c>
      <c r="G118">
        <v>1</v>
      </c>
      <c r="H118">
        <v>1</v>
      </c>
      <c r="I118">
        <v>149</v>
      </c>
      <c r="J118" s="61"/>
      <c r="K118" s="13">
        <v>45897</v>
      </c>
      <c r="L118" t="s">
        <v>689</v>
      </c>
      <c r="M118">
        <v>12.1</v>
      </c>
    </row>
    <row r="119" spans="1:13" s="27" customFormat="1" x14ac:dyDescent="0.25">
      <c r="A119" t="s">
        <v>24</v>
      </c>
      <c r="B119" s="61"/>
      <c r="C119" s="61"/>
      <c r="D119" t="s">
        <v>29</v>
      </c>
      <c r="E119">
        <v>1999</v>
      </c>
      <c r="F119">
        <v>4</v>
      </c>
      <c r="G119">
        <v>1</v>
      </c>
      <c r="H119">
        <v>1</v>
      </c>
      <c r="I119">
        <v>149</v>
      </c>
      <c r="J119" s="61"/>
      <c r="K119" s="13">
        <v>45911</v>
      </c>
      <c r="L119" t="s">
        <v>687</v>
      </c>
      <c r="M119">
        <v>13.3</v>
      </c>
    </row>
    <row r="120" spans="1:13" s="27" customFormat="1" x14ac:dyDescent="0.25">
      <c r="A120" t="s">
        <v>24</v>
      </c>
      <c r="B120" s="61"/>
      <c r="C120" s="61"/>
      <c r="D120" t="s">
        <v>29</v>
      </c>
      <c r="E120">
        <v>1999</v>
      </c>
      <c r="F120">
        <v>4</v>
      </c>
      <c r="G120">
        <v>1</v>
      </c>
      <c r="H120">
        <v>1</v>
      </c>
      <c r="I120">
        <v>149</v>
      </c>
      <c r="J120" s="61"/>
      <c r="K120" s="13">
        <v>45911</v>
      </c>
      <c r="L120" t="s">
        <v>688</v>
      </c>
      <c r="M120">
        <v>12.6</v>
      </c>
    </row>
    <row r="121" spans="1:13" s="27" customFormat="1" x14ac:dyDescent="0.25">
      <c r="A121" t="s">
        <v>24</v>
      </c>
      <c r="B121" s="61"/>
      <c r="C121" s="61"/>
      <c r="D121" t="s">
        <v>29</v>
      </c>
      <c r="E121">
        <v>1999</v>
      </c>
      <c r="F121">
        <v>4</v>
      </c>
      <c r="G121">
        <v>1</v>
      </c>
      <c r="H121">
        <v>1</v>
      </c>
      <c r="I121">
        <v>149</v>
      </c>
      <c r="J121" s="61"/>
      <c r="K121" s="13">
        <v>45911</v>
      </c>
      <c r="L121" t="s">
        <v>689</v>
      </c>
      <c r="M121">
        <v>13.5</v>
      </c>
    </row>
    <row r="122" spans="1:13" x14ac:dyDescent="0.25">
      <c r="A122" t="s">
        <v>24</v>
      </c>
      <c r="D122" t="s">
        <v>312</v>
      </c>
      <c r="E122">
        <v>2002</v>
      </c>
      <c r="F122">
        <v>1</v>
      </c>
      <c r="G122">
        <v>2</v>
      </c>
      <c r="H122">
        <v>1</v>
      </c>
      <c r="I122">
        <v>102</v>
      </c>
      <c r="J122" s="6"/>
      <c r="K122" s="13">
        <v>45796</v>
      </c>
      <c r="L122" t="s">
        <v>687</v>
      </c>
      <c r="M122">
        <v>5.0999999999999996</v>
      </c>
    </row>
    <row r="123" spans="1:13" x14ac:dyDescent="0.25">
      <c r="A123" t="s">
        <v>24</v>
      </c>
      <c r="D123" t="s">
        <v>312</v>
      </c>
      <c r="E123">
        <v>2002</v>
      </c>
      <c r="F123">
        <v>1</v>
      </c>
      <c r="G123">
        <v>2</v>
      </c>
      <c r="H123">
        <v>1</v>
      </c>
      <c r="I123">
        <v>102</v>
      </c>
      <c r="J123" s="6"/>
      <c r="K123" s="13">
        <v>45796</v>
      </c>
      <c r="L123" t="s">
        <v>688</v>
      </c>
      <c r="M123">
        <v>5.0999999999999996</v>
      </c>
    </row>
    <row r="124" spans="1:13" x14ac:dyDescent="0.25">
      <c r="A124" t="s">
        <v>24</v>
      </c>
      <c r="D124" t="s">
        <v>312</v>
      </c>
      <c r="E124">
        <v>2002</v>
      </c>
      <c r="F124">
        <v>1</v>
      </c>
      <c r="G124">
        <v>2</v>
      </c>
      <c r="H124">
        <v>1</v>
      </c>
      <c r="I124">
        <v>102</v>
      </c>
      <c r="J124" s="6"/>
      <c r="K124" s="13">
        <v>45796</v>
      </c>
      <c r="L124" t="s">
        <v>689</v>
      </c>
      <c r="M124">
        <v>4.9000000000000004</v>
      </c>
    </row>
    <row r="125" spans="1:13" x14ac:dyDescent="0.25">
      <c r="A125" t="s">
        <v>24</v>
      </c>
      <c r="D125" t="s">
        <v>312</v>
      </c>
      <c r="E125">
        <v>2002</v>
      </c>
      <c r="F125">
        <v>1</v>
      </c>
      <c r="G125">
        <v>2</v>
      </c>
      <c r="H125">
        <v>1</v>
      </c>
      <c r="I125">
        <v>102</v>
      </c>
      <c r="J125" s="6"/>
      <c r="K125" s="13">
        <v>45820</v>
      </c>
      <c r="L125" t="s">
        <v>687</v>
      </c>
    </row>
    <row r="126" spans="1:13" x14ac:dyDescent="0.25">
      <c r="A126" t="s">
        <v>24</v>
      </c>
      <c r="D126" t="s">
        <v>312</v>
      </c>
      <c r="E126">
        <v>2002</v>
      </c>
      <c r="F126">
        <v>1</v>
      </c>
      <c r="G126">
        <v>2</v>
      </c>
      <c r="H126">
        <v>1</v>
      </c>
      <c r="I126">
        <v>102</v>
      </c>
      <c r="J126" s="6"/>
      <c r="K126" s="13">
        <v>45820</v>
      </c>
      <c r="L126" t="s">
        <v>688</v>
      </c>
    </row>
    <row r="127" spans="1:13" x14ac:dyDescent="0.25">
      <c r="A127" t="s">
        <v>24</v>
      </c>
      <c r="D127" t="s">
        <v>312</v>
      </c>
      <c r="E127">
        <v>2002</v>
      </c>
      <c r="F127">
        <v>1</v>
      </c>
      <c r="G127">
        <v>2</v>
      </c>
      <c r="H127">
        <v>1</v>
      </c>
      <c r="I127">
        <v>102</v>
      </c>
      <c r="J127" s="6"/>
      <c r="K127" s="13">
        <v>45820</v>
      </c>
      <c r="L127" t="s">
        <v>689</v>
      </c>
    </row>
    <row r="128" spans="1:13" x14ac:dyDescent="0.25">
      <c r="A128" t="s">
        <v>24</v>
      </c>
      <c r="D128" t="s">
        <v>312</v>
      </c>
      <c r="E128">
        <v>2002</v>
      </c>
      <c r="F128">
        <v>1</v>
      </c>
      <c r="G128">
        <v>2</v>
      </c>
      <c r="H128">
        <v>1</v>
      </c>
      <c r="I128">
        <v>102</v>
      </c>
      <c r="J128" s="6"/>
      <c r="K128" s="13">
        <v>45825</v>
      </c>
      <c r="L128" t="s">
        <v>687</v>
      </c>
      <c r="M128">
        <v>6.3</v>
      </c>
    </row>
    <row r="129" spans="1:13" x14ac:dyDescent="0.25">
      <c r="A129" t="s">
        <v>24</v>
      </c>
      <c r="D129" t="s">
        <v>312</v>
      </c>
      <c r="E129">
        <v>2002</v>
      </c>
      <c r="F129">
        <v>1</v>
      </c>
      <c r="G129">
        <v>2</v>
      </c>
      <c r="H129">
        <v>1</v>
      </c>
      <c r="I129">
        <v>102</v>
      </c>
      <c r="J129" s="6"/>
      <c r="K129" s="13">
        <v>45825</v>
      </c>
      <c r="L129" t="s">
        <v>688</v>
      </c>
      <c r="M129">
        <v>6.5</v>
      </c>
    </row>
    <row r="130" spans="1:13" x14ac:dyDescent="0.25">
      <c r="A130" t="s">
        <v>24</v>
      </c>
      <c r="D130" t="s">
        <v>312</v>
      </c>
      <c r="E130">
        <v>2002</v>
      </c>
      <c r="F130">
        <v>1</v>
      </c>
      <c r="G130">
        <v>2</v>
      </c>
      <c r="H130">
        <v>1</v>
      </c>
      <c r="I130">
        <v>102</v>
      </c>
      <c r="J130" s="6"/>
      <c r="K130" s="13">
        <v>45825</v>
      </c>
      <c r="L130" t="s">
        <v>689</v>
      </c>
      <c r="M130">
        <v>6.3</v>
      </c>
    </row>
    <row r="131" spans="1:13" x14ac:dyDescent="0.25">
      <c r="A131" t="s">
        <v>24</v>
      </c>
      <c r="D131" t="s">
        <v>312</v>
      </c>
      <c r="E131">
        <v>2002</v>
      </c>
      <c r="F131">
        <v>1</v>
      </c>
      <c r="G131">
        <v>2</v>
      </c>
      <c r="H131">
        <v>1</v>
      </c>
      <c r="I131">
        <v>102</v>
      </c>
      <c r="J131" s="6"/>
      <c r="K131" s="13">
        <v>45827</v>
      </c>
      <c r="L131" t="s">
        <v>687</v>
      </c>
    </row>
    <row r="132" spans="1:13" x14ac:dyDescent="0.25">
      <c r="A132" t="s">
        <v>24</v>
      </c>
      <c r="D132" t="s">
        <v>312</v>
      </c>
      <c r="E132">
        <v>2002</v>
      </c>
      <c r="F132">
        <v>1</v>
      </c>
      <c r="G132">
        <v>2</v>
      </c>
      <c r="H132">
        <v>1</v>
      </c>
      <c r="I132">
        <v>102</v>
      </c>
      <c r="J132" s="6"/>
      <c r="K132" s="13">
        <v>45827</v>
      </c>
      <c r="L132" t="s">
        <v>688</v>
      </c>
    </row>
    <row r="133" spans="1:13" x14ac:dyDescent="0.25">
      <c r="A133" t="s">
        <v>24</v>
      </c>
      <c r="D133" t="s">
        <v>312</v>
      </c>
      <c r="E133">
        <v>2002</v>
      </c>
      <c r="F133">
        <v>1</v>
      </c>
      <c r="G133">
        <v>2</v>
      </c>
      <c r="H133">
        <v>1</v>
      </c>
      <c r="I133">
        <v>102</v>
      </c>
      <c r="J133" s="6"/>
      <c r="K133" s="13">
        <v>45827</v>
      </c>
      <c r="L133" t="s">
        <v>689</v>
      </c>
    </row>
    <row r="134" spans="1:13" x14ac:dyDescent="0.25">
      <c r="A134" t="s">
        <v>24</v>
      </c>
      <c r="D134" t="s">
        <v>312</v>
      </c>
      <c r="E134">
        <v>2002</v>
      </c>
      <c r="F134">
        <v>1</v>
      </c>
      <c r="G134">
        <v>2</v>
      </c>
      <c r="H134">
        <v>1</v>
      </c>
      <c r="I134">
        <v>102</v>
      </c>
      <c r="J134" s="6"/>
      <c r="K134" s="13">
        <v>45859</v>
      </c>
      <c r="L134" t="s">
        <v>687</v>
      </c>
      <c r="M134">
        <v>8.1999999999999993</v>
      </c>
    </row>
    <row r="135" spans="1:13" x14ac:dyDescent="0.25">
      <c r="A135" t="s">
        <v>24</v>
      </c>
      <c r="D135" t="s">
        <v>312</v>
      </c>
      <c r="E135">
        <v>2002</v>
      </c>
      <c r="F135">
        <v>1</v>
      </c>
      <c r="G135">
        <v>2</v>
      </c>
      <c r="H135">
        <v>1</v>
      </c>
      <c r="I135">
        <v>102</v>
      </c>
      <c r="J135" s="6"/>
      <c r="K135" s="13">
        <v>45859</v>
      </c>
      <c r="L135" t="s">
        <v>688</v>
      </c>
      <c r="M135">
        <v>8.3000000000000007</v>
      </c>
    </row>
    <row r="136" spans="1:13" x14ac:dyDescent="0.25">
      <c r="A136" t="s">
        <v>24</v>
      </c>
      <c r="D136" t="s">
        <v>312</v>
      </c>
      <c r="E136">
        <v>2002</v>
      </c>
      <c r="F136">
        <v>1</v>
      </c>
      <c r="G136">
        <v>2</v>
      </c>
      <c r="H136">
        <v>1</v>
      </c>
      <c r="I136">
        <v>102</v>
      </c>
      <c r="J136" s="6"/>
      <c r="K136" s="13">
        <v>45859</v>
      </c>
      <c r="L136" t="s">
        <v>689</v>
      </c>
      <c r="M136">
        <v>8.1999999999999993</v>
      </c>
    </row>
    <row r="137" spans="1:13" x14ac:dyDescent="0.25">
      <c r="A137" t="s">
        <v>24</v>
      </c>
      <c r="D137" t="s">
        <v>312</v>
      </c>
      <c r="E137">
        <v>2002</v>
      </c>
      <c r="F137">
        <v>1</v>
      </c>
      <c r="G137">
        <v>2</v>
      </c>
      <c r="H137">
        <v>1</v>
      </c>
      <c r="I137">
        <v>102</v>
      </c>
      <c r="J137" s="6"/>
      <c r="K137" s="13">
        <v>45868</v>
      </c>
      <c r="L137" t="s">
        <v>687</v>
      </c>
      <c r="M137">
        <v>8.6999999999999993</v>
      </c>
    </row>
    <row r="138" spans="1:13" x14ac:dyDescent="0.25">
      <c r="A138" t="s">
        <v>24</v>
      </c>
      <c r="D138" t="s">
        <v>312</v>
      </c>
      <c r="E138">
        <v>2002</v>
      </c>
      <c r="F138">
        <v>1</v>
      </c>
      <c r="G138">
        <v>2</v>
      </c>
      <c r="H138">
        <v>1</v>
      </c>
      <c r="I138">
        <v>102</v>
      </c>
      <c r="J138" s="6"/>
      <c r="K138" s="13">
        <v>45868</v>
      </c>
      <c r="L138" t="s">
        <v>688</v>
      </c>
      <c r="M138">
        <v>8.6999999999999993</v>
      </c>
    </row>
    <row r="139" spans="1:13" x14ac:dyDescent="0.25">
      <c r="A139" t="s">
        <v>24</v>
      </c>
      <c r="D139" t="s">
        <v>312</v>
      </c>
      <c r="E139">
        <v>2002</v>
      </c>
      <c r="F139">
        <v>1</v>
      </c>
      <c r="G139">
        <v>2</v>
      </c>
      <c r="H139">
        <v>1</v>
      </c>
      <c r="I139">
        <v>102</v>
      </c>
      <c r="J139" s="6"/>
      <c r="K139" s="13">
        <v>45868</v>
      </c>
      <c r="L139" t="s">
        <v>689</v>
      </c>
    </row>
    <row r="140" spans="1:13" x14ac:dyDescent="0.25">
      <c r="A140" t="s">
        <v>24</v>
      </c>
      <c r="D140" t="s">
        <v>312</v>
      </c>
      <c r="E140">
        <v>2002</v>
      </c>
      <c r="F140">
        <v>1</v>
      </c>
      <c r="G140">
        <v>2</v>
      </c>
      <c r="H140">
        <v>1</v>
      </c>
      <c r="I140">
        <v>102</v>
      </c>
      <c r="J140" s="6"/>
      <c r="K140" s="13">
        <v>45875</v>
      </c>
      <c r="L140" t="s">
        <v>687</v>
      </c>
      <c r="M140">
        <v>9.5</v>
      </c>
    </row>
    <row r="141" spans="1:13" x14ac:dyDescent="0.25">
      <c r="A141" t="s">
        <v>24</v>
      </c>
      <c r="D141" t="s">
        <v>312</v>
      </c>
      <c r="E141">
        <v>2002</v>
      </c>
      <c r="F141">
        <v>1</v>
      </c>
      <c r="G141">
        <v>2</v>
      </c>
      <c r="H141">
        <v>1</v>
      </c>
      <c r="I141">
        <v>102</v>
      </c>
      <c r="J141" s="6"/>
      <c r="K141" s="13">
        <v>45875</v>
      </c>
      <c r="L141" t="s">
        <v>688</v>
      </c>
      <c r="M141">
        <v>10.3</v>
      </c>
    </row>
    <row r="142" spans="1:13" x14ac:dyDescent="0.25">
      <c r="A142" t="s">
        <v>24</v>
      </c>
      <c r="D142" t="s">
        <v>312</v>
      </c>
      <c r="E142">
        <v>2002</v>
      </c>
      <c r="F142">
        <v>1</v>
      </c>
      <c r="G142">
        <v>2</v>
      </c>
      <c r="H142">
        <v>1</v>
      </c>
      <c r="I142">
        <v>102</v>
      </c>
      <c r="J142" s="6"/>
      <c r="K142" s="13">
        <v>45875</v>
      </c>
      <c r="L142" t="s">
        <v>689</v>
      </c>
      <c r="M142">
        <v>9.4</v>
      </c>
    </row>
    <row r="143" spans="1:13" x14ac:dyDescent="0.25">
      <c r="A143" t="s">
        <v>24</v>
      </c>
      <c r="D143" t="s">
        <v>312</v>
      </c>
      <c r="E143">
        <v>2002</v>
      </c>
      <c r="F143">
        <v>1</v>
      </c>
      <c r="G143">
        <v>2</v>
      </c>
      <c r="H143">
        <v>1</v>
      </c>
      <c r="I143">
        <v>102</v>
      </c>
      <c r="J143" s="6"/>
      <c r="K143" s="13">
        <v>45880</v>
      </c>
      <c r="L143" t="s">
        <v>687</v>
      </c>
    </row>
    <row r="144" spans="1:13" x14ac:dyDescent="0.25">
      <c r="A144" t="s">
        <v>24</v>
      </c>
      <c r="D144" t="s">
        <v>312</v>
      </c>
      <c r="E144">
        <v>2002</v>
      </c>
      <c r="F144">
        <v>1</v>
      </c>
      <c r="G144">
        <v>2</v>
      </c>
      <c r="H144">
        <v>1</v>
      </c>
      <c r="I144">
        <v>102</v>
      </c>
      <c r="J144" s="6"/>
      <c r="K144" s="13">
        <v>45880</v>
      </c>
      <c r="L144" t="s">
        <v>688</v>
      </c>
    </row>
    <row r="145" spans="1:13" x14ac:dyDescent="0.25">
      <c r="A145" t="s">
        <v>24</v>
      </c>
      <c r="D145" t="s">
        <v>312</v>
      </c>
      <c r="E145">
        <v>2002</v>
      </c>
      <c r="F145">
        <v>1</v>
      </c>
      <c r="G145">
        <v>2</v>
      </c>
      <c r="H145">
        <v>1</v>
      </c>
      <c r="I145">
        <v>102</v>
      </c>
      <c r="J145" s="6"/>
      <c r="K145" s="13">
        <v>45880</v>
      </c>
      <c r="L145" t="s">
        <v>689</v>
      </c>
    </row>
    <row r="146" spans="1:13" x14ac:dyDescent="0.25">
      <c r="A146" t="s">
        <v>24</v>
      </c>
      <c r="D146" t="s">
        <v>312</v>
      </c>
      <c r="E146">
        <v>2002</v>
      </c>
      <c r="F146">
        <v>1</v>
      </c>
      <c r="G146">
        <v>2</v>
      </c>
      <c r="H146">
        <v>1</v>
      </c>
      <c r="I146">
        <v>102</v>
      </c>
      <c r="J146" s="6"/>
      <c r="K146" s="13">
        <v>45897</v>
      </c>
      <c r="L146" t="s">
        <v>687</v>
      </c>
      <c r="M146">
        <v>11.1</v>
      </c>
    </row>
    <row r="147" spans="1:13" x14ac:dyDescent="0.25">
      <c r="A147" t="s">
        <v>24</v>
      </c>
      <c r="D147" t="s">
        <v>312</v>
      </c>
      <c r="E147">
        <v>2002</v>
      </c>
      <c r="F147">
        <v>1</v>
      </c>
      <c r="G147">
        <v>2</v>
      </c>
      <c r="H147">
        <v>1</v>
      </c>
      <c r="I147">
        <v>102</v>
      </c>
      <c r="J147" s="6"/>
      <c r="K147" s="13">
        <v>45897</v>
      </c>
      <c r="L147" t="s">
        <v>688</v>
      </c>
      <c r="M147">
        <v>11.4</v>
      </c>
    </row>
    <row r="148" spans="1:13" x14ac:dyDescent="0.25">
      <c r="A148" t="s">
        <v>24</v>
      </c>
      <c r="D148" t="s">
        <v>312</v>
      </c>
      <c r="E148">
        <v>2002</v>
      </c>
      <c r="F148">
        <v>1</v>
      </c>
      <c r="G148">
        <v>2</v>
      </c>
      <c r="H148">
        <v>1</v>
      </c>
      <c r="I148">
        <v>102</v>
      </c>
      <c r="J148" s="6"/>
      <c r="K148" s="13">
        <v>45897</v>
      </c>
      <c r="L148" t="s">
        <v>689</v>
      </c>
      <c r="M148">
        <v>12.6</v>
      </c>
    </row>
    <row r="149" spans="1:13" x14ac:dyDescent="0.25">
      <c r="A149" t="s">
        <v>24</v>
      </c>
      <c r="D149" t="s">
        <v>312</v>
      </c>
      <c r="E149">
        <v>2002</v>
      </c>
      <c r="F149">
        <v>1</v>
      </c>
      <c r="G149">
        <v>2</v>
      </c>
      <c r="H149">
        <v>1</v>
      </c>
      <c r="I149">
        <v>102</v>
      </c>
      <c r="J149" s="6"/>
      <c r="K149" s="13">
        <v>45911</v>
      </c>
      <c r="L149" t="s">
        <v>687</v>
      </c>
      <c r="M149">
        <v>11.9</v>
      </c>
    </row>
    <row r="150" spans="1:13" x14ac:dyDescent="0.25">
      <c r="A150" t="s">
        <v>24</v>
      </c>
      <c r="D150" t="s">
        <v>312</v>
      </c>
      <c r="E150">
        <v>2002</v>
      </c>
      <c r="F150">
        <v>1</v>
      </c>
      <c r="G150">
        <v>2</v>
      </c>
      <c r="H150">
        <v>1</v>
      </c>
      <c r="I150">
        <v>102</v>
      </c>
      <c r="J150" s="6"/>
      <c r="K150" s="13">
        <v>45911</v>
      </c>
      <c r="L150" t="s">
        <v>688</v>
      </c>
      <c r="M150">
        <v>12.3</v>
      </c>
    </row>
    <row r="151" spans="1:13" x14ac:dyDescent="0.25">
      <c r="A151" t="s">
        <v>24</v>
      </c>
      <c r="D151" t="s">
        <v>312</v>
      </c>
      <c r="E151">
        <v>2002</v>
      </c>
      <c r="F151">
        <v>1</v>
      </c>
      <c r="G151">
        <v>2</v>
      </c>
      <c r="H151">
        <v>1</v>
      </c>
      <c r="I151">
        <v>102</v>
      </c>
      <c r="J151" s="6"/>
      <c r="K151" s="13">
        <v>45911</v>
      </c>
      <c r="L151" t="s">
        <v>689</v>
      </c>
    </row>
    <row r="152" spans="1:13" x14ac:dyDescent="0.25">
      <c r="A152" t="s">
        <v>24</v>
      </c>
      <c r="D152" t="s">
        <v>311</v>
      </c>
      <c r="E152">
        <v>2023</v>
      </c>
      <c r="F152">
        <v>2</v>
      </c>
      <c r="G152">
        <v>2</v>
      </c>
      <c r="H152">
        <v>1</v>
      </c>
      <c r="I152">
        <v>118</v>
      </c>
      <c r="J152" s="6"/>
      <c r="K152" s="13">
        <v>45796</v>
      </c>
      <c r="L152" t="s">
        <v>687</v>
      </c>
      <c r="M152">
        <v>4.8</v>
      </c>
    </row>
    <row r="153" spans="1:13" x14ac:dyDescent="0.25">
      <c r="A153" t="s">
        <v>24</v>
      </c>
      <c r="D153" t="s">
        <v>311</v>
      </c>
      <c r="E153">
        <v>2023</v>
      </c>
      <c r="F153">
        <v>2</v>
      </c>
      <c r="G153">
        <v>2</v>
      </c>
      <c r="H153">
        <v>1</v>
      </c>
      <c r="I153">
        <v>118</v>
      </c>
      <c r="J153" s="6"/>
      <c r="K153" s="13">
        <v>45796</v>
      </c>
      <c r="L153" t="s">
        <v>688</v>
      </c>
      <c r="M153">
        <v>4.9000000000000004</v>
      </c>
    </row>
    <row r="154" spans="1:13" x14ac:dyDescent="0.25">
      <c r="A154" t="s">
        <v>24</v>
      </c>
      <c r="B154" s="54"/>
      <c r="C154" s="55"/>
      <c r="D154" t="s">
        <v>311</v>
      </c>
      <c r="E154">
        <v>2023</v>
      </c>
      <c r="F154">
        <v>2</v>
      </c>
      <c r="G154">
        <v>2</v>
      </c>
      <c r="H154">
        <v>1</v>
      </c>
      <c r="I154">
        <v>118</v>
      </c>
      <c r="J154" s="6"/>
      <c r="K154" s="13">
        <v>45796</v>
      </c>
      <c r="L154" t="s">
        <v>689</v>
      </c>
      <c r="M154">
        <v>4.9000000000000004</v>
      </c>
    </row>
    <row r="155" spans="1:13" x14ac:dyDescent="0.25">
      <c r="A155" t="s">
        <v>24</v>
      </c>
      <c r="D155" t="s">
        <v>311</v>
      </c>
      <c r="E155">
        <v>2023</v>
      </c>
      <c r="F155">
        <v>2</v>
      </c>
      <c r="G155">
        <v>2</v>
      </c>
      <c r="H155">
        <v>1</v>
      </c>
      <c r="I155">
        <v>118</v>
      </c>
      <c r="J155" s="6"/>
      <c r="K155" s="13">
        <v>45820</v>
      </c>
      <c r="L155" t="s">
        <v>687</v>
      </c>
    </row>
    <row r="156" spans="1:13" x14ac:dyDescent="0.25">
      <c r="A156" t="s">
        <v>24</v>
      </c>
      <c r="D156" t="s">
        <v>311</v>
      </c>
      <c r="E156">
        <v>2023</v>
      </c>
      <c r="F156">
        <v>2</v>
      </c>
      <c r="G156">
        <v>2</v>
      </c>
      <c r="H156">
        <v>1</v>
      </c>
      <c r="I156">
        <v>118</v>
      </c>
      <c r="J156" s="6"/>
      <c r="K156" s="13">
        <v>45820</v>
      </c>
      <c r="L156" t="s">
        <v>688</v>
      </c>
    </row>
    <row r="157" spans="1:13" x14ac:dyDescent="0.25">
      <c r="A157" t="s">
        <v>24</v>
      </c>
      <c r="D157" t="s">
        <v>311</v>
      </c>
      <c r="E157">
        <v>2023</v>
      </c>
      <c r="F157">
        <v>2</v>
      </c>
      <c r="G157">
        <v>2</v>
      </c>
      <c r="H157">
        <v>1</v>
      </c>
      <c r="I157">
        <v>118</v>
      </c>
      <c r="J157" s="6"/>
      <c r="K157" s="13">
        <v>45820</v>
      </c>
      <c r="L157" t="s">
        <v>689</v>
      </c>
    </row>
    <row r="158" spans="1:13" x14ac:dyDescent="0.25">
      <c r="A158" t="s">
        <v>24</v>
      </c>
      <c r="D158" t="s">
        <v>311</v>
      </c>
      <c r="E158">
        <v>2023</v>
      </c>
      <c r="F158">
        <v>2</v>
      </c>
      <c r="G158">
        <v>2</v>
      </c>
      <c r="H158">
        <v>1</v>
      </c>
      <c r="I158">
        <v>118</v>
      </c>
      <c r="J158" s="6"/>
      <c r="K158" s="13">
        <v>45825</v>
      </c>
      <c r="L158" t="s">
        <v>687</v>
      </c>
      <c r="M158">
        <v>6.3</v>
      </c>
    </row>
    <row r="159" spans="1:13" x14ac:dyDescent="0.25">
      <c r="A159" t="s">
        <v>24</v>
      </c>
      <c r="D159" t="s">
        <v>311</v>
      </c>
      <c r="E159">
        <v>2023</v>
      </c>
      <c r="F159">
        <v>2</v>
      </c>
      <c r="G159">
        <v>2</v>
      </c>
      <c r="H159">
        <v>1</v>
      </c>
      <c r="I159">
        <v>118</v>
      </c>
      <c r="J159" s="6"/>
      <c r="K159" s="13">
        <v>45825</v>
      </c>
      <c r="L159" t="s">
        <v>688</v>
      </c>
      <c r="M159">
        <v>6.2</v>
      </c>
    </row>
    <row r="160" spans="1:13" x14ac:dyDescent="0.25">
      <c r="A160" t="s">
        <v>24</v>
      </c>
      <c r="D160" t="s">
        <v>311</v>
      </c>
      <c r="E160">
        <v>2023</v>
      </c>
      <c r="F160">
        <v>2</v>
      </c>
      <c r="G160">
        <v>2</v>
      </c>
      <c r="H160">
        <v>1</v>
      </c>
      <c r="I160">
        <v>118</v>
      </c>
      <c r="J160" s="6"/>
      <c r="K160" s="13">
        <v>45825</v>
      </c>
      <c r="L160" t="s">
        <v>689</v>
      </c>
      <c r="M160">
        <v>6.5</v>
      </c>
    </row>
    <row r="161" spans="1:13" x14ac:dyDescent="0.25">
      <c r="A161" t="s">
        <v>24</v>
      </c>
      <c r="D161" t="s">
        <v>311</v>
      </c>
      <c r="E161">
        <v>2023</v>
      </c>
      <c r="F161">
        <v>2</v>
      </c>
      <c r="G161">
        <v>2</v>
      </c>
      <c r="H161">
        <v>1</v>
      </c>
      <c r="I161">
        <v>118</v>
      </c>
      <c r="J161" s="6"/>
      <c r="K161" s="13">
        <v>45827</v>
      </c>
      <c r="L161" t="s">
        <v>687</v>
      </c>
    </row>
    <row r="162" spans="1:13" x14ac:dyDescent="0.25">
      <c r="A162" t="s">
        <v>24</v>
      </c>
      <c r="D162" t="s">
        <v>311</v>
      </c>
      <c r="E162">
        <v>2023</v>
      </c>
      <c r="F162">
        <v>2</v>
      </c>
      <c r="G162">
        <v>2</v>
      </c>
      <c r="H162">
        <v>1</v>
      </c>
      <c r="I162">
        <v>118</v>
      </c>
      <c r="J162" s="6"/>
      <c r="K162" s="13">
        <v>45827</v>
      </c>
      <c r="L162" t="s">
        <v>688</v>
      </c>
    </row>
    <row r="163" spans="1:13" x14ac:dyDescent="0.25">
      <c r="A163" t="s">
        <v>24</v>
      </c>
      <c r="D163" t="s">
        <v>311</v>
      </c>
      <c r="E163">
        <v>2023</v>
      </c>
      <c r="F163">
        <v>2</v>
      </c>
      <c r="G163">
        <v>2</v>
      </c>
      <c r="H163">
        <v>1</v>
      </c>
      <c r="I163">
        <v>118</v>
      </c>
      <c r="J163" s="6"/>
      <c r="K163" s="13">
        <v>45827</v>
      </c>
      <c r="L163" t="s">
        <v>689</v>
      </c>
    </row>
    <row r="164" spans="1:13" x14ac:dyDescent="0.25">
      <c r="A164" t="s">
        <v>24</v>
      </c>
      <c r="D164" t="s">
        <v>311</v>
      </c>
      <c r="E164">
        <v>2023</v>
      </c>
      <c r="F164">
        <v>2</v>
      </c>
      <c r="G164">
        <v>2</v>
      </c>
      <c r="H164">
        <v>1</v>
      </c>
      <c r="I164">
        <v>118</v>
      </c>
      <c r="J164" s="6"/>
      <c r="K164" s="13">
        <v>45859</v>
      </c>
      <c r="L164" t="s">
        <v>687</v>
      </c>
      <c r="M164">
        <v>8.6</v>
      </c>
    </row>
    <row r="165" spans="1:13" x14ac:dyDescent="0.25">
      <c r="A165" t="s">
        <v>24</v>
      </c>
      <c r="D165" t="s">
        <v>311</v>
      </c>
      <c r="E165">
        <v>2023</v>
      </c>
      <c r="F165">
        <v>2</v>
      </c>
      <c r="G165">
        <v>2</v>
      </c>
      <c r="H165">
        <v>1</v>
      </c>
      <c r="I165">
        <v>118</v>
      </c>
      <c r="J165" s="6"/>
      <c r="K165" s="13">
        <v>45859</v>
      </c>
      <c r="L165" t="s">
        <v>688</v>
      </c>
      <c r="M165">
        <v>8.3000000000000007</v>
      </c>
    </row>
    <row r="166" spans="1:13" x14ac:dyDescent="0.25">
      <c r="A166" t="s">
        <v>24</v>
      </c>
      <c r="D166" t="s">
        <v>311</v>
      </c>
      <c r="E166">
        <v>2023</v>
      </c>
      <c r="F166">
        <v>2</v>
      </c>
      <c r="G166">
        <v>2</v>
      </c>
      <c r="H166">
        <v>1</v>
      </c>
      <c r="I166">
        <v>118</v>
      </c>
      <c r="J166" s="6"/>
      <c r="K166" s="13">
        <v>45859</v>
      </c>
      <c r="L166" t="s">
        <v>689</v>
      </c>
      <c r="M166">
        <v>8.3000000000000007</v>
      </c>
    </row>
    <row r="167" spans="1:13" x14ac:dyDescent="0.25">
      <c r="A167" t="s">
        <v>24</v>
      </c>
      <c r="D167" t="s">
        <v>311</v>
      </c>
      <c r="E167">
        <v>2023</v>
      </c>
      <c r="F167">
        <v>2</v>
      </c>
      <c r="G167">
        <v>2</v>
      </c>
      <c r="H167">
        <v>1</v>
      </c>
      <c r="I167">
        <v>118</v>
      </c>
      <c r="J167" s="6"/>
      <c r="K167" s="13">
        <v>45868</v>
      </c>
      <c r="L167" t="s">
        <v>687</v>
      </c>
      <c r="M167">
        <v>8.9</v>
      </c>
    </row>
    <row r="168" spans="1:13" x14ac:dyDescent="0.25">
      <c r="A168" t="s">
        <v>24</v>
      </c>
      <c r="D168" t="s">
        <v>311</v>
      </c>
      <c r="E168">
        <v>2023</v>
      </c>
      <c r="F168">
        <v>2</v>
      </c>
      <c r="G168">
        <v>2</v>
      </c>
      <c r="H168">
        <v>1</v>
      </c>
      <c r="I168">
        <v>118</v>
      </c>
      <c r="J168" s="6"/>
      <c r="K168" s="13">
        <v>45868</v>
      </c>
      <c r="L168" t="s">
        <v>688</v>
      </c>
      <c r="M168">
        <v>9.5</v>
      </c>
    </row>
    <row r="169" spans="1:13" x14ac:dyDescent="0.25">
      <c r="A169" t="s">
        <v>24</v>
      </c>
      <c r="D169" t="s">
        <v>311</v>
      </c>
      <c r="E169">
        <v>2023</v>
      </c>
      <c r="F169">
        <v>2</v>
      </c>
      <c r="G169">
        <v>2</v>
      </c>
      <c r="H169">
        <v>1</v>
      </c>
      <c r="I169">
        <v>118</v>
      </c>
      <c r="J169" s="6"/>
      <c r="K169" s="13">
        <v>45868</v>
      </c>
      <c r="L169" t="s">
        <v>689</v>
      </c>
      <c r="M169">
        <v>9.6</v>
      </c>
    </row>
    <row r="170" spans="1:13" x14ac:dyDescent="0.25">
      <c r="A170" t="s">
        <v>24</v>
      </c>
      <c r="D170" t="s">
        <v>311</v>
      </c>
      <c r="E170">
        <v>2023</v>
      </c>
      <c r="F170">
        <v>2</v>
      </c>
      <c r="G170">
        <v>2</v>
      </c>
      <c r="H170">
        <v>1</v>
      </c>
      <c r="I170">
        <v>118</v>
      </c>
      <c r="J170" s="6"/>
      <c r="K170" s="13">
        <v>45875</v>
      </c>
      <c r="L170" t="s">
        <v>687</v>
      </c>
      <c r="M170">
        <v>9.6</v>
      </c>
    </row>
    <row r="171" spans="1:13" x14ac:dyDescent="0.25">
      <c r="A171" t="s">
        <v>24</v>
      </c>
      <c r="D171" t="s">
        <v>311</v>
      </c>
      <c r="E171">
        <v>2023</v>
      </c>
      <c r="F171">
        <v>2</v>
      </c>
      <c r="G171">
        <v>2</v>
      </c>
      <c r="H171">
        <v>1</v>
      </c>
      <c r="I171">
        <v>118</v>
      </c>
      <c r="J171" s="6"/>
      <c r="K171" s="13">
        <v>45875</v>
      </c>
      <c r="L171" t="s">
        <v>688</v>
      </c>
      <c r="M171">
        <v>10.3</v>
      </c>
    </row>
    <row r="172" spans="1:13" x14ac:dyDescent="0.25">
      <c r="A172" t="s">
        <v>24</v>
      </c>
      <c r="D172" t="s">
        <v>311</v>
      </c>
      <c r="E172">
        <v>2023</v>
      </c>
      <c r="F172">
        <v>2</v>
      </c>
      <c r="G172">
        <v>2</v>
      </c>
      <c r="H172">
        <v>1</v>
      </c>
      <c r="I172">
        <v>118</v>
      </c>
      <c r="J172" s="6"/>
      <c r="K172" s="13">
        <v>45875</v>
      </c>
      <c r="L172" t="s">
        <v>689</v>
      </c>
      <c r="M172">
        <v>10.1</v>
      </c>
    </row>
    <row r="173" spans="1:13" x14ac:dyDescent="0.25">
      <c r="A173" t="s">
        <v>24</v>
      </c>
      <c r="D173" t="s">
        <v>311</v>
      </c>
      <c r="E173">
        <v>2023</v>
      </c>
      <c r="F173">
        <v>2</v>
      </c>
      <c r="G173">
        <v>2</v>
      </c>
      <c r="H173">
        <v>1</v>
      </c>
      <c r="I173">
        <v>118</v>
      </c>
      <c r="J173" s="6"/>
      <c r="K173" s="13">
        <v>45880</v>
      </c>
      <c r="L173" t="s">
        <v>687</v>
      </c>
    </row>
    <row r="174" spans="1:13" x14ac:dyDescent="0.25">
      <c r="A174" t="s">
        <v>24</v>
      </c>
      <c r="D174" t="s">
        <v>311</v>
      </c>
      <c r="E174">
        <v>2023</v>
      </c>
      <c r="F174">
        <v>2</v>
      </c>
      <c r="G174">
        <v>2</v>
      </c>
      <c r="H174">
        <v>1</v>
      </c>
      <c r="I174">
        <v>118</v>
      </c>
      <c r="J174" s="6"/>
      <c r="K174" s="13">
        <v>45880</v>
      </c>
      <c r="L174" t="s">
        <v>688</v>
      </c>
    </row>
    <row r="175" spans="1:13" x14ac:dyDescent="0.25">
      <c r="A175" t="s">
        <v>24</v>
      </c>
      <c r="D175" t="s">
        <v>311</v>
      </c>
      <c r="E175">
        <v>2023</v>
      </c>
      <c r="F175">
        <v>2</v>
      </c>
      <c r="G175">
        <v>2</v>
      </c>
      <c r="H175">
        <v>1</v>
      </c>
      <c r="I175">
        <v>118</v>
      </c>
      <c r="J175" s="6"/>
      <c r="K175" s="13">
        <v>45880</v>
      </c>
      <c r="L175" t="s">
        <v>689</v>
      </c>
    </row>
    <row r="176" spans="1:13" x14ac:dyDescent="0.25">
      <c r="A176" t="s">
        <v>24</v>
      </c>
      <c r="D176" t="s">
        <v>311</v>
      </c>
      <c r="E176">
        <v>2023</v>
      </c>
      <c r="F176">
        <v>2</v>
      </c>
      <c r="G176">
        <v>2</v>
      </c>
      <c r="H176">
        <v>1</v>
      </c>
      <c r="I176">
        <v>118</v>
      </c>
      <c r="J176" s="6"/>
      <c r="K176" s="13">
        <v>45897</v>
      </c>
      <c r="L176" t="s">
        <v>687</v>
      </c>
      <c r="M176">
        <v>11.1</v>
      </c>
    </row>
    <row r="177" spans="1:13" x14ac:dyDescent="0.25">
      <c r="A177" t="s">
        <v>24</v>
      </c>
      <c r="D177" t="s">
        <v>311</v>
      </c>
      <c r="E177">
        <v>2023</v>
      </c>
      <c r="F177">
        <v>2</v>
      </c>
      <c r="G177">
        <v>2</v>
      </c>
      <c r="H177">
        <v>1</v>
      </c>
      <c r="I177">
        <v>118</v>
      </c>
      <c r="J177" s="6"/>
      <c r="K177" s="13">
        <v>45897</v>
      </c>
      <c r="L177" t="s">
        <v>688</v>
      </c>
      <c r="M177">
        <v>11.7</v>
      </c>
    </row>
    <row r="178" spans="1:13" x14ac:dyDescent="0.25">
      <c r="A178" t="s">
        <v>24</v>
      </c>
      <c r="D178" t="s">
        <v>311</v>
      </c>
      <c r="E178">
        <v>2023</v>
      </c>
      <c r="F178">
        <v>2</v>
      </c>
      <c r="G178">
        <v>2</v>
      </c>
      <c r="H178">
        <v>1</v>
      </c>
      <c r="I178">
        <v>118</v>
      </c>
      <c r="J178" s="6"/>
      <c r="K178" s="13">
        <v>45897</v>
      </c>
      <c r="L178" t="s">
        <v>689</v>
      </c>
    </row>
    <row r="179" spans="1:13" x14ac:dyDescent="0.25">
      <c r="A179" t="s">
        <v>24</v>
      </c>
      <c r="D179" t="s">
        <v>311</v>
      </c>
      <c r="E179">
        <v>2023</v>
      </c>
      <c r="F179">
        <v>2</v>
      </c>
      <c r="G179">
        <v>2</v>
      </c>
      <c r="H179">
        <v>1</v>
      </c>
      <c r="I179">
        <v>118</v>
      </c>
      <c r="J179" s="6"/>
      <c r="K179" s="13">
        <v>45911</v>
      </c>
      <c r="L179" t="s">
        <v>687</v>
      </c>
      <c r="M179">
        <v>11.9</v>
      </c>
    </row>
    <row r="180" spans="1:13" x14ac:dyDescent="0.25">
      <c r="A180" t="s">
        <v>24</v>
      </c>
      <c r="D180" t="s">
        <v>311</v>
      </c>
      <c r="E180">
        <v>2023</v>
      </c>
      <c r="F180">
        <v>2</v>
      </c>
      <c r="G180">
        <v>2</v>
      </c>
      <c r="H180">
        <v>1</v>
      </c>
      <c r="I180">
        <v>118</v>
      </c>
      <c r="J180" s="6"/>
      <c r="K180" s="13">
        <v>45911</v>
      </c>
      <c r="L180" t="s">
        <v>688</v>
      </c>
      <c r="M180">
        <v>12</v>
      </c>
    </row>
    <row r="181" spans="1:13" x14ac:dyDescent="0.25">
      <c r="A181" t="s">
        <v>24</v>
      </c>
      <c r="D181" t="s">
        <v>311</v>
      </c>
      <c r="E181">
        <v>2023</v>
      </c>
      <c r="F181">
        <v>2</v>
      </c>
      <c r="G181">
        <v>2</v>
      </c>
      <c r="H181">
        <v>1</v>
      </c>
      <c r="I181">
        <v>118</v>
      </c>
      <c r="J181" s="6"/>
      <c r="K181" s="13">
        <v>45911</v>
      </c>
      <c r="L181" t="s">
        <v>689</v>
      </c>
      <c r="M181">
        <v>12</v>
      </c>
    </row>
    <row r="182" spans="1:13" x14ac:dyDescent="0.25">
      <c r="A182" t="s">
        <v>24</v>
      </c>
      <c r="D182" t="s">
        <v>27</v>
      </c>
      <c r="E182">
        <v>1985</v>
      </c>
      <c r="F182">
        <v>3</v>
      </c>
      <c r="G182">
        <v>2</v>
      </c>
      <c r="H182">
        <v>1</v>
      </c>
      <c r="I182">
        <v>134</v>
      </c>
      <c r="J182" s="6"/>
      <c r="K182" s="13">
        <v>45796</v>
      </c>
      <c r="L182" t="s">
        <v>687</v>
      </c>
      <c r="M182">
        <v>5.3</v>
      </c>
    </row>
    <row r="183" spans="1:13" x14ac:dyDescent="0.25">
      <c r="A183" t="s">
        <v>24</v>
      </c>
      <c r="D183" t="s">
        <v>27</v>
      </c>
      <c r="E183">
        <v>1985</v>
      </c>
      <c r="F183">
        <v>3</v>
      </c>
      <c r="G183">
        <v>2</v>
      </c>
      <c r="H183">
        <v>1</v>
      </c>
      <c r="I183">
        <v>134</v>
      </c>
      <c r="J183" s="6"/>
      <c r="K183" s="13">
        <v>45796</v>
      </c>
      <c r="L183" t="s">
        <v>688</v>
      </c>
      <c r="M183">
        <v>5.3</v>
      </c>
    </row>
    <row r="184" spans="1:13" x14ac:dyDescent="0.25">
      <c r="A184" t="s">
        <v>24</v>
      </c>
      <c r="D184" t="s">
        <v>27</v>
      </c>
      <c r="E184">
        <v>1985</v>
      </c>
      <c r="F184">
        <v>3</v>
      </c>
      <c r="G184">
        <v>2</v>
      </c>
      <c r="H184">
        <v>1</v>
      </c>
      <c r="I184">
        <v>134</v>
      </c>
      <c r="J184" s="6"/>
      <c r="K184" s="13">
        <v>45796</v>
      </c>
      <c r="L184" t="s">
        <v>689</v>
      </c>
      <c r="M184">
        <v>5.7</v>
      </c>
    </row>
    <row r="185" spans="1:13" x14ac:dyDescent="0.25">
      <c r="A185" t="s">
        <v>24</v>
      </c>
      <c r="D185" t="s">
        <v>27</v>
      </c>
      <c r="E185">
        <v>1985</v>
      </c>
      <c r="F185">
        <v>3</v>
      </c>
      <c r="G185">
        <v>2</v>
      </c>
      <c r="H185">
        <v>1</v>
      </c>
      <c r="I185">
        <v>134</v>
      </c>
      <c r="J185" s="6"/>
      <c r="K185" s="13">
        <v>45820</v>
      </c>
      <c r="L185" t="s">
        <v>687</v>
      </c>
    </row>
    <row r="186" spans="1:13" x14ac:dyDescent="0.25">
      <c r="A186" t="s">
        <v>24</v>
      </c>
      <c r="D186" t="s">
        <v>27</v>
      </c>
      <c r="E186">
        <v>1985</v>
      </c>
      <c r="F186">
        <v>3</v>
      </c>
      <c r="G186">
        <v>2</v>
      </c>
      <c r="H186">
        <v>1</v>
      </c>
      <c r="I186">
        <v>134</v>
      </c>
      <c r="J186" s="6"/>
      <c r="K186" s="13">
        <v>45820</v>
      </c>
      <c r="L186" t="s">
        <v>688</v>
      </c>
    </row>
    <row r="187" spans="1:13" x14ac:dyDescent="0.25">
      <c r="A187" t="s">
        <v>24</v>
      </c>
      <c r="D187" t="s">
        <v>27</v>
      </c>
      <c r="E187">
        <v>1985</v>
      </c>
      <c r="F187">
        <v>3</v>
      </c>
      <c r="G187">
        <v>2</v>
      </c>
      <c r="H187">
        <v>1</v>
      </c>
      <c r="I187">
        <v>134</v>
      </c>
      <c r="J187" s="6"/>
      <c r="K187" s="13">
        <v>45820</v>
      </c>
      <c r="L187" t="s">
        <v>689</v>
      </c>
    </row>
    <row r="188" spans="1:13" x14ac:dyDescent="0.25">
      <c r="A188" t="s">
        <v>24</v>
      </c>
      <c r="D188" t="s">
        <v>27</v>
      </c>
      <c r="E188">
        <v>1985</v>
      </c>
      <c r="F188">
        <v>3</v>
      </c>
      <c r="G188">
        <v>2</v>
      </c>
      <c r="H188">
        <v>1</v>
      </c>
      <c r="I188">
        <v>134</v>
      </c>
      <c r="J188" s="6"/>
      <c r="K188" s="13">
        <v>45825</v>
      </c>
      <c r="L188" t="s">
        <v>687</v>
      </c>
      <c r="M188">
        <v>6.4</v>
      </c>
    </row>
    <row r="189" spans="1:13" x14ac:dyDescent="0.25">
      <c r="A189" t="s">
        <v>24</v>
      </c>
      <c r="D189" t="s">
        <v>27</v>
      </c>
      <c r="E189">
        <v>1985</v>
      </c>
      <c r="F189">
        <v>3</v>
      </c>
      <c r="G189">
        <v>2</v>
      </c>
      <c r="H189">
        <v>1</v>
      </c>
      <c r="I189">
        <v>134</v>
      </c>
      <c r="J189" s="6"/>
      <c r="K189" s="13">
        <v>45825</v>
      </c>
      <c r="L189" t="s">
        <v>688</v>
      </c>
      <c r="M189">
        <v>6.5</v>
      </c>
    </row>
    <row r="190" spans="1:13" x14ac:dyDescent="0.25">
      <c r="A190" t="s">
        <v>24</v>
      </c>
      <c r="D190" t="s">
        <v>27</v>
      </c>
      <c r="E190">
        <v>1985</v>
      </c>
      <c r="F190">
        <v>3</v>
      </c>
      <c r="G190">
        <v>2</v>
      </c>
      <c r="H190">
        <v>1</v>
      </c>
      <c r="I190">
        <v>134</v>
      </c>
      <c r="J190" s="6"/>
      <c r="K190" s="13">
        <v>45825</v>
      </c>
      <c r="L190" t="s">
        <v>689</v>
      </c>
      <c r="M190">
        <v>6.6</v>
      </c>
    </row>
    <row r="191" spans="1:13" x14ac:dyDescent="0.25">
      <c r="A191" t="s">
        <v>24</v>
      </c>
      <c r="D191" t="s">
        <v>27</v>
      </c>
      <c r="E191">
        <v>1985</v>
      </c>
      <c r="F191">
        <v>3</v>
      </c>
      <c r="G191">
        <v>2</v>
      </c>
      <c r="H191">
        <v>1</v>
      </c>
      <c r="I191">
        <v>134</v>
      </c>
      <c r="J191" s="6"/>
      <c r="K191" s="13">
        <v>45827</v>
      </c>
      <c r="L191" t="s">
        <v>687</v>
      </c>
    </row>
    <row r="192" spans="1:13" x14ac:dyDescent="0.25">
      <c r="A192" t="s">
        <v>24</v>
      </c>
      <c r="D192" t="s">
        <v>27</v>
      </c>
      <c r="E192">
        <v>1985</v>
      </c>
      <c r="F192">
        <v>3</v>
      </c>
      <c r="G192">
        <v>2</v>
      </c>
      <c r="H192">
        <v>1</v>
      </c>
      <c r="I192">
        <v>134</v>
      </c>
      <c r="J192" s="6"/>
      <c r="K192" s="13">
        <v>45827</v>
      </c>
      <c r="L192" t="s">
        <v>688</v>
      </c>
    </row>
    <row r="193" spans="1:13" x14ac:dyDescent="0.25">
      <c r="A193" t="s">
        <v>24</v>
      </c>
      <c r="D193" t="s">
        <v>27</v>
      </c>
      <c r="E193">
        <v>1985</v>
      </c>
      <c r="F193">
        <v>3</v>
      </c>
      <c r="G193">
        <v>2</v>
      </c>
      <c r="H193">
        <v>1</v>
      </c>
      <c r="I193">
        <v>134</v>
      </c>
      <c r="J193" s="6"/>
      <c r="K193" s="13">
        <v>45827</v>
      </c>
      <c r="L193" t="s">
        <v>689</v>
      </c>
    </row>
    <row r="194" spans="1:13" x14ac:dyDescent="0.25">
      <c r="A194" t="s">
        <v>24</v>
      </c>
      <c r="D194" t="s">
        <v>27</v>
      </c>
      <c r="E194">
        <v>1985</v>
      </c>
      <c r="F194">
        <v>3</v>
      </c>
      <c r="G194">
        <v>2</v>
      </c>
      <c r="H194">
        <v>1</v>
      </c>
      <c r="I194">
        <v>134</v>
      </c>
      <c r="J194" s="6"/>
      <c r="K194" s="13">
        <v>45859</v>
      </c>
      <c r="L194" t="s">
        <v>687</v>
      </c>
      <c r="M194">
        <v>8.6</v>
      </c>
    </row>
    <row r="195" spans="1:13" x14ac:dyDescent="0.25">
      <c r="A195" t="s">
        <v>24</v>
      </c>
      <c r="D195" t="s">
        <v>27</v>
      </c>
      <c r="E195">
        <v>1985</v>
      </c>
      <c r="F195">
        <v>3</v>
      </c>
      <c r="G195">
        <v>2</v>
      </c>
      <c r="H195">
        <v>1</v>
      </c>
      <c r="I195">
        <v>134</v>
      </c>
      <c r="J195" s="6"/>
      <c r="K195" s="13">
        <v>45859</v>
      </c>
      <c r="L195" t="s">
        <v>688</v>
      </c>
      <c r="M195">
        <v>8.3000000000000007</v>
      </c>
    </row>
    <row r="196" spans="1:13" x14ac:dyDescent="0.25">
      <c r="A196" t="s">
        <v>24</v>
      </c>
      <c r="D196" t="s">
        <v>27</v>
      </c>
      <c r="E196">
        <v>1985</v>
      </c>
      <c r="F196">
        <v>3</v>
      </c>
      <c r="G196">
        <v>2</v>
      </c>
      <c r="H196">
        <v>1</v>
      </c>
      <c r="I196">
        <v>134</v>
      </c>
      <c r="J196" s="6"/>
      <c r="K196" s="13">
        <v>45859</v>
      </c>
      <c r="L196" t="s">
        <v>689</v>
      </c>
      <c r="M196">
        <v>8.6999999999999993</v>
      </c>
    </row>
    <row r="197" spans="1:13" x14ac:dyDescent="0.25">
      <c r="A197" t="s">
        <v>24</v>
      </c>
      <c r="D197" t="s">
        <v>27</v>
      </c>
      <c r="E197">
        <v>1985</v>
      </c>
      <c r="F197">
        <v>3</v>
      </c>
      <c r="G197">
        <v>2</v>
      </c>
      <c r="H197">
        <v>1</v>
      </c>
      <c r="I197">
        <v>134</v>
      </c>
      <c r="J197" s="6"/>
      <c r="K197" s="13">
        <v>45868</v>
      </c>
      <c r="L197" t="s">
        <v>687</v>
      </c>
      <c r="M197">
        <v>9.5</v>
      </c>
    </row>
    <row r="198" spans="1:13" x14ac:dyDescent="0.25">
      <c r="A198" t="s">
        <v>24</v>
      </c>
      <c r="D198" t="s">
        <v>27</v>
      </c>
      <c r="E198">
        <v>1985</v>
      </c>
      <c r="F198">
        <v>3</v>
      </c>
      <c r="G198">
        <v>2</v>
      </c>
      <c r="H198">
        <v>1</v>
      </c>
      <c r="I198">
        <v>134</v>
      </c>
      <c r="J198" s="6"/>
      <c r="K198" s="13">
        <v>45868</v>
      </c>
      <c r="L198" t="s">
        <v>688</v>
      </c>
      <c r="M198">
        <v>9.3000000000000007</v>
      </c>
    </row>
    <row r="199" spans="1:13" x14ac:dyDescent="0.25">
      <c r="A199" t="s">
        <v>24</v>
      </c>
      <c r="D199" t="s">
        <v>27</v>
      </c>
      <c r="E199">
        <v>1985</v>
      </c>
      <c r="F199">
        <v>3</v>
      </c>
      <c r="G199">
        <v>2</v>
      </c>
      <c r="H199">
        <v>1</v>
      </c>
      <c r="I199">
        <v>134</v>
      </c>
      <c r="J199" s="6"/>
      <c r="K199" s="13">
        <v>45868</v>
      </c>
      <c r="L199" t="s">
        <v>689</v>
      </c>
      <c r="M199">
        <v>9.6</v>
      </c>
    </row>
    <row r="200" spans="1:13" x14ac:dyDescent="0.25">
      <c r="A200" t="s">
        <v>24</v>
      </c>
      <c r="D200" t="s">
        <v>27</v>
      </c>
      <c r="E200">
        <v>1985</v>
      </c>
      <c r="F200">
        <v>3</v>
      </c>
      <c r="G200">
        <v>2</v>
      </c>
      <c r="H200">
        <v>1</v>
      </c>
      <c r="I200">
        <v>134</v>
      </c>
      <c r="J200" s="6"/>
      <c r="K200" s="13">
        <v>45875</v>
      </c>
      <c r="L200" t="s">
        <v>687</v>
      </c>
      <c r="M200">
        <v>10.3</v>
      </c>
    </row>
    <row r="201" spans="1:13" x14ac:dyDescent="0.25">
      <c r="A201" t="s">
        <v>24</v>
      </c>
      <c r="D201" t="s">
        <v>27</v>
      </c>
      <c r="E201">
        <v>1985</v>
      </c>
      <c r="F201">
        <v>3</v>
      </c>
      <c r="G201">
        <v>2</v>
      </c>
      <c r="H201">
        <v>1</v>
      </c>
      <c r="I201">
        <v>134</v>
      </c>
      <c r="J201" s="6"/>
      <c r="K201" s="13">
        <v>45875</v>
      </c>
      <c r="L201" t="s">
        <v>688</v>
      </c>
      <c r="M201">
        <v>10.5</v>
      </c>
    </row>
    <row r="202" spans="1:13" x14ac:dyDescent="0.25">
      <c r="A202" t="s">
        <v>24</v>
      </c>
      <c r="D202" t="s">
        <v>27</v>
      </c>
      <c r="E202">
        <v>1985</v>
      </c>
      <c r="F202">
        <v>3</v>
      </c>
      <c r="G202">
        <v>2</v>
      </c>
      <c r="H202">
        <v>1</v>
      </c>
      <c r="I202">
        <v>134</v>
      </c>
      <c r="J202" s="6"/>
      <c r="K202" s="13">
        <v>45875</v>
      </c>
      <c r="L202" t="s">
        <v>689</v>
      </c>
      <c r="M202">
        <v>10.1</v>
      </c>
    </row>
    <row r="203" spans="1:13" x14ac:dyDescent="0.25">
      <c r="A203" t="s">
        <v>24</v>
      </c>
      <c r="D203" t="s">
        <v>27</v>
      </c>
      <c r="E203">
        <v>1985</v>
      </c>
      <c r="F203">
        <v>3</v>
      </c>
      <c r="G203">
        <v>2</v>
      </c>
      <c r="H203">
        <v>1</v>
      </c>
      <c r="I203">
        <v>134</v>
      </c>
      <c r="J203" s="6"/>
      <c r="K203" s="13">
        <v>45880</v>
      </c>
      <c r="L203" t="s">
        <v>687</v>
      </c>
    </row>
    <row r="204" spans="1:13" x14ac:dyDescent="0.25">
      <c r="A204" t="s">
        <v>24</v>
      </c>
      <c r="D204" t="s">
        <v>27</v>
      </c>
      <c r="E204">
        <v>1985</v>
      </c>
      <c r="F204">
        <v>3</v>
      </c>
      <c r="G204">
        <v>2</v>
      </c>
      <c r="H204">
        <v>1</v>
      </c>
      <c r="I204">
        <v>134</v>
      </c>
      <c r="J204" s="6"/>
      <c r="K204" s="13">
        <v>45880</v>
      </c>
      <c r="L204" t="s">
        <v>688</v>
      </c>
    </row>
    <row r="205" spans="1:13" x14ac:dyDescent="0.25">
      <c r="A205" t="s">
        <v>24</v>
      </c>
      <c r="D205" t="s">
        <v>27</v>
      </c>
      <c r="E205">
        <v>1985</v>
      </c>
      <c r="F205">
        <v>3</v>
      </c>
      <c r="G205">
        <v>2</v>
      </c>
      <c r="H205">
        <v>1</v>
      </c>
      <c r="I205">
        <v>134</v>
      </c>
      <c r="J205" s="6"/>
      <c r="K205" s="13">
        <v>45880</v>
      </c>
      <c r="L205" t="s">
        <v>689</v>
      </c>
    </row>
    <row r="206" spans="1:13" x14ac:dyDescent="0.25">
      <c r="A206" t="s">
        <v>24</v>
      </c>
      <c r="D206" t="s">
        <v>27</v>
      </c>
      <c r="E206">
        <v>1985</v>
      </c>
      <c r="F206">
        <v>3</v>
      </c>
      <c r="G206">
        <v>2</v>
      </c>
      <c r="H206">
        <v>1</v>
      </c>
      <c r="I206">
        <v>134</v>
      </c>
      <c r="J206" s="6"/>
      <c r="K206" s="13">
        <v>45897</v>
      </c>
      <c r="L206" t="s">
        <v>687</v>
      </c>
      <c r="M206">
        <v>12.1</v>
      </c>
    </row>
    <row r="207" spans="1:13" x14ac:dyDescent="0.25">
      <c r="A207" t="s">
        <v>24</v>
      </c>
      <c r="D207" t="s">
        <v>27</v>
      </c>
      <c r="E207">
        <v>1985</v>
      </c>
      <c r="F207">
        <v>3</v>
      </c>
      <c r="G207">
        <v>2</v>
      </c>
      <c r="H207">
        <v>1</v>
      </c>
      <c r="I207">
        <v>134</v>
      </c>
      <c r="J207" s="6"/>
      <c r="K207" s="13">
        <v>45897</v>
      </c>
      <c r="L207" t="s">
        <v>688</v>
      </c>
      <c r="M207">
        <v>11.9</v>
      </c>
    </row>
    <row r="208" spans="1:13" x14ac:dyDescent="0.25">
      <c r="A208" t="s">
        <v>24</v>
      </c>
      <c r="D208" t="s">
        <v>27</v>
      </c>
      <c r="E208">
        <v>1985</v>
      </c>
      <c r="F208">
        <v>3</v>
      </c>
      <c r="G208">
        <v>2</v>
      </c>
      <c r="H208">
        <v>1</v>
      </c>
      <c r="I208">
        <v>134</v>
      </c>
      <c r="J208" s="6"/>
      <c r="K208" s="13">
        <v>45897</v>
      </c>
      <c r="L208" t="s">
        <v>689</v>
      </c>
      <c r="M208">
        <v>11.9</v>
      </c>
    </row>
    <row r="209" spans="1:13" x14ac:dyDescent="0.25">
      <c r="A209" t="s">
        <v>24</v>
      </c>
      <c r="D209" t="s">
        <v>27</v>
      </c>
      <c r="E209">
        <v>1985</v>
      </c>
      <c r="F209">
        <v>3</v>
      </c>
      <c r="G209">
        <v>2</v>
      </c>
      <c r="H209">
        <v>1</v>
      </c>
      <c r="I209">
        <v>134</v>
      </c>
      <c r="J209" s="6"/>
      <c r="K209" s="13">
        <v>45911</v>
      </c>
      <c r="L209" t="s">
        <v>687</v>
      </c>
      <c r="M209">
        <v>12.7</v>
      </c>
    </row>
    <row r="210" spans="1:13" x14ac:dyDescent="0.25">
      <c r="A210" t="s">
        <v>24</v>
      </c>
      <c r="D210" t="s">
        <v>27</v>
      </c>
      <c r="E210">
        <v>1985</v>
      </c>
      <c r="F210">
        <v>3</v>
      </c>
      <c r="G210">
        <v>2</v>
      </c>
      <c r="H210">
        <v>1</v>
      </c>
      <c r="I210">
        <v>134</v>
      </c>
      <c r="J210" s="6"/>
      <c r="K210" s="13">
        <v>45911</v>
      </c>
      <c r="L210" t="s">
        <v>688</v>
      </c>
      <c r="M210">
        <v>12.9</v>
      </c>
    </row>
    <row r="211" spans="1:13" x14ac:dyDescent="0.25">
      <c r="A211" t="s">
        <v>24</v>
      </c>
      <c r="D211" t="s">
        <v>27</v>
      </c>
      <c r="E211">
        <v>1985</v>
      </c>
      <c r="F211">
        <v>3</v>
      </c>
      <c r="G211">
        <v>2</v>
      </c>
      <c r="H211">
        <v>1</v>
      </c>
      <c r="I211">
        <v>134</v>
      </c>
      <c r="J211" s="6"/>
      <c r="K211" s="13">
        <v>45911</v>
      </c>
      <c r="L211" t="s">
        <v>689</v>
      </c>
      <c r="M211">
        <v>12.8</v>
      </c>
    </row>
    <row r="212" spans="1:13" x14ac:dyDescent="0.25">
      <c r="A212" t="s">
        <v>24</v>
      </c>
      <c r="D212" t="s">
        <v>32</v>
      </c>
      <c r="E212">
        <v>2018</v>
      </c>
      <c r="F212">
        <v>4</v>
      </c>
      <c r="G212">
        <v>2</v>
      </c>
      <c r="H212">
        <v>1</v>
      </c>
      <c r="I212">
        <v>150</v>
      </c>
      <c r="J212" s="6"/>
      <c r="K212" s="13">
        <v>45796</v>
      </c>
      <c r="L212" t="s">
        <v>687</v>
      </c>
      <c r="M212">
        <v>4.8</v>
      </c>
    </row>
    <row r="213" spans="1:13" x14ac:dyDescent="0.25">
      <c r="A213" t="s">
        <v>24</v>
      </c>
      <c r="D213" t="s">
        <v>32</v>
      </c>
      <c r="E213">
        <v>2018</v>
      </c>
      <c r="F213">
        <v>4</v>
      </c>
      <c r="G213">
        <v>2</v>
      </c>
      <c r="H213">
        <v>1</v>
      </c>
      <c r="I213">
        <v>150</v>
      </c>
      <c r="J213" s="6"/>
      <c r="K213" s="13">
        <v>45796</v>
      </c>
      <c r="L213" t="s">
        <v>688</v>
      </c>
      <c r="M213">
        <v>4.8</v>
      </c>
    </row>
    <row r="214" spans="1:13" x14ac:dyDescent="0.25">
      <c r="A214" t="s">
        <v>24</v>
      </c>
      <c r="D214" t="s">
        <v>32</v>
      </c>
      <c r="E214">
        <v>2018</v>
      </c>
      <c r="F214">
        <v>4</v>
      </c>
      <c r="G214">
        <v>2</v>
      </c>
      <c r="H214">
        <v>1</v>
      </c>
      <c r="I214">
        <v>150</v>
      </c>
      <c r="J214" s="6"/>
      <c r="K214" s="13">
        <v>45796</v>
      </c>
      <c r="L214" t="s">
        <v>689</v>
      </c>
      <c r="M214">
        <v>5.0999999999999996</v>
      </c>
    </row>
    <row r="215" spans="1:13" x14ac:dyDescent="0.25">
      <c r="A215" t="s">
        <v>24</v>
      </c>
      <c r="D215" t="s">
        <v>32</v>
      </c>
      <c r="E215">
        <v>2018</v>
      </c>
      <c r="F215">
        <v>4</v>
      </c>
      <c r="G215">
        <v>2</v>
      </c>
      <c r="H215">
        <v>1</v>
      </c>
      <c r="I215">
        <v>150</v>
      </c>
      <c r="J215" s="6"/>
      <c r="K215" s="13">
        <v>45820</v>
      </c>
      <c r="L215" t="s">
        <v>687</v>
      </c>
    </row>
    <row r="216" spans="1:13" x14ac:dyDescent="0.25">
      <c r="A216" t="s">
        <v>24</v>
      </c>
      <c r="D216" t="s">
        <v>32</v>
      </c>
      <c r="E216">
        <v>2018</v>
      </c>
      <c r="F216">
        <v>4</v>
      </c>
      <c r="G216">
        <v>2</v>
      </c>
      <c r="H216">
        <v>1</v>
      </c>
      <c r="I216">
        <v>150</v>
      </c>
      <c r="J216" s="6"/>
      <c r="K216" s="13">
        <v>45820</v>
      </c>
      <c r="L216" t="s">
        <v>688</v>
      </c>
    </row>
    <row r="217" spans="1:13" x14ac:dyDescent="0.25">
      <c r="A217" t="s">
        <v>24</v>
      </c>
      <c r="D217" t="s">
        <v>32</v>
      </c>
      <c r="E217">
        <v>2018</v>
      </c>
      <c r="F217">
        <v>4</v>
      </c>
      <c r="G217">
        <v>2</v>
      </c>
      <c r="H217">
        <v>1</v>
      </c>
      <c r="I217">
        <v>150</v>
      </c>
      <c r="J217" s="6"/>
      <c r="K217" s="13">
        <v>45820</v>
      </c>
      <c r="L217" t="s">
        <v>689</v>
      </c>
    </row>
    <row r="218" spans="1:13" x14ac:dyDescent="0.25">
      <c r="A218" t="s">
        <v>24</v>
      </c>
      <c r="B218" s="54"/>
      <c r="C218" s="55"/>
      <c r="D218" t="s">
        <v>32</v>
      </c>
      <c r="E218">
        <v>2018</v>
      </c>
      <c r="F218">
        <v>4</v>
      </c>
      <c r="G218">
        <v>2</v>
      </c>
      <c r="H218">
        <v>1</v>
      </c>
      <c r="I218">
        <v>150</v>
      </c>
      <c r="J218" s="6"/>
      <c r="K218" s="13">
        <v>45825</v>
      </c>
      <c r="L218" t="s">
        <v>687</v>
      </c>
      <c r="M218">
        <v>6.2</v>
      </c>
    </row>
    <row r="219" spans="1:13" x14ac:dyDescent="0.25">
      <c r="A219" t="s">
        <v>24</v>
      </c>
      <c r="D219" t="s">
        <v>32</v>
      </c>
      <c r="E219">
        <v>2018</v>
      </c>
      <c r="F219">
        <v>4</v>
      </c>
      <c r="G219">
        <v>2</v>
      </c>
      <c r="H219">
        <v>1</v>
      </c>
      <c r="I219">
        <v>150</v>
      </c>
      <c r="J219" s="6"/>
      <c r="K219" s="13">
        <v>45825</v>
      </c>
      <c r="L219" t="s">
        <v>688</v>
      </c>
      <c r="M219">
        <v>6.2</v>
      </c>
    </row>
    <row r="220" spans="1:13" x14ac:dyDescent="0.25">
      <c r="A220" t="s">
        <v>24</v>
      </c>
      <c r="D220" t="s">
        <v>32</v>
      </c>
      <c r="E220">
        <v>2018</v>
      </c>
      <c r="F220">
        <v>4</v>
      </c>
      <c r="G220">
        <v>2</v>
      </c>
      <c r="H220">
        <v>1</v>
      </c>
      <c r="I220">
        <v>150</v>
      </c>
      <c r="J220" s="6"/>
      <c r="K220" s="13">
        <v>45825</v>
      </c>
      <c r="L220" t="s">
        <v>689</v>
      </c>
      <c r="M220">
        <v>6.3</v>
      </c>
    </row>
    <row r="221" spans="1:13" x14ac:dyDescent="0.25">
      <c r="A221" t="s">
        <v>24</v>
      </c>
      <c r="D221" t="s">
        <v>32</v>
      </c>
      <c r="E221">
        <v>2018</v>
      </c>
      <c r="F221">
        <v>4</v>
      </c>
      <c r="G221">
        <v>2</v>
      </c>
      <c r="H221">
        <v>1</v>
      </c>
      <c r="I221">
        <v>150</v>
      </c>
      <c r="J221" s="6"/>
      <c r="K221" s="13">
        <v>45827</v>
      </c>
      <c r="L221" t="s">
        <v>687</v>
      </c>
    </row>
    <row r="222" spans="1:13" x14ac:dyDescent="0.25">
      <c r="A222" t="s">
        <v>24</v>
      </c>
      <c r="D222" t="s">
        <v>32</v>
      </c>
      <c r="E222">
        <v>2018</v>
      </c>
      <c r="F222">
        <v>4</v>
      </c>
      <c r="G222">
        <v>2</v>
      </c>
      <c r="H222">
        <v>1</v>
      </c>
      <c r="I222">
        <v>150</v>
      </c>
      <c r="J222" s="6"/>
      <c r="K222" s="13">
        <v>45827</v>
      </c>
      <c r="L222" t="s">
        <v>688</v>
      </c>
    </row>
    <row r="223" spans="1:13" x14ac:dyDescent="0.25">
      <c r="A223" t="s">
        <v>24</v>
      </c>
      <c r="D223" t="s">
        <v>32</v>
      </c>
      <c r="E223">
        <v>2018</v>
      </c>
      <c r="F223">
        <v>4</v>
      </c>
      <c r="G223">
        <v>2</v>
      </c>
      <c r="H223">
        <v>1</v>
      </c>
      <c r="I223">
        <v>150</v>
      </c>
      <c r="J223" s="6"/>
      <c r="K223" s="13">
        <v>45827</v>
      </c>
      <c r="L223" t="s">
        <v>689</v>
      </c>
    </row>
    <row r="224" spans="1:13" x14ac:dyDescent="0.25">
      <c r="A224" t="s">
        <v>24</v>
      </c>
      <c r="D224" t="s">
        <v>32</v>
      </c>
      <c r="E224">
        <v>2018</v>
      </c>
      <c r="F224">
        <v>4</v>
      </c>
      <c r="G224">
        <v>2</v>
      </c>
      <c r="H224">
        <v>1</v>
      </c>
      <c r="I224">
        <v>150</v>
      </c>
      <c r="J224" s="6"/>
      <c r="K224" s="13">
        <v>45859</v>
      </c>
      <c r="L224" t="s">
        <v>687</v>
      </c>
      <c r="M224">
        <v>7.9</v>
      </c>
    </row>
    <row r="225" spans="1:13" x14ac:dyDescent="0.25">
      <c r="A225" t="s">
        <v>24</v>
      </c>
      <c r="D225" t="s">
        <v>32</v>
      </c>
      <c r="E225">
        <v>2018</v>
      </c>
      <c r="F225">
        <v>4</v>
      </c>
      <c r="G225">
        <v>2</v>
      </c>
      <c r="H225">
        <v>1</v>
      </c>
      <c r="I225">
        <v>150</v>
      </c>
      <c r="J225" s="6"/>
      <c r="K225" s="13">
        <v>45859</v>
      </c>
      <c r="L225" t="s">
        <v>688</v>
      </c>
      <c r="M225">
        <v>8.1</v>
      </c>
    </row>
    <row r="226" spans="1:13" x14ac:dyDescent="0.25">
      <c r="A226" t="s">
        <v>24</v>
      </c>
      <c r="D226" t="s">
        <v>32</v>
      </c>
      <c r="E226">
        <v>2018</v>
      </c>
      <c r="F226">
        <v>4</v>
      </c>
      <c r="G226">
        <v>2</v>
      </c>
      <c r="H226">
        <v>1</v>
      </c>
      <c r="I226">
        <v>150</v>
      </c>
      <c r="J226" s="6"/>
      <c r="K226" s="13">
        <v>45859</v>
      </c>
      <c r="L226" t="s">
        <v>689</v>
      </c>
      <c r="M226">
        <v>8.3000000000000007</v>
      </c>
    </row>
    <row r="227" spans="1:13" x14ac:dyDescent="0.25">
      <c r="A227" t="s">
        <v>24</v>
      </c>
      <c r="D227" t="s">
        <v>32</v>
      </c>
      <c r="E227">
        <v>2018</v>
      </c>
      <c r="F227">
        <v>4</v>
      </c>
      <c r="G227">
        <v>2</v>
      </c>
      <c r="H227">
        <v>1</v>
      </c>
      <c r="I227">
        <v>150</v>
      </c>
      <c r="J227" s="6"/>
      <c r="K227" s="13">
        <v>45868</v>
      </c>
      <c r="L227" t="s">
        <v>687</v>
      </c>
      <c r="M227">
        <v>8.6</v>
      </c>
    </row>
    <row r="228" spans="1:13" x14ac:dyDescent="0.25">
      <c r="A228" t="s">
        <v>24</v>
      </c>
      <c r="D228" t="s">
        <v>32</v>
      </c>
      <c r="E228">
        <v>2018</v>
      </c>
      <c r="F228">
        <v>4</v>
      </c>
      <c r="G228">
        <v>2</v>
      </c>
      <c r="H228">
        <v>1</v>
      </c>
      <c r="I228">
        <v>150</v>
      </c>
      <c r="J228" s="6"/>
      <c r="K228" s="13">
        <v>45868</v>
      </c>
      <c r="L228" t="s">
        <v>688</v>
      </c>
      <c r="M228">
        <v>8.5</v>
      </c>
    </row>
    <row r="229" spans="1:13" x14ac:dyDescent="0.25">
      <c r="A229" t="s">
        <v>24</v>
      </c>
      <c r="D229" t="s">
        <v>32</v>
      </c>
      <c r="E229">
        <v>2018</v>
      </c>
      <c r="F229">
        <v>4</v>
      </c>
      <c r="G229">
        <v>2</v>
      </c>
      <c r="H229">
        <v>1</v>
      </c>
      <c r="I229">
        <v>150</v>
      </c>
      <c r="J229" s="6"/>
      <c r="K229" s="13">
        <v>45868</v>
      </c>
      <c r="L229" t="s">
        <v>689</v>
      </c>
      <c r="M229">
        <v>8.8000000000000007</v>
      </c>
    </row>
    <row r="230" spans="1:13" x14ac:dyDescent="0.25">
      <c r="A230" t="s">
        <v>24</v>
      </c>
      <c r="D230" t="s">
        <v>32</v>
      </c>
      <c r="E230">
        <v>2018</v>
      </c>
      <c r="F230">
        <v>4</v>
      </c>
      <c r="G230">
        <v>2</v>
      </c>
      <c r="H230">
        <v>1</v>
      </c>
      <c r="I230">
        <v>150</v>
      </c>
      <c r="J230" s="6"/>
      <c r="K230" s="13">
        <v>45875</v>
      </c>
      <c r="L230" t="s">
        <v>687</v>
      </c>
      <c r="M230">
        <v>9.1999999999999993</v>
      </c>
    </row>
    <row r="231" spans="1:13" x14ac:dyDescent="0.25">
      <c r="A231" t="s">
        <v>24</v>
      </c>
      <c r="D231" t="s">
        <v>32</v>
      </c>
      <c r="E231">
        <v>2018</v>
      </c>
      <c r="F231">
        <v>4</v>
      </c>
      <c r="G231">
        <v>2</v>
      </c>
      <c r="H231">
        <v>1</v>
      </c>
      <c r="I231">
        <v>150</v>
      </c>
      <c r="J231" s="6"/>
      <c r="K231" s="13">
        <v>45875</v>
      </c>
      <c r="L231" t="s">
        <v>688</v>
      </c>
      <c r="M231">
        <v>9.5</v>
      </c>
    </row>
    <row r="232" spans="1:13" x14ac:dyDescent="0.25">
      <c r="A232" t="s">
        <v>24</v>
      </c>
      <c r="D232" t="s">
        <v>32</v>
      </c>
      <c r="E232">
        <v>2018</v>
      </c>
      <c r="F232">
        <v>4</v>
      </c>
      <c r="G232">
        <v>2</v>
      </c>
      <c r="H232">
        <v>1</v>
      </c>
      <c r="I232">
        <v>150</v>
      </c>
      <c r="J232" s="6"/>
      <c r="K232" s="13">
        <v>45875</v>
      </c>
      <c r="L232" t="s">
        <v>689</v>
      </c>
      <c r="M232">
        <v>9.6</v>
      </c>
    </row>
    <row r="233" spans="1:13" x14ac:dyDescent="0.25">
      <c r="A233" t="s">
        <v>24</v>
      </c>
      <c r="D233" t="s">
        <v>32</v>
      </c>
      <c r="E233">
        <v>2018</v>
      </c>
      <c r="F233">
        <v>4</v>
      </c>
      <c r="G233">
        <v>2</v>
      </c>
      <c r="H233">
        <v>1</v>
      </c>
      <c r="I233">
        <v>150</v>
      </c>
      <c r="J233" s="6"/>
      <c r="K233" s="13">
        <v>45880</v>
      </c>
      <c r="L233" t="s">
        <v>687</v>
      </c>
    </row>
    <row r="234" spans="1:13" x14ac:dyDescent="0.25">
      <c r="A234" t="s">
        <v>24</v>
      </c>
      <c r="D234" t="s">
        <v>32</v>
      </c>
      <c r="E234">
        <v>2018</v>
      </c>
      <c r="F234">
        <v>4</v>
      </c>
      <c r="G234">
        <v>2</v>
      </c>
      <c r="H234">
        <v>1</v>
      </c>
      <c r="I234">
        <v>150</v>
      </c>
      <c r="J234" s="6"/>
      <c r="K234" s="13">
        <v>45880</v>
      </c>
      <c r="L234" t="s">
        <v>688</v>
      </c>
    </row>
    <row r="235" spans="1:13" x14ac:dyDescent="0.25">
      <c r="A235" t="s">
        <v>24</v>
      </c>
      <c r="D235" t="s">
        <v>32</v>
      </c>
      <c r="E235">
        <v>2018</v>
      </c>
      <c r="F235">
        <v>4</v>
      </c>
      <c r="G235">
        <v>2</v>
      </c>
      <c r="H235">
        <v>1</v>
      </c>
      <c r="I235">
        <v>150</v>
      </c>
      <c r="J235" s="6"/>
      <c r="K235" s="13">
        <v>45880</v>
      </c>
      <c r="L235" t="s">
        <v>689</v>
      </c>
    </row>
    <row r="236" spans="1:13" x14ac:dyDescent="0.25">
      <c r="A236" t="s">
        <v>24</v>
      </c>
      <c r="D236" t="s">
        <v>32</v>
      </c>
      <c r="E236">
        <v>2018</v>
      </c>
      <c r="F236">
        <v>4</v>
      </c>
      <c r="G236">
        <v>2</v>
      </c>
      <c r="H236">
        <v>1</v>
      </c>
      <c r="I236">
        <v>150</v>
      </c>
      <c r="J236" s="6"/>
      <c r="K236" s="13">
        <v>45897</v>
      </c>
      <c r="L236" t="s">
        <v>687</v>
      </c>
      <c r="M236">
        <v>10.9</v>
      </c>
    </row>
    <row r="237" spans="1:13" x14ac:dyDescent="0.25">
      <c r="A237" t="s">
        <v>24</v>
      </c>
      <c r="D237" t="s">
        <v>32</v>
      </c>
      <c r="E237">
        <v>2018</v>
      </c>
      <c r="F237">
        <v>4</v>
      </c>
      <c r="G237">
        <v>2</v>
      </c>
      <c r="H237">
        <v>1</v>
      </c>
      <c r="I237">
        <v>150</v>
      </c>
      <c r="J237" s="6"/>
      <c r="K237" s="13">
        <v>45897</v>
      </c>
      <c r="L237" t="s">
        <v>688</v>
      </c>
      <c r="M237">
        <v>11.3</v>
      </c>
    </row>
    <row r="238" spans="1:13" x14ac:dyDescent="0.25">
      <c r="A238" t="s">
        <v>24</v>
      </c>
      <c r="D238" t="s">
        <v>32</v>
      </c>
      <c r="E238">
        <v>2018</v>
      </c>
      <c r="F238">
        <v>4</v>
      </c>
      <c r="G238">
        <v>2</v>
      </c>
      <c r="H238">
        <v>1</v>
      </c>
      <c r="I238">
        <v>150</v>
      </c>
      <c r="J238" s="6"/>
      <c r="K238" s="13">
        <v>45897</v>
      </c>
      <c r="L238" t="s">
        <v>689</v>
      </c>
      <c r="M238">
        <v>11.2</v>
      </c>
    </row>
    <row r="239" spans="1:13" x14ac:dyDescent="0.25">
      <c r="A239" t="s">
        <v>24</v>
      </c>
      <c r="D239" t="s">
        <v>32</v>
      </c>
      <c r="E239">
        <v>2018</v>
      </c>
      <c r="F239">
        <v>4</v>
      </c>
      <c r="G239">
        <v>2</v>
      </c>
      <c r="H239">
        <v>1</v>
      </c>
      <c r="I239">
        <v>150</v>
      </c>
      <c r="J239" s="6"/>
      <c r="K239" s="13">
        <v>45911</v>
      </c>
      <c r="L239" t="s">
        <v>687</v>
      </c>
      <c r="M239">
        <v>11.9</v>
      </c>
    </row>
    <row r="240" spans="1:13" x14ac:dyDescent="0.25">
      <c r="A240" t="s">
        <v>24</v>
      </c>
      <c r="D240" t="s">
        <v>32</v>
      </c>
      <c r="E240">
        <v>2018</v>
      </c>
      <c r="F240">
        <v>4</v>
      </c>
      <c r="G240">
        <v>2</v>
      </c>
      <c r="H240">
        <v>1</v>
      </c>
      <c r="I240">
        <v>150</v>
      </c>
      <c r="J240" s="6"/>
      <c r="K240" s="13">
        <v>45911</v>
      </c>
      <c r="L240" t="s">
        <v>688</v>
      </c>
      <c r="M240">
        <v>12</v>
      </c>
    </row>
    <row r="241" spans="1:13" x14ac:dyDescent="0.25">
      <c r="A241" t="s">
        <v>24</v>
      </c>
      <c r="D241" t="s">
        <v>32</v>
      </c>
      <c r="E241">
        <v>2018</v>
      </c>
      <c r="F241">
        <v>4</v>
      </c>
      <c r="G241">
        <v>2</v>
      </c>
      <c r="H241">
        <v>1</v>
      </c>
      <c r="I241">
        <v>150</v>
      </c>
      <c r="J241" s="6"/>
      <c r="K241" s="13">
        <v>45911</v>
      </c>
      <c r="L241" t="s">
        <v>689</v>
      </c>
    </row>
    <row r="242" spans="1:13" x14ac:dyDescent="0.25">
      <c r="A242" t="s">
        <v>34</v>
      </c>
      <c r="D242" t="s">
        <v>39</v>
      </c>
      <c r="E242">
        <v>2001</v>
      </c>
      <c r="F242">
        <v>1</v>
      </c>
      <c r="G242">
        <v>3</v>
      </c>
      <c r="H242">
        <v>1</v>
      </c>
      <c r="I242">
        <v>103</v>
      </c>
      <c r="J242" s="6"/>
      <c r="K242" s="13">
        <v>45796</v>
      </c>
      <c r="L242" t="s">
        <v>687</v>
      </c>
    </row>
    <row r="243" spans="1:13" x14ac:dyDescent="0.25">
      <c r="A243" t="s">
        <v>34</v>
      </c>
      <c r="D243" t="s">
        <v>39</v>
      </c>
      <c r="E243">
        <v>2001</v>
      </c>
      <c r="F243">
        <v>1</v>
      </c>
      <c r="G243">
        <v>3</v>
      </c>
      <c r="H243">
        <v>1</v>
      </c>
      <c r="I243">
        <v>103</v>
      </c>
      <c r="J243" s="6"/>
      <c r="K243" s="13">
        <v>45796</v>
      </c>
      <c r="L243" t="s">
        <v>688</v>
      </c>
    </row>
    <row r="244" spans="1:13" x14ac:dyDescent="0.25">
      <c r="A244" t="s">
        <v>34</v>
      </c>
      <c r="D244" t="s">
        <v>39</v>
      </c>
      <c r="E244">
        <v>2001</v>
      </c>
      <c r="F244">
        <v>1</v>
      </c>
      <c r="G244">
        <v>3</v>
      </c>
      <c r="H244">
        <v>1</v>
      </c>
      <c r="I244">
        <v>103</v>
      </c>
      <c r="J244" s="6"/>
      <c r="K244" s="13">
        <v>45796</v>
      </c>
      <c r="L244" t="s">
        <v>689</v>
      </c>
    </row>
    <row r="245" spans="1:13" x14ac:dyDescent="0.25">
      <c r="A245" t="s">
        <v>34</v>
      </c>
      <c r="D245" t="s">
        <v>39</v>
      </c>
      <c r="E245">
        <v>2001</v>
      </c>
      <c r="F245">
        <v>1</v>
      </c>
      <c r="G245">
        <v>3</v>
      </c>
      <c r="H245">
        <v>1</v>
      </c>
      <c r="I245">
        <v>103</v>
      </c>
      <c r="J245" s="6"/>
      <c r="K245" s="13">
        <v>45820</v>
      </c>
      <c r="L245" t="s">
        <v>687</v>
      </c>
      <c r="M245">
        <v>2.8</v>
      </c>
    </row>
    <row r="246" spans="1:13" x14ac:dyDescent="0.25">
      <c r="A246" t="s">
        <v>34</v>
      </c>
      <c r="D246" t="s">
        <v>39</v>
      </c>
      <c r="E246">
        <v>2001</v>
      </c>
      <c r="F246">
        <v>1</v>
      </c>
      <c r="G246">
        <v>3</v>
      </c>
      <c r="H246">
        <v>1</v>
      </c>
      <c r="I246">
        <v>103</v>
      </c>
      <c r="J246" s="6"/>
      <c r="K246" s="13">
        <v>45820</v>
      </c>
      <c r="L246" t="s">
        <v>688</v>
      </c>
      <c r="M246">
        <v>2.7</v>
      </c>
    </row>
    <row r="247" spans="1:13" x14ac:dyDescent="0.25">
      <c r="A247" t="s">
        <v>34</v>
      </c>
      <c r="D247" t="s">
        <v>39</v>
      </c>
      <c r="E247">
        <v>2001</v>
      </c>
      <c r="F247">
        <v>1</v>
      </c>
      <c r="G247">
        <v>3</v>
      </c>
      <c r="H247">
        <v>1</v>
      </c>
      <c r="I247">
        <v>103</v>
      </c>
      <c r="J247" s="6"/>
      <c r="K247" s="13">
        <v>45820</v>
      </c>
      <c r="L247" t="s">
        <v>689</v>
      </c>
      <c r="M247">
        <v>2.8</v>
      </c>
    </row>
    <row r="248" spans="1:13" x14ac:dyDescent="0.25">
      <c r="A248" t="s">
        <v>34</v>
      </c>
      <c r="D248" t="s">
        <v>39</v>
      </c>
      <c r="E248">
        <v>2001</v>
      </c>
      <c r="F248">
        <v>1</v>
      </c>
      <c r="G248">
        <v>3</v>
      </c>
      <c r="H248">
        <v>1</v>
      </c>
      <c r="I248">
        <v>103</v>
      </c>
      <c r="J248" s="6"/>
      <c r="K248" s="13">
        <v>45825</v>
      </c>
      <c r="L248" t="s">
        <v>687</v>
      </c>
    </row>
    <row r="249" spans="1:13" x14ac:dyDescent="0.25">
      <c r="A249" t="s">
        <v>34</v>
      </c>
      <c r="D249" t="s">
        <v>39</v>
      </c>
      <c r="E249">
        <v>2001</v>
      </c>
      <c r="F249">
        <v>1</v>
      </c>
      <c r="G249">
        <v>3</v>
      </c>
      <c r="H249">
        <v>1</v>
      </c>
      <c r="I249">
        <v>103</v>
      </c>
      <c r="J249" s="6"/>
      <c r="K249" s="13">
        <v>45825</v>
      </c>
      <c r="L249" t="s">
        <v>688</v>
      </c>
    </row>
    <row r="250" spans="1:13" x14ac:dyDescent="0.25">
      <c r="A250" t="s">
        <v>34</v>
      </c>
      <c r="D250" t="s">
        <v>39</v>
      </c>
      <c r="E250">
        <v>2001</v>
      </c>
      <c r="F250">
        <v>1</v>
      </c>
      <c r="G250">
        <v>3</v>
      </c>
      <c r="H250">
        <v>1</v>
      </c>
      <c r="I250">
        <v>103</v>
      </c>
      <c r="J250" s="6"/>
      <c r="K250" s="13">
        <v>45825</v>
      </c>
      <c r="L250" t="s">
        <v>689</v>
      </c>
    </row>
    <row r="251" spans="1:13" x14ac:dyDescent="0.25">
      <c r="A251" t="s">
        <v>34</v>
      </c>
      <c r="D251" t="s">
        <v>39</v>
      </c>
      <c r="E251">
        <v>2001</v>
      </c>
      <c r="F251">
        <v>1</v>
      </c>
      <c r="G251">
        <v>3</v>
      </c>
      <c r="H251">
        <v>1</v>
      </c>
      <c r="I251">
        <v>103</v>
      </c>
      <c r="J251" s="6"/>
      <c r="K251" s="13">
        <v>45827</v>
      </c>
      <c r="L251" t="s">
        <v>687</v>
      </c>
      <c r="M251">
        <v>3.2</v>
      </c>
    </row>
    <row r="252" spans="1:13" x14ac:dyDescent="0.25">
      <c r="A252" t="s">
        <v>34</v>
      </c>
      <c r="D252" t="s">
        <v>39</v>
      </c>
      <c r="E252">
        <v>2001</v>
      </c>
      <c r="F252">
        <v>1</v>
      </c>
      <c r="G252">
        <v>3</v>
      </c>
      <c r="H252">
        <v>1</v>
      </c>
      <c r="I252">
        <v>103</v>
      </c>
      <c r="J252" s="6"/>
      <c r="K252" s="13">
        <v>45827</v>
      </c>
      <c r="L252" t="s">
        <v>688</v>
      </c>
      <c r="M252">
        <v>3.3</v>
      </c>
    </row>
    <row r="253" spans="1:13" x14ac:dyDescent="0.25">
      <c r="A253" t="s">
        <v>34</v>
      </c>
      <c r="D253" t="s">
        <v>39</v>
      </c>
      <c r="E253">
        <v>2001</v>
      </c>
      <c r="F253">
        <v>1</v>
      </c>
      <c r="G253">
        <v>3</v>
      </c>
      <c r="H253">
        <v>1</v>
      </c>
      <c r="I253">
        <v>103</v>
      </c>
      <c r="J253" s="6"/>
      <c r="K253" s="13">
        <v>45827</v>
      </c>
      <c r="L253" t="s">
        <v>689</v>
      </c>
      <c r="M253">
        <v>3.4</v>
      </c>
    </row>
    <row r="254" spans="1:13" x14ac:dyDescent="0.25">
      <c r="A254" t="s">
        <v>34</v>
      </c>
      <c r="D254" t="s">
        <v>39</v>
      </c>
      <c r="E254">
        <v>2001</v>
      </c>
      <c r="F254">
        <v>1</v>
      </c>
      <c r="G254">
        <v>3</v>
      </c>
      <c r="H254">
        <v>1</v>
      </c>
      <c r="I254">
        <v>103</v>
      </c>
      <c r="J254" s="6"/>
      <c r="K254" s="13">
        <v>45859</v>
      </c>
      <c r="L254" t="s">
        <v>687</v>
      </c>
      <c r="M254">
        <v>6.2</v>
      </c>
    </row>
    <row r="255" spans="1:13" x14ac:dyDescent="0.25">
      <c r="A255" t="s">
        <v>34</v>
      </c>
      <c r="D255" t="s">
        <v>39</v>
      </c>
      <c r="E255">
        <v>2001</v>
      </c>
      <c r="F255">
        <v>1</v>
      </c>
      <c r="G255">
        <v>3</v>
      </c>
      <c r="H255">
        <v>1</v>
      </c>
      <c r="I255">
        <v>103</v>
      </c>
      <c r="J255" s="6"/>
      <c r="K255" s="13">
        <v>45859</v>
      </c>
      <c r="L255" t="s">
        <v>688</v>
      </c>
      <c r="M255">
        <v>6.2</v>
      </c>
    </row>
    <row r="256" spans="1:13" x14ac:dyDescent="0.25">
      <c r="A256" t="s">
        <v>34</v>
      </c>
      <c r="D256" t="s">
        <v>39</v>
      </c>
      <c r="E256">
        <v>2001</v>
      </c>
      <c r="F256">
        <v>1</v>
      </c>
      <c r="G256">
        <v>3</v>
      </c>
      <c r="H256">
        <v>1</v>
      </c>
      <c r="I256">
        <v>103</v>
      </c>
      <c r="J256" s="6"/>
      <c r="K256" s="13">
        <v>45859</v>
      </c>
      <c r="L256" t="s">
        <v>689</v>
      </c>
      <c r="M256">
        <v>6.2</v>
      </c>
    </row>
    <row r="257" spans="1:13" x14ac:dyDescent="0.25">
      <c r="A257" t="s">
        <v>34</v>
      </c>
      <c r="D257" t="s">
        <v>39</v>
      </c>
      <c r="E257">
        <v>2001</v>
      </c>
      <c r="F257">
        <v>1</v>
      </c>
      <c r="G257">
        <v>3</v>
      </c>
      <c r="H257">
        <v>1</v>
      </c>
      <c r="I257">
        <v>103</v>
      </c>
      <c r="J257" s="6"/>
      <c r="K257" s="13">
        <v>45868</v>
      </c>
      <c r="L257" t="s">
        <v>687</v>
      </c>
      <c r="M257">
        <v>7.2</v>
      </c>
    </row>
    <row r="258" spans="1:13" x14ac:dyDescent="0.25">
      <c r="A258" t="s">
        <v>34</v>
      </c>
      <c r="D258" t="s">
        <v>39</v>
      </c>
      <c r="E258">
        <v>2001</v>
      </c>
      <c r="F258">
        <v>1</v>
      </c>
      <c r="G258">
        <v>3</v>
      </c>
      <c r="H258">
        <v>1</v>
      </c>
      <c r="I258">
        <v>103</v>
      </c>
      <c r="J258" s="6"/>
      <c r="K258" s="13">
        <v>45868</v>
      </c>
      <c r="L258" t="s">
        <v>688</v>
      </c>
      <c r="M258">
        <v>7.1</v>
      </c>
    </row>
    <row r="259" spans="1:13" x14ac:dyDescent="0.25">
      <c r="A259" t="s">
        <v>34</v>
      </c>
      <c r="D259" t="s">
        <v>39</v>
      </c>
      <c r="E259">
        <v>2001</v>
      </c>
      <c r="F259">
        <v>1</v>
      </c>
      <c r="G259">
        <v>3</v>
      </c>
      <c r="H259">
        <v>1</v>
      </c>
      <c r="I259">
        <v>103</v>
      </c>
      <c r="J259" s="6"/>
      <c r="K259" s="13">
        <v>45868</v>
      </c>
      <c r="L259" t="s">
        <v>689</v>
      </c>
      <c r="M259">
        <v>6.9</v>
      </c>
    </row>
    <row r="260" spans="1:13" x14ac:dyDescent="0.25">
      <c r="A260" t="s">
        <v>34</v>
      </c>
      <c r="D260" t="s">
        <v>39</v>
      </c>
      <c r="E260">
        <v>2001</v>
      </c>
      <c r="F260">
        <v>1</v>
      </c>
      <c r="G260">
        <v>3</v>
      </c>
      <c r="H260">
        <v>1</v>
      </c>
      <c r="I260">
        <v>103</v>
      </c>
      <c r="J260" s="6"/>
      <c r="K260" s="13">
        <v>45875</v>
      </c>
      <c r="L260" t="s">
        <v>687</v>
      </c>
    </row>
    <row r="261" spans="1:13" x14ac:dyDescent="0.25">
      <c r="A261" t="s">
        <v>34</v>
      </c>
      <c r="D261" t="s">
        <v>39</v>
      </c>
      <c r="E261">
        <v>2001</v>
      </c>
      <c r="F261">
        <v>1</v>
      </c>
      <c r="G261">
        <v>3</v>
      </c>
      <c r="H261">
        <v>1</v>
      </c>
      <c r="I261">
        <v>103</v>
      </c>
      <c r="J261" s="6"/>
      <c r="K261" s="13">
        <v>45875</v>
      </c>
      <c r="L261" t="s">
        <v>688</v>
      </c>
    </row>
    <row r="262" spans="1:13" x14ac:dyDescent="0.25">
      <c r="A262" t="s">
        <v>34</v>
      </c>
      <c r="D262" t="s">
        <v>39</v>
      </c>
      <c r="E262">
        <v>2001</v>
      </c>
      <c r="F262">
        <v>1</v>
      </c>
      <c r="G262">
        <v>3</v>
      </c>
      <c r="H262">
        <v>1</v>
      </c>
      <c r="I262">
        <v>103</v>
      </c>
      <c r="J262" s="6"/>
      <c r="K262" s="13">
        <v>45875</v>
      </c>
      <c r="L262" t="s">
        <v>689</v>
      </c>
    </row>
    <row r="263" spans="1:13" x14ac:dyDescent="0.25">
      <c r="A263" t="s">
        <v>34</v>
      </c>
      <c r="D263" t="s">
        <v>39</v>
      </c>
      <c r="E263">
        <v>2001</v>
      </c>
      <c r="F263">
        <v>1</v>
      </c>
      <c r="G263">
        <v>3</v>
      </c>
      <c r="H263">
        <v>1</v>
      </c>
      <c r="I263">
        <v>103</v>
      </c>
      <c r="J263" s="6"/>
      <c r="K263" s="13">
        <v>45880</v>
      </c>
      <c r="L263" t="s">
        <v>687</v>
      </c>
      <c r="M263">
        <v>7.8</v>
      </c>
    </row>
    <row r="264" spans="1:13" x14ac:dyDescent="0.25">
      <c r="A264" t="s">
        <v>34</v>
      </c>
      <c r="D264" t="s">
        <v>39</v>
      </c>
      <c r="E264">
        <v>2001</v>
      </c>
      <c r="F264">
        <v>1</v>
      </c>
      <c r="G264">
        <v>3</v>
      </c>
      <c r="H264">
        <v>1</v>
      </c>
      <c r="I264">
        <v>103</v>
      </c>
      <c r="J264" s="6"/>
      <c r="K264" s="13">
        <v>45880</v>
      </c>
      <c r="L264" t="s">
        <v>688</v>
      </c>
      <c r="M264">
        <v>8.3000000000000007</v>
      </c>
    </row>
    <row r="265" spans="1:13" x14ac:dyDescent="0.25">
      <c r="A265" t="s">
        <v>34</v>
      </c>
      <c r="D265" t="s">
        <v>39</v>
      </c>
      <c r="E265">
        <v>2001</v>
      </c>
      <c r="F265">
        <v>1</v>
      </c>
      <c r="G265">
        <v>3</v>
      </c>
      <c r="H265">
        <v>1</v>
      </c>
      <c r="I265">
        <v>103</v>
      </c>
      <c r="J265" s="6"/>
      <c r="K265" s="13">
        <v>45880</v>
      </c>
      <c r="L265" t="s">
        <v>689</v>
      </c>
      <c r="M265">
        <v>7.9</v>
      </c>
    </row>
    <row r="266" spans="1:13" x14ac:dyDescent="0.25">
      <c r="A266" t="s">
        <v>34</v>
      </c>
      <c r="D266" t="s">
        <v>39</v>
      </c>
      <c r="E266">
        <v>2001</v>
      </c>
      <c r="F266">
        <v>1</v>
      </c>
      <c r="G266">
        <v>3</v>
      </c>
      <c r="H266">
        <v>1</v>
      </c>
      <c r="I266">
        <v>103</v>
      </c>
      <c r="J266" s="6"/>
      <c r="K266" s="13">
        <v>45897</v>
      </c>
      <c r="L266" t="s">
        <v>687</v>
      </c>
      <c r="M266">
        <v>8.9</v>
      </c>
    </row>
    <row r="267" spans="1:13" x14ac:dyDescent="0.25">
      <c r="A267" t="s">
        <v>34</v>
      </c>
      <c r="D267" t="s">
        <v>39</v>
      </c>
      <c r="E267">
        <v>2001</v>
      </c>
      <c r="F267">
        <v>1</v>
      </c>
      <c r="G267">
        <v>3</v>
      </c>
      <c r="H267">
        <v>1</v>
      </c>
      <c r="I267">
        <v>103</v>
      </c>
      <c r="J267" s="6"/>
      <c r="K267" s="13">
        <v>45897</v>
      </c>
      <c r="L267" t="s">
        <v>688</v>
      </c>
      <c r="M267">
        <v>9.6</v>
      </c>
    </row>
    <row r="268" spans="1:13" x14ac:dyDescent="0.25">
      <c r="A268" t="s">
        <v>34</v>
      </c>
      <c r="D268" t="s">
        <v>39</v>
      </c>
      <c r="E268">
        <v>2001</v>
      </c>
      <c r="F268">
        <v>1</v>
      </c>
      <c r="G268">
        <v>3</v>
      </c>
      <c r="H268">
        <v>1</v>
      </c>
      <c r="I268">
        <v>103</v>
      </c>
      <c r="J268" s="6"/>
      <c r="K268" s="13">
        <v>45897</v>
      </c>
      <c r="L268" t="s">
        <v>689</v>
      </c>
      <c r="M268">
        <v>9.1</v>
      </c>
    </row>
    <row r="269" spans="1:13" x14ac:dyDescent="0.25">
      <c r="A269" t="s">
        <v>34</v>
      </c>
      <c r="D269" t="s">
        <v>39</v>
      </c>
      <c r="E269">
        <v>2001</v>
      </c>
      <c r="F269">
        <v>1</v>
      </c>
      <c r="G269">
        <v>3</v>
      </c>
      <c r="H269">
        <v>1</v>
      </c>
      <c r="I269">
        <v>103</v>
      </c>
      <c r="J269" s="6"/>
      <c r="K269" s="13">
        <v>45911</v>
      </c>
      <c r="L269" t="s">
        <v>687</v>
      </c>
      <c r="M269">
        <v>9.9</v>
      </c>
    </row>
    <row r="270" spans="1:13" x14ac:dyDescent="0.25">
      <c r="A270" t="s">
        <v>34</v>
      </c>
      <c r="D270" t="s">
        <v>39</v>
      </c>
      <c r="E270">
        <v>2001</v>
      </c>
      <c r="F270">
        <v>1</v>
      </c>
      <c r="G270">
        <v>3</v>
      </c>
      <c r="H270">
        <v>1</v>
      </c>
      <c r="I270">
        <v>103</v>
      </c>
      <c r="J270" s="6"/>
      <c r="K270" s="13">
        <v>45911</v>
      </c>
      <c r="L270" t="s">
        <v>688</v>
      </c>
      <c r="M270">
        <v>10.6</v>
      </c>
    </row>
    <row r="271" spans="1:13" x14ac:dyDescent="0.25">
      <c r="A271" t="s">
        <v>34</v>
      </c>
      <c r="D271" t="s">
        <v>39</v>
      </c>
      <c r="E271">
        <v>2001</v>
      </c>
      <c r="F271">
        <v>1</v>
      </c>
      <c r="G271">
        <v>3</v>
      </c>
      <c r="H271">
        <v>1</v>
      </c>
      <c r="I271">
        <v>103</v>
      </c>
      <c r="J271" s="6"/>
      <c r="K271" s="13">
        <v>45911</v>
      </c>
      <c r="L271" t="s">
        <v>689</v>
      </c>
      <c r="M271">
        <v>10</v>
      </c>
    </row>
    <row r="272" spans="1:13" x14ac:dyDescent="0.25">
      <c r="A272" t="s">
        <v>34</v>
      </c>
      <c r="D272" t="s">
        <v>318</v>
      </c>
      <c r="E272">
        <v>2004</v>
      </c>
      <c r="F272">
        <v>2</v>
      </c>
      <c r="G272">
        <v>3</v>
      </c>
      <c r="H272">
        <v>1</v>
      </c>
      <c r="I272">
        <v>119</v>
      </c>
      <c r="J272" s="6"/>
      <c r="K272" s="13">
        <v>45796</v>
      </c>
      <c r="L272" t="s">
        <v>687</v>
      </c>
    </row>
    <row r="273" spans="1:13" x14ac:dyDescent="0.25">
      <c r="A273" t="s">
        <v>34</v>
      </c>
      <c r="D273" t="s">
        <v>318</v>
      </c>
      <c r="E273">
        <v>2004</v>
      </c>
      <c r="F273">
        <v>2</v>
      </c>
      <c r="G273">
        <v>3</v>
      </c>
      <c r="H273">
        <v>1</v>
      </c>
      <c r="I273">
        <v>119</v>
      </c>
      <c r="J273" s="6"/>
      <c r="K273" s="13">
        <v>45796</v>
      </c>
      <c r="L273" t="s">
        <v>688</v>
      </c>
    </row>
    <row r="274" spans="1:13" x14ac:dyDescent="0.25">
      <c r="A274" t="s">
        <v>34</v>
      </c>
      <c r="D274" t="s">
        <v>318</v>
      </c>
      <c r="E274">
        <v>2004</v>
      </c>
      <c r="F274">
        <v>2</v>
      </c>
      <c r="G274">
        <v>3</v>
      </c>
      <c r="H274">
        <v>1</v>
      </c>
      <c r="I274">
        <v>119</v>
      </c>
      <c r="J274" s="6"/>
      <c r="K274" s="13">
        <v>45796</v>
      </c>
      <c r="L274" t="s">
        <v>689</v>
      </c>
    </row>
    <row r="275" spans="1:13" x14ac:dyDescent="0.25">
      <c r="A275" t="s">
        <v>34</v>
      </c>
      <c r="D275" t="s">
        <v>318</v>
      </c>
      <c r="E275">
        <v>2004</v>
      </c>
      <c r="F275">
        <v>2</v>
      </c>
      <c r="G275">
        <v>3</v>
      </c>
      <c r="H275">
        <v>1</v>
      </c>
      <c r="I275">
        <v>119</v>
      </c>
      <c r="J275" s="6"/>
      <c r="K275" s="13">
        <v>45820</v>
      </c>
      <c r="L275" t="s">
        <v>687</v>
      </c>
      <c r="M275">
        <v>2.7</v>
      </c>
    </row>
    <row r="276" spans="1:13" x14ac:dyDescent="0.25">
      <c r="A276" t="s">
        <v>34</v>
      </c>
      <c r="D276" t="s">
        <v>318</v>
      </c>
      <c r="E276">
        <v>2004</v>
      </c>
      <c r="F276">
        <v>2</v>
      </c>
      <c r="G276">
        <v>3</v>
      </c>
      <c r="H276">
        <v>1</v>
      </c>
      <c r="I276">
        <v>119</v>
      </c>
      <c r="J276" s="6"/>
      <c r="K276" s="13">
        <v>45820</v>
      </c>
      <c r="L276" t="s">
        <v>688</v>
      </c>
      <c r="M276">
        <v>2.7</v>
      </c>
    </row>
    <row r="277" spans="1:13" x14ac:dyDescent="0.25">
      <c r="A277" t="s">
        <v>34</v>
      </c>
      <c r="D277" t="s">
        <v>318</v>
      </c>
      <c r="E277">
        <v>2004</v>
      </c>
      <c r="F277">
        <v>2</v>
      </c>
      <c r="G277">
        <v>3</v>
      </c>
      <c r="H277">
        <v>1</v>
      </c>
      <c r="I277">
        <v>119</v>
      </c>
      <c r="J277" s="6"/>
      <c r="K277" s="13">
        <v>45820</v>
      </c>
      <c r="L277" t="s">
        <v>689</v>
      </c>
      <c r="M277">
        <v>2.7</v>
      </c>
    </row>
    <row r="278" spans="1:13" x14ac:dyDescent="0.25">
      <c r="A278" t="s">
        <v>34</v>
      </c>
      <c r="D278" t="s">
        <v>318</v>
      </c>
      <c r="E278">
        <v>2004</v>
      </c>
      <c r="F278">
        <v>2</v>
      </c>
      <c r="G278">
        <v>3</v>
      </c>
      <c r="H278">
        <v>1</v>
      </c>
      <c r="I278">
        <v>119</v>
      </c>
      <c r="J278" s="6"/>
      <c r="K278" s="13">
        <v>45825</v>
      </c>
      <c r="L278" t="s">
        <v>687</v>
      </c>
    </row>
    <row r="279" spans="1:13" x14ac:dyDescent="0.25">
      <c r="A279" t="s">
        <v>34</v>
      </c>
      <c r="D279" t="s">
        <v>318</v>
      </c>
      <c r="E279">
        <v>2004</v>
      </c>
      <c r="F279">
        <v>2</v>
      </c>
      <c r="G279">
        <v>3</v>
      </c>
      <c r="H279">
        <v>1</v>
      </c>
      <c r="I279">
        <v>119</v>
      </c>
      <c r="J279" s="6"/>
      <c r="K279" s="13">
        <v>45825</v>
      </c>
      <c r="L279" t="s">
        <v>688</v>
      </c>
    </row>
    <row r="280" spans="1:13" x14ac:dyDescent="0.25">
      <c r="A280" t="s">
        <v>34</v>
      </c>
      <c r="D280" t="s">
        <v>318</v>
      </c>
      <c r="E280">
        <v>2004</v>
      </c>
      <c r="F280">
        <v>2</v>
      </c>
      <c r="G280">
        <v>3</v>
      </c>
      <c r="H280">
        <v>1</v>
      </c>
      <c r="I280">
        <v>119</v>
      </c>
      <c r="J280" s="6"/>
      <c r="K280" s="13">
        <v>45825</v>
      </c>
      <c r="L280" t="s">
        <v>689</v>
      </c>
    </row>
    <row r="281" spans="1:13" x14ac:dyDescent="0.25">
      <c r="A281" t="s">
        <v>34</v>
      </c>
      <c r="D281" t="s">
        <v>318</v>
      </c>
      <c r="E281">
        <v>2004</v>
      </c>
      <c r="F281">
        <v>2</v>
      </c>
      <c r="G281">
        <v>3</v>
      </c>
      <c r="H281">
        <v>1</v>
      </c>
      <c r="I281">
        <v>119</v>
      </c>
      <c r="J281" s="6"/>
      <c r="K281" s="13">
        <v>45827</v>
      </c>
      <c r="L281" t="s">
        <v>687</v>
      </c>
      <c r="M281">
        <v>3.1</v>
      </c>
    </row>
    <row r="282" spans="1:13" x14ac:dyDescent="0.25">
      <c r="A282" t="s">
        <v>34</v>
      </c>
      <c r="B282" s="54"/>
      <c r="C282" s="55"/>
      <c r="D282" t="s">
        <v>318</v>
      </c>
      <c r="E282">
        <v>2004</v>
      </c>
      <c r="F282">
        <v>2</v>
      </c>
      <c r="G282">
        <v>3</v>
      </c>
      <c r="H282">
        <v>1</v>
      </c>
      <c r="I282">
        <v>119</v>
      </c>
      <c r="J282" s="6"/>
      <c r="K282" s="13">
        <v>45827</v>
      </c>
      <c r="L282" t="s">
        <v>688</v>
      </c>
      <c r="M282">
        <v>3.2</v>
      </c>
    </row>
    <row r="283" spans="1:13" x14ac:dyDescent="0.25">
      <c r="A283" t="s">
        <v>34</v>
      </c>
      <c r="D283" t="s">
        <v>318</v>
      </c>
      <c r="E283">
        <v>2004</v>
      </c>
      <c r="F283">
        <v>2</v>
      </c>
      <c r="G283">
        <v>3</v>
      </c>
      <c r="H283">
        <v>1</v>
      </c>
      <c r="I283">
        <v>119</v>
      </c>
      <c r="J283" s="6"/>
      <c r="K283" s="13">
        <v>45827</v>
      </c>
      <c r="L283" t="s">
        <v>689</v>
      </c>
      <c r="M283">
        <v>3.3</v>
      </c>
    </row>
    <row r="284" spans="1:13" x14ac:dyDescent="0.25">
      <c r="A284" t="s">
        <v>34</v>
      </c>
      <c r="D284" t="s">
        <v>318</v>
      </c>
      <c r="E284">
        <v>2004</v>
      </c>
      <c r="F284">
        <v>2</v>
      </c>
      <c r="G284">
        <v>3</v>
      </c>
      <c r="H284">
        <v>1</v>
      </c>
      <c r="I284">
        <v>119</v>
      </c>
      <c r="J284" s="6"/>
      <c r="K284" s="13">
        <v>45859</v>
      </c>
      <c r="L284" t="s">
        <v>687</v>
      </c>
      <c r="M284">
        <v>5.9</v>
      </c>
    </row>
    <row r="285" spans="1:13" x14ac:dyDescent="0.25">
      <c r="A285" t="s">
        <v>34</v>
      </c>
      <c r="D285" t="s">
        <v>318</v>
      </c>
      <c r="E285">
        <v>2004</v>
      </c>
      <c r="F285">
        <v>2</v>
      </c>
      <c r="G285">
        <v>3</v>
      </c>
      <c r="H285">
        <v>1</v>
      </c>
      <c r="I285">
        <v>119</v>
      </c>
      <c r="J285" s="6"/>
      <c r="K285" s="13">
        <v>45859</v>
      </c>
      <c r="L285" t="s">
        <v>688</v>
      </c>
      <c r="M285">
        <v>5.9</v>
      </c>
    </row>
    <row r="286" spans="1:13" x14ac:dyDescent="0.25">
      <c r="A286" t="s">
        <v>34</v>
      </c>
      <c r="D286" t="s">
        <v>318</v>
      </c>
      <c r="E286">
        <v>2004</v>
      </c>
      <c r="F286">
        <v>2</v>
      </c>
      <c r="G286">
        <v>3</v>
      </c>
      <c r="H286">
        <v>1</v>
      </c>
      <c r="I286">
        <v>119</v>
      </c>
      <c r="J286" s="6"/>
      <c r="K286" s="13">
        <v>45859</v>
      </c>
      <c r="L286" t="s">
        <v>689</v>
      </c>
      <c r="M286">
        <v>5.8</v>
      </c>
    </row>
    <row r="287" spans="1:13" x14ac:dyDescent="0.25">
      <c r="A287" t="s">
        <v>34</v>
      </c>
      <c r="D287" t="s">
        <v>318</v>
      </c>
      <c r="E287">
        <v>2004</v>
      </c>
      <c r="F287">
        <v>2</v>
      </c>
      <c r="G287">
        <v>3</v>
      </c>
      <c r="H287">
        <v>1</v>
      </c>
      <c r="I287">
        <v>119</v>
      </c>
      <c r="J287" s="6"/>
      <c r="K287" s="13">
        <v>45868</v>
      </c>
      <c r="L287" t="s">
        <v>687</v>
      </c>
      <c r="M287">
        <v>6.7</v>
      </c>
    </row>
    <row r="288" spans="1:13" x14ac:dyDescent="0.25">
      <c r="A288" t="s">
        <v>34</v>
      </c>
      <c r="D288" t="s">
        <v>318</v>
      </c>
      <c r="E288">
        <v>2004</v>
      </c>
      <c r="F288">
        <v>2</v>
      </c>
      <c r="G288">
        <v>3</v>
      </c>
      <c r="H288">
        <v>1</v>
      </c>
      <c r="I288">
        <v>119</v>
      </c>
      <c r="J288" s="6"/>
      <c r="K288" s="13">
        <v>45868</v>
      </c>
      <c r="L288" t="s">
        <v>688</v>
      </c>
      <c r="M288">
        <v>7.5</v>
      </c>
    </row>
    <row r="289" spans="1:13" x14ac:dyDescent="0.25">
      <c r="A289" t="s">
        <v>34</v>
      </c>
      <c r="D289" t="s">
        <v>318</v>
      </c>
      <c r="E289">
        <v>2004</v>
      </c>
      <c r="F289">
        <v>2</v>
      </c>
      <c r="G289">
        <v>3</v>
      </c>
      <c r="H289">
        <v>1</v>
      </c>
      <c r="I289">
        <v>119</v>
      </c>
      <c r="J289" s="6"/>
      <c r="K289" s="13">
        <v>45868</v>
      </c>
      <c r="L289" t="s">
        <v>689</v>
      </c>
      <c r="M289">
        <v>6.7</v>
      </c>
    </row>
    <row r="290" spans="1:13" x14ac:dyDescent="0.25">
      <c r="A290" t="s">
        <v>34</v>
      </c>
      <c r="D290" t="s">
        <v>318</v>
      </c>
      <c r="E290">
        <v>2004</v>
      </c>
      <c r="F290">
        <v>2</v>
      </c>
      <c r="G290">
        <v>3</v>
      </c>
      <c r="H290">
        <v>1</v>
      </c>
      <c r="I290">
        <v>119</v>
      </c>
      <c r="J290" s="6"/>
      <c r="K290" s="13">
        <v>45875</v>
      </c>
      <c r="L290" t="s">
        <v>687</v>
      </c>
    </row>
    <row r="291" spans="1:13" x14ac:dyDescent="0.25">
      <c r="A291" t="s">
        <v>34</v>
      </c>
      <c r="D291" t="s">
        <v>318</v>
      </c>
      <c r="E291">
        <v>2004</v>
      </c>
      <c r="F291">
        <v>2</v>
      </c>
      <c r="G291">
        <v>3</v>
      </c>
      <c r="H291">
        <v>1</v>
      </c>
      <c r="I291">
        <v>119</v>
      </c>
      <c r="J291" s="6"/>
      <c r="K291" s="13">
        <v>45875</v>
      </c>
      <c r="L291" t="s">
        <v>688</v>
      </c>
    </row>
    <row r="292" spans="1:13" x14ac:dyDescent="0.25">
      <c r="A292" t="s">
        <v>34</v>
      </c>
      <c r="D292" t="s">
        <v>318</v>
      </c>
      <c r="E292">
        <v>2004</v>
      </c>
      <c r="F292">
        <v>2</v>
      </c>
      <c r="G292">
        <v>3</v>
      </c>
      <c r="H292">
        <v>1</v>
      </c>
      <c r="I292">
        <v>119</v>
      </c>
      <c r="J292" s="6"/>
      <c r="K292" s="13">
        <v>45875</v>
      </c>
      <c r="L292" t="s">
        <v>689</v>
      </c>
    </row>
    <row r="293" spans="1:13" x14ac:dyDescent="0.25">
      <c r="A293" t="s">
        <v>34</v>
      </c>
      <c r="D293" t="s">
        <v>318</v>
      </c>
      <c r="E293">
        <v>2004</v>
      </c>
      <c r="F293">
        <v>2</v>
      </c>
      <c r="G293">
        <v>3</v>
      </c>
      <c r="H293">
        <v>1</v>
      </c>
      <c r="I293">
        <v>119</v>
      </c>
      <c r="J293" s="6"/>
      <c r="K293" s="13">
        <v>45880</v>
      </c>
      <c r="L293" t="s">
        <v>687</v>
      </c>
      <c r="M293">
        <v>7.7</v>
      </c>
    </row>
    <row r="294" spans="1:13" x14ac:dyDescent="0.25">
      <c r="A294" t="s">
        <v>34</v>
      </c>
      <c r="D294" t="s">
        <v>318</v>
      </c>
      <c r="E294">
        <v>2004</v>
      </c>
      <c r="F294">
        <v>2</v>
      </c>
      <c r="G294">
        <v>3</v>
      </c>
      <c r="H294">
        <v>1</v>
      </c>
      <c r="I294">
        <v>119</v>
      </c>
      <c r="J294" s="6"/>
      <c r="K294" s="13">
        <v>45880</v>
      </c>
      <c r="L294" t="s">
        <v>688</v>
      </c>
      <c r="M294">
        <v>8.6</v>
      </c>
    </row>
    <row r="295" spans="1:13" x14ac:dyDescent="0.25">
      <c r="A295" t="s">
        <v>34</v>
      </c>
      <c r="D295" t="s">
        <v>318</v>
      </c>
      <c r="E295">
        <v>2004</v>
      </c>
      <c r="F295">
        <v>2</v>
      </c>
      <c r="G295">
        <v>3</v>
      </c>
      <c r="H295">
        <v>1</v>
      </c>
      <c r="I295">
        <v>119</v>
      </c>
      <c r="J295" s="6"/>
      <c r="K295" s="13">
        <v>45880</v>
      </c>
      <c r="L295" t="s">
        <v>689</v>
      </c>
      <c r="M295">
        <v>7.7</v>
      </c>
    </row>
    <row r="296" spans="1:13" x14ac:dyDescent="0.25">
      <c r="A296" t="s">
        <v>34</v>
      </c>
      <c r="D296" t="s">
        <v>318</v>
      </c>
      <c r="E296">
        <v>2004</v>
      </c>
      <c r="F296">
        <v>2</v>
      </c>
      <c r="G296">
        <v>3</v>
      </c>
      <c r="H296">
        <v>1</v>
      </c>
      <c r="I296">
        <v>119</v>
      </c>
      <c r="J296" s="6"/>
      <c r="K296" s="13">
        <v>45897</v>
      </c>
      <c r="L296" t="s">
        <v>687</v>
      </c>
      <c r="M296">
        <v>8.9</v>
      </c>
    </row>
    <row r="297" spans="1:13" x14ac:dyDescent="0.25">
      <c r="A297" t="s">
        <v>34</v>
      </c>
      <c r="D297" t="s">
        <v>318</v>
      </c>
      <c r="E297">
        <v>2004</v>
      </c>
      <c r="F297">
        <v>2</v>
      </c>
      <c r="G297">
        <v>3</v>
      </c>
      <c r="H297">
        <v>1</v>
      </c>
      <c r="I297">
        <v>119</v>
      </c>
      <c r="J297" s="6"/>
      <c r="K297" s="13">
        <v>45897</v>
      </c>
      <c r="L297" t="s">
        <v>688</v>
      </c>
      <c r="M297">
        <v>10.1</v>
      </c>
    </row>
    <row r="298" spans="1:13" x14ac:dyDescent="0.25">
      <c r="A298" t="s">
        <v>34</v>
      </c>
      <c r="D298" t="s">
        <v>318</v>
      </c>
      <c r="E298">
        <v>2004</v>
      </c>
      <c r="F298">
        <v>2</v>
      </c>
      <c r="G298">
        <v>3</v>
      </c>
      <c r="H298">
        <v>1</v>
      </c>
      <c r="I298">
        <v>119</v>
      </c>
      <c r="J298" s="6"/>
      <c r="K298" s="13">
        <v>45897</v>
      </c>
      <c r="L298" t="s">
        <v>689</v>
      </c>
      <c r="M298">
        <v>9.1</v>
      </c>
    </row>
    <row r="299" spans="1:13" x14ac:dyDescent="0.25">
      <c r="A299" t="s">
        <v>34</v>
      </c>
      <c r="D299" t="s">
        <v>318</v>
      </c>
      <c r="E299">
        <v>2004</v>
      </c>
      <c r="F299">
        <v>2</v>
      </c>
      <c r="G299">
        <v>3</v>
      </c>
      <c r="H299">
        <v>1</v>
      </c>
      <c r="I299">
        <v>119</v>
      </c>
      <c r="J299" s="6"/>
      <c r="K299" s="13">
        <v>45911</v>
      </c>
      <c r="L299" t="s">
        <v>687</v>
      </c>
      <c r="M299">
        <v>9.9</v>
      </c>
    </row>
    <row r="300" spans="1:13" x14ac:dyDescent="0.25">
      <c r="A300" t="s">
        <v>34</v>
      </c>
      <c r="D300" t="s">
        <v>318</v>
      </c>
      <c r="E300">
        <v>2004</v>
      </c>
      <c r="F300">
        <v>2</v>
      </c>
      <c r="G300">
        <v>3</v>
      </c>
      <c r="H300">
        <v>1</v>
      </c>
      <c r="I300">
        <v>119</v>
      </c>
      <c r="J300" s="6"/>
      <c r="K300" s="13">
        <v>45911</v>
      </c>
      <c r="L300" t="s">
        <v>688</v>
      </c>
      <c r="M300">
        <v>10.9</v>
      </c>
    </row>
    <row r="301" spans="1:13" x14ac:dyDescent="0.25">
      <c r="A301" t="s">
        <v>34</v>
      </c>
      <c r="D301" t="s">
        <v>318</v>
      </c>
      <c r="E301">
        <v>2004</v>
      </c>
      <c r="F301">
        <v>2</v>
      </c>
      <c r="G301">
        <v>3</v>
      </c>
      <c r="H301">
        <v>1</v>
      </c>
      <c r="I301">
        <v>119</v>
      </c>
      <c r="J301" s="6"/>
      <c r="K301" s="13">
        <v>45911</v>
      </c>
      <c r="L301" t="s">
        <v>689</v>
      </c>
    </row>
    <row r="302" spans="1:13" x14ac:dyDescent="0.25">
      <c r="A302" t="s">
        <v>34</v>
      </c>
      <c r="D302" t="s">
        <v>41</v>
      </c>
      <c r="E302">
        <v>2008</v>
      </c>
      <c r="F302">
        <v>3</v>
      </c>
      <c r="G302">
        <v>3</v>
      </c>
      <c r="H302">
        <v>1</v>
      </c>
      <c r="I302">
        <v>135</v>
      </c>
      <c r="J302" s="6"/>
      <c r="K302" s="13">
        <v>45796</v>
      </c>
      <c r="L302" t="s">
        <v>687</v>
      </c>
    </row>
    <row r="303" spans="1:13" x14ac:dyDescent="0.25">
      <c r="A303" t="s">
        <v>34</v>
      </c>
      <c r="D303" t="s">
        <v>41</v>
      </c>
      <c r="E303">
        <v>2008</v>
      </c>
      <c r="F303">
        <v>3</v>
      </c>
      <c r="G303">
        <v>3</v>
      </c>
      <c r="H303">
        <v>1</v>
      </c>
      <c r="I303">
        <v>135</v>
      </c>
      <c r="J303" s="6"/>
      <c r="K303" s="13">
        <v>45796</v>
      </c>
      <c r="L303" t="s">
        <v>688</v>
      </c>
    </row>
    <row r="304" spans="1:13" x14ac:dyDescent="0.25">
      <c r="A304" t="s">
        <v>34</v>
      </c>
      <c r="D304" t="s">
        <v>41</v>
      </c>
      <c r="E304">
        <v>2008</v>
      </c>
      <c r="F304">
        <v>3</v>
      </c>
      <c r="G304">
        <v>3</v>
      </c>
      <c r="H304">
        <v>1</v>
      </c>
      <c r="I304">
        <v>135</v>
      </c>
      <c r="J304" s="6"/>
      <c r="K304" s="13">
        <v>45796</v>
      </c>
      <c r="L304" t="s">
        <v>689</v>
      </c>
    </row>
    <row r="305" spans="1:13" x14ac:dyDescent="0.25">
      <c r="A305" t="s">
        <v>34</v>
      </c>
      <c r="D305" t="s">
        <v>41</v>
      </c>
      <c r="E305">
        <v>2008</v>
      </c>
      <c r="F305">
        <v>3</v>
      </c>
      <c r="G305">
        <v>3</v>
      </c>
      <c r="H305">
        <v>1</v>
      </c>
      <c r="I305">
        <v>135</v>
      </c>
      <c r="J305" s="6"/>
      <c r="K305" s="13">
        <v>45820</v>
      </c>
      <c r="L305" t="s">
        <v>687</v>
      </c>
      <c r="M305">
        <v>2.9</v>
      </c>
    </row>
    <row r="306" spans="1:13" x14ac:dyDescent="0.25">
      <c r="A306" t="s">
        <v>34</v>
      </c>
      <c r="D306" t="s">
        <v>41</v>
      </c>
      <c r="E306">
        <v>2008</v>
      </c>
      <c r="F306">
        <v>3</v>
      </c>
      <c r="G306">
        <v>3</v>
      </c>
      <c r="H306">
        <v>1</v>
      </c>
      <c r="I306">
        <v>135</v>
      </c>
      <c r="J306" s="6"/>
      <c r="K306" s="13">
        <v>45820</v>
      </c>
      <c r="L306" t="s">
        <v>688</v>
      </c>
      <c r="M306">
        <v>2.9</v>
      </c>
    </row>
    <row r="307" spans="1:13" x14ac:dyDescent="0.25">
      <c r="A307" t="s">
        <v>34</v>
      </c>
      <c r="D307" t="s">
        <v>41</v>
      </c>
      <c r="E307">
        <v>2008</v>
      </c>
      <c r="F307">
        <v>3</v>
      </c>
      <c r="G307">
        <v>3</v>
      </c>
      <c r="H307">
        <v>1</v>
      </c>
      <c r="I307">
        <v>135</v>
      </c>
      <c r="J307" s="6"/>
      <c r="K307" s="13">
        <v>45820</v>
      </c>
      <c r="L307" t="s">
        <v>689</v>
      </c>
      <c r="M307">
        <v>2.7</v>
      </c>
    </row>
    <row r="308" spans="1:13" x14ac:dyDescent="0.25">
      <c r="A308" t="s">
        <v>34</v>
      </c>
      <c r="D308" t="s">
        <v>41</v>
      </c>
      <c r="E308">
        <v>2008</v>
      </c>
      <c r="F308">
        <v>3</v>
      </c>
      <c r="G308">
        <v>3</v>
      </c>
      <c r="H308">
        <v>1</v>
      </c>
      <c r="I308">
        <v>135</v>
      </c>
      <c r="J308" s="6"/>
      <c r="K308" s="13">
        <v>45825</v>
      </c>
      <c r="L308" t="s">
        <v>687</v>
      </c>
    </row>
    <row r="309" spans="1:13" x14ac:dyDescent="0.25">
      <c r="A309" t="s">
        <v>34</v>
      </c>
      <c r="D309" t="s">
        <v>41</v>
      </c>
      <c r="E309">
        <v>2008</v>
      </c>
      <c r="F309">
        <v>3</v>
      </c>
      <c r="G309">
        <v>3</v>
      </c>
      <c r="H309">
        <v>1</v>
      </c>
      <c r="I309">
        <v>135</v>
      </c>
      <c r="J309" s="6"/>
      <c r="K309" s="13">
        <v>45825</v>
      </c>
      <c r="L309" t="s">
        <v>688</v>
      </c>
    </row>
    <row r="310" spans="1:13" x14ac:dyDescent="0.25">
      <c r="A310" t="s">
        <v>34</v>
      </c>
      <c r="D310" t="s">
        <v>41</v>
      </c>
      <c r="E310">
        <v>2008</v>
      </c>
      <c r="F310">
        <v>3</v>
      </c>
      <c r="G310">
        <v>3</v>
      </c>
      <c r="H310">
        <v>1</v>
      </c>
      <c r="I310">
        <v>135</v>
      </c>
      <c r="J310" s="6"/>
      <c r="K310" s="13">
        <v>45825</v>
      </c>
      <c r="L310" t="s">
        <v>689</v>
      </c>
    </row>
    <row r="311" spans="1:13" x14ac:dyDescent="0.25">
      <c r="A311" t="s">
        <v>34</v>
      </c>
      <c r="D311" t="s">
        <v>41</v>
      </c>
      <c r="E311">
        <v>2008</v>
      </c>
      <c r="F311">
        <v>3</v>
      </c>
      <c r="G311">
        <v>3</v>
      </c>
      <c r="H311">
        <v>1</v>
      </c>
      <c r="I311">
        <v>135</v>
      </c>
      <c r="J311" s="6"/>
      <c r="K311" s="13">
        <v>45827</v>
      </c>
      <c r="L311" t="s">
        <v>687</v>
      </c>
      <c r="M311">
        <v>3.5</v>
      </c>
    </row>
    <row r="312" spans="1:13" x14ac:dyDescent="0.25">
      <c r="A312" t="s">
        <v>34</v>
      </c>
      <c r="D312" t="s">
        <v>41</v>
      </c>
      <c r="E312">
        <v>2008</v>
      </c>
      <c r="F312">
        <v>3</v>
      </c>
      <c r="G312">
        <v>3</v>
      </c>
      <c r="H312">
        <v>1</v>
      </c>
      <c r="I312">
        <v>135</v>
      </c>
      <c r="J312" s="6"/>
      <c r="K312" s="13">
        <v>45827</v>
      </c>
      <c r="L312" t="s">
        <v>688</v>
      </c>
      <c r="M312">
        <v>3.4</v>
      </c>
    </row>
    <row r="313" spans="1:13" x14ac:dyDescent="0.25">
      <c r="A313" t="s">
        <v>34</v>
      </c>
      <c r="D313" t="s">
        <v>41</v>
      </c>
      <c r="E313">
        <v>2008</v>
      </c>
      <c r="F313">
        <v>3</v>
      </c>
      <c r="G313">
        <v>3</v>
      </c>
      <c r="H313">
        <v>1</v>
      </c>
      <c r="I313">
        <v>135</v>
      </c>
      <c r="J313" s="6"/>
      <c r="K313" s="13">
        <v>45827</v>
      </c>
      <c r="L313" t="s">
        <v>689</v>
      </c>
      <c r="M313">
        <v>3.1</v>
      </c>
    </row>
    <row r="314" spans="1:13" x14ac:dyDescent="0.25">
      <c r="A314" t="s">
        <v>34</v>
      </c>
      <c r="D314" t="s">
        <v>41</v>
      </c>
      <c r="E314">
        <v>2008</v>
      </c>
      <c r="F314">
        <v>3</v>
      </c>
      <c r="G314">
        <v>3</v>
      </c>
      <c r="H314">
        <v>1</v>
      </c>
      <c r="I314">
        <v>135</v>
      </c>
      <c r="J314" s="6"/>
      <c r="K314" s="13">
        <v>45859</v>
      </c>
      <c r="L314" t="s">
        <v>687</v>
      </c>
      <c r="M314">
        <v>6.3</v>
      </c>
    </row>
    <row r="315" spans="1:13" x14ac:dyDescent="0.25">
      <c r="A315" t="s">
        <v>34</v>
      </c>
      <c r="D315" t="s">
        <v>41</v>
      </c>
      <c r="E315">
        <v>2008</v>
      </c>
      <c r="F315">
        <v>3</v>
      </c>
      <c r="G315">
        <v>3</v>
      </c>
      <c r="H315">
        <v>1</v>
      </c>
      <c r="I315">
        <v>135</v>
      </c>
      <c r="J315" s="6"/>
      <c r="K315" s="13">
        <v>45859</v>
      </c>
      <c r="L315" t="s">
        <v>688</v>
      </c>
      <c r="M315">
        <v>6.3</v>
      </c>
    </row>
    <row r="316" spans="1:13" x14ac:dyDescent="0.25">
      <c r="A316" t="s">
        <v>34</v>
      </c>
      <c r="D316" t="s">
        <v>41</v>
      </c>
      <c r="E316">
        <v>2008</v>
      </c>
      <c r="F316">
        <v>3</v>
      </c>
      <c r="G316">
        <v>3</v>
      </c>
      <c r="H316">
        <v>1</v>
      </c>
      <c r="I316">
        <v>135</v>
      </c>
      <c r="J316" s="6"/>
      <c r="K316" s="13">
        <v>45859</v>
      </c>
      <c r="L316" t="s">
        <v>689</v>
      </c>
      <c r="M316">
        <v>6.5</v>
      </c>
    </row>
    <row r="317" spans="1:13" x14ac:dyDescent="0.25">
      <c r="A317" t="s">
        <v>34</v>
      </c>
      <c r="D317" t="s">
        <v>41</v>
      </c>
      <c r="E317">
        <v>2008</v>
      </c>
      <c r="F317">
        <v>3</v>
      </c>
      <c r="G317">
        <v>3</v>
      </c>
      <c r="H317">
        <v>1</v>
      </c>
      <c r="I317">
        <v>135</v>
      </c>
      <c r="J317" s="6"/>
      <c r="K317" s="13">
        <v>45868</v>
      </c>
      <c r="L317" t="s">
        <v>687</v>
      </c>
      <c r="M317">
        <v>7.3</v>
      </c>
    </row>
    <row r="318" spans="1:13" x14ac:dyDescent="0.25">
      <c r="A318" t="s">
        <v>34</v>
      </c>
      <c r="D318" t="s">
        <v>41</v>
      </c>
      <c r="E318">
        <v>2008</v>
      </c>
      <c r="F318">
        <v>3</v>
      </c>
      <c r="G318">
        <v>3</v>
      </c>
      <c r="H318">
        <v>1</v>
      </c>
      <c r="I318">
        <v>135</v>
      </c>
      <c r="J318" s="6"/>
      <c r="K318" s="13">
        <v>45868</v>
      </c>
      <c r="L318" t="s">
        <v>688</v>
      </c>
      <c r="M318">
        <v>7.4</v>
      </c>
    </row>
    <row r="319" spans="1:13" x14ac:dyDescent="0.25">
      <c r="A319" t="s">
        <v>34</v>
      </c>
      <c r="D319" t="s">
        <v>41</v>
      </c>
      <c r="E319">
        <v>2008</v>
      </c>
      <c r="F319">
        <v>3</v>
      </c>
      <c r="G319">
        <v>3</v>
      </c>
      <c r="H319">
        <v>1</v>
      </c>
      <c r="I319">
        <v>135</v>
      </c>
      <c r="J319" s="6"/>
      <c r="K319" s="13">
        <v>45868</v>
      </c>
      <c r="L319" t="s">
        <v>689</v>
      </c>
      <c r="M319">
        <v>7.5</v>
      </c>
    </row>
    <row r="320" spans="1:13" x14ac:dyDescent="0.25">
      <c r="A320" t="s">
        <v>34</v>
      </c>
      <c r="D320" t="s">
        <v>41</v>
      </c>
      <c r="E320">
        <v>2008</v>
      </c>
      <c r="F320">
        <v>3</v>
      </c>
      <c r="G320">
        <v>3</v>
      </c>
      <c r="H320">
        <v>1</v>
      </c>
      <c r="I320">
        <v>135</v>
      </c>
      <c r="J320" s="6"/>
      <c r="K320" s="13">
        <v>45875</v>
      </c>
      <c r="L320" t="s">
        <v>687</v>
      </c>
    </row>
    <row r="321" spans="1:13" x14ac:dyDescent="0.25">
      <c r="A321" t="s">
        <v>34</v>
      </c>
      <c r="D321" t="s">
        <v>41</v>
      </c>
      <c r="E321">
        <v>2008</v>
      </c>
      <c r="F321">
        <v>3</v>
      </c>
      <c r="G321">
        <v>3</v>
      </c>
      <c r="H321">
        <v>1</v>
      </c>
      <c r="I321">
        <v>135</v>
      </c>
      <c r="J321" s="6"/>
      <c r="K321" s="13">
        <v>45875</v>
      </c>
      <c r="L321" t="s">
        <v>688</v>
      </c>
    </row>
    <row r="322" spans="1:13" x14ac:dyDescent="0.25">
      <c r="A322" t="s">
        <v>34</v>
      </c>
      <c r="D322" t="s">
        <v>41</v>
      </c>
      <c r="E322">
        <v>2008</v>
      </c>
      <c r="F322">
        <v>3</v>
      </c>
      <c r="G322">
        <v>3</v>
      </c>
      <c r="H322">
        <v>1</v>
      </c>
      <c r="I322">
        <v>135</v>
      </c>
      <c r="J322" s="6"/>
      <c r="K322" s="13">
        <v>45875</v>
      </c>
      <c r="L322" t="s">
        <v>689</v>
      </c>
    </row>
    <row r="323" spans="1:13" x14ac:dyDescent="0.25">
      <c r="A323" t="s">
        <v>34</v>
      </c>
      <c r="D323" t="s">
        <v>41</v>
      </c>
      <c r="E323">
        <v>2008</v>
      </c>
      <c r="F323">
        <v>3</v>
      </c>
      <c r="G323">
        <v>3</v>
      </c>
      <c r="H323">
        <v>1</v>
      </c>
      <c r="I323">
        <v>135</v>
      </c>
      <c r="J323" s="6"/>
      <c r="K323" s="13">
        <v>45880</v>
      </c>
      <c r="L323" t="s">
        <v>687</v>
      </c>
      <c r="M323">
        <v>8.4</v>
      </c>
    </row>
    <row r="324" spans="1:13" x14ac:dyDescent="0.25">
      <c r="A324" t="s">
        <v>34</v>
      </c>
      <c r="D324" t="s">
        <v>41</v>
      </c>
      <c r="E324">
        <v>2008</v>
      </c>
      <c r="F324">
        <v>3</v>
      </c>
      <c r="G324">
        <v>3</v>
      </c>
      <c r="H324">
        <v>1</v>
      </c>
      <c r="I324">
        <v>135</v>
      </c>
      <c r="J324" s="6"/>
      <c r="K324" s="13">
        <v>45880</v>
      </c>
      <c r="L324" t="s">
        <v>688</v>
      </c>
      <c r="M324">
        <v>8.3000000000000007</v>
      </c>
    </row>
    <row r="325" spans="1:13" x14ac:dyDescent="0.25">
      <c r="A325" t="s">
        <v>34</v>
      </c>
      <c r="D325" t="s">
        <v>41</v>
      </c>
      <c r="E325">
        <v>2008</v>
      </c>
      <c r="F325">
        <v>3</v>
      </c>
      <c r="G325">
        <v>3</v>
      </c>
      <c r="H325">
        <v>1</v>
      </c>
      <c r="I325">
        <v>135</v>
      </c>
      <c r="J325" s="6"/>
      <c r="K325" s="13">
        <v>45880</v>
      </c>
      <c r="L325" t="s">
        <v>689</v>
      </c>
    </row>
    <row r="326" spans="1:13" x14ac:dyDescent="0.25">
      <c r="A326" t="s">
        <v>34</v>
      </c>
      <c r="D326" t="s">
        <v>41</v>
      </c>
      <c r="E326">
        <v>2008</v>
      </c>
      <c r="F326">
        <v>3</v>
      </c>
      <c r="G326">
        <v>3</v>
      </c>
      <c r="H326">
        <v>1</v>
      </c>
      <c r="I326">
        <v>135</v>
      </c>
      <c r="J326" s="6"/>
      <c r="K326" s="13">
        <v>45897</v>
      </c>
      <c r="L326" t="s">
        <v>687</v>
      </c>
      <c r="M326">
        <v>9.8000000000000007</v>
      </c>
    </row>
    <row r="327" spans="1:13" x14ac:dyDescent="0.25">
      <c r="A327" t="s">
        <v>34</v>
      </c>
      <c r="D327" t="s">
        <v>41</v>
      </c>
      <c r="E327">
        <v>2008</v>
      </c>
      <c r="F327">
        <v>3</v>
      </c>
      <c r="G327">
        <v>3</v>
      </c>
      <c r="H327">
        <v>1</v>
      </c>
      <c r="I327">
        <v>135</v>
      </c>
      <c r="J327" s="6"/>
      <c r="K327" s="13">
        <v>45897</v>
      </c>
      <c r="L327" t="s">
        <v>688</v>
      </c>
      <c r="M327">
        <v>9.5</v>
      </c>
    </row>
    <row r="328" spans="1:13" x14ac:dyDescent="0.25">
      <c r="A328" t="s">
        <v>34</v>
      </c>
      <c r="D328" t="s">
        <v>41</v>
      </c>
      <c r="E328">
        <v>2008</v>
      </c>
      <c r="F328">
        <v>3</v>
      </c>
      <c r="G328">
        <v>3</v>
      </c>
      <c r="H328">
        <v>1</v>
      </c>
      <c r="I328">
        <v>135</v>
      </c>
      <c r="J328" s="6"/>
      <c r="K328" s="13">
        <v>45897</v>
      </c>
      <c r="L328" t="s">
        <v>689</v>
      </c>
      <c r="M328">
        <v>9.5</v>
      </c>
    </row>
    <row r="329" spans="1:13" x14ac:dyDescent="0.25">
      <c r="A329" t="s">
        <v>34</v>
      </c>
      <c r="D329" t="s">
        <v>41</v>
      </c>
      <c r="E329">
        <v>2008</v>
      </c>
      <c r="F329">
        <v>3</v>
      </c>
      <c r="G329">
        <v>3</v>
      </c>
      <c r="H329">
        <v>1</v>
      </c>
      <c r="I329">
        <v>135</v>
      </c>
      <c r="J329" s="6"/>
      <c r="K329" s="13">
        <v>45911</v>
      </c>
      <c r="L329" t="s">
        <v>687</v>
      </c>
      <c r="M329">
        <v>11</v>
      </c>
    </row>
    <row r="330" spans="1:13" x14ac:dyDescent="0.25">
      <c r="A330" t="s">
        <v>34</v>
      </c>
      <c r="D330" t="s">
        <v>41</v>
      </c>
      <c r="E330">
        <v>2008</v>
      </c>
      <c r="F330">
        <v>3</v>
      </c>
      <c r="G330">
        <v>3</v>
      </c>
      <c r="H330">
        <v>1</v>
      </c>
      <c r="I330">
        <v>135</v>
      </c>
      <c r="J330" s="6"/>
      <c r="K330" s="13">
        <v>45911</v>
      </c>
      <c r="L330" t="s">
        <v>688</v>
      </c>
      <c r="M330">
        <v>10</v>
      </c>
    </row>
    <row r="331" spans="1:13" x14ac:dyDescent="0.25">
      <c r="A331" t="s">
        <v>34</v>
      </c>
      <c r="D331" t="s">
        <v>41</v>
      </c>
      <c r="E331">
        <v>2008</v>
      </c>
      <c r="F331">
        <v>3</v>
      </c>
      <c r="G331">
        <v>3</v>
      </c>
      <c r="H331">
        <v>1</v>
      </c>
      <c r="I331">
        <v>135</v>
      </c>
      <c r="J331" s="6"/>
      <c r="K331" s="13">
        <v>45911</v>
      </c>
      <c r="L331" t="s">
        <v>689</v>
      </c>
    </row>
    <row r="332" spans="1:13" x14ac:dyDescent="0.25">
      <c r="A332" t="s">
        <v>34</v>
      </c>
      <c r="D332" t="s">
        <v>38</v>
      </c>
      <c r="E332">
        <v>1999</v>
      </c>
      <c r="F332">
        <v>4</v>
      </c>
      <c r="G332">
        <v>3</v>
      </c>
      <c r="H332">
        <v>1</v>
      </c>
      <c r="I332">
        <v>151</v>
      </c>
      <c r="J332" s="6"/>
      <c r="K332" s="13">
        <v>45796</v>
      </c>
      <c r="L332" t="s">
        <v>687</v>
      </c>
    </row>
    <row r="333" spans="1:13" x14ac:dyDescent="0.25">
      <c r="A333" t="s">
        <v>34</v>
      </c>
      <c r="D333" t="s">
        <v>38</v>
      </c>
      <c r="E333">
        <v>1999</v>
      </c>
      <c r="F333">
        <v>4</v>
      </c>
      <c r="G333">
        <v>3</v>
      </c>
      <c r="H333">
        <v>1</v>
      </c>
      <c r="I333">
        <v>151</v>
      </c>
      <c r="J333" s="6"/>
      <c r="K333" s="13">
        <v>45796</v>
      </c>
      <c r="L333" t="s">
        <v>688</v>
      </c>
    </row>
    <row r="334" spans="1:13" x14ac:dyDescent="0.25">
      <c r="A334" t="s">
        <v>34</v>
      </c>
      <c r="D334" t="s">
        <v>38</v>
      </c>
      <c r="E334">
        <v>1999</v>
      </c>
      <c r="F334">
        <v>4</v>
      </c>
      <c r="G334">
        <v>3</v>
      </c>
      <c r="H334">
        <v>1</v>
      </c>
      <c r="I334">
        <v>151</v>
      </c>
      <c r="J334" s="6"/>
      <c r="K334" s="13">
        <v>45796</v>
      </c>
      <c r="L334" t="s">
        <v>689</v>
      </c>
    </row>
    <row r="335" spans="1:13" x14ac:dyDescent="0.25">
      <c r="A335" t="s">
        <v>34</v>
      </c>
      <c r="D335" t="s">
        <v>38</v>
      </c>
      <c r="E335">
        <v>1999</v>
      </c>
      <c r="F335">
        <v>4</v>
      </c>
      <c r="G335">
        <v>3</v>
      </c>
      <c r="H335">
        <v>1</v>
      </c>
      <c r="I335">
        <v>151</v>
      </c>
      <c r="J335" s="6"/>
      <c r="K335" s="13">
        <v>45820</v>
      </c>
      <c r="L335" t="s">
        <v>687</v>
      </c>
      <c r="M335">
        <v>4.0999999999999996</v>
      </c>
    </row>
    <row r="336" spans="1:13" x14ac:dyDescent="0.25">
      <c r="A336" t="s">
        <v>34</v>
      </c>
      <c r="D336" t="s">
        <v>38</v>
      </c>
      <c r="E336">
        <v>1999</v>
      </c>
      <c r="F336">
        <v>4</v>
      </c>
      <c r="G336">
        <v>3</v>
      </c>
      <c r="H336">
        <v>1</v>
      </c>
      <c r="I336">
        <v>151</v>
      </c>
      <c r="J336" s="6"/>
      <c r="K336" s="13">
        <v>45820</v>
      </c>
      <c r="L336" t="s">
        <v>688</v>
      </c>
      <c r="M336">
        <v>3.8</v>
      </c>
    </row>
    <row r="337" spans="1:13" x14ac:dyDescent="0.25">
      <c r="A337" t="s">
        <v>34</v>
      </c>
      <c r="D337" t="s">
        <v>38</v>
      </c>
      <c r="E337">
        <v>1999</v>
      </c>
      <c r="F337">
        <v>4</v>
      </c>
      <c r="G337">
        <v>3</v>
      </c>
      <c r="H337">
        <v>1</v>
      </c>
      <c r="I337">
        <v>151</v>
      </c>
      <c r="J337" s="6"/>
      <c r="K337" s="13">
        <v>45820</v>
      </c>
      <c r="L337" t="s">
        <v>689</v>
      </c>
      <c r="M337">
        <v>2.9</v>
      </c>
    </row>
    <row r="338" spans="1:13" x14ac:dyDescent="0.25">
      <c r="A338" t="s">
        <v>34</v>
      </c>
      <c r="D338" t="s">
        <v>38</v>
      </c>
      <c r="E338">
        <v>1999</v>
      </c>
      <c r="F338">
        <v>4</v>
      </c>
      <c r="G338">
        <v>3</v>
      </c>
      <c r="H338">
        <v>1</v>
      </c>
      <c r="I338">
        <v>151</v>
      </c>
      <c r="J338" s="6"/>
      <c r="K338" s="13">
        <v>45825</v>
      </c>
      <c r="L338" t="s">
        <v>687</v>
      </c>
    </row>
    <row r="339" spans="1:13" x14ac:dyDescent="0.25">
      <c r="A339" t="s">
        <v>34</v>
      </c>
      <c r="D339" t="s">
        <v>38</v>
      </c>
      <c r="E339">
        <v>1999</v>
      </c>
      <c r="F339">
        <v>4</v>
      </c>
      <c r="G339">
        <v>3</v>
      </c>
      <c r="H339">
        <v>1</v>
      </c>
      <c r="I339">
        <v>151</v>
      </c>
      <c r="J339" s="6"/>
      <c r="K339" s="13">
        <v>45825</v>
      </c>
      <c r="L339" t="s">
        <v>688</v>
      </c>
    </row>
    <row r="340" spans="1:13" x14ac:dyDescent="0.25">
      <c r="A340" t="s">
        <v>34</v>
      </c>
      <c r="D340" t="s">
        <v>38</v>
      </c>
      <c r="E340">
        <v>1999</v>
      </c>
      <c r="F340">
        <v>4</v>
      </c>
      <c r="G340">
        <v>3</v>
      </c>
      <c r="H340">
        <v>1</v>
      </c>
      <c r="I340">
        <v>151</v>
      </c>
      <c r="J340" s="6"/>
      <c r="K340" s="13">
        <v>45825</v>
      </c>
      <c r="L340" t="s">
        <v>689</v>
      </c>
    </row>
    <row r="341" spans="1:13" x14ac:dyDescent="0.25">
      <c r="A341" t="s">
        <v>34</v>
      </c>
      <c r="D341" t="s">
        <v>38</v>
      </c>
      <c r="E341">
        <v>1999</v>
      </c>
      <c r="F341">
        <v>4</v>
      </c>
      <c r="G341">
        <v>3</v>
      </c>
      <c r="H341">
        <v>1</v>
      </c>
      <c r="I341">
        <v>151</v>
      </c>
      <c r="J341" s="6"/>
      <c r="K341" s="13">
        <v>45827</v>
      </c>
      <c r="L341" t="s">
        <v>687</v>
      </c>
      <c r="M341">
        <v>4.5</v>
      </c>
    </row>
    <row r="342" spans="1:13" x14ac:dyDescent="0.25">
      <c r="A342" t="s">
        <v>34</v>
      </c>
      <c r="D342" t="s">
        <v>38</v>
      </c>
      <c r="E342">
        <v>1999</v>
      </c>
      <c r="F342">
        <v>4</v>
      </c>
      <c r="G342">
        <v>3</v>
      </c>
      <c r="H342">
        <v>1</v>
      </c>
      <c r="I342">
        <v>151</v>
      </c>
      <c r="J342" s="6"/>
      <c r="K342" s="13">
        <v>45827</v>
      </c>
      <c r="L342" t="s">
        <v>688</v>
      </c>
      <c r="M342">
        <v>4.4000000000000004</v>
      </c>
    </row>
    <row r="343" spans="1:13" x14ac:dyDescent="0.25">
      <c r="A343" t="s">
        <v>34</v>
      </c>
      <c r="D343" t="s">
        <v>38</v>
      </c>
      <c r="E343">
        <v>1999</v>
      </c>
      <c r="F343">
        <v>4</v>
      </c>
      <c r="G343">
        <v>3</v>
      </c>
      <c r="H343">
        <v>1</v>
      </c>
      <c r="I343">
        <v>151</v>
      </c>
      <c r="J343" s="6"/>
      <c r="K343" s="13">
        <v>45827</v>
      </c>
      <c r="L343" t="s">
        <v>689</v>
      </c>
      <c r="M343">
        <v>3.6</v>
      </c>
    </row>
    <row r="344" spans="1:13" x14ac:dyDescent="0.25">
      <c r="A344" t="s">
        <v>34</v>
      </c>
      <c r="D344" t="s">
        <v>38</v>
      </c>
      <c r="E344">
        <v>1999</v>
      </c>
      <c r="F344">
        <v>4</v>
      </c>
      <c r="G344">
        <v>3</v>
      </c>
      <c r="H344">
        <v>1</v>
      </c>
      <c r="I344">
        <v>151</v>
      </c>
      <c r="J344" s="6"/>
      <c r="K344" s="13">
        <v>45859</v>
      </c>
      <c r="L344" t="s">
        <v>687</v>
      </c>
      <c r="M344">
        <v>5.9</v>
      </c>
    </row>
    <row r="345" spans="1:13" x14ac:dyDescent="0.25">
      <c r="A345" t="s">
        <v>34</v>
      </c>
      <c r="D345" t="s">
        <v>38</v>
      </c>
      <c r="E345">
        <v>1999</v>
      </c>
      <c r="F345">
        <v>4</v>
      </c>
      <c r="G345">
        <v>3</v>
      </c>
      <c r="H345">
        <v>1</v>
      </c>
      <c r="I345">
        <v>151</v>
      </c>
      <c r="J345" s="6"/>
      <c r="K345" s="13">
        <v>45859</v>
      </c>
      <c r="L345" t="s">
        <v>688</v>
      </c>
      <c r="M345">
        <v>7.1</v>
      </c>
    </row>
    <row r="346" spans="1:13" x14ac:dyDescent="0.25">
      <c r="A346" t="s">
        <v>34</v>
      </c>
      <c r="B346" s="54"/>
      <c r="C346" s="55"/>
      <c r="D346" t="s">
        <v>38</v>
      </c>
      <c r="E346">
        <v>1999</v>
      </c>
      <c r="F346">
        <v>4</v>
      </c>
      <c r="G346">
        <v>3</v>
      </c>
      <c r="H346">
        <v>1</v>
      </c>
      <c r="I346">
        <v>151</v>
      </c>
      <c r="J346" s="6"/>
      <c r="K346" s="13">
        <v>45859</v>
      </c>
      <c r="L346" t="s">
        <v>689</v>
      </c>
      <c r="M346">
        <v>6.5</v>
      </c>
    </row>
    <row r="347" spans="1:13" x14ac:dyDescent="0.25">
      <c r="A347" t="s">
        <v>34</v>
      </c>
      <c r="D347" t="s">
        <v>38</v>
      </c>
      <c r="E347">
        <v>1999</v>
      </c>
      <c r="F347">
        <v>4</v>
      </c>
      <c r="G347">
        <v>3</v>
      </c>
      <c r="H347">
        <v>1</v>
      </c>
      <c r="I347">
        <v>151</v>
      </c>
      <c r="J347" s="6"/>
      <c r="K347" s="13">
        <v>45868</v>
      </c>
      <c r="L347" t="s">
        <v>687</v>
      </c>
      <c r="M347">
        <v>6.6</v>
      </c>
    </row>
    <row r="348" spans="1:13" x14ac:dyDescent="0.25">
      <c r="A348" t="s">
        <v>34</v>
      </c>
      <c r="D348" t="s">
        <v>38</v>
      </c>
      <c r="E348">
        <v>1999</v>
      </c>
      <c r="F348">
        <v>4</v>
      </c>
      <c r="G348">
        <v>3</v>
      </c>
      <c r="H348">
        <v>1</v>
      </c>
      <c r="I348">
        <v>151</v>
      </c>
      <c r="J348" s="6"/>
      <c r="K348" s="13">
        <v>45868</v>
      </c>
      <c r="L348" t="s">
        <v>688</v>
      </c>
      <c r="M348">
        <v>7.9</v>
      </c>
    </row>
    <row r="349" spans="1:13" x14ac:dyDescent="0.25">
      <c r="A349" t="s">
        <v>34</v>
      </c>
      <c r="D349" t="s">
        <v>38</v>
      </c>
      <c r="E349">
        <v>1999</v>
      </c>
      <c r="F349">
        <v>4</v>
      </c>
      <c r="G349">
        <v>3</v>
      </c>
      <c r="H349">
        <v>1</v>
      </c>
      <c r="I349">
        <v>151</v>
      </c>
      <c r="J349" s="6"/>
      <c r="K349" s="13">
        <v>45868</v>
      </c>
      <c r="L349" t="s">
        <v>689</v>
      </c>
      <c r="M349">
        <v>7.5</v>
      </c>
    </row>
    <row r="350" spans="1:13" x14ac:dyDescent="0.25">
      <c r="A350" t="s">
        <v>34</v>
      </c>
      <c r="D350" t="s">
        <v>38</v>
      </c>
      <c r="E350">
        <v>1999</v>
      </c>
      <c r="F350">
        <v>4</v>
      </c>
      <c r="G350">
        <v>3</v>
      </c>
      <c r="H350">
        <v>1</v>
      </c>
      <c r="I350">
        <v>151</v>
      </c>
      <c r="J350" s="6"/>
      <c r="K350" s="13">
        <v>45875</v>
      </c>
      <c r="L350" t="s">
        <v>687</v>
      </c>
    </row>
    <row r="351" spans="1:13" x14ac:dyDescent="0.25">
      <c r="A351" t="s">
        <v>34</v>
      </c>
      <c r="D351" t="s">
        <v>38</v>
      </c>
      <c r="E351">
        <v>1999</v>
      </c>
      <c r="F351">
        <v>4</v>
      </c>
      <c r="G351">
        <v>3</v>
      </c>
      <c r="H351">
        <v>1</v>
      </c>
      <c r="I351">
        <v>151</v>
      </c>
      <c r="J351" s="6"/>
      <c r="K351" s="13">
        <v>45875</v>
      </c>
      <c r="L351" t="s">
        <v>688</v>
      </c>
    </row>
    <row r="352" spans="1:13" x14ac:dyDescent="0.25">
      <c r="A352" t="s">
        <v>34</v>
      </c>
      <c r="D352" t="s">
        <v>38</v>
      </c>
      <c r="E352">
        <v>1999</v>
      </c>
      <c r="F352">
        <v>4</v>
      </c>
      <c r="G352">
        <v>3</v>
      </c>
      <c r="H352">
        <v>1</v>
      </c>
      <c r="I352">
        <v>151</v>
      </c>
      <c r="J352" s="6"/>
      <c r="K352" s="13">
        <v>45875</v>
      </c>
      <c r="L352" t="s">
        <v>689</v>
      </c>
    </row>
    <row r="353" spans="1:13" x14ac:dyDescent="0.25">
      <c r="A353" t="s">
        <v>34</v>
      </c>
      <c r="D353" t="s">
        <v>38</v>
      </c>
      <c r="E353">
        <v>1999</v>
      </c>
      <c r="F353">
        <v>4</v>
      </c>
      <c r="G353">
        <v>3</v>
      </c>
      <c r="H353">
        <v>1</v>
      </c>
      <c r="I353">
        <v>151</v>
      </c>
      <c r="J353" s="6"/>
      <c r="K353" s="13">
        <v>45880</v>
      </c>
      <c r="L353" t="s">
        <v>687</v>
      </c>
      <c r="M353">
        <v>8.8000000000000007</v>
      </c>
    </row>
    <row r="354" spans="1:13" x14ac:dyDescent="0.25">
      <c r="A354" t="s">
        <v>34</v>
      </c>
      <c r="D354" t="s">
        <v>38</v>
      </c>
      <c r="E354">
        <v>1999</v>
      </c>
      <c r="F354">
        <v>4</v>
      </c>
      <c r="G354">
        <v>3</v>
      </c>
      <c r="H354">
        <v>1</v>
      </c>
      <c r="I354">
        <v>151</v>
      </c>
      <c r="J354" s="6"/>
      <c r="K354" s="13">
        <v>45880</v>
      </c>
      <c r="L354" t="s">
        <v>688</v>
      </c>
      <c r="M354">
        <v>8.5</v>
      </c>
    </row>
    <row r="355" spans="1:13" x14ac:dyDescent="0.25">
      <c r="A355" t="s">
        <v>34</v>
      </c>
      <c r="D355" t="s">
        <v>38</v>
      </c>
      <c r="E355">
        <v>1999</v>
      </c>
      <c r="F355">
        <v>4</v>
      </c>
      <c r="G355">
        <v>3</v>
      </c>
      <c r="H355">
        <v>1</v>
      </c>
      <c r="I355">
        <v>151</v>
      </c>
      <c r="J355" s="6"/>
      <c r="K355" s="13">
        <v>45880</v>
      </c>
      <c r="L355" t="s">
        <v>689</v>
      </c>
      <c r="M355">
        <v>8.8000000000000007</v>
      </c>
    </row>
    <row r="356" spans="1:13" x14ac:dyDescent="0.25">
      <c r="A356" t="s">
        <v>34</v>
      </c>
      <c r="D356" t="s">
        <v>38</v>
      </c>
      <c r="E356">
        <v>1999</v>
      </c>
      <c r="F356">
        <v>4</v>
      </c>
      <c r="G356">
        <v>3</v>
      </c>
      <c r="H356">
        <v>1</v>
      </c>
      <c r="I356">
        <v>151</v>
      </c>
      <c r="J356" s="6"/>
      <c r="K356" s="13">
        <v>45897</v>
      </c>
      <c r="L356" t="s">
        <v>687</v>
      </c>
      <c r="M356">
        <v>8.8000000000000007</v>
      </c>
    </row>
    <row r="357" spans="1:13" x14ac:dyDescent="0.25">
      <c r="A357" t="s">
        <v>34</v>
      </c>
      <c r="D357" t="s">
        <v>38</v>
      </c>
      <c r="E357">
        <v>1999</v>
      </c>
      <c r="F357">
        <v>4</v>
      </c>
      <c r="G357">
        <v>3</v>
      </c>
      <c r="H357">
        <v>1</v>
      </c>
      <c r="I357">
        <v>151</v>
      </c>
      <c r="J357" s="6"/>
      <c r="K357" s="13">
        <v>45897</v>
      </c>
      <c r="L357" t="s">
        <v>688</v>
      </c>
      <c r="M357">
        <v>9.9</v>
      </c>
    </row>
    <row r="358" spans="1:13" x14ac:dyDescent="0.25">
      <c r="A358" t="s">
        <v>34</v>
      </c>
      <c r="D358" t="s">
        <v>38</v>
      </c>
      <c r="E358">
        <v>1999</v>
      </c>
      <c r="F358">
        <v>4</v>
      </c>
      <c r="G358">
        <v>3</v>
      </c>
      <c r="H358">
        <v>1</v>
      </c>
      <c r="I358">
        <v>151</v>
      </c>
      <c r="J358" s="6"/>
      <c r="K358" s="13">
        <v>45897</v>
      </c>
      <c r="L358" t="s">
        <v>689</v>
      </c>
      <c r="M358">
        <v>9.9</v>
      </c>
    </row>
    <row r="359" spans="1:13" x14ac:dyDescent="0.25">
      <c r="A359" t="s">
        <v>34</v>
      </c>
      <c r="D359" t="s">
        <v>38</v>
      </c>
      <c r="E359">
        <v>1999</v>
      </c>
      <c r="F359">
        <v>4</v>
      </c>
      <c r="G359">
        <v>3</v>
      </c>
      <c r="H359">
        <v>1</v>
      </c>
      <c r="I359">
        <v>151</v>
      </c>
      <c r="J359" s="6"/>
      <c r="K359" s="13">
        <v>45911</v>
      </c>
      <c r="L359" t="s">
        <v>687</v>
      </c>
      <c r="M359">
        <v>9.6999999999999993</v>
      </c>
    </row>
    <row r="360" spans="1:13" x14ac:dyDescent="0.25">
      <c r="A360" t="s">
        <v>34</v>
      </c>
      <c r="D360" t="s">
        <v>38</v>
      </c>
      <c r="E360">
        <v>1999</v>
      </c>
      <c r="F360">
        <v>4</v>
      </c>
      <c r="G360">
        <v>3</v>
      </c>
      <c r="H360">
        <v>1</v>
      </c>
      <c r="I360">
        <v>151</v>
      </c>
      <c r="J360" s="6"/>
      <c r="K360" s="13">
        <v>45911</v>
      </c>
      <c r="L360" t="s">
        <v>688</v>
      </c>
      <c r="M360">
        <v>10.7</v>
      </c>
    </row>
    <row r="361" spans="1:13" x14ac:dyDescent="0.25">
      <c r="A361" t="s">
        <v>34</v>
      </c>
      <c r="D361" t="s">
        <v>38</v>
      </c>
      <c r="E361">
        <v>1999</v>
      </c>
      <c r="F361">
        <v>4</v>
      </c>
      <c r="G361">
        <v>3</v>
      </c>
      <c r="H361">
        <v>1</v>
      </c>
      <c r="I361">
        <v>151</v>
      </c>
      <c r="J361" s="6"/>
      <c r="K361" s="13">
        <v>45911</v>
      </c>
      <c r="L361" t="s">
        <v>689</v>
      </c>
      <c r="M361">
        <v>11</v>
      </c>
    </row>
    <row r="362" spans="1:13" x14ac:dyDescent="0.25">
      <c r="A362" t="s">
        <v>34</v>
      </c>
      <c r="D362" t="s">
        <v>37</v>
      </c>
      <c r="E362">
        <v>1989</v>
      </c>
      <c r="F362">
        <v>1</v>
      </c>
      <c r="G362">
        <v>4</v>
      </c>
      <c r="H362">
        <v>1</v>
      </c>
      <c r="I362">
        <v>104</v>
      </c>
      <c r="J362" s="6"/>
      <c r="K362" s="13">
        <v>45796</v>
      </c>
      <c r="L362" t="s">
        <v>687</v>
      </c>
    </row>
    <row r="363" spans="1:13" x14ac:dyDescent="0.25">
      <c r="A363" t="s">
        <v>34</v>
      </c>
      <c r="D363" t="s">
        <v>37</v>
      </c>
      <c r="E363">
        <v>1989</v>
      </c>
      <c r="F363">
        <v>1</v>
      </c>
      <c r="G363">
        <v>4</v>
      </c>
      <c r="H363">
        <v>1</v>
      </c>
      <c r="I363">
        <v>104</v>
      </c>
      <c r="J363" s="6"/>
      <c r="K363" s="13">
        <v>45796</v>
      </c>
      <c r="L363" t="s">
        <v>688</v>
      </c>
    </row>
    <row r="364" spans="1:13" x14ac:dyDescent="0.25">
      <c r="A364" t="s">
        <v>34</v>
      </c>
      <c r="D364" t="s">
        <v>37</v>
      </c>
      <c r="E364">
        <v>1989</v>
      </c>
      <c r="F364">
        <v>1</v>
      </c>
      <c r="G364">
        <v>4</v>
      </c>
      <c r="H364">
        <v>1</v>
      </c>
      <c r="I364">
        <v>104</v>
      </c>
      <c r="J364" s="6"/>
      <c r="K364" s="13">
        <v>45796</v>
      </c>
      <c r="L364" t="s">
        <v>689</v>
      </c>
    </row>
    <row r="365" spans="1:13" x14ac:dyDescent="0.25">
      <c r="A365" t="s">
        <v>34</v>
      </c>
      <c r="D365" t="s">
        <v>37</v>
      </c>
      <c r="E365">
        <v>1989</v>
      </c>
      <c r="F365">
        <v>1</v>
      </c>
      <c r="G365">
        <v>4</v>
      </c>
      <c r="H365">
        <v>1</v>
      </c>
      <c r="I365">
        <v>104</v>
      </c>
      <c r="J365" s="6"/>
      <c r="K365" s="13">
        <v>45820</v>
      </c>
      <c r="L365" t="s">
        <v>687</v>
      </c>
      <c r="M365">
        <v>2.9</v>
      </c>
    </row>
    <row r="366" spans="1:13" x14ac:dyDescent="0.25">
      <c r="A366" t="s">
        <v>34</v>
      </c>
      <c r="D366" t="s">
        <v>37</v>
      </c>
      <c r="E366">
        <v>1989</v>
      </c>
      <c r="F366">
        <v>1</v>
      </c>
      <c r="G366">
        <v>4</v>
      </c>
      <c r="H366">
        <v>1</v>
      </c>
      <c r="I366">
        <v>104</v>
      </c>
      <c r="J366" s="6"/>
      <c r="K366" s="13">
        <v>45820</v>
      </c>
      <c r="L366" t="s">
        <v>688</v>
      </c>
      <c r="M366">
        <v>2.8</v>
      </c>
    </row>
    <row r="367" spans="1:13" x14ac:dyDescent="0.25">
      <c r="A367" t="s">
        <v>34</v>
      </c>
      <c r="D367" t="s">
        <v>37</v>
      </c>
      <c r="E367">
        <v>1989</v>
      </c>
      <c r="F367">
        <v>1</v>
      </c>
      <c r="G367">
        <v>4</v>
      </c>
      <c r="H367">
        <v>1</v>
      </c>
      <c r="I367">
        <v>104</v>
      </c>
      <c r="J367" s="6"/>
      <c r="K367" s="13">
        <v>45820</v>
      </c>
      <c r="L367" t="s">
        <v>689</v>
      </c>
      <c r="M367">
        <v>2.7</v>
      </c>
    </row>
    <row r="368" spans="1:13" x14ac:dyDescent="0.25">
      <c r="A368" t="s">
        <v>34</v>
      </c>
      <c r="D368" t="s">
        <v>37</v>
      </c>
      <c r="E368">
        <v>1989</v>
      </c>
      <c r="F368">
        <v>1</v>
      </c>
      <c r="G368">
        <v>4</v>
      </c>
      <c r="H368">
        <v>1</v>
      </c>
      <c r="I368">
        <v>104</v>
      </c>
      <c r="J368" s="6"/>
      <c r="K368" s="13">
        <v>45825</v>
      </c>
      <c r="L368" t="s">
        <v>687</v>
      </c>
    </row>
    <row r="369" spans="1:13" x14ac:dyDescent="0.25">
      <c r="A369" t="s">
        <v>34</v>
      </c>
      <c r="D369" t="s">
        <v>37</v>
      </c>
      <c r="E369">
        <v>1989</v>
      </c>
      <c r="F369">
        <v>1</v>
      </c>
      <c r="G369">
        <v>4</v>
      </c>
      <c r="H369">
        <v>1</v>
      </c>
      <c r="I369">
        <v>104</v>
      </c>
      <c r="J369" s="6"/>
      <c r="K369" s="13">
        <v>45825</v>
      </c>
      <c r="L369" t="s">
        <v>688</v>
      </c>
    </row>
    <row r="370" spans="1:13" x14ac:dyDescent="0.25">
      <c r="A370" t="s">
        <v>34</v>
      </c>
      <c r="D370" t="s">
        <v>37</v>
      </c>
      <c r="E370">
        <v>1989</v>
      </c>
      <c r="F370">
        <v>1</v>
      </c>
      <c r="G370">
        <v>4</v>
      </c>
      <c r="H370">
        <v>1</v>
      </c>
      <c r="I370">
        <v>104</v>
      </c>
      <c r="J370" s="6"/>
      <c r="K370" s="13">
        <v>45825</v>
      </c>
      <c r="L370" t="s">
        <v>689</v>
      </c>
    </row>
    <row r="371" spans="1:13" x14ac:dyDescent="0.25">
      <c r="A371" t="s">
        <v>34</v>
      </c>
      <c r="D371" t="s">
        <v>37</v>
      </c>
      <c r="E371">
        <v>1989</v>
      </c>
      <c r="F371">
        <v>1</v>
      </c>
      <c r="G371">
        <v>4</v>
      </c>
      <c r="H371">
        <v>1</v>
      </c>
      <c r="I371">
        <v>104</v>
      </c>
      <c r="J371" s="6"/>
      <c r="K371" s="13">
        <v>45827</v>
      </c>
      <c r="L371" t="s">
        <v>687</v>
      </c>
      <c r="M371">
        <v>3.2</v>
      </c>
    </row>
    <row r="372" spans="1:13" x14ac:dyDescent="0.25">
      <c r="A372" t="s">
        <v>34</v>
      </c>
      <c r="D372" t="s">
        <v>37</v>
      </c>
      <c r="E372">
        <v>1989</v>
      </c>
      <c r="F372">
        <v>1</v>
      </c>
      <c r="G372">
        <v>4</v>
      </c>
      <c r="H372">
        <v>1</v>
      </c>
      <c r="I372">
        <v>104</v>
      </c>
      <c r="J372" s="6"/>
      <c r="K372" s="13">
        <v>45827</v>
      </c>
      <c r="L372" t="s">
        <v>688</v>
      </c>
      <c r="M372">
        <v>3.2</v>
      </c>
    </row>
    <row r="373" spans="1:13" x14ac:dyDescent="0.25">
      <c r="A373" t="s">
        <v>34</v>
      </c>
      <c r="D373" t="s">
        <v>37</v>
      </c>
      <c r="E373">
        <v>1989</v>
      </c>
      <c r="F373">
        <v>1</v>
      </c>
      <c r="G373">
        <v>4</v>
      </c>
      <c r="H373">
        <v>1</v>
      </c>
      <c r="I373">
        <v>104</v>
      </c>
      <c r="J373" s="6"/>
      <c r="K373" s="13">
        <v>45827</v>
      </c>
      <c r="L373" t="s">
        <v>689</v>
      </c>
      <c r="M373">
        <v>3.3</v>
      </c>
    </row>
    <row r="374" spans="1:13" x14ac:dyDescent="0.25">
      <c r="A374" t="s">
        <v>34</v>
      </c>
      <c r="D374" t="s">
        <v>37</v>
      </c>
      <c r="E374">
        <v>1989</v>
      </c>
      <c r="F374">
        <v>1</v>
      </c>
      <c r="G374">
        <v>4</v>
      </c>
      <c r="H374">
        <v>1</v>
      </c>
      <c r="I374">
        <v>104</v>
      </c>
      <c r="J374" s="6"/>
      <c r="K374" s="13">
        <v>45859</v>
      </c>
      <c r="L374" t="s">
        <v>687</v>
      </c>
      <c r="M374">
        <v>6.2</v>
      </c>
    </row>
    <row r="375" spans="1:13" x14ac:dyDescent="0.25">
      <c r="A375" t="s">
        <v>34</v>
      </c>
      <c r="D375" t="s">
        <v>37</v>
      </c>
      <c r="E375">
        <v>1989</v>
      </c>
      <c r="F375">
        <v>1</v>
      </c>
      <c r="G375">
        <v>4</v>
      </c>
      <c r="H375">
        <v>1</v>
      </c>
      <c r="I375">
        <v>104</v>
      </c>
      <c r="J375" s="6"/>
      <c r="K375" s="13">
        <v>45859</v>
      </c>
      <c r="L375" t="s">
        <v>688</v>
      </c>
      <c r="M375">
        <v>6.3</v>
      </c>
    </row>
    <row r="376" spans="1:13" x14ac:dyDescent="0.25">
      <c r="A376" t="s">
        <v>34</v>
      </c>
      <c r="D376" t="s">
        <v>37</v>
      </c>
      <c r="E376">
        <v>1989</v>
      </c>
      <c r="F376">
        <v>1</v>
      </c>
      <c r="G376">
        <v>4</v>
      </c>
      <c r="H376">
        <v>1</v>
      </c>
      <c r="I376">
        <v>104</v>
      </c>
      <c r="J376" s="6"/>
      <c r="K376" s="13">
        <v>45859</v>
      </c>
      <c r="L376" t="s">
        <v>689</v>
      </c>
      <c r="M376">
        <v>6.2</v>
      </c>
    </row>
    <row r="377" spans="1:13" x14ac:dyDescent="0.25">
      <c r="A377" t="s">
        <v>34</v>
      </c>
      <c r="D377" t="s">
        <v>37</v>
      </c>
      <c r="E377">
        <v>1989</v>
      </c>
      <c r="F377">
        <v>1</v>
      </c>
      <c r="G377">
        <v>4</v>
      </c>
      <c r="H377">
        <v>1</v>
      </c>
      <c r="I377">
        <v>104</v>
      </c>
      <c r="J377" s="6"/>
      <c r="K377" s="13">
        <v>45868</v>
      </c>
      <c r="L377" t="s">
        <v>687</v>
      </c>
      <c r="M377">
        <v>7.1</v>
      </c>
    </row>
    <row r="378" spans="1:13" x14ac:dyDescent="0.25">
      <c r="A378" t="s">
        <v>34</v>
      </c>
      <c r="D378" t="s">
        <v>37</v>
      </c>
      <c r="E378">
        <v>1989</v>
      </c>
      <c r="F378">
        <v>1</v>
      </c>
      <c r="G378">
        <v>4</v>
      </c>
      <c r="H378">
        <v>1</v>
      </c>
      <c r="I378">
        <v>104</v>
      </c>
      <c r="J378" s="6"/>
      <c r="K378" s="13">
        <v>45868</v>
      </c>
      <c r="L378" t="s">
        <v>688</v>
      </c>
      <c r="M378">
        <v>7.4</v>
      </c>
    </row>
    <row r="379" spans="1:13" x14ac:dyDescent="0.25">
      <c r="A379" t="s">
        <v>34</v>
      </c>
      <c r="D379" t="s">
        <v>37</v>
      </c>
      <c r="E379">
        <v>1989</v>
      </c>
      <c r="F379">
        <v>1</v>
      </c>
      <c r="G379">
        <v>4</v>
      </c>
      <c r="H379">
        <v>1</v>
      </c>
      <c r="I379">
        <v>104</v>
      </c>
      <c r="J379" s="6"/>
      <c r="K379" s="13">
        <v>45868</v>
      </c>
      <c r="L379" t="s">
        <v>689</v>
      </c>
      <c r="M379">
        <v>7.1</v>
      </c>
    </row>
    <row r="380" spans="1:13" x14ac:dyDescent="0.25">
      <c r="A380" t="s">
        <v>34</v>
      </c>
      <c r="D380" t="s">
        <v>37</v>
      </c>
      <c r="E380">
        <v>1989</v>
      </c>
      <c r="F380">
        <v>1</v>
      </c>
      <c r="G380">
        <v>4</v>
      </c>
      <c r="H380">
        <v>1</v>
      </c>
      <c r="I380">
        <v>104</v>
      </c>
      <c r="J380" s="6"/>
      <c r="K380" s="13">
        <v>45875</v>
      </c>
      <c r="L380" t="s">
        <v>687</v>
      </c>
    </row>
    <row r="381" spans="1:13" x14ac:dyDescent="0.25">
      <c r="A381" t="s">
        <v>34</v>
      </c>
      <c r="D381" t="s">
        <v>37</v>
      </c>
      <c r="E381">
        <v>1989</v>
      </c>
      <c r="F381">
        <v>1</v>
      </c>
      <c r="G381">
        <v>4</v>
      </c>
      <c r="H381">
        <v>1</v>
      </c>
      <c r="I381">
        <v>104</v>
      </c>
      <c r="J381" s="6"/>
      <c r="K381" s="13">
        <v>45875</v>
      </c>
      <c r="L381" t="s">
        <v>688</v>
      </c>
    </row>
    <row r="382" spans="1:13" x14ac:dyDescent="0.25">
      <c r="A382" t="s">
        <v>34</v>
      </c>
      <c r="D382" t="s">
        <v>37</v>
      </c>
      <c r="E382">
        <v>1989</v>
      </c>
      <c r="F382">
        <v>1</v>
      </c>
      <c r="G382">
        <v>4</v>
      </c>
      <c r="H382">
        <v>1</v>
      </c>
      <c r="I382">
        <v>104</v>
      </c>
      <c r="J382" s="6"/>
      <c r="K382" s="13">
        <v>45875</v>
      </c>
      <c r="L382" t="s">
        <v>689</v>
      </c>
    </row>
    <row r="383" spans="1:13" x14ac:dyDescent="0.25">
      <c r="A383" t="s">
        <v>34</v>
      </c>
      <c r="D383" t="s">
        <v>37</v>
      </c>
      <c r="E383">
        <v>1989</v>
      </c>
      <c r="F383">
        <v>1</v>
      </c>
      <c r="G383">
        <v>4</v>
      </c>
      <c r="H383">
        <v>1</v>
      </c>
      <c r="I383">
        <v>104</v>
      </c>
      <c r="J383" s="6"/>
      <c r="K383" s="13">
        <v>45880</v>
      </c>
      <c r="L383" t="s">
        <v>687</v>
      </c>
      <c r="M383">
        <v>7.3</v>
      </c>
    </row>
    <row r="384" spans="1:13" x14ac:dyDescent="0.25">
      <c r="A384" t="s">
        <v>34</v>
      </c>
      <c r="D384" t="s">
        <v>37</v>
      </c>
      <c r="E384">
        <v>1989</v>
      </c>
      <c r="F384">
        <v>1</v>
      </c>
      <c r="G384">
        <v>4</v>
      </c>
      <c r="H384">
        <v>1</v>
      </c>
      <c r="I384">
        <v>104</v>
      </c>
      <c r="J384" s="6"/>
      <c r="K384" s="13">
        <v>45880</v>
      </c>
      <c r="L384" t="s">
        <v>688</v>
      </c>
      <c r="M384">
        <v>8.3000000000000007</v>
      </c>
    </row>
    <row r="385" spans="1:13" x14ac:dyDescent="0.25">
      <c r="A385" t="s">
        <v>34</v>
      </c>
      <c r="D385" t="s">
        <v>37</v>
      </c>
      <c r="E385">
        <v>1989</v>
      </c>
      <c r="F385">
        <v>1</v>
      </c>
      <c r="G385">
        <v>4</v>
      </c>
      <c r="H385">
        <v>1</v>
      </c>
      <c r="I385">
        <v>104</v>
      </c>
      <c r="J385" s="6"/>
      <c r="K385" s="13">
        <v>45880</v>
      </c>
      <c r="L385" t="s">
        <v>689</v>
      </c>
      <c r="M385">
        <v>8.1</v>
      </c>
    </row>
    <row r="386" spans="1:13" x14ac:dyDescent="0.25">
      <c r="A386" t="s">
        <v>34</v>
      </c>
      <c r="D386" t="s">
        <v>37</v>
      </c>
      <c r="E386">
        <v>1989</v>
      </c>
      <c r="F386">
        <v>1</v>
      </c>
      <c r="G386">
        <v>4</v>
      </c>
      <c r="H386">
        <v>1</v>
      </c>
      <c r="I386">
        <v>104</v>
      </c>
      <c r="J386" s="6"/>
      <c r="K386" s="13">
        <v>45897</v>
      </c>
      <c r="L386" t="s">
        <v>687</v>
      </c>
      <c r="M386">
        <v>9.8000000000000007</v>
      </c>
    </row>
    <row r="387" spans="1:13" x14ac:dyDescent="0.25">
      <c r="A387" t="s">
        <v>34</v>
      </c>
      <c r="D387" t="s">
        <v>37</v>
      </c>
      <c r="E387">
        <v>1989</v>
      </c>
      <c r="F387">
        <v>1</v>
      </c>
      <c r="G387">
        <v>4</v>
      </c>
      <c r="H387">
        <v>1</v>
      </c>
      <c r="I387">
        <v>104</v>
      </c>
      <c r="J387" s="6"/>
      <c r="K387" s="13">
        <v>45897</v>
      </c>
      <c r="L387" t="s">
        <v>688</v>
      </c>
      <c r="M387">
        <v>9.8000000000000007</v>
      </c>
    </row>
    <row r="388" spans="1:13" x14ac:dyDescent="0.25">
      <c r="A388" t="s">
        <v>34</v>
      </c>
      <c r="D388" t="s">
        <v>37</v>
      </c>
      <c r="E388">
        <v>1989</v>
      </c>
      <c r="F388">
        <v>1</v>
      </c>
      <c r="G388">
        <v>4</v>
      </c>
      <c r="H388">
        <v>1</v>
      </c>
      <c r="I388">
        <v>104</v>
      </c>
      <c r="J388" s="6"/>
      <c r="K388" s="13">
        <v>45897</v>
      </c>
      <c r="L388" t="s">
        <v>689</v>
      </c>
      <c r="M388">
        <v>9.6</v>
      </c>
    </row>
    <row r="389" spans="1:13" x14ac:dyDescent="0.25">
      <c r="A389" t="s">
        <v>34</v>
      </c>
      <c r="D389" t="s">
        <v>37</v>
      </c>
      <c r="E389">
        <v>1989</v>
      </c>
      <c r="F389">
        <v>1</v>
      </c>
      <c r="G389">
        <v>4</v>
      </c>
      <c r="H389">
        <v>1</v>
      </c>
      <c r="I389">
        <v>104</v>
      </c>
      <c r="J389" s="6"/>
      <c r="K389" s="13">
        <v>45911</v>
      </c>
      <c r="L389" t="s">
        <v>687</v>
      </c>
      <c r="M389">
        <v>10.7</v>
      </c>
    </row>
    <row r="390" spans="1:13" x14ac:dyDescent="0.25">
      <c r="A390" t="s">
        <v>34</v>
      </c>
      <c r="D390" t="s">
        <v>37</v>
      </c>
      <c r="E390">
        <v>1989</v>
      </c>
      <c r="F390">
        <v>1</v>
      </c>
      <c r="G390">
        <v>4</v>
      </c>
      <c r="H390">
        <v>1</v>
      </c>
      <c r="I390">
        <v>104</v>
      </c>
      <c r="J390" s="6"/>
      <c r="K390" s="13">
        <v>45911</v>
      </c>
      <c r="L390" t="s">
        <v>688</v>
      </c>
      <c r="M390">
        <v>10.8</v>
      </c>
    </row>
    <row r="391" spans="1:13" x14ac:dyDescent="0.25">
      <c r="A391" t="s">
        <v>34</v>
      </c>
      <c r="D391" t="s">
        <v>37</v>
      </c>
      <c r="E391">
        <v>1989</v>
      </c>
      <c r="F391">
        <v>1</v>
      </c>
      <c r="G391">
        <v>4</v>
      </c>
      <c r="H391">
        <v>1</v>
      </c>
      <c r="I391">
        <v>104</v>
      </c>
      <c r="J391" s="6"/>
      <c r="K391" s="13">
        <v>45911</v>
      </c>
      <c r="L391" t="s">
        <v>689</v>
      </c>
      <c r="M391">
        <v>10.8</v>
      </c>
    </row>
    <row r="392" spans="1:13" x14ac:dyDescent="0.25">
      <c r="A392" t="s">
        <v>34</v>
      </c>
      <c r="D392" t="s">
        <v>42</v>
      </c>
      <c r="E392">
        <v>2016</v>
      </c>
      <c r="F392">
        <v>2</v>
      </c>
      <c r="G392">
        <v>4</v>
      </c>
      <c r="H392">
        <v>1</v>
      </c>
      <c r="I392">
        <v>120</v>
      </c>
      <c r="J392" s="6"/>
      <c r="K392" s="13">
        <v>45796</v>
      </c>
      <c r="L392" t="s">
        <v>687</v>
      </c>
    </row>
    <row r="393" spans="1:13" x14ac:dyDescent="0.25">
      <c r="A393" t="s">
        <v>34</v>
      </c>
      <c r="D393" t="s">
        <v>42</v>
      </c>
      <c r="E393">
        <v>2016</v>
      </c>
      <c r="F393">
        <v>2</v>
      </c>
      <c r="G393">
        <v>4</v>
      </c>
      <c r="H393">
        <v>1</v>
      </c>
      <c r="I393">
        <v>120</v>
      </c>
      <c r="J393" s="6"/>
      <c r="K393" s="13">
        <v>45796</v>
      </c>
      <c r="L393" t="s">
        <v>688</v>
      </c>
    </row>
    <row r="394" spans="1:13" x14ac:dyDescent="0.25">
      <c r="A394" t="s">
        <v>34</v>
      </c>
      <c r="D394" t="s">
        <v>42</v>
      </c>
      <c r="E394">
        <v>2016</v>
      </c>
      <c r="F394">
        <v>2</v>
      </c>
      <c r="G394">
        <v>4</v>
      </c>
      <c r="H394">
        <v>1</v>
      </c>
      <c r="I394">
        <v>120</v>
      </c>
      <c r="J394" s="6"/>
      <c r="K394" s="13">
        <v>45796</v>
      </c>
      <c r="L394" t="s">
        <v>689</v>
      </c>
    </row>
    <row r="395" spans="1:13" x14ac:dyDescent="0.25">
      <c r="A395" t="s">
        <v>34</v>
      </c>
      <c r="D395" t="s">
        <v>42</v>
      </c>
      <c r="E395">
        <v>2016</v>
      </c>
      <c r="F395">
        <v>2</v>
      </c>
      <c r="G395">
        <v>4</v>
      </c>
      <c r="H395">
        <v>1</v>
      </c>
      <c r="I395">
        <v>120</v>
      </c>
      <c r="J395" s="6"/>
      <c r="K395" s="13">
        <v>45820</v>
      </c>
      <c r="L395" t="s">
        <v>687</v>
      </c>
      <c r="M395">
        <v>2.9</v>
      </c>
    </row>
    <row r="396" spans="1:13" x14ac:dyDescent="0.25">
      <c r="A396" t="s">
        <v>34</v>
      </c>
      <c r="D396" t="s">
        <v>42</v>
      </c>
      <c r="E396">
        <v>2016</v>
      </c>
      <c r="F396">
        <v>2</v>
      </c>
      <c r="G396">
        <v>4</v>
      </c>
      <c r="H396">
        <v>1</v>
      </c>
      <c r="I396">
        <v>120</v>
      </c>
      <c r="J396" s="6"/>
      <c r="K396" s="13">
        <v>45820</v>
      </c>
      <c r="L396" t="s">
        <v>688</v>
      </c>
      <c r="M396">
        <v>2.6</v>
      </c>
    </row>
    <row r="397" spans="1:13" x14ac:dyDescent="0.25">
      <c r="A397" t="s">
        <v>34</v>
      </c>
      <c r="D397" t="s">
        <v>42</v>
      </c>
      <c r="E397">
        <v>2016</v>
      </c>
      <c r="F397">
        <v>2</v>
      </c>
      <c r="G397">
        <v>4</v>
      </c>
      <c r="H397">
        <v>1</v>
      </c>
      <c r="I397">
        <v>120</v>
      </c>
      <c r="J397" s="6"/>
      <c r="K397" s="13">
        <v>45820</v>
      </c>
      <c r="L397" t="s">
        <v>689</v>
      </c>
      <c r="M397">
        <v>2.9</v>
      </c>
    </row>
    <row r="398" spans="1:13" x14ac:dyDescent="0.25">
      <c r="A398" t="s">
        <v>34</v>
      </c>
      <c r="D398" t="s">
        <v>42</v>
      </c>
      <c r="E398">
        <v>2016</v>
      </c>
      <c r="F398">
        <v>2</v>
      </c>
      <c r="G398">
        <v>4</v>
      </c>
      <c r="H398">
        <v>1</v>
      </c>
      <c r="I398">
        <v>120</v>
      </c>
      <c r="J398" s="6"/>
      <c r="K398" s="13">
        <v>45825</v>
      </c>
      <c r="L398" t="s">
        <v>687</v>
      </c>
    </row>
    <row r="399" spans="1:13" x14ac:dyDescent="0.25">
      <c r="A399" t="s">
        <v>34</v>
      </c>
      <c r="D399" t="s">
        <v>42</v>
      </c>
      <c r="E399">
        <v>2016</v>
      </c>
      <c r="F399">
        <v>2</v>
      </c>
      <c r="G399">
        <v>4</v>
      </c>
      <c r="H399">
        <v>1</v>
      </c>
      <c r="I399">
        <v>120</v>
      </c>
      <c r="J399" s="6"/>
      <c r="K399" s="13">
        <v>45825</v>
      </c>
      <c r="L399" t="s">
        <v>688</v>
      </c>
    </row>
    <row r="400" spans="1:13" x14ac:dyDescent="0.25">
      <c r="A400" t="s">
        <v>34</v>
      </c>
      <c r="D400" t="s">
        <v>42</v>
      </c>
      <c r="E400">
        <v>2016</v>
      </c>
      <c r="F400">
        <v>2</v>
      </c>
      <c r="G400">
        <v>4</v>
      </c>
      <c r="H400">
        <v>1</v>
      </c>
      <c r="I400">
        <v>120</v>
      </c>
      <c r="J400" s="6"/>
      <c r="K400" s="13">
        <v>45825</v>
      </c>
      <c r="L400" t="s">
        <v>689</v>
      </c>
    </row>
    <row r="401" spans="1:13" x14ac:dyDescent="0.25">
      <c r="A401" t="s">
        <v>34</v>
      </c>
      <c r="D401" t="s">
        <v>42</v>
      </c>
      <c r="E401">
        <v>2016</v>
      </c>
      <c r="F401">
        <v>2</v>
      </c>
      <c r="G401">
        <v>4</v>
      </c>
      <c r="H401">
        <v>1</v>
      </c>
      <c r="I401">
        <v>120</v>
      </c>
      <c r="J401" s="6"/>
      <c r="K401" s="13">
        <v>45827</v>
      </c>
      <c r="L401" t="s">
        <v>687</v>
      </c>
      <c r="M401">
        <v>3.3</v>
      </c>
    </row>
    <row r="402" spans="1:13" x14ac:dyDescent="0.25">
      <c r="A402" t="s">
        <v>34</v>
      </c>
      <c r="D402" t="s">
        <v>42</v>
      </c>
      <c r="E402">
        <v>2016</v>
      </c>
      <c r="F402">
        <v>2</v>
      </c>
      <c r="G402">
        <v>4</v>
      </c>
      <c r="H402">
        <v>1</v>
      </c>
      <c r="I402">
        <v>120</v>
      </c>
      <c r="J402" s="6"/>
      <c r="K402" s="13">
        <v>45827</v>
      </c>
      <c r="L402" t="s">
        <v>688</v>
      </c>
      <c r="M402">
        <v>3.3</v>
      </c>
    </row>
    <row r="403" spans="1:13" x14ac:dyDescent="0.25">
      <c r="A403" t="s">
        <v>34</v>
      </c>
      <c r="D403" t="s">
        <v>42</v>
      </c>
      <c r="E403">
        <v>2016</v>
      </c>
      <c r="F403">
        <v>2</v>
      </c>
      <c r="G403">
        <v>4</v>
      </c>
      <c r="H403">
        <v>1</v>
      </c>
      <c r="I403">
        <v>120</v>
      </c>
      <c r="J403" s="6"/>
      <c r="K403" s="13">
        <v>45827</v>
      </c>
      <c r="L403" t="s">
        <v>689</v>
      </c>
      <c r="M403">
        <v>3.1</v>
      </c>
    </row>
    <row r="404" spans="1:13" x14ac:dyDescent="0.25">
      <c r="A404" t="s">
        <v>34</v>
      </c>
      <c r="D404" t="s">
        <v>42</v>
      </c>
      <c r="E404">
        <v>2016</v>
      </c>
      <c r="F404">
        <v>2</v>
      </c>
      <c r="G404">
        <v>4</v>
      </c>
      <c r="H404">
        <v>1</v>
      </c>
      <c r="I404">
        <v>120</v>
      </c>
      <c r="J404" s="6"/>
      <c r="K404" s="13">
        <v>45859</v>
      </c>
      <c r="L404" t="s">
        <v>687</v>
      </c>
      <c r="M404">
        <v>5.9</v>
      </c>
    </row>
    <row r="405" spans="1:13" x14ac:dyDescent="0.25">
      <c r="A405" t="s">
        <v>34</v>
      </c>
      <c r="D405" t="s">
        <v>42</v>
      </c>
      <c r="E405">
        <v>2016</v>
      </c>
      <c r="F405">
        <v>2</v>
      </c>
      <c r="G405">
        <v>4</v>
      </c>
      <c r="H405">
        <v>1</v>
      </c>
      <c r="I405">
        <v>120</v>
      </c>
      <c r="J405" s="6"/>
      <c r="K405" s="13">
        <v>45859</v>
      </c>
      <c r="L405" t="s">
        <v>688</v>
      </c>
      <c r="M405">
        <v>5.9</v>
      </c>
    </row>
    <row r="406" spans="1:13" x14ac:dyDescent="0.25">
      <c r="A406" t="s">
        <v>34</v>
      </c>
      <c r="D406" t="s">
        <v>42</v>
      </c>
      <c r="E406">
        <v>2016</v>
      </c>
      <c r="F406">
        <v>2</v>
      </c>
      <c r="G406">
        <v>4</v>
      </c>
      <c r="H406">
        <v>1</v>
      </c>
      <c r="I406">
        <v>120</v>
      </c>
      <c r="J406" s="6"/>
      <c r="K406" s="13">
        <v>45859</v>
      </c>
      <c r="L406" t="s">
        <v>689</v>
      </c>
      <c r="M406">
        <v>5.9</v>
      </c>
    </row>
    <row r="407" spans="1:13" x14ac:dyDescent="0.25">
      <c r="A407" t="s">
        <v>34</v>
      </c>
      <c r="D407" t="s">
        <v>42</v>
      </c>
      <c r="E407">
        <v>2016</v>
      </c>
      <c r="F407">
        <v>2</v>
      </c>
      <c r="G407">
        <v>4</v>
      </c>
      <c r="H407">
        <v>1</v>
      </c>
      <c r="I407">
        <v>120</v>
      </c>
      <c r="J407" s="6"/>
      <c r="K407" s="13">
        <v>45868</v>
      </c>
      <c r="L407" t="s">
        <v>687</v>
      </c>
      <c r="M407">
        <v>6.9</v>
      </c>
    </row>
    <row r="408" spans="1:13" x14ac:dyDescent="0.25">
      <c r="A408" t="s">
        <v>34</v>
      </c>
      <c r="D408" t="s">
        <v>42</v>
      </c>
      <c r="E408">
        <v>2016</v>
      </c>
      <c r="F408">
        <v>2</v>
      </c>
      <c r="G408">
        <v>4</v>
      </c>
      <c r="H408">
        <v>1</v>
      </c>
      <c r="I408">
        <v>120</v>
      </c>
      <c r="J408" s="6"/>
      <c r="K408" s="13">
        <v>45868</v>
      </c>
      <c r="L408" t="s">
        <v>688</v>
      </c>
      <c r="M408">
        <v>6.8</v>
      </c>
    </row>
    <row r="409" spans="1:13" x14ac:dyDescent="0.25">
      <c r="A409" t="s">
        <v>34</v>
      </c>
      <c r="D409" t="s">
        <v>42</v>
      </c>
      <c r="E409">
        <v>2016</v>
      </c>
      <c r="F409">
        <v>2</v>
      </c>
      <c r="G409">
        <v>4</v>
      </c>
      <c r="H409">
        <v>1</v>
      </c>
      <c r="I409">
        <v>120</v>
      </c>
      <c r="J409" s="6"/>
      <c r="K409" s="13">
        <v>45868</v>
      </c>
      <c r="L409" t="s">
        <v>689</v>
      </c>
      <c r="M409">
        <v>6.7</v>
      </c>
    </row>
    <row r="410" spans="1:13" x14ac:dyDescent="0.25">
      <c r="A410" t="s">
        <v>34</v>
      </c>
      <c r="B410" s="54"/>
      <c r="C410" s="55"/>
      <c r="D410" t="s">
        <v>42</v>
      </c>
      <c r="E410">
        <v>2016</v>
      </c>
      <c r="F410">
        <v>2</v>
      </c>
      <c r="G410">
        <v>4</v>
      </c>
      <c r="H410">
        <v>1</v>
      </c>
      <c r="I410">
        <v>120</v>
      </c>
      <c r="J410" s="6"/>
      <c r="K410" s="13">
        <v>45875</v>
      </c>
      <c r="L410" t="s">
        <v>687</v>
      </c>
    </row>
    <row r="411" spans="1:13" x14ac:dyDescent="0.25">
      <c r="A411" t="s">
        <v>34</v>
      </c>
      <c r="D411" t="s">
        <v>42</v>
      </c>
      <c r="E411">
        <v>2016</v>
      </c>
      <c r="F411">
        <v>2</v>
      </c>
      <c r="G411">
        <v>4</v>
      </c>
      <c r="H411">
        <v>1</v>
      </c>
      <c r="I411">
        <v>120</v>
      </c>
      <c r="J411" s="6"/>
      <c r="K411" s="13">
        <v>45875</v>
      </c>
      <c r="L411" t="s">
        <v>688</v>
      </c>
    </row>
    <row r="412" spans="1:13" x14ac:dyDescent="0.25">
      <c r="A412" t="s">
        <v>34</v>
      </c>
      <c r="D412" t="s">
        <v>42</v>
      </c>
      <c r="E412">
        <v>2016</v>
      </c>
      <c r="F412">
        <v>2</v>
      </c>
      <c r="G412">
        <v>4</v>
      </c>
      <c r="H412">
        <v>1</v>
      </c>
      <c r="I412">
        <v>120</v>
      </c>
      <c r="J412" s="6"/>
      <c r="K412" s="13">
        <v>45875</v>
      </c>
      <c r="L412" t="s">
        <v>689</v>
      </c>
    </row>
    <row r="413" spans="1:13" x14ac:dyDescent="0.25">
      <c r="A413" t="s">
        <v>34</v>
      </c>
      <c r="D413" t="s">
        <v>42</v>
      </c>
      <c r="E413">
        <v>2016</v>
      </c>
      <c r="F413">
        <v>2</v>
      </c>
      <c r="G413">
        <v>4</v>
      </c>
      <c r="H413">
        <v>1</v>
      </c>
      <c r="I413">
        <v>120</v>
      </c>
      <c r="J413" s="6"/>
      <c r="K413" s="13">
        <v>45880</v>
      </c>
      <c r="L413" t="s">
        <v>687</v>
      </c>
      <c r="M413">
        <v>7.1</v>
      </c>
    </row>
    <row r="414" spans="1:13" x14ac:dyDescent="0.25">
      <c r="A414" t="s">
        <v>34</v>
      </c>
      <c r="D414" t="s">
        <v>42</v>
      </c>
      <c r="E414">
        <v>2016</v>
      </c>
      <c r="F414">
        <v>2</v>
      </c>
      <c r="G414">
        <v>4</v>
      </c>
      <c r="H414">
        <v>1</v>
      </c>
      <c r="I414">
        <v>120</v>
      </c>
      <c r="J414" s="6"/>
      <c r="K414" s="13">
        <v>45880</v>
      </c>
      <c r="L414" t="s">
        <v>688</v>
      </c>
      <c r="M414">
        <v>7.2</v>
      </c>
    </row>
    <row r="415" spans="1:13" x14ac:dyDescent="0.25">
      <c r="A415" t="s">
        <v>34</v>
      </c>
      <c r="D415" t="s">
        <v>42</v>
      </c>
      <c r="E415">
        <v>2016</v>
      </c>
      <c r="F415">
        <v>2</v>
      </c>
      <c r="G415">
        <v>4</v>
      </c>
      <c r="H415">
        <v>1</v>
      </c>
      <c r="I415">
        <v>120</v>
      </c>
      <c r="J415" s="6"/>
      <c r="K415" s="13">
        <v>45880</v>
      </c>
      <c r="L415" t="s">
        <v>689</v>
      </c>
      <c r="M415">
        <v>7.3</v>
      </c>
    </row>
    <row r="416" spans="1:13" x14ac:dyDescent="0.25">
      <c r="A416" t="s">
        <v>34</v>
      </c>
      <c r="D416" t="s">
        <v>42</v>
      </c>
      <c r="E416">
        <v>2016</v>
      </c>
      <c r="F416">
        <v>2</v>
      </c>
      <c r="G416">
        <v>4</v>
      </c>
      <c r="H416">
        <v>1</v>
      </c>
      <c r="I416">
        <v>120</v>
      </c>
      <c r="J416" s="6"/>
      <c r="K416" s="13">
        <v>45897</v>
      </c>
      <c r="L416" t="s">
        <v>687</v>
      </c>
      <c r="M416">
        <v>9.1</v>
      </c>
    </row>
    <row r="417" spans="1:13" x14ac:dyDescent="0.25">
      <c r="A417" t="s">
        <v>34</v>
      </c>
      <c r="D417" t="s">
        <v>42</v>
      </c>
      <c r="E417">
        <v>2016</v>
      </c>
      <c r="F417">
        <v>2</v>
      </c>
      <c r="G417">
        <v>4</v>
      </c>
      <c r="H417">
        <v>1</v>
      </c>
      <c r="I417">
        <v>120</v>
      </c>
      <c r="J417" s="6"/>
      <c r="K417" s="13">
        <v>45897</v>
      </c>
      <c r="L417" t="s">
        <v>688</v>
      </c>
      <c r="M417">
        <v>9.6</v>
      </c>
    </row>
    <row r="418" spans="1:13" x14ac:dyDescent="0.25">
      <c r="A418" t="s">
        <v>34</v>
      </c>
      <c r="D418" t="s">
        <v>42</v>
      </c>
      <c r="E418">
        <v>2016</v>
      </c>
      <c r="F418">
        <v>2</v>
      </c>
      <c r="G418">
        <v>4</v>
      </c>
      <c r="H418">
        <v>1</v>
      </c>
      <c r="I418">
        <v>120</v>
      </c>
      <c r="J418" s="6"/>
      <c r="K418" s="13">
        <v>45897</v>
      </c>
      <c r="L418" t="s">
        <v>689</v>
      </c>
    </row>
    <row r="419" spans="1:13" x14ac:dyDescent="0.25">
      <c r="A419" t="s">
        <v>34</v>
      </c>
      <c r="D419" t="s">
        <v>42</v>
      </c>
      <c r="E419">
        <v>2016</v>
      </c>
      <c r="F419">
        <v>2</v>
      </c>
      <c r="G419">
        <v>4</v>
      </c>
      <c r="H419">
        <v>1</v>
      </c>
      <c r="I419">
        <v>120</v>
      </c>
      <c r="J419" s="6"/>
      <c r="K419" s="13">
        <v>45911</v>
      </c>
      <c r="L419" t="s">
        <v>687</v>
      </c>
      <c r="M419">
        <v>10</v>
      </c>
    </row>
    <row r="420" spans="1:13" x14ac:dyDescent="0.25">
      <c r="A420" t="s">
        <v>34</v>
      </c>
      <c r="D420" t="s">
        <v>42</v>
      </c>
      <c r="E420">
        <v>2016</v>
      </c>
      <c r="F420">
        <v>2</v>
      </c>
      <c r="G420">
        <v>4</v>
      </c>
      <c r="H420">
        <v>1</v>
      </c>
      <c r="I420">
        <v>120</v>
      </c>
      <c r="J420" s="6"/>
      <c r="K420" s="13">
        <v>45911</v>
      </c>
      <c r="L420" t="s">
        <v>688</v>
      </c>
      <c r="M420">
        <v>10</v>
      </c>
    </row>
    <row r="421" spans="1:13" x14ac:dyDescent="0.25">
      <c r="A421" t="s">
        <v>34</v>
      </c>
      <c r="D421" t="s">
        <v>42</v>
      </c>
      <c r="E421">
        <v>2016</v>
      </c>
      <c r="F421">
        <v>2</v>
      </c>
      <c r="G421">
        <v>4</v>
      </c>
      <c r="H421">
        <v>1</v>
      </c>
      <c r="I421">
        <v>120</v>
      </c>
      <c r="J421" s="6"/>
      <c r="K421" s="13">
        <v>45911</v>
      </c>
      <c r="L421" t="s">
        <v>689</v>
      </c>
    </row>
    <row r="422" spans="1:13" x14ac:dyDescent="0.25">
      <c r="A422" t="s">
        <v>34</v>
      </c>
      <c r="D422" t="s">
        <v>36</v>
      </c>
      <c r="E422">
        <v>1984</v>
      </c>
      <c r="F422">
        <v>3</v>
      </c>
      <c r="G422">
        <v>4</v>
      </c>
      <c r="H422">
        <v>1</v>
      </c>
      <c r="I422">
        <v>136</v>
      </c>
      <c r="J422" s="6"/>
      <c r="K422" s="13">
        <v>45796</v>
      </c>
      <c r="L422" t="s">
        <v>687</v>
      </c>
    </row>
    <row r="423" spans="1:13" x14ac:dyDescent="0.25">
      <c r="A423" t="s">
        <v>34</v>
      </c>
      <c r="D423" t="s">
        <v>36</v>
      </c>
      <c r="E423">
        <v>1984</v>
      </c>
      <c r="F423">
        <v>3</v>
      </c>
      <c r="G423">
        <v>4</v>
      </c>
      <c r="H423">
        <v>1</v>
      </c>
      <c r="I423">
        <v>136</v>
      </c>
      <c r="J423" s="6"/>
      <c r="K423" s="13">
        <v>45796</v>
      </c>
      <c r="L423" t="s">
        <v>688</v>
      </c>
    </row>
    <row r="424" spans="1:13" x14ac:dyDescent="0.25">
      <c r="A424" t="s">
        <v>34</v>
      </c>
      <c r="D424" t="s">
        <v>36</v>
      </c>
      <c r="E424">
        <v>1984</v>
      </c>
      <c r="F424">
        <v>3</v>
      </c>
      <c r="G424">
        <v>4</v>
      </c>
      <c r="H424">
        <v>1</v>
      </c>
      <c r="I424">
        <v>136</v>
      </c>
      <c r="J424" s="6"/>
      <c r="K424" s="13">
        <v>45796</v>
      </c>
      <c r="L424" t="s">
        <v>689</v>
      </c>
    </row>
    <row r="425" spans="1:13" x14ac:dyDescent="0.25">
      <c r="A425" t="s">
        <v>34</v>
      </c>
      <c r="D425" t="s">
        <v>36</v>
      </c>
      <c r="E425">
        <v>1984</v>
      </c>
      <c r="F425">
        <v>3</v>
      </c>
      <c r="G425">
        <v>4</v>
      </c>
      <c r="H425">
        <v>1</v>
      </c>
      <c r="I425">
        <v>136</v>
      </c>
      <c r="J425" s="6"/>
      <c r="K425" s="13">
        <v>45820</v>
      </c>
      <c r="L425" t="s">
        <v>687</v>
      </c>
      <c r="M425">
        <v>3.1</v>
      </c>
    </row>
    <row r="426" spans="1:13" x14ac:dyDescent="0.25">
      <c r="A426" t="s">
        <v>34</v>
      </c>
      <c r="D426" t="s">
        <v>36</v>
      </c>
      <c r="E426">
        <v>1984</v>
      </c>
      <c r="F426">
        <v>3</v>
      </c>
      <c r="G426">
        <v>4</v>
      </c>
      <c r="H426">
        <v>1</v>
      </c>
      <c r="I426">
        <v>136</v>
      </c>
      <c r="J426" s="6"/>
      <c r="K426" s="13">
        <v>45820</v>
      </c>
      <c r="L426" t="s">
        <v>688</v>
      </c>
      <c r="M426">
        <v>3.2</v>
      </c>
    </row>
    <row r="427" spans="1:13" x14ac:dyDescent="0.25">
      <c r="A427" t="s">
        <v>34</v>
      </c>
      <c r="D427" t="s">
        <v>36</v>
      </c>
      <c r="E427">
        <v>1984</v>
      </c>
      <c r="F427">
        <v>3</v>
      </c>
      <c r="G427">
        <v>4</v>
      </c>
      <c r="H427">
        <v>1</v>
      </c>
      <c r="I427">
        <v>136</v>
      </c>
      <c r="J427" s="6"/>
      <c r="K427" s="13">
        <v>45820</v>
      </c>
      <c r="L427" t="s">
        <v>689</v>
      </c>
      <c r="M427">
        <v>2.7</v>
      </c>
    </row>
    <row r="428" spans="1:13" x14ac:dyDescent="0.25">
      <c r="A428" t="s">
        <v>34</v>
      </c>
      <c r="D428" t="s">
        <v>36</v>
      </c>
      <c r="E428">
        <v>1984</v>
      </c>
      <c r="F428">
        <v>3</v>
      </c>
      <c r="G428">
        <v>4</v>
      </c>
      <c r="H428">
        <v>1</v>
      </c>
      <c r="I428">
        <v>136</v>
      </c>
      <c r="J428" s="6"/>
      <c r="K428" s="13">
        <v>45825</v>
      </c>
      <c r="L428" t="s">
        <v>687</v>
      </c>
    </row>
    <row r="429" spans="1:13" x14ac:dyDescent="0.25">
      <c r="A429" t="s">
        <v>34</v>
      </c>
      <c r="D429" t="s">
        <v>36</v>
      </c>
      <c r="E429">
        <v>1984</v>
      </c>
      <c r="F429">
        <v>3</v>
      </c>
      <c r="G429">
        <v>4</v>
      </c>
      <c r="H429">
        <v>1</v>
      </c>
      <c r="I429">
        <v>136</v>
      </c>
      <c r="J429" s="6"/>
      <c r="K429" s="13">
        <v>45825</v>
      </c>
      <c r="L429" t="s">
        <v>688</v>
      </c>
    </row>
    <row r="430" spans="1:13" x14ac:dyDescent="0.25">
      <c r="A430" t="s">
        <v>34</v>
      </c>
      <c r="D430" t="s">
        <v>36</v>
      </c>
      <c r="E430">
        <v>1984</v>
      </c>
      <c r="F430">
        <v>3</v>
      </c>
      <c r="G430">
        <v>4</v>
      </c>
      <c r="H430">
        <v>1</v>
      </c>
      <c r="I430">
        <v>136</v>
      </c>
      <c r="J430" s="6"/>
      <c r="K430" s="13">
        <v>45825</v>
      </c>
      <c r="L430" t="s">
        <v>689</v>
      </c>
    </row>
    <row r="431" spans="1:13" x14ac:dyDescent="0.25">
      <c r="A431" t="s">
        <v>34</v>
      </c>
      <c r="D431" t="s">
        <v>36</v>
      </c>
      <c r="E431">
        <v>1984</v>
      </c>
      <c r="F431">
        <v>3</v>
      </c>
      <c r="G431">
        <v>4</v>
      </c>
      <c r="H431">
        <v>1</v>
      </c>
      <c r="I431">
        <v>136</v>
      </c>
      <c r="J431" s="6"/>
      <c r="K431" s="13">
        <v>45827</v>
      </c>
      <c r="L431" t="s">
        <v>687</v>
      </c>
      <c r="M431">
        <v>3.6</v>
      </c>
    </row>
    <row r="432" spans="1:13" x14ac:dyDescent="0.25">
      <c r="A432" t="s">
        <v>34</v>
      </c>
      <c r="D432" t="s">
        <v>36</v>
      </c>
      <c r="E432">
        <v>1984</v>
      </c>
      <c r="F432">
        <v>3</v>
      </c>
      <c r="G432">
        <v>4</v>
      </c>
      <c r="H432">
        <v>1</v>
      </c>
      <c r="I432">
        <v>136</v>
      </c>
      <c r="J432" s="6"/>
      <c r="K432" s="13">
        <v>45827</v>
      </c>
      <c r="L432" t="s">
        <v>688</v>
      </c>
      <c r="M432">
        <v>3.7</v>
      </c>
    </row>
    <row r="433" spans="1:13" x14ac:dyDescent="0.25">
      <c r="A433" t="s">
        <v>34</v>
      </c>
      <c r="D433" t="s">
        <v>36</v>
      </c>
      <c r="E433">
        <v>1984</v>
      </c>
      <c r="F433">
        <v>3</v>
      </c>
      <c r="G433">
        <v>4</v>
      </c>
      <c r="H433">
        <v>1</v>
      </c>
      <c r="I433">
        <v>136</v>
      </c>
      <c r="J433" s="6"/>
      <c r="K433" s="13">
        <v>45827</v>
      </c>
      <c r="L433" t="s">
        <v>689</v>
      </c>
      <c r="M433">
        <v>3.1</v>
      </c>
    </row>
    <row r="434" spans="1:13" x14ac:dyDescent="0.25">
      <c r="A434" t="s">
        <v>34</v>
      </c>
      <c r="D434" t="s">
        <v>36</v>
      </c>
      <c r="E434">
        <v>1984</v>
      </c>
      <c r="F434">
        <v>3</v>
      </c>
      <c r="G434">
        <v>4</v>
      </c>
      <c r="H434">
        <v>1</v>
      </c>
      <c r="I434">
        <v>136</v>
      </c>
      <c r="J434" s="6"/>
      <c r="K434" s="13">
        <v>45859</v>
      </c>
      <c r="L434" t="s">
        <v>687</v>
      </c>
      <c r="M434">
        <v>6.7</v>
      </c>
    </row>
    <row r="435" spans="1:13" x14ac:dyDescent="0.25">
      <c r="A435" t="s">
        <v>34</v>
      </c>
      <c r="D435" t="s">
        <v>36</v>
      </c>
      <c r="E435">
        <v>1984</v>
      </c>
      <c r="F435">
        <v>3</v>
      </c>
      <c r="G435">
        <v>4</v>
      </c>
      <c r="H435">
        <v>1</v>
      </c>
      <c r="I435">
        <v>136</v>
      </c>
      <c r="J435" s="6"/>
      <c r="K435" s="13">
        <v>45859</v>
      </c>
      <c r="L435" t="s">
        <v>688</v>
      </c>
      <c r="M435">
        <v>6.3</v>
      </c>
    </row>
    <row r="436" spans="1:13" x14ac:dyDescent="0.25">
      <c r="A436" t="s">
        <v>34</v>
      </c>
      <c r="D436" t="s">
        <v>36</v>
      </c>
      <c r="E436">
        <v>1984</v>
      </c>
      <c r="F436">
        <v>3</v>
      </c>
      <c r="G436">
        <v>4</v>
      </c>
      <c r="H436">
        <v>1</v>
      </c>
      <c r="I436">
        <v>136</v>
      </c>
      <c r="J436" s="6"/>
      <c r="K436" s="13">
        <v>45859</v>
      </c>
      <c r="L436" t="s">
        <v>689</v>
      </c>
      <c r="M436">
        <v>6.2</v>
      </c>
    </row>
    <row r="437" spans="1:13" x14ac:dyDescent="0.25">
      <c r="A437" t="s">
        <v>34</v>
      </c>
      <c r="D437" t="s">
        <v>36</v>
      </c>
      <c r="E437">
        <v>1984</v>
      </c>
      <c r="F437">
        <v>3</v>
      </c>
      <c r="G437">
        <v>4</v>
      </c>
      <c r="H437">
        <v>1</v>
      </c>
      <c r="I437">
        <v>136</v>
      </c>
      <c r="J437" s="6"/>
      <c r="K437" s="13">
        <v>45868</v>
      </c>
      <c r="L437" t="s">
        <v>687</v>
      </c>
      <c r="M437">
        <v>7.7</v>
      </c>
    </row>
    <row r="438" spans="1:13" x14ac:dyDescent="0.25">
      <c r="A438" t="s">
        <v>34</v>
      </c>
      <c r="D438" t="s">
        <v>36</v>
      </c>
      <c r="E438">
        <v>1984</v>
      </c>
      <c r="F438">
        <v>3</v>
      </c>
      <c r="G438">
        <v>4</v>
      </c>
      <c r="H438">
        <v>1</v>
      </c>
      <c r="I438">
        <v>136</v>
      </c>
      <c r="J438" s="6"/>
      <c r="K438" s="13">
        <v>45868</v>
      </c>
      <c r="L438" t="s">
        <v>688</v>
      </c>
      <c r="M438">
        <v>7.3</v>
      </c>
    </row>
    <row r="439" spans="1:13" x14ac:dyDescent="0.25">
      <c r="A439" t="s">
        <v>34</v>
      </c>
      <c r="D439" t="s">
        <v>36</v>
      </c>
      <c r="E439">
        <v>1984</v>
      </c>
      <c r="F439">
        <v>3</v>
      </c>
      <c r="G439">
        <v>4</v>
      </c>
      <c r="H439">
        <v>1</v>
      </c>
      <c r="I439">
        <v>136</v>
      </c>
      <c r="J439" s="6"/>
      <c r="K439" s="13">
        <v>45868</v>
      </c>
      <c r="L439" t="s">
        <v>689</v>
      </c>
      <c r="M439">
        <v>6.8</v>
      </c>
    </row>
    <row r="440" spans="1:13" x14ac:dyDescent="0.25">
      <c r="A440" t="s">
        <v>34</v>
      </c>
      <c r="D440" t="s">
        <v>36</v>
      </c>
      <c r="E440">
        <v>1984</v>
      </c>
      <c r="F440">
        <v>3</v>
      </c>
      <c r="G440">
        <v>4</v>
      </c>
      <c r="H440">
        <v>1</v>
      </c>
      <c r="I440">
        <v>136</v>
      </c>
      <c r="J440" s="6"/>
      <c r="K440" s="13">
        <v>45875</v>
      </c>
      <c r="L440" t="s">
        <v>687</v>
      </c>
    </row>
    <row r="441" spans="1:13" x14ac:dyDescent="0.25">
      <c r="A441" t="s">
        <v>34</v>
      </c>
      <c r="D441" t="s">
        <v>36</v>
      </c>
      <c r="E441">
        <v>1984</v>
      </c>
      <c r="F441">
        <v>3</v>
      </c>
      <c r="G441">
        <v>4</v>
      </c>
      <c r="H441">
        <v>1</v>
      </c>
      <c r="I441">
        <v>136</v>
      </c>
      <c r="J441" s="6"/>
      <c r="K441" s="13">
        <v>45875</v>
      </c>
      <c r="L441" t="s">
        <v>688</v>
      </c>
    </row>
    <row r="442" spans="1:13" x14ac:dyDescent="0.25">
      <c r="A442" t="s">
        <v>34</v>
      </c>
      <c r="D442" t="s">
        <v>36</v>
      </c>
      <c r="E442">
        <v>1984</v>
      </c>
      <c r="F442">
        <v>3</v>
      </c>
      <c r="G442">
        <v>4</v>
      </c>
      <c r="H442">
        <v>1</v>
      </c>
      <c r="I442">
        <v>136</v>
      </c>
      <c r="J442" s="6"/>
      <c r="K442" s="13">
        <v>45875</v>
      </c>
      <c r="L442" t="s">
        <v>689</v>
      </c>
    </row>
    <row r="443" spans="1:13" x14ac:dyDescent="0.25">
      <c r="A443" t="s">
        <v>34</v>
      </c>
      <c r="D443" t="s">
        <v>36</v>
      </c>
      <c r="E443">
        <v>1984</v>
      </c>
      <c r="F443">
        <v>3</v>
      </c>
      <c r="G443">
        <v>4</v>
      </c>
      <c r="H443">
        <v>1</v>
      </c>
      <c r="I443">
        <v>136</v>
      </c>
      <c r="J443" s="6"/>
      <c r="K443" s="13">
        <v>45880</v>
      </c>
      <c r="L443" t="s">
        <v>687</v>
      </c>
      <c r="M443">
        <v>8.8000000000000007</v>
      </c>
    </row>
    <row r="444" spans="1:13" x14ac:dyDescent="0.25">
      <c r="A444" t="s">
        <v>34</v>
      </c>
      <c r="D444" t="s">
        <v>36</v>
      </c>
      <c r="E444">
        <v>1984</v>
      </c>
      <c r="F444">
        <v>3</v>
      </c>
      <c r="G444">
        <v>4</v>
      </c>
      <c r="H444">
        <v>1</v>
      </c>
      <c r="I444">
        <v>136</v>
      </c>
      <c r="J444" s="6"/>
      <c r="K444" s="13">
        <v>45880</v>
      </c>
      <c r="L444" t="s">
        <v>688</v>
      </c>
      <c r="M444">
        <v>8.4</v>
      </c>
    </row>
    <row r="445" spans="1:13" x14ac:dyDescent="0.25">
      <c r="A445" t="s">
        <v>34</v>
      </c>
      <c r="D445" t="s">
        <v>36</v>
      </c>
      <c r="E445">
        <v>1984</v>
      </c>
      <c r="F445">
        <v>3</v>
      </c>
      <c r="G445">
        <v>4</v>
      </c>
      <c r="H445">
        <v>1</v>
      </c>
      <c r="I445">
        <v>136</v>
      </c>
      <c r="J445" s="6"/>
      <c r="K445" s="13">
        <v>45880</v>
      </c>
      <c r="L445" t="s">
        <v>689</v>
      </c>
      <c r="M445">
        <v>7.6</v>
      </c>
    </row>
    <row r="446" spans="1:13" x14ac:dyDescent="0.25">
      <c r="A446" t="s">
        <v>34</v>
      </c>
      <c r="D446" t="s">
        <v>36</v>
      </c>
      <c r="E446">
        <v>1984</v>
      </c>
      <c r="F446">
        <v>3</v>
      </c>
      <c r="G446">
        <v>4</v>
      </c>
      <c r="H446">
        <v>1</v>
      </c>
      <c r="I446">
        <v>136</v>
      </c>
      <c r="J446" s="6"/>
      <c r="K446" s="13">
        <v>45897</v>
      </c>
      <c r="L446" t="s">
        <v>687</v>
      </c>
      <c r="M446">
        <v>10.199999999999999</v>
      </c>
    </row>
    <row r="447" spans="1:13" x14ac:dyDescent="0.25">
      <c r="A447" t="s">
        <v>34</v>
      </c>
      <c r="D447" t="s">
        <v>36</v>
      </c>
      <c r="E447">
        <v>1984</v>
      </c>
      <c r="F447">
        <v>3</v>
      </c>
      <c r="G447">
        <v>4</v>
      </c>
      <c r="H447">
        <v>1</v>
      </c>
      <c r="I447">
        <v>136</v>
      </c>
      <c r="J447" s="6"/>
      <c r="K447" s="13">
        <v>45897</v>
      </c>
      <c r="L447" t="s">
        <v>688</v>
      </c>
      <c r="M447">
        <v>9.9</v>
      </c>
    </row>
    <row r="448" spans="1:13" x14ac:dyDescent="0.25">
      <c r="A448" t="s">
        <v>34</v>
      </c>
      <c r="D448" t="s">
        <v>36</v>
      </c>
      <c r="E448">
        <v>1984</v>
      </c>
      <c r="F448">
        <v>3</v>
      </c>
      <c r="G448">
        <v>4</v>
      </c>
      <c r="H448">
        <v>1</v>
      </c>
      <c r="I448">
        <v>136</v>
      </c>
      <c r="J448" s="6"/>
      <c r="K448" s="13">
        <v>45897</v>
      </c>
      <c r="L448" t="s">
        <v>689</v>
      </c>
      <c r="M448">
        <v>9.6</v>
      </c>
    </row>
    <row r="449" spans="1:13" x14ac:dyDescent="0.25">
      <c r="A449" t="s">
        <v>34</v>
      </c>
      <c r="D449" t="s">
        <v>36</v>
      </c>
      <c r="E449">
        <v>1984</v>
      </c>
      <c r="F449">
        <v>3</v>
      </c>
      <c r="G449">
        <v>4</v>
      </c>
      <c r="H449">
        <v>1</v>
      </c>
      <c r="I449">
        <v>136</v>
      </c>
      <c r="J449" s="6"/>
      <c r="K449" s="13">
        <v>45911</v>
      </c>
      <c r="L449" t="s">
        <v>687</v>
      </c>
      <c r="M449">
        <v>11</v>
      </c>
    </row>
    <row r="450" spans="1:13" x14ac:dyDescent="0.25">
      <c r="A450" t="s">
        <v>34</v>
      </c>
      <c r="D450" t="s">
        <v>36</v>
      </c>
      <c r="E450">
        <v>1984</v>
      </c>
      <c r="F450">
        <v>3</v>
      </c>
      <c r="G450">
        <v>4</v>
      </c>
      <c r="H450">
        <v>1</v>
      </c>
      <c r="I450">
        <v>136</v>
      </c>
      <c r="J450" s="6"/>
      <c r="K450" s="13">
        <v>45911</v>
      </c>
      <c r="L450" t="s">
        <v>688</v>
      </c>
      <c r="M450">
        <v>10.7</v>
      </c>
    </row>
    <row r="451" spans="1:13" x14ac:dyDescent="0.25">
      <c r="A451" t="s">
        <v>34</v>
      </c>
      <c r="D451" t="s">
        <v>36</v>
      </c>
      <c r="E451">
        <v>1984</v>
      </c>
      <c r="F451">
        <v>3</v>
      </c>
      <c r="G451">
        <v>4</v>
      </c>
      <c r="H451">
        <v>1</v>
      </c>
      <c r="I451">
        <v>136</v>
      </c>
      <c r="J451" s="6"/>
      <c r="K451" s="13">
        <v>45911</v>
      </c>
      <c r="L451" t="s">
        <v>689</v>
      </c>
      <c r="M451">
        <v>11.4</v>
      </c>
    </row>
    <row r="452" spans="1:13" x14ac:dyDescent="0.25">
      <c r="A452" t="s">
        <v>34</v>
      </c>
      <c r="D452" t="s">
        <v>43</v>
      </c>
      <c r="E452">
        <v>2020</v>
      </c>
      <c r="F452">
        <v>4</v>
      </c>
      <c r="G452">
        <v>4</v>
      </c>
      <c r="H452">
        <v>1</v>
      </c>
      <c r="I452">
        <v>152</v>
      </c>
      <c r="J452" s="6"/>
      <c r="K452" s="13">
        <v>45796</v>
      </c>
      <c r="L452" t="s">
        <v>687</v>
      </c>
    </row>
    <row r="453" spans="1:13" x14ac:dyDescent="0.25">
      <c r="A453" t="s">
        <v>34</v>
      </c>
      <c r="D453" t="s">
        <v>43</v>
      </c>
      <c r="E453">
        <v>2020</v>
      </c>
      <c r="F453">
        <v>4</v>
      </c>
      <c r="G453">
        <v>4</v>
      </c>
      <c r="H453">
        <v>1</v>
      </c>
      <c r="I453">
        <v>152</v>
      </c>
      <c r="J453" s="6"/>
      <c r="K453" s="13">
        <v>45796</v>
      </c>
      <c r="L453" t="s">
        <v>688</v>
      </c>
    </row>
    <row r="454" spans="1:13" x14ac:dyDescent="0.25">
      <c r="A454" t="s">
        <v>34</v>
      </c>
      <c r="D454" t="s">
        <v>43</v>
      </c>
      <c r="E454">
        <v>2020</v>
      </c>
      <c r="F454">
        <v>4</v>
      </c>
      <c r="G454">
        <v>4</v>
      </c>
      <c r="H454">
        <v>1</v>
      </c>
      <c r="I454">
        <v>152</v>
      </c>
      <c r="J454" s="6"/>
      <c r="K454" s="13">
        <v>45796</v>
      </c>
      <c r="L454" t="s">
        <v>689</v>
      </c>
    </row>
    <row r="455" spans="1:13" x14ac:dyDescent="0.25">
      <c r="A455" t="s">
        <v>34</v>
      </c>
      <c r="D455" t="s">
        <v>43</v>
      </c>
      <c r="E455">
        <v>2020</v>
      </c>
      <c r="F455">
        <v>4</v>
      </c>
      <c r="G455">
        <v>4</v>
      </c>
      <c r="H455">
        <v>1</v>
      </c>
      <c r="I455">
        <v>152</v>
      </c>
      <c r="J455" s="6"/>
      <c r="K455" s="13">
        <v>45820</v>
      </c>
      <c r="L455" t="s">
        <v>687</v>
      </c>
      <c r="M455">
        <v>2.7</v>
      </c>
    </row>
    <row r="456" spans="1:13" x14ac:dyDescent="0.25">
      <c r="A456" t="s">
        <v>34</v>
      </c>
      <c r="D456" t="s">
        <v>43</v>
      </c>
      <c r="E456">
        <v>2020</v>
      </c>
      <c r="F456">
        <v>4</v>
      </c>
      <c r="G456">
        <v>4</v>
      </c>
      <c r="H456">
        <v>1</v>
      </c>
      <c r="I456">
        <v>152</v>
      </c>
      <c r="J456" s="6"/>
      <c r="K456" s="13">
        <v>45820</v>
      </c>
      <c r="L456" t="s">
        <v>688</v>
      </c>
      <c r="M456">
        <v>2.7</v>
      </c>
    </row>
    <row r="457" spans="1:13" x14ac:dyDescent="0.25">
      <c r="A457" t="s">
        <v>34</v>
      </c>
      <c r="D457" t="s">
        <v>43</v>
      </c>
      <c r="E457">
        <v>2020</v>
      </c>
      <c r="F457">
        <v>4</v>
      </c>
      <c r="G457">
        <v>4</v>
      </c>
      <c r="H457">
        <v>1</v>
      </c>
      <c r="I457">
        <v>152</v>
      </c>
      <c r="J457" s="6"/>
      <c r="K457" s="13">
        <v>45820</v>
      </c>
      <c r="L457" t="s">
        <v>689</v>
      </c>
      <c r="M457">
        <v>2.5</v>
      </c>
    </row>
    <row r="458" spans="1:13" x14ac:dyDescent="0.25">
      <c r="A458" t="s">
        <v>34</v>
      </c>
      <c r="D458" t="s">
        <v>43</v>
      </c>
      <c r="E458">
        <v>2020</v>
      </c>
      <c r="F458">
        <v>4</v>
      </c>
      <c r="G458">
        <v>4</v>
      </c>
      <c r="H458">
        <v>1</v>
      </c>
      <c r="I458">
        <v>152</v>
      </c>
      <c r="J458" s="6"/>
      <c r="K458" s="13">
        <v>45825</v>
      </c>
      <c r="L458" t="s">
        <v>687</v>
      </c>
    </row>
    <row r="459" spans="1:13" x14ac:dyDescent="0.25">
      <c r="A459" t="s">
        <v>34</v>
      </c>
      <c r="D459" t="s">
        <v>43</v>
      </c>
      <c r="E459">
        <v>2020</v>
      </c>
      <c r="F459">
        <v>4</v>
      </c>
      <c r="G459">
        <v>4</v>
      </c>
      <c r="H459">
        <v>1</v>
      </c>
      <c r="I459">
        <v>152</v>
      </c>
      <c r="J459" s="6"/>
      <c r="K459" s="13">
        <v>45825</v>
      </c>
      <c r="L459" t="s">
        <v>688</v>
      </c>
    </row>
    <row r="460" spans="1:13" x14ac:dyDescent="0.25">
      <c r="A460" t="s">
        <v>34</v>
      </c>
      <c r="D460" t="s">
        <v>43</v>
      </c>
      <c r="E460">
        <v>2020</v>
      </c>
      <c r="F460">
        <v>4</v>
      </c>
      <c r="G460">
        <v>4</v>
      </c>
      <c r="H460">
        <v>1</v>
      </c>
      <c r="I460">
        <v>152</v>
      </c>
      <c r="J460" s="6"/>
      <c r="K460" s="13">
        <v>45825</v>
      </c>
      <c r="L460" t="s">
        <v>689</v>
      </c>
    </row>
    <row r="461" spans="1:13" x14ac:dyDescent="0.25">
      <c r="A461" t="s">
        <v>34</v>
      </c>
      <c r="D461" t="s">
        <v>43</v>
      </c>
      <c r="E461">
        <v>2020</v>
      </c>
      <c r="F461">
        <v>4</v>
      </c>
      <c r="G461">
        <v>4</v>
      </c>
      <c r="H461">
        <v>1</v>
      </c>
      <c r="I461">
        <v>152</v>
      </c>
      <c r="J461" s="6"/>
      <c r="K461" s="13">
        <v>45827</v>
      </c>
      <c r="L461" t="s">
        <v>687</v>
      </c>
      <c r="M461">
        <v>3.1</v>
      </c>
    </row>
    <row r="462" spans="1:13" x14ac:dyDescent="0.25">
      <c r="A462" t="s">
        <v>34</v>
      </c>
      <c r="D462" t="s">
        <v>43</v>
      </c>
      <c r="E462">
        <v>2020</v>
      </c>
      <c r="F462">
        <v>4</v>
      </c>
      <c r="G462">
        <v>4</v>
      </c>
      <c r="H462">
        <v>1</v>
      </c>
      <c r="I462">
        <v>152</v>
      </c>
      <c r="J462" s="6"/>
      <c r="K462" s="13">
        <v>45827</v>
      </c>
      <c r="L462" t="s">
        <v>688</v>
      </c>
      <c r="M462">
        <v>3.1</v>
      </c>
    </row>
    <row r="463" spans="1:13" x14ac:dyDescent="0.25">
      <c r="A463" t="s">
        <v>34</v>
      </c>
      <c r="D463" t="s">
        <v>43</v>
      </c>
      <c r="E463">
        <v>2020</v>
      </c>
      <c r="F463">
        <v>4</v>
      </c>
      <c r="G463">
        <v>4</v>
      </c>
      <c r="H463">
        <v>1</v>
      </c>
      <c r="I463">
        <v>152</v>
      </c>
      <c r="J463" s="6"/>
      <c r="K463" s="13">
        <v>45827</v>
      </c>
      <c r="L463" t="s">
        <v>689</v>
      </c>
      <c r="M463">
        <v>3.1</v>
      </c>
    </row>
    <row r="464" spans="1:13" x14ac:dyDescent="0.25">
      <c r="A464" t="s">
        <v>34</v>
      </c>
      <c r="D464" t="s">
        <v>43</v>
      </c>
      <c r="E464">
        <v>2020</v>
      </c>
      <c r="F464">
        <v>4</v>
      </c>
      <c r="G464">
        <v>4</v>
      </c>
      <c r="H464">
        <v>1</v>
      </c>
      <c r="I464">
        <v>152</v>
      </c>
      <c r="J464" s="6"/>
      <c r="K464" s="13">
        <v>45859</v>
      </c>
      <c r="L464" t="s">
        <v>687</v>
      </c>
      <c r="M464">
        <v>5.6</v>
      </c>
    </row>
    <row r="465" spans="1:13" x14ac:dyDescent="0.25">
      <c r="A465" t="s">
        <v>34</v>
      </c>
      <c r="D465" t="s">
        <v>43</v>
      </c>
      <c r="E465">
        <v>2020</v>
      </c>
      <c r="F465">
        <v>4</v>
      </c>
      <c r="G465">
        <v>4</v>
      </c>
      <c r="H465">
        <v>1</v>
      </c>
      <c r="I465">
        <v>152</v>
      </c>
      <c r="J465" s="6"/>
      <c r="K465" s="13">
        <v>45859</v>
      </c>
      <c r="L465" t="s">
        <v>688</v>
      </c>
      <c r="M465">
        <v>5.6</v>
      </c>
    </row>
    <row r="466" spans="1:13" x14ac:dyDescent="0.25">
      <c r="A466" t="s">
        <v>34</v>
      </c>
      <c r="D466" t="s">
        <v>43</v>
      </c>
      <c r="E466">
        <v>2020</v>
      </c>
      <c r="F466">
        <v>4</v>
      </c>
      <c r="G466">
        <v>4</v>
      </c>
      <c r="H466">
        <v>1</v>
      </c>
      <c r="I466">
        <v>152</v>
      </c>
      <c r="J466" s="6"/>
      <c r="K466" s="13">
        <v>45859</v>
      </c>
      <c r="L466" t="s">
        <v>689</v>
      </c>
      <c r="M466">
        <v>5.5</v>
      </c>
    </row>
    <row r="467" spans="1:13" x14ac:dyDescent="0.25">
      <c r="A467" t="s">
        <v>34</v>
      </c>
      <c r="D467" t="s">
        <v>43</v>
      </c>
      <c r="E467">
        <v>2020</v>
      </c>
      <c r="F467">
        <v>4</v>
      </c>
      <c r="G467">
        <v>4</v>
      </c>
      <c r="H467">
        <v>1</v>
      </c>
      <c r="I467">
        <v>152</v>
      </c>
      <c r="J467" s="6"/>
      <c r="K467" s="13">
        <v>45868</v>
      </c>
      <c r="L467" t="s">
        <v>687</v>
      </c>
      <c r="M467">
        <v>6.2</v>
      </c>
    </row>
    <row r="468" spans="1:13" x14ac:dyDescent="0.25">
      <c r="A468" t="s">
        <v>34</v>
      </c>
      <c r="D468" t="s">
        <v>43</v>
      </c>
      <c r="E468">
        <v>2020</v>
      </c>
      <c r="F468">
        <v>4</v>
      </c>
      <c r="G468">
        <v>4</v>
      </c>
      <c r="H468">
        <v>1</v>
      </c>
      <c r="I468">
        <v>152</v>
      </c>
      <c r="J468" s="6"/>
      <c r="K468" s="13">
        <v>45868</v>
      </c>
      <c r="L468" t="s">
        <v>688</v>
      </c>
      <c r="M468">
        <v>6.3</v>
      </c>
    </row>
    <row r="469" spans="1:13" x14ac:dyDescent="0.25">
      <c r="A469" t="s">
        <v>34</v>
      </c>
      <c r="D469" t="s">
        <v>43</v>
      </c>
      <c r="E469">
        <v>2020</v>
      </c>
      <c r="F469">
        <v>4</v>
      </c>
      <c r="G469">
        <v>4</v>
      </c>
      <c r="H469">
        <v>1</v>
      </c>
      <c r="I469">
        <v>152</v>
      </c>
      <c r="J469" s="6"/>
      <c r="K469" s="13">
        <v>45868</v>
      </c>
      <c r="L469" t="s">
        <v>689</v>
      </c>
      <c r="M469">
        <v>6.5</v>
      </c>
    </row>
    <row r="470" spans="1:13" x14ac:dyDescent="0.25">
      <c r="A470" t="s">
        <v>34</v>
      </c>
      <c r="D470" t="s">
        <v>43</v>
      </c>
      <c r="E470">
        <v>2020</v>
      </c>
      <c r="F470">
        <v>4</v>
      </c>
      <c r="G470">
        <v>4</v>
      </c>
      <c r="H470">
        <v>1</v>
      </c>
      <c r="I470">
        <v>152</v>
      </c>
      <c r="J470" s="6"/>
      <c r="K470" s="13">
        <v>45875</v>
      </c>
      <c r="L470" t="s">
        <v>687</v>
      </c>
    </row>
    <row r="471" spans="1:13" x14ac:dyDescent="0.25">
      <c r="A471" t="s">
        <v>34</v>
      </c>
      <c r="D471" t="s">
        <v>43</v>
      </c>
      <c r="E471">
        <v>2020</v>
      </c>
      <c r="F471">
        <v>4</v>
      </c>
      <c r="G471">
        <v>4</v>
      </c>
      <c r="H471">
        <v>1</v>
      </c>
      <c r="I471">
        <v>152</v>
      </c>
      <c r="J471" s="6"/>
      <c r="K471" s="13">
        <v>45875</v>
      </c>
      <c r="L471" t="s">
        <v>688</v>
      </c>
    </row>
    <row r="472" spans="1:13" x14ac:dyDescent="0.25">
      <c r="A472" t="s">
        <v>34</v>
      </c>
      <c r="D472" t="s">
        <v>43</v>
      </c>
      <c r="E472">
        <v>2020</v>
      </c>
      <c r="F472">
        <v>4</v>
      </c>
      <c r="G472">
        <v>4</v>
      </c>
      <c r="H472">
        <v>1</v>
      </c>
      <c r="I472">
        <v>152</v>
      </c>
      <c r="J472" s="6"/>
      <c r="K472" s="13">
        <v>45875</v>
      </c>
      <c r="L472" t="s">
        <v>689</v>
      </c>
    </row>
    <row r="473" spans="1:13" x14ac:dyDescent="0.25">
      <c r="A473" t="s">
        <v>34</v>
      </c>
      <c r="D473" t="s">
        <v>43</v>
      </c>
      <c r="E473">
        <v>2020</v>
      </c>
      <c r="F473">
        <v>4</v>
      </c>
      <c r="G473">
        <v>4</v>
      </c>
      <c r="H473">
        <v>1</v>
      </c>
      <c r="I473">
        <v>152</v>
      </c>
      <c r="J473" s="6"/>
      <c r="K473" s="13">
        <v>45880</v>
      </c>
      <c r="L473" t="s">
        <v>687</v>
      </c>
      <c r="M473">
        <v>7.2</v>
      </c>
    </row>
    <row r="474" spans="1:13" x14ac:dyDescent="0.25">
      <c r="A474" t="s">
        <v>34</v>
      </c>
      <c r="B474" s="54"/>
      <c r="C474" s="55"/>
      <c r="D474" t="s">
        <v>43</v>
      </c>
      <c r="E474">
        <v>2020</v>
      </c>
      <c r="F474">
        <v>4</v>
      </c>
      <c r="G474">
        <v>4</v>
      </c>
      <c r="H474">
        <v>1</v>
      </c>
      <c r="I474">
        <v>152</v>
      </c>
      <c r="J474" s="6"/>
      <c r="K474" s="13">
        <v>45880</v>
      </c>
      <c r="L474" t="s">
        <v>688</v>
      </c>
      <c r="M474">
        <v>7.3</v>
      </c>
    </row>
    <row r="475" spans="1:13" x14ac:dyDescent="0.25">
      <c r="A475" t="s">
        <v>34</v>
      </c>
      <c r="D475" t="s">
        <v>43</v>
      </c>
      <c r="E475">
        <v>2020</v>
      </c>
      <c r="F475">
        <v>4</v>
      </c>
      <c r="G475">
        <v>4</v>
      </c>
      <c r="H475">
        <v>1</v>
      </c>
      <c r="I475">
        <v>152</v>
      </c>
      <c r="J475" s="6"/>
      <c r="K475" s="13">
        <v>45880</v>
      </c>
      <c r="L475" t="s">
        <v>689</v>
      </c>
      <c r="M475">
        <v>7.1</v>
      </c>
    </row>
    <row r="476" spans="1:13" x14ac:dyDescent="0.25">
      <c r="A476" t="s">
        <v>34</v>
      </c>
      <c r="D476" t="s">
        <v>43</v>
      </c>
      <c r="E476">
        <v>2020</v>
      </c>
      <c r="F476">
        <v>4</v>
      </c>
      <c r="G476">
        <v>4</v>
      </c>
      <c r="H476">
        <v>1</v>
      </c>
      <c r="I476">
        <v>152</v>
      </c>
      <c r="J476" s="6"/>
      <c r="K476" s="13">
        <v>45897</v>
      </c>
      <c r="L476" t="s">
        <v>687</v>
      </c>
      <c r="M476">
        <v>8.8000000000000007</v>
      </c>
    </row>
    <row r="477" spans="1:13" x14ac:dyDescent="0.25">
      <c r="A477" t="s">
        <v>34</v>
      </c>
      <c r="D477" t="s">
        <v>43</v>
      </c>
      <c r="E477">
        <v>2020</v>
      </c>
      <c r="F477">
        <v>4</v>
      </c>
      <c r="G477">
        <v>4</v>
      </c>
      <c r="H477">
        <v>1</v>
      </c>
      <c r="I477">
        <v>152</v>
      </c>
      <c r="J477" s="6"/>
      <c r="K477" s="13">
        <v>45897</v>
      </c>
      <c r="L477" t="s">
        <v>688</v>
      </c>
      <c r="M477">
        <v>8.8000000000000007</v>
      </c>
    </row>
    <row r="478" spans="1:13" x14ac:dyDescent="0.25">
      <c r="A478" t="s">
        <v>34</v>
      </c>
      <c r="D478" t="s">
        <v>43</v>
      </c>
      <c r="E478">
        <v>2020</v>
      </c>
      <c r="F478">
        <v>4</v>
      </c>
      <c r="G478">
        <v>4</v>
      </c>
      <c r="H478">
        <v>1</v>
      </c>
      <c r="I478">
        <v>152</v>
      </c>
      <c r="J478" s="6"/>
      <c r="K478" s="13">
        <v>45897</v>
      </c>
      <c r="L478" t="s">
        <v>689</v>
      </c>
      <c r="M478">
        <v>8.6999999999999993</v>
      </c>
    </row>
    <row r="479" spans="1:13" x14ac:dyDescent="0.25">
      <c r="A479" t="s">
        <v>34</v>
      </c>
      <c r="D479" t="s">
        <v>43</v>
      </c>
      <c r="E479">
        <v>2020</v>
      </c>
      <c r="F479">
        <v>4</v>
      </c>
      <c r="G479">
        <v>4</v>
      </c>
      <c r="H479">
        <v>1</v>
      </c>
      <c r="I479">
        <v>152</v>
      </c>
      <c r="J479" s="6"/>
      <c r="K479" s="13">
        <v>45911</v>
      </c>
      <c r="L479" t="s">
        <v>687</v>
      </c>
      <c r="M479">
        <v>9.8000000000000007</v>
      </c>
    </row>
    <row r="480" spans="1:13" x14ac:dyDescent="0.25">
      <c r="A480" t="s">
        <v>34</v>
      </c>
      <c r="D480" t="s">
        <v>43</v>
      </c>
      <c r="E480">
        <v>2020</v>
      </c>
      <c r="F480">
        <v>4</v>
      </c>
      <c r="G480">
        <v>4</v>
      </c>
      <c r="H480">
        <v>1</v>
      </c>
      <c r="I480">
        <v>152</v>
      </c>
      <c r="J480" s="6"/>
      <c r="K480" s="13">
        <v>45911</v>
      </c>
      <c r="L480" t="s">
        <v>688</v>
      </c>
      <c r="M480">
        <v>9.6</v>
      </c>
    </row>
    <row r="481" spans="1:13" x14ac:dyDescent="0.25">
      <c r="A481" t="s">
        <v>34</v>
      </c>
      <c r="D481" t="s">
        <v>43</v>
      </c>
      <c r="E481">
        <v>2020</v>
      </c>
      <c r="F481">
        <v>4</v>
      </c>
      <c r="G481">
        <v>4</v>
      </c>
      <c r="H481">
        <v>1</v>
      </c>
      <c r="I481">
        <v>152</v>
      </c>
      <c r="J481" s="6"/>
      <c r="K481" s="13">
        <v>45911</v>
      </c>
      <c r="L481" t="s">
        <v>689</v>
      </c>
    </row>
    <row r="482" spans="1:13" x14ac:dyDescent="0.25">
      <c r="A482" t="s">
        <v>24</v>
      </c>
      <c r="D482" t="s">
        <v>29</v>
      </c>
      <c r="E482">
        <v>1999</v>
      </c>
      <c r="F482">
        <v>1</v>
      </c>
      <c r="G482">
        <v>5</v>
      </c>
      <c r="H482">
        <v>2</v>
      </c>
      <c r="I482">
        <v>105</v>
      </c>
      <c r="J482" s="6"/>
      <c r="K482" s="13">
        <v>45796</v>
      </c>
      <c r="L482" t="s">
        <v>687</v>
      </c>
      <c r="M482">
        <v>4.9000000000000004</v>
      </c>
    </row>
    <row r="483" spans="1:13" x14ac:dyDescent="0.25">
      <c r="A483" t="s">
        <v>24</v>
      </c>
      <c r="D483" t="s">
        <v>29</v>
      </c>
      <c r="E483">
        <v>1999</v>
      </c>
      <c r="F483">
        <v>1</v>
      </c>
      <c r="G483">
        <v>5</v>
      </c>
      <c r="H483">
        <v>2</v>
      </c>
      <c r="I483">
        <v>105</v>
      </c>
      <c r="J483" s="6"/>
      <c r="K483" s="13">
        <v>45796</v>
      </c>
      <c r="L483" t="s">
        <v>688</v>
      </c>
      <c r="M483">
        <v>5.3</v>
      </c>
    </row>
    <row r="484" spans="1:13" x14ac:dyDescent="0.25">
      <c r="A484" t="s">
        <v>24</v>
      </c>
      <c r="D484" t="s">
        <v>29</v>
      </c>
      <c r="E484">
        <v>1999</v>
      </c>
      <c r="F484">
        <v>1</v>
      </c>
      <c r="G484">
        <v>5</v>
      </c>
      <c r="H484">
        <v>2</v>
      </c>
      <c r="I484">
        <v>105</v>
      </c>
      <c r="J484" s="6"/>
      <c r="K484" s="13">
        <v>45796</v>
      </c>
      <c r="L484" t="s">
        <v>689</v>
      </c>
      <c r="M484">
        <v>5.2</v>
      </c>
    </row>
    <row r="485" spans="1:13" x14ac:dyDescent="0.25">
      <c r="A485" t="s">
        <v>24</v>
      </c>
      <c r="D485" t="s">
        <v>29</v>
      </c>
      <c r="E485">
        <v>1999</v>
      </c>
      <c r="F485">
        <v>1</v>
      </c>
      <c r="G485">
        <v>5</v>
      </c>
      <c r="H485">
        <v>2</v>
      </c>
      <c r="I485">
        <v>105</v>
      </c>
      <c r="J485" s="6"/>
      <c r="K485" s="13">
        <v>45820</v>
      </c>
      <c r="L485" t="s">
        <v>687</v>
      </c>
    </row>
    <row r="486" spans="1:13" x14ac:dyDescent="0.25">
      <c r="A486" t="s">
        <v>24</v>
      </c>
      <c r="D486" t="s">
        <v>29</v>
      </c>
      <c r="E486">
        <v>1999</v>
      </c>
      <c r="F486">
        <v>1</v>
      </c>
      <c r="G486">
        <v>5</v>
      </c>
      <c r="H486">
        <v>2</v>
      </c>
      <c r="I486">
        <v>105</v>
      </c>
      <c r="J486" s="6"/>
      <c r="K486" s="13">
        <v>45820</v>
      </c>
      <c r="L486" t="s">
        <v>688</v>
      </c>
    </row>
    <row r="487" spans="1:13" x14ac:dyDescent="0.25">
      <c r="A487" t="s">
        <v>24</v>
      </c>
      <c r="D487" t="s">
        <v>29</v>
      </c>
      <c r="E487">
        <v>1999</v>
      </c>
      <c r="F487">
        <v>1</v>
      </c>
      <c r="G487">
        <v>5</v>
      </c>
      <c r="H487">
        <v>2</v>
      </c>
      <c r="I487">
        <v>105</v>
      </c>
      <c r="J487" s="6"/>
      <c r="K487" s="13">
        <v>45820</v>
      </c>
      <c r="L487" t="s">
        <v>689</v>
      </c>
    </row>
    <row r="488" spans="1:13" x14ac:dyDescent="0.25">
      <c r="A488" t="s">
        <v>24</v>
      </c>
      <c r="D488" t="s">
        <v>29</v>
      </c>
      <c r="E488">
        <v>1999</v>
      </c>
      <c r="F488">
        <v>1</v>
      </c>
      <c r="G488">
        <v>5</v>
      </c>
      <c r="H488">
        <v>2</v>
      </c>
      <c r="I488">
        <v>105</v>
      </c>
      <c r="J488" s="6"/>
      <c r="K488" s="13">
        <v>45825</v>
      </c>
      <c r="L488" t="s">
        <v>687</v>
      </c>
      <c r="M488">
        <v>6.5</v>
      </c>
    </row>
    <row r="489" spans="1:13" x14ac:dyDescent="0.25">
      <c r="A489" t="s">
        <v>24</v>
      </c>
      <c r="D489" t="s">
        <v>29</v>
      </c>
      <c r="E489">
        <v>1999</v>
      </c>
      <c r="F489">
        <v>1</v>
      </c>
      <c r="G489">
        <v>5</v>
      </c>
      <c r="H489">
        <v>2</v>
      </c>
      <c r="I489">
        <v>105</v>
      </c>
      <c r="J489" s="6"/>
      <c r="K489" s="13">
        <v>45825</v>
      </c>
      <c r="L489" t="s">
        <v>688</v>
      </c>
      <c r="M489">
        <v>6.4</v>
      </c>
    </row>
    <row r="490" spans="1:13" x14ac:dyDescent="0.25">
      <c r="A490" t="s">
        <v>24</v>
      </c>
      <c r="D490" t="s">
        <v>29</v>
      </c>
      <c r="E490">
        <v>1999</v>
      </c>
      <c r="F490">
        <v>1</v>
      </c>
      <c r="G490">
        <v>5</v>
      </c>
      <c r="H490">
        <v>2</v>
      </c>
      <c r="I490">
        <v>105</v>
      </c>
      <c r="J490" s="6"/>
      <c r="K490" s="13">
        <v>45825</v>
      </c>
      <c r="L490" t="s">
        <v>689</v>
      </c>
      <c r="M490">
        <v>6.7</v>
      </c>
    </row>
    <row r="491" spans="1:13" x14ac:dyDescent="0.25">
      <c r="A491" t="s">
        <v>24</v>
      </c>
      <c r="D491" t="s">
        <v>29</v>
      </c>
      <c r="E491">
        <v>1999</v>
      </c>
      <c r="F491">
        <v>1</v>
      </c>
      <c r="G491">
        <v>5</v>
      </c>
      <c r="H491">
        <v>2</v>
      </c>
      <c r="I491">
        <v>105</v>
      </c>
      <c r="J491" s="6"/>
      <c r="K491" s="13">
        <v>45827</v>
      </c>
      <c r="L491" t="s">
        <v>687</v>
      </c>
    </row>
    <row r="492" spans="1:13" x14ac:dyDescent="0.25">
      <c r="A492" t="s">
        <v>24</v>
      </c>
      <c r="D492" t="s">
        <v>29</v>
      </c>
      <c r="E492">
        <v>1999</v>
      </c>
      <c r="F492">
        <v>1</v>
      </c>
      <c r="G492">
        <v>5</v>
      </c>
      <c r="H492">
        <v>2</v>
      </c>
      <c r="I492">
        <v>105</v>
      </c>
      <c r="J492" s="6"/>
      <c r="K492" s="13">
        <v>45827</v>
      </c>
      <c r="L492" t="s">
        <v>688</v>
      </c>
    </row>
    <row r="493" spans="1:13" x14ac:dyDescent="0.25">
      <c r="A493" t="s">
        <v>24</v>
      </c>
      <c r="D493" t="s">
        <v>29</v>
      </c>
      <c r="E493">
        <v>1999</v>
      </c>
      <c r="F493">
        <v>1</v>
      </c>
      <c r="G493">
        <v>5</v>
      </c>
      <c r="H493">
        <v>2</v>
      </c>
      <c r="I493">
        <v>105</v>
      </c>
      <c r="J493" s="6"/>
      <c r="K493" s="13">
        <v>45827</v>
      </c>
      <c r="L493" t="s">
        <v>689</v>
      </c>
    </row>
    <row r="494" spans="1:13" x14ac:dyDescent="0.25">
      <c r="A494" t="s">
        <v>24</v>
      </c>
      <c r="D494" t="s">
        <v>29</v>
      </c>
      <c r="E494">
        <v>1999</v>
      </c>
      <c r="F494">
        <v>1</v>
      </c>
      <c r="G494">
        <v>5</v>
      </c>
      <c r="H494">
        <v>2</v>
      </c>
      <c r="I494">
        <v>105</v>
      </c>
      <c r="J494" s="6"/>
      <c r="K494" s="13">
        <v>45859</v>
      </c>
      <c r="L494" t="s">
        <v>687</v>
      </c>
    </row>
    <row r="495" spans="1:13" x14ac:dyDescent="0.25">
      <c r="A495" t="s">
        <v>24</v>
      </c>
      <c r="D495" t="s">
        <v>29</v>
      </c>
      <c r="E495">
        <v>1999</v>
      </c>
      <c r="F495">
        <v>1</v>
      </c>
      <c r="G495">
        <v>5</v>
      </c>
      <c r="H495">
        <v>2</v>
      </c>
      <c r="I495">
        <v>105</v>
      </c>
      <c r="J495" s="6"/>
      <c r="K495" s="13">
        <v>45859</v>
      </c>
      <c r="L495" t="s">
        <v>688</v>
      </c>
    </row>
    <row r="496" spans="1:13" x14ac:dyDescent="0.25">
      <c r="A496" t="s">
        <v>24</v>
      </c>
      <c r="D496" t="s">
        <v>29</v>
      </c>
      <c r="E496">
        <v>1999</v>
      </c>
      <c r="F496">
        <v>1</v>
      </c>
      <c r="G496">
        <v>5</v>
      </c>
      <c r="H496">
        <v>2</v>
      </c>
      <c r="I496">
        <v>105</v>
      </c>
      <c r="J496" s="6"/>
      <c r="K496" s="13">
        <v>45859</v>
      </c>
      <c r="L496" t="s">
        <v>689</v>
      </c>
    </row>
    <row r="497" spans="1:13" x14ac:dyDescent="0.25">
      <c r="A497" t="s">
        <v>24</v>
      </c>
      <c r="D497" t="s">
        <v>29</v>
      </c>
      <c r="E497">
        <v>1999</v>
      </c>
      <c r="F497">
        <v>1</v>
      </c>
      <c r="G497">
        <v>5</v>
      </c>
      <c r="H497">
        <v>2</v>
      </c>
      <c r="I497">
        <v>105</v>
      </c>
      <c r="J497" s="6"/>
      <c r="K497" s="13">
        <v>45868</v>
      </c>
      <c r="L497" t="s">
        <v>687</v>
      </c>
      <c r="M497">
        <v>9.1</v>
      </c>
    </row>
    <row r="498" spans="1:13" x14ac:dyDescent="0.25">
      <c r="A498" t="s">
        <v>24</v>
      </c>
      <c r="D498" t="s">
        <v>29</v>
      </c>
      <c r="E498">
        <v>1999</v>
      </c>
      <c r="F498">
        <v>1</v>
      </c>
      <c r="G498">
        <v>5</v>
      </c>
      <c r="H498">
        <v>2</v>
      </c>
      <c r="I498">
        <v>105</v>
      </c>
      <c r="J498" s="6"/>
      <c r="K498" s="13">
        <v>45868</v>
      </c>
      <c r="L498" t="s">
        <v>688</v>
      </c>
      <c r="M498">
        <v>9.1</v>
      </c>
    </row>
    <row r="499" spans="1:13" x14ac:dyDescent="0.25">
      <c r="A499" t="s">
        <v>24</v>
      </c>
      <c r="D499" t="s">
        <v>29</v>
      </c>
      <c r="E499">
        <v>1999</v>
      </c>
      <c r="F499">
        <v>1</v>
      </c>
      <c r="G499">
        <v>5</v>
      </c>
      <c r="H499">
        <v>2</v>
      </c>
      <c r="I499">
        <v>105</v>
      </c>
      <c r="J499" s="6"/>
      <c r="K499" s="13">
        <v>45868</v>
      </c>
      <c r="L499" t="s">
        <v>689</v>
      </c>
    </row>
    <row r="500" spans="1:13" x14ac:dyDescent="0.25">
      <c r="A500" t="s">
        <v>24</v>
      </c>
      <c r="D500" t="s">
        <v>29</v>
      </c>
      <c r="E500">
        <v>1999</v>
      </c>
      <c r="F500">
        <v>1</v>
      </c>
      <c r="G500">
        <v>5</v>
      </c>
      <c r="H500">
        <v>2</v>
      </c>
      <c r="I500">
        <v>105</v>
      </c>
      <c r="J500" s="6"/>
      <c r="K500" s="13">
        <v>45875</v>
      </c>
      <c r="L500" t="s">
        <v>687</v>
      </c>
      <c r="M500">
        <v>9.6</v>
      </c>
    </row>
    <row r="501" spans="1:13" x14ac:dyDescent="0.25">
      <c r="A501" t="s">
        <v>24</v>
      </c>
      <c r="D501" t="s">
        <v>29</v>
      </c>
      <c r="E501">
        <v>1999</v>
      </c>
      <c r="F501">
        <v>1</v>
      </c>
      <c r="G501">
        <v>5</v>
      </c>
      <c r="H501">
        <v>2</v>
      </c>
      <c r="I501">
        <v>105</v>
      </c>
      <c r="J501" s="6"/>
      <c r="K501" s="13">
        <v>45875</v>
      </c>
      <c r="L501" t="s">
        <v>688</v>
      </c>
      <c r="M501">
        <v>9.6</v>
      </c>
    </row>
    <row r="502" spans="1:13" x14ac:dyDescent="0.25">
      <c r="A502" t="s">
        <v>24</v>
      </c>
      <c r="D502" t="s">
        <v>29</v>
      </c>
      <c r="E502">
        <v>1999</v>
      </c>
      <c r="F502">
        <v>1</v>
      </c>
      <c r="G502">
        <v>5</v>
      </c>
      <c r="H502">
        <v>2</v>
      </c>
      <c r="I502">
        <v>105</v>
      </c>
      <c r="J502" s="6"/>
      <c r="K502" s="13">
        <v>45875</v>
      </c>
      <c r="L502" t="s">
        <v>689</v>
      </c>
      <c r="M502">
        <v>9.5</v>
      </c>
    </row>
    <row r="503" spans="1:13" x14ac:dyDescent="0.25">
      <c r="A503" t="s">
        <v>24</v>
      </c>
      <c r="D503" t="s">
        <v>29</v>
      </c>
      <c r="E503">
        <v>1999</v>
      </c>
      <c r="F503">
        <v>1</v>
      </c>
      <c r="G503">
        <v>5</v>
      </c>
      <c r="H503">
        <v>2</v>
      </c>
      <c r="I503">
        <v>105</v>
      </c>
      <c r="J503" s="6"/>
      <c r="K503" s="13">
        <v>45880</v>
      </c>
      <c r="L503" t="s">
        <v>687</v>
      </c>
    </row>
    <row r="504" spans="1:13" x14ac:dyDescent="0.25">
      <c r="A504" t="s">
        <v>24</v>
      </c>
      <c r="D504" t="s">
        <v>29</v>
      </c>
      <c r="E504">
        <v>1999</v>
      </c>
      <c r="F504">
        <v>1</v>
      </c>
      <c r="G504">
        <v>5</v>
      </c>
      <c r="H504">
        <v>2</v>
      </c>
      <c r="I504">
        <v>105</v>
      </c>
      <c r="J504" s="6"/>
      <c r="K504" s="13">
        <v>45880</v>
      </c>
      <c r="L504" t="s">
        <v>688</v>
      </c>
    </row>
    <row r="505" spans="1:13" x14ac:dyDescent="0.25">
      <c r="A505" t="s">
        <v>24</v>
      </c>
      <c r="D505" t="s">
        <v>29</v>
      </c>
      <c r="E505">
        <v>1999</v>
      </c>
      <c r="F505">
        <v>1</v>
      </c>
      <c r="G505">
        <v>5</v>
      </c>
      <c r="H505">
        <v>2</v>
      </c>
      <c r="I505">
        <v>105</v>
      </c>
      <c r="J505" s="6"/>
      <c r="K505" s="13">
        <v>45880</v>
      </c>
      <c r="L505" t="s">
        <v>689</v>
      </c>
    </row>
    <row r="506" spans="1:13" x14ac:dyDescent="0.25">
      <c r="A506" t="s">
        <v>24</v>
      </c>
      <c r="D506" t="s">
        <v>29</v>
      </c>
      <c r="E506">
        <v>1999</v>
      </c>
      <c r="F506">
        <v>1</v>
      </c>
      <c r="G506">
        <v>5</v>
      </c>
      <c r="H506">
        <v>2</v>
      </c>
      <c r="I506">
        <v>105</v>
      </c>
      <c r="J506" s="6"/>
      <c r="K506" s="13">
        <v>45897</v>
      </c>
      <c r="L506" t="s">
        <v>687</v>
      </c>
      <c r="M506">
        <v>11.9</v>
      </c>
    </row>
    <row r="507" spans="1:13" x14ac:dyDescent="0.25">
      <c r="A507" t="s">
        <v>24</v>
      </c>
      <c r="D507" t="s">
        <v>29</v>
      </c>
      <c r="E507">
        <v>1999</v>
      </c>
      <c r="F507">
        <v>1</v>
      </c>
      <c r="G507">
        <v>5</v>
      </c>
      <c r="H507">
        <v>2</v>
      </c>
      <c r="I507">
        <v>105</v>
      </c>
      <c r="J507" s="6"/>
      <c r="K507" s="13">
        <v>45897</v>
      </c>
      <c r="L507" t="s">
        <v>688</v>
      </c>
      <c r="M507">
        <v>11.9</v>
      </c>
    </row>
    <row r="508" spans="1:13" x14ac:dyDescent="0.25">
      <c r="A508" t="s">
        <v>24</v>
      </c>
      <c r="D508" t="s">
        <v>29</v>
      </c>
      <c r="E508">
        <v>1999</v>
      </c>
      <c r="F508">
        <v>1</v>
      </c>
      <c r="G508">
        <v>5</v>
      </c>
      <c r="H508">
        <v>2</v>
      </c>
      <c r="I508">
        <v>105</v>
      </c>
      <c r="J508" s="6"/>
      <c r="K508" s="13">
        <v>45897</v>
      </c>
      <c r="L508" t="s">
        <v>689</v>
      </c>
      <c r="M508">
        <v>11.6</v>
      </c>
    </row>
    <row r="509" spans="1:13" x14ac:dyDescent="0.25">
      <c r="A509" t="s">
        <v>24</v>
      </c>
      <c r="D509" t="s">
        <v>29</v>
      </c>
      <c r="E509">
        <v>1999</v>
      </c>
      <c r="F509">
        <v>1</v>
      </c>
      <c r="G509">
        <v>5</v>
      </c>
      <c r="H509">
        <v>2</v>
      </c>
      <c r="I509">
        <v>105</v>
      </c>
      <c r="J509" s="6"/>
      <c r="K509" s="13">
        <v>45911</v>
      </c>
      <c r="L509" t="s">
        <v>687</v>
      </c>
      <c r="M509">
        <v>13</v>
      </c>
    </row>
    <row r="510" spans="1:13" x14ac:dyDescent="0.25">
      <c r="A510" t="s">
        <v>24</v>
      </c>
      <c r="D510" t="s">
        <v>29</v>
      </c>
      <c r="E510">
        <v>1999</v>
      </c>
      <c r="F510">
        <v>1</v>
      </c>
      <c r="G510">
        <v>5</v>
      </c>
      <c r="H510">
        <v>2</v>
      </c>
      <c r="I510">
        <v>105</v>
      </c>
      <c r="J510" s="6"/>
      <c r="K510" s="13">
        <v>45911</v>
      </c>
      <c r="L510" t="s">
        <v>688</v>
      </c>
      <c r="M510">
        <v>12.8</v>
      </c>
    </row>
    <row r="511" spans="1:13" x14ac:dyDescent="0.25">
      <c r="A511" t="s">
        <v>24</v>
      </c>
      <c r="D511" t="s">
        <v>29</v>
      </c>
      <c r="E511">
        <v>1999</v>
      </c>
      <c r="F511">
        <v>1</v>
      </c>
      <c r="G511">
        <v>5</v>
      </c>
      <c r="H511">
        <v>2</v>
      </c>
      <c r="I511">
        <v>105</v>
      </c>
      <c r="J511" s="6"/>
      <c r="K511" s="13">
        <v>45911</v>
      </c>
      <c r="L511" t="s">
        <v>689</v>
      </c>
    </row>
    <row r="512" spans="1:13" x14ac:dyDescent="0.25">
      <c r="A512" t="s">
        <v>24</v>
      </c>
      <c r="D512" t="s">
        <v>27</v>
      </c>
      <c r="E512">
        <v>1985</v>
      </c>
      <c r="F512">
        <v>2</v>
      </c>
      <c r="G512">
        <v>5</v>
      </c>
      <c r="H512">
        <v>2</v>
      </c>
      <c r="I512">
        <v>121</v>
      </c>
      <c r="J512" s="6"/>
      <c r="K512" s="13">
        <v>45796</v>
      </c>
      <c r="L512" t="s">
        <v>687</v>
      </c>
      <c r="M512">
        <v>5.3</v>
      </c>
    </row>
    <row r="513" spans="1:13" x14ac:dyDescent="0.25">
      <c r="A513" t="s">
        <v>24</v>
      </c>
      <c r="D513" t="s">
        <v>27</v>
      </c>
      <c r="E513">
        <v>1985</v>
      </c>
      <c r="F513">
        <v>2</v>
      </c>
      <c r="G513">
        <v>5</v>
      </c>
      <c r="H513">
        <v>2</v>
      </c>
      <c r="I513">
        <v>121</v>
      </c>
      <c r="J513" s="6"/>
      <c r="K513" s="13">
        <v>45796</v>
      </c>
      <c r="L513" t="s">
        <v>688</v>
      </c>
      <c r="M513">
        <v>5.0999999999999996</v>
      </c>
    </row>
    <row r="514" spans="1:13" x14ac:dyDescent="0.25">
      <c r="A514" t="s">
        <v>24</v>
      </c>
      <c r="D514" t="s">
        <v>27</v>
      </c>
      <c r="E514">
        <v>1985</v>
      </c>
      <c r="F514">
        <v>2</v>
      </c>
      <c r="G514">
        <v>5</v>
      </c>
      <c r="H514">
        <v>2</v>
      </c>
      <c r="I514">
        <v>121</v>
      </c>
      <c r="J514" s="6"/>
      <c r="K514" s="13">
        <v>45796</v>
      </c>
      <c r="L514" t="s">
        <v>689</v>
      </c>
      <c r="M514">
        <v>5.2</v>
      </c>
    </row>
    <row r="515" spans="1:13" x14ac:dyDescent="0.25">
      <c r="A515" t="s">
        <v>24</v>
      </c>
      <c r="D515" t="s">
        <v>27</v>
      </c>
      <c r="E515">
        <v>1985</v>
      </c>
      <c r="F515">
        <v>2</v>
      </c>
      <c r="G515">
        <v>5</v>
      </c>
      <c r="H515">
        <v>2</v>
      </c>
      <c r="I515">
        <v>121</v>
      </c>
      <c r="J515" s="6"/>
      <c r="K515" s="13">
        <v>45820</v>
      </c>
      <c r="L515" t="s">
        <v>687</v>
      </c>
    </row>
    <row r="516" spans="1:13" x14ac:dyDescent="0.25">
      <c r="A516" t="s">
        <v>24</v>
      </c>
      <c r="D516" t="s">
        <v>27</v>
      </c>
      <c r="E516">
        <v>1985</v>
      </c>
      <c r="F516">
        <v>2</v>
      </c>
      <c r="G516">
        <v>5</v>
      </c>
      <c r="H516">
        <v>2</v>
      </c>
      <c r="I516">
        <v>121</v>
      </c>
      <c r="J516" s="6"/>
      <c r="K516" s="13">
        <v>45820</v>
      </c>
      <c r="L516" t="s">
        <v>688</v>
      </c>
    </row>
    <row r="517" spans="1:13" x14ac:dyDescent="0.25">
      <c r="A517" t="s">
        <v>24</v>
      </c>
      <c r="D517" t="s">
        <v>27</v>
      </c>
      <c r="E517">
        <v>1985</v>
      </c>
      <c r="F517">
        <v>2</v>
      </c>
      <c r="G517">
        <v>5</v>
      </c>
      <c r="H517">
        <v>2</v>
      </c>
      <c r="I517">
        <v>121</v>
      </c>
      <c r="J517" s="6"/>
      <c r="K517" s="13">
        <v>45820</v>
      </c>
      <c r="L517" t="s">
        <v>689</v>
      </c>
    </row>
    <row r="518" spans="1:13" x14ac:dyDescent="0.25">
      <c r="A518" t="s">
        <v>24</v>
      </c>
      <c r="D518" t="s">
        <v>27</v>
      </c>
      <c r="E518">
        <v>1985</v>
      </c>
      <c r="F518">
        <v>2</v>
      </c>
      <c r="G518">
        <v>5</v>
      </c>
      <c r="H518">
        <v>2</v>
      </c>
      <c r="I518">
        <v>121</v>
      </c>
      <c r="J518" s="6"/>
      <c r="K518" s="13">
        <v>45825</v>
      </c>
      <c r="L518" t="s">
        <v>687</v>
      </c>
      <c r="M518">
        <v>6.4</v>
      </c>
    </row>
    <row r="519" spans="1:13" x14ac:dyDescent="0.25">
      <c r="A519" t="s">
        <v>24</v>
      </c>
      <c r="D519" t="s">
        <v>27</v>
      </c>
      <c r="E519">
        <v>1985</v>
      </c>
      <c r="F519">
        <v>2</v>
      </c>
      <c r="G519">
        <v>5</v>
      </c>
      <c r="H519">
        <v>2</v>
      </c>
      <c r="I519">
        <v>121</v>
      </c>
      <c r="J519" s="6"/>
      <c r="K519" s="13">
        <v>45825</v>
      </c>
      <c r="L519" t="s">
        <v>688</v>
      </c>
      <c r="M519">
        <v>6.6</v>
      </c>
    </row>
    <row r="520" spans="1:13" x14ac:dyDescent="0.25">
      <c r="A520" t="s">
        <v>24</v>
      </c>
      <c r="D520" t="s">
        <v>27</v>
      </c>
      <c r="E520">
        <v>1985</v>
      </c>
      <c r="F520">
        <v>2</v>
      </c>
      <c r="G520">
        <v>5</v>
      </c>
      <c r="H520">
        <v>2</v>
      </c>
      <c r="I520">
        <v>121</v>
      </c>
      <c r="J520" s="6"/>
      <c r="K520" s="13">
        <v>45825</v>
      </c>
      <c r="L520" t="s">
        <v>689</v>
      </c>
      <c r="M520">
        <v>6.7</v>
      </c>
    </row>
    <row r="521" spans="1:13" x14ac:dyDescent="0.25">
      <c r="A521" t="s">
        <v>24</v>
      </c>
      <c r="D521" t="s">
        <v>27</v>
      </c>
      <c r="E521">
        <v>1985</v>
      </c>
      <c r="F521">
        <v>2</v>
      </c>
      <c r="G521">
        <v>5</v>
      </c>
      <c r="H521">
        <v>2</v>
      </c>
      <c r="I521">
        <v>121</v>
      </c>
      <c r="J521" s="6"/>
      <c r="K521" s="13">
        <v>45827</v>
      </c>
      <c r="L521" t="s">
        <v>687</v>
      </c>
    </row>
    <row r="522" spans="1:13" x14ac:dyDescent="0.25">
      <c r="A522" t="s">
        <v>24</v>
      </c>
      <c r="D522" t="s">
        <v>27</v>
      </c>
      <c r="E522">
        <v>1985</v>
      </c>
      <c r="F522">
        <v>2</v>
      </c>
      <c r="G522">
        <v>5</v>
      </c>
      <c r="H522">
        <v>2</v>
      </c>
      <c r="I522">
        <v>121</v>
      </c>
      <c r="J522" s="6"/>
      <c r="K522" s="13">
        <v>45827</v>
      </c>
      <c r="L522" t="s">
        <v>688</v>
      </c>
    </row>
    <row r="523" spans="1:13" x14ac:dyDescent="0.25">
      <c r="A523" t="s">
        <v>24</v>
      </c>
      <c r="D523" t="s">
        <v>27</v>
      </c>
      <c r="E523">
        <v>1985</v>
      </c>
      <c r="F523">
        <v>2</v>
      </c>
      <c r="G523">
        <v>5</v>
      </c>
      <c r="H523">
        <v>2</v>
      </c>
      <c r="I523">
        <v>121</v>
      </c>
      <c r="J523" s="6"/>
      <c r="K523" s="13">
        <v>45827</v>
      </c>
      <c r="L523" t="s">
        <v>689</v>
      </c>
    </row>
    <row r="524" spans="1:13" x14ac:dyDescent="0.25">
      <c r="A524" t="s">
        <v>24</v>
      </c>
      <c r="D524" t="s">
        <v>27</v>
      </c>
      <c r="E524">
        <v>1985</v>
      </c>
      <c r="F524">
        <v>2</v>
      </c>
      <c r="G524">
        <v>5</v>
      </c>
      <c r="H524">
        <v>2</v>
      </c>
      <c r="I524">
        <v>121</v>
      </c>
      <c r="J524" s="6"/>
      <c r="K524" s="13">
        <v>45859</v>
      </c>
      <c r="L524" t="s">
        <v>687</v>
      </c>
    </row>
    <row r="525" spans="1:13" x14ac:dyDescent="0.25">
      <c r="A525" t="s">
        <v>24</v>
      </c>
      <c r="D525" t="s">
        <v>27</v>
      </c>
      <c r="E525">
        <v>1985</v>
      </c>
      <c r="F525">
        <v>2</v>
      </c>
      <c r="G525">
        <v>5</v>
      </c>
      <c r="H525">
        <v>2</v>
      </c>
      <c r="I525">
        <v>121</v>
      </c>
      <c r="J525" s="6"/>
      <c r="K525" s="13">
        <v>45859</v>
      </c>
      <c r="L525" t="s">
        <v>688</v>
      </c>
    </row>
    <row r="526" spans="1:13" x14ac:dyDescent="0.25">
      <c r="A526" t="s">
        <v>24</v>
      </c>
      <c r="D526" t="s">
        <v>27</v>
      </c>
      <c r="E526">
        <v>1985</v>
      </c>
      <c r="F526">
        <v>2</v>
      </c>
      <c r="G526">
        <v>5</v>
      </c>
      <c r="H526">
        <v>2</v>
      </c>
      <c r="I526">
        <v>121</v>
      </c>
      <c r="J526" s="6"/>
      <c r="K526" s="13">
        <v>45859</v>
      </c>
      <c r="L526" t="s">
        <v>689</v>
      </c>
    </row>
    <row r="527" spans="1:13" x14ac:dyDescent="0.25">
      <c r="A527" t="s">
        <v>24</v>
      </c>
      <c r="D527" t="s">
        <v>27</v>
      </c>
      <c r="E527">
        <v>1985</v>
      </c>
      <c r="F527">
        <v>2</v>
      </c>
      <c r="G527">
        <v>5</v>
      </c>
      <c r="H527">
        <v>2</v>
      </c>
      <c r="I527">
        <v>121</v>
      </c>
      <c r="J527" s="6"/>
      <c r="K527" s="13">
        <v>45868</v>
      </c>
      <c r="L527" t="s">
        <v>687</v>
      </c>
      <c r="M527">
        <v>9.3000000000000007</v>
      </c>
    </row>
    <row r="528" spans="1:13" x14ac:dyDescent="0.25">
      <c r="A528" t="s">
        <v>24</v>
      </c>
      <c r="D528" t="s">
        <v>27</v>
      </c>
      <c r="E528">
        <v>1985</v>
      </c>
      <c r="F528">
        <v>2</v>
      </c>
      <c r="G528">
        <v>5</v>
      </c>
      <c r="H528">
        <v>2</v>
      </c>
      <c r="I528">
        <v>121</v>
      </c>
      <c r="J528" s="6"/>
      <c r="K528" s="13">
        <v>45868</v>
      </c>
      <c r="L528" t="s">
        <v>688</v>
      </c>
      <c r="M528">
        <v>9.5</v>
      </c>
    </row>
    <row r="529" spans="1:13" x14ac:dyDescent="0.25">
      <c r="A529" t="s">
        <v>24</v>
      </c>
      <c r="D529" t="s">
        <v>27</v>
      </c>
      <c r="E529">
        <v>1985</v>
      </c>
      <c r="F529">
        <v>2</v>
      </c>
      <c r="G529">
        <v>5</v>
      </c>
      <c r="H529">
        <v>2</v>
      </c>
      <c r="I529">
        <v>121</v>
      </c>
      <c r="J529" s="6"/>
      <c r="K529" s="13">
        <v>45868</v>
      </c>
      <c r="L529" t="s">
        <v>689</v>
      </c>
      <c r="M529">
        <v>9.4</v>
      </c>
    </row>
    <row r="530" spans="1:13" x14ac:dyDescent="0.25">
      <c r="A530" t="s">
        <v>24</v>
      </c>
      <c r="D530" t="s">
        <v>27</v>
      </c>
      <c r="E530">
        <v>1985</v>
      </c>
      <c r="F530">
        <v>2</v>
      </c>
      <c r="G530">
        <v>5</v>
      </c>
      <c r="H530">
        <v>2</v>
      </c>
      <c r="I530">
        <v>121</v>
      </c>
      <c r="J530" s="6"/>
      <c r="K530" s="13">
        <v>45875</v>
      </c>
      <c r="L530" t="s">
        <v>687</v>
      </c>
      <c r="M530">
        <v>9.5</v>
      </c>
    </row>
    <row r="531" spans="1:13" x14ac:dyDescent="0.25">
      <c r="A531" t="s">
        <v>24</v>
      </c>
      <c r="D531" t="s">
        <v>27</v>
      </c>
      <c r="E531">
        <v>1985</v>
      </c>
      <c r="F531">
        <v>2</v>
      </c>
      <c r="G531">
        <v>5</v>
      </c>
      <c r="H531">
        <v>2</v>
      </c>
      <c r="I531">
        <v>121</v>
      </c>
      <c r="J531" s="6"/>
      <c r="K531" s="13">
        <v>45875</v>
      </c>
      <c r="L531" t="s">
        <v>688</v>
      </c>
      <c r="M531">
        <v>10.1</v>
      </c>
    </row>
    <row r="532" spans="1:13" x14ac:dyDescent="0.25">
      <c r="A532" t="s">
        <v>24</v>
      </c>
      <c r="D532" t="s">
        <v>27</v>
      </c>
      <c r="E532">
        <v>1985</v>
      </c>
      <c r="F532">
        <v>2</v>
      </c>
      <c r="G532">
        <v>5</v>
      </c>
      <c r="H532">
        <v>2</v>
      </c>
      <c r="I532">
        <v>121</v>
      </c>
      <c r="J532" s="6"/>
      <c r="K532" s="13">
        <v>45875</v>
      </c>
      <c r="L532" t="s">
        <v>689</v>
      </c>
      <c r="M532">
        <v>9.9</v>
      </c>
    </row>
    <row r="533" spans="1:13" x14ac:dyDescent="0.25">
      <c r="A533" t="s">
        <v>24</v>
      </c>
      <c r="D533" t="s">
        <v>27</v>
      </c>
      <c r="E533">
        <v>1985</v>
      </c>
      <c r="F533">
        <v>2</v>
      </c>
      <c r="G533">
        <v>5</v>
      </c>
      <c r="H533">
        <v>2</v>
      </c>
      <c r="I533">
        <v>121</v>
      </c>
      <c r="J533" s="6"/>
      <c r="K533" s="13">
        <v>45880</v>
      </c>
      <c r="L533" t="s">
        <v>687</v>
      </c>
    </row>
    <row r="534" spans="1:13" x14ac:dyDescent="0.25">
      <c r="A534" t="s">
        <v>24</v>
      </c>
      <c r="D534" t="s">
        <v>27</v>
      </c>
      <c r="E534">
        <v>1985</v>
      </c>
      <c r="F534">
        <v>2</v>
      </c>
      <c r="G534">
        <v>5</v>
      </c>
      <c r="H534">
        <v>2</v>
      </c>
      <c r="I534">
        <v>121</v>
      </c>
      <c r="J534" s="6"/>
      <c r="K534" s="13">
        <v>45880</v>
      </c>
      <c r="L534" t="s">
        <v>688</v>
      </c>
    </row>
    <row r="535" spans="1:13" x14ac:dyDescent="0.25">
      <c r="A535" t="s">
        <v>24</v>
      </c>
      <c r="D535" t="s">
        <v>27</v>
      </c>
      <c r="E535">
        <v>1985</v>
      </c>
      <c r="F535">
        <v>2</v>
      </c>
      <c r="G535">
        <v>5</v>
      </c>
      <c r="H535">
        <v>2</v>
      </c>
      <c r="I535">
        <v>121</v>
      </c>
      <c r="J535" s="6"/>
      <c r="K535" s="13">
        <v>45880</v>
      </c>
      <c r="L535" t="s">
        <v>689</v>
      </c>
    </row>
    <row r="536" spans="1:13" x14ac:dyDescent="0.25">
      <c r="A536" t="s">
        <v>24</v>
      </c>
      <c r="D536" t="s">
        <v>27</v>
      </c>
      <c r="E536">
        <v>1985</v>
      </c>
      <c r="F536">
        <v>2</v>
      </c>
      <c r="G536">
        <v>5</v>
      </c>
      <c r="H536">
        <v>2</v>
      </c>
      <c r="I536">
        <v>121</v>
      </c>
      <c r="J536" s="6"/>
      <c r="K536" s="13">
        <v>45897</v>
      </c>
      <c r="L536" t="s">
        <v>687</v>
      </c>
      <c r="M536">
        <v>10.9</v>
      </c>
    </row>
    <row r="537" spans="1:13" x14ac:dyDescent="0.25">
      <c r="A537" t="s">
        <v>24</v>
      </c>
      <c r="D537" t="s">
        <v>27</v>
      </c>
      <c r="E537">
        <v>1985</v>
      </c>
      <c r="F537">
        <v>2</v>
      </c>
      <c r="G537">
        <v>5</v>
      </c>
      <c r="H537">
        <v>2</v>
      </c>
      <c r="I537">
        <v>121</v>
      </c>
      <c r="J537" s="6"/>
      <c r="K537" s="13">
        <v>45897</v>
      </c>
      <c r="L537" t="s">
        <v>688</v>
      </c>
      <c r="M537">
        <v>11.9</v>
      </c>
    </row>
    <row r="538" spans="1:13" x14ac:dyDescent="0.25">
      <c r="A538" t="s">
        <v>24</v>
      </c>
      <c r="B538" s="54"/>
      <c r="C538" s="55"/>
      <c r="D538" t="s">
        <v>27</v>
      </c>
      <c r="E538">
        <v>1985</v>
      </c>
      <c r="F538">
        <v>2</v>
      </c>
      <c r="G538">
        <v>5</v>
      </c>
      <c r="H538">
        <v>2</v>
      </c>
      <c r="I538">
        <v>121</v>
      </c>
      <c r="J538" s="6"/>
      <c r="K538" s="13">
        <v>45897</v>
      </c>
      <c r="L538" t="s">
        <v>689</v>
      </c>
      <c r="M538">
        <v>11.9</v>
      </c>
    </row>
    <row r="539" spans="1:13" x14ac:dyDescent="0.25">
      <c r="A539" t="s">
        <v>24</v>
      </c>
      <c r="D539" t="s">
        <v>27</v>
      </c>
      <c r="E539">
        <v>1985</v>
      </c>
      <c r="F539">
        <v>2</v>
      </c>
      <c r="G539">
        <v>5</v>
      </c>
      <c r="H539">
        <v>2</v>
      </c>
      <c r="I539">
        <v>121</v>
      </c>
      <c r="J539" s="6"/>
      <c r="K539" s="13">
        <v>45911</v>
      </c>
      <c r="L539" t="s">
        <v>687</v>
      </c>
      <c r="M539">
        <v>11.8</v>
      </c>
    </row>
    <row r="540" spans="1:13" x14ac:dyDescent="0.25">
      <c r="A540" t="s">
        <v>24</v>
      </c>
      <c r="D540" t="s">
        <v>27</v>
      </c>
      <c r="E540">
        <v>1985</v>
      </c>
      <c r="F540">
        <v>2</v>
      </c>
      <c r="G540">
        <v>5</v>
      </c>
      <c r="H540">
        <v>2</v>
      </c>
      <c r="I540">
        <v>121</v>
      </c>
      <c r="J540" s="6"/>
      <c r="K540" s="13">
        <v>45911</v>
      </c>
      <c r="L540" t="s">
        <v>688</v>
      </c>
      <c r="M540">
        <v>12.8</v>
      </c>
    </row>
    <row r="541" spans="1:13" x14ac:dyDescent="0.25">
      <c r="A541" t="s">
        <v>24</v>
      </c>
      <c r="D541" t="s">
        <v>27</v>
      </c>
      <c r="E541">
        <v>1985</v>
      </c>
      <c r="F541">
        <v>2</v>
      </c>
      <c r="G541">
        <v>5</v>
      </c>
      <c r="H541">
        <v>2</v>
      </c>
      <c r="I541">
        <v>121</v>
      </c>
      <c r="J541" s="6"/>
      <c r="K541" s="13">
        <v>45911</v>
      </c>
      <c r="L541" t="s">
        <v>689</v>
      </c>
    </row>
    <row r="542" spans="1:13" x14ac:dyDescent="0.25">
      <c r="A542" t="s">
        <v>24</v>
      </c>
      <c r="D542" t="s">
        <v>313</v>
      </c>
      <c r="E542">
        <v>2016</v>
      </c>
      <c r="F542">
        <v>3</v>
      </c>
      <c r="G542">
        <v>5</v>
      </c>
      <c r="H542">
        <v>2</v>
      </c>
      <c r="I542">
        <v>137</v>
      </c>
      <c r="J542" s="6"/>
      <c r="K542" s="13">
        <v>45796</v>
      </c>
      <c r="L542" t="s">
        <v>687</v>
      </c>
      <c r="M542">
        <v>5.3</v>
      </c>
    </row>
    <row r="543" spans="1:13" x14ac:dyDescent="0.25">
      <c r="A543" t="s">
        <v>24</v>
      </c>
      <c r="D543" t="s">
        <v>313</v>
      </c>
      <c r="E543">
        <v>2016</v>
      </c>
      <c r="F543">
        <v>3</v>
      </c>
      <c r="G543">
        <v>5</v>
      </c>
      <c r="H543">
        <v>2</v>
      </c>
      <c r="I543">
        <v>137</v>
      </c>
      <c r="J543" s="6"/>
      <c r="K543" s="13">
        <v>45796</v>
      </c>
      <c r="L543" t="s">
        <v>688</v>
      </c>
      <c r="M543">
        <v>5.3</v>
      </c>
    </row>
    <row r="544" spans="1:13" x14ac:dyDescent="0.25">
      <c r="A544" t="s">
        <v>24</v>
      </c>
      <c r="D544" t="s">
        <v>313</v>
      </c>
      <c r="E544">
        <v>2016</v>
      </c>
      <c r="F544">
        <v>3</v>
      </c>
      <c r="G544">
        <v>5</v>
      </c>
      <c r="H544">
        <v>2</v>
      </c>
      <c r="I544">
        <v>137</v>
      </c>
      <c r="J544" s="6"/>
      <c r="K544" s="13">
        <v>45796</v>
      </c>
      <c r="L544" t="s">
        <v>689</v>
      </c>
      <c r="M544">
        <v>5.0999999999999996</v>
      </c>
    </row>
    <row r="545" spans="1:13" x14ac:dyDescent="0.25">
      <c r="A545" t="s">
        <v>24</v>
      </c>
      <c r="D545" t="s">
        <v>313</v>
      </c>
      <c r="E545">
        <v>2016</v>
      </c>
      <c r="F545">
        <v>3</v>
      </c>
      <c r="G545">
        <v>5</v>
      </c>
      <c r="H545">
        <v>2</v>
      </c>
      <c r="I545">
        <v>137</v>
      </c>
      <c r="J545" s="6"/>
      <c r="K545" s="13">
        <v>45820</v>
      </c>
      <c r="L545" t="s">
        <v>687</v>
      </c>
    </row>
    <row r="546" spans="1:13" x14ac:dyDescent="0.25">
      <c r="A546" t="s">
        <v>24</v>
      </c>
      <c r="D546" t="s">
        <v>313</v>
      </c>
      <c r="E546">
        <v>2016</v>
      </c>
      <c r="F546">
        <v>3</v>
      </c>
      <c r="G546">
        <v>5</v>
      </c>
      <c r="H546">
        <v>2</v>
      </c>
      <c r="I546">
        <v>137</v>
      </c>
      <c r="J546" s="6"/>
      <c r="K546" s="13">
        <v>45820</v>
      </c>
      <c r="L546" t="s">
        <v>688</v>
      </c>
    </row>
    <row r="547" spans="1:13" x14ac:dyDescent="0.25">
      <c r="A547" t="s">
        <v>24</v>
      </c>
      <c r="D547" t="s">
        <v>313</v>
      </c>
      <c r="E547">
        <v>2016</v>
      </c>
      <c r="F547">
        <v>3</v>
      </c>
      <c r="G547">
        <v>5</v>
      </c>
      <c r="H547">
        <v>2</v>
      </c>
      <c r="I547">
        <v>137</v>
      </c>
      <c r="J547" s="6"/>
      <c r="K547" s="13">
        <v>45820</v>
      </c>
      <c r="L547" t="s">
        <v>689</v>
      </c>
    </row>
    <row r="548" spans="1:13" x14ac:dyDescent="0.25">
      <c r="A548" t="s">
        <v>24</v>
      </c>
      <c r="D548" t="s">
        <v>313</v>
      </c>
      <c r="E548">
        <v>2016</v>
      </c>
      <c r="F548">
        <v>3</v>
      </c>
      <c r="G548">
        <v>5</v>
      </c>
      <c r="H548">
        <v>2</v>
      </c>
      <c r="I548">
        <v>137</v>
      </c>
      <c r="J548" s="6"/>
      <c r="K548" s="13">
        <v>45825</v>
      </c>
      <c r="L548" t="s">
        <v>687</v>
      </c>
      <c r="M548">
        <v>6.1</v>
      </c>
    </row>
    <row r="549" spans="1:13" x14ac:dyDescent="0.25">
      <c r="A549" t="s">
        <v>24</v>
      </c>
      <c r="D549" t="s">
        <v>313</v>
      </c>
      <c r="E549">
        <v>2016</v>
      </c>
      <c r="F549">
        <v>3</v>
      </c>
      <c r="G549">
        <v>5</v>
      </c>
      <c r="H549">
        <v>2</v>
      </c>
      <c r="I549">
        <v>137</v>
      </c>
      <c r="J549" s="6"/>
      <c r="K549" s="13">
        <v>45825</v>
      </c>
      <c r="L549" t="s">
        <v>688</v>
      </c>
      <c r="M549">
        <v>6.2</v>
      </c>
    </row>
    <row r="550" spans="1:13" x14ac:dyDescent="0.25">
      <c r="A550" t="s">
        <v>24</v>
      </c>
      <c r="D550" t="s">
        <v>313</v>
      </c>
      <c r="E550">
        <v>2016</v>
      </c>
      <c r="F550">
        <v>3</v>
      </c>
      <c r="G550">
        <v>5</v>
      </c>
      <c r="H550">
        <v>2</v>
      </c>
      <c r="I550">
        <v>137</v>
      </c>
      <c r="J550" s="6"/>
      <c r="K550" s="13">
        <v>45825</v>
      </c>
      <c r="L550" t="s">
        <v>689</v>
      </c>
      <c r="M550">
        <v>6.3</v>
      </c>
    </row>
    <row r="551" spans="1:13" x14ac:dyDescent="0.25">
      <c r="A551" t="s">
        <v>24</v>
      </c>
      <c r="D551" t="s">
        <v>313</v>
      </c>
      <c r="E551">
        <v>2016</v>
      </c>
      <c r="F551">
        <v>3</v>
      </c>
      <c r="G551">
        <v>5</v>
      </c>
      <c r="H551">
        <v>2</v>
      </c>
      <c r="I551">
        <v>137</v>
      </c>
      <c r="J551" s="6"/>
      <c r="K551" s="13">
        <v>45827</v>
      </c>
      <c r="L551" t="s">
        <v>687</v>
      </c>
    </row>
    <row r="552" spans="1:13" x14ac:dyDescent="0.25">
      <c r="A552" t="s">
        <v>24</v>
      </c>
      <c r="D552" t="s">
        <v>313</v>
      </c>
      <c r="E552">
        <v>2016</v>
      </c>
      <c r="F552">
        <v>3</v>
      </c>
      <c r="G552">
        <v>5</v>
      </c>
      <c r="H552">
        <v>2</v>
      </c>
      <c r="I552">
        <v>137</v>
      </c>
      <c r="J552" s="6"/>
      <c r="K552" s="13">
        <v>45827</v>
      </c>
      <c r="L552" t="s">
        <v>688</v>
      </c>
    </row>
    <row r="553" spans="1:13" x14ac:dyDescent="0.25">
      <c r="A553" t="s">
        <v>24</v>
      </c>
      <c r="D553" t="s">
        <v>313</v>
      </c>
      <c r="E553">
        <v>2016</v>
      </c>
      <c r="F553">
        <v>3</v>
      </c>
      <c r="G553">
        <v>5</v>
      </c>
      <c r="H553">
        <v>2</v>
      </c>
      <c r="I553">
        <v>137</v>
      </c>
      <c r="J553" s="6"/>
      <c r="K553" s="13">
        <v>45827</v>
      </c>
      <c r="L553" t="s">
        <v>689</v>
      </c>
    </row>
    <row r="554" spans="1:13" x14ac:dyDescent="0.25">
      <c r="A554" t="s">
        <v>24</v>
      </c>
      <c r="D554" t="s">
        <v>313</v>
      </c>
      <c r="E554">
        <v>2016</v>
      </c>
      <c r="F554">
        <v>3</v>
      </c>
      <c r="G554">
        <v>5</v>
      </c>
      <c r="H554">
        <v>2</v>
      </c>
      <c r="I554">
        <v>137</v>
      </c>
      <c r="J554" s="6"/>
      <c r="K554" s="13">
        <v>45859</v>
      </c>
      <c r="L554" t="s">
        <v>687</v>
      </c>
    </row>
    <row r="555" spans="1:13" x14ac:dyDescent="0.25">
      <c r="A555" t="s">
        <v>24</v>
      </c>
      <c r="D555" t="s">
        <v>313</v>
      </c>
      <c r="E555">
        <v>2016</v>
      </c>
      <c r="F555">
        <v>3</v>
      </c>
      <c r="G555">
        <v>5</v>
      </c>
      <c r="H555">
        <v>2</v>
      </c>
      <c r="I555">
        <v>137</v>
      </c>
      <c r="J555" s="6"/>
      <c r="K555" s="13">
        <v>45859</v>
      </c>
      <c r="L555" t="s">
        <v>688</v>
      </c>
    </row>
    <row r="556" spans="1:13" x14ac:dyDescent="0.25">
      <c r="A556" t="s">
        <v>24</v>
      </c>
      <c r="D556" t="s">
        <v>313</v>
      </c>
      <c r="E556">
        <v>2016</v>
      </c>
      <c r="F556">
        <v>3</v>
      </c>
      <c r="G556">
        <v>5</v>
      </c>
      <c r="H556">
        <v>2</v>
      </c>
      <c r="I556">
        <v>137</v>
      </c>
      <c r="J556" s="6"/>
      <c r="K556" s="13">
        <v>45859</v>
      </c>
      <c r="L556" t="s">
        <v>689</v>
      </c>
    </row>
    <row r="557" spans="1:13" x14ac:dyDescent="0.25">
      <c r="A557" t="s">
        <v>24</v>
      </c>
      <c r="D557" t="s">
        <v>313</v>
      </c>
      <c r="E557">
        <v>2016</v>
      </c>
      <c r="F557">
        <v>3</v>
      </c>
      <c r="G557">
        <v>5</v>
      </c>
      <c r="H557">
        <v>2</v>
      </c>
      <c r="I557">
        <v>137</v>
      </c>
      <c r="J557" s="6"/>
      <c r="K557" s="13">
        <v>45868</v>
      </c>
      <c r="L557" t="s">
        <v>687</v>
      </c>
      <c r="M557">
        <v>8.9</v>
      </c>
    </row>
    <row r="558" spans="1:13" x14ac:dyDescent="0.25">
      <c r="A558" t="s">
        <v>24</v>
      </c>
      <c r="D558" t="s">
        <v>313</v>
      </c>
      <c r="E558">
        <v>2016</v>
      </c>
      <c r="F558">
        <v>3</v>
      </c>
      <c r="G558">
        <v>5</v>
      </c>
      <c r="H558">
        <v>2</v>
      </c>
      <c r="I558">
        <v>137</v>
      </c>
      <c r="J558" s="6"/>
      <c r="K558" s="13">
        <v>45868</v>
      </c>
      <c r="L558" t="s">
        <v>688</v>
      </c>
      <c r="M558">
        <v>7.7</v>
      </c>
    </row>
    <row r="559" spans="1:13" x14ac:dyDescent="0.25">
      <c r="A559" t="s">
        <v>24</v>
      </c>
      <c r="D559" t="s">
        <v>313</v>
      </c>
      <c r="E559">
        <v>2016</v>
      </c>
      <c r="F559">
        <v>3</v>
      </c>
      <c r="G559">
        <v>5</v>
      </c>
      <c r="H559">
        <v>2</v>
      </c>
      <c r="I559">
        <v>137</v>
      </c>
      <c r="J559" s="6"/>
      <c r="K559" s="13">
        <v>45868</v>
      </c>
      <c r="L559" t="s">
        <v>689</v>
      </c>
      <c r="M559">
        <v>7.5</v>
      </c>
    </row>
    <row r="560" spans="1:13" x14ac:dyDescent="0.25">
      <c r="A560" t="s">
        <v>24</v>
      </c>
      <c r="D560" t="s">
        <v>313</v>
      </c>
      <c r="E560">
        <v>2016</v>
      </c>
      <c r="F560">
        <v>3</v>
      </c>
      <c r="G560">
        <v>5</v>
      </c>
      <c r="H560">
        <v>2</v>
      </c>
      <c r="I560">
        <v>137</v>
      </c>
      <c r="J560" s="6"/>
      <c r="K560" s="13">
        <v>45875</v>
      </c>
      <c r="L560" t="s">
        <v>687</v>
      </c>
      <c r="M560">
        <v>9.5</v>
      </c>
    </row>
    <row r="561" spans="1:13" x14ac:dyDescent="0.25">
      <c r="A561" t="s">
        <v>24</v>
      </c>
      <c r="D561" t="s">
        <v>313</v>
      </c>
      <c r="E561">
        <v>2016</v>
      </c>
      <c r="F561">
        <v>3</v>
      </c>
      <c r="G561">
        <v>5</v>
      </c>
      <c r="H561">
        <v>2</v>
      </c>
      <c r="I561">
        <v>137</v>
      </c>
      <c r="J561" s="6"/>
      <c r="K561" s="13">
        <v>45875</v>
      </c>
      <c r="L561" t="s">
        <v>688</v>
      </c>
      <c r="M561">
        <v>9.8000000000000007</v>
      </c>
    </row>
    <row r="562" spans="1:13" x14ac:dyDescent="0.25">
      <c r="A562" t="s">
        <v>24</v>
      </c>
      <c r="D562" t="s">
        <v>313</v>
      </c>
      <c r="E562">
        <v>2016</v>
      </c>
      <c r="F562">
        <v>3</v>
      </c>
      <c r="G562">
        <v>5</v>
      </c>
      <c r="H562">
        <v>2</v>
      </c>
      <c r="I562">
        <v>137</v>
      </c>
      <c r="J562" s="6"/>
      <c r="K562" s="13">
        <v>45875</v>
      </c>
      <c r="L562" t="s">
        <v>689</v>
      </c>
    </row>
    <row r="563" spans="1:13" x14ac:dyDescent="0.25">
      <c r="A563" t="s">
        <v>24</v>
      </c>
      <c r="D563" t="s">
        <v>313</v>
      </c>
      <c r="E563">
        <v>2016</v>
      </c>
      <c r="F563">
        <v>3</v>
      </c>
      <c r="G563">
        <v>5</v>
      </c>
      <c r="H563">
        <v>2</v>
      </c>
      <c r="I563">
        <v>137</v>
      </c>
      <c r="J563" s="6"/>
      <c r="K563" s="13">
        <v>45880</v>
      </c>
      <c r="L563" t="s">
        <v>687</v>
      </c>
    </row>
    <row r="564" spans="1:13" x14ac:dyDescent="0.25">
      <c r="A564" t="s">
        <v>24</v>
      </c>
      <c r="D564" t="s">
        <v>313</v>
      </c>
      <c r="E564">
        <v>2016</v>
      </c>
      <c r="F564">
        <v>3</v>
      </c>
      <c r="G564">
        <v>5</v>
      </c>
      <c r="H564">
        <v>2</v>
      </c>
      <c r="I564">
        <v>137</v>
      </c>
      <c r="J564" s="6"/>
      <c r="K564" s="13">
        <v>45880</v>
      </c>
      <c r="L564" t="s">
        <v>688</v>
      </c>
    </row>
    <row r="565" spans="1:13" x14ac:dyDescent="0.25">
      <c r="A565" t="s">
        <v>24</v>
      </c>
      <c r="D565" t="s">
        <v>313</v>
      </c>
      <c r="E565">
        <v>2016</v>
      </c>
      <c r="F565">
        <v>3</v>
      </c>
      <c r="G565">
        <v>5</v>
      </c>
      <c r="H565">
        <v>2</v>
      </c>
      <c r="I565">
        <v>137</v>
      </c>
      <c r="J565" s="6"/>
      <c r="K565" s="13">
        <v>45880</v>
      </c>
      <c r="L565" t="s">
        <v>689</v>
      </c>
    </row>
    <row r="566" spans="1:13" x14ac:dyDescent="0.25">
      <c r="A566" t="s">
        <v>24</v>
      </c>
      <c r="D566" t="s">
        <v>313</v>
      </c>
      <c r="E566">
        <v>2016</v>
      </c>
      <c r="F566">
        <v>3</v>
      </c>
      <c r="G566">
        <v>5</v>
      </c>
      <c r="H566">
        <v>2</v>
      </c>
      <c r="I566">
        <v>137</v>
      </c>
      <c r="J566" s="6"/>
      <c r="K566" s="13">
        <v>45897</v>
      </c>
      <c r="L566" t="s">
        <v>687</v>
      </c>
      <c r="M566">
        <v>11.4</v>
      </c>
    </row>
    <row r="567" spans="1:13" x14ac:dyDescent="0.25">
      <c r="A567" t="s">
        <v>24</v>
      </c>
      <c r="D567" t="s">
        <v>313</v>
      </c>
      <c r="E567">
        <v>2016</v>
      </c>
      <c r="F567">
        <v>3</v>
      </c>
      <c r="G567">
        <v>5</v>
      </c>
      <c r="H567">
        <v>2</v>
      </c>
      <c r="I567">
        <v>137</v>
      </c>
      <c r="J567" s="6"/>
      <c r="K567" s="13">
        <v>45897</v>
      </c>
      <c r="L567" t="s">
        <v>688</v>
      </c>
      <c r="M567">
        <v>11.8</v>
      </c>
    </row>
    <row r="568" spans="1:13" x14ac:dyDescent="0.25">
      <c r="A568" t="s">
        <v>24</v>
      </c>
      <c r="D568" t="s">
        <v>313</v>
      </c>
      <c r="E568">
        <v>2016</v>
      </c>
      <c r="F568">
        <v>3</v>
      </c>
      <c r="G568">
        <v>5</v>
      </c>
      <c r="H568">
        <v>2</v>
      </c>
      <c r="I568">
        <v>137</v>
      </c>
      <c r="J568" s="6"/>
      <c r="K568" s="13">
        <v>45897</v>
      </c>
      <c r="L568" t="s">
        <v>689</v>
      </c>
    </row>
    <row r="569" spans="1:13" x14ac:dyDescent="0.25">
      <c r="A569" t="s">
        <v>24</v>
      </c>
      <c r="D569" t="s">
        <v>313</v>
      </c>
      <c r="E569">
        <v>2016</v>
      </c>
      <c r="F569">
        <v>3</v>
      </c>
      <c r="G569">
        <v>5</v>
      </c>
      <c r="H569">
        <v>2</v>
      </c>
      <c r="I569">
        <v>137</v>
      </c>
      <c r="J569" s="6"/>
      <c r="K569" s="13">
        <v>45911</v>
      </c>
      <c r="L569" t="s">
        <v>687</v>
      </c>
      <c r="M569">
        <v>12.5</v>
      </c>
    </row>
    <row r="570" spans="1:13" x14ac:dyDescent="0.25">
      <c r="A570" t="s">
        <v>24</v>
      </c>
      <c r="D570" t="s">
        <v>313</v>
      </c>
      <c r="E570">
        <v>2016</v>
      </c>
      <c r="F570">
        <v>3</v>
      </c>
      <c r="G570">
        <v>5</v>
      </c>
      <c r="H570">
        <v>2</v>
      </c>
      <c r="I570">
        <v>137</v>
      </c>
      <c r="J570" s="6"/>
      <c r="K570" s="13">
        <v>45911</v>
      </c>
      <c r="L570" t="s">
        <v>688</v>
      </c>
    </row>
    <row r="571" spans="1:13" x14ac:dyDescent="0.25">
      <c r="A571" t="s">
        <v>24</v>
      </c>
      <c r="D571" t="s">
        <v>313</v>
      </c>
      <c r="E571">
        <v>2016</v>
      </c>
      <c r="F571">
        <v>3</v>
      </c>
      <c r="G571">
        <v>5</v>
      </c>
      <c r="H571">
        <v>2</v>
      </c>
      <c r="I571">
        <v>137</v>
      </c>
      <c r="J571" s="6"/>
      <c r="K571" s="13">
        <v>45911</v>
      </c>
      <c r="L571" t="s">
        <v>689</v>
      </c>
    </row>
    <row r="572" spans="1:13" x14ac:dyDescent="0.25">
      <c r="A572" t="s">
        <v>24</v>
      </c>
      <c r="D572" t="s">
        <v>312</v>
      </c>
      <c r="E572">
        <v>2002</v>
      </c>
      <c r="F572">
        <v>4</v>
      </c>
      <c r="G572">
        <v>5</v>
      </c>
      <c r="H572">
        <v>2</v>
      </c>
      <c r="I572">
        <v>153</v>
      </c>
      <c r="J572" s="6"/>
      <c r="K572" s="13">
        <v>45796</v>
      </c>
      <c r="L572" t="s">
        <v>687</v>
      </c>
      <c r="M572">
        <v>4.9000000000000004</v>
      </c>
    </row>
    <row r="573" spans="1:13" x14ac:dyDescent="0.25">
      <c r="A573" t="s">
        <v>24</v>
      </c>
      <c r="D573" t="s">
        <v>312</v>
      </c>
      <c r="E573">
        <v>2002</v>
      </c>
      <c r="F573">
        <v>4</v>
      </c>
      <c r="G573">
        <v>5</v>
      </c>
      <c r="H573">
        <v>2</v>
      </c>
      <c r="I573">
        <v>153</v>
      </c>
      <c r="J573" s="6"/>
      <c r="K573" s="13">
        <v>45796</v>
      </c>
      <c r="L573" t="s">
        <v>688</v>
      </c>
      <c r="M573">
        <v>4.0999999999999996</v>
      </c>
    </row>
    <row r="574" spans="1:13" x14ac:dyDescent="0.25">
      <c r="A574" t="s">
        <v>24</v>
      </c>
      <c r="D574" t="s">
        <v>312</v>
      </c>
      <c r="E574">
        <v>2002</v>
      </c>
      <c r="F574">
        <v>4</v>
      </c>
      <c r="G574">
        <v>5</v>
      </c>
      <c r="H574">
        <v>2</v>
      </c>
      <c r="I574">
        <v>153</v>
      </c>
      <c r="J574" s="6"/>
      <c r="K574" s="13">
        <v>45796</v>
      </c>
      <c r="L574" t="s">
        <v>689</v>
      </c>
      <c r="M574">
        <v>4.9000000000000004</v>
      </c>
    </row>
    <row r="575" spans="1:13" x14ac:dyDescent="0.25">
      <c r="A575" t="s">
        <v>24</v>
      </c>
      <c r="D575" t="s">
        <v>312</v>
      </c>
      <c r="E575">
        <v>2002</v>
      </c>
      <c r="F575">
        <v>4</v>
      </c>
      <c r="G575">
        <v>5</v>
      </c>
      <c r="H575">
        <v>2</v>
      </c>
      <c r="I575">
        <v>153</v>
      </c>
      <c r="J575" s="6"/>
      <c r="K575" s="13">
        <v>45820</v>
      </c>
      <c r="L575" t="s">
        <v>687</v>
      </c>
    </row>
    <row r="576" spans="1:13" x14ac:dyDescent="0.25">
      <c r="A576" t="s">
        <v>24</v>
      </c>
      <c r="D576" t="s">
        <v>312</v>
      </c>
      <c r="E576">
        <v>2002</v>
      </c>
      <c r="F576">
        <v>4</v>
      </c>
      <c r="G576">
        <v>5</v>
      </c>
      <c r="H576">
        <v>2</v>
      </c>
      <c r="I576">
        <v>153</v>
      </c>
      <c r="J576" s="6"/>
      <c r="K576" s="13">
        <v>45820</v>
      </c>
      <c r="L576" t="s">
        <v>688</v>
      </c>
    </row>
    <row r="577" spans="1:13" x14ac:dyDescent="0.25">
      <c r="A577" t="s">
        <v>24</v>
      </c>
      <c r="D577" t="s">
        <v>312</v>
      </c>
      <c r="E577">
        <v>2002</v>
      </c>
      <c r="F577">
        <v>4</v>
      </c>
      <c r="G577">
        <v>5</v>
      </c>
      <c r="H577">
        <v>2</v>
      </c>
      <c r="I577">
        <v>153</v>
      </c>
      <c r="J577" s="6"/>
      <c r="K577" s="13">
        <v>45820</v>
      </c>
      <c r="L577" t="s">
        <v>689</v>
      </c>
    </row>
    <row r="578" spans="1:13" x14ac:dyDescent="0.25">
      <c r="A578" t="s">
        <v>24</v>
      </c>
      <c r="D578" t="s">
        <v>312</v>
      </c>
      <c r="E578">
        <v>2002</v>
      </c>
      <c r="F578">
        <v>4</v>
      </c>
      <c r="G578">
        <v>5</v>
      </c>
      <c r="H578">
        <v>2</v>
      </c>
      <c r="I578">
        <v>153</v>
      </c>
      <c r="K578" s="13">
        <v>45825</v>
      </c>
      <c r="L578" t="s">
        <v>687</v>
      </c>
      <c r="M578">
        <v>6.6</v>
      </c>
    </row>
    <row r="579" spans="1:13" x14ac:dyDescent="0.25">
      <c r="A579" t="s">
        <v>24</v>
      </c>
      <c r="D579" t="s">
        <v>312</v>
      </c>
      <c r="E579">
        <v>2002</v>
      </c>
      <c r="F579">
        <v>4</v>
      </c>
      <c r="G579">
        <v>5</v>
      </c>
      <c r="H579">
        <v>2</v>
      </c>
      <c r="I579">
        <v>153</v>
      </c>
      <c r="K579" s="13">
        <v>45825</v>
      </c>
      <c r="L579" t="s">
        <v>688</v>
      </c>
      <c r="M579">
        <v>6.3</v>
      </c>
    </row>
    <row r="580" spans="1:13" x14ac:dyDescent="0.25">
      <c r="A580" t="s">
        <v>24</v>
      </c>
      <c r="D580" t="s">
        <v>312</v>
      </c>
      <c r="E580">
        <v>2002</v>
      </c>
      <c r="F580">
        <v>4</v>
      </c>
      <c r="G580">
        <v>5</v>
      </c>
      <c r="H580">
        <v>2</v>
      </c>
      <c r="I580">
        <v>153</v>
      </c>
      <c r="K580" s="13">
        <v>45825</v>
      </c>
      <c r="L580" t="s">
        <v>689</v>
      </c>
      <c r="M580">
        <v>6.2</v>
      </c>
    </row>
    <row r="581" spans="1:13" x14ac:dyDescent="0.25">
      <c r="A581" t="s">
        <v>24</v>
      </c>
      <c r="D581" t="s">
        <v>312</v>
      </c>
      <c r="E581">
        <v>2002</v>
      </c>
      <c r="F581">
        <v>4</v>
      </c>
      <c r="G581">
        <v>5</v>
      </c>
      <c r="H581">
        <v>2</v>
      </c>
      <c r="I581">
        <v>153</v>
      </c>
      <c r="K581" s="13">
        <v>45827</v>
      </c>
      <c r="L581" t="s">
        <v>687</v>
      </c>
    </row>
    <row r="582" spans="1:13" x14ac:dyDescent="0.25">
      <c r="A582" t="s">
        <v>24</v>
      </c>
      <c r="D582" t="s">
        <v>312</v>
      </c>
      <c r="E582">
        <v>2002</v>
      </c>
      <c r="F582">
        <v>4</v>
      </c>
      <c r="G582">
        <v>5</v>
      </c>
      <c r="H582">
        <v>2</v>
      </c>
      <c r="I582">
        <v>153</v>
      </c>
      <c r="K582" s="13">
        <v>45827</v>
      </c>
      <c r="L582" t="s">
        <v>688</v>
      </c>
    </row>
    <row r="583" spans="1:13" x14ac:dyDescent="0.25">
      <c r="A583" t="s">
        <v>24</v>
      </c>
      <c r="D583" t="s">
        <v>312</v>
      </c>
      <c r="E583">
        <v>2002</v>
      </c>
      <c r="F583">
        <v>4</v>
      </c>
      <c r="G583">
        <v>5</v>
      </c>
      <c r="H583">
        <v>2</v>
      </c>
      <c r="I583">
        <v>153</v>
      </c>
      <c r="K583" s="13">
        <v>45827</v>
      </c>
      <c r="L583" t="s">
        <v>689</v>
      </c>
    </row>
    <row r="584" spans="1:13" x14ac:dyDescent="0.25">
      <c r="A584" t="s">
        <v>24</v>
      </c>
      <c r="D584" t="s">
        <v>312</v>
      </c>
      <c r="E584">
        <v>2002</v>
      </c>
      <c r="F584">
        <v>4</v>
      </c>
      <c r="G584">
        <v>5</v>
      </c>
      <c r="H584">
        <v>2</v>
      </c>
      <c r="I584">
        <v>153</v>
      </c>
      <c r="K584" s="13">
        <v>45859</v>
      </c>
      <c r="L584" t="s">
        <v>687</v>
      </c>
    </row>
    <row r="585" spans="1:13" x14ac:dyDescent="0.25">
      <c r="A585" t="s">
        <v>24</v>
      </c>
      <c r="D585" t="s">
        <v>312</v>
      </c>
      <c r="E585">
        <v>2002</v>
      </c>
      <c r="F585">
        <v>4</v>
      </c>
      <c r="G585">
        <v>5</v>
      </c>
      <c r="H585">
        <v>2</v>
      </c>
      <c r="I585">
        <v>153</v>
      </c>
      <c r="K585" s="13">
        <v>45859</v>
      </c>
      <c r="L585" t="s">
        <v>688</v>
      </c>
    </row>
    <row r="586" spans="1:13" x14ac:dyDescent="0.25">
      <c r="A586" t="s">
        <v>24</v>
      </c>
      <c r="D586" t="s">
        <v>312</v>
      </c>
      <c r="E586">
        <v>2002</v>
      </c>
      <c r="F586">
        <v>4</v>
      </c>
      <c r="G586">
        <v>5</v>
      </c>
      <c r="H586">
        <v>2</v>
      </c>
      <c r="I586">
        <v>153</v>
      </c>
      <c r="K586" s="13">
        <v>45859</v>
      </c>
      <c r="L586" t="s">
        <v>689</v>
      </c>
    </row>
    <row r="587" spans="1:13" x14ac:dyDescent="0.25">
      <c r="A587" t="s">
        <v>24</v>
      </c>
      <c r="D587" t="s">
        <v>312</v>
      </c>
      <c r="E587">
        <v>2002</v>
      </c>
      <c r="F587">
        <v>4</v>
      </c>
      <c r="G587">
        <v>5</v>
      </c>
      <c r="H587">
        <v>2</v>
      </c>
      <c r="I587">
        <v>153</v>
      </c>
      <c r="K587" s="13">
        <v>45868</v>
      </c>
      <c r="L587" t="s">
        <v>687</v>
      </c>
      <c r="M587">
        <v>8.6</v>
      </c>
    </row>
    <row r="588" spans="1:13" x14ac:dyDescent="0.25">
      <c r="A588" t="s">
        <v>24</v>
      </c>
      <c r="D588" t="s">
        <v>312</v>
      </c>
      <c r="E588">
        <v>2002</v>
      </c>
      <c r="F588">
        <v>4</v>
      </c>
      <c r="G588">
        <v>5</v>
      </c>
      <c r="H588">
        <v>2</v>
      </c>
      <c r="I588">
        <v>153</v>
      </c>
      <c r="K588" s="13">
        <v>45868</v>
      </c>
      <c r="L588" t="s">
        <v>688</v>
      </c>
      <c r="M588">
        <v>8.6999999999999993</v>
      </c>
    </row>
    <row r="589" spans="1:13" x14ac:dyDescent="0.25">
      <c r="A589" t="s">
        <v>24</v>
      </c>
      <c r="D589" t="s">
        <v>312</v>
      </c>
      <c r="E589">
        <v>2002</v>
      </c>
      <c r="F589">
        <v>4</v>
      </c>
      <c r="G589">
        <v>5</v>
      </c>
      <c r="H589">
        <v>2</v>
      </c>
      <c r="I589">
        <v>153</v>
      </c>
      <c r="K589" s="13">
        <v>45868</v>
      </c>
      <c r="L589" t="s">
        <v>689</v>
      </c>
      <c r="M589">
        <v>8.5</v>
      </c>
    </row>
    <row r="590" spans="1:13" x14ac:dyDescent="0.25">
      <c r="A590" t="s">
        <v>24</v>
      </c>
      <c r="D590" t="s">
        <v>312</v>
      </c>
      <c r="E590">
        <v>2002</v>
      </c>
      <c r="F590">
        <v>4</v>
      </c>
      <c r="G590">
        <v>5</v>
      </c>
      <c r="H590">
        <v>2</v>
      </c>
      <c r="I590">
        <v>153</v>
      </c>
      <c r="K590" s="13">
        <v>45875</v>
      </c>
      <c r="L590" t="s">
        <v>687</v>
      </c>
      <c r="M590">
        <v>9.1999999999999993</v>
      </c>
    </row>
    <row r="591" spans="1:13" x14ac:dyDescent="0.25">
      <c r="A591" t="s">
        <v>24</v>
      </c>
      <c r="D591" t="s">
        <v>312</v>
      </c>
      <c r="E591">
        <v>2002</v>
      </c>
      <c r="F591">
        <v>4</v>
      </c>
      <c r="G591">
        <v>5</v>
      </c>
      <c r="H591">
        <v>2</v>
      </c>
      <c r="I591">
        <v>153</v>
      </c>
      <c r="K591" s="13">
        <v>45875</v>
      </c>
      <c r="L591" t="s">
        <v>688</v>
      </c>
      <c r="M591">
        <v>8.9</v>
      </c>
    </row>
    <row r="592" spans="1:13" x14ac:dyDescent="0.25">
      <c r="A592" t="s">
        <v>24</v>
      </c>
      <c r="D592" t="s">
        <v>312</v>
      </c>
      <c r="E592">
        <v>2002</v>
      </c>
      <c r="F592">
        <v>4</v>
      </c>
      <c r="G592">
        <v>5</v>
      </c>
      <c r="H592">
        <v>2</v>
      </c>
      <c r="I592">
        <v>153</v>
      </c>
      <c r="K592" s="13">
        <v>45875</v>
      </c>
      <c r="L592" t="s">
        <v>689</v>
      </c>
      <c r="M592">
        <v>9.1999999999999993</v>
      </c>
    </row>
    <row r="593" spans="1:13" x14ac:dyDescent="0.25">
      <c r="A593" t="s">
        <v>24</v>
      </c>
      <c r="D593" t="s">
        <v>312</v>
      </c>
      <c r="E593">
        <v>2002</v>
      </c>
      <c r="F593">
        <v>4</v>
      </c>
      <c r="G593">
        <v>5</v>
      </c>
      <c r="H593">
        <v>2</v>
      </c>
      <c r="I593">
        <v>153</v>
      </c>
      <c r="K593" s="13">
        <v>45880</v>
      </c>
      <c r="L593" t="s">
        <v>687</v>
      </c>
    </row>
    <row r="594" spans="1:13" x14ac:dyDescent="0.25">
      <c r="A594" t="s">
        <v>24</v>
      </c>
      <c r="D594" t="s">
        <v>312</v>
      </c>
      <c r="E594">
        <v>2002</v>
      </c>
      <c r="F594">
        <v>4</v>
      </c>
      <c r="G594">
        <v>5</v>
      </c>
      <c r="H594">
        <v>2</v>
      </c>
      <c r="I594">
        <v>153</v>
      </c>
      <c r="K594" s="13">
        <v>45880</v>
      </c>
      <c r="L594" t="s">
        <v>688</v>
      </c>
    </row>
    <row r="595" spans="1:13" x14ac:dyDescent="0.25">
      <c r="A595" t="s">
        <v>24</v>
      </c>
      <c r="D595" t="s">
        <v>312</v>
      </c>
      <c r="E595">
        <v>2002</v>
      </c>
      <c r="F595">
        <v>4</v>
      </c>
      <c r="G595">
        <v>5</v>
      </c>
      <c r="H595">
        <v>2</v>
      </c>
      <c r="I595">
        <v>153</v>
      </c>
      <c r="K595" s="13">
        <v>45880</v>
      </c>
      <c r="L595" t="s">
        <v>689</v>
      </c>
    </row>
    <row r="596" spans="1:13" x14ac:dyDescent="0.25">
      <c r="A596" t="s">
        <v>24</v>
      </c>
      <c r="D596" t="s">
        <v>312</v>
      </c>
      <c r="E596">
        <v>2002</v>
      </c>
      <c r="F596">
        <v>4</v>
      </c>
      <c r="G596">
        <v>5</v>
      </c>
      <c r="H596">
        <v>2</v>
      </c>
      <c r="I596">
        <v>153</v>
      </c>
      <c r="K596" s="13">
        <v>45897</v>
      </c>
      <c r="L596" t="s">
        <v>687</v>
      </c>
      <c r="M596">
        <v>10.9</v>
      </c>
    </row>
    <row r="597" spans="1:13" x14ac:dyDescent="0.25">
      <c r="A597" t="s">
        <v>24</v>
      </c>
      <c r="D597" t="s">
        <v>312</v>
      </c>
      <c r="E597">
        <v>2002</v>
      </c>
      <c r="F597">
        <v>4</v>
      </c>
      <c r="G597">
        <v>5</v>
      </c>
      <c r="H597">
        <v>2</v>
      </c>
      <c r="I597">
        <v>153</v>
      </c>
      <c r="K597" s="13">
        <v>45897</v>
      </c>
      <c r="L597" t="s">
        <v>688</v>
      </c>
      <c r="M597">
        <v>10.7</v>
      </c>
    </row>
    <row r="598" spans="1:13" x14ac:dyDescent="0.25">
      <c r="A598" t="s">
        <v>24</v>
      </c>
      <c r="D598" t="s">
        <v>312</v>
      </c>
      <c r="E598">
        <v>2002</v>
      </c>
      <c r="F598">
        <v>4</v>
      </c>
      <c r="G598">
        <v>5</v>
      </c>
      <c r="H598">
        <v>2</v>
      </c>
      <c r="I598">
        <v>153</v>
      </c>
      <c r="K598" s="13">
        <v>45897</v>
      </c>
      <c r="L598" t="s">
        <v>689</v>
      </c>
      <c r="M598">
        <v>11.2</v>
      </c>
    </row>
    <row r="599" spans="1:13" x14ac:dyDescent="0.25">
      <c r="A599" t="s">
        <v>24</v>
      </c>
      <c r="D599" t="s">
        <v>312</v>
      </c>
      <c r="E599">
        <v>2002</v>
      </c>
      <c r="F599">
        <v>4</v>
      </c>
      <c r="G599">
        <v>5</v>
      </c>
      <c r="H599">
        <v>2</v>
      </c>
      <c r="I599">
        <v>153</v>
      </c>
      <c r="K599" s="13">
        <v>45911</v>
      </c>
      <c r="L599" t="s">
        <v>687</v>
      </c>
      <c r="M599">
        <v>12.2</v>
      </c>
    </row>
    <row r="600" spans="1:13" x14ac:dyDescent="0.25">
      <c r="A600" t="s">
        <v>24</v>
      </c>
      <c r="D600" t="s">
        <v>312</v>
      </c>
      <c r="E600">
        <v>2002</v>
      </c>
      <c r="F600">
        <v>4</v>
      </c>
      <c r="G600">
        <v>5</v>
      </c>
      <c r="H600">
        <v>2</v>
      </c>
      <c r="I600">
        <v>153</v>
      </c>
      <c r="K600" s="13">
        <v>45911</v>
      </c>
      <c r="L600" t="s">
        <v>688</v>
      </c>
      <c r="M600">
        <v>11.6</v>
      </c>
    </row>
    <row r="601" spans="1:13" x14ac:dyDescent="0.25">
      <c r="A601" t="s">
        <v>24</v>
      </c>
      <c r="D601" t="s">
        <v>312</v>
      </c>
      <c r="E601">
        <v>2002</v>
      </c>
      <c r="F601">
        <v>4</v>
      </c>
      <c r="G601">
        <v>5</v>
      </c>
      <c r="H601">
        <v>2</v>
      </c>
      <c r="I601">
        <v>153</v>
      </c>
      <c r="K601" s="13">
        <v>45911</v>
      </c>
      <c r="L601" t="s">
        <v>689</v>
      </c>
      <c r="M601">
        <v>11.9</v>
      </c>
    </row>
    <row r="602" spans="1:13" x14ac:dyDescent="0.25">
      <c r="A602" t="s">
        <v>24</v>
      </c>
      <c r="D602" t="s">
        <v>311</v>
      </c>
      <c r="E602">
        <v>2023</v>
      </c>
      <c r="F602">
        <v>1</v>
      </c>
      <c r="G602">
        <v>6</v>
      </c>
      <c r="H602">
        <v>2</v>
      </c>
      <c r="I602">
        <v>106</v>
      </c>
      <c r="K602" s="13">
        <v>45796</v>
      </c>
      <c r="L602" t="s">
        <v>687</v>
      </c>
      <c r="M602">
        <v>5.0999999999999996</v>
      </c>
    </row>
    <row r="603" spans="1:13" x14ac:dyDescent="0.25">
      <c r="A603" t="s">
        <v>24</v>
      </c>
      <c r="D603" t="s">
        <v>311</v>
      </c>
      <c r="E603">
        <v>2023</v>
      </c>
      <c r="F603">
        <v>1</v>
      </c>
      <c r="G603">
        <v>6</v>
      </c>
      <c r="H603">
        <v>2</v>
      </c>
      <c r="I603">
        <v>106</v>
      </c>
      <c r="K603" s="13">
        <v>45796</v>
      </c>
      <c r="L603" t="s">
        <v>688</v>
      </c>
      <c r="M603">
        <v>5.0999999999999996</v>
      </c>
    </row>
    <row r="604" spans="1:13" x14ac:dyDescent="0.25">
      <c r="A604" t="s">
        <v>24</v>
      </c>
      <c r="D604" t="s">
        <v>311</v>
      </c>
      <c r="E604">
        <v>2023</v>
      </c>
      <c r="F604">
        <v>1</v>
      </c>
      <c r="G604">
        <v>6</v>
      </c>
      <c r="H604">
        <v>2</v>
      </c>
      <c r="I604">
        <v>106</v>
      </c>
      <c r="K604" s="13">
        <v>45796</v>
      </c>
      <c r="L604" t="s">
        <v>689</v>
      </c>
      <c r="M604">
        <v>4.8</v>
      </c>
    </row>
    <row r="605" spans="1:13" x14ac:dyDescent="0.25">
      <c r="A605" t="s">
        <v>24</v>
      </c>
      <c r="D605" t="s">
        <v>311</v>
      </c>
      <c r="E605">
        <v>2023</v>
      </c>
      <c r="F605">
        <v>1</v>
      </c>
      <c r="G605">
        <v>6</v>
      </c>
      <c r="H605">
        <v>2</v>
      </c>
      <c r="I605">
        <v>106</v>
      </c>
      <c r="K605" s="13">
        <v>45820</v>
      </c>
      <c r="L605" t="s">
        <v>687</v>
      </c>
    </row>
    <row r="606" spans="1:13" x14ac:dyDescent="0.25">
      <c r="A606" t="s">
        <v>24</v>
      </c>
      <c r="D606" t="s">
        <v>311</v>
      </c>
      <c r="E606">
        <v>2023</v>
      </c>
      <c r="F606">
        <v>1</v>
      </c>
      <c r="G606">
        <v>6</v>
      </c>
      <c r="H606">
        <v>2</v>
      </c>
      <c r="I606">
        <v>106</v>
      </c>
      <c r="K606" s="13">
        <v>45820</v>
      </c>
      <c r="L606" t="s">
        <v>688</v>
      </c>
    </row>
    <row r="607" spans="1:13" x14ac:dyDescent="0.25">
      <c r="A607" t="s">
        <v>24</v>
      </c>
      <c r="D607" t="s">
        <v>311</v>
      </c>
      <c r="E607">
        <v>2023</v>
      </c>
      <c r="F607">
        <v>1</v>
      </c>
      <c r="G607">
        <v>6</v>
      </c>
      <c r="H607">
        <v>2</v>
      </c>
      <c r="I607">
        <v>106</v>
      </c>
      <c r="K607" s="13">
        <v>45820</v>
      </c>
      <c r="L607" t="s">
        <v>689</v>
      </c>
    </row>
    <row r="608" spans="1:13" x14ac:dyDescent="0.25">
      <c r="A608" t="s">
        <v>24</v>
      </c>
      <c r="D608" t="s">
        <v>311</v>
      </c>
      <c r="E608">
        <v>2023</v>
      </c>
      <c r="F608">
        <v>1</v>
      </c>
      <c r="G608">
        <v>6</v>
      </c>
      <c r="H608">
        <v>2</v>
      </c>
      <c r="I608">
        <v>106</v>
      </c>
      <c r="K608" s="13">
        <v>45825</v>
      </c>
      <c r="L608" t="s">
        <v>687</v>
      </c>
      <c r="M608">
        <v>6.6</v>
      </c>
    </row>
    <row r="609" spans="1:13" x14ac:dyDescent="0.25">
      <c r="A609" t="s">
        <v>24</v>
      </c>
      <c r="D609" t="s">
        <v>311</v>
      </c>
      <c r="E609">
        <v>2023</v>
      </c>
      <c r="F609">
        <v>1</v>
      </c>
      <c r="G609">
        <v>6</v>
      </c>
      <c r="H609">
        <v>2</v>
      </c>
      <c r="I609">
        <v>106</v>
      </c>
      <c r="K609" s="13">
        <v>45825</v>
      </c>
      <c r="L609" t="s">
        <v>688</v>
      </c>
      <c r="M609">
        <v>6.6</v>
      </c>
    </row>
    <row r="610" spans="1:13" x14ac:dyDescent="0.25">
      <c r="A610" t="s">
        <v>24</v>
      </c>
      <c r="D610" t="s">
        <v>311</v>
      </c>
      <c r="E610">
        <v>2023</v>
      </c>
      <c r="F610">
        <v>1</v>
      </c>
      <c r="G610">
        <v>6</v>
      </c>
      <c r="H610">
        <v>2</v>
      </c>
      <c r="I610">
        <v>106</v>
      </c>
      <c r="K610" s="13">
        <v>45825</v>
      </c>
      <c r="L610" t="s">
        <v>689</v>
      </c>
      <c r="M610">
        <v>6.3</v>
      </c>
    </row>
    <row r="611" spans="1:13" x14ac:dyDescent="0.25">
      <c r="A611" t="s">
        <v>24</v>
      </c>
      <c r="D611" t="s">
        <v>311</v>
      </c>
      <c r="E611">
        <v>2023</v>
      </c>
      <c r="F611">
        <v>1</v>
      </c>
      <c r="G611">
        <v>6</v>
      </c>
      <c r="H611">
        <v>2</v>
      </c>
      <c r="I611">
        <v>106</v>
      </c>
      <c r="K611" s="13">
        <v>45827</v>
      </c>
      <c r="L611" t="s">
        <v>687</v>
      </c>
    </row>
    <row r="612" spans="1:13" x14ac:dyDescent="0.25">
      <c r="A612" t="s">
        <v>24</v>
      </c>
      <c r="D612" t="s">
        <v>311</v>
      </c>
      <c r="E612">
        <v>2023</v>
      </c>
      <c r="F612">
        <v>1</v>
      </c>
      <c r="G612">
        <v>6</v>
      </c>
      <c r="H612">
        <v>2</v>
      </c>
      <c r="I612">
        <v>106</v>
      </c>
      <c r="K612" s="13">
        <v>45827</v>
      </c>
      <c r="L612" t="s">
        <v>688</v>
      </c>
    </row>
    <row r="613" spans="1:13" x14ac:dyDescent="0.25">
      <c r="A613" t="s">
        <v>24</v>
      </c>
      <c r="D613" t="s">
        <v>311</v>
      </c>
      <c r="E613">
        <v>2023</v>
      </c>
      <c r="F613">
        <v>1</v>
      </c>
      <c r="G613">
        <v>6</v>
      </c>
      <c r="H613">
        <v>2</v>
      </c>
      <c r="I613">
        <v>106</v>
      </c>
      <c r="K613" s="13">
        <v>45827</v>
      </c>
      <c r="L613" t="s">
        <v>689</v>
      </c>
    </row>
    <row r="614" spans="1:13" x14ac:dyDescent="0.25">
      <c r="A614" t="s">
        <v>24</v>
      </c>
      <c r="D614" t="s">
        <v>311</v>
      </c>
      <c r="E614">
        <v>2023</v>
      </c>
      <c r="F614">
        <v>1</v>
      </c>
      <c r="G614">
        <v>6</v>
      </c>
      <c r="H614">
        <v>2</v>
      </c>
      <c r="I614">
        <v>106</v>
      </c>
      <c r="K614" s="13">
        <v>45859</v>
      </c>
      <c r="L614" t="s">
        <v>687</v>
      </c>
    </row>
    <row r="615" spans="1:13" x14ac:dyDescent="0.25">
      <c r="A615" t="s">
        <v>24</v>
      </c>
      <c r="D615" t="s">
        <v>311</v>
      </c>
      <c r="E615">
        <v>2023</v>
      </c>
      <c r="F615">
        <v>1</v>
      </c>
      <c r="G615">
        <v>6</v>
      </c>
      <c r="H615">
        <v>2</v>
      </c>
      <c r="I615">
        <v>106</v>
      </c>
      <c r="K615" s="13">
        <v>45859</v>
      </c>
      <c r="L615" t="s">
        <v>688</v>
      </c>
    </row>
    <row r="616" spans="1:13" x14ac:dyDescent="0.25">
      <c r="A616" t="s">
        <v>24</v>
      </c>
      <c r="D616" t="s">
        <v>311</v>
      </c>
      <c r="E616">
        <v>2023</v>
      </c>
      <c r="F616">
        <v>1</v>
      </c>
      <c r="G616">
        <v>6</v>
      </c>
      <c r="H616">
        <v>2</v>
      </c>
      <c r="I616">
        <v>106</v>
      </c>
      <c r="K616" s="13">
        <v>45859</v>
      </c>
      <c r="L616" t="s">
        <v>689</v>
      </c>
    </row>
    <row r="617" spans="1:13" x14ac:dyDescent="0.25">
      <c r="A617" t="s">
        <v>24</v>
      </c>
      <c r="D617" t="s">
        <v>311</v>
      </c>
      <c r="E617">
        <v>2023</v>
      </c>
      <c r="F617">
        <v>1</v>
      </c>
      <c r="G617">
        <v>6</v>
      </c>
      <c r="H617">
        <v>2</v>
      </c>
      <c r="I617">
        <v>106</v>
      </c>
      <c r="K617" s="13">
        <v>45868</v>
      </c>
      <c r="L617" t="s">
        <v>687</v>
      </c>
      <c r="M617">
        <v>9.4</v>
      </c>
    </row>
    <row r="618" spans="1:13" x14ac:dyDescent="0.25">
      <c r="A618" t="s">
        <v>24</v>
      </c>
      <c r="D618" t="s">
        <v>311</v>
      </c>
      <c r="E618">
        <v>2023</v>
      </c>
      <c r="F618">
        <v>1</v>
      </c>
      <c r="G618">
        <v>6</v>
      </c>
      <c r="H618">
        <v>2</v>
      </c>
      <c r="I618">
        <v>106</v>
      </c>
      <c r="K618" s="13">
        <v>45868</v>
      </c>
      <c r="L618" t="s">
        <v>688</v>
      </c>
      <c r="M618">
        <v>9.6</v>
      </c>
    </row>
    <row r="619" spans="1:13" x14ac:dyDescent="0.25">
      <c r="A619" t="s">
        <v>24</v>
      </c>
      <c r="D619" t="s">
        <v>311</v>
      </c>
      <c r="E619">
        <v>2023</v>
      </c>
      <c r="F619">
        <v>1</v>
      </c>
      <c r="G619">
        <v>6</v>
      </c>
      <c r="H619">
        <v>2</v>
      </c>
      <c r="I619">
        <v>106</v>
      </c>
      <c r="K619" s="13">
        <v>45868</v>
      </c>
      <c r="L619" t="s">
        <v>689</v>
      </c>
    </row>
    <row r="620" spans="1:13" x14ac:dyDescent="0.25">
      <c r="A620" t="s">
        <v>24</v>
      </c>
      <c r="D620" t="s">
        <v>311</v>
      </c>
      <c r="E620">
        <v>2023</v>
      </c>
      <c r="F620">
        <v>1</v>
      </c>
      <c r="G620">
        <v>6</v>
      </c>
      <c r="H620">
        <v>2</v>
      </c>
      <c r="I620">
        <v>106</v>
      </c>
      <c r="K620" s="13">
        <v>45875</v>
      </c>
      <c r="L620" t="s">
        <v>687</v>
      </c>
      <c r="M620">
        <v>10.4</v>
      </c>
    </row>
    <row r="621" spans="1:13" x14ac:dyDescent="0.25">
      <c r="A621" t="s">
        <v>24</v>
      </c>
      <c r="D621" t="s">
        <v>311</v>
      </c>
      <c r="E621">
        <v>2023</v>
      </c>
      <c r="F621">
        <v>1</v>
      </c>
      <c r="G621">
        <v>6</v>
      </c>
      <c r="H621">
        <v>2</v>
      </c>
      <c r="I621">
        <v>106</v>
      </c>
      <c r="K621" s="13">
        <v>45875</v>
      </c>
      <c r="L621" t="s">
        <v>688</v>
      </c>
      <c r="M621">
        <v>10.5</v>
      </c>
    </row>
    <row r="622" spans="1:13" x14ac:dyDescent="0.25">
      <c r="A622" t="s">
        <v>24</v>
      </c>
      <c r="D622" t="s">
        <v>311</v>
      </c>
      <c r="E622">
        <v>2023</v>
      </c>
      <c r="F622">
        <v>1</v>
      </c>
      <c r="G622">
        <v>6</v>
      </c>
      <c r="H622">
        <v>2</v>
      </c>
      <c r="I622">
        <v>106</v>
      </c>
      <c r="K622" s="13">
        <v>45875</v>
      </c>
      <c r="L622" t="s">
        <v>689</v>
      </c>
      <c r="M622">
        <v>9.5</v>
      </c>
    </row>
    <row r="623" spans="1:13" x14ac:dyDescent="0.25">
      <c r="A623" t="s">
        <v>24</v>
      </c>
      <c r="D623" t="s">
        <v>311</v>
      </c>
      <c r="E623">
        <v>2023</v>
      </c>
      <c r="F623">
        <v>1</v>
      </c>
      <c r="G623">
        <v>6</v>
      </c>
      <c r="H623">
        <v>2</v>
      </c>
      <c r="I623">
        <v>106</v>
      </c>
      <c r="K623" s="13">
        <v>45880</v>
      </c>
      <c r="L623" t="s">
        <v>687</v>
      </c>
    </row>
    <row r="624" spans="1:13" x14ac:dyDescent="0.25">
      <c r="A624" t="s">
        <v>24</v>
      </c>
      <c r="D624" t="s">
        <v>311</v>
      </c>
      <c r="E624">
        <v>2023</v>
      </c>
      <c r="F624">
        <v>1</v>
      </c>
      <c r="G624">
        <v>6</v>
      </c>
      <c r="H624">
        <v>2</v>
      </c>
      <c r="I624">
        <v>106</v>
      </c>
      <c r="K624" s="13">
        <v>45880</v>
      </c>
      <c r="L624" t="s">
        <v>688</v>
      </c>
    </row>
    <row r="625" spans="1:13" x14ac:dyDescent="0.25">
      <c r="A625" t="s">
        <v>24</v>
      </c>
      <c r="D625" t="s">
        <v>311</v>
      </c>
      <c r="E625">
        <v>2023</v>
      </c>
      <c r="F625">
        <v>1</v>
      </c>
      <c r="G625">
        <v>6</v>
      </c>
      <c r="H625">
        <v>2</v>
      </c>
      <c r="I625">
        <v>106</v>
      </c>
      <c r="K625" s="13">
        <v>45880</v>
      </c>
      <c r="L625" t="s">
        <v>689</v>
      </c>
    </row>
    <row r="626" spans="1:13" x14ac:dyDescent="0.25">
      <c r="A626" t="s">
        <v>24</v>
      </c>
      <c r="D626" t="s">
        <v>311</v>
      </c>
      <c r="E626">
        <v>2023</v>
      </c>
      <c r="F626">
        <v>1</v>
      </c>
      <c r="G626">
        <v>6</v>
      </c>
      <c r="H626">
        <v>2</v>
      </c>
      <c r="I626">
        <v>106</v>
      </c>
      <c r="K626" s="13">
        <v>45897</v>
      </c>
      <c r="L626" t="s">
        <v>687</v>
      </c>
      <c r="M626">
        <v>12.3</v>
      </c>
    </row>
    <row r="627" spans="1:13" x14ac:dyDescent="0.25">
      <c r="A627" t="s">
        <v>24</v>
      </c>
      <c r="D627" t="s">
        <v>311</v>
      </c>
      <c r="E627">
        <v>2023</v>
      </c>
      <c r="F627">
        <v>1</v>
      </c>
      <c r="G627">
        <v>6</v>
      </c>
      <c r="H627">
        <v>2</v>
      </c>
      <c r="I627">
        <v>106</v>
      </c>
      <c r="K627" s="13">
        <v>45897</v>
      </c>
      <c r="L627" t="s">
        <v>688</v>
      </c>
      <c r="M627">
        <v>12.3</v>
      </c>
    </row>
    <row r="628" spans="1:13" x14ac:dyDescent="0.25">
      <c r="A628" t="s">
        <v>24</v>
      </c>
      <c r="D628" t="s">
        <v>311</v>
      </c>
      <c r="E628">
        <v>2023</v>
      </c>
      <c r="F628">
        <v>1</v>
      </c>
      <c r="G628">
        <v>6</v>
      </c>
      <c r="H628">
        <v>2</v>
      </c>
      <c r="I628">
        <v>106</v>
      </c>
      <c r="K628" s="13">
        <v>45897</v>
      </c>
      <c r="L628" t="s">
        <v>689</v>
      </c>
    </row>
    <row r="629" spans="1:13" x14ac:dyDescent="0.25">
      <c r="A629" t="s">
        <v>24</v>
      </c>
      <c r="D629" t="s">
        <v>311</v>
      </c>
      <c r="E629">
        <v>2023</v>
      </c>
      <c r="F629">
        <v>1</v>
      </c>
      <c r="G629">
        <v>6</v>
      </c>
      <c r="H629">
        <v>2</v>
      </c>
      <c r="I629">
        <v>106</v>
      </c>
      <c r="K629" s="13">
        <v>45911</v>
      </c>
      <c r="L629" t="s">
        <v>687</v>
      </c>
      <c r="M629">
        <v>13</v>
      </c>
    </row>
    <row r="630" spans="1:13" x14ac:dyDescent="0.25">
      <c r="A630" t="s">
        <v>24</v>
      </c>
      <c r="D630" t="s">
        <v>311</v>
      </c>
      <c r="E630">
        <v>2023</v>
      </c>
      <c r="F630">
        <v>1</v>
      </c>
      <c r="G630">
        <v>6</v>
      </c>
      <c r="H630">
        <v>2</v>
      </c>
      <c r="I630">
        <v>106</v>
      </c>
      <c r="K630" s="13">
        <v>45911</v>
      </c>
      <c r="L630" t="s">
        <v>688</v>
      </c>
      <c r="M630">
        <v>13</v>
      </c>
    </row>
    <row r="631" spans="1:13" x14ac:dyDescent="0.25">
      <c r="A631" t="s">
        <v>24</v>
      </c>
      <c r="D631" t="s">
        <v>311</v>
      </c>
      <c r="E631">
        <v>2023</v>
      </c>
      <c r="F631">
        <v>1</v>
      </c>
      <c r="G631">
        <v>6</v>
      </c>
      <c r="H631">
        <v>2</v>
      </c>
      <c r="I631">
        <v>106</v>
      </c>
      <c r="K631" s="13">
        <v>45911</v>
      </c>
      <c r="L631" t="s">
        <v>689</v>
      </c>
    </row>
    <row r="632" spans="1:13" x14ac:dyDescent="0.25">
      <c r="A632" t="s">
        <v>24</v>
      </c>
      <c r="D632" t="s">
        <v>28</v>
      </c>
      <c r="E632">
        <v>1998</v>
      </c>
      <c r="F632">
        <v>2</v>
      </c>
      <c r="G632">
        <v>6</v>
      </c>
      <c r="H632">
        <v>2</v>
      </c>
      <c r="I632">
        <v>122</v>
      </c>
      <c r="K632" s="13">
        <v>45796</v>
      </c>
      <c r="L632" t="s">
        <v>687</v>
      </c>
      <c r="M632">
        <v>4.4000000000000004</v>
      </c>
    </row>
    <row r="633" spans="1:13" x14ac:dyDescent="0.25">
      <c r="A633" t="s">
        <v>24</v>
      </c>
      <c r="D633" t="s">
        <v>28</v>
      </c>
      <c r="E633">
        <v>1998</v>
      </c>
      <c r="F633">
        <v>2</v>
      </c>
      <c r="G633">
        <v>6</v>
      </c>
      <c r="H633">
        <v>2</v>
      </c>
      <c r="I633">
        <v>122</v>
      </c>
      <c r="K633" s="13">
        <v>45796</v>
      </c>
      <c r="L633" t="s">
        <v>688</v>
      </c>
      <c r="M633">
        <v>5.3</v>
      </c>
    </row>
    <row r="634" spans="1:13" x14ac:dyDescent="0.25">
      <c r="A634" t="s">
        <v>24</v>
      </c>
      <c r="D634" t="s">
        <v>28</v>
      </c>
      <c r="E634">
        <v>1998</v>
      </c>
      <c r="F634">
        <v>2</v>
      </c>
      <c r="G634">
        <v>6</v>
      </c>
      <c r="H634">
        <v>2</v>
      </c>
      <c r="I634">
        <v>122</v>
      </c>
      <c r="K634" s="13">
        <v>45796</v>
      </c>
      <c r="L634" t="s">
        <v>689</v>
      </c>
      <c r="M634">
        <v>4.3</v>
      </c>
    </row>
    <row r="635" spans="1:13" x14ac:dyDescent="0.25">
      <c r="A635" t="s">
        <v>24</v>
      </c>
      <c r="D635" t="s">
        <v>28</v>
      </c>
      <c r="E635">
        <v>1998</v>
      </c>
      <c r="F635">
        <v>2</v>
      </c>
      <c r="G635">
        <v>6</v>
      </c>
      <c r="H635">
        <v>2</v>
      </c>
      <c r="I635">
        <v>122</v>
      </c>
      <c r="K635" s="13">
        <v>45820</v>
      </c>
      <c r="L635" t="s">
        <v>687</v>
      </c>
    </row>
    <row r="636" spans="1:13" x14ac:dyDescent="0.25">
      <c r="A636" t="s">
        <v>24</v>
      </c>
      <c r="D636" t="s">
        <v>28</v>
      </c>
      <c r="E636">
        <v>1998</v>
      </c>
      <c r="F636">
        <v>2</v>
      </c>
      <c r="G636">
        <v>6</v>
      </c>
      <c r="H636">
        <v>2</v>
      </c>
      <c r="I636">
        <v>122</v>
      </c>
      <c r="K636" s="13">
        <v>45820</v>
      </c>
      <c r="L636" t="s">
        <v>688</v>
      </c>
    </row>
    <row r="637" spans="1:13" x14ac:dyDescent="0.25">
      <c r="A637" t="s">
        <v>24</v>
      </c>
      <c r="D637" t="s">
        <v>28</v>
      </c>
      <c r="E637">
        <v>1998</v>
      </c>
      <c r="F637">
        <v>2</v>
      </c>
      <c r="G637">
        <v>6</v>
      </c>
      <c r="H637">
        <v>2</v>
      </c>
      <c r="I637">
        <v>122</v>
      </c>
      <c r="K637" s="13">
        <v>45820</v>
      </c>
      <c r="L637" t="s">
        <v>689</v>
      </c>
    </row>
    <row r="638" spans="1:13" x14ac:dyDescent="0.25">
      <c r="A638" t="s">
        <v>24</v>
      </c>
      <c r="D638" t="s">
        <v>28</v>
      </c>
      <c r="E638">
        <v>1998</v>
      </c>
      <c r="F638">
        <v>2</v>
      </c>
      <c r="G638">
        <v>6</v>
      </c>
      <c r="H638">
        <v>2</v>
      </c>
      <c r="I638">
        <v>122</v>
      </c>
      <c r="K638" s="13">
        <v>45825</v>
      </c>
      <c r="L638" t="s">
        <v>687</v>
      </c>
      <c r="M638">
        <v>6.4</v>
      </c>
    </row>
    <row r="639" spans="1:13" x14ac:dyDescent="0.25">
      <c r="A639" t="s">
        <v>24</v>
      </c>
      <c r="D639" t="s">
        <v>28</v>
      </c>
      <c r="E639">
        <v>1998</v>
      </c>
      <c r="F639">
        <v>2</v>
      </c>
      <c r="G639">
        <v>6</v>
      </c>
      <c r="H639">
        <v>2</v>
      </c>
      <c r="I639">
        <v>122</v>
      </c>
      <c r="K639" s="13">
        <v>45825</v>
      </c>
      <c r="L639" t="s">
        <v>688</v>
      </c>
      <c r="M639">
        <v>6.4</v>
      </c>
    </row>
    <row r="640" spans="1:13" x14ac:dyDescent="0.25">
      <c r="A640" t="s">
        <v>24</v>
      </c>
      <c r="D640" t="s">
        <v>28</v>
      </c>
      <c r="E640">
        <v>1998</v>
      </c>
      <c r="F640">
        <v>2</v>
      </c>
      <c r="G640">
        <v>6</v>
      </c>
      <c r="H640">
        <v>2</v>
      </c>
      <c r="I640">
        <v>122</v>
      </c>
      <c r="K640" s="13">
        <v>45825</v>
      </c>
      <c r="L640" t="s">
        <v>689</v>
      </c>
      <c r="M640">
        <v>6.3</v>
      </c>
    </row>
    <row r="641" spans="1:13" x14ac:dyDescent="0.25">
      <c r="A641" t="s">
        <v>24</v>
      </c>
      <c r="D641" t="s">
        <v>28</v>
      </c>
      <c r="E641">
        <v>1998</v>
      </c>
      <c r="F641">
        <v>2</v>
      </c>
      <c r="G641">
        <v>6</v>
      </c>
      <c r="H641">
        <v>2</v>
      </c>
      <c r="I641">
        <v>122</v>
      </c>
      <c r="K641" s="13">
        <v>45827</v>
      </c>
      <c r="L641" t="s">
        <v>687</v>
      </c>
    </row>
    <row r="642" spans="1:13" x14ac:dyDescent="0.25">
      <c r="A642" t="s">
        <v>24</v>
      </c>
      <c r="D642" t="s">
        <v>28</v>
      </c>
      <c r="E642">
        <v>1998</v>
      </c>
      <c r="F642">
        <v>2</v>
      </c>
      <c r="G642">
        <v>6</v>
      </c>
      <c r="H642">
        <v>2</v>
      </c>
      <c r="I642">
        <v>122</v>
      </c>
      <c r="K642" s="13">
        <v>45827</v>
      </c>
      <c r="L642" t="s">
        <v>688</v>
      </c>
    </row>
    <row r="643" spans="1:13" x14ac:dyDescent="0.25">
      <c r="A643" t="s">
        <v>24</v>
      </c>
      <c r="D643" t="s">
        <v>28</v>
      </c>
      <c r="E643">
        <v>1998</v>
      </c>
      <c r="F643">
        <v>2</v>
      </c>
      <c r="G643">
        <v>6</v>
      </c>
      <c r="H643">
        <v>2</v>
      </c>
      <c r="I643">
        <v>122</v>
      </c>
      <c r="K643" s="13">
        <v>45827</v>
      </c>
      <c r="L643" t="s">
        <v>689</v>
      </c>
    </row>
    <row r="644" spans="1:13" x14ac:dyDescent="0.25">
      <c r="A644" t="s">
        <v>24</v>
      </c>
      <c r="D644" t="s">
        <v>28</v>
      </c>
      <c r="E644">
        <v>1998</v>
      </c>
      <c r="F644">
        <v>2</v>
      </c>
      <c r="G644">
        <v>6</v>
      </c>
      <c r="H644">
        <v>2</v>
      </c>
      <c r="I644">
        <v>122</v>
      </c>
      <c r="K644" s="13">
        <v>45859</v>
      </c>
      <c r="L644" t="s">
        <v>687</v>
      </c>
    </row>
    <row r="645" spans="1:13" x14ac:dyDescent="0.25">
      <c r="A645" t="s">
        <v>24</v>
      </c>
      <c r="D645" t="s">
        <v>28</v>
      </c>
      <c r="E645">
        <v>1998</v>
      </c>
      <c r="F645">
        <v>2</v>
      </c>
      <c r="G645">
        <v>6</v>
      </c>
      <c r="H645">
        <v>2</v>
      </c>
      <c r="I645">
        <v>122</v>
      </c>
      <c r="K645" s="13">
        <v>45859</v>
      </c>
      <c r="L645" t="s">
        <v>688</v>
      </c>
    </row>
    <row r="646" spans="1:13" x14ac:dyDescent="0.25">
      <c r="A646" t="s">
        <v>24</v>
      </c>
      <c r="D646" t="s">
        <v>28</v>
      </c>
      <c r="E646">
        <v>1998</v>
      </c>
      <c r="F646">
        <v>2</v>
      </c>
      <c r="G646">
        <v>6</v>
      </c>
      <c r="H646">
        <v>2</v>
      </c>
      <c r="I646">
        <v>122</v>
      </c>
      <c r="K646" s="13">
        <v>45859</v>
      </c>
      <c r="L646" t="s">
        <v>689</v>
      </c>
    </row>
    <row r="647" spans="1:13" x14ac:dyDescent="0.25">
      <c r="A647" t="s">
        <v>24</v>
      </c>
      <c r="D647" t="s">
        <v>28</v>
      </c>
      <c r="E647">
        <v>1998</v>
      </c>
      <c r="F647">
        <v>2</v>
      </c>
      <c r="G647">
        <v>6</v>
      </c>
      <c r="H647">
        <v>2</v>
      </c>
      <c r="I647">
        <v>122</v>
      </c>
      <c r="K647" s="13">
        <v>45868</v>
      </c>
      <c r="L647" t="s">
        <v>687</v>
      </c>
      <c r="M647">
        <v>9.3000000000000007</v>
      </c>
    </row>
    <row r="648" spans="1:13" x14ac:dyDescent="0.25">
      <c r="A648" t="s">
        <v>24</v>
      </c>
      <c r="D648" t="s">
        <v>28</v>
      </c>
      <c r="E648">
        <v>1998</v>
      </c>
      <c r="F648">
        <v>2</v>
      </c>
      <c r="G648">
        <v>6</v>
      </c>
      <c r="H648">
        <v>2</v>
      </c>
      <c r="I648">
        <v>122</v>
      </c>
      <c r="K648" s="13">
        <v>45868</v>
      </c>
      <c r="L648" t="s">
        <v>688</v>
      </c>
      <c r="M648">
        <v>8.9</v>
      </c>
    </row>
    <row r="649" spans="1:13" x14ac:dyDescent="0.25">
      <c r="A649" t="s">
        <v>24</v>
      </c>
      <c r="D649" t="s">
        <v>28</v>
      </c>
      <c r="E649">
        <v>1998</v>
      </c>
      <c r="F649">
        <v>2</v>
      </c>
      <c r="G649">
        <v>6</v>
      </c>
      <c r="H649">
        <v>2</v>
      </c>
      <c r="I649">
        <v>122</v>
      </c>
      <c r="K649" s="13">
        <v>45868</v>
      </c>
      <c r="L649" t="s">
        <v>689</v>
      </c>
    </row>
    <row r="650" spans="1:13" x14ac:dyDescent="0.25">
      <c r="A650" t="s">
        <v>24</v>
      </c>
      <c r="D650" t="s">
        <v>28</v>
      </c>
      <c r="E650">
        <v>1998</v>
      </c>
      <c r="F650">
        <v>2</v>
      </c>
      <c r="G650">
        <v>6</v>
      </c>
      <c r="H650">
        <v>2</v>
      </c>
      <c r="I650">
        <v>122</v>
      </c>
      <c r="K650" s="13">
        <v>45875</v>
      </c>
      <c r="L650" t="s">
        <v>687</v>
      </c>
      <c r="M650">
        <v>9.6999999999999993</v>
      </c>
    </row>
    <row r="651" spans="1:13" x14ac:dyDescent="0.25">
      <c r="A651" t="s">
        <v>24</v>
      </c>
      <c r="D651" t="s">
        <v>28</v>
      </c>
      <c r="E651">
        <v>1998</v>
      </c>
      <c r="F651">
        <v>2</v>
      </c>
      <c r="G651">
        <v>6</v>
      </c>
      <c r="H651">
        <v>2</v>
      </c>
      <c r="I651">
        <v>122</v>
      </c>
      <c r="K651" s="13">
        <v>45875</v>
      </c>
      <c r="L651" t="s">
        <v>688</v>
      </c>
      <c r="M651">
        <v>9.4</v>
      </c>
    </row>
    <row r="652" spans="1:13" x14ac:dyDescent="0.25">
      <c r="A652" t="s">
        <v>24</v>
      </c>
      <c r="D652" t="s">
        <v>28</v>
      </c>
      <c r="E652">
        <v>1998</v>
      </c>
      <c r="F652">
        <v>2</v>
      </c>
      <c r="G652">
        <v>6</v>
      </c>
      <c r="H652">
        <v>2</v>
      </c>
      <c r="I652">
        <v>122</v>
      </c>
      <c r="K652" s="13">
        <v>45875</v>
      </c>
      <c r="L652" t="s">
        <v>689</v>
      </c>
    </row>
    <row r="653" spans="1:13" x14ac:dyDescent="0.25">
      <c r="A653" t="s">
        <v>24</v>
      </c>
      <c r="D653" t="s">
        <v>28</v>
      </c>
      <c r="E653">
        <v>1998</v>
      </c>
      <c r="F653">
        <v>2</v>
      </c>
      <c r="G653">
        <v>6</v>
      </c>
      <c r="H653">
        <v>2</v>
      </c>
      <c r="I653">
        <v>122</v>
      </c>
      <c r="K653" s="13">
        <v>45880</v>
      </c>
      <c r="L653" t="s">
        <v>687</v>
      </c>
    </row>
    <row r="654" spans="1:13" x14ac:dyDescent="0.25">
      <c r="A654" t="s">
        <v>24</v>
      </c>
      <c r="D654" t="s">
        <v>28</v>
      </c>
      <c r="E654">
        <v>1998</v>
      </c>
      <c r="F654">
        <v>2</v>
      </c>
      <c r="G654">
        <v>6</v>
      </c>
      <c r="H654">
        <v>2</v>
      </c>
      <c r="I654">
        <v>122</v>
      </c>
      <c r="K654" s="13">
        <v>45880</v>
      </c>
      <c r="L654" t="s">
        <v>688</v>
      </c>
    </row>
    <row r="655" spans="1:13" x14ac:dyDescent="0.25">
      <c r="A655" t="s">
        <v>24</v>
      </c>
      <c r="D655" t="s">
        <v>28</v>
      </c>
      <c r="E655">
        <v>1998</v>
      </c>
      <c r="F655">
        <v>2</v>
      </c>
      <c r="G655">
        <v>6</v>
      </c>
      <c r="H655">
        <v>2</v>
      </c>
      <c r="I655">
        <v>122</v>
      </c>
      <c r="K655" s="13">
        <v>45880</v>
      </c>
      <c r="L655" t="s">
        <v>689</v>
      </c>
    </row>
    <row r="656" spans="1:13" x14ac:dyDescent="0.25">
      <c r="A656" t="s">
        <v>24</v>
      </c>
      <c r="D656" t="s">
        <v>28</v>
      </c>
      <c r="E656">
        <v>1998</v>
      </c>
      <c r="F656">
        <v>2</v>
      </c>
      <c r="G656">
        <v>6</v>
      </c>
      <c r="H656">
        <v>2</v>
      </c>
      <c r="I656">
        <v>122</v>
      </c>
      <c r="K656" s="13">
        <v>45897</v>
      </c>
      <c r="L656" t="s">
        <v>687</v>
      </c>
      <c r="M656">
        <v>10.9</v>
      </c>
    </row>
    <row r="657" spans="1:13" x14ac:dyDescent="0.25">
      <c r="A657" t="s">
        <v>24</v>
      </c>
      <c r="D657" t="s">
        <v>28</v>
      </c>
      <c r="E657">
        <v>1998</v>
      </c>
      <c r="F657">
        <v>2</v>
      </c>
      <c r="G657">
        <v>6</v>
      </c>
      <c r="H657">
        <v>2</v>
      </c>
      <c r="I657">
        <v>122</v>
      </c>
      <c r="K657" s="13">
        <v>45897</v>
      </c>
      <c r="L657" t="s">
        <v>688</v>
      </c>
      <c r="M657">
        <v>11.1</v>
      </c>
    </row>
    <row r="658" spans="1:13" x14ac:dyDescent="0.25">
      <c r="A658" t="s">
        <v>24</v>
      </c>
      <c r="D658" t="s">
        <v>28</v>
      </c>
      <c r="E658">
        <v>1998</v>
      </c>
      <c r="F658">
        <v>2</v>
      </c>
      <c r="G658">
        <v>6</v>
      </c>
      <c r="H658">
        <v>2</v>
      </c>
      <c r="I658">
        <v>122</v>
      </c>
      <c r="K658" s="13">
        <v>45897</v>
      </c>
      <c r="L658" t="s">
        <v>689</v>
      </c>
    </row>
    <row r="659" spans="1:13" x14ac:dyDescent="0.25">
      <c r="A659" t="s">
        <v>24</v>
      </c>
      <c r="D659" t="s">
        <v>28</v>
      </c>
      <c r="E659">
        <v>1998</v>
      </c>
      <c r="F659">
        <v>2</v>
      </c>
      <c r="G659">
        <v>6</v>
      </c>
      <c r="H659">
        <v>2</v>
      </c>
      <c r="I659">
        <v>122</v>
      </c>
      <c r="K659" s="13">
        <v>45911</v>
      </c>
      <c r="L659" t="s">
        <v>687</v>
      </c>
      <c r="M659">
        <v>12</v>
      </c>
    </row>
    <row r="660" spans="1:13" x14ac:dyDescent="0.25">
      <c r="A660" t="s">
        <v>24</v>
      </c>
      <c r="D660" t="s">
        <v>28</v>
      </c>
      <c r="E660">
        <v>1998</v>
      </c>
      <c r="F660">
        <v>2</v>
      </c>
      <c r="G660">
        <v>6</v>
      </c>
      <c r="H660">
        <v>2</v>
      </c>
      <c r="I660">
        <v>122</v>
      </c>
      <c r="K660" s="13">
        <v>45911</v>
      </c>
      <c r="L660" t="s">
        <v>688</v>
      </c>
    </row>
    <row r="661" spans="1:13" x14ac:dyDescent="0.25">
      <c r="A661" t="s">
        <v>24</v>
      </c>
      <c r="D661" t="s">
        <v>28</v>
      </c>
      <c r="E661">
        <v>1998</v>
      </c>
      <c r="F661">
        <v>2</v>
      </c>
      <c r="G661">
        <v>6</v>
      </c>
      <c r="H661">
        <v>2</v>
      </c>
      <c r="I661">
        <v>122</v>
      </c>
      <c r="K661" s="13">
        <v>45911</v>
      </c>
      <c r="L661" t="s">
        <v>689</v>
      </c>
    </row>
    <row r="662" spans="1:13" x14ac:dyDescent="0.25">
      <c r="A662" t="s">
        <v>24</v>
      </c>
      <c r="D662" t="s">
        <v>32</v>
      </c>
      <c r="E662">
        <v>2018</v>
      </c>
      <c r="F662">
        <v>3</v>
      </c>
      <c r="G662">
        <v>6</v>
      </c>
      <c r="H662">
        <v>2</v>
      </c>
      <c r="I662">
        <v>138</v>
      </c>
      <c r="K662" s="13">
        <v>45796</v>
      </c>
      <c r="L662" t="s">
        <v>687</v>
      </c>
      <c r="M662">
        <v>5.2</v>
      </c>
    </row>
    <row r="663" spans="1:13" x14ac:dyDescent="0.25">
      <c r="A663" t="s">
        <v>24</v>
      </c>
      <c r="D663" t="s">
        <v>32</v>
      </c>
      <c r="E663">
        <v>2018</v>
      </c>
      <c r="F663">
        <v>3</v>
      </c>
      <c r="G663">
        <v>6</v>
      </c>
      <c r="H663">
        <v>2</v>
      </c>
      <c r="I663">
        <v>138</v>
      </c>
      <c r="K663" s="13">
        <v>45796</v>
      </c>
      <c r="L663" t="s">
        <v>688</v>
      </c>
      <c r="M663">
        <v>5.2</v>
      </c>
    </row>
    <row r="664" spans="1:13" x14ac:dyDescent="0.25">
      <c r="A664" t="s">
        <v>24</v>
      </c>
      <c r="D664" t="s">
        <v>32</v>
      </c>
      <c r="E664">
        <v>2018</v>
      </c>
      <c r="F664">
        <v>3</v>
      </c>
      <c r="G664">
        <v>6</v>
      </c>
      <c r="H664">
        <v>2</v>
      </c>
      <c r="I664">
        <v>138</v>
      </c>
      <c r="K664" s="13">
        <v>45796</v>
      </c>
      <c r="L664" t="s">
        <v>689</v>
      </c>
      <c r="M664">
        <v>5.0999999999999996</v>
      </c>
    </row>
    <row r="665" spans="1:13" x14ac:dyDescent="0.25">
      <c r="A665" t="s">
        <v>24</v>
      </c>
      <c r="D665" t="s">
        <v>32</v>
      </c>
      <c r="E665">
        <v>2018</v>
      </c>
      <c r="F665">
        <v>3</v>
      </c>
      <c r="G665">
        <v>6</v>
      </c>
      <c r="H665">
        <v>2</v>
      </c>
      <c r="I665">
        <v>138</v>
      </c>
      <c r="K665" s="13">
        <v>45820</v>
      </c>
      <c r="L665" t="s">
        <v>687</v>
      </c>
    </row>
    <row r="666" spans="1:13" x14ac:dyDescent="0.25">
      <c r="A666" t="s">
        <v>24</v>
      </c>
      <c r="D666" t="s">
        <v>32</v>
      </c>
      <c r="E666">
        <v>2018</v>
      </c>
      <c r="F666">
        <v>3</v>
      </c>
      <c r="G666">
        <v>6</v>
      </c>
      <c r="H666">
        <v>2</v>
      </c>
      <c r="I666">
        <v>138</v>
      </c>
      <c r="K666" s="13">
        <v>45820</v>
      </c>
      <c r="L666" t="s">
        <v>688</v>
      </c>
    </row>
    <row r="667" spans="1:13" x14ac:dyDescent="0.25">
      <c r="A667" t="s">
        <v>24</v>
      </c>
      <c r="D667" t="s">
        <v>32</v>
      </c>
      <c r="E667">
        <v>2018</v>
      </c>
      <c r="F667">
        <v>3</v>
      </c>
      <c r="G667">
        <v>6</v>
      </c>
      <c r="H667">
        <v>2</v>
      </c>
      <c r="I667">
        <v>138</v>
      </c>
      <c r="K667" s="13">
        <v>45820</v>
      </c>
      <c r="L667" t="s">
        <v>689</v>
      </c>
    </row>
    <row r="668" spans="1:13" x14ac:dyDescent="0.25">
      <c r="A668" t="s">
        <v>24</v>
      </c>
      <c r="D668" t="s">
        <v>32</v>
      </c>
      <c r="E668">
        <v>2018</v>
      </c>
      <c r="F668">
        <v>3</v>
      </c>
      <c r="G668">
        <v>6</v>
      </c>
      <c r="H668">
        <v>2</v>
      </c>
      <c r="I668">
        <v>138</v>
      </c>
      <c r="K668" s="13">
        <v>45825</v>
      </c>
      <c r="L668" t="s">
        <v>687</v>
      </c>
      <c r="M668">
        <v>6.4</v>
      </c>
    </row>
    <row r="669" spans="1:13" x14ac:dyDescent="0.25">
      <c r="A669" t="s">
        <v>24</v>
      </c>
      <c r="D669" t="s">
        <v>32</v>
      </c>
      <c r="E669">
        <v>2018</v>
      </c>
      <c r="F669">
        <v>3</v>
      </c>
      <c r="G669">
        <v>6</v>
      </c>
      <c r="H669">
        <v>2</v>
      </c>
      <c r="I669">
        <v>138</v>
      </c>
      <c r="K669" s="13">
        <v>45825</v>
      </c>
      <c r="L669" t="s">
        <v>688</v>
      </c>
      <c r="M669">
        <v>6.4</v>
      </c>
    </row>
    <row r="670" spans="1:13" x14ac:dyDescent="0.25">
      <c r="A670" t="s">
        <v>24</v>
      </c>
      <c r="D670" t="s">
        <v>32</v>
      </c>
      <c r="E670">
        <v>2018</v>
      </c>
      <c r="F670">
        <v>3</v>
      </c>
      <c r="G670">
        <v>6</v>
      </c>
      <c r="H670">
        <v>2</v>
      </c>
      <c r="I670">
        <v>138</v>
      </c>
      <c r="K670" s="13">
        <v>45825</v>
      </c>
      <c r="L670" t="s">
        <v>689</v>
      </c>
      <c r="M670">
        <v>6.2</v>
      </c>
    </row>
    <row r="671" spans="1:13" x14ac:dyDescent="0.25">
      <c r="A671" t="s">
        <v>24</v>
      </c>
      <c r="D671" t="s">
        <v>32</v>
      </c>
      <c r="E671">
        <v>2018</v>
      </c>
      <c r="F671">
        <v>3</v>
      </c>
      <c r="G671">
        <v>6</v>
      </c>
      <c r="H671">
        <v>2</v>
      </c>
      <c r="I671">
        <v>138</v>
      </c>
      <c r="K671" s="13">
        <v>45827</v>
      </c>
      <c r="L671" t="s">
        <v>687</v>
      </c>
    </row>
    <row r="672" spans="1:13" x14ac:dyDescent="0.25">
      <c r="A672" t="s">
        <v>24</v>
      </c>
      <c r="D672" t="s">
        <v>32</v>
      </c>
      <c r="E672">
        <v>2018</v>
      </c>
      <c r="F672">
        <v>3</v>
      </c>
      <c r="G672">
        <v>6</v>
      </c>
      <c r="H672">
        <v>2</v>
      </c>
      <c r="I672">
        <v>138</v>
      </c>
      <c r="K672" s="13">
        <v>45827</v>
      </c>
      <c r="L672" t="s">
        <v>688</v>
      </c>
    </row>
    <row r="673" spans="1:13" x14ac:dyDescent="0.25">
      <c r="A673" t="s">
        <v>24</v>
      </c>
      <c r="D673" t="s">
        <v>32</v>
      </c>
      <c r="E673">
        <v>2018</v>
      </c>
      <c r="F673">
        <v>3</v>
      </c>
      <c r="G673">
        <v>6</v>
      </c>
      <c r="H673">
        <v>2</v>
      </c>
      <c r="I673">
        <v>138</v>
      </c>
      <c r="K673" s="13">
        <v>45827</v>
      </c>
      <c r="L673" t="s">
        <v>689</v>
      </c>
    </row>
    <row r="674" spans="1:13" x14ac:dyDescent="0.25">
      <c r="A674" t="s">
        <v>24</v>
      </c>
      <c r="D674" t="s">
        <v>32</v>
      </c>
      <c r="E674">
        <v>2018</v>
      </c>
      <c r="F674">
        <v>3</v>
      </c>
      <c r="G674">
        <v>6</v>
      </c>
      <c r="H674">
        <v>2</v>
      </c>
      <c r="I674">
        <v>138</v>
      </c>
      <c r="K674" s="13">
        <v>45859</v>
      </c>
      <c r="L674" t="s">
        <v>687</v>
      </c>
    </row>
    <row r="675" spans="1:13" x14ac:dyDescent="0.25">
      <c r="A675" t="s">
        <v>24</v>
      </c>
      <c r="D675" t="s">
        <v>32</v>
      </c>
      <c r="E675">
        <v>2018</v>
      </c>
      <c r="F675">
        <v>3</v>
      </c>
      <c r="G675">
        <v>6</v>
      </c>
      <c r="H675">
        <v>2</v>
      </c>
      <c r="I675">
        <v>138</v>
      </c>
      <c r="K675" s="13">
        <v>45859</v>
      </c>
      <c r="L675" t="s">
        <v>688</v>
      </c>
    </row>
    <row r="676" spans="1:13" x14ac:dyDescent="0.25">
      <c r="A676" t="s">
        <v>24</v>
      </c>
      <c r="D676" t="s">
        <v>32</v>
      </c>
      <c r="E676">
        <v>2018</v>
      </c>
      <c r="F676">
        <v>3</v>
      </c>
      <c r="G676">
        <v>6</v>
      </c>
      <c r="H676">
        <v>2</v>
      </c>
      <c r="I676">
        <v>138</v>
      </c>
      <c r="K676" s="13">
        <v>45859</v>
      </c>
      <c r="L676" t="s">
        <v>689</v>
      </c>
    </row>
    <row r="677" spans="1:13" x14ac:dyDescent="0.25">
      <c r="A677" t="s">
        <v>24</v>
      </c>
      <c r="D677" t="s">
        <v>32</v>
      </c>
      <c r="E677">
        <v>2018</v>
      </c>
      <c r="F677">
        <v>3</v>
      </c>
      <c r="G677">
        <v>6</v>
      </c>
      <c r="H677">
        <v>2</v>
      </c>
      <c r="I677">
        <v>138</v>
      </c>
      <c r="K677" s="13">
        <v>45868</v>
      </c>
      <c r="L677" t="s">
        <v>687</v>
      </c>
      <c r="M677">
        <v>9.6</v>
      </c>
    </row>
    <row r="678" spans="1:13" x14ac:dyDescent="0.25">
      <c r="A678" t="s">
        <v>24</v>
      </c>
      <c r="D678" t="s">
        <v>32</v>
      </c>
      <c r="E678">
        <v>2018</v>
      </c>
      <c r="F678">
        <v>3</v>
      </c>
      <c r="G678">
        <v>6</v>
      </c>
      <c r="H678">
        <v>2</v>
      </c>
      <c r="I678">
        <v>138</v>
      </c>
      <c r="K678" s="13">
        <v>45868</v>
      </c>
      <c r="L678" t="s">
        <v>688</v>
      </c>
      <c r="M678">
        <v>9.6</v>
      </c>
    </row>
    <row r="679" spans="1:13" x14ac:dyDescent="0.25">
      <c r="A679" t="s">
        <v>24</v>
      </c>
      <c r="D679" t="s">
        <v>32</v>
      </c>
      <c r="E679">
        <v>2018</v>
      </c>
      <c r="F679">
        <v>3</v>
      </c>
      <c r="G679">
        <v>6</v>
      </c>
      <c r="H679">
        <v>2</v>
      </c>
      <c r="I679">
        <v>138</v>
      </c>
      <c r="K679" s="13">
        <v>45868</v>
      </c>
      <c r="L679" t="s">
        <v>689</v>
      </c>
      <c r="M679">
        <v>9.5</v>
      </c>
    </row>
    <row r="680" spans="1:13" x14ac:dyDescent="0.25">
      <c r="A680" t="s">
        <v>24</v>
      </c>
      <c r="D680" t="s">
        <v>32</v>
      </c>
      <c r="E680">
        <v>2018</v>
      </c>
      <c r="F680">
        <v>3</v>
      </c>
      <c r="G680">
        <v>6</v>
      </c>
      <c r="H680">
        <v>2</v>
      </c>
      <c r="I680">
        <v>138</v>
      </c>
      <c r="K680" s="13">
        <v>45875</v>
      </c>
      <c r="L680" t="s">
        <v>687</v>
      </c>
      <c r="M680">
        <v>10.6</v>
      </c>
    </row>
    <row r="681" spans="1:13" x14ac:dyDescent="0.25">
      <c r="A681" t="s">
        <v>24</v>
      </c>
      <c r="D681" t="s">
        <v>32</v>
      </c>
      <c r="E681">
        <v>2018</v>
      </c>
      <c r="F681">
        <v>3</v>
      </c>
      <c r="G681">
        <v>6</v>
      </c>
      <c r="H681">
        <v>2</v>
      </c>
      <c r="I681">
        <v>138</v>
      </c>
      <c r="K681" s="13">
        <v>45875</v>
      </c>
      <c r="L681" t="s">
        <v>688</v>
      </c>
      <c r="M681">
        <v>10.3</v>
      </c>
    </row>
    <row r="682" spans="1:13" x14ac:dyDescent="0.25">
      <c r="A682" t="s">
        <v>24</v>
      </c>
      <c r="D682" t="s">
        <v>32</v>
      </c>
      <c r="E682">
        <v>2018</v>
      </c>
      <c r="F682">
        <v>3</v>
      </c>
      <c r="G682">
        <v>6</v>
      </c>
      <c r="H682">
        <v>2</v>
      </c>
      <c r="I682">
        <v>138</v>
      </c>
      <c r="K682" s="13">
        <v>45875</v>
      </c>
      <c r="L682" t="s">
        <v>689</v>
      </c>
      <c r="M682">
        <v>10.4</v>
      </c>
    </row>
    <row r="683" spans="1:13" x14ac:dyDescent="0.25">
      <c r="A683" t="s">
        <v>24</v>
      </c>
      <c r="D683" t="s">
        <v>32</v>
      </c>
      <c r="E683">
        <v>2018</v>
      </c>
      <c r="F683">
        <v>3</v>
      </c>
      <c r="G683">
        <v>6</v>
      </c>
      <c r="H683">
        <v>2</v>
      </c>
      <c r="I683">
        <v>138</v>
      </c>
      <c r="K683" s="13">
        <v>45880</v>
      </c>
      <c r="L683" t="s">
        <v>687</v>
      </c>
    </row>
    <row r="684" spans="1:13" x14ac:dyDescent="0.25">
      <c r="A684" t="s">
        <v>24</v>
      </c>
      <c r="D684" t="s">
        <v>32</v>
      </c>
      <c r="E684">
        <v>2018</v>
      </c>
      <c r="F684">
        <v>3</v>
      </c>
      <c r="G684">
        <v>6</v>
      </c>
      <c r="H684">
        <v>2</v>
      </c>
      <c r="I684">
        <v>138</v>
      </c>
      <c r="K684" s="13">
        <v>45880</v>
      </c>
      <c r="L684" t="s">
        <v>688</v>
      </c>
    </row>
    <row r="685" spans="1:13" x14ac:dyDescent="0.25">
      <c r="A685" t="s">
        <v>24</v>
      </c>
      <c r="D685" t="s">
        <v>32</v>
      </c>
      <c r="E685">
        <v>2018</v>
      </c>
      <c r="F685">
        <v>3</v>
      </c>
      <c r="G685">
        <v>6</v>
      </c>
      <c r="H685">
        <v>2</v>
      </c>
      <c r="I685">
        <v>138</v>
      </c>
      <c r="K685" s="13">
        <v>45880</v>
      </c>
      <c r="L685" t="s">
        <v>689</v>
      </c>
    </row>
    <row r="686" spans="1:13" x14ac:dyDescent="0.25">
      <c r="A686" t="s">
        <v>24</v>
      </c>
      <c r="D686" t="s">
        <v>32</v>
      </c>
      <c r="E686">
        <v>2018</v>
      </c>
      <c r="F686">
        <v>3</v>
      </c>
      <c r="G686">
        <v>6</v>
      </c>
      <c r="H686">
        <v>2</v>
      </c>
      <c r="I686">
        <v>138</v>
      </c>
      <c r="K686" s="13">
        <v>45897</v>
      </c>
      <c r="L686" t="s">
        <v>687</v>
      </c>
      <c r="M686">
        <v>12.2</v>
      </c>
    </row>
    <row r="687" spans="1:13" x14ac:dyDescent="0.25">
      <c r="A687" t="s">
        <v>24</v>
      </c>
      <c r="D687" t="s">
        <v>32</v>
      </c>
      <c r="E687">
        <v>2018</v>
      </c>
      <c r="F687">
        <v>3</v>
      </c>
      <c r="G687">
        <v>6</v>
      </c>
      <c r="H687">
        <v>2</v>
      </c>
      <c r="I687">
        <v>138</v>
      </c>
      <c r="K687" s="13">
        <v>45897</v>
      </c>
      <c r="L687" t="s">
        <v>688</v>
      </c>
      <c r="M687">
        <v>12.1</v>
      </c>
    </row>
    <row r="688" spans="1:13" x14ac:dyDescent="0.25">
      <c r="A688" t="s">
        <v>24</v>
      </c>
      <c r="D688" t="s">
        <v>32</v>
      </c>
      <c r="E688">
        <v>2018</v>
      </c>
      <c r="F688">
        <v>3</v>
      </c>
      <c r="G688">
        <v>6</v>
      </c>
      <c r="H688">
        <v>2</v>
      </c>
      <c r="I688">
        <v>138</v>
      </c>
      <c r="K688" s="13">
        <v>45897</v>
      </c>
      <c r="L688" t="s">
        <v>689</v>
      </c>
      <c r="M688">
        <v>12.5</v>
      </c>
    </row>
    <row r="689" spans="1:13" x14ac:dyDescent="0.25">
      <c r="A689" t="s">
        <v>24</v>
      </c>
      <c r="D689" t="s">
        <v>32</v>
      </c>
      <c r="E689">
        <v>2018</v>
      </c>
      <c r="F689">
        <v>3</v>
      </c>
      <c r="G689">
        <v>6</v>
      </c>
      <c r="H689">
        <v>2</v>
      </c>
      <c r="I689">
        <v>138</v>
      </c>
      <c r="K689" s="13">
        <v>45911</v>
      </c>
      <c r="L689" t="s">
        <v>687</v>
      </c>
      <c r="M689">
        <v>13</v>
      </c>
    </row>
    <row r="690" spans="1:13" x14ac:dyDescent="0.25">
      <c r="A690" t="s">
        <v>24</v>
      </c>
      <c r="D690" t="s">
        <v>32</v>
      </c>
      <c r="E690">
        <v>2018</v>
      </c>
      <c r="F690">
        <v>3</v>
      </c>
      <c r="G690">
        <v>6</v>
      </c>
      <c r="H690">
        <v>2</v>
      </c>
      <c r="I690">
        <v>138</v>
      </c>
      <c r="K690" s="13">
        <v>45911</v>
      </c>
      <c r="L690" t="s">
        <v>688</v>
      </c>
      <c r="M690">
        <v>13</v>
      </c>
    </row>
    <row r="691" spans="1:13" x14ac:dyDescent="0.25">
      <c r="A691" t="s">
        <v>24</v>
      </c>
      <c r="D691" t="s">
        <v>32</v>
      </c>
      <c r="E691">
        <v>2018</v>
      </c>
      <c r="F691">
        <v>3</v>
      </c>
      <c r="G691">
        <v>6</v>
      </c>
      <c r="H691">
        <v>2</v>
      </c>
      <c r="I691">
        <v>138</v>
      </c>
      <c r="K691" s="13">
        <v>45911</v>
      </c>
      <c r="L691" t="s">
        <v>689</v>
      </c>
    </row>
    <row r="692" spans="1:13" x14ac:dyDescent="0.25">
      <c r="A692" t="s">
        <v>24</v>
      </c>
      <c r="D692" t="s">
        <v>26</v>
      </c>
      <c r="E692">
        <v>1983</v>
      </c>
      <c r="F692">
        <v>4</v>
      </c>
      <c r="G692">
        <v>6</v>
      </c>
      <c r="H692">
        <v>2</v>
      </c>
      <c r="I692">
        <v>154</v>
      </c>
      <c r="K692" s="13">
        <v>45796</v>
      </c>
      <c r="L692" t="s">
        <v>687</v>
      </c>
      <c r="M692">
        <v>5.3</v>
      </c>
    </row>
    <row r="693" spans="1:13" x14ac:dyDescent="0.25">
      <c r="A693" t="s">
        <v>24</v>
      </c>
      <c r="D693" t="s">
        <v>26</v>
      </c>
      <c r="E693">
        <v>1983</v>
      </c>
      <c r="F693">
        <v>4</v>
      </c>
      <c r="G693">
        <v>6</v>
      </c>
      <c r="H693">
        <v>2</v>
      </c>
      <c r="I693">
        <v>154</v>
      </c>
      <c r="K693" s="13">
        <v>45796</v>
      </c>
      <c r="L693" t="s">
        <v>688</v>
      </c>
      <c r="M693">
        <v>5.0999999999999996</v>
      </c>
    </row>
    <row r="694" spans="1:13" x14ac:dyDescent="0.25">
      <c r="A694" t="s">
        <v>24</v>
      </c>
      <c r="D694" t="s">
        <v>26</v>
      </c>
      <c r="E694">
        <v>1983</v>
      </c>
      <c r="F694">
        <v>4</v>
      </c>
      <c r="G694">
        <v>6</v>
      </c>
      <c r="H694">
        <v>2</v>
      </c>
      <c r="I694">
        <v>154</v>
      </c>
      <c r="K694" s="13">
        <v>45796</v>
      </c>
      <c r="L694" t="s">
        <v>689</v>
      </c>
      <c r="M694">
        <v>5.0999999999999996</v>
      </c>
    </row>
    <row r="695" spans="1:13" x14ac:dyDescent="0.25">
      <c r="A695" t="s">
        <v>24</v>
      </c>
      <c r="D695" t="s">
        <v>26</v>
      </c>
      <c r="E695">
        <v>1983</v>
      </c>
      <c r="F695">
        <v>4</v>
      </c>
      <c r="G695">
        <v>6</v>
      </c>
      <c r="H695">
        <v>2</v>
      </c>
      <c r="I695">
        <v>154</v>
      </c>
      <c r="K695" s="13">
        <v>45820</v>
      </c>
      <c r="L695" t="s">
        <v>687</v>
      </c>
    </row>
    <row r="696" spans="1:13" x14ac:dyDescent="0.25">
      <c r="A696" t="s">
        <v>24</v>
      </c>
      <c r="D696" t="s">
        <v>26</v>
      </c>
      <c r="E696">
        <v>1983</v>
      </c>
      <c r="F696">
        <v>4</v>
      </c>
      <c r="G696">
        <v>6</v>
      </c>
      <c r="H696">
        <v>2</v>
      </c>
      <c r="I696">
        <v>154</v>
      </c>
      <c r="K696" s="13">
        <v>45820</v>
      </c>
      <c r="L696" t="s">
        <v>688</v>
      </c>
    </row>
    <row r="697" spans="1:13" x14ac:dyDescent="0.25">
      <c r="A697" t="s">
        <v>24</v>
      </c>
      <c r="D697" t="s">
        <v>26</v>
      </c>
      <c r="E697">
        <v>1983</v>
      </c>
      <c r="F697">
        <v>4</v>
      </c>
      <c r="G697">
        <v>6</v>
      </c>
      <c r="H697">
        <v>2</v>
      </c>
      <c r="I697">
        <v>154</v>
      </c>
      <c r="K697" s="13">
        <v>45820</v>
      </c>
      <c r="L697" t="s">
        <v>689</v>
      </c>
    </row>
    <row r="698" spans="1:13" x14ac:dyDescent="0.25">
      <c r="A698" t="s">
        <v>24</v>
      </c>
      <c r="D698" t="s">
        <v>26</v>
      </c>
      <c r="E698">
        <v>1983</v>
      </c>
      <c r="F698">
        <v>4</v>
      </c>
      <c r="G698">
        <v>6</v>
      </c>
      <c r="H698">
        <v>2</v>
      </c>
      <c r="I698">
        <v>154</v>
      </c>
      <c r="K698" s="13">
        <v>45825</v>
      </c>
      <c r="L698" t="s">
        <v>687</v>
      </c>
      <c r="M698">
        <v>6.4</v>
      </c>
    </row>
    <row r="699" spans="1:13" x14ac:dyDescent="0.25">
      <c r="A699" t="s">
        <v>24</v>
      </c>
      <c r="D699" t="s">
        <v>26</v>
      </c>
      <c r="E699">
        <v>1983</v>
      </c>
      <c r="F699">
        <v>4</v>
      </c>
      <c r="G699">
        <v>6</v>
      </c>
      <c r="H699">
        <v>2</v>
      </c>
      <c r="I699">
        <v>154</v>
      </c>
      <c r="K699" s="13">
        <v>45825</v>
      </c>
      <c r="L699" t="s">
        <v>688</v>
      </c>
      <c r="M699">
        <v>6.4</v>
      </c>
    </row>
    <row r="700" spans="1:13" x14ac:dyDescent="0.25">
      <c r="A700" t="s">
        <v>24</v>
      </c>
      <c r="D700" t="s">
        <v>26</v>
      </c>
      <c r="E700">
        <v>1983</v>
      </c>
      <c r="F700">
        <v>4</v>
      </c>
      <c r="G700">
        <v>6</v>
      </c>
      <c r="H700">
        <v>2</v>
      </c>
      <c r="I700">
        <v>154</v>
      </c>
      <c r="K700" s="13">
        <v>45825</v>
      </c>
      <c r="L700" t="s">
        <v>689</v>
      </c>
      <c r="M700">
        <v>6.4</v>
      </c>
    </row>
    <row r="701" spans="1:13" x14ac:dyDescent="0.25">
      <c r="A701" t="s">
        <v>24</v>
      </c>
      <c r="D701" t="s">
        <v>26</v>
      </c>
      <c r="E701">
        <v>1983</v>
      </c>
      <c r="F701">
        <v>4</v>
      </c>
      <c r="G701">
        <v>6</v>
      </c>
      <c r="H701">
        <v>2</v>
      </c>
      <c r="I701">
        <v>154</v>
      </c>
      <c r="K701" s="13">
        <v>45827</v>
      </c>
      <c r="L701" t="s">
        <v>687</v>
      </c>
    </row>
    <row r="702" spans="1:13" x14ac:dyDescent="0.25">
      <c r="A702" t="s">
        <v>24</v>
      </c>
      <c r="D702" t="s">
        <v>26</v>
      </c>
      <c r="E702">
        <v>1983</v>
      </c>
      <c r="F702">
        <v>4</v>
      </c>
      <c r="G702">
        <v>6</v>
      </c>
      <c r="H702">
        <v>2</v>
      </c>
      <c r="I702">
        <v>154</v>
      </c>
      <c r="K702" s="13">
        <v>45827</v>
      </c>
      <c r="L702" t="s">
        <v>688</v>
      </c>
    </row>
    <row r="703" spans="1:13" x14ac:dyDescent="0.25">
      <c r="A703" t="s">
        <v>24</v>
      </c>
      <c r="D703" t="s">
        <v>26</v>
      </c>
      <c r="E703">
        <v>1983</v>
      </c>
      <c r="F703">
        <v>4</v>
      </c>
      <c r="G703">
        <v>6</v>
      </c>
      <c r="H703">
        <v>2</v>
      </c>
      <c r="I703">
        <v>154</v>
      </c>
      <c r="K703" s="13">
        <v>45827</v>
      </c>
      <c r="L703" t="s">
        <v>689</v>
      </c>
    </row>
    <row r="704" spans="1:13" x14ac:dyDescent="0.25">
      <c r="A704" t="s">
        <v>24</v>
      </c>
      <c r="D704" t="s">
        <v>26</v>
      </c>
      <c r="E704">
        <v>1983</v>
      </c>
      <c r="F704">
        <v>4</v>
      </c>
      <c r="G704">
        <v>6</v>
      </c>
      <c r="H704">
        <v>2</v>
      </c>
      <c r="I704">
        <v>154</v>
      </c>
      <c r="K704" s="13">
        <v>45859</v>
      </c>
      <c r="L704" t="s">
        <v>687</v>
      </c>
    </row>
    <row r="705" spans="1:13" x14ac:dyDescent="0.25">
      <c r="A705" t="s">
        <v>24</v>
      </c>
      <c r="D705" t="s">
        <v>26</v>
      </c>
      <c r="E705">
        <v>1983</v>
      </c>
      <c r="F705">
        <v>4</v>
      </c>
      <c r="G705">
        <v>6</v>
      </c>
      <c r="H705">
        <v>2</v>
      </c>
      <c r="I705">
        <v>154</v>
      </c>
      <c r="K705" s="13">
        <v>45859</v>
      </c>
      <c r="L705" t="s">
        <v>688</v>
      </c>
    </row>
    <row r="706" spans="1:13" x14ac:dyDescent="0.25">
      <c r="A706" t="s">
        <v>24</v>
      </c>
      <c r="D706" t="s">
        <v>26</v>
      </c>
      <c r="E706">
        <v>1983</v>
      </c>
      <c r="F706">
        <v>4</v>
      </c>
      <c r="G706">
        <v>6</v>
      </c>
      <c r="H706">
        <v>2</v>
      </c>
      <c r="I706">
        <v>154</v>
      </c>
      <c r="K706" s="13">
        <v>45859</v>
      </c>
      <c r="L706" t="s">
        <v>689</v>
      </c>
    </row>
    <row r="707" spans="1:13" x14ac:dyDescent="0.25">
      <c r="A707" t="s">
        <v>24</v>
      </c>
      <c r="D707" t="s">
        <v>26</v>
      </c>
      <c r="E707">
        <v>1983</v>
      </c>
      <c r="F707">
        <v>4</v>
      </c>
      <c r="G707">
        <v>6</v>
      </c>
      <c r="H707">
        <v>2</v>
      </c>
      <c r="I707">
        <v>154</v>
      </c>
      <c r="K707" s="13">
        <v>45868</v>
      </c>
      <c r="L707" t="s">
        <v>687</v>
      </c>
      <c r="M707">
        <v>9.5</v>
      </c>
    </row>
    <row r="708" spans="1:13" x14ac:dyDescent="0.25">
      <c r="A708" t="s">
        <v>24</v>
      </c>
      <c r="D708" t="s">
        <v>26</v>
      </c>
      <c r="E708">
        <v>1983</v>
      </c>
      <c r="F708">
        <v>4</v>
      </c>
      <c r="G708">
        <v>6</v>
      </c>
      <c r="H708">
        <v>2</v>
      </c>
      <c r="I708">
        <v>154</v>
      </c>
      <c r="K708" s="13">
        <v>45868</v>
      </c>
      <c r="L708" t="s">
        <v>688</v>
      </c>
      <c r="M708">
        <v>9.6</v>
      </c>
    </row>
    <row r="709" spans="1:13" x14ac:dyDescent="0.25">
      <c r="A709" t="s">
        <v>24</v>
      </c>
      <c r="D709" t="s">
        <v>26</v>
      </c>
      <c r="E709">
        <v>1983</v>
      </c>
      <c r="F709">
        <v>4</v>
      </c>
      <c r="G709">
        <v>6</v>
      </c>
      <c r="H709">
        <v>2</v>
      </c>
      <c r="I709">
        <v>154</v>
      </c>
      <c r="K709" s="13">
        <v>45868</v>
      </c>
      <c r="L709" t="s">
        <v>689</v>
      </c>
    </row>
    <row r="710" spans="1:13" x14ac:dyDescent="0.25">
      <c r="A710" t="s">
        <v>24</v>
      </c>
      <c r="D710" t="s">
        <v>26</v>
      </c>
      <c r="E710">
        <v>1983</v>
      </c>
      <c r="F710">
        <v>4</v>
      </c>
      <c r="G710">
        <v>6</v>
      </c>
      <c r="H710">
        <v>2</v>
      </c>
      <c r="I710">
        <v>154</v>
      </c>
      <c r="K710" s="13">
        <v>45875</v>
      </c>
      <c r="L710" t="s">
        <v>687</v>
      </c>
      <c r="M710">
        <v>10.3</v>
      </c>
    </row>
    <row r="711" spans="1:13" x14ac:dyDescent="0.25">
      <c r="A711" t="s">
        <v>24</v>
      </c>
      <c r="D711" t="s">
        <v>26</v>
      </c>
      <c r="E711">
        <v>1983</v>
      </c>
      <c r="F711">
        <v>4</v>
      </c>
      <c r="G711">
        <v>6</v>
      </c>
      <c r="H711">
        <v>2</v>
      </c>
      <c r="I711">
        <v>154</v>
      </c>
      <c r="K711" s="13">
        <v>45875</v>
      </c>
      <c r="L711" t="s">
        <v>688</v>
      </c>
      <c r="M711">
        <v>10.199999999999999</v>
      </c>
    </row>
    <row r="712" spans="1:13" x14ac:dyDescent="0.25">
      <c r="A712" t="s">
        <v>24</v>
      </c>
      <c r="D712" t="s">
        <v>26</v>
      </c>
      <c r="E712">
        <v>1983</v>
      </c>
      <c r="F712">
        <v>4</v>
      </c>
      <c r="G712">
        <v>6</v>
      </c>
      <c r="H712">
        <v>2</v>
      </c>
      <c r="I712">
        <v>154</v>
      </c>
      <c r="K712" s="13">
        <v>45875</v>
      </c>
      <c r="L712" t="s">
        <v>689</v>
      </c>
      <c r="M712">
        <v>9.6</v>
      </c>
    </row>
    <row r="713" spans="1:13" x14ac:dyDescent="0.25">
      <c r="A713" t="s">
        <v>24</v>
      </c>
      <c r="D713" t="s">
        <v>26</v>
      </c>
      <c r="E713">
        <v>1983</v>
      </c>
      <c r="F713">
        <v>4</v>
      </c>
      <c r="G713">
        <v>6</v>
      </c>
      <c r="H713">
        <v>2</v>
      </c>
      <c r="I713">
        <v>154</v>
      </c>
      <c r="K713" s="13">
        <v>45880</v>
      </c>
      <c r="L713" t="s">
        <v>687</v>
      </c>
    </row>
    <row r="714" spans="1:13" x14ac:dyDescent="0.25">
      <c r="A714" t="s">
        <v>24</v>
      </c>
      <c r="D714" t="s">
        <v>26</v>
      </c>
      <c r="E714">
        <v>1983</v>
      </c>
      <c r="F714">
        <v>4</v>
      </c>
      <c r="G714">
        <v>6</v>
      </c>
      <c r="H714">
        <v>2</v>
      </c>
      <c r="I714">
        <v>154</v>
      </c>
      <c r="K714" s="13">
        <v>45880</v>
      </c>
      <c r="L714" t="s">
        <v>688</v>
      </c>
    </row>
    <row r="715" spans="1:13" x14ac:dyDescent="0.25">
      <c r="A715" t="s">
        <v>24</v>
      </c>
      <c r="D715" t="s">
        <v>26</v>
      </c>
      <c r="E715">
        <v>1983</v>
      </c>
      <c r="F715">
        <v>4</v>
      </c>
      <c r="G715">
        <v>6</v>
      </c>
      <c r="H715">
        <v>2</v>
      </c>
      <c r="I715">
        <v>154</v>
      </c>
      <c r="K715" s="13">
        <v>45880</v>
      </c>
      <c r="L715" t="s">
        <v>689</v>
      </c>
    </row>
    <row r="716" spans="1:13" x14ac:dyDescent="0.25">
      <c r="A716" t="s">
        <v>24</v>
      </c>
      <c r="D716" t="s">
        <v>26</v>
      </c>
      <c r="E716">
        <v>1983</v>
      </c>
      <c r="F716">
        <v>4</v>
      </c>
      <c r="G716">
        <v>6</v>
      </c>
      <c r="H716">
        <v>2</v>
      </c>
      <c r="I716">
        <v>154</v>
      </c>
      <c r="K716" s="13">
        <v>45897</v>
      </c>
      <c r="L716" t="s">
        <v>687</v>
      </c>
      <c r="M716">
        <v>12.6</v>
      </c>
    </row>
    <row r="717" spans="1:13" x14ac:dyDescent="0.25">
      <c r="A717" t="s">
        <v>24</v>
      </c>
      <c r="D717" t="s">
        <v>26</v>
      </c>
      <c r="E717">
        <v>1983</v>
      </c>
      <c r="F717">
        <v>4</v>
      </c>
      <c r="G717">
        <v>6</v>
      </c>
      <c r="H717">
        <v>2</v>
      </c>
      <c r="I717">
        <v>154</v>
      </c>
      <c r="K717" s="13">
        <v>45897</v>
      </c>
      <c r="L717" t="s">
        <v>688</v>
      </c>
      <c r="M717">
        <v>11.3</v>
      </c>
    </row>
    <row r="718" spans="1:13" x14ac:dyDescent="0.25">
      <c r="A718" t="s">
        <v>24</v>
      </c>
      <c r="D718" t="s">
        <v>26</v>
      </c>
      <c r="E718">
        <v>1983</v>
      </c>
      <c r="F718">
        <v>4</v>
      </c>
      <c r="G718">
        <v>6</v>
      </c>
      <c r="H718">
        <v>2</v>
      </c>
      <c r="I718">
        <v>154</v>
      </c>
      <c r="K718" s="13">
        <v>45897</v>
      </c>
      <c r="L718" t="s">
        <v>689</v>
      </c>
      <c r="M718">
        <v>11.6</v>
      </c>
    </row>
    <row r="719" spans="1:13" x14ac:dyDescent="0.25">
      <c r="A719" t="s">
        <v>24</v>
      </c>
      <c r="D719" t="s">
        <v>26</v>
      </c>
      <c r="E719">
        <v>1983</v>
      </c>
      <c r="F719">
        <v>4</v>
      </c>
      <c r="G719">
        <v>6</v>
      </c>
      <c r="H719">
        <v>2</v>
      </c>
      <c r="I719">
        <v>154</v>
      </c>
      <c r="K719" s="13">
        <v>45911</v>
      </c>
      <c r="L719" t="s">
        <v>687</v>
      </c>
      <c r="M719">
        <v>13.7</v>
      </c>
    </row>
    <row r="720" spans="1:13" x14ac:dyDescent="0.25">
      <c r="A720" t="s">
        <v>24</v>
      </c>
      <c r="D720" t="s">
        <v>26</v>
      </c>
      <c r="E720">
        <v>1983</v>
      </c>
      <c r="F720">
        <v>4</v>
      </c>
      <c r="G720">
        <v>6</v>
      </c>
      <c r="H720">
        <v>2</v>
      </c>
      <c r="I720">
        <v>154</v>
      </c>
      <c r="K720" s="13">
        <v>45911</v>
      </c>
      <c r="L720" t="s">
        <v>688</v>
      </c>
      <c r="M720">
        <v>12.7</v>
      </c>
    </row>
    <row r="721" spans="1:13" x14ac:dyDescent="0.25">
      <c r="A721" t="s">
        <v>24</v>
      </c>
      <c r="D721" t="s">
        <v>26</v>
      </c>
      <c r="E721">
        <v>1983</v>
      </c>
      <c r="F721">
        <v>4</v>
      </c>
      <c r="G721">
        <v>6</v>
      </c>
      <c r="H721">
        <v>2</v>
      </c>
      <c r="I721">
        <v>154</v>
      </c>
      <c r="K721" s="13">
        <v>45911</v>
      </c>
      <c r="L721" t="s">
        <v>689</v>
      </c>
      <c r="M721">
        <v>12</v>
      </c>
    </row>
    <row r="722" spans="1:13" x14ac:dyDescent="0.25">
      <c r="A722" t="s">
        <v>34</v>
      </c>
      <c r="D722" t="s">
        <v>41</v>
      </c>
      <c r="E722">
        <v>2008</v>
      </c>
      <c r="F722">
        <v>1</v>
      </c>
      <c r="G722">
        <v>7</v>
      </c>
      <c r="H722">
        <v>2</v>
      </c>
      <c r="I722">
        <v>107</v>
      </c>
      <c r="K722" s="13">
        <v>45796</v>
      </c>
      <c r="L722" t="s">
        <v>687</v>
      </c>
    </row>
    <row r="723" spans="1:13" x14ac:dyDescent="0.25">
      <c r="A723" t="s">
        <v>34</v>
      </c>
      <c r="D723" t="s">
        <v>41</v>
      </c>
      <c r="E723">
        <v>2008</v>
      </c>
      <c r="F723">
        <v>1</v>
      </c>
      <c r="G723">
        <v>7</v>
      </c>
      <c r="H723">
        <v>2</v>
      </c>
      <c r="I723">
        <v>107</v>
      </c>
      <c r="K723" s="13">
        <v>45796</v>
      </c>
      <c r="L723" t="s">
        <v>688</v>
      </c>
    </row>
    <row r="724" spans="1:13" x14ac:dyDescent="0.25">
      <c r="A724" t="s">
        <v>34</v>
      </c>
      <c r="D724" t="s">
        <v>41</v>
      </c>
      <c r="E724">
        <v>2008</v>
      </c>
      <c r="F724">
        <v>1</v>
      </c>
      <c r="G724">
        <v>7</v>
      </c>
      <c r="H724">
        <v>2</v>
      </c>
      <c r="I724">
        <v>107</v>
      </c>
      <c r="K724" s="13">
        <v>45796</v>
      </c>
      <c r="L724" t="s">
        <v>689</v>
      </c>
    </row>
    <row r="725" spans="1:13" x14ac:dyDescent="0.25">
      <c r="A725" t="s">
        <v>34</v>
      </c>
      <c r="D725" t="s">
        <v>41</v>
      </c>
      <c r="E725">
        <v>2008</v>
      </c>
      <c r="F725">
        <v>1</v>
      </c>
      <c r="G725">
        <v>7</v>
      </c>
      <c r="H725">
        <v>2</v>
      </c>
      <c r="I725">
        <v>107</v>
      </c>
      <c r="K725" s="13">
        <v>45820</v>
      </c>
      <c r="L725" t="s">
        <v>687</v>
      </c>
      <c r="M725">
        <v>2.6</v>
      </c>
    </row>
    <row r="726" spans="1:13" x14ac:dyDescent="0.25">
      <c r="A726" t="s">
        <v>34</v>
      </c>
      <c r="D726" t="s">
        <v>41</v>
      </c>
      <c r="E726">
        <v>2008</v>
      </c>
      <c r="F726">
        <v>1</v>
      </c>
      <c r="G726">
        <v>7</v>
      </c>
      <c r="H726">
        <v>2</v>
      </c>
      <c r="I726">
        <v>107</v>
      </c>
      <c r="K726" s="13">
        <v>45820</v>
      </c>
      <c r="L726" t="s">
        <v>688</v>
      </c>
      <c r="M726">
        <v>2.7</v>
      </c>
    </row>
    <row r="727" spans="1:13" x14ac:dyDescent="0.25">
      <c r="A727" t="s">
        <v>34</v>
      </c>
      <c r="D727" t="s">
        <v>41</v>
      </c>
      <c r="E727">
        <v>2008</v>
      </c>
      <c r="F727">
        <v>1</v>
      </c>
      <c r="G727">
        <v>7</v>
      </c>
      <c r="H727">
        <v>2</v>
      </c>
      <c r="I727">
        <v>107</v>
      </c>
      <c r="K727" s="13">
        <v>45820</v>
      </c>
      <c r="L727" t="s">
        <v>689</v>
      </c>
      <c r="M727">
        <v>2.6</v>
      </c>
    </row>
    <row r="728" spans="1:13" x14ac:dyDescent="0.25">
      <c r="A728" t="s">
        <v>34</v>
      </c>
      <c r="D728" t="s">
        <v>41</v>
      </c>
      <c r="E728">
        <v>2008</v>
      </c>
      <c r="F728">
        <v>1</v>
      </c>
      <c r="G728">
        <v>7</v>
      </c>
      <c r="H728">
        <v>2</v>
      </c>
      <c r="I728">
        <v>107</v>
      </c>
      <c r="K728" s="13">
        <v>45825</v>
      </c>
      <c r="L728" t="s">
        <v>687</v>
      </c>
    </row>
    <row r="729" spans="1:13" x14ac:dyDescent="0.25">
      <c r="A729" t="s">
        <v>34</v>
      </c>
      <c r="D729" t="s">
        <v>41</v>
      </c>
      <c r="E729">
        <v>2008</v>
      </c>
      <c r="F729">
        <v>1</v>
      </c>
      <c r="G729">
        <v>7</v>
      </c>
      <c r="H729">
        <v>2</v>
      </c>
      <c r="I729">
        <v>107</v>
      </c>
      <c r="K729" s="13">
        <v>45825</v>
      </c>
      <c r="L729" t="s">
        <v>688</v>
      </c>
    </row>
    <row r="730" spans="1:13" x14ac:dyDescent="0.25">
      <c r="A730" t="s">
        <v>34</v>
      </c>
      <c r="D730" t="s">
        <v>41</v>
      </c>
      <c r="E730">
        <v>2008</v>
      </c>
      <c r="F730">
        <v>1</v>
      </c>
      <c r="G730">
        <v>7</v>
      </c>
      <c r="H730">
        <v>2</v>
      </c>
      <c r="I730">
        <v>107</v>
      </c>
      <c r="K730" s="13">
        <v>45825</v>
      </c>
      <c r="L730" t="s">
        <v>689</v>
      </c>
    </row>
    <row r="731" spans="1:13" x14ac:dyDescent="0.25">
      <c r="A731" t="s">
        <v>34</v>
      </c>
      <c r="D731" t="s">
        <v>41</v>
      </c>
      <c r="E731">
        <v>2008</v>
      </c>
      <c r="F731">
        <v>1</v>
      </c>
      <c r="G731">
        <v>7</v>
      </c>
      <c r="H731">
        <v>2</v>
      </c>
      <c r="I731">
        <v>107</v>
      </c>
      <c r="K731" s="13">
        <v>45827</v>
      </c>
      <c r="L731" t="s">
        <v>687</v>
      </c>
      <c r="M731">
        <v>4.2</v>
      </c>
    </row>
    <row r="732" spans="1:13" x14ac:dyDescent="0.25">
      <c r="A732" t="s">
        <v>34</v>
      </c>
      <c r="D732" t="s">
        <v>41</v>
      </c>
      <c r="E732">
        <v>2008</v>
      </c>
      <c r="F732">
        <v>1</v>
      </c>
      <c r="G732">
        <v>7</v>
      </c>
      <c r="H732">
        <v>2</v>
      </c>
      <c r="I732">
        <v>107</v>
      </c>
      <c r="K732" s="13">
        <v>45827</v>
      </c>
      <c r="L732" t="s">
        <v>688</v>
      </c>
      <c r="M732">
        <v>4.0999999999999996</v>
      </c>
    </row>
    <row r="733" spans="1:13" x14ac:dyDescent="0.25">
      <c r="A733" t="s">
        <v>34</v>
      </c>
      <c r="D733" t="s">
        <v>41</v>
      </c>
      <c r="E733">
        <v>2008</v>
      </c>
      <c r="F733">
        <v>1</v>
      </c>
      <c r="G733">
        <v>7</v>
      </c>
      <c r="H733">
        <v>2</v>
      </c>
      <c r="I733">
        <v>107</v>
      </c>
      <c r="K733" s="13">
        <v>45827</v>
      </c>
      <c r="L733" t="s">
        <v>689</v>
      </c>
      <c r="M733">
        <v>3.1</v>
      </c>
    </row>
    <row r="734" spans="1:13" x14ac:dyDescent="0.25">
      <c r="A734" t="s">
        <v>34</v>
      </c>
      <c r="D734" t="s">
        <v>41</v>
      </c>
      <c r="E734">
        <v>2008</v>
      </c>
      <c r="F734">
        <v>1</v>
      </c>
      <c r="G734">
        <v>7</v>
      </c>
      <c r="H734">
        <v>2</v>
      </c>
      <c r="I734">
        <v>107</v>
      </c>
      <c r="K734" s="13">
        <v>45859</v>
      </c>
      <c r="L734" t="s">
        <v>687</v>
      </c>
      <c r="M734">
        <v>6.1</v>
      </c>
    </row>
    <row r="735" spans="1:13" x14ac:dyDescent="0.25">
      <c r="A735" t="s">
        <v>34</v>
      </c>
      <c r="D735" t="s">
        <v>41</v>
      </c>
      <c r="E735">
        <v>2008</v>
      </c>
      <c r="F735">
        <v>1</v>
      </c>
      <c r="G735">
        <v>7</v>
      </c>
      <c r="H735">
        <v>2</v>
      </c>
      <c r="I735">
        <v>107</v>
      </c>
      <c r="K735" s="13">
        <v>45859</v>
      </c>
      <c r="L735" t="s">
        <v>688</v>
      </c>
      <c r="M735">
        <v>5.9</v>
      </c>
    </row>
    <row r="736" spans="1:13" x14ac:dyDescent="0.25">
      <c r="A736" t="s">
        <v>34</v>
      </c>
      <c r="D736" t="s">
        <v>41</v>
      </c>
      <c r="E736">
        <v>2008</v>
      </c>
      <c r="F736">
        <v>1</v>
      </c>
      <c r="G736">
        <v>7</v>
      </c>
      <c r="H736">
        <v>2</v>
      </c>
      <c r="I736">
        <v>107</v>
      </c>
      <c r="K736" s="13">
        <v>45859</v>
      </c>
      <c r="L736" t="s">
        <v>689</v>
      </c>
      <c r="M736">
        <v>6.2</v>
      </c>
    </row>
    <row r="737" spans="1:13" x14ac:dyDescent="0.25">
      <c r="A737" t="s">
        <v>34</v>
      </c>
      <c r="D737" t="s">
        <v>41</v>
      </c>
      <c r="E737">
        <v>2008</v>
      </c>
      <c r="F737">
        <v>1</v>
      </c>
      <c r="G737">
        <v>7</v>
      </c>
      <c r="H737">
        <v>2</v>
      </c>
      <c r="I737">
        <v>107</v>
      </c>
      <c r="K737" s="13">
        <v>45868</v>
      </c>
      <c r="L737" t="s">
        <v>687</v>
      </c>
      <c r="M737">
        <v>6.7</v>
      </c>
    </row>
    <row r="738" spans="1:13" x14ac:dyDescent="0.25">
      <c r="A738" t="s">
        <v>34</v>
      </c>
      <c r="D738" t="s">
        <v>41</v>
      </c>
      <c r="E738">
        <v>2008</v>
      </c>
      <c r="F738">
        <v>1</v>
      </c>
      <c r="G738">
        <v>7</v>
      </c>
      <c r="H738">
        <v>2</v>
      </c>
      <c r="I738">
        <v>107</v>
      </c>
      <c r="K738" s="13">
        <v>45868</v>
      </c>
      <c r="L738" t="s">
        <v>688</v>
      </c>
      <c r="M738">
        <v>6.9</v>
      </c>
    </row>
    <row r="739" spans="1:13" x14ac:dyDescent="0.25">
      <c r="A739" t="s">
        <v>34</v>
      </c>
      <c r="D739" t="s">
        <v>41</v>
      </c>
      <c r="E739">
        <v>2008</v>
      </c>
      <c r="F739">
        <v>1</v>
      </c>
      <c r="G739">
        <v>7</v>
      </c>
      <c r="H739">
        <v>2</v>
      </c>
      <c r="I739">
        <v>107</v>
      </c>
      <c r="K739" s="13">
        <v>45868</v>
      </c>
      <c r="L739" t="s">
        <v>689</v>
      </c>
      <c r="M739">
        <v>7.1</v>
      </c>
    </row>
    <row r="740" spans="1:13" x14ac:dyDescent="0.25">
      <c r="A740" t="s">
        <v>34</v>
      </c>
      <c r="D740" t="s">
        <v>41</v>
      </c>
      <c r="E740">
        <v>2008</v>
      </c>
      <c r="F740">
        <v>1</v>
      </c>
      <c r="G740">
        <v>7</v>
      </c>
      <c r="H740">
        <v>2</v>
      </c>
      <c r="I740">
        <v>107</v>
      </c>
      <c r="K740" s="13">
        <v>45875</v>
      </c>
      <c r="L740" t="s">
        <v>687</v>
      </c>
    </row>
    <row r="741" spans="1:13" x14ac:dyDescent="0.25">
      <c r="A741" t="s">
        <v>34</v>
      </c>
      <c r="D741" t="s">
        <v>41</v>
      </c>
      <c r="E741">
        <v>2008</v>
      </c>
      <c r="F741">
        <v>1</v>
      </c>
      <c r="G741">
        <v>7</v>
      </c>
      <c r="H741">
        <v>2</v>
      </c>
      <c r="I741">
        <v>107</v>
      </c>
      <c r="K741" s="13">
        <v>45875</v>
      </c>
      <c r="L741" t="s">
        <v>688</v>
      </c>
    </row>
    <row r="742" spans="1:13" x14ac:dyDescent="0.25">
      <c r="A742" t="s">
        <v>34</v>
      </c>
      <c r="D742" t="s">
        <v>41</v>
      </c>
      <c r="E742">
        <v>2008</v>
      </c>
      <c r="F742">
        <v>1</v>
      </c>
      <c r="G742">
        <v>7</v>
      </c>
      <c r="H742">
        <v>2</v>
      </c>
      <c r="I742">
        <v>107</v>
      </c>
      <c r="K742" s="13">
        <v>45875</v>
      </c>
      <c r="L742" t="s">
        <v>689</v>
      </c>
    </row>
    <row r="743" spans="1:13" x14ac:dyDescent="0.25">
      <c r="A743" t="s">
        <v>34</v>
      </c>
      <c r="D743" t="s">
        <v>41</v>
      </c>
      <c r="E743">
        <v>2008</v>
      </c>
      <c r="F743">
        <v>1</v>
      </c>
      <c r="G743">
        <v>7</v>
      </c>
      <c r="H743">
        <v>2</v>
      </c>
      <c r="I743">
        <v>107</v>
      </c>
      <c r="K743" s="13">
        <v>45880</v>
      </c>
      <c r="L743" t="s">
        <v>687</v>
      </c>
      <c r="M743">
        <v>7.7</v>
      </c>
    </row>
    <row r="744" spans="1:13" x14ac:dyDescent="0.25">
      <c r="A744" t="s">
        <v>34</v>
      </c>
      <c r="D744" t="s">
        <v>41</v>
      </c>
      <c r="E744">
        <v>2008</v>
      </c>
      <c r="F744">
        <v>1</v>
      </c>
      <c r="G744">
        <v>7</v>
      </c>
      <c r="H744">
        <v>2</v>
      </c>
      <c r="I744">
        <v>107</v>
      </c>
      <c r="K744" s="13">
        <v>45880</v>
      </c>
      <c r="L744" t="s">
        <v>688</v>
      </c>
      <c r="M744">
        <v>7.9</v>
      </c>
    </row>
    <row r="745" spans="1:13" x14ac:dyDescent="0.25">
      <c r="A745" t="s">
        <v>34</v>
      </c>
      <c r="D745" t="s">
        <v>41</v>
      </c>
      <c r="E745">
        <v>2008</v>
      </c>
      <c r="F745">
        <v>1</v>
      </c>
      <c r="G745">
        <v>7</v>
      </c>
      <c r="H745">
        <v>2</v>
      </c>
      <c r="I745">
        <v>107</v>
      </c>
      <c r="K745" s="13">
        <v>45880</v>
      </c>
      <c r="L745" t="s">
        <v>689</v>
      </c>
      <c r="M745">
        <v>8.1999999999999993</v>
      </c>
    </row>
    <row r="746" spans="1:13" x14ac:dyDescent="0.25">
      <c r="A746" t="s">
        <v>34</v>
      </c>
      <c r="D746" t="s">
        <v>41</v>
      </c>
      <c r="E746">
        <v>2008</v>
      </c>
      <c r="F746">
        <v>1</v>
      </c>
      <c r="G746">
        <v>7</v>
      </c>
      <c r="H746">
        <v>2</v>
      </c>
      <c r="I746">
        <v>107</v>
      </c>
      <c r="K746" s="13">
        <v>45897</v>
      </c>
      <c r="L746" t="s">
        <v>687</v>
      </c>
      <c r="M746">
        <v>9.1999999999999993</v>
      </c>
    </row>
    <row r="747" spans="1:13" x14ac:dyDescent="0.25">
      <c r="A747" t="s">
        <v>34</v>
      </c>
      <c r="D747" t="s">
        <v>41</v>
      </c>
      <c r="E747">
        <v>2008</v>
      </c>
      <c r="F747">
        <v>1</v>
      </c>
      <c r="G747">
        <v>7</v>
      </c>
      <c r="H747">
        <v>2</v>
      </c>
      <c r="I747">
        <v>107</v>
      </c>
      <c r="K747" s="13">
        <v>45897</v>
      </c>
      <c r="L747" t="s">
        <v>688</v>
      </c>
      <c r="M747">
        <v>9.1</v>
      </c>
    </row>
    <row r="748" spans="1:13" x14ac:dyDescent="0.25">
      <c r="A748" t="s">
        <v>34</v>
      </c>
      <c r="D748" t="s">
        <v>41</v>
      </c>
      <c r="E748">
        <v>2008</v>
      </c>
      <c r="F748">
        <v>1</v>
      </c>
      <c r="G748">
        <v>7</v>
      </c>
      <c r="H748">
        <v>2</v>
      </c>
      <c r="I748">
        <v>107</v>
      </c>
      <c r="K748" s="13">
        <v>45897</v>
      </c>
      <c r="L748" t="s">
        <v>689</v>
      </c>
      <c r="M748">
        <v>9.6</v>
      </c>
    </row>
    <row r="749" spans="1:13" x14ac:dyDescent="0.25">
      <c r="A749" t="s">
        <v>34</v>
      </c>
      <c r="D749" t="s">
        <v>41</v>
      </c>
      <c r="E749">
        <v>2008</v>
      </c>
      <c r="F749">
        <v>1</v>
      </c>
      <c r="G749">
        <v>7</v>
      </c>
      <c r="H749">
        <v>2</v>
      </c>
      <c r="I749">
        <v>107</v>
      </c>
      <c r="K749" s="13">
        <v>45911</v>
      </c>
      <c r="L749" t="s">
        <v>687</v>
      </c>
      <c r="M749">
        <v>10</v>
      </c>
    </row>
    <row r="750" spans="1:13" x14ac:dyDescent="0.25">
      <c r="A750" t="s">
        <v>34</v>
      </c>
      <c r="D750" t="s">
        <v>41</v>
      </c>
      <c r="E750">
        <v>2008</v>
      </c>
      <c r="F750">
        <v>1</v>
      </c>
      <c r="G750">
        <v>7</v>
      </c>
      <c r="H750">
        <v>2</v>
      </c>
      <c r="I750">
        <v>107</v>
      </c>
      <c r="K750" s="13">
        <v>45911</v>
      </c>
      <c r="L750" t="s">
        <v>688</v>
      </c>
      <c r="M750">
        <v>10</v>
      </c>
    </row>
    <row r="751" spans="1:13" x14ac:dyDescent="0.25">
      <c r="A751" t="s">
        <v>34</v>
      </c>
      <c r="D751" t="s">
        <v>41</v>
      </c>
      <c r="E751">
        <v>2008</v>
      </c>
      <c r="F751">
        <v>1</v>
      </c>
      <c r="G751">
        <v>7</v>
      </c>
      <c r="H751">
        <v>2</v>
      </c>
      <c r="I751">
        <v>107</v>
      </c>
      <c r="K751" s="13">
        <v>45911</v>
      </c>
      <c r="L751" t="s">
        <v>689</v>
      </c>
      <c r="M751">
        <v>10</v>
      </c>
    </row>
    <row r="752" spans="1:13" x14ac:dyDescent="0.25">
      <c r="A752" t="s">
        <v>34</v>
      </c>
      <c r="D752" t="s">
        <v>37</v>
      </c>
      <c r="E752">
        <v>1989</v>
      </c>
      <c r="F752">
        <v>2</v>
      </c>
      <c r="G752">
        <v>7</v>
      </c>
      <c r="H752">
        <v>2</v>
      </c>
      <c r="I752">
        <v>123</v>
      </c>
      <c r="K752" s="13">
        <v>45796</v>
      </c>
      <c r="L752" t="s">
        <v>687</v>
      </c>
    </row>
    <row r="753" spans="1:13" x14ac:dyDescent="0.25">
      <c r="A753" t="s">
        <v>34</v>
      </c>
      <c r="D753" t="s">
        <v>37</v>
      </c>
      <c r="E753">
        <v>1989</v>
      </c>
      <c r="F753">
        <v>2</v>
      </c>
      <c r="G753">
        <v>7</v>
      </c>
      <c r="H753">
        <v>2</v>
      </c>
      <c r="I753">
        <v>123</v>
      </c>
      <c r="K753" s="13">
        <v>45796</v>
      </c>
      <c r="L753" t="s">
        <v>688</v>
      </c>
    </row>
    <row r="754" spans="1:13" x14ac:dyDescent="0.25">
      <c r="A754" t="s">
        <v>34</v>
      </c>
      <c r="D754" t="s">
        <v>37</v>
      </c>
      <c r="E754">
        <v>1989</v>
      </c>
      <c r="F754">
        <v>2</v>
      </c>
      <c r="G754">
        <v>7</v>
      </c>
      <c r="H754">
        <v>2</v>
      </c>
      <c r="I754">
        <v>123</v>
      </c>
      <c r="K754" s="13">
        <v>45796</v>
      </c>
      <c r="L754" t="s">
        <v>689</v>
      </c>
    </row>
    <row r="755" spans="1:13" x14ac:dyDescent="0.25">
      <c r="A755" t="s">
        <v>34</v>
      </c>
      <c r="D755" t="s">
        <v>37</v>
      </c>
      <c r="E755">
        <v>1989</v>
      </c>
      <c r="F755">
        <v>2</v>
      </c>
      <c r="G755">
        <v>7</v>
      </c>
      <c r="H755">
        <v>2</v>
      </c>
      <c r="I755">
        <v>123</v>
      </c>
      <c r="K755" s="13">
        <v>45820</v>
      </c>
      <c r="L755" t="s">
        <v>687</v>
      </c>
      <c r="M755">
        <v>2.5</v>
      </c>
    </row>
    <row r="756" spans="1:13" x14ac:dyDescent="0.25">
      <c r="A756" t="s">
        <v>34</v>
      </c>
      <c r="D756" t="s">
        <v>37</v>
      </c>
      <c r="E756">
        <v>1989</v>
      </c>
      <c r="F756">
        <v>2</v>
      </c>
      <c r="G756">
        <v>7</v>
      </c>
      <c r="H756">
        <v>2</v>
      </c>
      <c r="I756">
        <v>123</v>
      </c>
      <c r="K756" s="13">
        <v>45820</v>
      </c>
      <c r="L756" t="s">
        <v>688</v>
      </c>
      <c r="M756">
        <v>2.6</v>
      </c>
    </row>
    <row r="757" spans="1:13" x14ac:dyDescent="0.25">
      <c r="A757" t="s">
        <v>34</v>
      </c>
      <c r="D757" t="s">
        <v>37</v>
      </c>
      <c r="E757">
        <v>1989</v>
      </c>
      <c r="F757">
        <v>2</v>
      </c>
      <c r="G757">
        <v>7</v>
      </c>
      <c r="H757">
        <v>2</v>
      </c>
      <c r="I757">
        <v>123</v>
      </c>
      <c r="K757" s="13">
        <v>45820</v>
      </c>
      <c r="L757" t="s">
        <v>689</v>
      </c>
      <c r="M757">
        <v>2.7</v>
      </c>
    </row>
    <row r="758" spans="1:13" x14ac:dyDescent="0.25">
      <c r="A758" t="s">
        <v>34</v>
      </c>
      <c r="D758" t="s">
        <v>37</v>
      </c>
      <c r="E758">
        <v>1989</v>
      </c>
      <c r="F758">
        <v>2</v>
      </c>
      <c r="G758">
        <v>7</v>
      </c>
      <c r="H758">
        <v>2</v>
      </c>
      <c r="I758">
        <v>123</v>
      </c>
      <c r="K758" s="13">
        <v>45825</v>
      </c>
      <c r="L758" t="s">
        <v>687</v>
      </c>
    </row>
    <row r="759" spans="1:13" x14ac:dyDescent="0.25">
      <c r="A759" t="s">
        <v>34</v>
      </c>
      <c r="D759" t="s">
        <v>37</v>
      </c>
      <c r="E759">
        <v>1989</v>
      </c>
      <c r="F759">
        <v>2</v>
      </c>
      <c r="G759">
        <v>7</v>
      </c>
      <c r="H759">
        <v>2</v>
      </c>
      <c r="I759">
        <v>123</v>
      </c>
      <c r="K759" s="13">
        <v>45825</v>
      </c>
      <c r="L759" t="s">
        <v>688</v>
      </c>
    </row>
    <row r="760" spans="1:13" x14ac:dyDescent="0.25">
      <c r="A760" t="s">
        <v>34</v>
      </c>
      <c r="D760" t="s">
        <v>37</v>
      </c>
      <c r="E760">
        <v>1989</v>
      </c>
      <c r="F760">
        <v>2</v>
      </c>
      <c r="G760">
        <v>7</v>
      </c>
      <c r="H760">
        <v>2</v>
      </c>
      <c r="I760">
        <v>123</v>
      </c>
      <c r="K760" s="13">
        <v>45825</v>
      </c>
      <c r="L760" t="s">
        <v>689</v>
      </c>
    </row>
    <row r="761" spans="1:13" x14ac:dyDescent="0.25">
      <c r="A761" t="s">
        <v>34</v>
      </c>
      <c r="D761" t="s">
        <v>37</v>
      </c>
      <c r="E761">
        <v>1989</v>
      </c>
      <c r="F761">
        <v>2</v>
      </c>
      <c r="G761">
        <v>7</v>
      </c>
      <c r="H761">
        <v>2</v>
      </c>
      <c r="I761">
        <v>123</v>
      </c>
      <c r="K761" s="13">
        <v>45827</v>
      </c>
      <c r="L761" t="s">
        <v>687</v>
      </c>
      <c r="M761">
        <v>3.2</v>
      </c>
    </row>
    <row r="762" spans="1:13" x14ac:dyDescent="0.25">
      <c r="A762" t="s">
        <v>34</v>
      </c>
      <c r="D762" t="s">
        <v>37</v>
      </c>
      <c r="E762">
        <v>1989</v>
      </c>
      <c r="F762">
        <v>2</v>
      </c>
      <c r="G762">
        <v>7</v>
      </c>
      <c r="H762">
        <v>2</v>
      </c>
      <c r="I762">
        <v>123</v>
      </c>
      <c r="K762" s="13">
        <v>45827</v>
      </c>
      <c r="L762" t="s">
        <v>688</v>
      </c>
      <c r="M762">
        <v>3.2</v>
      </c>
    </row>
    <row r="763" spans="1:13" x14ac:dyDescent="0.25">
      <c r="A763" t="s">
        <v>34</v>
      </c>
      <c r="D763" t="s">
        <v>37</v>
      </c>
      <c r="E763">
        <v>1989</v>
      </c>
      <c r="F763">
        <v>2</v>
      </c>
      <c r="G763">
        <v>7</v>
      </c>
      <c r="H763">
        <v>2</v>
      </c>
      <c r="I763">
        <v>123</v>
      </c>
      <c r="K763" s="13">
        <v>45827</v>
      </c>
      <c r="L763" t="s">
        <v>689</v>
      </c>
      <c r="M763">
        <v>3.1</v>
      </c>
    </row>
    <row r="764" spans="1:13" x14ac:dyDescent="0.25">
      <c r="A764" t="s">
        <v>34</v>
      </c>
      <c r="D764" t="s">
        <v>37</v>
      </c>
      <c r="E764">
        <v>1989</v>
      </c>
      <c r="F764">
        <v>2</v>
      </c>
      <c r="G764">
        <v>7</v>
      </c>
      <c r="H764">
        <v>2</v>
      </c>
      <c r="I764">
        <v>123</v>
      </c>
      <c r="K764" s="13">
        <v>45859</v>
      </c>
      <c r="L764" t="s">
        <v>687</v>
      </c>
      <c r="M764">
        <v>6.1</v>
      </c>
    </row>
    <row r="765" spans="1:13" x14ac:dyDescent="0.25">
      <c r="A765" t="s">
        <v>34</v>
      </c>
      <c r="D765" t="s">
        <v>37</v>
      </c>
      <c r="E765">
        <v>1989</v>
      </c>
      <c r="F765">
        <v>2</v>
      </c>
      <c r="G765">
        <v>7</v>
      </c>
      <c r="H765">
        <v>2</v>
      </c>
      <c r="I765">
        <v>123</v>
      </c>
      <c r="K765" s="13">
        <v>45859</v>
      </c>
      <c r="L765" t="s">
        <v>688</v>
      </c>
      <c r="M765">
        <v>6.2</v>
      </c>
    </row>
    <row r="766" spans="1:13" x14ac:dyDescent="0.25">
      <c r="A766" t="s">
        <v>34</v>
      </c>
      <c r="D766" t="s">
        <v>37</v>
      </c>
      <c r="E766">
        <v>1989</v>
      </c>
      <c r="F766">
        <v>2</v>
      </c>
      <c r="G766">
        <v>7</v>
      </c>
      <c r="H766">
        <v>2</v>
      </c>
      <c r="I766">
        <v>123</v>
      </c>
      <c r="K766" s="13">
        <v>45859</v>
      </c>
      <c r="L766" t="s">
        <v>689</v>
      </c>
    </row>
    <row r="767" spans="1:13" x14ac:dyDescent="0.25">
      <c r="A767" t="s">
        <v>34</v>
      </c>
      <c r="D767" t="s">
        <v>37</v>
      </c>
      <c r="E767">
        <v>1989</v>
      </c>
      <c r="F767">
        <v>2</v>
      </c>
      <c r="G767">
        <v>7</v>
      </c>
      <c r="H767">
        <v>2</v>
      </c>
      <c r="I767">
        <v>123</v>
      </c>
      <c r="K767" s="13">
        <v>45868</v>
      </c>
      <c r="L767" t="s">
        <v>687</v>
      </c>
      <c r="M767">
        <v>6.9</v>
      </c>
    </row>
    <row r="768" spans="1:13" x14ac:dyDescent="0.25">
      <c r="A768" t="s">
        <v>34</v>
      </c>
      <c r="D768" t="s">
        <v>37</v>
      </c>
      <c r="E768">
        <v>1989</v>
      </c>
      <c r="F768">
        <v>2</v>
      </c>
      <c r="G768">
        <v>7</v>
      </c>
      <c r="H768">
        <v>2</v>
      </c>
      <c r="I768">
        <v>123</v>
      </c>
      <c r="K768" s="13">
        <v>45868</v>
      </c>
      <c r="L768" t="s">
        <v>688</v>
      </c>
      <c r="M768">
        <v>7.2</v>
      </c>
    </row>
    <row r="769" spans="1:13" x14ac:dyDescent="0.25">
      <c r="A769" t="s">
        <v>34</v>
      </c>
      <c r="D769" t="s">
        <v>37</v>
      </c>
      <c r="E769">
        <v>1989</v>
      </c>
      <c r="F769">
        <v>2</v>
      </c>
      <c r="G769">
        <v>7</v>
      </c>
      <c r="H769">
        <v>2</v>
      </c>
      <c r="I769">
        <v>123</v>
      </c>
      <c r="K769" s="13">
        <v>45868</v>
      </c>
      <c r="L769" t="s">
        <v>689</v>
      </c>
      <c r="M769">
        <v>6.3</v>
      </c>
    </row>
    <row r="770" spans="1:13" x14ac:dyDescent="0.25">
      <c r="A770" t="s">
        <v>34</v>
      </c>
      <c r="D770" t="s">
        <v>37</v>
      </c>
      <c r="E770">
        <v>1989</v>
      </c>
      <c r="F770">
        <v>2</v>
      </c>
      <c r="G770">
        <v>7</v>
      </c>
      <c r="H770">
        <v>2</v>
      </c>
      <c r="I770">
        <v>123</v>
      </c>
      <c r="K770" s="13">
        <v>45875</v>
      </c>
      <c r="L770" t="s">
        <v>687</v>
      </c>
    </row>
    <row r="771" spans="1:13" x14ac:dyDescent="0.25">
      <c r="A771" t="s">
        <v>34</v>
      </c>
      <c r="D771" t="s">
        <v>37</v>
      </c>
      <c r="E771">
        <v>1989</v>
      </c>
      <c r="F771">
        <v>2</v>
      </c>
      <c r="G771">
        <v>7</v>
      </c>
      <c r="H771">
        <v>2</v>
      </c>
      <c r="I771">
        <v>123</v>
      </c>
      <c r="K771" s="13">
        <v>45875</v>
      </c>
      <c r="L771" t="s">
        <v>688</v>
      </c>
    </row>
    <row r="772" spans="1:13" x14ac:dyDescent="0.25">
      <c r="A772" t="s">
        <v>34</v>
      </c>
      <c r="D772" t="s">
        <v>37</v>
      </c>
      <c r="E772">
        <v>1989</v>
      </c>
      <c r="F772">
        <v>2</v>
      </c>
      <c r="G772">
        <v>7</v>
      </c>
      <c r="H772">
        <v>2</v>
      </c>
      <c r="I772">
        <v>123</v>
      </c>
      <c r="K772" s="13">
        <v>45875</v>
      </c>
      <c r="L772" t="s">
        <v>689</v>
      </c>
    </row>
    <row r="773" spans="1:13" x14ac:dyDescent="0.25">
      <c r="A773" t="s">
        <v>34</v>
      </c>
      <c r="D773" t="s">
        <v>37</v>
      </c>
      <c r="E773">
        <v>1989</v>
      </c>
      <c r="F773">
        <v>2</v>
      </c>
      <c r="G773">
        <v>7</v>
      </c>
      <c r="H773">
        <v>2</v>
      </c>
      <c r="I773">
        <v>123</v>
      </c>
      <c r="K773" s="13">
        <v>45880</v>
      </c>
      <c r="L773" t="s">
        <v>687</v>
      </c>
      <c r="M773">
        <v>8.1</v>
      </c>
    </row>
    <row r="774" spans="1:13" x14ac:dyDescent="0.25">
      <c r="A774" t="s">
        <v>34</v>
      </c>
      <c r="D774" t="s">
        <v>37</v>
      </c>
      <c r="E774">
        <v>1989</v>
      </c>
      <c r="F774">
        <v>2</v>
      </c>
      <c r="G774">
        <v>7</v>
      </c>
      <c r="H774">
        <v>2</v>
      </c>
      <c r="I774">
        <v>123</v>
      </c>
      <c r="K774" s="13">
        <v>45880</v>
      </c>
      <c r="L774" t="s">
        <v>688</v>
      </c>
      <c r="M774">
        <v>8.1999999999999993</v>
      </c>
    </row>
    <row r="775" spans="1:13" x14ac:dyDescent="0.25">
      <c r="A775" t="s">
        <v>34</v>
      </c>
      <c r="D775" t="s">
        <v>37</v>
      </c>
      <c r="E775">
        <v>1989</v>
      </c>
      <c r="F775">
        <v>2</v>
      </c>
      <c r="G775">
        <v>7</v>
      </c>
      <c r="H775">
        <v>2</v>
      </c>
      <c r="I775">
        <v>123</v>
      </c>
      <c r="K775" s="13">
        <v>45880</v>
      </c>
      <c r="L775" t="s">
        <v>689</v>
      </c>
      <c r="M775">
        <v>8.1999999999999993</v>
      </c>
    </row>
    <row r="776" spans="1:13" x14ac:dyDescent="0.25">
      <c r="A776" t="s">
        <v>34</v>
      </c>
      <c r="D776" t="s">
        <v>37</v>
      </c>
      <c r="E776">
        <v>1989</v>
      </c>
      <c r="F776">
        <v>2</v>
      </c>
      <c r="G776">
        <v>7</v>
      </c>
      <c r="H776">
        <v>2</v>
      </c>
      <c r="I776">
        <v>123</v>
      </c>
      <c r="K776" s="13">
        <v>45897</v>
      </c>
      <c r="L776" t="s">
        <v>687</v>
      </c>
      <c r="M776">
        <v>9.8000000000000007</v>
      </c>
    </row>
    <row r="777" spans="1:13" x14ac:dyDescent="0.25">
      <c r="A777" t="s">
        <v>34</v>
      </c>
      <c r="D777" t="s">
        <v>37</v>
      </c>
      <c r="E777">
        <v>1989</v>
      </c>
      <c r="F777">
        <v>2</v>
      </c>
      <c r="G777">
        <v>7</v>
      </c>
      <c r="H777">
        <v>2</v>
      </c>
      <c r="I777">
        <v>123</v>
      </c>
      <c r="K777" s="13">
        <v>45897</v>
      </c>
      <c r="L777" t="s">
        <v>688</v>
      </c>
      <c r="M777">
        <v>9.6999999999999993</v>
      </c>
    </row>
    <row r="778" spans="1:13" x14ac:dyDescent="0.25">
      <c r="A778" t="s">
        <v>34</v>
      </c>
      <c r="D778" t="s">
        <v>37</v>
      </c>
      <c r="E778">
        <v>1989</v>
      </c>
      <c r="F778">
        <v>2</v>
      </c>
      <c r="G778">
        <v>7</v>
      </c>
      <c r="H778">
        <v>2</v>
      </c>
      <c r="I778">
        <v>123</v>
      </c>
      <c r="K778" s="13">
        <v>45897</v>
      </c>
      <c r="L778" t="s">
        <v>689</v>
      </c>
    </row>
    <row r="779" spans="1:13" x14ac:dyDescent="0.25">
      <c r="A779" t="s">
        <v>34</v>
      </c>
      <c r="D779" t="s">
        <v>37</v>
      </c>
      <c r="E779">
        <v>1989</v>
      </c>
      <c r="F779">
        <v>2</v>
      </c>
      <c r="G779">
        <v>7</v>
      </c>
      <c r="H779">
        <v>2</v>
      </c>
      <c r="I779">
        <v>123</v>
      </c>
      <c r="K779" s="13">
        <v>45911</v>
      </c>
      <c r="L779" t="s">
        <v>687</v>
      </c>
      <c r="M779">
        <v>10.7</v>
      </c>
    </row>
    <row r="780" spans="1:13" x14ac:dyDescent="0.25">
      <c r="A780" t="s">
        <v>34</v>
      </c>
      <c r="D780" t="s">
        <v>37</v>
      </c>
      <c r="E780">
        <v>1989</v>
      </c>
      <c r="F780">
        <v>2</v>
      </c>
      <c r="G780">
        <v>7</v>
      </c>
      <c r="H780">
        <v>2</v>
      </c>
      <c r="I780">
        <v>123</v>
      </c>
      <c r="K780" s="13">
        <v>45911</v>
      </c>
      <c r="L780" t="s">
        <v>688</v>
      </c>
      <c r="M780">
        <v>10.6</v>
      </c>
    </row>
    <row r="781" spans="1:13" x14ac:dyDescent="0.25">
      <c r="A781" t="s">
        <v>34</v>
      </c>
      <c r="D781" t="s">
        <v>37</v>
      </c>
      <c r="E781">
        <v>1989</v>
      </c>
      <c r="F781">
        <v>2</v>
      </c>
      <c r="G781">
        <v>7</v>
      </c>
      <c r="H781">
        <v>2</v>
      </c>
      <c r="I781">
        <v>123</v>
      </c>
      <c r="K781" s="13">
        <v>45911</v>
      </c>
      <c r="L781" t="s">
        <v>689</v>
      </c>
    </row>
    <row r="782" spans="1:13" x14ac:dyDescent="0.25">
      <c r="A782" t="s">
        <v>34</v>
      </c>
      <c r="D782" t="s">
        <v>39</v>
      </c>
      <c r="E782">
        <v>2001</v>
      </c>
      <c r="F782">
        <v>3</v>
      </c>
      <c r="G782">
        <v>7</v>
      </c>
      <c r="H782">
        <v>2</v>
      </c>
      <c r="I782">
        <v>139</v>
      </c>
      <c r="K782" s="13">
        <v>45796</v>
      </c>
      <c r="L782" t="s">
        <v>687</v>
      </c>
    </row>
    <row r="783" spans="1:13" x14ac:dyDescent="0.25">
      <c r="A783" t="s">
        <v>34</v>
      </c>
      <c r="D783" t="s">
        <v>39</v>
      </c>
      <c r="E783">
        <v>2001</v>
      </c>
      <c r="F783">
        <v>3</v>
      </c>
      <c r="G783">
        <v>7</v>
      </c>
      <c r="H783">
        <v>2</v>
      </c>
      <c r="I783">
        <v>139</v>
      </c>
      <c r="K783" s="13">
        <v>45796</v>
      </c>
      <c r="L783" t="s">
        <v>688</v>
      </c>
    </row>
    <row r="784" spans="1:13" x14ac:dyDescent="0.25">
      <c r="A784" t="s">
        <v>34</v>
      </c>
      <c r="D784" t="s">
        <v>39</v>
      </c>
      <c r="E784">
        <v>2001</v>
      </c>
      <c r="F784">
        <v>3</v>
      </c>
      <c r="G784">
        <v>7</v>
      </c>
      <c r="H784">
        <v>2</v>
      </c>
      <c r="I784">
        <v>139</v>
      </c>
      <c r="K784" s="13">
        <v>45796</v>
      </c>
      <c r="L784" t="s">
        <v>689</v>
      </c>
    </row>
    <row r="785" spans="1:13" x14ac:dyDescent="0.25">
      <c r="A785" t="s">
        <v>34</v>
      </c>
      <c r="D785" t="s">
        <v>39</v>
      </c>
      <c r="E785">
        <v>2001</v>
      </c>
      <c r="F785">
        <v>3</v>
      </c>
      <c r="G785">
        <v>7</v>
      </c>
      <c r="H785">
        <v>2</v>
      </c>
      <c r="I785">
        <v>139</v>
      </c>
      <c r="K785" s="13">
        <v>45820</v>
      </c>
      <c r="L785" t="s">
        <v>687</v>
      </c>
      <c r="M785">
        <v>2.9</v>
      </c>
    </row>
    <row r="786" spans="1:13" x14ac:dyDescent="0.25">
      <c r="A786" t="s">
        <v>34</v>
      </c>
      <c r="D786" t="s">
        <v>39</v>
      </c>
      <c r="E786">
        <v>2001</v>
      </c>
      <c r="F786">
        <v>3</v>
      </c>
      <c r="G786">
        <v>7</v>
      </c>
      <c r="H786">
        <v>2</v>
      </c>
      <c r="I786">
        <v>139</v>
      </c>
      <c r="K786" s="13">
        <v>45820</v>
      </c>
      <c r="L786" t="s">
        <v>688</v>
      </c>
      <c r="M786">
        <v>3.6</v>
      </c>
    </row>
    <row r="787" spans="1:13" x14ac:dyDescent="0.25">
      <c r="A787" t="s">
        <v>34</v>
      </c>
      <c r="D787" t="s">
        <v>39</v>
      </c>
      <c r="E787">
        <v>2001</v>
      </c>
      <c r="F787">
        <v>3</v>
      </c>
      <c r="G787">
        <v>7</v>
      </c>
      <c r="H787">
        <v>2</v>
      </c>
      <c r="I787">
        <v>139</v>
      </c>
      <c r="K787" s="13">
        <v>45820</v>
      </c>
      <c r="L787" t="s">
        <v>689</v>
      </c>
      <c r="M787">
        <v>3.6</v>
      </c>
    </row>
    <row r="788" spans="1:13" x14ac:dyDescent="0.25">
      <c r="A788" t="s">
        <v>34</v>
      </c>
      <c r="D788" t="s">
        <v>39</v>
      </c>
      <c r="E788">
        <v>2001</v>
      </c>
      <c r="F788">
        <v>3</v>
      </c>
      <c r="G788">
        <v>7</v>
      </c>
      <c r="H788">
        <v>2</v>
      </c>
      <c r="I788">
        <v>139</v>
      </c>
      <c r="K788" s="13">
        <v>45825</v>
      </c>
      <c r="L788" t="s">
        <v>687</v>
      </c>
    </row>
    <row r="789" spans="1:13" x14ac:dyDescent="0.25">
      <c r="A789" t="s">
        <v>34</v>
      </c>
      <c r="D789" t="s">
        <v>39</v>
      </c>
      <c r="E789">
        <v>2001</v>
      </c>
      <c r="F789">
        <v>3</v>
      </c>
      <c r="G789">
        <v>7</v>
      </c>
      <c r="H789">
        <v>2</v>
      </c>
      <c r="I789">
        <v>139</v>
      </c>
      <c r="K789" s="13">
        <v>45825</v>
      </c>
      <c r="L789" t="s">
        <v>688</v>
      </c>
    </row>
    <row r="790" spans="1:13" x14ac:dyDescent="0.25">
      <c r="A790" t="s">
        <v>34</v>
      </c>
      <c r="D790" t="s">
        <v>39</v>
      </c>
      <c r="E790">
        <v>2001</v>
      </c>
      <c r="F790">
        <v>3</v>
      </c>
      <c r="G790">
        <v>7</v>
      </c>
      <c r="H790">
        <v>2</v>
      </c>
      <c r="I790">
        <v>139</v>
      </c>
      <c r="K790" s="13">
        <v>45825</v>
      </c>
      <c r="L790" t="s">
        <v>689</v>
      </c>
    </row>
    <row r="791" spans="1:13" x14ac:dyDescent="0.25">
      <c r="A791" t="s">
        <v>34</v>
      </c>
      <c r="D791" t="s">
        <v>39</v>
      </c>
      <c r="E791">
        <v>2001</v>
      </c>
      <c r="F791">
        <v>3</v>
      </c>
      <c r="G791">
        <v>7</v>
      </c>
      <c r="H791">
        <v>2</v>
      </c>
      <c r="I791">
        <v>139</v>
      </c>
      <c r="K791" s="13">
        <v>45827</v>
      </c>
      <c r="L791" t="s">
        <v>687</v>
      </c>
      <c r="M791">
        <v>3.2</v>
      </c>
    </row>
    <row r="792" spans="1:13" x14ac:dyDescent="0.25">
      <c r="A792" t="s">
        <v>34</v>
      </c>
      <c r="D792" t="s">
        <v>39</v>
      </c>
      <c r="E792">
        <v>2001</v>
      </c>
      <c r="F792">
        <v>3</v>
      </c>
      <c r="G792">
        <v>7</v>
      </c>
      <c r="H792">
        <v>2</v>
      </c>
      <c r="I792">
        <v>139</v>
      </c>
      <c r="K792" s="13">
        <v>45827</v>
      </c>
      <c r="L792" t="s">
        <v>688</v>
      </c>
      <c r="M792">
        <v>3.3</v>
      </c>
    </row>
    <row r="793" spans="1:13" x14ac:dyDescent="0.25">
      <c r="A793" t="s">
        <v>34</v>
      </c>
      <c r="D793" t="s">
        <v>39</v>
      </c>
      <c r="E793">
        <v>2001</v>
      </c>
      <c r="F793">
        <v>3</v>
      </c>
      <c r="G793">
        <v>7</v>
      </c>
      <c r="H793">
        <v>2</v>
      </c>
      <c r="I793">
        <v>139</v>
      </c>
      <c r="K793" s="13">
        <v>45827</v>
      </c>
      <c r="L793" t="s">
        <v>689</v>
      </c>
      <c r="M793">
        <v>3.4</v>
      </c>
    </row>
    <row r="794" spans="1:13" x14ac:dyDescent="0.25">
      <c r="A794" t="s">
        <v>34</v>
      </c>
      <c r="D794" t="s">
        <v>39</v>
      </c>
      <c r="E794">
        <v>2001</v>
      </c>
      <c r="F794">
        <v>3</v>
      </c>
      <c r="G794">
        <v>7</v>
      </c>
      <c r="H794">
        <v>2</v>
      </c>
      <c r="I794">
        <v>139</v>
      </c>
      <c r="K794" s="13">
        <v>45859</v>
      </c>
      <c r="L794" t="s">
        <v>687</v>
      </c>
      <c r="M794">
        <v>6.2</v>
      </c>
    </row>
    <row r="795" spans="1:13" x14ac:dyDescent="0.25">
      <c r="A795" t="s">
        <v>34</v>
      </c>
      <c r="D795" t="s">
        <v>39</v>
      </c>
      <c r="E795">
        <v>2001</v>
      </c>
      <c r="F795">
        <v>3</v>
      </c>
      <c r="G795">
        <v>7</v>
      </c>
      <c r="H795">
        <v>2</v>
      </c>
      <c r="I795">
        <v>139</v>
      </c>
      <c r="K795" s="13">
        <v>45859</v>
      </c>
      <c r="L795" t="s">
        <v>688</v>
      </c>
      <c r="M795">
        <v>6.1</v>
      </c>
    </row>
    <row r="796" spans="1:13" x14ac:dyDescent="0.25">
      <c r="A796" t="s">
        <v>34</v>
      </c>
      <c r="D796" t="s">
        <v>39</v>
      </c>
      <c r="E796">
        <v>2001</v>
      </c>
      <c r="F796">
        <v>3</v>
      </c>
      <c r="G796">
        <v>7</v>
      </c>
      <c r="H796">
        <v>2</v>
      </c>
      <c r="I796">
        <v>139</v>
      </c>
      <c r="K796" s="13">
        <v>45859</v>
      </c>
      <c r="L796" t="s">
        <v>689</v>
      </c>
      <c r="M796">
        <v>6.1</v>
      </c>
    </row>
    <row r="797" spans="1:13" x14ac:dyDescent="0.25">
      <c r="A797" t="s">
        <v>34</v>
      </c>
      <c r="D797" t="s">
        <v>39</v>
      </c>
      <c r="E797">
        <v>2001</v>
      </c>
      <c r="F797">
        <v>3</v>
      </c>
      <c r="G797">
        <v>7</v>
      </c>
      <c r="H797">
        <v>2</v>
      </c>
      <c r="I797">
        <v>139</v>
      </c>
      <c r="K797" s="13">
        <v>45868</v>
      </c>
      <c r="L797" t="s">
        <v>687</v>
      </c>
      <c r="M797">
        <v>6.9</v>
      </c>
    </row>
    <row r="798" spans="1:13" x14ac:dyDescent="0.25">
      <c r="A798" t="s">
        <v>34</v>
      </c>
      <c r="D798" t="s">
        <v>39</v>
      </c>
      <c r="E798">
        <v>2001</v>
      </c>
      <c r="F798">
        <v>3</v>
      </c>
      <c r="G798">
        <v>7</v>
      </c>
      <c r="H798">
        <v>2</v>
      </c>
      <c r="I798">
        <v>139</v>
      </c>
      <c r="K798" s="13">
        <v>45868</v>
      </c>
      <c r="L798" t="s">
        <v>688</v>
      </c>
      <c r="M798">
        <v>6.9</v>
      </c>
    </row>
    <row r="799" spans="1:13" x14ac:dyDescent="0.25">
      <c r="A799" t="s">
        <v>34</v>
      </c>
      <c r="D799" t="s">
        <v>39</v>
      </c>
      <c r="E799">
        <v>2001</v>
      </c>
      <c r="F799">
        <v>3</v>
      </c>
      <c r="G799">
        <v>7</v>
      </c>
      <c r="H799">
        <v>2</v>
      </c>
      <c r="I799">
        <v>139</v>
      </c>
      <c r="K799" s="13">
        <v>45868</v>
      </c>
      <c r="L799" t="s">
        <v>689</v>
      </c>
      <c r="M799">
        <v>6.8</v>
      </c>
    </row>
    <row r="800" spans="1:13" x14ac:dyDescent="0.25">
      <c r="A800" t="s">
        <v>34</v>
      </c>
      <c r="D800" t="s">
        <v>39</v>
      </c>
      <c r="E800">
        <v>2001</v>
      </c>
      <c r="F800">
        <v>3</v>
      </c>
      <c r="G800">
        <v>7</v>
      </c>
      <c r="H800">
        <v>2</v>
      </c>
      <c r="I800">
        <v>139</v>
      </c>
      <c r="K800" s="13">
        <v>45875</v>
      </c>
      <c r="L800" t="s">
        <v>687</v>
      </c>
    </row>
    <row r="801" spans="1:13" x14ac:dyDescent="0.25">
      <c r="A801" t="s">
        <v>34</v>
      </c>
      <c r="D801" t="s">
        <v>39</v>
      </c>
      <c r="E801">
        <v>2001</v>
      </c>
      <c r="F801">
        <v>3</v>
      </c>
      <c r="G801">
        <v>7</v>
      </c>
      <c r="H801">
        <v>2</v>
      </c>
      <c r="I801">
        <v>139</v>
      </c>
      <c r="K801" s="13">
        <v>45875</v>
      </c>
      <c r="L801" t="s">
        <v>688</v>
      </c>
    </row>
    <row r="802" spans="1:13" x14ac:dyDescent="0.25">
      <c r="A802" t="s">
        <v>34</v>
      </c>
      <c r="D802" t="s">
        <v>39</v>
      </c>
      <c r="E802">
        <v>2001</v>
      </c>
      <c r="F802">
        <v>3</v>
      </c>
      <c r="G802">
        <v>7</v>
      </c>
      <c r="H802">
        <v>2</v>
      </c>
      <c r="I802">
        <v>139</v>
      </c>
      <c r="K802" s="13">
        <v>45875</v>
      </c>
      <c r="L802" t="s">
        <v>689</v>
      </c>
    </row>
    <row r="803" spans="1:13" x14ac:dyDescent="0.25">
      <c r="A803" t="s">
        <v>34</v>
      </c>
      <c r="D803" t="s">
        <v>39</v>
      </c>
      <c r="E803">
        <v>2001</v>
      </c>
      <c r="F803">
        <v>3</v>
      </c>
      <c r="G803">
        <v>7</v>
      </c>
      <c r="H803">
        <v>2</v>
      </c>
      <c r="I803">
        <v>139</v>
      </c>
      <c r="K803" s="13">
        <v>45880</v>
      </c>
      <c r="L803" t="s">
        <v>687</v>
      </c>
      <c r="M803">
        <v>7.9</v>
      </c>
    </row>
    <row r="804" spans="1:13" x14ac:dyDescent="0.25">
      <c r="A804" t="s">
        <v>34</v>
      </c>
      <c r="D804" t="s">
        <v>39</v>
      </c>
      <c r="E804">
        <v>2001</v>
      </c>
      <c r="F804">
        <v>3</v>
      </c>
      <c r="G804">
        <v>7</v>
      </c>
      <c r="H804">
        <v>2</v>
      </c>
      <c r="I804">
        <v>139</v>
      </c>
      <c r="K804" s="13">
        <v>45880</v>
      </c>
      <c r="L804" t="s">
        <v>688</v>
      </c>
      <c r="M804">
        <v>7.8</v>
      </c>
    </row>
    <row r="805" spans="1:13" x14ac:dyDescent="0.25">
      <c r="A805" t="s">
        <v>34</v>
      </c>
      <c r="D805" t="s">
        <v>39</v>
      </c>
      <c r="E805">
        <v>2001</v>
      </c>
      <c r="F805">
        <v>3</v>
      </c>
      <c r="G805">
        <v>7</v>
      </c>
      <c r="H805">
        <v>2</v>
      </c>
      <c r="I805">
        <v>139</v>
      </c>
      <c r="K805" s="13">
        <v>45880</v>
      </c>
      <c r="L805" t="s">
        <v>689</v>
      </c>
      <c r="M805">
        <v>7.8</v>
      </c>
    </row>
    <row r="806" spans="1:13" x14ac:dyDescent="0.25">
      <c r="A806" t="s">
        <v>34</v>
      </c>
      <c r="D806" t="s">
        <v>39</v>
      </c>
      <c r="E806">
        <v>2001</v>
      </c>
      <c r="F806">
        <v>3</v>
      </c>
      <c r="G806">
        <v>7</v>
      </c>
      <c r="H806">
        <v>2</v>
      </c>
      <c r="I806">
        <v>139</v>
      </c>
      <c r="K806" s="13">
        <v>45897</v>
      </c>
      <c r="L806" t="s">
        <v>687</v>
      </c>
      <c r="M806">
        <v>9.1</v>
      </c>
    </row>
    <row r="807" spans="1:13" x14ac:dyDescent="0.25">
      <c r="A807" t="s">
        <v>34</v>
      </c>
      <c r="D807" t="s">
        <v>39</v>
      </c>
      <c r="E807">
        <v>2001</v>
      </c>
      <c r="F807">
        <v>3</v>
      </c>
      <c r="G807">
        <v>7</v>
      </c>
      <c r="H807">
        <v>2</v>
      </c>
      <c r="I807">
        <v>139</v>
      </c>
      <c r="K807" s="13">
        <v>45897</v>
      </c>
      <c r="L807" t="s">
        <v>688</v>
      </c>
      <c r="M807">
        <v>9.1</v>
      </c>
    </row>
    <row r="808" spans="1:13" x14ac:dyDescent="0.25">
      <c r="A808" t="s">
        <v>34</v>
      </c>
      <c r="D808" t="s">
        <v>39</v>
      </c>
      <c r="E808">
        <v>2001</v>
      </c>
      <c r="F808">
        <v>3</v>
      </c>
      <c r="G808">
        <v>7</v>
      </c>
      <c r="H808">
        <v>2</v>
      </c>
      <c r="I808">
        <v>139</v>
      </c>
      <c r="K808" s="13">
        <v>45897</v>
      </c>
      <c r="L808" t="s">
        <v>689</v>
      </c>
      <c r="M808">
        <v>9.4</v>
      </c>
    </row>
    <row r="809" spans="1:13" x14ac:dyDescent="0.25">
      <c r="A809" t="s">
        <v>34</v>
      </c>
      <c r="D809" t="s">
        <v>39</v>
      </c>
      <c r="E809">
        <v>2001</v>
      </c>
      <c r="F809">
        <v>3</v>
      </c>
      <c r="G809">
        <v>7</v>
      </c>
      <c r="H809">
        <v>2</v>
      </c>
      <c r="I809">
        <v>139</v>
      </c>
      <c r="K809" s="13">
        <v>45911</v>
      </c>
      <c r="L809" t="s">
        <v>687</v>
      </c>
      <c r="M809">
        <v>10</v>
      </c>
    </row>
    <row r="810" spans="1:13" x14ac:dyDescent="0.25">
      <c r="A810" t="s">
        <v>34</v>
      </c>
      <c r="D810" t="s">
        <v>39</v>
      </c>
      <c r="E810">
        <v>2001</v>
      </c>
      <c r="F810">
        <v>3</v>
      </c>
      <c r="G810">
        <v>7</v>
      </c>
      <c r="H810">
        <v>2</v>
      </c>
      <c r="I810">
        <v>139</v>
      </c>
      <c r="K810" s="13">
        <v>45911</v>
      </c>
      <c r="L810" t="s">
        <v>688</v>
      </c>
      <c r="M810">
        <v>10</v>
      </c>
    </row>
    <row r="811" spans="1:13" x14ac:dyDescent="0.25">
      <c r="A811" t="s">
        <v>34</v>
      </c>
      <c r="D811" t="s">
        <v>39</v>
      </c>
      <c r="E811">
        <v>2001</v>
      </c>
      <c r="F811">
        <v>3</v>
      </c>
      <c r="G811">
        <v>7</v>
      </c>
      <c r="H811">
        <v>2</v>
      </c>
      <c r="I811">
        <v>139</v>
      </c>
      <c r="K811" s="13">
        <v>45911</v>
      </c>
      <c r="L811" t="s">
        <v>689</v>
      </c>
    </row>
    <row r="812" spans="1:13" x14ac:dyDescent="0.25">
      <c r="A812" t="s">
        <v>34</v>
      </c>
      <c r="D812" t="s">
        <v>36</v>
      </c>
      <c r="E812">
        <v>1984</v>
      </c>
      <c r="F812">
        <v>4</v>
      </c>
      <c r="G812">
        <v>7</v>
      </c>
      <c r="H812">
        <v>2</v>
      </c>
      <c r="I812">
        <v>155</v>
      </c>
      <c r="K812" s="13">
        <v>45796</v>
      </c>
      <c r="L812" t="s">
        <v>687</v>
      </c>
    </row>
    <row r="813" spans="1:13" x14ac:dyDescent="0.25">
      <c r="A813" t="s">
        <v>34</v>
      </c>
      <c r="D813" t="s">
        <v>36</v>
      </c>
      <c r="E813">
        <v>1984</v>
      </c>
      <c r="F813">
        <v>4</v>
      </c>
      <c r="G813">
        <v>7</v>
      </c>
      <c r="H813">
        <v>2</v>
      </c>
      <c r="I813">
        <v>155</v>
      </c>
      <c r="K813" s="13">
        <v>45796</v>
      </c>
      <c r="L813" t="s">
        <v>688</v>
      </c>
    </row>
    <row r="814" spans="1:13" x14ac:dyDescent="0.25">
      <c r="A814" t="s">
        <v>34</v>
      </c>
      <c r="D814" t="s">
        <v>36</v>
      </c>
      <c r="E814">
        <v>1984</v>
      </c>
      <c r="F814">
        <v>4</v>
      </c>
      <c r="G814">
        <v>7</v>
      </c>
      <c r="H814">
        <v>2</v>
      </c>
      <c r="I814">
        <v>155</v>
      </c>
      <c r="K814" s="13">
        <v>45796</v>
      </c>
      <c r="L814" t="s">
        <v>689</v>
      </c>
    </row>
    <row r="815" spans="1:13" x14ac:dyDescent="0.25">
      <c r="A815" t="s">
        <v>34</v>
      </c>
      <c r="D815" t="s">
        <v>36</v>
      </c>
      <c r="E815">
        <v>1984</v>
      </c>
      <c r="F815">
        <v>4</v>
      </c>
      <c r="G815">
        <v>7</v>
      </c>
      <c r="H815">
        <v>2</v>
      </c>
      <c r="I815">
        <v>155</v>
      </c>
      <c r="K815" s="13">
        <v>45820</v>
      </c>
      <c r="L815" t="s">
        <v>687</v>
      </c>
      <c r="M815">
        <v>2.9</v>
      </c>
    </row>
    <row r="816" spans="1:13" x14ac:dyDescent="0.25">
      <c r="A816" t="s">
        <v>34</v>
      </c>
      <c r="D816" t="s">
        <v>36</v>
      </c>
      <c r="E816">
        <v>1984</v>
      </c>
      <c r="F816">
        <v>4</v>
      </c>
      <c r="G816">
        <v>7</v>
      </c>
      <c r="H816">
        <v>2</v>
      </c>
      <c r="I816">
        <v>155</v>
      </c>
      <c r="K816" s="13">
        <v>45820</v>
      </c>
      <c r="L816" t="s">
        <v>688</v>
      </c>
      <c r="M816">
        <v>2.9</v>
      </c>
    </row>
    <row r="817" spans="1:13" x14ac:dyDescent="0.25">
      <c r="A817" t="s">
        <v>34</v>
      </c>
      <c r="D817" t="s">
        <v>36</v>
      </c>
      <c r="E817">
        <v>1984</v>
      </c>
      <c r="F817">
        <v>4</v>
      </c>
      <c r="G817">
        <v>7</v>
      </c>
      <c r="H817">
        <v>2</v>
      </c>
      <c r="I817">
        <v>155</v>
      </c>
      <c r="K817" s="13">
        <v>45820</v>
      </c>
      <c r="L817" t="s">
        <v>689</v>
      </c>
      <c r="M817">
        <v>2.7</v>
      </c>
    </row>
    <row r="818" spans="1:13" x14ac:dyDescent="0.25">
      <c r="A818" t="s">
        <v>34</v>
      </c>
      <c r="D818" t="s">
        <v>36</v>
      </c>
      <c r="E818">
        <v>1984</v>
      </c>
      <c r="F818">
        <v>4</v>
      </c>
      <c r="G818">
        <v>7</v>
      </c>
      <c r="H818">
        <v>2</v>
      </c>
      <c r="I818">
        <v>155</v>
      </c>
      <c r="K818" s="13">
        <v>45825</v>
      </c>
      <c r="L818" t="s">
        <v>687</v>
      </c>
    </row>
    <row r="819" spans="1:13" x14ac:dyDescent="0.25">
      <c r="A819" t="s">
        <v>34</v>
      </c>
      <c r="D819" t="s">
        <v>36</v>
      </c>
      <c r="E819">
        <v>1984</v>
      </c>
      <c r="F819">
        <v>4</v>
      </c>
      <c r="G819">
        <v>7</v>
      </c>
      <c r="H819">
        <v>2</v>
      </c>
      <c r="I819">
        <v>155</v>
      </c>
      <c r="K819" s="13">
        <v>45825</v>
      </c>
      <c r="L819" t="s">
        <v>688</v>
      </c>
    </row>
    <row r="820" spans="1:13" x14ac:dyDescent="0.25">
      <c r="A820" t="s">
        <v>34</v>
      </c>
      <c r="D820" t="s">
        <v>36</v>
      </c>
      <c r="E820">
        <v>1984</v>
      </c>
      <c r="F820">
        <v>4</v>
      </c>
      <c r="G820">
        <v>7</v>
      </c>
      <c r="H820">
        <v>2</v>
      </c>
      <c r="I820">
        <v>155</v>
      </c>
      <c r="K820" s="13">
        <v>45825</v>
      </c>
      <c r="L820" t="s">
        <v>689</v>
      </c>
    </row>
    <row r="821" spans="1:13" x14ac:dyDescent="0.25">
      <c r="A821" t="s">
        <v>34</v>
      </c>
      <c r="D821" t="s">
        <v>36</v>
      </c>
      <c r="E821">
        <v>1984</v>
      </c>
      <c r="F821">
        <v>4</v>
      </c>
      <c r="G821">
        <v>7</v>
      </c>
      <c r="H821">
        <v>2</v>
      </c>
      <c r="I821">
        <v>155</v>
      </c>
      <c r="K821" s="13">
        <v>45827</v>
      </c>
      <c r="L821" t="s">
        <v>687</v>
      </c>
      <c r="M821">
        <v>3.3</v>
      </c>
    </row>
    <row r="822" spans="1:13" x14ac:dyDescent="0.25">
      <c r="A822" t="s">
        <v>34</v>
      </c>
      <c r="D822" t="s">
        <v>36</v>
      </c>
      <c r="E822">
        <v>1984</v>
      </c>
      <c r="F822">
        <v>4</v>
      </c>
      <c r="G822">
        <v>7</v>
      </c>
      <c r="H822">
        <v>2</v>
      </c>
      <c r="I822">
        <v>155</v>
      </c>
      <c r="K822" s="13">
        <v>45827</v>
      </c>
      <c r="L822" t="s">
        <v>688</v>
      </c>
      <c r="M822">
        <v>3.3</v>
      </c>
    </row>
    <row r="823" spans="1:13" x14ac:dyDescent="0.25">
      <c r="A823" t="s">
        <v>34</v>
      </c>
      <c r="D823" t="s">
        <v>36</v>
      </c>
      <c r="E823">
        <v>1984</v>
      </c>
      <c r="F823">
        <v>4</v>
      </c>
      <c r="G823">
        <v>7</v>
      </c>
      <c r="H823">
        <v>2</v>
      </c>
      <c r="I823">
        <v>155</v>
      </c>
      <c r="K823" s="13">
        <v>45827</v>
      </c>
      <c r="L823" t="s">
        <v>689</v>
      </c>
      <c r="M823">
        <v>3.4</v>
      </c>
    </row>
    <row r="824" spans="1:13" x14ac:dyDescent="0.25">
      <c r="A824" t="s">
        <v>34</v>
      </c>
      <c r="D824" t="s">
        <v>36</v>
      </c>
      <c r="E824">
        <v>1984</v>
      </c>
      <c r="F824">
        <v>4</v>
      </c>
      <c r="G824">
        <v>7</v>
      </c>
      <c r="H824">
        <v>2</v>
      </c>
      <c r="I824">
        <v>155</v>
      </c>
      <c r="K824" s="13">
        <v>45859</v>
      </c>
      <c r="L824" t="s">
        <v>687</v>
      </c>
      <c r="M824">
        <v>6.1</v>
      </c>
    </row>
    <row r="825" spans="1:13" x14ac:dyDescent="0.25">
      <c r="A825" t="s">
        <v>34</v>
      </c>
      <c r="D825" t="s">
        <v>36</v>
      </c>
      <c r="E825">
        <v>1984</v>
      </c>
      <c r="F825">
        <v>4</v>
      </c>
      <c r="G825">
        <v>7</v>
      </c>
      <c r="H825">
        <v>2</v>
      </c>
      <c r="I825">
        <v>155</v>
      </c>
      <c r="K825" s="13">
        <v>45859</v>
      </c>
      <c r="L825" t="s">
        <v>688</v>
      </c>
      <c r="M825">
        <v>6.3</v>
      </c>
    </row>
    <row r="826" spans="1:13" x14ac:dyDescent="0.25">
      <c r="A826" t="s">
        <v>34</v>
      </c>
      <c r="D826" t="s">
        <v>36</v>
      </c>
      <c r="E826">
        <v>1984</v>
      </c>
      <c r="F826">
        <v>4</v>
      </c>
      <c r="G826">
        <v>7</v>
      </c>
      <c r="H826">
        <v>2</v>
      </c>
      <c r="I826">
        <v>155</v>
      </c>
      <c r="K826" s="13">
        <v>45859</v>
      </c>
      <c r="L826" t="s">
        <v>689</v>
      </c>
      <c r="M826">
        <v>6.3</v>
      </c>
    </row>
    <row r="827" spans="1:13" x14ac:dyDescent="0.25">
      <c r="A827" t="s">
        <v>34</v>
      </c>
      <c r="D827" t="s">
        <v>36</v>
      </c>
      <c r="E827">
        <v>1984</v>
      </c>
      <c r="F827">
        <v>4</v>
      </c>
      <c r="G827">
        <v>7</v>
      </c>
      <c r="H827">
        <v>2</v>
      </c>
      <c r="I827">
        <v>155</v>
      </c>
      <c r="K827" s="13">
        <v>45868</v>
      </c>
      <c r="L827" t="s">
        <v>687</v>
      </c>
      <c r="M827">
        <v>6.9</v>
      </c>
    </row>
    <row r="828" spans="1:13" x14ac:dyDescent="0.25">
      <c r="A828" t="s">
        <v>34</v>
      </c>
      <c r="D828" t="s">
        <v>36</v>
      </c>
      <c r="E828">
        <v>1984</v>
      </c>
      <c r="F828">
        <v>4</v>
      </c>
      <c r="G828">
        <v>7</v>
      </c>
      <c r="H828">
        <v>2</v>
      </c>
      <c r="I828">
        <v>155</v>
      </c>
      <c r="K828" s="13">
        <v>45868</v>
      </c>
      <c r="L828" t="s">
        <v>688</v>
      </c>
      <c r="M828">
        <v>7.2</v>
      </c>
    </row>
    <row r="829" spans="1:13" x14ac:dyDescent="0.25">
      <c r="A829" t="s">
        <v>34</v>
      </c>
      <c r="D829" t="s">
        <v>36</v>
      </c>
      <c r="E829">
        <v>1984</v>
      </c>
      <c r="F829">
        <v>4</v>
      </c>
      <c r="G829">
        <v>7</v>
      </c>
      <c r="H829">
        <v>2</v>
      </c>
      <c r="I829">
        <v>155</v>
      </c>
      <c r="K829" s="13">
        <v>45868</v>
      </c>
      <c r="L829" t="s">
        <v>689</v>
      </c>
      <c r="M829">
        <v>7.2</v>
      </c>
    </row>
    <row r="830" spans="1:13" x14ac:dyDescent="0.25">
      <c r="A830" t="s">
        <v>34</v>
      </c>
      <c r="D830" t="s">
        <v>36</v>
      </c>
      <c r="E830">
        <v>1984</v>
      </c>
      <c r="F830">
        <v>4</v>
      </c>
      <c r="G830">
        <v>7</v>
      </c>
      <c r="H830">
        <v>2</v>
      </c>
      <c r="I830">
        <v>155</v>
      </c>
      <c r="K830" s="13">
        <v>45875</v>
      </c>
      <c r="L830" t="s">
        <v>687</v>
      </c>
    </row>
    <row r="831" spans="1:13" x14ac:dyDescent="0.25">
      <c r="A831" t="s">
        <v>34</v>
      </c>
      <c r="D831" t="s">
        <v>36</v>
      </c>
      <c r="E831">
        <v>1984</v>
      </c>
      <c r="F831">
        <v>4</v>
      </c>
      <c r="G831">
        <v>7</v>
      </c>
      <c r="H831">
        <v>2</v>
      </c>
      <c r="I831">
        <v>155</v>
      </c>
      <c r="K831" s="13">
        <v>45875</v>
      </c>
      <c r="L831" t="s">
        <v>688</v>
      </c>
    </row>
    <row r="832" spans="1:13" x14ac:dyDescent="0.25">
      <c r="A832" t="s">
        <v>34</v>
      </c>
      <c r="D832" t="s">
        <v>36</v>
      </c>
      <c r="E832">
        <v>1984</v>
      </c>
      <c r="F832">
        <v>4</v>
      </c>
      <c r="G832">
        <v>7</v>
      </c>
      <c r="H832">
        <v>2</v>
      </c>
      <c r="I832">
        <v>155</v>
      </c>
      <c r="K832" s="13">
        <v>45875</v>
      </c>
      <c r="L832" t="s">
        <v>689</v>
      </c>
    </row>
    <row r="833" spans="1:13" x14ac:dyDescent="0.25">
      <c r="A833" t="s">
        <v>34</v>
      </c>
      <c r="D833" t="s">
        <v>36</v>
      </c>
      <c r="E833">
        <v>1984</v>
      </c>
      <c r="F833">
        <v>4</v>
      </c>
      <c r="G833">
        <v>7</v>
      </c>
      <c r="H833">
        <v>2</v>
      </c>
      <c r="I833">
        <v>155</v>
      </c>
      <c r="K833" s="13">
        <v>45880</v>
      </c>
      <c r="L833" t="s">
        <v>687</v>
      </c>
      <c r="M833">
        <v>8.1</v>
      </c>
    </row>
    <row r="834" spans="1:13" x14ac:dyDescent="0.25">
      <c r="A834" t="s">
        <v>34</v>
      </c>
      <c r="D834" t="s">
        <v>36</v>
      </c>
      <c r="E834">
        <v>1984</v>
      </c>
      <c r="F834">
        <v>4</v>
      </c>
      <c r="G834">
        <v>7</v>
      </c>
      <c r="H834">
        <v>2</v>
      </c>
      <c r="I834">
        <v>155</v>
      </c>
      <c r="K834" s="13">
        <v>45880</v>
      </c>
      <c r="L834" t="s">
        <v>688</v>
      </c>
      <c r="M834">
        <v>8.1999999999999993</v>
      </c>
    </row>
    <row r="835" spans="1:13" x14ac:dyDescent="0.25">
      <c r="A835" t="s">
        <v>34</v>
      </c>
      <c r="D835" t="s">
        <v>36</v>
      </c>
      <c r="E835">
        <v>1984</v>
      </c>
      <c r="F835">
        <v>4</v>
      </c>
      <c r="G835">
        <v>7</v>
      </c>
      <c r="H835">
        <v>2</v>
      </c>
      <c r="I835">
        <v>155</v>
      </c>
      <c r="K835" s="13">
        <v>45880</v>
      </c>
      <c r="L835" t="s">
        <v>689</v>
      </c>
      <c r="M835">
        <v>8.1999999999999993</v>
      </c>
    </row>
    <row r="836" spans="1:13" x14ac:dyDescent="0.25">
      <c r="A836" t="s">
        <v>34</v>
      </c>
      <c r="D836" t="s">
        <v>36</v>
      </c>
      <c r="E836">
        <v>1984</v>
      </c>
      <c r="F836">
        <v>4</v>
      </c>
      <c r="G836">
        <v>7</v>
      </c>
      <c r="H836">
        <v>2</v>
      </c>
      <c r="I836">
        <v>155</v>
      </c>
      <c r="K836" s="13">
        <v>45897</v>
      </c>
      <c r="L836" t="s">
        <v>687</v>
      </c>
      <c r="M836">
        <v>9.6999999999999993</v>
      </c>
    </row>
    <row r="837" spans="1:13" x14ac:dyDescent="0.25">
      <c r="A837" t="s">
        <v>34</v>
      </c>
      <c r="D837" t="s">
        <v>36</v>
      </c>
      <c r="E837">
        <v>1984</v>
      </c>
      <c r="F837">
        <v>4</v>
      </c>
      <c r="G837">
        <v>7</v>
      </c>
      <c r="H837">
        <v>2</v>
      </c>
      <c r="I837">
        <v>155</v>
      </c>
      <c r="K837" s="13">
        <v>45897</v>
      </c>
      <c r="L837" t="s">
        <v>688</v>
      </c>
      <c r="M837">
        <v>9.8000000000000007</v>
      </c>
    </row>
    <row r="838" spans="1:13" x14ac:dyDescent="0.25">
      <c r="A838" t="s">
        <v>34</v>
      </c>
      <c r="D838" t="s">
        <v>36</v>
      </c>
      <c r="E838">
        <v>1984</v>
      </c>
      <c r="F838">
        <v>4</v>
      </c>
      <c r="G838">
        <v>7</v>
      </c>
      <c r="H838">
        <v>2</v>
      </c>
      <c r="I838">
        <v>155</v>
      </c>
      <c r="K838" s="13">
        <v>45897</v>
      </c>
      <c r="L838" t="s">
        <v>689</v>
      </c>
      <c r="M838">
        <v>9.9</v>
      </c>
    </row>
    <row r="839" spans="1:13" x14ac:dyDescent="0.25">
      <c r="A839" t="s">
        <v>34</v>
      </c>
      <c r="D839" t="s">
        <v>36</v>
      </c>
      <c r="E839">
        <v>1984</v>
      </c>
      <c r="F839">
        <v>4</v>
      </c>
      <c r="G839">
        <v>7</v>
      </c>
      <c r="H839">
        <v>2</v>
      </c>
      <c r="I839">
        <v>155</v>
      </c>
      <c r="K839" s="13">
        <v>45911</v>
      </c>
      <c r="L839" t="s">
        <v>687</v>
      </c>
      <c r="M839">
        <v>10.6</v>
      </c>
    </row>
    <row r="840" spans="1:13" x14ac:dyDescent="0.25">
      <c r="A840" t="s">
        <v>34</v>
      </c>
      <c r="D840" t="s">
        <v>36</v>
      </c>
      <c r="E840">
        <v>1984</v>
      </c>
      <c r="F840">
        <v>4</v>
      </c>
      <c r="G840">
        <v>7</v>
      </c>
      <c r="H840">
        <v>2</v>
      </c>
      <c r="I840">
        <v>155</v>
      </c>
      <c r="K840" s="13">
        <v>45911</v>
      </c>
      <c r="L840" t="s">
        <v>688</v>
      </c>
      <c r="M840">
        <v>10.8</v>
      </c>
    </row>
    <row r="841" spans="1:13" x14ac:dyDescent="0.25">
      <c r="A841" t="s">
        <v>34</v>
      </c>
      <c r="D841" t="s">
        <v>36</v>
      </c>
      <c r="E841">
        <v>1984</v>
      </c>
      <c r="F841">
        <v>4</v>
      </c>
      <c r="G841">
        <v>7</v>
      </c>
      <c r="H841">
        <v>2</v>
      </c>
      <c r="I841">
        <v>155</v>
      </c>
      <c r="K841" s="13">
        <v>45911</v>
      </c>
      <c r="L841" t="s">
        <v>689</v>
      </c>
    </row>
    <row r="842" spans="1:13" x14ac:dyDescent="0.25">
      <c r="A842" t="s">
        <v>34</v>
      </c>
      <c r="D842" t="s">
        <v>318</v>
      </c>
      <c r="E842">
        <v>2004</v>
      </c>
      <c r="F842">
        <v>1</v>
      </c>
      <c r="G842">
        <v>8</v>
      </c>
      <c r="H842">
        <v>2</v>
      </c>
      <c r="I842">
        <v>108</v>
      </c>
      <c r="K842" s="13">
        <v>45796</v>
      </c>
      <c r="L842" t="s">
        <v>687</v>
      </c>
    </row>
    <row r="843" spans="1:13" x14ac:dyDescent="0.25">
      <c r="A843" t="s">
        <v>34</v>
      </c>
      <c r="D843" t="s">
        <v>318</v>
      </c>
      <c r="E843">
        <v>2004</v>
      </c>
      <c r="F843">
        <v>1</v>
      </c>
      <c r="G843">
        <v>8</v>
      </c>
      <c r="H843">
        <v>2</v>
      </c>
      <c r="I843">
        <v>108</v>
      </c>
      <c r="K843" s="13">
        <v>45796</v>
      </c>
      <c r="L843" t="s">
        <v>688</v>
      </c>
    </row>
    <row r="844" spans="1:13" x14ac:dyDescent="0.25">
      <c r="A844" t="s">
        <v>34</v>
      </c>
      <c r="D844" t="s">
        <v>318</v>
      </c>
      <c r="E844">
        <v>2004</v>
      </c>
      <c r="F844">
        <v>1</v>
      </c>
      <c r="G844">
        <v>8</v>
      </c>
      <c r="H844">
        <v>2</v>
      </c>
      <c r="I844">
        <v>108</v>
      </c>
      <c r="K844" s="13">
        <v>45796</v>
      </c>
      <c r="L844" t="s">
        <v>689</v>
      </c>
    </row>
    <row r="845" spans="1:13" x14ac:dyDescent="0.25">
      <c r="A845" t="s">
        <v>34</v>
      </c>
      <c r="D845" t="s">
        <v>318</v>
      </c>
      <c r="E845">
        <v>2004</v>
      </c>
      <c r="F845">
        <v>1</v>
      </c>
      <c r="G845">
        <v>8</v>
      </c>
      <c r="H845">
        <v>2</v>
      </c>
      <c r="I845">
        <v>108</v>
      </c>
      <c r="K845" s="13">
        <v>45820</v>
      </c>
      <c r="L845" t="s">
        <v>687</v>
      </c>
      <c r="M845">
        <v>2.6</v>
      </c>
    </row>
    <row r="846" spans="1:13" x14ac:dyDescent="0.25">
      <c r="A846" t="s">
        <v>34</v>
      </c>
      <c r="D846" t="s">
        <v>318</v>
      </c>
      <c r="E846">
        <v>2004</v>
      </c>
      <c r="F846">
        <v>1</v>
      </c>
      <c r="G846">
        <v>8</v>
      </c>
      <c r="H846">
        <v>2</v>
      </c>
      <c r="I846">
        <v>108</v>
      </c>
      <c r="K846" s="13">
        <v>45820</v>
      </c>
      <c r="L846" t="s">
        <v>688</v>
      </c>
      <c r="M846">
        <v>2.7</v>
      </c>
    </row>
    <row r="847" spans="1:13" x14ac:dyDescent="0.25">
      <c r="A847" t="s">
        <v>34</v>
      </c>
      <c r="D847" t="s">
        <v>318</v>
      </c>
      <c r="E847">
        <v>2004</v>
      </c>
      <c r="F847">
        <v>1</v>
      </c>
      <c r="G847">
        <v>8</v>
      </c>
      <c r="H847">
        <v>2</v>
      </c>
      <c r="I847">
        <v>108</v>
      </c>
      <c r="K847" s="13">
        <v>45820</v>
      </c>
      <c r="L847" t="s">
        <v>689</v>
      </c>
      <c r="M847">
        <v>2.9</v>
      </c>
    </row>
    <row r="848" spans="1:13" x14ac:dyDescent="0.25">
      <c r="A848" t="s">
        <v>34</v>
      </c>
      <c r="D848" t="s">
        <v>318</v>
      </c>
      <c r="E848">
        <v>2004</v>
      </c>
      <c r="F848">
        <v>1</v>
      </c>
      <c r="G848">
        <v>8</v>
      </c>
      <c r="H848">
        <v>2</v>
      </c>
      <c r="I848">
        <v>108</v>
      </c>
      <c r="K848" s="13">
        <v>45825</v>
      </c>
      <c r="L848" t="s">
        <v>687</v>
      </c>
    </row>
    <row r="849" spans="1:13" x14ac:dyDescent="0.25">
      <c r="A849" t="s">
        <v>34</v>
      </c>
      <c r="D849" t="s">
        <v>318</v>
      </c>
      <c r="E849">
        <v>2004</v>
      </c>
      <c r="F849">
        <v>1</v>
      </c>
      <c r="G849">
        <v>8</v>
      </c>
      <c r="H849">
        <v>2</v>
      </c>
      <c r="I849">
        <v>108</v>
      </c>
      <c r="K849" s="13">
        <v>45825</v>
      </c>
      <c r="L849" t="s">
        <v>688</v>
      </c>
    </row>
    <row r="850" spans="1:13" x14ac:dyDescent="0.25">
      <c r="A850" t="s">
        <v>34</v>
      </c>
      <c r="D850" t="s">
        <v>318</v>
      </c>
      <c r="E850">
        <v>2004</v>
      </c>
      <c r="F850">
        <v>1</v>
      </c>
      <c r="G850">
        <v>8</v>
      </c>
      <c r="H850">
        <v>2</v>
      </c>
      <c r="I850">
        <v>108</v>
      </c>
      <c r="K850" s="13">
        <v>45825</v>
      </c>
      <c r="L850" t="s">
        <v>689</v>
      </c>
    </row>
    <row r="851" spans="1:13" x14ac:dyDescent="0.25">
      <c r="A851" t="s">
        <v>34</v>
      </c>
      <c r="D851" t="s">
        <v>318</v>
      </c>
      <c r="E851">
        <v>2004</v>
      </c>
      <c r="F851">
        <v>1</v>
      </c>
      <c r="G851">
        <v>8</v>
      </c>
      <c r="H851">
        <v>2</v>
      </c>
      <c r="I851">
        <v>108</v>
      </c>
      <c r="K851" s="13">
        <v>45827</v>
      </c>
      <c r="L851" t="s">
        <v>687</v>
      </c>
      <c r="M851">
        <v>3.1</v>
      </c>
    </row>
    <row r="852" spans="1:13" x14ac:dyDescent="0.25">
      <c r="A852" t="s">
        <v>34</v>
      </c>
      <c r="D852" t="s">
        <v>318</v>
      </c>
      <c r="E852">
        <v>2004</v>
      </c>
      <c r="F852">
        <v>1</v>
      </c>
      <c r="G852">
        <v>8</v>
      </c>
      <c r="H852">
        <v>2</v>
      </c>
      <c r="I852">
        <v>108</v>
      </c>
      <c r="K852" s="13">
        <v>45827</v>
      </c>
      <c r="L852" t="s">
        <v>688</v>
      </c>
      <c r="M852">
        <v>3.1</v>
      </c>
    </row>
    <row r="853" spans="1:13" x14ac:dyDescent="0.25">
      <c r="A853" t="s">
        <v>34</v>
      </c>
      <c r="D853" t="s">
        <v>318</v>
      </c>
      <c r="E853">
        <v>2004</v>
      </c>
      <c r="F853">
        <v>1</v>
      </c>
      <c r="G853">
        <v>8</v>
      </c>
      <c r="H853">
        <v>2</v>
      </c>
      <c r="I853">
        <v>108</v>
      </c>
      <c r="K853" s="13">
        <v>45827</v>
      </c>
      <c r="L853" t="s">
        <v>689</v>
      </c>
      <c r="M853">
        <v>3.2</v>
      </c>
    </row>
    <row r="854" spans="1:13" x14ac:dyDescent="0.25">
      <c r="A854" t="s">
        <v>34</v>
      </c>
      <c r="D854" t="s">
        <v>318</v>
      </c>
      <c r="E854">
        <v>2004</v>
      </c>
      <c r="F854">
        <v>1</v>
      </c>
      <c r="G854">
        <v>8</v>
      </c>
      <c r="H854">
        <v>2</v>
      </c>
      <c r="I854">
        <v>108</v>
      </c>
      <c r="K854" s="13">
        <v>45859</v>
      </c>
      <c r="L854" t="s">
        <v>687</v>
      </c>
      <c r="M854">
        <v>6.1</v>
      </c>
    </row>
    <row r="855" spans="1:13" x14ac:dyDescent="0.25">
      <c r="A855" t="s">
        <v>34</v>
      </c>
      <c r="D855" t="s">
        <v>318</v>
      </c>
      <c r="E855">
        <v>2004</v>
      </c>
      <c r="F855">
        <v>1</v>
      </c>
      <c r="G855">
        <v>8</v>
      </c>
      <c r="H855">
        <v>2</v>
      </c>
      <c r="I855">
        <v>108</v>
      </c>
      <c r="K855" s="13">
        <v>45859</v>
      </c>
      <c r="L855" t="s">
        <v>688</v>
      </c>
      <c r="M855">
        <v>5.9</v>
      </c>
    </row>
    <row r="856" spans="1:13" x14ac:dyDescent="0.25">
      <c r="A856" t="s">
        <v>34</v>
      </c>
      <c r="D856" t="s">
        <v>318</v>
      </c>
      <c r="E856">
        <v>2004</v>
      </c>
      <c r="F856">
        <v>1</v>
      </c>
      <c r="G856">
        <v>8</v>
      </c>
      <c r="H856">
        <v>2</v>
      </c>
      <c r="I856">
        <v>108</v>
      </c>
      <c r="K856" s="13">
        <v>45859</v>
      </c>
      <c r="L856" t="s">
        <v>689</v>
      </c>
      <c r="M856">
        <v>6.1</v>
      </c>
    </row>
    <row r="857" spans="1:13" x14ac:dyDescent="0.25">
      <c r="A857" t="s">
        <v>34</v>
      </c>
      <c r="D857" t="s">
        <v>318</v>
      </c>
      <c r="E857">
        <v>2004</v>
      </c>
      <c r="F857">
        <v>1</v>
      </c>
      <c r="G857">
        <v>8</v>
      </c>
      <c r="H857">
        <v>2</v>
      </c>
      <c r="I857">
        <v>108</v>
      </c>
      <c r="K857" s="13">
        <v>45868</v>
      </c>
      <c r="L857" t="s">
        <v>687</v>
      </c>
      <c r="M857">
        <v>6.7</v>
      </c>
    </row>
    <row r="858" spans="1:13" x14ac:dyDescent="0.25">
      <c r="A858" t="s">
        <v>34</v>
      </c>
      <c r="D858" t="s">
        <v>318</v>
      </c>
      <c r="E858">
        <v>2004</v>
      </c>
      <c r="F858">
        <v>1</v>
      </c>
      <c r="G858">
        <v>8</v>
      </c>
      <c r="H858">
        <v>2</v>
      </c>
      <c r="I858">
        <v>108</v>
      </c>
      <c r="K858" s="13">
        <v>45868</v>
      </c>
      <c r="L858" t="s">
        <v>688</v>
      </c>
      <c r="M858">
        <v>7.1</v>
      </c>
    </row>
    <row r="859" spans="1:13" x14ac:dyDescent="0.25">
      <c r="A859" t="s">
        <v>34</v>
      </c>
      <c r="D859" t="s">
        <v>318</v>
      </c>
      <c r="E859">
        <v>2004</v>
      </c>
      <c r="F859">
        <v>1</v>
      </c>
      <c r="G859">
        <v>8</v>
      </c>
      <c r="H859">
        <v>2</v>
      </c>
      <c r="I859">
        <v>108</v>
      </c>
      <c r="K859" s="13">
        <v>45868</v>
      </c>
      <c r="L859" t="s">
        <v>689</v>
      </c>
      <c r="M859">
        <v>6.8</v>
      </c>
    </row>
    <row r="860" spans="1:13" x14ac:dyDescent="0.25">
      <c r="A860" t="s">
        <v>34</v>
      </c>
      <c r="D860" t="s">
        <v>318</v>
      </c>
      <c r="E860">
        <v>2004</v>
      </c>
      <c r="F860">
        <v>1</v>
      </c>
      <c r="G860">
        <v>8</v>
      </c>
      <c r="H860">
        <v>2</v>
      </c>
      <c r="I860">
        <v>108</v>
      </c>
      <c r="K860" s="13">
        <v>45875</v>
      </c>
      <c r="L860" t="s">
        <v>687</v>
      </c>
    </row>
    <row r="861" spans="1:13" x14ac:dyDescent="0.25">
      <c r="A861" t="s">
        <v>34</v>
      </c>
      <c r="D861" t="s">
        <v>318</v>
      </c>
      <c r="E861">
        <v>2004</v>
      </c>
      <c r="F861">
        <v>1</v>
      </c>
      <c r="G861">
        <v>8</v>
      </c>
      <c r="H861">
        <v>2</v>
      </c>
      <c r="I861">
        <v>108</v>
      </c>
      <c r="K861" s="13">
        <v>45875</v>
      </c>
      <c r="L861" t="s">
        <v>688</v>
      </c>
    </row>
    <row r="862" spans="1:13" x14ac:dyDescent="0.25">
      <c r="A862" t="s">
        <v>34</v>
      </c>
      <c r="D862" t="s">
        <v>318</v>
      </c>
      <c r="E862">
        <v>2004</v>
      </c>
      <c r="F862">
        <v>1</v>
      </c>
      <c r="G862">
        <v>8</v>
      </c>
      <c r="H862">
        <v>2</v>
      </c>
      <c r="I862">
        <v>108</v>
      </c>
      <c r="K862" s="13">
        <v>45875</v>
      </c>
      <c r="L862" t="s">
        <v>689</v>
      </c>
    </row>
    <row r="863" spans="1:13" x14ac:dyDescent="0.25">
      <c r="A863" t="s">
        <v>34</v>
      </c>
      <c r="D863" t="s">
        <v>318</v>
      </c>
      <c r="E863">
        <v>2004</v>
      </c>
      <c r="F863">
        <v>1</v>
      </c>
      <c r="G863">
        <v>8</v>
      </c>
      <c r="H863">
        <v>2</v>
      </c>
      <c r="I863">
        <v>108</v>
      </c>
      <c r="K863" s="13">
        <v>45880</v>
      </c>
      <c r="L863" t="s">
        <v>687</v>
      </c>
      <c r="M863">
        <v>7.6</v>
      </c>
    </row>
    <row r="864" spans="1:13" x14ac:dyDescent="0.25">
      <c r="A864" t="s">
        <v>34</v>
      </c>
      <c r="D864" t="s">
        <v>318</v>
      </c>
      <c r="E864">
        <v>2004</v>
      </c>
      <c r="F864">
        <v>1</v>
      </c>
      <c r="G864">
        <v>8</v>
      </c>
      <c r="H864">
        <v>2</v>
      </c>
      <c r="I864">
        <v>108</v>
      </c>
      <c r="K864" s="13">
        <v>45880</v>
      </c>
      <c r="L864" t="s">
        <v>688</v>
      </c>
      <c r="M864">
        <v>7.9</v>
      </c>
    </row>
    <row r="865" spans="1:13" x14ac:dyDescent="0.25">
      <c r="A865" t="s">
        <v>34</v>
      </c>
      <c r="D865" t="s">
        <v>318</v>
      </c>
      <c r="E865">
        <v>2004</v>
      </c>
      <c r="F865">
        <v>1</v>
      </c>
      <c r="G865">
        <v>8</v>
      </c>
      <c r="H865">
        <v>2</v>
      </c>
      <c r="I865">
        <v>108</v>
      </c>
      <c r="K865" s="13">
        <v>45880</v>
      </c>
      <c r="L865" t="s">
        <v>689</v>
      </c>
      <c r="M865">
        <v>7.9</v>
      </c>
    </row>
    <row r="866" spans="1:13" x14ac:dyDescent="0.25">
      <c r="A866" t="s">
        <v>34</v>
      </c>
      <c r="D866" t="s">
        <v>318</v>
      </c>
      <c r="E866">
        <v>2004</v>
      </c>
      <c r="F866">
        <v>1</v>
      </c>
      <c r="G866">
        <v>8</v>
      </c>
      <c r="H866">
        <v>2</v>
      </c>
      <c r="I866">
        <v>108</v>
      </c>
      <c r="K866" s="13">
        <v>45897</v>
      </c>
      <c r="L866" t="s">
        <v>687</v>
      </c>
      <c r="M866">
        <v>9.6999999999999993</v>
      </c>
    </row>
    <row r="867" spans="1:13" x14ac:dyDescent="0.25">
      <c r="A867" t="s">
        <v>34</v>
      </c>
      <c r="D867" t="s">
        <v>318</v>
      </c>
      <c r="E867">
        <v>2004</v>
      </c>
      <c r="F867">
        <v>1</v>
      </c>
      <c r="G867">
        <v>8</v>
      </c>
      <c r="H867">
        <v>2</v>
      </c>
      <c r="I867">
        <v>108</v>
      </c>
      <c r="K867" s="13">
        <v>45897</v>
      </c>
      <c r="L867" t="s">
        <v>688</v>
      </c>
      <c r="M867">
        <v>9.1</v>
      </c>
    </row>
    <row r="868" spans="1:13" x14ac:dyDescent="0.25">
      <c r="A868" t="s">
        <v>34</v>
      </c>
      <c r="D868" t="s">
        <v>318</v>
      </c>
      <c r="E868">
        <v>2004</v>
      </c>
      <c r="F868">
        <v>1</v>
      </c>
      <c r="G868">
        <v>8</v>
      </c>
      <c r="H868">
        <v>2</v>
      </c>
      <c r="I868">
        <v>108</v>
      </c>
      <c r="K868" s="13">
        <v>45897</v>
      </c>
      <c r="L868" t="s">
        <v>689</v>
      </c>
      <c r="M868">
        <v>9.6</v>
      </c>
    </row>
    <row r="869" spans="1:13" x14ac:dyDescent="0.25">
      <c r="A869" t="s">
        <v>34</v>
      </c>
      <c r="D869" t="s">
        <v>318</v>
      </c>
      <c r="E869">
        <v>2004</v>
      </c>
      <c r="F869">
        <v>1</v>
      </c>
      <c r="G869">
        <v>8</v>
      </c>
      <c r="H869">
        <v>2</v>
      </c>
      <c r="I869">
        <v>108</v>
      </c>
      <c r="K869" s="13">
        <v>45911</v>
      </c>
      <c r="L869" t="s">
        <v>687</v>
      </c>
      <c r="M869">
        <v>10.7</v>
      </c>
    </row>
    <row r="870" spans="1:13" x14ac:dyDescent="0.25">
      <c r="A870" t="s">
        <v>34</v>
      </c>
      <c r="D870" t="s">
        <v>318</v>
      </c>
      <c r="E870">
        <v>2004</v>
      </c>
      <c r="F870">
        <v>1</v>
      </c>
      <c r="G870">
        <v>8</v>
      </c>
      <c r="H870">
        <v>2</v>
      </c>
      <c r="I870">
        <v>108</v>
      </c>
      <c r="K870" s="13">
        <v>45911</v>
      </c>
      <c r="L870" t="s">
        <v>688</v>
      </c>
      <c r="M870">
        <v>10</v>
      </c>
    </row>
    <row r="871" spans="1:13" x14ac:dyDescent="0.25">
      <c r="A871" t="s">
        <v>34</v>
      </c>
      <c r="D871" t="s">
        <v>318</v>
      </c>
      <c r="E871">
        <v>2004</v>
      </c>
      <c r="F871">
        <v>1</v>
      </c>
      <c r="G871">
        <v>8</v>
      </c>
      <c r="H871">
        <v>2</v>
      </c>
      <c r="I871">
        <v>108</v>
      </c>
      <c r="K871" s="13">
        <v>45911</v>
      </c>
      <c r="L871" t="s">
        <v>689</v>
      </c>
      <c r="M871">
        <v>10.7</v>
      </c>
    </row>
    <row r="872" spans="1:13" x14ac:dyDescent="0.25">
      <c r="A872" t="s">
        <v>34</v>
      </c>
      <c r="D872" t="s">
        <v>43</v>
      </c>
      <c r="E872">
        <v>2020</v>
      </c>
      <c r="F872">
        <v>2</v>
      </c>
      <c r="G872">
        <v>8</v>
      </c>
      <c r="H872">
        <v>2</v>
      </c>
      <c r="I872">
        <v>124</v>
      </c>
      <c r="K872" s="13">
        <v>45796</v>
      </c>
      <c r="L872" t="s">
        <v>687</v>
      </c>
    </row>
    <row r="873" spans="1:13" x14ac:dyDescent="0.25">
      <c r="A873" t="s">
        <v>34</v>
      </c>
      <c r="D873" t="s">
        <v>43</v>
      </c>
      <c r="E873">
        <v>2020</v>
      </c>
      <c r="F873">
        <v>2</v>
      </c>
      <c r="G873">
        <v>8</v>
      </c>
      <c r="H873">
        <v>2</v>
      </c>
      <c r="I873">
        <v>124</v>
      </c>
      <c r="K873" s="13">
        <v>45796</v>
      </c>
      <c r="L873" t="s">
        <v>688</v>
      </c>
    </row>
    <row r="874" spans="1:13" x14ac:dyDescent="0.25">
      <c r="A874" t="s">
        <v>34</v>
      </c>
      <c r="D874" t="s">
        <v>43</v>
      </c>
      <c r="E874">
        <v>2020</v>
      </c>
      <c r="F874">
        <v>2</v>
      </c>
      <c r="G874">
        <v>8</v>
      </c>
      <c r="H874">
        <v>2</v>
      </c>
      <c r="I874">
        <v>124</v>
      </c>
      <c r="K874" s="13">
        <v>45796</v>
      </c>
      <c r="L874" t="s">
        <v>689</v>
      </c>
    </row>
    <row r="875" spans="1:13" x14ac:dyDescent="0.25">
      <c r="A875" t="s">
        <v>34</v>
      </c>
      <c r="D875" t="s">
        <v>43</v>
      </c>
      <c r="E875">
        <v>2020</v>
      </c>
      <c r="F875">
        <v>2</v>
      </c>
      <c r="G875">
        <v>8</v>
      </c>
      <c r="H875">
        <v>2</v>
      </c>
      <c r="I875">
        <v>124</v>
      </c>
      <c r="K875" s="13">
        <v>45820</v>
      </c>
      <c r="L875" t="s">
        <v>687</v>
      </c>
      <c r="M875">
        <v>2.5</v>
      </c>
    </row>
    <row r="876" spans="1:13" x14ac:dyDescent="0.25">
      <c r="A876" t="s">
        <v>34</v>
      </c>
      <c r="D876" t="s">
        <v>43</v>
      </c>
      <c r="E876">
        <v>2020</v>
      </c>
      <c r="F876">
        <v>2</v>
      </c>
      <c r="G876">
        <v>8</v>
      </c>
      <c r="H876">
        <v>2</v>
      </c>
      <c r="I876">
        <v>124</v>
      </c>
      <c r="K876" s="13">
        <v>45820</v>
      </c>
      <c r="L876" t="s">
        <v>688</v>
      </c>
      <c r="M876">
        <v>2.6</v>
      </c>
    </row>
    <row r="877" spans="1:13" x14ac:dyDescent="0.25">
      <c r="A877" t="s">
        <v>34</v>
      </c>
      <c r="D877" t="s">
        <v>43</v>
      </c>
      <c r="E877">
        <v>2020</v>
      </c>
      <c r="F877">
        <v>2</v>
      </c>
      <c r="G877">
        <v>8</v>
      </c>
      <c r="H877">
        <v>2</v>
      </c>
      <c r="I877">
        <v>124</v>
      </c>
      <c r="K877" s="13">
        <v>45820</v>
      </c>
      <c r="L877" t="s">
        <v>689</v>
      </c>
      <c r="M877">
        <v>2.7</v>
      </c>
    </row>
    <row r="878" spans="1:13" x14ac:dyDescent="0.25">
      <c r="A878" t="s">
        <v>34</v>
      </c>
      <c r="D878" t="s">
        <v>43</v>
      </c>
      <c r="E878">
        <v>2020</v>
      </c>
      <c r="F878">
        <v>2</v>
      </c>
      <c r="G878">
        <v>8</v>
      </c>
      <c r="H878">
        <v>2</v>
      </c>
      <c r="I878">
        <v>124</v>
      </c>
      <c r="K878" s="13">
        <v>45825</v>
      </c>
      <c r="L878" t="s">
        <v>687</v>
      </c>
    </row>
    <row r="879" spans="1:13" x14ac:dyDescent="0.25">
      <c r="A879" t="s">
        <v>34</v>
      </c>
      <c r="D879" t="s">
        <v>43</v>
      </c>
      <c r="E879">
        <v>2020</v>
      </c>
      <c r="F879">
        <v>2</v>
      </c>
      <c r="G879">
        <v>8</v>
      </c>
      <c r="H879">
        <v>2</v>
      </c>
      <c r="I879">
        <v>124</v>
      </c>
      <c r="K879" s="13">
        <v>45825</v>
      </c>
      <c r="L879" t="s">
        <v>688</v>
      </c>
    </row>
    <row r="880" spans="1:13" x14ac:dyDescent="0.25">
      <c r="A880" t="s">
        <v>34</v>
      </c>
      <c r="D880" t="s">
        <v>43</v>
      </c>
      <c r="E880">
        <v>2020</v>
      </c>
      <c r="F880">
        <v>2</v>
      </c>
      <c r="G880">
        <v>8</v>
      </c>
      <c r="H880">
        <v>2</v>
      </c>
      <c r="I880">
        <v>124</v>
      </c>
      <c r="K880" s="13">
        <v>45825</v>
      </c>
      <c r="L880" t="s">
        <v>689</v>
      </c>
    </row>
    <row r="881" spans="1:13" x14ac:dyDescent="0.25">
      <c r="A881" t="s">
        <v>34</v>
      </c>
      <c r="D881" t="s">
        <v>43</v>
      </c>
      <c r="E881">
        <v>2020</v>
      </c>
      <c r="F881">
        <v>2</v>
      </c>
      <c r="G881">
        <v>8</v>
      </c>
      <c r="H881">
        <v>2</v>
      </c>
      <c r="I881">
        <v>124</v>
      </c>
      <c r="K881" s="13">
        <v>45827</v>
      </c>
      <c r="L881" t="s">
        <v>687</v>
      </c>
      <c r="M881">
        <v>3.1</v>
      </c>
    </row>
    <row r="882" spans="1:13" x14ac:dyDescent="0.25">
      <c r="A882" t="s">
        <v>34</v>
      </c>
      <c r="D882" t="s">
        <v>43</v>
      </c>
      <c r="E882">
        <v>2020</v>
      </c>
      <c r="F882">
        <v>2</v>
      </c>
      <c r="G882">
        <v>8</v>
      </c>
      <c r="H882">
        <v>2</v>
      </c>
      <c r="I882">
        <v>124</v>
      </c>
      <c r="K882" s="13">
        <v>45827</v>
      </c>
      <c r="L882" t="s">
        <v>688</v>
      </c>
      <c r="M882">
        <v>3.1</v>
      </c>
    </row>
    <row r="883" spans="1:13" x14ac:dyDescent="0.25">
      <c r="A883" t="s">
        <v>34</v>
      </c>
      <c r="D883" t="s">
        <v>43</v>
      </c>
      <c r="E883">
        <v>2020</v>
      </c>
      <c r="F883">
        <v>2</v>
      </c>
      <c r="G883">
        <v>8</v>
      </c>
      <c r="H883">
        <v>2</v>
      </c>
      <c r="I883">
        <v>124</v>
      </c>
      <c r="K883" s="13">
        <v>45827</v>
      </c>
      <c r="L883" t="s">
        <v>689</v>
      </c>
      <c r="M883">
        <v>3.1</v>
      </c>
    </row>
    <row r="884" spans="1:13" x14ac:dyDescent="0.25">
      <c r="A884" t="s">
        <v>34</v>
      </c>
      <c r="D884" t="s">
        <v>43</v>
      </c>
      <c r="E884">
        <v>2020</v>
      </c>
      <c r="F884">
        <v>2</v>
      </c>
      <c r="G884">
        <v>8</v>
      </c>
      <c r="H884">
        <v>2</v>
      </c>
      <c r="I884">
        <v>124</v>
      </c>
      <c r="K884" s="13">
        <v>45859</v>
      </c>
      <c r="L884" t="s">
        <v>687</v>
      </c>
      <c r="M884">
        <v>5.2</v>
      </c>
    </row>
    <row r="885" spans="1:13" x14ac:dyDescent="0.25">
      <c r="A885" t="s">
        <v>34</v>
      </c>
      <c r="D885" t="s">
        <v>43</v>
      </c>
      <c r="E885">
        <v>2020</v>
      </c>
      <c r="F885">
        <v>2</v>
      </c>
      <c r="G885">
        <v>8</v>
      </c>
      <c r="H885">
        <v>2</v>
      </c>
      <c r="I885">
        <v>124</v>
      </c>
      <c r="K885" s="13">
        <v>45859</v>
      </c>
      <c r="L885" t="s">
        <v>688</v>
      </c>
      <c r="M885">
        <v>5.7</v>
      </c>
    </row>
    <row r="886" spans="1:13" x14ac:dyDescent="0.25">
      <c r="A886" t="s">
        <v>34</v>
      </c>
      <c r="D886" t="s">
        <v>43</v>
      </c>
      <c r="E886">
        <v>2020</v>
      </c>
      <c r="F886">
        <v>2</v>
      </c>
      <c r="G886">
        <v>8</v>
      </c>
      <c r="H886">
        <v>2</v>
      </c>
      <c r="I886">
        <v>124</v>
      </c>
      <c r="K886" s="13">
        <v>45859</v>
      </c>
      <c r="L886" t="s">
        <v>689</v>
      </c>
      <c r="M886">
        <v>5.7</v>
      </c>
    </row>
    <row r="887" spans="1:13" x14ac:dyDescent="0.25">
      <c r="A887" t="s">
        <v>34</v>
      </c>
      <c r="D887" t="s">
        <v>43</v>
      </c>
      <c r="E887">
        <v>2020</v>
      </c>
      <c r="F887">
        <v>2</v>
      </c>
      <c r="G887">
        <v>8</v>
      </c>
      <c r="H887">
        <v>2</v>
      </c>
      <c r="I887">
        <v>124</v>
      </c>
      <c r="K887" s="13">
        <v>45868</v>
      </c>
      <c r="L887" t="s">
        <v>687</v>
      </c>
      <c r="M887">
        <v>6.3</v>
      </c>
    </row>
    <row r="888" spans="1:13" x14ac:dyDescent="0.25">
      <c r="A888" t="s">
        <v>34</v>
      </c>
      <c r="D888" t="s">
        <v>43</v>
      </c>
      <c r="E888">
        <v>2020</v>
      </c>
      <c r="F888">
        <v>2</v>
      </c>
      <c r="G888">
        <v>8</v>
      </c>
      <c r="H888">
        <v>2</v>
      </c>
      <c r="I888">
        <v>124</v>
      </c>
      <c r="K888" s="13">
        <v>45868</v>
      </c>
      <c r="L888" t="s">
        <v>688</v>
      </c>
      <c r="M888">
        <v>6.3</v>
      </c>
    </row>
    <row r="889" spans="1:13" x14ac:dyDescent="0.25">
      <c r="A889" t="s">
        <v>34</v>
      </c>
      <c r="D889" t="s">
        <v>43</v>
      </c>
      <c r="E889">
        <v>2020</v>
      </c>
      <c r="F889">
        <v>2</v>
      </c>
      <c r="G889">
        <v>8</v>
      </c>
      <c r="H889">
        <v>2</v>
      </c>
      <c r="I889">
        <v>124</v>
      </c>
      <c r="K889" s="13">
        <v>45868</v>
      </c>
      <c r="L889" t="s">
        <v>689</v>
      </c>
      <c r="M889">
        <v>6.4</v>
      </c>
    </row>
    <row r="890" spans="1:13" x14ac:dyDescent="0.25">
      <c r="A890" t="s">
        <v>34</v>
      </c>
      <c r="D890" t="s">
        <v>43</v>
      </c>
      <c r="E890">
        <v>2020</v>
      </c>
      <c r="F890">
        <v>2</v>
      </c>
      <c r="G890">
        <v>8</v>
      </c>
      <c r="H890">
        <v>2</v>
      </c>
      <c r="I890">
        <v>124</v>
      </c>
      <c r="K890" s="13">
        <v>45875</v>
      </c>
      <c r="L890" t="s">
        <v>687</v>
      </c>
    </row>
    <row r="891" spans="1:13" x14ac:dyDescent="0.25">
      <c r="A891" t="s">
        <v>34</v>
      </c>
      <c r="D891" t="s">
        <v>43</v>
      </c>
      <c r="E891">
        <v>2020</v>
      </c>
      <c r="F891">
        <v>2</v>
      </c>
      <c r="G891">
        <v>8</v>
      </c>
      <c r="H891">
        <v>2</v>
      </c>
      <c r="I891">
        <v>124</v>
      </c>
      <c r="K891" s="13">
        <v>45875</v>
      </c>
      <c r="L891" t="s">
        <v>688</v>
      </c>
    </row>
    <row r="892" spans="1:13" x14ac:dyDescent="0.25">
      <c r="A892" t="s">
        <v>34</v>
      </c>
      <c r="D892" t="s">
        <v>43</v>
      </c>
      <c r="E892">
        <v>2020</v>
      </c>
      <c r="F892">
        <v>2</v>
      </c>
      <c r="G892">
        <v>8</v>
      </c>
      <c r="H892">
        <v>2</v>
      </c>
      <c r="I892">
        <v>124</v>
      </c>
      <c r="K892" s="13">
        <v>45875</v>
      </c>
      <c r="L892" t="s">
        <v>689</v>
      </c>
    </row>
    <row r="893" spans="1:13" x14ac:dyDescent="0.25">
      <c r="A893" t="s">
        <v>34</v>
      </c>
      <c r="D893" t="s">
        <v>43</v>
      </c>
      <c r="E893">
        <v>2020</v>
      </c>
      <c r="F893">
        <v>2</v>
      </c>
      <c r="G893">
        <v>8</v>
      </c>
      <c r="H893">
        <v>2</v>
      </c>
      <c r="I893">
        <v>124</v>
      </c>
      <c r="K893" s="13">
        <v>45880</v>
      </c>
      <c r="L893" t="s">
        <v>687</v>
      </c>
      <c r="M893">
        <v>7.2</v>
      </c>
    </row>
    <row r="894" spans="1:13" x14ac:dyDescent="0.25">
      <c r="A894" t="s">
        <v>34</v>
      </c>
      <c r="D894" t="s">
        <v>43</v>
      </c>
      <c r="E894">
        <v>2020</v>
      </c>
      <c r="F894">
        <v>2</v>
      </c>
      <c r="G894">
        <v>8</v>
      </c>
      <c r="H894">
        <v>2</v>
      </c>
      <c r="I894">
        <v>124</v>
      </c>
      <c r="K894" s="13">
        <v>45880</v>
      </c>
      <c r="L894" t="s">
        <v>688</v>
      </c>
      <c r="M894">
        <v>7.3</v>
      </c>
    </row>
    <row r="895" spans="1:13" x14ac:dyDescent="0.25">
      <c r="A895" t="s">
        <v>34</v>
      </c>
      <c r="D895" t="s">
        <v>43</v>
      </c>
      <c r="E895">
        <v>2020</v>
      </c>
      <c r="F895">
        <v>2</v>
      </c>
      <c r="G895">
        <v>8</v>
      </c>
      <c r="H895">
        <v>2</v>
      </c>
      <c r="I895">
        <v>124</v>
      </c>
      <c r="K895" s="13">
        <v>45880</v>
      </c>
      <c r="L895" t="s">
        <v>689</v>
      </c>
    </row>
    <row r="896" spans="1:13" x14ac:dyDescent="0.25">
      <c r="A896" t="s">
        <v>34</v>
      </c>
      <c r="D896" t="s">
        <v>43</v>
      </c>
      <c r="E896">
        <v>2020</v>
      </c>
      <c r="F896">
        <v>2</v>
      </c>
      <c r="G896">
        <v>8</v>
      </c>
      <c r="H896">
        <v>2</v>
      </c>
      <c r="I896">
        <v>124</v>
      </c>
      <c r="K896" s="13">
        <v>45897</v>
      </c>
      <c r="L896" t="s">
        <v>687</v>
      </c>
      <c r="M896">
        <v>8.6999999999999993</v>
      </c>
    </row>
    <row r="897" spans="1:13" x14ac:dyDescent="0.25">
      <c r="A897" t="s">
        <v>34</v>
      </c>
      <c r="D897" t="s">
        <v>43</v>
      </c>
      <c r="E897">
        <v>2020</v>
      </c>
      <c r="F897">
        <v>2</v>
      </c>
      <c r="G897">
        <v>8</v>
      </c>
      <c r="H897">
        <v>2</v>
      </c>
      <c r="I897">
        <v>124</v>
      </c>
      <c r="K897" s="13">
        <v>45897</v>
      </c>
      <c r="L897" t="s">
        <v>688</v>
      </c>
      <c r="M897">
        <v>8.8000000000000007</v>
      </c>
    </row>
    <row r="898" spans="1:13" x14ac:dyDescent="0.25">
      <c r="A898" t="s">
        <v>34</v>
      </c>
      <c r="D898" t="s">
        <v>43</v>
      </c>
      <c r="E898">
        <v>2020</v>
      </c>
      <c r="F898">
        <v>2</v>
      </c>
      <c r="G898">
        <v>8</v>
      </c>
      <c r="H898">
        <v>2</v>
      </c>
      <c r="I898">
        <v>124</v>
      </c>
      <c r="K898" s="13">
        <v>45897</v>
      </c>
      <c r="L898" t="s">
        <v>689</v>
      </c>
    </row>
    <row r="899" spans="1:13" x14ac:dyDescent="0.25">
      <c r="A899" t="s">
        <v>34</v>
      </c>
      <c r="D899" t="s">
        <v>43</v>
      </c>
      <c r="E899">
        <v>2020</v>
      </c>
      <c r="F899">
        <v>2</v>
      </c>
      <c r="G899">
        <v>8</v>
      </c>
      <c r="H899">
        <v>2</v>
      </c>
      <c r="I899">
        <v>124</v>
      </c>
      <c r="K899" s="13">
        <v>45911</v>
      </c>
      <c r="L899" t="s">
        <v>687</v>
      </c>
      <c r="M899">
        <v>9.5</v>
      </c>
    </row>
    <row r="900" spans="1:13" x14ac:dyDescent="0.25">
      <c r="A900" t="s">
        <v>34</v>
      </c>
      <c r="D900" t="s">
        <v>43</v>
      </c>
      <c r="E900">
        <v>2020</v>
      </c>
      <c r="F900">
        <v>2</v>
      </c>
      <c r="G900">
        <v>8</v>
      </c>
      <c r="H900">
        <v>2</v>
      </c>
      <c r="I900">
        <v>124</v>
      </c>
      <c r="K900" s="13">
        <v>45911</v>
      </c>
      <c r="L900" t="s">
        <v>688</v>
      </c>
      <c r="M900">
        <v>9.5</v>
      </c>
    </row>
    <row r="901" spans="1:13" x14ac:dyDescent="0.25">
      <c r="A901" t="s">
        <v>34</v>
      </c>
      <c r="D901" t="s">
        <v>43</v>
      </c>
      <c r="E901">
        <v>2020</v>
      </c>
      <c r="F901">
        <v>2</v>
      </c>
      <c r="G901">
        <v>8</v>
      </c>
      <c r="H901">
        <v>2</v>
      </c>
      <c r="I901">
        <v>124</v>
      </c>
      <c r="K901" s="13">
        <v>45911</v>
      </c>
      <c r="L901" t="s">
        <v>689</v>
      </c>
    </row>
    <row r="902" spans="1:13" x14ac:dyDescent="0.25">
      <c r="A902" t="s">
        <v>34</v>
      </c>
      <c r="D902" t="s">
        <v>38</v>
      </c>
      <c r="E902">
        <v>1999</v>
      </c>
      <c r="F902">
        <v>3</v>
      </c>
      <c r="G902">
        <v>8</v>
      </c>
      <c r="H902">
        <v>2</v>
      </c>
      <c r="I902">
        <v>140</v>
      </c>
      <c r="K902" s="13">
        <v>45796</v>
      </c>
      <c r="L902" t="s">
        <v>687</v>
      </c>
    </row>
    <row r="903" spans="1:13" x14ac:dyDescent="0.25">
      <c r="A903" t="s">
        <v>34</v>
      </c>
      <c r="D903" t="s">
        <v>38</v>
      </c>
      <c r="E903">
        <v>1999</v>
      </c>
      <c r="F903">
        <v>3</v>
      </c>
      <c r="G903">
        <v>8</v>
      </c>
      <c r="H903">
        <v>2</v>
      </c>
      <c r="I903">
        <v>140</v>
      </c>
      <c r="K903" s="13">
        <v>45796</v>
      </c>
      <c r="L903" t="s">
        <v>688</v>
      </c>
    </row>
    <row r="904" spans="1:13" x14ac:dyDescent="0.25">
      <c r="A904" t="s">
        <v>34</v>
      </c>
      <c r="D904" t="s">
        <v>38</v>
      </c>
      <c r="E904">
        <v>1999</v>
      </c>
      <c r="F904">
        <v>3</v>
      </c>
      <c r="G904">
        <v>8</v>
      </c>
      <c r="H904">
        <v>2</v>
      </c>
      <c r="I904">
        <v>140</v>
      </c>
      <c r="K904" s="13">
        <v>45796</v>
      </c>
      <c r="L904" t="s">
        <v>689</v>
      </c>
    </row>
    <row r="905" spans="1:13" x14ac:dyDescent="0.25">
      <c r="A905" t="s">
        <v>34</v>
      </c>
      <c r="D905" t="s">
        <v>38</v>
      </c>
      <c r="E905">
        <v>1999</v>
      </c>
      <c r="F905">
        <v>3</v>
      </c>
      <c r="G905">
        <v>8</v>
      </c>
      <c r="H905">
        <v>2</v>
      </c>
      <c r="I905">
        <v>140</v>
      </c>
      <c r="K905" s="13">
        <v>45820</v>
      </c>
      <c r="L905" t="s">
        <v>687</v>
      </c>
      <c r="M905">
        <v>4.0999999999999996</v>
      </c>
    </row>
    <row r="906" spans="1:13" x14ac:dyDescent="0.25">
      <c r="A906" t="s">
        <v>34</v>
      </c>
      <c r="D906" t="s">
        <v>38</v>
      </c>
      <c r="E906">
        <v>1999</v>
      </c>
      <c r="F906">
        <v>3</v>
      </c>
      <c r="G906">
        <v>8</v>
      </c>
      <c r="H906">
        <v>2</v>
      </c>
      <c r="I906">
        <v>140</v>
      </c>
      <c r="K906" s="13">
        <v>45820</v>
      </c>
      <c r="L906" t="s">
        <v>688</v>
      </c>
      <c r="M906">
        <v>2.9</v>
      </c>
    </row>
    <row r="907" spans="1:13" x14ac:dyDescent="0.25">
      <c r="A907" t="s">
        <v>34</v>
      </c>
      <c r="D907" t="s">
        <v>38</v>
      </c>
      <c r="E907">
        <v>1999</v>
      </c>
      <c r="F907">
        <v>3</v>
      </c>
      <c r="G907">
        <v>8</v>
      </c>
      <c r="H907">
        <v>2</v>
      </c>
      <c r="I907">
        <v>140</v>
      </c>
      <c r="K907" s="13">
        <v>45820</v>
      </c>
      <c r="L907" t="s">
        <v>689</v>
      </c>
      <c r="M907">
        <v>2.9</v>
      </c>
    </row>
    <row r="908" spans="1:13" x14ac:dyDescent="0.25">
      <c r="A908" t="s">
        <v>34</v>
      </c>
      <c r="D908" t="s">
        <v>38</v>
      </c>
      <c r="E908">
        <v>1999</v>
      </c>
      <c r="F908">
        <v>3</v>
      </c>
      <c r="G908">
        <v>8</v>
      </c>
      <c r="H908">
        <v>2</v>
      </c>
      <c r="I908">
        <v>140</v>
      </c>
      <c r="K908" s="13">
        <v>45825</v>
      </c>
      <c r="L908" t="s">
        <v>687</v>
      </c>
    </row>
    <row r="909" spans="1:13" x14ac:dyDescent="0.25">
      <c r="A909" t="s">
        <v>34</v>
      </c>
      <c r="D909" t="s">
        <v>38</v>
      </c>
      <c r="E909">
        <v>1999</v>
      </c>
      <c r="F909">
        <v>3</v>
      </c>
      <c r="G909">
        <v>8</v>
      </c>
      <c r="H909">
        <v>2</v>
      </c>
      <c r="I909">
        <v>140</v>
      </c>
      <c r="K909" s="13">
        <v>45825</v>
      </c>
      <c r="L909" t="s">
        <v>688</v>
      </c>
    </row>
    <row r="910" spans="1:13" x14ac:dyDescent="0.25">
      <c r="A910" t="s">
        <v>34</v>
      </c>
      <c r="D910" t="s">
        <v>38</v>
      </c>
      <c r="E910">
        <v>1999</v>
      </c>
      <c r="F910">
        <v>3</v>
      </c>
      <c r="G910">
        <v>8</v>
      </c>
      <c r="H910">
        <v>2</v>
      </c>
      <c r="I910">
        <v>140</v>
      </c>
      <c r="K910" s="13">
        <v>45825</v>
      </c>
      <c r="L910" t="s">
        <v>689</v>
      </c>
    </row>
    <row r="911" spans="1:13" x14ac:dyDescent="0.25">
      <c r="A911" t="s">
        <v>34</v>
      </c>
      <c r="D911" t="s">
        <v>38</v>
      </c>
      <c r="E911">
        <v>1999</v>
      </c>
      <c r="F911">
        <v>3</v>
      </c>
      <c r="G911">
        <v>8</v>
      </c>
      <c r="H911">
        <v>2</v>
      </c>
      <c r="I911">
        <v>140</v>
      </c>
      <c r="K911" s="13">
        <v>45827</v>
      </c>
      <c r="L911" t="s">
        <v>687</v>
      </c>
      <c r="M911">
        <v>3.1</v>
      </c>
    </row>
    <row r="912" spans="1:13" x14ac:dyDescent="0.25">
      <c r="A912" t="s">
        <v>34</v>
      </c>
      <c r="D912" t="s">
        <v>38</v>
      </c>
      <c r="E912">
        <v>1999</v>
      </c>
      <c r="F912">
        <v>3</v>
      </c>
      <c r="G912">
        <v>8</v>
      </c>
      <c r="H912">
        <v>2</v>
      </c>
      <c r="I912">
        <v>140</v>
      </c>
      <c r="K912" s="13">
        <v>45827</v>
      </c>
      <c r="L912" t="s">
        <v>688</v>
      </c>
      <c r="M912">
        <v>4.2</v>
      </c>
    </row>
    <row r="913" spans="1:13" x14ac:dyDescent="0.25">
      <c r="A913" t="s">
        <v>34</v>
      </c>
      <c r="D913" t="s">
        <v>38</v>
      </c>
      <c r="E913">
        <v>1999</v>
      </c>
      <c r="F913">
        <v>3</v>
      </c>
      <c r="G913">
        <v>8</v>
      </c>
      <c r="H913">
        <v>2</v>
      </c>
      <c r="I913">
        <v>140</v>
      </c>
      <c r="K913" s="13">
        <v>45827</v>
      </c>
      <c r="L913" t="s">
        <v>689</v>
      </c>
      <c r="M913">
        <v>4.5</v>
      </c>
    </row>
    <row r="914" spans="1:13" x14ac:dyDescent="0.25">
      <c r="A914" t="s">
        <v>34</v>
      </c>
      <c r="D914" t="s">
        <v>38</v>
      </c>
      <c r="E914">
        <v>1999</v>
      </c>
      <c r="F914">
        <v>3</v>
      </c>
      <c r="G914">
        <v>8</v>
      </c>
      <c r="H914">
        <v>2</v>
      </c>
      <c r="I914">
        <v>140</v>
      </c>
      <c r="K914" s="13">
        <v>45859</v>
      </c>
      <c r="L914" t="s">
        <v>687</v>
      </c>
      <c r="M914">
        <v>5.7</v>
      </c>
    </row>
    <row r="915" spans="1:13" x14ac:dyDescent="0.25">
      <c r="A915" t="s">
        <v>34</v>
      </c>
      <c r="D915" t="s">
        <v>38</v>
      </c>
      <c r="E915">
        <v>1999</v>
      </c>
      <c r="F915">
        <v>3</v>
      </c>
      <c r="G915">
        <v>8</v>
      </c>
      <c r="H915">
        <v>2</v>
      </c>
      <c r="I915">
        <v>140</v>
      </c>
      <c r="K915" s="13">
        <v>45859</v>
      </c>
      <c r="L915" t="s">
        <v>688</v>
      </c>
      <c r="M915">
        <v>5.6</v>
      </c>
    </row>
    <row r="916" spans="1:13" x14ac:dyDescent="0.25">
      <c r="A916" t="s">
        <v>34</v>
      </c>
      <c r="D916" t="s">
        <v>38</v>
      </c>
      <c r="E916">
        <v>1999</v>
      </c>
      <c r="F916">
        <v>3</v>
      </c>
      <c r="G916">
        <v>8</v>
      </c>
      <c r="H916">
        <v>2</v>
      </c>
      <c r="I916">
        <v>140</v>
      </c>
      <c r="K916" s="13">
        <v>45859</v>
      </c>
      <c r="L916" t="s">
        <v>689</v>
      </c>
      <c r="M916">
        <v>5.8</v>
      </c>
    </row>
    <row r="917" spans="1:13" x14ac:dyDescent="0.25">
      <c r="A917" t="s">
        <v>34</v>
      </c>
      <c r="D917" t="s">
        <v>38</v>
      </c>
      <c r="E917">
        <v>1999</v>
      </c>
      <c r="F917">
        <v>3</v>
      </c>
      <c r="G917">
        <v>8</v>
      </c>
      <c r="H917">
        <v>2</v>
      </c>
      <c r="I917">
        <v>140</v>
      </c>
      <c r="K917" s="13">
        <v>45868</v>
      </c>
      <c r="L917" t="s">
        <v>687</v>
      </c>
      <c r="M917">
        <v>6.3</v>
      </c>
    </row>
    <row r="918" spans="1:13" x14ac:dyDescent="0.25">
      <c r="A918" t="s">
        <v>34</v>
      </c>
      <c r="D918" t="s">
        <v>38</v>
      </c>
      <c r="E918">
        <v>1999</v>
      </c>
      <c r="F918">
        <v>3</v>
      </c>
      <c r="G918">
        <v>8</v>
      </c>
      <c r="H918">
        <v>2</v>
      </c>
      <c r="I918">
        <v>140</v>
      </c>
      <c r="K918" s="13">
        <v>45868</v>
      </c>
      <c r="L918" t="s">
        <v>688</v>
      </c>
      <c r="M918">
        <v>6.3</v>
      </c>
    </row>
    <row r="919" spans="1:13" x14ac:dyDescent="0.25">
      <c r="A919" t="s">
        <v>34</v>
      </c>
      <c r="D919" t="s">
        <v>38</v>
      </c>
      <c r="E919">
        <v>1999</v>
      </c>
      <c r="F919">
        <v>3</v>
      </c>
      <c r="G919">
        <v>8</v>
      </c>
      <c r="H919">
        <v>2</v>
      </c>
      <c r="I919">
        <v>140</v>
      </c>
      <c r="K919" s="13">
        <v>45868</v>
      </c>
      <c r="L919" t="s">
        <v>689</v>
      </c>
      <c r="M919">
        <v>6.5</v>
      </c>
    </row>
    <row r="920" spans="1:13" x14ac:dyDescent="0.25">
      <c r="A920" t="s">
        <v>34</v>
      </c>
      <c r="D920" t="s">
        <v>38</v>
      </c>
      <c r="E920">
        <v>1999</v>
      </c>
      <c r="F920">
        <v>3</v>
      </c>
      <c r="G920">
        <v>8</v>
      </c>
      <c r="H920">
        <v>2</v>
      </c>
      <c r="I920">
        <v>140</v>
      </c>
      <c r="K920" s="13">
        <v>45875</v>
      </c>
      <c r="L920" t="s">
        <v>687</v>
      </c>
    </row>
    <row r="921" spans="1:13" x14ac:dyDescent="0.25">
      <c r="A921" t="s">
        <v>34</v>
      </c>
      <c r="D921" t="s">
        <v>38</v>
      </c>
      <c r="E921">
        <v>1999</v>
      </c>
      <c r="F921">
        <v>3</v>
      </c>
      <c r="G921">
        <v>8</v>
      </c>
      <c r="H921">
        <v>2</v>
      </c>
      <c r="I921">
        <v>140</v>
      </c>
      <c r="K921" s="13">
        <v>45875</v>
      </c>
      <c r="L921" t="s">
        <v>688</v>
      </c>
    </row>
    <row r="922" spans="1:13" x14ac:dyDescent="0.25">
      <c r="A922" t="s">
        <v>34</v>
      </c>
      <c r="D922" t="s">
        <v>38</v>
      </c>
      <c r="E922">
        <v>1999</v>
      </c>
      <c r="F922">
        <v>3</v>
      </c>
      <c r="G922">
        <v>8</v>
      </c>
      <c r="H922">
        <v>2</v>
      </c>
      <c r="I922">
        <v>140</v>
      </c>
      <c r="K922" s="13">
        <v>45875</v>
      </c>
      <c r="L922" t="s">
        <v>689</v>
      </c>
    </row>
    <row r="923" spans="1:13" x14ac:dyDescent="0.25">
      <c r="A923" t="s">
        <v>34</v>
      </c>
      <c r="D923" t="s">
        <v>38</v>
      </c>
      <c r="E923">
        <v>1999</v>
      </c>
      <c r="F923">
        <v>3</v>
      </c>
      <c r="G923">
        <v>8</v>
      </c>
      <c r="H923">
        <v>2</v>
      </c>
      <c r="I923">
        <v>140</v>
      </c>
      <c r="K923" s="13">
        <v>45880</v>
      </c>
      <c r="L923" t="s">
        <v>687</v>
      </c>
      <c r="M923">
        <v>7.3</v>
      </c>
    </row>
    <row r="924" spans="1:13" x14ac:dyDescent="0.25">
      <c r="A924" t="s">
        <v>34</v>
      </c>
      <c r="D924" t="s">
        <v>38</v>
      </c>
      <c r="E924">
        <v>1999</v>
      </c>
      <c r="F924">
        <v>3</v>
      </c>
      <c r="G924">
        <v>8</v>
      </c>
      <c r="H924">
        <v>2</v>
      </c>
      <c r="I924">
        <v>140</v>
      </c>
      <c r="K924" s="13">
        <v>45880</v>
      </c>
      <c r="L924" t="s">
        <v>688</v>
      </c>
      <c r="M924">
        <v>7.2</v>
      </c>
    </row>
    <row r="925" spans="1:13" x14ac:dyDescent="0.25">
      <c r="A925" t="s">
        <v>34</v>
      </c>
      <c r="D925" t="s">
        <v>38</v>
      </c>
      <c r="E925">
        <v>1999</v>
      </c>
      <c r="F925">
        <v>3</v>
      </c>
      <c r="G925">
        <v>8</v>
      </c>
      <c r="H925">
        <v>2</v>
      </c>
      <c r="I925">
        <v>140</v>
      </c>
      <c r="K925" s="13">
        <v>45880</v>
      </c>
      <c r="L925" t="s">
        <v>689</v>
      </c>
      <c r="M925">
        <v>7.5</v>
      </c>
    </row>
    <row r="926" spans="1:13" x14ac:dyDescent="0.25">
      <c r="A926" t="s">
        <v>34</v>
      </c>
      <c r="D926" t="s">
        <v>38</v>
      </c>
      <c r="E926">
        <v>1999</v>
      </c>
      <c r="F926">
        <v>3</v>
      </c>
      <c r="G926">
        <v>8</v>
      </c>
      <c r="H926">
        <v>2</v>
      </c>
      <c r="I926">
        <v>140</v>
      </c>
      <c r="K926" s="13">
        <v>45897</v>
      </c>
      <c r="L926" t="s">
        <v>687</v>
      </c>
      <c r="M926">
        <v>8.9</v>
      </c>
    </row>
    <row r="927" spans="1:13" x14ac:dyDescent="0.25">
      <c r="A927" t="s">
        <v>34</v>
      </c>
      <c r="D927" t="s">
        <v>38</v>
      </c>
      <c r="E927">
        <v>1999</v>
      </c>
      <c r="F927">
        <v>3</v>
      </c>
      <c r="G927">
        <v>8</v>
      </c>
      <c r="H927">
        <v>2</v>
      </c>
      <c r="I927">
        <v>140</v>
      </c>
      <c r="K927" s="13">
        <v>45897</v>
      </c>
      <c r="L927" t="s">
        <v>688</v>
      </c>
      <c r="M927">
        <v>8.8000000000000007</v>
      </c>
    </row>
    <row r="928" spans="1:13" x14ac:dyDescent="0.25">
      <c r="A928" t="s">
        <v>34</v>
      </c>
      <c r="D928" t="s">
        <v>38</v>
      </c>
      <c r="E928">
        <v>1999</v>
      </c>
      <c r="F928">
        <v>3</v>
      </c>
      <c r="G928">
        <v>8</v>
      </c>
      <c r="H928">
        <v>2</v>
      </c>
      <c r="I928">
        <v>140</v>
      </c>
      <c r="K928" s="13">
        <v>45897</v>
      </c>
      <c r="L928" t="s">
        <v>689</v>
      </c>
    </row>
    <row r="929" spans="1:13" x14ac:dyDescent="0.25">
      <c r="A929" t="s">
        <v>34</v>
      </c>
      <c r="D929" t="s">
        <v>38</v>
      </c>
      <c r="E929">
        <v>1999</v>
      </c>
      <c r="F929">
        <v>3</v>
      </c>
      <c r="G929">
        <v>8</v>
      </c>
      <c r="H929">
        <v>2</v>
      </c>
      <c r="I929">
        <v>140</v>
      </c>
      <c r="K929" s="13">
        <v>45911</v>
      </c>
      <c r="L929" t="s">
        <v>687</v>
      </c>
      <c r="M929">
        <v>9.8000000000000007</v>
      </c>
    </row>
    <row r="930" spans="1:13" x14ac:dyDescent="0.25">
      <c r="A930" t="s">
        <v>34</v>
      </c>
      <c r="D930" t="s">
        <v>38</v>
      </c>
      <c r="E930">
        <v>1999</v>
      </c>
      <c r="F930">
        <v>3</v>
      </c>
      <c r="G930">
        <v>8</v>
      </c>
      <c r="H930">
        <v>2</v>
      </c>
      <c r="I930">
        <v>140</v>
      </c>
      <c r="K930" s="13">
        <v>45911</v>
      </c>
      <c r="L930" t="s">
        <v>688</v>
      </c>
      <c r="M930">
        <v>9.6</v>
      </c>
    </row>
    <row r="931" spans="1:13" x14ac:dyDescent="0.25">
      <c r="A931" t="s">
        <v>34</v>
      </c>
      <c r="D931" t="s">
        <v>38</v>
      </c>
      <c r="E931">
        <v>1999</v>
      </c>
      <c r="F931">
        <v>3</v>
      </c>
      <c r="G931">
        <v>8</v>
      </c>
      <c r="H931">
        <v>2</v>
      </c>
      <c r="I931">
        <v>140</v>
      </c>
      <c r="K931" s="13">
        <v>45911</v>
      </c>
      <c r="L931" t="s">
        <v>689</v>
      </c>
    </row>
    <row r="932" spans="1:13" x14ac:dyDescent="0.25">
      <c r="A932" t="s">
        <v>34</v>
      </c>
      <c r="D932" t="s">
        <v>42</v>
      </c>
      <c r="E932">
        <v>2016</v>
      </c>
      <c r="F932">
        <v>4</v>
      </c>
      <c r="G932">
        <v>8</v>
      </c>
      <c r="H932">
        <v>2</v>
      </c>
      <c r="I932">
        <v>156</v>
      </c>
      <c r="K932" s="13">
        <v>45796</v>
      </c>
      <c r="L932" t="s">
        <v>687</v>
      </c>
    </row>
    <row r="933" spans="1:13" x14ac:dyDescent="0.25">
      <c r="A933" t="s">
        <v>34</v>
      </c>
      <c r="D933" t="s">
        <v>42</v>
      </c>
      <c r="E933">
        <v>2016</v>
      </c>
      <c r="F933">
        <v>4</v>
      </c>
      <c r="G933">
        <v>8</v>
      </c>
      <c r="H933">
        <v>2</v>
      </c>
      <c r="I933">
        <v>156</v>
      </c>
      <c r="K933" s="13">
        <v>45796</v>
      </c>
      <c r="L933" t="s">
        <v>688</v>
      </c>
    </row>
    <row r="934" spans="1:13" x14ac:dyDescent="0.25">
      <c r="A934" t="s">
        <v>34</v>
      </c>
      <c r="D934" t="s">
        <v>42</v>
      </c>
      <c r="E934">
        <v>2016</v>
      </c>
      <c r="F934">
        <v>4</v>
      </c>
      <c r="G934">
        <v>8</v>
      </c>
      <c r="H934">
        <v>2</v>
      </c>
      <c r="I934">
        <v>156</v>
      </c>
      <c r="K934" s="13">
        <v>45796</v>
      </c>
      <c r="L934" t="s">
        <v>689</v>
      </c>
    </row>
    <row r="935" spans="1:13" x14ac:dyDescent="0.25">
      <c r="A935" t="s">
        <v>34</v>
      </c>
      <c r="D935" t="s">
        <v>42</v>
      </c>
      <c r="E935">
        <v>2016</v>
      </c>
      <c r="F935">
        <v>4</v>
      </c>
      <c r="G935">
        <v>8</v>
      </c>
      <c r="H935">
        <v>2</v>
      </c>
      <c r="I935">
        <v>156</v>
      </c>
      <c r="K935" s="13">
        <v>45820</v>
      </c>
      <c r="L935" t="s">
        <v>687</v>
      </c>
      <c r="M935">
        <v>2.6</v>
      </c>
    </row>
    <row r="936" spans="1:13" x14ac:dyDescent="0.25">
      <c r="A936" t="s">
        <v>34</v>
      </c>
      <c r="D936" t="s">
        <v>42</v>
      </c>
      <c r="E936">
        <v>2016</v>
      </c>
      <c r="F936">
        <v>4</v>
      </c>
      <c r="G936">
        <v>8</v>
      </c>
      <c r="H936">
        <v>2</v>
      </c>
      <c r="I936">
        <v>156</v>
      </c>
      <c r="K936" s="13">
        <v>45820</v>
      </c>
      <c r="L936" t="s">
        <v>688</v>
      </c>
      <c r="M936">
        <v>2.6</v>
      </c>
    </row>
    <row r="937" spans="1:13" x14ac:dyDescent="0.25">
      <c r="A937" t="s">
        <v>34</v>
      </c>
      <c r="D937" t="s">
        <v>42</v>
      </c>
      <c r="E937">
        <v>2016</v>
      </c>
      <c r="F937">
        <v>4</v>
      </c>
      <c r="G937">
        <v>8</v>
      </c>
      <c r="H937">
        <v>2</v>
      </c>
      <c r="I937">
        <v>156</v>
      </c>
      <c r="K937" s="13">
        <v>45820</v>
      </c>
      <c r="L937" t="s">
        <v>689</v>
      </c>
      <c r="M937">
        <v>2.7</v>
      </c>
    </row>
    <row r="938" spans="1:13" x14ac:dyDescent="0.25">
      <c r="A938" t="s">
        <v>34</v>
      </c>
      <c r="D938" t="s">
        <v>42</v>
      </c>
      <c r="E938">
        <v>2016</v>
      </c>
      <c r="F938">
        <v>4</v>
      </c>
      <c r="G938">
        <v>8</v>
      </c>
      <c r="H938">
        <v>2</v>
      </c>
      <c r="I938">
        <v>156</v>
      </c>
      <c r="K938" s="13">
        <v>45825</v>
      </c>
      <c r="L938" t="s">
        <v>687</v>
      </c>
    </row>
    <row r="939" spans="1:13" x14ac:dyDescent="0.25">
      <c r="A939" t="s">
        <v>34</v>
      </c>
      <c r="D939" t="s">
        <v>42</v>
      </c>
      <c r="E939">
        <v>2016</v>
      </c>
      <c r="F939">
        <v>4</v>
      </c>
      <c r="G939">
        <v>8</v>
      </c>
      <c r="H939">
        <v>2</v>
      </c>
      <c r="I939">
        <v>156</v>
      </c>
      <c r="K939" s="13">
        <v>45825</v>
      </c>
      <c r="L939" t="s">
        <v>688</v>
      </c>
    </row>
    <row r="940" spans="1:13" x14ac:dyDescent="0.25">
      <c r="A940" t="s">
        <v>34</v>
      </c>
      <c r="D940" t="s">
        <v>42</v>
      </c>
      <c r="E940">
        <v>2016</v>
      </c>
      <c r="F940">
        <v>4</v>
      </c>
      <c r="G940">
        <v>8</v>
      </c>
      <c r="H940">
        <v>2</v>
      </c>
      <c r="I940">
        <v>156</v>
      </c>
      <c r="K940" s="13">
        <v>45825</v>
      </c>
      <c r="L940" t="s">
        <v>689</v>
      </c>
    </row>
    <row r="941" spans="1:13" x14ac:dyDescent="0.25">
      <c r="A941" t="s">
        <v>34</v>
      </c>
      <c r="D941" t="s">
        <v>42</v>
      </c>
      <c r="E941">
        <v>2016</v>
      </c>
      <c r="F941">
        <v>4</v>
      </c>
      <c r="G941">
        <v>8</v>
      </c>
      <c r="H941">
        <v>2</v>
      </c>
      <c r="I941">
        <v>156</v>
      </c>
      <c r="K941" s="13">
        <v>45827</v>
      </c>
      <c r="L941" t="s">
        <v>687</v>
      </c>
      <c r="M941">
        <v>3.2</v>
      </c>
    </row>
    <row r="942" spans="1:13" x14ac:dyDescent="0.25">
      <c r="A942" t="s">
        <v>34</v>
      </c>
      <c r="D942" t="s">
        <v>42</v>
      </c>
      <c r="E942">
        <v>2016</v>
      </c>
      <c r="F942">
        <v>4</v>
      </c>
      <c r="G942">
        <v>8</v>
      </c>
      <c r="H942">
        <v>2</v>
      </c>
      <c r="I942">
        <v>156</v>
      </c>
      <c r="K942" s="13">
        <v>45827</v>
      </c>
      <c r="L942" t="s">
        <v>688</v>
      </c>
      <c r="M942">
        <v>3.1</v>
      </c>
    </row>
    <row r="943" spans="1:13" x14ac:dyDescent="0.25">
      <c r="A943" t="s">
        <v>34</v>
      </c>
      <c r="D943" t="s">
        <v>42</v>
      </c>
      <c r="E943">
        <v>2016</v>
      </c>
      <c r="F943">
        <v>4</v>
      </c>
      <c r="G943">
        <v>8</v>
      </c>
      <c r="H943">
        <v>2</v>
      </c>
      <c r="I943">
        <v>156</v>
      </c>
      <c r="K943" s="13">
        <v>45827</v>
      </c>
      <c r="L943" t="s">
        <v>689</v>
      </c>
      <c r="M943">
        <v>3.1</v>
      </c>
    </row>
    <row r="944" spans="1:13" x14ac:dyDescent="0.25">
      <c r="A944" t="s">
        <v>34</v>
      </c>
      <c r="D944" t="s">
        <v>42</v>
      </c>
      <c r="E944">
        <v>2016</v>
      </c>
      <c r="F944">
        <v>4</v>
      </c>
      <c r="G944">
        <v>8</v>
      </c>
      <c r="H944">
        <v>2</v>
      </c>
      <c r="I944">
        <v>156</v>
      </c>
      <c r="K944" s="13">
        <v>45859</v>
      </c>
      <c r="L944" t="s">
        <v>687</v>
      </c>
      <c r="M944">
        <v>5.7</v>
      </c>
    </row>
    <row r="945" spans="1:13" x14ac:dyDescent="0.25">
      <c r="A945" t="s">
        <v>34</v>
      </c>
      <c r="D945" t="s">
        <v>42</v>
      </c>
      <c r="E945">
        <v>2016</v>
      </c>
      <c r="F945">
        <v>4</v>
      </c>
      <c r="G945">
        <v>8</v>
      </c>
      <c r="H945">
        <v>2</v>
      </c>
      <c r="I945">
        <v>156</v>
      </c>
      <c r="K945" s="13">
        <v>45859</v>
      </c>
      <c r="L945" t="s">
        <v>688</v>
      </c>
      <c r="M945">
        <v>5.6</v>
      </c>
    </row>
    <row r="946" spans="1:13" x14ac:dyDescent="0.25">
      <c r="A946" t="s">
        <v>34</v>
      </c>
      <c r="D946" t="s">
        <v>42</v>
      </c>
      <c r="E946">
        <v>2016</v>
      </c>
      <c r="F946">
        <v>4</v>
      </c>
      <c r="G946">
        <v>8</v>
      </c>
      <c r="H946">
        <v>2</v>
      </c>
      <c r="I946">
        <v>156</v>
      </c>
      <c r="K946" s="13">
        <v>45859</v>
      </c>
      <c r="L946" t="s">
        <v>689</v>
      </c>
      <c r="M946">
        <v>5.8</v>
      </c>
    </row>
    <row r="947" spans="1:13" x14ac:dyDescent="0.25">
      <c r="A947" t="s">
        <v>34</v>
      </c>
      <c r="D947" t="s">
        <v>42</v>
      </c>
      <c r="E947">
        <v>2016</v>
      </c>
      <c r="F947">
        <v>4</v>
      </c>
      <c r="G947">
        <v>8</v>
      </c>
      <c r="H947">
        <v>2</v>
      </c>
      <c r="I947">
        <v>156</v>
      </c>
      <c r="K947" s="13">
        <v>45868</v>
      </c>
      <c r="L947" t="s">
        <v>687</v>
      </c>
      <c r="M947">
        <v>6.3</v>
      </c>
    </row>
    <row r="948" spans="1:13" x14ac:dyDescent="0.25">
      <c r="A948" t="s">
        <v>34</v>
      </c>
      <c r="D948" t="s">
        <v>42</v>
      </c>
      <c r="E948">
        <v>2016</v>
      </c>
      <c r="F948">
        <v>4</v>
      </c>
      <c r="G948">
        <v>8</v>
      </c>
      <c r="H948">
        <v>2</v>
      </c>
      <c r="I948">
        <v>156</v>
      </c>
      <c r="K948" s="13">
        <v>45868</v>
      </c>
      <c r="L948" t="s">
        <v>688</v>
      </c>
      <c r="M948">
        <v>6.6</v>
      </c>
    </row>
    <row r="949" spans="1:13" x14ac:dyDescent="0.25">
      <c r="A949" t="s">
        <v>34</v>
      </c>
      <c r="D949" t="s">
        <v>42</v>
      </c>
      <c r="E949">
        <v>2016</v>
      </c>
      <c r="F949">
        <v>4</v>
      </c>
      <c r="G949">
        <v>8</v>
      </c>
      <c r="H949">
        <v>2</v>
      </c>
      <c r="I949">
        <v>156</v>
      </c>
      <c r="K949" s="13">
        <v>45868</v>
      </c>
      <c r="L949" t="s">
        <v>689</v>
      </c>
      <c r="M949">
        <v>6.7</v>
      </c>
    </row>
    <row r="950" spans="1:13" x14ac:dyDescent="0.25">
      <c r="A950" t="s">
        <v>34</v>
      </c>
      <c r="D950" t="s">
        <v>42</v>
      </c>
      <c r="E950">
        <v>2016</v>
      </c>
      <c r="F950">
        <v>4</v>
      </c>
      <c r="G950">
        <v>8</v>
      </c>
      <c r="H950">
        <v>2</v>
      </c>
      <c r="I950">
        <v>156</v>
      </c>
      <c r="K950" s="13">
        <v>45875</v>
      </c>
      <c r="L950" t="s">
        <v>687</v>
      </c>
    </row>
    <row r="951" spans="1:13" x14ac:dyDescent="0.25">
      <c r="A951" t="s">
        <v>34</v>
      </c>
      <c r="D951" t="s">
        <v>42</v>
      </c>
      <c r="E951">
        <v>2016</v>
      </c>
      <c r="F951">
        <v>4</v>
      </c>
      <c r="G951">
        <v>8</v>
      </c>
      <c r="H951">
        <v>2</v>
      </c>
      <c r="I951">
        <v>156</v>
      </c>
      <c r="K951" s="13">
        <v>45875</v>
      </c>
      <c r="L951" t="s">
        <v>688</v>
      </c>
    </row>
    <row r="952" spans="1:13" x14ac:dyDescent="0.25">
      <c r="A952" t="s">
        <v>34</v>
      </c>
      <c r="D952" t="s">
        <v>42</v>
      </c>
      <c r="E952">
        <v>2016</v>
      </c>
      <c r="F952">
        <v>4</v>
      </c>
      <c r="G952">
        <v>8</v>
      </c>
      <c r="H952">
        <v>2</v>
      </c>
      <c r="I952">
        <v>156</v>
      </c>
      <c r="K952" s="13">
        <v>45875</v>
      </c>
      <c r="L952" t="s">
        <v>689</v>
      </c>
    </row>
    <row r="953" spans="1:13" x14ac:dyDescent="0.25">
      <c r="A953" t="s">
        <v>34</v>
      </c>
      <c r="D953" t="s">
        <v>42</v>
      </c>
      <c r="E953">
        <v>2016</v>
      </c>
      <c r="F953">
        <v>4</v>
      </c>
      <c r="G953">
        <v>8</v>
      </c>
      <c r="H953">
        <v>2</v>
      </c>
      <c r="I953">
        <v>156</v>
      </c>
      <c r="K953" s="13">
        <v>45880</v>
      </c>
      <c r="L953" t="s">
        <v>687</v>
      </c>
      <c r="M953">
        <v>7.2</v>
      </c>
    </row>
    <row r="954" spans="1:13" x14ac:dyDescent="0.25">
      <c r="A954" t="s">
        <v>34</v>
      </c>
      <c r="D954" t="s">
        <v>42</v>
      </c>
      <c r="E954">
        <v>2016</v>
      </c>
      <c r="F954">
        <v>4</v>
      </c>
      <c r="G954">
        <v>8</v>
      </c>
      <c r="H954">
        <v>2</v>
      </c>
      <c r="I954">
        <v>156</v>
      </c>
      <c r="K954" s="13">
        <v>45880</v>
      </c>
      <c r="L954" t="s">
        <v>688</v>
      </c>
      <c r="M954">
        <v>7.8</v>
      </c>
    </row>
    <row r="955" spans="1:13" x14ac:dyDescent="0.25">
      <c r="A955" t="s">
        <v>34</v>
      </c>
      <c r="D955" t="s">
        <v>42</v>
      </c>
      <c r="E955">
        <v>2016</v>
      </c>
      <c r="F955">
        <v>4</v>
      </c>
      <c r="G955">
        <v>8</v>
      </c>
      <c r="H955">
        <v>2</v>
      </c>
      <c r="I955">
        <v>156</v>
      </c>
      <c r="K955" s="13">
        <v>45880</v>
      </c>
      <c r="L955" t="s">
        <v>689</v>
      </c>
      <c r="M955">
        <v>7.5</v>
      </c>
    </row>
    <row r="956" spans="1:13" x14ac:dyDescent="0.25">
      <c r="A956" t="s">
        <v>34</v>
      </c>
      <c r="D956" t="s">
        <v>42</v>
      </c>
      <c r="E956">
        <v>2016</v>
      </c>
      <c r="F956">
        <v>4</v>
      </c>
      <c r="G956">
        <v>8</v>
      </c>
      <c r="H956">
        <v>2</v>
      </c>
      <c r="I956">
        <v>156</v>
      </c>
      <c r="K956" s="13">
        <v>45897</v>
      </c>
      <c r="L956" t="s">
        <v>687</v>
      </c>
      <c r="M956">
        <v>8.4</v>
      </c>
    </row>
    <row r="957" spans="1:13" x14ac:dyDescent="0.25">
      <c r="A957" t="s">
        <v>34</v>
      </c>
      <c r="D957" t="s">
        <v>42</v>
      </c>
      <c r="E957">
        <v>2016</v>
      </c>
      <c r="F957">
        <v>4</v>
      </c>
      <c r="G957">
        <v>8</v>
      </c>
      <c r="H957">
        <v>2</v>
      </c>
      <c r="I957">
        <v>156</v>
      </c>
      <c r="K957" s="13">
        <v>45897</v>
      </c>
      <c r="L957" t="s">
        <v>688</v>
      </c>
      <c r="M957">
        <v>9.1</v>
      </c>
    </row>
    <row r="958" spans="1:13" x14ac:dyDescent="0.25">
      <c r="A958" t="s">
        <v>34</v>
      </c>
      <c r="D958" t="s">
        <v>42</v>
      </c>
      <c r="E958">
        <v>2016</v>
      </c>
      <c r="F958">
        <v>4</v>
      </c>
      <c r="G958">
        <v>8</v>
      </c>
      <c r="H958">
        <v>2</v>
      </c>
      <c r="I958">
        <v>156</v>
      </c>
      <c r="K958" s="13">
        <v>45897</v>
      </c>
      <c r="L958" t="s">
        <v>689</v>
      </c>
      <c r="M958">
        <v>9.1</v>
      </c>
    </row>
    <row r="959" spans="1:13" x14ac:dyDescent="0.25">
      <c r="A959" t="s">
        <v>34</v>
      </c>
      <c r="D959" t="s">
        <v>42</v>
      </c>
      <c r="E959">
        <v>2016</v>
      </c>
      <c r="F959">
        <v>4</v>
      </c>
      <c r="G959">
        <v>8</v>
      </c>
      <c r="H959">
        <v>2</v>
      </c>
      <c r="I959">
        <v>156</v>
      </c>
      <c r="K959" s="13">
        <v>45911</v>
      </c>
      <c r="L959" t="s">
        <v>687</v>
      </c>
      <c r="M959">
        <v>9</v>
      </c>
    </row>
    <row r="960" spans="1:13" x14ac:dyDescent="0.25">
      <c r="A960" t="s">
        <v>34</v>
      </c>
      <c r="D960" t="s">
        <v>42</v>
      </c>
      <c r="E960">
        <v>2016</v>
      </c>
      <c r="F960">
        <v>4</v>
      </c>
      <c r="G960">
        <v>8</v>
      </c>
      <c r="H960">
        <v>2</v>
      </c>
      <c r="I960">
        <v>156</v>
      </c>
      <c r="K960" s="13">
        <v>45911</v>
      </c>
      <c r="L960" t="s">
        <v>688</v>
      </c>
      <c r="M960">
        <v>10</v>
      </c>
    </row>
    <row r="961" spans="1:13" x14ac:dyDescent="0.25">
      <c r="A961" t="s">
        <v>34</v>
      </c>
      <c r="D961" t="s">
        <v>42</v>
      </c>
      <c r="E961">
        <v>2016</v>
      </c>
      <c r="F961">
        <v>4</v>
      </c>
      <c r="G961">
        <v>8</v>
      </c>
      <c r="H961">
        <v>2</v>
      </c>
      <c r="I961">
        <v>156</v>
      </c>
      <c r="K961" s="13">
        <v>45911</v>
      </c>
      <c r="L961" t="s">
        <v>689</v>
      </c>
    </row>
    <row r="962" spans="1:13" x14ac:dyDescent="0.25">
      <c r="A962" t="s">
        <v>24</v>
      </c>
      <c r="D962" t="s">
        <v>26</v>
      </c>
      <c r="E962">
        <v>1983</v>
      </c>
      <c r="F962">
        <v>1</v>
      </c>
      <c r="G962">
        <v>9</v>
      </c>
      <c r="H962">
        <v>3</v>
      </c>
      <c r="I962">
        <v>109</v>
      </c>
      <c r="K962" s="13">
        <v>45796</v>
      </c>
      <c r="L962" t="s">
        <v>687</v>
      </c>
      <c r="M962">
        <v>5.0999999999999996</v>
      </c>
    </row>
    <row r="963" spans="1:13" x14ac:dyDescent="0.25">
      <c r="A963" t="s">
        <v>24</v>
      </c>
      <c r="D963" t="s">
        <v>26</v>
      </c>
      <c r="E963">
        <v>1983</v>
      </c>
      <c r="F963">
        <v>1</v>
      </c>
      <c r="G963">
        <v>9</v>
      </c>
      <c r="H963">
        <v>3</v>
      </c>
      <c r="I963">
        <v>109</v>
      </c>
      <c r="K963" s="13">
        <v>45796</v>
      </c>
      <c r="L963" t="s">
        <v>688</v>
      </c>
      <c r="M963">
        <v>5.0999999999999996</v>
      </c>
    </row>
    <row r="964" spans="1:13" x14ac:dyDescent="0.25">
      <c r="A964" t="s">
        <v>24</v>
      </c>
      <c r="D964" t="s">
        <v>26</v>
      </c>
      <c r="E964">
        <v>1983</v>
      </c>
      <c r="F964">
        <v>1</v>
      </c>
      <c r="G964">
        <v>9</v>
      </c>
      <c r="H964">
        <v>3</v>
      </c>
      <c r="I964">
        <v>109</v>
      </c>
      <c r="K964" s="13">
        <v>45796</v>
      </c>
      <c r="L964" t="s">
        <v>689</v>
      </c>
      <c r="M964">
        <v>4.9000000000000004</v>
      </c>
    </row>
    <row r="965" spans="1:13" x14ac:dyDescent="0.25">
      <c r="A965" t="s">
        <v>24</v>
      </c>
      <c r="D965" t="s">
        <v>26</v>
      </c>
      <c r="E965">
        <v>1983</v>
      </c>
      <c r="F965">
        <v>1</v>
      </c>
      <c r="G965">
        <v>9</v>
      </c>
      <c r="H965">
        <v>3</v>
      </c>
      <c r="I965">
        <v>109</v>
      </c>
      <c r="K965" s="13">
        <v>45820</v>
      </c>
      <c r="L965" t="s">
        <v>687</v>
      </c>
    </row>
    <row r="966" spans="1:13" x14ac:dyDescent="0.25">
      <c r="A966" t="s">
        <v>24</v>
      </c>
      <c r="D966" t="s">
        <v>26</v>
      </c>
      <c r="E966">
        <v>1983</v>
      </c>
      <c r="F966">
        <v>1</v>
      </c>
      <c r="G966">
        <v>9</v>
      </c>
      <c r="H966">
        <v>3</v>
      </c>
      <c r="I966">
        <v>109</v>
      </c>
      <c r="K966" s="13">
        <v>45820</v>
      </c>
      <c r="L966" t="s">
        <v>688</v>
      </c>
    </row>
    <row r="967" spans="1:13" x14ac:dyDescent="0.25">
      <c r="A967" t="s">
        <v>24</v>
      </c>
      <c r="D967" t="s">
        <v>26</v>
      </c>
      <c r="E967">
        <v>1983</v>
      </c>
      <c r="F967">
        <v>1</v>
      </c>
      <c r="G967">
        <v>9</v>
      </c>
      <c r="H967">
        <v>3</v>
      </c>
      <c r="I967">
        <v>109</v>
      </c>
      <c r="K967" s="13">
        <v>45820</v>
      </c>
      <c r="L967" t="s">
        <v>689</v>
      </c>
    </row>
    <row r="968" spans="1:13" x14ac:dyDescent="0.25">
      <c r="A968" t="s">
        <v>24</v>
      </c>
      <c r="D968" t="s">
        <v>26</v>
      </c>
      <c r="E968">
        <v>1983</v>
      </c>
      <c r="F968">
        <v>1</v>
      </c>
      <c r="G968">
        <v>9</v>
      </c>
      <c r="H968">
        <v>3</v>
      </c>
      <c r="I968">
        <v>109</v>
      </c>
      <c r="K968" s="13">
        <v>45825</v>
      </c>
      <c r="L968" t="s">
        <v>687</v>
      </c>
      <c r="M968">
        <v>6.3</v>
      </c>
    </row>
    <row r="969" spans="1:13" x14ac:dyDescent="0.25">
      <c r="A969" t="s">
        <v>24</v>
      </c>
      <c r="D969" t="s">
        <v>26</v>
      </c>
      <c r="E969">
        <v>1983</v>
      </c>
      <c r="F969">
        <v>1</v>
      </c>
      <c r="G969">
        <v>9</v>
      </c>
      <c r="H969">
        <v>3</v>
      </c>
      <c r="I969">
        <v>109</v>
      </c>
      <c r="K969" s="13">
        <v>45825</v>
      </c>
      <c r="L969" t="s">
        <v>688</v>
      </c>
      <c r="M969">
        <v>6.4</v>
      </c>
    </row>
    <row r="970" spans="1:13" x14ac:dyDescent="0.25">
      <c r="A970" t="s">
        <v>24</v>
      </c>
      <c r="D970" t="s">
        <v>26</v>
      </c>
      <c r="E970">
        <v>1983</v>
      </c>
      <c r="F970">
        <v>1</v>
      </c>
      <c r="G970">
        <v>9</v>
      </c>
      <c r="H970">
        <v>3</v>
      </c>
      <c r="I970">
        <v>109</v>
      </c>
      <c r="K970" s="13">
        <v>45825</v>
      </c>
      <c r="L970" t="s">
        <v>689</v>
      </c>
      <c r="M970">
        <v>6.7</v>
      </c>
    </row>
    <row r="971" spans="1:13" x14ac:dyDescent="0.25">
      <c r="A971" t="s">
        <v>24</v>
      </c>
      <c r="D971" t="s">
        <v>26</v>
      </c>
      <c r="E971">
        <v>1983</v>
      </c>
      <c r="F971">
        <v>1</v>
      </c>
      <c r="G971">
        <v>9</v>
      </c>
      <c r="H971">
        <v>3</v>
      </c>
      <c r="I971">
        <v>109</v>
      </c>
      <c r="K971" s="13">
        <v>45827</v>
      </c>
      <c r="L971" t="s">
        <v>687</v>
      </c>
    </row>
    <row r="972" spans="1:13" x14ac:dyDescent="0.25">
      <c r="A972" t="s">
        <v>24</v>
      </c>
      <c r="D972" t="s">
        <v>26</v>
      </c>
      <c r="E972">
        <v>1983</v>
      </c>
      <c r="F972">
        <v>1</v>
      </c>
      <c r="G972">
        <v>9</v>
      </c>
      <c r="H972">
        <v>3</v>
      </c>
      <c r="I972">
        <v>109</v>
      </c>
      <c r="K972" s="13">
        <v>45827</v>
      </c>
      <c r="L972" t="s">
        <v>688</v>
      </c>
    </row>
    <row r="973" spans="1:13" x14ac:dyDescent="0.25">
      <c r="A973" t="s">
        <v>24</v>
      </c>
      <c r="D973" t="s">
        <v>26</v>
      </c>
      <c r="E973">
        <v>1983</v>
      </c>
      <c r="F973">
        <v>1</v>
      </c>
      <c r="G973">
        <v>9</v>
      </c>
      <c r="H973">
        <v>3</v>
      </c>
      <c r="I973">
        <v>109</v>
      </c>
      <c r="K973" s="13">
        <v>45827</v>
      </c>
      <c r="L973" t="s">
        <v>689</v>
      </c>
    </row>
    <row r="974" spans="1:13" x14ac:dyDescent="0.25">
      <c r="A974" t="s">
        <v>24</v>
      </c>
      <c r="D974" t="s">
        <v>26</v>
      </c>
      <c r="E974">
        <v>1983</v>
      </c>
      <c r="F974">
        <v>1</v>
      </c>
      <c r="G974">
        <v>9</v>
      </c>
      <c r="H974">
        <v>3</v>
      </c>
      <c r="I974">
        <v>109</v>
      </c>
      <c r="K974" s="13">
        <v>45859</v>
      </c>
      <c r="L974" t="s">
        <v>687</v>
      </c>
    </row>
    <row r="975" spans="1:13" x14ac:dyDescent="0.25">
      <c r="A975" t="s">
        <v>24</v>
      </c>
      <c r="D975" t="s">
        <v>26</v>
      </c>
      <c r="E975">
        <v>1983</v>
      </c>
      <c r="F975">
        <v>1</v>
      </c>
      <c r="G975">
        <v>9</v>
      </c>
      <c r="H975">
        <v>3</v>
      </c>
      <c r="I975">
        <v>109</v>
      </c>
      <c r="K975" s="13">
        <v>45859</v>
      </c>
      <c r="L975" t="s">
        <v>688</v>
      </c>
    </row>
    <row r="976" spans="1:13" x14ac:dyDescent="0.25">
      <c r="A976" t="s">
        <v>24</v>
      </c>
      <c r="D976" t="s">
        <v>26</v>
      </c>
      <c r="E976">
        <v>1983</v>
      </c>
      <c r="F976">
        <v>1</v>
      </c>
      <c r="G976">
        <v>9</v>
      </c>
      <c r="H976">
        <v>3</v>
      </c>
      <c r="I976">
        <v>109</v>
      </c>
      <c r="K976" s="13">
        <v>45859</v>
      </c>
      <c r="L976" t="s">
        <v>689</v>
      </c>
    </row>
    <row r="977" spans="1:13" x14ac:dyDescent="0.25">
      <c r="A977" t="s">
        <v>24</v>
      </c>
      <c r="D977" t="s">
        <v>26</v>
      </c>
      <c r="E977">
        <v>1983</v>
      </c>
      <c r="F977">
        <v>1</v>
      </c>
      <c r="G977">
        <v>9</v>
      </c>
      <c r="H977">
        <v>3</v>
      </c>
      <c r="I977">
        <v>109</v>
      </c>
      <c r="K977" s="13">
        <v>45868</v>
      </c>
      <c r="L977" t="s">
        <v>687</v>
      </c>
      <c r="M977">
        <v>9.1999999999999993</v>
      </c>
    </row>
    <row r="978" spans="1:13" x14ac:dyDescent="0.25">
      <c r="A978" t="s">
        <v>24</v>
      </c>
      <c r="D978" t="s">
        <v>26</v>
      </c>
      <c r="E978">
        <v>1983</v>
      </c>
      <c r="F978">
        <v>1</v>
      </c>
      <c r="G978">
        <v>9</v>
      </c>
      <c r="H978">
        <v>3</v>
      </c>
      <c r="I978">
        <v>109</v>
      </c>
      <c r="K978" s="13">
        <v>45868</v>
      </c>
      <c r="L978" t="s">
        <v>688</v>
      </c>
      <c r="M978">
        <v>9.1</v>
      </c>
    </row>
    <row r="979" spans="1:13" x14ac:dyDescent="0.25">
      <c r="A979" t="s">
        <v>24</v>
      </c>
      <c r="D979" t="s">
        <v>26</v>
      </c>
      <c r="E979">
        <v>1983</v>
      </c>
      <c r="F979">
        <v>1</v>
      </c>
      <c r="G979">
        <v>9</v>
      </c>
      <c r="H979">
        <v>3</v>
      </c>
      <c r="I979">
        <v>109</v>
      </c>
      <c r="K979" s="13">
        <v>45868</v>
      </c>
      <c r="L979" t="s">
        <v>689</v>
      </c>
    </row>
    <row r="980" spans="1:13" x14ac:dyDescent="0.25">
      <c r="A980" t="s">
        <v>24</v>
      </c>
      <c r="D980" t="s">
        <v>26</v>
      </c>
      <c r="E980">
        <v>1983</v>
      </c>
      <c r="F980">
        <v>1</v>
      </c>
      <c r="G980">
        <v>9</v>
      </c>
      <c r="H980">
        <v>3</v>
      </c>
      <c r="I980">
        <v>109</v>
      </c>
      <c r="K980" s="13">
        <v>45875</v>
      </c>
      <c r="L980" t="s">
        <v>687</v>
      </c>
      <c r="M980">
        <v>9.6999999999999993</v>
      </c>
    </row>
    <row r="981" spans="1:13" x14ac:dyDescent="0.25">
      <c r="A981" t="s">
        <v>24</v>
      </c>
      <c r="D981" t="s">
        <v>26</v>
      </c>
      <c r="E981">
        <v>1983</v>
      </c>
      <c r="F981">
        <v>1</v>
      </c>
      <c r="G981">
        <v>9</v>
      </c>
      <c r="H981">
        <v>3</v>
      </c>
      <c r="I981">
        <v>109</v>
      </c>
      <c r="K981" s="13">
        <v>45875</v>
      </c>
      <c r="L981" t="s">
        <v>688</v>
      </c>
      <c r="M981">
        <v>9.6</v>
      </c>
    </row>
    <row r="982" spans="1:13" x14ac:dyDescent="0.25">
      <c r="A982" t="s">
        <v>24</v>
      </c>
      <c r="D982" t="s">
        <v>26</v>
      </c>
      <c r="E982">
        <v>1983</v>
      </c>
      <c r="F982">
        <v>1</v>
      </c>
      <c r="G982">
        <v>9</v>
      </c>
      <c r="H982">
        <v>3</v>
      </c>
      <c r="I982">
        <v>109</v>
      </c>
      <c r="K982" s="13">
        <v>45875</v>
      </c>
      <c r="L982" t="s">
        <v>689</v>
      </c>
      <c r="M982">
        <v>10.199999999999999</v>
      </c>
    </row>
    <row r="983" spans="1:13" x14ac:dyDescent="0.25">
      <c r="A983" t="s">
        <v>24</v>
      </c>
      <c r="D983" t="s">
        <v>26</v>
      </c>
      <c r="E983">
        <v>1983</v>
      </c>
      <c r="F983">
        <v>1</v>
      </c>
      <c r="G983">
        <v>9</v>
      </c>
      <c r="H983">
        <v>3</v>
      </c>
      <c r="I983">
        <v>109</v>
      </c>
      <c r="K983" s="13">
        <v>45880</v>
      </c>
      <c r="L983" t="s">
        <v>687</v>
      </c>
    </row>
    <row r="984" spans="1:13" x14ac:dyDescent="0.25">
      <c r="A984" t="s">
        <v>24</v>
      </c>
      <c r="D984" t="s">
        <v>26</v>
      </c>
      <c r="E984">
        <v>1983</v>
      </c>
      <c r="F984">
        <v>1</v>
      </c>
      <c r="G984">
        <v>9</v>
      </c>
      <c r="H984">
        <v>3</v>
      </c>
      <c r="I984">
        <v>109</v>
      </c>
      <c r="K984" s="13">
        <v>45880</v>
      </c>
      <c r="L984" t="s">
        <v>688</v>
      </c>
    </row>
    <row r="985" spans="1:13" x14ac:dyDescent="0.25">
      <c r="A985" t="s">
        <v>24</v>
      </c>
      <c r="D985" t="s">
        <v>26</v>
      </c>
      <c r="E985">
        <v>1983</v>
      </c>
      <c r="F985">
        <v>1</v>
      </c>
      <c r="G985">
        <v>9</v>
      </c>
      <c r="H985">
        <v>3</v>
      </c>
      <c r="I985">
        <v>109</v>
      </c>
      <c r="K985" s="13">
        <v>45880</v>
      </c>
      <c r="L985" t="s">
        <v>689</v>
      </c>
    </row>
    <row r="986" spans="1:13" x14ac:dyDescent="0.25">
      <c r="A986" t="s">
        <v>24</v>
      </c>
      <c r="D986" t="s">
        <v>26</v>
      </c>
      <c r="E986">
        <v>1983</v>
      </c>
      <c r="F986">
        <v>1</v>
      </c>
      <c r="G986">
        <v>9</v>
      </c>
      <c r="H986">
        <v>3</v>
      </c>
      <c r="I986">
        <v>109</v>
      </c>
      <c r="K986" s="13">
        <v>45897</v>
      </c>
      <c r="L986" t="s">
        <v>687</v>
      </c>
      <c r="M986">
        <v>12.1</v>
      </c>
    </row>
    <row r="987" spans="1:13" x14ac:dyDescent="0.25">
      <c r="A987" t="s">
        <v>24</v>
      </c>
      <c r="D987" t="s">
        <v>26</v>
      </c>
      <c r="E987">
        <v>1983</v>
      </c>
      <c r="F987">
        <v>1</v>
      </c>
      <c r="G987">
        <v>9</v>
      </c>
      <c r="H987">
        <v>3</v>
      </c>
      <c r="I987">
        <v>109</v>
      </c>
      <c r="K987" s="13">
        <v>45897</v>
      </c>
      <c r="L987" t="s">
        <v>688</v>
      </c>
      <c r="M987">
        <v>11.9</v>
      </c>
    </row>
    <row r="988" spans="1:13" x14ac:dyDescent="0.25">
      <c r="A988" t="s">
        <v>24</v>
      </c>
      <c r="D988" t="s">
        <v>26</v>
      </c>
      <c r="E988">
        <v>1983</v>
      </c>
      <c r="F988">
        <v>1</v>
      </c>
      <c r="G988">
        <v>9</v>
      </c>
      <c r="H988">
        <v>3</v>
      </c>
      <c r="I988">
        <v>109</v>
      </c>
      <c r="K988" s="13">
        <v>45897</v>
      </c>
      <c r="L988" t="s">
        <v>689</v>
      </c>
      <c r="M988">
        <v>12.6</v>
      </c>
    </row>
    <row r="989" spans="1:13" x14ac:dyDescent="0.25">
      <c r="A989" t="s">
        <v>24</v>
      </c>
      <c r="D989" t="s">
        <v>26</v>
      </c>
      <c r="E989">
        <v>1983</v>
      </c>
      <c r="F989">
        <v>1</v>
      </c>
      <c r="G989">
        <v>9</v>
      </c>
      <c r="H989">
        <v>3</v>
      </c>
      <c r="I989">
        <v>109</v>
      </c>
      <c r="K989" s="13">
        <v>45911</v>
      </c>
      <c r="L989" t="s">
        <v>687</v>
      </c>
    </row>
    <row r="990" spans="1:13" x14ac:dyDescent="0.25">
      <c r="A990" t="s">
        <v>24</v>
      </c>
      <c r="D990" t="s">
        <v>26</v>
      </c>
      <c r="E990">
        <v>1983</v>
      </c>
      <c r="F990">
        <v>1</v>
      </c>
      <c r="G990">
        <v>9</v>
      </c>
      <c r="H990">
        <v>3</v>
      </c>
      <c r="I990">
        <v>109</v>
      </c>
      <c r="K990" s="13">
        <v>45911</v>
      </c>
      <c r="L990" t="s">
        <v>688</v>
      </c>
    </row>
    <row r="991" spans="1:13" x14ac:dyDescent="0.25">
      <c r="A991" t="s">
        <v>24</v>
      </c>
      <c r="D991" t="s">
        <v>26</v>
      </c>
      <c r="E991">
        <v>1983</v>
      </c>
      <c r="F991">
        <v>1</v>
      </c>
      <c r="G991">
        <v>9</v>
      </c>
      <c r="H991">
        <v>3</v>
      </c>
      <c r="I991">
        <v>109</v>
      </c>
      <c r="K991" s="13">
        <v>45911</v>
      </c>
      <c r="L991" t="s">
        <v>689</v>
      </c>
    </row>
    <row r="992" spans="1:13" x14ac:dyDescent="0.25">
      <c r="A992" t="s">
        <v>24</v>
      </c>
      <c r="D992" t="s">
        <v>312</v>
      </c>
      <c r="E992">
        <v>2002</v>
      </c>
      <c r="F992">
        <v>2</v>
      </c>
      <c r="G992">
        <v>9</v>
      </c>
      <c r="H992">
        <v>3</v>
      </c>
      <c r="I992">
        <v>125</v>
      </c>
      <c r="K992" s="13">
        <v>45796</v>
      </c>
      <c r="L992" t="s">
        <v>687</v>
      </c>
      <c r="M992">
        <v>4.7</v>
      </c>
    </row>
    <row r="993" spans="1:13" x14ac:dyDescent="0.25">
      <c r="A993" t="s">
        <v>24</v>
      </c>
      <c r="D993" t="s">
        <v>312</v>
      </c>
      <c r="E993">
        <v>2002</v>
      </c>
      <c r="F993">
        <v>2</v>
      </c>
      <c r="G993">
        <v>9</v>
      </c>
      <c r="H993">
        <v>3</v>
      </c>
      <c r="I993">
        <v>125</v>
      </c>
      <c r="K993" s="13">
        <v>45796</v>
      </c>
      <c r="L993" t="s">
        <v>688</v>
      </c>
      <c r="M993">
        <v>4.5999999999999996</v>
      </c>
    </row>
    <row r="994" spans="1:13" x14ac:dyDescent="0.25">
      <c r="A994" t="s">
        <v>24</v>
      </c>
      <c r="D994" t="s">
        <v>312</v>
      </c>
      <c r="E994">
        <v>2002</v>
      </c>
      <c r="F994">
        <v>2</v>
      </c>
      <c r="G994">
        <v>9</v>
      </c>
      <c r="H994">
        <v>3</v>
      </c>
      <c r="I994">
        <v>125</v>
      </c>
      <c r="K994" s="13">
        <v>45796</v>
      </c>
      <c r="L994" t="s">
        <v>689</v>
      </c>
      <c r="M994">
        <v>4.8</v>
      </c>
    </row>
    <row r="995" spans="1:13" x14ac:dyDescent="0.25">
      <c r="A995" t="s">
        <v>24</v>
      </c>
      <c r="D995" t="s">
        <v>312</v>
      </c>
      <c r="E995">
        <v>2002</v>
      </c>
      <c r="F995">
        <v>2</v>
      </c>
      <c r="G995">
        <v>9</v>
      </c>
      <c r="H995">
        <v>3</v>
      </c>
      <c r="I995">
        <v>125</v>
      </c>
      <c r="K995" s="13">
        <v>45820</v>
      </c>
      <c r="L995" t="s">
        <v>687</v>
      </c>
    </row>
    <row r="996" spans="1:13" x14ac:dyDescent="0.25">
      <c r="A996" t="s">
        <v>24</v>
      </c>
      <c r="D996" t="s">
        <v>312</v>
      </c>
      <c r="E996">
        <v>2002</v>
      </c>
      <c r="F996">
        <v>2</v>
      </c>
      <c r="G996">
        <v>9</v>
      </c>
      <c r="H996">
        <v>3</v>
      </c>
      <c r="I996">
        <v>125</v>
      </c>
      <c r="K996" s="13">
        <v>45820</v>
      </c>
      <c r="L996" t="s">
        <v>688</v>
      </c>
    </row>
    <row r="997" spans="1:13" x14ac:dyDescent="0.25">
      <c r="A997" t="s">
        <v>24</v>
      </c>
      <c r="D997" t="s">
        <v>312</v>
      </c>
      <c r="E997">
        <v>2002</v>
      </c>
      <c r="F997">
        <v>2</v>
      </c>
      <c r="G997">
        <v>9</v>
      </c>
      <c r="H997">
        <v>3</v>
      </c>
      <c r="I997">
        <v>125</v>
      </c>
      <c r="K997" s="13">
        <v>45820</v>
      </c>
      <c r="L997" t="s">
        <v>689</v>
      </c>
    </row>
    <row r="998" spans="1:13" x14ac:dyDescent="0.25">
      <c r="A998" t="s">
        <v>24</v>
      </c>
      <c r="D998" t="s">
        <v>312</v>
      </c>
      <c r="E998">
        <v>2002</v>
      </c>
      <c r="F998">
        <v>2</v>
      </c>
      <c r="G998">
        <v>9</v>
      </c>
      <c r="H998">
        <v>3</v>
      </c>
      <c r="I998">
        <v>125</v>
      </c>
      <c r="K998" s="13">
        <v>45825</v>
      </c>
      <c r="L998" t="s">
        <v>687</v>
      </c>
      <c r="M998">
        <v>6.3</v>
      </c>
    </row>
    <row r="999" spans="1:13" x14ac:dyDescent="0.25">
      <c r="A999" t="s">
        <v>24</v>
      </c>
      <c r="D999" t="s">
        <v>312</v>
      </c>
      <c r="E999">
        <v>2002</v>
      </c>
      <c r="F999">
        <v>2</v>
      </c>
      <c r="G999">
        <v>9</v>
      </c>
      <c r="H999">
        <v>3</v>
      </c>
      <c r="I999">
        <v>125</v>
      </c>
      <c r="K999" s="13">
        <v>45825</v>
      </c>
      <c r="L999" t="s">
        <v>688</v>
      </c>
      <c r="M999">
        <v>6.4</v>
      </c>
    </row>
    <row r="1000" spans="1:13" x14ac:dyDescent="0.25">
      <c r="A1000" t="s">
        <v>24</v>
      </c>
      <c r="D1000" t="s">
        <v>312</v>
      </c>
      <c r="E1000">
        <v>2002</v>
      </c>
      <c r="F1000">
        <v>2</v>
      </c>
      <c r="G1000">
        <v>9</v>
      </c>
      <c r="H1000">
        <v>3</v>
      </c>
      <c r="I1000">
        <v>125</v>
      </c>
      <c r="K1000" s="13">
        <v>45825</v>
      </c>
      <c r="L1000" t="s">
        <v>689</v>
      </c>
      <c r="M1000">
        <v>6.7</v>
      </c>
    </row>
    <row r="1001" spans="1:13" x14ac:dyDescent="0.25">
      <c r="A1001" t="s">
        <v>24</v>
      </c>
      <c r="D1001" t="s">
        <v>312</v>
      </c>
      <c r="E1001">
        <v>2002</v>
      </c>
      <c r="F1001">
        <v>2</v>
      </c>
      <c r="G1001">
        <v>9</v>
      </c>
      <c r="H1001">
        <v>3</v>
      </c>
      <c r="I1001">
        <v>125</v>
      </c>
      <c r="K1001" s="13">
        <v>45827</v>
      </c>
      <c r="L1001" t="s">
        <v>687</v>
      </c>
    </row>
    <row r="1002" spans="1:13" x14ac:dyDescent="0.25">
      <c r="A1002" t="s">
        <v>24</v>
      </c>
      <c r="D1002" t="s">
        <v>312</v>
      </c>
      <c r="E1002">
        <v>2002</v>
      </c>
      <c r="F1002">
        <v>2</v>
      </c>
      <c r="G1002">
        <v>9</v>
      </c>
      <c r="H1002">
        <v>3</v>
      </c>
      <c r="I1002">
        <v>125</v>
      </c>
      <c r="K1002" s="13">
        <v>45827</v>
      </c>
      <c r="L1002" t="s">
        <v>688</v>
      </c>
    </row>
    <row r="1003" spans="1:13" x14ac:dyDescent="0.25">
      <c r="A1003" t="s">
        <v>24</v>
      </c>
      <c r="D1003" t="s">
        <v>312</v>
      </c>
      <c r="E1003">
        <v>2002</v>
      </c>
      <c r="F1003">
        <v>2</v>
      </c>
      <c r="G1003">
        <v>9</v>
      </c>
      <c r="H1003">
        <v>3</v>
      </c>
      <c r="I1003">
        <v>125</v>
      </c>
      <c r="K1003" s="13">
        <v>45827</v>
      </c>
      <c r="L1003" t="s">
        <v>689</v>
      </c>
    </row>
    <row r="1004" spans="1:13" x14ac:dyDescent="0.25">
      <c r="A1004" t="s">
        <v>24</v>
      </c>
      <c r="D1004" t="s">
        <v>312</v>
      </c>
      <c r="E1004">
        <v>2002</v>
      </c>
      <c r="F1004">
        <v>2</v>
      </c>
      <c r="G1004">
        <v>9</v>
      </c>
      <c r="H1004">
        <v>3</v>
      </c>
      <c r="I1004">
        <v>125</v>
      </c>
      <c r="K1004" s="13">
        <v>45859</v>
      </c>
      <c r="L1004" t="s">
        <v>687</v>
      </c>
    </row>
    <row r="1005" spans="1:13" x14ac:dyDescent="0.25">
      <c r="A1005" t="s">
        <v>24</v>
      </c>
      <c r="D1005" t="s">
        <v>312</v>
      </c>
      <c r="E1005">
        <v>2002</v>
      </c>
      <c r="F1005">
        <v>2</v>
      </c>
      <c r="G1005">
        <v>9</v>
      </c>
      <c r="H1005">
        <v>3</v>
      </c>
      <c r="I1005">
        <v>125</v>
      </c>
      <c r="K1005" s="13">
        <v>45859</v>
      </c>
      <c r="L1005" t="s">
        <v>688</v>
      </c>
    </row>
    <row r="1006" spans="1:13" x14ac:dyDescent="0.25">
      <c r="A1006" t="s">
        <v>24</v>
      </c>
      <c r="D1006" t="s">
        <v>312</v>
      </c>
      <c r="E1006">
        <v>2002</v>
      </c>
      <c r="F1006">
        <v>2</v>
      </c>
      <c r="G1006">
        <v>9</v>
      </c>
      <c r="H1006">
        <v>3</v>
      </c>
      <c r="I1006">
        <v>125</v>
      </c>
      <c r="K1006" s="13">
        <v>45859</v>
      </c>
      <c r="L1006" t="s">
        <v>689</v>
      </c>
    </row>
    <row r="1007" spans="1:13" x14ac:dyDescent="0.25">
      <c r="A1007" t="s">
        <v>24</v>
      </c>
      <c r="D1007" t="s">
        <v>312</v>
      </c>
      <c r="E1007">
        <v>2002</v>
      </c>
      <c r="F1007">
        <v>2</v>
      </c>
      <c r="G1007">
        <v>9</v>
      </c>
      <c r="H1007">
        <v>3</v>
      </c>
      <c r="I1007">
        <v>125</v>
      </c>
      <c r="K1007" s="13">
        <v>45868</v>
      </c>
      <c r="L1007" t="s">
        <v>687</v>
      </c>
      <c r="M1007">
        <v>8.8000000000000007</v>
      </c>
    </row>
    <row r="1008" spans="1:13" x14ac:dyDescent="0.25">
      <c r="A1008" t="s">
        <v>24</v>
      </c>
      <c r="D1008" t="s">
        <v>312</v>
      </c>
      <c r="E1008">
        <v>2002</v>
      </c>
      <c r="F1008">
        <v>2</v>
      </c>
      <c r="G1008">
        <v>9</v>
      </c>
      <c r="H1008">
        <v>3</v>
      </c>
      <c r="I1008">
        <v>125</v>
      </c>
      <c r="K1008" s="13">
        <v>45868</v>
      </c>
      <c r="L1008" t="s">
        <v>688</v>
      </c>
      <c r="M1008">
        <v>8.9</v>
      </c>
    </row>
    <row r="1009" spans="1:13" x14ac:dyDescent="0.25">
      <c r="A1009" t="s">
        <v>24</v>
      </c>
      <c r="D1009" t="s">
        <v>312</v>
      </c>
      <c r="E1009">
        <v>2002</v>
      </c>
      <c r="F1009">
        <v>2</v>
      </c>
      <c r="G1009">
        <v>9</v>
      </c>
      <c r="H1009">
        <v>3</v>
      </c>
      <c r="I1009">
        <v>125</v>
      </c>
      <c r="K1009" s="13">
        <v>45868</v>
      </c>
      <c r="L1009" t="s">
        <v>689</v>
      </c>
    </row>
    <row r="1010" spans="1:13" x14ac:dyDescent="0.25">
      <c r="A1010" t="s">
        <v>24</v>
      </c>
      <c r="D1010" t="s">
        <v>312</v>
      </c>
      <c r="E1010">
        <v>2002</v>
      </c>
      <c r="F1010">
        <v>2</v>
      </c>
      <c r="G1010">
        <v>9</v>
      </c>
      <c r="H1010">
        <v>3</v>
      </c>
      <c r="I1010">
        <v>125</v>
      </c>
      <c r="K1010" s="13">
        <v>45875</v>
      </c>
      <c r="L1010" t="s">
        <v>687</v>
      </c>
      <c r="M1010">
        <v>9.4</v>
      </c>
    </row>
    <row r="1011" spans="1:13" x14ac:dyDescent="0.25">
      <c r="A1011" t="s">
        <v>24</v>
      </c>
      <c r="D1011" t="s">
        <v>312</v>
      </c>
      <c r="E1011">
        <v>2002</v>
      </c>
      <c r="F1011">
        <v>2</v>
      </c>
      <c r="G1011">
        <v>9</v>
      </c>
      <c r="H1011">
        <v>3</v>
      </c>
      <c r="I1011">
        <v>125</v>
      </c>
      <c r="K1011" s="13">
        <v>45875</v>
      </c>
      <c r="L1011" t="s">
        <v>688</v>
      </c>
      <c r="M1011">
        <v>9.1999999999999993</v>
      </c>
    </row>
    <row r="1012" spans="1:13" x14ac:dyDescent="0.25">
      <c r="A1012" t="s">
        <v>24</v>
      </c>
      <c r="D1012" t="s">
        <v>312</v>
      </c>
      <c r="E1012">
        <v>2002</v>
      </c>
      <c r="F1012">
        <v>2</v>
      </c>
      <c r="G1012">
        <v>9</v>
      </c>
      <c r="H1012">
        <v>3</v>
      </c>
      <c r="I1012">
        <v>125</v>
      </c>
      <c r="K1012" s="13">
        <v>45875</v>
      </c>
      <c r="L1012" t="s">
        <v>689</v>
      </c>
      <c r="M1012">
        <v>9.3000000000000007</v>
      </c>
    </row>
    <row r="1013" spans="1:13" x14ac:dyDescent="0.25">
      <c r="A1013" t="s">
        <v>24</v>
      </c>
      <c r="D1013" t="s">
        <v>312</v>
      </c>
      <c r="E1013">
        <v>2002</v>
      </c>
      <c r="F1013">
        <v>2</v>
      </c>
      <c r="G1013">
        <v>9</v>
      </c>
      <c r="H1013">
        <v>3</v>
      </c>
      <c r="I1013">
        <v>125</v>
      </c>
      <c r="K1013" s="13">
        <v>45880</v>
      </c>
      <c r="L1013" t="s">
        <v>687</v>
      </c>
    </row>
    <row r="1014" spans="1:13" x14ac:dyDescent="0.25">
      <c r="A1014" t="s">
        <v>24</v>
      </c>
      <c r="D1014" t="s">
        <v>312</v>
      </c>
      <c r="E1014">
        <v>2002</v>
      </c>
      <c r="F1014">
        <v>2</v>
      </c>
      <c r="G1014">
        <v>9</v>
      </c>
      <c r="H1014">
        <v>3</v>
      </c>
      <c r="I1014">
        <v>125</v>
      </c>
      <c r="K1014" s="13">
        <v>45880</v>
      </c>
      <c r="L1014" t="s">
        <v>688</v>
      </c>
    </row>
    <row r="1015" spans="1:13" x14ac:dyDescent="0.25">
      <c r="A1015" t="s">
        <v>24</v>
      </c>
      <c r="D1015" t="s">
        <v>312</v>
      </c>
      <c r="E1015">
        <v>2002</v>
      </c>
      <c r="F1015">
        <v>2</v>
      </c>
      <c r="G1015">
        <v>9</v>
      </c>
      <c r="H1015">
        <v>3</v>
      </c>
      <c r="I1015">
        <v>125</v>
      </c>
      <c r="K1015" s="13">
        <v>45880</v>
      </c>
      <c r="L1015" t="s">
        <v>689</v>
      </c>
    </row>
    <row r="1016" spans="1:13" x14ac:dyDescent="0.25">
      <c r="A1016" t="s">
        <v>24</v>
      </c>
      <c r="D1016" t="s">
        <v>312</v>
      </c>
      <c r="E1016">
        <v>2002</v>
      </c>
      <c r="F1016">
        <v>2</v>
      </c>
      <c r="G1016">
        <v>9</v>
      </c>
      <c r="H1016">
        <v>3</v>
      </c>
      <c r="I1016">
        <v>125</v>
      </c>
      <c r="K1016" s="13">
        <v>45897</v>
      </c>
      <c r="L1016" t="s">
        <v>687</v>
      </c>
      <c r="M1016">
        <v>11.6</v>
      </c>
    </row>
    <row r="1017" spans="1:13" x14ac:dyDescent="0.25">
      <c r="A1017" t="s">
        <v>24</v>
      </c>
      <c r="D1017" t="s">
        <v>312</v>
      </c>
      <c r="E1017">
        <v>2002</v>
      </c>
      <c r="F1017">
        <v>2</v>
      </c>
      <c r="G1017">
        <v>9</v>
      </c>
      <c r="H1017">
        <v>3</v>
      </c>
      <c r="I1017">
        <v>125</v>
      </c>
      <c r="K1017" s="13">
        <v>45897</v>
      </c>
      <c r="L1017" t="s">
        <v>688</v>
      </c>
      <c r="M1017">
        <v>10.9</v>
      </c>
    </row>
    <row r="1018" spans="1:13" x14ac:dyDescent="0.25">
      <c r="A1018" t="s">
        <v>24</v>
      </c>
      <c r="D1018" t="s">
        <v>312</v>
      </c>
      <c r="E1018">
        <v>2002</v>
      </c>
      <c r="F1018">
        <v>2</v>
      </c>
      <c r="G1018">
        <v>9</v>
      </c>
      <c r="H1018">
        <v>3</v>
      </c>
      <c r="I1018">
        <v>125</v>
      </c>
      <c r="K1018" s="13">
        <v>45897</v>
      </c>
      <c r="L1018" t="s">
        <v>689</v>
      </c>
      <c r="M1018">
        <v>11.1</v>
      </c>
    </row>
    <row r="1019" spans="1:13" x14ac:dyDescent="0.25">
      <c r="A1019" t="s">
        <v>24</v>
      </c>
      <c r="D1019" t="s">
        <v>312</v>
      </c>
      <c r="E1019">
        <v>2002</v>
      </c>
      <c r="F1019">
        <v>2</v>
      </c>
      <c r="G1019">
        <v>9</v>
      </c>
      <c r="H1019">
        <v>3</v>
      </c>
      <c r="I1019">
        <v>125</v>
      </c>
      <c r="K1019" s="13">
        <v>45911</v>
      </c>
      <c r="L1019" t="s">
        <v>687</v>
      </c>
    </row>
    <row r="1020" spans="1:13" x14ac:dyDescent="0.25">
      <c r="A1020" t="s">
        <v>24</v>
      </c>
      <c r="D1020" t="s">
        <v>312</v>
      </c>
      <c r="E1020">
        <v>2002</v>
      </c>
      <c r="F1020">
        <v>2</v>
      </c>
      <c r="G1020">
        <v>9</v>
      </c>
      <c r="H1020">
        <v>3</v>
      </c>
      <c r="I1020">
        <v>125</v>
      </c>
      <c r="K1020" s="13">
        <v>45911</v>
      </c>
      <c r="L1020" t="s">
        <v>688</v>
      </c>
    </row>
    <row r="1021" spans="1:13" x14ac:dyDescent="0.25">
      <c r="A1021" t="s">
        <v>24</v>
      </c>
      <c r="D1021" t="s">
        <v>312</v>
      </c>
      <c r="E1021">
        <v>2002</v>
      </c>
      <c r="F1021">
        <v>2</v>
      </c>
      <c r="G1021">
        <v>9</v>
      </c>
      <c r="H1021">
        <v>3</v>
      </c>
      <c r="I1021">
        <v>125</v>
      </c>
      <c r="K1021" s="13">
        <v>45911</v>
      </c>
      <c r="L1021" t="s">
        <v>689</v>
      </c>
    </row>
    <row r="1022" spans="1:13" x14ac:dyDescent="0.25">
      <c r="A1022" t="s">
        <v>24</v>
      </c>
      <c r="D1022" t="s">
        <v>28</v>
      </c>
      <c r="E1022">
        <v>1998</v>
      </c>
      <c r="F1022">
        <v>3</v>
      </c>
      <c r="G1022">
        <v>9</v>
      </c>
      <c r="H1022">
        <v>3</v>
      </c>
      <c r="I1022">
        <v>141</v>
      </c>
      <c r="K1022" s="13">
        <v>45796</v>
      </c>
      <c r="L1022" t="s">
        <v>687</v>
      </c>
      <c r="M1022">
        <v>5.0999999999999996</v>
      </c>
    </row>
    <row r="1023" spans="1:13" x14ac:dyDescent="0.25">
      <c r="A1023" t="s">
        <v>24</v>
      </c>
      <c r="D1023" t="s">
        <v>28</v>
      </c>
      <c r="E1023">
        <v>1998</v>
      </c>
      <c r="F1023">
        <v>3</v>
      </c>
      <c r="G1023">
        <v>9</v>
      </c>
      <c r="H1023">
        <v>3</v>
      </c>
      <c r="I1023">
        <v>141</v>
      </c>
      <c r="K1023" s="13">
        <v>45796</v>
      </c>
      <c r="L1023" t="s">
        <v>688</v>
      </c>
      <c r="M1023">
        <v>5.0999999999999996</v>
      </c>
    </row>
    <row r="1024" spans="1:13" x14ac:dyDescent="0.25">
      <c r="A1024" t="s">
        <v>24</v>
      </c>
      <c r="D1024" t="s">
        <v>28</v>
      </c>
      <c r="E1024">
        <v>1998</v>
      </c>
      <c r="F1024">
        <v>3</v>
      </c>
      <c r="G1024">
        <v>9</v>
      </c>
      <c r="H1024">
        <v>3</v>
      </c>
      <c r="I1024">
        <v>141</v>
      </c>
      <c r="K1024" s="13">
        <v>45796</v>
      </c>
      <c r="L1024" t="s">
        <v>689</v>
      </c>
      <c r="M1024">
        <v>5.2</v>
      </c>
    </row>
    <row r="1025" spans="1:13" x14ac:dyDescent="0.25">
      <c r="A1025" t="s">
        <v>24</v>
      </c>
      <c r="D1025" t="s">
        <v>28</v>
      </c>
      <c r="E1025">
        <v>1998</v>
      </c>
      <c r="F1025">
        <v>3</v>
      </c>
      <c r="G1025">
        <v>9</v>
      </c>
      <c r="H1025">
        <v>3</v>
      </c>
      <c r="I1025">
        <v>141</v>
      </c>
      <c r="K1025" s="13">
        <v>45820</v>
      </c>
      <c r="L1025" t="s">
        <v>687</v>
      </c>
    </row>
    <row r="1026" spans="1:13" x14ac:dyDescent="0.25">
      <c r="A1026" t="s">
        <v>24</v>
      </c>
      <c r="D1026" t="s">
        <v>28</v>
      </c>
      <c r="E1026">
        <v>1998</v>
      </c>
      <c r="F1026">
        <v>3</v>
      </c>
      <c r="G1026">
        <v>9</v>
      </c>
      <c r="H1026">
        <v>3</v>
      </c>
      <c r="I1026">
        <v>141</v>
      </c>
      <c r="K1026" s="13">
        <v>45820</v>
      </c>
      <c r="L1026" t="s">
        <v>688</v>
      </c>
    </row>
    <row r="1027" spans="1:13" x14ac:dyDescent="0.25">
      <c r="A1027" t="s">
        <v>24</v>
      </c>
      <c r="D1027" t="s">
        <v>28</v>
      </c>
      <c r="E1027">
        <v>1998</v>
      </c>
      <c r="F1027">
        <v>3</v>
      </c>
      <c r="G1027">
        <v>9</v>
      </c>
      <c r="H1027">
        <v>3</v>
      </c>
      <c r="I1027">
        <v>141</v>
      </c>
      <c r="K1027" s="13">
        <v>45820</v>
      </c>
      <c r="L1027" t="s">
        <v>689</v>
      </c>
    </row>
    <row r="1028" spans="1:13" x14ac:dyDescent="0.25">
      <c r="A1028" t="s">
        <v>24</v>
      </c>
      <c r="D1028" t="s">
        <v>28</v>
      </c>
      <c r="E1028">
        <v>1998</v>
      </c>
      <c r="F1028">
        <v>3</v>
      </c>
      <c r="G1028">
        <v>9</v>
      </c>
      <c r="H1028">
        <v>3</v>
      </c>
      <c r="I1028">
        <v>141</v>
      </c>
      <c r="K1028" s="13">
        <v>45825</v>
      </c>
      <c r="L1028" t="s">
        <v>687</v>
      </c>
      <c r="M1028">
        <v>6.2</v>
      </c>
    </row>
    <row r="1029" spans="1:13" x14ac:dyDescent="0.25">
      <c r="A1029" t="s">
        <v>24</v>
      </c>
      <c r="D1029" t="s">
        <v>28</v>
      </c>
      <c r="E1029">
        <v>1998</v>
      </c>
      <c r="F1029">
        <v>3</v>
      </c>
      <c r="G1029">
        <v>9</v>
      </c>
      <c r="H1029">
        <v>3</v>
      </c>
      <c r="I1029">
        <v>141</v>
      </c>
      <c r="K1029" s="13">
        <v>45825</v>
      </c>
      <c r="L1029" t="s">
        <v>688</v>
      </c>
      <c r="M1029">
        <v>6.3</v>
      </c>
    </row>
    <row r="1030" spans="1:13" x14ac:dyDescent="0.25">
      <c r="A1030" t="s">
        <v>24</v>
      </c>
      <c r="D1030" t="s">
        <v>28</v>
      </c>
      <c r="E1030">
        <v>1998</v>
      </c>
      <c r="F1030">
        <v>3</v>
      </c>
      <c r="G1030">
        <v>9</v>
      </c>
      <c r="H1030">
        <v>3</v>
      </c>
      <c r="I1030">
        <v>141</v>
      </c>
      <c r="K1030" s="13">
        <v>45825</v>
      </c>
      <c r="L1030" t="s">
        <v>689</v>
      </c>
      <c r="M1030">
        <v>6.6</v>
      </c>
    </row>
    <row r="1031" spans="1:13" x14ac:dyDescent="0.25">
      <c r="A1031" t="s">
        <v>24</v>
      </c>
      <c r="D1031" t="s">
        <v>28</v>
      </c>
      <c r="E1031">
        <v>1998</v>
      </c>
      <c r="F1031">
        <v>3</v>
      </c>
      <c r="G1031">
        <v>9</v>
      </c>
      <c r="H1031">
        <v>3</v>
      </c>
      <c r="I1031">
        <v>141</v>
      </c>
      <c r="K1031" s="13">
        <v>45827</v>
      </c>
      <c r="L1031" t="s">
        <v>687</v>
      </c>
    </row>
    <row r="1032" spans="1:13" x14ac:dyDescent="0.25">
      <c r="A1032" t="s">
        <v>24</v>
      </c>
      <c r="D1032" t="s">
        <v>28</v>
      </c>
      <c r="E1032">
        <v>1998</v>
      </c>
      <c r="F1032">
        <v>3</v>
      </c>
      <c r="G1032">
        <v>9</v>
      </c>
      <c r="H1032">
        <v>3</v>
      </c>
      <c r="I1032">
        <v>141</v>
      </c>
      <c r="K1032" s="13">
        <v>45827</v>
      </c>
      <c r="L1032" t="s">
        <v>688</v>
      </c>
    </row>
    <row r="1033" spans="1:13" x14ac:dyDescent="0.25">
      <c r="A1033" t="s">
        <v>24</v>
      </c>
      <c r="D1033" t="s">
        <v>28</v>
      </c>
      <c r="E1033">
        <v>1998</v>
      </c>
      <c r="F1033">
        <v>3</v>
      </c>
      <c r="G1033">
        <v>9</v>
      </c>
      <c r="H1033">
        <v>3</v>
      </c>
      <c r="I1033">
        <v>141</v>
      </c>
      <c r="K1033" s="13">
        <v>45827</v>
      </c>
      <c r="L1033" t="s">
        <v>689</v>
      </c>
    </row>
    <row r="1034" spans="1:13" x14ac:dyDescent="0.25">
      <c r="A1034" t="s">
        <v>24</v>
      </c>
      <c r="D1034" t="s">
        <v>28</v>
      </c>
      <c r="E1034">
        <v>1998</v>
      </c>
      <c r="F1034">
        <v>3</v>
      </c>
      <c r="G1034">
        <v>9</v>
      </c>
      <c r="H1034">
        <v>3</v>
      </c>
      <c r="I1034">
        <v>141</v>
      </c>
      <c r="K1034" s="13">
        <v>45859</v>
      </c>
      <c r="L1034" t="s">
        <v>687</v>
      </c>
    </row>
    <row r="1035" spans="1:13" x14ac:dyDescent="0.25">
      <c r="A1035" t="s">
        <v>24</v>
      </c>
      <c r="D1035" t="s">
        <v>28</v>
      </c>
      <c r="E1035">
        <v>1998</v>
      </c>
      <c r="F1035">
        <v>3</v>
      </c>
      <c r="G1035">
        <v>9</v>
      </c>
      <c r="H1035">
        <v>3</v>
      </c>
      <c r="I1035">
        <v>141</v>
      </c>
      <c r="K1035" s="13">
        <v>45859</v>
      </c>
      <c r="L1035" t="s">
        <v>688</v>
      </c>
    </row>
    <row r="1036" spans="1:13" x14ac:dyDescent="0.25">
      <c r="A1036" t="s">
        <v>24</v>
      </c>
      <c r="D1036" t="s">
        <v>28</v>
      </c>
      <c r="E1036">
        <v>1998</v>
      </c>
      <c r="F1036">
        <v>3</v>
      </c>
      <c r="G1036">
        <v>9</v>
      </c>
      <c r="H1036">
        <v>3</v>
      </c>
      <c r="I1036">
        <v>141</v>
      </c>
      <c r="K1036" s="13">
        <v>45859</v>
      </c>
      <c r="L1036" t="s">
        <v>689</v>
      </c>
    </row>
    <row r="1037" spans="1:13" x14ac:dyDescent="0.25">
      <c r="A1037" t="s">
        <v>24</v>
      </c>
      <c r="D1037" t="s">
        <v>28</v>
      </c>
      <c r="E1037">
        <v>1998</v>
      </c>
      <c r="F1037">
        <v>3</v>
      </c>
      <c r="G1037">
        <v>9</v>
      </c>
      <c r="H1037">
        <v>3</v>
      </c>
      <c r="I1037">
        <v>141</v>
      </c>
      <c r="K1037" s="13">
        <v>45868</v>
      </c>
      <c r="L1037" t="s">
        <v>687</v>
      </c>
      <c r="M1037">
        <v>9.6</v>
      </c>
    </row>
    <row r="1038" spans="1:13" x14ac:dyDescent="0.25">
      <c r="A1038" t="s">
        <v>24</v>
      </c>
      <c r="D1038" t="s">
        <v>28</v>
      </c>
      <c r="E1038">
        <v>1998</v>
      </c>
      <c r="F1038">
        <v>3</v>
      </c>
      <c r="G1038">
        <v>9</v>
      </c>
      <c r="H1038">
        <v>3</v>
      </c>
      <c r="I1038">
        <v>141</v>
      </c>
      <c r="K1038" s="13">
        <v>45868</v>
      </c>
      <c r="L1038" t="s">
        <v>688</v>
      </c>
      <c r="M1038">
        <v>9.6</v>
      </c>
    </row>
    <row r="1039" spans="1:13" x14ac:dyDescent="0.25">
      <c r="A1039" t="s">
        <v>24</v>
      </c>
      <c r="D1039" t="s">
        <v>28</v>
      </c>
      <c r="E1039">
        <v>1998</v>
      </c>
      <c r="F1039">
        <v>3</v>
      </c>
      <c r="G1039">
        <v>9</v>
      </c>
      <c r="H1039">
        <v>3</v>
      </c>
      <c r="I1039">
        <v>141</v>
      </c>
      <c r="K1039" s="13">
        <v>45868</v>
      </c>
      <c r="L1039" t="s">
        <v>689</v>
      </c>
    </row>
    <row r="1040" spans="1:13" x14ac:dyDescent="0.25">
      <c r="A1040" t="s">
        <v>24</v>
      </c>
      <c r="D1040" t="s">
        <v>28</v>
      </c>
      <c r="E1040">
        <v>1998</v>
      </c>
      <c r="F1040">
        <v>3</v>
      </c>
      <c r="G1040">
        <v>9</v>
      </c>
      <c r="H1040">
        <v>3</v>
      </c>
      <c r="I1040">
        <v>141</v>
      </c>
      <c r="K1040" s="13">
        <v>45875</v>
      </c>
      <c r="L1040" t="s">
        <v>687</v>
      </c>
      <c r="M1040">
        <v>10.1</v>
      </c>
    </row>
    <row r="1041" spans="1:13" x14ac:dyDescent="0.25">
      <c r="A1041" t="s">
        <v>24</v>
      </c>
      <c r="D1041" t="s">
        <v>28</v>
      </c>
      <c r="E1041">
        <v>1998</v>
      </c>
      <c r="F1041">
        <v>3</v>
      </c>
      <c r="G1041">
        <v>9</v>
      </c>
      <c r="H1041">
        <v>3</v>
      </c>
      <c r="I1041">
        <v>141</v>
      </c>
      <c r="K1041" s="13">
        <v>45875</v>
      </c>
      <c r="L1041" t="s">
        <v>688</v>
      </c>
      <c r="M1041">
        <v>10.199999999999999</v>
      </c>
    </row>
    <row r="1042" spans="1:13" x14ac:dyDescent="0.25">
      <c r="A1042" t="s">
        <v>24</v>
      </c>
      <c r="D1042" t="s">
        <v>28</v>
      </c>
      <c r="E1042">
        <v>1998</v>
      </c>
      <c r="F1042">
        <v>3</v>
      </c>
      <c r="G1042">
        <v>9</v>
      </c>
      <c r="H1042">
        <v>3</v>
      </c>
      <c r="I1042">
        <v>141</v>
      </c>
      <c r="K1042" s="13">
        <v>45875</v>
      </c>
      <c r="L1042" t="s">
        <v>689</v>
      </c>
    </row>
    <row r="1043" spans="1:13" x14ac:dyDescent="0.25">
      <c r="A1043" t="s">
        <v>24</v>
      </c>
      <c r="D1043" t="s">
        <v>28</v>
      </c>
      <c r="E1043">
        <v>1998</v>
      </c>
      <c r="F1043">
        <v>3</v>
      </c>
      <c r="G1043">
        <v>9</v>
      </c>
      <c r="H1043">
        <v>3</v>
      </c>
      <c r="I1043">
        <v>141</v>
      </c>
      <c r="K1043" s="13">
        <v>45880</v>
      </c>
      <c r="L1043" t="s">
        <v>687</v>
      </c>
    </row>
    <row r="1044" spans="1:13" x14ac:dyDescent="0.25">
      <c r="A1044" t="s">
        <v>24</v>
      </c>
      <c r="D1044" t="s">
        <v>28</v>
      </c>
      <c r="E1044">
        <v>1998</v>
      </c>
      <c r="F1044">
        <v>3</v>
      </c>
      <c r="G1044">
        <v>9</v>
      </c>
      <c r="H1044">
        <v>3</v>
      </c>
      <c r="I1044">
        <v>141</v>
      </c>
      <c r="K1044" s="13">
        <v>45880</v>
      </c>
      <c r="L1044" t="s">
        <v>688</v>
      </c>
    </row>
    <row r="1045" spans="1:13" x14ac:dyDescent="0.25">
      <c r="A1045" t="s">
        <v>24</v>
      </c>
      <c r="D1045" t="s">
        <v>28</v>
      </c>
      <c r="E1045">
        <v>1998</v>
      </c>
      <c r="F1045">
        <v>3</v>
      </c>
      <c r="G1045">
        <v>9</v>
      </c>
      <c r="H1045">
        <v>3</v>
      </c>
      <c r="I1045">
        <v>141</v>
      </c>
      <c r="K1045" s="13">
        <v>45880</v>
      </c>
      <c r="L1045" t="s">
        <v>689</v>
      </c>
    </row>
    <row r="1046" spans="1:13" x14ac:dyDescent="0.25">
      <c r="A1046" t="s">
        <v>24</v>
      </c>
      <c r="D1046" t="s">
        <v>28</v>
      </c>
      <c r="E1046">
        <v>1998</v>
      </c>
      <c r="F1046">
        <v>3</v>
      </c>
      <c r="G1046">
        <v>9</v>
      </c>
      <c r="H1046">
        <v>3</v>
      </c>
      <c r="I1046">
        <v>141</v>
      </c>
      <c r="K1046" s="13">
        <v>45897</v>
      </c>
      <c r="L1046" t="s">
        <v>687</v>
      </c>
      <c r="M1046">
        <v>11.8</v>
      </c>
    </row>
    <row r="1047" spans="1:13" x14ac:dyDescent="0.25">
      <c r="A1047" t="s">
        <v>24</v>
      </c>
      <c r="D1047" t="s">
        <v>28</v>
      </c>
      <c r="E1047">
        <v>1998</v>
      </c>
      <c r="F1047">
        <v>3</v>
      </c>
      <c r="G1047">
        <v>9</v>
      </c>
      <c r="H1047">
        <v>3</v>
      </c>
      <c r="I1047">
        <v>141</v>
      </c>
      <c r="K1047" s="13">
        <v>45897</v>
      </c>
      <c r="L1047" t="s">
        <v>688</v>
      </c>
      <c r="M1047">
        <v>11.9</v>
      </c>
    </row>
    <row r="1048" spans="1:13" x14ac:dyDescent="0.25">
      <c r="A1048" t="s">
        <v>24</v>
      </c>
      <c r="D1048" t="s">
        <v>28</v>
      </c>
      <c r="E1048">
        <v>1998</v>
      </c>
      <c r="F1048">
        <v>3</v>
      </c>
      <c r="G1048">
        <v>9</v>
      </c>
      <c r="H1048">
        <v>3</v>
      </c>
      <c r="I1048">
        <v>141</v>
      </c>
      <c r="K1048" s="13">
        <v>45897</v>
      </c>
      <c r="L1048" t="s">
        <v>689</v>
      </c>
    </row>
    <row r="1049" spans="1:13" x14ac:dyDescent="0.25">
      <c r="A1049" t="s">
        <v>24</v>
      </c>
      <c r="D1049" t="s">
        <v>28</v>
      </c>
      <c r="E1049">
        <v>1998</v>
      </c>
      <c r="F1049">
        <v>3</v>
      </c>
      <c r="G1049">
        <v>9</v>
      </c>
      <c r="H1049">
        <v>3</v>
      </c>
      <c r="I1049">
        <v>141</v>
      </c>
      <c r="K1049" s="13">
        <v>45911</v>
      </c>
      <c r="L1049" t="s">
        <v>687</v>
      </c>
    </row>
    <row r="1050" spans="1:13" x14ac:dyDescent="0.25">
      <c r="A1050" t="s">
        <v>24</v>
      </c>
      <c r="D1050" t="s">
        <v>28</v>
      </c>
      <c r="E1050">
        <v>1998</v>
      </c>
      <c r="F1050">
        <v>3</v>
      </c>
      <c r="G1050">
        <v>9</v>
      </c>
      <c r="H1050">
        <v>3</v>
      </c>
      <c r="I1050">
        <v>141</v>
      </c>
      <c r="K1050" s="13">
        <v>45911</v>
      </c>
      <c r="L1050" t="s">
        <v>688</v>
      </c>
    </row>
    <row r="1051" spans="1:13" x14ac:dyDescent="0.25">
      <c r="A1051" t="s">
        <v>24</v>
      </c>
      <c r="D1051" t="s">
        <v>28</v>
      </c>
      <c r="E1051">
        <v>1998</v>
      </c>
      <c r="F1051">
        <v>3</v>
      </c>
      <c r="G1051">
        <v>9</v>
      </c>
      <c r="H1051">
        <v>3</v>
      </c>
      <c r="I1051">
        <v>141</v>
      </c>
      <c r="K1051" s="13">
        <v>45911</v>
      </c>
      <c r="L1051" t="s">
        <v>689</v>
      </c>
    </row>
    <row r="1052" spans="1:13" x14ac:dyDescent="0.25">
      <c r="A1052" t="s">
        <v>24</v>
      </c>
      <c r="D1052" t="s">
        <v>27</v>
      </c>
      <c r="E1052">
        <v>1985</v>
      </c>
      <c r="F1052">
        <v>4</v>
      </c>
      <c r="G1052">
        <v>9</v>
      </c>
      <c r="H1052">
        <v>3</v>
      </c>
      <c r="I1052">
        <v>157</v>
      </c>
      <c r="K1052" s="13">
        <v>45796</v>
      </c>
      <c r="L1052" t="s">
        <v>687</v>
      </c>
      <c r="M1052">
        <v>4.9000000000000004</v>
      </c>
    </row>
    <row r="1053" spans="1:13" x14ac:dyDescent="0.25">
      <c r="A1053" t="s">
        <v>24</v>
      </c>
      <c r="D1053" t="s">
        <v>27</v>
      </c>
      <c r="E1053">
        <v>1985</v>
      </c>
      <c r="F1053">
        <v>4</v>
      </c>
      <c r="G1053">
        <v>9</v>
      </c>
      <c r="H1053">
        <v>3</v>
      </c>
      <c r="I1053">
        <v>157</v>
      </c>
      <c r="K1053" s="13">
        <v>45796</v>
      </c>
      <c r="L1053" t="s">
        <v>688</v>
      </c>
      <c r="M1053">
        <v>5.0999999999999996</v>
      </c>
    </row>
    <row r="1054" spans="1:13" x14ac:dyDescent="0.25">
      <c r="A1054" t="s">
        <v>24</v>
      </c>
      <c r="D1054" t="s">
        <v>27</v>
      </c>
      <c r="E1054">
        <v>1985</v>
      </c>
      <c r="F1054">
        <v>4</v>
      </c>
      <c r="G1054">
        <v>9</v>
      </c>
      <c r="H1054">
        <v>3</v>
      </c>
      <c r="I1054">
        <v>157</v>
      </c>
      <c r="K1054" s="13">
        <v>45796</v>
      </c>
      <c r="L1054" t="s">
        <v>689</v>
      </c>
      <c r="M1054">
        <v>4.8</v>
      </c>
    </row>
    <row r="1055" spans="1:13" x14ac:dyDescent="0.25">
      <c r="A1055" t="s">
        <v>24</v>
      </c>
      <c r="D1055" t="s">
        <v>27</v>
      </c>
      <c r="E1055">
        <v>1985</v>
      </c>
      <c r="F1055">
        <v>4</v>
      </c>
      <c r="G1055">
        <v>9</v>
      </c>
      <c r="H1055">
        <v>3</v>
      </c>
      <c r="I1055">
        <v>157</v>
      </c>
      <c r="K1055" s="13">
        <v>45820</v>
      </c>
      <c r="L1055" t="s">
        <v>687</v>
      </c>
    </row>
    <row r="1056" spans="1:13" x14ac:dyDescent="0.25">
      <c r="A1056" t="s">
        <v>24</v>
      </c>
      <c r="D1056" t="s">
        <v>27</v>
      </c>
      <c r="E1056">
        <v>1985</v>
      </c>
      <c r="F1056">
        <v>4</v>
      </c>
      <c r="G1056">
        <v>9</v>
      </c>
      <c r="H1056">
        <v>3</v>
      </c>
      <c r="I1056">
        <v>157</v>
      </c>
      <c r="K1056" s="13">
        <v>45820</v>
      </c>
      <c r="L1056" t="s">
        <v>688</v>
      </c>
    </row>
    <row r="1057" spans="1:13" x14ac:dyDescent="0.25">
      <c r="A1057" t="s">
        <v>24</v>
      </c>
      <c r="D1057" t="s">
        <v>27</v>
      </c>
      <c r="E1057">
        <v>1985</v>
      </c>
      <c r="F1057">
        <v>4</v>
      </c>
      <c r="G1057">
        <v>9</v>
      </c>
      <c r="H1057">
        <v>3</v>
      </c>
      <c r="I1057">
        <v>157</v>
      </c>
      <c r="K1057" s="13">
        <v>45820</v>
      </c>
      <c r="L1057" t="s">
        <v>689</v>
      </c>
    </row>
    <row r="1058" spans="1:13" x14ac:dyDescent="0.25">
      <c r="A1058" t="s">
        <v>24</v>
      </c>
      <c r="D1058" t="s">
        <v>27</v>
      </c>
      <c r="E1058">
        <v>1985</v>
      </c>
      <c r="F1058">
        <v>4</v>
      </c>
      <c r="G1058">
        <v>9</v>
      </c>
      <c r="H1058">
        <v>3</v>
      </c>
      <c r="I1058">
        <v>157</v>
      </c>
      <c r="K1058" s="13">
        <v>45825</v>
      </c>
      <c r="L1058" t="s">
        <v>687</v>
      </c>
      <c r="M1058">
        <v>6.5</v>
      </c>
    </row>
    <row r="1059" spans="1:13" x14ac:dyDescent="0.25">
      <c r="A1059" t="s">
        <v>24</v>
      </c>
      <c r="D1059" t="s">
        <v>27</v>
      </c>
      <c r="E1059">
        <v>1985</v>
      </c>
      <c r="F1059">
        <v>4</v>
      </c>
      <c r="G1059">
        <v>9</v>
      </c>
      <c r="H1059">
        <v>3</v>
      </c>
      <c r="I1059">
        <v>157</v>
      </c>
      <c r="K1059" s="13">
        <v>45825</v>
      </c>
      <c r="L1059" t="s">
        <v>688</v>
      </c>
      <c r="M1059">
        <v>6.8</v>
      </c>
    </row>
    <row r="1060" spans="1:13" x14ac:dyDescent="0.25">
      <c r="A1060" t="s">
        <v>24</v>
      </c>
      <c r="D1060" t="s">
        <v>27</v>
      </c>
      <c r="E1060">
        <v>1985</v>
      </c>
      <c r="F1060">
        <v>4</v>
      </c>
      <c r="G1060">
        <v>9</v>
      </c>
      <c r="H1060">
        <v>3</v>
      </c>
      <c r="I1060">
        <v>157</v>
      </c>
      <c r="K1060" s="13">
        <v>45825</v>
      </c>
      <c r="L1060" t="s">
        <v>689</v>
      </c>
      <c r="M1060">
        <v>7.1</v>
      </c>
    </row>
    <row r="1061" spans="1:13" x14ac:dyDescent="0.25">
      <c r="A1061" t="s">
        <v>24</v>
      </c>
      <c r="D1061" t="s">
        <v>27</v>
      </c>
      <c r="E1061">
        <v>1985</v>
      </c>
      <c r="F1061">
        <v>4</v>
      </c>
      <c r="G1061">
        <v>9</v>
      </c>
      <c r="H1061">
        <v>3</v>
      </c>
      <c r="I1061">
        <v>157</v>
      </c>
      <c r="K1061" s="13">
        <v>45827</v>
      </c>
      <c r="L1061" t="s">
        <v>687</v>
      </c>
    </row>
    <row r="1062" spans="1:13" x14ac:dyDescent="0.25">
      <c r="A1062" t="s">
        <v>24</v>
      </c>
      <c r="D1062" t="s">
        <v>27</v>
      </c>
      <c r="E1062">
        <v>1985</v>
      </c>
      <c r="F1062">
        <v>4</v>
      </c>
      <c r="G1062">
        <v>9</v>
      </c>
      <c r="H1062">
        <v>3</v>
      </c>
      <c r="I1062">
        <v>157</v>
      </c>
      <c r="K1062" s="13">
        <v>45827</v>
      </c>
      <c r="L1062" t="s">
        <v>688</v>
      </c>
    </row>
    <row r="1063" spans="1:13" x14ac:dyDescent="0.25">
      <c r="A1063" t="s">
        <v>24</v>
      </c>
      <c r="D1063" t="s">
        <v>27</v>
      </c>
      <c r="E1063">
        <v>1985</v>
      </c>
      <c r="F1063">
        <v>4</v>
      </c>
      <c r="G1063">
        <v>9</v>
      </c>
      <c r="H1063">
        <v>3</v>
      </c>
      <c r="I1063">
        <v>157</v>
      </c>
      <c r="K1063" s="13">
        <v>45827</v>
      </c>
      <c r="L1063" t="s">
        <v>689</v>
      </c>
    </row>
    <row r="1064" spans="1:13" x14ac:dyDescent="0.25">
      <c r="A1064" t="s">
        <v>24</v>
      </c>
      <c r="D1064" t="s">
        <v>27</v>
      </c>
      <c r="E1064">
        <v>1985</v>
      </c>
      <c r="F1064">
        <v>4</v>
      </c>
      <c r="G1064">
        <v>9</v>
      </c>
      <c r="H1064">
        <v>3</v>
      </c>
      <c r="I1064">
        <v>157</v>
      </c>
      <c r="K1064" s="13">
        <v>45859</v>
      </c>
      <c r="L1064" t="s">
        <v>687</v>
      </c>
    </row>
    <row r="1065" spans="1:13" x14ac:dyDescent="0.25">
      <c r="A1065" t="s">
        <v>24</v>
      </c>
      <c r="D1065" t="s">
        <v>27</v>
      </c>
      <c r="E1065">
        <v>1985</v>
      </c>
      <c r="F1065">
        <v>4</v>
      </c>
      <c r="G1065">
        <v>9</v>
      </c>
      <c r="H1065">
        <v>3</v>
      </c>
      <c r="I1065">
        <v>157</v>
      </c>
      <c r="K1065" s="13">
        <v>45859</v>
      </c>
      <c r="L1065" t="s">
        <v>688</v>
      </c>
    </row>
    <row r="1066" spans="1:13" x14ac:dyDescent="0.25">
      <c r="A1066" t="s">
        <v>24</v>
      </c>
      <c r="D1066" t="s">
        <v>27</v>
      </c>
      <c r="E1066">
        <v>1985</v>
      </c>
      <c r="F1066">
        <v>4</v>
      </c>
      <c r="G1066">
        <v>9</v>
      </c>
      <c r="H1066">
        <v>3</v>
      </c>
      <c r="I1066">
        <v>157</v>
      </c>
      <c r="K1066" s="13">
        <v>45859</v>
      </c>
      <c r="L1066" t="s">
        <v>689</v>
      </c>
    </row>
    <row r="1067" spans="1:13" x14ac:dyDescent="0.25">
      <c r="A1067" t="s">
        <v>24</v>
      </c>
      <c r="D1067" t="s">
        <v>27</v>
      </c>
      <c r="E1067">
        <v>1985</v>
      </c>
      <c r="F1067">
        <v>4</v>
      </c>
      <c r="G1067">
        <v>9</v>
      </c>
      <c r="H1067">
        <v>3</v>
      </c>
      <c r="I1067">
        <v>157</v>
      </c>
      <c r="K1067" s="13">
        <v>45868</v>
      </c>
      <c r="L1067" t="s">
        <v>687</v>
      </c>
      <c r="M1067">
        <v>9.5</v>
      </c>
    </row>
    <row r="1068" spans="1:13" x14ac:dyDescent="0.25">
      <c r="A1068" t="s">
        <v>24</v>
      </c>
      <c r="D1068" t="s">
        <v>27</v>
      </c>
      <c r="E1068">
        <v>1985</v>
      </c>
      <c r="F1068">
        <v>4</v>
      </c>
      <c r="G1068">
        <v>9</v>
      </c>
      <c r="H1068">
        <v>3</v>
      </c>
      <c r="I1068">
        <v>157</v>
      </c>
      <c r="K1068" s="13">
        <v>45868</v>
      </c>
      <c r="L1068" t="s">
        <v>688</v>
      </c>
      <c r="M1068">
        <v>9.6999999999999993</v>
      </c>
    </row>
    <row r="1069" spans="1:13" x14ac:dyDescent="0.25">
      <c r="A1069" t="s">
        <v>24</v>
      </c>
      <c r="D1069" t="s">
        <v>27</v>
      </c>
      <c r="E1069">
        <v>1985</v>
      </c>
      <c r="F1069">
        <v>4</v>
      </c>
      <c r="G1069">
        <v>9</v>
      </c>
      <c r="H1069">
        <v>3</v>
      </c>
      <c r="I1069">
        <v>157</v>
      </c>
      <c r="K1069" s="13">
        <v>45868</v>
      </c>
      <c r="L1069" t="s">
        <v>689</v>
      </c>
    </row>
    <row r="1070" spans="1:13" x14ac:dyDescent="0.25">
      <c r="A1070" t="s">
        <v>24</v>
      </c>
      <c r="D1070" t="s">
        <v>27</v>
      </c>
      <c r="E1070">
        <v>1985</v>
      </c>
      <c r="F1070">
        <v>4</v>
      </c>
      <c r="G1070">
        <v>9</v>
      </c>
      <c r="H1070">
        <v>3</v>
      </c>
      <c r="I1070">
        <v>157</v>
      </c>
      <c r="K1070" s="13">
        <v>45875</v>
      </c>
      <c r="L1070" t="s">
        <v>687</v>
      </c>
      <c r="M1070">
        <v>9.8000000000000007</v>
      </c>
    </row>
    <row r="1071" spans="1:13" x14ac:dyDescent="0.25">
      <c r="A1071" t="s">
        <v>24</v>
      </c>
      <c r="D1071" t="s">
        <v>27</v>
      </c>
      <c r="E1071">
        <v>1985</v>
      </c>
      <c r="F1071">
        <v>4</v>
      </c>
      <c r="G1071">
        <v>9</v>
      </c>
      <c r="H1071">
        <v>3</v>
      </c>
      <c r="I1071">
        <v>157</v>
      </c>
      <c r="K1071" s="13">
        <v>45875</v>
      </c>
      <c r="L1071" t="s">
        <v>688</v>
      </c>
      <c r="M1071">
        <v>10.4</v>
      </c>
    </row>
    <row r="1072" spans="1:13" x14ac:dyDescent="0.25">
      <c r="A1072" t="s">
        <v>24</v>
      </c>
      <c r="D1072" t="s">
        <v>27</v>
      </c>
      <c r="E1072">
        <v>1985</v>
      </c>
      <c r="F1072">
        <v>4</v>
      </c>
      <c r="G1072">
        <v>9</v>
      </c>
      <c r="H1072">
        <v>3</v>
      </c>
      <c r="I1072">
        <v>157</v>
      </c>
      <c r="K1072" s="13">
        <v>45875</v>
      </c>
      <c r="L1072" t="s">
        <v>689</v>
      </c>
      <c r="M1072">
        <v>10.1</v>
      </c>
    </row>
    <row r="1073" spans="1:13" x14ac:dyDescent="0.25">
      <c r="A1073" t="s">
        <v>24</v>
      </c>
      <c r="D1073" t="s">
        <v>27</v>
      </c>
      <c r="E1073">
        <v>1985</v>
      </c>
      <c r="F1073">
        <v>4</v>
      </c>
      <c r="G1073">
        <v>9</v>
      </c>
      <c r="H1073">
        <v>3</v>
      </c>
      <c r="I1073">
        <v>157</v>
      </c>
      <c r="K1073" s="13">
        <v>45880</v>
      </c>
      <c r="L1073" t="s">
        <v>687</v>
      </c>
    </row>
    <row r="1074" spans="1:13" x14ac:dyDescent="0.25">
      <c r="A1074" t="s">
        <v>24</v>
      </c>
      <c r="D1074" t="s">
        <v>27</v>
      </c>
      <c r="E1074">
        <v>1985</v>
      </c>
      <c r="F1074">
        <v>4</v>
      </c>
      <c r="G1074">
        <v>9</v>
      </c>
      <c r="H1074">
        <v>3</v>
      </c>
      <c r="I1074">
        <v>157</v>
      </c>
      <c r="K1074" s="13">
        <v>45880</v>
      </c>
      <c r="L1074" t="s">
        <v>688</v>
      </c>
    </row>
    <row r="1075" spans="1:13" x14ac:dyDescent="0.25">
      <c r="A1075" t="s">
        <v>24</v>
      </c>
      <c r="D1075" t="s">
        <v>27</v>
      </c>
      <c r="E1075">
        <v>1985</v>
      </c>
      <c r="F1075">
        <v>4</v>
      </c>
      <c r="G1075">
        <v>9</v>
      </c>
      <c r="H1075">
        <v>3</v>
      </c>
      <c r="I1075">
        <v>157</v>
      </c>
      <c r="K1075" s="13">
        <v>45880</v>
      </c>
      <c r="L1075" t="s">
        <v>689</v>
      </c>
    </row>
    <row r="1076" spans="1:13" x14ac:dyDescent="0.25">
      <c r="A1076" t="s">
        <v>24</v>
      </c>
      <c r="D1076" t="s">
        <v>27</v>
      </c>
      <c r="E1076">
        <v>1985</v>
      </c>
      <c r="F1076">
        <v>4</v>
      </c>
      <c r="G1076">
        <v>9</v>
      </c>
      <c r="H1076">
        <v>3</v>
      </c>
      <c r="I1076">
        <v>157</v>
      </c>
      <c r="K1076" s="13">
        <v>45897</v>
      </c>
      <c r="L1076" t="s">
        <v>687</v>
      </c>
      <c r="M1076">
        <v>11.7</v>
      </c>
    </row>
    <row r="1077" spans="1:13" x14ac:dyDescent="0.25">
      <c r="A1077" t="s">
        <v>24</v>
      </c>
      <c r="D1077" t="s">
        <v>27</v>
      </c>
      <c r="E1077">
        <v>1985</v>
      </c>
      <c r="F1077">
        <v>4</v>
      </c>
      <c r="G1077">
        <v>9</v>
      </c>
      <c r="H1077">
        <v>3</v>
      </c>
      <c r="I1077">
        <v>157</v>
      </c>
      <c r="K1077" s="13">
        <v>45897</v>
      </c>
      <c r="L1077" t="s">
        <v>688</v>
      </c>
      <c r="M1077">
        <v>11.7</v>
      </c>
    </row>
    <row r="1078" spans="1:13" x14ac:dyDescent="0.25">
      <c r="A1078" t="s">
        <v>24</v>
      </c>
      <c r="D1078" t="s">
        <v>27</v>
      </c>
      <c r="E1078">
        <v>1985</v>
      </c>
      <c r="F1078">
        <v>4</v>
      </c>
      <c r="G1078">
        <v>9</v>
      </c>
      <c r="H1078">
        <v>3</v>
      </c>
      <c r="I1078">
        <v>157</v>
      </c>
      <c r="K1078" s="13">
        <v>45897</v>
      </c>
      <c r="L1078" t="s">
        <v>689</v>
      </c>
      <c r="M1078">
        <v>12.1</v>
      </c>
    </row>
    <row r="1079" spans="1:13" x14ac:dyDescent="0.25">
      <c r="A1079" t="s">
        <v>24</v>
      </c>
      <c r="D1079" t="s">
        <v>27</v>
      </c>
      <c r="E1079">
        <v>1985</v>
      </c>
      <c r="F1079">
        <v>4</v>
      </c>
      <c r="G1079">
        <v>9</v>
      </c>
      <c r="H1079">
        <v>3</v>
      </c>
      <c r="I1079">
        <v>157</v>
      </c>
      <c r="K1079" s="13">
        <v>45911</v>
      </c>
      <c r="L1079" t="s">
        <v>687</v>
      </c>
    </row>
    <row r="1080" spans="1:13" x14ac:dyDescent="0.25">
      <c r="A1080" t="s">
        <v>24</v>
      </c>
      <c r="D1080" t="s">
        <v>27</v>
      </c>
      <c r="E1080">
        <v>1985</v>
      </c>
      <c r="F1080">
        <v>4</v>
      </c>
      <c r="G1080">
        <v>9</v>
      </c>
      <c r="H1080">
        <v>3</v>
      </c>
      <c r="I1080">
        <v>157</v>
      </c>
      <c r="K1080" s="13">
        <v>45911</v>
      </c>
      <c r="L1080" t="s">
        <v>688</v>
      </c>
    </row>
    <row r="1081" spans="1:13" x14ac:dyDescent="0.25">
      <c r="A1081" t="s">
        <v>24</v>
      </c>
      <c r="D1081" t="s">
        <v>27</v>
      </c>
      <c r="E1081">
        <v>1985</v>
      </c>
      <c r="F1081">
        <v>4</v>
      </c>
      <c r="G1081">
        <v>9</v>
      </c>
      <c r="H1081">
        <v>3</v>
      </c>
      <c r="I1081">
        <v>157</v>
      </c>
      <c r="K1081" s="13">
        <v>45911</v>
      </c>
      <c r="L1081" t="s">
        <v>689</v>
      </c>
    </row>
    <row r="1082" spans="1:13" x14ac:dyDescent="0.25">
      <c r="A1082" t="s">
        <v>24</v>
      </c>
      <c r="D1082" t="s">
        <v>313</v>
      </c>
      <c r="E1082">
        <v>2016</v>
      </c>
      <c r="F1082">
        <v>1</v>
      </c>
      <c r="G1082">
        <v>10</v>
      </c>
      <c r="H1082">
        <v>3</v>
      </c>
      <c r="I1082">
        <v>110</v>
      </c>
      <c r="K1082" s="13">
        <v>45796</v>
      </c>
      <c r="L1082" t="s">
        <v>687</v>
      </c>
      <c r="M1082">
        <v>5.0999999999999996</v>
      </c>
    </row>
    <row r="1083" spans="1:13" x14ac:dyDescent="0.25">
      <c r="A1083" t="s">
        <v>24</v>
      </c>
      <c r="D1083" t="s">
        <v>313</v>
      </c>
      <c r="E1083">
        <v>2016</v>
      </c>
      <c r="F1083">
        <v>1</v>
      </c>
      <c r="G1083">
        <v>10</v>
      </c>
      <c r="H1083">
        <v>3</v>
      </c>
      <c r="I1083">
        <v>110</v>
      </c>
      <c r="K1083" s="13">
        <v>45796</v>
      </c>
      <c r="L1083" t="s">
        <v>688</v>
      </c>
      <c r="M1083">
        <v>4.9000000000000004</v>
      </c>
    </row>
    <row r="1084" spans="1:13" x14ac:dyDescent="0.25">
      <c r="A1084" t="s">
        <v>24</v>
      </c>
      <c r="D1084" t="s">
        <v>313</v>
      </c>
      <c r="E1084">
        <v>2016</v>
      </c>
      <c r="F1084">
        <v>1</v>
      </c>
      <c r="G1084">
        <v>10</v>
      </c>
      <c r="H1084">
        <v>3</v>
      </c>
      <c r="I1084">
        <v>110</v>
      </c>
      <c r="K1084" s="13">
        <v>45796</v>
      </c>
      <c r="L1084" t="s">
        <v>689</v>
      </c>
      <c r="M1084">
        <v>5.0999999999999996</v>
      </c>
    </row>
    <row r="1085" spans="1:13" x14ac:dyDescent="0.25">
      <c r="A1085" t="s">
        <v>24</v>
      </c>
      <c r="D1085" t="s">
        <v>313</v>
      </c>
      <c r="E1085">
        <v>2016</v>
      </c>
      <c r="F1085">
        <v>1</v>
      </c>
      <c r="G1085">
        <v>10</v>
      </c>
      <c r="H1085">
        <v>3</v>
      </c>
      <c r="I1085">
        <v>110</v>
      </c>
      <c r="K1085" s="13">
        <v>45820</v>
      </c>
      <c r="L1085" t="s">
        <v>687</v>
      </c>
    </row>
    <row r="1086" spans="1:13" x14ac:dyDescent="0.25">
      <c r="A1086" t="s">
        <v>24</v>
      </c>
      <c r="D1086" t="s">
        <v>313</v>
      </c>
      <c r="E1086">
        <v>2016</v>
      </c>
      <c r="F1086">
        <v>1</v>
      </c>
      <c r="G1086">
        <v>10</v>
      </c>
      <c r="H1086">
        <v>3</v>
      </c>
      <c r="I1086">
        <v>110</v>
      </c>
      <c r="K1086" s="13">
        <v>45820</v>
      </c>
      <c r="L1086" t="s">
        <v>688</v>
      </c>
    </row>
    <row r="1087" spans="1:13" x14ac:dyDescent="0.25">
      <c r="A1087" t="s">
        <v>24</v>
      </c>
      <c r="D1087" t="s">
        <v>313</v>
      </c>
      <c r="E1087">
        <v>2016</v>
      </c>
      <c r="F1087">
        <v>1</v>
      </c>
      <c r="G1087">
        <v>10</v>
      </c>
      <c r="H1087">
        <v>3</v>
      </c>
      <c r="I1087">
        <v>110</v>
      </c>
      <c r="K1087" s="13">
        <v>45820</v>
      </c>
      <c r="L1087" t="s">
        <v>689</v>
      </c>
    </row>
    <row r="1088" spans="1:13" x14ac:dyDescent="0.25">
      <c r="A1088" t="s">
        <v>24</v>
      </c>
      <c r="D1088" t="s">
        <v>313</v>
      </c>
      <c r="E1088">
        <v>2016</v>
      </c>
      <c r="F1088">
        <v>1</v>
      </c>
      <c r="G1088">
        <v>10</v>
      </c>
      <c r="H1088">
        <v>3</v>
      </c>
      <c r="I1088">
        <v>110</v>
      </c>
      <c r="K1088" s="13">
        <v>45825</v>
      </c>
      <c r="L1088" t="s">
        <v>687</v>
      </c>
      <c r="M1088">
        <v>6.3</v>
      </c>
    </row>
    <row r="1089" spans="1:13" x14ac:dyDescent="0.25">
      <c r="A1089" t="s">
        <v>24</v>
      </c>
      <c r="D1089" t="s">
        <v>313</v>
      </c>
      <c r="E1089">
        <v>2016</v>
      </c>
      <c r="F1089">
        <v>1</v>
      </c>
      <c r="G1089">
        <v>10</v>
      </c>
      <c r="H1089">
        <v>3</v>
      </c>
      <c r="I1089">
        <v>110</v>
      </c>
      <c r="K1089" s="13">
        <v>45825</v>
      </c>
      <c r="L1089" t="s">
        <v>688</v>
      </c>
      <c r="M1089">
        <v>6.6</v>
      </c>
    </row>
    <row r="1090" spans="1:13" x14ac:dyDescent="0.25">
      <c r="A1090" t="s">
        <v>24</v>
      </c>
      <c r="D1090" t="s">
        <v>313</v>
      </c>
      <c r="E1090">
        <v>2016</v>
      </c>
      <c r="F1090">
        <v>1</v>
      </c>
      <c r="G1090">
        <v>10</v>
      </c>
      <c r="H1090">
        <v>3</v>
      </c>
      <c r="I1090">
        <v>110</v>
      </c>
      <c r="K1090" s="13">
        <v>45825</v>
      </c>
      <c r="L1090" t="s">
        <v>689</v>
      </c>
      <c r="M1090">
        <v>6.7</v>
      </c>
    </row>
    <row r="1091" spans="1:13" x14ac:dyDescent="0.25">
      <c r="A1091" t="s">
        <v>24</v>
      </c>
      <c r="D1091" t="s">
        <v>313</v>
      </c>
      <c r="E1091">
        <v>2016</v>
      </c>
      <c r="F1091">
        <v>1</v>
      </c>
      <c r="G1091">
        <v>10</v>
      </c>
      <c r="H1091">
        <v>3</v>
      </c>
      <c r="I1091">
        <v>110</v>
      </c>
      <c r="K1091" s="13">
        <v>45827</v>
      </c>
      <c r="L1091" t="s">
        <v>687</v>
      </c>
    </row>
    <row r="1092" spans="1:13" x14ac:dyDescent="0.25">
      <c r="A1092" t="s">
        <v>24</v>
      </c>
      <c r="D1092" t="s">
        <v>313</v>
      </c>
      <c r="E1092">
        <v>2016</v>
      </c>
      <c r="F1092">
        <v>1</v>
      </c>
      <c r="G1092">
        <v>10</v>
      </c>
      <c r="H1092">
        <v>3</v>
      </c>
      <c r="I1092">
        <v>110</v>
      </c>
      <c r="K1092" s="13">
        <v>45827</v>
      </c>
      <c r="L1092" t="s">
        <v>688</v>
      </c>
    </row>
    <row r="1093" spans="1:13" x14ac:dyDescent="0.25">
      <c r="A1093" t="s">
        <v>24</v>
      </c>
      <c r="D1093" t="s">
        <v>313</v>
      </c>
      <c r="E1093">
        <v>2016</v>
      </c>
      <c r="F1093">
        <v>1</v>
      </c>
      <c r="G1093">
        <v>10</v>
      </c>
      <c r="H1093">
        <v>3</v>
      </c>
      <c r="I1093">
        <v>110</v>
      </c>
      <c r="K1093" s="13">
        <v>45827</v>
      </c>
      <c r="L1093" t="s">
        <v>689</v>
      </c>
    </row>
    <row r="1094" spans="1:13" x14ac:dyDescent="0.25">
      <c r="A1094" t="s">
        <v>24</v>
      </c>
      <c r="D1094" t="s">
        <v>313</v>
      </c>
      <c r="E1094">
        <v>2016</v>
      </c>
      <c r="F1094">
        <v>1</v>
      </c>
      <c r="G1094">
        <v>10</v>
      </c>
      <c r="H1094">
        <v>3</v>
      </c>
      <c r="I1094">
        <v>110</v>
      </c>
      <c r="K1094" s="13">
        <v>45859</v>
      </c>
      <c r="L1094" t="s">
        <v>687</v>
      </c>
    </row>
    <row r="1095" spans="1:13" x14ac:dyDescent="0.25">
      <c r="A1095" t="s">
        <v>24</v>
      </c>
      <c r="D1095" t="s">
        <v>313</v>
      </c>
      <c r="E1095">
        <v>2016</v>
      </c>
      <c r="F1095">
        <v>1</v>
      </c>
      <c r="G1095">
        <v>10</v>
      </c>
      <c r="H1095">
        <v>3</v>
      </c>
      <c r="I1095">
        <v>110</v>
      </c>
      <c r="K1095" s="13">
        <v>45859</v>
      </c>
      <c r="L1095" t="s">
        <v>688</v>
      </c>
    </row>
    <row r="1096" spans="1:13" x14ac:dyDescent="0.25">
      <c r="A1096" t="s">
        <v>24</v>
      </c>
      <c r="D1096" t="s">
        <v>313</v>
      </c>
      <c r="E1096">
        <v>2016</v>
      </c>
      <c r="F1096">
        <v>1</v>
      </c>
      <c r="G1096">
        <v>10</v>
      </c>
      <c r="H1096">
        <v>3</v>
      </c>
      <c r="I1096">
        <v>110</v>
      </c>
      <c r="K1096" s="13">
        <v>45859</v>
      </c>
      <c r="L1096" t="s">
        <v>689</v>
      </c>
    </row>
    <row r="1097" spans="1:13" x14ac:dyDescent="0.25">
      <c r="A1097" t="s">
        <v>24</v>
      </c>
      <c r="D1097" t="s">
        <v>313</v>
      </c>
      <c r="E1097">
        <v>2016</v>
      </c>
      <c r="F1097">
        <v>1</v>
      </c>
      <c r="G1097">
        <v>10</v>
      </c>
      <c r="H1097">
        <v>3</v>
      </c>
      <c r="I1097">
        <v>110</v>
      </c>
      <c r="K1097" s="13">
        <v>45868</v>
      </c>
      <c r="L1097" t="s">
        <v>687</v>
      </c>
      <c r="M1097">
        <v>9.6999999999999993</v>
      </c>
    </row>
    <row r="1098" spans="1:13" x14ac:dyDescent="0.25">
      <c r="A1098" t="s">
        <v>24</v>
      </c>
      <c r="D1098" t="s">
        <v>313</v>
      </c>
      <c r="E1098">
        <v>2016</v>
      </c>
      <c r="F1098">
        <v>1</v>
      </c>
      <c r="G1098">
        <v>10</v>
      </c>
      <c r="H1098">
        <v>3</v>
      </c>
      <c r="I1098">
        <v>110</v>
      </c>
      <c r="K1098" s="13">
        <v>45868</v>
      </c>
      <c r="L1098" t="s">
        <v>688</v>
      </c>
      <c r="M1098">
        <v>9.6</v>
      </c>
    </row>
    <row r="1099" spans="1:13" x14ac:dyDescent="0.25">
      <c r="A1099" t="s">
        <v>24</v>
      </c>
      <c r="D1099" t="s">
        <v>313</v>
      </c>
      <c r="E1099">
        <v>2016</v>
      </c>
      <c r="F1099">
        <v>1</v>
      </c>
      <c r="G1099">
        <v>10</v>
      </c>
      <c r="H1099">
        <v>3</v>
      </c>
      <c r="I1099">
        <v>110</v>
      </c>
      <c r="K1099" s="13">
        <v>45868</v>
      </c>
      <c r="L1099" t="s">
        <v>689</v>
      </c>
    </row>
    <row r="1100" spans="1:13" x14ac:dyDescent="0.25">
      <c r="A1100" t="s">
        <v>24</v>
      </c>
      <c r="D1100" t="s">
        <v>313</v>
      </c>
      <c r="E1100">
        <v>2016</v>
      </c>
      <c r="F1100">
        <v>1</v>
      </c>
      <c r="G1100">
        <v>10</v>
      </c>
      <c r="H1100">
        <v>3</v>
      </c>
      <c r="I1100">
        <v>110</v>
      </c>
      <c r="K1100" s="13">
        <v>45875</v>
      </c>
      <c r="L1100" t="s">
        <v>687</v>
      </c>
      <c r="M1100">
        <v>9.8000000000000007</v>
      </c>
    </row>
    <row r="1101" spans="1:13" x14ac:dyDescent="0.25">
      <c r="A1101" t="s">
        <v>24</v>
      </c>
      <c r="D1101" t="s">
        <v>313</v>
      </c>
      <c r="E1101">
        <v>2016</v>
      </c>
      <c r="F1101">
        <v>1</v>
      </c>
      <c r="G1101">
        <v>10</v>
      </c>
      <c r="H1101">
        <v>3</v>
      </c>
      <c r="I1101">
        <v>110</v>
      </c>
      <c r="K1101" s="13">
        <v>45875</v>
      </c>
      <c r="L1101" t="s">
        <v>688</v>
      </c>
      <c r="M1101">
        <v>9.9</v>
      </c>
    </row>
    <row r="1102" spans="1:13" x14ac:dyDescent="0.25">
      <c r="A1102" t="s">
        <v>24</v>
      </c>
      <c r="D1102" t="s">
        <v>313</v>
      </c>
      <c r="E1102">
        <v>2016</v>
      </c>
      <c r="F1102">
        <v>1</v>
      </c>
      <c r="G1102">
        <v>10</v>
      </c>
      <c r="H1102">
        <v>3</v>
      </c>
      <c r="I1102">
        <v>110</v>
      </c>
      <c r="K1102" s="13">
        <v>45875</v>
      </c>
      <c r="L1102" t="s">
        <v>689</v>
      </c>
    </row>
    <row r="1103" spans="1:13" x14ac:dyDescent="0.25">
      <c r="A1103" t="s">
        <v>24</v>
      </c>
      <c r="D1103" t="s">
        <v>313</v>
      </c>
      <c r="E1103">
        <v>2016</v>
      </c>
      <c r="F1103">
        <v>1</v>
      </c>
      <c r="G1103">
        <v>10</v>
      </c>
      <c r="H1103">
        <v>3</v>
      </c>
      <c r="I1103">
        <v>110</v>
      </c>
      <c r="K1103" s="13">
        <v>45880</v>
      </c>
      <c r="L1103" t="s">
        <v>687</v>
      </c>
    </row>
    <row r="1104" spans="1:13" x14ac:dyDescent="0.25">
      <c r="A1104" t="s">
        <v>24</v>
      </c>
      <c r="D1104" t="s">
        <v>313</v>
      </c>
      <c r="E1104">
        <v>2016</v>
      </c>
      <c r="F1104">
        <v>1</v>
      </c>
      <c r="G1104">
        <v>10</v>
      </c>
      <c r="H1104">
        <v>3</v>
      </c>
      <c r="I1104">
        <v>110</v>
      </c>
      <c r="K1104" s="13">
        <v>45880</v>
      </c>
      <c r="L1104" t="s">
        <v>688</v>
      </c>
    </row>
    <row r="1105" spans="1:13" x14ac:dyDescent="0.25">
      <c r="A1105" t="s">
        <v>24</v>
      </c>
      <c r="D1105" t="s">
        <v>313</v>
      </c>
      <c r="E1105">
        <v>2016</v>
      </c>
      <c r="F1105">
        <v>1</v>
      </c>
      <c r="G1105">
        <v>10</v>
      </c>
      <c r="H1105">
        <v>3</v>
      </c>
      <c r="I1105">
        <v>110</v>
      </c>
      <c r="K1105" s="13">
        <v>45880</v>
      </c>
      <c r="L1105" t="s">
        <v>689</v>
      </c>
    </row>
    <row r="1106" spans="1:13" x14ac:dyDescent="0.25">
      <c r="A1106" t="s">
        <v>24</v>
      </c>
      <c r="D1106" t="s">
        <v>313</v>
      </c>
      <c r="E1106">
        <v>2016</v>
      </c>
      <c r="F1106">
        <v>1</v>
      </c>
      <c r="G1106">
        <v>10</v>
      </c>
      <c r="H1106">
        <v>3</v>
      </c>
      <c r="I1106">
        <v>110</v>
      </c>
      <c r="K1106" s="13">
        <v>45897</v>
      </c>
      <c r="L1106" t="s">
        <v>687</v>
      </c>
      <c r="M1106">
        <v>11.9</v>
      </c>
    </row>
    <row r="1107" spans="1:13" x14ac:dyDescent="0.25">
      <c r="A1107" t="s">
        <v>24</v>
      </c>
      <c r="D1107" t="s">
        <v>313</v>
      </c>
      <c r="E1107">
        <v>2016</v>
      </c>
      <c r="F1107">
        <v>1</v>
      </c>
      <c r="G1107">
        <v>10</v>
      </c>
      <c r="H1107">
        <v>3</v>
      </c>
      <c r="I1107">
        <v>110</v>
      </c>
      <c r="K1107" s="13">
        <v>45897</v>
      </c>
      <c r="L1107" t="s">
        <v>688</v>
      </c>
      <c r="M1107">
        <v>11.9</v>
      </c>
    </row>
    <row r="1108" spans="1:13" x14ac:dyDescent="0.25">
      <c r="A1108" t="s">
        <v>24</v>
      </c>
      <c r="D1108" t="s">
        <v>313</v>
      </c>
      <c r="E1108">
        <v>2016</v>
      </c>
      <c r="F1108">
        <v>1</v>
      </c>
      <c r="G1108">
        <v>10</v>
      </c>
      <c r="H1108">
        <v>3</v>
      </c>
      <c r="I1108">
        <v>110</v>
      </c>
      <c r="K1108" s="13">
        <v>45897</v>
      </c>
      <c r="L1108" t="s">
        <v>689</v>
      </c>
    </row>
    <row r="1109" spans="1:13" x14ac:dyDescent="0.25">
      <c r="A1109" t="s">
        <v>24</v>
      </c>
      <c r="D1109" t="s">
        <v>313</v>
      </c>
      <c r="E1109">
        <v>2016</v>
      </c>
      <c r="F1109">
        <v>1</v>
      </c>
      <c r="G1109">
        <v>10</v>
      </c>
      <c r="H1109">
        <v>3</v>
      </c>
      <c r="I1109">
        <v>110</v>
      </c>
      <c r="K1109" s="13">
        <v>45911</v>
      </c>
      <c r="L1109" t="s">
        <v>687</v>
      </c>
    </row>
    <row r="1110" spans="1:13" x14ac:dyDescent="0.25">
      <c r="A1110" t="s">
        <v>24</v>
      </c>
      <c r="D1110" t="s">
        <v>313</v>
      </c>
      <c r="E1110">
        <v>2016</v>
      </c>
      <c r="F1110">
        <v>1</v>
      </c>
      <c r="G1110">
        <v>10</v>
      </c>
      <c r="H1110">
        <v>3</v>
      </c>
      <c r="I1110">
        <v>110</v>
      </c>
      <c r="K1110" s="13">
        <v>45911</v>
      </c>
      <c r="L1110" t="s">
        <v>688</v>
      </c>
    </row>
    <row r="1111" spans="1:13" x14ac:dyDescent="0.25">
      <c r="A1111" t="s">
        <v>24</v>
      </c>
      <c r="D1111" t="s">
        <v>313</v>
      </c>
      <c r="E1111">
        <v>2016</v>
      </c>
      <c r="F1111">
        <v>1</v>
      </c>
      <c r="G1111">
        <v>10</v>
      </c>
      <c r="H1111">
        <v>3</v>
      </c>
      <c r="I1111">
        <v>110</v>
      </c>
      <c r="K1111" s="13">
        <v>45911</v>
      </c>
      <c r="L1111" t="s">
        <v>689</v>
      </c>
    </row>
    <row r="1112" spans="1:13" x14ac:dyDescent="0.25">
      <c r="A1112" t="s">
        <v>24</v>
      </c>
      <c r="D1112" t="s">
        <v>32</v>
      </c>
      <c r="E1112">
        <v>2018</v>
      </c>
      <c r="F1112">
        <v>2</v>
      </c>
      <c r="G1112">
        <v>10</v>
      </c>
      <c r="H1112">
        <v>3</v>
      </c>
      <c r="I1112">
        <v>126</v>
      </c>
      <c r="K1112" s="13">
        <v>45796</v>
      </c>
      <c r="L1112" t="s">
        <v>687</v>
      </c>
      <c r="M1112">
        <v>4.9000000000000004</v>
      </c>
    </row>
    <row r="1113" spans="1:13" x14ac:dyDescent="0.25">
      <c r="A1113" t="s">
        <v>24</v>
      </c>
      <c r="D1113" t="s">
        <v>32</v>
      </c>
      <c r="E1113">
        <v>2018</v>
      </c>
      <c r="F1113">
        <v>2</v>
      </c>
      <c r="G1113">
        <v>10</v>
      </c>
      <c r="H1113">
        <v>3</v>
      </c>
      <c r="I1113">
        <v>126</v>
      </c>
      <c r="K1113" s="13">
        <v>45796</v>
      </c>
      <c r="L1113" t="s">
        <v>688</v>
      </c>
      <c r="M1113">
        <v>5.0999999999999996</v>
      </c>
    </row>
    <row r="1114" spans="1:13" x14ac:dyDescent="0.25">
      <c r="A1114" t="s">
        <v>24</v>
      </c>
      <c r="D1114" t="s">
        <v>32</v>
      </c>
      <c r="E1114">
        <v>2018</v>
      </c>
      <c r="F1114">
        <v>2</v>
      </c>
      <c r="G1114">
        <v>10</v>
      </c>
      <c r="H1114">
        <v>3</v>
      </c>
      <c r="I1114">
        <v>126</v>
      </c>
      <c r="K1114" s="13">
        <v>45796</v>
      </c>
      <c r="L1114" t="s">
        <v>689</v>
      </c>
      <c r="M1114">
        <v>5.2</v>
      </c>
    </row>
    <row r="1115" spans="1:13" x14ac:dyDescent="0.25">
      <c r="A1115" t="s">
        <v>24</v>
      </c>
      <c r="D1115" t="s">
        <v>32</v>
      </c>
      <c r="E1115">
        <v>2018</v>
      </c>
      <c r="F1115">
        <v>2</v>
      </c>
      <c r="G1115">
        <v>10</v>
      </c>
      <c r="H1115">
        <v>3</v>
      </c>
      <c r="I1115">
        <v>126</v>
      </c>
      <c r="K1115" s="13">
        <v>45820</v>
      </c>
      <c r="L1115" t="s">
        <v>687</v>
      </c>
    </row>
    <row r="1116" spans="1:13" x14ac:dyDescent="0.25">
      <c r="A1116" t="s">
        <v>24</v>
      </c>
      <c r="D1116" t="s">
        <v>32</v>
      </c>
      <c r="E1116">
        <v>2018</v>
      </c>
      <c r="F1116">
        <v>2</v>
      </c>
      <c r="G1116">
        <v>10</v>
      </c>
      <c r="H1116">
        <v>3</v>
      </c>
      <c r="I1116">
        <v>126</v>
      </c>
      <c r="K1116" s="13">
        <v>45820</v>
      </c>
      <c r="L1116" t="s">
        <v>688</v>
      </c>
    </row>
    <row r="1117" spans="1:13" x14ac:dyDescent="0.25">
      <c r="A1117" t="s">
        <v>24</v>
      </c>
      <c r="D1117" t="s">
        <v>32</v>
      </c>
      <c r="E1117">
        <v>2018</v>
      </c>
      <c r="F1117">
        <v>2</v>
      </c>
      <c r="G1117">
        <v>10</v>
      </c>
      <c r="H1117">
        <v>3</v>
      </c>
      <c r="I1117">
        <v>126</v>
      </c>
      <c r="K1117" s="13">
        <v>45820</v>
      </c>
      <c r="L1117" t="s">
        <v>689</v>
      </c>
    </row>
    <row r="1118" spans="1:13" x14ac:dyDescent="0.25">
      <c r="A1118" t="s">
        <v>24</v>
      </c>
      <c r="D1118" t="s">
        <v>32</v>
      </c>
      <c r="E1118">
        <v>2018</v>
      </c>
      <c r="F1118">
        <v>2</v>
      </c>
      <c r="G1118">
        <v>10</v>
      </c>
      <c r="H1118">
        <v>3</v>
      </c>
      <c r="I1118">
        <v>126</v>
      </c>
      <c r="K1118" s="13">
        <v>45825</v>
      </c>
      <c r="L1118" t="s">
        <v>687</v>
      </c>
      <c r="M1118">
        <v>6.2</v>
      </c>
    </row>
    <row r="1119" spans="1:13" x14ac:dyDescent="0.25">
      <c r="A1119" t="s">
        <v>24</v>
      </c>
      <c r="D1119" t="s">
        <v>32</v>
      </c>
      <c r="E1119">
        <v>2018</v>
      </c>
      <c r="F1119">
        <v>2</v>
      </c>
      <c r="G1119">
        <v>10</v>
      </c>
      <c r="H1119">
        <v>3</v>
      </c>
      <c r="I1119">
        <v>126</v>
      </c>
      <c r="K1119" s="13">
        <v>45825</v>
      </c>
      <c r="L1119" t="s">
        <v>688</v>
      </c>
      <c r="M1119">
        <v>6.5</v>
      </c>
    </row>
    <row r="1120" spans="1:13" x14ac:dyDescent="0.25">
      <c r="A1120" t="s">
        <v>24</v>
      </c>
      <c r="D1120" t="s">
        <v>32</v>
      </c>
      <c r="E1120">
        <v>2018</v>
      </c>
      <c r="F1120">
        <v>2</v>
      </c>
      <c r="G1120">
        <v>10</v>
      </c>
      <c r="H1120">
        <v>3</v>
      </c>
      <c r="I1120">
        <v>126</v>
      </c>
      <c r="K1120" s="13">
        <v>45825</v>
      </c>
      <c r="L1120" t="s">
        <v>689</v>
      </c>
      <c r="M1120">
        <v>6.6</v>
      </c>
    </row>
    <row r="1121" spans="1:13" x14ac:dyDescent="0.25">
      <c r="A1121" t="s">
        <v>24</v>
      </c>
      <c r="D1121" t="s">
        <v>32</v>
      </c>
      <c r="E1121">
        <v>2018</v>
      </c>
      <c r="F1121">
        <v>2</v>
      </c>
      <c r="G1121">
        <v>10</v>
      </c>
      <c r="H1121">
        <v>3</v>
      </c>
      <c r="I1121">
        <v>126</v>
      </c>
      <c r="K1121" s="13">
        <v>45827</v>
      </c>
      <c r="L1121" t="s">
        <v>687</v>
      </c>
    </row>
    <row r="1122" spans="1:13" x14ac:dyDescent="0.25">
      <c r="A1122" t="s">
        <v>24</v>
      </c>
      <c r="D1122" t="s">
        <v>32</v>
      </c>
      <c r="E1122">
        <v>2018</v>
      </c>
      <c r="F1122">
        <v>2</v>
      </c>
      <c r="G1122">
        <v>10</v>
      </c>
      <c r="H1122">
        <v>3</v>
      </c>
      <c r="I1122">
        <v>126</v>
      </c>
      <c r="K1122" s="13">
        <v>45827</v>
      </c>
      <c r="L1122" t="s">
        <v>688</v>
      </c>
    </row>
    <row r="1123" spans="1:13" x14ac:dyDescent="0.25">
      <c r="A1123" t="s">
        <v>24</v>
      </c>
      <c r="D1123" t="s">
        <v>32</v>
      </c>
      <c r="E1123">
        <v>2018</v>
      </c>
      <c r="F1123">
        <v>2</v>
      </c>
      <c r="G1123">
        <v>10</v>
      </c>
      <c r="H1123">
        <v>3</v>
      </c>
      <c r="I1123">
        <v>126</v>
      </c>
      <c r="K1123" s="13">
        <v>45827</v>
      </c>
      <c r="L1123" t="s">
        <v>689</v>
      </c>
    </row>
    <row r="1124" spans="1:13" x14ac:dyDescent="0.25">
      <c r="A1124" t="s">
        <v>24</v>
      </c>
      <c r="D1124" t="s">
        <v>32</v>
      </c>
      <c r="E1124">
        <v>2018</v>
      </c>
      <c r="F1124">
        <v>2</v>
      </c>
      <c r="G1124">
        <v>10</v>
      </c>
      <c r="H1124">
        <v>3</v>
      </c>
      <c r="I1124">
        <v>126</v>
      </c>
      <c r="K1124" s="13">
        <v>45859</v>
      </c>
      <c r="L1124" t="s">
        <v>687</v>
      </c>
    </row>
    <row r="1125" spans="1:13" x14ac:dyDescent="0.25">
      <c r="A1125" t="s">
        <v>24</v>
      </c>
      <c r="D1125" t="s">
        <v>32</v>
      </c>
      <c r="E1125">
        <v>2018</v>
      </c>
      <c r="F1125">
        <v>2</v>
      </c>
      <c r="G1125">
        <v>10</v>
      </c>
      <c r="H1125">
        <v>3</v>
      </c>
      <c r="I1125">
        <v>126</v>
      </c>
      <c r="K1125" s="13">
        <v>45859</v>
      </c>
      <c r="L1125" t="s">
        <v>688</v>
      </c>
    </row>
    <row r="1126" spans="1:13" x14ac:dyDescent="0.25">
      <c r="A1126" t="s">
        <v>24</v>
      </c>
      <c r="D1126" t="s">
        <v>32</v>
      </c>
      <c r="E1126">
        <v>2018</v>
      </c>
      <c r="F1126">
        <v>2</v>
      </c>
      <c r="G1126">
        <v>10</v>
      </c>
      <c r="H1126">
        <v>3</v>
      </c>
      <c r="I1126">
        <v>126</v>
      </c>
      <c r="K1126" s="13">
        <v>45859</v>
      </c>
      <c r="L1126" t="s">
        <v>689</v>
      </c>
    </row>
    <row r="1127" spans="1:13" x14ac:dyDescent="0.25">
      <c r="A1127" t="s">
        <v>24</v>
      </c>
      <c r="D1127" t="s">
        <v>32</v>
      </c>
      <c r="E1127">
        <v>2018</v>
      </c>
      <c r="F1127">
        <v>2</v>
      </c>
      <c r="G1127">
        <v>10</v>
      </c>
      <c r="H1127">
        <v>3</v>
      </c>
      <c r="I1127">
        <v>126</v>
      </c>
      <c r="K1127" s="13">
        <v>45868</v>
      </c>
      <c r="L1127" t="s">
        <v>687</v>
      </c>
      <c r="M1127">
        <v>9.1</v>
      </c>
    </row>
    <row r="1128" spans="1:13" x14ac:dyDescent="0.25">
      <c r="A1128" t="s">
        <v>24</v>
      </c>
      <c r="D1128" t="s">
        <v>32</v>
      </c>
      <c r="E1128">
        <v>2018</v>
      </c>
      <c r="F1128">
        <v>2</v>
      </c>
      <c r="G1128">
        <v>10</v>
      </c>
      <c r="H1128">
        <v>3</v>
      </c>
      <c r="I1128">
        <v>126</v>
      </c>
      <c r="K1128" s="13">
        <v>45868</v>
      </c>
      <c r="L1128" t="s">
        <v>688</v>
      </c>
      <c r="M1128">
        <v>8.9</v>
      </c>
    </row>
    <row r="1129" spans="1:13" x14ac:dyDescent="0.25">
      <c r="A1129" t="s">
        <v>24</v>
      </c>
      <c r="D1129" t="s">
        <v>32</v>
      </c>
      <c r="E1129">
        <v>2018</v>
      </c>
      <c r="F1129">
        <v>2</v>
      </c>
      <c r="G1129">
        <v>10</v>
      </c>
      <c r="H1129">
        <v>3</v>
      </c>
      <c r="I1129">
        <v>126</v>
      </c>
      <c r="K1129" s="13">
        <v>45868</v>
      </c>
      <c r="L1129" t="s">
        <v>689</v>
      </c>
    </row>
    <row r="1130" spans="1:13" x14ac:dyDescent="0.25">
      <c r="A1130" t="s">
        <v>24</v>
      </c>
      <c r="D1130" t="s">
        <v>32</v>
      </c>
      <c r="E1130">
        <v>2018</v>
      </c>
      <c r="F1130">
        <v>2</v>
      </c>
      <c r="G1130">
        <v>10</v>
      </c>
      <c r="H1130">
        <v>3</v>
      </c>
      <c r="I1130">
        <v>126</v>
      </c>
      <c r="K1130" s="13">
        <v>45875</v>
      </c>
      <c r="L1130" t="s">
        <v>687</v>
      </c>
      <c r="M1130">
        <v>9.6999999999999993</v>
      </c>
    </row>
    <row r="1131" spans="1:13" x14ac:dyDescent="0.25">
      <c r="A1131" t="s">
        <v>24</v>
      </c>
      <c r="D1131" t="s">
        <v>32</v>
      </c>
      <c r="E1131">
        <v>2018</v>
      </c>
      <c r="F1131">
        <v>2</v>
      </c>
      <c r="G1131">
        <v>10</v>
      </c>
      <c r="H1131">
        <v>3</v>
      </c>
      <c r="I1131">
        <v>126</v>
      </c>
      <c r="K1131" s="13">
        <v>45875</v>
      </c>
      <c r="L1131" t="s">
        <v>688</v>
      </c>
      <c r="M1131">
        <v>9.6999999999999993</v>
      </c>
    </row>
    <row r="1132" spans="1:13" x14ac:dyDescent="0.25">
      <c r="A1132" t="s">
        <v>24</v>
      </c>
      <c r="D1132" t="s">
        <v>32</v>
      </c>
      <c r="E1132">
        <v>2018</v>
      </c>
      <c r="F1132">
        <v>2</v>
      </c>
      <c r="G1132">
        <v>10</v>
      </c>
      <c r="H1132">
        <v>3</v>
      </c>
      <c r="I1132">
        <v>126</v>
      </c>
      <c r="K1132" s="13">
        <v>45875</v>
      </c>
      <c r="L1132" t="s">
        <v>689</v>
      </c>
      <c r="M1132">
        <v>9.6</v>
      </c>
    </row>
    <row r="1133" spans="1:13" x14ac:dyDescent="0.25">
      <c r="A1133" t="s">
        <v>24</v>
      </c>
      <c r="D1133" t="s">
        <v>32</v>
      </c>
      <c r="E1133">
        <v>2018</v>
      </c>
      <c r="F1133">
        <v>2</v>
      </c>
      <c r="G1133">
        <v>10</v>
      </c>
      <c r="H1133">
        <v>3</v>
      </c>
      <c r="I1133">
        <v>126</v>
      </c>
      <c r="K1133" s="13">
        <v>45880</v>
      </c>
      <c r="L1133" t="s">
        <v>687</v>
      </c>
    </row>
    <row r="1134" spans="1:13" x14ac:dyDescent="0.25">
      <c r="A1134" t="s">
        <v>24</v>
      </c>
      <c r="D1134" t="s">
        <v>32</v>
      </c>
      <c r="E1134">
        <v>2018</v>
      </c>
      <c r="F1134">
        <v>2</v>
      </c>
      <c r="G1134">
        <v>10</v>
      </c>
      <c r="H1134">
        <v>3</v>
      </c>
      <c r="I1134">
        <v>126</v>
      </c>
      <c r="K1134" s="13">
        <v>45880</v>
      </c>
      <c r="L1134" t="s">
        <v>688</v>
      </c>
    </row>
    <row r="1135" spans="1:13" x14ac:dyDescent="0.25">
      <c r="A1135" t="s">
        <v>24</v>
      </c>
      <c r="D1135" t="s">
        <v>32</v>
      </c>
      <c r="E1135">
        <v>2018</v>
      </c>
      <c r="F1135">
        <v>2</v>
      </c>
      <c r="G1135">
        <v>10</v>
      </c>
      <c r="H1135">
        <v>3</v>
      </c>
      <c r="I1135">
        <v>126</v>
      </c>
      <c r="K1135" s="13">
        <v>45880</v>
      </c>
      <c r="L1135" t="s">
        <v>689</v>
      </c>
    </row>
    <row r="1136" spans="1:13" x14ac:dyDescent="0.25">
      <c r="A1136" t="s">
        <v>24</v>
      </c>
      <c r="D1136" t="s">
        <v>32</v>
      </c>
      <c r="E1136">
        <v>2018</v>
      </c>
      <c r="F1136">
        <v>2</v>
      </c>
      <c r="G1136">
        <v>10</v>
      </c>
      <c r="H1136">
        <v>3</v>
      </c>
      <c r="I1136">
        <v>126</v>
      </c>
      <c r="K1136" s="13">
        <v>45897</v>
      </c>
      <c r="L1136" t="s">
        <v>687</v>
      </c>
      <c r="M1136">
        <v>11.6</v>
      </c>
    </row>
    <row r="1137" spans="1:13" x14ac:dyDescent="0.25">
      <c r="A1137" t="s">
        <v>24</v>
      </c>
      <c r="D1137" t="s">
        <v>32</v>
      </c>
      <c r="E1137">
        <v>2018</v>
      </c>
      <c r="F1137">
        <v>2</v>
      </c>
      <c r="G1137">
        <v>10</v>
      </c>
      <c r="H1137">
        <v>3</v>
      </c>
      <c r="I1137">
        <v>126</v>
      </c>
      <c r="K1137" s="13">
        <v>45897</v>
      </c>
      <c r="L1137" t="s">
        <v>688</v>
      </c>
      <c r="M1137">
        <v>11.8</v>
      </c>
    </row>
    <row r="1138" spans="1:13" x14ac:dyDescent="0.25">
      <c r="A1138" t="s">
        <v>24</v>
      </c>
      <c r="D1138" t="s">
        <v>32</v>
      </c>
      <c r="E1138">
        <v>2018</v>
      </c>
      <c r="F1138">
        <v>2</v>
      </c>
      <c r="G1138">
        <v>10</v>
      </c>
      <c r="H1138">
        <v>3</v>
      </c>
      <c r="I1138">
        <v>126</v>
      </c>
      <c r="K1138" s="13">
        <v>45897</v>
      </c>
      <c r="L1138" t="s">
        <v>689</v>
      </c>
      <c r="M1138">
        <v>11.6</v>
      </c>
    </row>
    <row r="1139" spans="1:13" x14ac:dyDescent="0.25">
      <c r="A1139" t="s">
        <v>24</v>
      </c>
      <c r="D1139" t="s">
        <v>32</v>
      </c>
      <c r="E1139">
        <v>2018</v>
      </c>
      <c r="F1139">
        <v>2</v>
      </c>
      <c r="G1139">
        <v>10</v>
      </c>
      <c r="H1139">
        <v>3</v>
      </c>
      <c r="I1139">
        <v>126</v>
      </c>
      <c r="K1139" s="13">
        <v>45911</v>
      </c>
      <c r="L1139" t="s">
        <v>687</v>
      </c>
    </row>
    <row r="1140" spans="1:13" x14ac:dyDescent="0.25">
      <c r="A1140" t="s">
        <v>24</v>
      </c>
      <c r="D1140" t="s">
        <v>32</v>
      </c>
      <c r="E1140">
        <v>2018</v>
      </c>
      <c r="F1140">
        <v>2</v>
      </c>
      <c r="G1140">
        <v>10</v>
      </c>
      <c r="H1140">
        <v>3</v>
      </c>
      <c r="I1140">
        <v>126</v>
      </c>
      <c r="K1140" s="13">
        <v>45911</v>
      </c>
      <c r="L1140" t="s">
        <v>688</v>
      </c>
    </row>
    <row r="1141" spans="1:13" x14ac:dyDescent="0.25">
      <c r="A1141" t="s">
        <v>24</v>
      </c>
      <c r="D1141" t="s">
        <v>32</v>
      </c>
      <c r="E1141">
        <v>2018</v>
      </c>
      <c r="F1141">
        <v>2</v>
      </c>
      <c r="G1141">
        <v>10</v>
      </c>
      <c r="H1141">
        <v>3</v>
      </c>
      <c r="I1141">
        <v>126</v>
      </c>
      <c r="K1141" s="13">
        <v>45911</v>
      </c>
      <c r="L1141" t="s">
        <v>689</v>
      </c>
    </row>
    <row r="1142" spans="1:13" x14ac:dyDescent="0.25">
      <c r="A1142" t="s">
        <v>24</v>
      </c>
      <c r="D1142" t="s">
        <v>29</v>
      </c>
      <c r="E1142">
        <v>1999</v>
      </c>
      <c r="F1142">
        <v>3</v>
      </c>
      <c r="G1142">
        <v>10</v>
      </c>
      <c r="H1142">
        <v>3</v>
      </c>
      <c r="I1142">
        <v>142</v>
      </c>
      <c r="K1142" s="13">
        <v>45796</v>
      </c>
      <c r="L1142" t="s">
        <v>687</v>
      </c>
      <c r="M1142">
        <v>5.3</v>
      </c>
    </row>
    <row r="1143" spans="1:13" x14ac:dyDescent="0.25">
      <c r="A1143" t="s">
        <v>24</v>
      </c>
      <c r="D1143" t="s">
        <v>29</v>
      </c>
      <c r="E1143">
        <v>1999</v>
      </c>
      <c r="F1143">
        <v>3</v>
      </c>
      <c r="G1143">
        <v>10</v>
      </c>
      <c r="H1143">
        <v>3</v>
      </c>
      <c r="I1143">
        <v>142</v>
      </c>
      <c r="K1143" s="13">
        <v>45796</v>
      </c>
      <c r="L1143" t="s">
        <v>688</v>
      </c>
      <c r="M1143">
        <v>5.2</v>
      </c>
    </row>
    <row r="1144" spans="1:13" x14ac:dyDescent="0.25">
      <c r="A1144" t="s">
        <v>24</v>
      </c>
      <c r="D1144" t="s">
        <v>29</v>
      </c>
      <c r="E1144">
        <v>1999</v>
      </c>
      <c r="F1144">
        <v>3</v>
      </c>
      <c r="G1144">
        <v>10</v>
      </c>
      <c r="H1144">
        <v>3</v>
      </c>
      <c r="I1144">
        <v>142</v>
      </c>
      <c r="K1144" s="13">
        <v>45796</v>
      </c>
      <c r="L1144" t="s">
        <v>689</v>
      </c>
      <c r="M1144">
        <v>5.0999999999999996</v>
      </c>
    </row>
    <row r="1145" spans="1:13" x14ac:dyDescent="0.25">
      <c r="A1145" t="s">
        <v>24</v>
      </c>
      <c r="D1145" t="s">
        <v>29</v>
      </c>
      <c r="E1145">
        <v>1999</v>
      </c>
      <c r="F1145">
        <v>3</v>
      </c>
      <c r="G1145">
        <v>10</v>
      </c>
      <c r="H1145">
        <v>3</v>
      </c>
      <c r="I1145">
        <v>142</v>
      </c>
      <c r="K1145" s="13">
        <v>45820</v>
      </c>
      <c r="L1145" t="s">
        <v>687</v>
      </c>
    </row>
    <row r="1146" spans="1:13" x14ac:dyDescent="0.25">
      <c r="A1146" t="s">
        <v>24</v>
      </c>
      <c r="D1146" t="s">
        <v>29</v>
      </c>
      <c r="E1146">
        <v>1999</v>
      </c>
      <c r="F1146">
        <v>3</v>
      </c>
      <c r="G1146">
        <v>10</v>
      </c>
      <c r="H1146">
        <v>3</v>
      </c>
      <c r="I1146">
        <v>142</v>
      </c>
      <c r="K1146" s="13">
        <v>45820</v>
      </c>
      <c r="L1146" t="s">
        <v>688</v>
      </c>
    </row>
    <row r="1147" spans="1:13" x14ac:dyDescent="0.25">
      <c r="A1147" t="s">
        <v>24</v>
      </c>
      <c r="D1147" t="s">
        <v>29</v>
      </c>
      <c r="E1147">
        <v>1999</v>
      </c>
      <c r="F1147">
        <v>3</v>
      </c>
      <c r="G1147">
        <v>10</v>
      </c>
      <c r="H1147">
        <v>3</v>
      </c>
      <c r="I1147">
        <v>142</v>
      </c>
      <c r="K1147" s="13">
        <v>45820</v>
      </c>
      <c r="L1147" t="s">
        <v>689</v>
      </c>
    </row>
    <row r="1148" spans="1:13" x14ac:dyDescent="0.25">
      <c r="A1148" t="s">
        <v>24</v>
      </c>
      <c r="D1148" t="s">
        <v>29</v>
      </c>
      <c r="E1148">
        <v>1999</v>
      </c>
      <c r="F1148">
        <v>3</v>
      </c>
      <c r="G1148">
        <v>10</v>
      </c>
      <c r="H1148">
        <v>3</v>
      </c>
      <c r="I1148">
        <v>142</v>
      </c>
      <c r="K1148" s="13">
        <v>45825</v>
      </c>
      <c r="L1148" t="s">
        <v>687</v>
      </c>
      <c r="M1148">
        <v>6.3</v>
      </c>
    </row>
    <row r="1149" spans="1:13" x14ac:dyDescent="0.25">
      <c r="A1149" t="s">
        <v>24</v>
      </c>
      <c r="D1149" t="s">
        <v>29</v>
      </c>
      <c r="E1149">
        <v>1999</v>
      </c>
      <c r="F1149">
        <v>3</v>
      </c>
      <c r="G1149">
        <v>10</v>
      </c>
      <c r="H1149">
        <v>3</v>
      </c>
      <c r="I1149">
        <v>142</v>
      </c>
      <c r="K1149" s="13">
        <v>45825</v>
      </c>
      <c r="L1149" t="s">
        <v>688</v>
      </c>
      <c r="M1149">
        <v>6.3</v>
      </c>
    </row>
    <row r="1150" spans="1:13" x14ac:dyDescent="0.25">
      <c r="A1150" t="s">
        <v>24</v>
      </c>
      <c r="D1150" t="s">
        <v>29</v>
      </c>
      <c r="E1150">
        <v>1999</v>
      </c>
      <c r="F1150">
        <v>3</v>
      </c>
      <c r="G1150">
        <v>10</v>
      </c>
      <c r="H1150">
        <v>3</v>
      </c>
      <c r="I1150">
        <v>142</v>
      </c>
      <c r="K1150" s="13">
        <v>45825</v>
      </c>
      <c r="L1150" t="s">
        <v>689</v>
      </c>
      <c r="M1150">
        <v>6.7</v>
      </c>
    </row>
    <row r="1151" spans="1:13" x14ac:dyDescent="0.25">
      <c r="A1151" t="s">
        <v>24</v>
      </c>
      <c r="D1151" t="s">
        <v>29</v>
      </c>
      <c r="E1151">
        <v>1999</v>
      </c>
      <c r="F1151">
        <v>3</v>
      </c>
      <c r="G1151">
        <v>10</v>
      </c>
      <c r="H1151">
        <v>3</v>
      </c>
      <c r="I1151">
        <v>142</v>
      </c>
      <c r="K1151" s="13">
        <v>45827</v>
      </c>
      <c r="L1151" t="s">
        <v>687</v>
      </c>
    </row>
    <row r="1152" spans="1:13" x14ac:dyDescent="0.25">
      <c r="A1152" t="s">
        <v>24</v>
      </c>
      <c r="D1152" t="s">
        <v>29</v>
      </c>
      <c r="E1152">
        <v>1999</v>
      </c>
      <c r="F1152">
        <v>3</v>
      </c>
      <c r="G1152">
        <v>10</v>
      </c>
      <c r="H1152">
        <v>3</v>
      </c>
      <c r="I1152">
        <v>142</v>
      </c>
      <c r="K1152" s="13">
        <v>45827</v>
      </c>
      <c r="L1152" t="s">
        <v>688</v>
      </c>
    </row>
    <row r="1153" spans="1:13" x14ac:dyDescent="0.25">
      <c r="A1153" t="s">
        <v>24</v>
      </c>
      <c r="D1153" t="s">
        <v>29</v>
      </c>
      <c r="E1153">
        <v>1999</v>
      </c>
      <c r="F1153">
        <v>3</v>
      </c>
      <c r="G1153">
        <v>10</v>
      </c>
      <c r="H1153">
        <v>3</v>
      </c>
      <c r="I1153">
        <v>142</v>
      </c>
      <c r="K1153" s="13">
        <v>45827</v>
      </c>
      <c r="L1153" t="s">
        <v>689</v>
      </c>
    </row>
    <row r="1154" spans="1:13" x14ac:dyDescent="0.25">
      <c r="A1154" t="s">
        <v>24</v>
      </c>
      <c r="D1154" t="s">
        <v>29</v>
      </c>
      <c r="E1154">
        <v>1999</v>
      </c>
      <c r="F1154">
        <v>3</v>
      </c>
      <c r="G1154">
        <v>10</v>
      </c>
      <c r="H1154">
        <v>3</v>
      </c>
      <c r="I1154">
        <v>142</v>
      </c>
      <c r="K1154" s="13">
        <v>45859</v>
      </c>
      <c r="L1154" t="s">
        <v>687</v>
      </c>
    </row>
    <row r="1155" spans="1:13" x14ac:dyDescent="0.25">
      <c r="A1155" t="s">
        <v>24</v>
      </c>
      <c r="D1155" t="s">
        <v>29</v>
      </c>
      <c r="E1155">
        <v>1999</v>
      </c>
      <c r="F1155">
        <v>3</v>
      </c>
      <c r="G1155">
        <v>10</v>
      </c>
      <c r="H1155">
        <v>3</v>
      </c>
      <c r="I1155">
        <v>142</v>
      </c>
      <c r="K1155" s="13">
        <v>45859</v>
      </c>
      <c r="L1155" t="s">
        <v>688</v>
      </c>
    </row>
    <row r="1156" spans="1:13" x14ac:dyDescent="0.25">
      <c r="A1156" t="s">
        <v>24</v>
      </c>
      <c r="D1156" t="s">
        <v>29</v>
      </c>
      <c r="E1156">
        <v>1999</v>
      </c>
      <c r="F1156">
        <v>3</v>
      </c>
      <c r="G1156">
        <v>10</v>
      </c>
      <c r="H1156">
        <v>3</v>
      </c>
      <c r="I1156">
        <v>142</v>
      </c>
      <c r="K1156" s="13">
        <v>45859</v>
      </c>
      <c r="L1156" t="s">
        <v>689</v>
      </c>
    </row>
    <row r="1157" spans="1:13" x14ac:dyDescent="0.25">
      <c r="A1157" t="s">
        <v>24</v>
      </c>
      <c r="D1157" t="s">
        <v>29</v>
      </c>
      <c r="E1157">
        <v>1999</v>
      </c>
      <c r="F1157">
        <v>3</v>
      </c>
      <c r="G1157">
        <v>10</v>
      </c>
      <c r="H1157">
        <v>3</v>
      </c>
      <c r="I1157">
        <v>142</v>
      </c>
      <c r="K1157" s="13">
        <v>45868</v>
      </c>
      <c r="L1157" t="s">
        <v>687</v>
      </c>
      <c r="M1157">
        <v>8.9</v>
      </c>
    </row>
    <row r="1158" spans="1:13" x14ac:dyDescent="0.25">
      <c r="A1158" t="s">
        <v>24</v>
      </c>
      <c r="D1158" t="s">
        <v>29</v>
      </c>
      <c r="E1158">
        <v>1999</v>
      </c>
      <c r="F1158">
        <v>3</v>
      </c>
      <c r="G1158">
        <v>10</v>
      </c>
      <c r="H1158">
        <v>3</v>
      </c>
      <c r="I1158">
        <v>142</v>
      </c>
      <c r="K1158" s="13">
        <v>45868</v>
      </c>
      <c r="L1158" t="s">
        <v>688</v>
      </c>
    </row>
    <row r="1159" spans="1:13" x14ac:dyDescent="0.25">
      <c r="A1159" t="s">
        <v>24</v>
      </c>
      <c r="D1159" t="s">
        <v>29</v>
      </c>
      <c r="E1159">
        <v>1999</v>
      </c>
      <c r="F1159">
        <v>3</v>
      </c>
      <c r="G1159">
        <v>10</v>
      </c>
      <c r="H1159">
        <v>3</v>
      </c>
      <c r="I1159">
        <v>142</v>
      </c>
      <c r="K1159" s="13">
        <v>45868</v>
      </c>
      <c r="L1159" t="s">
        <v>689</v>
      </c>
    </row>
    <row r="1160" spans="1:13" x14ac:dyDescent="0.25">
      <c r="A1160" t="s">
        <v>24</v>
      </c>
      <c r="D1160" t="s">
        <v>29</v>
      </c>
      <c r="E1160">
        <v>1999</v>
      </c>
      <c r="F1160">
        <v>3</v>
      </c>
      <c r="G1160">
        <v>10</v>
      </c>
      <c r="H1160">
        <v>3</v>
      </c>
      <c r="I1160">
        <v>142</v>
      </c>
      <c r="K1160" s="13">
        <v>45875</v>
      </c>
      <c r="L1160" t="s">
        <v>687</v>
      </c>
      <c r="M1160">
        <v>9.3000000000000007</v>
      </c>
    </row>
    <row r="1161" spans="1:13" x14ac:dyDescent="0.25">
      <c r="A1161" t="s">
        <v>24</v>
      </c>
      <c r="D1161" t="s">
        <v>29</v>
      </c>
      <c r="E1161">
        <v>1999</v>
      </c>
      <c r="F1161">
        <v>3</v>
      </c>
      <c r="G1161">
        <v>10</v>
      </c>
      <c r="H1161">
        <v>3</v>
      </c>
      <c r="I1161">
        <v>142</v>
      </c>
      <c r="K1161" s="13">
        <v>45875</v>
      </c>
      <c r="L1161" t="s">
        <v>688</v>
      </c>
      <c r="M1161">
        <v>10.199999999999999</v>
      </c>
    </row>
    <row r="1162" spans="1:13" x14ac:dyDescent="0.25">
      <c r="A1162" t="s">
        <v>24</v>
      </c>
      <c r="D1162" t="s">
        <v>29</v>
      </c>
      <c r="E1162">
        <v>1999</v>
      </c>
      <c r="F1162">
        <v>3</v>
      </c>
      <c r="G1162">
        <v>10</v>
      </c>
      <c r="H1162">
        <v>3</v>
      </c>
      <c r="I1162">
        <v>142</v>
      </c>
      <c r="K1162" s="13">
        <v>45875</v>
      </c>
      <c r="L1162" t="s">
        <v>689</v>
      </c>
      <c r="M1162">
        <v>9.5</v>
      </c>
    </row>
    <row r="1163" spans="1:13" x14ac:dyDescent="0.25">
      <c r="A1163" t="s">
        <v>24</v>
      </c>
      <c r="D1163" t="s">
        <v>29</v>
      </c>
      <c r="E1163">
        <v>1999</v>
      </c>
      <c r="F1163">
        <v>3</v>
      </c>
      <c r="G1163">
        <v>10</v>
      </c>
      <c r="H1163">
        <v>3</v>
      </c>
      <c r="I1163">
        <v>142</v>
      </c>
      <c r="K1163" s="13">
        <v>45880</v>
      </c>
      <c r="L1163" t="s">
        <v>687</v>
      </c>
    </row>
    <row r="1164" spans="1:13" x14ac:dyDescent="0.25">
      <c r="A1164" t="s">
        <v>24</v>
      </c>
      <c r="D1164" t="s">
        <v>29</v>
      </c>
      <c r="E1164">
        <v>1999</v>
      </c>
      <c r="F1164">
        <v>3</v>
      </c>
      <c r="G1164">
        <v>10</v>
      </c>
      <c r="H1164">
        <v>3</v>
      </c>
      <c r="I1164">
        <v>142</v>
      </c>
      <c r="K1164" s="13">
        <v>45880</v>
      </c>
      <c r="L1164" t="s">
        <v>688</v>
      </c>
    </row>
    <row r="1165" spans="1:13" x14ac:dyDescent="0.25">
      <c r="A1165" t="s">
        <v>24</v>
      </c>
      <c r="D1165" t="s">
        <v>29</v>
      </c>
      <c r="E1165">
        <v>1999</v>
      </c>
      <c r="F1165">
        <v>3</v>
      </c>
      <c r="G1165">
        <v>10</v>
      </c>
      <c r="H1165">
        <v>3</v>
      </c>
      <c r="I1165">
        <v>142</v>
      </c>
      <c r="K1165" s="13">
        <v>45880</v>
      </c>
      <c r="L1165" t="s">
        <v>689</v>
      </c>
    </row>
    <row r="1166" spans="1:13" x14ac:dyDescent="0.25">
      <c r="A1166" t="s">
        <v>24</v>
      </c>
      <c r="D1166" t="s">
        <v>29</v>
      </c>
      <c r="E1166">
        <v>1999</v>
      </c>
      <c r="F1166">
        <v>3</v>
      </c>
      <c r="G1166">
        <v>10</v>
      </c>
      <c r="H1166">
        <v>3</v>
      </c>
      <c r="I1166">
        <v>142</v>
      </c>
      <c r="K1166" s="13">
        <v>45897</v>
      </c>
      <c r="L1166" t="s">
        <v>687</v>
      </c>
      <c r="M1166">
        <v>12.6</v>
      </c>
    </row>
    <row r="1167" spans="1:13" x14ac:dyDescent="0.25">
      <c r="A1167" t="s">
        <v>24</v>
      </c>
      <c r="D1167" t="s">
        <v>29</v>
      </c>
      <c r="E1167">
        <v>1999</v>
      </c>
      <c r="F1167">
        <v>3</v>
      </c>
      <c r="G1167">
        <v>10</v>
      </c>
      <c r="H1167">
        <v>3</v>
      </c>
      <c r="I1167">
        <v>142</v>
      </c>
      <c r="K1167" s="13">
        <v>45897</v>
      </c>
      <c r="L1167" t="s">
        <v>688</v>
      </c>
      <c r="M1167">
        <v>11.6</v>
      </c>
    </row>
    <row r="1168" spans="1:13" x14ac:dyDescent="0.25">
      <c r="A1168" t="s">
        <v>24</v>
      </c>
      <c r="D1168" t="s">
        <v>29</v>
      </c>
      <c r="E1168">
        <v>1999</v>
      </c>
      <c r="F1168">
        <v>3</v>
      </c>
      <c r="G1168">
        <v>10</v>
      </c>
      <c r="H1168">
        <v>3</v>
      </c>
      <c r="I1168">
        <v>142</v>
      </c>
      <c r="K1168" s="13">
        <v>45897</v>
      </c>
      <c r="L1168" t="s">
        <v>689</v>
      </c>
      <c r="M1168">
        <v>11.6</v>
      </c>
    </row>
    <row r="1169" spans="1:13" x14ac:dyDescent="0.25">
      <c r="A1169" t="s">
        <v>24</v>
      </c>
      <c r="D1169" t="s">
        <v>29</v>
      </c>
      <c r="E1169">
        <v>1999</v>
      </c>
      <c r="F1169">
        <v>3</v>
      </c>
      <c r="G1169">
        <v>10</v>
      </c>
      <c r="H1169">
        <v>3</v>
      </c>
      <c r="I1169">
        <v>142</v>
      </c>
      <c r="K1169" s="13">
        <v>45911</v>
      </c>
      <c r="L1169" t="s">
        <v>687</v>
      </c>
    </row>
    <row r="1170" spans="1:13" x14ac:dyDescent="0.25">
      <c r="A1170" t="s">
        <v>24</v>
      </c>
      <c r="D1170" t="s">
        <v>29</v>
      </c>
      <c r="E1170">
        <v>1999</v>
      </c>
      <c r="F1170">
        <v>3</v>
      </c>
      <c r="G1170">
        <v>10</v>
      </c>
      <c r="H1170">
        <v>3</v>
      </c>
      <c r="I1170">
        <v>142</v>
      </c>
      <c r="K1170" s="13">
        <v>45911</v>
      </c>
      <c r="L1170" t="s">
        <v>688</v>
      </c>
    </row>
    <row r="1171" spans="1:13" x14ac:dyDescent="0.25">
      <c r="A1171" t="s">
        <v>24</v>
      </c>
      <c r="D1171" t="s">
        <v>29</v>
      </c>
      <c r="E1171">
        <v>1999</v>
      </c>
      <c r="F1171">
        <v>3</v>
      </c>
      <c r="G1171">
        <v>10</v>
      </c>
      <c r="H1171">
        <v>3</v>
      </c>
      <c r="I1171">
        <v>142</v>
      </c>
      <c r="K1171" s="13">
        <v>45911</v>
      </c>
      <c r="L1171" t="s">
        <v>689</v>
      </c>
    </row>
    <row r="1172" spans="1:13" x14ac:dyDescent="0.25">
      <c r="A1172" t="s">
        <v>24</v>
      </c>
      <c r="D1172" t="s">
        <v>311</v>
      </c>
      <c r="E1172">
        <v>2023</v>
      </c>
      <c r="F1172">
        <v>4</v>
      </c>
      <c r="G1172">
        <v>10</v>
      </c>
      <c r="H1172">
        <v>3</v>
      </c>
      <c r="I1172">
        <v>158</v>
      </c>
      <c r="K1172" s="13">
        <v>45796</v>
      </c>
      <c r="L1172" t="s">
        <v>687</v>
      </c>
      <c r="M1172">
        <v>5.0999999999999996</v>
      </c>
    </row>
    <row r="1173" spans="1:13" x14ac:dyDescent="0.25">
      <c r="A1173" t="s">
        <v>24</v>
      </c>
      <c r="D1173" t="s">
        <v>311</v>
      </c>
      <c r="E1173">
        <v>2023</v>
      </c>
      <c r="F1173">
        <v>4</v>
      </c>
      <c r="G1173">
        <v>10</v>
      </c>
      <c r="H1173">
        <v>3</v>
      </c>
      <c r="I1173">
        <v>158</v>
      </c>
      <c r="K1173" s="13">
        <v>45796</v>
      </c>
      <c r="L1173" t="s">
        <v>688</v>
      </c>
      <c r="M1173">
        <v>4.9000000000000004</v>
      </c>
    </row>
    <row r="1174" spans="1:13" x14ac:dyDescent="0.25">
      <c r="A1174" t="s">
        <v>24</v>
      </c>
      <c r="D1174" t="s">
        <v>311</v>
      </c>
      <c r="E1174">
        <v>2023</v>
      </c>
      <c r="F1174">
        <v>4</v>
      </c>
      <c r="G1174">
        <v>10</v>
      </c>
      <c r="H1174">
        <v>3</v>
      </c>
      <c r="I1174">
        <v>158</v>
      </c>
      <c r="K1174" s="13">
        <v>45796</v>
      </c>
      <c r="L1174" t="s">
        <v>689</v>
      </c>
      <c r="M1174">
        <v>5.0999999999999996</v>
      </c>
    </row>
    <row r="1175" spans="1:13" x14ac:dyDescent="0.25">
      <c r="A1175" t="s">
        <v>24</v>
      </c>
      <c r="D1175" t="s">
        <v>311</v>
      </c>
      <c r="E1175">
        <v>2023</v>
      </c>
      <c r="F1175">
        <v>4</v>
      </c>
      <c r="G1175">
        <v>10</v>
      </c>
      <c r="H1175">
        <v>3</v>
      </c>
      <c r="I1175">
        <v>158</v>
      </c>
      <c r="K1175" s="13">
        <v>45820</v>
      </c>
      <c r="L1175" t="s">
        <v>687</v>
      </c>
    </row>
    <row r="1176" spans="1:13" x14ac:dyDescent="0.25">
      <c r="A1176" t="s">
        <v>24</v>
      </c>
      <c r="D1176" t="s">
        <v>311</v>
      </c>
      <c r="E1176">
        <v>2023</v>
      </c>
      <c r="F1176">
        <v>4</v>
      </c>
      <c r="G1176">
        <v>10</v>
      </c>
      <c r="H1176">
        <v>3</v>
      </c>
      <c r="I1176">
        <v>158</v>
      </c>
      <c r="K1176" s="13">
        <v>45820</v>
      </c>
      <c r="L1176" t="s">
        <v>688</v>
      </c>
    </row>
    <row r="1177" spans="1:13" x14ac:dyDescent="0.25">
      <c r="A1177" t="s">
        <v>24</v>
      </c>
      <c r="D1177" t="s">
        <v>311</v>
      </c>
      <c r="E1177">
        <v>2023</v>
      </c>
      <c r="F1177">
        <v>4</v>
      </c>
      <c r="G1177">
        <v>10</v>
      </c>
      <c r="H1177">
        <v>3</v>
      </c>
      <c r="I1177">
        <v>158</v>
      </c>
      <c r="K1177" s="13">
        <v>45820</v>
      </c>
      <c r="L1177" t="s">
        <v>689</v>
      </c>
    </row>
    <row r="1178" spans="1:13" x14ac:dyDescent="0.25">
      <c r="A1178" t="s">
        <v>24</v>
      </c>
      <c r="D1178" t="s">
        <v>311</v>
      </c>
      <c r="E1178">
        <v>2023</v>
      </c>
      <c r="F1178">
        <v>4</v>
      </c>
      <c r="G1178">
        <v>10</v>
      </c>
      <c r="H1178">
        <v>3</v>
      </c>
      <c r="I1178">
        <v>158</v>
      </c>
      <c r="K1178" s="13">
        <v>45825</v>
      </c>
      <c r="L1178" t="s">
        <v>687</v>
      </c>
      <c r="M1178">
        <v>6.3</v>
      </c>
    </row>
    <row r="1179" spans="1:13" x14ac:dyDescent="0.25">
      <c r="A1179" t="s">
        <v>24</v>
      </c>
      <c r="D1179" t="s">
        <v>311</v>
      </c>
      <c r="E1179">
        <v>2023</v>
      </c>
      <c r="F1179">
        <v>4</v>
      </c>
      <c r="G1179">
        <v>10</v>
      </c>
      <c r="H1179">
        <v>3</v>
      </c>
      <c r="I1179">
        <v>158</v>
      </c>
      <c r="K1179" s="13">
        <v>45825</v>
      </c>
      <c r="L1179" t="s">
        <v>688</v>
      </c>
      <c r="M1179">
        <v>6.3</v>
      </c>
    </row>
    <row r="1180" spans="1:13" x14ac:dyDescent="0.25">
      <c r="A1180" t="s">
        <v>24</v>
      </c>
      <c r="D1180" t="s">
        <v>311</v>
      </c>
      <c r="E1180">
        <v>2023</v>
      </c>
      <c r="F1180">
        <v>4</v>
      </c>
      <c r="G1180">
        <v>10</v>
      </c>
      <c r="H1180">
        <v>3</v>
      </c>
      <c r="I1180">
        <v>158</v>
      </c>
      <c r="K1180" s="13">
        <v>45825</v>
      </c>
      <c r="L1180" t="s">
        <v>689</v>
      </c>
      <c r="M1180">
        <v>6.5</v>
      </c>
    </row>
    <row r="1181" spans="1:13" x14ac:dyDescent="0.25">
      <c r="A1181" t="s">
        <v>24</v>
      </c>
      <c r="D1181" t="s">
        <v>311</v>
      </c>
      <c r="E1181">
        <v>2023</v>
      </c>
      <c r="F1181">
        <v>4</v>
      </c>
      <c r="G1181">
        <v>10</v>
      </c>
      <c r="H1181">
        <v>3</v>
      </c>
      <c r="I1181">
        <v>158</v>
      </c>
      <c r="K1181" s="13">
        <v>45827</v>
      </c>
      <c r="L1181" t="s">
        <v>687</v>
      </c>
    </row>
    <row r="1182" spans="1:13" x14ac:dyDescent="0.25">
      <c r="A1182" t="s">
        <v>24</v>
      </c>
      <c r="D1182" t="s">
        <v>311</v>
      </c>
      <c r="E1182">
        <v>2023</v>
      </c>
      <c r="F1182">
        <v>4</v>
      </c>
      <c r="G1182">
        <v>10</v>
      </c>
      <c r="H1182">
        <v>3</v>
      </c>
      <c r="I1182">
        <v>158</v>
      </c>
      <c r="K1182" s="13">
        <v>45827</v>
      </c>
      <c r="L1182" t="s">
        <v>688</v>
      </c>
    </row>
    <row r="1183" spans="1:13" x14ac:dyDescent="0.25">
      <c r="A1183" t="s">
        <v>24</v>
      </c>
      <c r="D1183" t="s">
        <v>311</v>
      </c>
      <c r="E1183">
        <v>2023</v>
      </c>
      <c r="F1183">
        <v>4</v>
      </c>
      <c r="G1183">
        <v>10</v>
      </c>
      <c r="H1183">
        <v>3</v>
      </c>
      <c r="I1183">
        <v>158</v>
      </c>
      <c r="K1183" s="13">
        <v>45827</v>
      </c>
      <c r="L1183" t="s">
        <v>689</v>
      </c>
    </row>
    <row r="1184" spans="1:13" x14ac:dyDescent="0.25">
      <c r="A1184" t="s">
        <v>24</v>
      </c>
      <c r="D1184" t="s">
        <v>311</v>
      </c>
      <c r="E1184">
        <v>2023</v>
      </c>
      <c r="F1184">
        <v>4</v>
      </c>
      <c r="G1184">
        <v>10</v>
      </c>
      <c r="H1184">
        <v>3</v>
      </c>
      <c r="I1184">
        <v>158</v>
      </c>
      <c r="K1184" s="13">
        <v>45859</v>
      </c>
      <c r="L1184" t="s">
        <v>687</v>
      </c>
    </row>
    <row r="1185" spans="1:13" x14ac:dyDescent="0.25">
      <c r="A1185" t="s">
        <v>24</v>
      </c>
      <c r="D1185" t="s">
        <v>311</v>
      </c>
      <c r="E1185">
        <v>2023</v>
      </c>
      <c r="F1185">
        <v>4</v>
      </c>
      <c r="G1185">
        <v>10</v>
      </c>
      <c r="H1185">
        <v>3</v>
      </c>
      <c r="I1185">
        <v>158</v>
      </c>
      <c r="K1185" s="13">
        <v>45859</v>
      </c>
      <c r="L1185" t="s">
        <v>688</v>
      </c>
    </row>
    <row r="1186" spans="1:13" x14ac:dyDescent="0.25">
      <c r="A1186" t="s">
        <v>24</v>
      </c>
      <c r="D1186" t="s">
        <v>311</v>
      </c>
      <c r="E1186">
        <v>2023</v>
      </c>
      <c r="F1186">
        <v>4</v>
      </c>
      <c r="G1186">
        <v>10</v>
      </c>
      <c r="H1186">
        <v>3</v>
      </c>
      <c r="I1186">
        <v>158</v>
      </c>
      <c r="K1186" s="13">
        <v>45859</v>
      </c>
      <c r="L1186" t="s">
        <v>689</v>
      </c>
    </row>
    <row r="1187" spans="1:13" x14ac:dyDescent="0.25">
      <c r="A1187" t="s">
        <v>24</v>
      </c>
      <c r="D1187" t="s">
        <v>311</v>
      </c>
      <c r="E1187">
        <v>2023</v>
      </c>
      <c r="F1187">
        <v>4</v>
      </c>
      <c r="G1187">
        <v>10</v>
      </c>
      <c r="H1187">
        <v>3</v>
      </c>
      <c r="I1187">
        <v>158</v>
      </c>
      <c r="K1187" s="13">
        <v>45868</v>
      </c>
      <c r="L1187" t="s">
        <v>687</v>
      </c>
      <c r="M1187">
        <v>9.6</v>
      </c>
    </row>
    <row r="1188" spans="1:13" x14ac:dyDescent="0.25">
      <c r="A1188" t="s">
        <v>24</v>
      </c>
      <c r="D1188" t="s">
        <v>311</v>
      </c>
      <c r="E1188">
        <v>2023</v>
      </c>
      <c r="F1188">
        <v>4</v>
      </c>
      <c r="G1188">
        <v>10</v>
      </c>
      <c r="H1188">
        <v>3</v>
      </c>
      <c r="I1188">
        <v>158</v>
      </c>
      <c r="K1188" s="13">
        <v>45868</v>
      </c>
      <c r="L1188" t="s">
        <v>688</v>
      </c>
    </row>
    <row r="1189" spans="1:13" x14ac:dyDescent="0.25">
      <c r="A1189" t="s">
        <v>24</v>
      </c>
      <c r="D1189" t="s">
        <v>311</v>
      </c>
      <c r="E1189">
        <v>2023</v>
      </c>
      <c r="F1189">
        <v>4</v>
      </c>
      <c r="G1189">
        <v>10</v>
      </c>
      <c r="H1189">
        <v>3</v>
      </c>
      <c r="I1189">
        <v>158</v>
      </c>
      <c r="K1189" s="13">
        <v>45868</v>
      </c>
      <c r="L1189" t="s">
        <v>689</v>
      </c>
    </row>
    <row r="1190" spans="1:13" x14ac:dyDescent="0.25">
      <c r="A1190" t="s">
        <v>24</v>
      </c>
      <c r="D1190" t="s">
        <v>311</v>
      </c>
      <c r="E1190">
        <v>2023</v>
      </c>
      <c r="F1190">
        <v>4</v>
      </c>
      <c r="G1190">
        <v>10</v>
      </c>
      <c r="H1190">
        <v>3</v>
      </c>
      <c r="I1190">
        <v>158</v>
      </c>
      <c r="K1190" s="13">
        <v>45875</v>
      </c>
      <c r="L1190" t="s">
        <v>687</v>
      </c>
      <c r="M1190">
        <v>10.1</v>
      </c>
    </row>
    <row r="1191" spans="1:13" x14ac:dyDescent="0.25">
      <c r="A1191" t="s">
        <v>24</v>
      </c>
      <c r="D1191" t="s">
        <v>311</v>
      </c>
      <c r="E1191">
        <v>2023</v>
      </c>
      <c r="F1191">
        <v>4</v>
      </c>
      <c r="G1191">
        <v>10</v>
      </c>
      <c r="H1191">
        <v>3</v>
      </c>
      <c r="I1191">
        <v>158</v>
      </c>
      <c r="K1191" s="13">
        <v>45875</v>
      </c>
      <c r="L1191" t="s">
        <v>688</v>
      </c>
      <c r="M1191">
        <v>9.8000000000000007</v>
      </c>
    </row>
    <row r="1192" spans="1:13" x14ac:dyDescent="0.25">
      <c r="A1192" t="s">
        <v>24</v>
      </c>
      <c r="D1192" t="s">
        <v>311</v>
      </c>
      <c r="E1192">
        <v>2023</v>
      </c>
      <c r="F1192">
        <v>4</v>
      </c>
      <c r="G1192">
        <v>10</v>
      </c>
      <c r="H1192">
        <v>3</v>
      </c>
      <c r="I1192">
        <v>158</v>
      </c>
      <c r="K1192" s="13">
        <v>45875</v>
      </c>
      <c r="L1192" t="s">
        <v>689</v>
      </c>
    </row>
    <row r="1193" spans="1:13" x14ac:dyDescent="0.25">
      <c r="A1193" t="s">
        <v>24</v>
      </c>
      <c r="D1193" t="s">
        <v>311</v>
      </c>
      <c r="E1193">
        <v>2023</v>
      </c>
      <c r="F1193">
        <v>4</v>
      </c>
      <c r="G1193">
        <v>10</v>
      </c>
      <c r="H1193">
        <v>3</v>
      </c>
      <c r="I1193">
        <v>158</v>
      </c>
      <c r="K1193" s="13">
        <v>45880</v>
      </c>
      <c r="L1193" t="s">
        <v>687</v>
      </c>
    </row>
    <row r="1194" spans="1:13" x14ac:dyDescent="0.25">
      <c r="A1194" t="s">
        <v>24</v>
      </c>
      <c r="D1194" t="s">
        <v>311</v>
      </c>
      <c r="E1194">
        <v>2023</v>
      </c>
      <c r="F1194">
        <v>4</v>
      </c>
      <c r="G1194">
        <v>10</v>
      </c>
      <c r="H1194">
        <v>3</v>
      </c>
      <c r="I1194">
        <v>158</v>
      </c>
      <c r="K1194" s="13">
        <v>45880</v>
      </c>
      <c r="L1194" t="s">
        <v>688</v>
      </c>
    </row>
    <row r="1195" spans="1:13" x14ac:dyDescent="0.25">
      <c r="A1195" t="s">
        <v>24</v>
      </c>
      <c r="D1195" t="s">
        <v>311</v>
      </c>
      <c r="E1195">
        <v>2023</v>
      </c>
      <c r="F1195">
        <v>4</v>
      </c>
      <c r="G1195">
        <v>10</v>
      </c>
      <c r="H1195">
        <v>3</v>
      </c>
      <c r="I1195">
        <v>158</v>
      </c>
      <c r="K1195" s="13">
        <v>45880</v>
      </c>
      <c r="L1195" t="s">
        <v>689</v>
      </c>
    </row>
    <row r="1196" spans="1:13" x14ac:dyDescent="0.25">
      <c r="A1196" t="s">
        <v>24</v>
      </c>
      <c r="D1196" t="s">
        <v>311</v>
      </c>
      <c r="E1196">
        <v>2023</v>
      </c>
      <c r="F1196">
        <v>4</v>
      </c>
      <c r="G1196">
        <v>10</v>
      </c>
      <c r="H1196">
        <v>3</v>
      </c>
      <c r="I1196">
        <v>158</v>
      </c>
      <c r="K1196" s="13">
        <v>45897</v>
      </c>
      <c r="L1196" t="s">
        <v>687</v>
      </c>
      <c r="M1196">
        <v>11.7</v>
      </c>
    </row>
    <row r="1197" spans="1:13" x14ac:dyDescent="0.25">
      <c r="A1197" t="s">
        <v>24</v>
      </c>
      <c r="D1197" t="s">
        <v>311</v>
      </c>
      <c r="E1197">
        <v>2023</v>
      </c>
      <c r="F1197">
        <v>4</v>
      </c>
      <c r="G1197">
        <v>10</v>
      </c>
      <c r="H1197">
        <v>3</v>
      </c>
      <c r="I1197">
        <v>158</v>
      </c>
      <c r="K1197" s="13">
        <v>45897</v>
      </c>
      <c r="L1197" t="s">
        <v>688</v>
      </c>
      <c r="M1197">
        <v>11.7</v>
      </c>
    </row>
    <row r="1198" spans="1:13" x14ac:dyDescent="0.25">
      <c r="A1198" t="s">
        <v>24</v>
      </c>
      <c r="D1198" t="s">
        <v>311</v>
      </c>
      <c r="E1198">
        <v>2023</v>
      </c>
      <c r="F1198">
        <v>4</v>
      </c>
      <c r="G1198">
        <v>10</v>
      </c>
      <c r="H1198">
        <v>3</v>
      </c>
      <c r="I1198">
        <v>158</v>
      </c>
      <c r="K1198" s="13">
        <v>45897</v>
      </c>
      <c r="L1198" t="s">
        <v>689</v>
      </c>
    </row>
    <row r="1199" spans="1:13" x14ac:dyDescent="0.25">
      <c r="A1199" t="s">
        <v>24</v>
      </c>
      <c r="D1199" t="s">
        <v>311</v>
      </c>
      <c r="E1199">
        <v>2023</v>
      </c>
      <c r="F1199">
        <v>4</v>
      </c>
      <c r="G1199">
        <v>10</v>
      </c>
      <c r="H1199">
        <v>3</v>
      </c>
      <c r="I1199">
        <v>158</v>
      </c>
      <c r="K1199" s="13">
        <v>45911</v>
      </c>
      <c r="L1199" t="s">
        <v>687</v>
      </c>
    </row>
    <row r="1200" spans="1:13" x14ac:dyDescent="0.25">
      <c r="A1200" t="s">
        <v>24</v>
      </c>
      <c r="D1200" t="s">
        <v>311</v>
      </c>
      <c r="E1200">
        <v>2023</v>
      </c>
      <c r="F1200">
        <v>4</v>
      </c>
      <c r="G1200">
        <v>10</v>
      </c>
      <c r="H1200">
        <v>3</v>
      </c>
      <c r="I1200">
        <v>158</v>
      </c>
      <c r="K1200" s="13">
        <v>45911</v>
      </c>
      <c r="L1200" t="s">
        <v>688</v>
      </c>
    </row>
    <row r="1201" spans="1:13" x14ac:dyDescent="0.25">
      <c r="A1201" t="s">
        <v>24</v>
      </c>
      <c r="D1201" t="s">
        <v>311</v>
      </c>
      <c r="E1201">
        <v>2023</v>
      </c>
      <c r="F1201">
        <v>4</v>
      </c>
      <c r="G1201">
        <v>10</v>
      </c>
      <c r="H1201">
        <v>3</v>
      </c>
      <c r="I1201">
        <v>158</v>
      </c>
      <c r="K1201" s="13">
        <v>45911</v>
      </c>
      <c r="L1201" t="s">
        <v>689</v>
      </c>
    </row>
    <row r="1202" spans="1:13" x14ac:dyDescent="0.25">
      <c r="A1202" t="s">
        <v>34</v>
      </c>
      <c r="D1202" t="s">
        <v>42</v>
      </c>
      <c r="E1202">
        <v>2016</v>
      </c>
      <c r="F1202">
        <v>1</v>
      </c>
      <c r="G1202">
        <v>11</v>
      </c>
      <c r="H1202">
        <v>3</v>
      </c>
      <c r="I1202">
        <v>111</v>
      </c>
      <c r="K1202" s="13">
        <v>45796</v>
      </c>
      <c r="L1202" t="s">
        <v>687</v>
      </c>
    </row>
    <row r="1203" spans="1:13" x14ac:dyDescent="0.25">
      <c r="A1203" t="s">
        <v>34</v>
      </c>
      <c r="D1203" t="s">
        <v>42</v>
      </c>
      <c r="E1203">
        <v>2016</v>
      </c>
      <c r="F1203">
        <v>1</v>
      </c>
      <c r="G1203">
        <v>11</v>
      </c>
      <c r="H1203">
        <v>3</v>
      </c>
      <c r="I1203">
        <v>111</v>
      </c>
      <c r="K1203" s="13">
        <v>45796</v>
      </c>
      <c r="L1203" t="s">
        <v>688</v>
      </c>
    </row>
    <row r="1204" spans="1:13" x14ac:dyDescent="0.25">
      <c r="A1204" t="s">
        <v>34</v>
      </c>
      <c r="D1204" t="s">
        <v>42</v>
      </c>
      <c r="E1204">
        <v>2016</v>
      </c>
      <c r="F1204">
        <v>1</v>
      </c>
      <c r="G1204">
        <v>11</v>
      </c>
      <c r="H1204">
        <v>3</v>
      </c>
      <c r="I1204">
        <v>111</v>
      </c>
      <c r="K1204" s="13">
        <v>45796</v>
      </c>
      <c r="L1204" t="s">
        <v>689</v>
      </c>
    </row>
    <row r="1205" spans="1:13" x14ac:dyDescent="0.25">
      <c r="A1205" t="s">
        <v>34</v>
      </c>
      <c r="D1205" t="s">
        <v>42</v>
      </c>
      <c r="E1205">
        <v>2016</v>
      </c>
      <c r="F1205">
        <v>1</v>
      </c>
      <c r="G1205">
        <v>11</v>
      </c>
      <c r="H1205">
        <v>3</v>
      </c>
      <c r="I1205">
        <v>111</v>
      </c>
      <c r="K1205" s="13">
        <v>45820</v>
      </c>
      <c r="L1205" t="s">
        <v>687</v>
      </c>
      <c r="M1205">
        <v>2.8</v>
      </c>
    </row>
    <row r="1206" spans="1:13" x14ac:dyDescent="0.25">
      <c r="A1206" t="s">
        <v>34</v>
      </c>
      <c r="D1206" t="s">
        <v>42</v>
      </c>
      <c r="E1206">
        <v>2016</v>
      </c>
      <c r="F1206">
        <v>1</v>
      </c>
      <c r="G1206">
        <v>11</v>
      </c>
      <c r="H1206">
        <v>3</v>
      </c>
      <c r="I1206">
        <v>111</v>
      </c>
      <c r="K1206" s="13">
        <v>45820</v>
      </c>
      <c r="L1206" t="s">
        <v>688</v>
      </c>
      <c r="M1206">
        <v>2.8</v>
      </c>
    </row>
    <row r="1207" spans="1:13" x14ac:dyDescent="0.25">
      <c r="A1207" t="s">
        <v>34</v>
      </c>
      <c r="D1207" t="s">
        <v>42</v>
      </c>
      <c r="E1207">
        <v>2016</v>
      </c>
      <c r="F1207">
        <v>1</v>
      </c>
      <c r="G1207">
        <v>11</v>
      </c>
      <c r="H1207">
        <v>3</v>
      </c>
      <c r="I1207">
        <v>111</v>
      </c>
      <c r="K1207" s="13">
        <v>45820</v>
      </c>
      <c r="L1207" t="s">
        <v>689</v>
      </c>
      <c r="M1207">
        <v>2.7</v>
      </c>
    </row>
    <row r="1208" spans="1:13" x14ac:dyDescent="0.25">
      <c r="A1208" t="s">
        <v>34</v>
      </c>
      <c r="D1208" t="s">
        <v>42</v>
      </c>
      <c r="E1208">
        <v>2016</v>
      </c>
      <c r="F1208">
        <v>1</v>
      </c>
      <c r="G1208">
        <v>11</v>
      </c>
      <c r="H1208">
        <v>3</v>
      </c>
      <c r="I1208">
        <v>111</v>
      </c>
      <c r="K1208" s="13">
        <v>45825</v>
      </c>
      <c r="L1208" t="s">
        <v>687</v>
      </c>
    </row>
    <row r="1209" spans="1:13" x14ac:dyDescent="0.25">
      <c r="A1209" t="s">
        <v>34</v>
      </c>
      <c r="D1209" t="s">
        <v>42</v>
      </c>
      <c r="E1209">
        <v>2016</v>
      </c>
      <c r="F1209">
        <v>1</v>
      </c>
      <c r="G1209">
        <v>11</v>
      </c>
      <c r="H1209">
        <v>3</v>
      </c>
      <c r="I1209">
        <v>111</v>
      </c>
      <c r="K1209" s="13">
        <v>45825</v>
      </c>
      <c r="L1209" t="s">
        <v>688</v>
      </c>
    </row>
    <row r="1210" spans="1:13" x14ac:dyDescent="0.25">
      <c r="A1210" t="s">
        <v>34</v>
      </c>
      <c r="D1210" t="s">
        <v>42</v>
      </c>
      <c r="E1210">
        <v>2016</v>
      </c>
      <c r="F1210">
        <v>1</v>
      </c>
      <c r="G1210">
        <v>11</v>
      </c>
      <c r="H1210">
        <v>3</v>
      </c>
      <c r="I1210">
        <v>111</v>
      </c>
      <c r="K1210" s="13">
        <v>45825</v>
      </c>
      <c r="L1210" t="s">
        <v>689</v>
      </c>
    </row>
    <row r="1211" spans="1:13" x14ac:dyDescent="0.25">
      <c r="A1211" t="s">
        <v>34</v>
      </c>
      <c r="D1211" t="s">
        <v>42</v>
      </c>
      <c r="E1211">
        <v>2016</v>
      </c>
      <c r="F1211">
        <v>1</v>
      </c>
      <c r="G1211">
        <v>11</v>
      </c>
      <c r="H1211">
        <v>3</v>
      </c>
      <c r="I1211">
        <v>111</v>
      </c>
      <c r="K1211" s="13">
        <v>45827</v>
      </c>
      <c r="L1211" t="s">
        <v>687</v>
      </c>
      <c r="M1211">
        <v>3.2</v>
      </c>
    </row>
    <row r="1212" spans="1:13" x14ac:dyDescent="0.25">
      <c r="A1212" t="s">
        <v>34</v>
      </c>
      <c r="D1212" t="s">
        <v>42</v>
      </c>
      <c r="E1212">
        <v>2016</v>
      </c>
      <c r="F1212">
        <v>1</v>
      </c>
      <c r="G1212">
        <v>11</v>
      </c>
      <c r="H1212">
        <v>3</v>
      </c>
      <c r="I1212">
        <v>111</v>
      </c>
      <c r="K1212" s="13">
        <v>45827</v>
      </c>
      <c r="L1212" t="s">
        <v>688</v>
      </c>
      <c r="M1212">
        <v>3.1</v>
      </c>
    </row>
    <row r="1213" spans="1:13" x14ac:dyDescent="0.25">
      <c r="A1213" t="s">
        <v>34</v>
      </c>
      <c r="D1213" t="s">
        <v>42</v>
      </c>
      <c r="E1213">
        <v>2016</v>
      </c>
      <c r="F1213">
        <v>1</v>
      </c>
      <c r="G1213">
        <v>11</v>
      </c>
      <c r="H1213">
        <v>3</v>
      </c>
      <c r="I1213">
        <v>111</v>
      </c>
      <c r="K1213" s="13">
        <v>45827</v>
      </c>
      <c r="L1213" t="s">
        <v>689</v>
      </c>
      <c r="M1213">
        <v>3.1</v>
      </c>
    </row>
    <row r="1214" spans="1:13" x14ac:dyDescent="0.25">
      <c r="A1214" t="s">
        <v>34</v>
      </c>
      <c r="D1214" t="s">
        <v>42</v>
      </c>
      <c r="E1214">
        <v>2016</v>
      </c>
      <c r="F1214">
        <v>1</v>
      </c>
      <c r="G1214">
        <v>11</v>
      </c>
      <c r="H1214">
        <v>3</v>
      </c>
      <c r="I1214">
        <v>111</v>
      </c>
      <c r="K1214" s="13">
        <v>45859</v>
      </c>
      <c r="L1214" t="s">
        <v>687</v>
      </c>
      <c r="M1214">
        <v>6.1</v>
      </c>
    </row>
    <row r="1215" spans="1:13" x14ac:dyDescent="0.25">
      <c r="A1215" t="s">
        <v>34</v>
      </c>
      <c r="D1215" t="s">
        <v>42</v>
      </c>
      <c r="E1215">
        <v>2016</v>
      </c>
      <c r="F1215">
        <v>1</v>
      </c>
      <c r="G1215">
        <v>11</v>
      </c>
      <c r="H1215">
        <v>3</v>
      </c>
      <c r="I1215">
        <v>111</v>
      </c>
      <c r="K1215" s="13">
        <v>45859</v>
      </c>
      <c r="L1215" t="s">
        <v>688</v>
      </c>
      <c r="M1215">
        <v>6.1</v>
      </c>
    </row>
    <row r="1216" spans="1:13" x14ac:dyDescent="0.25">
      <c r="A1216" t="s">
        <v>34</v>
      </c>
      <c r="D1216" t="s">
        <v>42</v>
      </c>
      <c r="E1216">
        <v>2016</v>
      </c>
      <c r="F1216">
        <v>1</v>
      </c>
      <c r="G1216">
        <v>11</v>
      </c>
      <c r="H1216">
        <v>3</v>
      </c>
      <c r="I1216">
        <v>111</v>
      </c>
      <c r="K1216" s="13">
        <v>45859</v>
      </c>
      <c r="L1216" t="s">
        <v>689</v>
      </c>
      <c r="M1216">
        <v>6.2</v>
      </c>
    </row>
    <row r="1217" spans="1:13" x14ac:dyDescent="0.25">
      <c r="A1217" t="s">
        <v>34</v>
      </c>
      <c r="D1217" t="s">
        <v>42</v>
      </c>
      <c r="E1217">
        <v>2016</v>
      </c>
      <c r="F1217">
        <v>1</v>
      </c>
      <c r="G1217">
        <v>11</v>
      </c>
      <c r="H1217">
        <v>3</v>
      </c>
      <c r="I1217">
        <v>111</v>
      </c>
      <c r="K1217" s="13">
        <v>45868</v>
      </c>
      <c r="L1217" t="s">
        <v>687</v>
      </c>
      <c r="M1217">
        <v>6.8</v>
      </c>
    </row>
    <row r="1218" spans="1:13" x14ac:dyDescent="0.25">
      <c r="A1218" t="s">
        <v>34</v>
      </c>
      <c r="D1218" t="s">
        <v>42</v>
      </c>
      <c r="E1218">
        <v>2016</v>
      </c>
      <c r="F1218">
        <v>1</v>
      </c>
      <c r="G1218">
        <v>11</v>
      </c>
      <c r="H1218">
        <v>3</v>
      </c>
      <c r="I1218">
        <v>111</v>
      </c>
      <c r="K1218" s="13">
        <v>45868</v>
      </c>
      <c r="L1218" t="s">
        <v>688</v>
      </c>
      <c r="M1218">
        <v>6.9</v>
      </c>
    </row>
    <row r="1219" spans="1:13" x14ac:dyDescent="0.25">
      <c r="A1219" t="s">
        <v>34</v>
      </c>
      <c r="D1219" t="s">
        <v>42</v>
      </c>
      <c r="E1219">
        <v>2016</v>
      </c>
      <c r="F1219">
        <v>1</v>
      </c>
      <c r="G1219">
        <v>11</v>
      </c>
      <c r="H1219">
        <v>3</v>
      </c>
      <c r="I1219">
        <v>111</v>
      </c>
      <c r="K1219" s="13">
        <v>45868</v>
      </c>
      <c r="L1219" t="s">
        <v>689</v>
      </c>
      <c r="M1219">
        <v>7.1</v>
      </c>
    </row>
    <row r="1220" spans="1:13" x14ac:dyDescent="0.25">
      <c r="A1220" t="s">
        <v>34</v>
      </c>
      <c r="D1220" t="s">
        <v>42</v>
      </c>
      <c r="E1220">
        <v>2016</v>
      </c>
      <c r="F1220">
        <v>1</v>
      </c>
      <c r="G1220">
        <v>11</v>
      </c>
      <c r="H1220">
        <v>3</v>
      </c>
      <c r="I1220">
        <v>111</v>
      </c>
      <c r="K1220" s="13">
        <v>45875</v>
      </c>
      <c r="L1220" t="s">
        <v>687</v>
      </c>
    </row>
    <row r="1221" spans="1:13" x14ac:dyDescent="0.25">
      <c r="A1221" t="s">
        <v>34</v>
      </c>
      <c r="D1221" t="s">
        <v>42</v>
      </c>
      <c r="E1221">
        <v>2016</v>
      </c>
      <c r="F1221">
        <v>1</v>
      </c>
      <c r="G1221">
        <v>11</v>
      </c>
      <c r="H1221">
        <v>3</v>
      </c>
      <c r="I1221">
        <v>111</v>
      </c>
      <c r="K1221" s="13">
        <v>45875</v>
      </c>
      <c r="L1221" t="s">
        <v>688</v>
      </c>
    </row>
    <row r="1222" spans="1:13" x14ac:dyDescent="0.25">
      <c r="A1222" t="s">
        <v>34</v>
      </c>
      <c r="D1222" t="s">
        <v>42</v>
      </c>
      <c r="E1222">
        <v>2016</v>
      </c>
      <c r="F1222">
        <v>1</v>
      </c>
      <c r="G1222">
        <v>11</v>
      </c>
      <c r="H1222">
        <v>3</v>
      </c>
      <c r="I1222">
        <v>111</v>
      </c>
      <c r="K1222" s="13">
        <v>45875</v>
      </c>
      <c r="L1222" t="s">
        <v>689</v>
      </c>
    </row>
    <row r="1223" spans="1:13" x14ac:dyDescent="0.25">
      <c r="A1223" t="s">
        <v>34</v>
      </c>
      <c r="D1223" t="s">
        <v>42</v>
      </c>
      <c r="E1223">
        <v>2016</v>
      </c>
      <c r="F1223">
        <v>1</v>
      </c>
      <c r="G1223">
        <v>11</v>
      </c>
      <c r="H1223">
        <v>3</v>
      </c>
      <c r="I1223">
        <v>111</v>
      </c>
      <c r="K1223" s="13">
        <v>45880</v>
      </c>
      <c r="L1223" t="s">
        <v>687</v>
      </c>
      <c r="M1223">
        <v>7.9</v>
      </c>
    </row>
    <row r="1224" spans="1:13" x14ac:dyDescent="0.25">
      <c r="A1224" t="s">
        <v>34</v>
      </c>
      <c r="D1224" t="s">
        <v>42</v>
      </c>
      <c r="E1224">
        <v>2016</v>
      </c>
      <c r="F1224">
        <v>1</v>
      </c>
      <c r="G1224">
        <v>11</v>
      </c>
      <c r="H1224">
        <v>3</v>
      </c>
      <c r="I1224">
        <v>111</v>
      </c>
      <c r="K1224" s="13">
        <v>45880</v>
      </c>
      <c r="L1224" t="s">
        <v>688</v>
      </c>
      <c r="M1224">
        <v>7.9</v>
      </c>
    </row>
    <row r="1225" spans="1:13" x14ac:dyDescent="0.25">
      <c r="A1225" t="s">
        <v>34</v>
      </c>
      <c r="D1225" t="s">
        <v>42</v>
      </c>
      <c r="E1225">
        <v>2016</v>
      </c>
      <c r="F1225">
        <v>1</v>
      </c>
      <c r="G1225">
        <v>11</v>
      </c>
      <c r="H1225">
        <v>3</v>
      </c>
      <c r="I1225">
        <v>111</v>
      </c>
      <c r="K1225" s="13">
        <v>45880</v>
      </c>
      <c r="L1225" t="s">
        <v>689</v>
      </c>
      <c r="M1225">
        <v>8.1</v>
      </c>
    </row>
    <row r="1226" spans="1:13" x14ac:dyDescent="0.25">
      <c r="A1226" t="s">
        <v>34</v>
      </c>
      <c r="D1226" t="s">
        <v>42</v>
      </c>
      <c r="E1226">
        <v>2016</v>
      </c>
      <c r="F1226">
        <v>1</v>
      </c>
      <c r="G1226">
        <v>11</v>
      </c>
      <c r="H1226">
        <v>3</v>
      </c>
      <c r="I1226">
        <v>111</v>
      </c>
      <c r="K1226" s="13">
        <v>45897</v>
      </c>
      <c r="L1226" t="s">
        <v>687</v>
      </c>
      <c r="M1226">
        <v>9.1</v>
      </c>
    </row>
    <row r="1227" spans="1:13" x14ac:dyDescent="0.25">
      <c r="A1227" t="s">
        <v>34</v>
      </c>
      <c r="D1227" t="s">
        <v>42</v>
      </c>
      <c r="E1227">
        <v>2016</v>
      </c>
      <c r="F1227">
        <v>1</v>
      </c>
      <c r="G1227">
        <v>11</v>
      </c>
      <c r="H1227">
        <v>3</v>
      </c>
      <c r="I1227">
        <v>111</v>
      </c>
      <c r="K1227" s="13">
        <v>45897</v>
      </c>
      <c r="L1227" t="s">
        <v>688</v>
      </c>
      <c r="M1227">
        <v>9.3000000000000007</v>
      </c>
    </row>
    <row r="1228" spans="1:13" x14ac:dyDescent="0.25">
      <c r="A1228" t="s">
        <v>34</v>
      </c>
      <c r="D1228" t="s">
        <v>42</v>
      </c>
      <c r="E1228">
        <v>2016</v>
      </c>
      <c r="F1228">
        <v>1</v>
      </c>
      <c r="G1228">
        <v>11</v>
      </c>
      <c r="H1228">
        <v>3</v>
      </c>
      <c r="I1228">
        <v>111</v>
      </c>
      <c r="K1228" s="13">
        <v>45897</v>
      </c>
      <c r="L1228" t="s">
        <v>689</v>
      </c>
      <c r="M1228">
        <v>9.1999999999999993</v>
      </c>
    </row>
    <row r="1229" spans="1:13" x14ac:dyDescent="0.25">
      <c r="A1229" t="s">
        <v>34</v>
      </c>
      <c r="D1229" t="s">
        <v>42</v>
      </c>
      <c r="E1229">
        <v>2016</v>
      </c>
      <c r="F1229">
        <v>1</v>
      </c>
      <c r="G1229">
        <v>11</v>
      </c>
      <c r="H1229">
        <v>3</v>
      </c>
      <c r="I1229">
        <v>111</v>
      </c>
      <c r="K1229" s="13">
        <v>45911</v>
      </c>
      <c r="L1229" t="s">
        <v>687</v>
      </c>
    </row>
    <row r="1230" spans="1:13" x14ac:dyDescent="0.25">
      <c r="A1230" t="s">
        <v>34</v>
      </c>
      <c r="D1230" t="s">
        <v>42</v>
      </c>
      <c r="E1230">
        <v>2016</v>
      </c>
      <c r="F1230">
        <v>1</v>
      </c>
      <c r="G1230">
        <v>11</v>
      </c>
      <c r="H1230">
        <v>3</v>
      </c>
      <c r="I1230">
        <v>111</v>
      </c>
      <c r="K1230" s="13">
        <v>45911</v>
      </c>
      <c r="L1230" t="s">
        <v>688</v>
      </c>
    </row>
    <row r="1231" spans="1:13" x14ac:dyDescent="0.25">
      <c r="A1231" t="s">
        <v>34</v>
      </c>
      <c r="D1231" t="s">
        <v>42</v>
      </c>
      <c r="E1231">
        <v>2016</v>
      </c>
      <c r="F1231">
        <v>1</v>
      </c>
      <c r="G1231">
        <v>11</v>
      </c>
      <c r="H1231">
        <v>3</v>
      </c>
      <c r="I1231">
        <v>111</v>
      </c>
      <c r="K1231" s="13">
        <v>45911</v>
      </c>
      <c r="L1231" t="s">
        <v>689</v>
      </c>
    </row>
    <row r="1232" spans="1:13" x14ac:dyDescent="0.25">
      <c r="A1232" t="s">
        <v>34</v>
      </c>
      <c r="D1232" t="s">
        <v>39</v>
      </c>
      <c r="E1232">
        <v>2001</v>
      </c>
      <c r="F1232">
        <v>2</v>
      </c>
      <c r="G1232">
        <v>11</v>
      </c>
      <c r="H1232">
        <v>3</v>
      </c>
      <c r="I1232">
        <v>127</v>
      </c>
      <c r="K1232" s="13">
        <v>45796</v>
      </c>
      <c r="L1232" t="s">
        <v>687</v>
      </c>
    </row>
    <row r="1233" spans="1:13" x14ac:dyDescent="0.25">
      <c r="A1233" t="s">
        <v>34</v>
      </c>
      <c r="D1233" t="s">
        <v>39</v>
      </c>
      <c r="E1233">
        <v>2001</v>
      </c>
      <c r="F1233">
        <v>2</v>
      </c>
      <c r="G1233">
        <v>11</v>
      </c>
      <c r="H1233">
        <v>3</v>
      </c>
      <c r="I1233">
        <v>127</v>
      </c>
      <c r="K1233" s="13">
        <v>45796</v>
      </c>
      <c r="L1233" t="s">
        <v>688</v>
      </c>
    </row>
    <row r="1234" spans="1:13" x14ac:dyDescent="0.25">
      <c r="A1234" t="s">
        <v>34</v>
      </c>
      <c r="D1234" t="s">
        <v>39</v>
      </c>
      <c r="E1234">
        <v>2001</v>
      </c>
      <c r="F1234">
        <v>2</v>
      </c>
      <c r="G1234">
        <v>11</v>
      </c>
      <c r="H1234">
        <v>3</v>
      </c>
      <c r="I1234">
        <v>127</v>
      </c>
      <c r="K1234" s="13">
        <v>45796</v>
      </c>
      <c r="L1234" t="s">
        <v>689</v>
      </c>
    </row>
    <row r="1235" spans="1:13" x14ac:dyDescent="0.25">
      <c r="A1235" t="s">
        <v>34</v>
      </c>
      <c r="D1235" t="s">
        <v>39</v>
      </c>
      <c r="E1235">
        <v>2001</v>
      </c>
      <c r="F1235">
        <v>2</v>
      </c>
      <c r="G1235">
        <v>11</v>
      </c>
      <c r="H1235">
        <v>3</v>
      </c>
      <c r="I1235">
        <v>127</v>
      </c>
      <c r="K1235" s="13">
        <v>45820</v>
      </c>
      <c r="L1235" t="s">
        <v>687</v>
      </c>
      <c r="M1235">
        <v>3.7</v>
      </c>
    </row>
    <row r="1236" spans="1:13" x14ac:dyDescent="0.25">
      <c r="A1236" t="s">
        <v>34</v>
      </c>
      <c r="D1236" t="s">
        <v>39</v>
      </c>
      <c r="E1236">
        <v>2001</v>
      </c>
      <c r="F1236">
        <v>2</v>
      </c>
      <c r="G1236">
        <v>11</v>
      </c>
      <c r="H1236">
        <v>3</v>
      </c>
      <c r="I1236">
        <v>127</v>
      </c>
      <c r="K1236" s="13">
        <v>45820</v>
      </c>
      <c r="L1236" t="s">
        <v>688</v>
      </c>
      <c r="M1236">
        <v>3.7</v>
      </c>
    </row>
    <row r="1237" spans="1:13" x14ac:dyDescent="0.25">
      <c r="A1237" t="s">
        <v>34</v>
      </c>
      <c r="D1237" t="s">
        <v>39</v>
      </c>
      <c r="E1237">
        <v>2001</v>
      </c>
      <c r="F1237">
        <v>2</v>
      </c>
      <c r="G1237">
        <v>11</v>
      </c>
      <c r="H1237">
        <v>3</v>
      </c>
      <c r="I1237">
        <v>127</v>
      </c>
      <c r="K1237" s="13">
        <v>45820</v>
      </c>
      <c r="L1237" t="s">
        <v>689</v>
      </c>
      <c r="M1237">
        <v>4.5</v>
      </c>
    </row>
    <row r="1238" spans="1:13" x14ac:dyDescent="0.25">
      <c r="A1238" t="s">
        <v>34</v>
      </c>
      <c r="D1238" t="s">
        <v>39</v>
      </c>
      <c r="E1238">
        <v>2001</v>
      </c>
      <c r="F1238">
        <v>2</v>
      </c>
      <c r="G1238">
        <v>11</v>
      </c>
      <c r="H1238">
        <v>3</v>
      </c>
      <c r="I1238">
        <v>127</v>
      </c>
      <c r="K1238" s="13">
        <v>45825</v>
      </c>
      <c r="L1238" t="s">
        <v>687</v>
      </c>
    </row>
    <row r="1239" spans="1:13" x14ac:dyDescent="0.25">
      <c r="A1239" t="s">
        <v>34</v>
      </c>
      <c r="D1239" t="s">
        <v>39</v>
      </c>
      <c r="E1239">
        <v>2001</v>
      </c>
      <c r="F1239">
        <v>2</v>
      </c>
      <c r="G1239">
        <v>11</v>
      </c>
      <c r="H1239">
        <v>3</v>
      </c>
      <c r="I1239">
        <v>127</v>
      </c>
      <c r="K1239" s="13">
        <v>45825</v>
      </c>
      <c r="L1239" t="s">
        <v>688</v>
      </c>
    </row>
    <row r="1240" spans="1:13" x14ac:dyDescent="0.25">
      <c r="A1240" t="s">
        <v>34</v>
      </c>
      <c r="D1240" t="s">
        <v>39</v>
      </c>
      <c r="E1240">
        <v>2001</v>
      </c>
      <c r="F1240">
        <v>2</v>
      </c>
      <c r="G1240">
        <v>11</v>
      </c>
      <c r="H1240">
        <v>3</v>
      </c>
      <c r="I1240">
        <v>127</v>
      </c>
      <c r="K1240" s="13">
        <v>45825</v>
      </c>
      <c r="L1240" t="s">
        <v>689</v>
      </c>
    </row>
    <row r="1241" spans="1:13" x14ac:dyDescent="0.25">
      <c r="A1241" t="s">
        <v>34</v>
      </c>
      <c r="D1241" t="s">
        <v>39</v>
      </c>
      <c r="E1241">
        <v>2001</v>
      </c>
      <c r="F1241">
        <v>2</v>
      </c>
      <c r="G1241">
        <v>11</v>
      </c>
      <c r="H1241">
        <v>3</v>
      </c>
      <c r="I1241">
        <v>127</v>
      </c>
      <c r="K1241" s="13">
        <v>45827</v>
      </c>
      <c r="L1241" t="s">
        <v>687</v>
      </c>
      <c r="M1241">
        <v>4.4000000000000004</v>
      </c>
    </row>
    <row r="1242" spans="1:13" x14ac:dyDescent="0.25">
      <c r="A1242" t="s">
        <v>34</v>
      </c>
      <c r="D1242" t="s">
        <v>39</v>
      </c>
      <c r="E1242">
        <v>2001</v>
      </c>
      <c r="F1242">
        <v>2</v>
      </c>
      <c r="G1242">
        <v>11</v>
      </c>
      <c r="H1242">
        <v>3</v>
      </c>
      <c r="I1242">
        <v>127</v>
      </c>
      <c r="K1242" s="13">
        <v>45827</v>
      </c>
      <c r="L1242" t="s">
        <v>688</v>
      </c>
      <c r="M1242">
        <v>3.1</v>
      </c>
    </row>
    <row r="1243" spans="1:13" x14ac:dyDescent="0.25">
      <c r="A1243" t="s">
        <v>34</v>
      </c>
      <c r="D1243" t="s">
        <v>39</v>
      </c>
      <c r="E1243">
        <v>2001</v>
      </c>
      <c r="F1243">
        <v>2</v>
      </c>
      <c r="G1243">
        <v>11</v>
      </c>
      <c r="H1243">
        <v>3</v>
      </c>
      <c r="I1243">
        <v>127</v>
      </c>
      <c r="K1243" s="13">
        <v>45827</v>
      </c>
      <c r="L1243" t="s">
        <v>689</v>
      </c>
      <c r="M1243">
        <v>4.4000000000000004</v>
      </c>
    </row>
    <row r="1244" spans="1:13" x14ac:dyDescent="0.25">
      <c r="A1244" t="s">
        <v>34</v>
      </c>
      <c r="D1244" t="s">
        <v>39</v>
      </c>
      <c r="E1244">
        <v>2001</v>
      </c>
      <c r="F1244">
        <v>2</v>
      </c>
      <c r="G1244">
        <v>11</v>
      </c>
      <c r="H1244">
        <v>3</v>
      </c>
      <c r="I1244">
        <v>127</v>
      </c>
      <c r="K1244" s="13">
        <v>45859</v>
      </c>
      <c r="L1244" t="s">
        <v>687</v>
      </c>
      <c r="M1244">
        <v>5.3</v>
      </c>
    </row>
    <row r="1245" spans="1:13" x14ac:dyDescent="0.25">
      <c r="A1245" t="s">
        <v>34</v>
      </c>
      <c r="D1245" t="s">
        <v>39</v>
      </c>
      <c r="E1245">
        <v>2001</v>
      </c>
      <c r="F1245">
        <v>2</v>
      </c>
      <c r="G1245">
        <v>11</v>
      </c>
      <c r="H1245">
        <v>3</v>
      </c>
      <c r="I1245">
        <v>127</v>
      </c>
      <c r="K1245" s="13">
        <v>45859</v>
      </c>
      <c r="L1245" t="s">
        <v>688</v>
      </c>
      <c r="M1245">
        <v>6.1</v>
      </c>
    </row>
    <row r="1246" spans="1:13" x14ac:dyDescent="0.25">
      <c r="A1246" t="s">
        <v>34</v>
      </c>
      <c r="D1246" t="s">
        <v>39</v>
      </c>
      <c r="E1246">
        <v>2001</v>
      </c>
      <c r="F1246">
        <v>2</v>
      </c>
      <c r="G1246">
        <v>11</v>
      </c>
      <c r="H1246">
        <v>3</v>
      </c>
      <c r="I1246">
        <v>127</v>
      </c>
      <c r="K1246" s="13">
        <v>45859</v>
      </c>
      <c r="L1246" t="s">
        <v>689</v>
      </c>
      <c r="M1246">
        <v>5.5</v>
      </c>
    </row>
    <row r="1247" spans="1:13" x14ac:dyDescent="0.25">
      <c r="A1247" t="s">
        <v>34</v>
      </c>
      <c r="D1247" t="s">
        <v>39</v>
      </c>
      <c r="E1247">
        <v>2001</v>
      </c>
      <c r="F1247">
        <v>2</v>
      </c>
      <c r="G1247">
        <v>11</v>
      </c>
      <c r="H1247">
        <v>3</v>
      </c>
      <c r="I1247">
        <v>127</v>
      </c>
      <c r="K1247" s="13">
        <v>45868</v>
      </c>
      <c r="L1247" t="s">
        <v>687</v>
      </c>
      <c r="M1247">
        <v>6.1</v>
      </c>
    </row>
    <row r="1248" spans="1:13" x14ac:dyDescent="0.25">
      <c r="A1248" t="s">
        <v>34</v>
      </c>
      <c r="D1248" t="s">
        <v>39</v>
      </c>
      <c r="E1248">
        <v>2001</v>
      </c>
      <c r="F1248">
        <v>2</v>
      </c>
      <c r="G1248">
        <v>11</v>
      </c>
      <c r="H1248">
        <v>3</v>
      </c>
      <c r="I1248">
        <v>127</v>
      </c>
      <c r="K1248" s="13">
        <v>45868</v>
      </c>
      <c r="L1248" t="s">
        <v>688</v>
      </c>
      <c r="M1248">
        <v>6.2</v>
      </c>
    </row>
    <row r="1249" spans="1:13" x14ac:dyDescent="0.25">
      <c r="A1249" t="s">
        <v>34</v>
      </c>
      <c r="D1249" t="s">
        <v>39</v>
      </c>
      <c r="E1249">
        <v>2001</v>
      </c>
      <c r="F1249">
        <v>2</v>
      </c>
      <c r="G1249">
        <v>11</v>
      </c>
      <c r="H1249">
        <v>3</v>
      </c>
      <c r="I1249">
        <v>127</v>
      </c>
      <c r="K1249" s="13">
        <v>45868</v>
      </c>
      <c r="L1249" t="s">
        <v>689</v>
      </c>
      <c r="M1249">
        <v>6.9</v>
      </c>
    </row>
    <row r="1250" spans="1:13" x14ac:dyDescent="0.25">
      <c r="A1250" t="s">
        <v>34</v>
      </c>
      <c r="D1250" t="s">
        <v>39</v>
      </c>
      <c r="E1250">
        <v>2001</v>
      </c>
      <c r="F1250">
        <v>2</v>
      </c>
      <c r="G1250">
        <v>11</v>
      </c>
      <c r="H1250">
        <v>3</v>
      </c>
      <c r="I1250">
        <v>127</v>
      </c>
      <c r="K1250" s="13">
        <v>45875</v>
      </c>
      <c r="L1250" t="s">
        <v>687</v>
      </c>
    </row>
    <row r="1251" spans="1:13" x14ac:dyDescent="0.25">
      <c r="A1251" t="s">
        <v>34</v>
      </c>
      <c r="D1251" t="s">
        <v>39</v>
      </c>
      <c r="E1251">
        <v>2001</v>
      </c>
      <c r="F1251">
        <v>2</v>
      </c>
      <c r="G1251">
        <v>11</v>
      </c>
      <c r="H1251">
        <v>3</v>
      </c>
      <c r="I1251">
        <v>127</v>
      </c>
      <c r="K1251" s="13">
        <v>45875</v>
      </c>
      <c r="L1251" t="s">
        <v>688</v>
      </c>
    </row>
    <row r="1252" spans="1:13" x14ac:dyDescent="0.25">
      <c r="A1252" t="s">
        <v>34</v>
      </c>
      <c r="D1252" t="s">
        <v>39</v>
      </c>
      <c r="E1252">
        <v>2001</v>
      </c>
      <c r="F1252">
        <v>2</v>
      </c>
      <c r="G1252">
        <v>11</v>
      </c>
      <c r="H1252">
        <v>3</v>
      </c>
      <c r="I1252">
        <v>127</v>
      </c>
      <c r="K1252" s="13">
        <v>45875</v>
      </c>
      <c r="L1252" t="s">
        <v>689</v>
      </c>
    </row>
    <row r="1253" spans="1:13" x14ac:dyDescent="0.25">
      <c r="A1253" t="s">
        <v>34</v>
      </c>
      <c r="D1253" t="s">
        <v>39</v>
      </c>
      <c r="E1253">
        <v>2001</v>
      </c>
      <c r="F1253">
        <v>2</v>
      </c>
      <c r="G1253">
        <v>11</v>
      </c>
      <c r="H1253">
        <v>3</v>
      </c>
      <c r="I1253">
        <v>127</v>
      </c>
      <c r="K1253" s="13">
        <v>45880</v>
      </c>
      <c r="L1253" t="s">
        <v>687</v>
      </c>
      <c r="M1253">
        <v>7.1</v>
      </c>
    </row>
    <row r="1254" spans="1:13" x14ac:dyDescent="0.25">
      <c r="A1254" t="s">
        <v>34</v>
      </c>
      <c r="D1254" t="s">
        <v>39</v>
      </c>
      <c r="E1254">
        <v>2001</v>
      </c>
      <c r="F1254">
        <v>2</v>
      </c>
      <c r="G1254">
        <v>11</v>
      </c>
      <c r="H1254">
        <v>3</v>
      </c>
      <c r="I1254">
        <v>127</v>
      </c>
      <c r="K1254" s="13">
        <v>45880</v>
      </c>
      <c r="L1254" t="s">
        <v>688</v>
      </c>
      <c r="M1254">
        <v>7.9</v>
      </c>
    </row>
    <row r="1255" spans="1:13" x14ac:dyDescent="0.25">
      <c r="A1255" t="s">
        <v>34</v>
      </c>
      <c r="D1255" t="s">
        <v>39</v>
      </c>
      <c r="E1255">
        <v>2001</v>
      </c>
      <c r="F1255">
        <v>2</v>
      </c>
      <c r="G1255">
        <v>11</v>
      </c>
      <c r="H1255">
        <v>3</v>
      </c>
      <c r="I1255">
        <v>127</v>
      </c>
      <c r="K1255" s="13">
        <v>45880</v>
      </c>
      <c r="L1255" t="s">
        <v>689</v>
      </c>
    </row>
    <row r="1256" spans="1:13" x14ac:dyDescent="0.25">
      <c r="A1256" t="s">
        <v>34</v>
      </c>
      <c r="D1256" t="s">
        <v>39</v>
      </c>
      <c r="E1256">
        <v>2001</v>
      </c>
      <c r="F1256">
        <v>2</v>
      </c>
      <c r="G1256">
        <v>11</v>
      </c>
      <c r="H1256">
        <v>3</v>
      </c>
      <c r="I1256">
        <v>127</v>
      </c>
      <c r="K1256" s="13">
        <v>45897</v>
      </c>
      <c r="L1256" t="s">
        <v>687</v>
      </c>
      <c r="M1256">
        <v>8.8000000000000007</v>
      </c>
    </row>
    <row r="1257" spans="1:13" x14ac:dyDescent="0.25">
      <c r="A1257" t="s">
        <v>34</v>
      </c>
      <c r="D1257" t="s">
        <v>39</v>
      </c>
      <c r="E1257">
        <v>2001</v>
      </c>
      <c r="F1257">
        <v>2</v>
      </c>
      <c r="G1257">
        <v>11</v>
      </c>
      <c r="H1257">
        <v>3</v>
      </c>
      <c r="I1257">
        <v>127</v>
      </c>
      <c r="K1257" s="13">
        <v>45897</v>
      </c>
      <c r="L1257" t="s">
        <v>688</v>
      </c>
      <c r="M1257">
        <v>9.1</v>
      </c>
    </row>
    <row r="1258" spans="1:13" x14ac:dyDescent="0.25">
      <c r="A1258" t="s">
        <v>34</v>
      </c>
      <c r="D1258" t="s">
        <v>39</v>
      </c>
      <c r="E1258">
        <v>2001</v>
      </c>
      <c r="F1258">
        <v>2</v>
      </c>
      <c r="G1258">
        <v>11</v>
      </c>
      <c r="H1258">
        <v>3</v>
      </c>
      <c r="I1258">
        <v>127</v>
      </c>
      <c r="K1258" s="13">
        <v>45897</v>
      </c>
      <c r="L1258" t="s">
        <v>689</v>
      </c>
      <c r="M1258">
        <v>9.3000000000000007</v>
      </c>
    </row>
    <row r="1259" spans="1:13" x14ac:dyDescent="0.25">
      <c r="A1259" t="s">
        <v>34</v>
      </c>
      <c r="D1259" t="s">
        <v>39</v>
      </c>
      <c r="E1259">
        <v>2001</v>
      </c>
      <c r="F1259">
        <v>2</v>
      </c>
      <c r="G1259">
        <v>11</v>
      </c>
      <c r="H1259">
        <v>3</v>
      </c>
      <c r="I1259">
        <v>127</v>
      </c>
      <c r="K1259" s="13">
        <v>45911</v>
      </c>
      <c r="L1259" t="s">
        <v>687</v>
      </c>
    </row>
    <row r="1260" spans="1:13" x14ac:dyDescent="0.25">
      <c r="A1260" t="s">
        <v>34</v>
      </c>
      <c r="D1260" t="s">
        <v>39</v>
      </c>
      <c r="E1260">
        <v>2001</v>
      </c>
      <c r="F1260">
        <v>2</v>
      </c>
      <c r="G1260">
        <v>11</v>
      </c>
      <c r="H1260">
        <v>3</v>
      </c>
      <c r="I1260">
        <v>127</v>
      </c>
      <c r="K1260" s="13">
        <v>45911</v>
      </c>
      <c r="L1260" t="s">
        <v>688</v>
      </c>
    </row>
    <row r="1261" spans="1:13" x14ac:dyDescent="0.25">
      <c r="A1261" t="s">
        <v>34</v>
      </c>
      <c r="D1261" t="s">
        <v>39</v>
      </c>
      <c r="E1261">
        <v>2001</v>
      </c>
      <c r="F1261">
        <v>2</v>
      </c>
      <c r="G1261">
        <v>11</v>
      </c>
      <c r="H1261">
        <v>3</v>
      </c>
      <c r="I1261">
        <v>127</v>
      </c>
      <c r="K1261" s="13">
        <v>45911</v>
      </c>
      <c r="L1261" t="s">
        <v>689</v>
      </c>
    </row>
    <row r="1262" spans="1:13" x14ac:dyDescent="0.25">
      <c r="A1262" t="s">
        <v>34</v>
      </c>
      <c r="D1262" t="s">
        <v>43</v>
      </c>
      <c r="E1262">
        <v>2020</v>
      </c>
      <c r="F1262">
        <v>3</v>
      </c>
      <c r="G1262">
        <v>11</v>
      </c>
      <c r="H1262">
        <v>3</v>
      </c>
      <c r="I1262">
        <v>143</v>
      </c>
      <c r="K1262" s="13">
        <v>45796</v>
      </c>
      <c r="L1262" t="s">
        <v>687</v>
      </c>
    </row>
    <row r="1263" spans="1:13" x14ac:dyDescent="0.25">
      <c r="A1263" t="s">
        <v>34</v>
      </c>
      <c r="D1263" t="s">
        <v>43</v>
      </c>
      <c r="E1263">
        <v>2020</v>
      </c>
      <c r="F1263">
        <v>3</v>
      </c>
      <c r="G1263">
        <v>11</v>
      </c>
      <c r="H1263">
        <v>3</v>
      </c>
      <c r="I1263">
        <v>143</v>
      </c>
      <c r="K1263" s="13">
        <v>45796</v>
      </c>
      <c r="L1263" t="s">
        <v>688</v>
      </c>
    </row>
    <row r="1264" spans="1:13" x14ac:dyDescent="0.25">
      <c r="A1264" t="s">
        <v>34</v>
      </c>
      <c r="D1264" t="s">
        <v>43</v>
      </c>
      <c r="E1264">
        <v>2020</v>
      </c>
      <c r="F1264">
        <v>3</v>
      </c>
      <c r="G1264">
        <v>11</v>
      </c>
      <c r="H1264">
        <v>3</v>
      </c>
      <c r="I1264">
        <v>143</v>
      </c>
      <c r="K1264" s="13">
        <v>45796</v>
      </c>
      <c r="L1264" t="s">
        <v>689</v>
      </c>
    </row>
    <row r="1265" spans="1:13" x14ac:dyDescent="0.25">
      <c r="A1265" t="s">
        <v>34</v>
      </c>
      <c r="D1265" t="s">
        <v>43</v>
      </c>
      <c r="E1265">
        <v>2020</v>
      </c>
      <c r="F1265">
        <v>3</v>
      </c>
      <c r="G1265">
        <v>11</v>
      </c>
      <c r="H1265">
        <v>3</v>
      </c>
      <c r="I1265">
        <v>143</v>
      </c>
      <c r="K1265" s="13">
        <v>45820</v>
      </c>
      <c r="L1265" t="s">
        <v>687</v>
      </c>
      <c r="M1265">
        <v>2.8</v>
      </c>
    </row>
    <row r="1266" spans="1:13" x14ac:dyDescent="0.25">
      <c r="A1266" t="s">
        <v>34</v>
      </c>
      <c r="D1266" t="s">
        <v>43</v>
      </c>
      <c r="E1266">
        <v>2020</v>
      </c>
      <c r="F1266">
        <v>3</v>
      </c>
      <c r="G1266">
        <v>11</v>
      </c>
      <c r="H1266">
        <v>3</v>
      </c>
      <c r="I1266">
        <v>143</v>
      </c>
      <c r="K1266" s="13">
        <v>45820</v>
      </c>
      <c r="L1266" t="s">
        <v>688</v>
      </c>
      <c r="M1266">
        <v>2.8</v>
      </c>
    </row>
    <row r="1267" spans="1:13" x14ac:dyDescent="0.25">
      <c r="A1267" t="s">
        <v>34</v>
      </c>
      <c r="D1267" t="s">
        <v>43</v>
      </c>
      <c r="E1267">
        <v>2020</v>
      </c>
      <c r="F1267">
        <v>3</v>
      </c>
      <c r="G1267">
        <v>11</v>
      </c>
      <c r="H1267">
        <v>3</v>
      </c>
      <c r="I1267">
        <v>143</v>
      </c>
      <c r="K1267" s="13">
        <v>45820</v>
      </c>
      <c r="L1267" t="s">
        <v>689</v>
      </c>
      <c r="M1267">
        <v>2.7</v>
      </c>
    </row>
    <row r="1268" spans="1:13" x14ac:dyDescent="0.25">
      <c r="A1268" t="s">
        <v>34</v>
      </c>
      <c r="D1268" t="s">
        <v>43</v>
      </c>
      <c r="E1268">
        <v>2020</v>
      </c>
      <c r="F1268">
        <v>3</v>
      </c>
      <c r="G1268">
        <v>11</v>
      </c>
      <c r="H1268">
        <v>3</v>
      </c>
      <c r="I1268">
        <v>143</v>
      </c>
      <c r="K1268" s="13">
        <v>45825</v>
      </c>
      <c r="L1268" t="s">
        <v>687</v>
      </c>
    </row>
    <row r="1269" spans="1:13" x14ac:dyDescent="0.25">
      <c r="A1269" t="s">
        <v>34</v>
      </c>
      <c r="D1269" t="s">
        <v>43</v>
      </c>
      <c r="E1269">
        <v>2020</v>
      </c>
      <c r="F1269">
        <v>3</v>
      </c>
      <c r="G1269">
        <v>11</v>
      </c>
      <c r="H1269">
        <v>3</v>
      </c>
      <c r="I1269">
        <v>143</v>
      </c>
      <c r="K1269" s="13">
        <v>45825</v>
      </c>
      <c r="L1269" t="s">
        <v>688</v>
      </c>
    </row>
    <row r="1270" spans="1:13" x14ac:dyDescent="0.25">
      <c r="A1270" t="s">
        <v>34</v>
      </c>
      <c r="D1270" t="s">
        <v>43</v>
      </c>
      <c r="E1270">
        <v>2020</v>
      </c>
      <c r="F1270">
        <v>3</v>
      </c>
      <c r="G1270">
        <v>11</v>
      </c>
      <c r="H1270">
        <v>3</v>
      </c>
      <c r="I1270">
        <v>143</v>
      </c>
      <c r="K1270" s="13">
        <v>45825</v>
      </c>
      <c r="L1270" t="s">
        <v>689</v>
      </c>
    </row>
    <row r="1271" spans="1:13" x14ac:dyDescent="0.25">
      <c r="A1271" t="s">
        <v>34</v>
      </c>
      <c r="D1271" t="s">
        <v>43</v>
      </c>
      <c r="E1271">
        <v>2020</v>
      </c>
      <c r="F1271">
        <v>3</v>
      </c>
      <c r="G1271">
        <v>11</v>
      </c>
      <c r="H1271">
        <v>3</v>
      </c>
      <c r="I1271">
        <v>143</v>
      </c>
      <c r="K1271" s="13">
        <v>45827</v>
      </c>
      <c r="L1271" t="s">
        <v>687</v>
      </c>
      <c r="M1271">
        <v>3.1</v>
      </c>
    </row>
    <row r="1272" spans="1:13" x14ac:dyDescent="0.25">
      <c r="A1272" t="s">
        <v>34</v>
      </c>
      <c r="D1272" t="s">
        <v>43</v>
      </c>
      <c r="E1272">
        <v>2020</v>
      </c>
      <c r="F1272">
        <v>3</v>
      </c>
      <c r="G1272">
        <v>11</v>
      </c>
      <c r="H1272">
        <v>3</v>
      </c>
      <c r="I1272">
        <v>143</v>
      </c>
      <c r="K1272" s="13">
        <v>45827</v>
      </c>
      <c r="L1272" t="s">
        <v>688</v>
      </c>
      <c r="M1272">
        <v>3.1</v>
      </c>
    </row>
    <row r="1273" spans="1:13" x14ac:dyDescent="0.25">
      <c r="A1273" t="s">
        <v>34</v>
      </c>
      <c r="D1273" t="s">
        <v>43</v>
      </c>
      <c r="E1273">
        <v>2020</v>
      </c>
      <c r="F1273">
        <v>3</v>
      </c>
      <c r="G1273">
        <v>11</v>
      </c>
      <c r="H1273">
        <v>3</v>
      </c>
      <c r="I1273">
        <v>143</v>
      </c>
      <c r="K1273" s="13">
        <v>45827</v>
      </c>
      <c r="L1273" t="s">
        <v>689</v>
      </c>
      <c r="M1273">
        <v>3.2</v>
      </c>
    </row>
    <row r="1274" spans="1:13" x14ac:dyDescent="0.25">
      <c r="A1274" t="s">
        <v>34</v>
      </c>
      <c r="D1274" t="s">
        <v>43</v>
      </c>
      <c r="E1274">
        <v>2020</v>
      </c>
      <c r="F1274">
        <v>3</v>
      </c>
      <c r="G1274">
        <v>11</v>
      </c>
      <c r="H1274">
        <v>3</v>
      </c>
      <c r="I1274">
        <v>143</v>
      </c>
      <c r="K1274" s="13">
        <v>45859</v>
      </c>
      <c r="L1274" t="s">
        <v>687</v>
      </c>
      <c r="M1274">
        <v>5.9</v>
      </c>
    </row>
    <row r="1275" spans="1:13" x14ac:dyDescent="0.25">
      <c r="A1275" t="s">
        <v>34</v>
      </c>
      <c r="D1275" t="s">
        <v>43</v>
      </c>
      <c r="E1275">
        <v>2020</v>
      </c>
      <c r="F1275">
        <v>3</v>
      </c>
      <c r="G1275">
        <v>11</v>
      </c>
      <c r="H1275">
        <v>3</v>
      </c>
      <c r="I1275">
        <v>143</v>
      </c>
      <c r="K1275" s="13">
        <v>45859</v>
      </c>
      <c r="L1275" t="s">
        <v>688</v>
      </c>
      <c r="M1275">
        <v>5.4</v>
      </c>
    </row>
    <row r="1276" spans="1:13" x14ac:dyDescent="0.25">
      <c r="A1276" t="s">
        <v>34</v>
      </c>
      <c r="D1276" t="s">
        <v>43</v>
      </c>
      <c r="E1276">
        <v>2020</v>
      </c>
      <c r="F1276">
        <v>3</v>
      </c>
      <c r="G1276">
        <v>11</v>
      </c>
      <c r="H1276">
        <v>3</v>
      </c>
      <c r="I1276">
        <v>143</v>
      </c>
      <c r="K1276" s="13">
        <v>45859</v>
      </c>
      <c r="L1276" t="s">
        <v>689</v>
      </c>
      <c r="M1276">
        <v>5.8</v>
      </c>
    </row>
    <row r="1277" spans="1:13" x14ac:dyDescent="0.25">
      <c r="A1277" t="s">
        <v>34</v>
      </c>
      <c r="D1277" t="s">
        <v>43</v>
      </c>
      <c r="E1277">
        <v>2020</v>
      </c>
      <c r="F1277">
        <v>3</v>
      </c>
      <c r="G1277">
        <v>11</v>
      </c>
      <c r="H1277">
        <v>3</v>
      </c>
      <c r="I1277">
        <v>143</v>
      </c>
      <c r="K1277" s="13">
        <v>45868</v>
      </c>
      <c r="L1277" t="s">
        <v>687</v>
      </c>
      <c r="M1277">
        <v>6.5</v>
      </c>
    </row>
    <row r="1278" spans="1:13" x14ac:dyDescent="0.25">
      <c r="A1278" t="s">
        <v>34</v>
      </c>
      <c r="D1278" t="s">
        <v>43</v>
      </c>
      <c r="E1278">
        <v>2020</v>
      </c>
      <c r="F1278">
        <v>3</v>
      </c>
      <c r="G1278">
        <v>11</v>
      </c>
      <c r="H1278">
        <v>3</v>
      </c>
      <c r="I1278">
        <v>143</v>
      </c>
      <c r="K1278" s="13">
        <v>45868</v>
      </c>
      <c r="L1278" t="s">
        <v>688</v>
      </c>
      <c r="M1278">
        <v>6.5</v>
      </c>
    </row>
    <row r="1279" spans="1:13" x14ac:dyDescent="0.25">
      <c r="A1279" t="s">
        <v>34</v>
      </c>
      <c r="D1279" t="s">
        <v>43</v>
      </c>
      <c r="E1279">
        <v>2020</v>
      </c>
      <c r="F1279">
        <v>3</v>
      </c>
      <c r="G1279">
        <v>11</v>
      </c>
      <c r="H1279">
        <v>3</v>
      </c>
      <c r="I1279">
        <v>143</v>
      </c>
      <c r="K1279" s="13">
        <v>45868</v>
      </c>
      <c r="L1279" t="s">
        <v>689</v>
      </c>
      <c r="M1279">
        <v>6.1</v>
      </c>
    </row>
    <row r="1280" spans="1:13" x14ac:dyDescent="0.25">
      <c r="A1280" t="s">
        <v>34</v>
      </c>
      <c r="D1280" t="s">
        <v>43</v>
      </c>
      <c r="E1280">
        <v>2020</v>
      </c>
      <c r="F1280">
        <v>3</v>
      </c>
      <c r="G1280">
        <v>11</v>
      </c>
      <c r="H1280">
        <v>3</v>
      </c>
      <c r="I1280">
        <v>143</v>
      </c>
      <c r="K1280" s="13">
        <v>45875</v>
      </c>
      <c r="L1280" t="s">
        <v>687</v>
      </c>
    </row>
    <row r="1281" spans="1:13" x14ac:dyDescent="0.25">
      <c r="A1281" t="s">
        <v>34</v>
      </c>
      <c r="D1281" t="s">
        <v>43</v>
      </c>
      <c r="E1281">
        <v>2020</v>
      </c>
      <c r="F1281">
        <v>3</v>
      </c>
      <c r="G1281">
        <v>11</v>
      </c>
      <c r="H1281">
        <v>3</v>
      </c>
      <c r="I1281">
        <v>143</v>
      </c>
      <c r="K1281" s="13">
        <v>45875</v>
      </c>
      <c r="L1281" t="s">
        <v>688</v>
      </c>
    </row>
    <row r="1282" spans="1:13" x14ac:dyDescent="0.25">
      <c r="A1282" t="s">
        <v>34</v>
      </c>
      <c r="D1282" t="s">
        <v>43</v>
      </c>
      <c r="E1282">
        <v>2020</v>
      </c>
      <c r="F1282">
        <v>3</v>
      </c>
      <c r="G1282">
        <v>11</v>
      </c>
      <c r="H1282">
        <v>3</v>
      </c>
      <c r="I1282">
        <v>143</v>
      </c>
      <c r="K1282" s="13">
        <v>45875</v>
      </c>
      <c r="L1282" t="s">
        <v>689</v>
      </c>
    </row>
    <row r="1283" spans="1:13" x14ac:dyDescent="0.25">
      <c r="A1283" t="s">
        <v>34</v>
      </c>
      <c r="D1283" t="s">
        <v>43</v>
      </c>
      <c r="E1283">
        <v>2020</v>
      </c>
      <c r="F1283">
        <v>3</v>
      </c>
      <c r="G1283">
        <v>11</v>
      </c>
      <c r="H1283">
        <v>3</v>
      </c>
      <c r="I1283">
        <v>143</v>
      </c>
      <c r="K1283" s="13">
        <v>45880</v>
      </c>
      <c r="L1283" t="s">
        <v>687</v>
      </c>
      <c r="M1283">
        <v>7.6</v>
      </c>
    </row>
    <row r="1284" spans="1:13" x14ac:dyDescent="0.25">
      <c r="A1284" t="s">
        <v>34</v>
      </c>
      <c r="D1284" t="s">
        <v>43</v>
      </c>
      <c r="E1284">
        <v>2020</v>
      </c>
      <c r="F1284">
        <v>3</v>
      </c>
      <c r="G1284">
        <v>11</v>
      </c>
      <c r="H1284">
        <v>3</v>
      </c>
      <c r="I1284">
        <v>143</v>
      </c>
      <c r="K1284" s="13">
        <v>45880</v>
      </c>
      <c r="L1284" t="s">
        <v>688</v>
      </c>
      <c r="M1284">
        <v>7.1</v>
      </c>
    </row>
    <row r="1285" spans="1:13" x14ac:dyDescent="0.25">
      <c r="A1285" t="s">
        <v>34</v>
      </c>
      <c r="D1285" t="s">
        <v>43</v>
      </c>
      <c r="E1285">
        <v>2020</v>
      </c>
      <c r="F1285">
        <v>3</v>
      </c>
      <c r="G1285">
        <v>11</v>
      </c>
      <c r="H1285">
        <v>3</v>
      </c>
      <c r="I1285">
        <v>143</v>
      </c>
      <c r="K1285" s="13">
        <v>45880</v>
      </c>
      <c r="L1285" t="s">
        <v>689</v>
      </c>
      <c r="M1285">
        <v>7.4</v>
      </c>
    </row>
    <row r="1286" spans="1:13" x14ac:dyDescent="0.25">
      <c r="A1286" t="s">
        <v>34</v>
      </c>
      <c r="D1286" t="s">
        <v>43</v>
      </c>
      <c r="E1286">
        <v>2020</v>
      </c>
      <c r="F1286">
        <v>3</v>
      </c>
      <c r="G1286">
        <v>11</v>
      </c>
      <c r="H1286">
        <v>3</v>
      </c>
      <c r="I1286">
        <v>143</v>
      </c>
      <c r="K1286" s="13">
        <v>45897</v>
      </c>
      <c r="L1286" t="s">
        <v>687</v>
      </c>
      <c r="M1286">
        <v>8.9</v>
      </c>
    </row>
    <row r="1287" spans="1:13" x14ac:dyDescent="0.25">
      <c r="A1287" t="s">
        <v>34</v>
      </c>
      <c r="D1287" t="s">
        <v>43</v>
      </c>
      <c r="E1287">
        <v>2020</v>
      </c>
      <c r="F1287">
        <v>3</v>
      </c>
      <c r="G1287">
        <v>11</v>
      </c>
      <c r="H1287">
        <v>3</v>
      </c>
      <c r="I1287">
        <v>143</v>
      </c>
      <c r="K1287" s="13">
        <v>45897</v>
      </c>
      <c r="L1287" t="s">
        <v>688</v>
      </c>
      <c r="M1287">
        <v>8.6</v>
      </c>
    </row>
    <row r="1288" spans="1:13" x14ac:dyDescent="0.25">
      <c r="A1288" t="s">
        <v>34</v>
      </c>
      <c r="D1288" t="s">
        <v>43</v>
      </c>
      <c r="E1288">
        <v>2020</v>
      </c>
      <c r="F1288">
        <v>3</v>
      </c>
      <c r="G1288">
        <v>11</v>
      </c>
      <c r="H1288">
        <v>3</v>
      </c>
      <c r="I1288">
        <v>143</v>
      </c>
      <c r="K1288" s="13">
        <v>45897</v>
      </c>
      <c r="L1288" t="s">
        <v>689</v>
      </c>
      <c r="M1288">
        <v>8.9</v>
      </c>
    </row>
    <row r="1289" spans="1:13" x14ac:dyDescent="0.25">
      <c r="A1289" t="s">
        <v>34</v>
      </c>
      <c r="D1289" t="s">
        <v>43</v>
      </c>
      <c r="E1289">
        <v>2020</v>
      </c>
      <c r="F1289">
        <v>3</v>
      </c>
      <c r="G1289">
        <v>11</v>
      </c>
      <c r="H1289">
        <v>3</v>
      </c>
      <c r="I1289">
        <v>143</v>
      </c>
      <c r="K1289" s="13">
        <v>45911</v>
      </c>
      <c r="L1289" t="s">
        <v>687</v>
      </c>
    </row>
    <row r="1290" spans="1:13" x14ac:dyDescent="0.25">
      <c r="A1290" t="s">
        <v>34</v>
      </c>
      <c r="D1290" t="s">
        <v>43</v>
      </c>
      <c r="E1290">
        <v>2020</v>
      </c>
      <c r="F1290">
        <v>3</v>
      </c>
      <c r="G1290">
        <v>11</v>
      </c>
      <c r="H1290">
        <v>3</v>
      </c>
      <c r="I1290">
        <v>143</v>
      </c>
      <c r="K1290" s="13">
        <v>45911</v>
      </c>
      <c r="L1290" t="s">
        <v>688</v>
      </c>
    </row>
    <row r="1291" spans="1:13" x14ac:dyDescent="0.25">
      <c r="A1291" t="s">
        <v>34</v>
      </c>
      <c r="D1291" t="s">
        <v>43</v>
      </c>
      <c r="E1291">
        <v>2020</v>
      </c>
      <c r="F1291">
        <v>3</v>
      </c>
      <c r="G1291">
        <v>11</v>
      </c>
      <c r="H1291">
        <v>3</v>
      </c>
      <c r="I1291">
        <v>143</v>
      </c>
      <c r="K1291" s="13">
        <v>45911</v>
      </c>
      <c r="L1291" t="s">
        <v>689</v>
      </c>
    </row>
    <row r="1292" spans="1:13" x14ac:dyDescent="0.25">
      <c r="A1292" t="s">
        <v>34</v>
      </c>
      <c r="D1292" t="s">
        <v>41</v>
      </c>
      <c r="E1292">
        <v>2008</v>
      </c>
      <c r="F1292">
        <v>4</v>
      </c>
      <c r="G1292">
        <v>11</v>
      </c>
      <c r="H1292">
        <v>3</v>
      </c>
      <c r="I1292">
        <v>159</v>
      </c>
      <c r="K1292" s="13">
        <v>45796</v>
      </c>
      <c r="L1292" t="s">
        <v>687</v>
      </c>
    </row>
    <row r="1293" spans="1:13" x14ac:dyDescent="0.25">
      <c r="A1293" t="s">
        <v>34</v>
      </c>
      <c r="D1293" t="s">
        <v>41</v>
      </c>
      <c r="E1293">
        <v>2008</v>
      </c>
      <c r="F1293">
        <v>4</v>
      </c>
      <c r="G1293">
        <v>11</v>
      </c>
      <c r="H1293">
        <v>3</v>
      </c>
      <c r="I1293">
        <v>159</v>
      </c>
      <c r="K1293" s="13">
        <v>45796</v>
      </c>
      <c r="L1293" t="s">
        <v>688</v>
      </c>
    </row>
    <row r="1294" spans="1:13" x14ac:dyDescent="0.25">
      <c r="A1294" t="s">
        <v>34</v>
      </c>
      <c r="D1294" t="s">
        <v>41</v>
      </c>
      <c r="E1294">
        <v>2008</v>
      </c>
      <c r="F1294">
        <v>4</v>
      </c>
      <c r="G1294">
        <v>11</v>
      </c>
      <c r="H1294">
        <v>3</v>
      </c>
      <c r="I1294">
        <v>159</v>
      </c>
      <c r="K1294" s="13">
        <v>45796</v>
      </c>
      <c r="L1294" t="s">
        <v>689</v>
      </c>
    </row>
    <row r="1295" spans="1:13" x14ac:dyDescent="0.25">
      <c r="A1295" t="s">
        <v>34</v>
      </c>
      <c r="D1295" t="s">
        <v>41</v>
      </c>
      <c r="E1295">
        <v>2008</v>
      </c>
      <c r="F1295">
        <v>4</v>
      </c>
      <c r="G1295">
        <v>11</v>
      </c>
      <c r="H1295">
        <v>3</v>
      </c>
      <c r="I1295">
        <v>159</v>
      </c>
      <c r="K1295" s="13">
        <v>45820</v>
      </c>
      <c r="L1295" t="s">
        <v>687</v>
      </c>
      <c r="M1295">
        <v>2.5</v>
      </c>
    </row>
    <row r="1296" spans="1:13" x14ac:dyDescent="0.25">
      <c r="A1296" t="s">
        <v>34</v>
      </c>
      <c r="D1296" t="s">
        <v>41</v>
      </c>
      <c r="E1296">
        <v>2008</v>
      </c>
      <c r="F1296">
        <v>4</v>
      </c>
      <c r="G1296">
        <v>11</v>
      </c>
      <c r="H1296">
        <v>3</v>
      </c>
      <c r="I1296">
        <v>159</v>
      </c>
      <c r="K1296" s="13">
        <v>45820</v>
      </c>
      <c r="L1296" t="s">
        <v>688</v>
      </c>
      <c r="M1296">
        <v>2.5</v>
      </c>
    </row>
    <row r="1297" spans="1:13" x14ac:dyDescent="0.25">
      <c r="A1297" t="s">
        <v>34</v>
      </c>
      <c r="D1297" t="s">
        <v>41</v>
      </c>
      <c r="E1297">
        <v>2008</v>
      </c>
      <c r="F1297">
        <v>4</v>
      </c>
      <c r="G1297">
        <v>11</v>
      </c>
      <c r="H1297">
        <v>3</v>
      </c>
      <c r="I1297">
        <v>159</v>
      </c>
      <c r="K1297" s="13">
        <v>45820</v>
      </c>
      <c r="L1297" t="s">
        <v>689</v>
      </c>
      <c r="M1297">
        <v>2.7</v>
      </c>
    </row>
    <row r="1298" spans="1:13" x14ac:dyDescent="0.25">
      <c r="A1298" t="s">
        <v>34</v>
      </c>
      <c r="D1298" t="s">
        <v>41</v>
      </c>
      <c r="E1298">
        <v>2008</v>
      </c>
      <c r="F1298">
        <v>4</v>
      </c>
      <c r="G1298">
        <v>11</v>
      </c>
      <c r="H1298">
        <v>3</v>
      </c>
      <c r="I1298">
        <v>159</v>
      </c>
      <c r="K1298" s="13">
        <v>45825</v>
      </c>
      <c r="L1298" t="s">
        <v>687</v>
      </c>
    </row>
    <row r="1299" spans="1:13" x14ac:dyDescent="0.25">
      <c r="A1299" t="s">
        <v>34</v>
      </c>
      <c r="D1299" t="s">
        <v>41</v>
      </c>
      <c r="E1299">
        <v>2008</v>
      </c>
      <c r="F1299">
        <v>4</v>
      </c>
      <c r="G1299">
        <v>11</v>
      </c>
      <c r="H1299">
        <v>3</v>
      </c>
      <c r="I1299">
        <v>159</v>
      </c>
      <c r="K1299" s="13">
        <v>45825</v>
      </c>
      <c r="L1299" t="s">
        <v>688</v>
      </c>
    </row>
    <row r="1300" spans="1:13" x14ac:dyDescent="0.25">
      <c r="A1300" t="s">
        <v>34</v>
      </c>
      <c r="D1300" t="s">
        <v>41</v>
      </c>
      <c r="E1300">
        <v>2008</v>
      </c>
      <c r="F1300">
        <v>4</v>
      </c>
      <c r="G1300">
        <v>11</v>
      </c>
      <c r="H1300">
        <v>3</v>
      </c>
      <c r="I1300">
        <v>159</v>
      </c>
      <c r="K1300" s="13">
        <v>45825</v>
      </c>
      <c r="L1300" t="s">
        <v>689</v>
      </c>
    </row>
    <row r="1301" spans="1:13" x14ac:dyDescent="0.25">
      <c r="A1301" t="s">
        <v>34</v>
      </c>
      <c r="D1301" t="s">
        <v>41</v>
      </c>
      <c r="E1301">
        <v>2008</v>
      </c>
      <c r="F1301">
        <v>4</v>
      </c>
      <c r="G1301">
        <v>11</v>
      </c>
      <c r="H1301">
        <v>3</v>
      </c>
      <c r="I1301">
        <v>159</v>
      </c>
      <c r="K1301" s="13">
        <v>45827</v>
      </c>
      <c r="L1301" t="s">
        <v>687</v>
      </c>
      <c r="M1301">
        <v>2.9</v>
      </c>
    </row>
    <row r="1302" spans="1:13" x14ac:dyDescent="0.25">
      <c r="A1302" t="s">
        <v>34</v>
      </c>
      <c r="D1302" t="s">
        <v>41</v>
      </c>
      <c r="E1302">
        <v>2008</v>
      </c>
      <c r="F1302">
        <v>4</v>
      </c>
      <c r="G1302">
        <v>11</v>
      </c>
      <c r="H1302">
        <v>3</v>
      </c>
      <c r="I1302">
        <v>159</v>
      </c>
      <c r="K1302" s="13">
        <v>45827</v>
      </c>
      <c r="L1302" t="s">
        <v>688</v>
      </c>
      <c r="M1302">
        <v>3.1</v>
      </c>
    </row>
    <row r="1303" spans="1:13" x14ac:dyDescent="0.25">
      <c r="A1303" t="s">
        <v>34</v>
      </c>
      <c r="D1303" t="s">
        <v>41</v>
      </c>
      <c r="E1303">
        <v>2008</v>
      </c>
      <c r="F1303">
        <v>4</v>
      </c>
      <c r="G1303">
        <v>11</v>
      </c>
      <c r="H1303">
        <v>3</v>
      </c>
      <c r="I1303">
        <v>159</v>
      </c>
      <c r="K1303" s="13">
        <v>45827</v>
      </c>
      <c r="L1303" t="s">
        <v>689</v>
      </c>
      <c r="M1303">
        <v>3.2</v>
      </c>
    </row>
    <row r="1304" spans="1:13" x14ac:dyDescent="0.25">
      <c r="A1304" t="s">
        <v>34</v>
      </c>
      <c r="D1304" t="s">
        <v>41</v>
      </c>
      <c r="E1304">
        <v>2008</v>
      </c>
      <c r="F1304">
        <v>4</v>
      </c>
      <c r="G1304">
        <v>11</v>
      </c>
      <c r="H1304">
        <v>3</v>
      </c>
      <c r="I1304">
        <v>159</v>
      </c>
      <c r="K1304" s="13">
        <v>45859</v>
      </c>
      <c r="L1304" t="s">
        <v>687</v>
      </c>
      <c r="M1304">
        <v>5.2</v>
      </c>
    </row>
    <row r="1305" spans="1:13" x14ac:dyDescent="0.25">
      <c r="A1305" t="s">
        <v>34</v>
      </c>
      <c r="D1305" t="s">
        <v>41</v>
      </c>
      <c r="E1305">
        <v>2008</v>
      </c>
      <c r="F1305">
        <v>4</v>
      </c>
      <c r="G1305">
        <v>11</v>
      </c>
      <c r="H1305">
        <v>3</v>
      </c>
      <c r="I1305">
        <v>159</v>
      </c>
      <c r="K1305" s="13">
        <v>45859</v>
      </c>
      <c r="L1305" t="s">
        <v>688</v>
      </c>
      <c r="M1305">
        <v>6.1</v>
      </c>
    </row>
    <row r="1306" spans="1:13" x14ac:dyDescent="0.25">
      <c r="A1306" t="s">
        <v>34</v>
      </c>
      <c r="D1306" t="s">
        <v>41</v>
      </c>
      <c r="E1306">
        <v>2008</v>
      </c>
      <c r="F1306">
        <v>4</v>
      </c>
      <c r="G1306">
        <v>11</v>
      </c>
      <c r="H1306">
        <v>3</v>
      </c>
      <c r="I1306">
        <v>159</v>
      </c>
      <c r="K1306" s="13">
        <v>45859</v>
      </c>
      <c r="L1306" t="s">
        <v>689</v>
      </c>
      <c r="M1306">
        <v>6.1</v>
      </c>
    </row>
    <row r="1307" spans="1:13" x14ac:dyDescent="0.25">
      <c r="A1307" t="s">
        <v>34</v>
      </c>
      <c r="D1307" t="s">
        <v>41</v>
      </c>
      <c r="E1307">
        <v>2008</v>
      </c>
      <c r="F1307">
        <v>4</v>
      </c>
      <c r="G1307">
        <v>11</v>
      </c>
      <c r="H1307">
        <v>3</v>
      </c>
      <c r="I1307">
        <v>159</v>
      </c>
      <c r="K1307" s="13">
        <v>45868</v>
      </c>
      <c r="L1307" t="s">
        <v>687</v>
      </c>
      <c r="M1307">
        <v>6.1</v>
      </c>
    </row>
    <row r="1308" spans="1:13" x14ac:dyDescent="0.25">
      <c r="A1308" t="s">
        <v>34</v>
      </c>
      <c r="D1308" t="s">
        <v>41</v>
      </c>
      <c r="E1308">
        <v>2008</v>
      </c>
      <c r="F1308">
        <v>4</v>
      </c>
      <c r="G1308">
        <v>11</v>
      </c>
      <c r="H1308">
        <v>3</v>
      </c>
      <c r="I1308">
        <v>159</v>
      </c>
      <c r="K1308" s="13">
        <v>45868</v>
      </c>
      <c r="L1308" t="s">
        <v>688</v>
      </c>
      <c r="M1308">
        <v>6.1</v>
      </c>
    </row>
    <row r="1309" spans="1:13" x14ac:dyDescent="0.25">
      <c r="A1309" t="s">
        <v>34</v>
      </c>
      <c r="D1309" t="s">
        <v>41</v>
      </c>
      <c r="E1309">
        <v>2008</v>
      </c>
      <c r="F1309">
        <v>4</v>
      </c>
      <c r="G1309">
        <v>11</v>
      </c>
      <c r="H1309">
        <v>3</v>
      </c>
      <c r="I1309">
        <v>159</v>
      </c>
      <c r="K1309" s="13">
        <v>45868</v>
      </c>
      <c r="L1309" t="s">
        <v>689</v>
      </c>
      <c r="M1309">
        <v>6.9</v>
      </c>
    </row>
    <row r="1310" spans="1:13" x14ac:dyDescent="0.25">
      <c r="A1310" t="s">
        <v>34</v>
      </c>
      <c r="D1310" t="s">
        <v>41</v>
      </c>
      <c r="E1310">
        <v>2008</v>
      </c>
      <c r="F1310">
        <v>4</v>
      </c>
      <c r="G1310">
        <v>11</v>
      </c>
      <c r="H1310">
        <v>3</v>
      </c>
      <c r="I1310">
        <v>159</v>
      </c>
      <c r="K1310" s="13">
        <v>45875</v>
      </c>
      <c r="L1310" t="s">
        <v>687</v>
      </c>
    </row>
    <row r="1311" spans="1:13" x14ac:dyDescent="0.25">
      <c r="A1311" t="s">
        <v>34</v>
      </c>
      <c r="D1311" t="s">
        <v>41</v>
      </c>
      <c r="E1311">
        <v>2008</v>
      </c>
      <c r="F1311">
        <v>4</v>
      </c>
      <c r="G1311">
        <v>11</v>
      </c>
      <c r="H1311">
        <v>3</v>
      </c>
      <c r="I1311">
        <v>159</v>
      </c>
      <c r="K1311" s="13">
        <v>45875</v>
      </c>
      <c r="L1311" t="s">
        <v>688</v>
      </c>
    </row>
    <row r="1312" spans="1:13" x14ac:dyDescent="0.25">
      <c r="A1312" t="s">
        <v>34</v>
      </c>
      <c r="D1312" t="s">
        <v>41</v>
      </c>
      <c r="E1312">
        <v>2008</v>
      </c>
      <c r="F1312">
        <v>4</v>
      </c>
      <c r="G1312">
        <v>11</v>
      </c>
      <c r="H1312">
        <v>3</v>
      </c>
      <c r="I1312">
        <v>159</v>
      </c>
      <c r="K1312" s="13">
        <v>45875</v>
      </c>
      <c r="L1312" t="s">
        <v>689</v>
      </c>
    </row>
    <row r="1313" spans="1:13" x14ac:dyDescent="0.25">
      <c r="A1313" t="s">
        <v>34</v>
      </c>
      <c r="D1313" t="s">
        <v>41</v>
      </c>
      <c r="E1313">
        <v>2008</v>
      </c>
      <c r="F1313">
        <v>4</v>
      </c>
      <c r="G1313">
        <v>11</v>
      </c>
      <c r="H1313">
        <v>3</v>
      </c>
      <c r="I1313">
        <v>159</v>
      </c>
      <c r="K1313" s="13">
        <v>45880</v>
      </c>
      <c r="L1313" t="s">
        <v>687</v>
      </c>
      <c r="M1313">
        <v>7.9</v>
      </c>
    </row>
    <row r="1314" spans="1:13" x14ac:dyDescent="0.25">
      <c r="A1314" t="s">
        <v>34</v>
      </c>
      <c r="D1314" t="s">
        <v>41</v>
      </c>
      <c r="E1314">
        <v>2008</v>
      </c>
      <c r="F1314">
        <v>4</v>
      </c>
      <c r="G1314">
        <v>11</v>
      </c>
      <c r="H1314">
        <v>3</v>
      </c>
      <c r="I1314">
        <v>159</v>
      </c>
      <c r="K1314" s="13">
        <v>45880</v>
      </c>
      <c r="L1314" t="s">
        <v>688</v>
      </c>
      <c r="M1314">
        <v>7.1</v>
      </c>
    </row>
    <row r="1315" spans="1:13" x14ac:dyDescent="0.25">
      <c r="A1315" t="s">
        <v>34</v>
      </c>
      <c r="D1315" t="s">
        <v>41</v>
      </c>
      <c r="E1315">
        <v>2008</v>
      </c>
      <c r="F1315">
        <v>4</v>
      </c>
      <c r="G1315">
        <v>11</v>
      </c>
      <c r="H1315">
        <v>3</v>
      </c>
      <c r="I1315">
        <v>159</v>
      </c>
      <c r="K1315" s="13">
        <v>45880</v>
      </c>
      <c r="L1315" t="s">
        <v>689</v>
      </c>
      <c r="M1315">
        <v>7.9</v>
      </c>
    </row>
    <row r="1316" spans="1:13" x14ac:dyDescent="0.25">
      <c r="A1316" t="s">
        <v>34</v>
      </c>
      <c r="D1316" t="s">
        <v>41</v>
      </c>
      <c r="E1316">
        <v>2008</v>
      </c>
      <c r="F1316">
        <v>4</v>
      </c>
      <c r="G1316">
        <v>11</v>
      </c>
      <c r="H1316">
        <v>3</v>
      </c>
      <c r="I1316">
        <v>159</v>
      </c>
      <c r="K1316" s="13">
        <v>45897</v>
      </c>
      <c r="L1316" t="s">
        <v>687</v>
      </c>
      <c r="M1316">
        <v>9.1</v>
      </c>
    </row>
    <row r="1317" spans="1:13" x14ac:dyDescent="0.25">
      <c r="A1317" t="s">
        <v>34</v>
      </c>
      <c r="D1317" t="s">
        <v>41</v>
      </c>
      <c r="E1317">
        <v>2008</v>
      </c>
      <c r="F1317">
        <v>4</v>
      </c>
      <c r="G1317">
        <v>11</v>
      </c>
      <c r="H1317">
        <v>3</v>
      </c>
      <c r="I1317">
        <v>159</v>
      </c>
      <c r="K1317" s="13">
        <v>45897</v>
      </c>
      <c r="L1317" t="s">
        <v>688</v>
      </c>
      <c r="M1317">
        <v>9.1999999999999993</v>
      </c>
    </row>
    <row r="1318" spans="1:13" x14ac:dyDescent="0.25">
      <c r="A1318" t="s">
        <v>34</v>
      </c>
      <c r="D1318" t="s">
        <v>41</v>
      </c>
      <c r="E1318">
        <v>2008</v>
      </c>
      <c r="F1318">
        <v>4</v>
      </c>
      <c r="G1318">
        <v>11</v>
      </c>
      <c r="H1318">
        <v>3</v>
      </c>
      <c r="I1318">
        <v>159</v>
      </c>
      <c r="K1318" s="13">
        <v>45897</v>
      </c>
      <c r="L1318" t="s">
        <v>689</v>
      </c>
      <c r="M1318">
        <v>9.1</v>
      </c>
    </row>
    <row r="1319" spans="1:13" x14ac:dyDescent="0.25">
      <c r="A1319" t="s">
        <v>34</v>
      </c>
      <c r="D1319" t="s">
        <v>41</v>
      </c>
      <c r="E1319">
        <v>2008</v>
      </c>
      <c r="F1319">
        <v>4</v>
      </c>
      <c r="G1319">
        <v>11</v>
      </c>
      <c r="H1319">
        <v>3</v>
      </c>
      <c r="I1319">
        <v>159</v>
      </c>
      <c r="K1319" s="13">
        <v>45911</v>
      </c>
      <c r="L1319" t="s">
        <v>687</v>
      </c>
    </row>
    <row r="1320" spans="1:13" x14ac:dyDescent="0.25">
      <c r="A1320" t="s">
        <v>34</v>
      </c>
      <c r="D1320" t="s">
        <v>41</v>
      </c>
      <c r="E1320">
        <v>2008</v>
      </c>
      <c r="F1320">
        <v>4</v>
      </c>
      <c r="G1320">
        <v>11</v>
      </c>
      <c r="H1320">
        <v>3</v>
      </c>
      <c r="I1320">
        <v>159</v>
      </c>
      <c r="K1320" s="13">
        <v>45911</v>
      </c>
      <c r="L1320" t="s">
        <v>688</v>
      </c>
    </row>
    <row r="1321" spans="1:13" x14ac:dyDescent="0.25">
      <c r="A1321" t="s">
        <v>34</v>
      </c>
      <c r="D1321" t="s">
        <v>41</v>
      </c>
      <c r="E1321">
        <v>2008</v>
      </c>
      <c r="F1321">
        <v>4</v>
      </c>
      <c r="G1321">
        <v>11</v>
      </c>
      <c r="H1321">
        <v>3</v>
      </c>
      <c r="I1321">
        <v>159</v>
      </c>
      <c r="K1321" s="13">
        <v>45911</v>
      </c>
      <c r="L1321" t="s">
        <v>689</v>
      </c>
    </row>
    <row r="1322" spans="1:13" x14ac:dyDescent="0.25">
      <c r="A1322" t="s">
        <v>34</v>
      </c>
      <c r="D1322" t="s">
        <v>38</v>
      </c>
      <c r="E1322">
        <v>1999</v>
      </c>
      <c r="F1322">
        <v>1</v>
      </c>
      <c r="G1322">
        <v>12</v>
      </c>
      <c r="H1322">
        <v>3</v>
      </c>
      <c r="I1322">
        <v>112</v>
      </c>
      <c r="K1322" s="13">
        <v>45796</v>
      </c>
      <c r="L1322" t="s">
        <v>687</v>
      </c>
    </row>
    <row r="1323" spans="1:13" x14ac:dyDescent="0.25">
      <c r="A1323" t="s">
        <v>34</v>
      </c>
      <c r="D1323" t="s">
        <v>38</v>
      </c>
      <c r="E1323">
        <v>1999</v>
      </c>
      <c r="F1323">
        <v>1</v>
      </c>
      <c r="G1323">
        <v>12</v>
      </c>
      <c r="H1323">
        <v>3</v>
      </c>
      <c r="I1323">
        <v>112</v>
      </c>
      <c r="K1323" s="13">
        <v>45796</v>
      </c>
      <c r="L1323" t="s">
        <v>688</v>
      </c>
    </row>
    <row r="1324" spans="1:13" x14ac:dyDescent="0.25">
      <c r="A1324" t="s">
        <v>34</v>
      </c>
      <c r="D1324" t="s">
        <v>38</v>
      </c>
      <c r="E1324">
        <v>1999</v>
      </c>
      <c r="F1324">
        <v>1</v>
      </c>
      <c r="G1324">
        <v>12</v>
      </c>
      <c r="H1324">
        <v>3</v>
      </c>
      <c r="I1324">
        <v>112</v>
      </c>
      <c r="K1324" s="13">
        <v>45796</v>
      </c>
      <c r="L1324" t="s">
        <v>689</v>
      </c>
    </row>
    <row r="1325" spans="1:13" x14ac:dyDescent="0.25">
      <c r="A1325" t="s">
        <v>34</v>
      </c>
      <c r="D1325" t="s">
        <v>38</v>
      </c>
      <c r="E1325">
        <v>1999</v>
      </c>
      <c r="F1325">
        <v>1</v>
      </c>
      <c r="G1325">
        <v>12</v>
      </c>
      <c r="H1325">
        <v>3</v>
      </c>
      <c r="I1325">
        <v>112</v>
      </c>
      <c r="K1325" s="13">
        <v>45820</v>
      </c>
      <c r="L1325" t="s">
        <v>687</v>
      </c>
      <c r="M1325">
        <v>2.7</v>
      </c>
    </row>
    <row r="1326" spans="1:13" x14ac:dyDescent="0.25">
      <c r="A1326" t="s">
        <v>34</v>
      </c>
      <c r="D1326" t="s">
        <v>38</v>
      </c>
      <c r="E1326">
        <v>1999</v>
      </c>
      <c r="F1326">
        <v>1</v>
      </c>
      <c r="G1326">
        <v>12</v>
      </c>
      <c r="H1326">
        <v>3</v>
      </c>
      <c r="I1326">
        <v>112</v>
      </c>
      <c r="K1326" s="13">
        <v>45820</v>
      </c>
      <c r="L1326" t="s">
        <v>688</v>
      </c>
      <c r="M1326">
        <v>2.8</v>
      </c>
    </row>
    <row r="1327" spans="1:13" x14ac:dyDescent="0.25">
      <c r="A1327" t="s">
        <v>34</v>
      </c>
      <c r="D1327" t="s">
        <v>38</v>
      </c>
      <c r="E1327">
        <v>1999</v>
      </c>
      <c r="F1327">
        <v>1</v>
      </c>
      <c r="G1327">
        <v>12</v>
      </c>
      <c r="H1327">
        <v>3</v>
      </c>
      <c r="I1327">
        <v>112</v>
      </c>
      <c r="K1327" s="13">
        <v>45820</v>
      </c>
      <c r="L1327" t="s">
        <v>689</v>
      </c>
      <c r="M1327">
        <v>2.9</v>
      </c>
    </row>
    <row r="1328" spans="1:13" x14ac:dyDescent="0.25">
      <c r="A1328" t="s">
        <v>34</v>
      </c>
      <c r="D1328" t="s">
        <v>38</v>
      </c>
      <c r="E1328">
        <v>1999</v>
      </c>
      <c r="F1328">
        <v>1</v>
      </c>
      <c r="G1328">
        <v>12</v>
      </c>
      <c r="H1328">
        <v>3</v>
      </c>
      <c r="I1328">
        <v>112</v>
      </c>
      <c r="K1328" s="13">
        <v>45825</v>
      </c>
      <c r="L1328" t="s">
        <v>687</v>
      </c>
    </row>
    <row r="1329" spans="1:13" x14ac:dyDescent="0.25">
      <c r="A1329" t="s">
        <v>34</v>
      </c>
      <c r="D1329" t="s">
        <v>38</v>
      </c>
      <c r="E1329">
        <v>1999</v>
      </c>
      <c r="F1329">
        <v>1</v>
      </c>
      <c r="G1329">
        <v>12</v>
      </c>
      <c r="H1329">
        <v>3</v>
      </c>
      <c r="I1329">
        <v>112</v>
      </c>
      <c r="K1329" s="13">
        <v>45825</v>
      </c>
      <c r="L1329" t="s">
        <v>688</v>
      </c>
    </row>
    <row r="1330" spans="1:13" x14ac:dyDescent="0.25">
      <c r="A1330" t="s">
        <v>34</v>
      </c>
      <c r="D1330" t="s">
        <v>38</v>
      </c>
      <c r="E1330">
        <v>1999</v>
      </c>
      <c r="F1330">
        <v>1</v>
      </c>
      <c r="G1330">
        <v>12</v>
      </c>
      <c r="H1330">
        <v>3</v>
      </c>
      <c r="I1330">
        <v>112</v>
      </c>
      <c r="K1330" s="13">
        <v>45825</v>
      </c>
      <c r="L1330" t="s">
        <v>689</v>
      </c>
    </row>
    <row r="1331" spans="1:13" x14ac:dyDescent="0.25">
      <c r="A1331" t="s">
        <v>34</v>
      </c>
      <c r="D1331" t="s">
        <v>38</v>
      </c>
      <c r="E1331">
        <v>1999</v>
      </c>
      <c r="F1331">
        <v>1</v>
      </c>
      <c r="G1331">
        <v>12</v>
      </c>
      <c r="H1331">
        <v>3</v>
      </c>
      <c r="I1331">
        <v>112</v>
      </c>
      <c r="K1331" s="13">
        <v>45827</v>
      </c>
      <c r="L1331" t="s">
        <v>687</v>
      </c>
      <c r="M1331">
        <v>3.2</v>
      </c>
    </row>
    <row r="1332" spans="1:13" x14ac:dyDescent="0.25">
      <c r="A1332" t="s">
        <v>34</v>
      </c>
      <c r="D1332" t="s">
        <v>38</v>
      </c>
      <c r="E1332">
        <v>1999</v>
      </c>
      <c r="F1332">
        <v>1</v>
      </c>
      <c r="G1332">
        <v>12</v>
      </c>
      <c r="H1332">
        <v>3</v>
      </c>
      <c r="I1332">
        <v>112</v>
      </c>
      <c r="K1332" s="13">
        <v>45827</v>
      </c>
      <c r="L1332" t="s">
        <v>688</v>
      </c>
      <c r="M1332">
        <v>3.2</v>
      </c>
    </row>
    <row r="1333" spans="1:13" x14ac:dyDescent="0.25">
      <c r="A1333" t="s">
        <v>34</v>
      </c>
      <c r="D1333" t="s">
        <v>38</v>
      </c>
      <c r="E1333">
        <v>1999</v>
      </c>
      <c r="F1333">
        <v>1</v>
      </c>
      <c r="G1333">
        <v>12</v>
      </c>
      <c r="H1333">
        <v>3</v>
      </c>
      <c r="I1333">
        <v>112</v>
      </c>
      <c r="K1333" s="13">
        <v>45827</v>
      </c>
      <c r="L1333" t="s">
        <v>689</v>
      </c>
      <c r="M1333">
        <v>3.3</v>
      </c>
    </row>
    <row r="1334" spans="1:13" x14ac:dyDescent="0.25">
      <c r="A1334" t="s">
        <v>34</v>
      </c>
      <c r="D1334" t="s">
        <v>38</v>
      </c>
      <c r="E1334">
        <v>1999</v>
      </c>
      <c r="F1334">
        <v>1</v>
      </c>
      <c r="G1334">
        <v>12</v>
      </c>
      <c r="H1334">
        <v>3</v>
      </c>
      <c r="I1334">
        <v>112</v>
      </c>
      <c r="K1334" s="13">
        <v>45859</v>
      </c>
      <c r="L1334" t="s">
        <v>687</v>
      </c>
      <c r="M1334">
        <v>6.1</v>
      </c>
    </row>
    <row r="1335" spans="1:13" x14ac:dyDescent="0.25">
      <c r="A1335" t="s">
        <v>34</v>
      </c>
      <c r="D1335" t="s">
        <v>38</v>
      </c>
      <c r="E1335">
        <v>1999</v>
      </c>
      <c r="F1335">
        <v>1</v>
      </c>
      <c r="G1335">
        <v>12</v>
      </c>
      <c r="H1335">
        <v>3</v>
      </c>
      <c r="I1335">
        <v>112</v>
      </c>
      <c r="K1335" s="13">
        <v>45859</v>
      </c>
      <c r="L1335" t="s">
        <v>688</v>
      </c>
      <c r="M1335">
        <v>5.9</v>
      </c>
    </row>
    <row r="1336" spans="1:13" x14ac:dyDescent="0.25">
      <c r="A1336" t="s">
        <v>34</v>
      </c>
      <c r="D1336" t="s">
        <v>38</v>
      </c>
      <c r="E1336">
        <v>1999</v>
      </c>
      <c r="F1336">
        <v>1</v>
      </c>
      <c r="G1336">
        <v>12</v>
      </c>
      <c r="H1336">
        <v>3</v>
      </c>
      <c r="I1336">
        <v>112</v>
      </c>
      <c r="K1336" s="13">
        <v>45859</v>
      </c>
      <c r="L1336" t="s">
        <v>689</v>
      </c>
      <c r="M1336">
        <v>6.1</v>
      </c>
    </row>
    <row r="1337" spans="1:13" x14ac:dyDescent="0.25">
      <c r="A1337" t="s">
        <v>34</v>
      </c>
      <c r="D1337" t="s">
        <v>38</v>
      </c>
      <c r="E1337">
        <v>1999</v>
      </c>
      <c r="F1337">
        <v>1</v>
      </c>
      <c r="G1337">
        <v>12</v>
      </c>
      <c r="H1337">
        <v>3</v>
      </c>
      <c r="I1337">
        <v>112</v>
      </c>
      <c r="K1337" s="13">
        <v>45868</v>
      </c>
      <c r="L1337" t="s">
        <v>687</v>
      </c>
      <c r="M1337">
        <v>6.7</v>
      </c>
    </row>
    <row r="1338" spans="1:13" x14ac:dyDescent="0.25">
      <c r="A1338" t="s">
        <v>34</v>
      </c>
      <c r="D1338" t="s">
        <v>38</v>
      </c>
      <c r="E1338">
        <v>1999</v>
      </c>
      <c r="F1338">
        <v>1</v>
      </c>
      <c r="G1338">
        <v>12</v>
      </c>
      <c r="H1338">
        <v>3</v>
      </c>
      <c r="I1338">
        <v>112</v>
      </c>
      <c r="K1338" s="13">
        <v>45868</v>
      </c>
      <c r="L1338" t="s">
        <v>688</v>
      </c>
      <c r="M1338">
        <v>6.7</v>
      </c>
    </row>
    <row r="1339" spans="1:13" x14ac:dyDescent="0.25">
      <c r="A1339" t="s">
        <v>34</v>
      </c>
      <c r="D1339" t="s">
        <v>38</v>
      </c>
      <c r="E1339">
        <v>1999</v>
      </c>
      <c r="F1339">
        <v>1</v>
      </c>
      <c r="G1339">
        <v>12</v>
      </c>
      <c r="H1339">
        <v>3</v>
      </c>
      <c r="I1339">
        <v>112</v>
      </c>
      <c r="K1339" s="13">
        <v>45868</v>
      </c>
      <c r="L1339" t="s">
        <v>689</v>
      </c>
      <c r="M1339">
        <v>6.9</v>
      </c>
    </row>
    <row r="1340" spans="1:13" x14ac:dyDescent="0.25">
      <c r="A1340" t="s">
        <v>34</v>
      </c>
      <c r="D1340" t="s">
        <v>38</v>
      </c>
      <c r="E1340">
        <v>1999</v>
      </c>
      <c r="F1340">
        <v>1</v>
      </c>
      <c r="G1340">
        <v>12</v>
      </c>
      <c r="H1340">
        <v>3</v>
      </c>
      <c r="I1340">
        <v>112</v>
      </c>
      <c r="K1340" s="13">
        <v>45875</v>
      </c>
      <c r="L1340" t="s">
        <v>687</v>
      </c>
    </row>
    <row r="1341" spans="1:13" x14ac:dyDescent="0.25">
      <c r="A1341" t="s">
        <v>34</v>
      </c>
      <c r="D1341" t="s">
        <v>38</v>
      </c>
      <c r="E1341">
        <v>1999</v>
      </c>
      <c r="F1341">
        <v>1</v>
      </c>
      <c r="G1341">
        <v>12</v>
      </c>
      <c r="H1341">
        <v>3</v>
      </c>
      <c r="I1341">
        <v>112</v>
      </c>
      <c r="K1341" s="13">
        <v>45875</v>
      </c>
      <c r="L1341" t="s">
        <v>688</v>
      </c>
    </row>
    <row r="1342" spans="1:13" x14ac:dyDescent="0.25">
      <c r="A1342" t="s">
        <v>34</v>
      </c>
      <c r="D1342" t="s">
        <v>38</v>
      </c>
      <c r="E1342">
        <v>1999</v>
      </c>
      <c r="F1342">
        <v>1</v>
      </c>
      <c r="G1342">
        <v>12</v>
      </c>
      <c r="H1342">
        <v>3</v>
      </c>
      <c r="I1342">
        <v>112</v>
      </c>
      <c r="K1342" s="13">
        <v>45875</v>
      </c>
      <c r="L1342" t="s">
        <v>689</v>
      </c>
    </row>
    <row r="1343" spans="1:13" x14ac:dyDescent="0.25">
      <c r="A1343" t="s">
        <v>34</v>
      </c>
      <c r="D1343" t="s">
        <v>38</v>
      </c>
      <c r="E1343">
        <v>1999</v>
      </c>
      <c r="F1343">
        <v>1</v>
      </c>
      <c r="G1343">
        <v>12</v>
      </c>
      <c r="H1343">
        <v>3</v>
      </c>
      <c r="I1343">
        <v>112</v>
      </c>
      <c r="K1343" s="13">
        <v>45880</v>
      </c>
      <c r="L1343" t="s">
        <v>687</v>
      </c>
      <c r="M1343">
        <v>7.6</v>
      </c>
    </row>
    <row r="1344" spans="1:13" x14ac:dyDescent="0.25">
      <c r="A1344" t="s">
        <v>34</v>
      </c>
      <c r="D1344" t="s">
        <v>38</v>
      </c>
      <c r="E1344">
        <v>1999</v>
      </c>
      <c r="F1344">
        <v>1</v>
      </c>
      <c r="G1344">
        <v>12</v>
      </c>
      <c r="H1344">
        <v>3</v>
      </c>
      <c r="I1344">
        <v>112</v>
      </c>
      <c r="K1344" s="13">
        <v>45880</v>
      </c>
      <c r="L1344" t="s">
        <v>688</v>
      </c>
      <c r="M1344">
        <v>8.1</v>
      </c>
    </row>
    <row r="1345" spans="1:13" x14ac:dyDescent="0.25">
      <c r="A1345" t="s">
        <v>34</v>
      </c>
      <c r="D1345" t="s">
        <v>38</v>
      </c>
      <c r="E1345">
        <v>1999</v>
      </c>
      <c r="F1345">
        <v>1</v>
      </c>
      <c r="G1345">
        <v>12</v>
      </c>
      <c r="H1345">
        <v>3</v>
      </c>
      <c r="I1345">
        <v>112</v>
      </c>
      <c r="K1345" s="13">
        <v>45880</v>
      </c>
      <c r="L1345" t="s">
        <v>689</v>
      </c>
      <c r="M1345">
        <v>7.6</v>
      </c>
    </row>
    <row r="1346" spans="1:13" x14ac:dyDescent="0.25">
      <c r="A1346" t="s">
        <v>34</v>
      </c>
      <c r="D1346" t="s">
        <v>38</v>
      </c>
      <c r="E1346">
        <v>1999</v>
      </c>
      <c r="F1346">
        <v>1</v>
      </c>
      <c r="G1346">
        <v>12</v>
      </c>
      <c r="H1346">
        <v>3</v>
      </c>
      <c r="I1346">
        <v>112</v>
      </c>
      <c r="K1346" s="13">
        <v>45897</v>
      </c>
      <c r="L1346" t="s">
        <v>687</v>
      </c>
      <c r="M1346">
        <v>9.4</v>
      </c>
    </row>
    <row r="1347" spans="1:13" x14ac:dyDescent="0.25">
      <c r="A1347" t="s">
        <v>34</v>
      </c>
      <c r="D1347" t="s">
        <v>38</v>
      </c>
      <c r="E1347">
        <v>1999</v>
      </c>
      <c r="F1347">
        <v>1</v>
      </c>
      <c r="G1347">
        <v>12</v>
      </c>
      <c r="H1347">
        <v>3</v>
      </c>
      <c r="I1347">
        <v>112</v>
      </c>
      <c r="K1347" s="13">
        <v>45897</v>
      </c>
      <c r="L1347" t="s">
        <v>688</v>
      </c>
      <c r="M1347">
        <v>8.9</v>
      </c>
    </row>
    <row r="1348" spans="1:13" x14ac:dyDescent="0.25">
      <c r="A1348" t="s">
        <v>34</v>
      </c>
      <c r="D1348" t="s">
        <v>38</v>
      </c>
      <c r="E1348">
        <v>1999</v>
      </c>
      <c r="F1348">
        <v>1</v>
      </c>
      <c r="G1348">
        <v>12</v>
      </c>
      <c r="H1348">
        <v>3</v>
      </c>
      <c r="I1348">
        <v>112</v>
      </c>
      <c r="K1348" s="13">
        <v>45897</v>
      </c>
      <c r="L1348" t="s">
        <v>689</v>
      </c>
      <c r="M1348">
        <v>9.1</v>
      </c>
    </row>
    <row r="1349" spans="1:13" x14ac:dyDescent="0.25">
      <c r="A1349" t="s">
        <v>34</v>
      </c>
      <c r="D1349" t="s">
        <v>38</v>
      </c>
      <c r="E1349">
        <v>1999</v>
      </c>
      <c r="F1349">
        <v>1</v>
      </c>
      <c r="G1349">
        <v>12</v>
      </c>
      <c r="H1349">
        <v>3</v>
      </c>
      <c r="I1349">
        <v>112</v>
      </c>
      <c r="K1349" s="13">
        <v>45911</v>
      </c>
      <c r="L1349" t="s">
        <v>687</v>
      </c>
    </row>
    <row r="1350" spans="1:13" x14ac:dyDescent="0.25">
      <c r="A1350" t="s">
        <v>34</v>
      </c>
      <c r="D1350" t="s">
        <v>38</v>
      </c>
      <c r="E1350">
        <v>1999</v>
      </c>
      <c r="F1350">
        <v>1</v>
      </c>
      <c r="G1350">
        <v>12</v>
      </c>
      <c r="H1350">
        <v>3</v>
      </c>
      <c r="I1350">
        <v>112</v>
      </c>
      <c r="K1350" s="13">
        <v>45911</v>
      </c>
      <c r="L1350" t="s">
        <v>688</v>
      </c>
    </row>
    <row r="1351" spans="1:13" x14ac:dyDescent="0.25">
      <c r="A1351" t="s">
        <v>34</v>
      </c>
      <c r="D1351" t="s">
        <v>38</v>
      </c>
      <c r="E1351">
        <v>1999</v>
      </c>
      <c r="F1351">
        <v>1</v>
      </c>
      <c r="G1351">
        <v>12</v>
      </c>
      <c r="H1351">
        <v>3</v>
      </c>
      <c r="I1351">
        <v>112</v>
      </c>
      <c r="K1351" s="13">
        <v>45911</v>
      </c>
      <c r="L1351" t="s">
        <v>689</v>
      </c>
    </row>
    <row r="1352" spans="1:13" x14ac:dyDescent="0.25">
      <c r="A1352" t="s">
        <v>34</v>
      </c>
      <c r="D1352" t="s">
        <v>36</v>
      </c>
      <c r="E1352">
        <v>1984</v>
      </c>
      <c r="F1352">
        <v>2</v>
      </c>
      <c r="G1352">
        <v>12</v>
      </c>
      <c r="H1352">
        <v>3</v>
      </c>
      <c r="I1352">
        <v>128</v>
      </c>
      <c r="K1352" s="13">
        <v>45796</v>
      </c>
      <c r="L1352" t="s">
        <v>687</v>
      </c>
    </row>
    <row r="1353" spans="1:13" x14ac:dyDescent="0.25">
      <c r="A1353" t="s">
        <v>34</v>
      </c>
      <c r="D1353" t="s">
        <v>36</v>
      </c>
      <c r="E1353">
        <v>1984</v>
      </c>
      <c r="F1353">
        <v>2</v>
      </c>
      <c r="G1353">
        <v>12</v>
      </c>
      <c r="H1353">
        <v>3</v>
      </c>
      <c r="I1353">
        <v>128</v>
      </c>
      <c r="K1353" s="13">
        <v>45796</v>
      </c>
      <c r="L1353" t="s">
        <v>688</v>
      </c>
    </row>
    <row r="1354" spans="1:13" x14ac:dyDescent="0.25">
      <c r="A1354" t="s">
        <v>34</v>
      </c>
      <c r="D1354" t="s">
        <v>36</v>
      </c>
      <c r="E1354">
        <v>1984</v>
      </c>
      <c r="F1354">
        <v>2</v>
      </c>
      <c r="G1354">
        <v>12</v>
      </c>
      <c r="H1354">
        <v>3</v>
      </c>
      <c r="I1354">
        <v>128</v>
      </c>
      <c r="K1354" s="13">
        <v>45796</v>
      </c>
      <c r="L1354" t="s">
        <v>689</v>
      </c>
    </row>
    <row r="1355" spans="1:13" x14ac:dyDescent="0.25">
      <c r="A1355" t="s">
        <v>34</v>
      </c>
      <c r="D1355" t="s">
        <v>36</v>
      </c>
      <c r="E1355">
        <v>1984</v>
      </c>
      <c r="F1355">
        <v>2</v>
      </c>
      <c r="G1355">
        <v>12</v>
      </c>
      <c r="H1355">
        <v>3</v>
      </c>
      <c r="I1355">
        <v>128</v>
      </c>
      <c r="K1355" s="13">
        <v>45820</v>
      </c>
      <c r="L1355" t="s">
        <v>687</v>
      </c>
      <c r="M1355">
        <v>2.6</v>
      </c>
    </row>
    <row r="1356" spans="1:13" x14ac:dyDescent="0.25">
      <c r="A1356" t="s">
        <v>34</v>
      </c>
      <c r="D1356" t="s">
        <v>36</v>
      </c>
      <c r="E1356">
        <v>1984</v>
      </c>
      <c r="F1356">
        <v>2</v>
      </c>
      <c r="G1356">
        <v>12</v>
      </c>
      <c r="H1356">
        <v>3</v>
      </c>
      <c r="I1356">
        <v>128</v>
      </c>
      <c r="K1356" s="13">
        <v>45820</v>
      </c>
      <c r="L1356" t="s">
        <v>688</v>
      </c>
      <c r="M1356">
        <v>2.9</v>
      </c>
    </row>
    <row r="1357" spans="1:13" x14ac:dyDescent="0.25">
      <c r="A1357" t="s">
        <v>34</v>
      </c>
      <c r="D1357" t="s">
        <v>36</v>
      </c>
      <c r="E1357">
        <v>1984</v>
      </c>
      <c r="F1357">
        <v>2</v>
      </c>
      <c r="G1357">
        <v>12</v>
      </c>
      <c r="H1357">
        <v>3</v>
      </c>
      <c r="I1357">
        <v>128</v>
      </c>
      <c r="K1357" s="13">
        <v>45820</v>
      </c>
      <c r="L1357" t="s">
        <v>689</v>
      </c>
      <c r="M1357">
        <v>2.9</v>
      </c>
    </row>
    <row r="1358" spans="1:13" x14ac:dyDescent="0.25">
      <c r="A1358" t="s">
        <v>34</v>
      </c>
      <c r="D1358" t="s">
        <v>36</v>
      </c>
      <c r="E1358">
        <v>1984</v>
      </c>
      <c r="F1358">
        <v>2</v>
      </c>
      <c r="G1358">
        <v>12</v>
      </c>
      <c r="H1358">
        <v>3</v>
      </c>
      <c r="I1358">
        <v>128</v>
      </c>
      <c r="K1358" s="13">
        <v>45825</v>
      </c>
      <c r="L1358" t="s">
        <v>687</v>
      </c>
    </row>
    <row r="1359" spans="1:13" x14ac:dyDescent="0.25">
      <c r="A1359" t="s">
        <v>34</v>
      </c>
      <c r="D1359" t="s">
        <v>36</v>
      </c>
      <c r="E1359">
        <v>1984</v>
      </c>
      <c r="F1359">
        <v>2</v>
      </c>
      <c r="G1359">
        <v>12</v>
      </c>
      <c r="H1359">
        <v>3</v>
      </c>
      <c r="I1359">
        <v>128</v>
      </c>
      <c r="K1359" s="13">
        <v>45825</v>
      </c>
      <c r="L1359" t="s">
        <v>688</v>
      </c>
    </row>
    <row r="1360" spans="1:13" x14ac:dyDescent="0.25">
      <c r="A1360" t="s">
        <v>34</v>
      </c>
      <c r="D1360" t="s">
        <v>36</v>
      </c>
      <c r="E1360">
        <v>1984</v>
      </c>
      <c r="F1360">
        <v>2</v>
      </c>
      <c r="G1360">
        <v>12</v>
      </c>
      <c r="H1360">
        <v>3</v>
      </c>
      <c r="I1360">
        <v>128</v>
      </c>
      <c r="K1360" s="13">
        <v>45825</v>
      </c>
      <c r="L1360" t="s">
        <v>689</v>
      </c>
    </row>
    <row r="1361" spans="1:13" x14ac:dyDescent="0.25">
      <c r="A1361" t="s">
        <v>34</v>
      </c>
      <c r="D1361" t="s">
        <v>36</v>
      </c>
      <c r="E1361">
        <v>1984</v>
      </c>
      <c r="F1361">
        <v>2</v>
      </c>
      <c r="G1361">
        <v>12</v>
      </c>
      <c r="H1361">
        <v>3</v>
      </c>
      <c r="I1361">
        <v>128</v>
      </c>
      <c r="K1361" s="13">
        <v>45827</v>
      </c>
      <c r="L1361" t="s">
        <v>687</v>
      </c>
      <c r="M1361">
        <v>3.2</v>
      </c>
    </row>
    <row r="1362" spans="1:13" x14ac:dyDescent="0.25">
      <c r="A1362" t="s">
        <v>34</v>
      </c>
      <c r="D1362" t="s">
        <v>36</v>
      </c>
      <c r="E1362">
        <v>1984</v>
      </c>
      <c r="F1362">
        <v>2</v>
      </c>
      <c r="G1362">
        <v>12</v>
      </c>
      <c r="H1362">
        <v>3</v>
      </c>
      <c r="I1362">
        <v>128</v>
      </c>
      <c r="K1362" s="13">
        <v>45827</v>
      </c>
      <c r="L1362" t="s">
        <v>688</v>
      </c>
      <c r="M1362">
        <v>3.3</v>
      </c>
    </row>
    <row r="1363" spans="1:13" x14ac:dyDescent="0.25">
      <c r="A1363" t="s">
        <v>34</v>
      </c>
      <c r="D1363" t="s">
        <v>36</v>
      </c>
      <c r="E1363">
        <v>1984</v>
      </c>
      <c r="F1363">
        <v>2</v>
      </c>
      <c r="G1363">
        <v>12</v>
      </c>
      <c r="H1363">
        <v>3</v>
      </c>
      <c r="I1363">
        <v>128</v>
      </c>
      <c r="K1363" s="13">
        <v>45827</v>
      </c>
      <c r="L1363" t="s">
        <v>689</v>
      </c>
      <c r="M1363">
        <v>3.4</v>
      </c>
    </row>
    <row r="1364" spans="1:13" x14ac:dyDescent="0.25">
      <c r="A1364" t="s">
        <v>34</v>
      </c>
      <c r="D1364" t="s">
        <v>36</v>
      </c>
      <c r="E1364">
        <v>1984</v>
      </c>
      <c r="F1364">
        <v>2</v>
      </c>
      <c r="G1364">
        <v>12</v>
      </c>
      <c r="H1364">
        <v>3</v>
      </c>
      <c r="I1364">
        <v>128</v>
      </c>
      <c r="K1364" s="13">
        <v>45859</v>
      </c>
      <c r="L1364" t="s">
        <v>687</v>
      </c>
      <c r="M1364">
        <v>6.1</v>
      </c>
    </row>
    <row r="1365" spans="1:13" x14ac:dyDescent="0.25">
      <c r="A1365" t="s">
        <v>34</v>
      </c>
      <c r="D1365" t="s">
        <v>36</v>
      </c>
      <c r="E1365">
        <v>1984</v>
      </c>
      <c r="F1365">
        <v>2</v>
      </c>
      <c r="G1365">
        <v>12</v>
      </c>
      <c r="H1365">
        <v>3</v>
      </c>
      <c r="I1365">
        <v>128</v>
      </c>
      <c r="K1365" s="13">
        <v>45859</v>
      </c>
      <c r="L1365" t="s">
        <v>688</v>
      </c>
      <c r="M1365">
        <v>6.2</v>
      </c>
    </row>
    <row r="1366" spans="1:13" x14ac:dyDescent="0.25">
      <c r="A1366" t="s">
        <v>34</v>
      </c>
      <c r="D1366" t="s">
        <v>36</v>
      </c>
      <c r="E1366">
        <v>1984</v>
      </c>
      <c r="F1366">
        <v>2</v>
      </c>
      <c r="G1366">
        <v>12</v>
      </c>
      <c r="H1366">
        <v>3</v>
      </c>
      <c r="I1366">
        <v>128</v>
      </c>
      <c r="K1366" s="13">
        <v>45859</v>
      </c>
      <c r="L1366" t="s">
        <v>689</v>
      </c>
      <c r="M1366">
        <v>6.3</v>
      </c>
    </row>
    <row r="1367" spans="1:13" x14ac:dyDescent="0.25">
      <c r="A1367" t="s">
        <v>34</v>
      </c>
      <c r="D1367" t="s">
        <v>36</v>
      </c>
      <c r="E1367">
        <v>1984</v>
      </c>
      <c r="F1367">
        <v>2</v>
      </c>
      <c r="G1367">
        <v>12</v>
      </c>
      <c r="H1367">
        <v>3</v>
      </c>
      <c r="I1367">
        <v>128</v>
      </c>
      <c r="K1367" s="13">
        <v>45868</v>
      </c>
      <c r="L1367" t="s">
        <v>687</v>
      </c>
      <c r="M1367">
        <v>6.9</v>
      </c>
    </row>
    <row r="1368" spans="1:13" x14ac:dyDescent="0.25">
      <c r="A1368" t="s">
        <v>34</v>
      </c>
      <c r="D1368" t="s">
        <v>36</v>
      </c>
      <c r="E1368">
        <v>1984</v>
      </c>
      <c r="F1368">
        <v>2</v>
      </c>
      <c r="G1368">
        <v>12</v>
      </c>
      <c r="H1368">
        <v>3</v>
      </c>
      <c r="I1368">
        <v>128</v>
      </c>
      <c r="K1368" s="13">
        <v>45868</v>
      </c>
      <c r="L1368" t="s">
        <v>688</v>
      </c>
      <c r="M1368">
        <v>7.1</v>
      </c>
    </row>
    <row r="1369" spans="1:13" x14ac:dyDescent="0.25">
      <c r="A1369" t="s">
        <v>34</v>
      </c>
      <c r="D1369" t="s">
        <v>36</v>
      </c>
      <c r="E1369">
        <v>1984</v>
      </c>
      <c r="F1369">
        <v>2</v>
      </c>
      <c r="G1369">
        <v>12</v>
      </c>
      <c r="H1369">
        <v>3</v>
      </c>
      <c r="I1369">
        <v>128</v>
      </c>
      <c r="K1369" s="13">
        <v>45868</v>
      </c>
      <c r="L1369" t="s">
        <v>689</v>
      </c>
      <c r="M1369">
        <v>7.3</v>
      </c>
    </row>
    <row r="1370" spans="1:13" x14ac:dyDescent="0.25">
      <c r="A1370" t="s">
        <v>34</v>
      </c>
      <c r="D1370" t="s">
        <v>36</v>
      </c>
      <c r="E1370">
        <v>1984</v>
      </c>
      <c r="F1370">
        <v>2</v>
      </c>
      <c r="G1370">
        <v>12</v>
      </c>
      <c r="H1370">
        <v>3</v>
      </c>
      <c r="I1370">
        <v>128</v>
      </c>
      <c r="K1370" s="13">
        <v>45875</v>
      </c>
      <c r="L1370" t="s">
        <v>687</v>
      </c>
    </row>
    <row r="1371" spans="1:13" x14ac:dyDescent="0.25">
      <c r="A1371" t="s">
        <v>34</v>
      </c>
      <c r="D1371" t="s">
        <v>36</v>
      </c>
      <c r="E1371">
        <v>1984</v>
      </c>
      <c r="F1371">
        <v>2</v>
      </c>
      <c r="G1371">
        <v>12</v>
      </c>
      <c r="H1371">
        <v>3</v>
      </c>
      <c r="I1371">
        <v>128</v>
      </c>
      <c r="K1371" s="13">
        <v>45875</v>
      </c>
      <c r="L1371" t="s">
        <v>688</v>
      </c>
    </row>
    <row r="1372" spans="1:13" x14ac:dyDescent="0.25">
      <c r="A1372" t="s">
        <v>34</v>
      </c>
      <c r="D1372" t="s">
        <v>36</v>
      </c>
      <c r="E1372">
        <v>1984</v>
      </c>
      <c r="F1372">
        <v>2</v>
      </c>
      <c r="G1372">
        <v>12</v>
      </c>
      <c r="H1372">
        <v>3</v>
      </c>
      <c r="I1372">
        <v>128</v>
      </c>
      <c r="K1372" s="13">
        <v>45875</v>
      </c>
      <c r="L1372" t="s">
        <v>689</v>
      </c>
    </row>
    <row r="1373" spans="1:13" x14ac:dyDescent="0.25">
      <c r="A1373" t="s">
        <v>34</v>
      </c>
      <c r="D1373" t="s">
        <v>36</v>
      </c>
      <c r="E1373">
        <v>1984</v>
      </c>
      <c r="F1373">
        <v>2</v>
      </c>
      <c r="G1373">
        <v>12</v>
      </c>
      <c r="H1373">
        <v>3</v>
      </c>
      <c r="I1373">
        <v>128</v>
      </c>
      <c r="K1373" s="13">
        <v>45880</v>
      </c>
      <c r="L1373" t="s">
        <v>687</v>
      </c>
      <c r="M1373">
        <v>8.1</v>
      </c>
    </row>
    <row r="1374" spans="1:13" x14ac:dyDescent="0.25">
      <c r="A1374" t="s">
        <v>34</v>
      </c>
      <c r="D1374" t="s">
        <v>36</v>
      </c>
      <c r="E1374">
        <v>1984</v>
      </c>
      <c r="F1374">
        <v>2</v>
      </c>
      <c r="G1374">
        <v>12</v>
      </c>
      <c r="H1374">
        <v>3</v>
      </c>
      <c r="I1374">
        <v>128</v>
      </c>
      <c r="K1374" s="13">
        <v>45880</v>
      </c>
      <c r="L1374" t="s">
        <v>688</v>
      </c>
      <c r="M1374">
        <v>8.1999999999999993</v>
      </c>
    </row>
    <row r="1375" spans="1:13" x14ac:dyDescent="0.25">
      <c r="A1375" t="s">
        <v>34</v>
      </c>
      <c r="D1375" t="s">
        <v>36</v>
      </c>
      <c r="E1375">
        <v>1984</v>
      </c>
      <c r="F1375">
        <v>2</v>
      </c>
      <c r="G1375">
        <v>12</v>
      </c>
      <c r="H1375">
        <v>3</v>
      </c>
      <c r="I1375">
        <v>128</v>
      </c>
      <c r="K1375" s="13">
        <v>45880</v>
      </c>
      <c r="L1375" t="s">
        <v>689</v>
      </c>
      <c r="M1375">
        <v>8.1</v>
      </c>
    </row>
    <row r="1376" spans="1:13" x14ac:dyDescent="0.25">
      <c r="A1376" t="s">
        <v>34</v>
      </c>
      <c r="D1376" t="s">
        <v>36</v>
      </c>
      <c r="E1376">
        <v>1984</v>
      </c>
      <c r="F1376">
        <v>2</v>
      </c>
      <c r="G1376">
        <v>12</v>
      </c>
      <c r="H1376">
        <v>3</v>
      </c>
      <c r="I1376">
        <v>128</v>
      </c>
      <c r="K1376" s="13">
        <v>45897</v>
      </c>
      <c r="L1376" t="s">
        <v>687</v>
      </c>
      <c r="M1376">
        <v>9.8000000000000007</v>
      </c>
    </row>
    <row r="1377" spans="1:13" x14ac:dyDescent="0.25">
      <c r="A1377" t="s">
        <v>34</v>
      </c>
      <c r="D1377" t="s">
        <v>36</v>
      </c>
      <c r="E1377">
        <v>1984</v>
      </c>
      <c r="F1377">
        <v>2</v>
      </c>
      <c r="G1377">
        <v>12</v>
      </c>
      <c r="H1377">
        <v>3</v>
      </c>
      <c r="I1377">
        <v>128</v>
      </c>
      <c r="K1377" s="13">
        <v>45897</v>
      </c>
      <c r="L1377" t="s">
        <v>688</v>
      </c>
      <c r="M1377">
        <v>9.8000000000000007</v>
      </c>
    </row>
    <row r="1378" spans="1:13" x14ac:dyDescent="0.25">
      <c r="A1378" t="s">
        <v>34</v>
      </c>
      <c r="D1378" t="s">
        <v>36</v>
      </c>
      <c r="E1378">
        <v>1984</v>
      </c>
      <c r="F1378">
        <v>2</v>
      </c>
      <c r="G1378">
        <v>12</v>
      </c>
      <c r="H1378">
        <v>3</v>
      </c>
      <c r="I1378">
        <v>128</v>
      </c>
      <c r="K1378" s="13">
        <v>45897</v>
      </c>
      <c r="L1378" t="s">
        <v>689</v>
      </c>
      <c r="M1378">
        <v>9.8000000000000007</v>
      </c>
    </row>
    <row r="1379" spans="1:13" x14ac:dyDescent="0.25">
      <c r="A1379" t="s">
        <v>34</v>
      </c>
      <c r="D1379" t="s">
        <v>36</v>
      </c>
      <c r="E1379">
        <v>1984</v>
      </c>
      <c r="F1379">
        <v>2</v>
      </c>
      <c r="G1379">
        <v>12</v>
      </c>
      <c r="H1379">
        <v>3</v>
      </c>
      <c r="I1379">
        <v>128</v>
      </c>
      <c r="K1379" s="13">
        <v>45911</v>
      </c>
      <c r="L1379" t="s">
        <v>687</v>
      </c>
    </row>
    <row r="1380" spans="1:13" x14ac:dyDescent="0.25">
      <c r="A1380" t="s">
        <v>34</v>
      </c>
      <c r="D1380" t="s">
        <v>36</v>
      </c>
      <c r="E1380">
        <v>1984</v>
      </c>
      <c r="F1380">
        <v>2</v>
      </c>
      <c r="G1380">
        <v>12</v>
      </c>
      <c r="H1380">
        <v>3</v>
      </c>
      <c r="I1380">
        <v>128</v>
      </c>
      <c r="K1380" s="13">
        <v>45911</v>
      </c>
      <c r="L1380" t="s">
        <v>688</v>
      </c>
    </row>
    <row r="1381" spans="1:13" x14ac:dyDescent="0.25">
      <c r="A1381" t="s">
        <v>34</v>
      </c>
      <c r="D1381" t="s">
        <v>36</v>
      </c>
      <c r="E1381">
        <v>1984</v>
      </c>
      <c r="F1381">
        <v>2</v>
      </c>
      <c r="G1381">
        <v>12</v>
      </c>
      <c r="H1381">
        <v>3</v>
      </c>
      <c r="I1381">
        <v>128</v>
      </c>
      <c r="K1381" s="13">
        <v>45911</v>
      </c>
      <c r="L1381" t="s">
        <v>689</v>
      </c>
    </row>
    <row r="1382" spans="1:13" x14ac:dyDescent="0.25">
      <c r="A1382" t="s">
        <v>34</v>
      </c>
      <c r="D1382" t="s">
        <v>318</v>
      </c>
      <c r="E1382">
        <v>2004</v>
      </c>
      <c r="F1382">
        <v>3</v>
      </c>
      <c r="G1382">
        <v>12</v>
      </c>
      <c r="H1382">
        <v>3</v>
      </c>
      <c r="I1382">
        <v>144</v>
      </c>
      <c r="K1382" s="13">
        <v>45796</v>
      </c>
      <c r="L1382" t="s">
        <v>687</v>
      </c>
    </row>
    <row r="1383" spans="1:13" x14ac:dyDescent="0.25">
      <c r="A1383" t="s">
        <v>34</v>
      </c>
      <c r="D1383" t="s">
        <v>318</v>
      </c>
      <c r="E1383">
        <v>2004</v>
      </c>
      <c r="F1383">
        <v>3</v>
      </c>
      <c r="G1383">
        <v>12</v>
      </c>
      <c r="H1383">
        <v>3</v>
      </c>
      <c r="I1383">
        <v>144</v>
      </c>
      <c r="K1383" s="13">
        <v>45796</v>
      </c>
      <c r="L1383" t="s">
        <v>688</v>
      </c>
    </row>
    <row r="1384" spans="1:13" x14ac:dyDescent="0.25">
      <c r="A1384" t="s">
        <v>34</v>
      </c>
      <c r="D1384" t="s">
        <v>318</v>
      </c>
      <c r="E1384">
        <v>2004</v>
      </c>
      <c r="F1384">
        <v>3</v>
      </c>
      <c r="G1384">
        <v>12</v>
      </c>
      <c r="H1384">
        <v>3</v>
      </c>
      <c r="I1384">
        <v>144</v>
      </c>
      <c r="K1384" s="13">
        <v>45796</v>
      </c>
      <c r="L1384" t="s">
        <v>689</v>
      </c>
    </row>
    <row r="1385" spans="1:13" x14ac:dyDescent="0.25">
      <c r="A1385" t="s">
        <v>34</v>
      </c>
      <c r="D1385" t="s">
        <v>318</v>
      </c>
      <c r="E1385">
        <v>2004</v>
      </c>
      <c r="F1385">
        <v>3</v>
      </c>
      <c r="G1385">
        <v>12</v>
      </c>
      <c r="H1385">
        <v>3</v>
      </c>
      <c r="I1385">
        <v>144</v>
      </c>
      <c r="K1385" s="13">
        <v>45820</v>
      </c>
      <c r="L1385" t="s">
        <v>687</v>
      </c>
      <c r="M1385">
        <v>2.5</v>
      </c>
    </row>
    <row r="1386" spans="1:13" x14ac:dyDescent="0.25">
      <c r="A1386" t="s">
        <v>34</v>
      </c>
      <c r="D1386" t="s">
        <v>318</v>
      </c>
      <c r="E1386">
        <v>2004</v>
      </c>
      <c r="F1386">
        <v>3</v>
      </c>
      <c r="G1386">
        <v>12</v>
      </c>
      <c r="H1386">
        <v>3</v>
      </c>
      <c r="I1386">
        <v>144</v>
      </c>
      <c r="K1386" s="13">
        <v>45820</v>
      </c>
      <c r="L1386" t="s">
        <v>688</v>
      </c>
      <c r="M1386">
        <v>2.7</v>
      </c>
    </row>
    <row r="1387" spans="1:13" x14ac:dyDescent="0.25">
      <c r="A1387" t="s">
        <v>34</v>
      </c>
      <c r="D1387" t="s">
        <v>318</v>
      </c>
      <c r="E1387">
        <v>2004</v>
      </c>
      <c r="F1387">
        <v>3</v>
      </c>
      <c r="G1387">
        <v>12</v>
      </c>
      <c r="H1387">
        <v>3</v>
      </c>
      <c r="I1387">
        <v>144</v>
      </c>
      <c r="K1387" s="13">
        <v>45820</v>
      </c>
      <c r="L1387" t="s">
        <v>689</v>
      </c>
      <c r="M1387">
        <v>2.8</v>
      </c>
    </row>
    <row r="1388" spans="1:13" x14ac:dyDescent="0.25">
      <c r="A1388" t="s">
        <v>34</v>
      </c>
      <c r="D1388" t="s">
        <v>318</v>
      </c>
      <c r="E1388">
        <v>2004</v>
      </c>
      <c r="F1388">
        <v>3</v>
      </c>
      <c r="G1388">
        <v>12</v>
      </c>
      <c r="H1388">
        <v>3</v>
      </c>
      <c r="I1388">
        <v>144</v>
      </c>
      <c r="K1388" s="13">
        <v>45825</v>
      </c>
      <c r="L1388" t="s">
        <v>687</v>
      </c>
    </row>
    <row r="1389" spans="1:13" x14ac:dyDescent="0.25">
      <c r="A1389" t="s">
        <v>34</v>
      </c>
      <c r="D1389" t="s">
        <v>318</v>
      </c>
      <c r="E1389">
        <v>2004</v>
      </c>
      <c r="F1389">
        <v>3</v>
      </c>
      <c r="G1389">
        <v>12</v>
      </c>
      <c r="H1389">
        <v>3</v>
      </c>
      <c r="I1389">
        <v>144</v>
      </c>
      <c r="K1389" s="13">
        <v>45825</v>
      </c>
      <c r="L1389" t="s">
        <v>688</v>
      </c>
    </row>
    <row r="1390" spans="1:13" x14ac:dyDescent="0.25">
      <c r="A1390" t="s">
        <v>34</v>
      </c>
      <c r="D1390" t="s">
        <v>318</v>
      </c>
      <c r="E1390">
        <v>2004</v>
      </c>
      <c r="F1390">
        <v>3</v>
      </c>
      <c r="G1390">
        <v>12</v>
      </c>
      <c r="H1390">
        <v>3</v>
      </c>
      <c r="I1390">
        <v>144</v>
      </c>
      <c r="K1390" s="13">
        <v>45825</v>
      </c>
      <c r="L1390" t="s">
        <v>689</v>
      </c>
    </row>
    <row r="1391" spans="1:13" x14ac:dyDescent="0.25">
      <c r="A1391" t="s">
        <v>34</v>
      </c>
      <c r="D1391" t="s">
        <v>318</v>
      </c>
      <c r="E1391">
        <v>2004</v>
      </c>
      <c r="F1391">
        <v>3</v>
      </c>
      <c r="G1391">
        <v>12</v>
      </c>
      <c r="H1391">
        <v>3</v>
      </c>
      <c r="I1391">
        <v>144</v>
      </c>
      <c r="K1391" s="13">
        <v>45827</v>
      </c>
      <c r="L1391" t="s">
        <v>687</v>
      </c>
      <c r="M1391">
        <v>3.1</v>
      </c>
    </row>
    <row r="1392" spans="1:13" x14ac:dyDescent="0.25">
      <c r="A1392" t="s">
        <v>34</v>
      </c>
      <c r="D1392" t="s">
        <v>318</v>
      </c>
      <c r="E1392">
        <v>2004</v>
      </c>
      <c r="F1392">
        <v>3</v>
      </c>
      <c r="G1392">
        <v>12</v>
      </c>
      <c r="H1392">
        <v>3</v>
      </c>
      <c r="I1392">
        <v>144</v>
      </c>
      <c r="K1392" s="13">
        <v>45827</v>
      </c>
      <c r="L1392" t="s">
        <v>688</v>
      </c>
      <c r="M1392">
        <v>3.1</v>
      </c>
    </row>
    <row r="1393" spans="1:13" x14ac:dyDescent="0.25">
      <c r="A1393" t="s">
        <v>34</v>
      </c>
      <c r="D1393" t="s">
        <v>318</v>
      </c>
      <c r="E1393">
        <v>2004</v>
      </c>
      <c r="F1393">
        <v>3</v>
      </c>
      <c r="G1393">
        <v>12</v>
      </c>
      <c r="H1393">
        <v>3</v>
      </c>
      <c r="I1393">
        <v>144</v>
      </c>
      <c r="K1393" s="13">
        <v>45827</v>
      </c>
      <c r="L1393" t="s">
        <v>689</v>
      </c>
      <c r="M1393">
        <v>3.3</v>
      </c>
    </row>
    <row r="1394" spans="1:13" x14ac:dyDescent="0.25">
      <c r="A1394" t="s">
        <v>34</v>
      </c>
      <c r="D1394" t="s">
        <v>318</v>
      </c>
      <c r="E1394">
        <v>2004</v>
      </c>
      <c r="F1394">
        <v>3</v>
      </c>
      <c r="G1394">
        <v>12</v>
      </c>
      <c r="H1394">
        <v>3</v>
      </c>
      <c r="I1394">
        <v>144</v>
      </c>
      <c r="K1394" s="13">
        <v>45859</v>
      </c>
      <c r="L1394" t="s">
        <v>687</v>
      </c>
      <c r="M1394">
        <v>6.2</v>
      </c>
    </row>
    <row r="1395" spans="1:13" x14ac:dyDescent="0.25">
      <c r="A1395" t="s">
        <v>34</v>
      </c>
      <c r="D1395" t="s">
        <v>318</v>
      </c>
      <c r="E1395">
        <v>2004</v>
      </c>
      <c r="F1395">
        <v>3</v>
      </c>
      <c r="G1395">
        <v>12</v>
      </c>
      <c r="H1395">
        <v>3</v>
      </c>
      <c r="I1395">
        <v>144</v>
      </c>
      <c r="K1395" s="13">
        <v>45859</v>
      </c>
      <c r="L1395" t="s">
        <v>688</v>
      </c>
      <c r="M1395">
        <v>6.4</v>
      </c>
    </row>
    <row r="1396" spans="1:13" x14ac:dyDescent="0.25">
      <c r="A1396" t="s">
        <v>34</v>
      </c>
      <c r="D1396" t="s">
        <v>318</v>
      </c>
      <c r="E1396">
        <v>2004</v>
      </c>
      <c r="F1396">
        <v>3</v>
      </c>
      <c r="G1396">
        <v>12</v>
      </c>
      <c r="H1396">
        <v>3</v>
      </c>
      <c r="I1396">
        <v>144</v>
      </c>
      <c r="K1396" s="13">
        <v>45859</v>
      </c>
      <c r="L1396" t="s">
        <v>689</v>
      </c>
      <c r="M1396">
        <v>6.1</v>
      </c>
    </row>
    <row r="1397" spans="1:13" x14ac:dyDescent="0.25">
      <c r="A1397" t="s">
        <v>34</v>
      </c>
      <c r="D1397" t="s">
        <v>318</v>
      </c>
      <c r="E1397">
        <v>2004</v>
      </c>
      <c r="F1397">
        <v>3</v>
      </c>
      <c r="G1397">
        <v>12</v>
      </c>
      <c r="H1397">
        <v>3</v>
      </c>
      <c r="I1397">
        <v>144</v>
      </c>
      <c r="K1397" s="13">
        <v>45868</v>
      </c>
      <c r="L1397" t="s">
        <v>687</v>
      </c>
      <c r="M1397">
        <v>6.9</v>
      </c>
    </row>
    <row r="1398" spans="1:13" x14ac:dyDescent="0.25">
      <c r="A1398" t="s">
        <v>34</v>
      </c>
      <c r="D1398" t="s">
        <v>318</v>
      </c>
      <c r="E1398">
        <v>2004</v>
      </c>
      <c r="F1398">
        <v>3</v>
      </c>
      <c r="G1398">
        <v>12</v>
      </c>
      <c r="H1398">
        <v>3</v>
      </c>
      <c r="I1398">
        <v>144</v>
      </c>
      <c r="K1398" s="13">
        <v>45868</v>
      </c>
      <c r="L1398" t="s">
        <v>688</v>
      </c>
      <c r="M1398">
        <v>7.1</v>
      </c>
    </row>
    <row r="1399" spans="1:13" x14ac:dyDescent="0.25">
      <c r="A1399" t="s">
        <v>34</v>
      </c>
      <c r="D1399" t="s">
        <v>318</v>
      </c>
      <c r="E1399">
        <v>2004</v>
      </c>
      <c r="F1399">
        <v>3</v>
      </c>
      <c r="G1399">
        <v>12</v>
      </c>
      <c r="H1399">
        <v>3</v>
      </c>
      <c r="I1399">
        <v>144</v>
      </c>
      <c r="K1399" s="13">
        <v>45868</v>
      </c>
      <c r="L1399" t="s">
        <v>689</v>
      </c>
      <c r="M1399">
        <v>7.4</v>
      </c>
    </row>
    <row r="1400" spans="1:13" x14ac:dyDescent="0.25">
      <c r="A1400" t="s">
        <v>34</v>
      </c>
      <c r="D1400" t="s">
        <v>318</v>
      </c>
      <c r="E1400">
        <v>2004</v>
      </c>
      <c r="F1400">
        <v>3</v>
      </c>
      <c r="G1400">
        <v>12</v>
      </c>
      <c r="H1400">
        <v>3</v>
      </c>
      <c r="I1400">
        <v>144</v>
      </c>
      <c r="K1400" s="13">
        <v>45875</v>
      </c>
      <c r="L1400" t="s">
        <v>687</v>
      </c>
    </row>
    <row r="1401" spans="1:13" x14ac:dyDescent="0.25">
      <c r="A1401" t="s">
        <v>34</v>
      </c>
      <c r="D1401" t="s">
        <v>318</v>
      </c>
      <c r="E1401">
        <v>2004</v>
      </c>
      <c r="F1401">
        <v>3</v>
      </c>
      <c r="G1401">
        <v>12</v>
      </c>
      <c r="H1401">
        <v>3</v>
      </c>
      <c r="I1401">
        <v>144</v>
      </c>
      <c r="K1401" s="13">
        <v>45875</v>
      </c>
      <c r="L1401" t="s">
        <v>688</v>
      </c>
    </row>
    <row r="1402" spans="1:13" x14ac:dyDescent="0.25">
      <c r="A1402" t="s">
        <v>34</v>
      </c>
      <c r="D1402" t="s">
        <v>318</v>
      </c>
      <c r="E1402">
        <v>2004</v>
      </c>
      <c r="F1402">
        <v>3</v>
      </c>
      <c r="G1402">
        <v>12</v>
      </c>
      <c r="H1402">
        <v>3</v>
      </c>
      <c r="I1402">
        <v>144</v>
      </c>
      <c r="K1402" s="13">
        <v>45875</v>
      </c>
      <c r="L1402" t="s">
        <v>689</v>
      </c>
    </row>
    <row r="1403" spans="1:13" x14ac:dyDescent="0.25">
      <c r="A1403" t="s">
        <v>34</v>
      </c>
      <c r="D1403" t="s">
        <v>318</v>
      </c>
      <c r="E1403">
        <v>2004</v>
      </c>
      <c r="F1403">
        <v>3</v>
      </c>
      <c r="G1403">
        <v>12</v>
      </c>
      <c r="H1403">
        <v>3</v>
      </c>
      <c r="I1403">
        <v>144</v>
      </c>
      <c r="K1403" s="13">
        <v>45880</v>
      </c>
      <c r="L1403" t="s">
        <v>687</v>
      </c>
      <c r="M1403">
        <v>7.1</v>
      </c>
    </row>
    <row r="1404" spans="1:13" x14ac:dyDescent="0.25">
      <c r="A1404" t="s">
        <v>34</v>
      </c>
      <c r="D1404" t="s">
        <v>318</v>
      </c>
      <c r="E1404">
        <v>2004</v>
      </c>
      <c r="F1404">
        <v>3</v>
      </c>
      <c r="G1404">
        <v>12</v>
      </c>
      <c r="H1404">
        <v>3</v>
      </c>
      <c r="I1404">
        <v>144</v>
      </c>
      <c r="K1404" s="13">
        <v>45880</v>
      </c>
      <c r="L1404" t="s">
        <v>688</v>
      </c>
      <c r="M1404">
        <v>8.1</v>
      </c>
    </row>
    <row r="1405" spans="1:13" x14ac:dyDescent="0.25">
      <c r="A1405" t="s">
        <v>34</v>
      </c>
      <c r="D1405" t="s">
        <v>318</v>
      </c>
      <c r="E1405">
        <v>2004</v>
      </c>
      <c r="F1405">
        <v>3</v>
      </c>
      <c r="G1405">
        <v>12</v>
      </c>
      <c r="H1405">
        <v>3</v>
      </c>
      <c r="I1405">
        <v>144</v>
      </c>
      <c r="K1405" s="13">
        <v>45880</v>
      </c>
      <c r="L1405" t="s">
        <v>689</v>
      </c>
      <c r="M1405">
        <v>8.1</v>
      </c>
    </row>
    <row r="1406" spans="1:13" x14ac:dyDescent="0.25">
      <c r="A1406" t="s">
        <v>34</v>
      </c>
      <c r="D1406" t="s">
        <v>318</v>
      </c>
      <c r="E1406">
        <v>2004</v>
      </c>
      <c r="F1406">
        <v>3</v>
      </c>
      <c r="G1406">
        <v>12</v>
      </c>
      <c r="H1406">
        <v>3</v>
      </c>
      <c r="I1406">
        <v>144</v>
      </c>
      <c r="K1406" s="13">
        <v>45897</v>
      </c>
      <c r="L1406" t="s">
        <v>687</v>
      </c>
      <c r="M1406">
        <v>9.8000000000000007</v>
      </c>
    </row>
    <row r="1407" spans="1:13" x14ac:dyDescent="0.25">
      <c r="A1407" t="s">
        <v>34</v>
      </c>
      <c r="D1407" t="s">
        <v>318</v>
      </c>
      <c r="E1407">
        <v>2004</v>
      </c>
      <c r="F1407">
        <v>3</v>
      </c>
      <c r="G1407">
        <v>12</v>
      </c>
      <c r="H1407">
        <v>3</v>
      </c>
      <c r="I1407">
        <v>144</v>
      </c>
      <c r="K1407" s="13">
        <v>45897</v>
      </c>
      <c r="L1407" t="s">
        <v>688</v>
      </c>
      <c r="M1407">
        <v>10.1</v>
      </c>
    </row>
    <row r="1408" spans="1:13" x14ac:dyDescent="0.25">
      <c r="A1408" t="s">
        <v>34</v>
      </c>
      <c r="D1408" t="s">
        <v>318</v>
      </c>
      <c r="E1408">
        <v>2004</v>
      </c>
      <c r="F1408">
        <v>3</v>
      </c>
      <c r="G1408">
        <v>12</v>
      </c>
      <c r="H1408">
        <v>3</v>
      </c>
      <c r="I1408">
        <v>144</v>
      </c>
      <c r="K1408" s="13">
        <v>45897</v>
      </c>
      <c r="L1408" t="s">
        <v>689</v>
      </c>
    </row>
    <row r="1409" spans="1:13" x14ac:dyDescent="0.25">
      <c r="A1409" t="s">
        <v>34</v>
      </c>
      <c r="D1409" t="s">
        <v>318</v>
      </c>
      <c r="E1409">
        <v>2004</v>
      </c>
      <c r="F1409">
        <v>3</v>
      </c>
      <c r="G1409">
        <v>12</v>
      </c>
      <c r="H1409">
        <v>3</v>
      </c>
      <c r="I1409">
        <v>144</v>
      </c>
      <c r="K1409" s="13">
        <v>45911</v>
      </c>
      <c r="L1409" t="s">
        <v>687</v>
      </c>
    </row>
    <row r="1410" spans="1:13" x14ac:dyDescent="0.25">
      <c r="A1410" t="s">
        <v>34</v>
      </c>
      <c r="D1410" t="s">
        <v>318</v>
      </c>
      <c r="E1410">
        <v>2004</v>
      </c>
      <c r="F1410">
        <v>3</v>
      </c>
      <c r="G1410">
        <v>12</v>
      </c>
      <c r="H1410">
        <v>3</v>
      </c>
      <c r="I1410">
        <v>144</v>
      </c>
      <c r="K1410" s="13">
        <v>45911</v>
      </c>
      <c r="L1410" t="s">
        <v>688</v>
      </c>
    </row>
    <row r="1411" spans="1:13" x14ac:dyDescent="0.25">
      <c r="A1411" t="s">
        <v>34</v>
      </c>
      <c r="D1411" t="s">
        <v>318</v>
      </c>
      <c r="E1411">
        <v>2004</v>
      </c>
      <c r="F1411">
        <v>3</v>
      </c>
      <c r="G1411">
        <v>12</v>
      </c>
      <c r="H1411">
        <v>3</v>
      </c>
      <c r="I1411">
        <v>144</v>
      </c>
      <c r="K1411" s="13">
        <v>45911</v>
      </c>
      <c r="L1411" t="s">
        <v>689</v>
      </c>
    </row>
    <row r="1412" spans="1:13" x14ac:dyDescent="0.25">
      <c r="A1412" t="s">
        <v>34</v>
      </c>
      <c r="D1412" t="s">
        <v>37</v>
      </c>
      <c r="E1412">
        <v>1989</v>
      </c>
      <c r="F1412">
        <v>4</v>
      </c>
      <c r="G1412">
        <v>12</v>
      </c>
      <c r="H1412">
        <v>3</v>
      </c>
      <c r="I1412">
        <v>160</v>
      </c>
      <c r="K1412" s="13">
        <v>45796</v>
      </c>
      <c r="L1412" t="s">
        <v>687</v>
      </c>
    </row>
    <row r="1413" spans="1:13" x14ac:dyDescent="0.25">
      <c r="A1413" t="s">
        <v>34</v>
      </c>
      <c r="D1413" t="s">
        <v>37</v>
      </c>
      <c r="E1413">
        <v>1989</v>
      </c>
      <c r="F1413">
        <v>4</v>
      </c>
      <c r="G1413">
        <v>12</v>
      </c>
      <c r="H1413">
        <v>3</v>
      </c>
      <c r="I1413">
        <v>160</v>
      </c>
      <c r="K1413" s="13">
        <v>45796</v>
      </c>
      <c r="L1413" t="s">
        <v>688</v>
      </c>
    </row>
    <row r="1414" spans="1:13" x14ac:dyDescent="0.25">
      <c r="A1414" t="s">
        <v>34</v>
      </c>
      <c r="D1414" t="s">
        <v>37</v>
      </c>
      <c r="E1414">
        <v>1989</v>
      </c>
      <c r="F1414">
        <v>4</v>
      </c>
      <c r="G1414">
        <v>12</v>
      </c>
      <c r="H1414">
        <v>3</v>
      </c>
      <c r="I1414">
        <v>160</v>
      </c>
      <c r="K1414" s="13">
        <v>45796</v>
      </c>
      <c r="L1414" t="s">
        <v>689</v>
      </c>
    </row>
    <row r="1415" spans="1:13" x14ac:dyDescent="0.25">
      <c r="A1415" t="s">
        <v>34</v>
      </c>
      <c r="D1415" t="s">
        <v>37</v>
      </c>
      <c r="E1415">
        <v>1989</v>
      </c>
      <c r="F1415">
        <v>4</v>
      </c>
      <c r="G1415">
        <v>12</v>
      </c>
      <c r="H1415">
        <v>3</v>
      </c>
      <c r="I1415">
        <v>160</v>
      </c>
      <c r="K1415" s="13">
        <v>45820</v>
      </c>
      <c r="L1415" t="s">
        <v>687</v>
      </c>
      <c r="M1415">
        <v>2.6</v>
      </c>
    </row>
    <row r="1416" spans="1:13" x14ac:dyDescent="0.25">
      <c r="A1416" t="s">
        <v>34</v>
      </c>
      <c r="D1416" t="s">
        <v>37</v>
      </c>
      <c r="E1416">
        <v>1989</v>
      </c>
      <c r="F1416">
        <v>4</v>
      </c>
      <c r="G1416">
        <v>12</v>
      </c>
      <c r="H1416">
        <v>3</v>
      </c>
      <c r="I1416">
        <v>160</v>
      </c>
      <c r="K1416" s="13">
        <v>45820</v>
      </c>
      <c r="L1416" t="s">
        <v>688</v>
      </c>
      <c r="M1416">
        <v>2.7</v>
      </c>
    </row>
    <row r="1417" spans="1:13" x14ac:dyDescent="0.25">
      <c r="A1417" t="s">
        <v>34</v>
      </c>
      <c r="D1417" t="s">
        <v>37</v>
      </c>
      <c r="E1417">
        <v>1989</v>
      </c>
      <c r="F1417">
        <v>4</v>
      </c>
      <c r="G1417">
        <v>12</v>
      </c>
      <c r="H1417">
        <v>3</v>
      </c>
      <c r="I1417">
        <v>160</v>
      </c>
      <c r="K1417" s="13">
        <v>45820</v>
      </c>
      <c r="L1417" t="s">
        <v>689</v>
      </c>
      <c r="M1417">
        <v>2.8</v>
      </c>
    </row>
    <row r="1418" spans="1:13" x14ac:dyDescent="0.25">
      <c r="A1418" t="s">
        <v>34</v>
      </c>
      <c r="D1418" t="s">
        <v>37</v>
      </c>
      <c r="E1418">
        <v>1989</v>
      </c>
      <c r="F1418">
        <v>4</v>
      </c>
      <c r="G1418">
        <v>12</v>
      </c>
      <c r="H1418">
        <v>3</v>
      </c>
      <c r="I1418">
        <v>160</v>
      </c>
      <c r="K1418" s="13">
        <v>45825</v>
      </c>
      <c r="L1418" t="s">
        <v>687</v>
      </c>
    </row>
    <row r="1419" spans="1:13" x14ac:dyDescent="0.25">
      <c r="A1419" t="s">
        <v>34</v>
      </c>
      <c r="D1419" t="s">
        <v>37</v>
      </c>
      <c r="E1419">
        <v>1989</v>
      </c>
      <c r="F1419">
        <v>4</v>
      </c>
      <c r="G1419">
        <v>12</v>
      </c>
      <c r="H1419">
        <v>3</v>
      </c>
      <c r="I1419">
        <v>160</v>
      </c>
      <c r="K1419" s="13">
        <v>45825</v>
      </c>
      <c r="L1419" t="s">
        <v>688</v>
      </c>
    </row>
    <row r="1420" spans="1:13" x14ac:dyDescent="0.25">
      <c r="A1420" t="s">
        <v>34</v>
      </c>
      <c r="D1420" t="s">
        <v>37</v>
      </c>
      <c r="E1420">
        <v>1989</v>
      </c>
      <c r="F1420">
        <v>4</v>
      </c>
      <c r="G1420">
        <v>12</v>
      </c>
      <c r="H1420">
        <v>3</v>
      </c>
      <c r="I1420">
        <v>160</v>
      </c>
      <c r="K1420" s="13">
        <v>45825</v>
      </c>
      <c r="L1420" t="s">
        <v>689</v>
      </c>
    </row>
    <row r="1421" spans="1:13" x14ac:dyDescent="0.25">
      <c r="A1421" t="s">
        <v>34</v>
      </c>
      <c r="D1421" t="s">
        <v>37</v>
      </c>
      <c r="E1421">
        <v>1989</v>
      </c>
      <c r="F1421">
        <v>4</v>
      </c>
      <c r="G1421">
        <v>12</v>
      </c>
      <c r="H1421">
        <v>3</v>
      </c>
      <c r="I1421">
        <v>160</v>
      </c>
      <c r="K1421" s="13">
        <v>45827</v>
      </c>
      <c r="L1421" t="s">
        <v>687</v>
      </c>
      <c r="M1421">
        <v>3.1</v>
      </c>
    </row>
    <row r="1422" spans="1:13" x14ac:dyDescent="0.25">
      <c r="A1422" t="s">
        <v>34</v>
      </c>
      <c r="D1422" t="s">
        <v>37</v>
      </c>
      <c r="E1422">
        <v>1989</v>
      </c>
      <c r="F1422">
        <v>4</v>
      </c>
      <c r="G1422">
        <v>12</v>
      </c>
      <c r="H1422">
        <v>3</v>
      </c>
      <c r="I1422">
        <v>160</v>
      </c>
      <c r="K1422" s="13">
        <v>45827</v>
      </c>
      <c r="L1422" t="s">
        <v>688</v>
      </c>
      <c r="M1422">
        <v>3.2</v>
      </c>
    </row>
    <row r="1423" spans="1:13" x14ac:dyDescent="0.25">
      <c r="A1423" t="s">
        <v>34</v>
      </c>
      <c r="D1423" t="s">
        <v>37</v>
      </c>
      <c r="E1423">
        <v>1989</v>
      </c>
      <c r="F1423">
        <v>4</v>
      </c>
      <c r="G1423">
        <v>12</v>
      </c>
      <c r="H1423">
        <v>3</v>
      </c>
      <c r="I1423">
        <v>160</v>
      </c>
      <c r="K1423" s="13">
        <v>45827</v>
      </c>
      <c r="L1423" t="s">
        <v>689</v>
      </c>
      <c r="M1423">
        <v>3.3</v>
      </c>
    </row>
    <row r="1424" spans="1:13" x14ac:dyDescent="0.25">
      <c r="A1424" t="s">
        <v>34</v>
      </c>
      <c r="D1424" t="s">
        <v>37</v>
      </c>
      <c r="E1424">
        <v>1989</v>
      </c>
      <c r="F1424">
        <v>4</v>
      </c>
      <c r="G1424">
        <v>12</v>
      </c>
      <c r="H1424">
        <v>3</v>
      </c>
      <c r="I1424">
        <v>160</v>
      </c>
      <c r="K1424" s="13">
        <v>45859</v>
      </c>
      <c r="L1424" t="s">
        <v>687</v>
      </c>
      <c r="M1424">
        <v>6.4</v>
      </c>
    </row>
    <row r="1425" spans="1:13" x14ac:dyDescent="0.25">
      <c r="A1425" t="s">
        <v>34</v>
      </c>
      <c r="D1425" t="s">
        <v>37</v>
      </c>
      <c r="E1425">
        <v>1989</v>
      </c>
      <c r="F1425">
        <v>4</v>
      </c>
      <c r="G1425">
        <v>12</v>
      </c>
      <c r="H1425">
        <v>3</v>
      </c>
      <c r="I1425">
        <v>160</v>
      </c>
      <c r="K1425" s="13">
        <v>45859</v>
      </c>
      <c r="L1425" t="s">
        <v>688</v>
      </c>
      <c r="M1425">
        <v>6.2</v>
      </c>
    </row>
    <row r="1426" spans="1:13" x14ac:dyDescent="0.25">
      <c r="A1426" t="s">
        <v>34</v>
      </c>
      <c r="D1426" t="s">
        <v>37</v>
      </c>
      <c r="E1426">
        <v>1989</v>
      </c>
      <c r="F1426">
        <v>4</v>
      </c>
      <c r="G1426">
        <v>12</v>
      </c>
      <c r="H1426">
        <v>3</v>
      </c>
      <c r="I1426">
        <v>160</v>
      </c>
      <c r="K1426" s="13">
        <v>45859</v>
      </c>
      <c r="L1426" t="s">
        <v>689</v>
      </c>
      <c r="M1426">
        <v>6.1</v>
      </c>
    </row>
    <row r="1427" spans="1:13" x14ac:dyDescent="0.25">
      <c r="A1427" t="s">
        <v>34</v>
      </c>
      <c r="D1427" t="s">
        <v>37</v>
      </c>
      <c r="E1427">
        <v>1989</v>
      </c>
      <c r="F1427">
        <v>4</v>
      </c>
      <c r="G1427">
        <v>12</v>
      </c>
      <c r="H1427">
        <v>3</v>
      </c>
      <c r="I1427">
        <v>160</v>
      </c>
      <c r="K1427" s="13">
        <v>45868</v>
      </c>
      <c r="L1427" t="s">
        <v>687</v>
      </c>
      <c r="M1427">
        <v>6.9</v>
      </c>
    </row>
    <row r="1428" spans="1:13" x14ac:dyDescent="0.25">
      <c r="A1428" t="s">
        <v>34</v>
      </c>
      <c r="D1428" t="s">
        <v>37</v>
      </c>
      <c r="E1428">
        <v>1989</v>
      </c>
      <c r="F1428">
        <v>4</v>
      </c>
      <c r="G1428">
        <v>12</v>
      </c>
      <c r="H1428">
        <v>3</v>
      </c>
      <c r="I1428">
        <v>160</v>
      </c>
      <c r="K1428" s="13">
        <v>45868</v>
      </c>
      <c r="L1428" t="s">
        <v>688</v>
      </c>
      <c r="M1428">
        <v>7.3</v>
      </c>
    </row>
    <row r="1429" spans="1:13" x14ac:dyDescent="0.25">
      <c r="A1429" t="s">
        <v>34</v>
      </c>
      <c r="D1429" t="s">
        <v>37</v>
      </c>
      <c r="E1429">
        <v>1989</v>
      </c>
      <c r="F1429">
        <v>4</v>
      </c>
      <c r="G1429">
        <v>12</v>
      </c>
      <c r="H1429">
        <v>3</v>
      </c>
      <c r="I1429">
        <v>160</v>
      </c>
      <c r="K1429" s="13">
        <v>45868</v>
      </c>
      <c r="L1429" t="s">
        <v>689</v>
      </c>
    </row>
    <row r="1430" spans="1:13" x14ac:dyDescent="0.25">
      <c r="A1430" t="s">
        <v>34</v>
      </c>
      <c r="D1430" t="s">
        <v>37</v>
      </c>
      <c r="E1430">
        <v>1989</v>
      </c>
      <c r="F1430">
        <v>4</v>
      </c>
      <c r="G1430">
        <v>12</v>
      </c>
      <c r="H1430">
        <v>3</v>
      </c>
      <c r="I1430">
        <v>160</v>
      </c>
      <c r="K1430" s="13">
        <v>45875</v>
      </c>
      <c r="L1430" t="s">
        <v>687</v>
      </c>
    </row>
    <row r="1431" spans="1:13" x14ac:dyDescent="0.25">
      <c r="A1431" t="s">
        <v>34</v>
      </c>
      <c r="D1431" t="s">
        <v>37</v>
      </c>
      <c r="E1431">
        <v>1989</v>
      </c>
      <c r="F1431">
        <v>4</v>
      </c>
      <c r="G1431">
        <v>12</v>
      </c>
      <c r="H1431">
        <v>3</v>
      </c>
      <c r="I1431">
        <v>160</v>
      </c>
      <c r="K1431" s="13">
        <v>45875</v>
      </c>
      <c r="L1431" t="s">
        <v>688</v>
      </c>
    </row>
    <row r="1432" spans="1:13" x14ac:dyDescent="0.25">
      <c r="A1432" t="s">
        <v>34</v>
      </c>
      <c r="D1432" t="s">
        <v>37</v>
      </c>
      <c r="E1432">
        <v>1989</v>
      </c>
      <c r="F1432">
        <v>4</v>
      </c>
      <c r="G1432">
        <v>12</v>
      </c>
      <c r="H1432">
        <v>3</v>
      </c>
      <c r="I1432">
        <v>160</v>
      </c>
      <c r="K1432" s="13">
        <v>45875</v>
      </c>
      <c r="L1432" t="s">
        <v>689</v>
      </c>
    </row>
    <row r="1433" spans="1:13" x14ac:dyDescent="0.25">
      <c r="A1433" t="s">
        <v>34</v>
      </c>
      <c r="D1433" t="s">
        <v>37</v>
      </c>
      <c r="E1433">
        <v>1989</v>
      </c>
      <c r="F1433">
        <v>4</v>
      </c>
      <c r="G1433">
        <v>12</v>
      </c>
      <c r="H1433">
        <v>3</v>
      </c>
      <c r="I1433">
        <v>160</v>
      </c>
      <c r="K1433" s="13">
        <v>45880</v>
      </c>
      <c r="L1433" t="s">
        <v>687</v>
      </c>
      <c r="M1433">
        <v>8.1999999999999993</v>
      </c>
    </row>
    <row r="1434" spans="1:13" x14ac:dyDescent="0.25">
      <c r="A1434" t="s">
        <v>34</v>
      </c>
      <c r="D1434" t="s">
        <v>37</v>
      </c>
      <c r="E1434">
        <v>1989</v>
      </c>
      <c r="F1434">
        <v>4</v>
      </c>
      <c r="G1434">
        <v>12</v>
      </c>
      <c r="H1434">
        <v>3</v>
      </c>
      <c r="I1434">
        <v>160</v>
      </c>
      <c r="K1434" s="13">
        <v>45880</v>
      </c>
      <c r="L1434" t="s">
        <v>688</v>
      </c>
      <c r="M1434">
        <v>8.1</v>
      </c>
    </row>
    <row r="1435" spans="1:13" x14ac:dyDescent="0.25">
      <c r="A1435" t="s">
        <v>34</v>
      </c>
      <c r="D1435" t="s">
        <v>37</v>
      </c>
      <c r="E1435">
        <v>1989</v>
      </c>
      <c r="F1435">
        <v>4</v>
      </c>
      <c r="G1435">
        <v>12</v>
      </c>
      <c r="H1435">
        <v>3</v>
      </c>
      <c r="I1435">
        <v>160</v>
      </c>
      <c r="K1435" s="13">
        <v>45880</v>
      </c>
      <c r="L1435" t="s">
        <v>689</v>
      </c>
      <c r="M1435">
        <v>8.1</v>
      </c>
    </row>
    <row r="1436" spans="1:13" x14ac:dyDescent="0.25">
      <c r="A1436" t="s">
        <v>34</v>
      </c>
      <c r="D1436" t="s">
        <v>37</v>
      </c>
      <c r="E1436">
        <v>1989</v>
      </c>
      <c r="F1436">
        <v>4</v>
      </c>
      <c r="G1436">
        <v>12</v>
      </c>
      <c r="H1436">
        <v>3</v>
      </c>
      <c r="I1436">
        <v>160</v>
      </c>
      <c r="K1436" s="13">
        <v>45897</v>
      </c>
      <c r="L1436" t="s">
        <v>687</v>
      </c>
      <c r="M1436">
        <v>9.6999999999999993</v>
      </c>
    </row>
    <row r="1437" spans="1:13" x14ac:dyDescent="0.25">
      <c r="A1437" t="s">
        <v>34</v>
      </c>
      <c r="D1437" t="s">
        <v>37</v>
      </c>
      <c r="E1437">
        <v>1989</v>
      </c>
      <c r="F1437">
        <v>4</v>
      </c>
      <c r="G1437">
        <v>12</v>
      </c>
      <c r="H1437">
        <v>3</v>
      </c>
      <c r="I1437">
        <v>160</v>
      </c>
      <c r="K1437" s="13">
        <v>45897</v>
      </c>
      <c r="L1437" t="s">
        <v>688</v>
      </c>
      <c r="M1437">
        <v>9.5</v>
      </c>
    </row>
    <row r="1438" spans="1:13" x14ac:dyDescent="0.25">
      <c r="A1438" t="s">
        <v>34</v>
      </c>
      <c r="D1438" t="s">
        <v>37</v>
      </c>
      <c r="E1438">
        <v>1989</v>
      </c>
      <c r="F1438">
        <v>4</v>
      </c>
      <c r="G1438">
        <v>12</v>
      </c>
      <c r="H1438">
        <v>3</v>
      </c>
      <c r="I1438">
        <v>160</v>
      </c>
      <c r="K1438" s="13">
        <v>45897</v>
      </c>
      <c r="L1438" t="s">
        <v>689</v>
      </c>
    </row>
    <row r="1439" spans="1:13" x14ac:dyDescent="0.25">
      <c r="A1439" t="s">
        <v>34</v>
      </c>
      <c r="D1439" t="s">
        <v>37</v>
      </c>
      <c r="E1439">
        <v>1989</v>
      </c>
      <c r="F1439">
        <v>4</v>
      </c>
      <c r="G1439">
        <v>12</v>
      </c>
      <c r="H1439">
        <v>3</v>
      </c>
      <c r="I1439">
        <v>160</v>
      </c>
      <c r="K1439" s="13">
        <v>45911</v>
      </c>
      <c r="L1439" t="s">
        <v>687</v>
      </c>
    </row>
    <row r="1440" spans="1:13" x14ac:dyDescent="0.25">
      <c r="A1440" t="s">
        <v>34</v>
      </c>
      <c r="D1440" t="s">
        <v>37</v>
      </c>
      <c r="E1440">
        <v>1989</v>
      </c>
      <c r="F1440">
        <v>4</v>
      </c>
      <c r="G1440">
        <v>12</v>
      </c>
      <c r="H1440">
        <v>3</v>
      </c>
      <c r="I1440">
        <v>160</v>
      </c>
      <c r="K1440" s="13">
        <v>45911</v>
      </c>
      <c r="L1440" t="s">
        <v>688</v>
      </c>
    </row>
    <row r="1441" spans="1:13" x14ac:dyDescent="0.25">
      <c r="A1441" t="s">
        <v>34</v>
      </c>
      <c r="D1441" t="s">
        <v>37</v>
      </c>
      <c r="E1441">
        <v>1989</v>
      </c>
      <c r="F1441">
        <v>4</v>
      </c>
      <c r="G1441">
        <v>12</v>
      </c>
      <c r="H1441">
        <v>3</v>
      </c>
      <c r="I1441">
        <v>160</v>
      </c>
      <c r="K1441" s="13">
        <v>45911</v>
      </c>
      <c r="L1441" t="s">
        <v>689</v>
      </c>
    </row>
    <row r="1442" spans="1:13" x14ac:dyDescent="0.25">
      <c r="A1442" t="s">
        <v>24</v>
      </c>
      <c r="D1442" t="s">
        <v>32</v>
      </c>
      <c r="E1442">
        <v>2018</v>
      </c>
      <c r="F1442">
        <v>1</v>
      </c>
      <c r="G1442">
        <v>13</v>
      </c>
      <c r="H1442">
        <v>4</v>
      </c>
      <c r="I1442">
        <v>113</v>
      </c>
      <c r="K1442" s="13">
        <v>45796</v>
      </c>
      <c r="L1442" t="s">
        <v>687</v>
      </c>
      <c r="M1442">
        <v>4.8</v>
      </c>
    </row>
    <row r="1443" spans="1:13" x14ac:dyDescent="0.25">
      <c r="A1443" t="s">
        <v>24</v>
      </c>
      <c r="D1443" t="s">
        <v>32</v>
      </c>
      <c r="E1443">
        <v>2018</v>
      </c>
      <c r="F1443">
        <v>1</v>
      </c>
      <c r="G1443">
        <v>13</v>
      </c>
      <c r="H1443">
        <v>4</v>
      </c>
      <c r="I1443">
        <v>113</v>
      </c>
      <c r="K1443" s="13">
        <v>45796</v>
      </c>
      <c r="L1443" t="s">
        <v>688</v>
      </c>
      <c r="M1443">
        <v>5.2</v>
      </c>
    </row>
    <row r="1444" spans="1:13" x14ac:dyDescent="0.25">
      <c r="A1444" t="s">
        <v>24</v>
      </c>
      <c r="D1444" t="s">
        <v>32</v>
      </c>
      <c r="E1444">
        <v>2018</v>
      </c>
      <c r="F1444">
        <v>1</v>
      </c>
      <c r="G1444">
        <v>13</v>
      </c>
      <c r="H1444">
        <v>4</v>
      </c>
      <c r="I1444">
        <v>113</v>
      </c>
      <c r="K1444" s="13">
        <v>45796</v>
      </c>
      <c r="L1444" t="s">
        <v>689</v>
      </c>
      <c r="M1444">
        <v>5.3</v>
      </c>
    </row>
    <row r="1445" spans="1:13" x14ac:dyDescent="0.25">
      <c r="A1445" t="s">
        <v>24</v>
      </c>
      <c r="D1445" t="s">
        <v>32</v>
      </c>
      <c r="E1445">
        <v>2018</v>
      </c>
      <c r="F1445">
        <v>1</v>
      </c>
      <c r="G1445">
        <v>13</v>
      </c>
      <c r="H1445">
        <v>4</v>
      </c>
      <c r="I1445">
        <v>113</v>
      </c>
      <c r="K1445" s="13">
        <v>45820</v>
      </c>
      <c r="L1445" t="s">
        <v>687</v>
      </c>
    </row>
    <row r="1446" spans="1:13" x14ac:dyDescent="0.25">
      <c r="A1446" t="s">
        <v>24</v>
      </c>
      <c r="D1446" t="s">
        <v>32</v>
      </c>
      <c r="E1446">
        <v>2018</v>
      </c>
      <c r="F1446">
        <v>1</v>
      </c>
      <c r="G1446">
        <v>13</v>
      </c>
      <c r="H1446">
        <v>4</v>
      </c>
      <c r="I1446">
        <v>113</v>
      </c>
      <c r="K1446" s="13">
        <v>45820</v>
      </c>
      <c r="L1446" t="s">
        <v>688</v>
      </c>
    </row>
    <row r="1447" spans="1:13" x14ac:dyDescent="0.25">
      <c r="A1447" t="s">
        <v>24</v>
      </c>
      <c r="D1447" t="s">
        <v>32</v>
      </c>
      <c r="E1447">
        <v>2018</v>
      </c>
      <c r="F1447">
        <v>1</v>
      </c>
      <c r="G1447">
        <v>13</v>
      </c>
      <c r="H1447">
        <v>4</v>
      </c>
      <c r="I1447">
        <v>113</v>
      </c>
      <c r="K1447" s="13">
        <v>45820</v>
      </c>
      <c r="L1447" t="s">
        <v>689</v>
      </c>
    </row>
    <row r="1448" spans="1:13" x14ac:dyDescent="0.25">
      <c r="A1448" t="s">
        <v>24</v>
      </c>
      <c r="D1448" t="s">
        <v>32</v>
      </c>
      <c r="E1448">
        <v>2018</v>
      </c>
      <c r="F1448">
        <v>1</v>
      </c>
      <c r="G1448">
        <v>13</v>
      </c>
      <c r="H1448">
        <v>4</v>
      </c>
      <c r="I1448">
        <v>113</v>
      </c>
      <c r="K1448" s="13">
        <v>45825</v>
      </c>
      <c r="L1448" t="s">
        <v>687</v>
      </c>
      <c r="M1448">
        <v>6.3</v>
      </c>
    </row>
    <row r="1449" spans="1:13" x14ac:dyDescent="0.25">
      <c r="A1449" t="s">
        <v>24</v>
      </c>
      <c r="D1449" t="s">
        <v>32</v>
      </c>
      <c r="E1449">
        <v>2018</v>
      </c>
      <c r="F1449">
        <v>1</v>
      </c>
      <c r="G1449">
        <v>13</v>
      </c>
      <c r="H1449">
        <v>4</v>
      </c>
      <c r="I1449">
        <v>113</v>
      </c>
      <c r="K1449" s="13">
        <v>45825</v>
      </c>
      <c r="L1449" t="s">
        <v>688</v>
      </c>
      <c r="M1449">
        <v>6.3</v>
      </c>
    </row>
    <row r="1450" spans="1:13" x14ac:dyDescent="0.25">
      <c r="A1450" t="s">
        <v>24</v>
      </c>
      <c r="D1450" t="s">
        <v>32</v>
      </c>
      <c r="E1450">
        <v>2018</v>
      </c>
      <c r="F1450">
        <v>1</v>
      </c>
      <c r="G1450">
        <v>13</v>
      </c>
      <c r="H1450">
        <v>4</v>
      </c>
      <c r="I1450">
        <v>113</v>
      </c>
      <c r="K1450" s="13">
        <v>45825</v>
      </c>
      <c r="L1450" t="s">
        <v>689</v>
      </c>
      <c r="M1450">
        <v>6.7</v>
      </c>
    </row>
    <row r="1451" spans="1:13" x14ac:dyDescent="0.25">
      <c r="A1451" t="s">
        <v>24</v>
      </c>
      <c r="D1451" t="s">
        <v>32</v>
      </c>
      <c r="E1451">
        <v>2018</v>
      </c>
      <c r="F1451">
        <v>1</v>
      </c>
      <c r="G1451">
        <v>13</v>
      </c>
      <c r="H1451">
        <v>4</v>
      </c>
      <c r="I1451">
        <v>113</v>
      </c>
      <c r="K1451" s="13">
        <v>45827</v>
      </c>
      <c r="L1451" t="s">
        <v>687</v>
      </c>
    </row>
    <row r="1452" spans="1:13" x14ac:dyDescent="0.25">
      <c r="A1452" t="s">
        <v>24</v>
      </c>
      <c r="D1452" t="s">
        <v>32</v>
      </c>
      <c r="E1452">
        <v>2018</v>
      </c>
      <c r="F1452">
        <v>1</v>
      </c>
      <c r="G1452">
        <v>13</v>
      </c>
      <c r="H1452">
        <v>4</v>
      </c>
      <c r="I1452">
        <v>113</v>
      </c>
      <c r="K1452" s="13">
        <v>45827</v>
      </c>
      <c r="L1452" t="s">
        <v>688</v>
      </c>
    </row>
    <row r="1453" spans="1:13" x14ac:dyDescent="0.25">
      <c r="A1453" t="s">
        <v>24</v>
      </c>
      <c r="D1453" t="s">
        <v>32</v>
      </c>
      <c r="E1453">
        <v>2018</v>
      </c>
      <c r="F1453">
        <v>1</v>
      </c>
      <c r="G1453">
        <v>13</v>
      </c>
      <c r="H1453">
        <v>4</v>
      </c>
      <c r="I1453">
        <v>113</v>
      </c>
      <c r="K1453" s="13">
        <v>45827</v>
      </c>
      <c r="L1453" t="s">
        <v>689</v>
      </c>
    </row>
    <row r="1454" spans="1:13" x14ac:dyDescent="0.25">
      <c r="A1454" t="s">
        <v>24</v>
      </c>
      <c r="D1454" t="s">
        <v>32</v>
      </c>
      <c r="E1454">
        <v>2018</v>
      </c>
      <c r="F1454">
        <v>1</v>
      </c>
      <c r="G1454">
        <v>13</v>
      </c>
      <c r="H1454">
        <v>4</v>
      </c>
      <c r="I1454">
        <v>113</v>
      </c>
      <c r="K1454" s="13">
        <v>45859</v>
      </c>
      <c r="L1454" t="s">
        <v>687</v>
      </c>
    </row>
    <row r="1455" spans="1:13" x14ac:dyDescent="0.25">
      <c r="A1455" t="s">
        <v>24</v>
      </c>
      <c r="D1455" t="s">
        <v>32</v>
      </c>
      <c r="E1455">
        <v>2018</v>
      </c>
      <c r="F1455">
        <v>1</v>
      </c>
      <c r="G1455">
        <v>13</v>
      </c>
      <c r="H1455">
        <v>4</v>
      </c>
      <c r="I1455">
        <v>113</v>
      </c>
      <c r="K1455" s="13">
        <v>45859</v>
      </c>
      <c r="L1455" t="s">
        <v>688</v>
      </c>
    </row>
    <row r="1456" spans="1:13" x14ac:dyDescent="0.25">
      <c r="A1456" t="s">
        <v>24</v>
      </c>
      <c r="D1456" t="s">
        <v>32</v>
      </c>
      <c r="E1456">
        <v>2018</v>
      </c>
      <c r="F1456">
        <v>1</v>
      </c>
      <c r="G1456">
        <v>13</v>
      </c>
      <c r="H1456">
        <v>4</v>
      </c>
      <c r="I1456">
        <v>113</v>
      </c>
      <c r="K1456" s="13">
        <v>45859</v>
      </c>
      <c r="L1456" t="s">
        <v>689</v>
      </c>
    </row>
    <row r="1457" spans="1:13" x14ac:dyDescent="0.25">
      <c r="A1457" t="s">
        <v>24</v>
      </c>
      <c r="D1457" t="s">
        <v>32</v>
      </c>
      <c r="E1457">
        <v>2018</v>
      </c>
      <c r="F1457">
        <v>1</v>
      </c>
      <c r="G1457">
        <v>13</v>
      </c>
      <c r="H1457">
        <v>4</v>
      </c>
      <c r="I1457">
        <v>113</v>
      </c>
      <c r="K1457" s="13">
        <v>45868</v>
      </c>
      <c r="L1457" t="s">
        <v>687</v>
      </c>
      <c r="M1457">
        <v>9.6</v>
      </c>
    </row>
    <row r="1458" spans="1:13" x14ac:dyDescent="0.25">
      <c r="A1458" t="s">
        <v>24</v>
      </c>
      <c r="D1458" t="s">
        <v>32</v>
      </c>
      <c r="E1458">
        <v>2018</v>
      </c>
      <c r="F1458">
        <v>1</v>
      </c>
      <c r="G1458">
        <v>13</v>
      </c>
      <c r="H1458">
        <v>4</v>
      </c>
      <c r="I1458">
        <v>113</v>
      </c>
      <c r="K1458" s="13">
        <v>45868</v>
      </c>
      <c r="L1458" t="s">
        <v>688</v>
      </c>
      <c r="M1458">
        <v>9.6</v>
      </c>
    </row>
    <row r="1459" spans="1:13" x14ac:dyDescent="0.25">
      <c r="A1459" t="s">
        <v>24</v>
      </c>
      <c r="D1459" t="s">
        <v>32</v>
      </c>
      <c r="E1459">
        <v>2018</v>
      </c>
      <c r="F1459">
        <v>1</v>
      </c>
      <c r="G1459">
        <v>13</v>
      </c>
      <c r="H1459">
        <v>4</v>
      </c>
      <c r="I1459">
        <v>113</v>
      </c>
      <c r="K1459" s="13">
        <v>45868</v>
      </c>
      <c r="L1459" t="s">
        <v>689</v>
      </c>
    </row>
    <row r="1460" spans="1:13" x14ac:dyDescent="0.25">
      <c r="A1460" t="s">
        <v>24</v>
      </c>
      <c r="D1460" t="s">
        <v>32</v>
      </c>
      <c r="E1460">
        <v>2018</v>
      </c>
      <c r="F1460">
        <v>1</v>
      </c>
      <c r="G1460">
        <v>13</v>
      </c>
      <c r="H1460">
        <v>4</v>
      </c>
      <c r="I1460">
        <v>113</v>
      </c>
      <c r="K1460" s="13">
        <v>45875</v>
      </c>
      <c r="L1460" t="s">
        <v>687</v>
      </c>
      <c r="M1460">
        <v>10.3</v>
      </c>
    </row>
    <row r="1461" spans="1:13" x14ac:dyDescent="0.25">
      <c r="A1461" t="s">
        <v>24</v>
      </c>
      <c r="D1461" t="s">
        <v>32</v>
      </c>
      <c r="E1461">
        <v>2018</v>
      </c>
      <c r="F1461">
        <v>1</v>
      </c>
      <c r="G1461">
        <v>13</v>
      </c>
      <c r="H1461">
        <v>4</v>
      </c>
      <c r="I1461">
        <v>113</v>
      </c>
      <c r="K1461" s="13">
        <v>45875</v>
      </c>
      <c r="L1461" t="s">
        <v>688</v>
      </c>
      <c r="M1461">
        <v>10.199999999999999</v>
      </c>
    </row>
    <row r="1462" spans="1:13" x14ac:dyDescent="0.25">
      <c r="A1462" t="s">
        <v>24</v>
      </c>
      <c r="D1462" t="s">
        <v>32</v>
      </c>
      <c r="E1462">
        <v>2018</v>
      </c>
      <c r="F1462">
        <v>1</v>
      </c>
      <c r="G1462">
        <v>13</v>
      </c>
      <c r="H1462">
        <v>4</v>
      </c>
      <c r="I1462">
        <v>113</v>
      </c>
      <c r="K1462" s="13">
        <v>45875</v>
      </c>
      <c r="L1462" t="s">
        <v>689</v>
      </c>
      <c r="M1462">
        <v>9.6999999999999993</v>
      </c>
    </row>
    <row r="1463" spans="1:13" x14ac:dyDescent="0.25">
      <c r="A1463" t="s">
        <v>24</v>
      </c>
      <c r="D1463" t="s">
        <v>32</v>
      </c>
      <c r="E1463">
        <v>2018</v>
      </c>
      <c r="F1463">
        <v>1</v>
      </c>
      <c r="G1463">
        <v>13</v>
      </c>
      <c r="H1463">
        <v>4</v>
      </c>
      <c r="I1463">
        <v>113</v>
      </c>
      <c r="K1463" s="13">
        <v>45880</v>
      </c>
      <c r="L1463" t="s">
        <v>687</v>
      </c>
    </row>
    <row r="1464" spans="1:13" x14ac:dyDescent="0.25">
      <c r="A1464" t="s">
        <v>24</v>
      </c>
      <c r="D1464" t="s">
        <v>32</v>
      </c>
      <c r="E1464">
        <v>2018</v>
      </c>
      <c r="F1464">
        <v>1</v>
      </c>
      <c r="G1464">
        <v>13</v>
      </c>
      <c r="H1464">
        <v>4</v>
      </c>
      <c r="I1464">
        <v>113</v>
      </c>
      <c r="K1464" s="13">
        <v>45880</v>
      </c>
      <c r="L1464" t="s">
        <v>688</v>
      </c>
    </row>
    <row r="1465" spans="1:13" x14ac:dyDescent="0.25">
      <c r="A1465" t="s">
        <v>24</v>
      </c>
      <c r="D1465" t="s">
        <v>32</v>
      </c>
      <c r="E1465">
        <v>2018</v>
      </c>
      <c r="F1465">
        <v>1</v>
      </c>
      <c r="G1465">
        <v>13</v>
      </c>
      <c r="H1465">
        <v>4</v>
      </c>
      <c r="I1465">
        <v>113</v>
      </c>
      <c r="K1465" s="13">
        <v>45880</v>
      </c>
      <c r="L1465" t="s">
        <v>689</v>
      </c>
    </row>
    <row r="1466" spans="1:13" x14ac:dyDescent="0.25">
      <c r="A1466" t="s">
        <v>24</v>
      </c>
      <c r="D1466" t="s">
        <v>32</v>
      </c>
      <c r="E1466">
        <v>2018</v>
      </c>
      <c r="F1466">
        <v>1</v>
      </c>
      <c r="G1466">
        <v>13</v>
      </c>
      <c r="H1466">
        <v>4</v>
      </c>
      <c r="I1466">
        <v>113</v>
      </c>
      <c r="K1466" s="13">
        <v>45897</v>
      </c>
      <c r="L1466" t="s">
        <v>687</v>
      </c>
      <c r="M1466">
        <v>12.1</v>
      </c>
    </row>
    <row r="1467" spans="1:13" x14ac:dyDescent="0.25">
      <c r="A1467" t="s">
        <v>24</v>
      </c>
      <c r="D1467" t="s">
        <v>32</v>
      </c>
      <c r="E1467">
        <v>2018</v>
      </c>
      <c r="F1467">
        <v>1</v>
      </c>
      <c r="G1467">
        <v>13</v>
      </c>
      <c r="H1467">
        <v>4</v>
      </c>
      <c r="I1467">
        <v>113</v>
      </c>
      <c r="K1467" s="13">
        <v>45897</v>
      </c>
      <c r="L1467" t="s">
        <v>688</v>
      </c>
      <c r="M1467">
        <v>11.9</v>
      </c>
    </row>
    <row r="1468" spans="1:13" x14ac:dyDescent="0.25">
      <c r="A1468" t="s">
        <v>24</v>
      </c>
      <c r="D1468" t="s">
        <v>32</v>
      </c>
      <c r="E1468">
        <v>2018</v>
      </c>
      <c r="F1468">
        <v>1</v>
      </c>
      <c r="G1468">
        <v>13</v>
      </c>
      <c r="H1468">
        <v>4</v>
      </c>
      <c r="I1468">
        <v>113</v>
      </c>
      <c r="K1468" s="13">
        <v>45897</v>
      </c>
      <c r="L1468" t="s">
        <v>689</v>
      </c>
    </row>
    <row r="1469" spans="1:13" x14ac:dyDescent="0.25">
      <c r="A1469" t="s">
        <v>24</v>
      </c>
      <c r="D1469" t="s">
        <v>32</v>
      </c>
      <c r="E1469">
        <v>2018</v>
      </c>
      <c r="F1469">
        <v>1</v>
      </c>
      <c r="G1469">
        <v>13</v>
      </c>
      <c r="H1469">
        <v>4</v>
      </c>
      <c r="I1469">
        <v>113</v>
      </c>
      <c r="K1469" s="13">
        <v>45911</v>
      </c>
      <c r="L1469" t="s">
        <v>687</v>
      </c>
    </row>
    <row r="1470" spans="1:13" x14ac:dyDescent="0.25">
      <c r="A1470" t="s">
        <v>24</v>
      </c>
      <c r="D1470" t="s">
        <v>32</v>
      </c>
      <c r="E1470">
        <v>2018</v>
      </c>
      <c r="F1470">
        <v>1</v>
      </c>
      <c r="G1470">
        <v>13</v>
      </c>
      <c r="H1470">
        <v>4</v>
      </c>
      <c r="I1470">
        <v>113</v>
      </c>
      <c r="K1470" s="13">
        <v>45911</v>
      </c>
      <c r="L1470" t="s">
        <v>688</v>
      </c>
    </row>
    <row r="1471" spans="1:13" x14ac:dyDescent="0.25">
      <c r="A1471" t="s">
        <v>24</v>
      </c>
      <c r="D1471" t="s">
        <v>32</v>
      </c>
      <c r="E1471">
        <v>2018</v>
      </c>
      <c r="F1471">
        <v>1</v>
      </c>
      <c r="G1471">
        <v>13</v>
      </c>
      <c r="H1471">
        <v>4</v>
      </c>
      <c r="I1471">
        <v>113</v>
      </c>
      <c r="K1471" s="13">
        <v>45911</v>
      </c>
      <c r="L1471" t="s">
        <v>689</v>
      </c>
    </row>
    <row r="1472" spans="1:13" x14ac:dyDescent="0.25">
      <c r="A1472" t="s">
        <v>24</v>
      </c>
      <c r="D1472" t="s">
        <v>26</v>
      </c>
      <c r="E1472">
        <v>1983</v>
      </c>
      <c r="F1472">
        <v>2</v>
      </c>
      <c r="G1472">
        <v>13</v>
      </c>
      <c r="H1472">
        <v>4</v>
      </c>
      <c r="I1472">
        <v>129</v>
      </c>
      <c r="K1472" s="13">
        <v>45796</v>
      </c>
      <c r="L1472" t="s">
        <v>687</v>
      </c>
      <c r="M1472">
        <v>4.8</v>
      </c>
    </row>
    <row r="1473" spans="1:13" x14ac:dyDescent="0.25">
      <c r="A1473" t="s">
        <v>24</v>
      </c>
      <c r="D1473" t="s">
        <v>26</v>
      </c>
      <c r="E1473">
        <v>1983</v>
      </c>
      <c r="F1473">
        <v>2</v>
      </c>
      <c r="G1473">
        <v>13</v>
      </c>
      <c r="H1473">
        <v>4</v>
      </c>
      <c r="I1473">
        <v>129</v>
      </c>
      <c r="K1473" s="13">
        <v>45796</v>
      </c>
      <c r="L1473" t="s">
        <v>688</v>
      </c>
      <c r="M1473">
        <v>5.0999999999999996</v>
      </c>
    </row>
    <row r="1474" spans="1:13" x14ac:dyDescent="0.25">
      <c r="A1474" t="s">
        <v>24</v>
      </c>
      <c r="D1474" t="s">
        <v>26</v>
      </c>
      <c r="E1474">
        <v>1983</v>
      </c>
      <c r="F1474">
        <v>2</v>
      </c>
      <c r="G1474">
        <v>13</v>
      </c>
      <c r="H1474">
        <v>4</v>
      </c>
      <c r="I1474">
        <v>129</v>
      </c>
      <c r="K1474" s="13">
        <v>45796</v>
      </c>
      <c r="L1474" t="s">
        <v>689</v>
      </c>
      <c r="M1474">
        <v>4.9000000000000004</v>
      </c>
    </row>
    <row r="1475" spans="1:13" x14ac:dyDescent="0.25">
      <c r="A1475" t="s">
        <v>24</v>
      </c>
      <c r="D1475" t="s">
        <v>26</v>
      </c>
      <c r="E1475">
        <v>1983</v>
      </c>
      <c r="F1475">
        <v>2</v>
      </c>
      <c r="G1475">
        <v>13</v>
      </c>
      <c r="H1475">
        <v>4</v>
      </c>
      <c r="I1475">
        <v>129</v>
      </c>
      <c r="K1475" s="13">
        <v>45820</v>
      </c>
      <c r="L1475" t="s">
        <v>687</v>
      </c>
    </row>
    <row r="1476" spans="1:13" x14ac:dyDescent="0.25">
      <c r="A1476" t="s">
        <v>24</v>
      </c>
      <c r="D1476" t="s">
        <v>26</v>
      </c>
      <c r="E1476">
        <v>1983</v>
      </c>
      <c r="F1476">
        <v>2</v>
      </c>
      <c r="G1476">
        <v>13</v>
      </c>
      <c r="H1476">
        <v>4</v>
      </c>
      <c r="I1476">
        <v>129</v>
      </c>
      <c r="K1476" s="13">
        <v>45820</v>
      </c>
      <c r="L1476" t="s">
        <v>688</v>
      </c>
    </row>
    <row r="1477" spans="1:13" x14ac:dyDescent="0.25">
      <c r="A1477" t="s">
        <v>24</v>
      </c>
      <c r="D1477" t="s">
        <v>26</v>
      </c>
      <c r="E1477">
        <v>1983</v>
      </c>
      <c r="F1477">
        <v>2</v>
      </c>
      <c r="G1477">
        <v>13</v>
      </c>
      <c r="H1477">
        <v>4</v>
      </c>
      <c r="I1477">
        <v>129</v>
      </c>
      <c r="K1477" s="13">
        <v>45820</v>
      </c>
      <c r="L1477" t="s">
        <v>689</v>
      </c>
    </row>
    <row r="1478" spans="1:13" x14ac:dyDescent="0.25">
      <c r="A1478" t="s">
        <v>24</v>
      </c>
      <c r="D1478" t="s">
        <v>26</v>
      </c>
      <c r="E1478">
        <v>1983</v>
      </c>
      <c r="F1478">
        <v>2</v>
      </c>
      <c r="G1478">
        <v>13</v>
      </c>
      <c r="H1478">
        <v>4</v>
      </c>
      <c r="I1478">
        <v>129</v>
      </c>
      <c r="K1478" s="13">
        <v>45825</v>
      </c>
      <c r="L1478" t="s">
        <v>687</v>
      </c>
      <c r="M1478">
        <v>6.2</v>
      </c>
    </row>
    <row r="1479" spans="1:13" x14ac:dyDescent="0.25">
      <c r="A1479" t="s">
        <v>24</v>
      </c>
      <c r="D1479" t="s">
        <v>26</v>
      </c>
      <c r="E1479">
        <v>1983</v>
      </c>
      <c r="F1479">
        <v>2</v>
      </c>
      <c r="G1479">
        <v>13</v>
      </c>
      <c r="H1479">
        <v>4</v>
      </c>
      <c r="I1479">
        <v>129</v>
      </c>
      <c r="K1479" s="13">
        <v>45825</v>
      </c>
      <c r="L1479" t="s">
        <v>688</v>
      </c>
      <c r="M1479">
        <v>6.4</v>
      </c>
    </row>
    <row r="1480" spans="1:13" x14ac:dyDescent="0.25">
      <c r="A1480" t="s">
        <v>24</v>
      </c>
      <c r="D1480" t="s">
        <v>26</v>
      </c>
      <c r="E1480">
        <v>1983</v>
      </c>
      <c r="F1480">
        <v>2</v>
      </c>
      <c r="G1480">
        <v>13</v>
      </c>
      <c r="H1480">
        <v>4</v>
      </c>
      <c r="I1480">
        <v>129</v>
      </c>
      <c r="K1480" s="13">
        <v>45825</v>
      </c>
      <c r="L1480" t="s">
        <v>689</v>
      </c>
      <c r="M1480">
        <v>6.5</v>
      </c>
    </row>
    <row r="1481" spans="1:13" x14ac:dyDescent="0.25">
      <c r="A1481" t="s">
        <v>24</v>
      </c>
      <c r="D1481" t="s">
        <v>26</v>
      </c>
      <c r="E1481">
        <v>1983</v>
      </c>
      <c r="F1481">
        <v>2</v>
      </c>
      <c r="G1481">
        <v>13</v>
      </c>
      <c r="H1481">
        <v>4</v>
      </c>
      <c r="I1481">
        <v>129</v>
      </c>
      <c r="K1481" s="13">
        <v>45827</v>
      </c>
      <c r="L1481" t="s">
        <v>687</v>
      </c>
    </row>
    <row r="1482" spans="1:13" x14ac:dyDescent="0.25">
      <c r="A1482" t="s">
        <v>24</v>
      </c>
      <c r="D1482" t="s">
        <v>26</v>
      </c>
      <c r="E1482">
        <v>1983</v>
      </c>
      <c r="F1482">
        <v>2</v>
      </c>
      <c r="G1482">
        <v>13</v>
      </c>
      <c r="H1482">
        <v>4</v>
      </c>
      <c r="I1482">
        <v>129</v>
      </c>
      <c r="K1482" s="13">
        <v>45827</v>
      </c>
      <c r="L1482" t="s">
        <v>688</v>
      </c>
    </row>
    <row r="1483" spans="1:13" x14ac:dyDescent="0.25">
      <c r="A1483" t="s">
        <v>24</v>
      </c>
      <c r="D1483" t="s">
        <v>26</v>
      </c>
      <c r="E1483">
        <v>1983</v>
      </c>
      <c r="F1483">
        <v>2</v>
      </c>
      <c r="G1483">
        <v>13</v>
      </c>
      <c r="H1483">
        <v>4</v>
      </c>
      <c r="I1483">
        <v>129</v>
      </c>
      <c r="K1483" s="13">
        <v>45827</v>
      </c>
      <c r="L1483" t="s">
        <v>689</v>
      </c>
    </row>
    <row r="1484" spans="1:13" x14ac:dyDescent="0.25">
      <c r="A1484" t="s">
        <v>24</v>
      </c>
      <c r="D1484" t="s">
        <v>26</v>
      </c>
      <c r="E1484">
        <v>1983</v>
      </c>
      <c r="F1484">
        <v>2</v>
      </c>
      <c r="G1484">
        <v>13</v>
      </c>
      <c r="H1484">
        <v>4</v>
      </c>
      <c r="I1484">
        <v>129</v>
      </c>
      <c r="K1484" s="13">
        <v>45859</v>
      </c>
      <c r="L1484" t="s">
        <v>687</v>
      </c>
    </row>
    <row r="1485" spans="1:13" x14ac:dyDescent="0.25">
      <c r="A1485" t="s">
        <v>24</v>
      </c>
      <c r="D1485" t="s">
        <v>26</v>
      </c>
      <c r="E1485">
        <v>1983</v>
      </c>
      <c r="F1485">
        <v>2</v>
      </c>
      <c r="G1485">
        <v>13</v>
      </c>
      <c r="H1485">
        <v>4</v>
      </c>
      <c r="I1485">
        <v>129</v>
      </c>
      <c r="K1485" s="13">
        <v>45859</v>
      </c>
      <c r="L1485" t="s">
        <v>688</v>
      </c>
    </row>
    <row r="1486" spans="1:13" x14ac:dyDescent="0.25">
      <c r="A1486" t="s">
        <v>24</v>
      </c>
      <c r="D1486" t="s">
        <v>26</v>
      </c>
      <c r="E1486">
        <v>1983</v>
      </c>
      <c r="F1486">
        <v>2</v>
      </c>
      <c r="G1486">
        <v>13</v>
      </c>
      <c r="H1486">
        <v>4</v>
      </c>
      <c r="I1486">
        <v>129</v>
      </c>
      <c r="K1486" s="13">
        <v>45859</v>
      </c>
      <c r="L1486" t="s">
        <v>689</v>
      </c>
    </row>
    <row r="1487" spans="1:13" x14ac:dyDescent="0.25">
      <c r="A1487" t="s">
        <v>24</v>
      </c>
      <c r="D1487" t="s">
        <v>26</v>
      </c>
      <c r="E1487">
        <v>1983</v>
      </c>
      <c r="F1487">
        <v>2</v>
      </c>
      <c r="G1487">
        <v>13</v>
      </c>
      <c r="H1487">
        <v>4</v>
      </c>
      <c r="I1487">
        <v>129</v>
      </c>
      <c r="K1487" s="13">
        <v>45868</v>
      </c>
      <c r="L1487" t="s">
        <v>687</v>
      </c>
      <c r="M1487">
        <v>8.8000000000000007</v>
      </c>
    </row>
    <row r="1488" spans="1:13" x14ac:dyDescent="0.25">
      <c r="A1488" t="s">
        <v>24</v>
      </c>
      <c r="D1488" t="s">
        <v>26</v>
      </c>
      <c r="E1488">
        <v>1983</v>
      </c>
      <c r="F1488">
        <v>2</v>
      </c>
      <c r="G1488">
        <v>13</v>
      </c>
      <c r="H1488">
        <v>4</v>
      </c>
      <c r="I1488">
        <v>129</v>
      </c>
      <c r="K1488" s="13">
        <v>45868</v>
      </c>
      <c r="L1488" t="s">
        <v>688</v>
      </c>
      <c r="M1488">
        <v>8.5</v>
      </c>
    </row>
    <row r="1489" spans="1:13" x14ac:dyDescent="0.25">
      <c r="A1489" t="s">
        <v>24</v>
      </c>
      <c r="D1489" t="s">
        <v>26</v>
      </c>
      <c r="E1489">
        <v>1983</v>
      </c>
      <c r="F1489">
        <v>2</v>
      </c>
      <c r="G1489">
        <v>13</v>
      </c>
      <c r="H1489">
        <v>4</v>
      </c>
      <c r="I1489">
        <v>129</v>
      </c>
      <c r="K1489" s="13">
        <v>45868</v>
      </c>
      <c r="L1489" t="s">
        <v>689</v>
      </c>
    </row>
    <row r="1490" spans="1:13" x14ac:dyDescent="0.25">
      <c r="A1490" t="s">
        <v>24</v>
      </c>
      <c r="D1490" t="s">
        <v>26</v>
      </c>
      <c r="E1490">
        <v>1983</v>
      </c>
      <c r="F1490">
        <v>2</v>
      </c>
      <c r="G1490">
        <v>13</v>
      </c>
      <c r="H1490">
        <v>4</v>
      </c>
      <c r="I1490">
        <v>129</v>
      </c>
      <c r="K1490" s="13">
        <v>45875</v>
      </c>
      <c r="L1490" t="s">
        <v>687</v>
      </c>
      <c r="M1490">
        <v>9.8000000000000007</v>
      </c>
    </row>
    <row r="1491" spans="1:13" x14ac:dyDescent="0.25">
      <c r="A1491" t="s">
        <v>24</v>
      </c>
      <c r="D1491" t="s">
        <v>26</v>
      </c>
      <c r="E1491">
        <v>1983</v>
      </c>
      <c r="F1491">
        <v>2</v>
      </c>
      <c r="G1491">
        <v>13</v>
      </c>
      <c r="H1491">
        <v>4</v>
      </c>
      <c r="I1491">
        <v>129</v>
      </c>
      <c r="K1491" s="13">
        <v>45875</v>
      </c>
      <c r="L1491" t="s">
        <v>688</v>
      </c>
      <c r="M1491">
        <v>9.5</v>
      </c>
    </row>
    <row r="1492" spans="1:13" x14ac:dyDescent="0.25">
      <c r="A1492" t="s">
        <v>24</v>
      </c>
      <c r="D1492" t="s">
        <v>26</v>
      </c>
      <c r="E1492">
        <v>1983</v>
      </c>
      <c r="F1492">
        <v>2</v>
      </c>
      <c r="G1492">
        <v>13</v>
      </c>
      <c r="H1492">
        <v>4</v>
      </c>
      <c r="I1492">
        <v>129</v>
      </c>
      <c r="K1492" s="13">
        <v>45875</v>
      </c>
      <c r="L1492" t="s">
        <v>689</v>
      </c>
      <c r="M1492">
        <v>9.5</v>
      </c>
    </row>
    <row r="1493" spans="1:13" x14ac:dyDescent="0.25">
      <c r="A1493" t="s">
        <v>24</v>
      </c>
      <c r="D1493" t="s">
        <v>26</v>
      </c>
      <c r="E1493">
        <v>1983</v>
      </c>
      <c r="F1493">
        <v>2</v>
      </c>
      <c r="G1493">
        <v>13</v>
      </c>
      <c r="H1493">
        <v>4</v>
      </c>
      <c r="I1493">
        <v>129</v>
      </c>
      <c r="K1493" s="13">
        <v>45880</v>
      </c>
      <c r="L1493" t="s">
        <v>687</v>
      </c>
    </row>
    <row r="1494" spans="1:13" x14ac:dyDescent="0.25">
      <c r="A1494" t="s">
        <v>24</v>
      </c>
      <c r="D1494" t="s">
        <v>26</v>
      </c>
      <c r="E1494">
        <v>1983</v>
      </c>
      <c r="F1494">
        <v>2</v>
      </c>
      <c r="G1494">
        <v>13</v>
      </c>
      <c r="H1494">
        <v>4</v>
      </c>
      <c r="I1494">
        <v>129</v>
      </c>
      <c r="K1494" s="13">
        <v>45880</v>
      </c>
      <c r="L1494" t="s">
        <v>688</v>
      </c>
    </row>
    <row r="1495" spans="1:13" x14ac:dyDescent="0.25">
      <c r="A1495" t="s">
        <v>24</v>
      </c>
      <c r="D1495" t="s">
        <v>26</v>
      </c>
      <c r="E1495">
        <v>1983</v>
      </c>
      <c r="F1495">
        <v>2</v>
      </c>
      <c r="G1495">
        <v>13</v>
      </c>
      <c r="H1495">
        <v>4</v>
      </c>
      <c r="I1495">
        <v>129</v>
      </c>
      <c r="K1495" s="13">
        <v>45880</v>
      </c>
      <c r="L1495" t="s">
        <v>689</v>
      </c>
    </row>
    <row r="1496" spans="1:13" x14ac:dyDescent="0.25">
      <c r="A1496" t="s">
        <v>24</v>
      </c>
      <c r="D1496" t="s">
        <v>26</v>
      </c>
      <c r="E1496">
        <v>1983</v>
      </c>
      <c r="F1496">
        <v>2</v>
      </c>
      <c r="G1496">
        <v>13</v>
      </c>
      <c r="H1496">
        <v>4</v>
      </c>
      <c r="I1496">
        <v>129</v>
      </c>
      <c r="K1496" s="13">
        <v>45897</v>
      </c>
      <c r="L1496" t="s">
        <v>687</v>
      </c>
      <c r="M1496">
        <v>11.8</v>
      </c>
    </row>
    <row r="1497" spans="1:13" x14ac:dyDescent="0.25">
      <c r="A1497" t="s">
        <v>24</v>
      </c>
      <c r="D1497" t="s">
        <v>26</v>
      </c>
      <c r="E1497">
        <v>1983</v>
      </c>
      <c r="F1497">
        <v>2</v>
      </c>
      <c r="G1497">
        <v>13</v>
      </c>
      <c r="H1497">
        <v>4</v>
      </c>
      <c r="I1497">
        <v>129</v>
      </c>
      <c r="K1497" s="13">
        <v>45897</v>
      </c>
      <c r="L1497" t="s">
        <v>688</v>
      </c>
      <c r="M1497">
        <v>11.6</v>
      </c>
    </row>
    <row r="1498" spans="1:13" x14ac:dyDescent="0.25">
      <c r="A1498" t="s">
        <v>24</v>
      </c>
      <c r="D1498" t="s">
        <v>26</v>
      </c>
      <c r="E1498">
        <v>1983</v>
      </c>
      <c r="F1498">
        <v>2</v>
      </c>
      <c r="G1498">
        <v>13</v>
      </c>
      <c r="H1498">
        <v>4</v>
      </c>
      <c r="I1498">
        <v>129</v>
      </c>
      <c r="K1498" s="13">
        <v>45897</v>
      </c>
      <c r="L1498" t="s">
        <v>689</v>
      </c>
      <c r="M1498">
        <v>12.1</v>
      </c>
    </row>
    <row r="1499" spans="1:13" x14ac:dyDescent="0.25">
      <c r="A1499" t="s">
        <v>24</v>
      </c>
      <c r="D1499" t="s">
        <v>26</v>
      </c>
      <c r="E1499">
        <v>1983</v>
      </c>
      <c r="F1499">
        <v>2</v>
      </c>
      <c r="G1499">
        <v>13</v>
      </c>
      <c r="H1499">
        <v>4</v>
      </c>
      <c r="I1499">
        <v>129</v>
      </c>
      <c r="K1499" s="13">
        <v>45911</v>
      </c>
      <c r="L1499" t="s">
        <v>687</v>
      </c>
    </row>
    <row r="1500" spans="1:13" x14ac:dyDescent="0.25">
      <c r="A1500" t="s">
        <v>24</v>
      </c>
      <c r="D1500" t="s">
        <v>26</v>
      </c>
      <c r="E1500">
        <v>1983</v>
      </c>
      <c r="F1500">
        <v>2</v>
      </c>
      <c r="G1500">
        <v>13</v>
      </c>
      <c r="H1500">
        <v>4</v>
      </c>
      <c r="I1500">
        <v>129</v>
      </c>
      <c r="K1500" s="13">
        <v>45911</v>
      </c>
      <c r="L1500" t="s">
        <v>688</v>
      </c>
    </row>
    <row r="1501" spans="1:13" x14ac:dyDescent="0.25">
      <c r="A1501" t="s">
        <v>24</v>
      </c>
      <c r="D1501" t="s">
        <v>26</v>
      </c>
      <c r="E1501">
        <v>1983</v>
      </c>
      <c r="F1501">
        <v>2</v>
      </c>
      <c r="G1501">
        <v>13</v>
      </c>
      <c r="H1501">
        <v>4</v>
      </c>
      <c r="I1501">
        <v>129</v>
      </c>
      <c r="K1501" s="13">
        <v>45911</v>
      </c>
      <c r="L1501" t="s">
        <v>689</v>
      </c>
    </row>
    <row r="1502" spans="1:13" x14ac:dyDescent="0.25">
      <c r="A1502" t="s">
        <v>24</v>
      </c>
      <c r="D1502" t="s">
        <v>311</v>
      </c>
      <c r="E1502">
        <v>2023</v>
      </c>
      <c r="F1502">
        <v>3</v>
      </c>
      <c r="G1502">
        <v>13</v>
      </c>
      <c r="H1502">
        <v>4</v>
      </c>
      <c r="I1502">
        <v>145</v>
      </c>
      <c r="K1502" s="13">
        <v>45796</v>
      </c>
      <c r="L1502" t="s">
        <v>687</v>
      </c>
      <c r="M1502">
        <v>4.8</v>
      </c>
    </row>
    <row r="1503" spans="1:13" x14ac:dyDescent="0.25">
      <c r="A1503" t="s">
        <v>24</v>
      </c>
      <c r="D1503" t="s">
        <v>311</v>
      </c>
      <c r="E1503">
        <v>2023</v>
      </c>
      <c r="F1503">
        <v>3</v>
      </c>
      <c r="G1503">
        <v>13</v>
      </c>
      <c r="H1503">
        <v>4</v>
      </c>
      <c r="I1503">
        <v>145</v>
      </c>
      <c r="K1503" s="13">
        <v>45796</v>
      </c>
      <c r="L1503" t="s">
        <v>688</v>
      </c>
      <c r="M1503">
        <v>5.3</v>
      </c>
    </row>
    <row r="1504" spans="1:13" x14ac:dyDescent="0.25">
      <c r="A1504" t="s">
        <v>24</v>
      </c>
      <c r="D1504" t="s">
        <v>311</v>
      </c>
      <c r="E1504">
        <v>2023</v>
      </c>
      <c r="F1504">
        <v>3</v>
      </c>
      <c r="G1504">
        <v>13</v>
      </c>
      <c r="H1504">
        <v>4</v>
      </c>
      <c r="I1504">
        <v>145</v>
      </c>
      <c r="K1504" s="13">
        <v>45796</v>
      </c>
      <c r="L1504" t="s">
        <v>689</v>
      </c>
      <c r="M1504">
        <v>5.0999999999999996</v>
      </c>
    </row>
    <row r="1505" spans="1:13" x14ac:dyDescent="0.25">
      <c r="A1505" t="s">
        <v>24</v>
      </c>
      <c r="D1505" t="s">
        <v>311</v>
      </c>
      <c r="E1505">
        <v>2023</v>
      </c>
      <c r="F1505">
        <v>3</v>
      </c>
      <c r="G1505">
        <v>13</v>
      </c>
      <c r="H1505">
        <v>4</v>
      </c>
      <c r="I1505">
        <v>145</v>
      </c>
      <c r="K1505" s="13">
        <v>45820</v>
      </c>
      <c r="L1505" t="s">
        <v>687</v>
      </c>
    </row>
    <row r="1506" spans="1:13" x14ac:dyDescent="0.25">
      <c r="A1506" t="s">
        <v>24</v>
      </c>
      <c r="D1506" t="s">
        <v>311</v>
      </c>
      <c r="E1506">
        <v>2023</v>
      </c>
      <c r="F1506">
        <v>3</v>
      </c>
      <c r="G1506">
        <v>13</v>
      </c>
      <c r="H1506">
        <v>4</v>
      </c>
      <c r="I1506">
        <v>145</v>
      </c>
      <c r="K1506" s="13">
        <v>45820</v>
      </c>
      <c r="L1506" t="s">
        <v>688</v>
      </c>
    </row>
    <row r="1507" spans="1:13" x14ac:dyDescent="0.25">
      <c r="A1507" t="s">
        <v>24</v>
      </c>
      <c r="D1507" t="s">
        <v>311</v>
      </c>
      <c r="E1507">
        <v>2023</v>
      </c>
      <c r="F1507">
        <v>3</v>
      </c>
      <c r="G1507">
        <v>13</v>
      </c>
      <c r="H1507">
        <v>4</v>
      </c>
      <c r="I1507">
        <v>145</v>
      </c>
      <c r="K1507" s="13">
        <v>45820</v>
      </c>
      <c r="L1507" t="s">
        <v>689</v>
      </c>
    </row>
    <row r="1508" spans="1:13" x14ac:dyDescent="0.25">
      <c r="A1508" t="s">
        <v>24</v>
      </c>
      <c r="D1508" t="s">
        <v>311</v>
      </c>
      <c r="E1508">
        <v>2023</v>
      </c>
      <c r="F1508">
        <v>3</v>
      </c>
      <c r="G1508">
        <v>13</v>
      </c>
      <c r="H1508">
        <v>4</v>
      </c>
      <c r="I1508">
        <v>145</v>
      </c>
      <c r="K1508" s="13">
        <v>45825</v>
      </c>
      <c r="L1508" t="s">
        <v>687</v>
      </c>
      <c r="M1508">
        <v>6.2</v>
      </c>
    </row>
    <row r="1509" spans="1:13" x14ac:dyDescent="0.25">
      <c r="A1509" t="s">
        <v>24</v>
      </c>
      <c r="D1509" t="s">
        <v>311</v>
      </c>
      <c r="E1509">
        <v>2023</v>
      </c>
      <c r="F1509">
        <v>3</v>
      </c>
      <c r="G1509">
        <v>13</v>
      </c>
      <c r="H1509">
        <v>4</v>
      </c>
      <c r="I1509">
        <v>145</v>
      </c>
      <c r="K1509" s="13">
        <v>45825</v>
      </c>
      <c r="L1509" t="s">
        <v>688</v>
      </c>
      <c r="M1509">
        <v>6.4</v>
      </c>
    </row>
    <row r="1510" spans="1:13" x14ac:dyDescent="0.25">
      <c r="A1510" t="s">
        <v>24</v>
      </c>
      <c r="D1510" t="s">
        <v>311</v>
      </c>
      <c r="E1510">
        <v>2023</v>
      </c>
      <c r="F1510">
        <v>3</v>
      </c>
      <c r="G1510">
        <v>13</v>
      </c>
      <c r="H1510">
        <v>4</v>
      </c>
      <c r="I1510">
        <v>145</v>
      </c>
      <c r="K1510" s="13">
        <v>45825</v>
      </c>
      <c r="L1510" t="s">
        <v>689</v>
      </c>
      <c r="M1510">
        <v>6.5</v>
      </c>
    </row>
    <row r="1511" spans="1:13" x14ac:dyDescent="0.25">
      <c r="A1511" t="s">
        <v>24</v>
      </c>
      <c r="D1511" t="s">
        <v>311</v>
      </c>
      <c r="E1511">
        <v>2023</v>
      </c>
      <c r="F1511">
        <v>3</v>
      </c>
      <c r="G1511">
        <v>13</v>
      </c>
      <c r="H1511">
        <v>4</v>
      </c>
      <c r="I1511">
        <v>145</v>
      </c>
      <c r="K1511" s="13">
        <v>45827</v>
      </c>
      <c r="L1511" t="s">
        <v>687</v>
      </c>
    </row>
    <row r="1512" spans="1:13" x14ac:dyDescent="0.25">
      <c r="A1512" t="s">
        <v>24</v>
      </c>
      <c r="D1512" t="s">
        <v>311</v>
      </c>
      <c r="E1512">
        <v>2023</v>
      </c>
      <c r="F1512">
        <v>3</v>
      </c>
      <c r="G1512">
        <v>13</v>
      </c>
      <c r="H1512">
        <v>4</v>
      </c>
      <c r="I1512">
        <v>145</v>
      </c>
      <c r="K1512" s="13">
        <v>45827</v>
      </c>
      <c r="L1512" t="s">
        <v>688</v>
      </c>
    </row>
    <row r="1513" spans="1:13" x14ac:dyDescent="0.25">
      <c r="A1513" t="s">
        <v>24</v>
      </c>
      <c r="D1513" t="s">
        <v>311</v>
      </c>
      <c r="E1513">
        <v>2023</v>
      </c>
      <c r="F1513">
        <v>3</v>
      </c>
      <c r="G1513">
        <v>13</v>
      </c>
      <c r="H1513">
        <v>4</v>
      </c>
      <c r="I1513">
        <v>145</v>
      </c>
      <c r="K1513" s="13">
        <v>45827</v>
      </c>
      <c r="L1513" t="s">
        <v>689</v>
      </c>
    </row>
    <row r="1514" spans="1:13" x14ac:dyDescent="0.25">
      <c r="A1514" t="s">
        <v>24</v>
      </c>
      <c r="D1514" t="s">
        <v>311</v>
      </c>
      <c r="E1514">
        <v>2023</v>
      </c>
      <c r="F1514">
        <v>3</v>
      </c>
      <c r="G1514">
        <v>13</v>
      </c>
      <c r="H1514">
        <v>4</v>
      </c>
      <c r="I1514">
        <v>145</v>
      </c>
      <c r="K1514" s="13">
        <v>45859</v>
      </c>
      <c r="L1514" t="s">
        <v>687</v>
      </c>
    </row>
    <row r="1515" spans="1:13" x14ac:dyDescent="0.25">
      <c r="A1515" t="s">
        <v>24</v>
      </c>
      <c r="D1515" t="s">
        <v>311</v>
      </c>
      <c r="E1515">
        <v>2023</v>
      </c>
      <c r="F1515">
        <v>3</v>
      </c>
      <c r="G1515">
        <v>13</v>
      </c>
      <c r="H1515">
        <v>4</v>
      </c>
      <c r="I1515">
        <v>145</v>
      </c>
      <c r="K1515" s="13">
        <v>45859</v>
      </c>
      <c r="L1515" t="s">
        <v>688</v>
      </c>
    </row>
    <row r="1516" spans="1:13" x14ac:dyDescent="0.25">
      <c r="A1516" t="s">
        <v>24</v>
      </c>
      <c r="D1516" t="s">
        <v>311</v>
      </c>
      <c r="E1516">
        <v>2023</v>
      </c>
      <c r="F1516">
        <v>3</v>
      </c>
      <c r="G1516">
        <v>13</v>
      </c>
      <c r="H1516">
        <v>4</v>
      </c>
      <c r="I1516">
        <v>145</v>
      </c>
      <c r="K1516" s="13">
        <v>45859</v>
      </c>
      <c r="L1516" t="s">
        <v>689</v>
      </c>
    </row>
    <row r="1517" spans="1:13" x14ac:dyDescent="0.25">
      <c r="A1517" t="s">
        <v>24</v>
      </c>
      <c r="D1517" t="s">
        <v>311</v>
      </c>
      <c r="E1517">
        <v>2023</v>
      </c>
      <c r="F1517">
        <v>3</v>
      </c>
      <c r="G1517">
        <v>13</v>
      </c>
      <c r="H1517">
        <v>4</v>
      </c>
      <c r="I1517">
        <v>145</v>
      </c>
      <c r="K1517" s="13">
        <v>45868</v>
      </c>
      <c r="L1517" t="s">
        <v>687</v>
      </c>
      <c r="M1517">
        <v>8.9</v>
      </c>
    </row>
    <row r="1518" spans="1:13" x14ac:dyDescent="0.25">
      <c r="A1518" t="s">
        <v>24</v>
      </c>
      <c r="D1518" t="s">
        <v>311</v>
      </c>
      <c r="E1518">
        <v>2023</v>
      </c>
      <c r="F1518">
        <v>3</v>
      </c>
      <c r="G1518">
        <v>13</v>
      </c>
      <c r="H1518">
        <v>4</v>
      </c>
      <c r="I1518">
        <v>145</v>
      </c>
      <c r="K1518" s="13">
        <v>45868</v>
      </c>
      <c r="L1518" t="s">
        <v>688</v>
      </c>
      <c r="M1518">
        <v>9.6999999999999993</v>
      </c>
    </row>
    <row r="1519" spans="1:13" x14ac:dyDescent="0.25">
      <c r="A1519" t="s">
        <v>24</v>
      </c>
      <c r="D1519" t="s">
        <v>311</v>
      </c>
      <c r="E1519">
        <v>2023</v>
      </c>
      <c r="F1519">
        <v>3</v>
      </c>
      <c r="G1519">
        <v>13</v>
      </c>
      <c r="H1519">
        <v>4</v>
      </c>
      <c r="I1519">
        <v>145</v>
      </c>
      <c r="K1519" s="13">
        <v>45868</v>
      </c>
      <c r="L1519" t="s">
        <v>689</v>
      </c>
    </row>
    <row r="1520" spans="1:13" x14ac:dyDescent="0.25">
      <c r="A1520" t="s">
        <v>24</v>
      </c>
      <c r="D1520" t="s">
        <v>311</v>
      </c>
      <c r="E1520">
        <v>2023</v>
      </c>
      <c r="F1520">
        <v>3</v>
      </c>
      <c r="G1520">
        <v>13</v>
      </c>
      <c r="H1520">
        <v>4</v>
      </c>
      <c r="I1520">
        <v>145</v>
      </c>
      <c r="K1520" s="13">
        <v>45875</v>
      </c>
      <c r="L1520" t="s">
        <v>687</v>
      </c>
      <c r="M1520">
        <v>9.5</v>
      </c>
    </row>
    <row r="1521" spans="1:13" x14ac:dyDescent="0.25">
      <c r="A1521" t="s">
        <v>24</v>
      </c>
      <c r="D1521" t="s">
        <v>311</v>
      </c>
      <c r="E1521">
        <v>2023</v>
      </c>
      <c r="F1521">
        <v>3</v>
      </c>
      <c r="G1521">
        <v>13</v>
      </c>
      <c r="H1521">
        <v>4</v>
      </c>
      <c r="I1521">
        <v>145</v>
      </c>
      <c r="K1521" s="13">
        <v>45875</v>
      </c>
      <c r="L1521" t="s">
        <v>688</v>
      </c>
      <c r="M1521">
        <v>10.199999999999999</v>
      </c>
    </row>
    <row r="1522" spans="1:13" x14ac:dyDescent="0.25">
      <c r="A1522" t="s">
        <v>24</v>
      </c>
      <c r="D1522" t="s">
        <v>311</v>
      </c>
      <c r="E1522">
        <v>2023</v>
      </c>
      <c r="F1522">
        <v>3</v>
      </c>
      <c r="G1522">
        <v>13</v>
      </c>
      <c r="H1522">
        <v>4</v>
      </c>
      <c r="I1522">
        <v>145</v>
      </c>
      <c r="K1522" s="13">
        <v>45875</v>
      </c>
      <c r="L1522" t="s">
        <v>689</v>
      </c>
      <c r="M1522">
        <v>10.1</v>
      </c>
    </row>
    <row r="1523" spans="1:13" x14ac:dyDescent="0.25">
      <c r="A1523" t="s">
        <v>24</v>
      </c>
      <c r="D1523" t="s">
        <v>311</v>
      </c>
      <c r="E1523">
        <v>2023</v>
      </c>
      <c r="F1523">
        <v>3</v>
      </c>
      <c r="G1523">
        <v>13</v>
      </c>
      <c r="H1523">
        <v>4</v>
      </c>
      <c r="I1523">
        <v>145</v>
      </c>
      <c r="K1523" s="13">
        <v>45880</v>
      </c>
      <c r="L1523" t="s">
        <v>687</v>
      </c>
    </row>
    <row r="1524" spans="1:13" x14ac:dyDescent="0.25">
      <c r="A1524" t="s">
        <v>24</v>
      </c>
      <c r="D1524" t="s">
        <v>311</v>
      </c>
      <c r="E1524">
        <v>2023</v>
      </c>
      <c r="F1524">
        <v>3</v>
      </c>
      <c r="G1524">
        <v>13</v>
      </c>
      <c r="H1524">
        <v>4</v>
      </c>
      <c r="I1524">
        <v>145</v>
      </c>
      <c r="K1524" s="13">
        <v>45880</v>
      </c>
      <c r="L1524" t="s">
        <v>688</v>
      </c>
    </row>
    <row r="1525" spans="1:13" x14ac:dyDescent="0.25">
      <c r="A1525" t="s">
        <v>24</v>
      </c>
      <c r="D1525" t="s">
        <v>311</v>
      </c>
      <c r="E1525">
        <v>2023</v>
      </c>
      <c r="F1525">
        <v>3</v>
      </c>
      <c r="G1525">
        <v>13</v>
      </c>
      <c r="H1525">
        <v>4</v>
      </c>
      <c r="I1525">
        <v>145</v>
      </c>
      <c r="K1525" s="13">
        <v>45880</v>
      </c>
      <c r="L1525" t="s">
        <v>689</v>
      </c>
    </row>
    <row r="1526" spans="1:13" x14ac:dyDescent="0.25">
      <c r="A1526" t="s">
        <v>24</v>
      </c>
      <c r="D1526" t="s">
        <v>311</v>
      </c>
      <c r="E1526">
        <v>2023</v>
      </c>
      <c r="F1526">
        <v>3</v>
      </c>
      <c r="G1526">
        <v>13</v>
      </c>
      <c r="H1526">
        <v>4</v>
      </c>
      <c r="I1526">
        <v>145</v>
      </c>
      <c r="K1526" s="13">
        <v>45897</v>
      </c>
      <c r="L1526" t="s">
        <v>687</v>
      </c>
      <c r="M1526">
        <v>11.2</v>
      </c>
    </row>
    <row r="1527" spans="1:13" x14ac:dyDescent="0.25">
      <c r="A1527" t="s">
        <v>24</v>
      </c>
      <c r="D1527" t="s">
        <v>311</v>
      </c>
      <c r="E1527">
        <v>2023</v>
      </c>
      <c r="F1527">
        <v>3</v>
      </c>
      <c r="G1527">
        <v>13</v>
      </c>
      <c r="H1527">
        <v>4</v>
      </c>
      <c r="I1527">
        <v>145</v>
      </c>
      <c r="K1527" s="13">
        <v>45897</v>
      </c>
      <c r="L1527" t="s">
        <v>688</v>
      </c>
      <c r="M1527">
        <v>11.7</v>
      </c>
    </row>
    <row r="1528" spans="1:13" x14ac:dyDescent="0.25">
      <c r="A1528" t="s">
        <v>24</v>
      </c>
      <c r="D1528" t="s">
        <v>311</v>
      </c>
      <c r="E1528">
        <v>2023</v>
      </c>
      <c r="F1528">
        <v>3</v>
      </c>
      <c r="G1528">
        <v>13</v>
      </c>
      <c r="H1528">
        <v>4</v>
      </c>
      <c r="I1528">
        <v>145</v>
      </c>
      <c r="K1528" s="13">
        <v>45897</v>
      </c>
      <c r="L1528" t="s">
        <v>689</v>
      </c>
      <c r="M1528">
        <v>11.6</v>
      </c>
    </row>
    <row r="1529" spans="1:13" x14ac:dyDescent="0.25">
      <c r="A1529" t="s">
        <v>24</v>
      </c>
      <c r="D1529" t="s">
        <v>311</v>
      </c>
      <c r="E1529">
        <v>2023</v>
      </c>
      <c r="F1529">
        <v>3</v>
      </c>
      <c r="G1529">
        <v>13</v>
      </c>
      <c r="H1529">
        <v>4</v>
      </c>
      <c r="I1529">
        <v>145</v>
      </c>
      <c r="K1529" s="13">
        <v>45911</v>
      </c>
      <c r="L1529" t="s">
        <v>687</v>
      </c>
    </row>
    <row r="1530" spans="1:13" x14ac:dyDescent="0.25">
      <c r="A1530" t="s">
        <v>24</v>
      </c>
      <c r="D1530" t="s">
        <v>311</v>
      </c>
      <c r="E1530">
        <v>2023</v>
      </c>
      <c r="F1530">
        <v>3</v>
      </c>
      <c r="G1530">
        <v>13</v>
      </c>
      <c r="H1530">
        <v>4</v>
      </c>
      <c r="I1530">
        <v>145</v>
      </c>
      <c r="K1530" s="13">
        <v>45911</v>
      </c>
      <c r="L1530" t="s">
        <v>688</v>
      </c>
    </row>
    <row r="1531" spans="1:13" x14ac:dyDescent="0.25">
      <c r="A1531" t="s">
        <v>24</v>
      </c>
      <c r="D1531" t="s">
        <v>311</v>
      </c>
      <c r="E1531">
        <v>2023</v>
      </c>
      <c r="F1531">
        <v>3</v>
      </c>
      <c r="G1531">
        <v>13</v>
      </c>
      <c r="H1531">
        <v>4</v>
      </c>
      <c r="I1531">
        <v>145</v>
      </c>
      <c r="K1531" s="13">
        <v>45911</v>
      </c>
      <c r="L1531" t="s">
        <v>689</v>
      </c>
    </row>
    <row r="1532" spans="1:13" x14ac:dyDescent="0.25">
      <c r="A1532" t="s">
        <v>24</v>
      </c>
      <c r="D1532" t="s">
        <v>28</v>
      </c>
      <c r="E1532">
        <v>1998</v>
      </c>
      <c r="F1532">
        <v>4</v>
      </c>
      <c r="G1532">
        <v>13</v>
      </c>
      <c r="H1532">
        <v>4</v>
      </c>
      <c r="I1532">
        <v>161</v>
      </c>
      <c r="K1532" s="13">
        <v>45796</v>
      </c>
      <c r="L1532" t="s">
        <v>687</v>
      </c>
      <c r="M1532">
        <v>4.9000000000000004</v>
      </c>
    </row>
    <row r="1533" spans="1:13" x14ac:dyDescent="0.25">
      <c r="A1533" t="s">
        <v>24</v>
      </c>
      <c r="D1533" t="s">
        <v>28</v>
      </c>
      <c r="E1533">
        <v>1998</v>
      </c>
      <c r="F1533">
        <v>4</v>
      </c>
      <c r="G1533">
        <v>13</v>
      </c>
      <c r="H1533">
        <v>4</v>
      </c>
      <c r="I1533">
        <v>161</v>
      </c>
      <c r="K1533" s="13">
        <v>45796</v>
      </c>
      <c r="L1533" t="s">
        <v>688</v>
      </c>
      <c r="M1533">
        <v>5.0999999999999996</v>
      </c>
    </row>
    <row r="1534" spans="1:13" x14ac:dyDescent="0.25">
      <c r="A1534" t="s">
        <v>24</v>
      </c>
      <c r="D1534" t="s">
        <v>28</v>
      </c>
      <c r="E1534">
        <v>1998</v>
      </c>
      <c r="F1534">
        <v>4</v>
      </c>
      <c r="G1534">
        <v>13</v>
      </c>
      <c r="H1534">
        <v>4</v>
      </c>
      <c r="I1534">
        <v>161</v>
      </c>
      <c r="K1534" s="13">
        <v>45796</v>
      </c>
      <c r="L1534" t="s">
        <v>689</v>
      </c>
      <c r="M1534">
        <v>5.2</v>
      </c>
    </row>
    <row r="1535" spans="1:13" x14ac:dyDescent="0.25">
      <c r="A1535" t="s">
        <v>24</v>
      </c>
      <c r="D1535" t="s">
        <v>28</v>
      </c>
      <c r="E1535">
        <v>1998</v>
      </c>
      <c r="F1535">
        <v>4</v>
      </c>
      <c r="G1535">
        <v>13</v>
      </c>
      <c r="H1535">
        <v>4</v>
      </c>
      <c r="I1535">
        <v>161</v>
      </c>
      <c r="K1535" s="13">
        <v>45820</v>
      </c>
      <c r="L1535" t="s">
        <v>687</v>
      </c>
    </row>
    <row r="1536" spans="1:13" x14ac:dyDescent="0.25">
      <c r="A1536" t="s">
        <v>24</v>
      </c>
      <c r="D1536" t="s">
        <v>28</v>
      </c>
      <c r="E1536">
        <v>1998</v>
      </c>
      <c r="F1536">
        <v>4</v>
      </c>
      <c r="G1536">
        <v>13</v>
      </c>
      <c r="H1536">
        <v>4</v>
      </c>
      <c r="I1536">
        <v>161</v>
      </c>
      <c r="K1536" s="13">
        <v>45820</v>
      </c>
      <c r="L1536" t="s">
        <v>688</v>
      </c>
    </row>
    <row r="1537" spans="1:13" x14ac:dyDescent="0.25">
      <c r="A1537" t="s">
        <v>24</v>
      </c>
      <c r="D1537" t="s">
        <v>28</v>
      </c>
      <c r="E1537">
        <v>1998</v>
      </c>
      <c r="F1537">
        <v>4</v>
      </c>
      <c r="G1537">
        <v>13</v>
      </c>
      <c r="H1537">
        <v>4</v>
      </c>
      <c r="I1537">
        <v>161</v>
      </c>
      <c r="K1537" s="13">
        <v>45820</v>
      </c>
      <c r="L1537" t="s">
        <v>689</v>
      </c>
    </row>
    <row r="1538" spans="1:13" x14ac:dyDescent="0.25">
      <c r="A1538" t="s">
        <v>24</v>
      </c>
      <c r="D1538" t="s">
        <v>28</v>
      </c>
      <c r="E1538">
        <v>1998</v>
      </c>
      <c r="F1538">
        <v>4</v>
      </c>
      <c r="G1538">
        <v>13</v>
      </c>
      <c r="H1538">
        <v>4</v>
      </c>
      <c r="I1538">
        <v>161</v>
      </c>
      <c r="K1538" s="13">
        <v>45825</v>
      </c>
      <c r="L1538" t="s">
        <v>687</v>
      </c>
      <c r="M1538">
        <v>6.2</v>
      </c>
    </row>
    <row r="1539" spans="1:13" x14ac:dyDescent="0.25">
      <c r="A1539" t="s">
        <v>24</v>
      </c>
      <c r="D1539" t="s">
        <v>28</v>
      </c>
      <c r="E1539">
        <v>1998</v>
      </c>
      <c r="F1539">
        <v>4</v>
      </c>
      <c r="G1539">
        <v>13</v>
      </c>
      <c r="H1539">
        <v>4</v>
      </c>
      <c r="I1539">
        <v>161</v>
      </c>
      <c r="K1539" s="13">
        <v>45825</v>
      </c>
      <c r="L1539" t="s">
        <v>688</v>
      </c>
      <c r="M1539">
        <v>6.3</v>
      </c>
    </row>
    <row r="1540" spans="1:13" x14ac:dyDescent="0.25">
      <c r="A1540" t="s">
        <v>24</v>
      </c>
      <c r="D1540" t="s">
        <v>28</v>
      </c>
      <c r="E1540">
        <v>1998</v>
      </c>
      <c r="F1540">
        <v>4</v>
      </c>
      <c r="G1540">
        <v>13</v>
      </c>
      <c r="H1540">
        <v>4</v>
      </c>
      <c r="I1540">
        <v>161</v>
      </c>
      <c r="K1540" s="13">
        <v>45825</v>
      </c>
      <c r="L1540" t="s">
        <v>689</v>
      </c>
      <c r="M1540">
        <v>6.6</v>
      </c>
    </row>
    <row r="1541" spans="1:13" x14ac:dyDescent="0.25">
      <c r="A1541" t="s">
        <v>24</v>
      </c>
      <c r="D1541" t="s">
        <v>28</v>
      </c>
      <c r="E1541">
        <v>1998</v>
      </c>
      <c r="F1541">
        <v>4</v>
      </c>
      <c r="G1541">
        <v>13</v>
      </c>
      <c r="H1541">
        <v>4</v>
      </c>
      <c r="I1541">
        <v>161</v>
      </c>
      <c r="K1541" s="13">
        <v>45827</v>
      </c>
      <c r="L1541" t="s">
        <v>687</v>
      </c>
    </row>
    <row r="1542" spans="1:13" x14ac:dyDescent="0.25">
      <c r="A1542" t="s">
        <v>24</v>
      </c>
      <c r="D1542" t="s">
        <v>28</v>
      </c>
      <c r="E1542">
        <v>1998</v>
      </c>
      <c r="F1542">
        <v>4</v>
      </c>
      <c r="G1542">
        <v>13</v>
      </c>
      <c r="H1542">
        <v>4</v>
      </c>
      <c r="I1542">
        <v>161</v>
      </c>
      <c r="K1542" s="13">
        <v>45827</v>
      </c>
      <c r="L1542" t="s">
        <v>688</v>
      </c>
    </row>
    <row r="1543" spans="1:13" x14ac:dyDescent="0.25">
      <c r="A1543" t="s">
        <v>24</v>
      </c>
      <c r="D1543" t="s">
        <v>28</v>
      </c>
      <c r="E1543">
        <v>1998</v>
      </c>
      <c r="F1543">
        <v>4</v>
      </c>
      <c r="G1543">
        <v>13</v>
      </c>
      <c r="H1543">
        <v>4</v>
      </c>
      <c r="I1543">
        <v>161</v>
      </c>
      <c r="K1543" s="13">
        <v>45827</v>
      </c>
      <c r="L1543" t="s">
        <v>689</v>
      </c>
    </row>
    <row r="1544" spans="1:13" x14ac:dyDescent="0.25">
      <c r="A1544" t="s">
        <v>24</v>
      </c>
      <c r="D1544" t="s">
        <v>28</v>
      </c>
      <c r="E1544">
        <v>1998</v>
      </c>
      <c r="F1544">
        <v>4</v>
      </c>
      <c r="G1544">
        <v>13</v>
      </c>
      <c r="H1544">
        <v>4</v>
      </c>
      <c r="I1544">
        <v>161</v>
      </c>
      <c r="K1544" s="13">
        <v>45859</v>
      </c>
      <c r="L1544" t="s">
        <v>687</v>
      </c>
    </row>
    <row r="1545" spans="1:13" x14ac:dyDescent="0.25">
      <c r="A1545" t="s">
        <v>24</v>
      </c>
      <c r="D1545" t="s">
        <v>28</v>
      </c>
      <c r="E1545">
        <v>1998</v>
      </c>
      <c r="F1545">
        <v>4</v>
      </c>
      <c r="G1545">
        <v>13</v>
      </c>
      <c r="H1545">
        <v>4</v>
      </c>
      <c r="I1545">
        <v>161</v>
      </c>
      <c r="K1545" s="13">
        <v>45859</v>
      </c>
      <c r="L1545" t="s">
        <v>688</v>
      </c>
    </row>
    <row r="1546" spans="1:13" x14ac:dyDescent="0.25">
      <c r="A1546" t="s">
        <v>24</v>
      </c>
      <c r="D1546" t="s">
        <v>28</v>
      </c>
      <c r="E1546">
        <v>1998</v>
      </c>
      <c r="F1546">
        <v>4</v>
      </c>
      <c r="G1546">
        <v>13</v>
      </c>
      <c r="H1546">
        <v>4</v>
      </c>
      <c r="I1546">
        <v>161</v>
      </c>
      <c r="K1546" s="13">
        <v>45859</v>
      </c>
      <c r="L1546" t="s">
        <v>689</v>
      </c>
    </row>
    <row r="1547" spans="1:13" x14ac:dyDescent="0.25">
      <c r="A1547" t="s">
        <v>24</v>
      </c>
      <c r="D1547" t="s">
        <v>28</v>
      </c>
      <c r="E1547">
        <v>1998</v>
      </c>
      <c r="F1547">
        <v>4</v>
      </c>
      <c r="G1547">
        <v>13</v>
      </c>
      <c r="H1547">
        <v>4</v>
      </c>
      <c r="I1547">
        <v>161</v>
      </c>
      <c r="K1547" s="13">
        <v>45868</v>
      </c>
      <c r="L1547" t="s">
        <v>687</v>
      </c>
      <c r="M1547">
        <v>9.5</v>
      </c>
    </row>
    <row r="1548" spans="1:13" x14ac:dyDescent="0.25">
      <c r="A1548" t="s">
        <v>24</v>
      </c>
      <c r="D1548" t="s">
        <v>28</v>
      </c>
      <c r="E1548">
        <v>1998</v>
      </c>
      <c r="F1548">
        <v>4</v>
      </c>
      <c r="G1548">
        <v>13</v>
      </c>
      <c r="H1548">
        <v>4</v>
      </c>
      <c r="I1548">
        <v>161</v>
      </c>
      <c r="K1548" s="13">
        <v>45868</v>
      </c>
      <c r="L1548" t="s">
        <v>688</v>
      </c>
      <c r="M1548">
        <v>9.6</v>
      </c>
    </row>
    <row r="1549" spans="1:13" x14ac:dyDescent="0.25">
      <c r="A1549" t="s">
        <v>24</v>
      </c>
      <c r="D1549" t="s">
        <v>28</v>
      </c>
      <c r="E1549">
        <v>1998</v>
      </c>
      <c r="F1549">
        <v>4</v>
      </c>
      <c r="G1549">
        <v>13</v>
      </c>
      <c r="H1549">
        <v>4</v>
      </c>
      <c r="I1549">
        <v>161</v>
      </c>
      <c r="K1549" s="13">
        <v>45868</v>
      </c>
      <c r="L1549" t="s">
        <v>689</v>
      </c>
    </row>
    <row r="1550" spans="1:13" x14ac:dyDescent="0.25">
      <c r="A1550" t="s">
        <v>24</v>
      </c>
      <c r="D1550" t="s">
        <v>28</v>
      </c>
      <c r="E1550">
        <v>1998</v>
      </c>
      <c r="F1550">
        <v>4</v>
      </c>
      <c r="G1550">
        <v>13</v>
      </c>
      <c r="H1550">
        <v>4</v>
      </c>
      <c r="I1550">
        <v>161</v>
      </c>
      <c r="K1550" s="13">
        <v>45875</v>
      </c>
      <c r="L1550" t="s">
        <v>687</v>
      </c>
      <c r="M1550">
        <v>9.9</v>
      </c>
    </row>
    <row r="1551" spans="1:13" x14ac:dyDescent="0.25">
      <c r="A1551" t="s">
        <v>24</v>
      </c>
      <c r="D1551" t="s">
        <v>28</v>
      </c>
      <c r="E1551">
        <v>1998</v>
      </c>
      <c r="F1551">
        <v>4</v>
      </c>
      <c r="G1551">
        <v>13</v>
      </c>
      <c r="H1551">
        <v>4</v>
      </c>
      <c r="I1551">
        <v>161</v>
      </c>
      <c r="K1551" s="13">
        <v>45875</v>
      </c>
      <c r="L1551" t="s">
        <v>688</v>
      </c>
      <c r="M1551">
        <v>10.1</v>
      </c>
    </row>
    <row r="1552" spans="1:13" x14ac:dyDescent="0.25">
      <c r="A1552" t="s">
        <v>24</v>
      </c>
      <c r="D1552" t="s">
        <v>28</v>
      </c>
      <c r="E1552">
        <v>1998</v>
      </c>
      <c r="F1552">
        <v>4</v>
      </c>
      <c r="G1552">
        <v>13</v>
      </c>
      <c r="H1552">
        <v>4</v>
      </c>
      <c r="I1552">
        <v>161</v>
      </c>
      <c r="K1552" s="13">
        <v>45875</v>
      </c>
      <c r="L1552" t="s">
        <v>689</v>
      </c>
      <c r="M1552">
        <v>9.8000000000000007</v>
      </c>
    </row>
    <row r="1553" spans="1:13" x14ac:dyDescent="0.25">
      <c r="A1553" t="s">
        <v>24</v>
      </c>
      <c r="D1553" t="s">
        <v>28</v>
      </c>
      <c r="E1553">
        <v>1998</v>
      </c>
      <c r="F1553">
        <v>4</v>
      </c>
      <c r="G1553">
        <v>13</v>
      </c>
      <c r="H1553">
        <v>4</v>
      </c>
      <c r="I1553">
        <v>161</v>
      </c>
      <c r="K1553" s="13">
        <v>45880</v>
      </c>
      <c r="L1553" t="s">
        <v>687</v>
      </c>
    </row>
    <row r="1554" spans="1:13" x14ac:dyDescent="0.25">
      <c r="A1554" t="s">
        <v>24</v>
      </c>
      <c r="D1554" t="s">
        <v>28</v>
      </c>
      <c r="E1554">
        <v>1998</v>
      </c>
      <c r="F1554">
        <v>4</v>
      </c>
      <c r="G1554">
        <v>13</v>
      </c>
      <c r="H1554">
        <v>4</v>
      </c>
      <c r="I1554">
        <v>161</v>
      </c>
      <c r="K1554" s="13">
        <v>45880</v>
      </c>
      <c r="L1554" t="s">
        <v>688</v>
      </c>
    </row>
    <row r="1555" spans="1:13" x14ac:dyDescent="0.25">
      <c r="A1555" t="s">
        <v>24</v>
      </c>
      <c r="D1555" t="s">
        <v>28</v>
      </c>
      <c r="E1555">
        <v>1998</v>
      </c>
      <c r="F1555">
        <v>4</v>
      </c>
      <c r="G1555">
        <v>13</v>
      </c>
      <c r="H1555">
        <v>4</v>
      </c>
      <c r="I1555">
        <v>161</v>
      </c>
      <c r="K1555" s="13">
        <v>45880</v>
      </c>
      <c r="L1555" t="s">
        <v>689</v>
      </c>
    </row>
    <row r="1556" spans="1:13" x14ac:dyDescent="0.25">
      <c r="A1556" t="s">
        <v>24</v>
      </c>
      <c r="D1556" t="s">
        <v>28</v>
      </c>
      <c r="E1556">
        <v>1998</v>
      </c>
      <c r="F1556">
        <v>4</v>
      </c>
      <c r="G1556">
        <v>13</v>
      </c>
      <c r="H1556">
        <v>4</v>
      </c>
      <c r="I1556">
        <v>161</v>
      </c>
      <c r="K1556" s="13">
        <v>45897</v>
      </c>
      <c r="L1556" t="s">
        <v>687</v>
      </c>
      <c r="M1556">
        <v>11.1</v>
      </c>
    </row>
    <row r="1557" spans="1:13" x14ac:dyDescent="0.25">
      <c r="A1557" t="s">
        <v>24</v>
      </c>
      <c r="D1557" t="s">
        <v>28</v>
      </c>
      <c r="E1557">
        <v>1998</v>
      </c>
      <c r="F1557">
        <v>4</v>
      </c>
      <c r="G1557">
        <v>13</v>
      </c>
      <c r="H1557">
        <v>4</v>
      </c>
      <c r="I1557">
        <v>161</v>
      </c>
      <c r="K1557" s="13">
        <v>45897</v>
      </c>
      <c r="L1557" t="s">
        <v>688</v>
      </c>
      <c r="M1557">
        <v>11.6</v>
      </c>
    </row>
    <row r="1558" spans="1:13" x14ac:dyDescent="0.25">
      <c r="A1558" t="s">
        <v>24</v>
      </c>
      <c r="D1558" t="s">
        <v>28</v>
      </c>
      <c r="E1558">
        <v>1998</v>
      </c>
      <c r="F1558">
        <v>4</v>
      </c>
      <c r="G1558">
        <v>13</v>
      </c>
      <c r="H1558">
        <v>4</v>
      </c>
      <c r="I1558">
        <v>161</v>
      </c>
      <c r="K1558" s="13">
        <v>45897</v>
      </c>
      <c r="L1558" t="s">
        <v>689</v>
      </c>
      <c r="M1558">
        <v>11.4</v>
      </c>
    </row>
    <row r="1559" spans="1:13" x14ac:dyDescent="0.25">
      <c r="A1559" t="s">
        <v>24</v>
      </c>
      <c r="D1559" t="s">
        <v>28</v>
      </c>
      <c r="E1559">
        <v>1998</v>
      </c>
      <c r="F1559">
        <v>4</v>
      </c>
      <c r="G1559">
        <v>13</v>
      </c>
      <c r="H1559">
        <v>4</v>
      </c>
      <c r="I1559">
        <v>161</v>
      </c>
      <c r="K1559" s="13">
        <v>45911</v>
      </c>
      <c r="L1559" t="s">
        <v>687</v>
      </c>
    </row>
    <row r="1560" spans="1:13" x14ac:dyDescent="0.25">
      <c r="A1560" t="s">
        <v>24</v>
      </c>
      <c r="D1560" t="s">
        <v>28</v>
      </c>
      <c r="E1560">
        <v>1998</v>
      </c>
      <c r="F1560">
        <v>4</v>
      </c>
      <c r="G1560">
        <v>13</v>
      </c>
      <c r="H1560">
        <v>4</v>
      </c>
      <c r="I1560">
        <v>161</v>
      </c>
      <c r="K1560" s="13">
        <v>45911</v>
      </c>
      <c r="L1560" t="s">
        <v>688</v>
      </c>
    </row>
    <row r="1561" spans="1:13" x14ac:dyDescent="0.25">
      <c r="A1561" t="s">
        <v>24</v>
      </c>
      <c r="D1561" t="s">
        <v>28</v>
      </c>
      <c r="E1561">
        <v>1998</v>
      </c>
      <c r="F1561">
        <v>4</v>
      </c>
      <c r="G1561">
        <v>13</v>
      </c>
      <c r="H1561">
        <v>4</v>
      </c>
      <c r="I1561">
        <v>161</v>
      </c>
      <c r="K1561" s="13">
        <v>45911</v>
      </c>
      <c r="L1561" t="s">
        <v>689</v>
      </c>
    </row>
    <row r="1562" spans="1:13" x14ac:dyDescent="0.25">
      <c r="A1562" t="s">
        <v>24</v>
      </c>
      <c r="D1562" t="s">
        <v>27</v>
      </c>
      <c r="E1562">
        <v>1985</v>
      </c>
      <c r="F1562">
        <v>1</v>
      </c>
      <c r="G1562">
        <v>14</v>
      </c>
      <c r="H1562">
        <v>4</v>
      </c>
      <c r="I1562">
        <v>114</v>
      </c>
      <c r="K1562" s="13">
        <v>45796</v>
      </c>
      <c r="L1562" t="s">
        <v>687</v>
      </c>
      <c r="M1562">
        <v>5.3</v>
      </c>
    </row>
    <row r="1563" spans="1:13" x14ac:dyDescent="0.25">
      <c r="A1563" t="s">
        <v>24</v>
      </c>
      <c r="D1563" t="s">
        <v>27</v>
      </c>
      <c r="E1563">
        <v>1985</v>
      </c>
      <c r="F1563">
        <v>1</v>
      </c>
      <c r="G1563">
        <v>14</v>
      </c>
      <c r="H1563">
        <v>4</v>
      </c>
      <c r="I1563">
        <v>114</v>
      </c>
      <c r="K1563" s="13">
        <v>45796</v>
      </c>
      <c r="L1563" t="s">
        <v>688</v>
      </c>
      <c r="M1563">
        <v>5.0999999999999996</v>
      </c>
    </row>
    <row r="1564" spans="1:13" x14ac:dyDescent="0.25">
      <c r="A1564" t="s">
        <v>24</v>
      </c>
      <c r="D1564" t="s">
        <v>27</v>
      </c>
      <c r="E1564">
        <v>1985</v>
      </c>
      <c r="F1564">
        <v>1</v>
      </c>
      <c r="G1564">
        <v>14</v>
      </c>
      <c r="H1564">
        <v>4</v>
      </c>
      <c r="I1564">
        <v>114</v>
      </c>
      <c r="K1564" s="13">
        <v>45796</v>
      </c>
      <c r="L1564" t="s">
        <v>689</v>
      </c>
      <c r="M1564">
        <v>5.3</v>
      </c>
    </row>
    <row r="1565" spans="1:13" x14ac:dyDescent="0.25">
      <c r="A1565" t="s">
        <v>24</v>
      </c>
      <c r="D1565" t="s">
        <v>27</v>
      </c>
      <c r="E1565">
        <v>1985</v>
      </c>
      <c r="F1565">
        <v>1</v>
      </c>
      <c r="G1565">
        <v>14</v>
      </c>
      <c r="H1565">
        <v>4</v>
      </c>
      <c r="I1565">
        <v>114</v>
      </c>
      <c r="K1565" s="13">
        <v>45820</v>
      </c>
      <c r="L1565" t="s">
        <v>687</v>
      </c>
    </row>
    <row r="1566" spans="1:13" x14ac:dyDescent="0.25">
      <c r="A1566" t="s">
        <v>24</v>
      </c>
      <c r="D1566" t="s">
        <v>27</v>
      </c>
      <c r="E1566">
        <v>1985</v>
      </c>
      <c r="F1566">
        <v>1</v>
      </c>
      <c r="G1566">
        <v>14</v>
      </c>
      <c r="H1566">
        <v>4</v>
      </c>
      <c r="I1566">
        <v>114</v>
      </c>
      <c r="K1566" s="13">
        <v>45820</v>
      </c>
      <c r="L1566" t="s">
        <v>688</v>
      </c>
    </row>
    <row r="1567" spans="1:13" x14ac:dyDescent="0.25">
      <c r="A1567" t="s">
        <v>24</v>
      </c>
      <c r="D1567" t="s">
        <v>27</v>
      </c>
      <c r="E1567">
        <v>1985</v>
      </c>
      <c r="F1567">
        <v>1</v>
      </c>
      <c r="G1567">
        <v>14</v>
      </c>
      <c r="H1567">
        <v>4</v>
      </c>
      <c r="I1567">
        <v>114</v>
      </c>
      <c r="K1567" s="13">
        <v>45820</v>
      </c>
      <c r="L1567" t="s">
        <v>689</v>
      </c>
    </row>
    <row r="1568" spans="1:13" x14ac:dyDescent="0.25">
      <c r="A1568" t="s">
        <v>24</v>
      </c>
      <c r="D1568" t="s">
        <v>27</v>
      </c>
      <c r="E1568">
        <v>1985</v>
      </c>
      <c r="F1568">
        <v>1</v>
      </c>
      <c r="G1568">
        <v>14</v>
      </c>
      <c r="H1568">
        <v>4</v>
      </c>
      <c r="I1568">
        <v>114</v>
      </c>
      <c r="K1568" s="13">
        <v>45825</v>
      </c>
      <c r="L1568" t="s">
        <v>687</v>
      </c>
      <c r="M1568">
        <v>6.3</v>
      </c>
    </row>
    <row r="1569" spans="1:13" x14ac:dyDescent="0.25">
      <c r="A1569" t="s">
        <v>24</v>
      </c>
      <c r="D1569" t="s">
        <v>27</v>
      </c>
      <c r="E1569">
        <v>1985</v>
      </c>
      <c r="F1569">
        <v>1</v>
      </c>
      <c r="G1569">
        <v>14</v>
      </c>
      <c r="H1569">
        <v>4</v>
      </c>
      <c r="I1569">
        <v>114</v>
      </c>
      <c r="K1569" s="13">
        <v>45825</v>
      </c>
      <c r="L1569" t="s">
        <v>688</v>
      </c>
      <c r="M1569">
        <v>6.7</v>
      </c>
    </row>
    <row r="1570" spans="1:13" x14ac:dyDescent="0.25">
      <c r="A1570" t="s">
        <v>24</v>
      </c>
      <c r="D1570" t="s">
        <v>27</v>
      </c>
      <c r="E1570">
        <v>1985</v>
      </c>
      <c r="F1570">
        <v>1</v>
      </c>
      <c r="G1570">
        <v>14</v>
      </c>
      <c r="H1570">
        <v>4</v>
      </c>
      <c r="I1570">
        <v>114</v>
      </c>
      <c r="K1570" s="13">
        <v>45825</v>
      </c>
      <c r="L1570" t="s">
        <v>689</v>
      </c>
      <c r="M1570">
        <v>6.7</v>
      </c>
    </row>
    <row r="1571" spans="1:13" x14ac:dyDescent="0.25">
      <c r="A1571" t="s">
        <v>24</v>
      </c>
      <c r="D1571" t="s">
        <v>27</v>
      </c>
      <c r="E1571">
        <v>1985</v>
      </c>
      <c r="F1571">
        <v>1</v>
      </c>
      <c r="G1571">
        <v>14</v>
      </c>
      <c r="H1571">
        <v>4</v>
      </c>
      <c r="I1571">
        <v>114</v>
      </c>
      <c r="K1571" s="13">
        <v>45827</v>
      </c>
      <c r="L1571" t="s">
        <v>687</v>
      </c>
    </row>
    <row r="1572" spans="1:13" x14ac:dyDescent="0.25">
      <c r="A1572" t="s">
        <v>24</v>
      </c>
      <c r="D1572" t="s">
        <v>27</v>
      </c>
      <c r="E1572">
        <v>1985</v>
      </c>
      <c r="F1572">
        <v>1</v>
      </c>
      <c r="G1572">
        <v>14</v>
      </c>
      <c r="H1572">
        <v>4</v>
      </c>
      <c r="I1572">
        <v>114</v>
      </c>
      <c r="K1572" s="13">
        <v>45827</v>
      </c>
      <c r="L1572" t="s">
        <v>688</v>
      </c>
    </row>
    <row r="1573" spans="1:13" x14ac:dyDescent="0.25">
      <c r="A1573" t="s">
        <v>24</v>
      </c>
      <c r="D1573" t="s">
        <v>27</v>
      </c>
      <c r="E1573">
        <v>1985</v>
      </c>
      <c r="F1573">
        <v>1</v>
      </c>
      <c r="G1573">
        <v>14</v>
      </c>
      <c r="H1573">
        <v>4</v>
      </c>
      <c r="I1573">
        <v>114</v>
      </c>
      <c r="K1573" s="13">
        <v>45827</v>
      </c>
      <c r="L1573" t="s">
        <v>689</v>
      </c>
    </row>
    <row r="1574" spans="1:13" x14ac:dyDescent="0.25">
      <c r="A1574" t="s">
        <v>24</v>
      </c>
      <c r="D1574" t="s">
        <v>27</v>
      </c>
      <c r="E1574">
        <v>1985</v>
      </c>
      <c r="F1574">
        <v>1</v>
      </c>
      <c r="G1574">
        <v>14</v>
      </c>
      <c r="H1574">
        <v>4</v>
      </c>
      <c r="I1574">
        <v>114</v>
      </c>
      <c r="K1574" s="13">
        <v>45859</v>
      </c>
      <c r="L1574" t="s">
        <v>687</v>
      </c>
    </row>
    <row r="1575" spans="1:13" x14ac:dyDescent="0.25">
      <c r="A1575" t="s">
        <v>24</v>
      </c>
      <c r="D1575" t="s">
        <v>27</v>
      </c>
      <c r="E1575">
        <v>1985</v>
      </c>
      <c r="F1575">
        <v>1</v>
      </c>
      <c r="G1575">
        <v>14</v>
      </c>
      <c r="H1575">
        <v>4</v>
      </c>
      <c r="I1575">
        <v>114</v>
      </c>
      <c r="K1575" s="13">
        <v>45859</v>
      </c>
      <c r="L1575" t="s">
        <v>688</v>
      </c>
    </row>
    <row r="1576" spans="1:13" x14ac:dyDescent="0.25">
      <c r="A1576" t="s">
        <v>24</v>
      </c>
      <c r="D1576" t="s">
        <v>27</v>
      </c>
      <c r="E1576">
        <v>1985</v>
      </c>
      <c r="F1576">
        <v>1</v>
      </c>
      <c r="G1576">
        <v>14</v>
      </c>
      <c r="H1576">
        <v>4</v>
      </c>
      <c r="I1576">
        <v>114</v>
      </c>
      <c r="K1576" s="13">
        <v>45859</v>
      </c>
      <c r="L1576" t="s">
        <v>689</v>
      </c>
    </row>
    <row r="1577" spans="1:13" x14ac:dyDescent="0.25">
      <c r="A1577" t="s">
        <v>24</v>
      </c>
      <c r="D1577" t="s">
        <v>27</v>
      </c>
      <c r="E1577">
        <v>1985</v>
      </c>
      <c r="F1577">
        <v>1</v>
      </c>
      <c r="G1577">
        <v>14</v>
      </c>
      <c r="H1577">
        <v>4</v>
      </c>
      <c r="I1577">
        <v>114</v>
      </c>
      <c r="K1577" s="13">
        <v>45868</v>
      </c>
      <c r="L1577" t="s">
        <v>687</v>
      </c>
      <c r="M1577">
        <v>9.5</v>
      </c>
    </row>
    <row r="1578" spans="1:13" x14ac:dyDescent="0.25">
      <c r="A1578" t="s">
        <v>24</v>
      </c>
      <c r="D1578" t="s">
        <v>27</v>
      </c>
      <c r="E1578">
        <v>1985</v>
      </c>
      <c r="F1578">
        <v>1</v>
      </c>
      <c r="G1578">
        <v>14</v>
      </c>
      <c r="H1578">
        <v>4</v>
      </c>
      <c r="I1578">
        <v>114</v>
      </c>
      <c r="K1578" s="13">
        <v>45868</v>
      </c>
      <c r="L1578" t="s">
        <v>688</v>
      </c>
      <c r="M1578">
        <v>9.4</v>
      </c>
    </row>
    <row r="1579" spans="1:13" x14ac:dyDescent="0.25">
      <c r="A1579" t="s">
        <v>24</v>
      </c>
      <c r="D1579" t="s">
        <v>27</v>
      </c>
      <c r="E1579">
        <v>1985</v>
      </c>
      <c r="F1579">
        <v>1</v>
      </c>
      <c r="G1579">
        <v>14</v>
      </c>
      <c r="H1579">
        <v>4</v>
      </c>
      <c r="I1579">
        <v>114</v>
      </c>
      <c r="K1579" s="13">
        <v>45868</v>
      </c>
      <c r="L1579" t="s">
        <v>689</v>
      </c>
    </row>
    <row r="1580" spans="1:13" x14ac:dyDescent="0.25">
      <c r="A1580" t="s">
        <v>24</v>
      </c>
      <c r="D1580" t="s">
        <v>27</v>
      </c>
      <c r="E1580">
        <v>1985</v>
      </c>
      <c r="F1580">
        <v>1</v>
      </c>
      <c r="G1580">
        <v>14</v>
      </c>
      <c r="H1580">
        <v>4</v>
      </c>
      <c r="I1580">
        <v>114</v>
      </c>
      <c r="K1580" s="13">
        <v>45875</v>
      </c>
      <c r="L1580" t="s">
        <v>687</v>
      </c>
      <c r="M1580">
        <v>10.1</v>
      </c>
    </row>
    <row r="1581" spans="1:13" x14ac:dyDescent="0.25">
      <c r="A1581" t="s">
        <v>24</v>
      </c>
      <c r="D1581" t="s">
        <v>27</v>
      </c>
      <c r="E1581">
        <v>1985</v>
      </c>
      <c r="F1581">
        <v>1</v>
      </c>
      <c r="G1581">
        <v>14</v>
      </c>
      <c r="H1581">
        <v>4</v>
      </c>
      <c r="I1581">
        <v>114</v>
      </c>
      <c r="K1581" s="13">
        <v>45875</v>
      </c>
      <c r="L1581" t="s">
        <v>688</v>
      </c>
      <c r="M1581">
        <v>9.6999999999999993</v>
      </c>
    </row>
    <row r="1582" spans="1:13" x14ac:dyDescent="0.25">
      <c r="A1582" t="s">
        <v>24</v>
      </c>
      <c r="D1582" t="s">
        <v>27</v>
      </c>
      <c r="E1582">
        <v>1985</v>
      </c>
      <c r="F1582">
        <v>1</v>
      </c>
      <c r="G1582">
        <v>14</v>
      </c>
      <c r="H1582">
        <v>4</v>
      </c>
      <c r="I1582">
        <v>114</v>
      </c>
      <c r="K1582" s="13">
        <v>45875</v>
      </c>
      <c r="L1582" t="s">
        <v>689</v>
      </c>
    </row>
    <row r="1583" spans="1:13" x14ac:dyDescent="0.25">
      <c r="A1583" t="s">
        <v>24</v>
      </c>
      <c r="D1583" t="s">
        <v>27</v>
      </c>
      <c r="E1583">
        <v>1985</v>
      </c>
      <c r="F1583">
        <v>1</v>
      </c>
      <c r="G1583">
        <v>14</v>
      </c>
      <c r="H1583">
        <v>4</v>
      </c>
      <c r="I1583">
        <v>114</v>
      </c>
      <c r="K1583" s="13">
        <v>45880</v>
      </c>
      <c r="L1583" t="s">
        <v>687</v>
      </c>
    </row>
    <row r="1584" spans="1:13" x14ac:dyDescent="0.25">
      <c r="A1584" t="s">
        <v>24</v>
      </c>
      <c r="D1584" t="s">
        <v>27</v>
      </c>
      <c r="E1584">
        <v>1985</v>
      </c>
      <c r="F1584">
        <v>1</v>
      </c>
      <c r="G1584">
        <v>14</v>
      </c>
      <c r="H1584">
        <v>4</v>
      </c>
      <c r="I1584">
        <v>114</v>
      </c>
      <c r="K1584" s="13">
        <v>45880</v>
      </c>
      <c r="L1584" t="s">
        <v>688</v>
      </c>
    </row>
    <row r="1585" spans="1:13" x14ac:dyDescent="0.25">
      <c r="A1585" t="s">
        <v>24</v>
      </c>
      <c r="D1585" t="s">
        <v>27</v>
      </c>
      <c r="E1585">
        <v>1985</v>
      </c>
      <c r="F1585">
        <v>1</v>
      </c>
      <c r="G1585">
        <v>14</v>
      </c>
      <c r="H1585">
        <v>4</v>
      </c>
      <c r="I1585">
        <v>114</v>
      </c>
      <c r="K1585" s="13">
        <v>45880</v>
      </c>
      <c r="L1585" t="s">
        <v>689</v>
      </c>
    </row>
    <row r="1586" spans="1:13" x14ac:dyDescent="0.25">
      <c r="A1586" t="s">
        <v>24</v>
      </c>
      <c r="D1586" t="s">
        <v>27</v>
      </c>
      <c r="E1586">
        <v>1985</v>
      </c>
      <c r="F1586">
        <v>1</v>
      </c>
      <c r="G1586">
        <v>14</v>
      </c>
      <c r="H1586">
        <v>4</v>
      </c>
      <c r="I1586">
        <v>114</v>
      </c>
      <c r="K1586" s="13">
        <v>45897</v>
      </c>
      <c r="L1586" t="s">
        <v>687</v>
      </c>
      <c r="M1586">
        <v>11.3</v>
      </c>
    </row>
    <row r="1587" spans="1:13" x14ac:dyDescent="0.25">
      <c r="A1587" t="s">
        <v>24</v>
      </c>
      <c r="D1587" t="s">
        <v>27</v>
      </c>
      <c r="E1587">
        <v>1985</v>
      </c>
      <c r="F1587">
        <v>1</v>
      </c>
      <c r="G1587">
        <v>14</v>
      </c>
      <c r="H1587">
        <v>4</v>
      </c>
      <c r="I1587">
        <v>114</v>
      </c>
      <c r="K1587" s="13">
        <v>45897</v>
      </c>
      <c r="L1587" t="s">
        <v>688</v>
      </c>
      <c r="M1587">
        <v>11.7</v>
      </c>
    </row>
    <row r="1588" spans="1:13" x14ac:dyDescent="0.25">
      <c r="A1588" t="s">
        <v>24</v>
      </c>
      <c r="D1588" t="s">
        <v>27</v>
      </c>
      <c r="E1588">
        <v>1985</v>
      </c>
      <c r="F1588">
        <v>1</v>
      </c>
      <c r="G1588">
        <v>14</v>
      </c>
      <c r="H1588">
        <v>4</v>
      </c>
      <c r="I1588">
        <v>114</v>
      </c>
      <c r="K1588" s="13">
        <v>45897</v>
      </c>
      <c r="L1588" t="s">
        <v>689</v>
      </c>
    </row>
    <row r="1589" spans="1:13" x14ac:dyDescent="0.25">
      <c r="A1589" t="s">
        <v>24</v>
      </c>
      <c r="D1589" t="s">
        <v>27</v>
      </c>
      <c r="E1589">
        <v>1985</v>
      </c>
      <c r="F1589">
        <v>1</v>
      </c>
      <c r="G1589">
        <v>14</v>
      </c>
      <c r="H1589">
        <v>4</v>
      </c>
      <c r="I1589">
        <v>114</v>
      </c>
      <c r="K1589" s="13">
        <v>45911</v>
      </c>
      <c r="L1589" t="s">
        <v>687</v>
      </c>
    </row>
    <row r="1590" spans="1:13" x14ac:dyDescent="0.25">
      <c r="A1590" t="s">
        <v>24</v>
      </c>
      <c r="D1590" t="s">
        <v>27</v>
      </c>
      <c r="E1590">
        <v>1985</v>
      </c>
      <c r="F1590">
        <v>1</v>
      </c>
      <c r="G1590">
        <v>14</v>
      </c>
      <c r="H1590">
        <v>4</v>
      </c>
      <c r="I1590">
        <v>114</v>
      </c>
      <c r="K1590" s="13">
        <v>45911</v>
      </c>
      <c r="L1590" t="s">
        <v>688</v>
      </c>
    </row>
    <row r="1591" spans="1:13" x14ac:dyDescent="0.25">
      <c r="A1591" t="s">
        <v>24</v>
      </c>
      <c r="D1591" t="s">
        <v>27</v>
      </c>
      <c r="E1591">
        <v>1985</v>
      </c>
      <c r="F1591">
        <v>1</v>
      </c>
      <c r="G1591">
        <v>14</v>
      </c>
      <c r="H1591">
        <v>4</v>
      </c>
      <c r="I1591">
        <v>114</v>
      </c>
      <c r="K1591" s="13">
        <v>45911</v>
      </c>
      <c r="L1591" t="s">
        <v>689</v>
      </c>
    </row>
    <row r="1592" spans="1:13" x14ac:dyDescent="0.25">
      <c r="A1592" t="s">
        <v>24</v>
      </c>
      <c r="D1592" t="s">
        <v>29</v>
      </c>
      <c r="E1592">
        <v>1999</v>
      </c>
      <c r="F1592">
        <v>2</v>
      </c>
      <c r="G1592">
        <v>14</v>
      </c>
      <c r="H1592">
        <v>4</v>
      </c>
      <c r="I1592">
        <v>130</v>
      </c>
      <c r="K1592" s="13">
        <v>45796</v>
      </c>
      <c r="L1592" t="s">
        <v>687</v>
      </c>
      <c r="M1592">
        <v>5.0999999999999996</v>
      </c>
    </row>
    <row r="1593" spans="1:13" x14ac:dyDescent="0.25">
      <c r="A1593" t="s">
        <v>24</v>
      </c>
      <c r="D1593" t="s">
        <v>29</v>
      </c>
      <c r="E1593">
        <v>1999</v>
      </c>
      <c r="F1593">
        <v>2</v>
      </c>
      <c r="G1593">
        <v>14</v>
      </c>
      <c r="H1593">
        <v>4</v>
      </c>
      <c r="I1593">
        <v>130</v>
      </c>
      <c r="K1593" s="13">
        <v>45796</v>
      </c>
      <c r="L1593" t="s">
        <v>688</v>
      </c>
      <c r="M1593">
        <v>5.0999999999999996</v>
      </c>
    </row>
    <row r="1594" spans="1:13" x14ac:dyDescent="0.25">
      <c r="A1594" t="s">
        <v>24</v>
      </c>
      <c r="D1594" t="s">
        <v>29</v>
      </c>
      <c r="E1594">
        <v>1999</v>
      </c>
      <c r="F1594">
        <v>2</v>
      </c>
      <c r="G1594">
        <v>14</v>
      </c>
      <c r="H1594">
        <v>4</v>
      </c>
      <c r="I1594">
        <v>130</v>
      </c>
      <c r="K1594" s="13">
        <v>45796</v>
      </c>
      <c r="L1594" t="s">
        <v>689</v>
      </c>
      <c r="M1594">
        <v>5.0999999999999996</v>
      </c>
    </row>
    <row r="1595" spans="1:13" x14ac:dyDescent="0.25">
      <c r="A1595" t="s">
        <v>24</v>
      </c>
      <c r="D1595" t="s">
        <v>29</v>
      </c>
      <c r="E1595">
        <v>1999</v>
      </c>
      <c r="F1595">
        <v>2</v>
      </c>
      <c r="G1595">
        <v>14</v>
      </c>
      <c r="H1595">
        <v>4</v>
      </c>
      <c r="I1595">
        <v>130</v>
      </c>
      <c r="K1595" s="13">
        <v>45820</v>
      </c>
      <c r="L1595" t="s">
        <v>687</v>
      </c>
    </row>
    <row r="1596" spans="1:13" x14ac:dyDescent="0.25">
      <c r="A1596" t="s">
        <v>24</v>
      </c>
      <c r="D1596" t="s">
        <v>29</v>
      </c>
      <c r="E1596">
        <v>1999</v>
      </c>
      <c r="F1596">
        <v>2</v>
      </c>
      <c r="G1596">
        <v>14</v>
      </c>
      <c r="H1596">
        <v>4</v>
      </c>
      <c r="I1596">
        <v>130</v>
      </c>
      <c r="K1596" s="13">
        <v>45820</v>
      </c>
      <c r="L1596" t="s">
        <v>688</v>
      </c>
    </row>
    <row r="1597" spans="1:13" x14ac:dyDescent="0.25">
      <c r="A1597" t="s">
        <v>24</v>
      </c>
      <c r="D1597" t="s">
        <v>29</v>
      </c>
      <c r="E1597">
        <v>1999</v>
      </c>
      <c r="F1597">
        <v>2</v>
      </c>
      <c r="G1597">
        <v>14</v>
      </c>
      <c r="H1597">
        <v>4</v>
      </c>
      <c r="I1597">
        <v>130</v>
      </c>
      <c r="K1597" s="13">
        <v>45820</v>
      </c>
      <c r="L1597" t="s">
        <v>689</v>
      </c>
    </row>
    <row r="1598" spans="1:13" x14ac:dyDescent="0.25">
      <c r="A1598" t="s">
        <v>24</v>
      </c>
      <c r="D1598" t="s">
        <v>29</v>
      </c>
      <c r="E1598">
        <v>1999</v>
      </c>
      <c r="F1598">
        <v>2</v>
      </c>
      <c r="G1598">
        <v>14</v>
      </c>
      <c r="H1598">
        <v>4</v>
      </c>
      <c r="I1598">
        <v>130</v>
      </c>
      <c r="K1598" s="13">
        <v>45825</v>
      </c>
      <c r="L1598" t="s">
        <v>687</v>
      </c>
      <c r="M1598">
        <v>6.3</v>
      </c>
    </row>
    <row r="1599" spans="1:13" x14ac:dyDescent="0.25">
      <c r="A1599" t="s">
        <v>24</v>
      </c>
      <c r="D1599" t="s">
        <v>29</v>
      </c>
      <c r="E1599">
        <v>1999</v>
      </c>
      <c r="F1599">
        <v>2</v>
      </c>
      <c r="G1599">
        <v>14</v>
      </c>
      <c r="H1599">
        <v>4</v>
      </c>
      <c r="I1599">
        <v>130</v>
      </c>
      <c r="K1599" s="13">
        <v>45825</v>
      </c>
      <c r="L1599" t="s">
        <v>688</v>
      </c>
      <c r="M1599">
        <v>6.3</v>
      </c>
    </row>
    <row r="1600" spans="1:13" x14ac:dyDescent="0.25">
      <c r="A1600" t="s">
        <v>24</v>
      </c>
      <c r="D1600" t="s">
        <v>29</v>
      </c>
      <c r="E1600">
        <v>1999</v>
      </c>
      <c r="F1600">
        <v>2</v>
      </c>
      <c r="G1600">
        <v>14</v>
      </c>
      <c r="H1600">
        <v>4</v>
      </c>
      <c r="I1600">
        <v>130</v>
      </c>
      <c r="K1600" s="13">
        <v>45825</v>
      </c>
      <c r="L1600" t="s">
        <v>689</v>
      </c>
      <c r="M1600">
        <v>6.2</v>
      </c>
    </row>
    <row r="1601" spans="1:13" x14ac:dyDescent="0.25">
      <c r="A1601" t="s">
        <v>24</v>
      </c>
      <c r="D1601" t="s">
        <v>29</v>
      </c>
      <c r="E1601">
        <v>1999</v>
      </c>
      <c r="F1601">
        <v>2</v>
      </c>
      <c r="G1601">
        <v>14</v>
      </c>
      <c r="H1601">
        <v>4</v>
      </c>
      <c r="I1601">
        <v>130</v>
      </c>
      <c r="K1601" s="13">
        <v>45827</v>
      </c>
      <c r="L1601" t="s">
        <v>687</v>
      </c>
    </row>
    <row r="1602" spans="1:13" x14ac:dyDescent="0.25">
      <c r="A1602" t="s">
        <v>24</v>
      </c>
      <c r="D1602" t="s">
        <v>29</v>
      </c>
      <c r="E1602">
        <v>1999</v>
      </c>
      <c r="F1602">
        <v>2</v>
      </c>
      <c r="G1602">
        <v>14</v>
      </c>
      <c r="H1602">
        <v>4</v>
      </c>
      <c r="I1602">
        <v>130</v>
      </c>
      <c r="K1602" s="13">
        <v>45827</v>
      </c>
      <c r="L1602" t="s">
        <v>688</v>
      </c>
    </row>
    <row r="1603" spans="1:13" x14ac:dyDescent="0.25">
      <c r="A1603" t="s">
        <v>24</v>
      </c>
      <c r="D1603" t="s">
        <v>29</v>
      </c>
      <c r="E1603">
        <v>1999</v>
      </c>
      <c r="F1603">
        <v>2</v>
      </c>
      <c r="G1603">
        <v>14</v>
      </c>
      <c r="H1603">
        <v>4</v>
      </c>
      <c r="I1603">
        <v>130</v>
      </c>
      <c r="K1603" s="13">
        <v>45827</v>
      </c>
      <c r="L1603" t="s">
        <v>689</v>
      </c>
    </row>
    <row r="1604" spans="1:13" x14ac:dyDescent="0.25">
      <c r="A1604" t="s">
        <v>24</v>
      </c>
      <c r="D1604" t="s">
        <v>29</v>
      </c>
      <c r="E1604">
        <v>1999</v>
      </c>
      <c r="F1604">
        <v>2</v>
      </c>
      <c r="G1604">
        <v>14</v>
      </c>
      <c r="H1604">
        <v>4</v>
      </c>
      <c r="I1604">
        <v>130</v>
      </c>
      <c r="K1604" s="13">
        <v>45859</v>
      </c>
      <c r="L1604" t="s">
        <v>687</v>
      </c>
    </row>
    <row r="1605" spans="1:13" x14ac:dyDescent="0.25">
      <c r="A1605" t="s">
        <v>24</v>
      </c>
      <c r="D1605" t="s">
        <v>29</v>
      </c>
      <c r="E1605">
        <v>1999</v>
      </c>
      <c r="F1605">
        <v>2</v>
      </c>
      <c r="G1605">
        <v>14</v>
      </c>
      <c r="H1605">
        <v>4</v>
      </c>
      <c r="I1605">
        <v>130</v>
      </c>
      <c r="K1605" s="13">
        <v>45859</v>
      </c>
      <c r="L1605" t="s">
        <v>688</v>
      </c>
    </row>
    <row r="1606" spans="1:13" x14ac:dyDescent="0.25">
      <c r="A1606" t="s">
        <v>24</v>
      </c>
      <c r="D1606" t="s">
        <v>29</v>
      </c>
      <c r="E1606">
        <v>1999</v>
      </c>
      <c r="F1606">
        <v>2</v>
      </c>
      <c r="G1606">
        <v>14</v>
      </c>
      <c r="H1606">
        <v>4</v>
      </c>
      <c r="I1606">
        <v>130</v>
      </c>
      <c r="K1606" s="13">
        <v>45859</v>
      </c>
      <c r="L1606" t="s">
        <v>689</v>
      </c>
    </row>
    <row r="1607" spans="1:13" x14ac:dyDescent="0.25">
      <c r="A1607" t="s">
        <v>24</v>
      </c>
      <c r="D1607" t="s">
        <v>29</v>
      </c>
      <c r="E1607">
        <v>1999</v>
      </c>
      <c r="F1607">
        <v>2</v>
      </c>
      <c r="G1607">
        <v>14</v>
      </c>
      <c r="H1607">
        <v>4</v>
      </c>
      <c r="I1607">
        <v>130</v>
      </c>
      <c r="K1607" s="13">
        <v>45868</v>
      </c>
      <c r="L1607" t="s">
        <v>687</v>
      </c>
      <c r="M1607">
        <v>8.6999999999999993</v>
      </c>
    </row>
    <row r="1608" spans="1:13" x14ac:dyDescent="0.25">
      <c r="A1608" t="s">
        <v>24</v>
      </c>
      <c r="D1608" t="s">
        <v>29</v>
      </c>
      <c r="E1608">
        <v>1999</v>
      </c>
      <c r="F1608">
        <v>2</v>
      </c>
      <c r="G1608">
        <v>14</v>
      </c>
      <c r="H1608">
        <v>4</v>
      </c>
      <c r="I1608">
        <v>130</v>
      </c>
      <c r="K1608" s="13">
        <v>45868</v>
      </c>
      <c r="L1608" t="s">
        <v>688</v>
      </c>
      <c r="M1608">
        <v>8.9</v>
      </c>
    </row>
    <row r="1609" spans="1:13" x14ac:dyDescent="0.25">
      <c r="A1609" t="s">
        <v>24</v>
      </c>
      <c r="D1609" t="s">
        <v>29</v>
      </c>
      <c r="E1609">
        <v>1999</v>
      </c>
      <c r="F1609">
        <v>2</v>
      </c>
      <c r="G1609">
        <v>14</v>
      </c>
      <c r="H1609">
        <v>4</v>
      </c>
      <c r="I1609">
        <v>130</v>
      </c>
      <c r="K1609" s="13">
        <v>45868</v>
      </c>
      <c r="L1609" t="s">
        <v>689</v>
      </c>
    </row>
    <row r="1610" spans="1:13" x14ac:dyDescent="0.25">
      <c r="A1610" t="s">
        <v>24</v>
      </c>
      <c r="D1610" t="s">
        <v>29</v>
      </c>
      <c r="E1610">
        <v>1999</v>
      </c>
      <c r="F1610">
        <v>2</v>
      </c>
      <c r="G1610">
        <v>14</v>
      </c>
      <c r="H1610">
        <v>4</v>
      </c>
      <c r="I1610">
        <v>130</v>
      </c>
      <c r="K1610" s="13">
        <v>45875</v>
      </c>
      <c r="L1610" t="s">
        <v>687</v>
      </c>
      <c r="M1610">
        <v>10.3</v>
      </c>
    </row>
    <row r="1611" spans="1:13" x14ac:dyDescent="0.25">
      <c r="A1611" t="s">
        <v>24</v>
      </c>
      <c r="D1611" t="s">
        <v>29</v>
      </c>
      <c r="E1611">
        <v>1999</v>
      </c>
      <c r="F1611">
        <v>2</v>
      </c>
      <c r="G1611">
        <v>14</v>
      </c>
      <c r="H1611">
        <v>4</v>
      </c>
      <c r="I1611">
        <v>130</v>
      </c>
      <c r="K1611" s="13">
        <v>45875</v>
      </c>
      <c r="L1611" t="s">
        <v>688</v>
      </c>
      <c r="M1611">
        <v>9.5</v>
      </c>
    </row>
    <row r="1612" spans="1:13" x14ac:dyDescent="0.25">
      <c r="A1612" t="s">
        <v>24</v>
      </c>
      <c r="D1612" t="s">
        <v>29</v>
      </c>
      <c r="E1612">
        <v>1999</v>
      </c>
      <c r="F1612">
        <v>2</v>
      </c>
      <c r="G1612">
        <v>14</v>
      </c>
      <c r="H1612">
        <v>4</v>
      </c>
      <c r="I1612">
        <v>130</v>
      </c>
      <c r="K1612" s="13">
        <v>45875</v>
      </c>
      <c r="L1612" t="s">
        <v>689</v>
      </c>
      <c r="M1612">
        <v>9.1999999999999993</v>
      </c>
    </row>
    <row r="1613" spans="1:13" x14ac:dyDescent="0.25">
      <c r="A1613" t="s">
        <v>24</v>
      </c>
      <c r="D1613" t="s">
        <v>29</v>
      </c>
      <c r="E1613">
        <v>1999</v>
      </c>
      <c r="F1613">
        <v>2</v>
      </c>
      <c r="G1613">
        <v>14</v>
      </c>
      <c r="H1613">
        <v>4</v>
      </c>
      <c r="I1613">
        <v>130</v>
      </c>
      <c r="K1613" s="13">
        <v>45880</v>
      </c>
      <c r="L1613" t="s">
        <v>687</v>
      </c>
    </row>
    <row r="1614" spans="1:13" x14ac:dyDescent="0.25">
      <c r="A1614" t="s">
        <v>24</v>
      </c>
      <c r="D1614" t="s">
        <v>29</v>
      </c>
      <c r="E1614">
        <v>1999</v>
      </c>
      <c r="F1614">
        <v>2</v>
      </c>
      <c r="G1614">
        <v>14</v>
      </c>
      <c r="H1614">
        <v>4</v>
      </c>
      <c r="I1614">
        <v>130</v>
      </c>
      <c r="K1614" s="13">
        <v>45880</v>
      </c>
      <c r="L1614" t="s">
        <v>688</v>
      </c>
    </row>
    <row r="1615" spans="1:13" x14ac:dyDescent="0.25">
      <c r="A1615" t="s">
        <v>24</v>
      </c>
      <c r="D1615" t="s">
        <v>29</v>
      </c>
      <c r="E1615">
        <v>1999</v>
      </c>
      <c r="F1615">
        <v>2</v>
      </c>
      <c r="G1615">
        <v>14</v>
      </c>
      <c r="H1615">
        <v>4</v>
      </c>
      <c r="I1615">
        <v>130</v>
      </c>
      <c r="K1615" s="13">
        <v>45880</v>
      </c>
      <c r="L1615" t="s">
        <v>689</v>
      </c>
    </row>
    <row r="1616" spans="1:13" x14ac:dyDescent="0.25">
      <c r="A1616" t="s">
        <v>24</v>
      </c>
      <c r="D1616" t="s">
        <v>29</v>
      </c>
      <c r="E1616">
        <v>1999</v>
      </c>
      <c r="F1616">
        <v>2</v>
      </c>
      <c r="G1616">
        <v>14</v>
      </c>
      <c r="H1616">
        <v>4</v>
      </c>
      <c r="I1616">
        <v>130</v>
      </c>
      <c r="K1616" s="13">
        <v>45897</v>
      </c>
      <c r="L1616" t="s">
        <v>687</v>
      </c>
      <c r="M1616">
        <v>11.8</v>
      </c>
    </row>
    <row r="1617" spans="1:13" x14ac:dyDescent="0.25">
      <c r="A1617" t="s">
        <v>24</v>
      </c>
      <c r="D1617" t="s">
        <v>29</v>
      </c>
      <c r="E1617">
        <v>1999</v>
      </c>
      <c r="F1617">
        <v>2</v>
      </c>
      <c r="G1617">
        <v>14</v>
      </c>
      <c r="H1617">
        <v>4</v>
      </c>
      <c r="I1617">
        <v>130</v>
      </c>
      <c r="K1617" s="13">
        <v>45897</v>
      </c>
      <c r="L1617" t="s">
        <v>688</v>
      </c>
      <c r="M1617">
        <v>12.2</v>
      </c>
    </row>
    <row r="1618" spans="1:13" x14ac:dyDescent="0.25">
      <c r="A1618" t="s">
        <v>24</v>
      </c>
      <c r="D1618" t="s">
        <v>29</v>
      </c>
      <c r="E1618">
        <v>1999</v>
      </c>
      <c r="F1618">
        <v>2</v>
      </c>
      <c r="G1618">
        <v>14</v>
      </c>
      <c r="H1618">
        <v>4</v>
      </c>
      <c r="I1618">
        <v>130</v>
      </c>
      <c r="K1618" s="13">
        <v>45897</v>
      </c>
      <c r="L1618" t="s">
        <v>689</v>
      </c>
    </row>
    <row r="1619" spans="1:13" x14ac:dyDescent="0.25">
      <c r="A1619" t="s">
        <v>24</v>
      </c>
      <c r="D1619" t="s">
        <v>29</v>
      </c>
      <c r="E1619">
        <v>1999</v>
      </c>
      <c r="F1619">
        <v>2</v>
      </c>
      <c r="G1619">
        <v>14</v>
      </c>
      <c r="H1619">
        <v>4</v>
      </c>
      <c r="I1619">
        <v>130</v>
      </c>
      <c r="K1619" s="13">
        <v>45911</v>
      </c>
      <c r="L1619" t="s">
        <v>687</v>
      </c>
    </row>
    <row r="1620" spans="1:13" x14ac:dyDescent="0.25">
      <c r="A1620" t="s">
        <v>24</v>
      </c>
      <c r="D1620" t="s">
        <v>29</v>
      </c>
      <c r="E1620">
        <v>1999</v>
      </c>
      <c r="F1620">
        <v>2</v>
      </c>
      <c r="G1620">
        <v>14</v>
      </c>
      <c r="H1620">
        <v>4</v>
      </c>
      <c r="I1620">
        <v>130</v>
      </c>
      <c r="K1620" s="13">
        <v>45911</v>
      </c>
      <c r="L1620" t="s">
        <v>688</v>
      </c>
    </row>
    <row r="1621" spans="1:13" x14ac:dyDescent="0.25">
      <c r="A1621" t="s">
        <v>24</v>
      </c>
      <c r="D1621" t="s">
        <v>29</v>
      </c>
      <c r="E1621">
        <v>1999</v>
      </c>
      <c r="F1621">
        <v>2</v>
      </c>
      <c r="G1621">
        <v>14</v>
      </c>
      <c r="H1621">
        <v>4</v>
      </c>
      <c r="I1621">
        <v>130</v>
      </c>
      <c r="K1621" s="13">
        <v>45911</v>
      </c>
      <c r="L1621" t="s">
        <v>689</v>
      </c>
    </row>
    <row r="1622" spans="1:13" x14ac:dyDescent="0.25">
      <c r="A1622" t="s">
        <v>24</v>
      </c>
      <c r="D1622" t="s">
        <v>312</v>
      </c>
      <c r="E1622">
        <v>2002</v>
      </c>
      <c r="F1622">
        <v>3</v>
      </c>
      <c r="G1622">
        <v>14</v>
      </c>
      <c r="H1622">
        <v>4</v>
      </c>
      <c r="I1622">
        <v>146</v>
      </c>
      <c r="K1622" s="13">
        <v>45796</v>
      </c>
      <c r="L1622" t="s">
        <v>687</v>
      </c>
      <c r="M1622">
        <v>4.8</v>
      </c>
    </row>
    <row r="1623" spans="1:13" x14ac:dyDescent="0.25">
      <c r="A1623" t="s">
        <v>24</v>
      </c>
      <c r="D1623" t="s">
        <v>312</v>
      </c>
      <c r="E1623">
        <v>2002</v>
      </c>
      <c r="F1623">
        <v>3</v>
      </c>
      <c r="G1623">
        <v>14</v>
      </c>
      <c r="H1623">
        <v>4</v>
      </c>
      <c r="I1623">
        <v>146</v>
      </c>
      <c r="K1623" s="13">
        <v>45796</v>
      </c>
      <c r="L1623" t="s">
        <v>688</v>
      </c>
      <c r="M1623">
        <v>5.0999999999999996</v>
      </c>
    </row>
    <row r="1624" spans="1:13" x14ac:dyDescent="0.25">
      <c r="A1624" t="s">
        <v>24</v>
      </c>
      <c r="D1624" t="s">
        <v>312</v>
      </c>
      <c r="E1624">
        <v>2002</v>
      </c>
      <c r="F1624">
        <v>3</v>
      </c>
      <c r="G1624">
        <v>14</v>
      </c>
      <c r="H1624">
        <v>4</v>
      </c>
      <c r="I1624">
        <v>146</v>
      </c>
      <c r="K1624" s="13">
        <v>45796</v>
      </c>
      <c r="L1624" t="s">
        <v>689</v>
      </c>
      <c r="M1624">
        <v>4.8</v>
      </c>
    </row>
    <row r="1625" spans="1:13" x14ac:dyDescent="0.25">
      <c r="A1625" t="s">
        <v>24</v>
      </c>
      <c r="D1625" t="s">
        <v>312</v>
      </c>
      <c r="E1625">
        <v>2002</v>
      </c>
      <c r="F1625">
        <v>3</v>
      </c>
      <c r="G1625">
        <v>14</v>
      </c>
      <c r="H1625">
        <v>4</v>
      </c>
      <c r="I1625">
        <v>146</v>
      </c>
      <c r="K1625" s="13">
        <v>45820</v>
      </c>
      <c r="L1625" t="s">
        <v>687</v>
      </c>
    </row>
    <row r="1626" spans="1:13" x14ac:dyDescent="0.25">
      <c r="A1626" t="s">
        <v>24</v>
      </c>
      <c r="D1626" t="s">
        <v>312</v>
      </c>
      <c r="E1626">
        <v>2002</v>
      </c>
      <c r="F1626">
        <v>3</v>
      </c>
      <c r="G1626">
        <v>14</v>
      </c>
      <c r="H1626">
        <v>4</v>
      </c>
      <c r="I1626">
        <v>146</v>
      </c>
      <c r="K1626" s="13">
        <v>45820</v>
      </c>
      <c r="L1626" t="s">
        <v>688</v>
      </c>
    </row>
    <row r="1627" spans="1:13" x14ac:dyDescent="0.25">
      <c r="A1627" t="s">
        <v>24</v>
      </c>
      <c r="D1627" t="s">
        <v>312</v>
      </c>
      <c r="E1627">
        <v>2002</v>
      </c>
      <c r="F1627">
        <v>3</v>
      </c>
      <c r="G1627">
        <v>14</v>
      </c>
      <c r="H1627">
        <v>4</v>
      </c>
      <c r="I1627">
        <v>146</v>
      </c>
      <c r="K1627" s="13">
        <v>45820</v>
      </c>
      <c r="L1627" t="s">
        <v>689</v>
      </c>
    </row>
    <row r="1628" spans="1:13" x14ac:dyDescent="0.25">
      <c r="A1628" t="s">
        <v>24</v>
      </c>
      <c r="D1628" t="s">
        <v>312</v>
      </c>
      <c r="E1628">
        <v>2002</v>
      </c>
      <c r="F1628">
        <v>3</v>
      </c>
      <c r="G1628">
        <v>14</v>
      </c>
      <c r="H1628">
        <v>4</v>
      </c>
      <c r="I1628">
        <v>146</v>
      </c>
      <c r="K1628" s="13">
        <v>45825</v>
      </c>
      <c r="L1628" t="s">
        <v>687</v>
      </c>
      <c r="M1628">
        <v>6.5</v>
      </c>
    </row>
    <row r="1629" spans="1:13" x14ac:dyDescent="0.25">
      <c r="A1629" t="s">
        <v>24</v>
      </c>
      <c r="D1629" t="s">
        <v>312</v>
      </c>
      <c r="E1629">
        <v>2002</v>
      </c>
      <c r="F1629">
        <v>3</v>
      </c>
      <c r="G1629">
        <v>14</v>
      </c>
      <c r="H1629">
        <v>4</v>
      </c>
      <c r="I1629">
        <v>146</v>
      </c>
      <c r="K1629" s="13">
        <v>45825</v>
      </c>
      <c r="L1629" t="s">
        <v>688</v>
      </c>
      <c r="M1629">
        <v>6.5</v>
      </c>
    </row>
    <row r="1630" spans="1:13" x14ac:dyDescent="0.25">
      <c r="A1630" t="s">
        <v>24</v>
      </c>
      <c r="D1630" t="s">
        <v>312</v>
      </c>
      <c r="E1630">
        <v>2002</v>
      </c>
      <c r="F1630">
        <v>3</v>
      </c>
      <c r="G1630">
        <v>14</v>
      </c>
      <c r="H1630">
        <v>4</v>
      </c>
      <c r="I1630">
        <v>146</v>
      </c>
      <c r="K1630" s="13">
        <v>45825</v>
      </c>
      <c r="L1630" t="s">
        <v>689</v>
      </c>
      <c r="M1630">
        <v>6.7</v>
      </c>
    </row>
    <row r="1631" spans="1:13" x14ac:dyDescent="0.25">
      <c r="A1631" t="s">
        <v>24</v>
      </c>
      <c r="D1631" t="s">
        <v>312</v>
      </c>
      <c r="E1631">
        <v>2002</v>
      </c>
      <c r="F1631">
        <v>3</v>
      </c>
      <c r="G1631">
        <v>14</v>
      </c>
      <c r="H1631">
        <v>4</v>
      </c>
      <c r="I1631">
        <v>146</v>
      </c>
      <c r="K1631" s="13">
        <v>45827</v>
      </c>
      <c r="L1631" t="s">
        <v>687</v>
      </c>
    </row>
    <row r="1632" spans="1:13" x14ac:dyDescent="0.25">
      <c r="A1632" t="s">
        <v>24</v>
      </c>
      <c r="D1632" t="s">
        <v>312</v>
      </c>
      <c r="E1632">
        <v>2002</v>
      </c>
      <c r="F1632">
        <v>3</v>
      </c>
      <c r="G1632">
        <v>14</v>
      </c>
      <c r="H1632">
        <v>4</v>
      </c>
      <c r="I1632">
        <v>146</v>
      </c>
      <c r="K1632" s="13">
        <v>45827</v>
      </c>
      <c r="L1632" t="s">
        <v>688</v>
      </c>
    </row>
    <row r="1633" spans="1:13" x14ac:dyDescent="0.25">
      <c r="A1633" t="s">
        <v>24</v>
      </c>
      <c r="D1633" t="s">
        <v>312</v>
      </c>
      <c r="E1633">
        <v>2002</v>
      </c>
      <c r="F1633">
        <v>3</v>
      </c>
      <c r="G1633">
        <v>14</v>
      </c>
      <c r="H1633">
        <v>4</v>
      </c>
      <c r="I1633">
        <v>146</v>
      </c>
      <c r="K1633" s="13">
        <v>45827</v>
      </c>
      <c r="L1633" t="s">
        <v>689</v>
      </c>
    </row>
    <row r="1634" spans="1:13" x14ac:dyDescent="0.25">
      <c r="A1634" t="s">
        <v>24</v>
      </c>
      <c r="D1634" t="s">
        <v>312</v>
      </c>
      <c r="E1634">
        <v>2002</v>
      </c>
      <c r="F1634">
        <v>3</v>
      </c>
      <c r="G1634">
        <v>14</v>
      </c>
      <c r="H1634">
        <v>4</v>
      </c>
      <c r="I1634">
        <v>146</v>
      </c>
      <c r="K1634" s="13">
        <v>45859</v>
      </c>
      <c r="L1634" t="s">
        <v>687</v>
      </c>
    </row>
    <row r="1635" spans="1:13" x14ac:dyDescent="0.25">
      <c r="A1635" t="s">
        <v>24</v>
      </c>
      <c r="D1635" t="s">
        <v>312</v>
      </c>
      <c r="E1635">
        <v>2002</v>
      </c>
      <c r="F1635">
        <v>3</v>
      </c>
      <c r="G1635">
        <v>14</v>
      </c>
      <c r="H1635">
        <v>4</v>
      </c>
      <c r="I1635">
        <v>146</v>
      </c>
      <c r="K1635" s="13">
        <v>45859</v>
      </c>
      <c r="L1635" t="s">
        <v>688</v>
      </c>
    </row>
    <row r="1636" spans="1:13" x14ac:dyDescent="0.25">
      <c r="A1636" t="s">
        <v>24</v>
      </c>
      <c r="D1636" t="s">
        <v>312</v>
      </c>
      <c r="E1636">
        <v>2002</v>
      </c>
      <c r="F1636">
        <v>3</v>
      </c>
      <c r="G1636">
        <v>14</v>
      </c>
      <c r="H1636">
        <v>4</v>
      </c>
      <c r="I1636">
        <v>146</v>
      </c>
      <c r="K1636" s="13">
        <v>45859</v>
      </c>
      <c r="L1636" t="s">
        <v>689</v>
      </c>
    </row>
    <row r="1637" spans="1:13" x14ac:dyDescent="0.25">
      <c r="A1637" t="s">
        <v>24</v>
      </c>
      <c r="D1637" t="s">
        <v>312</v>
      </c>
      <c r="E1637">
        <v>2002</v>
      </c>
      <c r="F1637">
        <v>3</v>
      </c>
      <c r="G1637">
        <v>14</v>
      </c>
      <c r="H1637">
        <v>4</v>
      </c>
      <c r="I1637">
        <v>146</v>
      </c>
      <c r="K1637" s="13">
        <v>45868</v>
      </c>
      <c r="L1637" t="s">
        <v>687</v>
      </c>
      <c r="M1637">
        <v>8.6999999999999993</v>
      </c>
    </row>
    <row r="1638" spans="1:13" x14ac:dyDescent="0.25">
      <c r="A1638" t="s">
        <v>24</v>
      </c>
      <c r="D1638" t="s">
        <v>312</v>
      </c>
      <c r="E1638">
        <v>2002</v>
      </c>
      <c r="F1638">
        <v>3</v>
      </c>
      <c r="G1638">
        <v>14</v>
      </c>
      <c r="H1638">
        <v>4</v>
      </c>
      <c r="I1638">
        <v>146</v>
      </c>
      <c r="K1638" s="13">
        <v>45868</v>
      </c>
      <c r="L1638" t="s">
        <v>688</v>
      </c>
      <c r="M1638">
        <v>8.6999999999999993</v>
      </c>
    </row>
    <row r="1639" spans="1:13" x14ac:dyDescent="0.25">
      <c r="A1639" t="s">
        <v>24</v>
      </c>
      <c r="D1639" t="s">
        <v>312</v>
      </c>
      <c r="E1639">
        <v>2002</v>
      </c>
      <c r="F1639">
        <v>3</v>
      </c>
      <c r="G1639">
        <v>14</v>
      </c>
      <c r="H1639">
        <v>4</v>
      </c>
      <c r="I1639">
        <v>146</v>
      </c>
      <c r="K1639" s="13">
        <v>45868</v>
      </c>
      <c r="L1639" t="s">
        <v>689</v>
      </c>
    </row>
    <row r="1640" spans="1:13" x14ac:dyDescent="0.25">
      <c r="A1640" t="s">
        <v>24</v>
      </c>
      <c r="D1640" t="s">
        <v>312</v>
      </c>
      <c r="E1640">
        <v>2002</v>
      </c>
      <c r="F1640">
        <v>3</v>
      </c>
      <c r="G1640">
        <v>14</v>
      </c>
      <c r="H1640">
        <v>4</v>
      </c>
      <c r="I1640">
        <v>146</v>
      </c>
      <c r="K1640" s="13">
        <v>45875</v>
      </c>
      <c r="L1640" t="s">
        <v>687</v>
      </c>
      <c r="M1640">
        <v>9.1</v>
      </c>
    </row>
    <row r="1641" spans="1:13" x14ac:dyDescent="0.25">
      <c r="A1641" t="s">
        <v>24</v>
      </c>
      <c r="D1641" t="s">
        <v>312</v>
      </c>
      <c r="E1641">
        <v>2002</v>
      </c>
      <c r="F1641">
        <v>3</v>
      </c>
      <c r="G1641">
        <v>14</v>
      </c>
      <c r="H1641">
        <v>4</v>
      </c>
      <c r="I1641">
        <v>146</v>
      </c>
      <c r="K1641" s="13">
        <v>45875</v>
      </c>
      <c r="L1641" t="s">
        <v>688</v>
      </c>
      <c r="M1641">
        <v>9.1</v>
      </c>
    </row>
    <row r="1642" spans="1:13" x14ac:dyDescent="0.25">
      <c r="A1642" t="s">
        <v>24</v>
      </c>
      <c r="D1642" t="s">
        <v>312</v>
      </c>
      <c r="E1642">
        <v>2002</v>
      </c>
      <c r="F1642">
        <v>3</v>
      </c>
      <c r="G1642">
        <v>14</v>
      </c>
      <c r="H1642">
        <v>4</v>
      </c>
      <c r="I1642">
        <v>146</v>
      </c>
      <c r="K1642" s="13">
        <v>45875</v>
      </c>
      <c r="L1642" t="s">
        <v>689</v>
      </c>
      <c r="M1642">
        <v>9.3000000000000007</v>
      </c>
    </row>
    <row r="1643" spans="1:13" x14ac:dyDescent="0.25">
      <c r="A1643" t="s">
        <v>24</v>
      </c>
      <c r="D1643" t="s">
        <v>312</v>
      </c>
      <c r="E1643">
        <v>2002</v>
      </c>
      <c r="F1643">
        <v>3</v>
      </c>
      <c r="G1643">
        <v>14</v>
      </c>
      <c r="H1643">
        <v>4</v>
      </c>
      <c r="I1643">
        <v>146</v>
      </c>
      <c r="K1643" s="13">
        <v>45880</v>
      </c>
      <c r="L1643" t="s">
        <v>687</v>
      </c>
    </row>
    <row r="1644" spans="1:13" x14ac:dyDescent="0.25">
      <c r="A1644" t="s">
        <v>24</v>
      </c>
      <c r="D1644" t="s">
        <v>312</v>
      </c>
      <c r="E1644">
        <v>2002</v>
      </c>
      <c r="F1644">
        <v>3</v>
      </c>
      <c r="G1644">
        <v>14</v>
      </c>
      <c r="H1644">
        <v>4</v>
      </c>
      <c r="I1644">
        <v>146</v>
      </c>
      <c r="K1644" s="13">
        <v>45880</v>
      </c>
      <c r="L1644" t="s">
        <v>688</v>
      </c>
    </row>
    <row r="1645" spans="1:13" x14ac:dyDescent="0.25">
      <c r="A1645" t="s">
        <v>24</v>
      </c>
      <c r="D1645" t="s">
        <v>312</v>
      </c>
      <c r="E1645">
        <v>2002</v>
      </c>
      <c r="F1645">
        <v>3</v>
      </c>
      <c r="G1645">
        <v>14</v>
      </c>
      <c r="H1645">
        <v>4</v>
      </c>
      <c r="I1645">
        <v>146</v>
      </c>
      <c r="K1645" s="13">
        <v>45880</v>
      </c>
      <c r="L1645" t="s">
        <v>689</v>
      </c>
    </row>
    <row r="1646" spans="1:13" x14ac:dyDescent="0.25">
      <c r="A1646" t="s">
        <v>24</v>
      </c>
      <c r="D1646" t="s">
        <v>312</v>
      </c>
      <c r="E1646">
        <v>2002</v>
      </c>
      <c r="F1646">
        <v>3</v>
      </c>
      <c r="G1646">
        <v>14</v>
      </c>
      <c r="H1646">
        <v>4</v>
      </c>
      <c r="I1646">
        <v>146</v>
      </c>
      <c r="K1646" s="13">
        <v>45897</v>
      </c>
      <c r="L1646" t="s">
        <v>687</v>
      </c>
      <c r="M1646">
        <v>11.3</v>
      </c>
    </row>
    <row r="1647" spans="1:13" x14ac:dyDescent="0.25">
      <c r="A1647" t="s">
        <v>24</v>
      </c>
      <c r="D1647" t="s">
        <v>312</v>
      </c>
      <c r="E1647">
        <v>2002</v>
      </c>
      <c r="F1647">
        <v>3</v>
      </c>
      <c r="G1647">
        <v>14</v>
      </c>
      <c r="H1647">
        <v>4</v>
      </c>
      <c r="I1647">
        <v>146</v>
      </c>
      <c r="K1647" s="13">
        <v>45897</v>
      </c>
      <c r="L1647" t="s">
        <v>688</v>
      </c>
      <c r="M1647">
        <v>11.1</v>
      </c>
    </row>
    <row r="1648" spans="1:13" x14ac:dyDescent="0.25">
      <c r="A1648" t="s">
        <v>24</v>
      </c>
      <c r="D1648" t="s">
        <v>312</v>
      </c>
      <c r="E1648">
        <v>2002</v>
      </c>
      <c r="F1648">
        <v>3</v>
      </c>
      <c r="G1648">
        <v>14</v>
      </c>
      <c r="H1648">
        <v>4</v>
      </c>
      <c r="I1648">
        <v>146</v>
      </c>
      <c r="K1648" s="13">
        <v>45897</v>
      </c>
      <c r="L1648" t="s">
        <v>689</v>
      </c>
    </row>
    <row r="1649" spans="1:13" x14ac:dyDescent="0.25">
      <c r="A1649" t="s">
        <v>24</v>
      </c>
      <c r="D1649" t="s">
        <v>312</v>
      </c>
      <c r="E1649">
        <v>2002</v>
      </c>
      <c r="F1649">
        <v>3</v>
      </c>
      <c r="G1649">
        <v>14</v>
      </c>
      <c r="H1649">
        <v>4</v>
      </c>
      <c r="I1649">
        <v>146</v>
      </c>
      <c r="K1649" s="13">
        <v>45911</v>
      </c>
      <c r="L1649" t="s">
        <v>687</v>
      </c>
    </row>
    <row r="1650" spans="1:13" x14ac:dyDescent="0.25">
      <c r="A1650" t="s">
        <v>24</v>
      </c>
      <c r="D1650" t="s">
        <v>312</v>
      </c>
      <c r="E1650">
        <v>2002</v>
      </c>
      <c r="F1650">
        <v>3</v>
      </c>
      <c r="G1650">
        <v>14</v>
      </c>
      <c r="H1650">
        <v>4</v>
      </c>
      <c r="I1650">
        <v>146</v>
      </c>
      <c r="K1650" s="13">
        <v>45911</v>
      </c>
      <c r="L1650" t="s">
        <v>688</v>
      </c>
    </row>
    <row r="1651" spans="1:13" x14ac:dyDescent="0.25">
      <c r="A1651" t="s">
        <v>24</v>
      </c>
      <c r="D1651" t="s">
        <v>312</v>
      </c>
      <c r="E1651">
        <v>2002</v>
      </c>
      <c r="F1651">
        <v>3</v>
      </c>
      <c r="G1651">
        <v>14</v>
      </c>
      <c r="H1651">
        <v>4</v>
      </c>
      <c r="I1651">
        <v>146</v>
      </c>
      <c r="K1651" s="13">
        <v>45911</v>
      </c>
      <c r="L1651" t="s">
        <v>689</v>
      </c>
    </row>
    <row r="1652" spans="1:13" x14ac:dyDescent="0.25">
      <c r="A1652" t="s">
        <v>24</v>
      </c>
      <c r="D1652" t="s">
        <v>313</v>
      </c>
      <c r="E1652">
        <v>2016</v>
      </c>
      <c r="F1652">
        <v>4</v>
      </c>
      <c r="G1652">
        <v>14</v>
      </c>
      <c r="H1652">
        <v>4</v>
      </c>
      <c r="I1652">
        <v>162</v>
      </c>
      <c r="K1652" s="13">
        <v>45796</v>
      </c>
      <c r="L1652" t="s">
        <v>687</v>
      </c>
      <c r="M1652">
        <v>5.2</v>
      </c>
    </row>
    <row r="1653" spans="1:13" x14ac:dyDescent="0.25">
      <c r="A1653" t="s">
        <v>24</v>
      </c>
      <c r="D1653" t="s">
        <v>313</v>
      </c>
      <c r="E1653">
        <v>2016</v>
      </c>
      <c r="F1653">
        <v>4</v>
      </c>
      <c r="G1653">
        <v>14</v>
      </c>
      <c r="H1653">
        <v>4</v>
      </c>
      <c r="I1653">
        <v>162</v>
      </c>
      <c r="K1653" s="13">
        <v>45796</v>
      </c>
      <c r="L1653" t="s">
        <v>688</v>
      </c>
      <c r="M1653">
        <v>5.3</v>
      </c>
    </row>
    <row r="1654" spans="1:13" x14ac:dyDescent="0.25">
      <c r="A1654" t="s">
        <v>24</v>
      </c>
      <c r="D1654" t="s">
        <v>313</v>
      </c>
      <c r="E1654">
        <v>2016</v>
      </c>
      <c r="F1654">
        <v>4</v>
      </c>
      <c r="G1654">
        <v>14</v>
      </c>
      <c r="H1654">
        <v>4</v>
      </c>
      <c r="I1654">
        <v>162</v>
      </c>
      <c r="K1654" s="13">
        <v>45796</v>
      </c>
      <c r="L1654" t="s">
        <v>689</v>
      </c>
      <c r="M1654">
        <v>5.3</v>
      </c>
    </row>
    <row r="1655" spans="1:13" x14ac:dyDescent="0.25">
      <c r="A1655" t="s">
        <v>24</v>
      </c>
      <c r="D1655" t="s">
        <v>313</v>
      </c>
      <c r="E1655">
        <v>2016</v>
      </c>
      <c r="F1655">
        <v>4</v>
      </c>
      <c r="G1655">
        <v>14</v>
      </c>
      <c r="H1655">
        <v>4</v>
      </c>
      <c r="I1655">
        <v>162</v>
      </c>
      <c r="K1655" s="13">
        <v>45820</v>
      </c>
      <c r="L1655" t="s">
        <v>687</v>
      </c>
    </row>
    <row r="1656" spans="1:13" x14ac:dyDescent="0.25">
      <c r="A1656" t="s">
        <v>24</v>
      </c>
      <c r="D1656" t="s">
        <v>313</v>
      </c>
      <c r="E1656">
        <v>2016</v>
      </c>
      <c r="F1656">
        <v>4</v>
      </c>
      <c r="G1656">
        <v>14</v>
      </c>
      <c r="H1656">
        <v>4</v>
      </c>
      <c r="I1656">
        <v>162</v>
      </c>
      <c r="K1656" s="13">
        <v>45820</v>
      </c>
      <c r="L1656" t="s">
        <v>688</v>
      </c>
    </row>
    <row r="1657" spans="1:13" x14ac:dyDescent="0.25">
      <c r="A1657" t="s">
        <v>24</v>
      </c>
      <c r="D1657" t="s">
        <v>313</v>
      </c>
      <c r="E1657">
        <v>2016</v>
      </c>
      <c r="F1657">
        <v>4</v>
      </c>
      <c r="G1657">
        <v>14</v>
      </c>
      <c r="H1657">
        <v>4</v>
      </c>
      <c r="I1657">
        <v>162</v>
      </c>
      <c r="K1657" s="13">
        <v>45820</v>
      </c>
      <c r="L1657" t="s">
        <v>689</v>
      </c>
    </row>
    <row r="1658" spans="1:13" x14ac:dyDescent="0.25">
      <c r="A1658" t="s">
        <v>24</v>
      </c>
      <c r="D1658" t="s">
        <v>313</v>
      </c>
      <c r="E1658">
        <v>2016</v>
      </c>
      <c r="F1658">
        <v>4</v>
      </c>
      <c r="G1658">
        <v>14</v>
      </c>
      <c r="H1658">
        <v>4</v>
      </c>
      <c r="I1658">
        <v>162</v>
      </c>
      <c r="K1658" s="13">
        <v>45825</v>
      </c>
      <c r="L1658" t="s">
        <v>687</v>
      </c>
      <c r="M1658">
        <v>6.3</v>
      </c>
    </row>
    <row r="1659" spans="1:13" x14ac:dyDescent="0.25">
      <c r="A1659" t="s">
        <v>24</v>
      </c>
      <c r="D1659" t="s">
        <v>313</v>
      </c>
      <c r="E1659">
        <v>2016</v>
      </c>
      <c r="F1659">
        <v>4</v>
      </c>
      <c r="G1659">
        <v>14</v>
      </c>
      <c r="H1659">
        <v>4</v>
      </c>
      <c r="I1659">
        <v>162</v>
      </c>
      <c r="K1659" s="13">
        <v>45825</v>
      </c>
      <c r="L1659" t="s">
        <v>688</v>
      </c>
      <c r="M1659">
        <v>6.3</v>
      </c>
    </row>
    <row r="1660" spans="1:13" x14ac:dyDescent="0.25">
      <c r="A1660" t="s">
        <v>24</v>
      </c>
      <c r="D1660" t="s">
        <v>313</v>
      </c>
      <c r="E1660">
        <v>2016</v>
      </c>
      <c r="F1660">
        <v>4</v>
      </c>
      <c r="G1660">
        <v>14</v>
      </c>
      <c r="H1660">
        <v>4</v>
      </c>
      <c r="I1660">
        <v>162</v>
      </c>
      <c r="K1660" s="13">
        <v>45825</v>
      </c>
      <c r="L1660" t="s">
        <v>689</v>
      </c>
      <c r="M1660">
        <v>6.7</v>
      </c>
    </row>
    <row r="1661" spans="1:13" x14ac:dyDescent="0.25">
      <c r="A1661" t="s">
        <v>24</v>
      </c>
      <c r="D1661" t="s">
        <v>313</v>
      </c>
      <c r="E1661">
        <v>2016</v>
      </c>
      <c r="F1661">
        <v>4</v>
      </c>
      <c r="G1661">
        <v>14</v>
      </c>
      <c r="H1661">
        <v>4</v>
      </c>
      <c r="I1661">
        <v>162</v>
      </c>
      <c r="K1661" s="13">
        <v>45827</v>
      </c>
      <c r="L1661" t="s">
        <v>687</v>
      </c>
    </row>
    <row r="1662" spans="1:13" x14ac:dyDescent="0.25">
      <c r="A1662" t="s">
        <v>24</v>
      </c>
      <c r="D1662" t="s">
        <v>313</v>
      </c>
      <c r="E1662">
        <v>2016</v>
      </c>
      <c r="F1662">
        <v>4</v>
      </c>
      <c r="G1662">
        <v>14</v>
      </c>
      <c r="H1662">
        <v>4</v>
      </c>
      <c r="I1662">
        <v>162</v>
      </c>
      <c r="K1662" s="13">
        <v>45827</v>
      </c>
      <c r="L1662" t="s">
        <v>688</v>
      </c>
    </row>
    <row r="1663" spans="1:13" x14ac:dyDescent="0.25">
      <c r="A1663" t="s">
        <v>24</v>
      </c>
      <c r="D1663" t="s">
        <v>313</v>
      </c>
      <c r="E1663">
        <v>2016</v>
      </c>
      <c r="F1663">
        <v>4</v>
      </c>
      <c r="G1663">
        <v>14</v>
      </c>
      <c r="H1663">
        <v>4</v>
      </c>
      <c r="I1663">
        <v>162</v>
      </c>
      <c r="K1663" s="13">
        <v>45827</v>
      </c>
      <c r="L1663" t="s">
        <v>689</v>
      </c>
    </row>
    <row r="1664" spans="1:13" x14ac:dyDescent="0.25">
      <c r="A1664" t="s">
        <v>24</v>
      </c>
      <c r="D1664" t="s">
        <v>313</v>
      </c>
      <c r="E1664">
        <v>2016</v>
      </c>
      <c r="F1664">
        <v>4</v>
      </c>
      <c r="G1664">
        <v>14</v>
      </c>
      <c r="H1664">
        <v>4</v>
      </c>
      <c r="I1664">
        <v>162</v>
      </c>
      <c r="K1664" s="13">
        <v>45859</v>
      </c>
      <c r="L1664" t="s">
        <v>687</v>
      </c>
    </row>
    <row r="1665" spans="1:13" x14ac:dyDescent="0.25">
      <c r="A1665" t="s">
        <v>24</v>
      </c>
      <c r="D1665" t="s">
        <v>313</v>
      </c>
      <c r="E1665">
        <v>2016</v>
      </c>
      <c r="F1665">
        <v>4</v>
      </c>
      <c r="G1665">
        <v>14</v>
      </c>
      <c r="H1665">
        <v>4</v>
      </c>
      <c r="I1665">
        <v>162</v>
      </c>
      <c r="K1665" s="13">
        <v>45859</v>
      </c>
      <c r="L1665" t="s">
        <v>688</v>
      </c>
    </row>
    <row r="1666" spans="1:13" x14ac:dyDescent="0.25">
      <c r="A1666" t="s">
        <v>24</v>
      </c>
      <c r="D1666" t="s">
        <v>313</v>
      </c>
      <c r="E1666">
        <v>2016</v>
      </c>
      <c r="F1666">
        <v>4</v>
      </c>
      <c r="G1666">
        <v>14</v>
      </c>
      <c r="H1666">
        <v>4</v>
      </c>
      <c r="I1666">
        <v>162</v>
      </c>
      <c r="K1666" s="13">
        <v>45859</v>
      </c>
      <c r="L1666" t="s">
        <v>689</v>
      </c>
    </row>
    <row r="1667" spans="1:13" x14ac:dyDescent="0.25">
      <c r="A1667" t="s">
        <v>24</v>
      </c>
      <c r="D1667" t="s">
        <v>313</v>
      </c>
      <c r="E1667">
        <v>2016</v>
      </c>
      <c r="F1667">
        <v>4</v>
      </c>
      <c r="G1667">
        <v>14</v>
      </c>
      <c r="H1667">
        <v>4</v>
      </c>
      <c r="I1667">
        <v>162</v>
      </c>
      <c r="K1667" s="13">
        <v>45868</v>
      </c>
      <c r="L1667" t="s">
        <v>687</v>
      </c>
      <c r="M1667">
        <v>8.9</v>
      </c>
    </row>
    <row r="1668" spans="1:13" x14ac:dyDescent="0.25">
      <c r="A1668" t="s">
        <v>24</v>
      </c>
      <c r="D1668" t="s">
        <v>313</v>
      </c>
      <c r="E1668">
        <v>2016</v>
      </c>
      <c r="F1668">
        <v>4</v>
      </c>
      <c r="G1668">
        <v>14</v>
      </c>
      <c r="H1668">
        <v>4</v>
      </c>
      <c r="I1668">
        <v>162</v>
      </c>
      <c r="K1668" s="13">
        <v>45868</v>
      </c>
      <c r="L1668" t="s">
        <v>688</v>
      </c>
      <c r="M1668">
        <v>9.3000000000000007</v>
      </c>
    </row>
    <row r="1669" spans="1:13" x14ac:dyDescent="0.25">
      <c r="A1669" t="s">
        <v>24</v>
      </c>
      <c r="D1669" t="s">
        <v>313</v>
      </c>
      <c r="E1669">
        <v>2016</v>
      </c>
      <c r="F1669">
        <v>4</v>
      </c>
      <c r="G1669">
        <v>14</v>
      </c>
      <c r="H1669">
        <v>4</v>
      </c>
      <c r="I1669">
        <v>162</v>
      </c>
      <c r="K1669" s="13">
        <v>45868</v>
      </c>
      <c r="L1669" t="s">
        <v>689</v>
      </c>
    </row>
    <row r="1670" spans="1:13" x14ac:dyDescent="0.25">
      <c r="A1670" t="s">
        <v>24</v>
      </c>
      <c r="D1670" t="s">
        <v>313</v>
      </c>
      <c r="E1670">
        <v>2016</v>
      </c>
      <c r="F1670">
        <v>4</v>
      </c>
      <c r="G1670">
        <v>14</v>
      </c>
      <c r="H1670">
        <v>4</v>
      </c>
      <c r="I1670">
        <v>162</v>
      </c>
      <c r="K1670" s="13">
        <v>45875</v>
      </c>
      <c r="L1670" t="s">
        <v>687</v>
      </c>
      <c r="M1670">
        <v>9.6999999999999993</v>
      </c>
    </row>
    <row r="1671" spans="1:13" x14ac:dyDescent="0.25">
      <c r="A1671" t="s">
        <v>24</v>
      </c>
      <c r="D1671" t="s">
        <v>313</v>
      </c>
      <c r="E1671">
        <v>2016</v>
      </c>
      <c r="F1671">
        <v>4</v>
      </c>
      <c r="G1671">
        <v>14</v>
      </c>
      <c r="H1671">
        <v>4</v>
      </c>
      <c r="I1671">
        <v>162</v>
      </c>
      <c r="K1671" s="13">
        <v>45875</v>
      </c>
      <c r="L1671" t="s">
        <v>688</v>
      </c>
      <c r="M1671">
        <v>9.6</v>
      </c>
    </row>
    <row r="1672" spans="1:13" x14ac:dyDescent="0.25">
      <c r="A1672" t="s">
        <v>24</v>
      </c>
      <c r="D1672" t="s">
        <v>313</v>
      </c>
      <c r="E1672">
        <v>2016</v>
      </c>
      <c r="F1672">
        <v>4</v>
      </c>
      <c r="G1672">
        <v>14</v>
      </c>
      <c r="H1672">
        <v>4</v>
      </c>
      <c r="I1672">
        <v>162</v>
      </c>
      <c r="K1672" s="13">
        <v>45875</v>
      </c>
      <c r="L1672" t="s">
        <v>689</v>
      </c>
      <c r="M1672">
        <v>9.6</v>
      </c>
    </row>
    <row r="1673" spans="1:13" x14ac:dyDescent="0.25">
      <c r="A1673" t="s">
        <v>24</v>
      </c>
      <c r="D1673" t="s">
        <v>313</v>
      </c>
      <c r="E1673">
        <v>2016</v>
      </c>
      <c r="F1673">
        <v>4</v>
      </c>
      <c r="G1673">
        <v>14</v>
      </c>
      <c r="H1673">
        <v>4</v>
      </c>
      <c r="I1673">
        <v>162</v>
      </c>
      <c r="K1673" s="13">
        <v>45880</v>
      </c>
      <c r="L1673" t="s">
        <v>687</v>
      </c>
    </row>
    <row r="1674" spans="1:13" x14ac:dyDescent="0.25">
      <c r="A1674" t="s">
        <v>24</v>
      </c>
      <c r="D1674" t="s">
        <v>313</v>
      </c>
      <c r="E1674">
        <v>2016</v>
      </c>
      <c r="F1674">
        <v>4</v>
      </c>
      <c r="G1674">
        <v>14</v>
      </c>
      <c r="H1674">
        <v>4</v>
      </c>
      <c r="I1674">
        <v>162</v>
      </c>
      <c r="K1674" s="13">
        <v>45880</v>
      </c>
      <c r="L1674" t="s">
        <v>688</v>
      </c>
    </row>
    <row r="1675" spans="1:13" x14ac:dyDescent="0.25">
      <c r="A1675" t="s">
        <v>24</v>
      </c>
      <c r="D1675" t="s">
        <v>313</v>
      </c>
      <c r="E1675">
        <v>2016</v>
      </c>
      <c r="F1675">
        <v>4</v>
      </c>
      <c r="G1675">
        <v>14</v>
      </c>
      <c r="H1675">
        <v>4</v>
      </c>
      <c r="I1675">
        <v>162</v>
      </c>
      <c r="K1675" s="13">
        <v>45880</v>
      </c>
      <c r="L1675" t="s">
        <v>689</v>
      </c>
    </row>
    <row r="1676" spans="1:13" x14ac:dyDescent="0.25">
      <c r="A1676" t="s">
        <v>24</v>
      </c>
      <c r="D1676" t="s">
        <v>313</v>
      </c>
      <c r="E1676">
        <v>2016</v>
      </c>
      <c r="F1676">
        <v>4</v>
      </c>
      <c r="G1676">
        <v>14</v>
      </c>
      <c r="H1676">
        <v>4</v>
      </c>
      <c r="I1676">
        <v>162</v>
      </c>
      <c r="K1676" s="13">
        <v>45897</v>
      </c>
      <c r="L1676" t="s">
        <v>687</v>
      </c>
      <c r="M1676">
        <v>11.7</v>
      </c>
    </row>
    <row r="1677" spans="1:13" x14ac:dyDescent="0.25">
      <c r="A1677" t="s">
        <v>24</v>
      </c>
      <c r="D1677" t="s">
        <v>313</v>
      </c>
      <c r="E1677">
        <v>2016</v>
      </c>
      <c r="F1677">
        <v>4</v>
      </c>
      <c r="G1677">
        <v>14</v>
      </c>
      <c r="H1677">
        <v>4</v>
      </c>
      <c r="I1677">
        <v>162</v>
      </c>
      <c r="K1677" s="13">
        <v>45897</v>
      </c>
      <c r="L1677" t="s">
        <v>688</v>
      </c>
      <c r="M1677">
        <v>11.8</v>
      </c>
    </row>
    <row r="1678" spans="1:13" x14ac:dyDescent="0.25">
      <c r="A1678" t="s">
        <v>24</v>
      </c>
      <c r="D1678" t="s">
        <v>313</v>
      </c>
      <c r="E1678">
        <v>2016</v>
      </c>
      <c r="F1678">
        <v>4</v>
      </c>
      <c r="G1678">
        <v>14</v>
      </c>
      <c r="H1678">
        <v>4</v>
      </c>
      <c r="I1678">
        <v>162</v>
      </c>
      <c r="K1678" s="13">
        <v>45897</v>
      </c>
      <c r="L1678" t="s">
        <v>689</v>
      </c>
      <c r="M1678">
        <v>11.8</v>
      </c>
    </row>
    <row r="1679" spans="1:13" x14ac:dyDescent="0.25">
      <c r="A1679" t="s">
        <v>24</v>
      </c>
      <c r="D1679" t="s">
        <v>313</v>
      </c>
      <c r="E1679">
        <v>2016</v>
      </c>
      <c r="F1679">
        <v>4</v>
      </c>
      <c r="G1679">
        <v>14</v>
      </c>
      <c r="H1679">
        <v>4</v>
      </c>
      <c r="I1679">
        <v>162</v>
      </c>
      <c r="K1679" s="13">
        <v>45911</v>
      </c>
      <c r="L1679" t="s">
        <v>687</v>
      </c>
    </row>
    <row r="1680" spans="1:13" x14ac:dyDescent="0.25">
      <c r="A1680" t="s">
        <v>24</v>
      </c>
      <c r="D1680" t="s">
        <v>313</v>
      </c>
      <c r="E1680">
        <v>2016</v>
      </c>
      <c r="F1680">
        <v>4</v>
      </c>
      <c r="G1680">
        <v>14</v>
      </c>
      <c r="H1680">
        <v>4</v>
      </c>
      <c r="I1680">
        <v>162</v>
      </c>
      <c r="K1680" s="13">
        <v>45911</v>
      </c>
      <c r="L1680" t="s">
        <v>688</v>
      </c>
    </row>
    <row r="1681" spans="1:13" x14ac:dyDescent="0.25">
      <c r="A1681" t="s">
        <v>24</v>
      </c>
      <c r="D1681" t="s">
        <v>313</v>
      </c>
      <c r="E1681">
        <v>2016</v>
      </c>
      <c r="F1681">
        <v>4</v>
      </c>
      <c r="G1681">
        <v>14</v>
      </c>
      <c r="H1681">
        <v>4</v>
      </c>
      <c r="I1681">
        <v>162</v>
      </c>
      <c r="K1681" s="13">
        <v>45911</v>
      </c>
      <c r="L1681" t="s">
        <v>689</v>
      </c>
    </row>
    <row r="1682" spans="1:13" x14ac:dyDescent="0.25">
      <c r="A1682" t="s">
        <v>34</v>
      </c>
      <c r="D1682" t="s">
        <v>36</v>
      </c>
      <c r="E1682">
        <v>1984</v>
      </c>
      <c r="F1682">
        <v>1</v>
      </c>
      <c r="G1682">
        <v>15</v>
      </c>
      <c r="H1682">
        <v>4</v>
      </c>
      <c r="I1682">
        <v>115</v>
      </c>
      <c r="K1682" s="13">
        <v>45796</v>
      </c>
      <c r="L1682" t="s">
        <v>687</v>
      </c>
    </row>
    <row r="1683" spans="1:13" x14ac:dyDescent="0.25">
      <c r="A1683" t="s">
        <v>34</v>
      </c>
      <c r="D1683" t="s">
        <v>36</v>
      </c>
      <c r="E1683">
        <v>1984</v>
      </c>
      <c r="F1683">
        <v>1</v>
      </c>
      <c r="G1683">
        <v>15</v>
      </c>
      <c r="H1683">
        <v>4</v>
      </c>
      <c r="I1683">
        <v>115</v>
      </c>
      <c r="K1683" s="13">
        <v>45796</v>
      </c>
      <c r="L1683" t="s">
        <v>688</v>
      </c>
    </row>
    <row r="1684" spans="1:13" x14ac:dyDescent="0.25">
      <c r="A1684" t="s">
        <v>34</v>
      </c>
      <c r="D1684" t="s">
        <v>36</v>
      </c>
      <c r="E1684">
        <v>1984</v>
      </c>
      <c r="F1684">
        <v>1</v>
      </c>
      <c r="G1684">
        <v>15</v>
      </c>
      <c r="H1684">
        <v>4</v>
      </c>
      <c r="I1684">
        <v>115</v>
      </c>
      <c r="K1684" s="13">
        <v>45796</v>
      </c>
      <c r="L1684" t="s">
        <v>689</v>
      </c>
    </row>
    <row r="1685" spans="1:13" x14ac:dyDescent="0.25">
      <c r="A1685" t="s">
        <v>34</v>
      </c>
      <c r="D1685" t="s">
        <v>36</v>
      </c>
      <c r="E1685">
        <v>1984</v>
      </c>
      <c r="F1685">
        <v>1</v>
      </c>
      <c r="G1685">
        <v>15</v>
      </c>
      <c r="H1685">
        <v>4</v>
      </c>
      <c r="I1685">
        <v>115</v>
      </c>
      <c r="K1685" s="13">
        <v>45820</v>
      </c>
      <c r="L1685" t="s">
        <v>687</v>
      </c>
      <c r="M1685">
        <v>2.8</v>
      </c>
    </row>
    <row r="1686" spans="1:13" x14ac:dyDescent="0.25">
      <c r="A1686" t="s">
        <v>34</v>
      </c>
      <c r="D1686" t="s">
        <v>36</v>
      </c>
      <c r="E1686">
        <v>1984</v>
      </c>
      <c r="F1686">
        <v>1</v>
      </c>
      <c r="G1686">
        <v>15</v>
      </c>
      <c r="H1686">
        <v>4</v>
      </c>
      <c r="I1686">
        <v>115</v>
      </c>
      <c r="K1686" s="13">
        <v>45820</v>
      </c>
      <c r="L1686" t="s">
        <v>688</v>
      </c>
      <c r="M1686">
        <v>2.8</v>
      </c>
    </row>
    <row r="1687" spans="1:13" x14ac:dyDescent="0.25">
      <c r="A1687" t="s">
        <v>34</v>
      </c>
      <c r="D1687" t="s">
        <v>36</v>
      </c>
      <c r="E1687">
        <v>1984</v>
      </c>
      <c r="F1687">
        <v>1</v>
      </c>
      <c r="G1687">
        <v>15</v>
      </c>
      <c r="H1687">
        <v>4</v>
      </c>
      <c r="I1687">
        <v>115</v>
      </c>
      <c r="K1687" s="13">
        <v>45820</v>
      </c>
      <c r="L1687" t="s">
        <v>689</v>
      </c>
      <c r="M1687">
        <v>2.9</v>
      </c>
    </row>
    <row r="1688" spans="1:13" x14ac:dyDescent="0.25">
      <c r="A1688" t="s">
        <v>34</v>
      </c>
      <c r="D1688" t="s">
        <v>36</v>
      </c>
      <c r="E1688">
        <v>1984</v>
      </c>
      <c r="F1688">
        <v>1</v>
      </c>
      <c r="G1688">
        <v>15</v>
      </c>
      <c r="H1688">
        <v>4</v>
      </c>
      <c r="I1688">
        <v>115</v>
      </c>
      <c r="K1688" s="13">
        <v>45825</v>
      </c>
      <c r="L1688" t="s">
        <v>687</v>
      </c>
    </row>
    <row r="1689" spans="1:13" x14ac:dyDescent="0.25">
      <c r="A1689" t="s">
        <v>34</v>
      </c>
      <c r="D1689" t="s">
        <v>36</v>
      </c>
      <c r="E1689">
        <v>1984</v>
      </c>
      <c r="F1689">
        <v>1</v>
      </c>
      <c r="G1689">
        <v>15</v>
      </c>
      <c r="H1689">
        <v>4</v>
      </c>
      <c r="I1689">
        <v>115</v>
      </c>
      <c r="K1689" s="13">
        <v>45825</v>
      </c>
      <c r="L1689" t="s">
        <v>688</v>
      </c>
    </row>
    <row r="1690" spans="1:13" x14ac:dyDescent="0.25">
      <c r="A1690" t="s">
        <v>34</v>
      </c>
      <c r="D1690" t="s">
        <v>36</v>
      </c>
      <c r="E1690">
        <v>1984</v>
      </c>
      <c r="F1690">
        <v>1</v>
      </c>
      <c r="G1690">
        <v>15</v>
      </c>
      <c r="H1690">
        <v>4</v>
      </c>
      <c r="I1690">
        <v>115</v>
      </c>
      <c r="K1690" s="13">
        <v>45825</v>
      </c>
      <c r="L1690" t="s">
        <v>689</v>
      </c>
    </row>
    <row r="1691" spans="1:13" x14ac:dyDescent="0.25">
      <c r="A1691" t="s">
        <v>34</v>
      </c>
      <c r="D1691" t="s">
        <v>36</v>
      </c>
      <c r="E1691">
        <v>1984</v>
      </c>
      <c r="F1691">
        <v>1</v>
      </c>
      <c r="G1691">
        <v>15</v>
      </c>
      <c r="H1691">
        <v>4</v>
      </c>
      <c r="I1691">
        <v>115</v>
      </c>
      <c r="K1691" s="13">
        <v>45827</v>
      </c>
      <c r="L1691" t="s">
        <v>687</v>
      </c>
      <c r="M1691">
        <v>3.2</v>
      </c>
    </row>
    <row r="1692" spans="1:13" x14ac:dyDescent="0.25">
      <c r="A1692" t="s">
        <v>34</v>
      </c>
      <c r="D1692" t="s">
        <v>36</v>
      </c>
      <c r="E1692">
        <v>1984</v>
      </c>
      <c r="F1692">
        <v>1</v>
      </c>
      <c r="G1692">
        <v>15</v>
      </c>
      <c r="H1692">
        <v>4</v>
      </c>
      <c r="I1692">
        <v>115</v>
      </c>
      <c r="K1692" s="13">
        <v>45827</v>
      </c>
      <c r="L1692" t="s">
        <v>688</v>
      </c>
      <c r="M1692">
        <v>3.3</v>
      </c>
    </row>
    <row r="1693" spans="1:13" x14ac:dyDescent="0.25">
      <c r="A1693" t="s">
        <v>34</v>
      </c>
      <c r="D1693" t="s">
        <v>36</v>
      </c>
      <c r="E1693">
        <v>1984</v>
      </c>
      <c r="F1693">
        <v>1</v>
      </c>
      <c r="G1693">
        <v>15</v>
      </c>
      <c r="H1693">
        <v>4</v>
      </c>
      <c r="I1693">
        <v>115</v>
      </c>
      <c r="K1693" s="13">
        <v>45827</v>
      </c>
      <c r="L1693" t="s">
        <v>689</v>
      </c>
      <c r="M1693">
        <v>3.3</v>
      </c>
    </row>
    <row r="1694" spans="1:13" x14ac:dyDescent="0.25">
      <c r="A1694" t="s">
        <v>34</v>
      </c>
      <c r="D1694" t="s">
        <v>36</v>
      </c>
      <c r="E1694">
        <v>1984</v>
      </c>
      <c r="F1694">
        <v>1</v>
      </c>
      <c r="G1694">
        <v>15</v>
      </c>
      <c r="H1694">
        <v>4</v>
      </c>
      <c r="I1694">
        <v>115</v>
      </c>
      <c r="K1694" s="13">
        <v>45859</v>
      </c>
      <c r="L1694" t="s">
        <v>687</v>
      </c>
      <c r="M1694">
        <v>6.2</v>
      </c>
    </row>
    <row r="1695" spans="1:13" x14ac:dyDescent="0.25">
      <c r="A1695" t="s">
        <v>34</v>
      </c>
      <c r="D1695" t="s">
        <v>36</v>
      </c>
      <c r="E1695">
        <v>1984</v>
      </c>
      <c r="F1695">
        <v>1</v>
      </c>
      <c r="G1695">
        <v>15</v>
      </c>
      <c r="H1695">
        <v>4</v>
      </c>
      <c r="I1695">
        <v>115</v>
      </c>
      <c r="K1695" s="13">
        <v>45859</v>
      </c>
      <c r="L1695" t="s">
        <v>688</v>
      </c>
      <c r="M1695">
        <v>6.2</v>
      </c>
    </row>
    <row r="1696" spans="1:13" x14ac:dyDescent="0.25">
      <c r="A1696" t="s">
        <v>34</v>
      </c>
      <c r="D1696" t="s">
        <v>36</v>
      </c>
      <c r="E1696">
        <v>1984</v>
      </c>
      <c r="F1696">
        <v>1</v>
      </c>
      <c r="G1696">
        <v>15</v>
      </c>
      <c r="H1696">
        <v>4</v>
      </c>
      <c r="I1696">
        <v>115</v>
      </c>
      <c r="K1696" s="13">
        <v>45859</v>
      </c>
      <c r="L1696" t="s">
        <v>689</v>
      </c>
      <c r="M1696">
        <v>6.3</v>
      </c>
    </row>
    <row r="1697" spans="1:13" x14ac:dyDescent="0.25">
      <c r="A1697" t="s">
        <v>34</v>
      </c>
      <c r="D1697" t="s">
        <v>36</v>
      </c>
      <c r="E1697">
        <v>1984</v>
      </c>
      <c r="F1697">
        <v>1</v>
      </c>
      <c r="G1697">
        <v>15</v>
      </c>
      <c r="H1697">
        <v>4</v>
      </c>
      <c r="I1697">
        <v>115</v>
      </c>
      <c r="K1697" s="13">
        <v>45868</v>
      </c>
      <c r="L1697" t="s">
        <v>687</v>
      </c>
      <c r="M1697">
        <v>7.1</v>
      </c>
    </row>
    <row r="1698" spans="1:13" x14ac:dyDescent="0.25">
      <c r="A1698" t="s">
        <v>34</v>
      </c>
      <c r="D1698" t="s">
        <v>36</v>
      </c>
      <c r="E1698">
        <v>1984</v>
      </c>
      <c r="F1698">
        <v>1</v>
      </c>
      <c r="G1698">
        <v>15</v>
      </c>
      <c r="H1698">
        <v>4</v>
      </c>
      <c r="I1698">
        <v>115</v>
      </c>
      <c r="K1698" s="13">
        <v>45868</v>
      </c>
      <c r="L1698" t="s">
        <v>688</v>
      </c>
      <c r="M1698">
        <v>7.1</v>
      </c>
    </row>
    <row r="1699" spans="1:13" x14ac:dyDescent="0.25">
      <c r="A1699" t="s">
        <v>34</v>
      </c>
      <c r="D1699" t="s">
        <v>36</v>
      </c>
      <c r="E1699">
        <v>1984</v>
      </c>
      <c r="F1699">
        <v>1</v>
      </c>
      <c r="G1699">
        <v>15</v>
      </c>
      <c r="H1699">
        <v>4</v>
      </c>
      <c r="I1699">
        <v>115</v>
      </c>
      <c r="K1699" s="13">
        <v>45868</v>
      </c>
      <c r="L1699" t="s">
        <v>689</v>
      </c>
      <c r="M1699">
        <v>7.2</v>
      </c>
    </row>
    <row r="1700" spans="1:13" x14ac:dyDescent="0.25">
      <c r="A1700" t="s">
        <v>34</v>
      </c>
      <c r="D1700" t="s">
        <v>36</v>
      </c>
      <c r="E1700">
        <v>1984</v>
      </c>
      <c r="F1700">
        <v>1</v>
      </c>
      <c r="G1700">
        <v>15</v>
      </c>
      <c r="H1700">
        <v>4</v>
      </c>
      <c r="I1700">
        <v>115</v>
      </c>
      <c r="K1700" s="13">
        <v>45875</v>
      </c>
      <c r="L1700" t="s">
        <v>687</v>
      </c>
    </row>
    <row r="1701" spans="1:13" x14ac:dyDescent="0.25">
      <c r="A1701" t="s">
        <v>34</v>
      </c>
      <c r="D1701" t="s">
        <v>36</v>
      </c>
      <c r="E1701">
        <v>1984</v>
      </c>
      <c r="F1701">
        <v>1</v>
      </c>
      <c r="G1701">
        <v>15</v>
      </c>
      <c r="H1701">
        <v>4</v>
      </c>
      <c r="I1701">
        <v>115</v>
      </c>
      <c r="K1701" s="13">
        <v>45875</v>
      </c>
      <c r="L1701" t="s">
        <v>688</v>
      </c>
    </row>
    <row r="1702" spans="1:13" x14ac:dyDescent="0.25">
      <c r="A1702" t="s">
        <v>34</v>
      </c>
      <c r="D1702" t="s">
        <v>36</v>
      </c>
      <c r="E1702">
        <v>1984</v>
      </c>
      <c r="F1702">
        <v>1</v>
      </c>
      <c r="G1702">
        <v>15</v>
      </c>
      <c r="H1702">
        <v>4</v>
      </c>
      <c r="I1702">
        <v>115</v>
      </c>
      <c r="K1702" s="13">
        <v>45875</v>
      </c>
      <c r="L1702" t="s">
        <v>689</v>
      </c>
    </row>
    <row r="1703" spans="1:13" x14ac:dyDescent="0.25">
      <c r="A1703" t="s">
        <v>34</v>
      </c>
      <c r="D1703" t="s">
        <v>36</v>
      </c>
      <c r="E1703">
        <v>1984</v>
      </c>
      <c r="F1703">
        <v>1</v>
      </c>
      <c r="G1703">
        <v>15</v>
      </c>
      <c r="H1703">
        <v>4</v>
      </c>
      <c r="I1703">
        <v>115</v>
      </c>
      <c r="K1703" s="13">
        <v>45880</v>
      </c>
      <c r="L1703" t="s">
        <v>687</v>
      </c>
      <c r="M1703">
        <v>8.1</v>
      </c>
    </row>
    <row r="1704" spans="1:13" x14ac:dyDescent="0.25">
      <c r="A1704" t="s">
        <v>34</v>
      </c>
      <c r="D1704" t="s">
        <v>36</v>
      </c>
      <c r="E1704">
        <v>1984</v>
      </c>
      <c r="F1704">
        <v>1</v>
      </c>
      <c r="G1704">
        <v>15</v>
      </c>
      <c r="H1704">
        <v>4</v>
      </c>
      <c r="I1704">
        <v>115</v>
      </c>
      <c r="K1704" s="13">
        <v>45880</v>
      </c>
      <c r="L1704" t="s">
        <v>688</v>
      </c>
      <c r="M1704">
        <v>7.8</v>
      </c>
    </row>
    <row r="1705" spans="1:13" x14ac:dyDescent="0.25">
      <c r="A1705" t="s">
        <v>34</v>
      </c>
      <c r="D1705" t="s">
        <v>36</v>
      </c>
      <c r="E1705">
        <v>1984</v>
      </c>
      <c r="F1705">
        <v>1</v>
      </c>
      <c r="G1705">
        <v>15</v>
      </c>
      <c r="H1705">
        <v>4</v>
      </c>
      <c r="I1705">
        <v>115</v>
      </c>
      <c r="K1705" s="13">
        <v>45880</v>
      </c>
      <c r="L1705" t="s">
        <v>689</v>
      </c>
      <c r="M1705">
        <v>8.1999999999999993</v>
      </c>
    </row>
    <row r="1706" spans="1:13" x14ac:dyDescent="0.25">
      <c r="A1706" t="s">
        <v>34</v>
      </c>
      <c r="D1706" t="s">
        <v>36</v>
      </c>
      <c r="E1706">
        <v>1984</v>
      </c>
      <c r="F1706">
        <v>1</v>
      </c>
      <c r="G1706">
        <v>15</v>
      </c>
      <c r="H1706">
        <v>4</v>
      </c>
      <c r="I1706">
        <v>115</v>
      </c>
      <c r="K1706" s="13">
        <v>45897</v>
      </c>
      <c r="L1706" t="s">
        <v>687</v>
      </c>
      <c r="M1706">
        <v>9.8000000000000007</v>
      </c>
    </row>
    <row r="1707" spans="1:13" x14ac:dyDescent="0.25">
      <c r="A1707" t="s">
        <v>34</v>
      </c>
      <c r="D1707" t="s">
        <v>36</v>
      </c>
      <c r="E1707">
        <v>1984</v>
      </c>
      <c r="F1707">
        <v>1</v>
      </c>
      <c r="G1707">
        <v>15</v>
      </c>
      <c r="H1707">
        <v>4</v>
      </c>
      <c r="I1707">
        <v>115</v>
      </c>
      <c r="K1707" s="13">
        <v>45897</v>
      </c>
      <c r="L1707" t="s">
        <v>688</v>
      </c>
      <c r="M1707">
        <v>9.6</v>
      </c>
    </row>
    <row r="1708" spans="1:13" x14ac:dyDescent="0.25">
      <c r="A1708" t="s">
        <v>34</v>
      </c>
      <c r="D1708" t="s">
        <v>36</v>
      </c>
      <c r="E1708">
        <v>1984</v>
      </c>
      <c r="F1708">
        <v>1</v>
      </c>
      <c r="G1708">
        <v>15</v>
      </c>
      <c r="H1708">
        <v>4</v>
      </c>
      <c r="I1708">
        <v>115</v>
      </c>
      <c r="K1708" s="13">
        <v>45897</v>
      </c>
      <c r="L1708" t="s">
        <v>689</v>
      </c>
      <c r="M1708">
        <v>9.6999999999999993</v>
      </c>
    </row>
    <row r="1709" spans="1:13" x14ac:dyDescent="0.25">
      <c r="A1709" t="s">
        <v>34</v>
      </c>
      <c r="D1709" t="s">
        <v>36</v>
      </c>
      <c r="E1709">
        <v>1984</v>
      </c>
      <c r="F1709">
        <v>1</v>
      </c>
      <c r="G1709">
        <v>15</v>
      </c>
      <c r="H1709">
        <v>4</v>
      </c>
      <c r="I1709">
        <v>115</v>
      </c>
      <c r="K1709" s="13">
        <v>45911</v>
      </c>
      <c r="L1709" t="s">
        <v>687</v>
      </c>
    </row>
    <row r="1710" spans="1:13" x14ac:dyDescent="0.25">
      <c r="A1710" t="s">
        <v>34</v>
      </c>
      <c r="D1710" t="s">
        <v>36</v>
      </c>
      <c r="E1710">
        <v>1984</v>
      </c>
      <c r="F1710">
        <v>1</v>
      </c>
      <c r="G1710">
        <v>15</v>
      </c>
      <c r="H1710">
        <v>4</v>
      </c>
      <c r="I1710">
        <v>115</v>
      </c>
      <c r="K1710" s="13">
        <v>45911</v>
      </c>
      <c r="L1710" t="s">
        <v>688</v>
      </c>
    </row>
    <row r="1711" spans="1:13" x14ac:dyDescent="0.25">
      <c r="A1711" t="s">
        <v>34</v>
      </c>
      <c r="D1711" t="s">
        <v>36</v>
      </c>
      <c r="E1711">
        <v>1984</v>
      </c>
      <c r="F1711">
        <v>1</v>
      </c>
      <c r="G1711">
        <v>15</v>
      </c>
      <c r="H1711">
        <v>4</v>
      </c>
      <c r="I1711">
        <v>115</v>
      </c>
      <c r="K1711" s="13">
        <v>45911</v>
      </c>
      <c r="L1711" t="s">
        <v>689</v>
      </c>
    </row>
    <row r="1712" spans="1:13" x14ac:dyDescent="0.25">
      <c r="A1712" t="s">
        <v>34</v>
      </c>
      <c r="D1712" t="s">
        <v>38</v>
      </c>
      <c r="E1712">
        <v>1999</v>
      </c>
      <c r="F1712">
        <v>2</v>
      </c>
      <c r="G1712">
        <v>15</v>
      </c>
      <c r="H1712">
        <v>4</v>
      </c>
      <c r="I1712">
        <v>131</v>
      </c>
      <c r="K1712" s="13">
        <v>45796</v>
      </c>
      <c r="L1712" t="s">
        <v>687</v>
      </c>
    </row>
    <row r="1713" spans="1:13" x14ac:dyDescent="0.25">
      <c r="A1713" t="s">
        <v>34</v>
      </c>
      <c r="D1713" t="s">
        <v>38</v>
      </c>
      <c r="E1713">
        <v>1999</v>
      </c>
      <c r="F1713">
        <v>2</v>
      </c>
      <c r="G1713">
        <v>15</v>
      </c>
      <c r="H1713">
        <v>4</v>
      </c>
      <c r="I1713">
        <v>131</v>
      </c>
      <c r="K1713" s="13">
        <v>45796</v>
      </c>
      <c r="L1713" t="s">
        <v>688</v>
      </c>
    </row>
    <row r="1714" spans="1:13" x14ac:dyDescent="0.25">
      <c r="A1714" t="s">
        <v>34</v>
      </c>
      <c r="D1714" t="s">
        <v>38</v>
      </c>
      <c r="E1714">
        <v>1999</v>
      </c>
      <c r="F1714">
        <v>2</v>
      </c>
      <c r="G1714">
        <v>15</v>
      </c>
      <c r="H1714">
        <v>4</v>
      </c>
      <c r="I1714">
        <v>131</v>
      </c>
      <c r="K1714" s="13">
        <v>45796</v>
      </c>
      <c r="L1714" t="s">
        <v>689</v>
      </c>
    </row>
    <row r="1715" spans="1:13" x14ac:dyDescent="0.25">
      <c r="A1715" t="s">
        <v>34</v>
      </c>
      <c r="D1715" t="s">
        <v>38</v>
      </c>
      <c r="E1715">
        <v>1999</v>
      </c>
      <c r="F1715">
        <v>2</v>
      </c>
      <c r="G1715">
        <v>15</v>
      </c>
      <c r="H1715">
        <v>4</v>
      </c>
      <c r="I1715">
        <v>131</v>
      </c>
      <c r="K1715" s="13">
        <v>45820</v>
      </c>
      <c r="L1715" t="s">
        <v>687</v>
      </c>
      <c r="M1715">
        <v>2.8</v>
      </c>
    </row>
    <row r="1716" spans="1:13" x14ac:dyDescent="0.25">
      <c r="A1716" t="s">
        <v>34</v>
      </c>
      <c r="D1716" t="s">
        <v>38</v>
      </c>
      <c r="E1716">
        <v>1999</v>
      </c>
      <c r="F1716">
        <v>2</v>
      </c>
      <c r="G1716">
        <v>15</v>
      </c>
      <c r="H1716">
        <v>4</v>
      </c>
      <c r="I1716">
        <v>131</v>
      </c>
      <c r="K1716" s="13">
        <v>45820</v>
      </c>
      <c r="L1716" t="s">
        <v>688</v>
      </c>
      <c r="M1716">
        <v>2.8</v>
      </c>
    </row>
    <row r="1717" spans="1:13" x14ac:dyDescent="0.25">
      <c r="A1717" t="s">
        <v>34</v>
      </c>
      <c r="D1717" t="s">
        <v>38</v>
      </c>
      <c r="E1717">
        <v>1999</v>
      </c>
      <c r="F1717">
        <v>2</v>
      </c>
      <c r="G1717">
        <v>15</v>
      </c>
      <c r="H1717">
        <v>4</v>
      </c>
      <c r="I1717">
        <v>131</v>
      </c>
      <c r="K1717" s="13">
        <v>45820</v>
      </c>
      <c r="L1717" t="s">
        <v>689</v>
      </c>
      <c r="M1717">
        <v>2.9</v>
      </c>
    </row>
    <row r="1718" spans="1:13" x14ac:dyDescent="0.25">
      <c r="A1718" t="s">
        <v>34</v>
      </c>
      <c r="D1718" t="s">
        <v>38</v>
      </c>
      <c r="E1718">
        <v>1999</v>
      </c>
      <c r="F1718">
        <v>2</v>
      </c>
      <c r="G1718">
        <v>15</v>
      </c>
      <c r="H1718">
        <v>4</v>
      </c>
      <c r="I1718">
        <v>131</v>
      </c>
      <c r="K1718" s="13">
        <v>45825</v>
      </c>
      <c r="L1718" t="s">
        <v>687</v>
      </c>
    </row>
    <row r="1719" spans="1:13" x14ac:dyDescent="0.25">
      <c r="A1719" t="s">
        <v>34</v>
      </c>
      <c r="D1719" t="s">
        <v>38</v>
      </c>
      <c r="E1719">
        <v>1999</v>
      </c>
      <c r="F1719">
        <v>2</v>
      </c>
      <c r="G1719">
        <v>15</v>
      </c>
      <c r="H1719">
        <v>4</v>
      </c>
      <c r="I1719">
        <v>131</v>
      </c>
      <c r="K1719" s="13">
        <v>45825</v>
      </c>
      <c r="L1719" t="s">
        <v>688</v>
      </c>
    </row>
    <row r="1720" spans="1:13" x14ac:dyDescent="0.25">
      <c r="A1720" t="s">
        <v>34</v>
      </c>
      <c r="D1720" t="s">
        <v>38</v>
      </c>
      <c r="E1720">
        <v>1999</v>
      </c>
      <c r="F1720">
        <v>2</v>
      </c>
      <c r="G1720">
        <v>15</v>
      </c>
      <c r="H1720">
        <v>4</v>
      </c>
      <c r="I1720">
        <v>131</v>
      </c>
      <c r="K1720" s="13">
        <v>45825</v>
      </c>
      <c r="L1720" t="s">
        <v>689</v>
      </c>
    </row>
    <row r="1721" spans="1:13" x14ac:dyDescent="0.25">
      <c r="A1721" t="s">
        <v>34</v>
      </c>
      <c r="D1721" t="s">
        <v>38</v>
      </c>
      <c r="E1721">
        <v>1999</v>
      </c>
      <c r="F1721">
        <v>2</v>
      </c>
      <c r="G1721">
        <v>15</v>
      </c>
      <c r="H1721">
        <v>4</v>
      </c>
      <c r="I1721">
        <v>131</v>
      </c>
      <c r="K1721" s="13">
        <v>45827</v>
      </c>
      <c r="L1721" t="s">
        <v>687</v>
      </c>
      <c r="M1721">
        <v>3.4</v>
      </c>
    </row>
    <row r="1722" spans="1:13" x14ac:dyDescent="0.25">
      <c r="A1722" t="s">
        <v>34</v>
      </c>
      <c r="D1722" t="s">
        <v>38</v>
      </c>
      <c r="E1722">
        <v>1999</v>
      </c>
      <c r="F1722">
        <v>2</v>
      </c>
      <c r="G1722">
        <v>15</v>
      </c>
      <c r="H1722">
        <v>4</v>
      </c>
      <c r="I1722">
        <v>131</v>
      </c>
      <c r="K1722" s="13">
        <v>45827</v>
      </c>
      <c r="L1722" t="s">
        <v>688</v>
      </c>
      <c r="M1722">
        <v>3.4</v>
      </c>
    </row>
    <row r="1723" spans="1:13" x14ac:dyDescent="0.25">
      <c r="A1723" t="s">
        <v>34</v>
      </c>
      <c r="D1723" t="s">
        <v>38</v>
      </c>
      <c r="E1723">
        <v>1999</v>
      </c>
      <c r="F1723">
        <v>2</v>
      </c>
      <c r="G1723">
        <v>15</v>
      </c>
      <c r="H1723">
        <v>4</v>
      </c>
      <c r="I1723">
        <v>131</v>
      </c>
      <c r="K1723" s="13">
        <v>45827</v>
      </c>
      <c r="L1723" t="s">
        <v>689</v>
      </c>
      <c r="M1723">
        <v>3.5</v>
      </c>
    </row>
    <row r="1724" spans="1:13" x14ac:dyDescent="0.25">
      <c r="A1724" t="s">
        <v>34</v>
      </c>
      <c r="D1724" t="s">
        <v>38</v>
      </c>
      <c r="E1724">
        <v>1999</v>
      </c>
      <c r="F1724">
        <v>2</v>
      </c>
      <c r="G1724">
        <v>15</v>
      </c>
      <c r="H1724">
        <v>4</v>
      </c>
      <c r="I1724">
        <v>131</v>
      </c>
      <c r="K1724" s="13">
        <v>45859</v>
      </c>
      <c r="L1724" t="s">
        <v>687</v>
      </c>
      <c r="M1724">
        <v>5.9</v>
      </c>
    </row>
    <row r="1725" spans="1:13" x14ac:dyDescent="0.25">
      <c r="A1725" t="s">
        <v>34</v>
      </c>
      <c r="D1725" t="s">
        <v>38</v>
      </c>
      <c r="E1725">
        <v>1999</v>
      </c>
      <c r="F1725">
        <v>2</v>
      </c>
      <c r="G1725">
        <v>15</v>
      </c>
      <c r="H1725">
        <v>4</v>
      </c>
      <c r="I1725">
        <v>131</v>
      </c>
      <c r="K1725" s="13">
        <v>45859</v>
      </c>
      <c r="L1725" t="s">
        <v>688</v>
      </c>
      <c r="M1725">
        <v>5.9</v>
      </c>
    </row>
    <row r="1726" spans="1:13" x14ac:dyDescent="0.25">
      <c r="A1726" t="s">
        <v>34</v>
      </c>
      <c r="D1726" t="s">
        <v>38</v>
      </c>
      <c r="E1726">
        <v>1999</v>
      </c>
      <c r="F1726">
        <v>2</v>
      </c>
      <c r="G1726">
        <v>15</v>
      </c>
      <c r="H1726">
        <v>4</v>
      </c>
      <c r="I1726">
        <v>131</v>
      </c>
      <c r="K1726" s="13">
        <v>45859</v>
      </c>
      <c r="L1726" t="s">
        <v>689</v>
      </c>
      <c r="M1726">
        <v>5.6</v>
      </c>
    </row>
    <row r="1727" spans="1:13" x14ac:dyDescent="0.25">
      <c r="A1727" t="s">
        <v>34</v>
      </c>
      <c r="D1727" t="s">
        <v>38</v>
      </c>
      <c r="E1727">
        <v>1999</v>
      </c>
      <c r="F1727">
        <v>2</v>
      </c>
      <c r="G1727">
        <v>15</v>
      </c>
      <c r="H1727">
        <v>4</v>
      </c>
      <c r="I1727">
        <v>131</v>
      </c>
      <c r="K1727" s="13">
        <v>45868</v>
      </c>
      <c r="L1727" t="s">
        <v>687</v>
      </c>
      <c r="M1727">
        <v>6.6</v>
      </c>
    </row>
    <row r="1728" spans="1:13" x14ac:dyDescent="0.25">
      <c r="A1728" t="s">
        <v>34</v>
      </c>
      <c r="D1728" t="s">
        <v>38</v>
      </c>
      <c r="E1728">
        <v>1999</v>
      </c>
      <c r="F1728">
        <v>2</v>
      </c>
      <c r="G1728">
        <v>15</v>
      </c>
      <c r="H1728">
        <v>4</v>
      </c>
      <c r="I1728">
        <v>131</v>
      </c>
      <c r="K1728" s="13">
        <v>45868</v>
      </c>
      <c r="L1728" t="s">
        <v>688</v>
      </c>
      <c r="M1728">
        <v>6.8</v>
      </c>
    </row>
    <row r="1729" spans="1:13" x14ac:dyDescent="0.25">
      <c r="A1729" t="s">
        <v>34</v>
      </c>
      <c r="D1729" t="s">
        <v>38</v>
      </c>
      <c r="E1729">
        <v>1999</v>
      </c>
      <c r="F1729">
        <v>2</v>
      </c>
      <c r="G1729">
        <v>15</v>
      </c>
      <c r="H1729">
        <v>4</v>
      </c>
      <c r="I1729">
        <v>131</v>
      </c>
      <c r="K1729" s="13">
        <v>45868</v>
      </c>
      <c r="L1729" t="s">
        <v>689</v>
      </c>
      <c r="M1729">
        <v>6.8</v>
      </c>
    </row>
    <row r="1730" spans="1:13" x14ac:dyDescent="0.25">
      <c r="A1730" t="s">
        <v>34</v>
      </c>
      <c r="D1730" t="s">
        <v>38</v>
      </c>
      <c r="E1730">
        <v>1999</v>
      </c>
      <c r="F1730">
        <v>2</v>
      </c>
      <c r="G1730">
        <v>15</v>
      </c>
      <c r="H1730">
        <v>4</v>
      </c>
      <c r="I1730">
        <v>131</v>
      </c>
      <c r="K1730" s="13">
        <v>45875</v>
      </c>
      <c r="L1730" t="s">
        <v>687</v>
      </c>
    </row>
    <row r="1731" spans="1:13" x14ac:dyDescent="0.25">
      <c r="A1731" t="s">
        <v>34</v>
      </c>
      <c r="D1731" t="s">
        <v>38</v>
      </c>
      <c r="E1731">
        <v>1999</v>
      </c>
      <c r="F1731">
        <v>2</v>
      </c>
      <c r="G1731">
        <v>15</v>
      </c>
      <c r="H1731">
        <v>4</v>
      </c>
      <c r="I1731">
        <v>131</v>
      </c>
      <c r="K1731" s="13">
        <v>45875</v>
      </c>
      <c r="L1731" t="s">
        <v>688</v>
      </c>
    </row>
    <row r="1732" spans="1:13" x14ac:dyDescent="0.25">
      <c r="A1732" t="s">
        <v>34</v>
      </c>
      <c r="D1732" t="s">
        <v>38</v>
      </c>
      <c r="E1732">
        <v>1999</v>
      </c>
      <c r="F1732">
        <v>2</v>
      </c>
      <c r="G1732">
        <v>15</v>
      </c>
      <c r="H1732">
        <v>4</v>
      </c>
      <c r="I1732">
        <v>131</v>
      </c>
      <c r="K1732" s="13">
        <v>45875</v>
      </c>
      <c r="L1732" t="s">
        <v>689</v>
      </c>
    </row>
    <row r="1733" spans="1:13" x14ac:dyDescent="0.25">
      <c r="A1733" t="s">
        <v>34</v>
      </c>
      <c r="D1733" t="s">
        <v>38</v>
      </c>
      <c r="E1733">
        <v>1999</v>
      </c>
      <c r="F1733">
        <v>2</v>
      </c>
      <c r="G1733">
        <v>15</v>
      </c>
      <c r="H1733">
        <v>4</v>
      </c>
      <c r="I1733">
        <v>131</v>
      </c>
      <c r="K1733" s="13">
        <v>45880</v>
      </c>
      <c r="L1733" t="s">
        <v>687</v>
      </c>
      <c r="M1733">
        <v>7.6</v>
      </c>
    </row>
    <row r="1734" spans="1:13" x14ac:dyDescent="0.25">
      <c r="A1734" t="s">
        <v>34</v>
      </c>
      <c r="D1734" t="s">
        <v>38</v>
      </c>
      <c r="E1734">
        <v>1999</v>
      </c>
      <c r="F1734">
        <v>2</v>
      </c>
      <c r="G1734">
        <v>15</v>
      </c>
      <c r="H1734">
        <v>4</v>
      </c>
      <c r="I1734">
        <v>131</v>
      </c>
      <c r="K1734" s="13">
        <v>45880</v>
      </c>
      <c r="L1734" t="s">
        <v>688</v>
      </c>
      <c r="M1734">
        <v>7.6</v>
      </c>
    </row>
    <row r="1735" spans="1:13" x14ac:dyDescent="0.25">
      <c r="A1735" t="s">
        <v>34</v>
      </c>
      <c r="D1735" t="s">
        <v>38</v>
      </c>
      <c r="E1735">
        <v>1999</v>
      </c>
      <c r="F1735">
        <v>2</v>
      </c>
      <c r="G1735">
        <v>15</v>
      </c>
      <c r="H1735">
        <v>4</v>
      </c>
      <c r="I1735">
        <v>131</v>
      </c>
      <c r="K1735" s="13">
        <v>45880</v>
      </c>
      <c r="L1735" t="s">
        <v>689</v>
      </c>
      <c r="M1735">
        <v>7.4</v>
      </c>
    </row>
    <row r="1736" spans="1:13" x14ac:dyDescent="0.25">
      <c r="A1736" t="s">
        <v>34</v>
      </c>
      <c r="D1736" t="s">
        <v>38</v>
      </c>
      <c r="E1736">
        <v>1999</v>
      </c>
      <c r="F1736">
        <v>2</v>
      </c>
      <c r="G1736">
        <v>15</v>
      </c>
      <c r="H1736">
        <v>4</v>
      </c>
      <c r="I1736">
        <v>131</v>
      </c>
      <c r="K1736" s="13">
        <v>45897</v>
      </c>
      <c r="L1736" t="s">
        <v>687</v>
      </c>
      <c r="M1736">
        <v>8.9</v>
      </c>
    </row>
    <row r="1737" spans="1:13" x14ac:dyDescent="0.25">
      <c r="A1737" t="s">
        <v>34</v>
      </c>
      <c r="D1737" t="s">
        <v>38</v>
      </c>
      <c r="E1737">
        <v>1999</v>
      </c>
      <c r="F1737">
        <v>2</v>
      </c>
      <c r="G1737">
        <v>15</v>
      </c>
      <c r="H1737">
        <v>4</v>
      </c>
      <c r="I1737">
        <v>131</v>
      </c>
      <c r="K1737" s="13">
        <v>45897</v>
      </c>
      <c r="L1737" t="s">
        <v>688</v>
      </c>
      <c r="M1737">
        <v>8.9</v>
      </c>
    </row>
    <row r="1738" spans="1:13" x14ac:dyDescent="0.25">
      <c r="A1738" t="s">
        <v>34</v>
      </c>
      <c r="D1738" t="s">
        <v>38</v>
      </c>
      <c r="E1738">
        <v>1999</v>
      </c>
      <c r="F1738">
        <v>2</v>
      </c>
      <c r="G1738">
        <v>15</v>
      </c>
      <c r="H1738">
        <v>4</v>
      </c>
      <c r="I1738">
        <v>131</v>
      </c>
      <c r="K1738" s="13">
        <v>45897</v>
      </c>
      <c r="L1738" t="s">
        <v>689</v>
      </c>
      <c r="M1738">
        <v>9.1</v>
      </c>
    </row>
    <row r="1739" spans="1:13" x14ac:dyDescent="0.25">
      <c r="A1739" t="s">
        <v>34</v>
      </c>
      <c r="D1739" t="s">
        <v>38</v>
      </c>
      <c r="E1739">
        <v>1999</v>
      </c>
      <c r="F1739">
        <v>2</v>
      </c>
      <c r="G1739">
        <v>15</v>
      </c>
      <c r="H1739">
        <v>4</v>
      </c>
      <c r="I1739">
        <v>131</v>
      </c>
      <c r="K1739" s="13">
        <v>45911</v>
      </c>
      <c r="L1739" t="s">
        <v>687</v>
      </c>
    </row>
    <row r="1740" spans="1:13" x14ac:dyDescent="0.25">
      <c r="A1740" t="s">
        <v>34</v>
      </c>
      <c r="D1740" t="s">
        <v>38</v>
      </c>
      <c r="E1740">
        <v>1999</v>
      </c>
      <c r="F1740">
        <v>2</v>
      </c>
      <c r="G1740">
        <v>15</v>
      </c>
      <c r="H1740">
        <v>4</v>
      </c>
      <c r="I1740">
        <v>131</v>
      </c>
      <c r="K1740" s="13">
        <v>45911</v>
      </c>
      <c r="L1740" t="s">
        <v>688</v>
      </c>
    </row>
    <row r="1741" spans="1:13" x14ac:dyDescent="0.25">
      <c r="A1741" t="s">
        <v>34</v>
      </c>
      <c r="D1741" t="s">
        <v>38</v>
      </c>
      <c r="E1741">
        <v>1999</v>
      </c>
      <c r="F1741">
        <v>2</v>
      </c>
      <c r="G1741">
        <v>15</v>
      </c>
      <c r="H1741">
        <v>4</v>
      </c>
      <c r="I1741">
        <v>131</v>
      </c>
      <c r="K1741" s="13">
        <v>45911</v>
      </c>
      <c r="L1741" t="s">
        <v>689</v>
      </c>
    </row>
    <row r="1742" spans="1:13" x14ac:dyDescent="0.25">
      <c r="A1742" t="s">
        <v>34</v>
      </c>
      <c r="D1742" t="s">
        <v>37</v>
      </c>
      <c r="E1742">
        <v>1989</v>
      </c>
      <c r="F1742">
        <v>3</v>
      </c>
      <c r="G1742">
        <v>15</v>
      </c>
      <c r="H1742">
        <v>4</v>
      </c>
      <c r="I1742">
        <v>147</v>
      </c>
      <c r="K1742" s="13">
        <v>45796</v>
      </c>
      <c r="L1742" t="s">
        <v>687</v>
      </c>
    </row>
    <row r="1743" spans="1:13" x14ac:dyDescent="0.25">
      <c r="A1743" t="s">
        <v>34</v>
      </c>
      <c r="D1743" t="s">
        <v>37</v>
      </c>
      <c r="E1743">
        <v>1989</v>
      </c>
      <c r="F1743">
        <v>3</v>
      </c>
      <c r="G1743">
        <v>15</v>
      </c>
      <c r="H1743">
        <v>4</v>
      </c>
      <c r="I1743">
        <v>147</v>
      </c>
      <c r="K1743" s="13">
        <v>45796</v>
      </c>
      <c r="L1743" t="s">
        <v>688</v>
      </c>
    </row>
    <row r="1744" spans="1:13" x14ac:dyDescent="0.25">
      <c r="A1744" t="s">
        <v>34</v>
      </c>
      <c r="D1744" t="s">
        <v>37</v>
      </c>
      <c r="E1744">
        <v>1989</v>
      </c>
      <c r="F1744">
        <v>3</v>
      </c>
      <c r="G1744">
        <v>15</v>
      </c>
      <c r="H1744">
        <v>4</v>
      </c>
      <c r="I1744">
        <v>147</v>
      </c>
      <c r="K1744" s="13">
        <v>45796</v>
      </c>
      <c r="L1744" t="s">
        <v>689</v>
      </c>
    </row>
    <row r="1745" spans="1:13" x14ac:dyDescent="0.25">
      <c r="A1745" t="s">
        <v>34</v>
      </c>
      <c r="D1745" t="s">
        <v>37</v>
      </c>
      <c r="E1745">
        <v>1989</v>
      </c>
      <c r="F1745">
        <v>3</v>
      </c>
      <c r="G1745">
        <v>15</v>
      </c>
      <c r="H1745">
        <v>4</v>
      </c>
      <c r="I1745">
        <v>147</v>
      </c>
      <c r="K1745" s="13">
        <v>45820</v>
      </c>
      <c r="L1745" t="s">
        <v>687</v>
      </c>
      <c r="M1745">
        <v>2.7</v>
      </c>
    </row>
    <row r="1746" spans="1:13" x14ac:dyDescent="0.25">
      <c r="A1746" t="s">
        <v>34</v>
      </c>
      <c r="D1746" t="s">
        <v>37</v>
      </c>
      <c r="E1746">
        <v>1989</v>
      </c>
      <c r="F1746">
        <v>3</v>
      </c>
      <c r="G1746">
        <v>15</v>
      </c>
      <c r="H1746">
        <v>4</v>
      </c>
      <c r="I1746">
        <v>147</v>
      </c>
      <c r="K1746" s="13">
        <v>45820</v>
      </c>
      <c r="L1746" t="s">
        <v>688</v>
      </c>
      <c r="M1746">
        <v>2.7</v>
      </c>
    </row>
    <row r="1747" spans="1:13" x14ac:dyDescent="0.25">
      <c r="A1747" t="s">
        <v>34</v>
      </c>
      <c r="D1747" t="s">
        <v>37</v>
      </c>
      <c r="E1747">
        <v>1989</v>
      </c>
      <c r="F1747">
        <v>3</v>
      </c>
      <c r="G1747">
        <v>15</v>
      </c>
      <c r="H1747">
        <v>4</v>
      </c>
      <c r="I1747">
        <v>147</v>
      </c>
      <c r="K1747" s="13">
        <v>45820</v>
      </c>
      <c r="L1747" t="s">
        <v>689</v>
      </c>
      <c r="M1747">
        <v>2.6</v>
      </c>
    </row>
    <row r="1748" spans="1:13" x14ac:dyDescent="0.25">
      <c r="A1748" t="s">
        <v>34</v>
      </c>
      <c r="D1748" t="s">
        <v>37</v>
      </c>
      <c r="E1748">
        <v>1989</v>
      </c>
      <c r="F1748">
        <v>3</v>
      </c>
      <c r="G1748">
        <v>15</v>
      </c>
      <c r="H1748">
        <v>4</v>
      </c>
      <c r="I1748">
        <v>147</v>
      </c>
      <c r="K1748" s="13">
        <v>45825</v>
      </c>
      <c r="L1748" t="s">
        <v>687</v>
      </c>
    </row>
    <row r="1749" spans="1:13" x14ac:dyDescent="0.25">
      <c r="A1749" t="s">
        <v>34</v>
      </c>
      <c r="D1749" t="s">
        <v>37</v>
      </c>
      <c r="E1749">
        <v>1989</v>
      </c>
      <c r="F1749">
        <v>3</v>
      </c>
      <c r="G1749">
        <v>15</v>
      </c>
      <c r="H1749">
        <v>4</v>
      </c>
      <c r="I1749">
        <v>147</v>
      </c>
      <c r="K1749" s="13">
        <v>45825</v>
      </c>
      <c r="L1749" t="s">
        <v>688</v>
      </c>
    </row>
    <row r="1750" spans="1:13" x14ac:dyDescent="0.25">
      <c r="A1750" t="s">
        <v>34</v>
      </c>
      <c r="D1750" t="s">
        <v>37</v>
      </c>
      <c r="E1750">
        <v>1989</v>
      </c>
      <c r="F1750">
        <v>3</v>
      </c>
      <c r="G1750">
        <v>15</v>
      </c>
      <c r="H1750">
        <v>4</v>
      </c>
      <c r="I1750">
        <v>147</v>
      </c>
      <c r="K1750" s="13">
        <v>45825</v>
      </c>
      <c r="L1750" t="s">
        <v>689</v>
      </c>
    </row>
    <row r="1751" spans="1:13" x14ac:dyDescent="0.25">
      <c r="A1751" t="s">
        <v>34</v>
      </c>
      <c r="D1751" t="s">
        <v>37</v>
      </c>
      <c r="E1751">
        <v>1989</v>
      </c>
      <c r="F1751">
        <v>3</v>
      </c>
      <c r="G1751">
        <v>15</v>
      </c>
      <c r="H1751">
        <v>4</v>
      </c>
      <c r="I1751">
        <v>147</v>
      </c>
      <c r="K1751" s="13">
        <v>45827</v>
      </c>
      <c r="L1751" t="s">
        <v>687</v>
      </c>
      <c r="M1751">
        <v>3.1</v>
      </c>
    </row>
    <row r="1752" spans="1:13" x14ac:dyDescent="0.25">
      <c r="A1752" t="s">
        <v>34</v>
      </c>
      <c r="D1752" t="s">
        <v>37</v>
      </c>
      <c r="E1752">
        <v>1989</v>
      </c>
      <c r="F1752">
        <v>3</v>
      </c>
      <c r="G1752">
        <v>15</v>
      </c>
      <c r="H1752">
        <v>4</v>
      </c>
      <c r="I1752">
        <v>147</v>
      </c>
      <c r="K1752" s="13">
        <v>45827</v>
      </c>
      <c r="L1752" t="s">
        <v>688</v>
      </c>
      <c r="M1752">
        <v>3.2</v>
      </c>
    </row>
    <row r="1753" spans="1:13" x14ac:dyDescent="0.25">
      <c r="A1753" t="s">
        <v>34</v>
      </c>
      <c r="D1753" t="s">
        <v>37</v>
      </c>
      <c r="E1753">
        <v>1989</v>
      </c>
      <c r="F1753">
        <v>3</v>
      </c>
      <c r="G1753">
        <v>15</v>
      </c>
      <c r="H1753">
        <v>4</v>
      </c>
      <c r="I1753">
        <v>147</v>
      </c>
      <c r="K1753" s="13">
        <v>45827</v>
      </c>
      <c r="L1753" t="s">
        <v>689</v>
      </c>
      <c r="M1753">
        <v>3.2</v>
      </c>
    </row>
    <row r="1754" spans="1:13" x14ac:dyDescent="0.25">
      <c r="A1754" t="s">
        <v>34</v>
      </c>
      <c r="D1754" t="s">
        <v>37</v>
      </c>
      <c r="E1754">
        <v>1989</v>
      </c>
      <c r="F1754">
        <v>3</v>
      </c>
      <c r="G1754">
        <v>15</v>
      </c>
      <c r="H1754">
        <v>4</v>
      </c>
      <c r="I1754">
        <v>147</v>
      </c>
      <c r="K1754" s="13">
        <v>45859</v>
      </c>
      <c r="L1754" t="s">
        <v>687</v>
      </c>
      <c r="M1754">
        <v>6.3</v>
      </c>
    </row>
    <row r="1755" spans="1:13" x14ac:dyDescent="0.25">
      <c r="A1755" t="s">
        <v>34</v>
      </c>
      <c r="D1755" t="s">
        <v>37</v>
      </c>
      <c r="E1755">
        <v>1989</v>
      </c>
      <c r="F1755">
        <v>3</v>
      </c>
      <c r="G1755">
        <v>15</v>
      </c>
      <c r="H1755">
        <v>4</v>
      </c>
      <c r="I1755">
        <v>147</v>
      </c>
      <c r="K1755" s="13">
        <v>45859</v>
      </c>
      <c r="L1755" t="s">
        <v>688</v>
      </c>
      <c r="M1755">
        <v>6.1</v>
      </c>
    </row>
    <row r="1756" spans="1:13" x14ac:dyDescent="0.25">
      <c r="A1756" t="s">
        <v>34</v>
      </c>
      <c r="D1756" t="s">
        <v>37</v>
      </c>
      <c r="E1756">
        <v>1989</v>
      </c>
      <c r="F1756">
        <v>3</v>
      </c>
      <c r="G1756">
        <v>15</v>
      </c>
      <c r="H1756">
        <v>4</v>
      </c>
      <c r="I1756">
        <v>147</v>
      </c>
      <c r="K1756" s="13">
        <v>45859</v>
      </c>
      <c r="L1756" t="s">
        <v>689</v>
      </c>
      <c r="M1756">
        <v>6.1</v>
      </c>
    </row>
    <row r="1757" spans="1:13" x14ac:dyDescent="0.25">
      <c r="A1757" t="s">
        <v>34</v>
      </c>
      <c r="D1757" t="s">
        <v>37</v>
      </c>
      <c r="E1757">
        <v>1989</v>
      </c>
      <c r="F1757">
        <v>3</v>
      </c>
      <c r="G1757">
        <v>15</v>
      </c>
      <c r="H1757">
        <v>4</v>
      </c>
      <c r="I1757">
        <v>147</v>
      </c>
      <c r="K1757" s="13">
        <v>45868</v>
      </c>
      <c r="L1757" t="s">
        <v>687</v>
      </c>
      <c r="M1757">
        <v>7.1</v>
      </c>
    </row>
    <row r="1758" spans="1:13" x14ac:dyDescent="0.25">
      <c r="A1758" t="s">
        <v>34</v>
      </c>
      <c r="D1758" t="s">
        <v>37</v>
      </c>
      <c r="E1758">
        <v>1989</v>
      </c>
      <c r="F1758">
        <v>3</v>
      </c>
      <c r="G1758">
        <v>15</v>
      </c>
      <c r="H1758">
        <v>4</v>
      </c>
      <c r="I1758">
        <v>147</v>
      </c>
      <c r="K1758" s="13">
        <v>45868</v>
      </c>
      <c r="L1758" t="s">
        <v>688</v>
      </c>
      <c r="M1758">
        <v>7.1</v>
      </c>
    </row>
    <row r="1759" spans="1:13" x14ac:dyDescent="0.25">
      <c r="A1759" t="s">
        <v>34</v>
      </c>
      <c r="D1759" t="s">
        <v>37</v>
      </c>
      <c r="E1759">
        <v>1989</v>
      </c>
      <c r="F1759">
        <v>3</v>
      </c>
      <c r="G1759">
        <v>15</v>
      </c>
      <c r="H1759">
        <v>4</v>
      </c>
      <c r="I1759">
        <v>147</v>
      </c>
      <c r="K1759" s="13">
        <v>45868</v>
      </c>
      <c r="L1759" t="s">
        <v>689</v>
      </c>
      <c r="M1759">
        <v>7.1</v>
      </c>
    </row>
    <row r="1760" spans="1:13" x14ac:dyDescent="0.25">
      <c r="A1760" t="s">
        <v>34</v>
      </c>
      <c r="D1760" t="s">
        <v>37</v>
      </c>
      <c r="E1760">
        <v>1989</v>
      </c>
      <c r="F1760">
        <v>3</v>
      </c>
      <c r="G1760">
        <v>15</v>
      </c>
      <c r="H1760">
        <v>4</v>
      </c>
      <c r="I1760">
        <v>147</v>
      </c>
      <c r="K1760" s="13">
        <v>45875</v>
      </c>
      <c r="L1760" t="s">
        <v>687</v>
      </c>
    </row>
    <row r="1761" spans="1:13" x14ac:dyDescent="0.25">
      <c r="A1761" t="s">
        <v>34</v>
      </c>
      <c r="D1761" t="s">
        <v>37</v>
      </c>
      <c r="E1761">
        <v>1989</v>
      </c>
      <c r="F1761">
        <v>3</v>
      </c>
      <c r="G1761">
        <v>15</v>
      </c>
      <c r="H1761">
        <v>4</v>
      </c>
      <c r="I1761">
        <v>147</v>
      </c>
      <c r="K1761" s="13">
        <v>45875</v>
      </c>
      <c r="L1761" t="s">
        <v>688</v>
      </c>
    </row>
    <row r="1762" spans="1:13" x14ac:dyDescent="0.25">
      <c r="A1762" t="s">
        <v>34</v>
      </c>
      <c r="D1762" t="s">
        <v>37</v>
      </c>
      <c r="E1762">
        <v>1989</v>
      </c>
      <c r="F1762">
        <v>3</v>
      </c>
      <c r="G1762">
        <v>15</v>
      </c>
      <c r="H1762">
        <v>4</v>
      </c>
      <c r="I1762">
        <v>147</v>
      </c>
      <c r="K1762" s="13">
        <v>45875</v>
      </c>
      <c r="L1762" t="s">
        <v>689</v>
      </c>
    </row>
    <row r="1763" spans="1:13" x14ac:dyDescent="0.25">
      <c r="A1763" t="s">
        <v>34</v>
      </c>
      <c r="D1763" t="s">
        <v>37</v>
      </c>
      <c r="E1763">
        <v>1989</v>
      </c>
      <c r="F1763">
        <v>3</v>
      </c>
      <c r="G1763">
        <v>15</v>
      </c>
      <c r="H1763">
        <v>4</v>
      </c>
      <c r="I1763">
        <v>147</v>
      </c>
      <c r="K1763" s="13">
        <v>45880</v>
      </c>
      <c r="L1763" t="s">
        <v>687</v>
      </c>
      <c r="M1763">
        <v>8.3000000000000007</v>
      </c>
    </row>
    <row r="1764" spans="1:13" x14ac:dyDescent="0.25">
      <c r="A1764" t="s">
        <v>34</v>
      </c>
      <c r="D1764" t="s">
        <v>37</v>
      </c>
      <c r="E1764">
        <v>1989</v>
      </c>
      <c r="F1764">
        <v>3</v>
      </c>
      <c r="G1764">
        <v>15</v>
      </c>
      <c r="H1764">
        <v>4</v>
      </c>
      <c r="I1764">
        <v>147</v>
      </c>
      <c r="K1764" s="13">
        <v>45880</v>
      </c>
      <c r="L1764" t="s">
        <v>688</v>
      </c>
      <c r="M1764">
        <v>8.1999999999999993</v>
      </c>
    </row>
    <row r="1765" spans="1:13" x14ac:dyDescent="0.25">
      <c r="A1765" t="s">
        <v>34</v>
      </c>
      <c r="D1765" t="s">
        <v>37</v>
      </c>
      <c r="E1765">
        <v>1989</v>
      </c>
      <c r="F1765">
        <v>3</v>
      </c>
      <c r="G1765">
        <v>15</v>
      </c>
      <c r="H1765">
        <v>4</v>
      </c>
      <c r="I1765">
        <v>147</v>
      </c>
      <c r="K1765" s="13">
        <v>45880</v>
      </c>
      <c r="L1765" t="s">
        <v>689</v>
      </c>
      <c r="M1765">
        <v>8.1</v>
      </c>
    </row>
    <row r="1766" spans="1:13" x14ac:dyDescent="0.25">
      <c r="A1766" t="s">
        <v>34</v>
      </c>
      <c r="D1766" t="s">
        <v>37</v>
      </c>
      <c r="E1766">
        <v>1989</v>
      </c>
      <c r="F1766">
        <v>3</v>
      </c>
      <c r="G1766">
        <v>15</v>
      </c>
      <c r="H1766">
        <v>4</v>
      </c>
      <c r="I1766">
        <v>147</v>
      </c>
      <c r="K1766" s="13">
        <v>45897</v>
      </c>
      <c r="L1766" t="s">
        <v>687</v>
      </c>
      <c r="M1766">
        <v>9.9</v>
      </c>
    </row>
    <row r="1767" spans="1:13" x14ac:dyDescent="0.25">
      <c r="A1767" t="s">
        <v>34</v>
      </c>
      <c r="D1767" t="s">
        <v>37</v>
      </c>
      <c r="E1767">
        <v>1989</v>
      </c>
      <c r="F1767">
        <v>3</v>
      </c>
      <c r="G1767">
        <v>15</v>
      </c>
      <c r="H1767">
        <v>4</v>
      </c>
      <c r="I1767">
        <v>147</v>
      </c>
      <c r="K1767" s="13">
        <v>45897</v>
      </c>
      <c r="L1767" t="s">
        <v>688</v>
      </c>
      <c r="M1767">
        <v>9.6</v>
      </c>
    </row>
    <row r="1768" spans="1:13" x14ac:dyDescent="0.25">
      <c r="A1768" t="s">
        <v>34</v>
      </c>
      <c r="D1768" t="s">
        <v>37</v>
      </c>
      <c r="E1768">
        <v>1989</v>
      </c>
      <c r="F1768">
        <v>3</v>
      </c>
      <c r="G1768">
        <v>15</v>
      </c>
      <c r="H1768">
        <v>4</v>
      </c>
      <c r="I1768">
        <v>147</v>
      </c>
      <c r="K1768" s="13">
        <v>45897</v>
      </c>
      <c r="L1768" t="s">
        <v>689</v>
      </c>
    </row>
    <row r="1769" spans="1:13" x14ac:dyDescent="0.25">
      <c r="A1769" t="s">
        <v>34</v>
      </c>
      <c r="D1769" t="s">
        <v>37</v>
      </c>
      <c r="E1769">
        <v>1989</v>
      </c>
      <c r="F1769">
        <v>3</v>
      </c>
      <c r="G1769">
        <v>15</v>
      </c>
      <c r="H1769">
        <v>4</v>
      </c>
      <c r="I1769">
        <v>147</v>
      </c>
      <c r="K1769" s="13">
        <v>45911</v>
      </c>
      <c r="L1769" t="s">
        <v>687</v>
      </c>
    </row>
    <row r="1770" spans="1:13" x14ac:dyDescent="0.25">
      <c r="A1770" t="s">
        <v>34</v>
      </c>
      <c r="D1770" t="s">
        <v>37</v>
      </c>
      <c r="E1770">
        <v>1989</v>
      </c>
      <c r="F1770">
        <v>3</v>
      </c>
      <c r="G1770">
        <v>15</v>
      </c>
      <c r="H1770">
        <v>4</v>
      </c>
      <c r="I1770">
        <v>147</v>
      </c>
      <c r="K1770" s="13">
        <v>45911</v>
      </c>
      <c r="L1770" t="s">
        <v>688</v>
      </c>
    </row>
    <row r="1771" spans="1:13" x14ac:dyDescent="0.25">
      <c r="A1771" t="s">
        <v>34</v>
      </c>
      <c r="D1771" t="s">
        <v>37</v>
      </c>
      <c r="E1771">
        <v>1989</v>
      </c>
      <c r="F1771">
        <v>3</v>
      </c>
      <c r="G1771">
        <v>15</v>
      </c>
      <c r="H1771">
        <v>4</v>
      </c>
      <c r="I1771">
        <v>147</v>
      </c>
      <c r="K1771" s="13">
        <v>45911</v>
      </c>
      <c r="L1771" t="s">
        <v>689</v>
      </c>
    </row>
    <row r="1772" spans="1:13" x14ac:dyDescent="0.25">
      <c r="A1772" t="s">
        <v>34</v>
      </c>
      <c r="D1772" t="s">
        <v>318</v>
      </c>
      <c r="E1772">
        <v>2004</v>
      </c>
      <c r="F1772">
        <v>4</v>
      </c>
      <c r="G1772">
        <v>15</v>
      </c>
      <c r="H1772">
        <v>4</v>
      </c>
      <c r="I1772">
        <v>163</v>
      </c>
      <c r="K1772" s="13">
        <v>45796</v>
      </c>
      <c r="L1772" t="s">
        <v>687</v>
      </c>
    </row>
    <row r="1773" spans="1:13" x14ac:dyDescent="0.25">
      <c r="A1773" t="s">
        <v>34</v>
      </c>
      <c r="D1773" t="s">
        <v>318</v>
      </c>
      <c r="E1773">
        <v>2004</v>
      </c>
      <c r="F1773">
        <v>4</v>
      </c>
      <c r="G1773">
        <v>15</v>
      </c>
      <c r="H1773">
        <v>4</v>
      </c>
      <c r="I1773">
        <v>163</v>
      </c>
      <c r="K1773" s="13">
        <v>45796</v>
      </c>
      <c r="L1773" t="s">
        <v>688</v>
      </c>
    </row>
    <row r="1774" spans="1:13" x14ac:dyDescent="0.25">
      <c r="A1774" t="s">
        <v>34</v>
      </c>
      <c r="D1774" t="s">
        <v>318</v>
      </c>
      <c r="E1774">
        <v>2004</v>
      </c>
      <c r="F1774">
        <v>4</v>
      </c>
      <c r="G1774">
        <v>15</v>
      </c>
      <c r="H1774">
        <v>4</v>
      </c>
      <c r="I1774">
        <v>163</v>
      </c>
      <c r="K1774" s="13">
        <v>45796</v>
      </c>
      <c r="L1774" t="s">
        <v>689</v>
      </c>
    </row>
    <row r="1775" spans="1:13" x14ac:dyDescent="0.25">
      <c r="A1775" t="s">
        <v>34</v>
      </c>
      <c r="D1775" t="s">
        <v>318</v>
      </c>
      <c r="E1775">
        <v>2004</v>
      </c>
      <c r="F1775">
        <v>4</v>
      </c>
      <c r="G1775">
        <v>15</v>
      </c>
      <c r="H1775">
        <v>4</v>
      </c>
      <c r="I1775">
        <v>163</v>
      </c>
      <c r="K1775" s="13">
        <v>45820</v>
      </c>
      <c r="L1775" t="s">
        <v>687</v>
      </c>
      <c r="M1775">
        <v>2.6</v>
      </c>
    </row>
    <row r="1776" spans="1:13" x14ac:dyDescent="0.25">
      <c r="A1776" t="s">
        <v>34</v>
      </c>
      <c r="D1776" t="s">
        <v>318</v>
      </c>
      <c r="E1776">
        <v>2004</v>
      </c>
      <c r="F1776">
        <v>4</v>
      </c>
      <c r="G1776">
        <v>15</v>
      </c>
      <c r="H1776">
        <v>4</v>
      </c>
      <c r="I1776">
        <v>163</v>
      </c>
      <c r="K1776" s="13">
        <v>45820</v>
      </c>
      <c r="L1776" t="s">
        <v>688</v>
      </c>
      <c r="M1776">
        <v>2.7</v>
      </c>
    </row>
    <row r="1777" spans="1:13" x14ac:dyDescent="0.25">
      <c r="A1777" t="s">
        <v>34</v>
      </c>
      <c r="D1777" t="s">
        <v>318</v>
      </c>
      <c r="E1777">
        <v>2004</v>
      </c>
      <c r="F1777">
        <v>4</v>
      </c>
      <c r="G1777">
        <v>15</v>
      </c>
      <c r="H1777">
        <v>4</v>
      </c>
      <c r="I1777">
        <v>163</v>
      </c>
      <c r="K1777" s="13">
        <v>45820</v>
      </c>
      <c r="L1777" t="s">
        <v>689</v>
      </c>
      <c r="M1777">
        <v>2.8</v>
      </c>
    </row>
    <row r="1778" spans="1:13" x14ac:dyDescent="0.25">
      <c r="A1778" t="s">
        <v>34</v>
      </c>
      <c r="D1778" t="s">
        <v>318</v>
      </c>
      <c r="E1778">
        <v>2004</v>
      </c>
      <c r="F1778">
        <v>4</v>
      </c>
      <c r="G1778">
        <v>15</v>
      </c>
      <c r="H1778">
        <v>4</v>
      </c>
      <c r="I1778">
        <v>163</v>
      </c>
      <c r="K1778" s="13">
        <v>45825</v>
      </c>
      <c r="L1778" t="s">
        <v>687</v>
      </c>
    </row>
    <row r="1779" spans="1:13" x14ac:dyDescent="0.25">
      <c r="A1779" t="s">
        <v>34</v>
      </c>
      <c r="D1779" t="s">
        <v>318</v>
      </c>
      <c r="E1779">
        <v>2004</v>
      </c>
      <c r="F1779">
        <v>4</v>
      </c>
      <c r="G1779">
        <v>15</v>
      </c>
      <c r="H1779">
        <v>4</v>
      </c>
      <c r="I1779">
        <v>163</v>
      </c>
      <c r="K1779" s="13">
        <v>45825</v>
      </c>
      <c r="L1779" t="s">
        <v>688</v>
      </c>
    </row>
    <row r="1780" spans="1:13" x14ac:dyDescent="0.25">
      <c r="A1780" t="s">
        <v>34</v>
      </c>
      <c r="D1780" t="s">
        <v>318</v>
      </c>
      <c r="E1780">
        <v>2004</v>
      </c>
      <c r="F1780">
        <v>4</v>
      </c>
      <c r="G1780">
        <v>15</v>
      </c>
      <c r="H1780">
        <v>4</v>
      </c>
      <c r="I1780">
        <v>163</v>
      </c>
      <c r="K1780" s="13">
        <v>45825</v>
      </c>
      <c r="L1780" t="s">
        <v>689</v>
      </c>
    </row>
    <row r="1781" spans="1:13" x14ac:dyDescent="0.25">
      <c r="A1781" t="s">
        <v>34</v>
      </c>
      <c r="D1781" t="s">
        <v>318</v>
      </c>
      <c r="E1781">
        <v>2004</v>
      </c>
      <c r="F1781">
        <v>4</v>
      </c>
      <c r="G1781">
        <v>15</v>
      </c>
      <c r="H1781">
        <v>4</v>
      </c>
      <c r="I1781">
        <v>163</v>
      </c>
      <c r="K1781" s="13">
        <v>45827</v>
      </c>
      <c r="L1781" t="s">
        <v>687</v>
      </c>
      <c r="M1781">
        <v>3.1</v>
      </c>
    </row>
    <row r="1782" spans="1:13" x14ac:dyDescent="0.25">
      <c r="A1782" t="s">
        <v>34</v>
      </c>
      <c r="D1782" t="s">
        <v>318</v>
      </c>
      <c r="E1782">
        <v>2004</v>
      </c>
      <c r="F1782">
        <v>4</v>
      </c>
      <c r="G1782">
        <v>15</v>
      </c>
      <c r="H1782">
        <v>4</v>
      </c>
      <c r="I1782">
        <v>163</v>
      </c>
      <c r="K1782" s="13">
        <v>45827</v>
      </c>
      <c r="L1782" t="s">
        <v>688</v>
      </c>
      <c r="M1782">
        <v>3.1</v>
      </c>
    </row>
    <row r="1783" spans="1:13" x14ac:dyDescent="0.25">
      <c r="A1783" t="s">
        <v>34</v>
      </c>
      <c r="D1783" t="s">
        <v>318</v>
      </c>
      <c r="E1783">
        <v>2004</v>
      </c>
      <c r="F1783">
        <v>4</v>
      </c>
      <c r="G1783">
        <v>15</v>
      </c>
      <c r="H1783">
        <v>4</v>
      </c>
      <c r="I1783">
        <v>163</v>
      </c>
      <c r="K1783" s="13">
        <v>45827</v>
      </c>
      <c r="L1783" t="s">
        <v>689</v>
      </c>
      <c r="M1783">
        <v>3.1</v>
      </c>
    </row>
    <row r="1784" spans="1:13" x14ac:dyDescent="0.25">
      <c r="A1784" t="s">
        <v>34</v>
      </c>
      <c r="D1784" t="s">
        <v>318</v>
      </c>
      <c r="E1784">
        <v>2004</v>
      </c>
      <c r="F1784">
        <v>4</v>
      </c>
      <c r="G1784">
        <v>15</v>
      </c>
      <c r="H1784">
        <v>4</v>
      </c>
      <c r="I1784">
        <v>163</v>
      </c>
      <c r="K1784" s="13">
        <v>45859</v>
      </c>
      <c r="L1784" t="s">
        <v>687</v>
      </c>
      <c r="M1784">
        <v>5.9</v>
      </c>
    </row>
    <row r="1785" spans="1:13" x14ac:dyDescent="0.25">
      <c r="A1785" t="s">
        <v>34</v>
      </c>
      <c r="D1785" t="s">
        <v>318</v>
      </c>
      <c r="E1785">
        <v>2004</v>
      </c>
      <c r="F1785">
        <v>4</v>
      </c>
      <c r="G1785">
        <v>15</v>
      </c>
      <c r="H1785">
        <v>4</v>
      </c>
      <c r="I1785">
        <v>163</v>
      </c>
      <c r="K1785" s="13">
        <v>45859</v>
      </c>
      <c r="L1785" t="s">
        <v>688</v>
      </c>
      <c r="M1785">
        <v>6.3</v>
      </c>
    </row>
    <row r="1786" spans="1:13" x14ac:dyDescent="0.25">
      <c r="A1786" t="s">
        <v>34</v>
      </c>
      <c r="D1786" t="s">
        <v>318</v>
      </c>
      <c r="E1786">
        <v>2004</v>
      </c>
      <c r="F1786">
        <v>4</v>
      </c>
      <c r="G1786">
        <v>15</v>
      </c>
      <c r="H1786">
        <v>4</v>
      </c>
      <c r="I1786">
        <v>163</v>
      </c>
      <c r="K1786" s="13">
        <v>45859</v>
      </c>
      <c r="L1786" t="s">
        <v>689</v>
      </c>
      <c r="M1786">
        <v>5.0999999999999996</v>
      </c>
    </row>
    <row r="1787" spans="1:13" x14ac:dyDescent="0.25">
      <c r="A1787" t="s">
        <v>34</v>
      </c>
      <c r="D1787" t="s">
        <v>318</v>
      </c>
      <c r="E1787">
        <v>2004</v>
      </c>
      <c r="F1787">
        <v>4</v>
      </c>
      <c r="G1787">
        <v>15</v>
      </c>
      <c r="H1787">
        <v>4</v>
      </c>
      <c r="I1787">
        <v>163</v>
      </c>
      <c r="K1787" s="13">
        <v>45868</v>
      </c>
      <c r="L1787" t="s">
        <v>687</v>
      </c>
      <c r="M1787">
        <v>6.1</v>
      </c>
    </row>
    <row r="1788" spans="1:13" x14ac:dyDescent="0.25">
      <c r="A1788" t="s">
        <v>34</v>
      </c>
      <c r="D1788" t="s">
        <v>318</v>
      </c>
      <c r="E1788">
        <v>2004</v>
      </c>
      <c r="F1788">
        <v>4</v>
      </c>
      <c r="G1788">
        <v>15</v>
      </c>
      <c r="H1788">
        <v>4</v>
      </c>
      <c r="I1788">
        <v>163</v>
      </c>
      <c r="K1788" s="13">
        <v>45868</v>
      </c>
      <c r="L1788" t="s">
        <v>688</v>
      </c>
      <c r="M1788">
        <v>6.8</v>
      </c>
    </row>
    <row r="1789" spans="1:13" x14ac:dyDescent="0.25">
      <c r="A1789" t="s">
        <v>34</v>
      </c>
      <c r="D1789" t="s">
        <v>318</v>
      </c>
      <c r="E1789">
        <v>2004</v>
      </c>
      <c r="F1789">
        <v>4</v>
      </c>
      <c r="G1789">
        <v>15</v>
      </c>
      <c r="H1789">
        <v>4</v>
      </c>
      <c r="I1789">
        <v>163</v>
      </c>
      <c r="K1789" s="13">
        <v>45868</v>
      </c>
      <c r="L1789" t="s">
        <v>689</v>
      </c>
      <c r="M1789">
        <v>7.1</v>
      </c>
    </row>
    <row r="1790" spans="1:13" x14ac:dyDescent="0.25">
      <c r="A1790" t="s">
        <v>34</v>
      </c>
      <c r="D1790" t="s">
        <v>318</v>
      </c>
      <c r="E1790">
        <v>2004</v>
      </c>
      <c r="F1790">
        <v>4</v>
      </c>
      <c r="G1790">
        <v>15</v>
      </c>
      <c r="H1790">
        <v>4</v>
      </c>
      <c r="I1790">
        <v>163</v>
      </c>
      <c r="K1790" s="13">
        <v>45875</v>
      </c>
      <c r="L1790" t="s">
        <v>687</v>
      </c>
    </row>
    <row r="1791" spans="1:13" x14ac:dyDescent="0.25">
      <c r="A1791" t="s">
        <v>34</v>
      </c>
      <c r="D1791" t="s">
        <v>318</v>
      </c>
      <c r="E1791">
        <v>2004</v>
      </c>
      <c r="F1791">
        <v>4</v>
      </c>
      <c r="G1791">
        <v>15</v>
      </c>
      <c r="H1791">
        <v>4</v>
      </c>
      <c r="I1791">
        <v>163</v>
      </c>
      <c r="K1791" s="13">
        <v>45875</v>
      </c>
      <c r="L1791" t="s">
        <v>688</v>
      </c>
    </row>
    <row r="1792" spans="1:13" x14ac:dyDescent="0.25">
      <c r="A1792" t="s">
        <v>34</v>
      </c>
      <c r="D1792" t="s">
        <v>318</v>
      </c>
      <c r="E1792">
        <v>2004</v>
      </c>
      <c r="F1792">
        <v>4</v>
      </c>
      <c r="G1792">
        <v>15</v>
      </c>
      <c r="H1792">
        <v>4</v>
      </c>
      <c r="I1792">
        <v>163</v>
      </c>
      <c r="K1792" s="13">
        <v>45875</v>
      </c>
      <c r="L1792" t="s">
        <v>689</v>
      </c>
    </row>
    <row r="1793" spans="1:13" x14ac:dyDescent="0.25">
      <c r="A1793" t="s">
        <v>34</v>
      </c>
      <c r="D1793" t="s">
        <v>318</v>
      </c>
      <c r="E1793">
        <v>2004</v>
      </c>
      <c r="F1793">
        <v>4</v>
      </c>
      <c r="G1793">
        <v>15</v>
      </c>
      <c r="H1793">
        <v>4</v>
      </c>
      <c r="I1793">
        <v>163</v>
      </c>
      <c r="K1793" s="13">
        <v>45880</v>
      </c>
      <c r="L1793" t="s">
        <v>687</v>
      </c>
      <c r="M1793">
        <v>8.3000000000000007</v>
      </c>
    </row>
    <row r="1794" spans="1:13" x14ac:dyDescent="0.25">
      <c r="A1794" t="s">
        <v>34</v>
      </c>
      <c r="D1794" t="s">
        <v>318</v>
      </c>
      <c r="E1794">
        <v>2004</v>
      </c>
      <c r="F1794">
        <v>4</v>
      </c>
      <c r="G1794">
        <v>15</v>
      </c>
      <c r="H1794">
        <v>4</v>
      </c>
      <c r="I1794">
        <v>163</v>
      </c>
      <c r="K1794" s="13">
        <v>45880</v>
      </c>
      <c r="L1794" t="s">
        <v>688</v>
      </c>
      <c r="M1794">
        <v>7.1</v>
      </c>
    </row>
    <row r="1795" spans="1:13" x14ac:dyDescent="0.25">
      <c r="A1795" t="s">
        <v>34</v>
      </c>
      <c r="D1795" t="s">
        <v>318</v>
      </c>
      <c r="E1795">
        <v>2004</v>
      </c>
      <c r="F1795">
        <v>4</v>
      </c>
      <c r="G1795">
        <v>15</v>
      </c>
      <c r="H1795">
        <v>4</v>
      </c>
      <c r="I1795">
        <v>163</v>
      </c>
      <c r="K1795" s="13">
        <v>45880</v>
      </c>
      <c r="L1795" t="s">
        <v>689</v>
      </c>
    </row>
    <row r="1796" spans="1:13" x14ac:dyDescent="0.25">
      <c r="A1796" t="s">
        <v>34</v>
      </c>
      <c r="D1796" t="s">
        <v>318</v>
      </c>
      <c r="E1796">
        <v>2004</v>
      </c>
      <c r="F1796">
        <v>4</v>
      </c>
      <c r="G1796">
        <v>15</v>
      </c>
      <c r="H1796">
        <v>4</v>
      </c>
      <c r="I1796">
        <v>163</v>
      </c>
      <c r="K1796" s="13">
        <v>45897</v>
      </c>
      <c r="L1796" t="s">
        <v>687</v>
      </c>
      <c r="M1796">
        <v>8.8000000000000007</v>
      </c>
    </row>
    <row r="1797" spans="1:13" x14ac:dyDescent="0.25">
      <c r="A1797" t="s">
        <v>34</v>
      </c>
      <c r="D1797" t="s">
        <v>318</v>
      </c>
      <c r="E1797">
        <v>2004</v>
      </c>
      <c r="F1797">
        <v>4</v>
      </c>
      <c r="G1797">
        <v>15</v>
      </c>
      <c r="H1797">
        <v>4</v>
      </c>
      <c r="I1797">
        <v>163</v>
      </c>
      <c r="K1797" s="13">
        <v>45897</v>
      </c>
      <c r="L1797" t="s">
        <v>688</v>
      </c>
      <c r="M1797">
        <v>9.1</v>
      </c>
    </row>
    <row r="1798" spans="1:13" x14ac:dyDescent="0.25">
      <c r="A1798" t="s">
        <v>34</v>
      </c>
      <c r="D1798" t="s">
        <v>318</v>
      </c>
      <c r="E1798">
        <v>2004</v>
      </c>
      <c r="F1798">
        <v>4</v>
      </c>
      <c r="G1798">
        <v>15</v>
      </c>
      <c r="H1798">
        <v>4</v>
      </c>
      <c r="I1798">
        <v>163</v>
      </c>
      <c r="K1798" s="13">
        <v>45897</v>
      </c>
      <c r="L1798" t="s">
        <v>689</v>
      </c>
      <c r="M1798">
        <v>9.1</v>
      </c>
    </row>
    <row r="1799" spans="1:13" x14ac:dyDescent="0.25">
      <c r="A1799" t="s">
        <v>34</v>
      </c>
      <c r="D1799" t="s">
        <v>318</v>
      </c>
      <c r="E1799">
        <v>2004</v>
      </c>
      <c r="F1799">
        <v>4</v>
      </c>
      <c r="G1799">
        <v>15</v>
      </c>
      <c r="H1799">
        <v>4</v>
      </c>
      <c r="I1799">
        <v>163</v>
      </c>
      <c r="K1799" s="13">
        <v>45911</v>
      </c>
      <c r="L1799" t="s">
        <v>687</v>
      </c>
    </row>
    <row r="1800" spans="1:13" x14ac:dyDescent="0.25">
      <c r="A1800" t="s">
        <v>34</v>
      </c>
      <c r="D1800" t="s">
        <v>318</v>
      </c>
      <c r="E1800">
        <v>2004</v>
      </c>
      <c r="F1800">
        <v>4</v>
      </c>
      <c r="G1800">
        <v>15</v>
      </c>
      <c r="H1800">
        <v>4</v>
      </c>
      <c r="I1800">
        <v>163</v>
      </c>
      <c r="K1800" s="13">
        <v>45911</v>
      </c>
      <c r="L1800" t="s">
        <v>688</v>
      </c>
    </row>
    <row r="1801" spans="1:13" x14ac:dyDescent="0.25">
      <c r="A1801" t="s">
        <v>34</v>
      </c>
      <c r="D1801" t="s">
        <v>318</v>
      </c>
      <c r="E1801">
        <v>2004</v>
      </c>
      <c r="F1801">
        <v>4</v>
      </c>
      <c r="G1801">
        <v>15</v>
      </c>
      <c r="H1801">
        <v>4</v>
      </c>
      <c r="I1801">
        <v>163</v>
      </c>
      <c r="K1801" s="13">
        <v>45911</v>
      </c>
      <c r="L1801" t="s">
        <v>689</v>
      </c>
    </row>
    <row r="1802" spans="1:13" x14ac:dyDescent="0.25">
      <c r="A1802" t="s">
        <v>34</v>
      </c>
      <c r="D1802" t="s">
        <v>43</v>
      </c>
      <c r="E1802">
        <v>2020</v>
      </c>
      <c r="F1802">
        <v>1</v>
      </c>
      <c r="G1802">
        <v>16</v>
      </c>
      <c r="H1802">
        <v>4</v>
      </c>
      <c r="I1802">
        <v>116</v>
      </c>
      <c r="K1802" s="13">
        <v>45796</v>
      </c>
      <c r="L1802" t="s">
        <v>687</v>
      </c>
    </row>
    <row r="1803" spans="1:13" x14ac:dyDescent="0.25">
      <c r="A1803" t="s">
        <v>34</v>
      </c>
      <c r="D1803" t="s">
        <v>43</v>
      </c>
      <c r="E1803">
        <v>2020</v>
      </c>
      <c r="F1803">
        <v>1</v>
      </c>
      <c r="G1803">
        <v>16</v>
      </c>
      <c r="H1803">
        <v>4</v>
      </c>
      <c r="I1803">
        <v>116</v>
      </c>
      <c r="K1803" s="13">
        <v>45796</v>
      </c>
      <c r="L1803" t="s">
        <v>688</v>
      </c>
    </row>
    <row r="1804" spans="1:13" x14ac:dyDescent="0.25">
      <c r="A1804" t="s">
        <v>34</v>
      </c>
      <c r="D1804" t="s">
        <v>43</v>
      </c>
      <c r="E1804">
        <v>2020</v>
      </c>
      <c r="F1804">
        <v>1</v>
      </c>
      <c r="G1804">
        <v>16</v>
      </c>
      <c r="H1804">
        <v>4</v>
      </c>
      <c r="I1804">
        <v>116</v>
      </c>
      <c r="K1804" s="13">
        <v>45796</v>
      </c>
      <c r="L1804" t="s">
        <v>689</v>
      </c>
    </row>
    <row r="1805" spans="1:13" x14ac:dyDescent="0.25">
      <c r="A1805" t="s">
        <v>34</v>
      </c>
      <c r="D1805" t="s">
        <v>43</v>
      </c>
      <c r="E1805">
        <v>2020</v>
      </c>
      <c r="F1805">
        <v>1</v>
      </c>
      <c r="G1805">
        <v>16</v>
      </c>
      <c r="H1805">
        <v>4</v>
      </c>
      <c r="I1805">
        <v>116</v>
      </c>
      <c r="K1805" s="13">
        <v>45820</v>
      </c>
      <c r="L1805" t="s">
        <v>687</v>
      </c>
      <c r="M1805">
        <v>2.6</v>
      </c>
    </row>
    <row r="1806" spans="1:13" x14ac:dyDescent="0.25">
      <c r="A1806" t="s">
        <v>34</v>
      </c>
      <c r="D1806" t="s">
        <v>43</v>
      </c>
      <c r="E1806">
        <v>2020</v>
      </c>
      <c r="F1806">
        <v>1</v>
      </c>
      <c r="G1806">
        <v>16</v>
      </c>
      <c r="H1806">
        <v>4</v>
      </c>
      <c r="I1806">
        <v>116</v>
      </c>
      <c r="K1806" s="13">
        <v>45820</v>
      </c>
      <c r="L1806" t="s">
        <v>688</v>
      </c>
      <c r="M1806">
        <v>2.7</v>
      </c>
    </row>
    <row r="1807" spans="1:13" x14ac:dyDescent="0.25">
      <c r="A1807" t="s">
        <v>34</v>
      </c>
      <c r="D1807" t="s">
        <v>43</v>
      </c>
      <c r="E1807">
        <v>2020</v>
      </c>
      <c r="F1807">
        <v>1</v>
      </c>
      <c r="G1807">
        <v>16</v>
      </c>
      <c r="H1807">
        <v>4</v>
      </c>
      <c r="I1807">
        <v>116</v>
      </c>
      <c r="K1807" s="13">
        <v>45820</v>
      </c>
      <c r="L1807" t="s">
        <v>689</v>
      </c>
      <c r="M1807">
        <v>2.8</v>
      </c>
    </row>
    <row r="1808" spans="1:13" x14ac:dyDescent="0.25">
      <c r="A1808" t="s">
        <v>34</v>
      </c>
      <c r="D1808" t="s">
        <v>43</v>
      </c>
      <c r="E1808">
        <v>2020</v>
      </c>
      <c r="F1808">
        <v>1</v>
      </c>
      <c r="G1808">
        <v>16</v>
      </c>
      <c r="H1808">
        <v>4</v>
      </c>
      <c r="I1808">
        <v>116</v>
      </c>
      <c r="K1808" s="13">
        <v>45825</v>
      </c>
      <c r="L1808" t="s">
        <v>687</v>
      </c>
    </row>
    <row r="1809" spans="1:13" x14ac:dyDescent="0.25">
      <c r="A1809" t="s">
        <v>34</v>
      </c>
      <c r="D1809" t="s">
        <v>43</v>
      </c>
      <c r="E1809">
        <v>2020</v>
      </c>
      <c r="F1809">
        <v>1</v>
      </c>
      <c r="G1809">
        <v>16</v>
      </c>
      <c r="H1809">
        <v>4</v>
      </c>
      <c r="I1809">
        <v>116</v>
      </c>
      <c r="K1809" s="13">
        <v>45825</v>
      </c>
      <c r="L1809" t="s">
        <v>688</v>
      </c>
    </row>
    <row r="1810" spans="1:13" x14ac:dyDescent="0.25">
      <c r="A1810" t="s">
        <v>34</v>
      </c>
      <c r="D1810" t="s">
        <v>43</v>
      </c>
      <c r="E1810">
        <v>2020</v>
      </c>
      <c r="F1810">
        <v>1</v>
      </c>
      <c r="G1810">
        <v>16</v>
      </c>
      <c r="H1810">
        <v>4</v>
      </c>
      <c r="I1810">
        <v>116</v>
      </c>
      <c r="K1810" s="13">
        <v>45825</v>
      </c>
      <c r="L1810" t="s">
        <v>689</v>
      </c>
    </row>
    <row r="1811" spans="1:13" x14ac:dyDescent="0.25">
      <c r="A1811" t="s">
        <v>34</v>
      </c>
      <c r="D1811" t="s">
        <v>43</v>
      </c>
      <c r="E1811">
        <v>2020</v>
      </c>
      <c r="F1811">
        <v>1</v>
      </c>
      <c r="G1811">
        <v>16</v>
      </c>
      <c r="H1811">
        <v>4</v>
      </c>
      <c r="I1811">
        <v>116</v>
      </c>
      <c r="K1811" s="13">
        <v>45827</v>
      </c>
      <c r="L1811" t="s">
        <v>687</v>
      </c>
      <c r="M1811">
        <v>4.0999999999999996</v>
      </c>
    </row>
    <row r="1812" spans="1:13" x14ac:dyDescent="0.25">
      <c r="A1812" t="s">
        <v>34</v>
      </c>
      <c r="D1812" t="s">
        <v>43</v>
      </c>
      <c r="E1812">
        <v>2020</v>
      </c>
      <c r="F1812">
        <v>1</v>
      </c>
      <c r="G1812">
        <v>16</v>
      </c>
      <c r="H1812">
        <v>4</v>
      </c>
      <c r="I1812">
        <v>116</v>
      </c>
      <c r="K1812" s="13">
        <v>45827</v>
      </c>
      <c r="L1812" t="s">
        <v>688</v>
      </c>
      <c r="M1812">
        <v>4.2</v>
      </c>
    </row>
    <row r="1813" spans="1:13" x14ac:dyDescent="0.25">
      <c r="A1813" t="s">
        <v>34</v>
      </c>
      <c r="D1813" t="s">
        <v>43</v>
      </c>
      <c r="E1813">
        <v>2020</v>
      </c>
      <c r="F1813">
        <v>1</v>
      </c>
      <c r="G1813">
        <v>16</v>
      </c>
      <c r="H1813">
        <v>4</v>
      </c>
      <c r="I1813">
        <v>116</v>
      </c>
      <c r="K1813" s="13">
        <v>45827</v>
      </c>
      <c r="L1813" t="s">
        <v>689</v>
      </c>
      <c r="M1813">
        <v>4.4000000000000004</v>
      </c>
    </row>
    <row r="1814" spans="1:13" x14ac:dyDescent="0.25">
      <c r="A1814" t="s">
        <v>34</v>
      </c>
      <c r="D1814" t="s">
        <v>43</v>
      </c>
      <c r="E1814">
        <v>2020</v>
      </c>
      <c r="F1814">
        <v>1</v>
      </c>
      <c r="G1814">
        <v>16</v>
      </c>
      <c r="H1814">
        <v>4</v>
      </c>
      <c r="I1814">
        <v>116</v>
      </c>
      <c r="K1814" s="13">
        <v>45859</v>
      </c>
      <c r="L1814" t="s">
        <v>687</v>
      </c>
      <c r="M1814">
        <v>5.7</v>
      </c>
    </row>
    <row r="1815" spans="1:13" x14ac:dyDescent="0.25">
      <c r="A1815" t="s">
        <v>34</v>
      </c>
      <c r="D1815" t="s">
        <v>43</v>
      </c>
      <c r="E1815">
        <v>2020</v>
      </c>
      <c r="F1815">
        <v>1</v>
      </c>
      <c r="G1815">
        <v>16</v>
      </c>
      <c r="H1815">
        <v>4</v>
      </c>
      <c r="I1815">
        <v>116</v>
      </c>
      <c r="K1815" s="13">
        <v>45859</v>
      </c>
      <c r="L1815" t="s">
        <v>688</v>
      </c>
      <c r="M1815">
        <v>5.8</v>
      </c>
    </row>
    <row r="1816" spans="1:13" x14ac:dyDescent="0.25">
      <c r="A1816" t="s">
        <v>34</v>
      </c>
      <c r="D1816" t="s">
        <v>43</v>
      </c>
      <c r="E1816">
        <v>2020</v>
      </c>
      <c r="F1816">
        <v>1</v>
      </c>
      <c r="G1816">
        <v>16</v>
      </c>
      <c r="H1816">
        <v>4</v>
      </c>
      <c r="I1816">
        <v>116</v>
      </c>
      <c r="K1816" s="13">
        <v>45859</v>
      </c>
      <c r="L1816" t="s">
        <v>689</v>
      </c>
      <c r="M1816">
        <v>6.1</v>
      </c>
    </row>
    <row r="1817" spans="1:13" x14ac:dyDescent="0.25">
      <c r="A1817" t="s">
        <v>34</v>
      </c>
      <c r="D1817" t="s">
        <v>43</v>
      </c>
      <c r="E1817">
        <v>2020</v>
      </c>
      <c r="F1817">
        <v>1</v>
      </c>
      <c r="G1817">
        <v>16</v>
      </c>
      <c r="H1817">
        <v>4</v>
      </c>
      <c r="I1817">
        <v>116</v>
      </c>
      <c r="K1817" s="13">
        <v>45868</v>
      </c>
      <c r="L1817" t="s">
        <v>687</v>
      </c>
      <c r="M1817">
        <v>6.7</v>
      </c>
    </row>
    <row r="1818" spans="1:13" x14ac:dyDescent="0.25">
      <c r="A1818" t="s">
        <v>34</v>
      </c>
      <c r="D1818" t="s">
        <v>43</v>
      </c>
      <c r="E1818">
        <v>2020</v>
      </c>
      <c r="F1818">
        <v>1</v>
      </c>
      <c r="G1818">
        <v>16</v>
      </c>
      <c r="H1818">
        <v>4</v>
      </c>
      <c r="I1818">
        <v>116</v>
      </c>
      <c r="K1818" s="13">
        <v>45868</v>
      </c>
      <c r="L1818" t="s">
        <v>688</v>
      </c>
      <c r="M1818">
        <v>6.6</v>
      </c>
    </row>
    <row r="1819" spans="1:13" x14ac:dyDescent="0.25">
      <c r="A1819" t="s">
        <v>34</v>
      </c>
      <c r="D1819" t="s">
        <v>43</v>
      </c>
      <c r="E1819">
        <v>2020</v>
      </c>
      <c r="F1819">
        <v>1</v>
      </c>
      <c r="G1819">
        <v>16</v>
      </c>
      <c r="H1819">
        <v>4</v>
      </c>
      <c r="I1819">
        <v>116</v>
      </c>
      <c r="K1819" s="13">
        <v>45868</v>
      </c>
      <c r="L1819" t="s">
        <v>689</v>
      </c>
      <c r="M1819">
        <v>7.1</v>
      </c>
    </row>
    <row r="1820" spans="1:13" x14ac:dyDescent="0.25">
      <c r="A1820" t="s">
        <v>34</v>
      </c>
      <c r="D1820" t="s">
        <v>43</v>
      </c>
      <c r="E1820">
        <v>2020</v>
      </c>
      <c r="F1820">
        <v>1</v>
      </c>
      <c r="G1820">
        <v>16</v>
      </c>
      <c r="H1820">
        <v>4</v>
      </c>
      <c r="I1820">
        <v>116</v>
      </c>
      <c r="K1820" s="13">
        <v>45875</v>
      </c>
      <c r="L1820" t="s">
        <v>687</v>
      </c>
    </row>
    <row r="1821" spans="1:13" x14ac:dyDescent="0.25">
      <c r="A1821" t="s">
        <v>34</v>
      </c>
      <c r="D1821" t="s">
        <v>43</v>
      </c>
      <c r="E1821">
        <v>2020</v>
      </c>
      <c r="F1821">
        <v>1</v>
      </c>
      <c r="G1821">
        <v>16</v>
      </c>
      <c r="H1821">
        <v>4</v>
      </c>
      <c r="I1821">
        <v>116</v>
      </c>
      <c r="K1821" s="13">
        <v>45875</v>
      </c>
      <c r="L1821" t="s">
        <v>688</v>
      </c>
    </row>
    <row r="1822" spans="1:13" x14ac:dyDescent="0.25">
      <c r="A1822" t="s">
        <v>34</v>
      </c>
      <c r="D1822" t="s">
        <v>43</v>
      </c>
      <c r="E1822">
        <v>2020</v>
      </c>
      <c r="F1822">
        <v>1</v>
      </c>
      <c r="G1822">
        <v>16</v>
      </c>
      <c r="H1822">
        <v>4</v>
      </c>
      <c r="I1822">
        <v>116</v>
      </c>
      <c r="K1822" s="13">
        <v>45875</v>
      </c>
      <c r="L1822" t="s">
        <v>689</v>
      </c>
    </row>
    <row r="1823" spans="1:13" x14ac:dyDescent="0.25">
      <c r="A1823" t="s">
        <v>34</v>
      </c>
      <c r="D1823" t="s">
        <v>43</v>
      </c>
      <c r="E1823">
        <v>2020</v>
      </c>
      <c r="F1823">
        <v>1</v>
      </c>
      <c r="G1823">
        <v>16</v>
      </c>
      <c r="H1823">
        <v>4</v>
      </c>
      <c r="I1823">
        <v>116</v>
      </c>
      <c r="K1823" s="13">
        <v>45880</v>
      </c>
      <c r="L1823" t="s">
        <v>687</v>
      </c>
      <c r="M1823">
        <v>7.6</v>
      </c>
    </row>
    <row r="1824" spans="1:13" x14ac:dyDescent="0.25">
      <c r="A1824" t="s">
        <v>34</v>
      </c>
      <c r="D1824" t="s">
        <v>43</v>
      </c>
      <c r="E1824">
        <v>2020</v>
      </c>
      <c r="F1824">
        <v>1</v>
      </c>
      <c r="G1824">
        <v>16</v>
      </c>
      <c r="H1824">
        <v>4</v>
      </c>
      <c r="I1824">
        <v>116</v>
      </c>
      <c r="K1824" s="13">
        <v>45880</v>
      </c>
      <c r="L1824" t="s">
        <v>688</v>
      </c>
      <c r="M1824">
        <v>7.6</v>
      </c>
    </row>
    <row r="1825" spans="1:13" x14ac:dyDescent="0.25">
      <c r="A1825" t="s">
        <v>34</v>
      </c>
      <c r="D1825" t="s">
        <v>43</v>
      </c>
      <c r="E1825">
        <v>2020</v>
      </c>
      <c r="F1825">
        <v>1</v>
      </c>
      <c r="G1825">
        <v>16</v>
      </c>
      <c r="H1825">
        <v>4</v>
      </c>
      <c r="I1825">
        <v>116</v>
      </c>
      <c r="K1825" s="13">
        <v>45880</v>
      </c>
      <c r="L1825" t="s">
        <v>689</v>
      </c>
      <c r="M1825">
        <v>7.9</v>
      </c>
    </row>
    <row r="1826" spans="1:13" x14ac:dyDescent="0.25">
      <c r="A1826" t="s">
        <v>34</v>
      </c>
      <c r="D1826" t="s">
        <v>43</v>
      </c>
      <c r="E1826">
        <v>2020</v>
      </c>
      <c r="F1826">
        <v>1</v>
      </c>
      <c r="G1826">
        <v>16</v>
      </c>
      <c r="H1826">
        <v>4</v>
      </c>
      <c r="I1826">
        <v>116</v>
      </c>
      <c r="K1826" s="13">
        <v>45897</v>
      </c>
      <c r="L1826" t="s">
        <v>687</v>
      </c>
      <c r="M1826">
        <v>8.8000000000000007</v>
      </c>
    </row>
    <row r="1827" spans="1:13" x14ac:dyDescent="0.25">
      <c r="A1827" t="s">
        <v>34</v>
      </c>
      <c r="D1827" t="s">
        <v>43</v>
      </c>
      <c r="E1827">
        <v>2020</v>
      </c>
      <c r="F1827">
        <v>1</v>
      </c>
      <c r="G1827">
        <v>16</v>
      </c>
      <c r="H1827">
        <v>4</v>
      </c>
      <c r="I1827">
        <v>116</v>
      </c>
      <c r="K1827" s="13">
        <v>45897</v>
      </c>
      <c r="L1827" t="s">
        <v>688</v>
      </c>
      <c r="M1827">
        <v>9.1</v>
      </c>
    </row>
    <row r="1828" spans="1:13" x14ac:dyDescent="0.25">
      <c r="A1828" t="s">
        <v>34</v>
      </c>
      <c r="D1828" t="s">
        <v>43</v>
      </c>
      <c r="E1828">
        <v>2020</v>
      </c>
      <c r="F1828">
        <v>1</v>
      </c>
      <c r="G1828">
        <v>16</v>
      </c>
      <c r="H1828">
        <v>4</v>
      </c>
      <c r="I1828">
        <v>116</v>
      </c>
      <c r="K1828" s="13">
        <v>45897</v>
      </c>
      <c r="L1828" t="s">
        <v>689</v>
      </c>
      <c r="M1828">
        <v>8.8000000000000007</v>
      </c>
    </row>
    <row r="1829" spans="1:13" x14ac:dyDescent="0.25">
      <c r="A1829" t="s">
        <v>34</v>
      </c>
      <c r="D1829" t="s">
        <v>43</v>
      </c>
      <c r="E1829">
        <v>2020</v>
      </c>
      <c r="F1829">
        <v>1</v>
      </c>
      <c r="G1829">
        <v>16</v>
      </c>
      <c r="H1829">
        <v>4</v>
      </c>
      <c r="I1829">
        <v>116</v>
      </c>
      <c r="K1829" s="13">
        <v>45911</v>
      </c>
      <c r="L1829" t="s">
        <v>687</v>
      </c>
    </row>
    <row r="1830" spans="1:13" x14ac:dyDescent="0.25">
      <c r="A1830" t="s">
        <v>34</v>
      </c>
      <c r="D1830" t="s">
        <v>43</v>
      </c>
      <c r="E1830">
        <v>2020</v>
      </c>
      <c r="F1830">
        <v>1</v>
      </c>
      <c r="G1830">
        <v>16</v>
      </c>
      <c r="H1830">
        <v>4</v>
      </c>
      <c r="I1830">
        <v>116</v>
      </c>
      <c r="K1830" s="13">
        <v>45911</v>
      </c>
      <c r="L1830" t="s">
        <v>688</v>
      </c>
    </row>
    <row r="1831" spans="1:13" x14ac:dyDescent="0.25">
      <c r="A1831" t="s">
        <v>34</v>
      </c>
      <c r="D1831" t="s">
        <v>43</v>
      </c>
      <c r="E1831">
        <v>2020</v>
      </c>
      <c r="F1831">
        <v>1</v>
      </c>
      <c r="G1831">
        <v>16</v>
      </c>
      <c r="H1831">
        <v>4</v>
      </c>
      <c r="I1831">
        <v>116</v>
      </c>
      <c r="K1831" s="13">
        <v>45911</v>
      </c>
      <c r="L1831" t="s">
        <v>689</v>
      </c>
    </row>
    <row r="1832" spans="1:13" x14ac:dyDescent="0.25">
      <c r="A1832" t="s">
        <v>34</v>
      </c>
      <c r="D1832" t="s">
        <v>41</v>
      </c>
      <c r="E1832">
        <v>2008</v>
      </c>
      <c r="F1832">
        <v>2</v>
      </c>
      <c r="G1832">
        <v>16</v>
      </c>
      <c r="H1832">
        <v>4</v>
      </c>
      <c r="I1832">
        <v>132</v>
      </c>
      <c r="K1832" s="13">
        <v>45796</v>
      </c>
      <c r="L1832" t="s">
        <v>687</v>
      </c>
    </row>
    <row r="1833" spans="1:13" x14ac:dyDescent="0.25">
      <c r="A1833" t="s">
        <v>34</v>
      </c>
      <c r="D1833" t="s">
        <v>41</v>
      </c>
      <c r="E1833">
        <v>2008</v>
      </c>
      <c r="F1833">
        <v>2</v>
      </c>
      <c r="G1833">
        <v>16</v>
      </c>
      <c r="H1833">
        <v>4</v>
      </c>
      <c r="I1833">
        <v>132</v>
      </c>
      <c r="K1833" s="13">
        <v>45796</v>
      </c>
      <c r="L1833" t="s">
        <v>688</v>
      </c>
    </row>
    <row r="1834" spans="1:13" x14ac:dyDescent="0.25">
      <c r="A1834" t="s">
        <v>34</v>
      </c>
      <c r="D1834" t="s">
        <v>41</v>
      </c>
      <c r="E1834">
        <v>2008</v>
      </c>
      <c r="F1834">
        <v>2</v>
      </c>
      <c r="G1834">
        <v>16</v>
      </c>
      <c r="H1834">
        <v>4</v>
      </c>
      <c r="I1834">
        <v>132</v>
      </c>
      <c r="K1834" s="13">
        <v>45796</v>
      </c>
      <c r="L1834" t="s">
        <v>689</v>
      </c>
    </row>
    <row r="1835" spans="1:13" x14ac:dyDescent="0.25">
      <c r="A1835" t="s">
        <v>34</v>
      </c>
      <c r="D1835" t="s">
        <v>41</v>
      </c>
      <c r="E1835">
        <v>2008</v>
      </c>
      <c r="F1835">
        <v>2</v>
      </c>
      <c r="G1835">
        <v>16</v>
      </c>
      <c r="H1835">
        <v>4</v>
      </c>
      <c r="I1835">
        <v>132</v>
      </c>
      <c r="K1835" s="13">
        <v>45820</v>
      </c>
      <c r="L1835" t="s">
        <v>687</v>
      </c>
      <c r="M1835">
        <v>2.8</v>
      </c>
    </row>
    <row r="1836" spans="1:13" x14ac:dyDescent="0.25">
      <c r="A1836" t="s">
        <v>34</v>
      </c>
      <c r="D1836" t="s">
        <v>41</v>
      </c>
      <c r="E1836">
        <v>2008</v>
      </c>
      <c r="F1836">
        <v>2</v>
      </c>
      <c r="G1836">
        <v>16</v>
      </c>
      <c r="H1836">
        <v>4</v>
      </c>
      <c r="I1836">
        <v>132</v>
      </c>
      <c r="K1836" s="13">
        <v>45820</v>
      </c>
      <c r="L1836" t="s">
        <v>688</v>
      </c>
      <c r="M1836">
        <v>2.8</v>
      </c>
    </row>
    <row r="1837" spans="1:13" x14ac:dyDescent="0.25">
      <c r="A1837" t="s">
        <v>34</v>
      </c>
      <c r="D1837" t="s">
        <v>41</v>
      </c>
      <c r="E1837">
        <v>2008</v>
      </c>
      <c r="F1837">
        <v>2</v>
      </c>
      <c r="G1837">
        <v>16</v>
      </c>
      <c r="H1837">
        <v>4</v>
      </c>
      <c r="I1837">
        <v>132</v>
      </c>
      <c r="K1837" s="13">
        <v>45820</v>
      </c>
      <c r="L1837" t="s">
        <v>689</v>
      </c>
      <c r="M1837">
        <v>2.8</v>
      </c>
    </row>
    <row r="1838" spans="1:13" x14ac:dyDescent="0.25">
      <c r="A1838" t="s">
        <v>34</v>
      </c>
      <c r="D1838" t="s">
        <v>41</v>
      </c>
      <c r="E1838">
        <v>2008</v>
      </c>
      <c r="F1838">
        <v>2</v>
      </c>
      <c r="G1838">
        <v>16</v>
      </c>
      <c r="H1838">
        <v>4</v>
      </c>
      <c r="I1838">
        <v>132</v>
      </c>
      <c r="K1838" s="13">
        <v>45825</v>
      </c>
      <c r="L1838" t="s">
        <v>687</v>
      </c>
    </row>
    <row r="1839" spans="1:13" x14ac:dyDescent="0.25">
      <c r="A1839" t="s">
        <v>34</v>
      </c>
      <c r="D1839" t="s">
        <v>41</v>
      </c>
      <c r="E1839">
        <v>2008</v>
      </c>
      <c r="F1839">
        <v>2</v>
      </c>
      <c r="G1839">
        <v>16</v>
      </c>
      <c r="H1839">
        <v>4</v>
      </c>
      <c r="I1839">
        <v>132</v>
      </c>
      <c r="K1839" s="13">
        <v>45825</v>
      </c>
      <c r="L1839" t="s">
        <v>688</v>
      </c>
    </row>
    <row r="1840" spans="1:13" x14ac:dyDescent="0.25">
      <c r="A1840" t="s">
        <v>34</v>
      </c>
      <c r="D1840" t="s">
        <v>41</v>
      </c>
      <c r="E1840">
        <v>2008</v>
      </c>
      <c r="F1840">
        <v>2</v>
      </c>
      <c r="G1840">
        <v>16</v>
      </c>
      <c r="H1840">
        <v>4</v>
      </c>
      <c r="I1840">
        <v>132</v>
      </c>
      <c r="K1840" s="13">
        <v>45825</v>
      </c>
      <c r="L1840" t="s">
        <v>689</v>
      </c>
    </row>
    <row r="1841" spans="1:13" x14ac:dyDescent="0.25">
      <c r="A1841" t="s">
        <v>34</v>
      </c>
      <c r="D1841" t="s">
        <v>41</v>
      </c>
      <c r="E1841">
        <v>2008</v>
      </c>
      <c r="F1841">
        <v>2</v>
      </c>
      <c r="G1841">
        <v>16</v>
      </c>
      <c r="H1841">
        <v>4</v>
      </c>
      <c r="I1841">
        <v>132</v>
      </c>
      <c r="K1841" s="13">
        <v>45827</v>
      </c>
      <c r="L1841" t="s">
        <v>687</v>
      </c>
      <c r="M1841">
        <v>4.3</v>
      </c>
    </row>
    <row r="1842" spans="1:13" x14ac:dyDescent="0.25">
      <c r="A1842" t="s">
        <v>34</v>
      </c>
      <c r="D1842" t="s">
        <v>41</v>
      </c>
      <c r="E1842">
        <v>2008</v>
      </c>
      <c r="F1842">
        <v>2</v>
      </c>
      <c r="G1842">
        <v>16</v>
      </c>
      <c r="H1842">
        <v>4</v>
      </c>
      <c r="I1842">
        <v>132</v>
      </c>
      <c r="K1842" s="13">
        <v>45827</v>
      </c>
      <c r="L1842" t="s">
        <v>688</v>
      </c>
      <c r="M1842">
        <v>4.0999999999999996</v>
      </c>
    </row>
    <row r="1843" spans="1:13" x14ac:dyDescent="0.25">
      <c r="A1843" t="s">
        <v>34</v>
      </c>
      <c r="D1843" t="s">
        <v>41</v>
      </c>
      <c r="E1843">
        <v>2008</v>
      </c>
      <c r="F1843">
        <v>2</v>
      </c>
      <c r="G1843">
        <v>16</v>
      </c>
      <c r="H1843">
        <v>4</v>
      </c>
      <c r="I1843">
        <v>132</v>
      </c>
      <c r="K1843" s="13">
        <v>45827</v>
      </c>
      <c r="L1843" t="s">
        <v>689</v>
      </c>
      <c r="M1843">
        <v>4.0999999999999996</v>
      </c>
    </row>
    <row r="1844" spans="1:13" x14ac:dyDescent="0.25">
      <c r="A1844" t="s">
        <v>34</v>
      </c>
      <c r="D1844" t="s">
        <v>41</v>
      </c>
      <c r="E1844">
        <v>2008</v>
      </c>
      <c r="F1844">
        <v>2</v>
      </c>
      <c r="G1844">
        <v>16</v>
      </c>
      <c r="H1844">
        <v>4</v>
      </c>
      <c r="I1844">
        <v>132</v>
      </c>
      <c r="K1844" s="13">
        <v>45859</v>
      </c>
      <c r="L1844" t="s">
        <v>687</v>
      </c>
      <c r="M1844">
        <v>6.3</v>
      </c>
    </row>
    <row r="1845" spans="1:13" x14ac:dyDescent="0.25">
      <c r="A1845" t="s">
        <v>34</v>
      </c>
      <c r="D1845" t="s">
        <v>41</v>
      </c>
      <c r="E1845">
        <v>2008</v>
      </c>
      <c r="F1845">
        <v>2</v>
      </c>
      <c r="G1845">
        <v>16</v>
      </c>
      <c r="H1845">
        <v>4</v>
      </c>
      <c r="I1845">
        <v>132</v>
      </c>
      <c r="K1845" s="13">
        <v>45859</v>
      </c>
      <c r="L1845" t="s">
        <v>688</v>
      </c>
      <c r="M1845">
        <v>5.9</v>
      </c>
    </row>
    <row r="1846" spans="1:13" x14ac:dyDescent="0.25">
      <c r="A1846" t="s">
        <v>34</v>
      </c>
      <c r="D1846" t="s">
        <v>41</v>
      </c>
      <c r="E1846">
        <v>2008</v>
      </c>
      <c r="F1846">
        <v>2</v>
      </c>
      <c r="G1846">
        <v>16</v>
      </c>
      <c r="H1846">
        <v>4</v>
      </c>
      <c r="I1846">
        <v>132</v>
      </c>
      <c r="K1846" s="13">
        <v>45859</v>
      </c>
      <c r="L1846" t="s">
        <v>689</v>
      </c>
      <c r="M1846">
        <v>6.1</v>
      </c>
    </row>
    <row r="1847" spans="1:13" x14ac:dyDescent="0.25">
      <c r="A1847" t="s">
        <v>34</v>
      </c>
      <c r="D1847" t="s">
        <v>41</v>
      </c>
      <c r="E1847">
        <v>2008</v>
      </c>
      <c r="F1847">
        <v>2</v>
      </c>
      <c r="G1847">
        <v>16</v>
      </c>
      <c r="H1847">
        <v>4</v>
      </c>
      <c r="I1847">
        <v>132</v>
      </c>
      <c r="K1847" s="13">
        <v>45868</v>
      </c>
      <c r="L1847" t="s">
        <v>687</v>
      </c>
      <c r="M1847">
        <v>7.2</v>
      </c>
    </row>
    <row r="1848" spans="1:13" x14ac:dyDescent="0.25">
      <c r="A1848" t="s">
        <v>34</v>
      </c>
      <c r="D1848" t="s">
        <v>41</v>
      </c>
      <c r="E1848">
        <v>2008</v>
      </c>
      <c r="F1848">
        <v>2</v>
      </c>
      <c r="G1848">
        <v>16</v>
      </c>
      <c r="H1848">
        <v>4</v>
      </c>
      <c r="I1848">
        <v>132</v>
      </c>
      <c r="K1848" s="13">
        <v>45868</v>
      </c>
      <c r="L1848" t="s">
        <v>688</v>
      </c>
      <c r="M1848">
        <v>6.5</v>
      </c>
    </row>
    <row r="1849" spans="1:13" x14ac:dyDescent="0.25">
      <c r="A1849" t="s">
        <v>34</v>
      </c>
      <c r="D1849" t="s">
        <v>41</v>
      </c>
      <c r="E1849">
        <v>2008</v>
      </c>
      <c r="F1849">
        <v>2</v>
      </c>
      <c r="G1849">
        <v>16</v>
      </c>
      <c r="H1849">
        <v>4</v>
      </c>
      <c r="I1849">
        <v>132</v>
      </c>
      <c r="K1849" s="13">
        <v>45868</v>
      </c>
      <c r="L1849" t="s">
        <v>689</v>
      </c>
    </row>
    <row r="1850" spans="1:13" x14ac:dyDescent="0.25">
      <c r="A1850" t="s">
        <v>34</v>
      </c>
      <c r="D1850" t="s">
        <v>41</v>
      </c>
      <c r="E1850">
        <v>2008</v>
      </c>
      <c r="F1850">
        <v>2</v>
      </c>
      <c r="G1850">
        <v>16</v>
      </c>
      <c r="H1850">
        <v>4</v>
      </c>
      <c r="I1850">
        <v>132</v>
      </c>
      <c r="K1850" s="13">
        <v>45875</v>
      </c>
      <c r="L1850" t="s">
        <v>687</v>
      </c>
    </row>
    <row r="1851" spans="1:13" x14ac:dyDescent="0.25">
      <c r="A1851" t="s">
        <v>34</v>
      </c>
      <c r="D1851" t="s">
        <v>41</v>
      </c>
      <c r="E1851">
        <v>2008</v>
      </c>
      <c r="F1851">
        <v>2</v>
      </c>
      <c r="G1851">
        <v>16</v>
      </c>
      <c r="H1851">
        <v>4</v>
      </c>
      <c r="I1851">
        <v>132</v>
      </c>
      <c r="K1851" s="13">
        <v>45875</v>
      </c>
      <c r="L1851" t="s">
        <v>688</v>
      </c>
    </row>
    <row r="1852" spans="1:13" x14ac:dyDescent="0.25">
      <c r="A1852" t="s">
        <v>34</v>
      </c>
      <c r="D1852" t="s">
        <v>41</v>
      </c>
      <c r="E1852">
        <v>2008</v>
      </c>
      <c r="F1852">
        <v>2</v>
      </c>
      <c r="G1852">
        <v>16</v>
      </c>
      <c r="H1852">
        <v>4</v>
      </c>
      <c r="I1852">
        <v>132</v>
      </c>
      <c r="K1852" s="13">
        <v>45875</v>
      </c>
      <c r="L1852" t="s">
        <v>689</v>
      </c>
    </row>
    <row r="1853" spans="1:13" x14ac:dyDescent="0.25">
      <c r="A1853" t="s">
        <v>34</v>
      </c>
      <c r="D1853" t="s">
        <v>41</v>
      </c>
      <c r="E1853">
        <v>2008</v>
      </c>
      <c r="F1853">
        <v>2</v>
      </c>
      <c r="G1853">
        <v>16</v>
      </c>
      <c r="H1853">
        <v>4</v>
      </c>
      <c r="I1853">
        <v>132</v>
      </c>
      <c r="K1853" s="13">
        <v>45880</v>
      </c>
      <c r="L1853" t="s">
        <v>687</v>
      </c>
      <c r="M1853">
        <v>8.1999999999999993</v>
      </c>
    </row>
    <row r="1854" spans="1:13" x14ac:dyDescent="0.25">
      <c r="A1854" t="s">
        <v>34</v>
      </c>
      <c r="D1854" t="s">
        <v>41</v>
      </c>
      <c r="E1854">
        <v>2008</v>
      </c>
      <c r="F1854">
        <v>2</v>
      </c>
      <c r="G1854">
        <v>16</v>
      </c>
      <c r="H1854">
        <v>4</v>
      </c>
      <c r="I1854">
        <v>132</v>
      </c>
      <c r="K1854" s="13">
        <v>45880</v>
      </c>
      <c r="L1854" t="s">
        <v>688</v>
      </c>
      <c r="M1854">
        <v>7.7</v>
      </c>
    </row>
    <row r="1855" spans="1:13" x14ac:dyDescent="0.25">
      <c r="A1855" t="s">
        <v>34</v>
      </c>
      <c r="D1855" t="s">
        <v>41</v>
      </c>
      <c r="E1855">
        <v>2008</v>
      </c>
      <c r="F1855">
        <v>2</v>
      </c>
      <c r="G1855">
        <v>16</v>
      </c>
      <c r="H1855">
        <v>4</v>
      </c>
      <c r="I1855">
        <v>132</v>
      </c>
      <c r="K1855" s="13">
        <v>45880</v>
      </c>
      <c r="L1855" t="s">
        <v>689</v>
      </c>
    </row>
    <row r="1856" spans="1:13" x14ac:dyDescent="0.25">
      <c r="A1856" t="s">
        <v>34</v>
      </c>
      <c r="D1856" t="s">
        <v>41</v>
      </c>
      <c r="E1856">
        <v>2008</v>
      </c>
      <c r="F1856">
        <v>2</v>
      </c>
      <c r="G1856">
        <v>16</v>
      </c>
      <c r="H1856">
        <v>4</v>
      </c>
      <c r="I1856">
        <v>132</v>
      </c>
      <c r="K1856" s="13">
        <v>45897</v>
      </c>
      <c r="L1856" t="s">
        <v>687</v>
      </c>
      <c r="M1856">
        <v>9.6999999999999993</v>
      </c>
    </row>
    <row r="1857" spans="1:13" x14ac:dyDescent="0.25">
      <c r="A1857" t="s">
        <v>34</v>
      </c>
      <c r="D1857" t="s">
        <v>41</v>
      </c>
      <c r="E1857">
        <v>2008</v>
      </c>
      <c r="F1857">
        <v>2</v>
      </c>
      <c r="G1857">
        <v>16</v>
      </c>
      <c r="H1857">
        <v>4</v>
      </c>
      <c r="I1857">
        <v>132</v>
      </c>
      <c r="K1857" s="13">
        <v>45897</v>
      </c>
      <c r="L1857" t="s">
        <v>688</v>
      </c>
      <c r="M1857">
        <v>9.5</v>
      </c>
    </row>
    <row r="1858" spans="1:13" x14ac:dyDescent="0.25">
      <c r="A1858" t="s">
        <v>34</v>
      </c>
      <c r="D1858" t="s">
        <v>41</v>
      </c>
      <c r="E1858">
        <v>2008</v>
      </c>
      <c r="F1858">
        <v>2</v>
      </c>
      <c r="G1858">
        <v>16</v>
      </c>
      <c r="H1858">
        <v>4</v>
      </c>
      <c r="I1858">
        <v>132</v>
      </c>
      <c r="K1858" s="13">
        <v>45897</v>
      </c>
      <c r="L1858" t="s">
        <v>689</v>
      </c>
      <c r="M1858">
        <v>9.6</v>
      </c>
    </row>
    <row r="1859" spans="1:13" x14ac:dyDescent="0.25">
      <c r="A1859" t="s">
        <v>34</v>
      </c>
      <c r="D1859" t="s">
        <v>41</v>
      </c>
      <c r="E1859">
        <v>2008</v>
      </c>
      <c r="F1859">
        <v>2</v>
      </c>
      <c r="G1859">
        <v>16</v>
      </c>
      <c r="H1859">
        <v>4</v>
      </c>
      <c r="I1859">
        <v>132</v>
      </c>
      <c r="K1859" s="13">
        <v>45911</v>
      </c>
      <c r="L1859" t="s">
        <v>687</v>
      </c>
    </row>
    <row r="1860" spans="1:13" x14ac:dyDescent="0.25">
      <c r="A1860" t="s">
        <v>34</v>
      </c>
      <c r="D1860" t="s">
        <v>41</v>
      </c>
      <c r="E1860">
        <v>2008</v>
      </c>
      <c r="F1860">
        <v>2</v>
      </c>
      <c r="G1860">
        <v>16</v>
      </c>
      <c r="H1860">
        <v>4</v>
      </c>
      <c r="I1860">
        <v>132</v>
      </c>
      <c r="K1860" s="13">
        <v>45911</v>
      </c>
      <c r="L1860" t="s">
        <v>688</v>
      </c>
    </row>
    <row r="1861" spans="1:13" x14ac:dyDescent="0.25">
      <c r="A1861" t="s">
        <v>34</v>
      </c>
      <c r="D1861" t="s">
        <v>41</v>
      </c>
      <c r="E1861">
        <v>2008</v>
      </c>
      <c r="F1861">
        <v>2</v>
      </c>
      <c r="G1861">
        <v>16</v>
      </c>
      <c r="H1861">
        <v>4</v>
      </c>
      <c r="I1861">
        <v>132</v>
      </c>
      <c r="K1861" s="13">
        <v>45911</v>
      </c>
      <c r="L1861" t="s">
        <v>689</v>
      </c>
    </row>
    <row r="1862" spans="1:13" x14ac:dyDescent="0.25">
      <c r="A1862" t="s">
        <v>34</v>
      </c>
      <c r="D1862" t="s">
        <v>42</v>
      </c>
      <c r="E1862">
        <v>2016</v>
      </c>
      <c r="F1862">
        <v>3</v>
      </c>
      <c r="G1862">
        <v>16</v>
      </c>
      <c r="H1862">
        <v>4</v>
      </c>
      <c r="I1862">
        <v>148</v>
      </c>
      <c r="K1862" s="13">
        <v>45796</v>
      </c>
      <c r="L1862" t="s">
        <v>687</v>
      </c>
    </row>
    <row r="1863" spans="1:13" x14ac:dyDescent="0.25">
      <c r="A1863" t="s">
        <v>34</v>
      </c>
      <c r="D1863" t="s">
        <v>42</v>
      </c>
      <c r="E1863">
        <v>2016</v>
      </c>
      <c r="F1863">
        <v>3</v>
      </c>
      <c r="G1863">
        <v>16</v>
      </c>
      <c r="H1863">
        <v>4</v>
      </c>
      <c r="I1863">
        <v>148</v>
      </c>
      <c r="K1863" s="13">
        <v>45796</v>
      </c>
      <c r="L1863" t="s">
        <v>688</v>
      </c>
    </row>
    <row r="1864" spans="1:13" x14ac:dyDescent="0.25">
      <c r="A1864" t="s">
        <v>34</v>
      </c>
      <c r="D1864" t="s">
        <v>42</v>
      </c>
      <c r="E1864">
        <v>2016</v>
      </c>
      <c r="F1864">
        <v>3</v>
      </c>
      <c r="G1864">
        <v>16</v>
      </c>
      <c r="H1864">
        <v>4</v>
      </c>
      <c r="I1864">
        <v>148</v>
      </c>
      <c r="K1864" s="13">
        <v>45796</v>
      </c>
      <c r="L1864" t="s">
        <v>689</v>
      </c>
    </row>
    <row r="1865" spans="1:13" x14ac:dyDescent="0.25">
      <c r="A1865" t="s">
        <v>34</v>
      </c>
      <c r="D1865" t="s">
        <v>42</v>
      </c>
      <c r="E1865">
        <v>2016</v>
      </c>
      <c r="F1865">
        <v>3</v>
      </c>
      <c r="G1865">
        <v>16</v>
      </c>
      <c r="H1865">
        <v>4</v>
      </c>
      <c r="I1865">
        <v>148</v>
      </c>
      <c r="K1865" s="13">
        <v>45820</v>
      </c>
      <c r="L1865" t="s">
        <v>687</v>
      </c>
      <c r="M1865">
        <v>2.8</v>
      </c>
    </row>
    <row r="1866" spans="1:13" x14ac:dyDescent="0.25">
      <c r="A1866" t="s">
        <v>34</v>
      </c>
      <c r="D1866" t="s">
        <v>42</v>
      </c>
      <c r="E1866">
        <v>2016</v>
      </c>
      <c r="F1866">
        <v>3</v>
      </c>
      <c r="G1866">
        <v>16</v>
      </c>
      <c r="H1866">
        <v>4</v>
      </c>
      <c r="I1866">
        <v>148</v>
      </c>
      <c r="K1866" s="13">
        <v>45820</v>
      </c>
      <c r="L1866" t="s">
        <v>688</v>
      </c>
      <c r="M1866">
        <v>2.7</v>
      </c>
    </row>
    <row r="1867" spans="1:13" x14ac:dyDescent="0.25">
      <c r="A1867" t="s">
        <v>34</v>
      </c>
      <c r="D1867" t="s">
        <v>42</v>
      </c>
      <c r="E1867">
        <v>2016</v>
      </c>
      <c r="F1867">
        <v>3</v>
      </c>
      <c r="G1867">
        <v>16</v>
      </c>
      <c r="H1867">
        <v>4</v>
      </c>
      <c r="I1867">
        <v>148</v>
      </c>
      <c r="K1867" s="13">
        <v>45820</v>
      </c>
      <c r="L1867" t="s">
        <v>689</v>
      </c>
      <c r="M1867">
        <v>2.7</v>
      </c>
    </row>
    <row r="1868" spans="1:13" x14ac:dyDescent="0.25">
      <c r="A1868" t="s">
        <v>34</v>
      </c>
      <c r="D1868" t="s">
        <v>42</v>
      </c>
      <c r="E1868">
        <v>2016</v>
      </c>
      <c r="F1868">
        <v>3</v>
      </c>
      <c r="G1868">
        <v>16</v>
      </c>
      <c r="H1868">
        <v>4</v>
      </c>
      <c r="I1868">
        <v>148</v>
      </c>
      <c r="K1868" s="13">
        <v>45825</v>
      </c>
      <c r="L1868" t="s">
        <v>687</v>
      </c>
    </row>
    <row r="1869" spans="1:13" x14ac:dyDescent="0.25">
      <c r="A1869" t="s">
        <v>34</v>
      </c>
      <c r="D1869" t="s">
        <v>42</v>
      </c>
      <c r="E1869">
        <v>2016</v>
      </c>
      <c r="F1869">
        <v>3</v>
      </c>
      <c r="G1869">
        <v>16</v>
      </c>
      <c r="H1869">
        <v>4</v>
      </c>
      <c r="I1869">
        <v>148</v>
      </c>
      <c r="K1869" s="13">
        <v>45825</v>
      </c>
      <c r="L1869" t="s">
        <v>688</v>
      </c>
    </row>
    <row r="1870" spans="1:13" x14ac:dyDescent="0.25">
      <c r="A1870" t="s">
        <v>34</v>
      </c>
      <c r="D1870" t="s">
        <v>42</v>
      </c>
      <c r="E1870">
        <v>2016</v>
      </c>
      <c r="F1870">
        <v>3</v>
      </c>
      <c r="G1870">
        <v>16</v>
      </c>
      <c r="H1870">
        <v>4</v>
      </c>
      <c r="I1870">
        <v>148</v>
      </c>
      <c r="K1870" s="13">
        <v>45825</v>
      </c>
      <c r="L1870" t="s">
        <v>689</v>
      </c>
    </row>
    <row r="1871" spans="1:13" x14ac:dyDescent="0.25">
      <c r="A1871" t="s">
        <v>34</v>
      </c>
      <c r="D1871" t="s">
        <v>42</v>
      </c>
      <c r="E1871">
        <v>2016</v>
      </c>
      <c r="F1871">
        <v>3</v>
      </c>
      <c r="G1871">
        <v>16</v>
      </c>
      <c r="H1871">
        <v>4</v>
      </c>
      <c r="I1871">
        <v>148</v>
      </c>
      <c r="K1871" s="13">
        <v>45827</v>
      </c>
      <c r="L1871" t="s">
        <v>687</v>
      </c>
      <c r="M1871">
        <v>3.2</v>
      </c>
    </row>
    <row r="1872" spans="1:13" x14ac:dyDescent="0.25">
      <c r="A1872" t="s">
        <v>34</v>
      </c>
      <c r="D1872" t="s">
        <v>42</v>
      </c>
      <c r="E1872">
        <v>2016</v>
      </c>
      <c r="F1872">
        <v>3</v>
      </c>
      <c r="G1872">
        <v>16</v>
      </c>
      <c r="H1872">
        <v>4</v>
      </c>
      <c r="I1872">
        <v>148</v>
      </c>
      <c r="K1872" s="13">
        <v>45827</v>
      </c>
      <c r="L1872" t="s">
        <v>688</v>
      </c>
      <c r="M1872">
        <v>3.1</v>
      </c>
    </row>
    <row r="1873" spans="1:13" x14ac:dyDescent="0.25">
      <c r="A1873" t="s">
        <v>34</v>
      </c>
      <c r="D1873" t="s">
        <v>42</v>
      </c>
      <c r="E1873">
        <v>2016</v>
      </c>
      <c r="F1873">
        <v>3</v>
      </c>
      <c r="G1873">
        <v>16</v>
      </c>
      <c r="H1873">
        <v>4</v>
      </c>
      <c r="I1873">
        <v>148</v>
      </c>
      <c r="K1873" s="13">
        <v>45827</v>
      </c>
      <c r="L1873" t="s">
        <v>689</v>
      </c>
      <c r="M1873">
        <v>3.1</v>
      </c>
    </row>
    <row r="1874" spans="1:13" x14ac:dyDescent="0.25">
      <c r="A1874" t="s">
        <v>34</v>
      </c>
      <c r="D1874" t="s">
        <v>42</v>
      </c>
      <c r="E1874">
        <v>2016</v>
      </c>
      <c r="F1874">
        <v>3</v>
      </c>
      <c r="G1874">
        <v>16</v>
      </c>
      <c r="H1874">
        <v>4</v>
      </c>
      <c r="I1874">
        <v>148</v>
      </c>
      <c r="K1874" s="13">
        <v>45859</v>
      </c>
      <c r="L1874" t="s">
        <v>687</v>
      </c>
      <c r="M1874">
        <v>6.1</v>
      </c>
    </row>
    <row r="1875" spans="1:13" x14ac:dyDescent="0.25">
      <c r="A1875" t="s">
        <v>34</v>
      </c>
      <c r="D1875" t="s">
        <v>42</v>
      </c>
      <c r="E1875">
        <v>2016</v>
      </c>
      <c r="F1875">
        <v>3</v>
      </c>
      <c r="G1875">
        <v>16</v>
      </c>
      <c r="H1875">
        <v>4</v>
      </c>
      <c r="I1875">
        <v>148</v>
      </c>
      <c r="K1875" s="13">
        <v>45859</v>
      </c>
      <c r="L1875" t="s">
        <v>688</v>
      </c>
      <c r="M1875">
        <v>5.9</v>
      </c>
    </row>
    <row r="1876" spans="1:13" x14ac:dyDescent="0.25">
      <c r="A1876" t="s">
        <v>34</v>
      </c>
      <c r="D1876" t="s">
        <v>42</v>
      </c>
      <c r="E1876">
        <v>2016</v>
      </c>
      <c r="F1876">
        <v>3</v>
      </c>
      <c r="G1876">
        <v>16</v>
      </c>
      <c r="H1876">
        <v>4</v>
      </c>
      <c r="I1876">
        <v>148</v>
      </c>
      <c r="K1876" s="13">
        <v>45859</v>
      </c>
      <c r="L1876" t="s">
        <v>689</v>
      </c>
      <c r="M1876">
        <v>5.8</v>
      </c>
    </row>
    <row r="1877" spans="1:13" x14ac:dyDescent="0.25">
      <c r="A1877" t="s">
        <v>34</v>
      </c>
      <c r="D1877" t="s">
        <v>42</v>
      </c>
      <c r="E1877">
        <v>2016</v>
      </c>
      <c r="F1877">
        <v>3</v>
      </c>
      <c r="G1877">
        <v>16</v>
      </c>
      <c r="H1877">
        <v>4</v>
      </c>
      <c r="I1877">
        <v>148</v>
      </c>
      <c r="K1877" s="13">
        <v>45868</v>
      </c>
      <c r="L1877" t="s">
        <v>687</v>
      </c>
      <c r="M1877">
        <v>6.8</v>
      </c>
    </row>
    <row r="1878" spans="1:13" x14ac:dyDescent="0.25">
      <c r="A1878" t="s">
        <v>34</v>
      </c>
      <c r="D1878" t="s">
        <v>42</v>
      </c>
      <c r="E1878">
        <v>2016</v>
      </c>
      <c r="F1878">
        <v>3</v>
      </c>
      <c r="G1878">
        <v>16</v>
      </c>
      <c r="H1878">
        <v>4</v>
      </c>
      <c r="I1878">
        <v>148</v>
      </c>
      <c r="K1878" s="13">
        <v>45868</v>
      </c>
      <c r="L1878" t="s">
        <v>688</v>
      </c>
      <c r="M1878">
        <v>6.8</v>
      </c>
    </row>
    <row r="1879" spans="1:13" x14ac:dyDescent="0.25">
      <c r="A1879" t="s">
        <v>34</v>
      </c>
      <c r="D1879" t="s">
        <v>42</v>
      </c>
      <c r="E1879">
        <v>2016</v>
      </c>
      <c r="F1879">
        <v>3</v>
      </c>
      <c r="G1879">
        <v>16</v>
      </c>
      <c r="H1879">
        <v>4</v>
      </c>
      <c r="I1879">
        <v>148</v>
      </c>
      <c r="K1879" s="13">
        <v>45868</v>
      </c>
      <c r="L1879" t="s">
        <v>689</v>
      </c>
    </row>
    <row r="1880" spans="1:13" x14ac:dyDescent="0.25">
      <c r="A1880" t="s">
        <v>34</v>
      </c>
      <c r="D1880" t="s">
        <v>42</v>
      </c>
      <c r="E1880">
        <v>2016</v>
      </c>
      <c r="F1880">
        <v>3</v>
      </c>
      <c r="G1880">
        <v>16</v>
      </c>
      <c r="H1880">
        <v>4</v>
      </c>
      <c r="I1880">
        <v>148</v>
      </c>
      <c r="K1880" s="13">
        <v>45875</v>
      </c>
      <c r="L1880" t="s">
        <v>687</v>
      </c>
    </row>
    <row r="1881" spans="1:13" x14ac:dyDescent="0.25">
      <c r="A1881" t="s">
        <v>34</v>
      </c>
      <c r="D1881" t="s">
        <v>42</v>
      </c>
      <c r="E1881">
        <v>2016</v>
      </c>
      <c r="F1881">
        <v>3</v>
      </c>
      <c r="G1881">
        <v>16</v>
      </c>
      <c r="H1881">
        <v>4</v>
      </c>
      <c r="I1881">
        <v>148</v>
      </c>
      <c r="K1881" s="13">
        <v>45875</v>
      </c>
      <c r="L1881" t="s">
        <v>688</v>
      </c>
    </row>
    <row r="1882" spans="1:13" x14ac:dyDescent="0.25">
      <c r="A1882" t="s">
        <v>34</v>
      </c>
      <c r="D1882" t="s">
        <v>42</v>
      </c>
      <c r="E1882">
        <v>2016</v>
      </c>
      <c r="F1882">
        <v>3</v>
      </c>
      <c r="G1882">
        <v>16</v>
      </c>
      <c r="H1882">
        <v>4</v>
      </c>
      <c r="I1882">
        <v>148</v>
      </c>
      <c r="K1882" s="13">
        <v>45875</v>
      </c>
      <c r="L1882" t="s">
        <v>689</v>
      </c>
    </row>
    <row r="1883" spans="1:13" x14ac:dyDescent="0.25">
      <c r="A1883" t="s">
        <v>34</v>
      </c>
      <c r="D1883" t="s">
        <v>42</v>
      </c>
      <c r="E1883">
        <v>2016</v>
      </c>
      <c r="F1883">
        <v>3</v>
      </c>
      <c r="G1883">
        <v>16</v>
      </c>
      <c r="H1883">
        <v>4</v>
      </c>
      <c r="I1883">
        <v>148</v>
      </c>
      <c r="K1883" s="13">
        <v>45880</v>
      </c>
      <c r="L1883" t="s">
        <v>687</v>
      </c>
      <c r="M1883">
        <v>7.8</v>
      </c>
    </row>
    <row r="1884" spans="1:13" x14ac:dyDescent="0.25">
      <c r="A1884" t="s">
        <v>34</v>
      </c>
      <c r="D1884" t="s">
        <v>42</v>
      </c>
      <c r="E1884">
        <v>2016</v>
      </c>
      <c r="F1884">
        <v>3</v>
      </c>
      <c r="G1884">
        <v>16</v>
      </c>
      <c r="H1884">
        <v>4</v>
      </c>
      <c r="I1884">
        <v>148</v>
      </c>
      <c r="K1884" s="13">
        <v>45880</v>
      </c>
      <c r="L1884" t="s">
        <v>688</v>
      </c>
      <c r="M1884">
        <v>7.7</v>
      </c>
    </row>
    <row r="1885" spans="1:13" x14ac:dyDescent="0.25">
      <c r="A1885" t="s">
        <v>34</v>
      </c>
      <c r="D1885" t="s">
        <v>42</v>
      </c>
      <c r="E1885">
        <v>2016</v>
      </c>
      <c r="F1885">
        <v>3</v>
      </c>
      <c r="G1885">
        <v>16</v>
      </c>
      <c r="H1885">
        <v>4</v>
      </c>
      <c r="I1885">
        <v>148</v>
      </c>
      <c r="K1885" s="13">
        <v>45880</v>
      </c>
      <c r="L1885" t="s">
        <v>689</v>
      </c>
      <c r="M1885">
        <v>7.9</v>
      </c>
    </row>
    <row r="1886" spans="1:13" x14ac:dyDescent="0.25">
      <c r="A1886" t="s">
        <v>34</v>
      </c>
      <c r="D1886" t="s">
        <v>42</v>
      </c>
      <c r="E1886">
        <v>2016</v>
      </c>
      <c r="F1886">
        <v>3</v>
      </c>
      <c r="G1886">
        <v>16</v>
      </c>
      <c r="H1886">
        <v>4</v>
      </c>
      <c r="I1886">
        <v>148</v>
      </c>
      <c r="K1886" s="13">
        <v>45897</v>
      </c>
      <c r="L1886" t="s">
        <v>687</v>
      </c>
      <c r="M1886">
        <v>9.1</v>
      </c>
    </row>
    <row r="1887" spans="1:13" x14ac:dyDescent="0.25">
      <c r="A1887" t="s">
        <v>34</v>
      </c>
      <c r="D1887" t="s">
        <v>42</v>
      </c>
      <c r="E1887">
        <v>2016</v>
      </c>
      <c r="F1887">
        <v>3</v>
      </c>
      <c r="G1887">
        <v>16</v>
      </c>
      <c r="H1887">
        <v>4</v>
      </c>
      <c r="I1887">
        <v>148</v>
      </c>
      <c r="K1887" s="13">
        <v>45897</v>
      </c>
      <c r="L1887" t="s">
        <v>688</v>
      </c>
      <c r="M1887">
        <v>9.1999999999999993</v>
      </c>
    </row>
    <row r="1888" spans="1:13" x14ac:dyDescent="0.25">
      <c r="A1888" t="s">
        <v>34</v>
      </c>
      <c r="D1888" t="s">
        <v>42</v>
      </c>
      <c r="E1888">
        <v>2016</v>
      </c>
      <c r="F1888">
        <v>3</v>
      </c>
      <c r="G1888">
        <v>16</v>
      </c>
      <c r="H1888">
        <v>4</v>
      </c>
      <c r="I1888">
        <v>148</v>
      </c>
      <c r="K1888" s="13">
        <v>45897</v>
      </c>
      <c r="L1888" t="s">
        <v>689</v>
      </c>
      <c r="M1888">
        <v>9.1999999999999993</v>
      </c>
    </row>
    <row r="1889" spans="1:13" x14ac:dyDescent="0.25">
      <c r="A1889" t="s">
        <v>34</v>
      </c>
      <c r="D1889" t="s">
        <v>42</v>
      </c>
      <c r="E1889">
        <v>2016</v>
      </c>
      <c r="F1889">
        <v>3</v>
      </c>
      <c r="G1889">
        <v>16</v>
      </c>
      <c r="H1889">
        <v>4</v>
      </c>
      <c r="I1889">
        <v>148</v>
      </c>
      <c r="K1889" s="13">
        <v>45911</v>
      </c>
      <c r="L1889" t="s">
        <v>687</v>
      </c>
    </row>
    <row r="1890" spans="1:13" x14ac:dyDescent="0.25">
      <c r="A1890" t="s">
        <v>34</v>
      </c>
      <c r="D1890" t="s">
        <v>42</v>
      </c>
      <c r="E1890">
        <v>2016</v>
      </c>
      <c r="F1890">
        <v>3</v>
      </c>
      <c r="G1890">
        <v>16</v>
      </c>
      <c r="H1890">
        <v>4</v>
      </c>
      <c r="I1890">
        <v>148</v>
      </c>
      <c r="K1890" s="13">
        <v>45911</v>
      </c>
      <c r="L1890" t="s">
        <v>688</v>
      </c>
    </row>
    <row r="1891" spans="1:13" x14ac:dyDescent="0.25">
      <c r="A1891" t="s">
        <v>34</v>
      </c>
      <c r="D1891" t="s">
        <v>42</v>
      </c>
      <c r="E1891">
        <v>2016</v>
      </c>
      <c r="F1891">
        <v>3</v>
      </c>
      <c r="G1891">
        <v>16</v>
      </c>
      <c r="H1891">
        <v>4</v>
      </c>
      <c r="I1891">
        <v>148</v>
      </c>
      <c r="K1891" s="13">
        <v>45911</v>
      </c>
      <c r="L1891" t="s">
        <v>689</v>
      </c>
    </row>
    <row r="1892" spans="1:13" x14ac:dyDescent="0.25">
      <c r="A1892" t="s">
        <v>34</v>
      </c>
      <c r="D1892" t="s">
        <v>39</v>
      </c>
      <c r="E1892">
        <v>2001</v>
      </c>
      <c r="F1892">
        <v>4</v>
      </c>
      <c r="G1892">
        <v>16</v>
      </c>
      <c r="H1892">
        <v>4</v>
      </c>
      <c r="I1892">
        <v>164</v>
      </c>
      <c r="K1892" s="13">
        <v>45796</v>
      </c>
      <c r="L1892" t="s">
        <v>687</v>
      </c>
    </row>
    <row r="1893" spans="1:13" x14ac:dyDescent="0.25">
      <c r="A1893" t="s">
        <v>34</v>
      </c>
      <c r="D1893" t="s">
        <v>39</v>
      </c>
      <c r="E1893">
        <v>2001</v>
      </c>
      <c r="F1893">
        <v>4</v>
      </c>
      <c r="G1893">
        <v>16</v>
      </c>
      <c r="H1893">
        <v>4</v>
      </c>
      <c r="I1893">
        <v>164</v>
      </c>
      <c r="K1893" s="13">
        <v>45796</v>
      </c>
      <c r="L1893" t="s">
        <v>688</v>
      </c>
    </row>
    <row r="1894" spans="1:13" x14ac:dyDescent="0.25">
      <c r="A1894" t="s">
        <v>34</v>
      </c>
      <c r="D1894" t="s">
        <v>39</v>
      </c>
      <c r="E1894">
        <v>2001</v>
      </c>
      <c r="F1894">
        <v>4</v>
      </c>
      <c r="G1894">
        <v>16</v>
      </c>
      <c r="H1894">
        <v>4</v>
      </c>
      <c r="I1894">
        <v>164</v>
      </c>
      <c r="K1894" s="13">
        <v>45796</v>
      </c>
      <c r="L1894" t="s">
        <v>689</v>
      </c>
    </row>
    <row r="1895" spans="1:13" x14ac:dyDescent="0.25">
      <c r="A1895" t="s">
        <v>34</v>
      </c>
      <c r="D1895" t="s">
        <v>39</v>
      </c>
      <c r="E1895">
        <v>2001</v>
      </c>
      <c r="F1895">
        <v>4</v>
      </c>
      <c r="G1895">
        <v>16</v>
      </c>
      <c r="H1895">
        <v>4</v>
      </c>
      <c r="I1895">
        <v>164</v>
      </c>
      <c r="K1895" s="13">
        <v>45820</v>
      </c>
      <c r="L1895" t="s">
        <v>687</v>
      </c>
      <c r="M1895">
        <v>2.7</v>
      </c>
    </row>
    <row r="1896" spans="1:13" x14ac:dyDescent="0.25">
      <c r="A1896" t="s">
        <v>34</v>
      </c>
      <c r="D1896" t="s">
        <v>39</v>
      </c>
      <c r="E1896">
        <v>2001</v>
      </c>
      <c r="F1896">
        <v>4</v>
      </c>
      <c r="G1896">
        <v>16</v>
      </c>
      <c r="H1896">
        <v>4</v>
      </c>
      <c r="I1896">
        <v>164</v>
      </c>
      <c r="K1896" s="13">
        <v>45820</v>
      </c>
      <c r="L1896" t="s">
        <v>688</v>
      </c>
      <c r="M1896">
        <v>2.7</v>
      </c>
    </row>
    <row r="1897" spans="1:13" x14ac:dyDescent="0.25">
      <c r="A1897" t="s">
        <v>34</v>
      </c>
      <c r="D1897" t="s">
        <v>39</v>
      </c>
      <c r="E1897">
        <v>2001</v>
      </c>
      <c r="F1897">
        <v>4</v>
      </c>
      <c r="G1897">
        <v>16</v>
      </c>
      <c r="H1897">
        <v>4</v>
      </c>
      <c r="I1897">
        <v>164</v>
      </c>
      <c r="K1897" s="13">
        <v>45820</v>
      </c>
      <c r="L1897" t="s">
        <v>689</v>
      </c>
      <c r="M1897">
        <v>2.9</v>
      </c>
    </row>
    <row r="1898" spans="1:13" x14ac:dyDescent="0.25">
      <c r="A1898" t="s">
        <v>34</v>
      </c>
      <c r="D1898" t="s">
        <v>39</v>
      </c>
      <c r="E1898">
        <v>2001</v>
      </c>
      <c r="F1898">
        <v>4</v>
      </c>
      <c r="G1898">
        <v>16</v>
      </c>
      <c r="H1898">
        <v>4</v>
      </c>
      <c r="I1898">
        <v>164</v>
      </c>
      <c r="K1898" s="13">
        <v>45825</v>
      </c>
      <c r="L1898" t="s">
        <v>687</v>
      </c>
    </row>
    <row r="1899" spans="1:13" x14ac:dyDescent="0.25">
      <c r="A1899" t="s">
        <v>34</v>
      </c>
      <c r="D1899" t="s">
        <v>39</v>
      </c>
      <c r="E1899">
        <v>2001</v>
      </c>
      <c r="F1899">
        <v>4</v>
      </c>
      <c r="G1899">
        <v>16</v>
      </c>
      <c r="H1899">
        <v>4</v>
      </c>
      <c r="I1899">
        <v>164</v>
      </c>
      <c r="K1899" s="13">
        <v>45825</v>
      </c>
      <c r="L1899" t="s">
        <v>688</v>
      </c>
    </row>
    <row r="1900" spans="1:13" x14ac:dyDescent="0.25">
      <c r="A1900" t="s">
        <v>34</v>
      </c>
      <c r="D1900" t="s">
        <v>39</v>
      </c>
      <c r="E1900">
        <v>2001</v>
      </c>
      <c r="F1900">
        <v>4</v>
      </c>
      <c r="G1900">
        <v>16</v>
      </c>
      <c r="H1900">
        <v>4</v>
      </c>
      <c r="I1900">
        <v>164</v>
      </c>
      <c r="K1900" s="13">
        <v>45825</v>
      </c>
      <c r="L1900" t="s">
        <v>689</v>
      </c>
    </row>
    <row r="1901" spans="1:13" x14ac:dyDescent="0.25">
      <c r="A1901" t="s">
        <v>34</v>
      </c>
      <c r="D1901" t="s">
        <v>39</v>
      </c>
      <c r="E1901">
        <v>2001</v>
      </c>
      <c r="F1901">
        <v>4</v>
      </c>
      <c r="G1901">
        <v>16</v>
      </c>
      <c r="H1901">
        <v>4</v>
      </c>
      <c r="I1901">
        <v>164</v>
      </c>
      <c r="K1901" s="13">
        <v>45827</v>
      </c>
      <c r="L1901" t="s">
        <v>687</v>
      </c>
      <c r="M1901">
        <v>3.2</v>
      </c>
    </row>
    <row r="1902" spans="1:13" x14ac:dyDescent="0.25">
      <c r="A1902" t="s">
        <v>34</v>
      </c>
      <c r="D1902" t="s">
        <v>39</v>
      </c>
      <c r="E1902">
        <v>2001</v>
      </c>
      <c r="F1902">
        <v>4</v>
      </c>
      <c r="G1902">
        <v>16</v>
      </c>
      <c r="H1902">
        <v>4</v>
      </c>
      <c r="I1902">
        <v>164</v>
      </c>
      <c r="K1902" s="13">
        <v>45827</v>
      </c>
      <c r="L1902" t="s">
        <v>688</v>
      </c>
      <c r="M1902">
        <v>3.1</v>
      </c>
    </row>
    <row r="1903" spans="1:13" x14ac:dyDescent="0.25">
      <c r="A1903" t="s">
        <v>34</v>
      </c>
      <c r="D1903" t="s">
        <v>39</v>
      </c>
      <c r="E1903">
        <v>2001</v>
      </c>
      <c r="F1903">
        <v>4</v>
      </c>
      <c r="G1903">
        <v>16</v>
      </c>
      <c r="H1903">
        <v>4</v>
      </c>
      <c r="I1903">
        <v>164</v>
      </c>
      <c r="K1903" s="13">
        <v>45827</v>
      </c>
      <c r="L1903" t="s">
        <v>689</v>
      </c>
      <c r="M1903">
        <v>3.1</v>
      </c>
    </row>
    <row r="1904" spans="1:13" x14ac:dyDescent="0.25">
      <c r="A1904" t="s">
        <v>34</v>
      </c>
      <c r="D1904" t="s">
        <v>39</v>
      </c>
      <c r="E1904">
        <v>2001</v>
      </c>
      <c r="F1904">
        <v>4</v>
      </c>
      <c r="G1904">
        <v>16</v>
      </c>
      <c r="H1904">
        <v>4</v>
      </c>
      <c r="I1904">
        <v>164</v>
      </c>
      <c r="K1904" s="13">
        <v>45859</v>
      </c>
      <c r="L1904" t="s">
        <v>687</v>
      </c>
      <c r="M1904">
        <v>6.2</v>
      </c>
    </row>
    <row r="1905" spans="1:13" x14ac:dyDescent="0.25">
      <c r="A1905" t="s">
        <v>34</v>
      </c>
      <c r="D1905" t="s">
        <v>39</v>
      </c>
      <c r="E1905">
        <v>2001</v>
      </c>
      <c r="F1905">
        <v>4</v>
      </c>
      <c r="G1905">
        <v>16</v>
      </c>
      <c r="H1905">
        <v>4</v>
      </c>
      <c r="I1905">
        <v>164</v>
      </c>
      <c r="K1905" s="13">
        <v>45859</v>
      </c>
      <c r="L1905" t="s">
        <v>688</v>
      </c>
      <c r="M1905">
        <v>6.1</v>
      </c>
    </row>
    <row r="1906" spans="1:13" x14ac:dyDescent="0.25">
      <c r="A1906" t="s">
        <v>34</v>
      </c>
      <c r="D1906" t="s">
        <v>39</v>
      </c>
      <c r="E1906">
        <v>2001</v>
      </c>
      <c r="F1906">
        <v>4</v>
      </c>
      <c r="G1906">
        <v>16</v>
      </c>
      <c r="H1906">
        <v>4</v>
      </c>
      <c r="I1906">
        <v>164</v>
      </c>
      <c r="K1906" s="13">
        <v>45859</v>
      </c>
      <c r="L1906" t="s">
        <v>689</v>
      </c>
      <c r="M1906">
        <v>6.2</v>
      </c>
    </row>
    <row r="1907" spans="1:13" x14ac:dyDescent="0.25">
      <c r="A1907" t="s">
        <v>34</v>
      </c>
      <c r="D1907" t="s">
        <v>39</v>
      </c>
      <c r="E1907">
        <v>2001</v>
      </c>
      <c r="F1907">
        <v>4</v>
      </c>
      <c r="G1907">
        <v>16</v>
      </c>
      <c r="H1907">
        <v>4</v>
      </c>
      <c r="I1907">
        <v>164</v>
      </c>
      <c r="K1907" s="13">
        <v>45868</v>
      </c>
      <c r="L1907" t="s">
        <v>687</v>
      </c>
      <c r="M1907">
        <v>6.1</v>
      </c>
    </row>
    <row r="1908" spans="1:13" x14ac:dyDescent="0.25">
      <c r="A1908" t="s">
        <v>34</v>
      </c>
      <c r="D1908" t="s">
        <v>39</v>
      </c>
      <c r="E1908">
        <v>2001</v>
      </c>
      <c r="F1908">
        <v>4</v>
      </c>
      <c r="G1908">
        <v>16</v>
      </c>
      <c r="H1908">
        <v>4</v>
      </c>
      <c r="I1908">
        <v>164</v>
      </c>
      <c r="K1908" s="13">
        <v>45868</v>
      </c>
      <c r="L1908" t="s">
        <v>688</v>
      </c>
      <c r="M1908">
        <v>6.8</v>
      </c>
    </row>
    <row r="1909" spans="1:13" x14ac:dyDescent="0.25">
      <c r="A1909" t="s">
        <v>34</v>
      </c>
      <c r="D1909" t="s">
        <v>39</v>
      </c>
      <c r="E1909">
        <v>2001</v>
      </c>
      <c r="F1909">
        <v>4</v>
      </c>
      <c r="G1909">
        <v>16</v>
      </c>
      <c r="H1909">
        <v>4</v>
      </c>
      <c r="I1909">
        <v>164</v>
      </c>
      <c r="K1909" s="13">
        <v>45868</v>
      </c>
      <c r="L1909" t="s">
        <v>689</v>
      </c>
      <c r="M1909">
        <v>7.1</v>
      </c>
    </row>
    <row r="1910" spans="1:13" x14ac:dyDescent="0.25">
      <c r="A1910" t="s">
        <v>34</v>
      </c>
      <c r="D1910" t="s">
        <v>39</v>
      </c>
      <c r="E1910">
        <v>2001</v>
      </c>
      <c r="F1910">
        <v>4</v>
      </c>
      <c r="G1910">
        <v>16</v>
      </c>
      <c r="H1910">
        <v>4</v>
      </c>
      <c r="I1910">
        <v>164</v>
      </c>
      <c r="K1910" s="13">
        <v>45875</v>
      </c>
      <c r="L1910" t="s">
        <v>687</v>
      </c>
    </row>
    <row r="1911" spans="1:13" x14ac:dyDescent="0.25">
      <c r="A1911" t="s">
        <v>34</v>
      </c>
      <c r="D1911" t="s">
        <v>39</v>
      </c>
      <c r="E1911">
        <v>2001</v>
      </c>
      <c r="F1911">
        <v>4</v>
      </c>
      <c r="G1911">
        <v>16</v>
      </c>
      <c r="H1911">
        <v>4</v>
      </c>
      <c r="I1911">
        <v>164</v>
      </c>
      <c r="K1911" s="13">
        <v>45875</v>
      </c>
      <c r="L1911" t="s">
        <v>688</v>
      </c>
    </row>
    <row r="1912" spans="1:13" x14ac:dyDescent="0.25">
      <c r="A1912" t="s">
        <v>34</v>
      </c>
      <c r="D1912" t="s">
        <v>39</v>
      </c>
      <c r="E1912">
        <v>2001</v>
      </c>
      <c r="F1912">
        <v>4</v>
      </c>
      <c r="G1912">
        <v>16</v>
      </c>
      <c r="H1912">
        <v>4</v>
      </c>
      <c r="I1912">
        <v>164</v>
      </c>
      <c r="K1912" s="13">
        <v>45875</v>
      </c>
      <c r="L1912" t="s">
        <v>689</v>
      </c>
    </row>
    <row r="1913" spans="1:13" x14ac:dyDescent="0.25">
      <c r="A1913" t="s">
        <v>34</v>
      </c>
      <c r="D1913" t="s">
        <v>39</v>
      </c>
      <c r="E1913">
        <v>2001</v>
      </c>
      <c r="F1913">
        <v>4</v>
      </c>
      <c r="G1913">
        <v>16</v>
      </c>
      <c r="H1913">
        <v>4</v>
      </c>
      <c r="I1913">
        <v>164</v>
      </c>
      <c r="K1913" s="13">
        <v>45880</v>
      </c>
      <c r="L1913" t="s">
        <v>687</v>
      </c>
      <c r="M1913">
        <v>6.9</v>
      </c>
    </row>
    <row r="1914" spans="1:13" x14ac:dyDescent="0.25">
      <c r="A1914" t="s">
        <v>34</v>
      </c>
      <c r="D1914" t="s">
        <v>39</v>
      </c>
      <c r="E1914">
        <v>2001</v>
      </c>
      <c r="F1914">
        <v>4</v>
      </c>
      <c r="G1914">
        <v>16</v>
      </c>
      <c r="H1914">
        <v>4</v>
      </c>
      <c r="I1914">
        <v>164</v>
      </c>
      <c r="K1914" s="13">
        <v>45880</v>
      </c>
      <c r="L1914" t="s">
        <v>688</v>
      </c>
      <c r="M1914">
        <v>7.9</v>
      </c>
    </row>
    <row r="1915" spans="1:13" x14ac:dyDescent="0.25">
      <c r="A1915" t="s">
        <v>34</v>
      </c>
      <c r="D1915" t="s">
        <v>39</v>
      </c>
      <c r="E1915">
        <v>2001</v>
      </c>
      <c r="F1915">
        <v>4</v>
      </c>
      <c r="G1915">
        <v>16</v>
      </c>
      <c r="H1915">
        <v>4</v>
      </c>
      <c r="I1915">
        <v>164</v>
      </c>
      <c r="K1915" s="13">
        <v>45880</v>
      </c>
      <c r="L1915" t="s">
        <v>689</v>
      </c>
    </row>
    <row r="1916" spans="1:13" x14ac:dyDescent="0.25">
      <c r="A1916" t="s">
        <v>34</v>
      </c>
      <c r="D1916" t="s">
        <v>39</v>
      </c>
      <c r="E1916">
        <v>2001</v>
      </c>
      <c r="F1916">
        <v>4</v>
      </c>
      <c r="G1916">
        <v>16</v>
      </c>
      <c r="H1916">
        <v>4</v>
      </c>
      <c r="I1916">
        <v>164</v>
      </c>
      <c r="K1916" s="13">
        <v>45897</v>
      </c>
      <c r="L1916" t="s">
        <v>687</v>
      </c>
      <c r="M1916">
        <v>8.5</v>
      </c>
    </row>
    <row r="1917" spans="1:13" x14ac:dyDescent="0.25">
      <c r="A1917" t="s">
        <v>34</v>
      </c>
      <c r="D1917" t="s">
        <v>39</v>
      </c>
      <c r="E1917">
        <v>2001</v>
      </c>
      <c r="F1917">
        <v>4</v>
      </c>
      <c r="G1917">
        <v>16</v>
      </c>
      <c r="H1917">
        <v>4</v>
      </c>
      <c r="I1917">
        <v>164</v>
      </c>
      <c r="K1917" s="13">
        <v>45897</v>
      </c>
      <c r="L1917" t="s">
        <v>688</v>
      </c>
      <c r="M1917">
        <v>9.5</v>
      </c>
    </row>
    <row r="1918" spans="1:13" x14ac:dyDescent="0.25">
      <c r="A1918" t="s">
        <v>34</v>
      </c>
      <c r="D1918" t="s">
        <v>39</v>
      </c>
      <c r="E1918">
        <v>2001</v>
      </c>
      <c r="F1918">
        <v>4</v>
      </c>
      <c r="G1918">
        <v>16</v>
      </c>
      <c r="H1918">
        <v>4</v>
      </c>
      <c r="I1918">
        <v>164</v>
      </c>
      <c r="K1918" s="13">
        <v>45897</v>
      </c>
      <c r="L1918" t="s">
        <v>689</v>
      </c>
      <c r="M1918">
        <v>9.1</v>
      </c>
    </row>
    <row r="1919" spans="1:13" x14ac:dyDescent="0.25">
      <c r="A1919" t="s">
        <v>34</v>
      </c>
      <c r="D1919" t="s">
        <v>39</v>
      </c>
      <c r="E1919">
        <v>2001</v>
      </c>
      <c r="F1919">
        <v>4</v>
      </c>
      <c r="G1919">
        <v>16</v>
      </c>
      <c r="H1919">
        <v>4</v>
      </c>
      <c r="I1919">
        <v>164</v>
      </c>
      <c r="K1919" s="13">
        <v>45911</v>
      </c>
      <c r="L1919" t="s">
        <v>687</v>
      </c>
    </row>
    <row r="1920" spans="1:13" x14ac:dyDescent="0.25">
      <c r="A1920" t="s">
        <v>34</v>
      </c>
      <c r="D1920" t="s">
        <v>39</v>
      </c>
      <c r="E1920">
        <v>2001</v>
      </c>
      <c r="F1920">
        <v>4</v>
      </c>
      <c r="G1920">
        <v>16</v>
      </c>
      <c r="H1920">
        <v>4</v>
      </c>
      <c r="I1920">
        <v>164</v>
      </c>
      <c r="K1920" s="13">
        <v>45911</v>
      </c>
      <c r="L1920" t="s">
        <v>688</v>
      </c>
    </row>
    <row r="1921" spans="1:12" x14ac:dyDescent="0.25">
      <c r="A1921" t="s">
        <v>34</v>
      </c>
      <c r="D1921" t="s">
        <v>39</v>
      </c>
      <c r="E1921">
        <v>2001</v>
      </c>
      <c r="F1921">
        <v>4</v>
      </c>
      <c r="G1921">
        <v>16</v>
      </c>
      <c r="H1921">
        <v>4</v>
      </c>
      <c r="I1921">
        <v>164</v>
      </c>
      <c r="K1921" s="13">
        <v>45911</v>
      </c>
      <c r="L1921" t="s">
        <v>689</v>
      </c>
    </row>
    <row r="1922" spans="1:12" x14ac:dyDescent="0.25">
      <c r="A1922"/>
      <c r="D1922"/>
      <c r="F1922"/>
      <c r="G1922"/>
      <c r="H1922"/>
      <c r="I1922"/>
      <c r="K1922" s="84"/>
    </row>
    <row r="1923" spans="1:12" x14ac:dyDescent="0.25">
      <c r="A1923"/>
      <c r="D1923"/>
      <c r="F1923"/>
      <c r="G1923"/>
      <c r="H1923"/>
      <c r="I1923"/>
      <c r="K1923" s="84"/>
    </row>
    <row r="1924" spans="1:12" x14ac:dyDescent="0.25">
      <c r="A1924"/>
      <c r="D1924"/>
      <c r="F1924"/>
      <c r="G1924"/>
      <c r="H1924"/>
      <c r="I1924"/>
      <c r="K1924" s="84"/>
    </row>
    <row r="1925" spans="1:12" x14ac:dyDescent="0.25">
      <c r="A1925"/>
      <c r="D1925"/>
      <c r="F1925"/>
      <c r="G1925"/>
      <c r="H1925"/>
      <c r="I1925"/>
      <c r="K1925" s="84"/>
    </row>
    <row r="1926" spans="1:12" x14ac:dyDescent="0.25">
      <c r="A1926"/>
      <c r="D1926"/>
      <c r="F1926"/>
      <c r="G1926"/>
      <c r="H1926"/>
      <c r="I1926"/>
      <c r="K1926" s="84"/>
    </row>
    <row r="1927" spans="1:12" x14ac:dyDescent="0.25">
      <c r="A1927"/>
      <c r="D1927"/>
      <c r="F1927"/>
      <c r="G1927"/>
      <c r="H1927"/>
      <c r="I1927"/>
      <c r="K1927" s="84"/>
    </row>
    <row r="1928" spans="1:12" x14ac:dyDescent="0.25">
      <c r="A1928"/>
      <c r="D1928"/>
      <c r="F1928"/>
      <c r="G1928"/>
      <c r="H1928"/>
      <c r="I1928"/>
      <c r="K1928" s="84"/>
    </row>
    <row r="1929" spans="1:12" x14ac:dyDescent="0.25">
      <c r="A1929"/>
      <c r="D1929"/>
      <c r="F1929"/>
      <c r="G1929"/>
      <c r="H1929"/>
      <c r="I1929"/>
      <c r="K1929" s="84"/>
    </row>
    <row r="1930" spans="1:12" x14ac:dyDescent="0.25">
      <c r="A1930"/>
      <c r="D1930"/>
      <c r="F1930"/>
      <c r="G1930"/>
      <c r="H1930"/>
      <c r="I1930"/>
      <c r="K1930" s="84"/>
    </row>
    <row r="1931" spans="1:12" x14ac:dyDescent="0.25">
      <c r="A1931"/>
      <c r="D1931"/>
      <c r="F1931"/>
      <c r="G1931"/>
      <c r="H1931"/>
      <c r="I1931"/>
      <c r="K1931" s="84"/>
    </row>
    <row r="1932" spans="1:12" x14ac:dyDescent="0.25">
      <c r="A1932"/>
      <c r="D1932"/>
      <c r="F1932"/>
      <c r="G1932"/>
      <c r="H1932"/>
      <c r="I1932"/>
      <c r="K1932" s="84"/>
    </row>
    <row r="1933" spans="1:12" x14ac:dyDescent="0.25">
      <c r="A1933"/>
      <c r="D1933"/>
      <c r="F1933"/>
      <c r="G1933"/>
      <c r="H1933"/>
      <c r="I1933"/>
      <c r="K1933" s="84"/>
    </row>
    <row r="1934" spans="1:12" x14ac:dyDescent="0.25">
      <c r="A1934"/>
      <c r="D1934"/>
      <c r="F1934"/>
      <c r="G1934"/>
      <c r="H1934"/>
      <c r="I1934"/>
      <c r="K1934" s="84"/>
    </row>
    <row r="1935" spans="1:12" x14ac:dyDescent="0.25">
      <c r="A1935"/>
      <c r="D1935"/>
      <c r="F1935"/>
      <c r="G1935"/>
      <c r="H1935"/>
      <c r="I1935"/>
      <c r="K1935" s="84"/>
    </row>
    <row r="1936" spans="1:12" x14ac:dyDescent="0.25">
      <c r="A1936"/>
      <c r="D1936"/>
      <c r="F1936"/>
      <c r="G1936"/>
      <c r="H1936"/>
      <c r="I1936"/>
      <c r="K1936" s="84"/>
    </row>
    <row r="1937" spans="1:11" x14ac:dyDescent="0.25">
      <c r="A1937"/>
      <c r="D1937"/>
      <c r="F1937"/>
      <c r="G1937"/>
      <c r="H1937"/>
      <c r="I1937"/>
      <c r="K1937" s="84"/>
    </row>
    <row r="1938" spans="1:11" x14ac:dyDescent="0.25">
      <c r="A1938"/>
      <c r="D1938"/>
      <c r="F1938"/>
      <c r="G1938"/>
      <c r="H1938"/>
      <c r="I1938"/>
      <c r="K1938" s="84"/>
    </row>
    <row r="1939" spans="1:11" x14ac:dyDescent="0.25">
      <c r="A1939"/>
      <c r="D1939"/>
      <c r="F1939"/>
      <c r="G1939"/>
      <c r="H1939"/>
      <c r="I1939"/>
      <c r="K1939" s="84"/>
    </row>
    <row r="1940" spans="1:11" x14ac:dyDescent="0.25">
      <c r="A1940"/>
      <c r="D1940"/>
      <c r="F1940"/>
      <c r="G1940"/>
      <c r="H1940"/>
      <c r="I1940"/>
      <c r="K1940" s="84"/>
    </row>
    <row r="1941" spans="1:11" x14ac:dyDescent="0.25">
      <c r="A1941"/>
      <c r="D1941"/>
      <c r="F1941"/>
      <c r="G1941"/>
      <c r="H1941"/>
      <c r="I1941"/>
      <c r="K1941" s="84"/>
    </row>
    <row r="1942" spans="1:11" x14ac:dyDescent="0.25">
      <c r="A1942"/>
      <c r="D1942"/>
      <c r="F1942"/>
      <c r="G1942"/>
      <c r="H1942"/>
      <c r="I1942"/>
      <c r="K1942" s="84"/>
    </row>
    <row r="1943" spans="1:11" x14ac:dyDescent="0.25">
      <c r="A1943"/>
      <c r="D1943"/>
      <c r="F1943"/>
      <c r="G1943"/>
      <c r="H1943"/>
      <c r="I1943"/>
      <c r="K1943" s="84"/>
    </row>
    <row r="1944" spans="1:11" x14ac:dyDescent="0.25">
      <c r="A1944"/>
      <c r="D1944"/>
      <c r="F1944"/>
      <c r="G1944"/>
      <c r="H1944"/>
      <c r="I1944"/>
      <c r="K1944" s="84"/>
    </row>
    <row r="1945" spans="1:11" x14ac:dyDescent="0.25">
      <c r="A1945"/>
      <c r="D1945"/>
      <c r="F1945"/>
      <c r="G1945"/>
      <c r="H1945"/>
      <c r="I1945"/>
      <c r="K1945" s="84"/>
    </row>
    <row r="1946" spans="1:11" x14ac:dyDescent="0.25">
      <c r="A1946"/>
      <c r="D1946"/>
      <c r="F1946"/>
      <c r="G1946"/>
      <c r="H1946"/>
      <c r="I1946"/>
      <c r="K1946" s="84"/>
    </row>
    <row r="1947" spans="1:11" x14ac:dyDescent="0.25">
      <c r="A1947"/>
      <c r="D1947"/>
      <c r="F1947"/>
      <c r="G1947"/>
      <c r="H1947"/>
      <c r="I1947"/>
      <c r="K1947" s="84"/>
    </row>
    <row r="1948" spans="1:11" x14ac:dyDescent="0.25">
      <c r="A1948"/>
      <c r="D1948"/>
      <c r="F1948"/>
      <c r="G1948"/>
      <c r="H1948"/>
      <c r="I1948"/>
      <c r="K1948" s="84"/>
    </row>
    <row r="1949" spans="1:11" x14ac:dyDescent="0.25">
      <c r="A1949"/>
      <c r="D1949"/>
      <c r="F1949"/>
      <c r="G1949"/>
      <c r="H1949"/>
      <c r="I1949"/>
      <c r="K1949" s="84"/>
    </row>
    <row r="1950" spans="1:11" x14ac:dyDescent="0.25">
      <c r="A1950"/>
      <c r="D1950"/>
      <c r="F1950"/>
      <c r="G1950"/>
      <c r="H1950"/>
      <c r="I1950"/>
      <c r="K1950" s="84"/>
    </row>
    <row r="1951" spans="1:11" x14ac:dyDescent="0.25">
      <c r="A1951"/>
      <c r="D1951"/>
      <c r="F1951"/>
      <c r="G1951"/>
      <c r="H1951"/>
      <c r="I1951"/>
      <c r="K1951" s="84"/>
    </row>
    <row r="1952" spans="1:11" x14ac:dyDescent="0.25">
      <c r="A1952"/>
      <c r="D1952"/>
      <c r="F1952"/>
      <c r="G1952"/>
      <c r="H1952"/>
      <c r="I1952"/>
      <c r="K1952" s="84"/>
    </row>
    <row r="1953" spans="1:11" x14ac:dyDescent="0.25">
      <c r="A1953"/>
      <c r="D1953"/>
      <c r="F1953"/>
      <c r="G1953"/>
      <c r="H1953"/>
      <c r="I1953"/>
      <c r="K1953" s="84"/>
    </row>
    <row r="1954" spans="1:11" x14ac:dyDescent="0.25">
      <c r="A1954"/>
      <c r="D1954"/>
      <c r="F1954"/>
      <c r="G1954"/>
      <c r="H1954"/>
      <c r="I1954"/>
      <c r="K1954" s="84"/>
    </row>
    <row r="1955" spans="1:11" x14ac:dyDescent="0.25">
      <c r="A1955"/>
      <c r="D1955"/>
      <c r="F1955"/>
      <c r="G1955"/>
      <c r="H1955"/>
      <c r="I1955"/>
      <c r="K1955" s="84"/>
    </row>
    <row r="1956" spans="1:11" x14ac:dyDescent="0.25">
      <c r="A1956"/>
      <c r="D1956"/>
      <c r="F1956"/>
      <c r="G1956"/>
      <c r="H1956"/>
      <c r="I1956"/>
      <c r="K1956" s="84"/>
    </row>
    <row r="1957" spans="1:11" x14ac:dyDescent="0.25">
      <c r="A1957"/>
      <c r="D1957"/>
      <c r="F1957"/>
      <c r="G1957"/>
      <c r="H1957"/>
      <c r="I1957"/>
      <c r="K1957" s="84"/>
    </row>
    <row r="1958" spans="1:11" x14ac:dyDescent="0.25">
      <c r="A1958"/>
      <c r="D1958"/>
      <c r="F1958"/>
      <c r="G1958"/>
      <c r="H1958"/>
      <c r="I1958"/>
      <c r="K1958" s="84"/>
    </row>
    <row r="1959" spans="1:11" x14ac:dyDescent="0.25">
      <c r="A1959"/>
      <c r="D1959"/>
      <c r="F1959"/>
      <c r="G1959"/>
      <c r="H1959"/>
      <c r="I1959"/>
      <c r="K1959" s="84"/>
    </row>
    <row r="1960" spans="1:11" x14ac:dyDescent="0.25">
      <c r="A1960"/>
      <c r="D1960"/>
      <c r="F1960"/>
      <c r="G1960"/>
      <c r="H1960"/>
      <c r="I1960"/>
      <c r="K1960" s="84"/>
    </row>
    <row r="1961" spans="1:11" x14ac:dyDescent="0.25">
      <c r="A1961"/>
      <c r="D1961"/>
      <c r="F1961"/>
      <c r="G1961"/>
      <c r="H1961"/>
      <c r="I1961"/>
      <c r="K1961" s="84"/>
    </row>
    <row r="1962" spans="1:11" x14ac:dyDescent="0.25">
      <c r="A1962"/>
      <c r="D1962"/>
      <c r="F1962"/>
      <c r="G1962"/>
      <c r="H1962"/>
      <c r="I1962"/>
      <c r="K1962" s="84"/>
    </row>
    <row r="1963" spans="1:11" x14ac:dyDescent="0.25">
      <c r="A1963"/>
      <c r="D1963"/>
      <c r="F1963"/>
      <c r="G1963"/>
      <c r="H1963"/>
      <c r="I1963"/>
      <c r="K1963" s="84"/>
    </row>
    <row r="1964" spans="1:11" x14ac:dyDescent="0.25">
      <c r="A1964"/>
      <c r="D1964"/>
      <c r="F1964"/>
      <c r="G1964"/>
      <c r="H1964"/>
      <c r="I1964"/>
      <c r="K1964" s="84"/>
    </row>
    <row r="1965" spans="1:11" x14ac:dyDescent="0.25">
      <c r="A1965"/>
      <c r="D1965"/>
      <c r="F1965"/>
      <c r="G1965"/>
      <c r="H1965"/>
      <c r="I1965"/>
      <c r="K1965" s="84"/>
    </row>
    <row r="1966" spans="1:11" x14ac:dyDescent="0.25">
      <c r="A1966"/>
      <c r="D1966"/>
      <c r="F1966"/>
      <c r="G1966"/>
      <c r="H1966"/>
      <c r="I1966"/>
      <c r="K1966" s="84"/>
    </row>
    <row r="1967" spans="1:11" x14ac:dyDescent="0.25">
      <c r="A1967"/>
      <c r="D1967"/>
      <c r="F1967"/>
      <c r="G1967"/>
      <c r="H1967"/>
      <c r="I1967"/>
      <c r="K1967" s="84"/>
    </row>
    <row r="1968" spans="1:11" x14ac:dyDescent="0.25">
      <c r="A1968"/>
      <c r="D1968"/>
      <c r="F1968"/>
      <c r="G1968"/>
      <c r="H1968"/>
      <c r="I1968"/>
      <c r="K1968" s="84"/>
    </row>
    <row r="1969" spans="1:11" x14ac:dyDescent="0.25">
      <c r="A1969"/>
      <c r="D1969"/>
      <c r="F1969"/>
      <c r="G1969"/>
      <c r="H1969"/>
      <c r="I1969"/>
      <c r="K1969" s="84"/>
    </row>
    <row r="1970" spans="1:11" x14ac:dyDescent="0.25">
      <c r="A1970"/>
      <c r="D1970"/>
      <c r="F1970"/>
      <c r="G1970"/>
      <c r="H1970"/>
      <c r="I1970"/>
      <c r="K1970" s="84"/>
    </row>
    <row r="1971" spans="1:11" x14ac:dyDescent="0.25">
      <c r="A1971"/>
      <c r="D1971"/>
      <c r="F1971"/>
      <c r="G1971"/>
      <c r="H1971"/>
      <c r="I1971"/>
      <c r="K1971" s="84"/>
    </row>
    <row r="1972" spans="1:11" x14ac:dyDescent="0.25">
      <c r="A1972"/>
      <c r="D1972"/>
      <c r="F1972"/>
      <c r="G1972"/>
      <c r="H1972"/>
      <c r="I1972"/>
      <c r="K1972" s="84"/>
    </row>
    <row r="1973" spans="1:11" x14ac:dyDescent="0.25">
      <c r="A1973"/>
      <c r="D1973"/>
      <c r="F1973"/>
      <c r="G1973"/>
      <c r="H1973"/>
      <c r="I1973"/>
      <c r="K1973" s="84"/>
    </row>
    <row r="1974" spans="1:11" x14ac:dyDescent="0.25">
      <c r="A1974"/>
      <c r="D1974"/>
      <c r="F1974"/>
      <c r="G1974"/>
      <c r="H1974"/>
      <c r="I1974"/>
      <c r="K1974" s="84"/>
    </row>
    <row r="1975" spans="1:11" x14ac:dyDescent="0.25">
      <c r="A1975"/>
      <c r="D1975"/>
      <c r="F1975"/>
      <c r="G1975"/>
      <c r="H1975"/>
      <c r="I1975"/>
      <c r="K1975" s="84"/>
    </row>
    <row r="1976" spans="1:11" x14ac:dyDescent="0.25">
      <c r="A1976"/>
      <c r="D1976"/>
      <c r="F1976"/>
      <c r="G1976"/>
      <c r="H1976"/>
      <c r="I1976"/>
      <c r="K1976" s="84"/>
    </row>
    <row r="1977" spans="1:11" x14ac:dyDescent="0.25">
      <c r="A1977"/>
      <c r="D1977"/>
      <c r="F1977"/>
      <c r="G1977"/>
      <c r="H1977"/>
      <c r="I1977"/>
      <c r="K1977" s="84"/>
    </row>
    <row r="1978" spans="1:11" x14ac:dyDescent="0.25">
      <c r="A1978"/>
      <c r="D1978"/>
      <c r="F1978"/>
      <c r="G1978"/>
      <c r="H1978"/>
      <c r="I1978"/>
      <c r="K1978" s="84"/>
    </row>
    <row r="1979" spans="1:11" x14ac:dyDescent="0.25">
      <c r="A1979"/>
      <c r="D1979"/>
      <c r="F1979"/>
      <c r="G1979"/>
      <c r="H1979"/>
      <c r="I1979"/>
      <c r="K1979" s="84"/>
    </row>
    <row r="1980" spans="1:11" x14ac:dyDescent="0.25">
      <c r="A1980"/>
      <c r="D1980"/>
      <c r="F1980"/>
      <c r="G1980"/>
      <c r="H1980"/>
      <c r="I1980"/>
      <c r="K1980" s="84"/>
    </row>
    <row r="1981" spans="1:11" x14ac:dyDescent="0.25">
      <c r="A1981"/>
      <c r="D1981"/>
      <c r="F1981"/>
      <c r="G1981"/>
      <c r="H1981"/>
      <c r="I1981"/>
      <c r="K1981" s="84"/>
    </row>
    <row r="1982" spans="1:11" x14ac:dyDescent="0.25">
      <c r="A1982"/>
      <c r="D1982"/>
      <c r="F1982"/>
      <c r="G1982"/>
      <c r="H1982"/>
      <c r="I1982"/>
      <c r="K1982" s="84"/>
    </row>
    <row r="1983" spans="1:11" x14ac:dyDescent="0.25">
      <c r="A1983"/>
      <c r="D1983"/>
      <c r="F1983"/>
      <c r="G1983"/>
      <c r="H1983"/>
      <c r="I1983"/>
      <c r="K1983" s="84"/>
    </row>
    <row r="1984" spans="1:11" x14ac:dyDescent="0.25">
      <c r="A1984"/>
      <c r="D1984"/>
      <c r="F1984"/>
      <c r="G1984"/>
      <c r="H1984"/>
      <c r="I1984"/>
      <c r="K1984" s="84"/>
    </row>
    <row r="1985" spans="1:11" x14ac:dyDescent="0.25">
      <c r="A1985"/>
      <c r="D1985"/>
      <c r="F1985"/>
      <c r="G1985"/>
      <c r="H1985"/>
      <c r="I1985"/>
      <c r="K1985" s="84"/>
    </row>
    <row r="1986" spans="1:11" x14ac:dyDescent="0.25">
      <c r="A1986"/>
      <c r="D1986"/>
      <c r="F1986"/>
      <c r="G1986"/>
      <c r="H1986"/>
      <c r="I1986"/>
      <c r="K1986" s="84"/>
    </row>
    <row r="1987" spans="1:11" x14ac:dyDescent="0.25">
      <c r="A1987"/>
      <c r="D1987"/>
      <c r="F1987"/>
      <c r="G1987"/>
      <c r="H1987"/>
      <c r="I1987"/>
      <c r="K1987" s="84"/>
    </row>
    <row r="1988" spans="1:11" x14ac:dyDescent="0.25">
      <c r="A1988"/>
      <c r="D1988"/>
      <c r="F1988"/>
      <c r="G1988"/>
      <c r="H1988"/>
      <c r="I1988"/>
      <c r="K1988" s="84"/>
    </row>
    <row r="1989" spans="1:11" x14ac:dyDescent="0.25">
      <c r="A1989"/>
      <c r="D1989"/>
      <c r="F1989"/>
      <c r="G1989"/>
      <c r="H1989"/>
      <c r="I1989"/>
      <c r="K1989" s="84"/>
    </row>
    <row r="1990" spans="1:11" x14ac:dyDescent="0.25">
      <c r="A1990"/>
      <c r="D1990"/>
      <c r="F1990"/>
      <c r="G1990"/>
      <c r="H1990"/>
      <c r="I1990"/>
      <c r="K1990" s="84"/>
    </row>
    <row r="1991" spans="1:11" x14ac:dyDescent="0.25">
      <c r="A1991"/>
      <c r="D1991"/>
      <c r="F1991"/>
      <c r="G1991"/>
      <c r="H1991"/>
      <c r="I1991"/>
      <c r="K1991" s="84"/>
    </row>
    <row r="1992" spans="1:11" x14ac:dyDescent="0.25">
      <c r="A1992"/>
      <c r="D1992"/>
      <c r="F1992"/>
      <c r="G1992"/>
      <c r="H1992"/>
      <c r="I1992"/>
      <c r="K1992" s="84"/>
    </row>
    <row r="1993" spans="1:11" x14ac:dyDescent="0.25">
      <c r="A1993"/>
      <c r="D1993"/>
      <c r="F1993"/>
      <c r="G1993"/>
      <c r="H1993"/>
      <c r="I1993"/>
      <c r="K1993" s="84"/>
    </row>
    <row r="1994" spans="1:11" x14ac:dyDescent="0.25">
      <c r="A1994"/>
      <c r="D1994"/>
      <c r="F1994"/>
      <c r="G1994"/>
      <c r="H1994"/>
      <c r="I1994"/>
      <c r="K1994" s="84"/>
    </row>
    <row r="1995" spans="1:11" x14ac:dyDescent="0.25">
      <c r="A1995"/>
      <c r="D1995"/>
      <c r="F1995"/>
      <c r="G1995"/>
      <c r="H1995"/>
      <c r="I1995"/>
      <c r="K1995" s="84"/>
    </row>
    <row r="1996" spans="1:11" x14ac:dyDescent="0.25">
      <c r="A1996"/>
      <c r="D1996"/>
      <c r="F1996"/>
      <c r="G1996"/>
      <c r="H1996"/>
      <c r="I1996"/>
      <c r="K1996" s="84"/>
    </row>
    <row r="1997" spans="1:11" x14ac:dyDescent="0.25">
      <c r="A1997"/>
      <c r="D1997"/>
      <c r="F1997"/>
      <c r="G1997"/>
      <c r="H1997"/>
      <c r="I1997"/>
      <c r="K1997" s="84"/>
    </row>
    <row r="1998" spans="1:11" x14ac:dyDescent="0.25">
      <c r="A1998"/>
      <c r="D1998"/>
      <c r="F1998"/>
      <c r="G1998"/>
      <c r="H1998"/>
      <c r="I1998"/>
      <c r="K1998" s="84"/>
    </row>
    <row r="1999" spans="1:11" x14ac:dyDescent="0.25">
      <c r="A1999"/>
      <c r="D1999"/>
      <c r="F1999"/>
      <c r="G1999"/>
      <c r="H1999"/>
      <c r="I1999"/>
      <c r="K1999" s="84"/>
    </row>
    <row r="2000" spans="1:11" x14ac:dyDescent="0.25">
      <c r="A2000"/>
      <c r="D2000"/>
      <c r="F2000"/>
      <c r="G2000"/>
      <c r="H2000"/>
      <c r="I2000"/>
      <c r="K2000" s="84"/>
    </row>
    <row r="2001" spans="1:11" x14ac:dyDescent="0.25">
      <c r="A2001"/>
      <c r="D2001"/>
      <c r="F2001"/>
      <c r="G2001"/>
      <c r="H2001"/>
      <c r="I2001"/>
      <c r="K2001" s="84"/>
    </row>
    <row r="2002" spans="1:11" x14ac:dyDescent="0.25">
      <c r="A2002"/>
      <c r="D2002"/>
      <c r="F2002"/>
      <c r="G2002"/>
      <c r="H2002"/>
      <c r="I2002"/>
      <c r="K2002" s="84"/>
    </row>
    <row r="2003" spans="1:11" x14ac:dyDescent="0.25">
      <c r="A2003"/>
      <c r="D2003"/>
      <c r="F2003"/>
      <c r="G2003"/>
      <c r="H2003"/>
      <c r="I2003"/>
      <c r="K2003" s="84"/>
    </row>
    <row r="2004" spans="1:11" x14ac:dyDescent="0.25">
      <c r="A2004"/>
      <c r="D2004"/>
      <c r="F2004"/>
      <c r="G2004"/>
      <c r="H2004"/>
      <c r="I2004"/>
      <c r="K2004" s="84"/>
    </row>
    <row r="2005" spans="1:11" x14ac:dyDescent="0.25">
      <c r="A2005"/>
      <c r="D2005"/>
      <c r="F2005"/>
      <c r="G2005"/>
      <c r="H2005"/>
      <c r="I2005"/>
      <c r="K2005" s="84"/>
    </row>
    <row r="2006" spans="1:11" x14ac:dyDescent="0.25">
      <c r="A2006"/>
      <c r="D2006"/>
      <c r="F2006"/>
      <c r="G2006"/>
      <c r="H2006"/>
      <c r="I2006"/>
      <c r="K2006" s="84"/>
    </row>
    <row r="2007" spans="1:11" x14ac:dyDescent="0.25">
      <c r="A2007"/>
      <c r="D2007"/>
      <c r="F2007"/>
      <c r="G2007"/>
      <c r="H2007"/>
      <c r="I2007"/>
      <c r="K2007" s="84"/>
    </row>
    <row r="2008" spans="1:11" x14ac:dyDescent="0.25">
      <c r="A2008"/>
      <c r="D2008"/>
      <c r="F2008"/>
      <c r="G2008"/>
      <c r="H2008"/>
      <c r="I2008"/>
      <c r="K2008" s="84"/>
    </row>
    <row r="2009" spans="1:11" x14ac:dyDescent="0.25">
      <c r="A2009"/>
      <c r="D2009"/>
      <c r="F2009"/>
      <c r="G2009"/>
      <c r="H2009"/>
      <c r="I2009"/>
      <c r="K2009" s="84"/>
    </row>
    <row r="2010" spans="1:11" x14ac:dyDescent="0.25">
      <c r="A2010"/>
      <c r="D2010"/>
      <c r="F2010"/>
      <c r="G2010"/>
      <c r="H2010"/>
      <c r="I2010"/>
      <c r="K2010" s="84"/>
    </row>
    <row r="2011" spans="1:11" x14ac:dyDescent="0.25">
      <c r="A2011"/>
      <c r="D2011"/>
      <c r="F2011"/>
      <c r="G2011"/>
      <c r="H2011"/>
      <c r="I2011"/>
      <c r="K2011" s="84"/>
    </row>
    <row r="2012" spans="1:11" x14ac:dyDescent="0.25">
      <c r="A2012"/>
      <c r="D2012"/>
      <c r="F2012"/>
      <c r="G2012"/>
      <c r="H2012"/>
      <c r="I2012"/>
      <c r="K2012" s="84"/>
    </row>
    <row r="2013" spans="1:11" x14ac:dyDescent="0.25">
      <c r="A2013"/>
      <c r="D2013"/>
      <c r="F2013"/>
      <c r="G2013"/>
      <c r="H2013"/>
      <c r="I2013"/>
      <c r="K2013" s="84"/>
    </row>
    <row r="2014" spans="1:11" x14ac:dyDescent="0.25">
      <c r="A2014"/>
      <c r="D2014"/>
      <c r="F2014"/>
      <c r="G2014"/>
      <c r="H2014"/>
      <c r="I2014"/>
      <c r="K2014" s="84"/>
    </row>
    <row r="2015" spans="1:11" x14ac:dyDescent="0.25">
      <c r="A2015"/>
      <c r="D2015"/>
      <c r="F2015"/>
      <c r="G2015"/>
      <c r="H2015"/>
      <c r="I2015"/>
      <c r="K2015" s="84"/>
    </row>
    <row r="2016" spans="1:11" x14ac:dyDescent="0.25">
      <c r="A2016"/>
      <c r="D2016"/>
      <c r="F2016"/>
      <c r="G2016"/>
      <c r="H2016"/>
      <c r="I2016"/>
      <c r="K2016" s="84"/>
    </row>
    <row r="2017" spans="1:11" x14ac:dyDescent="0.25">
      <c r="A2017"/>
      <c r="D2017"/>
      <c r="F2017"/>
      <c r="G2017"/>
      <c r="H2017"/>
      <c r="I2017"/>
      <c r="K2017" s="84"/>
    </row>
    <row r="2018" spans="1:11" x14ac:dyDescent="0.25">
      <c r="A2018"/>
      <c r="D2018"/>
      <c r="F2018"/>
      <c r="G2018"/>
      <c r="H2018"/>
      <c r="I2018"/>
      <c r="K2018" s="84"/>
    </row>
    <row r="2019" spans="1:11" x14ac:dyDescent="0.25">
      <c r="A2019"/>
      <c r="D2019"/>
      <c r="F2019"/>
      <c r="G2019"/>
      <c r="H2019"/>
      <c r="I2019"/>
      <c r="K2019" s="84"/>
    </row>
    <row r="2020" spans="1:11" x14ac:dyDescent="0.25">
      <c r="A2020"/>
      <c r="D2020"/>
      <c r="F2020"/>
      <c r="G2020"/>
      <c r="H2020"/>
      <c r="I2020"/>
      <c r="K2020" s="84"/>
    </row>
    <row r="2021" spans="1:11" x14ac:dyDescent="0.25">
      <c r="A2021"/>
      <c r="D2021"/>
      <c r="F2021"/>
      <c r="G2021"/>
      <c r="H2021"/>
      <c r="I2021"/>
      <c r="K2021" s="84"/>
    </row>
    <row r="2022" spans="1:11" x14ac:dyDescent="0.25">
      <c r="A2022"/>
      <c r="D2022"/>
      <c r="F2022"/>
      <c r="G2022"/>
      <c r="H2022"/>
      <c r="I2022"/>
      <c r="K2022" s="84"/>
    </row>
    <row r="2023" spans="1:11" x14ac:dyDescent="0.25">
      <c r="A2023"/>
      <c r="D2023"/>
      <c r="F2023"/>
      <c r="G2023"/>
      <c r="H2023"/>
      <c r="I2023"/>
      <c r="K2023" s="84"/>
    </row>
    <row r="2024" spans="1:11" x14ac:dyDescent="0.25">
      <c r="A2024"/>
      <c r="D2024"/>
      <c r="F2024"/>
      <c r="G2024"/>
      <c r="H2024"/>
      <c r="I2024"/>
      <c r="K2024" s="84"/>
    </row>
    <row r="2025" spans="1:11" x14ac:dyDescent="0.25">
      <c r="A2025"/>
      <c r="D2025"/>
      <c r="F2025"/>
      <c r="G2025"/>
      <c r="H2025"/>
      <c r="I2025"/>
      <c r="K2025" s="84"/>
    </row>
    <row r="2026" spans="1:11" x14ac:dyDescent="0.25">
      <c r="A2026"/>
      <c r="D2026"/>
      <c r="F2026"/>
      <c r="G2026"/>
      <c r="H2026"/>
      <c r="I2026"/>
      <c r="K2026" s="84"/>
    </row>
    <row r="2027" spans="1:11" x14ac:dyDescent="0.25">
      <c r="A2027"/>
      <c r="D2027"/>
      <c r="F2027"/>
      <c r="G2027"/>
      <c r="H2027"/>
      <c r="I2027"/>
      <c r="K2027" s="84"/>
    </row>
    <row r="2028" spans="1:11" x14ac:dyDescent="0.25">
      <c r="A2028"/>
      <c r="D2028"/>
      <c r="F2028"/>
      <c r="G2028"/>
      <c r="H2028"/>
      <c r="I2028"/>
      <c r="K2028" s="84"/>
    </row>
    <row r="2029" spans="1:11" x14ac:dyDescent="0.25">
      <c r="A2029"/>
      <c r="D2029"/>
      <c r="F2029"/>
      <c r="G2029"/>
      <c r="H2029"/>
      <c r="I2029"/>
      <c r="K2029" s="84"/>
    </row>
    <row r="2030" spans="1:11" x14ac:dyDescent="0.25">
      <c r="A2030"/>
      <c r="D2030"/>
      <c r="F2030"/>
      <c r="G2030"/>
      <c r="H2030"/>
      <c r="I2030"/>
      <c r="K2030" s="84"/>
    </row>
    <row r="2031" spans="1:11" x14ac:dyDescent="0.25">
      <c r="A2031"/>
      <c r="D2031"/>
      <c r="F2031"/>
      <c r="G2031"/>
      <c r="H2031"/>
      <c r="I2031"/>
      <c r="K2031" s="84"/>
    </row>
    <row r="2032" spans="1:11" x14ac:dyDescent="0.25">
      <c r="A2032"/>
      <c r="D2032"/>
      <c r="F2032"/>
      <c r="G2032"/>
      <c r="H2032"/>
      <c r="I2032"/>
      <c r="K2032" s="84"/>
    </row>
    <row r="2033" spans="1:11" x14ac:dyDescent="0.25">
      <c r="A2033"/>
      <c r="D2033"/>
      <c r="F2033"/>
      <c r="G2033"/>
      <c r="H2033"/>
      <c r="I2033"/>
      <c r="K2033" s="84"/>
    </row>
    <row r="2034" spans="1:11" x14ac:dyDescent="0.25">
      <c r="A2034"/>
      <c r="D2034"/>
      <c r="F2034"/>
      <c r="G2034"/>
      <c r="H2034"/>
      <c r="I2034"/>
      <c r="K2034" s="84"/>
    </row>
    <row r="2035" spans="1:11" x14ac:dyDescent="0.25">
      <c r="A2035"/>
      <c r="D2035"/>
      <c r="F2035"/>
      <c r="G2035"/>
      <c r="H2035"/>
      <c r="I2035"/>
      <c r="K2035" s="84"/>
    </row>
    <row r="2036" spans="1:11" x14ac:dyDescent="0.25">
      <c r="A2036"/>
      <c r="D2036"/>
      <c r="F2036"/>
      <c r="G2036"/>
      <c r="H2036"/>
      <c r="I2036"/>
      <c r="K2036" s="84"/>
    </row>
    <row r="2037" spans="1:11" x14ac:dyDescent="0.25">
      <c r="A2037"/>
      <c r="D2037"/>
      <c r="F2037"/>
      <c r="G2037"/>
      <c r="H2037"/>
      <c r="I2037"/>
      <c r="K2037" s="84"/>
    </row>
    <row r="2038" spans="1:11" x14ac:dyDescent="0.25">
      <c r="A2038"/>
      <c r="D2038"/>
      <c r="F2038"/>
      <c r="G2038"/>
      <c r="H2038"/>
      <c r="I2038"/>
      <c r="K2038" s="84"/>
    </row>
    <row r="2039" spans="1:11" x14ac:dyDescent="0.25">
      <c r="A2039"/>
      <c r="D2039"/>
      <c r="F2039"/>
      <c r="G2039"/>
      <c r="H2039"/>
      <c r="I2039"/>
      <c r="K2039" s="84"/>
    </row>
    <row r="2040" spans="1:11" x14ac:dyDescent="0.25">
      <c r="A2040"/>
      <c r="D2040"/>
      <c r="F2040"/>
      <c r="G2040"/>
      <c r="H2040"/>
      <c r="I2040"/>
      <c r="K2040" s="84"/>
    </row>
    <row r="2041" spans="1:11" x14ac:dyDescent="0.25">
      <c r="A2041"/>
      <c r="D2041"/>
      <c r="F2041"/>
      <c r="G2041"/>
      <c r="H2041"/>
      <c r="I2041"/>
      <c r="K2041" s="84"/>
    </row>
    <row r="2042" spans="1:11" x14ac:dyDescent="0.25">
      <c r="A2042"/>
      <c r="D2042"/>
      <c r="F2042"/>
      <c r="G2042"/>
      <c r="H2042"/>
      <c r="I2042"/>
      <c r="K2042" s="84"/>
    </row>
    <row r="2043" spans="1:11" x14ac:dyDescent="0.25">
      <c r="A2043"/>
      <c r="D2043"/>
      <c r="F2043"/>
      <c r="G2043"/>
      <c r="H2043"/>
      <c r="I2043"/>
      <c r="K2043" s="84"/>
    </row>
    <row r="2044" spans="1:11" x14ac:dyDescent="0.25">
      <c r="A2044"/>
      <c r="D2044"/>
      <c r="F2044"/>
      <c r="G2044"/>
      <c r="H2044"/>
      <c r="I2044"/>
      <c r="K2044" s="84"/>
    </row>
    <row r="2045" spans="1:11" x14ac:dyDescent="0.25">
      <c r="A2045"/>
      <c r="D2045"/>
      <c r="F2045"/>
      <c r="G2045"/>
      <c r="H2045"/>
      <c r="I2045"/>
      <c r="K2045" s="84"/>
    </row>
    <row r="2046" spans="1:11" x14ac:dyDescent="0.25">
      <c r="A2046"/>
      <c r="D2046"/>
      <c r="F2046"/>
      <c r="G2046"/>
      <c r="H2046"/>
      <c r="I2046"/>
      <c r="K2046" s="84"/>
    </row>
    <row r="2047" spans="1:11" x14ac:dyDescent="0.25">
      <c r="A2047"/>
      <c r="D2047"/>
      <c r="F2047"/>
      <c r="G2047"/>
      <c r="H2047"/>
      <c r="I2047"/>
      <c r="K2047" s="84"/>
    </row>
    <row r="2048" spans="1:11" x14ac:dyDescent="0.25">
      <c r="A2048"/>
      <c r="D2048"/>
      <c r="F2048"/>
      <c r="G2048"/>
      <c r="H2048"/>
      <c r="I2048"/>
      <c r="K2048" s="84"/>
    </row>
    <row r="2049" spans="1:11" x14ac:dyDescent="0.25">
      <c r="A2049"/>
      <c r="D2049"/>
      <c r="F2049"/>
      <c r="G2049"/>
      <c r="H2049"/>
      <c r="I2049"/>
      <c r="K2049" s="84"/>
    </row>
    <row r="2050" spans="1:11" x14ac:dyDescent="0.25">
      <c r="A2050"/>
      <c r="D2050"/>
      <c r="F2050"/>
      <c r="G2050"/>
      <c r="H2050"/>
      <c r="I2050"/>
      <c r="K2050" s="84"/>
    </row>
    <row r="2051" spans="1:11" x14ac:dyDescent="0.25">
      <c r="A2051"/>
      <c r="D2051"/>
      <c r="F2051"/>
      <c r="G2051"/>
      <c r="H2051"/>
      <c r="I2051"/>
      <c r="K2051" s="84"/>
    </row>
    <row r="2052" spans="1:11" x14ac:dyDescent="0.25">
      <c r="A2052"/>
      <c r="D2052"/>
      <c r="F2052"/>
      <c r="G2052"/>
      <c r="H2052"/>
      <c r="I2052"/>
      <c r="K2052" s="84"/>
    </row>
    <row r="2053" spans="1:11" x14ac:dyDescent="0.25">
      <c r="A2053"/>
      <c r="D2053"/>
      <c r="F2053"/>
      <c r="G2053"/>
      <c r="H2053"/>
      <c r="I2053"/>
      <c r="K2053" s="84"/>
    </row>
    <row r="2054" spans="1:11" x14ac:dyDescent="0.25">
      <c r="A2054"/>
      <c r="D2054"/>
      <c r="F2054"/>
      <c r="G2054"/>
      <c r="H2054"/>
      <c r="I2054"/>
      <c r="K2054" s="84"/>
    </row>
    <row r="2055" spans="1:11" x14ac:dyDescent="0.25">
      <c r="A2055"/>
      <c r="D2055"/>
      <c r="F2055"/>
      <c r="G2055"/>
      <c r="H2055"/>
      <c r="I2055"/>
      <c r="K2055" s="84"/>
    </row>
    <row r="2056" spans="1:11" x14ac:dyDescent="0.25">
      <c r="A2056"/>
      <c r="D2056"/>
      <c r="F2056"/>
      <c r="G2056"/>
      <c r="H2056"/>
      <c r="I2056"/>
      <c r="K2056" s="84"/>
    </row>
    <row r="2057" spans="1:11" x14ac:dyDescent="0.25">
      <c r="A2057"/>
      <c r="D2057"/>
      <c r="F2057"/>
      <c r="G2057"/>
      <c r="H2057"/>
      <c r="I2057"/>
      <c r="K2057" s="84"/>
    </row>
    <row r="2058" spans="1:11" x14ac:dyDescent="0.25">
      <c r="A2058"/>
      <c r="D2058"/>
      <c r="F2058"/>
      <c r="G2058"/>
      <c r="H2058"/>
      <c r="I2058"/>
      <c r="K2058" s="84"/>
    </row>
    <row r="2059" spans="1:11" x14ac:dyDescent="0.25">
      <c r="A2059"/>
      <c r="D2059"/>
      <c r="F2059"/>
      <c r="G2059"/>
      <c r="H2059"/>
      <c r="I2059"/>
      <c r="K2059" s="84"/>
    </row>
    <row r="2060" spans="1:11" x14ac:dyDescent="0.25">
      <c r="A2060"/>
      <c r="D2060"/>
      <c r="F2060"/>
      <c r="G2060"/>
      <c r="H2060"/>
      <c r="I2060"/>
      <c r="K2060" s="84"/>
    </row>
    <row r="2061" spans="1:11" x14ac:dyDescent="0.25">
      <c r="A2061"/>
      <c r="D2061"/>
      <c r="F2061"/>
      <c r="G2061"/>
      <c r="H2061"/>
      <c r="I2061"/>
      <c r="K2061" s="84"/>
    </row>
    <row r="2062" spans="1:11" x14ac:dyDescent="0.25">
      <c r="A2062"/>
      <c r="D2062"/>
      <c r="F2062"/>
      <c r="G2062"/>
      <c r="H2062"/>
      <c r="I2062"/>
      <c r="K2062" s="84"/>
    </row>
    <row r="2063" spans="1:11" x14ac:dyDescent="0.25">
      <c r="A2063"/>
      <c r="D2063"/>
      <c r="F2063"/>
      <c r="G2063"/>
      <c r="H2063"/>
      <c r="I2063"/>
      <c r="K2063" s="84"/>
    </row>
    <row r="2064" spans="1:11" x14ac:dyDescent="0.25">
      <c r="A2064"/>
      <c r="D2064"/>
      <c r="F2064"/>
      <c r="G2064"/>
      <c r="H2064"/>
      <c r="I2064"/>
      <c r="K2064" s="84"/>
    </row>
    <row r="2065" spans="1:11" x14ac:dyDescent="0.25">
      <c r="A2065"/>
      <c r="D2065"/>
      <c r="F2065"/>
      <c r="G2065"/>
      <c r="H2065"/>
      <c r="I2065"/>
      <c r="K2065" s="84"/>
    </row>
    <row r="2066" spans="1:11" x14ac:dyDescent="0.25">
      <c r="A2066"/>
      <c r="D2066"/>
      <c r="F2066"/>
      <c r="G2066"/>
      <c r="H2066"/>
      <c r="I2066"/>
      <c r="K2066" s="84"/>
    </row>
    <row r="2067" spans="1:11" x14ac:dyDescent="0.25">
      <c r="A2067"/>
      <c r="D2067"/>
      <c r="F2067"/>
      <c r="G2067"/>
      <c r="H2067"/>
      <c r="I2067"/>
      <c r="K2067" s="84"/>
    </row>
    <row r="2068" spans="1:11" x14ac:dyDescent="0.25">
      <c r="A2068"/>
      <c r="D2068"/>
      <c r="F2068"/>
      <c r="G2068"/>
      <c r="H2068"/>
      <c r="I2068"/>
      <c r="K2068" s="84"/>
    </row>
    <row r="2069" spans="1:11" x14ac:dyDescent="0.25">
      <c r="A2069"/>
      <c r="D2069"/>
      <c r="F2069"/>
      <c r="G2069"/>
      <c r="H2069"/>
      <c r="I2069"/>
      <c r="K2069" s="84"/>
    </row>
    <row r="2070" spans="1:11" x14ac:dyDescent="0.25">
      <c r="A2070"/>
      <c r="D2070"/>
      <c r="F2070"/>
      <c r="G2070"/>
      <c r="H2070"/>
      <c r="I2070"/>
      <c r="K2070" s="84"/>
    </row>
    <row r="2071" spans="1:11" x14ac:dyDescent="0.25">
      <c r="A2071"/>
      <c r="D2071"/>
      <c r="F2071"/>
      <c r="G2071"/>
      <c r="H2071"/>
      <c r="I2071"/>
      <c r="K2071" s="84"/>
    </row>
    <row r="2072" spans="1:11" x14ac:dyDescent="0.25">
      <c r="A2072"/>
      <c r="D2072"/>
      <c r="F2072"/>
      <c r="G2072"/>
      <c r="H2072"/>
      <c r="I2072"/>
      <c r="K2072" s="84"/>
    </row>
    <row r="2073" spans="1:11" x14ac:dyDescent="0.25">
      <c r="A2073"/>
      <c r="D2073"/>
      <c r="F2073"/>
      <c r="G2073"/>
      <c r="H2073"/>
      <c r="I2073"/>
      <c r="K2073" s="84"/>
    </row>
    <row r="2074" spans="1:11" x14ac:dyDescent="0.25">
      <c r="A2074"/>
      <c r="D2074"/>
      <c r="F2074"/>
      <c r="G2074"/>
      <c r="H2074"/>
      <c r="I2074"/>
      <c r="K2074" s="84"/>
    </row>
    <row r="2075" spans="1:11" x14ac:dyDescent="0.25">
      <c r="A2075"/>
      <c r="D2075"/>
      <c r="F2075"/>
      <c r="G2075"/>
      <c r="H2075"/>
      <c r="I2075"/>
      <c r="K2075" s="84"/>
    </row>
    <row r="2076" spans="1:11" x14ac:dyDescent="0.25">
      <c r="A2076"/>
      <c r="D2076"/>
      <c r="F2076"/>
      <c r="G2076"/>
      <c r="H2076"/>
      <c r="I2076"/>
      <c r="K2076" s="84"/>
    </row>
    <row r="2077" spans="1:11" x14ac:dyDescent="0.25">
      <c r="A2077"/>
      <c r="D2077"/>
      <c r="F2077"/>
      <c r="G2077"/>
      <c r="H2077"/>
      <c r="I2077"/>
      <c r="K2077" s="84"/>
    </row>
    <row r="2078" spans="1:11" x14ac:dyDescent="0.25">
      <c r="A2078"/>
      <c r="D2078"/>
      <c r="F2078"/>
      <c r="G2078"/>
      <c r="H2078"/>
      <c r="I2078"/>
      <c r="K2078" s="84"/>
    </row>
    <row r="2079" spans="1:11" x14ac:dyDescent="0.25">
      <c r="A2079"/>
      <c r="D2079"/>
      <c r="F2079"/>
      <c r="G2079"/>
      <c r="H2079"/>
      <c r="I2079"/>
      <c r="K2079" s="84"/>
    </row>
    <row r="2080" spans="1:11" x14ac:dyDescent="0.25">
      <c r="A2080"/>
      <c r="D2080"/>
      <c r="F2080"/>
      <c r="G2080"/>
      <c r="H2080"/>
      <c r="I2080"/>
      <c r="K2080" s="84"/>
    </row>
    <row r="2081" spans="1:11" x14ac:dyDescent="0.25">
      <c r="A2081"/>
      <c r="D2081"/>
      <c r="F2081"/>
      <c r="G2081"/>
      <c r="H2081"/>
      <c r="I2081"/>
      <c r="K2081" s="84"/>
    </row>
    <row r="2082" spans="1:11" x14ac:dyDescent="0.25">
      <c r="A2082"/>
      <c r="D2082"/>
      <c r="F2082"/>
      <c r="G2082"/>
      <c r="H2082"/>
      <c r="I2082"/>
      <c r="K2082" s="84"/>
    </row>
    <row r="2083" spans="1:11" x14ac:dyDescent="0.25">
      <c r="A2083"/>
      <c r="D2083"/>
      <c r="F2083"/>
      <c r="G2083"/>
      <c r="H2083"/>
      <c r="I2083"/>
      <c r="K2083" s="84"/>
    </row>
    <row r="2084" spans="1:11" x14ac:dyDescent="0.25">
      <c r="A2084"/>
      <c r="D2084"/>
      <c r="F2084"/>
      <c r="G2084"/>
      <c r="H2084"/>
      <c r="I2084"/>
      <c r="K2084" s="84"/>
    </row>
    <row r="2085" spans="1:11" x14ac:dyDescent="0.25">
      <c r="A2085"/>
      <c r="D2085"/>
      <c r="F2085"/>
      <c r="G2085"/>
      <c r="H2085"/>
      <c r="I2085"/>
      <c r="K2085" s="84"/>
    </row>
    <row r="2086" spans="1:11" x14ac:dyDescent="0.25">
      <c r="A2086"/>
      <c r="D2086"/>
      <c r="F2086"/>
      <c r="G2086"/>
      <c r="H2086"/>
      <c r="I2086"/>
      <c r="K2086" s="84"/>
    </row>
    <row r="2087" spans="1:11" x14ac:dyDescent="0.25">
      <c r="A2087"/>
      <c r="D2087"/>
      <c r="F2087"/>
      <c r="G2087"/>
      <c r="H2087"/>
      <c r="I2087"/>
      <c r="K2087" s="84"/>
    </row>
    <row r="2088" spans="1:11" x14ac:dyDescent="0.25">
      <c r="A2088"/>
      <c r="D2088"/>
      <c r="F2088"/>
      <c r="G2088"/>
      <c r="H2088"/>
      <c r="I2088"/>
      <c r="K2088" s="84"/>
    </row>
    <row r="2089" spans="1:11" x14ac:dyDescent="0.25">
      <c r="A2089"/>
      <c r="D2089"/>
      <c r="F2089"/>
      <c r="G2089"/>
      <c r="H2089"/>
      <c r="I2089"/>
      <c r="K2089" s="84"/>
    </row>
    <row r="2090" spans="1:11" x14ac:dyDescent="0.25">
      <c r="A2090"/>
      <c r="D2090"/>
      <c r="F2090"/>
      <c r="G2090"/>
      <c r="H2090"/>
      <c r="I2090"/>
      <c r="K2090" s="84"/>
    </row>
    <row r="2091" spans="1:11" x14ac:dyDescent="0.25">
      <c r="A2091"/>
      <c r="D2091"/>
      <c r="F2091"/>
      <c r="G2091"/>
      <c r="H2091"/>
      <c r="I2091"/>
      <c r="K2091" s="84"/>
    </row>
    <row r="2092" spans="1:11" x14ac:dyDescent="0.25">
      <c r="A2092"/>
      <c r="D2092"/>
      <c r="F2092"/>
      <c r="G2092"/>
      <c r="H2092"/>
      <c r="I2092"/>
      <c r="K2092" s="84"/>
    </row>
    <row r="2093" spans="1:11" x14ac:dyDescent="0.25">
      <c r="A2093"/>
      <c r="D2093"/>
      <c r="F2093"/>
      <c r="G2093"/>
      <c r="H2093"/>
      <c r="I2093"/>
      <c r="K2093" s="84"/>
    </row>
    <row r="2094" spans="1:11" x14ac:dyDescent="0.25">
      <c r="A2094"/>
      <c r="D2094"/>
      <c r="F2094"/>
      <c r="G2094"/>
      <c r="H2094"/>
      <c r="I2094"/>
      <c r="K2094" s="84"/>
    </row>
    <row r="2095" spans="1:11" x14ac:dyDescent="0.25">
      <c r="A2095"/>
      <c r="D2095"/>
      <c r="F2095"/>
      <c r="G2095"/>
      <c r="H2095"/>
      <c r="I2095"/>
      <c r="K2095" s="84"/>
    </row>
    <row r="2096" spans="1:11" x14ac:dyDescent="0.25">
      <c r="A2096"/>
      <c r="D2096"/>
      <c r="F2096"/>
      <c r="G2096"/>
      <c r="H2096"/>
      <c r="I2096"/>
      <c r="K2096" s="84"/>
    </row>
    <row r="2097" spans="1:11" x14ac:dyDescent="0.25">
      <c r="A2097"/>
      <c r="D2097"/>
      <c r="F2097"/>
      <c r="G2097"/>
      <c r="H2097"/>
      <c r="I2097"/>
      <c r="K2097" s="84"/>
    </row>
    <row r="2098" spans="1:11" x14ac:dyDescent="0.25">
      <c r="A2098"/>
      <c r="D2098"/>
      <c r="F2098"/>
      <c r="G2098"/>
      <c r="H2098"/>
      <c r="I2098"/>
      <c r="K2098" s="84"/>
    </row>
    <row r="2099" spans="1:11" x14ac:dyDescent="0.25">
      <c r="A2099"/>
      <c r="D2099"/>
      <c r="F2099"/>
      <c r="G2099"/>
      <c r="H2099"/>
      <c r="I2099"/>
      <c r="K2099" s="84"/>
    </row>
    <row r="2100" spans="1:11" x14ac:dyDescent="0.25">
      <c r="A2100"/>
      <c r="D2100"/>
      <c r="F2100"/>
      <c r="G2100"/>
      <c r="H2100"/>
      <c r="I2100"/>
      <c r="K2100" s="84"/>
    </row>
    <row r="2101" spans="1:11" x14ac:dyDescent="0.25">
      <c r="A2101"/>
      <c r="D2101"/>
      <c r="F2101"/>
      <c r="G2101"/>
      <c r="H2101"/>
      <c r="I2101"/>
      <c r="K2101" s="84"/>
    </row>
    <row r="2102" spans="1:11" x14ac:dyDescent="0.25">
      <c r="A2102"/>
      <c r="D2102"/>
      <c r="F2102"/>
      <c r="G2102"/>
      <c r="H2102"/>
      <c r="I2102"/>
      <c r="K2102" s="84"/>
    </row>
    <row r="2103" spans="1:11" x14ac:dyDescent="0.25">
      <c r="A2103"/>
      <c r="D2103"/>
      <c r="F2103"/>
      <c r="G2103"/>
      <c r="H2103"/>
      <c r="I2103"/>
      <c r="K2103" s="84"/>
    </row>
    <row r="2104" spans="1:11" x14ac:dyDescent="0.25">
      <c r="A2104"/>
      <c r="D2104"/>
      <c r="F2104"/>
      <c r="G2104"/>
      <c r="H2104"/>
      <c r="I2104"/>
      <c r="K2104" s="84"/>
    </row>
    <row r="2105" spans="1:11" x14ac:dyDescent="0.25">
      <c r="A2105"/>
      <c r="D2105"/>
      <c r="F2105"/>
      <c r="G2105"/>
      <c r="H2105"/>
      <c r="I2105"/>
      <c r="K2105" s="84"/>
    </row>
    <row r="2106" spans="1:11" x14ac:dyDescent="0.25">
      <c r="A2106"/>
      <c r="D2106"/>
      <c r="F2106"/>
      <c r="G2106"/>
      <c r="H2106"/>
      <c r="I2106"/>
      <c r="K2106" s="84"/>
    </row>
    <row r="2107" spans="1:11" x14ac:dyDescent="0.25">
      <c r="A2107"/>
      <c r="D2107"/>
      <c r="F2107"/>
      <c r="G2107"/>
      <c r="H2107"/>
      <c r="I2107"/>
      <c r="K2107" s="84"/>
    </row>
    <row r="2108" spans="1:11" x14ac:dyDescent="0.25">
      <c r="A2108"/>
      <c r="D2108"/>
      <c r="F2108"/>
      <c r="G2108"/>
      <c r="H2108"/>
      <c r="I2108"/>
      <c r="K2108" s="84"/>
    </row>
    <row r="2109" spans="1:11" x14ac:dyDescent="0.25">
      <c r="A2109"/>
      <c r="D2109"/>
      <c r="F2109"/>
      <c r="G2109"/>
      <c r="H2109"/>
      <c r="I2109"/>
      <c r="K2109" s="84"/>
    </row>
    <row r="2110" spans="1:11" x14ac:dyDescent="0.25">
      <c r="A2110"/>
      <c r="D2110"/>
      <c r="F2110"/>
      <c r="G2110"/>
      <c r="H2110"/>
      <c r="I2110"/>
      <c r="K2110" s="84"/>
    </row>
    <row r="2111" spans="1:11" x14ac:dyDescent="0.25">
      <c r="A2111"/>
      <c r="D2111"/>
      <c r="F2111"/>
      <c r="G2111"/>
      <c r="H2111"/>
      <c r="I2111"/>
      <c r="K2111" s="84"/>
    </row>
    <row r="2112" spans="1:11" x14ac:dyDescent="0.25">
      <c r="A2112"/>
      <c r="D2112"/>
      <c r="F2112"/>
      <c r="G2112"/>
      <c r="H2112"/>
      <c r="I2112"/>
      <c r="K2112" s="84"/>
    </row>
    <row r="2113" spans="1:11" x14ac:dyDescent="0.25">
      <c r="A2113"/>
      <c r="D2113"/>
      <c r="F2113"/>
      <c r="G2113"/>
      <c r="H2113"/>
      <c r="I2113"/>
      <c r="K2113" s="84"/>
    </row>
    <row r="2114" spans="1:11" x14ac:dyDescent="0.25">
      <c r="A2114"/>
      <c r="D2114"/>
      <c r="F2114"/>
      <c r="G2114"/>
      <c r="H2114"/>
      <c r="I2114"/>
      <c r="K2114" s="84"/>
    </row>
    <row r="2115" spans="1:11" x14ac:dyDescent="0.25">
      <c r="A2115"/>
      <c r="D2115"/>
      <c r="F2115"/>
      <c r="G2115"/>
      <c r="H2115"/>
      <c r="I2115"/>
      <c r="K2115" s="84"/>
    </row>
    <row r="2116" spans="1:11" x14ac:dyDescent="0.25">
      <c r="A2116"/>
      <c r="D2116"/>
      <c r="F2116"/>
      <c r="G2116"/>
      <c r="H2116"/>
      <c r="I2116"/>
      <c r="K2116" s="84"/>
    </row>
    <row r="2117" spans="1:11" x14ac:dyDescent="0.25">
      <c r="A2117"/>
      <c r="D2117"/>
      <c r="F2117"/>
      <c r="G2117"/>
      <c r="H2117"/>
      <c r="I2117"/>
      <c r="K2117" s="84"/>
    </row>
    <row r="2118" spans="1:11" x14ac:dyDescent="0.25">
      <c r="A2118"/>
      <c r="D2118"/>
      <c r="F2118"/>
      <c r="G2118"/>
      <c r="H2118"/>
      <c r="I2118"/>
      <c r="K2118" s="84"/>
    </row>
    <row r="2119" spans="1:11" x14ac:dyDescent="0.25">
      <c r="A2119"/>
      <c r="D2119"/>
      <c r="F2119"/>
      <c r="G2119"/>
      <c r="H2119"/>
      <c r="I2119"/>
      <c r="K2119" s="84"/>
    </row>
    <row r="2120" spans="1:11" x14ac:dyDescent="0.25">
      <c r="A2120"/>
      <c r="D2120"/>
      <c r="F2120"/>
      <c r="G2120"/>
      <c r="H2120"/>
      <c r="I2120"/>
      <c r="K2120" s="84"/>
    </row>
    <row r="2121" spans="1:11" x14ac:dyDescent="0.25">
      <c r="A2121"/>
      <c r="D2121"/>
      <c r="F2121"/>
      <c r="G2121"/>
      <c r="H2121"/>
      <c r="I2121"/>
      <c r="K2121" s="84"/>
    </row>
    <row r="2122" spans="1:11" x14ac:dyDescent="0.25">
      <c r="A2122"/>
      <c r="D2122"/>
      <c r="F2122"/>
      <c r="G2122"/>
      <c r="H2122"/>
      <c r="I2122"/>
      <c r="K2122" s="84"/>
    </row>
    <row r="2123" spans="1:11" x14ac:dyDescent="0.25">
      <c r="A2123"/>
      <c r="D2123"/>
      <c r="F2123"/>
      <c r="G2123"/>
      <c r="H2123"/>
      <c r="I2123"/>
      <c r="K2123" s="84"/>
    </row>
    <row r="2124" spans="1:11" x14ac:dyDescent="0.25">
      <c r="A2124"/>
      <c r="D2124"/>
      <c r="F2124"/>
      <c r="G2124"/>
      <c r="H2124"/>
      <c r="I2124"/>
      <c r="K2124" s="84"/>
    </row>
    <row r="2125" spans="1:11" x14ac:dyDescent="0.25">
      <c r="A2125"/>
      <c r="D2125"/>
      <c r="F2125"/>
      <c r="G2125"/>
      <c r="H2125"/>
      <c r="I2125"/>
      <c r="K2125" s="84"/>
    </row>
    <row r="2126" spans="1:11" x14ac:dyDescent="0.25">
      <c r="A2126"/>
      <c r="D2126"/>
      <c r="F2126"/>
      <c r="G2126"/>
      <c r="H2126"/>
      <c r="I2126"/>
      <c r="K2126" s="84"/>
    </row>
    <row r="2127" spans="1:11" x14ac:dyDescent="0.25">
      <c r="A2127"/>
      <c r="D2127"/>
      <c r="F2127"/>
      <c r="G2127"/>
      <c r="H2127"/>
      <c r="I2127"/>
      <c r="K2127" s="84"/>
    </row>
    <row r="2128" spans="1:11" x14ac:dyDescent="0.25">
      <c r="A2128"/>
      <c r="D2128"/>
      <c r="F2128"/>
      <c r="G2128"/>
      <c r="H2128"/>
      <c r="I2128"/>
      <c r="K2128" s="84"/>
    </row>
    <row r="2129" spans="1:11" x14ac:dyDescent="0.25">
      <c r="A2129"/>
      <c r="D2129"/>
      <c r="F2129"/>
      <c r="G2129"/>
      <c r="H2129"/>
      <c r="I2129"/>
      <c r="K2129" s="84"/>
    </row>
    <row r="2130" spans="1:11" x14ac:dyDescent="0.25">
      <c r="A2130"/>
      <c r="D2130"/>
      <c r="F2130"/>
      <c r="G2130"/>
      <c r="H2130"/>
      <c r="I2130"/>
      <c r="K2130" s="84"/>
    </row>
    <row r="2131" spans="1:11" x14ac:dyDescent="0.25">
      <c r="A2131"/>
      <c r="D2131"/>
      <c r="F2131"/>
      <c r="G2131"/>
      <c r="H2131"/>
      <c r="I2131"/>
      <c r="K2131" s="84"/>
    </row>
    <row r="2132" spans="1:11" x14ac:dyDescent="0.25">
      <c r="A2132"/>
      <c r="D2132"/>
      <c r="F2132"/>
      <c r="G2132"/>
      <c r="H2132"/>
      <c r="I2132"/>
      <c r="K2132" s="84"/>
    </row>
    <row r="2133" spans="1:11" x14ac:dyDescent="0.25">
      <c r="A2133"/>
      <c r="D2133"/>
      <c r="F2133"/>
      <c r="G2133"/>
      <c r="H2133"/>
      <c r="I2133"/>
      <c r="K2133" s="84"/>
    </row>
    <row r="2134" spans="1:11" x14ac:dyDescent="0.25">
      <c r="A2134"/>
      <c r="D2134"/>
      <c r="F2134"/>
      <c r="G2134"/>
      <c r="H2134"/>
      <c r="I2134"/>
      <c r="K2134" s="84"/>
    </row>
    <row r="2135" spans="1:11" x14ac:dyDescent="0.25">
      <c r="A2135"/>
      <c r="D2135"/>
      <c r="F2135"/>
      <c r="G2135"/>
      <c r="H2135"/>
      <c r="I2135"/>
      <c r="K2135" s="84"/>
    </row>
    <row r="2136" spans="1:11" x14ac:dyDescent="0.25">
      <c r="A2136"/>
      <c r="D2136"/>
      <c r="F2136"/>
      <c r="G2136"/>
      <c r="H2136"/>
      <c r="I2136"/>
      <c r="K2136" s="84"/>
    </row>
    <row r="2137" spans="1:11" x14ac:dyDescent="0.25">
      <c r="A2137"/>
      <c r="D2137"/>
      <c r="F2137"/>
      <c r="G2137"/>
      <c r="H2137"/>
      <c r="I2137"/>
      <c r="K2137" s="84"/>
    </row>
    <row r="2138" spans="1:11" x14ac:dyDescent="0.25">
      <c r="A2138"/>
      <c r="D2138"/>
      <c r="F2138"/>
      <c r="G2138"/>
      <c r="H2138"/>
      <c r="I2138"/>
      <c r="K2138" s="84"/>
    </row>
    <row r="2139" spans="1:11" x14ac:dyDescent="0.25">
      <c r="A2139"/>
      <c r="D2139"/>
      <c r="F2139"/>
      <c r="G2139"/>
      <c r="H2139"/>
      <c r="I2139"/>
      <c r="K2139" s="84"/>
    </row>
    <row r="2140" spans="1:11" x14ac:dyDescent="0.25">
      <c r="A2140"/>
      <c r="D2140"/>
      <c r="F2140"/>
      <c r="G2140"/>
      <c r="H2140"/>
      <c r="I2140"/>
      <c r="K2140" s="84"/>
    </row>
    <row r="2141" spans="1:11" x14ac:dyDescent="0.25">
      <c r="A2141"/>
      <c r="D2141"/>
      <c r="F2141"/>
      <c r="G2141"/>
      <c r="H2141"/>
      <c r="I2141"/>
      <c r="K2141" s="84"/>
    </row>
    <row r="2142" spans="1:11" x14ac:dyDescent="0.25">
      <c r="A2142"/>
      <c r="D2142"/>
      <c r="F2142"/>
      <c r="G2142"/>
      <c r="H2142"/>
      <c r="I2142"/>
      <c r="K2142" s="84"/>
    </row>
    <row r="2143" spans="1:11" x14ac:dyDescent="0.25">
      <c r="A2143"/>
      <c r="D2143"/>
      <c r="F2143"/>
      <c r="G2143"/>
      <c r="H2143"/>
      <c r="I2143"/>
      <c r="K2143" s="84"/>
    </row>
    <row r="2144" spans="1:11" x14ac:dyDescent="0.25">
      <c r="A2144"/>
      <c r="D2144"/>
      <c r="F2144"/>
      <c r="G2144"/>
      <c r="H2144"/>
      <c r="I2144"/>
      <c r="K2144" s="84"/>
    </row>
    <row r="2145" spans="1:11" x14ac:dyDescent="0.25">
      <c r="A2145"/>
      <c r="D2145"/>
      <c r="F2145"/>
      <c r="G2145"/>
      <c r="H2145"/>
      <c r="I2145"/>
      <c r="K2145" s="84"/>
    </row>
    <row r="2146" spans="1:11" x14ac:dyDescent="0.25">
      <c r="A2146"/>
      <c r="D2146"/>
      <c r="F2146"/>
      <c r="G2146"/>
      <c r="H2146"/>
      <c r="I2146"/>
      <c r="K2146" s="84"/>
    </row>
    <row r="2147" spans="1:11" x14ac:dyDescent="0.25">
      <c r="A2147"/>
      <c r="D2147"/>
      <c r="F2147"/>
      <c r="G2147"/>
      <c r="H2147"/>
      <c r="I2147"/>
      <c r="K2147" s="84"/>
    </row>
    <row r="2148" spans="1:11" x14ac:dyDescent="0.25">
      <c r="A2148"/>
      <c r="D2148"/>
      <c r="F2148"/>
      <c r="G2148"/>
      <c r="H2148"/>
      <c r="I2148"/>
      <c r="K2148" s="84"/>
    </row>
    <row r="2149" spans="1:11" x14ac:dyDescent="0.25">
      <c r="A2149"/>
      <c r="D2149"/>
      <c r="F2149"/>
      <c r="G2149"/>
      <c r="H2149"/>
      <c r="I2149"/>
      <c r="K2149" s="84"/>
    </row>
    <row r="2150" spans="1:11" x14ac:dyDescent="0.25">
      <c r="A2150"/>
      <c r="D2150"/>
      <c r="F2150"/>
      <c r="G2150"/>
      <c r="H2150"/>
      <c r="I2150"/>
      <c r="K2150" s="84"/>
    </row>
    <row r="2151" spans="1:11" x14ac:dyDescent="0.25">
      <c r="A2151"/>
      <c r="D2151"/>
      <c r="F2151"/>
      <c r="G2151"/>
      <c r="H2151"/>
      <c r="I2151"/>
      <c r="K2151" s="84"/>
    </row>
    <row r="2152" spans="1:11" x14ac:dyDescent="0.25">
      <c r="A2152"/>
      <c r="D2152"/>
      <c r="F2152"/>
      <c r="G2152"/>
      <c r="H2152"/>
      <c r="I2152"/>
      <c r="K2152" s="84"/>
    </row>
    <row r="2153" spans="1:11" x14ac:dyDescent="0.25">
      <c r="A2153"/>
      <c r="D2153"/>
      <c r="F2153"/>
      <c r="G2153"/>
      <c r="H2153"/>
      <c r="I2153"/>
      <c r="K2153" s="84"/>
    </row>
    <row r="2154" spans="1:11" x14ac:dyDescent="0.25">
      <c r="A2154"/>
      <c r="D2154"/>
      <c r="F2154"/>
      <c r="G2154"/>
      <c r="H2154"/>
      <c r="I2154"/>
      <c r="K2154" s="84"/>
    </row>
    <row r="2155" spans="1:11" x14ac:dyDescent="0.25">
      <c r="A2155"/>
      <c r="D2155"/>
      <c r="F2155"/>
      <c r="G2155"/>
      <c r="H2155"/>
      <c r="I2155"/>
      <c r="K2155" s="84"/>
    </row>
    <row r="2156" spans="1:11" x14ac:dyDescent="0.25">
      <c r="A2156"/>
      <c r="D2156"/>
      <c r="F2156"/>
      <c r="G2156"/>
      <c r="H2156"/>
      <c r="I2156"/>
      <c r="K2156" s="84"/>
    </row>
    <row r="2157" spans="1:11" x14ac:dyDescent="0.25">
      <c r="A2157"/>
      <c r="D2157"/>
      <c r="F2157"/>
      <c r="G2157"/>
      <c r="H2157"/>
      <c r="I2157"/>
      <c r="K2157" s="84"/>
    </row>
    <row r="2158" spans="1:11" x14ac:dyDescent="0.25">
      <c r="A2158"/>
      <c r="D2158"/>
      <c r="F2158"/>
      <c r="G2158"/>
      <c r="H2158"/>
      <c r="I2158"/>
      <c r="K2158" s="84"/>
    </row>
    <row r="2159" spans="1:11" x14ac:dyDescent="0.25">
      <c r="A2159"/>
      <c r="D2159"/>
      <c r="F2159"/>
      <c r="G2159"/>
      <c r="H2159"/>
      <c r="I2159"/>
      <c r="K2159" s="84"/>
    </row>
    <row r="2160" spans="1:11" x14ac:dyDescent="0.25">
      <c r="A2160"/>
      <c r="D2160"/>
      <c r="F2160"/>
      <c r="G2160"/>
      <c r="H2160"/>
      <c r="I2160"/>
      <c r="K2160" s="84"/>
    </row>
    <row r="2161" spans="1:11" x14ac:dyDescent="0.25">
      <c r="A2161"/>
      <c r="D2161"/>
      <c r="F2161"/>
      <c r="G2161"/>
      <c r="H2161"/>
      <c r="I2161"/>
      <c r="K2161" s="84"/>
    </row>
    <row r="2162" spans="1:11" x14ac:dyDescent="0.25">
      <c r="A2162"/>
      <c r="D2162"/>
      <c r="F2162"/>
      <c r="G2162"/>
      <c r="H2162"/>
      <c r="I2162"/>
      <c r="K2162" s="84"/>
    </row>
    <row r="2163" spans="1:11" x14ac:dyDescent="0.25">
      <c r="A2163"/>
      <c r="D2163"/>
      <c r="F2163"/>
      <c r="G2163"/>
      <c r="H2163"/>
      <c r="I2163"/>
      <c r="K2163" s="84"/>
    </row>
    <row r="2164" spans="1:11" x14ac:dyDescent="0.25">
      <c r="A2164"/>
      <c r="D2164"/>
      <c r="F2164"/>
      <c r="G2164"/>
      <c r="H2164"/>
      <c r="I2164"/>
      <c r="K2164" s="84"/>
    </row>
    <row r="2165" spans="1:11" x14ac:dyDescent="0.25">
      <c r="A2165"/>
      <c r="D2165"/>
      <c r="F2165"/>
      <c r="G2165"/>
      <c r="H2165"/>
      <c r="I2165"/>
      <c r="K2165" s="84"/>
    </row>
    <row r="2166" spans="1:11" x14ac:dyDescent="0.25">
      <c r="A2166"/>
      <c r="D2166"/>
      <c r="F2166"/>
      <c r="G2166"/>
      <c r="H2166"/>
      <c r="I2166"/>
      <c r="K2166" s="84"/>
    </row>
    <row r="2167" spans="1:11" x14ac:dyDescent="0.25">
      <c r="A2167"/>
      <c r="D2167"/>
      <c r="F2167"/>
      <c r="G2167"/>
      <c r="H2167"/>
      <c r="I2167"/>
      <c r="K2167" s="84"/>
    </row>
    <row r="2168" spans="1:11" x14ac:dyDescent="0.25">
      <c r="A2168"/>
      <c r="D2168"/>
      <c r="F2168"/>
      <c r="G2168"/>
      <c r="H2168"/>
      <c r="I2168"/>
      <c r="K2168" s="84"/>
    </row>
    <row r="2169" spans="1:11" x14ac:dyDescent="0.25">
      <c r="A2169"/>
      <c r="D2169"/>
      <c r="F2169"/>
      <c r="G2169"/>
      <c r="H2169"/>
      <c r="I2169"/>
      <c r="K2169" s="84"/>
    </row>
    <row r="2170" spans="1:11" x14ac:dyDescent="0.25">
      <c r="A2170"/>
      <c r="D2170"/>
      <c r="F2170"/>
      <c r="G2170"/>
      <c r="H2170"/>
      <c r="I2170"/>
      <c r="K2170" s="84"/>
    </row>
    <row r="2171" spans="1:11" x14ac:dyDescent="0.25">
      <c r="A2171"/>
      <c r="D2171"/>
      <c r="F2171"/>
      <c r="G2171"/>
      <c r="H2171"/>
      <c r="I2171"/>
      <c r="K2171" s="84"/>
    </row>
    <row r="2172" spans="1:11" x14ac:dyDescent="0.25">
      <c r="A2172"/>
      <c r="D2172"/>
      <c r="F2172"/>
      <c r="G2172"/>
      <c r="H2172"/>
      <c r="I2172"/>
      <c r="K2172" s="84"/>
    </row>
    <row r="2173" spans="1:11" x14ac:dyDescent="0.25">
      <c r="A2173"/>
      <c r="D2173"/>
      <c r="F2173"/>
      <c r="G2173"/>
      <c r="H2173"/>
      <c r="I2173"/>
      <c r="K2173" s="84"/>
    </row>
    <row r="2174" spans="1:11" x14ac:dyDescent="0.25">
      <c r="A2174"/>
      <c r="D2174"/>
      <c r="F2174"/>
      <c r="G2174"/>
      <c r="H2174"/>
      <c r="I2174"/>
      <c r="K2174" s="84"/>
    </row>
    <row r="2175" spans="1:11" x14ac:dyDescent="0.25">
      <c r="A2175"/>
      <c r="D2175"/>
      <c r="F2175"/>
      <c r="G2175"/>
      <c r="H2175"/>
      <c r="I2175"/>
      <c r="K2175" s="84"/>
    </row>
    <row r="2176" spans="1:11" x14ac:dyDescent="0.25">
      <c r="A2176"/>
      <c r="D2176"/>
      <c r="F2176"/>
      <c r="G2176"/>
      <c r="H2176"/>
      <c r="I2176"/>
      <c r="K2176" s="84"/>
    </row>
    <row r="2177" spans="1:11" x14ac:dyDescent="0.25">
      <c r="A2177"/>
      <c r="D2177"/>
      <c r="F2177"/>
      <c r="G2177"/>
      <c r="H2177"/>
      <c r="I2177"/>
      <c r="K2177" s="84"/>
    </row>
    <row r="2178" spans="1:11" x14ac:dyDescent="0.25">
      <c r="A2178"/>
      <c r="D2178"/>
      <c r="F2178"/>
      <c r="G2178"/>
      <c r="H2178"/>
      <c r="I2178"/>
      <c r="K2178" s="84"/>
    </row>
    <row r="2179" spans="1:11" x14ac:dyDescent="0.25">
      <c r="A2179"/>
      <c r="D2179"/>
      <c r="F2179"/>
      <c r="G2179"/>
      <c r="H2179"/>
      <c r="I2179"/>
      <c r="K2179" s="84"/>
    </row>
    <row r="2180" spans="1:11" x14ac:dyDescent="0.25">
      <c r="A2180"/>
      <c r="D2180"/>
      <c r="F2180"/>
      <c r="G2180"/>
      <c r="H2180"/>
      <c r="I2180"/>
      <c r="K2180" s="84"/>
    </row>
    <row r="2181" spans="1:11" x14ac:dyDescent="0.25">
      <c r="A2181"/>
      <c r="D2181"/>
      <c r="F2181"/>
      <c r="G2181"/>
      <c r="H2181"/>
      <c r="I2181"/>
      <c r="K2181" s="84"/>
    </row>
    <row r="2182" spans="1:11" x14ac:dyDescent="0.25">
      <c r="A2182"/>
      <c r="D2182"/>
      <c r="F2182"/>
      <c r="G2182"/>
      <c r="H2182"/>
      <c r="I2182"/>
      <c r="K2182" s="84"/>
    </row>
    <row r="2183" spans="1:11" x14ac:dyDescent="0.25">
      <c r="A2183"/>
      <c r="D2183"/>
      <c r="F2183"/>
      <c r="G2183"/>
      <c r="H2183"/>
      <c r="I2183"/>
      <c r="K2183" s="84"/>
    </row>
    <row r="2184" spans="1:11" x14ac:dyDescent="0.25">
      <c r="A2184"/>
      <c r="D2184"/>
      <c r="F2184"/>
      <c r="G2184"/>
      <c r="H2184"/>
      <c r="I2184"/>
      <c r="K2184" s="84"/>
    </row>
    <row r="2185" spans="1:11" x14ac:dyDescent="0.25">
      <c r="A2185"/>
      <c r="D2185"/>
      <c r="F2185"/>
      <c r="G2185"/>
      <c r="H2185"/>
      <c r="I2185"/>
      <c r="K2185" s="84"/>
    </row>
    <row r="2186" spans="1:11" x14ac:dyDescent="0.25">
      <c r="A2186"/>
      <c r="D2186"/>
      <c r="F2186"/>
      <c r="G2186"/>
      <c r="H2186"/>
      <c r="I2186"/>
      <c r="K2186" s="84"/>
    </row>
    <row r="2187" spans="1:11" x14ac:dyDescent="0.25">
      <c r="A2187"/>
      <c r="D2187"/>
      <c r="F2187"/>
      <c r="G2187"/>
      <c r="H2187"/>
      <c r="I2187"/>
      <c r="K2187" s="84"/>
    </row>
    <row r="2188" spans="1:11" x14ac:dyDescent="0.25">
      <c r="A2188"/>
      <c r="D2188"/>
      <c r="F2188"/>
      <c r="G2188"/>
      <c r="H2188"/>
      <c r="I2188"/>
      <c r="K2188" s="84"/>
    </row>
    <row r="2189" spans="1:11" x14ac:dyDescent="0.25">
      <c r="A2189"/>
      <c r="D2189"/>
      <c r="F2189"/>
      <c r="G2189"/>
      <c r="H2189"/>
      <c r="I2189"/>
      <c r="K2189" s="84"/>
    </row>
    <row r="2190" spans="1:11" x14ac:dyDescent="0.25">
      <c r="A2190"/>
      <c r="D2190"/>
      <c r="F2190"/>
      <c r="G2190"/>
      <c r="H2190"/>
      <c r="I2190"/>
      <c r="K2190" s="84"/>
    </row>
    <row r="2191" spans="1:11" x14ac:dyDescent="0.25">
      <c r="A2191"/>
      <c r="D2191"/>
      <c r="F2191"/>
      <c r="G2191"/>
      <c r="H2191"/>
      <c r="I2191"/>
      <c r="K2191" s="84"/>
    </row>
    <row r="2192" spans="1:11" x14ac:dyDescent="0.25">
      <c r="A2192"/>
      <c r="D2192"/>
      <c r="F2192"/>
      <c r="G2192"/>
      <c r="H2192"/>
      <c r="I2192"/>
      <c r="K2192" s="84"/>
    </row>
    <row r="2193" spans="1:11" x14ac:dyDescent="0.25">
      <c r="A2193"/>
      <c r="D2193"/>
      <c r="F2193"/>
      <c r="G2193"/>
      <c r="H2193"/>
      <c r="I2193"/>
      <c r="K2193" s="84"/>
    </row>
    <row r="2194" spans="1:11" x14ac:dyDescent="0.25">
      <c r="A2194"/>
      <c r="D2194"/>
      <c r="F2194"/>
      <c r="G2194"/>
      <c r="H2194"/>
      <c r="I2194"/>
      <c r="K2194" s="84"/>
    </row>
    <row r="2195" spans="1:11" x14ac:dyDescent="0.25">
      <c r="A2195"/>
      <c r="D2195"/>
      <c r="F2195"/>
      <c r="G2195"/>
      <c r="H2195"/>
      <c r="I2195"/>
      <c r="K2195" s="84"/>
    </row>
    <row r="2196" spans="1:11" x14ac:dyDescent="0.25">
      <c r="A2196"/>
      <c r="D2196"/>
      <c r="F2196"/>
      <c r="G2196"/>
      <c r="H2196"/>
      <c r="I2196"/>
      <c r="K2196" s="84"/>
    </row>
    <row r="2197" spans="1:11" x14ac:dyDescent="0.25">
      <c r="A2197"/>
      <c r="D2197"/>
      <c r="F2197"/>
      <c r="G2197"/>
      <c r="H2197"/>
      <c r="I2197"/>
      <c r="K2197" s="84"/>
    </row>
    <row r="2198" spans="1:11" x14ac:dyDescent="0.25">
      <c r="A2198"/>
      <c r="D2198"/>
      <c r="F2198"/>
      <c r="G2198"/>
      <c r="H2198"/>
      <c r="I2198"/>
      <c r="K2198" s="84"/>
    </row>
    <row r="2199" spans="1:11" x14ac:dyDescent="0.25">
      <c r="A2199"/>
      <c r="D2199"/>
      <c r="F2199"/>
      <c r="G2199"/>
      <c r="H2199"/>
      <c r="I2199"/>
      <c r="K2199" s="84"/>
    </row>
    <row r="2200" spans="1:11" x14ac:dyDescent="0.25">
      <c r="A2200"/>
      <c r="D2200"/>
      <c r="F2200"/>
      <c r="G2200"/>
      <c r="H2200"/>
      <c r="I2200"/>
      <c r="K2200" s="84"/>
    </row>
    <row r="2201" spans="1:11" x14ac:dyDescent="0.25">
      <c r="A2201"/>
      <c r="D2201"/>
      <c r="F2201"/>
      <c r="G2201"/>
      <c r="H2201"/>
      <c r="I2201"/>
      <c r="K2201" s="84"/>
    </row>
    <row r="2202" spans="1:11" x14ac:dyDescent="0.25">
      <c r="A2202"/>
      <c r="D2202"/>
      <c r="F2202"/>
      <c r="G2202"/>
      <c r="H2202"/>
      <c r="I2202"/>
      <c r="K2202" s="84"/>
    </row>
    <row r="2203" spans="1:11" x14ac:dyDescent="0.25">
      <c r="A2203"/>
      <c r="D2203"/>
      <c r="F2203"/>
      <c r="G2203"/>
      <c r="H2203"/>
      <c r="I2203"/>
      <c r="K2203" s="84"/>
    </row>
    <row r="2204" spans="1:11" x14ac:dyDescent="0.25">
      <c r="A2204"/>
      <c r="D2204"/>
      <c r="F2204"/>
      <c r="G2204"/>
      <c r="H2204"/>
      <c r="I2204"/>
      <c r="K2204" s="84"/>
    </row>
    <row r="2205" spans="1:11" x14ac:dyDescent="0.25">
      <c r="A2205"/>
      <c r="D2205"/>
      <c r="F2205"/>
      <c r="G2205"/>
      <c r="H2205"/>
      <c r="I2205"/>
      <c r="K2205" s="84"/>
    </row>
    <row r="2206" spans="1:11" x14ac:dyDescent="0.25">
      <c r="A2206"/>
      <c r="D2206"/>
      <c r="F2206"/>
      <c r="G2206"/>
      <c r="H2206"/>
      <c r="I2206"/>
      <c r="K2206" s="84"/>
    </row>
    <row r="2207" spans="1:11" x14ac:dyDescent="0.25">
      <c r="A2207"/>
      <c r="D2207"/>
      <c r="F2207"/>
      <c r="G2207"/>
      <c r="H2207"/>
      <c r="I2207"/>
      <c r="K2207" s="84"/>
    </row>
    <row r="2208" spans="1:11" x14ac:dyDescent="0.25">
      <c r="A2208"/>
      <c r="D2208"/>
      <c r="F2208"/>
      <c r="G2208"/>
      <c r="H2208"/>
      <c r="I2208"/>
      <c r="K2208" s="84"/>
    </row>
    <row r="2209" spans="1:11" x14ac:dyDescent="0.25">
      <c r="A2209"/>
      <c r="D2209"/>
      <c r="F2209"/>
      <c r="G2209"/>
      <c r="H2209"/>
      <c r="I2209"/>
      <c r="K2209" s="84"/>
    </row>
    <row r="2210" spans="1:11" x14ac:dyDescent="0.25">
      <c r="A2210"/>
      <c r="D2210"/>
      <c r="F2210"/>
      <c r="G2210"/>
      <c r="H2210"/>
      <c r="I2210"/>
      <c r="K2210" s="84"/>
    </row>
    <row r="2211" spans="1:11" x14ac:dyDescent="0.25">
      <c r="A2211"/>
      <c r="D2211"/>
      <c r="F2211"/>
      <c r="G2211"/>
      <c r="H2211"/>
      <c r="I2211"/>
      <c r="K2211" s="84"/>
    </row>
    <row r="2212" spans="1:11" x14ac:dyDescent="0.25">
      <c r="A2212"/>
      <c r="D2212"/>
      <c r="F2212"/>
      <c r="G2212"/>
      <c r="H2212"/>
      <c r="I2212"/>
      <c r="K2212" s="84"/>
    </row>
    <row r="2213" spans="1:11" x14ac:dyDescent="0.25">
      <c r="A2213"/>
      <c r="D2213"/>
      <c r="F2213"/>
      <c r="G2213"/>
      <c r="H2213"/>
      <c r="I2213"/>
      <c r="K2213" s="84"/>
    </row>
    <row r="2214" spans="1:11" x14ac:dyDescent="0.25">
      <c r="A2214"/>
      <c r="D2214"/>
      <c r="F2214"/>
      <c r="G2214"/>
      <c r="H2214"/>
      <c r="I2214"/>
      <c r="K2214" s="84"/>
    </row>
    <row r="2215" spans="1:11" x14ac:dyDescent="0.25">
      <c r="A2215"/>
      <c r="D2215"/>
      <c r="F2215"/>
      <c r="G2215"/>
      <c r="H2215"/>
      <c r="I2215"/>
      <c r="K2215" s="84"/>
    </row>
    <row r="2216" spans="1:11" x14ac:dyDescent="0.25">
      <c r="A2216"/>
      <c r="D2216"/>
      <c r="F2216"/>
      <c r="G2216"/>
      <c r="H2216"/>
      <c r="I2216"/>
      <c r="K2216" s="84"/>
    </row>
    <row r="2217" spans="1:11" x14ac:dyDescent="0.25">
      <c r="A2217"/>
      <c r="D2217"/>
      <c r="F2217"/>
      <c r="G2217"/>
      <c r="H2217"/>
      <c r="I2217"/>
      <c r="K2217" s="84"/>
    </row>
    <row r="2218" spans="1:11" x14ac:dyDescent="0.25">
      <c r="A2218"/>
      <c r="D2218"/>
      <c r="F2218"/>
      <c r="G2218"/>
      <c r="H2218"/>
      <c r="I2218"/>
      <c r="K2218" s="84"/>
    </row>
    <row r="2219" spans="1:11" x14ac:dyDescent="0.25">
      <c r="A2219"/>
      <c r="D2219"/>
      <c r="F2219"/>
      <c r="G2219"/>
      <c r="H2219"/>
      <c r="I2219"/>
      <c r="K2219" s="84"/>
    </row>
    <row r="2220" spans="1:11" x14ac:dyDescent="0.25">
      <c r="A2220"/>
      <c r="D2220"/>
      <c r="F2220"/>
      <c r="G2220"/>
      <c r="H2220"/>
      <c r="I2220"/>
      <c r="K2220" s="84"/>
    </row>
    <row r="2221" spans="1:11" x14ac:dyDescent="0.25">
      <c r="A2221"/>
      <c r="D2221"/>
      <c r="F2221"/>
      <c r="G2221"/>
      <c r="H2221"/>
      <c r="I2221"/>
      <c r="K2221" s="84"/>
    </row>
    <row r="2222" spans="1:11" x14ac:dyDescent="0.25">
      <c r="A2222"/>
      <c r="D2222"/>
      <c r="F2222"/>
      <c r="G2222"/>
      <c r="H2222"/>
      <c r="I2222"/>
      <c r="K2222" s="84"/>
    </row>
    <row r="2223" spans="1:11" x14ac:dyDescent="0.25">
      <c r="A2223"/>
      <c r="D2223"/>
      <c r="F2223"/>
      <c r="G2223"/>
      <c r="H2223"/>
      <c r="I2223"/>
      <c r="K2223" s="84"/>
    </row>
    <row r="2224" spans="1:11" x14ac:dyDescent="0.25">
      <c r="A2224"/>
      <c r="D2224"/>
      <c r="F2224"/>
      <c r="G2224"/>
      <c r="H2224"/>
      <c r="I2224"/>
      <c r="K2224" s="84"/>
    </row>
    <row r="2225" spans="1:11" x14ac:dyDescent="0.25">
      <c r="A2225"/>
      <c r="D2225"/>
      <c r="F2225"/>
      <c r="G2225"/>
      <c r="H2225"/>
      <c r="I2225"/>
      <c r="K2225" s="84"/>
    </row>
    <row r="2226" spans="1:11" x14ac:dyDescent="0.25">
      <c r="A2226"/>
      <c r="D2226"/>
      <c r="F2226"/>
      <c r="G2226"/>
      <c r="H2226"/>
      <c r="I2226"/>
      <c r="K2226" s="84"/>
    </row>
    <row r="2227" spans="1:11" x14ac:dyDescent="0.25">
      <c r="A2227"/>
      <c r="D2227"/>
      <c r="F2227"/>
      <c r="G2227"/>
      <c r="H2227"/>
      <c r="I2227"/>
      <c r="K2227" s="84"/>
    </row>
    <row r="2228" spans="1:11" x14ac:dyDescent="0.25">
      <c r="A2228"/>
      <c r="D2228"/>
      <c r="F2228"/>
      <c r="G2228"/>
      <c r="H2228"/>
      <c r="I2228"/>
      <c r="K2228" s="84"/>
    </row>
    <row r="2229" spans="1:11" x14ac:dyDescent="0.25">
      <c r="A2229"/>
      <c r="D2229"/>
      <c r="F2229"/>
      <c r="G2229"/>
      <c r="H2229"/>
      <c r="I2229"/>
      <c r="K2229" s="84"/>
    </row>
    <row r="2230" spans="1:11" x14ac:dyDescent="0.25">
      <c r="A2230"/>
      <c r="D2230"/>
      <c r="F2230"/>
      <c r="G2230"/>
      <c r="H2230"/>
      <c r="I2230"/>
      <c r="K2230" s="84"/>
    </row>
    <row r="2231" spans="1:11" x14ac:dyDescent="0.25">
      <c r="A2231"/>
      <c r="D2231"/>
      <c r="F2231"/>
      <c r="G2231"/>
      <c r="H2231"/>
      <c r="I2231"/>
      <c r="K2231" s="84"/>
    </row>
    <row r="2232" spans="1:11" x14ac:dyDescent="0.25">
      <c r="A2232"/>
      <c r="D2232"/>
      <c r="F2232"/>
      <c r="G2232"/>
      <c r="H2232"/>
      <c r="I2232"/>
      <c r="K2232" s="84"/>
    </row>
    <row r="2233" spans="1:11" x14ac:dyDescent="0.25">
      <c r="A2233"/>
      <c r="D2233"/>
      <c r="F2233"/>
      <c r="G2233"/>
      <c r="H2233"/>
      <c r="I2233"/>
      <c r="K2233" s="84"/>
    </row>
    <row r="2234" spans="1:11" x14ac:dyDescent="0.25">
      <c r="A2234"/>
      <c r="D2234"/>
      <c r="F2234"/>
      <c r="G2234"/>
      <c r="H2234"/>
      <c r="I2234"/>
      <c r="K2234" s="84"/>
    </row>
    <row r="2235" spans="1:11" x14ac:dyDescent="0.25">
      <c r="A2235"/>
      <c r="D2235"/>
      <c r="F2235"/>
      <c r="G2235"/>
      <c r="H2235"/>
      <c r="I2235"/>
      <c r="K2235" s="84"/>
    </row>
    <row r="2236" spans="1:11" x14ac:dyDescent="0.25">
      <c r="A2236"/>
      <c r="D2236"/>
      <c r="F2236"/>
      <c r="G2236"/>
      <c r="H2236"/>
      <c r="I2236"/>
      <c r="K2236" s="84"/>
    </row>
    <row r="2237" spans="1:11" x14ac:dyDescent="0.25">
      <c r="A2237"/>
      <c r="D2237"/>
      <c r="F2237"/>
      <c r="G2237"/>
      <c r="H2237"/>
      <c r="I2237"/>
      <c r="K2237" s="84"/>
    </row>
    <row r="2238" spans="1:11" x14ac:dyDescent="0.25">
      <c r="A2238"/>
      <c r="D2238"/>
      <c r="F2238"/>
      <c r="G2238"/>
      <c r="H2238"/>
      <c r="I2238"/>
      <c r="K2238" s="84"/>
    </row>
    <row r="2239" spans="1:11" x14ac:dyDescent="0.25">
      <c r="A2239"/>
      <c r="D2239"/>
      <c r="F2239"/>
      <c r="G2239"/>
      <c r="H2239"/>
      <c r="I2239"/>
      <c r="K2239" s="84"/>
    </row>
    <row r="2240" spans="1:11" x14ac:dyDescent="0.25">
      <c r="A2240"/>
      <c r="D2240"/>
      <c r="F2240"/>
      <c r="G2240"/>
      <c r="H2240"/>
      <c r="I2240"/>
      <c r="K2240" s="84"/>
    </row>
    <row r="2241" spans="1:11" x14ac:dyDescent="0.25">
      <c r="A2241"/>
      <c r="D2241"/>
      <c r="F2241"/>
      <c r="G2241"/>
      <c r="H2241"/>
      <c r="I2241"/>
      <c r="K2241" s="84"/>
    </row>
    <row r="2242" spans="1:11" x14ac:dyDescent="0.25">
      <c r="A2242"/>
      <c r="D2242"/>
      <c r="F2242"/>
      <c r="G2242"/>
      <c r="H2242"/>
      <c r="I2242"/>
      <c r="K2242" s="84"/>
    </row>
    <row r="2243" spans="1:11" x14ac:dyDescent="0.25">
      <c r="A2243"/>
      <c r="D2243"/>
      <c r="F2243"/>
      <c r="G2243"/>
      <c r="H2243"/>
      <c r="I2243"/>
      <c r="K2243" s="84"/>
    </row>
    <row r="2244" spans="1:11" x14ac:dyDescent="0.25">
      <c r="A2244"/>
      <c r="D2244"/>
      <c r="F2244"/>
      <c r="G2244"/>
      <c r="H2244"/>
      <c r="I2244"/>
      <c r="K2244" s="84"/>
    </row>
    <row r="2245" spans="1:11" x14ac:dyDescent="0.25">
      <c r="A2245"/>
      <c r="D2245"/>
      <c r="F2245"/>
      <c r="G2245"/>
      <c r="H2245"/>
      <c r="I2245"/>
      <c r="K2245" s="84"/>
    </row>
    <row r="2246" spans="1:11" x14ac:dyDescent="0.25">
      <c r="A2246"/>
      <c r="D2246"/>
      <c r="F2246"/>
      <c r="G2246"/>
      <c r="H2246"/>
      <c r="I2246"/>
      <c r="K2246" s="84"/>
    </row>
    <row r="2247" spans="1:11" x14ac:dyDescent="0.25">
      <c r="A2247"/>
      <c r="D2247"/>
      <c r="F2247"/>
      <c r="G2247"/>
      <c r="H2247"/>
      <c r="I2247"/>
      <c r="K2247" s="84"/>
    </row>
    <row r="2248" spans="1:11" x14ac:dyDescent="0.25">
      <c r="A2248"/>
      <c r="D2248"/>
      <c r="F2248"/>
      <c r="G2248"/>
      <c r="H2248"/>
      <c r="I2248"/>
      <c r="K2248" s="84"/>
    </row>
    <row r="2249" spans="1:11" x14ac:dyDescent="0.25">
      <c r="A2249"/>
      <c r="D2249"/>
      <c r="F2249"/>
      <c r="G2249"/>
      <c r="H2249"/>
      <c r="I2249"/>
      <c r="K2249" s="84"/>
    </row>
    <row r="2250" spans="1:11" x14ac:dyDescent="0.25">
      <c r="A2250"/>
      <c r="D2250"/>
      <c r="F2250"/>
      <c r="G2250"/>
      <c r="H2250"/>
      <c r="I2250"/>
      <c r="K2250" s="84"/>
    </row>
    <row r="2251" spans="1:11" x14ac:dyDescent="0.25">
      <c r="A2251"/>
      <c r="D2251"/>
      <c r="F2251"/>
      <c r="G2251"/>
      <c r="H2251"/>
      <c r="I2251"/>
      <c r="K2251" s="84"/>
    </row>
    <row r="2252" spans="1:11" x14ac:dyDescent="0.25">
      <c r="A2252"/>
      <c r="D2252"/>
      <c r="F2252"/>
      <c r="G2252"/>
      <c r="H2252"/>
      <c r="I2252"/>
      <c r="K2252" s="84"/>
    </row>
    <row r="2253" spans="1:11" x14ac:dyDescent="0.25">
      <c r="A2253"/>
      <c r="D2253"/>
      <c r="F2253"/>
      <c r="G2253"/>
      <c r="H2253"/>
      <c r="I2253"/>
      <c r="K2253" s="84"/>
    </row>
    <row r="2254" spans="1:11" x14ac:dyDescent="0.25">
      <c r="A2254"/>
      <c r="D2254"/>
      <c r="F2254"/>
      <c r="G2254"/>
      <c r="H2254"/>
      <c r="I2254"/>
      <c r="K2254" s="84"/>
    </row>
    <row r="2255" spans="1:11" x14ac:dyDescent="0.25">
      <c r="A2255"/>
      <c r="D2255"/>
      <c r="F2255"/>
      <c r="G2255"/>
      <c r="H2255"/>
      <c r="I2255"/>
      <c r="K2255" s="84"/>
    </row>
    <row r="2256" spans="1:11" x14ac:dyDescent="0.25">
      <c r="A2256"/>
      <c r="D2256"/>
      <c r="F2256"/>
      <c r="G2256"/>
      <c r="H2256"/>
      <c r="I2256"/>
      <c r="K2256" s="84"/>
    </row>
    <row r="2257" spans="1:11" x14ac:dyDescent="0.25">
      <c r="A2257"/>
      <c r="D2257"/>
      <c r="F2257"/>
      <c r="G2257"/>
      <c r="H2257"/>
      <c r="I2257"/>
      <c r="K2257" s="84"/>
    </row>
    <row r="2258" spans="1:11" x14ac:dyDescent="0.25">
      <c r="A2258"/>
      <c r="D2258"/>
      <c r="F2258"/>
      <c r="G2258"/>
      <c r="H2258"/>
      <c r="I2258"/>
      <c r="K2258" s="84"/>
    </row>
    <row r="2259" spans="1:11" x14ac:dyDescent="0.25">
      <c r="A2259"/>
      <c r="D2259"/>
      <c r="F2259"/>
      <c r="G2259"/>
      <c r="H2259"/>
      <c r="I2259"/>
      <c r="K2259" s="84"/>
    </row>
    <row r="2260" spans="1:11" x14ac:dyDescent="0.25">
      <c r="A2260"/>
      <c r="D2260"/>
      <c r="F2260"/>
      <c r="G2260"/>
      <c r="H2260"/>
      <c r="I2260"/>
      <c r="K2260" s="84"/>
    </row>
    <row r="2261" spans="1:11" x14ac:dyDescent="0.25">
      <c r="A2261"/>
      <c r="D2261"/>
      <c r="F2261"/>
      <c r="G2261"/>
      <c r="H2261"/>
      <c r="I2261"/>
      <c r="K2261" s="84"/>
    </row>
    <row r="2262" spans="1:11" x14ac:dyDescent="0.25">
      <c r="A2262"/>
      <c r="D2262"/>
      <c r="F2262"/>
      <c r="G2262"/>
      <c r="H2262"/>
      <c r="I2262"/>
      <c r="K2262" s="84"/>
    </row>
    <row r="2263" spans="1:11" x14ac:dyDescent="0.25">
      <c r="A2263"/>
      <c r="D2263"/>
      <c r="F2263"/>
      <c r="G2263"/>
      <c r="H2263"/>
      <c r="I2263"/>
      <c r="K2263" s="84"/>
    </row>
    <row r="2264" spans="1:11" x14ac:dyDescent="0.25">
      <c r="A2264"/>
      <c r="D2264"/>
      <c r="F2264"/>
      <c r="G2264"/>
      <c r="H2264"/>
      <c r="I2264"/>
      <c r="K2264" s="84"/>
    </row>
    <row r="2265" spans="1:11" x14ac:dyDescent="0.25">
      <c r="A2265"/>
      <c r="D2265"/>
      <c r="F2265"/>
      <c r="G2265"/>
      <c r="H2265"/>
      <c r="I2265"/>
      <c r="K2265" s="84"/>
    </row>
    <row r="2266" spans="1:11" x14ac:dyDescent="0.25">
      <c r="A2266"/>
      <c r="D2266"/>
      <c r="F2266"/>
      <c r="G2266"/>
      <c r="H2266"/>
      <c r="I2266"/>
      <c r="K2266" s="84"/>
    </row>
    <row r="2267" spans="1:11" x14ac:dyDescent="0.25">
      <c r="A2267"/>
      <c r="D2267"/>
      <c r="F2267"/>
      <c r="G2267"/>
      <c r="H2267"/>
      <c r="I2267"/>
      <c r="K2267" s="84"/>
    </row>
    <row r="2268" spans="1:11" x14ac:dyDescent="0.25">
      <c r="A2268"/>
      <c r="D2268"/>
      <c r="F2268"/>
      <c r="G2268"/>
      <c r="H2268"/>
      <c r="I2268"/>
      <c r="K2268" s="84"/>
    </row>
    <row r="2269" spans="1:11" x14ac:dyDescent="0.25">
      <c r="A2269"/>
      <c r="D2269"/>
      <c r="F2269"/>
      <c r="G2269"/>
      <c r="H2269"/>
      <c r="I2269"/>
      <c r="K2269" s="84"/>
    </row>
    <row r="2270" spans="1:11" x14ac:dyDescent="0.25">
      <c r="A2270"/>
      <c r="D2270"/>
      <c r="F2270"/>
      <c r="G2270"/>
      <c r="H2270"/>
      <c r="I2270"/>
      <c r="K2270" s="84"/>
    </row>
    <row r="2271" spans="1:11" x14ac:dyDescent="0.25">
      <c r="A2271"/>
      <c r="D2271"/>
      <c r="F2271"/>
      <c r="G2271"/>
      <c r="H2271"/>
      <c r="I2271"/>
      <c r="K2271" s="84"/>
    </row>
    <row r="2272" spans="1:11" x14ac:dyDescent="0.25">
      <c r="A2272"/>
      <c r="D2272"/>
      <c r="F2272"/>
      <c r="G2272"/>
      <c r="H2272"/>
      <c r="I2272"/>
      <c r="K2272" s="84"/>
    </row>
    <row r="2273" spans="1:11" x14ac:dyDescent="0.25">
      <c r="A2273"/>
      <c r="D2273"/>
      <c r="F2273"/>
      <c r="G2273"/>
      <c r="H2273"/>
      <c r="I2273"/>
      <c r="K2273" s="84"/>
    </row>
    <row r="2274" spans="1:11" x14ac:dyDescent="0.25">
      <c r="A2274"/>
      <c r="D2274"/>
      <c r="F2274"/>
      <c r="G2274"/>
      <c r="H2274"/>
      <c r="I2274"/>
      <c r="K2274" s="84"/>
    </row>
    <row r="2275" spans="1:11" x14ac:dyDescent="0.25">
      <c r="A2275"/>
      <c r="D2275"/>
      <c r="F2275"/>
      <c r="G2275"/>
      <c r="H2275"/>
      <c r="I2275"/>
      <c r="K2275" s="84"/>
    </row>
    <row r="2276" spans="1:11" x14ac:dyDescent="0.25">
      <c r="A2276"/>
      <c r="D2276"/>
      <c r="F2276"/>
      <c r="G2276"/>
      <c r="H2276"/>
      <c r="I2276"/>
      <c r="K2276" s="84"/>
    </row>
    <row r="2277" spans="1:11" x14ac:dyDescent="0.25">
      <c r="A2277"/>
      <c r="D2277"/>
      <c r="F2277"/>
      <c r="G2277"/>
      <c r="H2277"/>
      <c r="I2277"/>
      <c r="K2277" s="84"/>
    </row>
    <row r="2278" spans="1:11" x14ac:dyDescent="0.25">
      <c r="A2278"/>
      <c r="D2278"/>
      <c r="F2278"/>
      <c r="G2278"/>
      <c r="H2278"/>
      <c r="I2278"/>
      <c r="K2278" s="84"/>
    </row>
    <row r="2279" spans="1:11" x14ac:dyDescent="0.25">
      <c r="A2279"/>
      <c r="D2279"/>
      <c r="F2279"/>
      <c r="G2279"/>
      <c r="H2279"/>
      <c r="I2279"/>
      <c r="K2279" s="84"/>
    </row>
    <row r="2280" spans="1:11" x14ac:dyDescent="0.25">
      <c r="A2280"/>
      <c r="D2280"/>
      <c r="F2280"/>
      <c r="G2280"/>
      <c r="H2280"/>
      <c r="I2280"/>
      <c r="K2280" s="84"/>
    </row>
    <row r="2281" spans="1:11" x14ac:dyDescent="0.25">
      <c r="A2281"/>
      <c r="D2281"/>
      <c r="F2281"/>
      <c r="G2281"/>
      <c r="H2281"/>
      <c r="I2281"/>
      <c r="K2281" s="84"/>
    </row>
    <row r="2282" spans="1:11" x14ac:dyDescent="0.25">
      <c r="A2282"/>
      <c r="D2282"/>
      <c r="F2282"/>
      <c r="G2282"/>
      <c r="H2282"/>
      <c r="I2282"/>
      <c r="K2282" s="84"/>
    </row>
    <row r="2283" spans="1:11" x14ac:dyDescent="0.25">
      <c r="A2283"/>
      <c r="D2283"/>
      <c r="F2283"/>
      <c r="G2283"/>
      <c r="H2283"/>
      <c r="I2283"/>
      <c r="K2283" s="84"/>
    </row>
    <row r="2284" spans="1:11" x14ac:dyDescent="0.25">
      <c r="A2284"/>
      <c r="D2284"/>
      <c r="F2284"/>
      <c r="G2284"/>
      <c r="H2284"/>
      <c r="I2284"/>
      <c r="K2284" s="84"/>
    </row>
    <row r="2285" spans="1:11" x14ac:dyDescent="0.25">
      <c r="A2285"/>
      <c r="D2285"/>
      <c r="F2285"/>
      <c r="G2285"/>
      <c r="H2285"/>
      <c r="I2285"/>
      <c r="K2285" s="84"/>
    </row>
    <row r="2286" spans="1:11" x14ac:dyDescent="0.25">
      <c r="A2286"/>
      <c r="D2286"/>
      <c r="F2286"/>
      <c r="G2286"/>
      <c r="H2286"/>
      <c r="I2286"/>
      <c r="K2286" s="84"/>
    </row>
    <row r="2287" spans="1:11" x14ac:dyDescent="0.25">
      <c r="A2287"/>
      <c r="D2287"/>
      <c r="F2287"/>
      <c r="G2287"/>
      <c r="H2287"/>
      <c r="I2287"/>
      <c r="K2287" s="84"/>
    </row>
    <row r="2288" spans="1:11" x14ac:dyDescent="0.25">
      <c r="A2288"/>
      <c r="D2288"/>
      <c r="F2288"/>
      <c r="G2288"/>
      <c r="H2288"/>
      <c r="I2288"/>
      <c r="K2288" s="84"/>
    </row>
    <row r="2289" spans="1:11" x14ac:dyDescent="0.25">
      <c r="A2289"/>
      <c r="D2289"/>
      <c r="F2289"/>
      <c r="G2289"/>
      <c r="H2289"/>
      <c r="I2289"/>
      <c r="K2289" s="84"/>
    </row>
    <row r="2290" spans="1:11" x14ac:dyDescent="0.25">
      <c r="A2290"/>
      <c r="D2290"/>
      <c r="F2290"/>
      <c r="G2290"/>
      <c r="H2290"/>
      <c r="I2290"/>
      <c r="K2290" s="84"/>
    </row>
    <row r="2291" spans="1:11" x14ac:dyDescent="0.25">
      <c r="A2291"/>
      <c r="D2291"/>
      <c r="F2291"/>
      <c r="G2291"/>
      <c r="H2291"/>
      <c r="I2291"/>
      <c r="K2291" s="84"/>
    </row>
    <row r="2292" spans="1:11" x14ac:dyDescent="0.25">
      <c r="A2292"/>
      <c r="D2292"/>
      <c r="F2292"/>
      <c r="G2292"/>
      <c r="H2292"/>
      <c r="I2292"/>
      <c r="K2292" s="84"/>
    </row>
    <row r="2293" spans="1:11" x14ac:dyDescent="0.25">
      <c r="A2293"/>
      <c r="D2293"/>
      <c r="F2293"/>
      <c r="G2293"/>
      <c r="H2293"/>
      <c r="I2293"/>
      <c r="K2293" s="84"/>
    </row>
    <row r="2294" spans="1:11" x14ac:dyDescent="0.25">
      <c r="A2294"/>
      <c r="D2294"/>
      <c r="F2294"/>
      <c r="G2294"/>
      <c r="H2294"/>
      <c r="I2294"/>
      <c r="K2294" s="84"/>
    </row>
    <row r="2295" spans="1:11" x14ac:dyDescent="0.25">
      <c r="A2295"/>
      <c r="D2295"/>
      <c r="F2295"/>
      <c r="G2295"/>
      <c r="H2295"/>
      <c r="I2295"/>
      <c r="K2295" s="84"/>
    </row>
    <row r="2296" spans="1:11" x14ac:dyDescent="0.25">
      <c r="A2296"/>
      <c r="D2296"/>
      <c r="F2296"/>
      <c r="G2296"/>
      <c r="H2296"/>
      <c r="I2296"/>
      <c r="K2296" s="84"/>
    </row>
    <row r="2297" spans="1:11" x14ac:dyDescent="0.25">
      <c r="A2297"/>
      <c r="D2297"/>
      <c r="F2297"/>
      <c r="G2297"/>
      <c r="H2297"/>
      <c r="I2297"/>
      <c r="K2297" s="84"/>
    </row>
    <row r="2298" spans="1:11" x14ac:dyDescent="0.25">
      <c r="A2298"/>
      <c r="D2298"/>
      <c r="F2298"/>
      <c r="G2298"/>
      <c r="H2298"/>
      <c r="I2298"/>
      <c r="K2298" s="84"/>
    </row>
    <row r="2299" spans="1:11" x14ac:dyDescent="0.25">
      <c r="A2299"/>
      <c r="D2299"/>
      <c r="F2299"/>
      <c r="G2299"/>
      <c r="H2299"/>
      <c r="I2299"/>
      <c r="K2299" s="84"/>
    </row>
    <row r="2300" spans="1:11" x14ac:dyDescent="0.25">
      <c r="A2300"/>
      <c r="D2300"/>
      <c r="F2300"/>
      <c r="G2300"/>
      <c r="H2300"/>
      <c r="I2300"/>
      <c r="K2300" s="84"/>
    </row>
    <row r="2301" spans="1:11" x14ac:dyDescent="0.25">
      <c r="A2301"/>
      <c r="D2301"/>
      <c r="F2301"/>
      <c r="G2301"/>
      <c r="H2301"/>
      <c r="I2301"/>
      <c r="K2301" s="84"/>
    </row>
    <row r="2302" spans="1:11" x14ac:dyDescent="0.25">
      <c r="A2302"/>
      <c r="D2302"/>
      <c r="F2302"/>
      <c r="G2302"/>
      <c r="H2302"/>
      <c r="I2302"/>
      <c r="K2302" s="84"/>
    </row>
    <row r="2303" spans="1:11" x14ac:dyDescent="0.25">
      <c r="A2303"/>
      <c r="D2303"/>
      <c r="F2303"/>
      <c r="G2303"/>
      <c r="H2303"/>
      <c r="I2303"/>
      <c r="K2303" s="84"/>
    </row>
    <row r="2304" spans="1:11" x14ac:dyDescent="0.25">
      <c r="A2304"/>
      <c r="D2304"/>
      <c r="F2304"/>
      <c r="G2304"/>
      <c r="H2304"/>
      <c r="I2304"/>
      <c r="K2304" s="84"/>
    </row>
    <row r="2305" spans="1:11" x14ac:dyDescent="0.25">
      <c r="A2305"/>
      <c r="D2305"/>
      <c r="F2305"/>
      <c r="G2305"/>
      <c r="H2305"/>
      <c r="I2305"/>
      <c r="K2305" s="84"/>
    </row>
  </sheetData>
  <sortState xmlns:xlrd2="http://schemas.microsoft.com/office/spreadsheetml/2017/richdata2" ref="A2:S581">
    <sortCondition ref="J2:J581"/>
  </sortState>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BBD74-F987-4D5C-91AE-C93F458D594A}">
  <dimension ref="A1:W1"/>
  <sheetViews>
    <sheetView workbookViewId="0"/>
  </sheetViews>
  <sheetFormatPr defaultRowHeight="15" x14ac:dyDescent="0.25"/>
  <sheetData>
    <row r="1" spans="1:23" ht="45" x14ac:dyDescent="0.25">
      <c r="A1" s="4" t="s">
        <v>44</v>
      </c>
      <c r="B1" s="4" t="s">
        <v>45</v>
      </c>
      <c r="C1" s="4" t="s">
        <v>46</v>
      </c>
      <c r="D1" s="4" t="s">
        <v>47</v>
      </c>
      <c r="E1" s="4" t="s">
        <v>48</v>
      </c>
      <c r="F1" s="4" t="s">
        <v>50</v>
      </c>
      <c r="G1" s="4" t="s">
        <v>51</v>
      </c>
      <c r="H1" s="4" t="s">
        <v>53</v>
      </c>
      <c r="I1" s="4" t="s">
        <v>52</v>
      </c>
      <c r="J1" s="4" t="s">
        <v>54</v>
      </c>
      <c r="K1" s="4" t="s">
        <v>568</v>
      </c>
      <c r="L1" s="4" t="s">
        <v>569</v>
      </c>
      <c r="M1" s="4" t="s">
        <v>570</v>
      </c>
      <c r="N1" s="4" t="s">
        <v>571</v>
      </c>
      <c r="O1" s="4" t="s">
        <v>572</v>
      </c>
      <c r="P1" s="4" t="s">
        <v>573</v>
      </c>
      <c r="Q1" s="4" t="s">
        <v>574</v>
      </c>
      <c r="R1" s="4" t="s">
        <v>575</v>
      </c>
      <c r="S1" s="4" t="s">
        <v>576</v>
      </c>
      <c r="T1" s="4" t="s">
        <v>577</v>
      </c>
      <c r="U1" s="4" t="s">
        <v>578</v>
      </c>
      <c r="V1" s="4" t="s">
        <v>579</v>
      </c>
      <c r="W1" s="4" t="s">
        <v>580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29E4-70D1-498C-B202-A35BDD3937C6}">
  <sheetPr>
    <tabColor theme="9" tint="0.39997558519241921"/>
  </sheetPr>
  <dimension ref="A1:K538"/>
  <sheetViews>
    <sheetView workbookViewId="0"/>
  </sheetViews>
  <sheetFormatPr defaultRowHeight="15" x14ac:dyDescent="0.25"/>
  <cols>
    <col min="1" max="1" width="8.85546875"/>
    <col min="2" max="3" width="8.85546875" style="6"/>
    <col min="4" max="4" width="14.7109375" bestFit="1" customWidth="1"/>
    <col min="5" max="9" width="8.85546875"/>
    <col min="10" max="10" width="13.5703125" customWidth="1"/>
    <col min="11" max="11" width="9.140625" style="21"/>
  </cols>
  <sheetData>
    <row r="1" spans="1:11" ht="45" x14ac:dyDescent="0.25">
      <c r="A1" s="53" t="s">
        <v>44</v>
      </c>
      <c r="B1" s="53" t="s">
        <v>45</v>
      </c>
      <c r="C1" s="53" t="s">
        <v>46</v>
      </c>
      <c r="D1" s="53" t="s">
        <v>47</v>
      </c>
      <c r="E1" s="53" t="s">
        <v>48</v>
      </c>
      <c r="F1" s="53" t="s">
        <v>50</v>
      </c>
      <c r="G1" s="53" t="s">
        <v>51</v>
      </c>
      <c r="H1" s="53" t="s">
        <v>49</v>
      </c>
      <c r="I1" s="53" t="s">
        <v>54</v>
      </c>
      <c r="J1" s="4" t="s">
        <v>151</v>
      </c>
      <c r="K1" s="4" t="s">
        <v>581</v>
      </c>
    </row>
    <row r="2" spans="1:11" x14ac:dyDescent="0.25">
      <c r="A2" t="s">
        <v>24</v>
      </c>
      <c r="B2" s="61"/>
      <c r="C2" s="61"/>
      <c r="D2" t="s">
        <v>28</v>
      </c>
      <c r="E2">
        <v>1998</v>
      </c>
      <c r="F2">
        <v>1</v>
      </c>
      <c r="G2">
        <v>1</v>
      </c>
      <c r="H2">
        <v>1</v>
      </c>
      <c r="I2">
        <v>101</v>
      </c>
      <c r="J2" s="77"/>
      <c r="K2" s="21">
        <v>1076.1904761904764</v>
      </c>
    </row>
    <row r="3" spans="1:11" x14ac:dyDescent="0.25">
      <c r="A3" t="s">
        <v>24</v>
      </c>
      <c r="B3" s="61"/>
      <c r="C3" s="61"/>
      <c r="D3" t="s">
        <v>312</v>
      </c>
      <c r="E3">
        <v>2002</v>
      </c>
      <c r="F3">
        <v>1</v>
      </c>
      <c r="G3">
        <v>2</v>
      </c>
      <c r="H3">
        <v>1</v>
      </c>
      <c r="I3">
        <v>102</v>
      </c>
      <c r="J3" s="77"/>
      <c r="K3" s="21">
        <v>740</v>
      </c>
    </row>
    <row r="4" spans="1:11" x14ac:dyDescent="0.25">
      <c r="A4" t="s">
        <v>34</v>
      </c>
      <c r="B4" s="61"/>
      <c r="C4" s="61"/>
      <c r="D4" t="s">
        <v>39</v>
      </c>
      <c r="E4">
        <v>2001</v>
      </c>
      <c r="F4">
        <v>1</v>
      </c>
      <c r="G4">
        <v>3</v>
      </c>
      <c r="H4">
        <v>1</v>
      </c>
      <c r="I4">
        <v>103</v>
      </c>
      <c r="J4" s="77"/>
      <c r="K4" s="21">
        <v>1426.086956521739</v>
      </c>
    </row>
    <row r="5" spans="1:11" x14ac:dyDescent="0.25">
      <c r="A5" t="s">
        <v>34</v>
      </c>
      <c r="B5" s="61"/>
      <c r="C5" s="61"/>
      <c r="D5" t="s">
        <v>37</v>
      </c>
      <c r="E5">
        <v>1989</v>
      </c>
      <c r="F5">
        <v>1</v>
      </c>
      <c r="G5">
        <v>4</v>
      </c>
      <c r="H5">
        <v>1</v>
      </c>
      <c r="I5">
        <v>104</v>
      </c>
      <c r="J5" s="77"/>
      <c r="K5" s="21">
        <v>694.11764705882354</v>
      </c>
    </row>
    <row r="6" spans="1:11" x14ac:dyDescent="0.25">
      <c r="A6" t="s">
        <v>24</v>
      </c>
      <c r="B6" s="61"/>
      <c r="C6" s="61"/>
      <c r="D6" t="s">
        <v>29</v>
      </c>
      <c r="E6">
        <v>1999</v>
      </c>
      <c r="F6">
        <v>1</v>
      </c>
      <c r="G6">
        <v>5</v>
      </c>
      <c r="H6">
        <v>2</v>
      </c>
      <c r="I6">
        <v>105</v>
      </c>
      <c r="J6" s="77"/>
      <c r="K6" s="21">
        <v>906.66666666666663</v>
      </c>
    </row>
    <row r="7" spans="1:11" x14ac:dyDescent="0.25">
      <c r="A7" t="s">
        <v>24</v>
      </c>
      <c r="B7" s="61"/>
      <c r="C7" s="61"/>
      <c r="D7" t="s">
        <v>311</v>
      </c>
      <c r="E7">
        <v>2023</v>
      </c>
      <c r="F7">
        <v>1</v>
      </c>
      <c r="G7">
        <v>6</v>
      </c>
      <c r="H7">
        <v>2</v>
      </c>
      <c r="I7">
        <v>106</v>
      </c>
      <c r="J7" s="77"/>
      <c r="K7" s="21">
        <v>952.94117647058818</v>
      </c>
    </row>
    <row r="8" spans="1:11" x14ac:dyDescent="0.25">
      <c r="A8" t="s">
        <v>34</v>
      </c>
      <c r="B8" s="61"/>
      <c r="C8" s="61"/>
      <c r="D8" t="s">
        <v>41</v>
      </c>
      <c r="E8">
        <v>2008</v>
      </c>
      <c r="F8">
        <v>1</v>
      </c>
      <c r="G8">
        <v>7</v>
      </c>
      <c r="H8">
        <v>2</v>
      </c>
      <c r="I8">
        <v>107</v>
      </c>
      <c r="J8" s="77"/>
      <c r="K8" s="21">
        <v>846.15384615384619</v>
      </c>
    </row>
    <row r="9" spans="1:11" x14ac:dyDescent="0.25">
      <c r="A9" t="s">
        <v>34</v>
      </c>
      <c r="B9" s="61"/>
      <c r="C9" s="61"/>
      <c r="D9" t="s">
        <v>318</v>
      </c>
      <c r="E9">
        <v>2004</v>
      </c>
      <c r="F9">
        <v>1</v>
      </c>
      <c r="G9">
        <v>8</v>
      </c>
      <c r="H9">
        <v>2</v>
      </c>
      <c r="I9">
        <v>108</v>
      </c>
      <c r="J9" s="77"/>
      <c r="K9" s="21">
        <v>755.55555555555554</v>
      </c>
    </row>
    <row r="10" spans="1:11" x14ac:dyDescent="0.25">
      <c r="A10" t="s">
        <v>24</v>
      </c>
      <c r="D10" t="s">
        <v>26</v>
      </c>
      <c r="E10">
        <v>1983</v>
      </c>
      <c r="F10">
        <v>1</v>
      </c>
      <c r="G10">
        <v>9</v>
      </c>
      <c r="H10">
        <v>3</v>
      </c>
      <c r="I10">
        <v>109</v>
      </c>
      <c r="J10" s="77"/>
      <c r="K10" s="21">
        <v>1241.3793103448277</v>
      </c>
    </row>
    <row r="11" spans="1:11" x14ac:dyDescent="0.25">
      <c r="A11" t="s">
        <v>24</v>
      </c>
      <c r="D11" t="s">
        <v>313</v>
      </c>
      <c r="E11">
        <v>2016</v>
      </c>
      <c r="F11">
        <v>1</v>
      </c>
      <c r="G11">
        <v>10</v>
      </c>
      <c r="H11">
        <v>3</v>
      </c>
      <c r="I11">
        <v>110</v>
      </c>
      <c r="J11" s="77"/>
      <c r="K11" s="21">
        <v>905.26315789473676</v>
      </c>
    </row>
    <row r="12" spans="1:11" x14ac:dyDescent="0.25">
      <c r="A12" t="s">
        <v>34</v>
      </c>
      <c r="D12" t="s">
        <v>42</v>
      </c>
      <c r="E12">
        <v>2016</v>
      </c>
      <c r="F12">
        <v>1</v>
      </c>
      <c r="G12">
        <v>11</v>
      </c>
      <c r="H12">
        <v>3</v>
      </c>
      <c r="I12">
        <v>111</v>
      </c>
      <c r="J12" s="77"/>
      <c r="K12" s="21">
        <v>1033.3333333333335</v>
      </c>
    </row>
    <row r="13" spans="1:11" x14ac:dyDescent="0.25">
      <c r="A13" t="s">
        <v>34</v>
      </c>
      <c r="D13" t="s">
        <v>38</v>
      </c>
      <c r="E13">
        <v>1999</v>
      </c>
      <c r="F13">
        <v>1</v>
      </c>
      <c r="G13">
        <v>12</v>
      </c>
      <c r="H13">
        <v>3</v>
      </c>
      <c r="I13">
        <v>112</v>
      </c>
      <c r="J13" s="77"/>
      <c r="K13" s="21">
        <v>657.14285714285711</v>
      </c>
    </row>
    <row r="14" spans="1:11" x14ac:dyDescent="0.25">
      <c r="A14" t="s">
        <v>24</v>
      </c>
      <c r="D14" t="s">
        <v>32</v>
      </c>
      <c r="E14">
        <v>2018</v>
      </c>
      <c r="F14">
        <v>1</v>
      </c>
      <c r="G14">
        <v>13</v>
      </c>
      <c r="H14">
        <v>4</v>
      </c>
      <c r="I14">
        <v>113</v>
      </c>
      <c r="J14" s="77"/>
      <c r="K14" s="21">
        <v>713.51351351351354</v>
      </c>
    </row>
    <row r="15" spans="1:11" x14ac:dyDescent="0.25">
      <c r="A15" t="s">
        <v>24</v>
      </c>
      <c r="D15" t="s">
        <v>27</v>
      </c>
      <c r="E15">
        <v>1985</v>
      </c>
      <c r="F15">
        <v>1</v>
      </c>
      <c r="G15">
        <v>14</v>
      </c>
      <c r="H15">
        <v>4</v>
      </c>
      <c r="I15">
        <v>114</v>
      </c>
      <c r="J15" s="77"/>
      <c r="K15" s="21">
        <v>927.99999999999989</v>
      </c>
    </row>
    <row r="16" spans="1:11" x14ac:dyDescent="0.25">
      <c r="A16" t="s">
        <v>34</v>
      </c>
      <c r="D16" t="s">
        <v>36</v>
      </c>
      <c r="E16">
        <v>1984</v>
      </c>
      <c r="F16">
        <v>1</v>
      </c>
      <c r="G16">
        <v>15</v>
      </c>
      <c r="H16">
        <v>4</v>
      </c>
      <c r="I16">
        <v>115</v>
      </c>
      <c r="J16" s="77"/>
      <c r="K16" s="21">
        <v>800</v>
      </c>
    </row>
    <row r="17" spans="1:11" x14ac:dyDescent="0.25">
      <c r="A17" t="s">
        <v>34</v>
      </c>
      <c r="D17" t="s">
        <v>43</v>
      </c>
      <c r="E17">
        <v>2020</v>
      </c>
      <c r="F17">
        <v>1</v>
      </c>
      <c r="G17">
        <v>16</v>
      </c>
      <c r="H17">
        <v>4</v>
      </c>
      <c r="I17">
        <v>116</v>
      </c>
      <c r="J17" s="77"/>
      <c r="K17" s="21">
        <v>533.33333333333326</v>
      </c>
    </row>
    <row r="18" spans="1:11" x14ac:dyDescent="0.25">
      <c r="A18" t="s">
        <v>24</v>
      </c>
      <c r="B18" s="61"/>
      <c r="C18" s="61"/>
      <c r="D18" t="s">
        <v>313</v>
      </c>
      <c r="E18">
        <v>2016</v>
      </c>
      <c r="F18">
        <v>2</v>
      </c>
      <c r="G18">
        <v>1</v>
      </c>
      <c r="H18">
        <v>1</v>
      </c>
      <c r="I18">
        <v>117</v>
      </c>
      <c r="J18" s="77"/>
      <c r="K18" s="21">
        <v>726.31578947368428</v>
      </c>
    </row>
    <row r="19" spans="1:11" x14ac:dyDescent="0.25">
      <c r="A19" t="s">
        <v>24</v>
      </c>
      <c r="B19" s="61"/>
      <c r="C19" s="61"/>
      <c r="D19" t="s">
        <v>311</v>
      </c>
      <c r="E19">
        <v>2023</v>
      </c>
      <c r="F19">
        <v>2</v>
      </c>
      <c r="G19">
        <v>2</v>
      </c>
      <c r="H19">
        <v>1</v>
      </c>
      <c r="I19">
        <v>118</v>
      </c>
      <c r="J19" s="77"/>
      <c r="K19" s="21">
        <v>960</v>
      </c>
    </row>
    <row r="20" spans="1:11" x14ac:dyDescent="0.25">
      <c r="A20" t="s">
        <v>34</v>
      </c>
      <c r="B20" s="61"/>
      <c r="C20" s="61"/>
      <c r="D20" t="s">
        <v>318</v>
      </c>
      <c r="E20">
        <v>2004</v>
      </c>
      <c r="F20">
        <v>2</v>
      </c>
      <c r="G20">
        <v>3</v>
      </c>
      <c r="H20">
        <v>1</v>
      </c>
      <c r="I20">
        <v>119</v>
      </c>
      <c r="J20" s="77"/>
      <c r="K20" s="21">
        <v>852.17391304347836</v>
      </c>
    </row>
    <row r="21" spans="1:11" x14ac:dyDescent="0.25">
      <c r="A21" t="s">
        <v>34</v>
      </c>
      <c r="B21" s="61"/>
      <c r="C21" s="61"/>
      <c r="D21" t="s">
        <v>42</v>
      </c>
      <c r="E21">
        <v>2016</v>
      </c>
      <c r="F21">
        <v>2</v>
      </c>
      <c r="G21">
        <v>4</v>
      </c>
      <c r="H21">
        <v>1</v>
      </c>
      <c r="I21">
        <v>120</v>
      </c>
      <c r="J21" s="77"/>
      <c r="K21" s="21">
        <v>846.15384615384619</v>
      </c>
    </row>
    <row r="22" spans="1:11" x14ac:dyDescent="0.25">
      <c r="A22" t="s">
        <v>24</v>
      </c>
      <c r="B22" s="61"/>
      <c r="C22" s="61"/>
      <c r="D22" t="s">
        <v>27</v>
      </c>
      <c r="E22">
        <v>1985</v>
      </c>
      <c r="F22">
        <v>2</v>
      </c>
      <c r="G22">
        <v>5</v>
      </c>
      <c r="H22">
        <v>2</v>
      </c>
      <c r="I22">
        <v>121</v>
      </c>
      <c r="J22" s="77"/>
      <c r="K22" s="21">
        <v>1019.3548387096774</v>
      </c>
    </row>
    <row r="23" spans="1:11" x14ac:dyDescent="0.25">
      <c r="A23" t="s">
        <v>24</v>
      </c>
      <c r="B23" s="61"/>
      <c r="C23" s="61"/>
      <c r="D23" t="s">
        <v>28</v>
      </c>
      <c r="E23">
        <v>1998</v>
      </c>
      <c r="F23">
        <v>2</v>
      </c>
      <c r="G23">
        <v>6</v>
      </c>
      <c r="H23">
        <v>2</v>
      </c>
      <c r="I23">
        <v>122</v>
      </c>
      <c r="J23" s="77"/>
      <c r="K23" s="21">
        <v>868.29268292682934</v>
      </c>
    </row>
    <row r="24" spans="1:11" x14ac:dyDescent="0.25">
      <c r="A24" t="s">
        <v>34</v>
      </c>
      <c r="B24" s="61"/>
      <c r="C24" s="61"/>
      <c r="D24" t="s">
        <v>37</v>
      </c>
      <c r="E24">
        <v>1989</v>
      </c>
      <c r="F24">
        <v>2</v>
      </c>
      <c r="G24">
        <v>7</v>
      </c>
      <c r="H24">
        <v>2</v>
      </c>
      <c r="I24">
        <v>123</v>
      </c>
      <c r="J24" s="77"/>
      <c r="K24" s="21">
        <v>834.78260869565213</v>
      </c>
    </row>
    <row r="25" spans="1:11" x14ac:dyDescent="0.25">
      <c r="A25" t="s">
        <v>34</v>
      </c>
      <c r="B25" s="61"/>
      <c r="C25" s="61"/>
      <c r="D25" t="s">
        <v>43</v>
      </c>
      <c r="E25">
        <v>2020</v>
      </c>
      <c r="F25">
        <v>2</v>
      </c>
      <c r="G25">
        <v>8</v>
      </c>
      <c r="H25">
        <v>2</v>
      </c>
      <c r="I25">
        <v>124</v>
      </c>
      <c r="J25" s="77"/>
      <c r="K25" s="21">
        <v>640</v>
      </c>
    </row>
    <row r="26" spans="1:11" x14ac:dyDescent="0.25">
      <c r="A26" t="s">
        <v>24</v>
      </c>
      <c r="B26" s="54"/>
      <c r="C26" s="55"/>
      <c r="D26" t="s">
        <v>312</v>
      </c>
      <c r="E26">
        <v>2002</v>
      </c>
      <c r="F26">
        <v>2</v>
      </c>
      <c r="G26">
        <v>9</v>
      </c>
      <c r="H26">
        <v>3</v>
      </c>
      <c r="I26">
        <v>125</v>
      </c>
      <c r="J26" s="77"/>
      <c r="K26" s="21">
        <v>946.66666666666663</v>
      </c>
    </row>
    <row r="27" spans="1:11" x14ac:dyDescent="0.25">
      <c r="A27" t="s">
        <v>24</v>
      </c>
      <c r="D27" t="s">
        <v>32</v>
      </c>
      <c r="E27">
        <v>2018</v>
      </c>
      <c r="F27">
        <v>2</v>
      </c>
      <c r="G27">
        <v>10</v>
      </c>
      <c r="H27">
        <v>3</v>
      </c>
      <c r="I27">
        <v>126</v>
      </c>
      <c r="J27" s="77"/>
      <c r="K27" s="21">
        <v>737.77777777777783</v>
      </c>
    </row>
    <row r="28" spans="1:11" x14ac:dyDescent="0.25">
      <c r="A28" t="s">
        <v>34</v>
      </c>
      <c r="D28" t="s">
        <v>39</v>
      </c>
      <c r="E28">
        <v>2001</v>
      </c>
      <c r="F28">
        <v>2</v>
      </c>
      <c r="G28">
        <v>11</v>
      </c>
      <c r="H28">
        <v>3</v>
      </c>
      <c r="I28">
        <v>127</v>
      </c>
      <c r="J28" s="77"/>
      <c r="K28" s="21">
        <v>962.5</v>
      </c>
    </row>
    <row r="29" spans="1:11" x14ac:dyDescent="0.25">
      <c r="A29" t="s">
        <v>34</v>
      </c>
      <c r="D29" t="s">
        <v>36</v>
      </c>
      <c r="E29">
        <v>1984</v>
      </c>
      <c r="F29">
        <v>2</v>
      </c>
      <c r="G29">
        <v>12</v>
      </c>
      <c r="H29">
        <v>3</v>
      </c>
      <c r="I29">
        <v>128</v>
      </c>
      <c r="J29" s="77"/>
      <c r="K29" s="21">
        <v>640</v>
      </c>
    </row>
    <row r="30" spans="1:11" x14ac:dyDescent="0.25">
      <c r="A30" t="s">
        <v>24</v>
      </c>
      <c r="D30" t="s">
        <v>26</v>
      </c>
      <c r="E30">
        <v>1983</v>
      </c>
      <c r="F30">
        <v>2</v>
      </c>
      <c r="G30">
        <v>13</v>
      </c>
      <c r="H30">
        <v>4</v>
      </c>
      <c r="I30">
        <v>129</v>
      </c>
      <c r="J30" s="77"/>
      <c r="K30" s="21">
        <v>680</v>
      </c>
    </row>
    <row r="31" spans="1:11" x14ac:dyDescent="0.25">
      <c r="A31" t="s">
        <v>24</v>
      </c>
      <c r="D31" t="s">
        <v>29</v>
      </c>
      <c r="E31">
        <v>1999</v>
      </c>
      <c r="F31">
        <v>2</v>
      </c>
      <c r="G31">
        <v>14</v>
      </c>
      <c r="H31">
        <v>4</v>
      </c>
      <c r="I31">
        <v>130</v>
      </c>
      <c r="J31" s="77"/>
      <c r="K31" s="21">
        <v>925.71428571428578</v>
      </c>
    </row>
    <row r="32" spans="1:11" x14ac:dyDescent="0.25">
      <c r="A32" t="s">
        <v>34</v>
      </c>
      <c r="D32" t="s">
        <v>38</v>
      </c>
      <c r="E32">
        <v>1999</v>
      </c>
      <c r="F32">
        <v>2</v>
      </c>
      <c r="G32">
        <v>15</v>
      </c>
      <c r="H32">
        <v>4</v>
      </c>
      <c r="I32">
        <v>131</v>
      </c>
      <c r="J32" s="77"/>
      <c r="K32" s="21">
        <v>800</v>
      </c>
    </row>
    <row r="33" spans="1:11" x14ac:dyDescent="0.25">
      <c r="A33" t="s">
        <v>34</v>
      </c>
      <c r="D33" t="s">
        <v>41</v>
      </c>
      <c r="E33">
        <v>2008</v>
      </c>
      <c r="F33">
        <v>2</v>
      </c>
      <c r="G33">
        <v>16</v>
      </c>
      <c r="H33">
        <v>4</v>
      </c>
      <c r="I33">
        <v>132</v>
      </c>
      <c r="J33" s="77"/>
      <c r="K33" s="21">
        <v>765.21739130434787</v>
      </c>
    </row>
    <row r="34" spans="1:11" x14ac:dyDescent="0.25">
      <c r="A34" t="s">
        <v>24</v>
      </c>
      <c r="B34" s="61"/>
      <c r="C34" s="61"/>
      <c r="D34" t="s">
        <v>26</v>
      </c>
      <c r="E34">
        <v>1983</v>
      </c>
      <c r="F34">
        <v>3</v>
      </c>
      <c r="G34">
        <v>1</v>
      </c>
      <c r="H34">
        <v>1</v>
      </c>
      <c r="I34">
        <v>133</v>
      </c>
      <c r="J34" s="77"/>
      <c r="K34" s="21">
        <v>1375</v>
      </c>
    </row>
    <row r="35" spans="1:11" x14ac:dyDescent="0.25">
      <c r="A35" t="s">
        <v>24</v>
      </c>
      <c r="B35" s="61"/>
      <c r="C35" s="61"/>
      <c r="D35" t="s">
        <v>27</v>
      </c>
      <c r="E35">
        <v>1985</v>
      </c>
      <c r="F35">
        <v>3</v>
      </c>
      <c r="G35">
        <v>2</v>
      </c>
      <c r="H35">
        <v>1</v>
      </c>
      <c r="I35">
        <v>134</v>
      </c>
      <c r="J35" s="77"/>
      <c r="K35" s="21">
        <v>940</v>
      </c>
    </row>
    <row r="36" spans="1:11" x14ac:dyDescent="0.25">
      <c r="A36" t="s">
        <v>34</v>
      </c>
      <c r="B36" s="61"/>
      <c r="C36" s="61"/>
      <c r="D36" t="s">
        <v>41</v>
      </c>
      <c r="E36">
        <v>2008</v>
      </c>
      <c r="F36">
        <v>3</v>
      </c>
      <c r="G36">
        <v>3</v>
      </c>
      <c r="H36">
        <v>1</v>
      </c>
      <c r="I36">
        <v>135</v>
      </c>
      <c r="J36" s="77"/>
      <c r="K36" s="21">
        <v>726.31578947368428</v>
      </c>
    </row>
    <row r="37" spans="1:11" x14ac:dyDescent="0.25">
      <c r="A37" t="s">
        <v>34</v>
      </c>
      <c r="B37" s="61"/>
      <c r="C37" s="61"/>
      <c r="D37" t="s">
        <v>36</v>
      </c>
      <c r="E37">
        <v>1984</v>
      </c>
      <c r="F37">
        <v>3</v>
      </c>
      <c r="G37">
        <v>4</v>
      </c>
      <c r="H37">
        <v>1</v>
      </c>
      <c r="I37">
        <v>136</v>
      </c>
      <c r="J37" s="77"/>
      <c r="K37" s="21">
        <v>633.33333333333326</v>
      </c>
    </row>
    <row r="38" spans="1:11" x14ac:dyDescent="0.25">
      <c r="A38" t="s">
        <v>24</v>
      </c>
      <c r="B38" s="61"/>
      <c r="C38" s="61"/>
      <c r="D38" t="s">
        <v>313</v>
      </c>
      <c r="E38">
        <v>2016</v>
      </c>
      <c r="F38">
        <v>3</v>
      </c>
      <c r="G38">
        <v>5</v>
      </c>
      <c r="H38">
        <v>2</v>
      </c>
      <c r="I38">
        <v>137</v>
      </c>
      <c r="J38" s="77"/>
      <c r="K38" s="21">
        <v>670.9677419354839</v>
      </c>
    </row>
    <row r="39" spans="1:11" x14ac:dyDescent="0.25">
      <c r="A39" t="s">
        <v>24</v>
      </c>
      <c r="B39" s="61"/>
      <c r="C39" s="61"/>
      <c r="D39" t="s">
        <v>32</v>
      </c>
      <c r="E39">
        <v>2018</v>
      </c>
      <c r="F39">
        <v>3</v>
      </c>
      <c r="G39">
        <v>6</v>
      </c>
      <c r="H39">
        <v>2</v>
      </c>
      <c r="I39">
        <v>138</v>
      </c>
      <c r="J39" s="77"/>
      <c r="K39" s="21">
        <v>864.51612903225805</v>
      </c>
    </row>
    <row r="40" spans="1:11" x14ac:dyDescent="0.25">
      <c r="A40" t="s">
        <v>34</v>
      </c>
      <c r="B40" s="61"/>
      <c r="C40" s="61"/>
      <c r="D40" t="s">
        <v>39</v>
      </c>
      <c r="E40">
        <v>2001</v>
      </c>
      <c r="F40">
        <v>3</v>
      </c>
      <c r="G40">
        <v>7</v>
      </c>
      <c r="H40">
        <v>2</v>
      </c>
      <c r="I40">
        <v>139</v>
      </c>
      <c r="J40" s="77"/>
      <c r="K40" s="21">
        <v>1200</v>
      </c>
    </row>
    <row r="41" spans="1:11" x14ac:dyDescent="0.25">
      <c r="A41" t="s">
        <v>34</v>
      </c>
      <c r="B41" s="61"/>
      <c r="C41" s="61"/>
      <c r="D41" t="s">
        <v>38</v>
      </c>
      <c r="E41">
        <v>1999</v>
      </c>
      <c r="F41">
        <v>3</v>
      </c>
      <c r="G41">
        <v>8</v>
      </c>
      <c r="H41">
        <v>2</v>
      </c>
      <c r="I41">
        <v>140</v>
      </c>
      <c r="J41" s="77"/>
      <c r="K41" s="21">
        <v>815.38461538461536</v>
      </c>
    </row>
    <row r="42" spans="1:11" x14ac:dyDescent="0.25">
      <c r="A42" t="s">
        <v>24</v>
      </c>
      <c r="D42" t="s">
        <v>28</v>
      </c>
      <c r="E42">
        <v>1998</v>
      </c>
      <c r="F42">
        <v>3</v>
      </c>
      <c r="G42">
        <v>9</v>
      </c>
      <c r="H42">
        <v>3</v>
      </c>
      <c r="I42">
        <v>141</v>
      </c>
      <c r="J42" s="77"/>
      <c r="K42" s="21">
        <v>800</v>
      </c>
    </row>
    <row r="43" spans="1:11" x14ac:dyDescent="0.25">
      <c r="A43" t="s">
        <v>24</v>
      </c>
      <c r="D43" t="s">
        <v>29</v>
      </c>
      <c r="E43">
        <v>1999</v>
      </c>
      <c r="F43">
        <v>3</v>
      </c>
      <c r="G43">
        <v>10</v>
      </c>
      <c r="H43">
        <v>3</v>
      </c>
      <c r="I43">
        <v>142</v>
      </c>
      <c r="J43" s="77"/>
      <c r="K43" s="21">
        <v>963.26530612244903</v>
      </c>
    </row>
    <row r="44" spans="1:11" x14ac:dyDescent="0.25">
      <c r="A44" t="s">
        <v>34</v>
      </c>
      <c r="D44" t="s">
        <v>43</v>
      </c>
      <c r="E44">
        <v>2020</v>
      </c>
      <c r="F44">
        <v>3</v>
      </c>
      <c r="G44">
        <v>11</v>
      </c>
      <c r="H44">
        <v>3</v>
      </c>
      <c r="I44">
        <v>143</v>
      </c>
      <c r="J44" s="77"/>
      <c r="K44" s="21">
        <v>860</v>
      </c>
    </row>
    <row r="45" spans="1:11" x14ac:dyDescent="0.25">
      <c r="A45" t="s">
        <v>34</v>
      </c>
      <c r="D45" t="s">
        <v>318</v>
      </c>
      <c r="E45">
        <v>2004</v>
      </c>
      <c r="F45">
        <v>3</v>
      </c>
      <c r="G45">
        <v>12</v>
      </c>
      <c r="H45">
        <v>3</v>
      </c>
      <c r="I45">
        <v>144</v>
      </c>
      <c r="J45" s="77"/>
      <c r="K45" s="21">
        <v>536.84210526315792</v>
      </c>
    </row>
    <row r="46" spans="1:11" x14ac:dyDescent="0.25">
      <c r="A46" t="s">
        <v>24</v>
      </c>
      <c r="D46" t="s">
        <v>311</v>
      </c>
      <c r="E46">
        <v>2023</v>
      </c>
      <c r="F46">
        <v>3</v>
      </c>
      <c r="G46">
        <v>13</v>
      </c>
      <c r="H46">
        <v>4</v>
      </c>
      <c r="I46">
        <v>145</v>
      </c>
      <c r="J46" s="77"/>
      <c r="K46" s="21">
        <v>600</v>
      </c>
    </row>
    <row r="47" spans="1:11" x14ac:dyDescent="0.25">
      <c r="A47" t="s">
        <v>24</v>
      </c>
      <c r="D47" t="s">
        <v>312</v>
      </c>
      <c r="E47">
        <v>2002</v>
      </c>
      <c r="F47">
        <v>3</v>
      </c>
      <c r="G47">
        <v>14</v>
      </c>
      <c r="H47">
        <v>4</v>
      </c>
      <c r="I47">
        <v>146</v>
      </c>
      <c r="J47" s="77"/>
      <c r="K47" s="21">
        <v>674.28571428571433</v>
      </c>
    </row>
    <row r="48" spans="1:11" x14ac:dyDescent="0.25">
      <c r="A48" t="s">
        <v>34</v>
      </c>
      <c r="D48" t="s">
        <v>37</v>
      </c>
      <c r="E48">
        <v>1989</v>
      </c>
      <c r="F48">
        <v>3</v>
      </c>
      <c r="G48">
        <v>15</v>
      </c>
      <c r="H48">
        <v>4</v>
      </c>
      <c r="I48">
        <v>147</v>
      </c>
      <c r="J48" s="77"/>
      <c r="K48" s="21">
        <v>550</v>
      </c>
    </row>
    <row r="49" spans="1:11" x14ac:dyDescent="0.25">
      <c r="A49" t="s">
        <v>34</v>
      </c>
      <c r="D49" t="s">
        <v>42</v>
      </c>
      <c r="E49">
        <v>2016</v>
      </c>
      <c r="F49">
        <v>3</v>
      </c>
      <c r="G49">
        <v>16</v>
      </c>
      <c r="H49">
        <v>4</v>
      </c>
      <c r="I49">
        <v>148</v>
      </c>
      <c r="J49" s="77"/>
      <c r="K49" s="21">
        <v>846.15384615384619</v>
      </c>
    </row>
    <row r="50" spans="1:11" x14ac:dyDescent="0.25">
      <c r="A50" t="s">
        <v>24</v>
      </c>
      <c r="B50" s="61"/>
      <c r="C50" s="61"/>
      <c r="D50" t="s">
        <v>29</v>
      </c>
      <c r="E50">
        <v>1999</v>
      </c>
      <c r="F50">
        <v>4</v>
      </c>
      <c r="G50">
        <v>1</v>
      </c>
      <c r="H50">
        <v>1</v>
      </c>
      <c r="I50">
        <v>149</v>
      </c>
      <c r="J50" s="77"/>
      <c r="K50" s="21">
        <v>827.02702702702697</v>
      </c>
    </row>
    <row r="51" spans="1:11" x14ac:dyDescent="0.25">
      <c r="A51" t="s">
        <v>24</v>
      </c>
      <c r="B51" s="61"/>
      <c r="C51" s="61"/>
      <c r="D51" t="s">
        <v>32</v>
      </c>
      <c r="E51">
        <v>2018</v>
      </c>
      <c r="F51">
        <v>4</v>
      </c>
      <c r="G51">
        <v>2</v>
      </c>
      <c r="H51">
        <v>1</v>
      </c>
      <c r="I51">
        <v>150</v>
      </c>
      <c r="J51" s="77"/>
      <c r="K51" s="21">
        <v>696</v>
      </c>
    </row>
    <row r="52" spans="1:11" x14ac:dyDescent="0.25">
      <c r="A52" t="s">
        <v>34</v>
      </c>
      <c r="B52" s="61"/>
      <c r="C52" s="61"/>
      <c r="D52" t="s">
        <v>38</v>
      </c>
      <c r="E52">
        <v>1999</v>
      </c>
      <c r="F52">
        <v>4</v>
      </c>
      <c r="G52">
        <v>3</v>
      </c>
      <c r="H52">
        <v>1</v>
      </c>
      <c r="I52">
        <v>151</v>
      </c>
      <c r="J52" s="77"/>
      <c r="K52" s="21">
        <v>666.66666666666674</v>
      </c>
    </row>
    <row r="53" spans="1:11" x14ac:dyDescent="0.25">
      <c r="A53" t="s">
        <v>34</v>
      </c>
      <c r="B53" s="61"/>
      <c r="C53" s="61"/>
      <c r="D53" t="s">
        <v>43</v>
      </c>
      <c r="E53">
        <v>2020</v>
      </c>
      <c r="F53">
        <v>4</v>
      </c>
      <c r="G53">
        <v>4</v>
      </c>
      <c r="H53">
        <v>1</v>
      </c>
      <c r="I53">
        <v>152</v>
      </c>
      <c r="J53" s="77"/>
      <c r="K53" s="21">
        <v>553.84615384615381</v>
      </c>
    </row>
    <row r="54" spans="1:11" x14ac:dyDescent="0.25">
      <c r="A54" t="s">
        <v>24</v>
      </c>
      <c r="B54" s="61"/>
      <c r="C54" s="61"/>
      <c r="D54" t="s">
        <v>312</v>
      </c>
      <c r="E54">
        <v>2002</v>
      </c>
      <c r="F54">
        <v>4</v>
      </c>
      <c r="G54">
        <v>5</v>
      </c>
      <c r="H54">
        <v>2</v>
      </c>
      <c r="I54">
        <v>153</v>
      </c>
      <c r="J54" s="77"/>
      <c r="K54" s="21">
        <v>929.41176470588243</v>
      </c>
    </row>
    <row r="55" spans="1:11" x14ac:dyDescent="0.25">
      <c r="A55" t="s">
        <v>24</v>
      </c>
      <c r="B55" s="61"/>
      <c r="C55" s="61"/>
      <c r="D55" t="s">
        <v>26</v>
      </c>
      <c r="E55">
        <v>1983</v>
      </c>
      <c r="F55">
        <v>4</v>
      </c>
      <c r="G55">
        <v>6</v>
      </c>
      <c r="H55">
        <v>2</v>
      </c>
      <c r="I55">
        <v>154</v>
      </c>
      <c r="J55" s="77"/>
      <c r="K55" s="21">
        <v>1446.1538461538462</v>
      </c>
    </row>
    <row r="56" spans="1:11" x14ac:dyDescent="0.25">
      <c r="A56" t="s">
        <v>34</v>
      </c>
      <c r="B56" s="61"/>
      <c r="C56" s="61"/>
      <c r="D56" t="s">
        <v>36</v>
      </c>
      <c r="E56">
        <v>1984</v>
      </c>
      <c r="F56">
        <v>4</v>
      </c>
      <c r="G56">
        <v>7</v>
      </c>
      <c r="H56">
        <v>2</v>
      </c>
      <c r="I56">
        <v>155</v>
      </c>
      <c r="J56" s="77"/>
      <c r="K56" s="21">
        <v>689.65517241379303</v>
      </c>
    </row>
    <row r="57" spans="1:11" x14ac:dyDescent="0.25">
      <c r="A57" t="s">
        <v>34</v>
      </c>
      <c r="B57" s="61"/>
      <c r="C57" s="61"/>
      <c r="D57" t="s">
        <v>42</v>
      </c>
      <c r="E57">
        <v>2016</v>
      </c>
      <c r="F57">
        <v>4</v>
      </c>
      <c r="G57">
        <v>8</v>
      </c>
      <c r="H57">
        <v>2</v>
      </c>
      <c r="I57">
        <v>156</v>
      </c>
      <c r="J57" s="77"/>
      <c r="K57" s="21">
        <v>580</v>
      </c>
    </row>
    <row r="58" spans="1:11" x14ac:dyDescent="0.25">
      <c r="A58" t="s">
        <v>24</v>
      </c>
      <c r="D58" t="s">
        <v>27</v>
      </c>
      <c r="E58">
        <v>1985</v>
      </c>
      <c r="F58">
        <v>4</v>
      </c>
      <c r="G58">
        <v>9</v>
      </c>
      <c r="H58">
        <v>3</v>
      </c>
      <c r="I58">
        <v>157</v>
      </c>
      <c r="J58" s="77"/>
      <c r="K58" s="21">
        <v>748.71794871794873</v>
      </c>
    </row>
    <row r="59" spans="1:11" x14ac:dyDescent="0.25">
      <c r="A59" t="s">
        <v>24</v>
      </c>
      <c r="D59" t="s">
        <v>311</v>
      </c>
      <c r="E59">
        <v>2023</v>
      </c>
      <c r="F59">
        <v>4</v>
      </c>
      <c r="G59">
        <v>10</v>
      </c>
      <c r="H59">
        <v>3</v>
      </c>
      <c r="I59">
        <v>158</v>
      </c>
      <c r="J59" s="77"/>
      <c r="K59" s="21">
        <v>1045.1612903225805</v>
      </c>
    </row>
    <row r="60" spans="1:11" x14ac:dyDescent="0.25">
      <c r="A60" t="s">
        <v>34</v>
      </c>
      <c r="D60" t="s">
        <v>41</v>
      </c>
      <c r="E60">
        <v>2008</v>
      </c>
      <c r="F60">
        <v>4</v>
      </c>
      <c r="G60">
        <v>11</v>
      </c>
      <c r="H60">
        <v>3</v>
      </c>
      <c r="I60">
        <v>159</v>
      </c>
      <c r="J60" s="77"/>
      <c r="K60" s="21">
        <v>816</v>
      </c>
    </row>
    <row r="61" spans="1:11" x14ac:dyDescent="0.25">
      <c r="A61" t="s">
        <v>34</v>
      </c>
      <c r="D61" t="s">
        <v>37</v>
      </c>
      <c r="E61">
        <v>1989</v>
      </c>
      <c r="F61">
        <v>4</v>
      </c>
      <c r="G61">
        <v>12</v>
      </c>
      <c r="H61">
        <v>3</v>
      </c>
      <c r="I61">
        <v>160</v>
      </c>
      <c r="J61" s="77"/>
      <c r="K61" s="21">
        <v>505.26315789473682</v>
      </c>
    </row>
    <row r="62" spans="1:11" x14ac:dyDescent="0.25">
      <c r="A62" t="s">
        <v>24</v>
      </c>
      <c r="D62" t="s">
        <v>28</v>
      </c>
      <c r="E62">
        <v>1998</v>
      </c>
      <c r="F62">
        <v>4</v>
      </c>
      <c r="G62">
        <v>13</v>
      </c>
      <c r="H62">
        <v>4</v>
      </c>
      <c r="I62">
        <v>161</v>
      </c>
      <c r="J62" s="77"/>
      <c r="K62" s="21">
        <v>775</v>
      </c>
    </row>
    <row r="63" spans="1:11" x14ac:dyDescent="0.25">
      <c r="A63" t="s">
        <v>24</v>
      </c>
      <c r="D63" t="s">
        <v>313</v>
      </c>
      <c r="E63">
        <v>2016</v>
      </c>
      <c r="F63">
        <v>4</v>
      </c>
      <c r="G63">
        <v>14</v>
      </c>
      <c r="H63">
        <v>4</v>
      </c>
      <c r="I63">
        <v>162</v>
      </c>
      <c r="J63" s="77"/>
      <c r="K63" s="21">
        <v>717.24137931034488</v>
      </c>
    </row>
    <row r="64" spans="1:11" x14ac:dyDescent="0.25">
      <c r="A64" t="s">
        <v>34</v>
      </c>
      <c r="D64" t="s">
        <v>318</v>
      </c>
      <c r="E64">
        <v>2004</v>
      </c>
      <c r="F64">
        <v>4</v>
      </c>
      <c r="G64">
        <v>15</v>
      </c>
      <c r="H64">
        <v>4</v>
      </c>
      <c r="I64">
        <v>163</v>
      </c>
      <c r="J64" s="77"/>
      <c r="K64" s="21">
        <v>733.33333333333326</v>
      </c>
    </row>
    <row r="65" spans="1:11" x14ac:dyDescent="0.25">
      <c r="A65" t="s">
        <v>34</v>
      </c>
      <c r="D65" t="s">
        <v>39</v>
      </c>
      <c r="E65">
        <v>2001</v>
      </c>
      <c r="F65">
        <v>4</v>
      </c>
      <c r="G65">
        <v>16</v>
      </c>
      <c r="H65">
        <v>4</v>
      </c>
      <c r="I65">
        <v>164</v>
      </c>
      <c r="J65" s="77"/>
      <c r="K65" s="21">
        <v>940</v>
      </c>
    </row>
    <row r="66" spans="1:11" x14ac:dyDescent="0.25">
      <c r="B66" s="61"/>
      <c r="C66" s="61"/>
      <c r="J66" s="27"/>
    </row>
    <row r="67" spans="1:11" x14ac:dyDescent="0.25">
      <c r="B67" s="61"/>
      <c r="C67" s="61"/>
      <c r="J67" s="27"/>
    </row>
    <row r="68" spans="1:11" x14ac:dyDescent="0.25">
      <c r="B68" s="61"/>
      <c r="C68" s="61"/>
      <c r="J68" s="27"/>
    </row>
    <row r="69" spans="1:11" x14ac:dyDescent="0.25">
      <c r="B69" s="61"/>
      <c r="C69" s="61"/>
      <c r="J69" s="27"/>
    </row>
    <row r="70" spans="1:11" x14ac:dyDescent="0.25">
      <c r="B70" s="61"/>
      <c r="C70" s="61"/>
      <c r="J70" s="27"/>
    </row>
    <row r="71" spans="1:11" x14ac:dyDescent="0.25">
      <c r="B71" s="61"/>
      <c r="C71" s="61"/>
      <c r="J71" s="27"/>
    </row>
    <row r="72" spans="1:11" x14ac:dyDescent="0.25">
      <c r="B72" s="61"/>
      <c r="C72" s="61"/>
      <c r="J72" s="27"/>
    </row>
    <row r="73" spans="1:11" x14ac:dyDescent="0.25">
      <c r="B73" s="61"/>
      <c r="C73" s="61"/>
      <c r="J73" s="27"/>
    </row>
    <row r="82" spans="2:10" x14ac:dyDescent="0.25">
      <c r="B82" s="61"/>
      <c r="C82" s="61"/>
      <c r="J82" s="27"/>
    </row>
    <row r="83" spans="2:10" x14ac:dyDescent="0.25">
      <c r="B83" s="61"/>
      <c r="C83" s="61"/>
      <c r="J83" s="27"/>
    </row>
    <row r="84" spans="2:10" x14ac:dyDescent="0.25">
      <c r="B84" s="61"/>
      <c r="C84" s="61"/>
      <c r="J84" s="27"/>
    </row>
    <row r="85" spans="2:10" x14ac:dyDescent="0.25">
      <c r="B85" s="61"/>
      <c r="C85" s="61"/>
      <c r="J85" s="27"/>
    </row>
    <row r="86" spans="2:10" x14ac:dyDescent="0.25">
      <c r="B86" s="61"/>
      <c r="C86" s="61"/>
      <c r="J86" s="27"/>
    </row>
    <row r="87" spans="2:10" x14ac:dyDescent="0.25">
      <c r="B87" s="61"/>
      <c r="C87" s="61"/>
      <c r="J87" s="27"/>
    </row>
    <row r="88" spans="2:10" x14ac:dyDescent="0.25">
      <c r="B88" s="61"/>
      <c r="C88" s="61"/>
      <c r="J88" s="27"/>
    </row>
    <row r="89" spans="2:10" x14ac:dyDescent="0.25">
      <c r="B89" s="61"/>
      <c r="C89" s="61"/>
      <c r="J89" s="27"/>
    </row>
    <row r="90" spans="2:10" x14ac:dyDescent="0.25">
      <c r="B90" s="54"/>
      <c r="C90" s="55"/>
    </row>
    <row r="98" spans="2:10" x14ac:dyDescent="0.25">
      <c r="B98" s="61"/>
      <c r="C98" s="61"/>
      <c r="J98" s="27"/>
    </row>
    <row r="99" spans="2:10" x14ac:dyDescent="0.25">
      <c r="B99" s="61"/>
      <c r="C99" s="61"/>
      <c r="J99" s="27"/>
    </row>
    <row r="100" spans="2:10" x14ac:dyDescent="0.25">
      <c r="B100" s="61"/>
      <c r="C100" s="61"/>
      <c r="J100" s="27"/>
    </row>
    <row r="101" spans="2:10" x14ac:dyDescent="0.25">
      <c r="B101" s="61"/>
      <c r="C101" s="61"/>
      <c r="J101" s="27"/>
    </row>
    <row r="102" spans="2:10" x14ac:dyDescent="0.25">
      <c r="B102" s="61"/>
      <c r="C102" s="61"/>
      <c r="J102" s="27"/>
    </row>
    <row r="103" spans="2:10" x14ac:dyDescent="0.25">
      <c r="B103" s="61"/>
      <c r="C103" s="61"/>
      <c r="J103" s="27"/>
    </row>
    <row r="104" spans="2:10" x14ac:dyDescent="0.25">
      <c r="B104" s="61"/>
      <c r="C104" s="61"/>
      <c r="J104" s="27"/>
    </row>
    <row r="105" spans="2:10" x14ac:dyDescent="0.25">
      <c r="B105" s="61"/>
      <c r="C105" s="61"/>
      <c r="J105" s="27"/>
    </row>
    <row r="114" spans="2:10" x14ac:dyDescent="0.25">
      <c r="B114" s="61"/>
      <c r="C114" s="61"/>
      <c r="J114" s="27"/>
    </row>
    <row r="115" spans="2:10" x14ac:dyDescent="0.25">
      <c r="B115" s="61"/>
      <c r="C115" s="61"/>
      <c r="J115" s="27"/>
    </row>
    <row r="116" spans="2:10" x14ac:dyDescent="0.25">
      <c r="B116" s="61"/>
      <c r="C116" s="61"/>
      <c r="J116" s="27"/>
    </row>
    <row r="117" spans="2:10" x14ac:dyDescent="0.25">
      <c r="B117" s="61"/>
      <c r="C117" s="61"/>
      <c r="J117" s="27"/>
    </row>
    <row r="118" spans="2:10" x14ac:dyDescent="0.25">
      <c r="B118" s="61"/>
      <c r="C118" s="61"/>
      <c r="J118" s="27"/>
    </row>
    <row r="119" spans="2:10" x14ac:dyDescent="0.25">
      <c r="B119" s="61"/>
      <c r="C119" s="61"/>
      <c r="J119" s="27"/>
    </row>
    <row r="120" spans="2:10" x14ac:dyDescent="0.25">
      <c r="B120" s="61"/>
      <c r="C120" s="61"/>
      <c r="J120" s="27"/>
    </row>
    <row r="121" spans="2:10" x14ac:dyDescent="0.25">
      <c r="B121" s="61"/>
      <c r="C121" s="61"/>
      <c r="J121" s="27"/>
    </row>
    <row r="154" spans="2:3" x14ac:dyDescent="0.25">
      <c r="B154" s="54"/>
      <c r="C154" s="55"/>
    </row>
    <row r="218" spans="2:3" x14ac:dyDescent="0.25">
      <c r="B218" s="54"/>
      <c r="C218" s="55"/>
    </row>
    <row r="282" spans="2:3" x14ac:dyDescent="0.25">
      <c r="B282" s="54"/>
      <c r="C282" s="55"/>
    </row>
    <row r="346" spans="2:3" x14ac:dyDescent="0.25">
      <c r="B346" s="54"/>
      <c r="C346" s="55"/>
    </row>
    <row r="410" spans="2:3" x14ac:dyDescent="0.25">
      <c r="B410" s="54"/>
      <c r="C410" s="55"/>
    </row>
    <row r="474" spans="2:3" x14ac:dyDescent="0.25">
      <c r="B474" s="54"/>
      <c r="C474" s="55"/>
    </row>
    <row r="538" spans="2:3" x14ac:dyDescent="0.25">
      <c r="B538" s="54"/>
      <c r="C538" s="55"/>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80FD-91D8-4871-8050-00A210C20D18}">
  <sheetPr>
    <tabColor rgb="FF92D050"/>
  </sheetPr>
  <dimension ref="A1:AB269"/>
  <sheetViews>
    <sheetView workbookViewId="0"/>
  </sheetViews>
  <sheetFormatPr defaultRowHeight="15" x14ac:dyDescent="0.25"/>
  <cols>
    <col min="9" max="9" width="8.85546875"/>
    <col min="10" max="11" width="13.5703125" customWidth="1"/>
    <col min="16" max="16" width="9.5703125" style="12" bestFit="1" customWidth="1"/>
    <col min="20" max="20" width="9.140625" style="21"/>
    <col min="21" max="21" width="29.5703125" style="28" bestFit="1" customWidth="1"/>
    <col min="22" max="22" width="13.5703125" style="28" bestFit="1" customWidth="1"/>
    <col min="23" max="24" width="8.42578125" style="28" customWidth="1"/>
    <col min="25" max="25" width="10.5703125" style="28" bestFit="1" customWidth="1"/>
    <col min="26" max="26" width="33" style="28" bestFit="1" customWidth="1"/>
    <col min="27" max="27" width="32.5703125" style="28" bestFit="1" customWidth="1"/>
    <col min="28" max="28" width="9.42578125" style="28"/>
  </cols>
  <sheetData>
    <row r="1" spans="1:28" ht="72" customHeight="1" x14ac:dyDescent="0.25">
      <c r="A1" s="53" t="s">
        <v>44</v>
      </c>
      <c r="B1" s="53" t="s">
        <v>45</v>
      </c>
      <c r="C1" s="53" t="s">
        <v>46</v>
      </c>
      <c r="D1" s="53" t="s">
        <v>47</v>
      </c>
      <c r="E1" s="53" t="s">
        <v>48</v>
      </c>
      <c r="F1" s="53" t="s">
        <v>49</v>
      </c>
      <c r="G1" s="53" t="s">
        <v>50</v>
      </c>
      <c r="H1" s="53" t="s">
        <v>51</v>
      </c>
      <c r="I1" s="53" t="s">
        <v>54</v>
      </c>
      <c r="J1" s="53" t="s">
        <v>150</v>
      </c>
      <c r="K1" s="53" t="s">
        <v>151</v>
      </c>
      <c r="L1" s="53" t="s">
        <v>164</v>
      </c>
      <c r="M1" s="53" t="s">
        <v>165</v>
      </c>
      <c r="N1" s="53" t="s">
        <v>166</v>
      </c>
      <c r="O1" s="53" t="s">
        <v>167</v>
      </c>
      <c r="P1" s="53" t="s">
        <v>168</v>
      </c>
      <c r="Q1" s="53" t="s">
        <v>169</v>
      </c>
      <c r="R1" s="53" t="s">
        <v>170</v>
      </c>
      <c r="S1" s="53" t="s">
        <v>171</v>
      </c>
      <c r="T1" s="53" t="s">
        <v>172</v>
      </c>
    </row>
    <row r="2" spans="1:28" x14ac:dyDescent="0.25">
      <c r="A2" t="s">
        <v>24</v>
      </c>
      <c r="D2" t="s">
        <v>28</v>
      </c>
      <c r="E2">
        <v>1998</v>
      </c>
      <c r="F2">
        <v>1</v>
      </c>
      <c r="G2">
        <v>1</v>
      </c>
      <c r="H2">
        <v>1</v>
      </c>
      <c r="I2">
        <v>101</v>
      </c>
      <c r="L2">
        <v>3</v>
      </c>
      <c r="M2">
        <v>6</v>
      </c>
      <c r="N2">
        <v>5</v>
      </c>
      <c r="O2">
        <v>5</v>
      </c>
      <c r="P2" s="12">
        <f>AVERAGE(M2:O2)</f>
        <v>5.333333333333333</v>
      </c>
      <c r="Q2">
        <v>206</v>
      </c>
      <c r="R2">
        <v>195</v>
      </c>
      <c r="S2">
        <v>192</v>
      </c>
      <c r="T2" s="21">
        <f>AVERAGE(Q2:S2)</f>
        <v>197.66666666666666</v>
      </c>
      <c r="U2"/>
      <c r="V2"/>
      <c r="W2"/>
      <c r="X2"/>
      <c r="Y2"/>
      <c r="Z2"/>
      <c r="AA2"/>
      <c r="AB2"/>
    </row>
    <row r="3" spans="1:28" x14ac:dyDescent="0.25">
      <c r="A3" t="s">
        <v>24</v>
      </c>
      <c r="D3" t="s">
        <v>313</v>
      </c>
      <c r="E3">
        <v>2016</v>
      </c>
      <c r="F3">
        <v>1</v>
      </c>
      <c r="G3">
        <v>2</v>
      </c>
      <c r="H3">
        <v>1</v>
      </c>
      <c r="I3">
        <v>117</v>
      </c>
      <c r="L3">
        <v>3</v>
      </c>
      <c r="M3">
        <v>6</v>
      </c>
      <c r="N3">
        <v>5</v>
      </c>
      <c r="O3">
        <v>5</v>
      </c>
      <c r="P3" s="12">
        <f t="shared" ref="P3:P66" si="0">AVERAGE(M3:O3)</f>
        <v>5.333333333333333</v>
      </c>
      <c r="Q3">
        <v>216</v>
      </c>
      <c r="R3">
        <v>195</v>
      </c>
      <c r="S3">
        <v>215</v>
      </c>
      <c r="T3" s="21">
        <f t="shared" ref="T3:T66" si="1">AVERAGE(Q3:S3)</f>
        <v>208.66666666666666</v>
      </c>
      <c r="U3"/>
      <c r="V3"/>
      <c r="W3"/>
      <c r="X3"/>
      <c r="Y3"/>
      <c r="Z3"/>
      <c r="AA3"/>
      <c r="AB3"/>
    </row>
    <row r="4" spans="1:28" x14ac:dyDescent="0.25">
      <c r="A4" t="s">
        <v>24</v>
      </c>
      <c r="D4" t="s">
        <v>26</v>
      </c>
      <c r="E4">
        <v>1983</v>
      </c>
      <c r="F4">
        <v>1</v>
      </c>
      <c r="G4">
        <v>3</v>
      </c>
      <c r="H4">
        <v>1</v>
      </c>
      <c r="I4">
        <v>133</v>
      </c>
      <c r="L4">
        <v>3</v>
      </c>
      <c r="M4">
        <v>6</v>
      </c>
      <c r="N4">
        <v>6</v>
      </c>
      <c r="O4">
        <v>6</v>
      </c>
      <c r="P4" s="12">
        <f t="shared" si="0"/>
        <v>6</v>
      </c>
      <c r="Q4">
        <v>199</v>
      </c>
      <c r="R4">
        <v>210</v>
      </c>
      <c r="S4">
        <v>210</v>
      </c>
      <c r="T4" s="21">
        <f t="shared" si="1"/>
        <v>206.33333333333334</v>
      </c>
      <c r="U4"/>
      <c r="V4"/>
      <c r="W4"/>
      <c r="X4"/>
      <c r="Y4"/>
      <c r="Z4"/>
      <c r="AA4"/>
      <c r="AB4"/>
    </row>
    <row r="5" spans="1:28" x14ac:dyDescent="0.25">
      <c r="A5" t="s">
        <v>24</v>
      </c>
      <c r="D5" t="s">
        <v>29</v>
      </c>
      <c r="E5">
        <v>1999</v>
      </c>
      <c r="F5">
        <v>1</v>
      </c>
      <c r="G5">
        <v>4</v>
      </c>
      <c r="H5">
        <v>1</v>
      </c>
      <c r="I5">
        <v>149</v>
      </c>
      <c r="L5">
        <v>3</v>
      </c>
      <c r="M5">
        <v>5</v>
      </c>
      <c r="N5">
        <v>5</v>
      </c>
      <c r="O5">
        <v>5</v>
      </c>
      <c r="P5" s="12">
        <f t="shared" si="0"/>
        <v>5</v>
      </c>
      <c r="Q5">
        <v>160</v>
      </c>
      <c r="R5">
        <v>190</v>
      </c>
      <c r="S5">
        <v>190</v>
      </c>
      <c r="T5" s="21">
        <f t="shared" si="1"/>
        <v>180</v>
      </c>
      <c r="U5"/>
      <c r="V5"/>
      <c r="W5"/>
      <c r="X5"/>
      <c r="Y5"/>
      <c r="Z5"/>
      <c r="AA5"/>
      <c r="AB5"/>
    </row>
    <row r="6" spans="1:28" x14ac:dyDescent="0.25">
      <c r="A6" t="s">
        <v>24</v>
      </c>
      <c r="D6" t="s">
        <v>312</v>
      </c>
      <c r="E6">
        <v>2002</v>
      </c>
      <c r="F6">
        <v>1</v>
      </c>
      <c r="G6">
        <v>1</v>
      </c>
      <c r="H6">
        <v>2</v>
      </c>
      <c r="I6">
        <v>102</v>
      </c>
      <c r="L6">
        <v>3</v>
      </c>
      <c r="M6">
        <v>7</v>
      </c>
      <c r="N6">
        <v>7</v>
      </c>
      <c r="O6">
        <v>6</v>
      </c>
      <c r="P6" s="12">
        <f t="shared" si="0"/>
        <v>6.666666666666667</v>
      </c>
      <c r="Q6">
        <v>215</v>
      </c>
      <c r="R6">
        <v>215</v>
      </c>
      <c r="S6">
        <v>234</v>
      </c>
      <c r="T6" s="21">
        <f t="shared" si="1"/>
        <v>221.33333333333334</v>
      </c>
      <c r="U6"/>
      <c r="V6"/>
      <c r="W6"/>
      <c r="X6"/>
      <c r="Y6"/>
      <c r="Z6"/>
      <c r="AA6"/>
      <c r="AB6"/>
    </row>
    <row r="7" spans="1:28" x14ac:dyDescent="0.25">
      <c r="A7" t="s">
        <v>24</v>
      </c>
      <c r="D7" t="s">
        <v>311</v>
      </c>
      <c r="E7">
        <v>2023</v>
      </c>
      <c r="F7">
        <v>1</v>
      </c>
      <c r="G7">
        <v>2</v>
      </c>
      <c r="H7">
        <v>2</v>
      </c>
      <c r="I7">
        <v>118</v>
      </c>
      <c r="L7">
        <v>3</v>
      </c>
      <c r="M7">
        <v>5</v>
      </c>
      <c r="N7">
        <v>6</v>
      </c>
      <c r="O7">
        <v>6</v>
      </c>
      <c r="P7" s="12">
        <f t="shared" si="0"/>
        <v>5.666666666666667</v>
      </c>
      <c r="Q7">
        <v>188</v>
      </c>
      <c r="R7">
        <v>205</v>
      </c>
      <c r="S7">
        <v>235</v>
      </c>
      <c r="T7" s="21">
        <f t="shared" si="1"/>
        <v>209.33333333333334</v>
      </c>
      <c r="U7"/>
      <c r="V7"/>
      <c r="W7"/>
      <c r="X7"/>
      <c r="Y7"/>
      <c r="Z7"/>
      <c r="AA7"/>
      <c r="AB7"/>
    </row>
    <row r="8" spans="1:28" x14ac:dyDescent="0.25">
      <c r="A8" t="s">
        <v>24</v>
      </c>
      <c r="D8" t="s">
        <v>27</v>
      </c>
      <c r="E8">
        <v>1985</v>
      </c>
      <c r="F8">
        <v>1</v>
      </c>
      <c r="G8">
        <v>3</v>
      </c>
      <c r="H8">
        <v>2</v>
      </c>
      <c r="I8">
        <v>134</v>
      </c>
      <c r="L8">
        <v>3</v>
      </c>
      <c r="M8">
        <v>6</v>
      </c>
      <c r="N8">
        <v>7</v>
      </c>
      <c r="O8">
        <v>7</v>
      </c>
      <c r="P8" s="12">
        <f t="shared" si="0"/>
        <v>6.666666666666667</v>
      </c>
      <c r="Q8">
        <v>215</v>
      </c>
      <c r="R8">
        <v>211</v>
      </c>
      <c r="S8">
        <v>210</v>
      </c>
      <c r="T8" s="21">
        <f t="shared" si="1"/>
        <v>212</v>
      </c>
      <c r="U8"/>
      <c r="V8"/>
      <c r="W8"/>
      <c r="X8"/>
      <c r="Y8"/>
      <c r="Z8"/>
      <c r="AA8"/>
      <c r="AB8"/>
    </row>
    <row r="9" spans="1:28" x14ac:dyDescent="0.25">
      <c r="A9" t="s">
        <v>24</v>
      </c>
      <c r="D9" t="s">
        <v>32</v>
      </c>
      <c r="E9">
        <v>2018</v>
      </c>
      <c r="F9">
        <v>1</v>
      </c>
      <c r="G9">
        <v>4</v>
      </c>
      <c r="H9">
        <v>2</v>
      </c>
      <c r="I9">
        <v>150</v>
      </c>
      <c r="L9">
        <v>3</v>
      </c>
      <c r="M9">
        <v>6</v>
      </c>
      <c r="N9">
        <v>5</v>
      </c>
      <c r="O9">
        <v>7</v>
      </c>
      <c r="P9" s="12">
        <f t="shared" si="0"/>
        <v>6</v>
      </c>
      <c r="Q9">
        <v>200</v>
      </c>
      <c r="R9">
        <v>145</v>
      </c>
      <c r="S9">
        <v>200</v>
      </c>
      <c r="T9" s="21">
        <f t="shared" si="1"/>
        <v>181.66666666666666</v>
      </c>
      <c r="U9"/>
      <c r="V9"/>
      <c r="W9"/>
      <c r="X9"/>
      <c r="Y9"/>
      <c r="Z9"/>
      <c r="AA9"/>
      <c r="AB9"/>
    </row>
    <row r="10" spans="1:28" x14ac:dyDescent="0.25">
      <c r="A10" t="s">
        <v>34</v>
      </c>
      <c r="D10" t="s">
        <v>39</v>
      </c>
      <c r="E10">
        <v>2001</v>
      </c>
      <c r="F10">
        <v>1</v>
      </c>
      <c r="G10">
        <v>1</v>
      </c>
      <c r="H10">
        <v>3</v>
      </c>
      <c r="I10">
        <v>103</v>
      </c>
      <c r="L10">
        <v>3</v>
      </c>
      <c r="M10">
        <v>7</v>
      </c>
      <c r="N10">
        <v>7</v>
      </c>
      <c r="O10">
        <v>7</v>
      </c>
      <c r="P10" s="12">
        <f t="shared" si="0"/>
        <v>7</v>
      </c>
      <c r="Q10">
        <v>130</v>
      </c>
      <c r="R10">
        <v>155</v>
      </c>
      <c r="S10">
        <v>150</v>
      </c>
      <c r="T10" s="21">
        <f t="shared" si="1"/>
        <v>145</v>
      </c>
      <c r="U10"/>
      <c r="V10"/>
      <c r="W10"/>
      <c r="X10"/>
      <c r="Y10"/>
      <c r="Z10"/>
      <c r="AA10"/>
      <c r="AB10"/>
    </row>
    <row r="11" spans="1:28" x14ac:dyDescent="0.25">
      <c r="A11" t="s">
        <v>34</v>
      </c>
      <c r="D11" t="s">
        <v>318</v>
      </c>
      <c r="E11">
        <v>2004</v>
      </c>
      <c r="F11">
        <v>1</v>
      </c>
      <c r="G11">
        <v>2</v>
      </c>
      <c r="H11">
        <v>3</v>
      </c>
      <c r="I11">
        <v>119</v>
      </c>
      <c r="L11">
        <v>3</v>
      </c>
      <c r="M11">
        <v>6</v>
      </c>
      <c r="N11">
        <v>6</v>
      </c>
      <c r="O11">
        <v>7</v>
      </c>
      <c r="P11" s="12">
        <f t="shared" si="0"/>
        <v>6.333333333333333</v>
      </c>
      <c r="Q11">
        <v>190</v>
      </c>
      <c r="R11">
        <v>190</v>
      </c>
      <c r="S11">
        <v>190</v>
      </c>
      <c r="T11" s="21">
        <f t="shared" si="1"/>
        <v>190</v>
      </c>
      <c r="U11"/>
      <c r="V11"/>
      <c r="W11"/>
      <c r="X11"/>
      <c r="Y11"/>
      <c r="Z11"/>
      <c r="AA11"/>
      <c r="AB11"/>
    </row>
    <row r="12" spans="1:28" x14ac:dyDescent="0.25">
      <c r="A12" t="s">
        <v>34</v>
      </c>
      <c r="D12" t="s">
        <v>41</v>
      </c>
      <c r="E12">
        <v>2008</v>
      </c>
      <c r="F12">
        <v>1</v>
      </c>
      <c r="G12">
        <v>3</v>
      </c>
      <c r="H12">
        <v>3</v>
      </c>
      <c r="I12">
        <v>135</v>
      </c>
      <c r="L12">
        <v>3</v>
      </c>
      <c r="M12">
        <v>8</v>
      </c>
      <c r="N12">
        <v>8</v>
      </c>
      <c r="O12">
        <v>8</v>
      </c>
      <c r="P12" s="12">
        <f t="shared" si="0"/>
        <v>8</v>
      </c>
      <c r="Q12">
        <v>145</v>
      </c>
      <c r="R12">
        <v>135</v>
      </c>
      <c r="S12">
        <v>180</v>
      </c>
      <c r="T12" s="21">
        <f t="shared" si="1"/>
        <v>153.33333333333334</v>
      </c>
      <c r="U12"/>
      <c r="V12"/>
      <c r="W12"/>
      <c r="X12"/>
      <c r="Y12"/>
      <c r="Z12"/>
      <c r="AA12"/>
      <c r="AB12"/>
    </row>
    <row r="13" spans="1:28" x14ac:dyDescent="0.25">
      <c r="A13" t="s">
        <v>34</v>
      </c>
      <c r="D13" t="s">
        <v>38</v>
      </c>
      <c r="E13">
        <v>1999</v>
      </c>
      <c r="F13">
        <v>1</v>
      </c>
      <c r="G13">
        <v>4</v>
      </c>
      <c r="H13">
        <v>3</v>
      </c>
      <c r="I13">
        <v>151</v>
      </c>
      <c r="L13">
        <v>3</v>
      </c>
      <c r="M13">
        <v>5</v>
      </c>
      <c r="N13">
        <v>4</v>
      </c>
      <c r="O13">
        <v>7</v>
      </c>
      <c r="P13" s="12">
        <f t="shared" si="0"/>
        <v>5.333333333333333</v>
      </c>
      <c r="Q13">
        <v>135</v>
      </c>
      <c r="R13">
        <v>100</v>
      </c>
      <c r="S13">
        <v>140</v>
      </c>
      <c r="T13" s="21">
        <f t="shared" si="1"/>
        <v>125</v>
      </c>
      <c r="U13"/>
      <c r="V13"/>
      <c r="W13"/>
      <c r="X13"/>
      <c r="Y13"/>
      <c r="Z13"/>
      <c r="AA13"/>
      <c r="AB13"/>
    </row>
    <row r="14" spans="1:28" x14ac:dyDescent="0.25">
      <c r="A14" t="s">
        <v>34</v>
      </c>
      <c r="D14" t="s">
        <v>37</v>
      </c>
      <c r="E14">
        <v>1989</v>
      </c>
      <c r="F14">
        <v>1</v>
      </c>
      <c r="G14">
        <v>1</v>
      </c>
      <c r="H14">
        <v>4</v>
      </c>
      <c r="I14">
        <v>104</v>
      </c>
      <c r="L14">
        <v>3</v>
      </c>
      <c r="M14">
        <v>5</v>
      </c>
      <c r="N14">
        <v>6</v>
      </c>
      <c r="O14">
        <v>5</v>
      </c>
      <c r="P14" s="12">
        <f t="shared" si="0"/>
        <v>5.333333333333333</v>
      </c>
      <c r="Q14">
        <v>170</v>
      </c>
      <c r="R14">
        <v>175</v>
      </c>
      <c r="S14">
        <v>155</v>
      </c>
      <c r="T14" s="21">
        <f t="shared" si="1"/>
        <v>166.66666666666666</v>
      </c>
      <c r="U14"/>
      <c r="V14"/>
      <c r="W14"/>
      <c r="X14"/>
      <c r="Y14"/>
      <c r="Z14"/>
      <c r="AA14"/>
      <c r="AB14"/>
    </row>
    <row r="15" spans="1:28" x14ac:dyDescent="0.25">
      <c r="A15" t="s">
        <v>34</v>
      </c>
      <c r="D15" t="s">
        <v>42</v>
      </c>
      <c r="E15">
        <v>2016</v>
      </c>
      <c r="F15">
        <v>1</v>
      </c>
      <c r="G15">
        <v>2</v>
      </c>
      <c r="H15">
        <v>4</v>
      </c>
      <c r="I15">
        <v>120</v>
      </c>
      <c r="L15">
        <v>3</v>
      </c>
      <c r="M15">
        <v>8</v>
      </c>
      <c r="N15">
        <v>7</v>
      </c>
      <c r="O15">
        <v>8</v>
      </c>
      <c r="P15" s="12">
        <f t="shared" si="0"/>
        <v>7.666666666666667</v>
      </c>
      <c r="Q15">
        <v>140</v>
      </c>
      <c r="R15">
        <v>170</v>
      </c>
      <c r="S15">
        <v>145</v>
      </c>
      <c r="T15" s="21">
        <f t="shared" si="1"/>
        <v>151.66666666666666</v>
      </c>
      <c r="U15"/>
      <c r="V15"/>
      <c r="W15"/>
      <c r="X15"/>
      <c r="Y15"/>
      <c r="Z15"/>
      <c r="AA15"/>
      <c r="AB15"/>
    </row>
    <row r="16" spans="1:28" x14ac:dyDescent="0.25">
      <c r="A16" t="s">
        <v>34</v>
      </c>
      <c r="D16" t="s">
        <v>36</v>
      </c>
      <c r="E16">
        <v>1984</v>
      </c>
      <c r="F16">
        <v>1</v>
      </c>
      <c r="G16">
        <v>3</v>
      </c>
      <c r="H16">
        <v>4</v>
      </c>
      <c r="I16">
        <v>136</v>
      </c>
      <c r="L16">
        <v>3</v>
      </c>
      <c r="M16">
        <v>6</v>
      </c>
      <c r="N16">
        <v>7</v>
      </c>
      <c r="O16">
        <v>6</v>
      </c>
      <c r="P16" s="12">
        <f t="shared" si="0"/>
        <v>6.333333333333333</v>
      </c>
      <c r="Q16">
        <v>150</v>
      </c>
      <c r="R16">
        <v>135</v>
      </c>
      <c r="S16">
        <v>165</v>
      </c>
      <c r="T16" s="21">
        <f t="shared" si="1"/>
        <v>150</v>
      </c>
      <c r="U16"/>
      <c r="V16"/>
      <c r="W16"/>
      <c r="X16"/>
      <c r="Y16"/>
      <c r="Z16"/>
      <c r="AA16"/>
      <c r="AB16"/>
    </row>
    <row r="17" spans="1:20" customFormat="1" x14ac:dyDescent="0.25">
      <c r="A17" t="s">
        <v>34</v>
      </c>
      <c r="D17" t="s">
        <v>43</v>
      </c>
      <c r="E17">
        <v>2020</v>
      </c>
      <c r="F17">
        <v>1</v>
      </c>
      <c r="G17">
        <v>4</v>
      </c>
      <c r="H17">
        <v>4</v>
      </c>
      <c r="I17">
        <v>152</v>
      </c>
      <c r="L17">
        <v>3</v>
      </c>
      <c r="M17">
        <v>6</v>
      </c>
      <c r="N17">
        <v>7</v>
      </c>
      <c r="O17">
        <v>7</v>
      </c>
      <c r="P17" s="12">
        <f t="shared" si="0"/>
        <v>6.666666666666667</v>
      </c>
      <c r="Q17">
        <v>165</v>
      </c>
      <c r="R17">
        <v>190</v>
      </c>
      <c r="S17">
        <v>200</v>
      </c>
      <c r="T17" s="21">
        <f t="shared" si="1"/>
        <v>185</v>
      </c>
    </row>
    <row r="18" spans="1:20" customFormat="1" x14ac:dyDescent="0.25">
      <c r="A18" t="s">
        <v>24</v>
      </c>
      <c r="D18" t="s">
        <v>29</v>
      </c>
      <c r="E18">
        <v>1999</v>
      </c>
      <c r="F18">
        <v>2</v>
      </c>
      <c r="G18">
        <v>1</v>
      </c>
      <c r="H18">
        <v>5</v>
      </c>
      <c r="I18">
        <v>105</v>
      </c>
      <c r="L18">
        <v>3</v>
      </c>
      <c r="M18">
        <v>6</v>
      </c>
      <c r="N18">
        <v>6</v>
      </c>
      <c r="O18">
        <v>6</v>
      </c>
      <c r="P18" s="12">
        <f t="shared" si="0"/>
        <v>6</v>
      </c>
      <c r="Q18">
        <v>191</v>
      </c>
      <c r="R18">
        <v>212</v>
      </c>
      <c r="S18">
        <v>201</v>
      </c>
      <c r="T18" s="21">
        <f t="shared" si="1"/>
        <v>201.33333333333334</v>
      </c>
    </row>
    <row r="19" spans="1:20" customFormat="1" x14ac:dyDescent="0.25">
      <c r="A19" t="s">
        <v>24</v>
      </c>
      <c r="D19" t="s">
        <v>27</v>
      </c>
      <c r="E19">
        <v>1985</v>
      </c>
      <c r="F19">
        <v>2</v>
      </c>
      <c r="G19">
        <v>2</v>
      </c>
      <c r="H19">
        <v>5</v>
      </c>
      <c r="I19">
        <v>121</v>
      </c>
      <c r="L19">
        <v>3</v>
      </c>
      <c r="M19">
        <v>6</v>
      </c>
      <c r="N19">
        <v>6</v>
      </c>
      <c r="O19">
        <v>6</v>
      </c>
      <c r="P19" s="12">
        <f t="shared" si="0"/>
        <v>6</v>
      </c>
      <c r="Q19">
        <v>200</v>
      </c>
      <c r="R19">
        <v>184</v>
      </c>
      <c r="S19">
        <v>168</v>
      </c>
      <c r="T19" s="21">
        <f t="shared" si="1"/>
        <v>184</v>
      </c>
    </row>
    <row r="20" spans="1:20" customFormat="1" x14ac:dyDescent="0.25">
      <c r="A20" t="s">
        <v>24</v>
      </c>
      <c r="D20" t="s">
        <v>313</v>
      </c>
      <c r="E20">
        <v>2016</v>
      </c>
      <c r="F20">
        <v>2</v>
      </c>
      <c r="G20">
        <v>3</v>
      </c>
      <c r="H20">
        <v>5</v>
      </c>
      <c r="I20">
        <v>137</v>
      </c>
      <c r="L20">
        <v>3</v>
      </c>
      <c r="M20">
        <v>6</v>
      </c>
      <c r="N20">
        <v>6</v>
      </c>
      <c r="O20">
        <v>6</v>
      </c>
      <c r="P20" s="12">
        <f t="shared" si="0"/>
        <v>6</v>
      </c>
      <c r="Q20">
        <v>200</v>
      </c>
      <c r="R20">
        <v>170</v>
      </c>
      <c r="S20">
        <v>188</v>
      </c>
      <c r="T20" s="21">
        <f t="shared" si="1"/>
        <v>186</v>
      </c>
    </row>
    <row r="21" spans="1:20" customFormat="1" x14ac:dyDescent="0.25">
      <c r="A21" t="s">
        <v>24</v>
      </c>
      <c r="D21" t="s">
        <v>312</v>
      </c>
      <c r="E21">
        <v>2002</v>
      </c>
      <c r="F21">
        <v>2</v>
      </c>
      <c r="G21">
        <v>4</v>
      </c>
      <c r="H21">
        <v>5</v>
      </c>
      <c r="I21">
        <v>153</v>
      </c>
      <c r="L21">
        <v>3</v>
      </c>
      <c r="M21">
        <v>6</v>
      </c>
      <c r="N21">
        <v>9</v>
      </c>
      <c r="O21">
        <v>6</v>
      </c>
      <c r="P21" s="12">
        <f t="shared" si="0"/>
        <v>7</v>
      </c>
      <c r="Q21">
        <v>221</v>
      </c>
      <c r="R21">
        <v>230</v>
      </c>
      <c r="S21">
        <v>200</v>
      </c>
      <c r="T21" s="21">
        <f t="shared" si="1"/>
        <v>217</v>
      </c>
    </row>
    <row r="22" spans="1:20" customFormat="1" x14ac:dyDescent="0.25">
      <c r="A22" t="s">
        <v>24</v>
      </c>
      <c r="D22" t="s">
        <v>311</v>
      </c>
      <c r="E22">
        <v>2023</v>
      </c>
      <c r="F22">
        <v>2</v>
      </c>
      <c r="G22">
        <v>1</v>
      </c>
      <c r="H22">
        <v>6</v>
      </c>
      <c r="I22">
        <v>106</v>
      </c>
      <c r="L22">
        <v>3</v>
      </c>
      <c r="M22">
        <v>6</v>
      </c>
      <c r="N22">
        <v>6</v>
      </c>
      <c r="O22">
        <v>6</v>
      </c>
      <c r="P22" s="12">
        <f t="shared" si="0"/>
        <v>6</v>
      </c>
      <c r="Q22">
        <v>185</v>
      </c>
      <c r="R22">
        <v>189</v>
      </c>
      <c r="S22">
        <v>185</v>
      </c>
      <c r="T22" s="21">
        <f t="shared" si="1"/>
        <v>186.33333333333334</v>
      </c>
    </row>
    <row r="23" spans="1:20" customFormat="1" x14ac:dyDescent="0.25">
      <c r="A23" t="s">
        <v>24</v>
      </c>
      <c r="D23" t="s">
        <v>28</v>
      </c>
      <c r="E23">
        <v>1998</v>
      </c>
      <c r="F23">
        <v>2</v>
      </c>
      <c r="G23">
        <v>2</v>
      </c>
      <c r="H23">
        <v>6</v>
      </c>
      <c r="I23">
        <v>122</v>
      </c>
      <c r="L23">
        <v>3</v>
      </c>
      <c r="M23">
        <v>7</v>
      </c>
      <c r="N23">
        <v>6</v>
      </c>
      <c r="O23">
        <v>6</v>
      </c>
      <c r="P23" s="12">
        <f t="shared" si="0"/>
        <v>6.333333333333333</v>
      </c>
      <c r="Q23">
        <v>201</v>
      </c>
      <c r="R23">
        <v>206</v>
      </c>
      <c r="S23">
        <v>191</v>
      </c>
      <c r="T23" s="21">
        <f t="shared" si="1"/>
        <v>199.33333333333334</v>
      </c>
    </row>
    <row r="24" spans="1:20" customFormat="1" x14ac:dyDescent="0.25">
      <c r="A24" t="s">
        <v>24</v>
      </c>
      <c r="D24" t="s">
        <v>32</v>
      </c>
      <c r="E24">
        <v>2018</v>
      </c>
      <c r="F24">
        <v>2</v>
      </c>
      <c r="G24">
        <v>3</v>
      </c>
      <c r="H24">
        <v>6</v>
      </c>
      <c r="I24">
        <v>138</v>
      </c>
      <c r="L24">
        <v>3</v>
      </c>
      <c r="M24">
        <v>9</v>
      </c>
      <c r="N24">
        <v>7</v>
      </c>
      <c r="O24">
        <v>7</v>
      </c>
      <c r="P24" s="12">
        <f t="shared" si="0"/>
        <v>7.666666666666667</v>
      </c>
      <c r="Q24">
        <v>251</v>
      </c>
      <c r="R24">
        <v>210</v>
      </c>
      <c r="S24">
        <v>203</v>
      </c>
      <c r="T24" s="21">
        <f t="shared" si="1"/>
        <v>221.33333333333334</v>
      </c>
    </row>
    <row r="25" spans="1:20" customFormat="1" x14ac:dyDescent="0.25">
      <c r="A25" t="s">
        <v>24</v>
      </c>
      <c r="D25" t="s">
        <v>26</v>
      </c>
      <c r="E25">
        <v>1983</v>
      </c>
      <c r="F25">
        <v>2</v>
      </c>
      <c r="G25">
        <v>4</v>
      </c>
      <c r="H25">
        <v>6</v>
      </c>
      <c r="I25">
        <v>154</v>
      </c>
      <c r="L25">
        <v>3</v>
      </c>
      <c r="M25">
        <v>6</v>
      </c>
      <c r="N25">
        <v>6</v>
      </c>
      <c r="O25">
        <v>6</v>
      </c>
      <c r="P25" s="12">
        <f t="shared" si="0"/>
        <v>6</v>
      </c>
      <c r="Q25">
        <v>188</v>
      </c>
      <c r="R25">
        <v>192</v>
      </c>
      <c r="S25">
        <v>179</v>
      </c>
      <c r="T25" s="21">
        <f t="shared" si="1"/>
        <v>186.33333333333334</v>
      </c>
    </row>
    <row r="26" spans="1:20" customFormat="1" x14ac:dyDescent="0.25">
      <c r="A26" t="s">
        <v>34</v>
      </c>
      <c r="D26" t="s">
        <v>41</v>
      </c>
      <c r="E26">
        <v>2008</v>
      </c>
      <c r="F26">
        <v>2</v>
      </c>
      <c r="G26">
        <v>1</v>
      </c>
      <c r="H26">
        <v>7</v>
      </c>
      <c r="I26">
        <v>107</v>
      </c>
      <c r="L26">
        <v>3</v>
      </c>
      <c r="M26">
        <v>7</v>
      </c>
      <c r="N26">
        <v>5</v>
      </c>
      <c r="O26">
        <v>6</v>
      </c>
      <c r="P26" s="12">
        <f t="shared" si="0"/>
        <v>6</v>
      </c>
      <c r="Q26">
        <v>155</v>
      </c>
      <c r="R26">
        <v>160</v>
      </c>
      <c r="S26">
        <v>160</v>
      </c>
      <c r="T26" s="21">
        <f t="shared" si="1"/>
        <v>158.33333333333334</v>
      </c>
    </row>
    <row r="27" spans="1:20" customFormat="1" x14ac:dyDescent="0.25">
      <c r="A27" t="s">
        <v>34</v>
      </c>
      <c r="D27" t="s">
        <v>37</v>
      </c>
      <c r="E27">
        <v>1989</v>
      </c>
      <c r="F27">
        <v>2</v>
      </c>
      <c r="G27">
        <v>2</v>
      </c>
      <c r="H27">
        <v>7</v>
      </c>
      <c r="I27">
        <v>123</v>
      </c>
      <c r="L27">
        <v>3</v>
      </c>
      <c r="M27">
        <v>4</v>
      </c>
      <c r="N27">
        <v>5</v>
      </c>
      <c r="O27">
        <v>4</v>
      </c>
      <c r="P27" s="12">
        <f t="shared" si="0"/>
        <v>4.333333333333333</v>
      </c>
      <c r="Q27">
        <v>165</v>
      </c>
      <c r="R27">
        <v>160</v>
      </c>
      <c r="S27">
        <v>170</v>
      </c>
      <c r="T27" s="21">
        <f t="shared" si="1"/>
        <v>165</v>
      </c>
    </row>
    <row r="28" spans="1:20" customFormat="1" x14ac:dyDescent="0.25">
      <c r="A28" t="s">
        <v>34</v>
      </c>
      <c r="D28" t="s">
        <v>39</v>
      </c>
      <c r="E28">
        <v>2001</v>
      </c>
      <c r="F28">
        <v>2</v>
      </c>
      <c r="G28">
        <v>3</v>
      </c>
      <c r="H28">
        <v>7</v>
      </c>
      <c r="I28">
        <v>139</v>
      </c>
      <c r="L28">
        <v>3</v>
      </c>
      <c r="M28">
        <v>7</v>
      </c>
      <c r="N28">
        <v>6</v>
      </c>
      <c r="O28">
        <v>5</v>
      </c>
      <c r="P28" s="12">
        <f t="shared" si="0"/>
        <v>6</v>
      </c>
      <c r="Q28">
        <v>150</v>
      </c>
      <c r="R28">
        <v>120</v>
      </c>
      <c r="S28">
        <v>125</v>
      </c>
      <c r="T28" s="21">
        <f t="shared" si="1"/>
        <v>131.66666666666666</v>
      </c>
    </row>
    <row r="29" spans="1:20" customFormat="1" x14ac:dyDescent="0.25">
      <c r="A29" t="s">
        <v>34</v>
      </c>
      <c r="D29" t="s">
        <v>36</v>
      </c>
      <c r="E29">
        <v>1984</v>
      </c>
      <c r="F29">
        <v>2</v>
      </c>
      <c r="G29">
        <v>4</v>
      </c>
      <c r="H29">
        <v>7</v>
      </c>
      <c r="I29">
        <v>155</v>
      </c>
      <c r="L29">
        <v>3</v>
      </c>
      <c r="M29">
        <v>5</v>
      </c>
      <c r="N29">
        <v>6</v>
      </c>
      <c r="O29">
        <v>7</v>
      </c>
      <c r="P29" s="12">
        <f t="shared" si="0"/>
        <v>6</v>
      </c>
      <c r="Q29">
        <v>145</v>
      </c>
      <c r="R29">
        <v>180</v>
      </c>
      <c r="S29">
        <v>150</v>
      </c>
      <c r="T29" s="21">
        <f t="shared" si="1"/>
        <v>158.33333333333334</v>
      </c>
    </row>
    <row r="30" spans="1:20" customFormat="1" x14ac:dyDescent="0.25">
      <c r="A30" t="s">
        <v>34</v>
      </c>
      <c r="D30" t="s">
        <v>318</v>
      </c>
      <c r="E30">
        <v>2004</v>
      </c>
      <c r="F30">
        <v>2</v>
      </c>
      <c r="G30">
        <v>1</v>
      </c>
      <c r="H30">
        <v>8</v>
      </c>
      <c r="I30">
        <v>108</v>
      </c>
      <c r="L30">
        <v>3</v>
      </c>
      <c r="M30">
        <v>5</v>
      </c>
      <c r="N30">
        <v>6</v>
      </c>
      <c r="O30">
        <v>6</v>
      </c>
      <c r="P30" s="12">
        <f t="shared" si="0"/>
        <v>5.666666666666667</v>
      </c>
      <c r="Q30">
        <v>190</v>
      </c>
      <c r="R30">
        <v>185</v>
      </c>
      <c r="S30">
        <v>140</v>
      </c>
      <c r="T30" s="21">
        <f t="shared" si="1"/>
        <v>171.66666666666666</v>
      </c>
    </row>
    <row r="31" spans="1:20" customFormat="1" x14ac:dyDescent="0.25">
      <c r="A31" t="s">
        <v>34</v>
      </c>
      <c r="D31" t="s">
        <v>43</v>
      </c>
      <c r="E31">
        <v>2020</v>
      </c>
      <c r="F31">
        <v>2</v>
      </c>
      <c r="G31">
        <v>2</v>
      </c>
      <c r="H31">
        <v>8</v>
      </c>
      <c r="I31">
        <v>124</v>
      </c>
      <c r="L31">
        <v>3</v>
      </c>
      <c r="M31">
        <v>5</v>
      </c>
      <c r="N31">
        <v>6</v>
      </c>
      <c r="O31">
        <v>6</v>
      </c>
      <c r="P31" s="12">
        <f t="shared" si="0"/>
        <v>5.666666666666667</v>
      </c>
      <c r="Q31">
        <v>145</v>
      </c>
      <c r="R31">
        <v>140</v>
      </c>
      <c r="S31">
        <v>200</v>
      </c>
      <c r="T31" s="21">
        <f t="shared" si="1"/>
        <v>161.66666666666666</v>
      </c>
    </row>
    <row r="32" spans="1:20" customFormat="1" x14ac:dyDescent="0.25">
      <c r="A32" t="s">
        <v>34</v>
      </c>
      <c r="D32" t="s">
        <v>38</v>
      </c>
      <c r="E32">
        <v>1999</v>
      </c>
      <c r="F32">
        <v>2</v>
      </c>
      <c r="G32">
        <v>3</v>
      </c>
      <c r="H32">
        <v>8</v>
      </c>
      <c r="I32">
        <v>140</v>
      </c>
      <c r="L32">
        <v>3</v>
      </c>
      <c r="M32">
        <v>7</v>
      </c>
      <c r="N32">
        <v>5</v>
      </c>
      <c r="O32">
        <v>6</v>
      </c>
      <c r="P32" s="12">
        <f t="shared" si="0"/>
        <v>6</v>
      </c>
      <c r="Q32">
        <v>160</v>
      </c>
      <c r="R32">
        <v>130</v>
      </c>
      <c r="S32">
        <v>135</v>
      </c>
      <c r="T32" s="21">
        <f t="shared" si="1"/>
        <v>141.66666666666666</v>
      </c>
    </row>
    <row r="33" spans="1:20" customFormat="1" x14ac:dyDescent="0.25">
      <c r="A33" t="s">
        <v>34</v>
      </c>
      <c r="D33" t="s">
        <v>42</v>
      </c>
      <c r="E33">
        <v>2016</v>
      </c>
      <c r="F33">
        <v>2</v>
      </c>
      <c r="G33">
        <v>4</v>
      </c>
      <c r="H33">
        <v>8</v>
      </c>
      <c r="I33">
        <v>156</v>
      </c>
      <c r="L33">
        <v>3</v>
      </c>
      <c r="M33">
        <v>7</v>
      </c>
      <c r="N33">
        <v>7</v>
      </c>
      <c r="O33">
        <v>8</v>
      </c>
      <c r="P33" s="12">
        <f t="shared" si="0"/>
        <v>7.333333333333333</v>
      </c>
      <c r="Q33">
        <v>160</v>
      </c>
      <c r="R33">
        <v>160</v>
      </c>
      <c r="S33">
        <v>145</v>
      </c>
      <c r="T33" s="21">
        <f t="shared" si="1"/>
        <v>155</v>
      </c>
    </row>
    <row r="34" spans="1:20" customFormat="1" x14ac:dyDescent="0.25">
      <c r="A34" t="s">
        <v>24</v>
      </c>
      <c r="D34" t="s">
        <v>26</v>
      </c>
      <c r="E34">
        <v>1983</v>
      </c>
      <c r="F34">
        <v>3</v>
      </c>
      <c r="G34">
        <v>1</v>
      </c>
      <c r="H34">
        <v>9</v>
      </c>
      <c r="I34">
        <v>109</v>
      </c>
      <c r="L34">
        <v>3</v>
      </c>
      <c r="M34">
        <v>6</v>
      </c>
      <c r="N34">
        <v>6</v>
      </c>
      <c r="O34">
        <v>7</v>
      </c>
      <c r="P34" s="12">
        <f t="shared" si="0"/>
        <v>6.333333333333333</v>
      </c>
      <c r="Q34">
        <v>178</v>
      </c>
      <c r="R34">
        <v>183</v>
      </c>
      <c r="S34">
        <v>199</v>
      </c>
      <c r="T34" s="21">
        <f t="shared" si="1"/>
        <v>186.66666666666666</v>
      </c>
    </row>
    <row r="35" spans="1:20" customFormat="1" x14ac:dyDescent="0.25">
      <c r="A35" t="s">
        <v>24</v>
      </c>
      <c r="D35" t="s">
        <v>312</v>
      </c>
      <c r="E35">
        <v>2002</v>
      </c>
      <c r="F35">
        <v>3</v>
      </c>
      <c r="G35">
        <v>2</v>
      </c>
      <c r="H35">
        <v>9</v>
      </c>
      <c r="I35">
        <v>125</v>
      </c>
      <c r="L35">
        <v>3</v>
      </c>
      <c r="M35">
        <v>8</v>
      </c>
      <c r="N35">
        <v>7</v>
      </c>
      <c r="O35">
        <v>6</v>
      </c>
      <c r="P35" s="12">
        <f t="shared" si="0"/>
        <v>7</v>
      </c>
      <c r="Q35">
        <v>229</v>
      </c>
      <c r="R35">
        <v>233</v>
      </c>
      <c r="S35">
        <v>205</v>
      </c>
      <c r="T35" s="21">
        <f t="shared" si="1"/>
        <v>222.33333333333334</v>
      </c>
    </row>
    <row r="36" spans="1:20" customFormat="1" x14ac:dyDescent="0.25">
      <c r="A36" t="s">
        <v>24</v>
      </c>
      <c r="D36" t="s">
        <v>28</v>
      </c>
      <c r="E36">
        <v>1998</v>
      </c>
      <c r="F36">
        <v>3</v>
      </c>
      <c r="G36">
        <v>3</v>
      </c>
      <c r="H36">
        <v>9</v>
      </c>
      <c r="I36">
        <v>141</v>
      </c>
      <c r="L36">
        <v>3</v>
      </c>
      <c r="M36">
        <v>6</v>
      </c>
      <c r="N36">
        <v>7</v>
      </c>
      <c r="O36">
        <v>7</v>
      </c>
      <c r="P36" s="12">
        <f t="shared" si="0"/>
        <v>6.666666666666667</v>
      </c>
      <c r="Q36">
        <v>208</v>
      </c>
      <c r="R36">
        <v>198</v>
      </c>
      <c r="S36">
        <v>185</v>
      </c>
      <c r="T36" s="21">
        <f t="shared" si="1"/>
        <v>197</v>
      </c>
    </row>
    <row r="37" spans="1:20" customFormat="1" x14ac:dyDescent="0.25">
      <c r="A37" t="s">
        <v>24</v>
      </c>
      <c r="D37" t="s">
        <v>27</v>
      </c>
      <c r="E37">
        <v>1985</v>
      </c>
      <c r="F37">
        <v>3</v>
      </c>
      <c r="G37">
        <v>4</v>
      </c>
      <c r="H37">
        <v>9</v>
      </c>
      <c r="I37">
        <v>157</v>
      </c>
      <c r="L37">
        <v>3</v>
      </c>
      <c r="M37">
        <v>6</v>
      </c>
      <c r="N37">
        <v>6</v>
      </c>
      <c r="O37">
        <v>7</v>
      </c>
      <c r="P37" s="12">
        <f t="shared" si="0"/>
        <v>6.333333333333333</v>
      </c>
      <c r="Q37">
        <v>191</v>
      </c>
      <c r="R37">
        <v>181</v>
      </c>
      <c r="S37">
        <v>202</v>
      </c>
      <c r="T37" s="21">
        <f t="shared" si="1"/>
        <v>191.33333333333334</v>
      </c>
    </row>
    <row r="38" spans="1:20" customFormat="1" x14ac:dyDescent="0.25">
      <c r="A38" t="s">
        <v>24</v>
      </c>
      <c r="D38" t="s">
        <v>313</v>
      </c>
      <c r="E38">
        <v>2016</v>
      </c>
      <c r="F38">
        <v>3</v>
      </c>
      <c r="G38">
        <v>1</v>
      </c>
      <c r="H38">
        <v>10</v>
      </c>
      <c r="I38">
        <v>110</v>
      </c>
      <c r="L38">
        <v>3</v>
      </c>
      <c r="M38">
        <v>6</v>
      </c>
      <c r="N38">
        <v>6</v>
      </c>
      <c r="O38">
        <v>6</v>
      </c>
      <c r="P38" s="12">
        <f t="shared" si="0"/>
        <v>6</v>
      </c>
      <c r="Q38">
        <v>195</v>
      </c>
      <c r="R38">
        <v>202</v>
      </c>
      <c r="S38">
        <v>194</v>
      </c>
      <c r="T38" s="21">
        <f t="shared" si="1"/>
        <v>197</v>
      </c>
    </row>
    <row r="39" spans="1:20" customFormat="1" x14ac:dyDescent="0.25">
      <c r="A39" t="s">
        <v>24</v>
      </c>
      <c r="D39" t="s">
        <v>32</v>
      </c>
      <c r="E39">
        <v>2018</v>
      </c>
      <c r="F39">
        <v>3</v>
      </c>
      <c r="G39">
        <v>2</v>
      </c>
      <c r="H39">
        <v>10</v>
      </c>
      <c r="I39">
        <v>126</v>
      </c>
      <c r="L39">
        <v>3</v>
      </c>
      <c r="M39">
        <v>8</v>
      </c>
      <c r="N39">
        <v>8</v>
      </c>
      <c r="O39">
        <v>8</v>
      </c>
      <c r="P39" s="12">
        <f t="shared" si="0"/>
        <v>8</v>
      </c>
      <c r="Q39">
        <v>217</v>
      </c>
      <c r="R39">
        <v>210</v>
      </c>
      <c r="S39">
        <v>210</v>
      </c>
      <c r="T39" s="21">
        <f t="shared" si="1"/>
        <v>212.33333333333334</v>
      </c>
    </row>
    <row r="40" spans="1:20" customFormat="1" x14ac:dyDescent="0.25">
      <c r="A40" t="s">
        <v>24</v>
      </c>
      <c r="D40" t="s">
        <v>29</v>
      </c>
      <c r="E40">
        <v>1999</v>
      </c>
      <c r="F40">
        <v>3</v>
      </c>
      <c r="G40">
        <v>3</v>
      </c>
      <c r="H40">
        <v>10</v>
      </c>
      <c r="I40">
        <v>142</v>
      </c>
      <c r="L40">
        <v>3</v>
      </c>
      <c r="M40">
        <v>6</v>
      </c>
      <c r="N40">
        <v>6</v>
      </c>
      <c r="O40">
        <v>5</v>
      </c>
      <c r="P40" s="12">
        <f t="shared" si="0"/>
        <v>5.666666666666667</v>
      </c>
      <c r="Q40">
        <v>192</v>
      </c>
      <c r="R40">
        <v>202</v>
      </c>
      <c r="S40">
        <v>207</v>
      </c>
      <c r="T40" s="21">
        <f t="shared" si="1"/>
        <v>200.33333333333334</v>
      </c>
    </row>
    <row r="41" spans="1:20" customFormat="1" x14ac:dyDescent="0.25">
      <c r="A41" t="s">
        <v>24</v>
      </c>
      <c r="D41" t="s">
        <v>311</v>
      </c>
      <c r="E41">
        <v>2023</v>
      </c>
      <c r="F41">
        <v>3</v>
      </c>
      <c r="G41">
        <v>4</v>
      </c>
      <c r="H41">
        <v>10</v>
      </c>
      <c r="I41">
        <v>158</v>
      </c>
      <c r="L41">
        <v>3</v>
      </c>
      <c r="M41">
        <v>6</v>
      </c>
      <c r="N41">
        <v>5</v>
      </c>
      <c r="O41">
        <v>6</v>
      </c>
      <c r="P41" s="12">
        <f t="shared" si="0"/>
        <v>5.666666666666667</v>
      </c>
      <c r="Q41">
        <v>170</v>
      </c>
      <c r="R41">
        <v>195</v>
      </c>
      <c r="S41">
        <v>211</v>
      </c>
      <c r="T41" s="21">
        <f t="shared" si="1"/>
        <v>192</v>
      </c>
    </row>
    <row r="42" spans="1:20" customFormat="1" x14ac:dyDescent="0.25">
      <c r="A42" t="s">
        <v>34</v>
      </c>
      <c r="D42" t="s">
        <v>42</v>
      </c>
      <c r="E42">
        <v>2016</v>
      </c>
      <c r="F42">
        <v>3</v>
      </c>
      <c r="G42">
        <v>1</v>
      </c>
      <c r="H42">
        <v>11</v>
      </c>
      <c r="I42">
        <v>111</v>
      </c>
      <c r="L42">
        <v>3</v>
      </c>
      <c r="M42">
        <v>6</v>
      </c>
      <c r="N42">
        <v>8</v>
      </c>
      <c r="O42">
        <v>7</v>
      </c>
      <c r="P42" s="12">
        <f t="shared" si="0"/>
        <v>7</v>
      </c>
      <c r="Q42">
        <v>145</v>
      </c>
      <c r="R42">
        <v>190</v>
      </c>
      <c r="S42">
        <v>150</v>
      </c>
      <c r="T42" s="21">
        <f t="shared" si="1"/>
        <v>161.66666666666666</v>
      </c>
    </row>
    <row r="43" spans="1:20" customFormat="1" x14ac:dyDescent="0.25">
      <c r="A43" t="s">
        <v>34</v>
      </c>
      <c r="D43" t="s">
        <v>39</v>
      </c>
      <c r="E43">
        <v>2001</v>
      </c>
      <c r="F43">
        <v>3</v>
      </c>
      <c r="G43">
        <v>2</v>
      </c>
      <c r="H43">
        <v>11</v>
      </c>
      <c r="I43">
        <v>127</v>
      </c>
      <c r="L43">
        <v>3</v>
      </c>
      <c r="M43">
        <v>6</v>
      </c>
      <c r="N43">
        <v>5</v>
      </c>
      <c r="O43">
        <v>6</v>
      </c>
      <c r="P43" s="12">
        <f t="shared" si="0"/>
        <v>5.666666666666667</v>
      </c>
      <c r="Q43">
        <v>140</v>
      </c>
      <c r="R43">
        <v>85</v>
      </c>
      <c r="S43">
        <v>165</v>
      </c>
      <c r="T43" s="21">
        <f t="shared" si="1"/>
        <v>130</v>
      </c>
    </row>
    <row r="44" spans="1:20" customFormat="1" x14ac:dyDescent="0.25">
      <c r="A44" t="s">
        <v>34</v>
      </c>
      <c r="D44" t="s">
        <v>43</v>
      </c>
      <c r="E44">
        <v>2020</v>
      </c>
      <c r="F44">
        <v>3</v>
      </c>
      <c r="G44">
        <v>3</v>
      </c>
      <c r="H44">
        <v>11</v>
      </c>
      <c r="I44">
        <v>143</v>
      </c>
      <c r="L44">
        <v>3</v>
      </c>
      <c r="M44">
        <v>6</v>
      </c>
      <c r="N44">
        <v>5</v>
      </c>
      <c r="O44">
        <v>6</v>
      </c>
      <c r="P44" s="12">
        <f t="shared" si="0"/>
        <v>5.666666666666667</v>
      </c>
      <c r="Q44">
        <v>180</v>
      </c>
      <c r="R44">
        <v>195</v>
      </c>
      <c r="S44">
        <v>200</v>
      </c>
      <c r="T44" s="21">
        <f t="shared" si="1"/>
        <v>191.66666666666666</v>
      </c>
    </row>
    <row r="45" spans="1:20" customFormat="1" x14ac:dyDescent="0.25">
      <c r="A45" t="s">
        <v>34</v>
      </c>
      <c r="D45" t="s">
        <v>41</v>
      </c>
      <c r="E45">
        <v>2008</v>
      </c>
      <c r="F45">
        <v>3</v>
      </c>
      <c r="G45">
        <v>4</v>
      </c>
      <c r="H45">
        <v>11</v>
      </c>
      <c r="I45">
        <v>159</v>
      </c>
      <c r="L45">
        <v>3</v>
      </c>
      <c r="M45">
        <v>6</v>
      </c>
      <c r="N45">
        <v>6</v>
      </c>
      <c r="O45">
        <v>7</v>
      </c>
      <c r="P45" s="12">
        <f t="shared" si="0"/>
        <v>6.333333333333333</v>
      </c>
      <c r="Q45">
        <v>130</v>
      </c>
      <c r="R45">
        <v>135</v>
      </c>
      <c r="S45">
        <v>125</v>
      </c>
      <c r="T45" s="21">
        <f t="shared" si="1"/>
        <v>130</v>
      </c>
    </row>
    <row r="46" spans="1:20" customFormat="1" x14ac:dyDescent="0.25">
      <c r="A46" t="s">
        <v>34</v>
      </c>
      <c r="D46" t="s">
        <v>38</v>
      </c>
      <c r="E46">
        <v>1999</v>
      </c>
      <c r="F46">
        <v>3</v>
      </c>
      <c r="G46">
        <v>1</v>
      </c>
      <c r="H46">
        <v>12</v>
      </c>
      <c r="I46">
        <v>112</v>
      </c>
      <c r="L46">
        <v>3</v>
      </c>
      <c r="M46">
        <v>5</v>
      </c>
      <c r="N46">
        <v>7</v>
      </c>
      <c r="O46">
        <v>5</v>
      </c>
      <c r="P46" s="12">
        <f t="shared" si="0"/>
        <v>5.666666666666667</v>
      </c>
      <c r="Q46">
        <v>185</v>
      </c>
      <c r="R46">
        <v>150</v>
      </c>
      <c r="S46">
        <v>125</v>
      </c>
      <c r="T46" s="21">
        <f t="shared" si="1"/>
        <v>153.33333333333334</v>
      </c>
    </row>
    <row r="47" spans="1:20" customFormat="1" x14ac:dyDescent="0.25">
      <c r="A47" t="s">
        <v>34</v>
      </c>
      <c r="D47" t="s">
        <v>36</v>
      </c>
      <c r="E47">
        <v>1984</v>
      </c>
      <c r="F47">
        <v>3</v>
      </c>
      <c r="G47">
        <v>2</v>
      </c>
      <c r="H47">
        <v>12</v>
      </c>
      <c r="I47">
        <v>128</v>
      </c>
      <c r="L47">
        <v>3</v>
      </c>
      <c r="M47">
        <v>7</v>
      </c>
      <c r="N47">
        <v>6</v>
      </c>
      <c r="O47">
        <v>7</v>
      </c>
      <c r="P47" s="12">
        <f t="shared" si="0"/>
        <v>6.666666666666667</v>
      </c>
      <c r="Q47">
        <v>200</v>
      </c>
      <c r="R47">
        <v>190</v>
      </c>
      <c r="S47">
        <v>190</v>
      </c>
      <c r="T47" s="21">
        <f t="shared" si="1"/>
        <v>193.33333333333334</v>
      </c>
    </row>
    <row r="48" spans="1:20" customFormat="1" x14ac:dyDescent="0.25">
      <c r="A48" t="s">
        <v>34</v>
      </c>
      <c r="D48" t="s">
        <v>318</v>
      </c>
      <c r="E48">
        <v>2004</v>
      </c>
      <c r="F48">
        <v>3</v>
      </c>
      <c r="G48">
        <v>3</v>
      </c>
      <c r="H48">
        <v>12</v>
      </c>
      <c r="I48">
        <v>144</v>
      </c>
      <c r="L48">
        <v>3</v>
      </c>
      <c r="M48">
        <v>6</v>
      </c>
      <c r="N48">
        <v>5</v>
      </c>
      <c r="O48">
        <v>5</v>
      </c>
      <c r="P48" s="12">
        <f t="shared" si="0"/>
        <v>5.333333333333333</v>
      </c>
      <c r="Q48">
        <v>210</v>
      </c>
      <c r="R48">
        <v>160</v>
      </c>
      <c r="S48">
        <v>155</v>
      </c>
      <c r="T48" s="21">
        <f t="shared" si="1"/>
        <v>175</v>
      </c>
    </row>
    <row r="49" spans="1:20" customFormat="1" x14ac:dyDescent="0.25">
      <c r="A49" t="s">
        <v>34</v>
      </c>
      <c r="D49" t="s">
        <v>37</v>
      </c>
      <c r="E49">
        <v>1989</v>
      </c>
      <c r="F49">
        <v>3</v>
      </c>
      <c r="G49">
        <v>4</v>
      </c>
      <c r="H49">
        <v>12</v>
      </c>
      <c r="I49">
        <v>160</v>
      </c>
      <c r="L49">
        <v>3</v>
      </c>
      <c r="M49">
        <v>6</v>
      </c>
      <c r="N49">
        <v>5</v>
      </c>
      <c r="O49">
        <v>5</v>
      </c>
      <c r="P49" s="12">
        <f t="shared" si="0"/>
        <v>5.333333333333333</v>
      </c>
      <c r="Q49">
        <v>160</v>
      </c>
      <c r="R49">
        <v>175</v>
      </c>
      <c r="S49">
        <v>180</v>
      </c>
      <c r="T49" s="21">
        <f t="shared" si="1"/>
        <v>171.66666666666666</v>
      </c>
    </row>
    <row r="50" spans="1:20" customFormat="1" x14ac:dyDescent="0.25">
      <c r="A50" t="s">
        <v>24</v>
      </c>
      <c r="D50" t="s">
        <v>32</v>
      </c>
      <c r="E50">
        <v>2018</v>
      </c>
      <c r="F50">
        <v>4</v>
      </c>
      <c r="G50">
        <v>1</v>
      </c>
      <c r="H50">
        <v>13</v>
      </c>
      <c r="I50">
        <v>113</v>
      </c>
      <c r="L50">
        <v>3</v>
      </c>
      <c r="M50">
        <v>7</v>
      </c>
      <c r="N50">
        <v>7</v>
      </c>
      <c r="O50">
        <v>6</v>
      </c>
      <c r="P50" s="12">
        <f t="shared" si="0"/>
        <v>6.666666666666667</v>
      </c>
      <c r="Q50">
        <v>211</v>
      </c>
      <c r="R50">
        <v>221</v>
      </c>
      <c r="S50">
        <v>204</v>
      </c>
      <c r="T50" s="21">
        <f t="shared" si="1"/>
        <v>212</v>
      </c>
    </row>
    <row r="51" spans="1:20" customFormat="1" x14ac:dyDescent="0.25">
      <c r="A51" t="s">
        <v>24</v>
      </c>
      <c r="D51" t="s">
        <v>26</v>
      </c>
      <c r="E51">
        <v>1983</v>
      </c>
      <c r="F51">
        <v>4</v>
      </c>
      <c r="G51">
        <v>2</v>
      </c>
      <c r="H51">
        <v>13</v>
      </c>
      <c r="I51">
        <v>129</v>
      </c>
      <c r="L51">
        <v>3</v>
      </c>
      <c r="M51">
        <v>5</v>
      </c>
      <c r="N51">
        <v>6</v>
      </c>
      <c r="O51">
        <v>6</v>
      </c>
      <c r="P51" s="12">
        <f t="shared" si="0"/>
        <v>5.666666666666667</v>
      </c>
      <c r="Q51">
        <v>203</v>
      </c>
      <c r="R51">
        <v>182</v>
      </c>
      <c r="S51">
        <v>204</v>
      </c>
      <c r="T51" s="21">
        <f t="shared" si="1"/>
        <v>196.33333333333334</v>
      </c>
    </row>
    <row r="52" spans="1:20" customFormat="1" x14ac:dyDescent="0.25">
      <c r="A52" t="s">
        <v>24</v>
      </c>
      <c r="D52" t="s">
        <v>311</v>
      </c>
      <c r="E52">
        <v>2023</v>
      </c>
      <c r="F52">
        <v>4</v>
      </c>
      <c r="G52">
        <v>3</v>
      </c>
      <c r="H52">
        <v>13</v>
      </c>
      <c r="I52">
        <v>145</v>
      </c>
      <c r="L52">
        <v>3</v>
      </c>
      <c r="M52">
        <v>5</v>
      </c>
      <c r="N52">
        <v>6</v>
      </c>
      <c r="O52">
        <v>7</v>
      </c>
      <c r="P52" s="12">
        <f t="shared" si="0"/>
        <v>6</v>
      </c>
      <c r="Q52">
        <v>230</v>
      </c>
      <c r="S52">
        <v>200</v>
      </c>
      <c r="T52" s="21">
        <f t="shared" si="1"/>
        <v>215</v>
      </c>
    </row>
    <row r="53" spans="1:20" customFormat="1" x14ac:dyDescent="0.25">
      <c r="A53" t="s">
        <v>24</v>
      </c>
      <c r="D53" t="s">
        <v>28</v>
      </c>
      <c r="E53">
        <v>1998</v>
      </c>
      <c r="F53">
        <v>4</v>
      </c>
      <c r="G53">
        <v>4</v>
      </c>
      <c r="H53">
        <v>13</v>
      </c>
      <c r="I53">
        <v>161</v>
      </c>
      <c r="L53">
        <v>3</v>
      </c>
      <c r="M53">
        <v>6</v>
      </c>
      <c r="N53">
        <v>5</v>
      </c>
      <c r="O53">
        <v>7</v>
      </c>
      <c r="P53" s="12">
        <f t="shared" si="0"/>
        <v>6</v>
      </c>
      <c r="Q53">
        <v>209</v>
      </c>
      <c r="R53">
        <v>198</v>
      </c>
      <c r="S53">
        <v>201</v>
      </c>
      <c r="T53" s="21">
        <f t="shared" si="1"/>
        <v>202.66666666666666</v>
      </c>
    </row>
    <row r="54" spans="1:20" customFormat="1" x14ac:dyDescent="0.25">
      <c r="A54" t="s">
        <v>24</v>
      </c>
      <c r="D54" t="s">
        <v>27</v>
      </c>
      <c r="E54">
        <v>1985</v>
      </c>
      <c r="F54">
        <v>4</v>
      </c>
      <c r="G54">
        <v>1</v>
      </c>
      <c r="H54">
        <v>14</v>
      </c>
      <c r="I54">
        <v>114</v>
      </c>
      <c r="L54">
        <v>3</v>
      </c>
      <c r="M54">
        <v>7</v>
      </c>
      <c r="N54">
        <v>7</v>
      </c>
      <c r="O54">
        <v>6</v>
      </c>
      <c r="P54" s="12">
        <f t="shared" si="0"/>
        <v>6.666666666666667</v>
      </c>
      <c r="Q54">
        <v>206</v>
      </c>
      <c r="R54">
        <v>198</v>
      </c>
      <c r="S54">
        <v>208</v>
      </c>
      <c r="T54" s="21">
        <f t="shared" si="1"/>
        <v>204</v>
      </c>
    </row>
    <row r="55" spans="1:20" customFormat="1" x14ac:dyDescent="0.25">
      <c r="A55" t="s">
        <v>24</v>
      </c>
      <c r="D55" t="s">
        <v>29</v>
      </c>
      <c r="E55">
        <v>1999</v>
      </c>
      <c r="F55">
        <v>4</v>
      </c>
      <c r="G55">
        <v>2</v>
      </c>
      <c r="H55">
        <v>14</v>
      </c>
      <c r="I55">
        <v>130</v>
      </c>
      <c r="L55">
        <v>3</v>
      </c>
      <c r="M55">
        <v>5</v>
      </c>
      <c r="N55">
        <v>6</v>
      </c>
      <c r="O55">
        <v>7</v>
      </c>
      <c r="P55" s="12">
        <f t="shared" si="0"/>
        <v>6</v>
      </c>
      <c r="Q55">
        <v>195</v>
      </c>
      <c r="R55">
        <v>216</v>
      </c>
      <c r="S55">
        <v>220</v>
      </c>
      <c r="T55" s="21">
        <f t="shared" si="1"/>
        <v>210.33333333333334</v>
      </c>
    </row>
    <row r="56" spans="1:20" customFormat="1" x14ac:dyDescent="0.25">
      <c r="A56" t="s">
        <v>24</v>
      </c>
      <c r="D56" t="s">
        <v>312</v>
      </c>
      <c r="E56">
        <v>2002</v>
      </c>
      <c r="F56">
        <v>4</v>
      </c>
      <c r="G56">
        <v>3</v>
      </c>
      <c r="H56">
        <v>14</v>
      </c>
      <c r="I56">
        <v>146</v>
      </c>
      <c r="L56">
        <v>3</v>
      </c>
      <c r="M56">
        <v>8</v>
      </c>
      <c r="N56">
        <v>7</v>
      </c>
      <c r="O56">
        <v>7</v>
      </c>
      <c r="P56" s="12">
        <f t="shared" si="0"/>
        <v>7.333333333333333</v>
      </c>
      <c r="Q56">
        <v>241</v>
      </c>
      <c r="R56">
        <v>235</v>
      </c>
      <c r="S56">
        <v>201</v>
      </c>
      <c r="T56" s="21">
        <f t="shared" si="1"/>
        <v>225.66666666666666</v>
      </c>
    </row>
    <row r="57" spans="1:20" customFormat="1" x14ac:dyDescent="0.25">
      <c r="A57" t="s">
        <v>24</v>
      </c>
      <c r="D57" t="s">
        <v>313</v>
      </c>
      <c r="E57">
        <v>2016</v>
      </c>
      <c r="F57">
        <v>4</v>
      </c>
      <c r="G57">
        <v>4</v>
      </c>
      <c r="H57">
        <v>14</v>
      </c>
      <c r="I57">
        <v>162</v>
      </c>
      <c r="L57">
        <v>3</v>
      </c>
      <c r="M57">
        <v>7</v>
      </c>
      <c r="N57">
        <v>5</v>
      </c>
      <c r="O57">
        <v>6</v>
      </c>
      <c r="P57" s="12">
        <f t="shared" si="0"/>
        <v>6</v>
      </c>
      <c r="Q57">
        <v>206</v>
      </c>
      <c r="R57">
        <v>176</v>
      </c>
      <c r="S57">
        <v>175</v>
      </c>
      <c r="T57" s="21">
        <f t="shared" si="1"/>
        <v>185.66666666666666</v>
      </c>
    </row>
    <row r="58" spans="1:20" customFormat="1" x14ac:dyDescent="0.25">
      <c r="A58" t="s">
        <v>34</v>
      </c>
      <c r="D58" t="s">
        <v>36</v>
      </c>
      <c r="E58">
        <v>1984</v>
      </c>
      <c r="F58">
        <v>4</v>
      </c>
      <c r="G58">
        <v>1</v>
      </c>
      <c r="H58">
        <v>15</v>
      </c>
      <c r="I58">
        <v>115</v>
      </c>
      <c r="L58">
        <v>3</v>
      </c>
      <c r="M58">
        <v>6</v>
      </c>
      <c r="N58">
        <v>6</v>
      </c>
      <c r="O58">
        <v>7</v>
      </c>
      <c r="P58" s="12">
        <f t="shared" si="0"/>
        <v>6.333333333333333</v>
      </c>
      <c r="Q58">
        <v>155</v>
      </c>
      <c r="R58">
        <v>150</v>
      </c>
      <c r="S58">
        <v>180</v>
      </c>
      <c r="T58" s="21">
        <f t="shared" si="1"/>
        <v>161.66666666666666</v>
      </c>
    </row>
    <row r="59" spans="1:20" customFormat="1" x14ac:dyDescent="0.25">
      <c r="A59" t="s">
        <v>34</v>
      </c>
      <c r="D59" t="s">
        <v>38</v>
      </c>
      <c r="E59">
        <v>1999</v>
      </c>
      <c r="F59">
        <v>4</v>
      </c>
      <c r="G59">
        <v>2</v>
      </c>
      <c r="H59">
        <v>15</v>
      </c>
      <c r="I59">
        <v>131</v>
      </c>
      <c r="L59">
        <v>3</v>
      </c>
      <c r="M59">
        <v>6</v>
      </c>
      <c r="N59">
        <v>5</v>
      </c>
      <c r="O59">
        <v>7</v>
      </c>
      <c r="P59" s="12">
        <f t="shared" si="0"/>
        <v>6</v>
      </c>
      <c r="Q59">
        <v>160</v>
      </c>
      <c r="R59">
        <v>145</v>
      </c>
      <c r="S59">
        <v>155</v>
      </c>
      <c r="T59" s="21">
        <f t="shared" si="1"/>
        <v>153.33333333333334</v>
      </c>
    </row>
    <row r="60" spans="1:20" customFormat="1" x14ac:dyDescent="0.25">
      <c r="A60" t="s">
        <v>34</v>
      </c>
      <c r="D60" t="s">
        <v>37</v>
      </c>
      <c r="E60">
        <v>1989</v>
      </c>
      <c r="F60">
        <v>4</v>
      </c>
      <c r="G60">
        <v>3</v>
      </c>
      <c r="H60">
        <v>15</v>
      </c>
      <c r="I60">
        <v>147</v>
      </c>
      <c r="L60">
        <v>3</v>
      </c>
      <c r="M60">
        <v>5</v>
      </c>
      <c r="N60">
        <v>5</v>
      </c>
      <c r="O60">
        <v>5</v>
      </c>
      <c r="P60" s="12">
        <f t="shared" si="0"/>
        <v>5</v>
      </c>
      <c r="Q60">
        <v>175</v>
      </c>
      <c r="R60">
        <v>165</v>
      </c>
      <c r="S60">
        <v>150</v>
      </c>
      <c r="T60" s="21">
        <f t="shared" si="1"/>
        <v>163.33333333333334</v>
      </c>
    </row>
    <row r="61" spans="1:20" customFormat="1" x14ac:dyDescent="0.25">
      <c r="A61" t="s">
        <v>34</v>
      </c>
      <c r="D61" t="s">
        <v>318</v>
      </c>
      <c r="E61">
        <v>2004</v>
      </c>
      <c r="F61">
        <v>4</v>
      </c>
      <c r="G61">
        <v>4</v>
      </c>
      <c r="H61">
        <v>15</v>
      </c>
      <c r="I61">
        <v>163</v>
      </c>
      <c r="L61">
        <v>3</v>
      </c>
      <c r="M61">
        <v>5</v>
      </c>
      <c r="N61">
        <v>5</v>
      </c>
      <c r="O61">
        <v>5</v>
      </c>
      <c r="P61" s="12">
        <f t="shared" si="0"/>
        <v>5</v>
      </c>
      <c r="Q61">
        <v>200</v>
      </c>
      <c r="R61">
        <v>190</v>
      </c>
      <c r="S61">
        <v>150</v>
      </c>
      <c r="T61" s="21">
        <f t="shared" si="1"/>
        <v>180</v>
      </c>
    </row>
    <row r="62" spans="1:20" customFormat="1" x14ac:dyDescent="0.25">
      <c r="A62" t="s">
        <v>34</v>
      </c>
      <c r="D62" t="s">
        <v>43</v>
      </c>
      <c r="E62">
        <v>2020</v>
      </c>
      <c r="F62">
        <v>4</v>
      </c>
      <c r="G62">
        <v>1</v>
      </c>
      <c r="H62">
        <v>16</v>
      </c>
      <c r="I62">
        <v>116</v>
      </c>
      <c r="L62">
        <v>3</v>
      </c>
      <c r="M62">
        <v>7</v>
      </c>
      <c r="N62">
        <v>6</v>
      </c>
      <c r="O62">
        <v>7</v>
      </c>
      <c r="P62" s="12">
        <f t="shared" si="0"/>
        <v>6.666666666666667</v>
      </c>
      <c r="Q62">
        <v>175</v>
      </c>
      <c r="R62">
        <v>200</v>
      </c>
      <c r="S62">
        <v>200</v>
      </c>
      <c r="T62" s="21">
        <f t="shared" si="1"/>
        <v>191.66666666666666</v>
      </c>
    </row>
    <row r="63" spans="1:20" customFormat="1" x14ac:dyDescent="0.25">
      <c r="A63" t="s">
        <v>34</v>
      </c>
      <c r="D63" t="s">
        <v>41</v>
      </c>
      <c r="E63">
        <v>2008</v>
      </c>
      <c r="F63">
        <v>4</v>
      </c>
      <c r="G63">
        <v>2</v>
      </c>
      <c r="H63">
        <v>16</v>
      </c>
      <c r="I63">
        <v>132</v>
      </c>
      <c r="L63">
        <v>3</v>
      </c>
      <c r="M63">
        <v>8</v>
      </c>
      <c r="N63">
        <v>6</v>
      </c>
      <c r="O63">
        <v>6</v>
      </c>
      <c r="P63" s="12">
        <f t="shared" si="0"/>
        <v>6.666666666666667</v>
      </c>
      <c r="Q63">
        <v>145</v>
      </c>
      <c r="R63">
        <v>180</v>
      </c>
      <c r="S63">
        <v>180</v>
      </c>
      <c r="T63" s="21">
        <f t="shared" si="1"/>
        <v>168.33333333333334</v>
      </c>
    </row>
    <row r="64" spans="1:20" customFormat="1" x14ac:dyDescent="0.25">
      <c r="A64" t="s">
        <v>34</v>
      </c>
      <c r="D64" t="s">
        <v>42</v>
      </c>
      <c r="E64">
        <v>2016</v>
      </c>
      <c r="F64">
        <v>4</v>
      </c>
      <c r="G64">
        <v>3</v>
      </c>
      <c r="H64">
        <v>16</v>
      </c>
      <c r="I64">
        <v>148</v>
      </c>
      <c r="L64">
        <v>3</v>
      </c>
      <c r="M64">
        <v>8</v>
      </c>
      <c r="N64">
        <v>6</v>
      </c>
      <c r="O64">
        <v>7</v>
      </c>
      <c r="P64" s="12">
        <f t="shared" si="0"/>
        <v>7</v>
      </c>
      <c r="Q64">
        <v>160</v>
      </c>
      <c r="R64">
        <v>145</v>
      </c>
      <c r="S64">
        <v>195</v>
      </c>
      <c r="T64" s="21">
        <f t="shared" si="1"/>
        <v>166.66666666666666</v>
      </c>
    </row>
    <row r="65" spans="1:20" customFormat="1" x14ac:dyDescent="0.25">
      <c r="A65" t="s">
        <v>34</v>
      </c>
      <c r="D65" t="s">
        <v>39</v>
      </c>
      <c r="E65">
        <v>2001</v>
      </c>
      <c r="F65">
        <v>4</v>
      </c>
      <c r="G65">
        <v>4</v>
      </c>
      <c r="H65">
        <v>16</v>
      </c>
      <c r="I65">
        <v>164</v>
      </c>
      <c r="L65">
        <v>3</v>
      </c>
      <c r="M65">
        <v>5</v>
      </c>
      <c r="N65">
        <v>6</v>
      </c>
      <c r="O65">
        <v>6</v>
      </c>
      <c r="P65" s="12">
        <f t="shared" si="0"/>
        <v>5.666666666666667</v>
      </c>
      <c r="Q65">
        <v>175</v>
      </c>
      <c r="R65">
        <v>195</v>
      </c>
      <c r="S65">
        <v>195</v>
      </c>
      <c r="T65" s="21">
        <f t="shared" si="1"/>
        <v>188.33333333333334</v>
      </c>
    </row>
    <row r="66" spans="1:20" customFormat="1" x14ac:dyDescent="0.25">
      <c r="A66" t="s">
        <v>24</v>
      </c>
      <c r="D66" t="s">
        <v>28</v>
      </c>
      <c r="E66">
        <v>1998</v>
      </c>
      <c r="F66">
        <v>1</v>
      </c>
      <c r="G66">
        <v>1</v>
      </c>
      <c r="H66">
        <v>1</v>
      </c>
      <c r="I66">
        <v>101</v>
      </c>
      <c r="L66">
        <v>6</v>
      </c>
      <c r="M66">
        <v>13</v>
      </c>
      <c r="N66">
        <v>12</v>
      </c>
      <c r="O66">
        <v>12</v>
      </c>
      <c r="P66" s="12">
        <f t="shared" si="0"/>
        <v>12.333333333333334</v>
      </c>
      <c r="Q66">
        <v>330</v>
      </c>
      <c r="R66">
        <v>320</v>
      </c>
      <c r="S66">
        <v>310</v>
      </c>
      <c r="T66" s="21">
        <f t="shared" si="1"/>
        <v>320</v>
      </c>
    </row>
    <row r="67" spans="1:20" customFormat="1" x14ac:dyDescent="0.25">
      <c r="A67" t="s">
        <v>24</v>
      </c>
      <c r="D67" t="s">
        <v>313</v>
      </c>
      <c r="E67">
        <v>2016</v>
      </c>
      <c r="F67">
        <v>1</v>
      </c>
      <c r="G67">
        <v>2</v>
      </c>
      <c r="H67">
        <v>1</v>
      </c>
      <c r="I67">
        <v>117</v>
      </c>
      <c r="L67">
        <v>6</v>
      </c>
      <c r="M67">
        <v>10</v>
      </c>
      <c r="N67">
        <v>11</v>
      </c>
      <c r="O67">
        <v>10</v>
      </c>
      <c r="P67" s="12">
        <f t="shared" ref="P67:P130" si="2">AVERAGE(M67:O67)</f>
        <v>10.333333333333334</v>
      </c>
      <c r="Q67">
        <v>200</v>
      </c>
      <c r="R67">
        <v>300</v>
      </c>
      <c r="S67">
        <v>295</v>
      </c>
      <c r="T67" s="21">
        <f t="shared" ref="T67:T130" si="3">AVERAGE(Q67:S67)</f>
        <v>265</v>
      </c>
    </row>
    <row r="68" spans="1:20" customFormat="1" x14ac:dyDescent="0.25">
      <c r="A68" t="s">
        <v>24</v>
      </c>
      <c r="D68" t="s">
        <v>26</v>
      </c>
      <c r="E68">
        <v>1983</v>
      </c>
      <c r="F68">
        <v>1</v>
      </c>
      <c r="G68">
        <v>3</v>
      </c>
      <c r="H68">
        <v>1</v>
      </c>
      <c r="I68">
        <v>133</v>
      </c>
      <c r="L68">
        <v>6</v>
      </c>
      <c r="M68">
        <v>10</v>
      </c>
      <c r="N68">
        <v>10</v>
      </c>
      <c r="O68">
        <v>11</v>
      </c>
      <c r="P68" s="12">
        <f t="shared" si="2"/>
        <v>10.333333333333334</v>
      </c>
      <c r="Q68">
        <v>310</v>
      </c>
      <c r="R68">
        <v>330</v>
      </c>
      <c r="S68">
        <v>325</v>
      </c>
      <c r="T68" s="21">
        <f t="shared" si="3"/>
        <v>321.66666666666669</v>
      </c>
    </row>
    <row r="69" spans="1:20" customFormat="1" x14ac:dyDescent="0.25">
      <c r="A69" t="s">
        <v>24</v>
      </c>
      <c r="D69" t="s">
        <v>29</v>
      </c>
      <c r="E69">
        <v>1999</v>
      </c>
      <c r="F69">
        <v>1</v>
      </c>
      <c r="G69">
        <v>4</v>
      </c>
      <c r="H69">
        <v>1</v>
      </c>
      <c r="I69">
        <v>149</v>
      </c>
      <c r="L69">
        <v>6</v>
      </c>
      <c r="M69">
        <v>8</v>
      </c>
      <c r="N69">
        <v>10</v>
      </c>
      <c r="O69">
        <v>9</v>
      </c>
      <c r="P69" s="12">
        <f t="shared" si="2"/>
        <v>9</v>
      </c>
      <c r="Q69">
        <v>285</v>
      </c>
      <c r="R69">
        <v>290</v>
      </c>
      <c r="S69">
        <v>330</v>
      </c>
      <c r="T69" s="21">
        <f t="shared" si="3"/>
        <v>301.66666666666669</v>
      </c>
    </row>
    <row r="70" spans="1:20" customFormat="1" x14ac:dyDescent="0.25">
      <c r="A70" t="s">
        <v>24</v>
      </c>
      <c r="D70" t="s">
        <v>312</v>
      </c>
      <c r="E70">
        <v>2002</v>
      </c>
      <c r="F70">
        <v>1</v>
      </c>
      <c r="G70">
        <v>1</v>
      </c>
      <c r="H70">
        <v>2</v>
      </c>
      <c r="I70">
        <v>102</v>
      </c>
      <c r="L70">
        <v>6</v>
      </c>
      <c r="M70">
        <v>13</v>
      </c>
      <c r="N70">
        <v>12</v>
      </c>
      <c r="O70">
        <v>14</v>
      </c>
      <c r="P70" s="12">
        <f t="shared" si="2"/>
        <v>13</v>
      </c>
      <c r="Q70">
        <v>350</v>
      </c>
      <c r="R70">
        <v>340</v>
      </c>
      <c r="S70">
        <v>350</v>
      </c>
      <c r="T70" s="21">
        <f t="shared" si="3"/>
        <v>346.66666666666669</v>
      </c>
    </row>
    <row r="71" spans="1:20" customFormat="1" x14ac:dyDescent="0.25">
      <c r="A71" t="s">
        <v>24</v>
      </c>
      <c r="D71" t="s">
        <v>311</v>
      </c>
      <c r="E71">
        <v>2023</v>
      </c>
      <c r="F71">
        <v>1</v>
      </c>
      <c r="G71">
        <v>2</v>
      </c>
      <c r="H71">
        <v>2</v>
      </c>
      <c r="I71">
        <v>118</v>
      </c>
      <c r="L71">
        <v>6</v>
      </c>
      <c r="M71">
        <v>7</v>
      </c>
      <c r="N71">
        <v>12</v>
      </c>
      <c r="O71">
        <v>10</v>
      </c>
      <c r="P71" s="12">
        <f t="shared" si="2"/>
        <v>9.6666666666666661</v>
      </c>
      <c r="Q71">
        <v>270</v>
      </c>
      <c r="R71">
        <v>310</v>
      </c>
      <c r="S71">
        <v>305</v>
      </c>
      <c r="T71" s="21">
        <f t="shared" si="3"/>
        <v>295</v>
      </c>
    </row>
    <row r="72" spans="1:20" customFormat="1" x14ac:dyDescent="0.25">
      <c r="A72" t="s">
        <v>24</v>
      </c>
      <c r="D72" t="s">
        <v>27</v>
      </c>
      <c r="E72">
        <v>1985</v>
      </c>
      <c r="F72">
        <v>1</v>
      </c>
      <c r="G72">
        <v>3</v>
      </c>
      <c r="H72">
        <v>2</v>
      </c>
      <c r="I72">
        <v>134</v>
      </c>
      <c r="L72">
        <v>6</v>
      </c>
      <c r="M72">
        <v>13</v>
      </c>
      <c r="N72">
        <v>11</v>
      </c>
      <c r="O72">
        <v>10</v>
      </c>
      <c r="P72" s="12">
        <f t="shared" si="2"/>
        <v>11.333333333333334</v>
      </c>
      <c r="Q72">
        <v>340</v>
      </c>
      <c r="R72">
        <v>320</v>
      </c>
      <c r="S72">
        <v>320</v>
      </c>
      <c r="T72" s="21">
        <f t="shared" si="3"/>
        <v>326.66666666666669</v>
      </c>
    </row>
    <row r="73" spans="1:20" customFormat="1" x14ac:dyDescent="0.25">
      <c r="A73" t="s">
        <v>24</v>
      </c>
      <c r="D73" t="s">
        <v>32</v>
      </c>
      <c r="E73">
        <v>2018</v>
      </c>
      <c r="F73">
        <v>1</v>
      </c>
      <c r="G73">
        <v>4</v>
      </c>
      <c r="H73">
        <v>2</v>
      </c>
      <c r="I73">
        <v>150</v>
      </c>
      <c r="L73">
        <v>6</v>
      </c>
      <c r="M73">
        <v>10</v>
      </c>
      <c r="N73">
        <v>11</v>
      </c>
      <c r="O73">
        <v>12</v>
      </c>
      <c r="P73" s="12">
        <f t="shared" si="2"/>
        <v>11</v>
      </c>
      <c r="Q73">
        <v>350</v>
      </c>
      <c r="R73">
        <v>320</v>
      </c>
      <c r="S73">
        <v>325</v>
      </c>
      <c r="T73" s="21">
        <f t="shared" si="3"/>
        <v>331.66666666666669</v>
      </c>
    </row>
    <row r="74" spans="1:20" customFormat="1" x14ac:dyDescent="0.25">
      <c r="A74" t="s">
        <v>34</v>
      </c>
      <c r="D74" t="s">
        <v>39</v>
      </c>
      <c r="E74">
        <v>2001</v>
      </c>
      <c r="F74">
        <v>1</v>
      </c>
      <c r="G74">
        <v>1</v>
      </c>
      <c r="H74">
        <v>3</v>
      </c>
      <c r="I74">
        <v>103</v>
      </c>
      <c r="L74">
        <v>6</v>
      </c>
      <c r="M74">
        <v>11</v>
      </c>
      <c r="N74">
        <v>13</v>
      </c>
      <c r="O74">
        <v>12</v>
      </c>
      <c r="P74" s="12">
        <f t="shared" si="2"/>
        <v>12</v>
      </c>
      <c r="Q74">
        <v>190</v>
      </c>
      <c r="R74">
        <v>195</v>
      </c>
      <c r="S74">
        <v>200</v>
      </c>
      <c r="T74" s="21">
        <f t="shared" si="3"/>
        <v>195</v>
      </c>
    </row>
    <row r="75" spans="1:20" customFormat="1" x14ac:dyDescent="0.25">
      <c r="A75" t="s">
        <v>34</v>
      </c>
      <c r="D75" t="s">
        <v>318</v>
      </c>
      <c r="E75">
        <v>2004</v>
      </c>
      <c r="F75">
        <v>1</v>
      </c>
      <c r="G75">
        <v>2</v>
      </c>
      <c r="H75">
        <v>3</v>
      </c>
      <c r="I75">
        <v>119</v>
      </c>
      <c r="L75">
        <v>6</v>
      </c>
      <c r="M75">
        <v>10</v>
      </c>
      <c r="N75">
        <v>10</v>
      </c>
      <c r="O75">
        <v>10</v>
      </c>
      <c r="P75" s="12">
        <f t="shared" si="2"/>
        <v>10</v>
      </c>
      <c r="Q75">
        <v>250</v>
      </c>
      <c r="R75">
        <v>210</v>
      </c>
      <c r="S75">
        <v>255</v>
      </c>
      <c r="T75" s="21">
        <f t="shared" si="3"/>
        <v>238.33333333333334</v>
      </c>
    </row>
    <row r="76" spans="1:20" customFormat="1" x14ac:dyDescent="0.25">
      <c r="A76" t="s">
        <v>34</v>
      </c>
      <c r="D76" t="s">
        <v>41</v>
      </c>
      <c r="E76">
        <v>2008</v>
      </c>
      <c r="F76">
        <v>1</v>
      </c>
      <c r="G76">
        <v>3</v>
      </c>
      <c r="H76">
        <v>3</v>
      </c>
      <c r="I76">
        <v>135</v>
      </c>
      <c r="L76">
        <v>6</v>
      </c>
      <c r="M76">
        <v>13</v>
      </c>
      <c r="N76">
        <v>13</v>
      </c>
      <c r="O76">
        <v>14</v>
      </c>
      <c r="P76" s="12">
        <f t="shared" si="2"/>
        <v>13.333333333333334</v>
      </c>
      <c r="Q76">
        <v>195</v>
      </c>
      <c r="R76">
        <v>190</v>
      </c>
      <c r="S76">
        <v>230</v>
      </c>
      <c r="T76" s="21">
        <f t="shared" si="3"/>
        <v>205</v>
      </c>
    </row>
    <row r="77" spans="1:20" customFormat="1" x14ac:dyDescent="0.25">
      <c r="A77" t="s">
        <v>34</v>
      </c>
      <c r="D77" t="s">
        <v>38</v>
      </c>
      <c r="E77">
        <v>1999</v>
      </c>
      <c r="F77">
        <v>1</v>
      </c>
      <c r="G77">
        <v>4</v>
      </c>
      <c r="H77">
        <v>3</v>
      </c>
      <c r="I77">
        <v>151</v>
      </c>
      <c r="L77">
        <v>6</v>
      </c>
      <c r="M77">
        <v>12</v>
      </c>
      <c r="N77">
        <v>12</v>
      </c>
      <c r="O77">
        <v>13</v>
      </c>
      <c r="P77" s="12">
        <f t="shared" si="2"/>
        <v>12.333333333333334</v>
      </c>
      <c r="Q77">
        <v>235</v>
      </c>
      <c r="R77">
        <v>205</v>
      </c>
      <c r="S77">
        <v>225</v>
      </c>
      <c r="T77" s="21">
        <f t="shared" si="3"/>
        <v>221.66666666666666</v>
      </c>
    </row>
    <row r="78" spans="1:20" customFormat="1" x14ac:dyDescent="0.25">
      <c r="A78" t="s">
        <v>34</v>
      </c>
      <c r="D78" t="s">
        <v>37</v>
      </c>
      <c r="E78">
        <v>1989</v>
      </c>
      <c r="F78">
        <v>1</v>
      </c>
      <c r="G78">
        <v>1</v>
      </c>
      <c r="H78">
        <v>4</v>
      </c>
      <c r="I78">
        <v>104</v>
      </c>
      <c r="L78">
        <v>6</v>
      </c>
      <c r="M78">
        <v>11</v>
      </c>
      <c r="N78">
        <v>9</v>
      </c>
      <c r="O78">
        <v>12</v>
      </c>
      <c r="P78" s="12">
        <f t="shared" si="2"/>
        <v>10.666666666666666</v>
      </c>
      <c r="Q78">
        <v>225</v>
      </c>
      <c r="R78">
        <v>185</v>
      </c>
      <c r="S78">
        <v>260</v>
      </c>
      <c r="T78" s="21">
        <f t="shared" si="3"/>
        <v>223.33333333333334</v>
      </c>
    </row>
    <row r="79" spans="1:20" customFormat="1" x14ac:dyDescent="0.25">
      <c r="A79" t="s">
        <v>34</v>
      </c>
      <c r="D79" t="s">
        <v>42</v>
      </c>
      <c r="E79">
        <v>2016</v>
      </c>
      <c r="F79">
        <v>1</v>
      </c>
      <c r="G79">
        <v>2</v>
      </c>
      <c r="H79">
        <v>4</v>
      </c>
      <c r="I79">
        <v>120</v>
      </c>
      <c r="L79">
        <v>6</v>
      </c>
      <c r="M79">
        <v>14</v>
      </c>
      <c r="N79">
        <v>14</v>
      </c>
      <c r="O79">
        <v>14</v>
      </c>
      <c r="P79" s="12">
        <f t="shared" si="2"/>
        <v>14</v>
      </c>
      <c r="Q79">
        <v>235</v>
      </c>
      <c r="R79">
        <v>210</v>
      </c>
      <c r="S79">
        <v>240</v>
      </c>
      <c r="T79" s="21">
        <f t="shared" si="3"/>
        <v>228.33333333333334</v>
      </c>
    </row>
    <row r="80" spans="1:20" customFormat="1" x14ac:dyDescent="0.25">
      <c r="A80" t="s">
        <v>34</v>
      </c>
      <c r="D80" t="s">
        <v>36</v>
      </c>
      <c r="E80">
        <v>1984</v>
      </c>
      <c r="F80">
        <v>1</v>
      </c>
      <c r="G80">
        <v>3</v>
      </c>
      <c r="H80">
        <v>4</v>
      </c>
      <c r="I80">
        <v>136</v>
      </c>
      <c r="L80">
        <v>6</v>
      </c>
      <c r="M80">
        <v>12</v>
      </c>
      <c r="N80">
        <v>13</v>
      </c>
      <c r="O80">
        <v>10</v>
      </c>
      <c r="P80" s="12">
        <f t="shared" si="2"/>
        <v>11.666666666666666</v>
      </c>
      <c r="Q80">
        <v>195</v>
      </c>
      <c r="R80">
        <v>210</v>
      </c>
      <c r="S80">
        <v>230</v>
      </c>
      <c r="T80" s="21">
        <f t="shared" si="3"/>
        <v>211.66666666666666</v>
      </c>
    </row>
    <row r="81" spans="1:20" customFormat="1" x14ac:dyDescent="0.25">
      <c r="A81" t="s">
        <v>34</v>
      </c>
      <c r="D81" t="s">
        <v>43</v>
      </c>
      <c r="E81">
        <v>2020</v>
      </c>
      <c r="F81">
        <v>1</v>
      </c>
      <c r="G81">
        <v>4</v>
      </c>
      <c r="H81">
        <v>4</v>
      </c>
      <c r="I81">
        <v>152</v>
      </c>
      <c r="L81">
        <v>6</v>
      </c>
      <c r="M81">
        <v>13</v>
      </c>
      <c r="N81">
        <v>12</v>
      </c>
      <c r="O81">
        <v>11</v>
      </c>
      <c r="P81" s="12">
        <f t="shared" si="2"/>
        <v>12</v>
      </c>
      <c r="Q81">
        <v>270</v>
      </c>
      <c r="R81">
        <v>275</v>
      </c>
      <c r="S81">
        <v>295</v>
      </c>
      <c r="T81" s="21">
        <f t="shared" si="3"/>
        <v>280</v>
      </c>
    </row>
    <row r="82" spans="1:20" customFormat="1" x14ac:dyDescent="0.25">
      <c r="A82" t="s">
        <v>24</v>
      </c>
      <c r="D82" t="s">
        <v>29</v>
      </c>
      <c r="E82">
        <v>1999</v>
      </c>
      <c r="F82">
        <v>2</v>
      </c>
      <c r="G82">
        <v>1</v>
      </c>
      <c r="H82">
        <v>5</v>
      </c>
      <c r="I82">
        <v>105</v>
      </c>
      <c r="L82">
        <v>6</v>
      </c>
      <c r="M82">
        <v>9</v>
      </c>
      <c r="N82">
        <v>11</v>
      </c>
      <c r="O82">
        <v>11</v>
      </c>
      <c r="P82" s="12">
        <f t="shared" si="2"/>
        <v>10.333333333333334</v>
      </c>
      <c r="Q82">
        <v>330</v>
      </c>
      <c r="R82">
        <v>300</v>
      </c>
      <c r="S82">
        <v>310</v>
      </c>
      <c r="T82" s="21">
        <f t="shared" si="3"/>
        <v>313.33333333333331</v>
      </c>
    </row>
    <row r="83" spans="1:20" customFormat="1" x14ac:dyDescent="0.25">
      <c r="A83" t="s">
        <v>24</v>
      </c>
      <c r="D83" t="s">
        <v>27</v>
      </c>
      <c r="E83">
        <v>1985</v>
      </c>
      <c r="F83">
        <v>2</v>
      </c>
      <c r="G83">
        <v>2</v>
      </c>
      <c r="H83">
        <v>5</v>
      </c>
      <c r="I83">
        <v>121</v>
      </c>
      <c r="L83">
        <v>6</v>
      </c>
      <c r="M83">
        <v>11</v>
      </c>
      <c r="N83">
        <v>11</v>
      </c>
      <c r="O83">
        <v>12</v>
      </c>
      <c r="P83" s="12">
        <f t="shared" si="2"/>
        <v>11.333333333333334</v>
      </c>
      <c r="Q83">
        <v>300</v>
      </c>
      <c r="R83">
        <v>270</v>
      </c>
      <c r="S83">
        <v>270</v>
      </c>
      <c r="T83" s="21">
        <f t="shared" si="3"/>
        <v>280</v>
      </c>
    </row>
    <row r="84" spans="1:20" customFormat="1" x14ac:dyDescent="0.25">
      <c r="A84" t="s">
        <v>24</v>
      </c>
      <c r="D84" t="s">
        <v>313</v>
      </c>
      <c r="E84">
        <v>2016</v>
      </c>
      <c r="F84">
        <v>2</v>
      </c>
      <c r="G84">
        <v>3</v>
      </c>
      <c r="H84">
        <v>5</v>
      </c>
      <c r="I84">
        <v>137</v>
      </c>
      <c r="L84">
        <v>6</v>
      </c>
      <c r="M84">
        <v>11</v>
      </c>
      <c r="N84">
        <v>12</v>
      </c>
      <c r="O84">
        <v>11</v>
      </c>
      <c r="P84" s="12">
        <f t="shared" si="2"/>
        <v>11.333333333333334</v>
      </c>
      <c r="Q84">
        <v>295</v>
      </c>
      <c r="R84">
        <v>310</v>
      </c>
      <c r="S84">
        <v>290</v>
      </c>
      <c r="T84" s="21">
        <f t="shared" si="3"/>
        <v>298.33333333333331</v>
      </c>
    </row>
    <row r="85" spans="1:20" customFormat="1" x14ac:dyDescent="0.25">
      <c r="A85" t="s">
        <v>24</v>
      </c>
      <c r="D85" t="s">
        <v>312</v>
      </c>
      <c r="E85">
        <v>2002</v>
      </c>
      <c r="F85">
        <v>2</v>
      </c>
      <c r="G85">
        <v>4</v>
      </c>
      <c r="H85">
        <v>5</v>
      </c>
      <c r="I85">
        <v>153</v>
      </c>
      <c r="L85">
        <v>6</v>
      </c>
      <c r="M85">
        <v>12</v>
      </c>
      <c r="N85">
        <v>13</v>
      </c>
      <c r="O85">
        <v>11</v>
      </c>
      <c r="P85" s="12">
        <f t="shared" si="2"/>
        <v>12</v>
      </c>
      <c r="Q85">
        <v>350</v>
      </c>
      <c r="R85">
        <v>310</v>
      </c>
      <c r="S85">
        <v>350</v>
      </c>
      <c r="T85" s="21">
        <f t="shared" si="3"/>
        <v>336.66666666666669</v>
      </c>
    </row>
    <row r="86" spans="1:20" customFormat="1" x14ac:dyDescent="0.25">
      <c r="A86" t="s">
        <v>24</v>
      </c>
      <c r="D86" t="s">
        <v>311</v>
      </c>
      <c r="E86">
        <v>2023</v>
      </c>
      <c r="F86">
        <v>2</v>
      </c>
      <c r="G86">
        <v>1</v>
      </c>
      <c r="H86">
        <v>6</v>
      </c>
      <c r="I86">
        <v>106</v>
      </c>
      <c r="L86">
        <v>6</v>
      </c>
      <c r="M86">
        <v>9</v>
      </c>
      <c r="N86">
        <v>10</v>
      </c>
      <c r="O86">
        <v>10</v>
      </c>
      <c r="P86" s="12">
        <f t="shared" si="2"/>
        <v>9.6666666666666661</v>
      </c>
      <c r="Q86">
        <v>270</v>
      </c>
      <c r="R86">
        <v>290</v>
      </c>
      <c r="S86">
        <v>280</v>
      </c>
      <c r="T86" s="21">
        <f t="shared" si="3"/>
        <v>280</v>
      </c>
    </row>
    <row r="87" spans="1:20" customFormat="1" x14ac:dyDescent="0.25">
      <c r="A87" t="s">
        <v>24</v>
      </c>
      <c r="D87" t="s">
        <v>28</v>
      </c>
      <c r="E87">
        <v>1998</v>
      </c>
      <c r="F87">
        <v>2</v>
      </c>
      <c r="G87">
        <v>2</v>
      </c>
      <c r="H87">
        <v>6</v>
      </c>
      <c r="I87">
        <v>122</v>
      </c>
      <c r="L87">
        <v>6</v>
      </c>
      <c r="M87">
        <v>10</v>
      </c>
      <c r="N87">
        <v>12</v>
      </c>
      <c r="O87">
        <v>11</v>
      </c>
      <c r="P87" s="12">
        <f t="shared" si="2"/>
        <v>11</v>
      </c>
      <c r="Q87">
        <v>290</v>
      </c>
      <c r="R87">
        <v>320</v>
      </c>
      <c r="S87">
        <v>310</v>
      </c>
      <c r="T87" s="21">
        <f t="shared" si="3"/>
        <v>306.66666666666669</v>
      </c>
    </row>
    <row r="88" spans="1:20" customFormat="1" x14ac:dyDescent="0.25">
      <c r="A88" t="s">
        <v>24</v>
      </c>
      <c r="D88" t="s">
        <v>32</v>
      </c>
      <c r="E88">
        <v>2018</v>
      </c>
      <c r="F88">
        <v>2</v>
      </c>
      <c r="G88">
        <v>3</v>
      </c>
      <c r="H88">
        <v>6</v>
      </c>
      <c r="I88">
        <v>138</v>
      </c>
      <c r="L88">
        <v>6</v>
      </c>
      <c r="M88">
        <v>13</v>
      </c>
      <c r="N88">
        <v>11</v>
      </c>
      <c r="O88">
        <v>13</v>
      </c>
      <c r="P88" s="12">
        <f t="shared" si="2"/>
        <v>12.333333333333334</v>
      </c>
      <c r="Q88">
        <v>330</v>
      </c>
      <c r="R88">
        <v>340</v>
      </c>
      <c r="S88">
        <v>330</v>
      </c>
      <c r="T88" s="21">
        <f t="shared" si="3"/>
        <v>333.33333333333331</v>
      </c>
    </row>
    <row r="89" spans="1:20" customFormat="1" x14ac:dyDescent="0.25">
      <c r="A89" t="s">
        <v>24</v>
      </c>
      <c r="D89" t="s">
        <v>26</v>
      </c>
      <c r="E89">
        <v>1983</v>
      </c>
      <c r="F89">
        <v>2</v>
      </c>
      <c r="G89">
        <v>4</v>
      </c>
      <c r="H89">
        <v>6</v>
      </c>
      <c r="I89">
        <v>154</v>
      </c>
      <c r="L89">
        <v>6</v>
      </c>
      <c r="M89">
        <v>10</v>
      </c>
      <c r="N89">
        <v>10</v>
      </c>
      <c r="O89">
        <v>10</v>
      </c>
      <c r="P89" s="12">
        <f t="shared" si="2"/>
        <v>10</v>
      </c>
      <c r="Q89">
        <v>285</v>
      </c>
      <c r="R89">
        <v>290</v>
      </c>
      <c r="S89">
        <v>280</v>
      </c>
      <c r="T89" s="21">
        <f t="shared" si="3"/>
        <v>285</v>
      </c>
    </row>
    <row r="90" spans="1:20" customFormat="1" x14ac:dyDescent="0.25">
      <c r="A90" t="s">
        <v>34</v>
      </c>
      <c r="D90" t="s">
        <v>41</v>
      </c>
      <c r="E90">
        <v>2008</v>
      </c>
      <c r="F90">
        <v>2</v>
      </c>
      <c r="G90">
        <v>1</v>
      </c>
      <c r="H90">
        <v>7</v>
      </c>
      <c r="I90">
        <v>107</v>
      </c>
      <c r="L90">
        <v>6</v>
      </c>
      <c r="M90">
        <v>12</v>
      </c>
      <c r="N90">
        <v>12</v>
      </c>
      <c r="O90">
        <v>11</v>
      </c>
      <c r="P90" s="12">
        <f t="shared" si="2"/>
        <v>11.666666666666666</v>
      </c>
      <c r="Q90">
        <v>210</v>
      </c>
      <c r="R90">
        <v>225</v>
      </c>
      <c r="S90">
        <v>210</v>
      </c>
      <c r="T90" s="21">
        <f t="shared" si="3"/>
        <v>215</v>
      </c>
    </row>
    <row r="91" spans="1:20" customFormat="1" x14ac:dyDescent="0.25">
      <c r="A91" t="s">
        <v>34</v>
      </c>
      <c r="D91" t="s">
        <v>37</v>
      </c>
      <c r="E91">
        <v>1989</v>
      </c>
      <c r="F91">
        <v>2</v>
      </c>
      <c r="G91">
        <v>2</v>
      </c>
      <c r="H91">
        <v>7</v>
      </c>
      <c r="I91">
        <v>123</v>
      </c>
      <c r="L91">
        <v>6</v>
      </c>
      <c r="M91">
        <v>10</v>
      </c>
      <c r="N91">
        <v>10</v>
      </c>
      <c r="O91">
        <v>8</v>
      </c>
      <c r="P91" s="12">
        <f t="shared" si="2"/>
        <v>9.3333333333333339</v>
      </c>
      <c r="Q91">
        <v>235</v>
      </c>
      <c r="R91">
        <v>210</v>
      </c>
      <c r="S91">
        <v>250</v>
      </c>
      <c r="T91" s="21">
        <f t="shared" si="3"/>
        <v>231.66666666666666</v>
      </c>
    </row>
    <row r="92" spans="1:20" customFormat="1" x14ac:dyDescent="0.25">
      <c r="A92" t="s">
        <v>34</v>
      </c>
      <c r="D92" t="s">
        <v>39</v>
      </c>
      <c r="E92">
        <v>2001</v>
      </c>
      <c r="F92">
        <v>2</v>
      </c>
      <c r="G92">
        <v>3</v>
      </c>
      <c r="H92">
        <v>7</v>
      </c>
      <c r="I92">
        <v>139</v>
      </c>
      <c r="L92">
        <v>6</v>
      </c>
      <c r="M92">
        <v>11</v>
      </c>
      <c r="N92">
        <v>13</v>
      </c>
      <c r="O92">
        <v>11</v>
      </c>
      <c r="P92" s="12">
        <f t="shared" si="2"/>
        <v>11.666666666666666</v>
      </c>
      <c r="Q92">
        <v>220</v>
      </c>
      <c r="R92">
        <v>210</v>
      </c>
      <c r="S92">
        <v>190</v>
      </c>
      <c r="T92" s="21">
        <f t="shared" si="3"/>
        <v>206.66666666666666</v>
      </c>
    </row>
    <row r="93" spans="1:20" customFormat="1" x14ac:dyDescent="0.25">
      <c r="A93" t="s">
        <v>34</v>
      </c>
      <c r="D93" t="s">
        <v>36</v>
      </c>
      <c r="E93">
        <v>1984</v>
      </c>
      <c r="F93">
        <v>2</v>
      </c>
      <c r="G93">
        <v>4</v>
      </c>
      <c r="H93">
        <v>7</v>
      </c>
      <c r="I93">
        <v>155</v>
      </c>
      <c r="L93">
        <v>6</v>
      </c>
      <c r="M93">
        <v>10</v>
      </c>
      <c r="N93">
        <v>12</v>
      </c>
      <c r="O93">
        <v>12</v>
      </c>
      <c r="P93" s="12">
        <f t="shared" si="2"/>
        <v>11.333333333333334</v>
      </c>
      <c r="Q93">
        <v>225</v>
      </c>
      <c r="R93">
        <v>240</v>
      </c>
      <c r="S93">
        <v>230</v>
      </c>
      <c r="T93" s="21">
        <f t="shared" si="3"/>
        <v>231.66666666666666</v>
      </c>
    </row>
    <row r="94" spans="1:20" customFormat="1" x14ac:dyDescent="0.25">
      <c r="A94" t="s">
        <v>34</v>
      </c>
      <c r="D94" t="s">
        <v>318</v>
      </c>
      <c r="E94">
        <v>2004</v>
      </c>
      <c r="F94">
        <v>2</v>
      </c>
      <c r="G94">
        <v>1</v>
      </c>
      <c r="H94">
        <v>8</v>
      </c>
      <c r="I94">
        <v>108</v>
      </c>
      <c r="L94">
        <v>6</v>
      </c>
      <c r="M94">
        <v>10</v>
      </c>
      <c r="N94">
        <v>11</v>
      </c>
      <c r="O94">
        <v>8</v>
      </c>
      <c r="P94" s="12">
        <f t="shared" si="2"/>
        <v>9.6666666666666661</v>
      </c>
      <c r="Q94">
        <v>235</v>
      </c>
      <c r="R94">
        <v>255</v>
      </c>
      <c r="S94">
        <v>215</v>
      </c>
      <c r="T94" s="21">
        <f t="shared" si="3"/>
        <v>235</v>
      </c>
    </row>
    <row r="95" spans="1:20" customFormat="1" x14ac:dyDescent="0.25">
      <c r="A95" t="s">
        <v>34</v>
      </c>
      <c r="D95" t="s">
        <v>43</v>
      </c>
      <c r="E95">
        <v>2020</v>
      </c>
      <c r="F95">
        <v>2</v>
      </c>
      <c r="G95">
        <v>2</v>
      </c>
      <c r="H95">
        <v>8</v>
      </c>
      <c r="I95">
        <v>124</v>
      </c>
      <c r="L95">
        <v>6</v>
      </c>
      <c r="M95">
        <v>10</v>
      </c>
      <c r="N95">
        <v>10</v>
      </c>
      <c r="O95">
        <v>12</v>
      </c>
      <c r="P95" s="12">
        <f t="shared" si="2"/>
        <v>10.666666666666666</v>
      </c>
      <c r="Q95">
        <v>250</v>
      </c>
      <c r="R95">
        <v>265</v>
      </c>
      <c r="S95">
        <v>265</v>
      </c>
      <c r="T95" s="21">
        <f t="shared" si="3"/>
        <v>260</v>
      </c>
    </row>
    <row r="96" spans="1:20" customFormat="1" x14ac:dyDescent="0.25">
      <c r="A96" t="s">
        <v>34</v>
      </c>
      <c r="D96" t="s">
        <v>38</v>
      </c>
      <c r="E96">
        <v>1999</v>
      </c>
      <c r="F96">
        <v>2</v>
      </c>
      <c r="G96">
        <v>3</v>
      </c>
      <c r="H96">
        <v>8</v>
      </c>
      <c r="I96">
        <v>140</v>
      </c>
      <c r="L96">
        <v>6</v>
      </c>
      <c r="M96">
        <v>11</v>
      </c>
      <c r="N96">
        <v>9</v>
      </c>
      <c r="O96">
        <v>9</v>
      </c>
      <c r="P96" s="12">
        <f t="shared" si="2"/>
        <v>9.6666666666666661</v>
      </c>
      <c r="Q96">
        <v>280</v>
      </c>
      <c r="R96">
        <v>240</v>
      </c>
      <c r="S96">
        <v>235</v>
      </c>
      <c r="T96" s="21">
        <f t="shared" si="3"/>
        <v>251.66666666666666</v>
      </c>
    </row>
    <row r="97" spans="1:20" customFormat="1" x14ac:dyDescent="0.25">
      <c r="A97" t="s">
        <v>34</v>
      </c>
      <c r="D97" t="s">
        <v>42</v>
      </c>
      <c r="E97">
        <v>2016</v>
      </c>
      <c r="F97">
        <v>2</v>
      </c>
      <c r="G97">
        <v>4</v>
      </c>
      <c r="H97">
        <v>8</v>
      </c>
      <c r="I97">
        <v>156</v>
      </c>
      <c r="L97">
        <v>6</v>
      </c>
      <c r="M97">
        <v>13</v>
      </c>
      <c r="N97">
        <v>10</v>
      </c>
      <c r="O97">
        <v>13</v>
      </c>
      <c r="P97" s="12">
        <f t="shared" si="2"/>
        <v>12</v>
      </c>
      <c r="Q97">
        <v>225</v>
      </c>
      <c r="R97">
        <v>230</v>
      </c>
      <c r="S97">
        <v>220</v>
      </c>
      <c r="T97" s="21">
        <f t="shared" si="3"/>
        <v>225</v>
      </c>
    </row>
    <row r="98" spans="1:20" customFormat="1" x14ac:dyDescent="0.25">
      <c r="A98" t="s">
        <v>24</v>
      </c>
      <c r="D98" t="s">
        <v>26</v>
      </c>
      <c r="E98">
        <v>1983</v>
      </c>
      <c r="F98">
        <v>3</v>
      </c>
      <c r="G98">
        <v>1</v>
      </c>
      <c r="H98">
        <v>9</v>
      </c>
      <c r="I98">
        <v>109</v>
      </c>
      <c r="L98">
        <v>6</v>
      </c>
      <c r="M98">
        <v>12</v>
      </c>
      <c r="N98">
        <v>12</v>
      </c>
      <c r="O98">
        <v>11</v>
      </c>
      <c r="P98" s="12">
        <f t="shared" si="2"/>
        <v>11.666666666666666</v>
      </c>
      <c r="Q98">
        <v>320</v>
      </c>
      <c r="R98">
        <v>300</v>
      </c>
      <c r="S98">
        <v>300</v>
      </c>
      <c r="T98" s="21">
        <f t="shared" si="3"/>
        <v>306.66666666666669</v>
      </c>
    </row>
    <row r="99" spans="1:20" customFormat="1" x14ac:dyDescent="0.25">
      <c r="A99" t="s">
        <v>24</v>
      </c>
      <c r="D99" t="s">
        <v>312</v>
      </c>
      <c r="E99">
        <v>2002</v>
      </c>
      <c r="F99">
        <v>3</v>
      </c>
      <c r="G99">
        <v>2</v>
      </c>
      <c r="H99">
        <v>9</v>
      </c>
      <c r="I99">
        <v>125</v>
      </c>
      <c r="L99">
        <v>6</v>
      </c>
      <c r="M99">
        <v>11</v>
      </c>
      <c r="N99">
        <v>10</v>
      </c>
      <c r="O99">
        <v>10</v>
      </c>
      <c r="P99" s="12">
        <f t="shared" si="2"/>
        <v>10.333333333333334</v>
      </c>
      <c r="Q99">
        <v>350</v>
      </c>
      <c r="R99">
        <v>350</v>
      </c>
      <c r="S99">
        <v>340</v>
      </c>
      <c r="T99" s="21">
        <f t="shared" si="3"/>
        <v>346.66666666666669</v>
      </c>
    </row>
    <row r="100" spans="1:20" customFormat="1" x14ac:dyDescent="0.25">
      <c r="A100" t="s">
        <v>24</v>
      </c>
      <c r="D100" t="s">
        <v>28</v>
      </c>
      <c r="E100">
        <v>1998</v>
      </c>
      <c r="F100">
        <v>3</v>
      </c>
      <c r="G100">
        <v>3</v>
      </c>
      <c r="H100">
        <v>9</v>
      </c>
      <c r="I100">
        <v>141</v>
      </c>
      <c r="L100">
        <v>6</v>
      </c>
      <c r="M100">
        <v>13</v>
      </c>
      <c r="N100">
        <v>12</v>
      </c>
      <c r="O100">
        <v>12</v>
      </c>
      <c r="P100" s="12">
        <f t="shared" si="2"/>
        <v>12.333333333333334</v>
      </c>
      <c r="Q100">
        <v>295</v>
      </c>
      <c r="R100">
        <v>305</v>
      </c>
      <c r="S100">
        <v>285</v>
      </c>
      <c r="T100" s="21">
        <f t="shared" si="3"/>
        <v>295</v>
      </c>
    </row>
    <row r="101" spans="1:20" customFormat="1" x14ac:dyDescent="0.25">
      <c r="A101" t="s">
        <v>24</v>
      </c>
      <c r="D101" t="s">
        <v>27</v>
      </c>
      <c r="E101">
        <v>1985</v>
      </c>
      <c r="F101">
        <v>3</v>
      </c>
      <c r="G101">
        <v>4</v>
      </c>
      <c r="H101">
        <v>9</v>
      </c>
      <c r="I101">
        <v>157</v>
      </c>
      <c r="L101">
        <v>6</v>
      </c>
      <c r="M101">
        <v>11</v>
      </c>
      <c r="N101">
        <v>9</v>
      </c>
      <c r="O101">
        <v>13</v>
      </c>
      <c r="P101" s="12">
        <f t="shared" si="2"/>
        <v>11</v>
      </c>
      <c r="Q101">
        <v>295</v>
      </c>
      <c r="R101">
        <v>250</v>
      </c>
      <c r="S101">
        <v>350</v>
      </c>
      <c r="T101" s="21">
        <f t="shared" si="3"/>
        <v>298.33333333333331</v>
      </c>
    </row>
    <row r="102" spans="1:20" customFormat="1" x14ac:dyDescent="0.25">
      <c r="A102" t="s">
        <v>24</v>
      </c>
      <c r="D102" t="s">
        <v>313</v>
      </c>
      <c r="E102">
        <v>2016</v>
      </c>
      <c r="F102">
        <v>3</v>
      </c>
      <c r="G102">
        <v>1</v>
      </c>
      <c r="H102">
        <v>10</v>
      </c>
      <c r="I102">
        <v>110</v>
      </c>
      <c r="L102">
        <v>6</v>
      </c>
      <c r="M102">
        <v>11</v>
      </c>
      <c r="N102">
        <v>12</v>
      </c>
      <c r="O102">
        <v>13</v>
      </c>
      <c r="P102" s="12">
        <f t="shared" si="2"/>
        <v>12</v>
      </c>
      <c r="Q102">
        <v>305</v>
      </c>
      <c r="R102">
        <v>295</v>
      </c>
      <c r="S102">
        <v>255</v>
      </c>
      <c r="T102" s="21">
        <f t="shared" si="3"/>
        <v>285</v>
      </c>
    </row>
    <row r="103" spans="1:20" customFormat="1" x14ac:dyDescent="0.25">
      <c r="A103" t="s">
        <v>24</v>
      </c>
      <c r="D103" t="s">
        <v>32</v>
      </c>
      <c r="E103">
        <v>2018</v>
      </c>
      <c r="F103">
        <v>3</v>
      </c>
      <c r="G103">
        <v>2</v>
      </c>
      <c r="H103">
        <v>10</v>
      </c>
      <c r="I103">
        <v>126</v>
      </c>
      <c r="L103">
        <v>6</v>
      </c>
      <c r="M103">
        <v>13</v>
      </c>
      <c r="N103">
        <v>12</v>
      </c>
      <c r="P103" s="12">
        <f t="shared" si="2"/>
        <v>12.5</v>
      </c>
      <c r="Q103">
        <v>360</v>
      </c>
      <c r="R103">
        <v>310</v>
      </c>
      <c r="T103" s="21">
        <f t="shared" si="3"/>
        <v>335</v>
      </c>
    </row>
    <row r="104" spans="1:20" customFormat="1" x14ac:dyDescent="0.25">
      <c r="A104" t="s">
        <v>24</v>
      </c>
      <c r="D104" t="s">
        <v>29</v>
      </c>
      <c r="E104">
        <v>1999</v>
      </c>
      <c r="F104">
        <v>3</v>
      </c>
      <c r="G104">
        <v>3</v>
      </c>
      <c r="H104">
        <v>10</v>
      </c>
      <c r="I104">
        <v>142</v>
      </c>
      <c r="L104">
        <v>6</v>
      </c>
      <c r="M104">
        <v>12</v>
      </c>
      <c r="N104">
        <v>11</v>
      </c>
      <c r="O104">
        <v>8</v>
      </c>
      <c r="P104" s="12">
        <f t="shared" si="2"/>
        <v>10.333333333333334</v>
      </c>
      <c r="Q104">
        <v>295</v>
      </c>
      <c r="R104">
        <v>320</v>
      </c>
      <c r="S104">
        <v>285</v>
      </c>
      <c r="T104" s="21">
        <f t="shared" si="3"/>
        <v>300</v>
      </c>
    </row>
    <row r="105" spans="1:20" customFormat="1" x14ac:dyDescent="0.25">
      <c r="A105" t="s">
        <v>24</v>
      </c>
      <c r="D105" t="s">
        <v>311</v>
      </c>
      <c r="E105">
        <v>2023</v>
      </c>
      <c r="F105">
        <v>3</v>
      </c>
      <c r="G105">
        <v>4</v>
      </c>
      <c r="H105">
        <v>10</v>
      </c>
      <c r="I105">
        <v>158</v>
      </c>
      <c r="L105">
        <v>6</v>
      </c>
      <c r="M105">
        <v>11</v>
      </c>
      <c r="N105">
        <v>11</v>
      </c>
      <c r="O105">
        <v>11</v>
      </c>
      <c r="P105" s="12">
        <f t="shared" si="2"/>
        <v>11</v>
      </c>
      <c r="Q105">
        <v>295</v>
      </c>
      <c r="R105">
        <v>290</v>
      </c>
      <c r="S105">
        <v>295</v>
      </c>
      <c r="T105" s="21">
        <f t="shared" si="3"/>
        <v>293.33333333333331</v>
      </c>
    </row>
    <row r="106" spans="1:20" customFormat="1" x14ac:dyDescent="0.25">
      <c r="A106" t="s">
        <v>34</v>
      </c>
      <c r="D106" t="s">
        <v>42</v>
      </c>
      <c r="E106">
        <v>2016</v>
      </c>
      <c r="F106">
        <v>3</v>
      </c>
      <c r="G106">
        <v>1</v>
      </c>
      <c r="H106">
        <v>11</v>
      </c>
      <c r="I106">
        <v>111</v>
      </c>
      <c r="L106">
        <v>6</v>
      </c>
      <c r="M106">
        <v>14</v>
      </c>
      <c r="N106">
        <v>13</v>
      </c>
      <c r="O106">
        <v>13</v>
      </c>
      <c r="P106" s="12">
        <f t="shared" si="2"/>
        <v>13.333333333333334</v>
      </c>
      <c r="Q106">
        <v>225</v>
      </c>
      <c r="R106">
        <v>210</v>
      </c>
      <c r="S106">
        <v>205</v>
      </c>
      <c r="T106" s="21">
        <f t="shared" si="3"/>
        <v>213.33333333333334</v>
      </c>
    </row>
    <row r="107" spans="1:20" customFormat="1" x14ac:dyDescent="0.25">
      <c r="A107" t="s">
        <v>34</v>
      </c>
      <c r="D107" t="s">
        <v>39</v>
      </c>
      <c r="E107">
        <v>2001</v>
      </c>
      <c r="F107">
        <v>3</v>
      </c>
      <c r="G107">
        <v>2</v>
      </c>
      <c r="H107">
        <v>11</v>
      </c>
      <c r="I107">
        <v>127</v>
      </c>
      <c r="L107">
        <v>6</v>
      </c>
      <c r="M107">
        <v>13</v>
      </c>
      <c r="N107">
        <v>11</v>
      </c>
      <c r="O107">
        <v>11</v>
      </c>
      <c r="P107" s="12">
        <f t="shared" si="2"/>
        <v>11.666666666666666</v>
      </c>
      <c r="Q107">
        <v>240</v>
      </c>
      <c r="R107">
        <v>235</v>
      </c>
      <c r="S107">
        <v>210</v>
      </c>
      <c r="T107" s="21">
        <f t="shared" si="3"/>
        <v>228.33333333333334</v>
      </c>
    </row>
    <row r="108" spans="1:20" customFormat="1" x14ac:dyDescent="0.25">
      <c r="A108" t="s">
        <v>34</v>
      </c>
      <c r="D108" t="s">
        <v>43</v>
      </c>
      <c r="E108">
        <v>2020</v>
      </c>
      <c r="F108">
        <v>3</v>
      </c>
      <c r="G108">
        <v>3</v>
      </c>
      <c r="H108">
        <v>11</v>
      </c>
      <c r="I108">
        <v>143</v>
      </c>
      <c r="L108">
        <v>6</v>
      </c>
      <c r="M108">
        <v>13</v>
      </c>
      <c r="N108">
        <v>11</v>
      </c>
      <c r="O108">
        <v>13</v>
      </c>
      <c r="P108" s="12">
        <f t="shared" si="2"/>
        <v>12.333333333333334</v>
      </c>
      <c r="Q108">
        <v>285</v>
      </c>
      <c r="R108">
        <v>300</v>
      </c>
      <c r="S108">
        <v>285</v>
      </c>
      <c r="T108" s="21">
        <f t="shared" si="3"/>
        <v>290</v>
      </c>
    </row>
    <row r="109" spans="1:20" customFormat="1" x14ac:dyDescent="0.25">
      <c r="A109" t="s">
        <v>34</v>
      </c>
      <c r="D109" t="s">
        <v>41</v>
      </c>
      <c r="E109">
        <v>2008</v>
      </c>
      <c r="F109">
        <v>3</v>
      </c>
      <c r="G109">
        <v>4</v>
      </c>
      <c r="H109">
        <v>11</v>
      </c>
      <c r="I109">
        <v>159</v>
      </c>
      <c r="L109">
        <v>6</v>
      </c>
      <c r="M109">
        <v>12</v>
      </c>
      <c r="N109">
        <v>11</v>
      </c>
      <c r="O109">
        <v>12</v>
      </c>
      <c r="P109" s="12">
        <f t="shared" si="2"/>
        <v>11.666666666666666</v>
      </c>
      <c r="Q109">
        <v>230</v>
      </c>
      <c r="R109">
        <v>215</v>
      </c>
      <c r="S109">
        <v>205</v>
      </c>
      <c r="T109" s="21">
        <f t="shared" si="3"/>
        <v>216.66666666666666</v>
      </c>
    </row>
    <row r="110" spans="1:20" customFormat="1" x14ac:dyDescent="0.25">
      <c r="A110" t="s">
        <v>34</v>
      </c>
      <c r="D110" t="s">
        <v>38</v>
      </c>
      <c r="E110">
        <v>1999</v>
      </c>
      <c r="F110">
        <v>3</v>
      </c>
      <c r="G110">
        <v>1</v>
      </c>
      <c r="H110">
        <v>12</v>
      </c>
      <c r="I110">
        <v>112</v>
      </c>
      <c r="L110">
        <v>6</v>
      </c>
      <c r="M110">
        <v>12</v>
      </c>
      <c r="N110">
        <v>12</v>
      </c>
      <c r="O110">
        <v>12</v>
      </c>
      <c r="P110" s="12">
        <f t="shared" si="2"/>
        <v>12</v>
      </c>
      <c r="Q110">
        <v>240</v>
      </c>
      <c r="R110">
        <v>265</v>
      </c>
      <c r="S110">
        <v>255</v>
      </c>
      <c r="T110" s="21">
        <f t="shared" si="3"/>
        <v>253.33333333333334</v>
      </c>
    </row>
    <row r="111" spans="1:20" customFormat="1" x14ac:dyDescent="0.25">
      <c r="A111" t="s">
        <v>34</v>
      </c>
      <c r="D111" t="s">
        <v>36</v>
      </c>
      <c r="E111">
        <v>1984</v>
      </c>
      <c r="F111">
        <v>3</v>
      </c>
      <c r="G111">
        <v>2</v>
      </c>
      <c r="H111">
        <v>12</v>
      </c>
      <c r="I111">
        <v>128</v>
      </c>
      <c r="L111">
        <v>6</v>
      </c>
      <c r="M111">
        <v>13</v>
      </c>
      <c r="N111">
        <v>12</v>
      </c>
      <c r="O111">
        <v>9</v>
      </c>
      <c r="P111" s="12">
        <f t="shared" si="2"/>
        <v>11.333333333333334</v>
      </c>
      <c r="Q111">
        <v>270</v>
      </c>
      <c r="R111">
        <v>245</v>
      </c>
      <c r="S111">
        <v>195</v>
      </c>
      <c r="T111" s="21">
        <f t="shared" si="3"/>
        <v>236.66666666666666</v>
      </c>
    </row>
    <row r="112" spans="1:20" customFormat="1" x14ac:dyDescent="0.25">
      <c r="A112" t="s">
        <v>34</v>
      </c>
      <c r="D112" t="s">
        <v>318</v>
      </c>
      <c r="E112">
        <v>2004</v>
      </c>
      <c r="F112">
        <v>3</v>
      </c>
      <c r="G112">
        <v>3</v>
      </c>
      <c r="H112">
        <v>12</v>
      </c>
      <c r="I112">
        <v>144</v>
      </c>
      <c r="L112">
        <v>6</v>
      </c>
      <c r="M112">
        <v>12</v>
      </c>
      <c r="N112">
        <v>11</v>
      </c>
      <c r="O112">
        <v>11</v>
      </c>
      <c r="P112" s="12">
        <f t="shared" si="2"/>
        <v>11.333333333333334</v>
      </c>
      <c r="Q112">
        <v>285</v>
      </c>
      <c r="R112">
        <v>210</v>
      </c>
      <c r="S112">
        <v>235</v>
      </c>
      <c r="T112" s="21">
        <f t="shared" si="3"/>
        <v>243.33333333333334</v>
      </c>
    </row>
    <row r="113" spans="1:20" customFormat="1" x14ac:dyDescent="0.25">
      <c r="A113" t="s">
        <v>34</v>
      </c>
      <c r="D113" t="s">
        <v>37</v>
      </c>
      <c r="E113">
        <v>1989</v>
      </c>
      <c r="F113">
        <v>3</v>
      </c>
      <c r="G113">
        <v>4</v>
      </c>
      <c r="H113">
        <v>12</v>
      </c>
      <c r="I113">
        <v>160</v>
      </c>
      <c r="L113">
        <v>6</v>
      </c>
      <c r="M113">
        <v>11</v>
      </c>
      <c r="N113">
        <v>12</v>
      </c>
      <c r="O113">
        <v>12</v>
      </c>
      <c r="P113" s="12">
        <f t="shared" si="2"/>
        <v>11.666666666666666</v>
      </c>
      <c r="Q113">
        <v>240</v>
      </c>
      <c r="R113">
        <v>245</v>
      </c>
      <c r="S113">
        <v>270</v>
      </c>
      <c r="T113" s="21">
        <f t="shared" si="3"/>
        <v>251.66666666666666</v>
      </c>
    </row>
    <row r="114" spans="1:20" customFormat="1" x14ac:dyDescent="0.25">
      <c r="A114" t="s">
        <v>24</v>
      </c>
      <c r="D114" t="s">
        <v>32</v>
      </c>
      <c r="E114">
        <v>2018</v>
      </c>
      <c r="F114">
        <v>4</v>
      </c>
      <c r="G114">
        <v>1</v>
      </c>
      <c r="H114">
        <v>13</v>
      </c>
      <c r="I114">
        <v>113</v>
      </c>
      <c r="L114">
        <v>6</v>
      </c>
      <c r="M114">
        <v>14</v>
      </c>
      <c r="N114">
        <v>12</v>
      </c>
      <c r="P114" s="12">
        <f t="shared" si="2"/>
        <v>13</v>
      </c>
      <c r="Q114">
        <v>300</v>
      </c>
      <c r="R114">
        <v>320</v>
      </c>
      <c r="T114" s="21">
        <f t="shared" si="3"/>
        <v>310</v>
      </c>
    </row>
    <row r="115" spans="1:20" customFormat="1" x14ac:dyDescent="0.25">
      <c r="A115" t="s">
        <v>24</v>
      </c>
      <c r="D115" t="s">
        <v>26</v>
      </c>
      <c r="E115">
        <v>1983</v>
      </c>
      <c r="F115">
        <v>4</v>
      </c>
      <c r="G115">
        <v>2</v>
      </c>
      <c r="H115">
        <v>13</v>
      </c>
      <c r="I115">
        <v>129</v>
      </c>
      <c r="L115">
        <v>6</v>
      </c>
      <c r="M115">
        <v>11</v>
      </c>
      <c r="N115">
        <v>11</v>
      </c>
      <c r="O115">
        <v>11</v>
      </c>
      <c r="P115" s="12">
        <f t="shared" si="2"/>
        <v>11</v>
      </c>
      <c r="Q115">
        <v>300</v>
      </c>
      <c r="R115">
        <v>290</v>
      </c>
      <c r="S115">
        <v>300</v>
      </c>
      <c r="T115" s="21">
        <f t="shared" si="3"/>
        <v>296.66666666666669</v>
      </c>
    </row>
    <row r="116" spans="1:20" customFormat="1" x14ac:dyDescent="0.25">
      <c r="A116" t="s">
        <v>24</v>
      </c>
      <c r="D116" t="s">
        <v>311</v>
      </c>
      <c r="E116">
        <v>2023</v>
      </c>
      <c r="F116">
        <v>4</v>
      </c>
      <c r="G116">
        <v>3</v>
      </c>
      <c r="H116">
        <v>13</v>
      </c>
      <c r="I116">
        <v>145</v>
      </c>
      <c r="L116">
        <v>6</v>
      </c>
      <c r="M116">
        <v>10</v>
      </c>
      <c r="N116">
        <v>11</v>
      </c>
      <c r="O116">
        <v>10</v>
      </c>
      <c r="P116" s="12">
        <f t="shared" si="2"/>
        <v>10.333333333333334</v>
      </c>
      <c r="Q116">
        <v>300</v>
      </c>
      <c r="R116">
        <v>295</v>
      </c>
      <c r="S116">
        <v>300</v>
      </c>
      <c r="T116" s="21">
        <f t="shared" si="3"/>
        <v>298.33333333333331</v>
      </c>
    </row>
    <row r="117" spans="1:20" customFormat="1" x14ac:dyDescent="0.25">
      <c r="A117" t="s">
        <v>24</v>
      </c>
      <c r="D117" t="s">
        <v>28</v>
      </c>
      <c r="E117">
        <v>1998</v>
      </c>
      <c r="F117">
        <v>4</v>
      </c>
      <c r="G117">
        <v>4</v>
      </c>
      <c r="H117">
        <v>13</v>
      </c>
      <c r="I117">
        <v>161</v>
      </c>
      <c r="L117">
        <v>6</v>
      </c>
      <c r="M117">
        <v>12</v>
      </c>
      <c r="N117">
        <v>13</v>
      </c>
      <c r="O117">
        <v>11</v>
      </c>
      <c r="P117" s="12">
        <f t="shared" si="2"/>
        <v>12</v>
      </c>
      <c r="Q117">
        <v>315</v>
      </c>
      <c r="R117">
        <v>280</v>
      </c>
      <c r="S117">
        <v>305</v>
      </c>
      <c r="T117" s="21">
        <f t="shared" si="3"/>
        <v>300</v>
      </c>
    </row>
    <row r="118" spans="1:20" customFormat="1" x14ac:dyDescent="0.25">
      <c r="A118" t="s">
        <v>24</v>
      </c>
      <c r="D118" t="s">
        <v>27</v>
      </c>
      <c r="E118">
        <v>1985</v>
      </c>
      <c r="F118">
        <v>4</v>
      </c>
      <c r="G118">
        <v>1</v>
      </c>
      <c r="H118">
        <v>14</v>
      </c>
      <c r="I118">
        <v>114</v>
      </c>
      <c r="L118">
        <v>6</v>
      </c>
      <c r="M118">
        <v>13</v>
      </c>
      <c r="N118">
        <v>13</v>
      </c>
      <c r="P118" s="12">
        <f t="shared" si="2"/>
        <v>13</v>
      </c>
      <c r="Q118">
        <v>280</v>
      </c>
      <c r="R118">
        <v>320</v>
      </c>
      <c r="T118" s="21">
        <f t="shared" si="3"/>
        <v>300</v>
      </c>
    </row>
    <row r="119" spans="1:20" customFormat="1" x14ac:dyDescent="0.25">
      <c r="A119" t="s">
        <v>24</v>
      </c>
      <c r="D119" t="s">
        <v>29</v>
      </c>
      <c r="E119">
        <v>1999</v>
      </c>
      <c r="F119">
        <v>4</v>
      </c>
      <c r="G119">
        <v>2</v>
      </c>
      <c r="H119">
        <v>14</v>
      </c>
      <c r="I119">
        <v>130</v>
      </c>
      <c r="L119">
        <v>6</v>
      </c>
      <c r="M119">
        <v>10</v>
      </c>
      <c r="N119">
        <v>11</v>
      </c>
      <c r="O119">
        <v>11</v>
      </c>
      <c r="P119" s="12">
        <f t="shared" si="2"/>
        <v>10.666666666666666</v>
      </c>
      <c r="Q119">
        <v>310</v>
      </c>
      <c r="R119">
        <v>320</v>
      </c>
      <c r="S119">
        <v>305</v>
      </c>
      <c r="T119" s="21">
        <f t="shared" si="3"/>
        <v>311.66666666666669</v>
      </c>
    </row>
    <row r="120" spans="1:20" customFormat="1" x14ac:dyDescent="0.25">
      <c r="A120" t="s">
        <v>24</v>
      </c>
      <c r="D120" t="s">
        <v>312</v>
      </c>
      <c r="E120">
        <v>2002</v>
      </c>
      <c r="F120">
        <v>4</v>
      </c>
      <c r="G120">
        <v>3</v>
      </c>
      <c r="H120">
        <v>14</v>
      </c>
      <c r="I120">
        <v>146</v>
      </c>
      <c r="L120">
        <v>6</v>
      </c>
      <c r="M120">
        <v>11</v>
      </c>
      <c r="N120">
        <v>13</v>
      </c>
      <c r="O120">
        <v>13</v>
      </c>
      <c r="P120" s="12">
        <f t="shared" si="2"/>
        <v>12.333333333333334</v>
      </c>
      <c r="Q120">
        <v>310</v>
      </c>
      <c r="R120">
        <v>350</v>
      </c>
      <c r="S120">
        <v>340</v>
      </c>
      <c r="T120" s="21">
        <f t="shared" si="3"/>
        <v>333.33333333333331</v>
      </c>
    </row>
    <row r="121" spans="1:20" customFormat="1" x14ac:dyDescent="0.25">
      <c r="A121" t="s">
        <v>24</v>
      </c>
      <c r="D121" t="s">
        <v>313</v>
      </c>
      <c r="E121">
        <v>2016</v>
      </c>
      <c r="F121">
        <v>4</v>
      </c>
      <c r="G121">
        <v>4</v>
      </c>
      <c r="H121">
        <v>14</v>
      </c>
      <c r="I121">
        <v>162</v>
      </c>
      <c r="L121">
        <v>6</v>
      </c>
      <c r="M121">
        <v>10</v>
      </c>
      <c r="N121">
        <v>12</v>
      </c>
      <c r="O121">
        <v>14</v>
      </c>
      <c r="P121" s="12">
        <f t="shared" si="2"/>
        <v>12</v>
      </c>
      <c r="Q121">
        <v>305</v>
      </c>
      <c r="R121">
        <v>295</v>
      </c>
      <c r="S121">
        <v>290</v>
      </c>
      <c r="T121" s="21">
        <f t="shared" si="3"/>
        <v>296.66666666666669</v>
      </c>
    </row>
    <row r="122" spans="1:20" customFormat="1" x14ac:dyDescent="0.25">
      <c r="A122" t="s">
        <v>34</v>
      </c>
      <c r="D122" t="s">
        <v>36</v>
      </c>
      <c r="E122">
        <v>1984</v>
      </c>
      <c r="F122">
        <v>4</v>
      </c>
      <c r="G122">
        <v>1</v>
      </c>
      <c r="H122">
        <v>15</v>
      </c>
      <c r="I122">
        <v>115</v>
      </c>
      <c r="L122">
        <v>6</v>
      </c>
      <c r="M122">
        <v>13</v>
      </c>
      <c r="N122">
        <v>11</v>
      </c>
      <c r="O122">
        <v>12</v>
      </c>
      <c r="P122" s="12">
        <f t="shared" si="2"/>
        <v>12</v>
      </c>
      <c r="Q122">
        <v>245</v>
      </c>
      <c r="R122">
        <v>235</v>
      </c>
      <c r="S122">
        <v>240</v>
      </c>
      <c r="T122" s="21">
        <f t="shared" si="3"/>
        <v>240</v>
      </c>
    </row>
    <row r="123" spans="1:20" customFormat="1" x14ac:dyDescent="0.25">
      <c r="A123" t="s">
        <v>34</v>
      </c>
      <c r="D123" t="s">
        <v>38</v>
      </c>
      <c r="E123">
        <v>1999</v>
      </c>
      <c r="F123">
        <v>4</v>
      </c>
      <c r="G123">
        <v>2</v>
      </c>
      <c r="H123">
        <v>15</v>
      </c>
      <c r="I123">
        <v>131</v>
      </c>
      <c r="L123">
        <v>6</v>
      </c>
      <c r="M123">
        <v>11</v>
      </c>
      <c r="N123">
        <v>10</v>
      </c>
      <c r="O123">
        <v>13</v>
      </c>
      <c r="P123" s="12">
        <f t="shared" si="2"/>
        <v>11.333333333333334</v>
      </c>
      <c r="Q123">
        <v>265</v>
      </c>
      <c r="R123">
        <v>240</v>
      </c>
      <c r="S123">
        <v>285</v>
      </c>
      <c r="T123" s="21">
        <f t="shared" si="3"/>
        <v>263.33333333333331</v>
      </c>
    </row>
    <row r="124" spans="1:20" customFormat="1" x14ac:dyDescent="0.25">
      <c r="A124" t="s">
        <v>34</v>
      </c>
      <c r="D124" t="s">
        <v>37</v>
      </c>
      <c r="E124">
        <v>1989</v>
      </c>
      <c r="F124">
        <v>4</v>
      </c>
      <c r="G124">
        <v>3</v>
      </c>
      <c r="H124">
        <v>15</v>
      </c>
      <c r="I124">
        <v>147</v>
      </c>
      <c r="L124">
        <v>6</v>
      </c>
      <c r="M124">
        <v>12</v>
      </c>
      <c r="N124">
        <v>9</v>
      </c>
      <c r="O124">
        <v>10</v>
      </c>
      <c r="P124" s="12">
        <f t="shared" si="2"/>
        <v>10.333333333333334</v>
      </c>
      <c r="Q124">
        <v>205</v>
      </c>
      <c r="R124">
        <v>210</v>
      </c>
      <c r="S124">
        <v>250</v>
      </c>
      <c r="T124" s="21">
        <f t="shared" si="3"/>
        <v>221.66666666666666</v>
      </c>
    </row>
    <row r="125" spans="1:20" customFormat="1" x14ac:dyDescent="0.25">
      <c r="A125" t="s">
        <v>34</v>
      </c>
      <c r="D125" t="s">
        <v>318</v>
      </c>
      <c r="E125">
        <v>2004</v>
      </c>
      <c r="F125">
        <v>4</v>
      </c>
      <c r="G125">
        <v>4</v>
      </c>
      <c r="H125">
        <v>15</v>
      </c>
      <c r="I125">
        <v>163</v>
      </c>
      <c r="L125">
        <v>6</v>
      </c>
      <c r="M125">
        <v>7</v>
      </c>
      <c r="N125">
        <v>12</v>
      </c>
      <c r="O125">
        <v>12</v>
      </c>
      <c r="P125" s="12">
        <f t="shared" si="2"/>
        <v>10.333333333333334</v>
      </c>
      <c r="Q125">
        <v>190</v>
      </c>
      <c r="R125">
        <v>285</v>
      </c>
      <c r="S125">
        <v>290</v>
      </c>
      <c r="T125" s="21">
        <f t="shared" si="3"/>
        <v>255</v>
      </c>
    </row>
    <row r="126" spans="1:20" customFormat="1" x14ac:dyDescent="0.25">
      <c r="A126" t="s">
        <v>34</v>
      </c>
      <c r="D126" t="s">
        <v>43</v>
      </c>
      <c r="E126">
        <v>2020</v>
      </c>
      <c r="F126">
        <v>4</v>
      </c>
      <c r="G126">
        <v>1</v>
      </c>
      <c r="H126">
        <v>16</v>
      </c>
      <c r="I126">
        <v>116</v>
      </c>
      <c r="L126">
        <v>6</v>
      </c>
      <c r="M126">
        <v>11</v>
      </c>
      <c r="N126">
        <v>12</v>
      </c>
      <c r="O126">
        <v>13</v>
      </c>
      <c r="P126" s="12">
        <f t="shared" si="2"/>
        <v>12</v>
      </c>
      <c r="Q126">
        <v>260</v>
      </c>
      <c r="R126">
        <v>280</v>
      </c>
      <c r="S126">
        <v>265</v>
      </c>
      <c r="T126" s="21">
        <f t="shared" si="3"/>
        <v>268.33333333333331</v>
      </c>
    </row>
    <row r="127" spans="1:20" customFormat="1" x14ac:dyDescent="0.25">
      <c r="A127" t="s">
        <v>34</v>
      </c>
      <c r="D127" t="s">
        <v>41</v>
      </c>
      <c r="E127">
        <v>2008</v>
      </c>
      <c r="F127">
        <v>4</v>
      </c>
      <c r="G127">
        <v>2</v>
      </c>
      <c r="H127">
        <v>16</v>
      </c>
      <c r="I127">
        <v>132</v>
      </c>
      <c r="L127">
        <v>6</v>
      </c>
      <c r="M127">
        <v>13</v>
      </c>
      <c r="N127">
        <v>14</v>
      </c>
      <c r="O127">
        <v>13</v>
      </c>
      <c r="P127" s="12">
        <f t="shared" si="2"/>
        <v>13.333333333333334</v>
      </c>
      <c r="Q127">
        <v>210</v>
      </c>
      <c r="R127">
        <v>235</v>
      </c>
      <c r="S127">
        <v>235</v>
      </c>
      <c r="T127" s="21">
        <f t="shared" si="3"/>
        <v>226.66666666666666</v>
      </c>
    </row>
    <row r="128" spans="1:20" customFormat="1" x14ac:dyDescent="0.25">
      <c r="A128" t="s">
        <v>34</v>
      </c>
      <c r="D128" t="s">
        <v>42</v>
      </c>
      <c r="E128">
        <v>2016</v>
      </c>
      <c r="F128">
        <v>4</v>
      </c>
      <c r="G128">
        <v>3</v>
      </c>
      <c r="H128">
        <v>16</v>
      </c>
      <c r="I128">
        <v>148</v>
      </c>
      <c r="L128">
        <v>6</v>
      </c>
      <c r="M128">
        <v>13</v>
      </c>
      <c r="N128">
        <v>13</v>
      </c>
      <c r="O128">
        <v>13</v>
      </c>
      <c r="P128" s="12">
        <f t="shared" si="2"/>
        <v>13</v>
      </c>
      <c r="Q128">
        <v>220</v>
      </c>
      <c r="R128">
        <v>230</v>
      </c>
      <c r="S128">
        <v>240</v>
      </c>
      <c r="T128" s="21">
        <f t="shared" si="3"/>
        <v>230</v>
      </c>
    </row>
    <row r="129" spans="1:20" customFormat="1" x14ac:dyDescent="0.25">
      <c r="A129" t="s">
        <v>34</v>
      </c>
      <c r="D129" t="s">
        <v>39</v>
      </c>
      <c r="E129">
        <v>2001</v>
      </c>
      <c r="F129">
        <v>4</v>
      </c>
      <c r="G129">
        <v>4</v>
      </c>
      <c r="H129">
        <v>16</v>
      </c>
      <c r="I129">
        <v>164</v>
      </c>
      <c r="L129">
        <v>6</v>
      </c>
      <c r="M129">
        <v>10</v>
      </c>
      <c r="N129">
        <v>9</v>
      </c>
      <c r="O129">
        <v>9</v>
      </c>
      <c r="P129" s="12">
        <f t="shared" si="2"/>
        <v>9.3333333333333339</v>
      </c>
      <c r="Q129">
        <v>270</v>
      </c>
      <c r="R129">
        <v>220</v>
      </c>
      <c r="S129">
        <v>220</v>
      </c>
      <c r="T129" s="21">
        <f t="shared" si="3"/>
        <v>236.66666666666666</v>
      </c>
    </row>
    <row r="130" spans="1:20" customFormat="1" x14ac:dyDescent="0.25">
      <c r="A130" t="s">
        <v>24</v>
      </c>
      <c r="D130" t="s">
        <v>28</v>
      </c>
      <c r="E130">
        <v>1998</v>
      </c>
      <c r="F130">
        <v>1</v>
      </c>
      <c r="G130">
        <v>1</v>
      </c>
      <c r="H130">
        <v>1</v>
      </c>
      <c r="I130">
        <v>101</v>
      </c>
      <c r="L130">
        <v>9</v>
      </c>
      <c r="M130">
        <v>16</v>
      </c>
      <c r="N130">
        <v>15</v>
      </c>
      <c r="P130" s="12">
        <f t="shared" si="2"/>
        <v>15.5</v>
      </c>
      <c r="Q130">
        <v>305</v>
      </c>
      <c r="R130">
        <v>310</v>
      </c>
      <c r="T130" s="21">
        <f t="shared" si="3"/>
        <v>307.5</v>
      </c>
    </row>
    <row r="131" spans="1:20" customFormat="1" x14ac:dyDescent="0.25">
      <c r="A131" t="s">
        <v>24</v>
      </c>
      <c r="D131" t="s">
        <v>313</v>
      </c>
      <c r="E131">
        <v>2016</v>
      </c>
      <c r="F131">
        <v>1</v>
      </c>
      <c r="G131">
        <v>2</v>
      </c>
      <c r="H131">
        <v>1</v>
      </c>
      <c r="I131">
        <v>117</v>
      </c>
      <c r="L131">
        <v>9</v>
      </c>
      <c r="M131">
        <v>16</v>
      </c>
      <c r="N131">
        <v>13</v>
      </c>
      <c r="O131">
        <v>13</v>
      </c>
      <c r="P131" s="12">
        <f t="shared" ref="P131:P194" si="4">AVERAGE(M131:O131)</f>
        <v>14</v>
      </c>
      <c r="Q131">
        <v>314</v>
      </c>
      <c r="R131">
        <v>290</v>
      </c>
      <c r="S131">
        <v>290</v>
      </c>
      <c r="T131" s="21">
        <f t="shared" ref="T131:T194" si="5">AVERAGE(Q131:S131)</f>
        <v>298</v>
      </c>
    </row>
    <row r="132" spans="1:20" customFormat="1" x14ac:dyDescent="0.25">
      <c r="A132" t="s">
        <v>24</v>
      </c>
      <c r="D132" t="s">
        <v>26</v>
      </c>
      <c r="E132">
        <v>1983</v>
      </c>
      <c r="F132">
        <v>1</v>
      </c>
      <c r="G132">
        <v>3</v>
      </c>
      <c r="H132">
        <v>1</v>
      </c>
      <c r="I132">
        <v>133</v>
      </c>
      <c r="L132">
        <v>9</v>
      </c>
      <c r="M132">
        <v>12</v>
      </c>
      <c r="N132">
        <v>15</v>
      </c>
      <c r="O132">
        <v>15</v>
      </c>
      <c r="P132" s="12">
        <f t="shared" si="4"/>
        <v>14</v>
      </c>
      <c r="Q132">
        <v>330</v>
      </c>
      <c r="R132">
        <v>310</v>
      </c>
      <c r="S132">
        <v>330</v>
      </c>
      <c r="T132" s="21">
        <f t="shared" si="5"/>
        <v>323.33333333333331</v>
      </c>
    </row>
    <row r="133" spans="1:20" customFormat="1" x14ac:dyDescent="0.25">
      <c r="A133" t="s">
        <v>24</v>
      </c>
      <c r="D133" t="s">
        <v>29</v>
      </c>
      <c r="E133">
        <v>1999</v>
      </c>
      <c r="F133">
        <v>1</v>
      </c>
      <c r="G133">
        <v>4</v>
      </c>
      <c r="H133">
        <v>1</v>
      </c>
      <c r="I133">
        <v>149</v>
      </c>
      <c r="L133">
        <v>9</v>
      </c>
      <c r="M133">
        <v>13</v>
      </c>
      <c r="N133">
        <v>12</v>
      </c>
      <c r="O133">
        <v>15</v>
      </c>
      <c r="P133" s="12">
        <f t="shared" si="4"/>
        <v>13.333333333333334</v>
      </c>
      <c r="Q133">
        <v>330</v>
      </c>
      <c r="R133">
        <v>370</v>
      </c>
      <c r="S133">
        <v>360</v>
      </c>
      <c r="T133" s="21">
        <f t="shared" si="5"/>
        <v>353.33333333333331</v>
      </c>
    </row>
    <row r="134" spans="1:20" customFormat="1" x14ac:dyDescent="0.25">
      <c r="A134" t="s">
        <v>24</v>
      </c>
      <c r="D134" t="s">
        <v>312</v>
      </c>
      <c r="E134">
        <v>2002</v>
      </c>
      <c r="F134">
        <v>1</v>
      </c>
      <c r="G134">
        <v>1</v>
      </c>
      <c r="H134">
        <v>2</v>
      </c>
      <c r="I134">
        <v>102</v>
      </c>
      <c r="L134">
        <v>9</v>
      </c>
      <c r="M134">
        <v>18</v>
      </c>
      <c r="N134">
        <v>13</v>
      </c>
      <c r="O134">
        <v>16</v>
      </c>
      <c r="P134" s="12">
        <f t="shared" si="4"/>
        <v>15.666666666666666</v>
      </c>
      <c r="Q134">
        <v>330</v>
      </c>
      <c r="R134">
        <v>370</v>
      </c>
      <c r="S134">
        <v>330</v>
      </c>
      <c r="T134" s="21">
        <f t="shared" si="5"/>
        <v>343.33333333333331</v>
      </c>
    </row>
    <row r="135" spans="1:20" customFormat="1" x14ac:dyDescent="0.25">
      <c r="A135" t="s">
        <v>24</v>
      </c>
      <c r="D135" t="s">
        <v>311</v>
      </c>
      <c r="E135">
        <v>2023</v>
      </c>
      <c r="F135">
        <v>1</v>
      </c>
      <c r="G135">
        <v>2</v>
      </c>
      <c r="H135">
        <v>2</v>
      </c>
      <c r="I135">
        <v>118</v>
      </c>
      <c r="L135">
        <v>9</v>
      </c>
      <c r="M135">
        <v>12</v>
      </c>
      <c r="N135">
        <v>16</v>
      </c>
      <c r="O135">
        <v>14</v>
      </c>
      <c r="P135" s="12">
        <f t="shared" si="4"/>
        <v>14</v>
      </c>
      <c r="Q135">
        <v>290</v>
      </c>
      <c r="R135">
        <v>300</v>
      </c>
      <c r="S135">
        <v>310</v>
      </c>
      <c r="T135" s="21">
        <f t="shared" si="5"/>
        <v>300</v>
      </c>
    </row>
    <row r="136" spans="1:20" customFormat="1" x14ac:dyDescent="0.25">
      <c r="A136" t="s">
        <v>24</v>
      </c>
      <c r="D136" t="s">
        <v>27</v>
      </c>
      <c r="E136">
        <v>1985</v>
      </c>
      <c r="F136">
        <v>1</v>
      </c>
      <c r="G136">
        <v>3</v>
      </c>
      <c r="H136">
        <v>2</v>
      </c>
      <c r="I136">
        <v>134</v>
      </c>
      <c r="L136">
        <v>9</v>
      </c>
      <c r="M136">
        <v>16</v>
      </c>
      <c r="N136">
        <v>17</v>
      </c>
      <c r="O136">
        <v>17</v>
      </c>
      <c r="P136" s="12">
        <f t="shared" si="4"/>
        <v>16.666666666666668</v>
      </c>
      <c r="Q136">
        <v>330</v>
      </c>
      <c r="R136">
        <v>345</v>
      </c>
      <c r="S136">
        <v>314</v>
      </c>
      <c r="T136" s="21">
        <f t="shared" si="5"/>
        <v>329.66666666666669</v>
      </c>
    </row>
    <row r="137" spans="1:20" customFormat="1" x14ac:dyDescent="0.25">
      <c r="A137" t="s">
        <v>24</v>
      </c>
      <c r="D137" t="s">
        <v>32</v>
      </c>
      <c r="E137">
        <v>2018</v>
      </c>
      <c r="F137">
        <v>1</v>
      </c>
      <c r="G137">
        <v>4</v>
      </c>
      <c r="H137">
        <v>2</v>
      </c>
      <c r="I137">
        <v>150</v>
      </c>
      <c r="L137">
        <v>9</v>
      </c>
      <c r="M137">
        <v>13</v>
      </c>
      <c r="N137">
        <v>14</v>
      </c>
      <c r="O137">
        <v>16</v>
      </c>
      <c r="P137" s="12">
        <f t="shared" si="4"/>
        <v>14.333333333333334</v>
      </c>
      <c r="Q137">
        <v>280</v>
      </c>
      <c r="R137">
        <v>295</v>
      </c>
      <c r="S137">
        <v>315</v>
      </c>
      <c r="T137" s="21">
        <f t="shared" si="5"/>
        <v>296.66666666666669</v>
      </c>
    </row>
    <row r="138" spans="1:20" customFormat="1" x14ac:dyDescent="0.25">
      <c r="A138" t="s">
        <v>34</v>
      </c>
      <c r="D138" t="s">
        <v>39</v>
      </c>
      <c r="E138">
        <v>2001</v>
      </c>
      <c r="F138">
        <v>1</v>
      </c>
      <c r="G138">
        <v>1</v>
      </c>
      <c r="H138">
        <v>3</v>
      </c>
      <c r="I138">
        <v>103</v>
      </c>
      <c r="L138">
        <v>9</v>
      </c>
      <c r="M138">
        <v>16</v>
      </c>
      <c r="N138">
        <v>16</v>
      </c>
      <c r="O138">
        <v>16</v>
      </c>
      <c r="P138" s="12">
        <f t="shared" si="4"/>
        <v>16</v>
      </c>
      <c r="Q138">
        <v>310</v>
      </c>
      <c r="R138">
        <v>300</v>
      </c>
      <c r="S138">
        <v>300</v>
      </c>
      <c r="T138" s="21">
        <f t="shared" si="5"/>
        <v>303.33333333333331</v>
      </c>
    </row>
    <row r="139" spans="1:20" customFormat="1" x14ac:dyDescent="0.25">
      <c r="A139" t="s">
        <v>34</v>
      </c>
      <c r="D139" t="s">
        <v>318</v>
      </c>
      <c r="E139">
        <v>2004</v>
      </c>
      <c r="F139">
        <v>1</v>
      </c>
      <c r="G139">
        <v>2</v>
      </c>
      <c r="H139">
        <v>3</v>
      </c>
      <c r="I139">
        <v>119</v>
      </c>
      <c r="L139">
        <v>9</v>
      </c>
      <c r="M139">
        <v>16</v>
      </c>
      <c r="N139">
        <v>14</v>
      </c>
      <c r="O139">
        <v>14</v>
      </c>
      <c r="P139" s="12">
        <f t="shared" si="4"/>
        <v>14.666666666666666</v>
      </c>
      <c r="Q139">
        <v>320</v>
      </c>
      <c r="R139">
        <v>305</v>
      </c>
      <c r="S139">
        <v>300</v>
      </c>
      <c r="T139" s="21">
        <f t="shared" si="5"/>
        <v>308.33333333333331</v>
      </c>
    </row>
    <row r="140" spans="1:20" customFormat="1" x14ac:dyDescent="0.25">
      <c r="A140" t="s">
        <v>34</v>
      </c>
      <c r="D140" t="s">
        <v>41</v>
      </c>
      <c r="E140">
        <v>2008</v>
      </c>
      <c r="F140">
        <v>1</v>
      </c>
      <c r="G140">
        <v>3</v>
      </c>
      <c r="H140">
        <v>3</v>
      </c>
      <c r="I140">
        <v>135</v>
      </c>
      <c r="L140">
        <v>9</v>
      </c>
      <c r="M140">
        <v>15</v>
      </c>
      <c r="N140">
        <v>17</v>
      </c>
      <c r="O140">
        <v>14</v>
      </c>
      <c r="P140" s="12">
        <f t="shared" si="4"/>
        <v>15.333333333333334</v>
      </c>
      <c r="Q140">
        <v>295</v>
      </c>
      <c r="R140">
        <v>295</v>
      </c>
      <c r="S140">
        <v>295</v>
      </c>
      <c r="T140" s="21">
        <f t="shared" si="5"/>
        <v>295</v>
      </c>
    </row>
    <row r="141" spans="1:20" customFormat="1" x14ac:dyDescent="0.25">
      <c r="A141" t="s">
        <v>34</v>
      </c>
      <c r="D141" t="s">
        <v>38</v>
      </c>
      <c r="E141">
        <v>1999</v>
      </c>
      <c r="F141">
        <v>1</v>
      </c>
      <c r="G141">
        <v>4</v>
      </c>
      <c r="H141">
        <v>3</v>
      </c>
      <c r="I141">
        <v>151</v>
      </c>
      <c r="L141">
        <v>9</v>
      </c>
      <c r="M141">
        <v>16</v>
      </c>
      <c r="N141">
        <v>15</v>
      </c>
      <c r="O141">
        <v>15</v>
      </c>
      <c r="P141" s="12">
        <f t="shared" si="4"/>
        <v>15.333333333333334</v>
      </c>
      <c r="Q141">
        <v>330</v>
      </c>
      <c r="R141">
        <v>300</v>
      </c>
      <c r="S141">
        <v>320</v>
      </c>
      <c r="T141" s="21">
        <f t="shared" si="5"/>
        <v>316.66666666666669</v>
      </c>
    </row>
    <row r="142" spans="1:20" customFormat="1" x14ac:dyDescent="0.25">
      <c r="A142" t="s">
        <v>34</v>
      </c>
      <c r="D142" t="s">
        <v>37</v>
      </c>
      <c r="E142">
        <v>1989</v>
      </c>
      <c r="F142">
        <v>1</v>
      </c>
      <c r="G142">
        <v>1</v>
      </c>
      <c r="H142">
        <v>4</v>
      </c>
      <c r="I142">
        <v>104</v>
      </c>
      <c r="L142">
        <v>9</v>
      </c>
      <c r="M142">
        <v>15</v>
      </c>
      <c r="N142">
        <v>15</v>
      </c>
      <c r="O142">
        <v>15</v>
      </c>
      <c r="P142" s="12">
        <f t="shared" si="4"/>
        <v>15</v>
      </c>
      <c r="Q142">
        <v>300</v>
      </c>
      <c r="R142">
        <v>360</v>
      </c>
      <c r="S142">
        <v>305</v>
      </c>
      <c r="T142" s="21">
        <f t="shared" si="5"/>
        <v>321.66666666666669</v>
      </c>
    </row>
    <row r="143" spans="1:20" customFormat="1" x14ac:dyDescent="0.25">
      <c r="A143" t="s">
        <v>34</v>
      </c>
      <c r="D143" t="s">
        <v>42</v>
      </c>
      <c r="E143">
        <v>2016</v>
      </c>
      <c r="F143">
        <v>1</v>
      </c>
      <c r="G143">
        <v>2</v>
      </c>
      <c r="H143">
        <v>4</v>
      </c>
      <c r="I143">
        <v>120</v>
      </c>
      <c r="L143">
        <v>9</v>
      </c>
      <c r="M143">
        <v>18</v>
      </c>
      <c r="N143">
        <v>18</v>
      </c>
      <c r="P143" s="12">
        <f t="shared" si="4"/>
        <v>18</v>
      </c>
      <c r="Q143">
        <v>315</v>
      </c>
      <c r="R143">
        <v>330</v>
      </c>
      <c r="T143" s="21">
        <f t="shared" si="5"/>
        <v>322.5</v>
      </c>
    </row>
    <row r="144" spans="1:20" customFormat="1" x14ac:dyDescent="0.25">
      <c r="A144" t="s">
        <v>34</v>
      </c>
      <c r="D144" t="s">
        <v>36</v>
      </c>
      <c r="E144">
        <v>1984</v>
      </c>
      <c r="F144">
        <v>1</v>
      </c>
      <c r="G144">
        <v>3</v>
      </c>
      <c r="H144">
        <v>4</v>
      </c>
      <c r="I144">
        <v>136</v>
      </c>
      <c r="L144">
        <v>9</v>
      </c>
      <c r="M144">
        <v>13</v>
      </c>
      <c r="N144">
        <v>15</v>
      </c>
      <c r="O144">
        <v>13</v>
      </c>
      <c r="P144" s="12">
        <f t="shared" si="4"/>
        <v>13.666666666666666</v>
      </c>
      <c r="Q144">
        <v>270</v>
      </c>
      <c r="R144">
        <v>300</v>
      </c>
      <c r="S144">
        <v>265</v>
      </c>
      <c r="T144" s="21">
        <f t="shared" si="5"/>
        <v>278.33333333333331</v>
      </c>
    </row>
    <row r="145" spans="1:20" customFormat="1" x14ac:dyDescent="0.25">
      <c r="A145" t="s">
        <v>34</v>
      </c>
      <c r="D145" t="s">
        <v>43</v>
      </c>
      <c r="E145">
        <v>2020</v>
      </c>
      <c r="F145">
        <v>1</v>
      </c>
      <c r="G145">
        <v>4</v>
      </c>
      <c r="H145">
        <v>4</v>
      </c>
      <c r="I145">
        <v>152</v>
      </c>
      <c r="L145">
        <v>9</v>
      </c>
      <c r="M145">
        <v>17</v>
      </c>
      <c r="N145">
        <v>17</v>
      </c>
      <c r="O145">
        <v>16</v>
      </c>
      <c r="P145" s="12">
        <f t="shared" si="4"/>
        <v>16.666666666666668</v>
      </c>
      <c r="Q145">
        <v>300</v>
      </c>
      <c r="R145">
        <v>290</v>
      </c>
      <c r="S145">
        <v>270</v>
      </c>
      <c r="T145" s="21">
        <f t="shared" si="5"/>
        <v>286.66666666666669</v>
      </c>
    </row>
    <row r="146" spans="1:20" customFormat="1" x14ac:dyDescent="0.25">
      <c r="A146" t="s">
        <v>24</v>
      </c>
      <c r="D146" t="s">
        <v>29</v>
      </c>
      <c r="E146">
        <v>1999</v>
      </c>
      <c r="F146">
        <v>2</v>
      </c>
      <c r="G146">
        <v>1</v>
      </c>
      <c r="H146">
        <v>5</v>
      </c>
      <c r="I146">
        <v>105</v>
      </c>
      <c r="L146">
        <v>9</v>
      </c>
      <c r="M146">
        <v>14</v>
      </c>
      <c r="N146">
        <v>15</v>
      </c>
      <c r="O146">
        <v>14</v>
      </c>
      <c r="P146" s="12">
        <f t="shared" si="4"/>
        <v>14.333333333333334</v>
      </c>
      <c r="Q146">
        <v>330</v>
      </c>
      <c r="R146">
        <v>370</v>
      </c>
      <c r="S146">
        <v>360</v>
      </c>
      <c r="T146" s="21">
        <f t="shared" si="5"/>
        <v>353.33333333333331</v>
      </c>
    </row>
    <row r="147" spans="1:20" customFormat="1" x14ac:dyDescent="0.25">
      <c r="A147" t="s">
        <v>24</v>
      </c>
      <c r="D147" t="s">
        <v>27</v>
      </c>
      <c r="E147">
        <v>1985</v>
      </c>
      <c r="F147">
        <v>2</v>
      </c>
      <c r="G147">
        <v>2</v>
      </c>
      <c r="H147">
        <v>5</v>
      </c>
      <c r="I147">
        <v>121</v>
      </c>
      <c r="L147">
        <v>9</v>
      </c>
      <c r="M147">
        <v>16</v>
      </c>
      <c r="N147">
        <v>15</v>
      </c>
      <c r="P147" s="12">
        <f t="shared" si="4"/>
        <v>15.5</v>
      </c>
      <c r="Q147">
        <v>330</v>
      </c>
      <c r="R147">
        <v>315</v>
      </c>
      <c r="T147" s="21">
        <f t="shared" si="5"/>
        <v>322.5</v>
      </c>
    </row>
    <row r="148" spans="1:20" customFormat="1" x14ac:dyDescent="0.25">
      <c r="A148" t="s">
        <v>24</v>
      </c>
      <c r="D148" t="s">
        <v>313</v>
      </c>
      <c r="E148">
        <v>2016</v>
      </c>
      <c r="F148">
        <v>2</v>
      </c>
      <c r="G148">
        <v>3</v>
      </c>
      <c r="H148">
        <v>5</v>
      </c>
      <c r="I148">
        <v>137</v>
      </c>
      <c r="L148">
        <v>9</v>
      </c>
      <c r="M148">
        <v>15</v>
      </c>
      <c r="N148">
        <v>17</v>
      </c>
      <c r="O148">
        <v>15</v>
      </c>
      <c r="P148" s="12">
        <f t="shared" si="4"/>
        <v>15.666666666666666</v>
      </c>
      <c r="Q148">
        <v>320</v>
      </c>
      <c r="R148">
        <v>340</v>
      </c>
      <c r="S148">
        <v>330</v>
      </c>
      <c r="T148" s="21">
        <f t="shared" si="5"/>
        <v>330</v>
      </c>
    </row>
    <row r="149" spans="1:20" customFormat="1" x14ac:dyDescent="0.25">
      <c r="A149" t="s">
        <v>24</v>
      </c>
      <c r="D149" t="s">
        <v>312</v>
      </c>
      <c r="E149">
        <v>2002</v>
      </c>
      <c r="F149">
        <v>2</v>
      </c>
      <c r="G149">
        <v>4</v>
      </c>
      <c r="H149">
        <v>5</v>
      </c>
      <c r="I149">
        <v>153</v>
      </c>
      <c r="L149">
        <v>9</v>
      </c>
      <c r="M149">
        <v>13</v>
      </c>
      <c r="N149">
        <v>17</v>
      </c>
      <c r="O149">
        <v>15</v>
      </c>
      <c r="P149" s="12">
        <f t="shared" si="4"/>
        <v>15</v>
      </c>
      <c r="Q149">
        <v>350</v>
      </c>
      <c r="R149">
        <v>310</v>
      </c>
      <c r="S149">
        <v>310</v>
      </c>
      <c r="T149" s="21">
        <f t="shared" si="5"/>
        <v>323.33333333333331</v>
      </c>
    </row>
    <row r="150" spans="1:20" customFormat="1" x14ac:dyDescent="0.25">
      <c r="A150" t="s">
        <v>24</v>
      </c>
      <c r="D150" t="s">
        <v>311</v>
      </c>
      <c r="E150">
        <v>2023</v>
      </c>
      <c r="F150">
        <v>2</v>
      </c>
      <c r="G150">
        <v>1</v>
      </c>
      <c r="H150">
        <v>6</v>
      </c>
      <c r="I150">
        <v>106</v>
      </c>
      <c r="L150">
        <v>9</v>
      </c>
      <c r="M150">
        <v>15</v>
      </c>
      <c r="N150">
        <v>13</v>
      </c>
      <c r="O150">
        <v>13</v>
      </c>
      <c r="P150" s="12">
        <f t="shared" si="4"/>
        <v>13.666666666666666</v>
      </c>
      <c r="Q150">
        <v>330</v>
      </c>
      <c r="R150">
        <v>320</v>
      </c>
      <c r="S150">
        <v>290</v>
      </c>
      <c r="T150" s="21">
        <f t="shared" si="5"/>
        <v>313.33333333333331</v>
      </c>
    </row>
    <row r="151" spans="1:20" customFormat="1" x14ac:dyDescent="0.25">
      <c r="A151" t="s">
        <v>24</v>
      </c>
      <c r="D151" t="s">
        <v>28</v>
      </c>
      <c r="E151">
        <v>1998</v>
      </c>
      <c r="F151">
        <v>2</v>
      </c>
      <c r="G151">
        <v>2</v>
      </c>
      <c r="H151">
        <v>6</v>
      </c>
      <c r="I151">
        <v>122</v>
      </c>
      <c r="L151">
        <v>9</v>
      </c>
      <c r="M151">
        <v>14</v>
      </c>
      <c r="N151">
        <v>17</v>
      </c>
      <c r="P151" s="12">
        <f t="shared" si="4"/>
        <v>15.5</v>
      </c>
      <c r="Q151">
        <v>270</v>
      </c>
      <c r="R151">
        <v>215</v>
      </c>
      <c r="T151" s="21">
        <f t="shared" si="5"/>
        <v>242.5</v>
      </c>
    </row>
    <row r="152" spans="1:20" customFormat="1" x14ac:dyDescent="0.25">
      <c r="A152" t="s">
        <v>24</v>
      </c>
      <c r="D152" t="s">
        <v>32</v>
      </c>
      <c r="E152">
        <v>2018</v>
      </c>
      <c r="F152">
        <v>2</v>
      </c>
      <c r="G152">
        <v>3</v>
      </c>
      <c r="H152">
        <v>6</v>
      </c>
      <c r="I152">
        <v>138</v>
      </c>
      <c r="L152">
        <v>9</v>
      </c>
      <c r="M152">
        <v>14</v>
      </c>
      <c r="N152">
        <v>15</v>
      </c>
      <c r="O152">
        <v>14</v>
      </c>
      <c r="P152" s="12">
        <f t="shared" si="4"/>
        <v>14.333333333333334</v>
      </c>
      <c r="Q152">
        <v>310</v>
      </c>
      <c r="R152">
        <v>310</v>
      </c>
      <c r="S152">
        <v>350</v>
      </c>
      <c r="T152" s="21">
        <f t="shared" si="5"/>
        <v>323.33333333333331</v>
      </c>
    </row>
    <row r="153" spans="1:20" customFormat="1" x14ac:dyDescent="0.25">
      <c r="A153" t="s">
        <v>24</v>
      </c>
      <c r="D153" t="s">
        <v>26</v>
      </c>
      <c r="E153">
        <v>1983</v>
      </c>
      <c r="F153">
        <v>2</v>
      </c>
      <c r="G153">
        <v>4</v>
      </c>
      <c r="H153">
        <v>6</v>
      </c>
      <c r="I153">
        <v>154</v>
      </c>
      <c r="L153">
        <v>9</v>
      </c>
      <c r="M153">
        <v>15</v>
      </c>
      <c r="N153">
        <v>15</v>
      </c>
      <c r="O153">
        <v>14</v>
      </c>
      <c r="P153" s="12">
        <f t="shared" si="4"/>
        <v>14.666666666666666</v>
      </c>
      <c r="Q153">
        <v>310</v>
      </c>
      <c r="R153">
        <v>280</v>
      </c>
      <c r="S153">
        <v>300</v>
      </c>
      <c r="T153" s="21">
        <f t="shared" si="5"/>
        <v>296.66666666666669</v>
      </c>
    </row>
    <row r="154" spans="1:20" customFormat="1" x14ac:dyDescent="0.25">
      <c r="A154" t="s">
        <v>34</v>
      </c>
      <c r="D154" t="s">
        <v>41</v>
      </c>
      <c r="E154">
        <v>2008</v>
      </c>
      <c r="F154">
        <v>2</v>
      </c>
      <c r="G154">
        <v>1</v>
      </c>
      <c r="H154">
        <v>7</v>
      </c>
      <c r="I154">
        <v>107</v>
      </c>
      <c r="L154">
        <v>9</v>
      </c>
      <c r="M154">
        <v>15</v>
      </c>
      <c r="N154">
        <v>16</v>
      </c>
      <c r="O154">
        <v>16</v>
      </c>
      <c r="P154" s="12">
        <f t="shared" si="4"/>
        <v>15.666666666666666</v>
      </c>
      <c r="Q154">
        <v>300</v>
      </c>
      <c r="R154">
        <v>295</v>
      </c>
      <c r="S154">
        <v>330</v>
      </c>
      <c r="T154" s="21">
        <f t="shared" si="5"/>
        <v>308.33333333333331</v>
      </c>
    </row>
    <row r="155" spans="1:20" customFormat="1" x14ac:dyDescent="0.25">
      <c r="A155" t="s">
        <v>34</v>
      </c>
      <c r="D155" t="s">
        <v>37</v>
      </c>
      <c r="E155">
        <v>1989</v>
      </c>
      <c r="F155">
        <v>2</v>
      </c>
      <c r="G155">
        <v>2</v>
      </c>
      <c r="H155">
        <v>7</v>
      </c>
      <c r="I155">
        <v>123</v>
      </c>
      <c r="L155">
        <v>9</v>
      </c>
      <c r="M155">
        <v>13</v>
      </c>
      <c r="N155">
        <v>14</v>
      </c>
      <c r="P155" s="12">
        <f t="shared" si="4"/>
        <v>13.5</v>
      </c>
      <c r="Q155">
        <v>300</v>
      </c>
      <c r="R155">
        <v>310</v>
      </c>
      <c r="T155" s="21">
        <f t="shared" si="5"/>
        <v>305</v>
      </c>
    </row>
    <row r="156" spans="1:20" customFormat="1" x14ac:dyDescent="0.25">
      <c r="A156" t="s">
        <v>34</v>
      </c>
      <c r="D156" t="s">
        <v>39</v>
      </c>
      <c r="E156">
        <v>2001</v>
      </c>
      <c r="F156">
        <v>2</v>
      </c>
      <c r="G156">
        <v>3</v>
      </c>
      <c r="H156">
        <v>7</v>
      </c>
      <c r="I156">
        <v>139</v>
      </c>
      <c r="L156">
        <v>9</v>
      </c>
      <c r="M156">
        <v>15</v>
      </c>
      <c r="N156">
        <v>15</v>
      </c>
      <c r="O156">
        <v>15</v>
      </c>
      <c r="P156" s="12">
        <f t="shared" si="4"/>
        <v>15</v>
      </c>
      <c r="Q156">
        <v>295</v>
      </c>
      <c r="R156">
        <v>285</v>
      </c>
      <c r="S156">
        <v>290</v>
      </c>
      <c r="T156" s="21">
        <f t="shared" si="5"/>
        <v>290</v>
      </c>
    </row>
    <row r="157" spans="1:20" customFormat="1" x14ac:dyDescent="0.25">
      <c r="A157" t="s">
        <v>34</v>
      </c>
      <c r="D157" t="s">
        <v>36</v>
      </c>
      <c r="E157">
        <v>1984</v>
      </c>
      <c r="F157">
        <v>2</v>
      </c>
      <c r="G157">
        <v>4</v>
      </c>
      <c r="H157">
        <v>7</v>
      </c>
      <c r="I157">
        <v>155</v>
      </c>
      <c r="L157">
        <v>9</v>
      </c>
      <c r="M157">
        <v>12</v>
      </c>
      <c r="N157">
        <v>15</v>
      </c>
      <c r="P157" s="12">
        <f t="shared" si="4"/>
        <v>13.5</v>
      </c>
      <c r="Q157">
        <v>285</v>
      </c>
      <c r="R157">
        <v>295</v>
      </c>
      <c r="T157" s="21">
        <f t="shared" si="5"/>
        <v>290</v>
      </c>
    </row>
    <row r="158" spans="1:20" customFormat="1" x14ac:dyDescent="0.25">
      <c r="A158" t="s">
        <v>34</v>
      </c>
      <c r="D158" t="s">
        <v>318</v>
      </c>
      <c r="E158">
        <v>2004</v>
      </c>
      <c r="F158">
        <v>2</v>
      </c>
      <c r="G158">
        <v>1</v>
      </c>
      <c r="H158">
        <v>8</v>
      </c>
      <c r="I158">
        <v>108</v>
      </c>
      <c r="L158">
        <v>9</v>
      </c>
      <c r="M158">
        <v>14</v>
      </c>
      <c r="N158">
        <v>17</v>
      </c>
      <c r="P158" s="12">
        <f t="shared" si="4"/>
        <v>15.5</v>
      </c>
      <c r="Q158">
        <v>295</v>
      </c>
      <c r="R158">
        <v>335</v>
      </c>
      <c r="T158" s="21">
        <f t="shared" si="5"/>
        <v>315</v>
      </c>
    </row>
    <row r="159" spans="1:20" customFormat="1" x14ac:dyDescent="0.25">
      <c r="A159" t="s">
        <v>34</v>
      </c>
      <c r="D159" t="s">
        <v>43</v>
      </c>
      <c r="E159">
        <v>2020</v>
      </c>
      <c r="F159">
        <v>2</v>
      </c>
      <c r="G159">
        <v>2</v>
      </c>
      <c r="H159">
        <v>8</v>
      </c>
      <c r="I159">
        <v>124</v>
      </c>
      <c r="L159">
        <v>9</v>
      </c>
      <c r="M159">
        <v>16</v>
      </c>
      <c r="N159">
        <v>16</v>
      </c>
      <c r="O159">
        <v>16</v>
      </c>
      <c r="P159" s="12">
        <f t="shared" si="4"/>
        <v>16</v>
      </c>
      <c r="Q159">
        <v>300</v>
      </c>
      <c r="R159">
        <v>270</v>
      </c>
      <c r="S159">
        <v>285</v>
      </c>
      <c r="T159" s="21">
        <f t="shared" si="5"/>
        <v>285</v>
      </c>
    </row>
    <row r="160" spans="1:20" customFormat="1" x14ac:dyDescent="0.25">
      <c r="A160" t="s">
        <v>34</v>
      </c>
      <c r="D160" t="s">
        <v>38</v>
      </c>
      <c r="E160">
        <v>1999</v>
      </c>
      <c r="F160">
        <v>2</v>
      </c>
      <c r="G160">
        <v>3</v>
      </c>
      <c r="H160">
        <v>8</v>
      </c>
      <c r="I160">
        <v>140</v>
      </c>
      <c r="L160">
        <v>9</v>
      </c>
      <c r="M160">
        <v>16</v>
      </c>
      <c r="N160">
        <v>14</v>
      </c>
      <c r="O160">
        <v>16</v>
      </c>
      <c r="P160" s="12">
        <f t="shared" si="4"/>
        <v>15.333333333333334</v>
      </c>
      <c r="Q160">
        <v>320</v>
      </c>
      <c r="R160">
        <v>310</v>
      </c>
      <c r="S160">
        <v>360</v>
      </c>
      <c r="T160" s="21">
        <f t="shared" si="5"/>
        <v>330</v>
      </c>
    </row>
    <row r="161" spans="1:20" customFormat="1" x14ac:dyDescent="0.25">
      <c r="A161" t="s">
        <v>34</v>
      </c>
      <c r="D161" t="s">
        <v>42</v>
      </c>
      <c r="E161">
        <v>2016</v>
      </c>
      <c r="F161">
        <v>2</v>
      </c>
      <c r="G161">
        <v>4</v>
      </c>
      <c r="H161">
        <v>8</v>
      </c>
      <c r="I161">
        <v>156</v>
      </c>
      <c r="L161">
        <v>9</v>
      </c>
      <c r="M161">
        <v>16</v>
      </c>
      <c r="N161">
        <v>16</v>
      </c>
      <c r="O161">
        <v>17</v>
      </c>
      <c r="P161" s="12">
        <f t="shared" si="4"/>
        <v>16.333333333333332</v>
      </c>
      <c r="Q161">
        <v>285</v>
      </c>
      <c r="R161">
        <v>280</v>
      </c>
      <c r="S161">
        <v>280</v>
      </c>
      <c r="T161" s="21">
        <f t="shared" si="5"/>
        <v>281.66666666666669</v>
      </c>
    </row>
    <row r="162" spans="1:20" customFormat="1" x14ac:dyDescent="0.25">
      <c r="A162" t="s">
        <v>24</v>
      </c>
      <c r="D162" t="s">
        <v>26</v>
      </c>
      <c r="E162">
        <v>1983</v>
      </c>
      <c r="F162">
        <v>3</v>
      </c>
      <c r="G162">
        <v>1</v>
      </c>
      <c r="H162">
        <v>9</v>
      </c>
      <c r="I162">
        <v>109</v>
      </c>
      <c r="L162">
        <v>9</v>
      </c>
      <c r="M162">
        <v>12</v>
      </c>
      <c r="N162">
        <v>14</v>
      </c>
      <c r="O162">
        <v>14</v>
      </c>
      <c r="P162" s="12">
        <f t="shared" si="4"/>
        <v>13.333333333333334</v>
      </c>
      <c r="Q162">
        <v>310</v>
      </c>
      <c r="R162">
        <v>295</v>
      </c>
      <c r="S162">
        <v>315</v>
      </c>
      <c r="T162" s="21">
        <f t="shared" si="5"/>
        <v>306.66666666666669</v>
      </c>
    </row>
    <row r="163" spans="1:20" customFormat="1" x14ac:dyDescent="0.25">
      <c r="A163" t="s">
        <v>24</v>
      </c>
      <c r="D163" t="s">
        <v>312</v>
      </c>
      <c r="E163">
        <v>2002</v>
      </c>
      <c r="F163">
        <v>3</v>
      </c>
      <c r="G163">
        <v>2</v>
      </c>
      <c r="H163">
        <v>9</v>
      </c>
      <c r="I163">
        <v>125</v>
      </c>
      <c r="L163">
        <v>9</v>
      </c>
      <c r="M163">
        <v>15</v>
      </c>
      <c r="N163">
        <v>15</v>
      </c>
      <c r="O163">
        <v>15</v>
      </c>
      <c r="P163" s="12">
        <f t="shared" si="4"/>
        <v>15</v>
      </c>
      <c r="Q163">
        <v>330</v>
      </c>
      <c r="R163">
        <v>360</v>
      </c>
      <c r="S163">
        <v>310</v>
      </c>
      <c r="T163" s="21">
        <f t="shared" si="5"/>
        <v>333.33333333333331</v>
      </c>
    </row>
    <row r="164" spans="1:20" customFormat="1" x14ac:dyDescent="0.25">
      <c r="A164" t="s">
        <v>24</v>
      </c>
      <c r="D164" t="s">
        <v>28</v>
      </c>
      <c r="E164">
        <v>1998</v>
      </c>
      <c r="F164">
        <v>3</v>
      </c>
      <c r="G164">
        <v>3</v>
      </c>
      <c r="H164">
        <v>9</v>
      </c>
      <c r="I164">
        <v>141</v>
      </c>
      <c r="L164">
        <v>9</v>
      </c>
      <c r="M164">
        <v>13</v>
      </c>
      <c r="N164">
        <v>17</v>
      </c>
      <c r="P164" s="12">
        <f t="shared" si="4"/>
        <v>15</v>
      </c>
      <c r="Q164">
        <v>300</v>
      </c>
      <c r="R164">
        <v>285</v>
      </c>
      <c r="T164" s="21">
        <f t="shared" si="5"/>
        <v>292.5</v>
      </c>
    </row>
    <row r="165" spans="1:20" customFormat="1" x14ac:dyDescent="0.25">
      <c r="A165" t="s">
        <v>24</v>
      </c>
      <c r="D165" t="s">
        <v>27</v>
      </c>
      <c r="E165">
        <v>1985</v>
      </c>
      <c r="F165">
        <v>3</v>
      </c>
      <c r="G165">
        <v>4</v>
      </c>
      <c r="H165">
        <v>9</v>
      </c>
      <c r="I165">
        <v>157</v>
      </c>
      <c r="L165">
        <v>9</v>
      </c>
      <c r="M165">
        <v>15</v>
      </c>
      <c r="N165">
        <v>15</v>
      </c>
      <c r="P165" s="12">
        <f t="shared" si="4"/>
        <v>15</v>
      </c>
      <c r="Q165">
        <v>305</v>
      </c>
      <c r="R165">
        <v>295</v>
      </c>
      <c r="T165" s="21">
        <f t="shared" si="5"/>
        <v>300</v>
      </c>
    </row>
    <row r="166" spans="1:20" customFormat="1" x14ac:dyDescent="0.25">
      <c r="A166" t="s">
        <v>24</v>
      </c>
      <c r="D166" t="s">
        <v>313</v>
      </c>
      <c r="E166">
        <v>2016</v>
      </c>
      <c r="F166">
        <v>3</v>
      </c>
      <c r="G166">
        <v>1</v>
      </c>
      <c r="H166">
        <v>10</v>
      </c>
      <c r="I166">
        <v>110</v>
      </c>
      <c r="L166">
        <v>9</v>
      </c>
      <c r="M166">
        <v>18</v>
      </c>
      <c r="N166">
        <v>18</v>
      </c>
      <c r="O166">
        <v>17</v>
      </c>
      <c r="P166" s="12">
        <f t="shared" si="4"/>
        <v>17.666666666666668</v>
      </c>
      <c r="Q166">
        <v>370</v>
      </c>
      <c r="R166">
        <v>320</v>
      </c>
      <c r="S166">
        <v>320</v>
      </c>
      <c r="T166" s="21">
        <f t="shared" si="5"/>
        <v>336.66666666666669</v>
      </c>
    </row>
    <row r="167" spans="1:20" customFormat="1" x14ac:dyDescent="0.25">
      <c r="A167" t="s">
        <v>24</v>
      </c>
      <c r="D167" t="s">
        <v>32</v>
      </c>
      <c r="E167">
        <v>2018</v>
      </c>
      <c r="F167">
        <v>3</v>
      </c>
      <c r="G167">
        <v>2</v>
      </c>
      <c r="H167">
        <v>10</v>
      </c>
      <c r="I167">
        <v>126</v>
      </c>
      <c r="L167">
        <v>9</v>
      </c>
      <c r="M167">
        <v>14</v>
      </c>
      <c r="N167">
        <v>15</v>
      </c>
      <c r="O167">
        <v>16</v>
      </c>
      <c r="P167" s="12">
        <f t="shared" si="4"/>
        <v>15</v>
      </c>
      <c r="Q167">
        <v>330</v>
      </c>
      <c r="R167">
        <v>330</v>
      </c>
      <c r="S167">
        <v>305</v>
      </c>
      <c r="T167" s="21">
        <f t="shared" si="5"/>
        <v>321.66666666666669</v>
      </c>
    </row>
    <row r="168" spans="1:20" customFormat="1" x14ac:dyDescent="0.25">
      <c r="A168" t="s">
        <v>24</v>
      </c>
      <c r="D168" t="s">
        <v>29</v>
      </c>
      <c r="E168">
        <v>1999</v>
      </c>
      <c r="F168">
        <v>3</v>
      </c>
      <c r="G168">
        <v>3</v>
      </c>
      <c r="H168">
        <v>10</v>
      </c>
      <c r="I168">
        <v>142</v>
      </c>
      <c r="L168">
        <v>9</v>
      </c>
      <c r="M168">
        <v>14</v>
      </c>
      <c r="N168">
        <v>15</v>
      </c>
      <c r="O168">
        <v>13</v>
      </c>
      <c r="P168" s="12">
        <f t="shared" si="4"/>
        <v>14</v>
      </c>
      <c r="Q168">
        <v>375</v>
      </c>
      <c r="R168">
        <v>365</v>
      </c>
      <c r="S168">
        <v>335</v>
      </c>
      <c r="T168" s="21">
        <f t="shared" si="5"/>
        <v>358.33333333333331</v>
      </c>
    </row>
    <row r="169" spans="1:20" customFormat="1" x14ac:dyDescent="0.25">
      <c r="A169" t="s">
        <v>24</v>
      </c>
      <c r="D169" t="s">
        <v>311</v>
      </c>
      <c r="E169">
        <v>2023</v>
      </c>
      <c r="F169">
        <v>3</v>
      </c>
      <c r="G169">
        <v>4</v>
      </c>
      <c r="H169">
        <v>10</v>
      </c>
      <c r="I169">
        <v>158</v>
      </c>
      <c r="L169">
        <v>9</v>
      </c>
      <c r="M169">
        <v>15</v>
      </c>
      <c r="N169">
        <v>16</v>
      </c>
      <c r="O169">
        <v>15</v>
      </c>
      <c r="P169" s="12">
        <f t="shared" si="4"/>
        <v>15.333333333333334</v>
      </c>
      <c r="Q169">
        <v>305</v>
      </c>
      <c r="R169">
        <v>310</v>
      </c>
      <c r="S169">
        <v>310</v>
      </c>
      <c r="T169" s="21">
        <f t="shared" si="5"/>
        <v>308.33333333333331</v>
      </c>
    </row>
    <row r="170" spans="1:20" customFormat="1" x14ac:dyDescent="0.25">
      <c r="A170" t="s">
        <v>34</v>
      </c>
      <c r="D170" t="s">
        <v>42</v>
      </c>
      <c r="E170">
        <v>2016</v>
      </c>
      <c r="F170">
        <v>3</v>
      </c>
      <c r="G170">
        <v>1</v>
      </c>
      <c r="H170">
        <v>11</v>
      </c>
      <c r="I170">
        <v>111</v>
      </c>
      <c r="L170">
        <v>9</v>
      </c>
      <c r="M170">
        <v>17</v>
      </c>
      <c r="N170">
        <v>17</v>
      </c>
      <c r="O170">
        <v>18</v>
      </c>
      <c r="P170" s="12">
        <f t="shared" si="4"/>
        <v>17.333333333333332</v>
      </c>
      <c r="Q170">
        <v>295</v>
      </c>
      <c r="R170">
        <v>320</v>
      </c>
      <c r="S170">
        <v>285</v>
      </c>
      <c r="T170" s="21">
        <f t="shared" si="5"/>
        <v>300</v>
      </c>
    </row>
    <row r="171" spans="1:20" customFormat="1" x14ac:dyDescent="0.25">
      <c r="A171" t="s">
        <v>34</v>
      </c>
      <c r="D171" t="s">
        <v>39</v>
      </c>
      <c r="E171">
        <v>2001</v>
      </c>
      <c r="F171">
        <v>3</v>
      </c>
      <c r="G171">
        <v>2</v>
      </c>
      <c r="H171">
        <v>11</v>
      </c>
      <c r="I171">
        <v>127</v>
      </c>
      <c r="L171">
        <v>9</v>
      </c>
      <c r="M171">
        <v>15</v>
      </c>
      <c r="N171">
        <v>15</v>
      </c>
      <c r="O171">
        <v>15</v>
      </c>
      <c r="P171" s="12">
        <f t="shared" si="4"/>
        <v>15</v>
      </c>
      <c r="Q171">
        <v>285</v>
      </c>
      <c r="R171">
        <v>270</v>
      </c>
      <c r="S171">
        <v>305</v>
      </c>
      <c r="T171" s="21">
        <f t="shared" si="5"/>
        <v>286.66666666666669</v>
      </c>
    </row>
    <row r="172" spans="1:20" customFormat="1" x14ac:dyDescent="0.25">
      <c r="A172" t="s">
        <v>34</v>
      </c>
      <c r="D172" t="s">
        <v>43</v>
      </c>
      <c r="E172">
        <v>2020</v>
      </c>
      <c r="F172">
        <v>3</v>
      </c>
      <c r="G172">
        <v>3</v>
      </c>
      <c r="H172">
        <v>11</v>
      </c>
      <c r="I172">
        <v>143</v>
      </c>
      <c r="L172">
        <v>9</v>
      </c>
      <c r="M172">
        <v>17</v>
      </c>
      <c r="N172">
        <v>18</v>
      </c>
      <c r="O172">
        <v>17</v>
      </c>
      <c r="P172" s="12">
        <f t="shared" si="4"/>
        <v>17.333333333333332</v>
      </c>
      <c r="Q172">
        <v>325</v>
      </c>
      <c r="R172">
        <v>295</v>
      </c>
      <c r="S172">
        <v>320</v>
      </c>
      <c r="T172" s="21">
        <f t="shared" si="5"/>
        <v>313.33333333333331</v>
      </c>
    </row>
    <row r="173" spans="1:20" customFormat="1" x14ac:dyDescent="0.25">
      <c r="A173" t="s">
        <v>34</v>
      </c>
      <c r="D173" t="s">
        <v>41</v>
      </c>
      <c r="E173">
        <v>2008</v>
      </c>
      <c r="F173">
        <v>3</v>
      </c>
      <c r="G173">
        <v>4</v>
      </c>
      <c r="H173">
        <v>11</v>
      </c>
      <c r="I173">
        <v>159</v>
      </c>
      <c r="L173">
        <v>9</v>
      </c>
      <c r="M173">
        <v>14</v>
      </c>
      <c r="N173">
        <v>17</v>
      </c>
      <c r="O173">
        <v>16</v>
      </c>
      <c r="P173" s="12">
        <f t="shared" si="4"/>
        <v>15.666666666666666</v>
      </c>
      <c r="Q173">
        <v>315</v>
      </c>
      <c r="R173">
        <v>295</v>
      </c>
      <c r="S173">
        <v>300</v>
      </c>
      <c r="T173" s="21">
        <f t="shared" si="5"/>
        <v>303.33333333333331</v>
      </c>
    </row>
    <row r="174" spans="1:20" customFormat="1" x14ac:dyDescent="0.25">
      <c r="A174" t="s">
        <v>34</v>
      </c>
      <c r="D174" t="s">
        <v>38</v>
      </c>
      <c r="E174">
        <v>1999</v>
      </c>
      <c r="F174">
        <v>3</v>
      </c>
      <c r="G174">
        <v>1</v>
      </c>
      <c r="H174">
        <v>12</v>
      </c>
      <c r="I174">
        <v>112</v>
      </c>
      <c r="L174">
        <v>9</v>
      </c>
      <c r="M174">
        <v>15</v>
      </c>
      <c r="N174">
        <v>15</v>
      </c>
      <c r="O174">
        <v>18</v>
      </c>
      <c r="P174" s="12">
        <f t="shared" si="4"/>
        <v>16</v>
      </c>
      <c r="Q174">
        <v>330</v>
      </c>
      <c r="R174">
        <v>410</v>
      </c>
      <c r="S174">
        <v>375</v>
      </c>
      <c r="T174" s="21">
        <f t="shared" si="5"/>
        <v>371.66666666666669</v>
      </c>
    </row>
    <row r="175" spans="1:20" customFormat="1" x14ac:dyDescent="0.25">
      <c r="A175" t="s">
        <v>34</v>
      </c>
      <c r="D175" t="s">
        <v>36</v>
      </c>
      <c r="E175">
        <v>1984</v>
      </c>
      <c r="F175">
        <v>3</v>
      </c>
      <c r="G175">
        <v>2</v>
      </c>
      <c r="H175">
        <v>12</v>
      </c>
      <c r="I175">
        <v>128</v>
      </c>
      <c r="L175">
        <v>9</v>
      </c>
      <c r="M175">
        <v>16</v>
      </c>
      <c r="N175">
        <v>15</v>
      </c>
      <c r="O175">
        <v>15</v>
      </c>
      <c r="P175" s="12">
        <f t="shared" si="4"/>
        <v>15.333333333333334</v>
      </c>
      <c r="Q175">
        <v>340</v>
      </c>
      <c r="R175">
        <v>315</v>
      </c>
      <c r="S175">
        <v>300</v>
      </c>
      <c r="T175" s="21">
        <f t="shared" si="5"/>
        <v>318.33333333333331</v>
      </c>
    </row>
    <row r="176" spans="1:20" customFormat="1" x14ac:dyDescent="0.25">
      <c r="A176" t="s">
        <v>34</v>
      </c>
      <c r="D176" t="s">
        <v>318</v>
      </c>
      <c r="E176">
        <v>2004</v>
      </c>
      <c r="F176">
        <v>3</v>
      </c>
      <c r="G176">
        <v>3</v>
      </c>
      <c r="H176">
        <v>12</v>
      </c>
      <c r="I176">
        <v>144</v>
      </c>
      <c r="L176">
        <v>9</v>
      </c>
      <c r="M176">
        <v>17</v>
      </c>
      <c r="N176">
        <v>16</v>
      </c>
      <c r="O176">
        <v>16</v>
      </c>
      <c r="P176" s="12">
        <f t="shared" si="4"/>
        <v>16.333333333333332</v>
      </c>
      <c r="Q176">
        <v>330</v>
      </c>
      <c r="R176">
        <v>335</v>
      </c>
      <c r="S176">
        <v>340</v>
      </c>
      <c r="T176" s="21">
        <f t="shared" si="5"/>
        <v>335</v>
      </c>
    </row>
    <row r="177" spans="1:20" customFormat="1" x14ac:dyDescent="0.25">
      <c r="A177" t="s">
        <v>34</v>
      </c>
      <c r="D177" t="s">
        <v>37</v>
      </c>
      <c r="E177">
        <v>1989</v>
      </c>
      <c r="F177">
        <v>3</v>
      </c>
      <c r="G177">
        <v>4</v>
      </c>
      <c r="H177">
        <v>12</v>
      </c>
      <c r="I177">
        <v>160</v>
      </c>
      <c r="L177">
        <v>9</v>
      </c>
      <c r="M177">
        <v>15</v>
      </c>
      <c r="N177">
        <v>13</v>
      </c>
      <c r="P177" s="12">
        <f t="shared" si="4"/>
        <v>14</v>
      </c>
      <c r="Q177">
        <v>335</v>
      </c>
      <c r="R177">
        <v>340</v>
      </c>
      <c r="T177" s="21">
        <f t="shared" si="5"/>
        <v>337.5</v>
      </c>
    </row>
    <row r="178" spans="1:20" customFormat="1" x14ac:dyDescent="0.25">
      <c r="A178" t="s">
        <v>24</v>
      </c>
      <c r="D178" t="s">
        <v>32</v>
      </c>
      <c r="E178">
        <v>2018</v>
      </c>
      <c r="F178">
        <v>4</v>
      </c>
      <c r="G178">
        <v>1</v>
      </c>
      <c r="H178">
        <v>13</v>
      </c>
      <c r="I178">
        <v>113</v>
      </c>
      <c r="L178">
        <v>9</v>
      </c>
      <c r="M178">
        <v>16</v>
      </c>
      <c r="N178">
        <v>14</v>
      </c>
      <c r="P178" s="12">
        <f t="shared" si="4"/>
        <v>15</v>
      </c>
      <c r="Q178">
        <v>320</v>
      </c>
      <c r="R178">
        <v>350</v>
      </c>
      <c r="T178" s="21">
        <f t="shared" si="5"/>
        <v>335</v>
      </c>
    </row>
    <row r="179" spans="1:20" customFormat="1" x14ac:dyDescent="0.25">
      <c r="A179" t="s">
        <v>24</v>
      </c>
      <c r="D179" t="s">
        <v>26</v>
      </c>
      <c r="E179">
        <v>1983</v>
      </c>
      <c r="F179">
        <v>4</v>
      </c>
      <c r="G179">
        <v>2</v>
      </c>
      <c r="H179">
        <v>13</v>
      </c>
      <c r="I179">
        <v>129</v>
      </c>
      <c r="L179">
        <v>9</v>
      </c>
      <c r="M179">
        <v>14</v>
      </c>
      <c r="N179">
        <v>13</v>
      </c>
      <c r="O179">
        <v>15</v>
      </c>
      <c r="P179" s="12">
        <f t="shared" si="4"/>
        <v>14</v>
      </c>
      <c r="Q179">
        <v>280</v>
      </c>
      <c r="R179">
        <v>285</v>
      </c>
      <c r="S179">
        <v>230</v>
      </c>
      <c r="T179" s="21">
        <f t="shared" si="5"/>
        <v>265</v>
      </c>
    </row>
    <row r="180" spans="1:20" customFormat="1" x14ac:dyDescent="0.25">
      <c r="A180" t="s">
        <v>24</v>
      </c>
      <c r="D180" t="s">
        <v>311</v>
      </c>
      <c r="E180">
        <v>2023</v>
      </c>
      <c r="F180">
        <v>4</v>
      </c>
      <c r="G180">
        <v>3</v>
      </c>
      <c r="H180">
        <v>13</v>
      </c>
      <c r="I180">
        <v>145</v>
      </c>
      <c r="L180">
        <v>9</v>
      </c>
      <c r="M180">
        <v>13</v>
      </c>
      <c r="N180">
        <v>14</v>
      </c>
      <c r="O180">
        <v>14</v>
      </c>
      <c r="P180" s="12">
        <f t="shared" si="4"/>
        <v>13.666666666666666</v>
      </c>
      <c r="Q180">
        <v>285</v>
      </c>
      <c r="R180">
        <v>290</v>
      </c>
      <c r="S180">
        <v>305</v>
      </c>
      <c r="T180" s="21">
        <f t="shared" si="5"/>
        <v>293.33333333333331</v>
      </c>
    </row>
    <row r="181" spans="1:20" customFormat="1" x14ac:dyDescent="0.25">
      <c r="A181" t="s">
        <v>24</v>
      </c>
      <c r="D181" t="s">
        <v>28</v>
      </c>
      <c r="E181">
        <v>1998</v>
      </c>
      <c r="F181">
        <v>4</v>
      </c>
      <c r="G181">
        <v>4</v>
      </c>
      <c r="H181">
        <v>13</v>
      </c>
      <c r="I181">
        <v>161</v>
      </c>
      <c r="L181">
        <v>9</v>
      </c>
      <c r="M181">
        <v>13</v>
      </c>
      <c r="N181">
        <v>16</v>
      </c>
      <c r="O181">
        <v>15</v>
      </c>
      <c r="P181" s="12">
        <f t="shared" si="4"/>
        <v>14.666666666666666</v>
      </c>
      <c r="Q181">
        <v>220</v>
      </c>
      <c r="R181">
        <v>295</v>
      </c>
      <c r="S181">
        <v>305</v>
      </c>
      <c r="T181" s="21">
        <f t="shared" si="5"/>
        <v>273.33333333333331</v>
      </c>
    </row>
    <row r="182" spans="1:20" customFormat="1" x14ac:dyDescent="0.25">
      <c r="A182" t="s">
        <v>24</v>
      </c>
      <c r="D182" t="s">
        <v>27</v>
      </c>
      <c r="E182">
        <v>1985</v>
      </c>
      <c r="F182">
        <v>4</v>
      </c>
      <c r="G182">
        <v>1</v>
      </c>
      <c r="H182">
        <v>14</v>
      </c>
      <c r="I182">
        <v>114</v>
      </c>
      <c r="L182">
        <v>9</v>
      </c>
      <c r="M182">
        <v>15</v>
      </c>
      <c r="N182">
        <v>16</v>
      </c>
      <c r="P182" s="12">
        <f t="shared" si="4"/>
        <v>15.5</v>
      </c>
      <c r="Q182">
        <v>300</v>
      </c>
      <c r="R182">
        <v>320</v>
      </c>
      <c r="T182" s="21">
        <f t="shared" si="5"/>
        <v>310</v>
      </c>
    </row>
    <row r="183" spans="1:20" customFormat="1" x14ac:dyDescent="0.25">
      <c r="A183" t="s">
        <v>24</v>
      </c>
      <c r="D183" t="s">
        <v>29</v>
      </c>
      <c r="E183">
        <v>1999</v>
      </c>
      <c r="F183">
        <v>4</v>
      </c>
      <c r="G183">
        <v>2</v>
      </c>
      <c r="H183">
        <v>14</v>
      </c>
      <c r="I183">
        <v>130</v>
      </c>
      <c r="L183">
        <v>9</v>
      </c>
      <c r="M183">
        <v>14</v>
      </c>
      <c r="N183">
        <v>11</v>
      </c>
      <c r="O183">
        <v>14</v>
      </c>
      <c r="P183" s="12">
        <f t="shared" si="4"/>
        <v>13</v>
      </c>
      <c r="Q183">
        <v>320</v>
      </c>
      <c r="R183">
        <v>320</v>
      </c>
      <c r="S183">
        <v>320</v>
      </c>
      <c r="T183" s="21">
        <f t="shared" si="5"/>
        <v>320</v>
      </c>
    </row>
    <row r="184" spans="1:20" customFormat="1" x14ac:dyDescent="0.25">
      <c r="A184" t="s">
        <v>24</v>
      </c>
      <c r="D184" t="s">
        <v>312</v>
      </c>
      <c r="E184">
        <v>2002</v>
      </c>
      <c r="F184">
        <v>4</v>
      </c>
      <c r="G184">
        <v>3</v>
      </c>
      <c r="H184">
        <v>14</v>
      </c>
      <c r="I184">
        <v>146</v>
      </c>
      <c r="L184">
        <v>9</v>
      </c>
      <c r="M184">
        <v>15</v>
      </c>
      <c r="N184">
        <v>16</v>
      </c>
      <c r="O184">
        <v>14</v>
      </c>
      <c r="P184" s="12">
        <f t="shared" si="4"/>
        <v>15</v>
      </c>
      <c r="Q184">
        <v>350</v>
      </c>
      <c r="R184">
        <v>365</v>
      </c>
      <c r="S184">
        <v>340</v>
      </c>
      <c r="T184" s="21">
        <f t="shared" si="5"/>
        <v>351.66666666666669</v>
      </c>
    </row>
    <row r="185" spans="1:20" customFormat="1" x14ac:dyDescent="0.25">
      <c r="A185" t="s">
        <v>24</v>
      </c>
      <c r="D185" t="s">
        <v>313</v>
      </c>
      <c r="E185">
        <v>2016</v>
      </c>
      <c r="F185">
        <v>4</v>
      </c>
      <c r="G185">
        <v>4</v>
      </c>
      <c r="H185">
        <v>14</v>
      </c>
      <c r="I185">
        <v>162</v>
      </c>
      <c r="L185">
        <v>9</v>
      </c>
      <c r="M185">
        <v>16</v>
      </c>
      <c r="N185">
        <v>15</v>
      </c>
      <c r="O185">
        <v>15</v>
      </c>
      <c r="P185" s="12">
        <f t="shared" si="4"/>
        <v>15.333333333333334</v>
      </c>
      <c r="Q185">
        <v>320</v>
      </c>
      <c r="R185">
        <v>310</v>
      </c>
      <c r="S185">
        <v>305</v>
      </c>
      <c r="T185" s="21">
        <f t="shared" si="5"/>
        <v>311.66666666666669</v>
      </c>
    </row>
    <row r="186" spans="1:20" customFormat="1" x14ac:dyDescent="0.25">
      <c r="A186" t="s">
        <v>34</v>
      </c>
      <c r="D186" t="s">
        <v>36</v>
      </c>
      <c r="E186">
        <v>1984</v>
      </c>
      <c r="F186">
        <v>4</v>
      </c>
      <c r="G186">
        <v>1</v>
      </c>
      <c r="H186">
        <v>15</v>
      </c>
      <c r="I186">
        <v>115</v>
      </c>
      <c r="L186">
        <v>9</v>
      </c>
      <c r="M186">
        <v>15</v>
      </c>
      <c r="N186">
        <v>13</v>
      </c>
      <c r="O186">
        <v>17</v>
      </c>
      <c r="P186" s="12">
        <f t="shared" si="4"/>
        <v>15</v>
      </c>
      <c r="Q186">
        <v>305</v>
      </c>
      <c r="R186">
        <v>310</v>
      </c>
      <c r="S186">
        <v>350</v>
      </c>
      <c r="T186" s="21">
        <f t="shared" si="5"/>
        <v>321.66666666666669</v>
      </c>
    </row>
    <row r="187" spans="1:20" customFormat="1" x14ac:dyDescent="0.25">
      <c r="A187" t="s">
        <v>34</v>
      </c>
      <c r="D187" t="s">
        <v>38</v>
      </c>
      <c r="E187">
        <v>1999</v>
      </c>
      <c r="F187">
        <v>4</v>
      </c>
      <c r="G187">
        <v>2</v>
      </c>
      <c r="H187">
        <v>15</v>
      </c>
      <c r="I187">
        <v>131</v>
      </c>
      <c r="L187">
        <v>9</v>
      </c>
      <c r="M187">
        <v>16</v>
      </c>
      <c r="N187">
        <v>15</v>
      </c>
      <c r="O187">
        <v>15</v>
      </c>
      <c r="P187" s="12">
        <f t="shared" si="4"/>
        <v>15.333333333333334</v>
      </c>
      <c r="Q187">
        <v>355</v>
      </c>
      <c r="R187">
        <v>370</v>
      </c>
      <c r="S187">
        <v>325</v>
      </c>
      <c r="T187" s="21">
        <f t="shared" si="5"/>
        <v>350</v>
      </c>
    </row>
    <row r="188" spans="1:20" customFormat="1" x14ac:dyDescent="0.25">
      <c r="A188" t="s">
        <v>34</v>
      </c>
      <c r="D188" t="s">
        <v>37</v>
      </c>
      <c r="E188">
        <v>1989</v>
      </c>
      <c r="F188">
        <v>4</v>
      </c>
      <c r="G188">
        <v>3</v>
      </c>
      <c r="H188">
        <v>15</v>
      </c>
      <c r="I188">
        <v>147</v>
      </c>
      <c r="L188">
        <v>9</v>
      </c>
      <c r="M188">
        <v>15</v>
      </c>
      <c r="N188">
        <v>14</v>
      </c>
      <c r="O188">
        <v>15</v>
      </c>
      <c r="P188" s="12">
        <f t="shared" si="4"/>
        <v>14.666666666666666</v>
      </c>
      <c r="Q188">
        <v>300</v>
      </c>
      <c r="R188">
        <v>315</v>
      </c>
      <c r="S188">
        <v>320</v>
      </c>
      <c r="T188" s="21">
        <f t="shared" si="5"/>
        <v>311.66666666666669</v>
      </c>
    </row>
    <row r="189" spans="1:20" customFormat="1" x14ac:dyDescent="0.25">
      <c r="A189" t="s">
        <v>34</v>
      </c>
      <c r="D189" t="s">
        <v>318</v>
      </c>
      <c r="E189">
        <v>2004</v>
      </c>
      <c r="F189">
        <v>4</v>
      </c>
      <c r="G189">
        <v>4</v>
      </c>
      <c r="H189">
        <v>15</v>
      </c>
      <c r="I189">
        <v>163</v>
      </c>
      <c r="L189">
        <v>9</v>
      </c>
      <c r="M189">
        <v>17</v>
      </c>
      <c r="N189">
        <v>18</v>
      </c>
      <c r="P189" s="12">
        <f t="shared" si="4"/>
        <v>17.5</v>
      </c>
      <c r="Q189">
        <v>350</v>
      </c>
      <c r="R189">
        <v>350</v>
      </c>
      <c r="T189" s="21">
        <f t="shared" si="5"/>
        <v>350</v>
      </c>
    </row>
    <row r="190" spans="1:20" customFormat="1" x14ac:dyDescent="0.25">
      <c r="A190" t="s">
        <v>34</v>
      </c>
      <c r="D190" t="s">
        <v>43</v>
      </c>
      <c r="E190">
        <v>2020</v>
      </c>
      <c r="F190">
        <v>4</v>
      </c>
      <c r="G190">
        <v>1</v>
      </c>
      <c r="H190">
        <v>16</v>
      </c>
      <c r="I190">
        <v>116</v>
      </c>
      <c r="L190">
        <v>9</v>
      </c>
      <c r="M190">
        <v>15</v>
      </c>
      <c r="N190">
        <v>18</v>
      </c>
      <c r="O190">
        <v>16</v>
      </c>
      <c r="P190" s="12">
        <f t="shared" si="4"/>
        <v>16.333333333333332</v>
      </c>
      <c r="Q190">
        <v>340</v>
      </c>
      <c r="R190">
        <v>340</v>
      </c>
      <c r="S190">
        <v>320</v>
      </c>
      <c r="T190" s="21">
        <f t="shared" si="5"/>
        <v>333.33333333333331</v>
      </c>
    </row>
    <row r="191" spans="1:20" customFormat="1" x14ac:dyDescent="0.25">
      <c r="A191" t="s">
        <v>34</v>
      </c>
      <c r="D191" t="s">
        <v>41</v>
      </c>
      <c r="E191">
        <v>2008</v>
      </c>
      <c r="F191">
        <v>4</v>
      </c>
      <c r="G191">
        <v>2</v>
      </c>
      <c r="H191">
        <v>16</v>
      </c>
      <c r="I191">
        <v>132</v>
      </c>
      <c r="L191">
        <v>9</v>
      </c>
      <c r="M191">
        <v>15</v>
      </c>
      <c r="N191">
        <v>14</v>
      </c>
      <c r="O191">
        <v>15</v>
      </c>
      <c r="P191" s="12">
        <f t="shared" si="4"/>
        <v>14.666666666666666</v>
      </c>
      <c r="Q191">
        <v>310</v>
      </c>
      <c r="R191">
        <v>280</v>
      </c>
      <c r="S191">
        <v>310</v>
      </c>
      <c r="T191" s="21">
        <f t="shared" si="5"/>
        <v>300</v>
      </c>
    </row>
    <row r="192" spans="1:20" customFormat="1" x14ac:dyDescent="0.25">
      <c r="A192" t="s">
        <v>34</v>
      </c>
      <c r="D192" t="s">
        <v>42</v>
      </c>
      <c r="E192">
        <v>2016</v>
      </c>
      <c r="F192">
        <v>4</v>
      </c>
      <c r="G192">
        <v>3</v>
      </c>
      <c r="H192">
        <v>16</v>
      </c>
      <c r="I192">
        <v>148</v>
      </c>
      <c r="L192">
        <v>9</v>
      </c>
      <c r="M192">
        <v>16</v>
      </c>
      <c r="N192">
        <v>17</v>
      </c>
      <c r="O192">
        <v>17</v>
      </c>
      <c r="P192" s="12">
        <f t="shared" si="4"/>
        <v>16.666666666666668</v>
      </c>
      <c r="Q192">
        <v>290</v>
      </c>
      <c r="R192">
        <v>295</v>
      </c>
      <c r="S192">
        <v>290</v>
      </c>
      <c r="T192" s="21">
        <f t="shared" si="5"/>
        <v>291.66666666666669</v>
      </c>
    </row>
    <row r="193" spans="1:28" x14ac:dyDescent="0.25">
      <c r="A193" t="s">
        <v>34</v>
      </c>
      <c r="D193" t="s">
        <v>39</v>
      </c>
      <c r="E193">
        <v>2001</v>
      </c>
      <c r="F193">
        <v>4</v>
      </c>
      <c r="G193">
        <v>4</v>
      </c>
      <c r="H193">
        <v>16</v>
      </c>
      <c r="I193">
        <v>164</v>
      </c>
      <c r="L193">
        <v>9</v>
      </c>
      <c r="M193">
        <v>17</v>
      </c>
      <c r="N193">
        <v>13</v>
      </c>
      <c r="P193" s="12">
        <f t="shared" si="4"/>
        <v>15</v>
      </c>
      <c r="Q193">
        <v>280</v>
      </c>
      <c r="R193">
        <v>270</v>
      </c>
      <c r="T193" s="21">
        <f t="shared" si="5"/>
        <v>275</v>
      </c>
      <c r="U193" s="86"/>
      <c r="V193"/>
      <c r="W193"/>
      <c r="X193"/>
      <c r="Y193"/>
      <c r="Z193"/>
      <c r="AA193"/>
      <c r="AB193"/>
    </row>
    <row r="194" spans="1:28" x14ac:dyDescent="0.25">
      <c r="A194" t="s">
        <v>24</v>
      </c>
      <c r="D194" t="s">
        <v>28</v>
      </c>
      <c r="E194">
        <v>1998</v>
      </c>
      <c r="F194">
        <v>1</v>
      </c>
      <c r="G194">
        <v>1</v>
      </c>
      <c r="H194">
        <v>1</v>
      </c>
      <c r="I194">
        <v>101</v>
      </c>
      <c r="L194" t="s">
        <v>690</v>
      </c>
      <c r="M194">
        <v>18</v>
      </c>
      <c r="N194">
        <v>16</v>
      </c>
      <c r="O194">
        <v>18</v>
      </c>
      <c r="P194" s="12">
        <f t="shared" si="4"/>
        <v>17.333333333333332</v>
      </c>
      <c r="Q194">
        <v>215</v>
      </c>
      <c r="R194">
        <v>210</v>
      </c>
      <c r="S194">
        <v>235</v>
      </c>
      <c r="T194" s="21">
        <f t="shared" si="5"/>
        <v>220</v>
      </c>
      <c r="U194" s="86"/>
      <c r="V194"/>
      <c r="W194"/>
      <c r="X194"/>
      <c r="Y194"/>
      <c r="Z194"/>
      <c r="AA194"/>
      <c r="AB194"/>
    </row>
    <row r="195" spans="1:28" x14ac:dyDescent="0.25">
      <c r="A195" t="s">
        <v>24</v>
      </c>
      <c r="D195" t="s">
        <v>313</v>
      </c>
      <c r="E195">
        <v>2016</v>
      </c>
      <c r="F195">
        <v>1</v>
      </c>
      <c r="G195">
        <v>2</v>
      </c>
      <c r="H195">
        <v>1</v>
      </c>
      <c r="I195">
        <v>117</v>
      </c>
      <c r="L195" t="s">
        <v>690</v>
      </c>
      <c r="M195">
        <v>19</v>
      </c>
      <c r="N195">
        <v>20</v>
      </c>
      <c r="O195">
        <v>20</v>
      </c>
      <c r="P195" s="12">
        <f t="shared" ref="P195:P257" si="6">AVERAGE(M195:O195)</f>
        <v>19.666666666666668</v>
      </c>
      <c r="Q195">
        <v>255</v>
      </c>
      <c r="R195">
        <v>275</v>
      </c>
      <c r="S195">
        <v>260</v>
      </c>
      <c r="T195" s="21">
        <f t="shared" ref="T195:T257" si="7">AVERAGE(Q195:S195)</f>
        <v>263.33333333333331</v>
      </c>
      <c r="U195"/>
      <c r="V195"/>
      <c r="W195"/>
      <c r="X195"/>
      <c r="Y195"/>
      <c r="Z195"/>
      <c r="AA195"/>
      <c r="AB195"/>
    </row>
    <row r="196" spans="1:28" x14ac:dyDescent="0.25">
      <c r="A196" t="s">
        <v>24</v>
      </c>
      <c r="D196" t="s">
        <v>26</v>
      </c>
      <c r="E196">
        <v>1983</v>
      </c>
      <c r="F196">
        <v>1</v>
      </c>
      <c r="G196">
        <v>3</v>
      </c>
      <c r="H196">
        <v>1</v>
      </c>
      <c r="I196">
        <v>133</v>
      </c>
      <c r="L196" t="s">
        <v>690</v>
      </c>
      <c r="M196">
        <v>18</v>
      </c>
      <c r="N196">
        <v>14</v>
      </c>
      <c r="O196">
        <v>16</v>
      </c>
      <c r="P196" s="12">
        <f t="shared" si="6"/>
        <v>16</v>
      </c>
      <c r="Q196">
        <v>200</v>
      </c>
      <c r="R196">
        <v>175</v>
      </c>
      <c r="S196">
        <v>190</v>
      </c>
      <c r="T196" s="21">
        <f t="shared" si="7"/>
        <v>188.33333333333334</v>
      </c>
      <c r="U196"/>
      <c r="V196"/>
      <c r="W196"/>
      <c r="X196"/>
      <c r="Y196"/>
      <c r="Z196"/>
      <c r="AA196"/>
      <c r="AB196"/>
    </row>
    <row r="197" spans="1:28" x14ac:dyDescent="0.25">
      <c r="A197" t="s">
        <v>24</v>
      </c>
      <c r="D197" t="s">
        <v>29</v>
      </c>
      <c r="E197">
        <v>1999</v>
      </c>
      <c r="F197">
        <v>1</v>
      </c>
      <c r="G197">
        <v>4</v>
      </c>
      <c r="H197">
        <v>1</v>
      </c>
      <c r="I197">
        <v>149</v>
      </c>
      <c r="L197" t="s">
        <v>690</v>
      </c>
      <c r="M197">
        <v>17</v>
      </c>
      <c r="N197">
        <v>15</v>
      </c>
      <c r="O197">
        <v>14</v>
      </c>
      <c r="P197" s="12">
        <f t="shared" si="6"/>
        <v>15.333333333333334</v>
      </c>
      <c r="Q197">
        <v>220</v>
      </c>
      <c r="R197">
        <v>300</v>
      </c>
      <c r="S197">
        <v>195</v>
      </c>
      <c r="T197" s="21">
        <f t="shared" si="7"/>
        <v>238.33333333333334</v>
      </c>
      <c r="U197"/>
      <c r="V197"/>
      <c r="W197"/>
      <c r="X197"/>
      <c r="Y197"/>
      <c r="Z197"/>
      <c r="AA197"/>
      <c r="AB197"/>
    </row>
    <row r="198" spans="1:28" x14ac:dyDescent="0.25">
      <c r="A198" t="s">
        <v>24</v>
      </c>
      <c r="D198" t="s">
        <v>312</v>
      </c>
      <c r="E198">
        <v>2002</v>
      </c>
      <c r="F198">
        <v>1</v>
      </c>
      <c r="G198">
        <v>1</v>
      </c>
      <c r="H198">
        <v>2</v>
      </c>
      <c r="I198">
        <v>102</v>
      </c>
      <c r="L198" t="s">
        <v>690</v>
      </c>
      <c r="M198">
        <v>18</v>
      </c>
      <c r="N198">
        <v>17</v>
      </c>
      <c r="O198">
        <v>17</v>
      </c>
      <c r="P198" s="12">
        <f t="shared" si="6"/>
        <v>17.333333333333332</v>
      </c>
      <c r="Q198">
        <v>250</v>
      </c>
      <c r="R198">
        <v>275</v>
      </c>
      <c r="S198">
        <v>280</v>
      </c>
      <c r="T198" s="21">
        <f t="shared" si="7"/>
        <v>268.33333333333331</v>
      </c>
      <c r="U198"/>
      <c r="V198"/>
      <c r="W198"/>
      <c r="X198"/>
      <c r="Y198"/>
      <c r="Z198"/>
      <c r="AA198"/>
      <c r="AB198"/>
    </row>
    <row r="199" spans="1:28" x14ac:dyDescent="0.25">
      <c r="A199" t="s">
        <v>24</v>
      </c>
      <c r="D199" t="s">
        <v>311</v>
      </c>
      <c r="E199">
        <v>2023</v>
      </c>
      <c r="F199">
        <v>1</v>
      </c>
      <c r="G199">
        <v>2</v>
      </c>
      <c r="H199">
        <v>2</v>
      </c>
      <c r="I199">
        <v>118</v>
      </c>
      <c r="L199" t="s">
        <v>690</v>
      </c>
      <c r="M199">
        <v>15</v>
      </c>
      <c r="N199">
        <v>17</v>
      </c>
      <c r="O199">
        <v>15</v>
      </c>
      <c r="P199" s="12">
        <f t="shared" si="6"/>
        <v>15.666666666666666</v>
      </c>
      <c r="Q199">
        <v>205</v>
      </c>
      <c r="R199">
        <v>230</v>
      </c>
      <c r="S199">
        <v>250</v>
      </c>
      <c r="T199" s="21">
        <f t="shared" si="7"/>
        <v>228.33333333333334</v>
      </c>
      <c r="U199"/>
      <c r="V199"/>
      <c r="W199"/>
      <c r="X199"/>
      <c r="Y199"/>
      <c r="Z199"/>
      <c r="AA199"/>
      <c r="AB199"/>
    </row>
    <row r="200" spans="1:28" x14ac:dyDescent="0.25">
      <c r="A200" t="s">
        <v>24</v>
      </c>
      <c r="D200" t="s">
        <v>27</v>
      </c>
      <c r="E200">
        <v>1985</v>
      </c>
      <c r="F200">
        <v>1</v>
      </c>
      <c r="G200">
        <v>3</v>
      </c>
      <c r="H200">
        <v>2</v>
      </c>
      <c r="I200">
        <v>134</v>
      </c>
      <c r="L200" t="s">
        <v>690</v>
      </c>
      <c r="M200">
        <v>13</v>
      </c>
      <c r="N200">
        <v>20</v>
      </c>
      <c r="O200">
        <v>19</v>
      </c>
      <c r="P200" s="12">
        <f t="shared" si="6"/>
        <v>17.333333333333332</v>
      </c>
      <c r="Q200">
        <v>245</v>
      </c>
      <c r="R200">
        <v>265</v>
      </c>
      <c r="S200">
        <v>315</v>
      </c>
      <c r="T200" s="21">
        <f t="shared" si="7"/>
        <v>275</v>
      </c>
      <c r="U200"/>
      <c r="V200"/>
      <c r="W200"/>
      <c r="X200"/>
      <c r="Y200"/>
      <c r="Z200"/>
      <c r="AA200"/>
      <c r="AB200"/>
    </row>
    <row r="201" spans="1:28" x14ac:dyDescent="0.25">
      <c r="A201" t="s">
        <v>24</v>
      </c>
      <c r="D201" t="s">
        <v>32</v>
      </c>
      <c r="E201">
        <v>2018</v>
      </c>
      <c r="F201">
        <v>1</v>
      </c>
      <c r="G201">
        <v>4</v>
      </c>
      <c r="H201">
        <v>2</v>
      </c>
      <c r="I201">
        <v>150</v>
      </c>
      <c r="L201" t="s">
        <v>690</v>
      </c>
      <c r="M201">
        <v>16</v>
      </c>
      <c r="N201">
        <v>20</v>
      </c>
      <c r="O201">
        <v>19</v>
      </c>
      <c r="P201" s="12">
        <f t="shared" si="6"/>
        <v>18.333333333333332</v>
      </c>
      <c r="Q201">
        <v>225</v>
      </c>
      <c r="R201">
        <v>270</v>
      </c>
      <c r="S201">
        <v>220</v>
      </c>
      <c r="T201" s="21">
        <f t="shared" si="7"/>
        <v>238.33333333333334</v>
      </c>
      <c r="U201"/>
      <c r="V201"/>
      <c r="W201"/>
      <c r="X201"/>
      <c r="Y201"/>
      <c r="Z201"/>
      <c r="AA201"/>
      <c r="AB201"/>
    </row>
    <row r="202" spans="1:28" x14ac:dyDescent="0.25">
      <c r="A202" t="s">
        <v>34</v>
      </c>
      <c r="D202" t="s">
        <v>39</v>
      </c>
      <c r="E202">
        <v>2001</v>
      </c>
      <c r="F202">
        <v>1</v>
      </c>
      <c r="G202">
        <v>1</v>
      </c>
      <c r="H202">
        <v>3</v>
      </c>
      <c r="I202">
        <v>103</v>
      </c>
      <c r="L202" t="s">
        <v>690</v>
      </c>
      <c r="M202">
        <v>14</v>
      </c>
      <c r="N202">
        <v>16</v>
      </c>
      <c r="O202">
        <v>16</v>
      </c>
      <c r="P202" s="12">
        <f t="shared" si="6"/>
        <v>15.333333333333334</v>
      </c>
      <c r="Q202">
        <v>255</v>
      </c>
      <c r="R202">
        <v>235</v>
      </c>
      <c r="S202">
        <v>260</v>
      </c>
      <c r="T202" s="21">
        <f t="shared" si="7"/>
        <v>250</v>
      </c>
      <c r="U202"/>
      <c r="V202"/>
      <c r="W202"/>
      <c r="X202"/>
      <c r="Y202"/>
      <c r="Z202"/>
      <c r="AA202"/>
      <c r="AB202"/>
    </row>
    <row r="203" spans="1:28" x14ac:dyDescent="0.25">
      <c r="A203" t="s">
        <v>34</v>
      </c>
      <c r="D203" t="s">
        <v>318</v>
      </c>
      <c r="E203">
        <v>2004</v>
      </c>
      <c r="F203">
        <v>1</v>
      </c>
      <c r="G203">
        <v>2</v>
      </c>
      <c r="H203">
        <v>3</v>
      </c>
      <c r="I203">
        <v>119</v>
      </c>
      <c r="L203" t="s">
        <v>690</v>
      </c>
      <c r="M203">
        <v>19</v>
      </c>
      <c r="N203">
        <v>17</v>
      </c>
      <c r="O203">
        <v>17</v>
      </c>
      <c r="P203" s="12">
        <f t="shared" si="6"/>
        <v>17.666666666666668</v>
      </c>
      <c r="Q203">
        <v>290</v>
      </c>
      <c r="R203">
        <v>275</v>
      </c>
      <c r="S203">
        <v>275</v>
      </c>
      <c r="T203" s="21">
        <f t="shared" si="7"/>
        <v>280</v>
      </c>
      <c r="U203"/>
      <c r="V203"/>
      <c r="W203"/>
      <c r="X203"/>
      <c r="Y203"/>
      <c r="Z203"/>
      <c r="AA203"/>
      <c r="AB203"/>
    </row>
    <row r="204" spans="1:28" x14ac:dyDescent="0.25">
      <c r="A204" t="s">
        <v>34</v>
      </c>
      <c r="D204" t="s">
        <v>41</v>
      </c>
      <c r="E204">
        <v>2008</v>
      </c>
      <c r="F204">
        <v>1</v>
      </c>
      <c r="G204">
        <v>3</v>
      </c>
      <c r="H204">
        <v>3</v>
      </c>
      <c r="I204">
        <v>135</v>
      </c>
      <c r="L204" t="s">
        <v>690</v>
      </c>
      <c r="M204">
        <v>17</v>
      </c>
      <c r="N204">
        <v>13</v>
      </c>
      <c r="O204">
        <v>16</v>
      </c>
      <c r="P204" s="12">
        <f t="shared" si="6"/>
        <v>15.333333333333334</v>
      </c>
      <c r="Q204">
        <v>225</v>
      </c>
      <c r="R204">
        <v>210</v>
      </c>
      <c r="S204">
        <v>205</v>
      </c>
      <c r="T204" s="21">
        <f t="shared" si="7"/>
        <v>213.33333333333334</v>
      </c>
      <c r="U204"/>
      <c r="V204"/>
      <c r="W204"/>
      <c r="X204"/>
      <c r="Y204"/>
      <c r="Z204"/>
      <c r="AA204"/>
      <c r="AB204"/>
    </row>
    <row r="205" spans="1:28" x14ac:dyDescent="0.25">
      <c r="A205" t="s">
        <v>34</v>
      </c>
      <c r="D205" t="s">
        <v>38</v>
      </c>
      <c r="E205">
        <v>1999</v>
      </c>
      <c r="F205">
        <v>1</v>
      </c>
      <c r="G205">
        <v>4</v>
      </c>
      <c r="H205">
        <v>3</v>
      </c>
      <c r="I205">
        <v>151</v>
      </c>
      <c r="L205" t="s">
        <v>690</v>
      </c>
      <c r="M205">
        <v>19</v>
      </c>
      <c r="N205">
        <v>18</v>
      </c>
      <c r="O205">
        <v>18</v>
      </c>
      <c r="P205" s="12">
        <f t="shared" si="6"/>
        <v>18.333333333333332</v>
      </c>
      <c r="Q205">
        <v>290</v>
      </c>
      <c r="R205">
        <v>295</v>
      </c>
      <c r="S205">
        <v>315</v>
      </c>
      <c r="T205" s="21">
        <f t="shared" si="7"/>
        <v>300</v>
      </c>
      <c r="U205"/>
      <c r="V205"/>
      <c r="W205"/>
      <c r="X205"/>
      <c r="Y205"/>
      <c r="Z205"/>
      <c r="AA205"/>
      <c r="AB205"/>
    </row>
    <row r="206" spans="1:28" x14ac:dyDescent="0.25">
      <c r="A206" t="s">
        <v>34</v>
      </c>
      <c r="D206" t="s">
        <v>37</v>
      </c>
      <c r="E206">
        <v>1989</v>
      </c>
      <c r="F206">
        <v>1</v>
      </c>
      <c r="G206">
        <v>1</v>
      </c>
      <c r="H206">
        <v>4</v>
      </c>
      <c r="I206">
        <v>104</v>
      </c>
      <c r="L206" t="s">
        <v>690</v>
      </c>
      <c r="M206">
        <v>19</v>
      </c>
      <c r="N206">
        <v>20</v>
      </c>
      <c r="O206">
        <v>17</v>
      </c>
      <c r="P206" s="12">
        <f t="shared" si="6"/>
        <v>18.666666666666668</v>
      </c>
      <c r="Q206">
        <v>320</v>
      </c>
      <c r="R206">
        <v>350</v>
      </c>
      <c r="S206">
        <v>315</v>
      </c>
      <c r="T206" s="21">
        <f t="shared" si="7"/>
        <v>328.33333333333331</v>
      </c>
      <c r="U206"/>
      <c r="V206"/>
      <c r="W206"/>
      <c r="X206"/>
      <c r="Y206"/>
      <c r="Z206"/>
      <c r="AA206"/>
      <c r="AB206"/>
    </row>
    <row r="207" spans="1:28" x14ac:dyDescent="0.25">
      <c r="A207" t="s">
        <v>34</v>
      </c>
      <c r="D207" t="s">
        <v>42</v>
      </c>
      <c r="E207">
        <v>2016</v>
      </c>
      <c r="F207">
        <v>1</v>
      </c>
      <c r="G207">
        <v>2</v>
      </c>
      <c r="H207">
        <v>4</v>
      </c>
      <c r="I207">
        <v>120</v>
      </c>
      <c r="L207" t="s">
        <v>690</v>
      </c>
      <c r="M207">
        <v>20</v>
      </c>
      <c r="N207">
        <v>16</v>
      </c>
      <c r="O207">
        <v>15</v>
      </c>
      <c r="P207" s="12">
        <f t="shared" si="6"/>
        <v>17</v>
      </c>
      <c r="Q207">
        <v>265</v>
      </c>
      <c r="R207">
        <v>205</v>
      </c>
      <c r="S207">
        <v>190</v>
      </c>
      <c r="T207" s="21">
        <f t="shared" si="7"/>
        <v>220</v>
      </c>
      <c r="U207"/>
      <c r="V207"/>
      <c r="W207"/>
      <c r="X207"/>
      <c r="Y207"/>
      <c r="Z207"/>
      <c r="AA207"/>
      <c r="AB207"/>
    </row>
    <row r="208" spans="1:28" x14ac:dyDescent="0.25">
      <c r="A208" t="s">
        <v>34</v>
      </c>
      <c r="D208" t="s">
        <v>36</v>
      </c>
      <c r="E208">
        <v>1984</v>
      </c>
      <c r="F208">
        <v>1</v>
      </c>
      <c r="G208">
        <v>3</v>
      </c>
      <c r="H208">
        <v>4</v>
      </c>
      <c r="I208">
        <v>136</v>
      </c>
      <c r="L208" t="s">
        <v>690</v>
      </c>
      <c r="M208">
        <v>20</v>
      </c>
      <c r="N208">
        <v>17</v>
      </c>
      <c r="O208">
        <v>18</v>
      </c>
      <c r="P208" s="12">
        <f t="shared" si="6"/>
        <v>18.333333333333332</v>
      </c>
      <c r="Q208">
        <v>285</v>
      </c>
      <c r="R208">
        <v>235</v>
      </c>
      <c r="S208">
        <v>305</v>
      </c>
      <c r="T208" s="21">
        <f t="shared" si="7"/>
        <v>275</v>
      </c>
      <c r="U208"/>
      <c r="V208"/>
      <c r="W208"/>
      <c r="X208"/>
      <c r="Y208"/>
      <c r="Z208"/>
      <c r="AA208"/>
      <c r="AB208"/>
    </row>
    <row r="209" spans="1:20" customFormat="1" x14ac:dyDescent="0.25">
      <c r="A209" t="s">
        <v>34</v>
      </c>
      <c r="D209" t="s">
        <v>43</v>
      </c>
      <c r="E209">
        <v>2020</v>
      </c>
      <c r="F209">
        <v>1</v>
      </c>
      <c r="G209">
        <v>4</v>
      </c>
      <c r="H209">
        <v>4</v>
      </c>
      <c r="I209">
        <v>152</v>
      </c>
      <c r="L209" t="s">
        <v>690</v>
      </c>
      <c r="M209">
        <v>20</v>
      </c>
      <c r="N209">
        <v>18</v>
      </c>
      <c r="O209">
        <v>17</v>
      </c>
      <c r="P209" s="12">
        <f t="shared" si="6"/>
        <v>18.333333333333332</v>
      </c>
      <c r="Q209">
        <v>255</v>
      </c>
      <c r="R209">
        <v>220</v>
      </c>
      <c r="S209">
        <v>205</v>
      </c>
      <c r="T209" s="21">
        <f t="shared" si="7"/>
        <v>226.66666666666666</v>
      </c>
    </row>
    <row r="210" spans="1:20" customFormat="1" x14ac:dyDescent="0.25">
      <c r="A210" t="s">
        <v>24</v>
      </c>
      <c r="D210" t="s">
        <v>29</v>
      </c>
      <c r="E210">
        <v>1999</v>
      </c>
      <c r="F210">
        <v>2</v>
      </c>
      <c r="G210">
        <v>1</v>
      </c>
      <c r="H210">
        <v>5</v>
      </c>
      <c r="I210">
        <v>105</v>
      </c>
      <c r="L210" t="s">
        <v>690</v>
      </c>
      <c r="M210">
        <v>15</v>
      </c>
      <c r="N210">
        <v>15</v>
      </c>
      <c r="O210">
        <v>17</v>
      </c>
      <c r="P210" s="12">
        <f t="shared" si="6"/>
        <v>15.666666666666666</v>
      </c>
      <c r="Q210">
        <v>250</v>
      </c>
      <c r="R210">
        <v>245</v>
      </c>
      <c r="S210">
        <v>225</v>
      </c>
      <c r="T210" s="21">
        <f t="shared" si="7"/>
        <v>240</v>
      </c>
    </row>
    <row r="211" spans="1:20" customFormat="1" x14ac:dyDescent="0.25">
      <c r="A211" t="s">
        <v>24</v>
      </c>
      <c r="D211" t="s">
        <v>27</v>
      </c>
      <c r="E211">
        <v>1985</v>
      </c>
      <c r="F211">
        <v>2</v>
      </c>
      <c r="G211">
        <v>2</v>
      </c>
      <c r="H211">
        <v>5</v>
      </c>
      <c r="I211">
        <v>121</v>
      </c>
      <c r="L211" t="s">
        <v>690</v>
      </c>
      <c r="M211">
        <v>18</v>
      </c>
      <c r="N211">
        <v>18</v>
      </c>
      <c r="O211">
        <v>17</v>
      </c>
      <c r="P211" s="12">
        <f t="shared" si="6"/>
        <v>17.666666666666668</v>
      </c>
      <c r="Q211">
        <v>215</v>
      </c>
      <c r="R211">
        <v>280</v>
      </c>
      <c r="S211">
        <v>240</v>
      </c>
      <c r="T211" s="21">
        <f t="shared" si="7"/>
        <v>245</v>
      </c>
    </row>
    <row r="212" spans="1:20" customFormat="1" x14ac:dyDescent="0.25">
      <c r="A212" t="s">
        <v>24</v>
      </c>
      <c r="D212" t="s">
        <v>313</v>
      </c>
      <c r="E212">
        <v>2016</v>
      </c>
      <c r="F212">
        <v>2</v>
      </c>
      <c r="G212">
        <v>3</v>
      </c>
      <c r="H212">
        <v>5</v>
      </c>
      <c r="I212">
        <v>137</v>
      </c>
      <c r="L212" t="s">
        <v>690</v>
      </c>
      <c r="M212">
        <v>21</v>
      </c>
      <c r="N212">
        <v>19</v>
      </c>
      <c r="O212">
        <v>19</v>
      </c>
      <c r="P212" s="12">
        <f t="shared" si="6"/>
        <v>19.666666666666668</v>
      </c>
      <c r="Q212">
        <v>270</v>
      </c>
      <c r="R212">
        <v>245</v>
      </c>
      <c r="S212">
        <v>225</v>
      </c>
      <c r="T212" s="21">
        <f t="shared" si="7"/>
        <v>246.66666666666666</v>
      </c>
    </row>
    <row r="213" spans="1:20" customFormat="1" x14ac:dyDescent="0.25">
      <c r="A213" t="s">
        <v>24</v>
      </c>
      <c r="D213" t="s">
        <v>312</v>
      </c>
      <c r="E213">
        <v>2002</v>
      </c>
      <c r="F213">
        <v>2</v>
      </c>
      <c r="G213">
        <v>4</v>
      </c>
      <c r="H213">
        <v>5</v>
      </c>
      <c r="I213">
        <v>153</v>
      </c>
      <c r="L213" t="s">
        <v>690</v>
      </c>
      <c r="M213">
        <v>17</v>
      </c>
      <c r="N213">
        <v>17</v>
      </c>
      <c r="O213">
        <v>17</v>
      </c>
      <c r="P213" s="12">
        <f t="shared" si="6"/>
        <v>17</v>
      </c>
      <c r="Q213">
        <v>215</v>
      </c>
      <c r="R213">
        <v>235</v>
      </c>
      <c r="S213">
        <v>280</v>
      </c>
      <c r="T213" s="21">
        <f t="shared" si="7"/>
        <v>243.33333333333334</v>
      </c>
    </row>
    <row r="214" spans="1:20" customFormat="1" x14ac:dyDescent="0.25">
      <c r="A214" t="s">
        <v>24</v>
      </c>
      <c r="D214" t="s">
        <v>311</v>
      </c>
      <c r="E214">
        <v>2023</v>
      </c>
      <c r="F214">
        <v>2</v>
      </c>
      <c r="G214">
        <v>1</v>
      </c>
      <c r="H214">
        <v>6</v>
      </c>
      <c r="I214">
        <v>106</v>
      </c>
      <c r="L214" t="s">
        <v>690</v>
      </c>
      <c r="M214">
        <v>17</v>
      </c>
      <c r="N214">
        <v>18</v>
      </c>
      <c r="O214">
        <v>18</v>
      </c>
      <c r="P214" s="12">
        <f t="shared" si="6"/>
        <v>17.666666666666668</v>
      </c>
      <c r="Q214">
        <v>230</v>
      </c>
      <c r="R214">
        <v>290</v>
      </c>
      <c r="S214">
        <v>260</v>
      </c>
      <c r="T214" s="21">
        <f t="shared" si="7"/>
        <v>260</v>
      </c>
    </row>
    <row r="215" spans="1:20" customFormat="1" x14ac:dyDescent="0.25">
      <c r="A215" t="s">
        <v>24</v>
      </c>
      <c r="D215" t="s">
        <v>28</v>
      </c>
      <c r="E215">
        <v>1998</v>
      </c>
      <c r="F215">
        <v>2</v>
      </c>
      <c r="G215">
        <v>2</v>
      </c>
      <c r="H215">
        <v>6</v>
      </c>
      <c r="I215">
        <v>122</v>
      </c>
      <c r="L215" t="s">
        <v>690</v>
      </c>
      <c r="M215">
        <v>19</v>
      </c>
      <c r="N215">
        <v>18</v>
      </c>
      <c r="O215">
        <v>17</v>
      </c>
      <c r="P215" s="12">
        <f t="shared" si="6"/>
        <v>18</v>
      </c>
      <c r="Q215">
        <v>250</v>
      </c>
      <c r="R215">
        <v>210</v>
      </c>
      <c r="S215">
        <v>230</v>
      </c>
      <c r="T215" s="21">
        <f t="shared" si="7"/>
        <v>230</v>
      </c>
    </row>
    <row r="216" spans="1:20" customFormat="1" x14ac:dyDescent="0.25">
      <c r="A216" t="s">
        <v>24</v>
      </c>
      <c r="D216" t="s">
        <v>32</v>
      </c>
      <c r="E216">
        <v>2018</v>
      </c>
      <c r="F216">
        <v>2</v>
      </c>
      <c r="G216">
        <v>3</v>
      </c>
      <c r="H216">
        <v>6</v>
      </c>
      <c r="I216">
        <v>138</v>
      </c>
      <c r="L216" t="s">
        <v>690</v>
      </c>
      <c r="M216">
        <v>21</v>
      </c>
      <c r="N216">
        <v>21</v>
      </c>
      <c r="O216">
        <v>21</v>
      </c>
      <c r="P216" s="12">
        <f t="shared" si="6"/>
        <v>21</v>
      </c>
      <c r="Q216">
        <v>350</v>
      </c>
      <c r="R216">
        <v>305</v>
      </c>
      <c r="S216">
        <v>265</v>
      </c>
      <c r="T216" s="21">
        <f t="shared" si="7"/>
        <v>306.66666666666669</v>
      </c>
    </row>
    <row r="217" spans="1:20" customFormat="1" x14ac:dyDescent="0.25">
      <c r="A217" t="s">
        <v>24</v>
      </c>
      <c r="D217" t="s">
        <v>26</v>
      </c>
      <c r="E217">
        <v>1983</v>
      </c>
      <c r="F217">
        <v>2</v>
      </c>
      <c r="G217">
        <v>4</v>
      </c>
      <c r="H217">
        <v>6</v>
      </c>
      <c r="I217">
        <v>154</v>
      </c>
      <c r="L217" t="s">
        <v>690</v>
      </c>
      <c r="M217">
        <v>14</v>
      </c>
      <c r="N217">
        <v>17</v>
      </c>
      <c r="O217">
        <v>18</v>
      </c>
      <c r="P217" s="12">
        <f t="shared" si="6"/>
        <v>16.333333333333332</v>
      </c>
      <c r="Q217">
        <v>190</v>
      </c>
      <c r="R217">
        <v>240</v>
      </c>
      <c r="S217">
        <v>200</v>
      </c>
      <c r="T217" s="21">
        <f t="shared" si="7"/>
        <v>210</v>
      </c>
    </row>
    <row r="218" spans="1:20" customFormat="1" x14ac:dyDescent="0.25">
      <c r="A218" t="s">
        <v>34</v>
      </c>
      <c r="D218" t="s">
        <v>41</v>
      </c>
      <c r="E218">
        <v>2008</v>
      </c>
      <c r="F218">
        <v>2</v>
      </c>
      <c r="G218">
        <v>1</v>
      </c>
      <c r="H218">
        <v>7</v>
      </c>
      <c r="I218">
        <v>107</v>
      </c>
      <c r="L218" t="s">
        <v>690</v>
      </c>
      <c r="M218">
        <v>21</v>
      </c>
      <c r="N218">
        <v>16</v>
      </c>
      <c r="O218">
        <v>19</v>
      </c>
      <c r="P218" s="12">
        <f t="shared" si="6"/>
        <v>18.666666666666668</v>
      </c>
      <c r="Q218">
        <v>260</v>
      </c>
      <c r="R218">
        <v>250</v>
      </c>
      <c r="S218">
        <v>295</v>
      </c>
      <c r="T218" s="21">
        <f t="shared" si="7"/>
        <v>268.33333333333331</v>
      </c>
    </row>
    <row r="219" spans="1:20" customFormat="1" x14ac:dyDescent="0.25">
      <c r="A219" t="s">
        <v>34</v>
      </c>
      <c r="D219" t="s">
        <v>37</v>
      </c>
      <c r="E219">
        <v>1989</v>
      </c>
      <c r="F219">
        <v>2</v>
      </c>
      <c r="G219">
        <v>2</v>
      </c>
      <c r="H219">
        <v>7</v>
      </c>
      <c r="I219">
        <v>123</v>
      </c>
      <c r="L219" t="s">
        <v>690</v>
      </c>
      <c r="M219">
        <v>18</v>
      </c>
      <c r="N219">
        <v>18</v>
      </c>
      <c r="O219">
        <v>18</v>
      </c>
      <c r="P219" s="12">
        <f t="shared" si="6"/>
        <v>18</v>
      </c>
      <c r="Q219">
        <v>285</v>
      </c>
      <c r="R219">
        <v>285</v>
      </c>
      <c r="S219">
        <v>310</v>
      </c>
      <c r="T219" s="21">
        <f t="shared" si="7"/>
        <v>293.33333333333331</v>
      </c>
    </row>
    <row r="220" spans="1:20" customFormat="1" x14ac:dyDescent="0.25">
      <c r="A220" t="s">
        <v>34</v>
      </c>
      <c r="D220" t="s">
        <v>39</v>
      </c>
      <c r="E220">
        <v>2001</v>
      </c>
      <c r="F220">
        <v>2</v>
      </c>
      <c r="G220">
        <v>3</v>
      </c>
      <c r="H220">
        <v>7</v>
      </c>
      <c r="I220">
        <v>139</v>
      </c>
      <c r="L220" t="s">
        <v>690</v>
      </c>
      <c r="M220">
        <v>17</v>
      </c>
      <c r="N220">
        <v>15</v>
      </c>
      <c r="O220">
        <v>15</v>
      </c>
      <c r="P220" s="12">
        <f t="shared" si="6"/>
        <v>15.666666666666666</v>
      </c>
      <c r="Q220">
        <v>280</v>
      </c>
      <c r="R220">
        <v>220</v>
      </c>
      <c r="S220">
        <v>245</v>
      </c>
      <c r="T220" s="21">
        <f t="shared" si="7"/>
        <v>248.33333333333334</v>
      </c>
    </row>
    <row r="221" spans="1:20" customFormat="1" x14ac:dyDescent="0.25">
      <c r="A221" t="s">
        <v>34</v>
      </c>
      <c r="D221" t="s">
        <v>36</v>
      </c>
      <c r="E221">
        <v>1984</v>
      </c>
      <c r="F221">
        <v>2</v>
      </c>
      <c r="G221">
        <v>4</v>
      </c>
      <c r="H221">
        <v>7</v>
      </c>
      <c r="I221">
        <v>155</v>
      </c>
      <c r="L221" t="s">
        <v>690</v>
      </c>
      <c r="M221">
        <v>16</v>
      </c>
      <c r="N221">
        <v>17</v>
      </c>
      <c r="O221">
        <v>17</v>
      </c>
      <c r="P221" s="12">
        <f t="shared" si="6"/>
        <v>16.666666666666668</v>
      </c>
      <c r="Q221">
        <v>285</v>
      </c>
      <c r="R221">
        <v>265</v>
      </c>
      <c r="S221">
        <v>300</v>
      </c>
      <c r="T221" s="21">
        <f t="shared" si="7"/>
        <v>283.33333333333331</v>
      </c>
    </row>
    <row r="222" spans="1:20" customFormat="1" x14ac:dyDescent="0.25">
      <c r="A222" t="s">
        <v>34</v>
      </c>
      <c r="D222" t="s">
        <v>318</v>
      </c>
      <c r="E222">
        <v>2004</v>
      </c>
      <c r="F222">
        <v>2</v>
      </c>
      <c r="G222">
        <v>1</v>
      </c>
      <c r="H222">
        <v>8</v>
      </c>
      <c r="I222">
        <v>108</v>
      </c>
      <c r="L222" t="s">
        <v>690</v>
      </c>
      <c r="M222">
        <v>19</v>
      </c>
      <c r="N222">
        <v>16</v>
      </c>
      <c r="O222">
        <v>15</v>
      </c>
      <c r="P222" s="12">
        <f t="shared" si="6"/>
        <v>16.666666666666668</v>
      </c>
      <c r="Q222">
        <v>300</v>
      </c>
      <c r="R222">
        <v>205</v>
      </c>
      <c r="S222">
        <v>265</v>
      </c>
      <c r="T222" s="21">
        <f t="shared" si="7"/>
        <v>256.66666666666669</v>
      </c>
    </row>
    <row r="223" spans="1:20" customFormat="1" x14ac:dyDescent="0.25">
      <c r="A223" t="s">
        <v>34</v>
      </c>
      <c r="D223" t="s">
        <v>43</v>
      </c>
      <c r="E223">
        <v>2020</v>
      </c>
      <c r="F223">
        <v>2</v>
      </c>
      <c r="G223">
        <v>2</v>
      </c>
      <c r="H223">
        <v>8</v>
      </c>
      <c r="I223">
        <v>124</v>
      </c>
      <c r="L223" t="s">
        <v>690</v>
      </c>
      <c r="M223">
        <v>15</v>
      </c>
      <c r="N223">
        <v>20</v>
      </c>
      <c r="O223">
        <v>16</v>
      </c>
      <c r="P223" s="12">
        <f t="shared" si="6"/>
        <v>17</v>
      </c>
      <c r="Q223">
        <v>190</v>
      </c>
      <c r="R223">
        <v>290</v>
      </c>
      <c r="S223">
        <v>275</v>
      </c>
      <c r="T223" s="21">
        <f t="shared" si="7"/>
        <v>251.66666666666666</v>
      </c>
    </row>
    <row r="224" spans="1:20" customFormat="1" x14ac:dyDescent="0.25">
      <c r="A224" t="s">
        <v>34</v>
      </c>
      <c r="D224" t="s">
        <v>38</v>
      </c>
      <c r="E224">
        <v>1999</v>
      </c>
      <c r="F224">
        <v>2</v>
      </c>
      <c r="G224">
        <v>3</v>
      </c>
      <c r="H224">
        <v>8</v>
      </c>
      <c r="I224">
        <v>140</v>
      </c>
      <c r="L224" t="s">
        <v>690</v>
      </c>
      <c r="M224">
        <v>15</v>
      </c>
      <c r="N224">
        <v>18</v>
      </c>
      <c r="O224">
        <v>16</v>
      </c>
      <c r="P224" s="12">
        <f t="shared" si="6"/>
        <v>16.333333333333332</v>
      </c>
      <c r="Q224">
        <v>250</v>
      </c>
      <c r="R224">
        <v>260</v>
      </c>
      <c r="S224">
        <v>290</v>
      </c>
      <c r="T224" s="21">
        <f t="shared" si="7"/>
        <v>266.66666666666669</v>
      </c>
    </row>
    <row r="225" spans="1:20" customFormat="1" x14ac:dyDescent="0.25">
      <c r="A225" t="s">
        <v>34</v>
      </c>
      <c r="D225" t="s">
        <v>42</v>
      </c>
      <c r="E225">
        <v>2016</v>
      </c>
      <c r="F225">
        <v>2</v>
      </c>
      <c r="G225">
        <v>4</v>
      </c>
      <c r="H225">
        <v>8</v>
      </c>
      <c r="I225">
        <v>156</v>
      </c>
      <c r="L225" t="s">
        <v>690</v>
      </c>
      <c r="M225">
        <v>20</v>
      </c>
      <c r="N225">
        <v>19</v>
      </c>
      <c r="O225">
        <v>15</v>
      </c>
      <c r="P225" s="12">
        <f t="shared" si="6"/>
        <v>18</v>
      </c>
      <c r="Q225">
        <v>240</v>
      </c>
      <c r="R225">
        <v>270</v>
      </c>
      <c r="S225">
        <v>180</v>
      </c>
      <c r="T225" s="21">
        <f t="shared" si="7"/>
        <v>230</v>
      </c>
    </row>
    <row r="226" spans="1:20" customFormat="1" x14ac:dyDescent="0.25">
      <c r="A226" t="s">
        <v>24</v>
      </c>
      <c r="D226" t="s">
        <v>26</v>
      </c>
      <c r="E226">
        <v>1983</v>
      </c>
      <c r="F226">
        <v>3</v>
      </c>
      <c r="G226">
        <v>1</v>
      </c>
      <c r="H226">
        <v>9</v>
      </c>
      <c r="I226">
        <v>109</v>
      </c>
      <c r="L226" t="s">
        <v>690</v>
      </c>
      <c r="M226">
        <v>16</v>
      </c>
      <c r="N226">
        <v>20</v>
      </c>
      <c r="O226">
        <v>18</v>
      </c>
      <c r="P226" s="12">
        <f t="shared" si="6"/>
        <v>18</v>
      </c>
      <c r="Q226">
        <v>175</v>
      </c>
      <c r="R226">
        <v>195</v>
      </c>
      <c r="S226">
        <v>200</v>
      </c>
      <c r="T226" s="21">
        <f t="shared" si="7"/>
        <v>190</v>
      </c>
    </row>
    <row r="227" spans="1:20" customFormat="1" x14ac:dyDescent="0.25">
      <c r="A227" t="s">
        <v>24</v>
      </c>
      <c r="D227" t="s">
        <v>312</v>
      </c>
      <c r="E227">
        <v>2002</v>
      </c>
      <c r="F227">
        <v>3</v>
      </c>
      <c r="G227">
        <v>2</v>
      </c>
      <c r="H227">
        <v>9</v>
      </c>
      <c r="I227">
        <v>125</v>
      </c>
      <c r="L227" t="s">
        <v>690</v>
      </c>
      <c r="M227">
        <v>20</v>
      </c>
      <c r="N227">
        <v>19</v>
      </c>
      <c r="O227">
        <v>19</v>
      </c>
      <c r="P227" s="12">
        <f t="shared" si="6"/>
        <v>19.333333333333332</v>
      </c>
      <c r="Q227">
        <v>275</v>
      </c>
      <c r="R227">
        <v>235</v>
      </c>
      <c r="S227">
        <v>250</v>
      </c>
      <c r="T227" s="21">
        <f t="shared" si="7"/>
        <v>253.33333333333334</v>
      </c>
    </row>
    <row r="228" spans="1:20" customFormat="1" x14ac:dyDescent="0.25">
      <c r="A228" t="s">
        <v>24</v>
      </c>
      <c r="D228" t="s">
        <v>28</v>
      </c>
      <c r="E228">
        <v>1998</v>
      </c>
      <c r="F228">
        <v>3</v>
      </c>
      <c r="G228">
        <v>3</v>
      </c>
      <c r="H228">
        <v>9</v>
      </c>
      <c r="I228">
        <v>141</v>
      </c>
      <c r="L228" t="s">
        <v>690</v>
      </c>
      <c r="M228">
        <v>20</v>
      </c>
      <c r="N228">
        <v>16</v>
      </c>
      <c r="O228">
        <v>16</v>
      </c>
      <c r="P228" s="12">
        <f t="shared" si="6"/>
        <v>17.333333333333332</v>
      </c>
      <c r="Q228">
        <v>260</v>
      </c>
      <c r="R228">
        <v>195</v>
      </c>
      <c r="S228">
        <v>190</v>
      </c>
      <c r="T228" s="21">
        <f t="shared" si="7"/>
        <v>215</v>
      </c>
    </row>
    <row r="229" spans="1:20" customFormat="1" x14ac:dyDescent="0.25">
      <c r="A229" t="s">
        <v>24</v>
      </c>
      <c r="D229" t="s">
        <v>27</v>
      </c>
      <c r="E229">
        <v>1985</v>
      </c>
      <c r="F229">
        <v>3</v>
      </c>
      <c r="G229">
        <v>4</v>
      </c>
      <c r="H229">
        <v>9</v>
      </c>
      <c r="I229">
        <v>157</v>
      </c>
      <c r="L229" t="s">
        <v>690</v>
      </c>
      <c r="M229">
        <v>17</v>
      </c>
      <c r="N229">
        <v>18</v>
      </c>
      <c r="O229">
        <v>17</v>
      </c>
      <c r="P229" s="12">
        <f t="shared" si="6"/>
        <v>17.333333333333332</v>
      </c>
      <c r="Q229">
        <v>225</v>
      </c>
      <c r="R229">
        <v>250</v>
      </c>
      <c r="S229">
        <v>250</v>
      </c>
      <c r="T229" s="21">
        <f t="shared" si="7"/>
        <v>241.66666666666666</v>
      </c>
    </row>
    <row r="230" spans="1:20" customFormat="1" x14ac:dyDescent="0.25">
      <c r="A230" t="s">
        <v>24</v>
      </c>
      <c r="D230" t="s">
        <v>313</v>
      </c>
      <c r="E230">
        <v>2016</v>
      </c>
      <c r="F230">
        <v>3</v>
      </c>
      <c r="G230">
        <v>1</v>
      </c>
      <c r="H230">
        <v>10</v>
      </c>
      <c r="I230">
        <v>110</v>
      </c>
      <c r="L230" t="s">
        <v>690</v>
      </c>
      <c r="M230">
        <v>20</v>
      </c>
      <c r="N230">
        <v>20</v>
      </c>
      <c r="O230">
        <v>21</v>
      </c>
      <c r="P230" s="12">
        <f t="shared" si="6"/>
        <v>20.333333333333332</v>
      </c>
      <c r="Q230">
        <v>280</v>
      </c>
      <c r="R230">
        <v>285</v>
      </c>
      <c r="S230">
        <v>245</v>
      </c>
      <c r="T230" s="21">
        <f t="shared" si="7"/>
        <v>270</v>
      </c>
    </row>
    <row r="231" spans="1:20" customFormat="1" x14ac:dyDescent="0.25">
      <c r="A231" t="s">
        <v>24</v>
      </c>
      <c r="D231" t="s">
        <v>32</v>
      </c>
      <c r="E231">
        <v>2018</v>
      </c>
      <c r="F231">
        <v>3</v>
      </c>
      <c r="G231">
        <v>2</v>
      </c>
      <c r="H231">
        <v>10</v>
      </c>
      <c r="I231">
        <v>126</v>
      </c>
      <c r="L231" t="s">
        <v>690</v>
      </c>
      <c r="M231">
        <v>21</v>
      </c>
      <c r="N231">
        <v>21</v>
      </c>
      <c r="O231">
        <v>20</v>
      </c>
      <c r="P231" s="12">
        <f t="shared" si="6"/>
        <v>20.666666666666668</v>
      </c>
      <c r="Q231">
        <v>245</v>
      </c>
      <c r="R231">
        <v>275</v>
      </c>
      <c r="S231">
        <v>270</v>
      </c>
      <c r="T231" s="21">
        <f t="shared" si="7"/>
        <v>263.33333333333331</v>
      </c>
    </row>
    <row r="232" spans="1:20" customFormat="1" x14ac:dyDescent="0.25">
      <c r="A232" t="s">
        <v>24</v>
      </c>
      <c r="D232" t="s">
        <v>29</v>
      </c>
      <c r="E232">
        <v>1999</v>
      </c>
      <c r="F232">
        <v>3</v>
      </c>
      <c r="G232">
        <v>3</v>
      </c>
      <c r="H232">
        <v>10</v>
      </c>
      <c r="I232">
        <v>142</v>
      </c>
      <c r="L232" t="s">
        <v>690</v>
      </c>
      <c r="M232">
        <v>15</v>
      </c>
      <c r="N232">
        <v>15</v>
      </c>
      <c r="O232">
        <v>15</v>
      </c>
      <c r="P232" s="12">
        <f t="shared" si="6"/>
        <v>15</v>
      </c>
      <c r="Q232">
        <v>185</v>
      </c>
      <c r="R232">
        <v>210</v>
      </c>
      <c r="S232">
        <v>185</v>
      </c>
      <c r="T232" s="21">
        <f t="shared" si="7"/>
        <v>193.33333333333334</v>
      </c>
    </row>
    <row r="233" spans="1:20" customFormat="1" x14ac:dyDescent="0.25">
      <c r="A233" t="s">
        <v>24</v>
      </c>
      <c r="D233" t="s">
        <v>311</v>
      </c>
      <c r="E233">
        <v>2023</v>
      </c>
      <c r="F233">
        <v>3</v>
      </c>
      <c r="G233">
        <v>4</v>
      </c>
      <c r="H233">
        <v>10</v>
      </c>
      <c r="I233">
        <v>158</v>
      </c>
      <c r="L233" t="s">
        <v>690</v>
      </c>
      <c r="M233">
        <v>18</v>
      </c>
      <c r="N233">
        <v>16</v>
      </c>
      <c r="O233">
        <v>17</v>
      </c>
      <c r="P233" s="12">
        <f t="shared" si="6"/>
        <v>17</v>
      </c>
      <c r="Q233">
        <v>275</v>
      </c>
      <c r="R233">
        <v>155</v>
      </c>
      <c r="S233">
        <v>210</v>
      </c>
      <c r="T233" s="21">
        <f t="shared" si="7"/>
        <v>213.33333333333334</v>
      </c>
    </row>
    <row r="234" spans="1:20" customFormat="1" x14ac:dyDescent="0.25">
      <c r="A234" t="s">
        <v>34</v>
      </c>
      <c r="D234" t="s">
        <v>42</v>
      </c>
      <c r="E234">
        <v>2016</v>
      </c>
      <c r="F234">
        <v>3</v>
      </c>
      <c r="G234">
        <v>1</v>
      </c>
      <c r="H234">
        <v>11</v>
      </c>
      <c r="I234">
        <v>111</v>
      </c>
      <c r="L234" t="s">
        <v>690</v>
      </c>
      <c r="M234">
        <v>19</v>
      </c>
      <c r="N234">
        <v>19</v>
      </c>
      <c r="O234">
        <v>20</v>
      </c>
      <c r="P234" s="12">
        <f t="shared" si="6"/>
        <v>19.333333333333332</v>
      </c>
      <c r="Q234">
        <v>195</v>
      </c>
      <c r="R234">
        <v>240</v>
      </c>
      <c r="S234">
        <v>235</v>
      </c>
      <c r="T234" s="21">
        <f t="shared" si="7"/>
        <v>223.33333333333334</v>
      </c>
    </row>
    <row r="235" spans="1:20" customFormat="1" x14ac:dyDescent="0.25">
      <c r="A235" t="s">
        <v>34</v>
      </c>
      <c r="D235" t="s">
        <v>39</v>
      </c>
      <c r="E235">
        <v>2001</v>
      </c>
      <c r="F235">
        <v>3</v>
      </c>
      <c r="G235">
        <v>2</v>
      </c>
      <c r="H235">
        <v>11</v>
      </c>
      <c r="I235">
        <v>127</v>
      </c>
      <c r="L235" t="s">
        <v>690</v>
      </c>
      <c r="M235">
        <v>17</v>
      </c>
      <c r="N235">
        <v>18</v>
      </c>
      <c r="O235">
        <v>17</v>
      </c>
      <c r="P235" s="12">
        <f t="shared" si="6"/>
        <v>17.333333333333332</v>
      </c>
      <c r="Q235">
        <v>205</v>
      </c>
      <c r="R235">
        <v>235</v>
      </c>
      <c r="S235">
        <v>230</v>
      </c>
      <c r="T235" s="21">
        <f t="shared" si="7"/>
        <v>223.33333333333334</v>
      </c>
    </row>
    <row r="236" spans="1:20" customFormat="1" x14ac:dyDescent="0.25">
      <c r="A236" t="s">
        <v>34</v>
      </c>
      <c r="D236" t="s">
        <v>43</v>
      </c>
      <c r="E236">
        <v>2020</v>
      </c>
      <c r="F236">
        <v>3</v>
      </c>
      <c r="G236">
        <v>3</v>
      </c>
      <c r="H236">
        <v>11</v>
      </c>
      <c r="I236">
        <v>143</v>
      </c>
      <c r="L236" t="s">
        <v>690</v>
      </c>
      <c r="M236">
        <v>20</v>
      </c>
      <c r="N236">
        <v>20</v>
      </c>
      <c r="O236">
        <v>19</v>
      </c>
      <c r="P236" s="12">
        <f t="shared" si="6"/>
        <v>19.666666666666668</v>
      </c>
      <c r="Q236">
        <v>235</v>
      </c>
      <c r="R236">
        <v>240</v>
      </c>
      <c r="S236">
        <v>205</v>
      </c>
      <c r="T236" s="21">
        <f t="shared" si="7"/>
        <v>226.66666666666666</v>
      </c>
    </row>
    <row r="237" spans="1:20" customFormat="1" x14ac:dyDescent="0.25">
      <c r="A237" t="s">
        <v>34</v>
      </c>
      <c r="D237" t="s">
        <v>41</v>
      </c>
      <c r="E237">
        <v>2008</v>
      </c>
      <c r="F237">
        <v>3</v>
      </c>
      <c r="G237">
        <v>4</v>
      </c>
      <c r="H237">
        <v>11</v>
      </c>
      <c r="I237">
        <v>159</v>
      </c>
      <c r="L237" t="s">
        <v>690</v>
      </c>
      <c r="M237">
        <v>16</v>
      </c>
      <c r="N237">
        <v>18</v>
      </c>
      <c r="O237">
        <v>18</v>
      </c>
      <c r="P237" s="12">
        <f t="shared" si="6"/>
        <v>17.333333333333332</v>
      </c>
      <c r="Q237">
        <v>200</v>
      </c>
      <c r="R237">
        <v>215</v>
      </c>
      <c r="S237">
        <v>280</v>
      </c>
      <c r="T237" s="21">
        <f t="shared" si="7"/>
        <v>231.66666666666666</v>
      </c>
    </row>
    <row r="238" spans="1:20" customFormat="1" x14ac:dyDescent="0.25">
      <c r="A238" t="s">
        <v>34</v>
      </c>
      <c r="D238" t="s">
        <v>38</v>
      </c>
      <c r="E238">
        <v>1999</v>
      </c>
      <c r="F238">
        <v>3</v>
      </c>
      <c r="G238">
        <v>1</v>
      </c>
      <c r="H238">
        <v>12</v>
      </c>
      <c r="I238">
        <v>112</v>
      </c>
      <c r="L238" t="s">
        <v>690</v>
      </c>
      <c r="M238">
        <v>19</v>
      </c>
      <c r="N238">
        <v>20</v>
      </c>
      <c r="O238">
        <v>19</v>
      </c>
      <c r="P238" s="12">
        <f t="shared" si="6"/>
        <v>19.333333333333332</v>
      </c>
      <c r="Q238">
        <v>320</v>
      </c>
      <c r="R238">
        <v>320</v>
      </c>
      <c r="S238">
        <v>330</v>
      </c>
      <c r="T238" s="21">
        <f t="shared" si="7"/>
        <v>323.33333333333331</v>
      </c>
    </row>
    <row r="239" spans="1:20" customFormat="1" x14ac:dyDescent="0.25">
      <c r="A239" t="s">
        <v>34</v>
      </c>
      <c r="D239" t="s">
        <v>36</v>
      </c>
      <c r="E239">
        <v>1984</v>
      </c>
      <c r="F239">
        <v>3</v>
      </c>
      <c r="G239">
        <v>2</v>
      </c>
      <c r="H239">
        <v>12</v>
      </c>
      <c r="I239">
        <v>128</v>
      </c>
      <c r="L239" t="s">
        <v>690</v>
      </c>
      <c r="M239">
        <v>18</v>
      </c>
      <c r="N239">
        <v>19</v>
      </c>
      <c r="O239">
        <v>17</v>
      </c>
      <c r="P239" s="12">
        <f t="shared" si="6"/>
        <v>18</v>
      </c>
      <c r="Q239">
        <v>285</v>
      </c>
      <c r="R239">
        <v>285</v>
      </c>
      <c r="S239">
        <v>295</v>
      </c>
      <c r="T239" s="21">
        <f t="shared" si="7"/>
        <v>288.33333333333331</v>
      </c>
    </row>
    <row r="240" spans="1:20" customFormat="1" x14ac:dyDescent="0.25">
      <c r="A240" t="s">
        <v>34</v>
      </c>
      <c r="D240" t="s">
        <v>318</v>
      </c>
      <c r="E240">
        <v>2004</v>
      </c>
      <c r="F240">
        <v>3</v>
      </c>
      <c r="G240">
        <v>3</v>
      </c>
      <c r="H240">
        <v>12</v>
      </c>
      <c r="I240">
        <v>144</v>
      </c>
      <c r="L240" t="s">
        <v>690</v>
      </c>
      <c r="M240">
        <v>20</v>
      </c>
      <c r="N240">
        <v>20</v>
      </c>
      <c r="O240">
        <v>18</v>
      </c>
      <c r="P240" s="12">
        <f t="shared" si="6"/>
        <v>19.333333333333332</v>
      </c>
      <c r="Q240">
        <v>315</v>
      </c>
      <c r="R240">
        <v>300</v>
      </c>
      <c r="S240">
        <v>340</v>
      </c>
      <c r="T240" s="21">
        <f t="shared" si="7"/>
        <v>318.33333333333331</v>
      </c>
    </row>
    <row r="241" spans="1:20" customFormat="1" x14ac:dyDescent="0.25">
      <c r="A241" t="s">
        <v>34</v>
      </c>
      <c r="D241" t="s">
        <v>37</v>
      </c>
      <c r="E241">
        <v>1989</v>
      </c>
      <c r="F241">
        <v>3</v>
      </c>
      <c r="G241">
        <v>4</v>
      </c>
      <c r="H241">
        <v>12</v>
      </c>
      <c r="I241">
        <v>160</v>
      </c>
      <c r="L241" t="s">
        <v>690</v>
      </c>
      <c r="M241">
        <v>16</v>
      </c>
      <c r="N241">
        <v>20</v>
      </c>
      <c r="O241">
        <v>18</v>
      </c>
      <c r="P241" s="12">
        <f t="shared" si="6"/>
        <v>18</v>
      </c>
      <c r="Q241">
        <v>260</v>
      </c>
      <c r="R241">
        <v>310</v>
      </c>
      <c r="S241">
        <v>240</v>
      </c>
      <c r="T241" s="21">
        <f t="shared" si="7"/>
        <v>270</v>
      </c>
    </row>
    <row r="242" spans="1:20" customFormat="1" x14ac:dyDescent="0.25">
      <c r="A242" t="s">
        <v>24</v>
      </c>
      <c r="D242" t="s">
        <v>32</v>
      </c>
      <c r="E242">
        <v>2018</v>
      </c>
      <c r="F242">
        <v>4</v>
      </c>
      <c r="G242">
        <v>1</v>
      </c>
      <c r="H242">
        <v>13</v>
      </c>
      <c r="I242">
        <v>113</v>
      </c>
      <c r="L242" t="s">
        <v>690</v>
      </c>
      <c r="M242">
        <v>21</v>
      </c>
      <c r="N242">
        <v>19</v>
      </c>
      <c r="O242">
        <v>20</v>
      </c>
      <c r="P242" s="12">
        <f t="shared" si="6"/>
        <v>20</v>
      </c>
      <c r="Q242">
        <v>270</v>
      </c>
      <c r="R242">
        <v>235</v>
      </c>
      <c r="S242">
        <v>240</v>
      </c>
      <c r="T242" s="21">
        <f t="shared" si="7"/>
        <v>248.33333333333334</v>
      </c>
    </row>
    <row r="243" spans="1:20" customFormat="1" x14ac:dyDescent="0.25">
      <c r="A243" t="s">
        <v>24</v>
      </c>
      <c r="D243" t="s">
        <v>26</v>
      </c>
      <c r="E243">
        <v>1983</v>
      </c>
      <c r="F243">
        <v>4</v>
      </c>
      <c r="G243">
        <v>2</v>
      </c>
      <c r="H243">
        <v>13</v>
      </c>
      <c r="I243">
        <v>129</v>
      </c>
      <c r="L243" t="s">
        <v>690</v>
      </c>
      <c r="M243">
        <v>14</v>
      </c>
      <c r="N243">
        <v>17</v>
      </c>
      <c r="O243">
        <v>21</v>
      </c>
      <c r="P243" s="12">
        <f t="shared" si="6"/>
        <v>17.333333333333332</v>
      </c>
      <c r="Q243">
        <v>180</v>
      </c>
      <c r="R243">
        <v>185</v>
      </c>
      <c r="S243">
        <v>230</v>
      </c>
      <c r="T243" s="21">
        <f t="shared" si="7"/>
        <v>198.33333333333334</v>
      </c>
    </row>
    <row r="244" spans="1:20" customFormat="1" x14ac:dyDescent="0.25">
      <c r="A244" t="s">
        <v>24</v>
      </c>
      <c r="D244" t="s">
        <v>311</v>
      </c>
      <c r="E244">
        <v>2023</v>
      </c>
      <c r="F244">
        <v>4</v>
      </c>
      <c r="G244">
        <v>3</v>
      </c>
      <c r="H244">
        <v>13</v>
      </c>
      <c r="I244">
        <v>145</v>
      </c>
      <c r="L244" t="s">
        <v>690</v>
      </c>
      <c r="M244">
        <v>17</v>
      </c>
      <c r="N244">
        <v>19</v>
      </c>
      <c r="O244">
        <v>15</v>
      </c>
      <c r="P244" s="12">
        <f t="shared" si="6"/>
        <v>17</v>
      </c>
      <c r="Q244">
        <v>235</v>
      </c>
      <c r="R244">
        <v>245</v>
      </c>
      <c r="S244">
        <v>205</v>
      </c>
      <c r="T244" s="21">
        <f t="shared" si="7"/>
        <v>228.33333333333334</v>
      </c>
    </row>
    <row r="245" spans="1:20" customFormat="1" x14ac:dyDescent="0.25">
      <c r="A245" t="s">
        <v>24</v>
      </c>
      <c r="D245" t="s">
        <v>28</v>
      </c>
      <c r="E245">
        <v>1998</v>
      </c>
      <c r="F245">
        <v>4</v>
      </c>
      <c r="G245">
        <v>4</v>
      </c>
      <c r="H245">
        <v>13</v>
      </c>
      <c r="I245">
        <v>161</v>
      </c>
      <c r="L245" t="s">
        <v>690</v>
      </c>
      <c r="M245">
        <v>17</v>
      </c>
      <c r="N245">
        <v>17</v>
      </c>
      <c r="O245">
        <v>17</v>
      </c>
      <c r="P245" s="12">
        <f t="shared" si="6"/>
        <v>17</v>
      </c>
      <c r="Q245">
        <v>205</v>
      </c>
      <c r="R245">
        <v>205</v>
      </c>
      <c r="S245">
        <v>180</v>
      </c>
      <c r="T245" s="21">
        <f t="shared" si="7"/>
        <v>196.66666666666666</v>
      </c>
    </row>
    <row r="246" spans="1:20" customFormat="1" x14ac:dyDescent="0.25">
      <c r="A246" t="s">
        <v>24</v>
      </c>
      <c r="D246" t="s">
        <v>27</v>
      </c>
      <c r="E246">
        <v>1985</v>
      </c>
      <c r="F246">
        <v>4</v>
      </c>
      <c r="G246">
        <v>1</v>
      </c>
      <c r="H246">
        <v>14</v>
      </c>
      <c r="I246">
        <v>114</v>
      </c>
      <c r="L246" t="s">
        <v>690</v>
      </c>
      <c r="M246">
        <v>19</v>
      </c>
      <c r="N246">
        <v>18</v>
      </c>
      <c r="O246">
        <v>17</v>
      </c>
      <c r="P246" s="12">
        <f t="shared" si="6"/>
        <v>18</v>
      </c>
      <c r="Q246">
        <v>205</v>
      </c>
      <c r="R246">
        <v>260</v>
      </c>
      <c r="S246">
        <v>215</v>
      </c>
      <c r="T246" s="21">
        <f t="shared" si="7"/>
        <v>226.66666666666666</v>
      </c>
    </row>
    <row r="247" spans="1:20" customFormat="1" x14ac:dyDescent="0.25">
      <c r="A247" t="s">
        <v>24</v>
      </c>
      <c r="D247" t="s">
        <v>29</v>
      </c>
      <c r="E247">
        <v>1999</v>
      </c>
      <c r="F247">
        <v>4</v>
      </c>
      <c r="G247">
        <v>2</v>
      </c>
      <c r="H247">
        <v>14</v>
      </c>
      <c r="I247">
        <v>130</v>
      </c>
      <c r="L247" t="s">
        <v>690</v>
      </c>
      <c r="M247">
        <v>16</v>
      </c>
      <c r="N247">
        <v>15</v>
      </c>
      <c r="O247">
        <v>16</v>
      </c>
      <c r="P247" s="12">
        <f t="shared" si="6"/>
        <v>15.666666666666666</v>
      </c>
      <c r="Q247">
        <v>300</v>
      </c>
      <c r="R247">
        <v>210</v>
      </c>
      <c r="S247">
        <v>195</v>
      </c>
      <c r="T247" s="21">
        <f t="shared" si="7"/>
        <v>235</v>
      </c>
    </row>
    <row r="248" spans="1:20" customFormat="1" x14ac:dyDescent="0.25">
      <c r="A248" t="s">
        <v>24</v>
      </c>
      <c r="D248" t="s">
        <v>312</v>
      </c>
      <c r="E248">
        <v>2002</v>
      </c>
      <c r="F248">
        <v>4</v>
      </c>
      <c r="G248">
        <v>3</v>
      </c>
      <c r="H248">
        <v>14</v>
      </c>
      <c r="I248">
        <v>146</v>
      </c>
      <c r="L248" t="s">
        <v>690</v>
      </c>
      <c r="M248">
        <v>18</v>
      </c>
      <c r="N248">
        <v>17</v>
      </c>
      <c r="O248">
        <v>18</v>
      </c>
      <c r="P248" s="12">
        <f t="shared" si="6"/>
        <v>17.666666666666668</v>
      </c>
      <c r="Q248">
        <v>270</v>
      </c>
      <c r="R248">
        <v>235</v>
      </c>
      <c r="S248">
        <v>270</v>
      </c>
      <c r="T248" s="21">
        <f t="shared" si="7"/>
        <v>258.33333333333331</v>
      </c>
    </row>
    <row r="249" spans="1:20" customFormat="1" x14ac:dyDescent="0.25">
      <c r="A249" t="s">
        <v>24</v>
      </c>
      <c r="D249" t="s">
        <v>313</v>
      </c>
      <c r="E249">
        <v>2016</v>
      </c>
      <c r="F249">
        <v>4</v>
      </c>
      <c r="G249">
        <v>4</v>
      </c>
      <c r="H249">
        <v>14</v>
      </c>
      <c r="I249">
        <v>162</v>
      </c>
      <c r="L249" t="s">
        <v>690</v>
      </c>
      <c r="M249">
        <v>18</v>
      </c>
      <c r="N249">
        <v>17</v>
      </c>
      <c r="O249">
        <v>20</v>
      </c>
      <c r="P249" s="12">
        <f t="shared" si="6"/>
        <v>18.333333333333332</v>
      </c>
      <c r="Q249">
        <v>240</v>
      </c>
      <c r="R249">
        <v>255</v>
      </c>
      <c r="S249">
        <v>240</v>
      </c>
      <c r="T249" s="21">
        <f t="shared" si="7"/>
        <v>245</v>
      </c>
    </row>
    <row r="250" spans="1:20" customFormat="1" x14ac:dyDescent="0.25">
      <c r="A250" t="s">
        <v>34</v>
      </c>
      <c r="D250" t="s">
        <v>36</v>
      </c>
      <c r="E250">
        <v>1984</v>
      </c>
      <c r="F250">
        <v>4</v>
      </c>
      <c r="G250">
        <v>1</v>
      </c>
      <c r="H250">
        <v>15</v>
      </c>
      <c r="I250">
        <v>115</v>
      </c>
      <c r="L250" t="s">
        <v>690</v>
      </c>
      <c r="M250">
        <v>18</v>
      </c>
      <c r="N250">
        <v>16</v>
      </c>
      <c r="O250">
        <v>17</v>
      </c>
      <c r="P250" s="12">
        <f t="shared" si="6"/>
        <v>17</v>
      </c>
      <c r="Q250">
        <v>265</v>
      </c>
      <c r="R250">
        <v>200</v>
      </c>
      <c r="S250">
        <v>235</v>
      </c>
      <c r="T250" s="21">
        <f t="shared" si="7"/>
        <v>233.33333333333334</v>
      </c>
    </row>
    <row r="251" spans="1:20" customFormat="1" x14ac:dyDescent="0.25">
      <c r="A251" t="s">
        <v>34</v>
      </c>
      <c r="D251" t="s">
        <v>38</v>
      </c>
      <c r="E251">
        <v>1999</v>
      </c>
      <c r="F251">
        <v>4</v>
      </c>
      <c r="G251">
        <v>2</v>
      </c>
      <c r="H251">
        <v>15</v>
      </c>
      <c r="I251">
        <v>131</v>
      </c>
      <c r="L251" t="s">
        <v>690</v>
      </c>
      <c r="M251">
        <v>20</v>
      </c>
      <c r="N251">
        <v>17</v>
      </c>
      <c r="O251">
        <v>18</v>
      </c>
      <c r="P251" s="12">
        <f t="shared" si="6"/>
        <v>18.333333333333332</v>
      </c>
      <c r="Q251">
        <v>360</v>
      </c>
      <c r="R251">
        <v>280</v>
      </c>
      <c r="S251">
        <v>260</v>
      </c>
      <c r="T251" s="21">
        <f t="shared" si="7"/>
        <v>300</v>
      </c>
    </row>
    <row r="252" spans="1:20" customFormat="1" x14ac:dyDescent="0.25">
      <c r="A252" t="s">
        <v>34</v>
      </c>
      <c r="D252" t="s">
        <v>37</v>
      </c>
      <c r="E252">
        <v>1989</v>
      </c>
      <c r="F252">
        <v>4</v>
      </c>
      <c r="G252">
        <v>3</v>
      </c>
      <c r="H252">
        <v>15</v>
      </c>
      <c r="I252">
        <v>147</v>
      </c>
      <c r="L252" t="s">
        <v>690</v>
      </c>
      <c r="M252">
        <v>16</v>
      </c>
      <c r="N252">
        <v>18</v>
      </c>
      <c r="O252">
        <v>20</v>
      </c>
      <c r="P252" s="12">
        <f t="shared" si="6"/>
        <v>18</v>
      </c>
      <c r="Q252">
        <v>215</v>
      </c>
      <c r="R252">
        <v>255</v>
      </c>
      <c r="S252">
        <v>295</v>
      </c>
      <c r="T252" s="21">
        <f t="shared" si="7"/>
        <v>255</v>
      </c>
    </row>
    <row r="253" spans="1:20" customFormat="1" x14ac:dyDescent="0.25">
      <c r="A253" t="s">
        <v>34</v>
      </c>
      <c r="D253" t="s">
        <v>318</v>
      </c>
      <c r="E253">
        <v>2004</v>
      </c>
      <c r="F253">
        <v>4</v>
      </c>
      <c r="G253">
        <v>4</v>
      </c>
      <c r="H253">
        <v>15</v>
      </c>
      <c r="I253">
        <v>163</v>
      </c>
      <c r="L253" t="s">
        <v>690</v>
      </c>
      <c r="M253">
        <v>20</v>
      </c>
      <c r="N253">
        <v>19</v>
      </c>
      <c r="O253">
        <v>18</v>
      </c>
      <c r="P253" s="12">
        <f t="shared" si="6"/>
        <v>19</v>
      </c>
      <c r="Q253">
        <v>330</v>
      </c>
      <c r="R253">
        <v>255</v>
      </c>
      <c r="S253">
        <v>275</v>
      </c>
      <c r="T253" s="21">
        <f t="shared" si="7"/>
        <v>286.66666666666669</v>
      </c>
    </row>
    <row r="254" spans="1:20" customFormat="1" x14ac:dyDescent="0.25">
      <c r="A254" t="s">
        <v>34</v>
      </c>
      <c r="D254" t="s">
        <v>43</v>
      </c>
      <c r="E254">
        <v>2020</v>
      </c>
      <c r="F254">
        <v>4</v>
      </c>
      <c r="G254">
        <v>1</v>
      </c>
      <c r="H254">
        <v>16</v>
      </c>
      <c r="I254">
        <v>116</v>
      </c>
      <c r="L254" t="s">
        <v>690</v>
      </c>
      <c r="M254">
        <v>19</v>
      </c>
      <c r="N254">
        <v>19</v>
      </c>
      <c r="O254">
        <v>18</v>
      </c>
      <c r="P254" s="12">
        <f t="shared" si="6"/>
        <v>18.666666666666668</v>
      </c>
      <c r="Q254">
        <v>225</v>
      </c>
      <c r="R254">
        <v>230</v>
      </c>
      <c r="S254">
        <v>270</v>
      </c>
      <c r="T254" s="21">
        <f t="shared" si="7"/>
        <v>241.66666666666666</v>
      </c>
    </row>
    <row r="255" spans="1:20" customFormat="1" x14ac:dyDescent="0.25">
      <c r="A255" t="s">
        <v>34</v>
      </c>
      <c r="D255" t="s">
        <v>41</v>
      </c>
      <c r="E255">
        <v>2008</v>
      </c>
      <c r="F255">
        <v>4</v>
      </c>
      <c r="G255">
        <v>2</v>
      </c>
      <c r="H255">
        <v>16</v>
      </c>
      <c r="I255">
        <v>132</v>
      </c>
      <c r="L255" t="s">
        <v>690</v>
      </c>
      <c r="M255">
        <v>17</v>
      </c>
      <c r="N255">
        <v>21</v>
      </c>
      <c r="O255">
        <v>20</v>
      </c>
      <c r="P255" s="12">
        <f t="shared" si="6"/>
        <v>19.333333333333332</v>
      </c>
      <c r="Q255">
        <v>250</v>
      </c>
      <c r="R255">
        <v>305</v>
      </c>
      <c r="S255">
        <v>240</v>
      </c>
      <c r="T255" s="21">
        <f t="shared" si="7"/>
        <v>265</v>
      </c>
    </row>
    <row r="256" spans="1:20" customFormat="1" x14ac:dyDescent="0.25">
      <c r="A256" t="s">
        <v>34</v>
      </c>
      <c r="D256" t="s">
        <v>42</v>
      </c>
      <c r="E256">
        <v>2016</v>
      </c>
      <c r="F256">
        <v>4</v>
      </c>
      <c r="G256">
        <v>3</v>
      </c>
      <c r="H256">
        <v>16</v>
      </c>
      <c r="I256">
        <v>148</v>
      </c>
      <c r="L256" t="s">
        <v>690</v>
      </c>
      <c r="M256">
        <v>17</v>
      </c>
      <c r="N256">
        <v>20</v>
      </c>
      <c r="O256">
        <v>18</v>
      </c>
      <c r="P256" s="12">
        <f t="shared" si="6"/>
        <v>18.333333333333332</v>
      </c>
      <c r="Q256">
        <v>180</v>
      </c>
      <c r="R256">
        <v>210</v>
      </c>
      <c r="S256">
        <v>210</v>
      </c>
      <c r="T256" s="21">
        <f t="shared" si="7"/>
        <v>200</v>
      </c>
    </row>
    <row r="257" spans="1:20" customFormat="1" x14ac:dyDescent="0.25">
      <c r="A257" t="s">
        <v>34</v>
      </c>
      <c r="D257" t="s">
        <v>39</v>
      </c>
      <c r="E257">
        <v>2001</v>
      </c>
      <c r="F257">
        <v>4</v>
      </c>
      <c r="G257">
        <v>4</v>
      </c>
      <c r="H257">
        <v>16</v>
      </c>
      <c r="I257">
        <v>164</v>
      </c>
      <c r="L257" t="s">
        <v>690</v>
      </c>
      <c r="M257">
        <v>15</v>
      </c>
      <c r="N257">
        <v>18</v>
      </c>
      <c r="O257">
        <v>20</v>
      </c>
      <c r="P257" s="12">
        <f t="shared" si="6"/>
        <v>17.666666666666668</v>
      </c>
      <c r="Q257">
        <v>175</v>
      </c>
      <c r="R257">
        <v>260</v>
      </c>
      <c r="S257">
        <v>265</v>
      </c>
      <c r="T257" s="21">
        <f t="shared" si="7"/>
        <v>233.33333333333334</v>
      </c>
    </row>
    <row r="258" spans="1:20" customFormat="1" x14ac:dyDescent="0.25">
      <c r="P258" s="12"/>
      <c r="T258" s="21"/>
    </row>
    <row r="259" spans="1:20" customFormat="1" x14ac:dyDescent="0.25">
      <c r="P259" s="12"/>
      <c r="T259" s="21"/>
    </row>
    <row r="260" spans="1:20" customFormat="1" x14ac:dyDescent="0.25">
      <c r="P260" s="12"/>
      <c r="T260" s="21"/>
    </row>
    <row r="261" spans="1:20" customFormat="1" x14ac:dyDescent="0.25">
      <c r="P261" s="12"/>
      <c r="T261" s="21"/>
    </row>
    <row r="262" spans="1:20" customFormat="1" x14ac:dyDescent="0.25">
      <c r="P262" s="12"/>
      <c r="T262" s="21"/>
    </row>
    <row r="263" spans="1:20" customFormat="1" x14ac:dyDescent="0.25">
      <c r="P263" s="12"/>
      <c r="T263" s="21"/>
    </row>
    <row r="264" spans="1:20" customFormat="1" x14ac:dyDescent="0.25">
      <c r="P264" s="12"/>
      <c r="T264" s="21"/>
    </row>
    <row r="265" spans="1:20" customFormat="1" x14ac:dyDescent="0.25">
      <c r="P265" s="12"/>
      <c r="T265" s="21"/>
    </row>
    <row r="266" spans="1:20" customFormat="1" x14ac:dyDescent="0.25">
      <c r="P266" s="12"/>
      <c r="T266" s="21"/>
    </row>
    <row r="267" spans="1:20" customFormat="1" x14ac:dyDescent="0.25">
      <c r="P267" s="12"/>
      <c r="T267" s="21"/>
    </row>
    <row r="268" spans="1:20" customFormat="1" x14ac:dyDescent="0.25">
      <c r="P268" s="12"/>
      <c r="T268" s="21"/>
    </row>
    <row r="269" spans="1:20" customFormat="1" x14ac:dyDescent="0.25">
      <c r="P269" s="12"/>
      <c r="T269" s="21"/>
    </row>
  </sheetData>
  <pageMargins left="0.7" right="0.7" top="0.75" bottom="0.75" header="0.3" footer="0.3"/>
  <pageSetup paperSize="9" orientation="portrait" horizontalDpi="360" verticalDpi="36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E4EE-8C49-490B-AD55-66952341A45B}">
  <sheetPr>
    <tabColor rgb="FF92D050"/>
  </sheetPr>
  <dimension ref="A1:O385"/>
  <sheetViews>
    <sheetView workbookViewId="0"/>
  </sheetViews>
  <sheetFormatPr defaultRowHeight="15" x14ac:dyDescent="0.25"/>
  <cols>
    <col min="1" max="8" width="9.140625" style="6"/>
    <col min="9" max="9" width="8.85546875" style="6"/>
    <col min="10" max="11" width="13.5703125" customWidth="1"/>
    <col min="12" max="12" width="11" customWidth="1"/>
    <col min="13" max="13" width="12.140625" customWidth="1"/>
    <col min="14" max="14" width="9.140625" style="28"/>
    <col min="16" max="16" width="12.42578125" bestFit="1" customWidth="1"/>
    <col min="17" max="17" width="15.5703125" bestFit="1" customWidth="1"/>
    <col min="18" max="18" width="13" bestFit="1" customWidth="1"/>
    <col min="19" max="20" width="9.5703125" bestFit="1" customWidth="1"/>
    <col min="21" max="22" width="10.5703125" bestFit="1" customWidth="1"/>
  </cols>
  <sheetData>
    <row r="1" spans="1:15" ht="76.5" customHeight="1" x14ac:dyDescent="0.25">
      <c r="A1" s="53" t="s">
        <v>44</v>
      </c>
      <c r="B1" s="53" t="s">
        <v>45</v>
      </c>
      <c r="C1" s="53" t="s">
        <v>46</v>
      </c>
      <c r="D1" s="53" t="s">
        <v>47</v>
      </c>
      <c r="E1" s="53" t="s">
        <v>48</v>
      </c>
      <c r="F1" s="53" t="s">
        <v>49</v>
      </c>
      <c r="G1" s="53" t="s">
        <v>50</v>
      </c>
      <c r="H1" s="53" t="s">
        <v>51</v>
      </c>
      <c r="I1" s="53" t="s">
        <v>54</v>
      </c>
      <c r="J1" s="53" t="s">
        <v>173</v>
      </c>
      <c r="K1" s="4" t="s">
        <v>174</v>
      </c>
      <c r="L1" s="10" t="s">
        <v>175</v>
      </c>
      <c r="M1" s="10" t="s">
        <v>176</v>
      </c>
      <c r="N1" s="10" t="s">
        <v>177</v>
      </c>
      <c r="O1" s="4"/>
    </row>
    <row r="2" spans="1:15" x14ac:dyDescent="0.25">
      <c r="D2" s="6" t="s">
        <v>28</v>
      </c>
      <c r="E2" s="6">
        <v>1998</v>
      </c>
      <c r="F2" s="6">
        <v>1</v>
      </c>
      <c r="G2" s="6">
        <v>1</v>
      </c>
      <c r="H2" s="6">
        <v>1</v>
      </c>
      <c r="I2" s="6">
        <v>101</v>
      </c>
      <c r="J2" s="6"/>
      <c r="K2" s="13">
        <v>45887</v>
      </c>
      <c r="L2">
        <v>113</v>
      </c>
      <c r="M2">
        <v>0</v>
      </c>
      <c r="N2" s="28">
        <v>0</v>
      </c>
    </row>
    <row r="3" spans="1:15" x14ac:dyDescent="0.25">
      <c r="D3" s="6" t="s">
        <v>28</v>
      </c>
      <c r="E3" s="6">
        <v>1998</v>
      </c>
      <c r="F3" s="6">
        <v>1</v>
      </c>
      <c r="G3" s="6">
        <v>1</v>
      </c>
      <c r="H3" s="6">
        <v>1</v>
      </c>
      <c r="I3" s="6">
        <v>101</v>
      </c>
      <c r="J3" s="6"/>
      <c r="K3" s="13">
        <v>45908</v>
      </c>
      <c r="L3">
        <v>113</v>
      </c>
      <c r="M3">
        <v>3</v>
      </c>
      <c r="N3" s="28">
        <v>2.6548672566371601E-2</v>
      </c>
    </row>
    <row r="4" spans="1:15" x14ac:dyDescent="0.25">
      <c r="D4" s="6" t="s">
        <v>28</v>
      </c>
      <c r="E4" s="6">
        <v>1998</v>
      </c>
      <c r="F4" s="6">
        <v>1</v>
      </c>
      <c r="G4" s="6">
        <v>1</v>
      </c>
      <c r="H4" s="6">
        <v>1</v>
      </c>
      <c r="I4" s="6">
        <v>101</v>
      </c>
      <c r="J4" s="6"/>
      <c r="K4" s="13">
        <v>45911</v>
      </c>
      <c r="L4">
        <v>113</v>
      </c>
      <c r="M4">
        <v>17</v>
      </c>
      <c r="N4" s="28">
        <v>0.15044247787610601</v>
      </c>
    </row>
    <row r="5" spans="1:15" x14ac:dyDescent="0.25">
      <c r="D5" s="6" t="s">
        <v>28</v>
      </c>
      <c r="E5" s="6">
        <v>1998</v>
      </c>
      <c r="F5" s="6">
        <v>1</v>
      </c>
      <c r="G5" s="6">
        <v>1</v>
      </c>
      <c r="H5" s="6">
        <v>1</v>
      </c>
      <c r="I5" s="6">
        <v>101</v>
      </c>
      <c r="J5" s="6"/>
      <c r="K5" s="13">
        <v>45915</v>
      </c>
      <c r="L5">
        <v>113</v>
      </c>
      <c r="M5">
        <v>54</v>
      </c>
      <c r="N5" s="28">
        <v>0.47787610619469001</v>
      </c>
    </row>
    <row r="6" spans="1:15" x14ac:dyDescent="0.25">
      <c r="D6" s="6" t="s">
        <v>28</v>
      </c>
      <c r="E6" s="6">
        <v>1998</v>
      </c>
      <c r="F6" s="6">
        <v>1</v>
      </c>
      <c r="G6" s="6">
        <v>1</v>
      </c>
      <c r="H6" s="6">
        <v>1</v>
      </c>
      <c r="I6" s="6">
        <v>101</v>
      </c>
      <c r="J6" s="6"/>
      <c r="K6" s="13">
        <v>45918</v>
      </c>
      <c r="L6">
        <v>113</v>
      </c>
      <c r="M6">
        <v>69</v>
      </c>
      <c r="N6" s="28">
        <v>0.61061946902654796</v>
      </c>
    </row>
    <row r="7" spans="1:15" x14ac:dyDescent="0.25">
      <c r="D7" s="6" t="s">
        <v>28</v>
      </c>
      <c r="E7" s="6">
        <v>1998</v>
      </c>
      <c r="F7" s="6">
        <v>1</v>
      </c>
      <c r="G7" s="6">
        <v>1</v>
      </c>
      <c r="H7" s="6">
        <v>1</v>
      </c>
      <c r="I7" s="6">
        <v>101</v>
      </c>
      <c r="J7" s="6"/>
      <c r="K7" s="13">
        <v>45922</v>
      </c>
      <c r="L7">
        <v>113</v>
      </c>
    </row>
    <row r="8" spans="1:15" x14ac:dyDescent="0.25">
      <c r="D8" s="6" t="s">
        <v>312</v>
      </c>
      <c r="E8" s="6">
        <v>2002</v>
      </c>
      <c r="F8" s="6">
        <v>1</v>
      </c>
      <c r="G8" s="6">
        <v>1</v>
      </c>
      <c r="H8" s="6">
        <v>2</v>
      </c>
      <c r="I8" s="6">
        <v>102</v>
      </c>
      <c r="J8" s="6"/>
      <c r="K8" s="13">
        <v>45887</v>
      </c>
      <c r="L8">
        <v>74</v>
      </c>
      <c r="M8">
        <v>0</v>
      </c>
      <c r="N8" s="28">
        <v>0</v>
      </c>
    </row>
    <row r="9" spans="1:15" x14ac:dyDescent="0.25">
      <c r="D9" s="6" t="s">
        <v>312</v>
      </c>
      <c r="E9" s="6">
        <v>2002</v>
      </c>
      <c r="F9" s="6">
        <v>1</v>
      </c>
      <c r="G9" s="6">
        <v>1</v>
      </c>
      <c r="H9" s="6">
        <v>2</v>
      </c>
      <c r="I9" s="6">
        <v>102</v>
      </c>
      <c r="J9" s="6"/>
      <c r="K9" s="13">
        <v>45908</v>
      </c>
      <c r="L9">
        <v>74</v>
      </c>
    </row>
    <row r="10" spans="1:15" x14ac:dyDescent="0.25">
      <c r="D10" s="6" t="s">
        <v>312</v>
      </c>
      <c r="E10" s="6">
        <v>2002</v>
      </c>
      <c r="F10" s="6">
        <v>1</v>
      </c>
      <c r="G10" s="6">
        <v>1</v>
      </c>
      <c r="H10" s="6">
        <v>2</v>
      </c>
      <c r="I10" s="6">
        <v>102</v>
      </c>
      <c r="J10" s="6"/>
      <c r="K10" s="13">
        <v>45911</v>
      </c>
      <c r="L10">
        <v>74</v>
      </c>
      <c r="M10">
        <v>3</v>
      </c>
      <c r="N10" s="28">
        <v>4.0540540540540501E-2</v>
      </c>
    </row>
    <row r="11" spans="1:15" x14ac:dyDescent="0.25">
      <c r="D11" s="6" t="s">
        <v>312</v>
      </c>
      <c r="E11" s="6">
        <v>2002</v>
      </c>
      <c r="F11" s="6">
        <v>1</v>
      </c>
      <c r="G11" s="6">
        <v>1</v>
      </c>
      <c r="H11" s="6">
        <v>2</v>
      </c>
      <c r="I11" s="6">
        <v>102</v>
      </c>
      <c r="J11" s="6"/>
      <c r="K11" s="13">
        <v>45915</v>
      </c>
      <c r="L11">
        <v>74</v>
      </c>
      <c r="M11">
        <v>23</v>
      </c>
      <c r="N11" s="28">
        <v>0.31081081081081002</v>
      </c>
    </row>
    <row r="12" spans="1:15" x14ac:dyDescent="0.25">
      <c r="D12" s="6" t="s">
        <v>312</v>
      </c>
      <c r="E12" s="6">
        <v>2002</v>
      </c>
      <c r="F12" s="6">
        <v>1</v>
      </c>
      <c r="G12" s="6">
        <v>1</v>
      </c>
      <c r="H12" s="6">
        <v>2</v>
      </c>
      <c r="I12" s="6">
        <v>102</v>
      </c>
      <c r="J12" s="6"/>
      <c r="K12" s="13">
        <v>45918</v>
      </c>
      <c r="L12">
        <v>74</v>
      </c>
      <c r="M12">
        <v>43</v>
      </c>
      <c r="N12" s="28">
        <v>0.58108108108108103</v>
      </c>
    </row>
    <row r="13" spans="1:15" x14ac:dyDescent="0.25">
      <c r="D13" s="6" t="s">
        <v>312</v>
      </c>
      <c r="E13" s="6">
        <v>2002</v>
      </c>
      <c r="F13" s="6">
        <v>1</v>
      </c>
      <c r="G13" s="6">
        <v>1</v>
      </c>
      <c r="H13" s="6">
        <v>2</v>
      </c>
      <c r="I13" s="6">
        <v>102</v>
      </c>
      <c r="J13" s="6"/>
      <c r="K13" s="13">
        <v>45922</v>
      </c>
      <c r="L13">
        <v>74</v>
      </c>
    </row>
    <row r="14" spans="1:15" x14ac:dyDescent="0.25">
      <c r="D14" s="6" t="s">
        <v>39</v>
      </c>
      <c r="E14" s="6">
        <v>2001</v>
      </c>
      <c r="F14" s="6">
        <v>1</v>
      </c>
      <c r="G14" s="6">
        <v>1</v>
      </c>
      <c r="H14" s="6">
        <v>3</v>
      </c>
      <c r="I14" s="6">
        <v>103</v>
      </c>
      <c r="J14" s="6"/>
      <c r="K14" s="13">
        <v>45887</v>
      </c>
      <c r="L14">
        <v>82</v>
      </c>
      <c r="M14">
        <v>0</v>
      </c>
      <c r="N14" s="28">
        <v>0</v>
      </c>
    </row>
    <row r="15" spans="1:15" x14ac:dyDescent="0.25">
      <c r="D15" s="6" t="s">
        <v>39</v>
      </c>
      <c r="E15" s="6">
        <v>2001</v>
      </c>
      <c r="F15" s="6">
        <v>1</v>
      </c>
      <c r="G15" s="6">
        <v>1</v>
      </c>
      <c r="H15" s="6">
        <v>3</v>
      </c>
      <c r="I15" s="6">
        <v>103</v>
      </c>
      <c r="J15" s="6"/>
      <c r="K15" s="13">
        <v>45908</v>
      </c>
      <c r="L15">
        <v>82</v>
      </c>
    </row>
    <row r="16" spans="1:15" x14ac:dyDescent="0.25">
      <c r="D16" s="6" t="s">
        <v>39</v>
      </c>
      <c r="E16" s="6">
        <v>2001</v>
      </c>
      <c r="F16" s="6">
        <v>1</v>
      </c>
      <c r="G16" s="6">
        <v>1</v>
      </c>
      <c r="H16" s="6">
        <v>3</v>
      </c>
      <c r="I16" s="6">
        <v>103</v>
      </c>
      <c r="J16" s="6"/>
      <c r="K16" s="13">
        <v>45911</v>
      </c>
      <c r="L16">
        <v>82</v>
      </c>
      <c r="M16">
        <v>19</v>
      </c>
      <c r="N16" s="28">
        <v>0.23170731707316999</v>
      </c>
    </row>
    <row r="17" spans="1:14" x14ac:dyDescent="0.25">
      <c r="D17" s="6" t="s">
        <v>39</v>
      </c>
      <c r="E17" s="6">
        <v>2001</v>
      </c>
      <c r="F17" s="6">
        <v>1</v>
      </c>
      <c r="G17" s="6">
        <v>1</v>
      </c>
      <c r="H17" s="6">
        <v>3</v>
      </c>
      <c r="I17" s="6">
        <v>103</v>
      </c>
      <c r="J17" s="6"/>
      <c r="K17" s="13">
        <v>45915</v>
      </c>
      <c r="L17">
        <v>82</v>
      </c>
      <c r="M17">
        <v>43</v>
      </c>
      <c r="N17" s="28">
        <v>0.52439024390243905</v>
      </c>
    </row>
    <row r="18" spans="1:14" x14ac:dyDescent="0.25">
      <c r="D18" s="6" t="s">
        <v>39</v>
      </c>
      <c r="E18" s="6">
        <v>2001</v>
      </c>
      <c r="F18" s="6">
        <v>1</v>
      </c>
      <c r="G18" s="6">
        <v>1</v>
      </c>
      <c r="H18" s="6">
        <v>3</v>
      </c>
      <c r="I18" s="6">
        <v>103</v>
      </c>
      <c r="J18" s="6"/>
      <c r="K18" s="13">
        <v>45918</v>
      </c>
      <c r="L18">
        <v>82</v>
      </c>
    </row>
    <row r="19" spans="1:14" x14ac:dyDescent="0.25">
      <c r="D19" s="6" t="s">
        <v>39</v>
      </c>
      <c r="E19" s="6">
        <v>2001</v>
      </c>
      <c r="F19" s="6">
        <v>1</v>
      </c>
      <c r="G19" s="6">
        <v>1</v>
      </c>
      <c r="H19" s="6">
        <v>3</v>
      </c>
      <c r="I19" s="6">
        <v>103</v>
      </c>
      <c r="J19" s="6"/>
      <c r="K19" s="13">
        <v>45922</v>
      </c>
      <c r="L19">
        <v>82</v>
      </c>
    </row>
    <row r="20" spans="1:14" x14ac:dyDescent="0.25">
      <c r="D20" s="6" t="s">
        <v>37</v>
      </c>
      <c r="E20" s="6">
        <v>1989</v>
      </c>
      <c r="F20" s="6">
        <v>1</v>
      </c>
      <c r="G20" s="6">
        <v>1</v>
      </c>
      <c r="H20" s="6">
        <v>4</v>
      </c>
      <c r="I20" s="6">
        <v>104</v>
      </c>
      <c r="J20" s="6"/>
      <c r="K20" s="13">
        <v>45887</v>
      </c>
      <c r="L20">
        <v>59</v>
      </c>
      <c r="M20">
        <v>0</v>
      </c>
      <c r="N20" s="28">
        <v>0</v>
      </c>
    </row>
    <row r="21" spans="1:14" x14ac:dyDescent="0.25">
      <c r="D21" s="6" t="s">
        <v>37</v>
      </c>
      <c r="E21" s="6">
        <v>1989</v>
      </c>
      <c r="F21" s="6">
        <v>1</v>
      </c>
      <c r="G21" s="6">
        <v>1</v>
      </c>
      <c r="H21" s="6">
        <v>4</v>
      </c>
      <c r="I21" s="6">
        <v>104</v>
      </c>
      <c r="J21" s="6"/>
      <c r="K21" s="13">
        <v>45908</v>
      </c>
      <c r="L21">
        <v>59</v>
      </c>
    </row>
    <row r="22" spans="1:14" x14ac:dyDescent="0.25">
      <c r="D22" s="6" t="s">
        <v>37</v>
      </c>
      <c r="E22" s="6">
        <v>1989</v>
      </c>
      <c r="F22" s="6">
        <v>1</v>
      </c>
      <c r="G22" s="6">
        <v>1</v>
      </c>
      <c r="H22" s="6">
        <v>4</v>
      </c>
      <c r="I22" s="6">
        <v>104</v>
      </c>
      <c r="J22" s="6"/>
      <c r="K22" s="13">
        <v>45911</v>
      </c>
      <c r="L22">
        <v>59</v>
      </c>
      <c r="M22">
        <v>12</v>
      </c>
      <c r="N22" s="28">
        <v>0.20338983050847401</v>
      </c>
    </row>
    <row r="23" spans="1:14" x14ac:dyDescent="0.25">
      <c r="D23" s="6" t="s">
        <v>37</v>
      </c>
      <c r="E23" s="6">
        <v>1989</v>
      </c>
      <c r="F23" s="6">
        <v>1</v>
      </c>
      <c r="G23" s="6">
        <v>1</v>
      </c>
      <c r="H23" s="6">
        <v>4</v>
      </c>
      <c r="I23" s="6">
        <v>104</v>
      </c>
      <c r="J23" s="6"/>
      <c r="K23" s="13">
        <v>45915</v>
      </c>
      <c r="L23">
        <v>59</v>
      </c>
      <c r="M23">
        <v>34</v>
      </c>
      <c r="N23" s="28">
        <v>0.57627118644067798</v>
      </c>
    </row>
    <row r="24" spans="1:14" x14ac:dyDescent="0.25">
      <c r="D24" s="6" t="s">
        <v>37</v>
      </c>
      <c r="E24" s="6">
        <v>1989</v>
      </c>
      <c r="F24" s="6">
        <v>1</v>
      </c>
      <c r="G24" s="6">
        <v>1</v>
      </c>
      <c r="H24" s="6">
        <v>4</v>
      </c>
      <c r="I24" s="6">
        <v>104</v>
      </c>
      <c r="J24" s="6"/>
      <c r="K24" s="13">
        <v>45918</v>
      </c>
      <c r="L24">
        <v>59</v>
      </c>
    </row>
    <row r="25" spans="1:14" x14ac:dyDescent="0.25">
      <c r="D25" s="6" t="s">
        <v>37</v>
      </c>
      <c r="E25" s="6">
        <v>1989</v>
      </c>
      <c r="F25" s="55">
        <v>1</v>
      </c>
      <c r="G25" s="55">
        <v>1</v>
      </c>
      <c r="H25" s="55">
        <v>4</v>
      </c>
      <c r="I25" s="6">
        <v>104</v>
      </c>
      <c r="J25" s="6"/>
      <c r="K25" s="13">
        <v>45922</v>
      </c>
      <c r="L25">
        <v>59</v>
      </c>
    </row>
    <row r="26" spans="1:14" x14ac:dyDescent="0.25">
      <c r="A26" s="54"/>
      <c r="B26" s="54"/>
      <c r="C26" s="55"/>
      <c r="D26" s="54" t="s">
        <v>29</v>
      </c>
      <c r="E26" s="54">
        <v>1999</v>
      </c>
      <c r="F26" s="6">
        <v>2</v>
      </c>
      <c r="G26" s="6">
        <v>1</v>
      </c>
      <c r="H26" s="6">
        <v>5</v>
      </c>
      <c r="I26" s="55">
        <v>105</v>
      </c>
      <c r="J26" s="6"/>
      <c r="K26" s="13">
        <v>45887</v>
      </c>
      <c r="L26">
        <v>102</v>
      </c>
    </row>
    <row r="27" spans="1:14" x14ac:dyDescent="0.25">
      <c r="D27" s="6" t="s">
        <v>29</v>
      </c>
      <c r="E27" s="6">
        <v>1999</v>
      </c>
      <c r="F27" s="6">
        <v>2</v>
      </c>
      <c r="G27" s="6">
        <v>1</v>
      </c>
      <c r="H27" s="6">
        <v>5</v>
      </c>
      <c r="I27" s="6">
        <v>105</v>
      </c>
      <c r="J27" s="6"/>
      <c r="K27" s="13">
        <v>45908</v>
      </c>
      <c r="L27">
        <v>102</v>
      </c>
    </row>
    <row r="28" spans="1:14" x14ac:dyDescent="0.25">
      <c r="D28" s="6" t="s">
        <v>29</v>
      </c>
      <c r="E28" s="6">
        <v>1999</v>
      </c>
      <c r="F28" s="6">
        <v>2</v>
      </c>
      <c r="G28" s="6">
        <v>1</v>
      </c>
      <c r="H28" s="6">
        <v>5</v>
      </c>
      <c r="I28" s="6">
        <v>105</v>
      </c>
      <c r="J28" s="6"/>
      <c r="K28" s="13">
        <v>45911</v>
      </c>
      <c r="L28">
        <v>102</v>
      </c>
      <c r="M28">
        <v>16</v>
      </c>
      <c r="N28" s="28">
        <v>0.15686274509803899</v>
      </c>
    </row>
    <row r="29" spans="1:14" x14ac:dyDescent="0.25">
      <c r="D29" s="6" t="s">
        <v>29</v>
      </c>
      <c r="E29" s="6">
        <v>1999</v>
      </c>
      <c r="F29" s="6">
        <v>2</v>
      </c>
      <c r="G29" s="6">
        <v>1</v>
      </c>
      <c r="H29" s="6">
        <v>5</v>
      </c>
      <c r="I29" s="6">
        <v>105</v>
      </c>
      <c r="J29" s="6"/>
      <c r="K29" s="13">
        <v>45915</v>
      </c>
      <c r="L29">
        <v>102</v>
      </c>
      <c r="M29">
        <v>43</v>
      </c>
      <c r="N29" s="28">
        <v>0.42156862745098</v>
      </c>
    </row>
    <row r="30" spans="1:14" x14ac:dyDescent="0.25">
      <c r="D30" s="6" t="s">
        <v>29</v>
      </c>
      <c r="E30" s="6">
        <v>1999</v>
      </c>
      <c r="F30" s="6">
        <v>2</v>
      </c>
      <c r="G30" s="6">
        <v>1</v>
      </c>
      <c r="H30" s="6">
        <v>5</v>
      </c>
      <c r="I30" s="6">
        <v>105</v>
      </c>
      <c r="J30" s="6"/>
      <c r="K30" s="13">
        <v>45918</v>
      </c>
      <c r="L30">
        <v>102</v>
      </c>
      <c r="M30">
        <v>54</v>
      </c>
      <c r="N30" s="28">
        <v>0.52941176470588203</v>
      </c>
    </row>
    <row r="31" spans="1:14" x14ac:dyDescent="0.25">
      <c r="D31" s="6" t="s">
        <v>29</v>
      </c>
      <c r="E31" s="6">
        <v>1999</v>
      </c>
      <c r="F31" s="6">
        <v>2</v>
      </c>
      <c r="G31" s="6">
        <v>1</v>
      </c>
      <c r="H31" s="6">
        <v>5</v>
      </c>
      <c r="I31" s="6">
        <v>105</v>
      </c>
      <c r="J31" s="6"/>
      <c r="K31" s="13">
        <v>45922</v>
      </c>
      <c r="L31">
        <v>102</v>
      </c>
    </row>
    <row r="32" spans="1:14" x14ac:dyDescent="0.25">
      <c r="D32" s="6" t="s">
        <v>311</v>
      </c>
      <c r="E32" s="6">
        <v>2023</v>
      </c>
      <c r="F32" s="6">
        <v>2</v>
      </c>
      <c r="G32" s="6">
        <v>1</v>
      </c>
      <c r="H32" s="6">
        <v>6</v>
      </c>
      <c r="I32" s="6">
        <v>106</v>
      </c>
      <c r="J32" s="6"/>
      <c r="K32" s="13">
        <v>45887</v>
      </c>
      <c r="L32">
        <v>81</v>
      </c>
    </row>
    <row r="33" spans="4:14" x14ac:dyDescent="0.25">
      <c r="D33" s="6" t="s">
        <v>311</v>
      </c>
      <c r="E33" s="6">
        <v>2023</v>
      </c>
      <c r="F33" s="6">
        <v>2</v>
      </c>
      <c r="G33" s="6">
        <v>1</v>
      </c>
      <c r="H33" s="6">
        <v>6</v>
      </c>
      <c r="I33" s="6">
        <v>106</v>
      </c>
      <c r="J33" s="6"/>
      <c r="K33" s="13">
        <v>45908</v>
      </c>
      <c r="L33">
        <v>81</v>
      </c>
      <c r="M33">
        <v>33</v>
      </c>
      <c r="N33" s="28">
        <v>0.407407407407407</v>
      </c>
    </row>
    <row r="34" spans="4:14" x14ac:dyDescent="0.25">
      <c r="D34" s="6" t="s">
        <v>311</v>
      </c>
      <c r="E34" s="6">
        <v>2023</v>
      </c>
      <c r="F34" s="6">
        <v>2</v>
      </c>
      <c r="G34" s="6">
        <v>1</v>
      </c>
      <c r="H34" s="6">
        <v>6</v>
      </c>
      <c r="I34" s="6">
        <v>106</v>
      </c>
      <c r="J34" s="6"/>
      <c r="K34" s="13">
        <v>45911</v>
      </c>
      <c r="L34">
        <v>81</v>
      </c>
      <c r="M34">
        <v>41</v>
      </c>
      <c r="N34" s="28">
        <v>0.50617283950617198</v>
      </c>
    </row>
    <row r="35" spans="4:14" x14ac:dyDescent="0.25">
      <c r="D35" s="6" t="s">
        <v>311</v>
      </c>
      <c r="E35" s="6">
        <v>2023</v>
      </c>
      <c r="F35" s="6">
        <v>2</v>
      </c>
      <c r="G35" s="6">
        <v>1</v>
      </c>
      <c r="H35" s="6">
        <v>6</v>
      </c>
      <c r="I35" s="6">
        <v>106</v>
      </c>
      <c r="J35" s="6"/>
      <c r="K35" s="13">
        <v>45915</v>
      </c>
      <c r="L35">
        <v>81</v>
      </c>
    </row>
    <row r="36" spans="4:14" x14ac:dyDescent="0.25">
      <c r="D36" s="6" t="s">
        <v>311</v>
      </c>
      <c r="E36" s="6">
        <v>2023</v>
      </c>
      <c r="F36" s="6">
        <v>2</v>
      </c>
      <c r="G36" s="6">
        <v>1</v>
      </c>
      <c r="H36" s="6">
        <v>6</v>
      </c>
      <c r="I36" s="6">
        <v>106</v>
      </c>
      <c r="J36" s="6"/>
      <c r="K36" s="13">
        <v>45918</v>
      </c>
      <c r="L36">
        <v>81</v>
      </c>
    </row>
    <row r="37" spans="4:14" x14ac:dyDescent="0.25">
      <c r="D37" s="6" t="s">
        <v>311</v>
      </c>
      <c r="E37" s="6">
        <v>2023</v>
      </c>
      <c r="F37" s="6">
        <v>2</v>
      </c>
      <c r="G37" s="6">
        <v>1</v>
      </c>
      <c r="H37" s="6">
        <v>6</v>
      </c>
      <c r="I37" s="6">
        <v>106</v>
      </c>
      <c r="J37" s="6"/>
      <c r="K37" s="13">
        <v>45922</v>
      </c>
      <c r="L37">
        <v>81</v>
      </c>
    </row>
    <row r="38" spans="4:14" x14ac:dyDescent="0.25">
      <c r="D38" s="6" t="s">
        <v>41</v>
      </c>
      <c r="E38" s="6">
        <v>2008</v>
      </c>
      <c r="F38" s="6">
        <v>2</v>
      </c>
      <c r="G38" s="6">
        <v>1</v>
      </c>
      <c r="H38" s="6">
        <v>7</v>
      </c>
      <c r="I38" s="6">
        <v>107</v>
      </c>
      <c r="J38" s="6"/>
      <c r="K38" s="13">
        <v>45887</v>
      </c>
      <c r="L38">
        <v>55</v>
      </c>
    </row>
    <row r="39" spans="4:14" x14ac:dyDescent="0.25">
      <c r="D39" s="6" t="s">
        <v>41</v>
      </c>
      <c r="E39" s="6">
        <v>2008</v>
      </c>
      <c r="F39" s="6">
        <v>2</v>
      </c>
      <c r="G39" s="6">
        <v>1</v>
      </c>
      <c r="H39" s="6">
        <v>7</v>
      </c>
      <c r="I39" s="6">
        <v>107</v>
      </c>
      <c r="J39" s="6"/>
      <c r="K39" s="13">
        <v>45908</v>
      </c>
      <c r="L39">
        <v>55</v>
      </c>
      <c r="M39">
        <v>15</v>
      </c>
      <c r="N39" s="28">
        <v>0.27272727272727199</v>
      </c>
    </row>
    <row r="40" spans="4:14" x14ac:dyDescent="0.25">
      <c r="D40" s="6" t="s">
        <v>41</v>
      </c>
      <c r="E40" s="6">
        <v>2008</v>
      </c>
      <c r="F40" s="6">
        <v>2</v>
      </c>
      <c r="G40" s="6">
        <v>1</v>
      </c>
      <c r="H40" s="6">
        <v>7</v>
      </c>
      <c r="I40" s="6">
        <v>107</v>
      </c>
      <c r="J40" s="6"/>
      <c r="K40" s="13">
        <v>45911</v>
      </c>
      <c r="L40">
        <v>55</v>
      </c>
      <c r="M40">
        <v>32</v>
      </c>
      <c r="N40" s="28">
        <v>0.58181818181818101</v>
      </c>
    </row>
    <row r="41" spans="4:14" x14ac:dyDescent="0.25">
      <c r="D41" s="6" t="s">
        <v>41</v>
      </c>
      <c r="E41" s="6">
        <v>2008</v>
      </c>
      <c r="F41" s="6">
        <v>2</v>
      </c>
      <c r="G41" s="6">
        <v>1</v>
      </c>
      <c r="H41" s="6">
        <v>7</v>
      </c>
      <c r="I41" s="6">
        <v>107</v>
      </c>
      <c r="J41" s="6"/>
      <c r="K41" s="13">
        <v>45915</v>
      </c>
      <c r="L41">
        <v>55</v>
      </c>
    </row>
    <row r="42" spans="4:14" x14ac:dyDescent="0.25">
      <c r="D42" s="6" t="s">
        <v>41</v>
      </c>
      <c r="E42" s="6">
        <v>2008</v>
      </c>
      <c r="F42" s="6">
        <v>2</v>
      </c>
      <c r="G42" s="6">
        <v>1</v>
      </c>
      <c r="H42" s="6">
        <v>7</v>
      </c>
      <c r="I42" s="6">
        <v>107</v>
      </c>
      <c r="J42" s="6"/>
      <c r="K42" s="13">
        <v>45918</v>
      </c>
      <c r="L42">
        <v>55</v>
      </c>
    </row>
    <row r="43" spans="4:14" x14ac:dyDescent="0.25">
      <c r="D43" s="6" t="s">
        <v>41</v>
      </c>
      <c r="E43" s="6">
        <v>2008</v>
      </c>
      <c r="F43" s="6">
        <v>2</v>
      </c>
      <c r="G43" s="6">
        <v>1</v>
      </c>
      <c r="H43" s="6">
        <v>7</v>
      </c>
      <c r="I43" s="6">
        <v>107</v>
      </c>
      <c r="J43" s="6"/>
      <c r="K43" s="13">
        <v>45922</v>
      </c>
      <c r="L43">
        <v>55</v>
      </c>
    </row>
    <row r="44" spans="4:14" x14ac:dyDescent="0.25">
      <c r="D44" s="6" t="s">
        <v>318</v>
      </c>
      <c r="E44" s="6">
        <v>2004</v>
      </c>
      <c r="F44" s="6">
        <v>2</v>
      </c>
      <c r="G44" s="6">
        <v>1</v>
      </c>
      <c r="H44" s="6">
        <v>8</v>
      </c>
      <c r="I44" s="6">
        <v>108</v>
      </c>
      <c r="J44" s="6"/>
      <c r="K44" s="13">
        <v>45887</v>
      </c>
      <c r="L44">
        <v>51</v>
      </c>
    </row>
    <row r="45" spans="4:14" x14ac:dyDescent="0.25">
      <c r="D45" s="6" t="s">
        <v>318</v>
      </c>
      <c r="E45" s="6">
        <v>2004</v>
      </c>
      <c r="F45" s="6">
        <v>2</v>
      </c>
      <c r="G45" s="6">
        <v>1</v>
      </c>
      <c r="H45" s="6">
        <v>8</v>
      </c>
      <c r="I45" s="6">
        <v>108</v>
      </c>
      <c r="J45" s="6"/>
      <c r="K45" s="13">
        <v>45908</v>
      </c>
      <c r="L45">
        <v>51</v>
      </c>
    </row>
    <row r="46" spans="4:14" x14ac:dyDescent="0.25">
      <c r="D46" s="6" t="s">
        <v>318</v>
      </c>
      <c r="E46" s="6">
        <v>2004</v>
      </c>
      <c r="F46" s="6">
        <v>2</v>
      </c>
      <c r="G46" s="6">
        <v>1</v>
      </c>
      <c r="H46" s="6">
        <v>8</v>
      </c>
      <c r="I46" s="6">
        <v>108</v>
      </c>
      <c r="J46" s="6"/>
      <c r="K46" s="13">
        <v>45911</v>
      </c>
      <c r="L46">
        <v>51</v>
      </c>
      <c r="M46">
        <v>8</v>
      </c>
      <c r="N46" s="28">
        <v>0.15686274509803899</v>
      </c>
    </row>
    <row r="47" spans="4:14" x14ac:dyDescent="0.25">
      <c r="D47" s="6" t="s">
        <v>318</v>
      </c>
      <c r="E47" s="6">
        <v>2004</v>
      </c>
      <c r="F47" s="6">
        <v>2</v>
      </c>
      <c r="G47" s="6">
        <v>1</v>
      </c>
      <c r="H47" s="6">
        <v>8</v>
      </c>
      <c r="I47" s="6">
        <v>108</v>
      </c>
      <c r="J47" s="6"/>
      <c r="K47" s="13">
        <v>45915</v>
      </c>
      <c r="L47">
        <v>51</v>
      </c>
      <c r="M47">
        <v>24</v>
      </c>
      <c r="N47" s="28">
        <v>0.47058823529411697</v>
      </c>
    </row>
    <row r="48" spans="4:14" x14ac:dyDescent="0.25">
      <c r="D48" s="6" t="s">
        <v>318</v>
      </c>
      <c r="E48" s="6">
        <v>2004</v>
      </c>
      <c r="F48" s="6">
        <v>2</v>
      </c>
      <c r="G48" s="6">
        <v>1</v>
      </c>
      <c r="H48" s="6">
        <v>8</v>
      </c>
      <c r="I48" s="6">
        <v>108</v>
      </c>
      <c r="J48" s="6"/>
      <c r="K48" s="13">
        <v>45918</v>
      </c>
      <c r="L48">
        <v>51</v>
      </c>
      <c r="M48">
        <v>32</v>
      </c>
      <c r="N48" s="28">
        <v>0.62745098039215597</v>
      </c>
    </row>
    <row r="49" spans="4:14" x14ac:dyDescent="0.25">
      <c r="D49" s="6" t="s">
        <v>318</v>
      </c>
      <c r="E49" s="6">
        <v>2004</v>
      </c>
      <c r="F49" s="6">
        <v>2</v>
      </c>
      <c r="G49" s="6">
        <v>1</v>
      </c>
      <c r="H49" s="6">
        <v>8</v>
      </c>
      <c r="I49" s="6">
        <v>108</v>
      </c>
      <c r="J49" s="6"/>
      <c r="K49" s="13">
        <v>45922</v>
      </c>
      <c r="L49">
        <v>51</v>
      </c>
    </row>
    <row r="50" spans="4:14" x14ac:dyDescent="0.25">
      <c r="D50" s="6" t="s">
        <v>26</v>
      </c>
      <c r="E50" s="6">
        <v>1983</v>
      </c>
      <c r="F50" s="6">
        <v>3</v>
      </c>
      <c r="G50" s="6">
        <v>1</v>
      </c>
      <c r="H50" s="6">
        <v>9</v>
      </c>
      <c r="I50" s="6">
        <v>109</v>
      </c>
      <c r="J50" s="6"/>
      <c r="K50" s="13">
        <v>45887</v>
      </c>
      <c r="L50">
        <v>90</v>
      </c>
    </row>
    <row r="51" spans="4:14" x14ac:dyDescent="0.25">
      <c r="D51" s="6" t="s">
        <v>26</v>
      </c>
      <c r="E51" s="6">
        <v>1983</v>
      </c>
      <c r="F51" s="6">
        <v>3</v>
      </c>
      <c r="G51" s="6">
        <v>1</v>
      </c>
      <c r="H51" s="6">
        <v>9</v>
      </c>
      <c r="I51" s="6">
        <v>109</v>
      </c>
      <c r="J51" s="6"/>
      <c r="K51" s="13">
        <v>45908</v>
      </c>
      <c r="L51">
        <v>90</v>
      </c>
    </row>
    <row r="52" spans="4:14" x14ac:dyDescent="0.25">
      <c r="D52" s="6" t="s">
        <v>26</v>
      </c>
      <c r="E52" s="6">
        <v>1983</v>
      </c>
      <c r="F52" s="6">
        <v>3</v>
      </c>
      <c r="G52" s="6">
        <v>1</v>
      </c>
      <c r="H52" s="6">
        <v>9</v>
      </c>
      <c r="I52" s="6">
        <v>109</v>
      </c>
      <c r="J52" s="6"/>
      <c r="K52" s="13">
        <v>45911</v>
      </c>
      <c r="L52">
        <v>90</v>
      </c>
      <c r="M52">
        <v>21</v>
      </c>
      <c r="N52" s="28">
        <v>0.233333333333333</v>
      </c>
    </row>
    <row r="53" spans="4:14" x14ac:dyDescent="0.25">
      <c r="D53" s="6" t="s">
        <v>26</v>
      </c>
      <c r="E53" s="6">
        <v>1983</v>
      </c>
      <c r="F53" s="6">
        <v>3</v>
      </c>
      <c r="G53" s="6">
        <v>1</v>
      </c>
      <c r="H53" s="6">
        <v>9</v>
      </c>
      <c r="I53" s="6">
        <v>109</v>
      </c>
      <c r="J53" s="6"/>
      <c r="K53" s="13">
        <v>45915</v>
      </c>
      <c r="L53">
        <v>90</v>
      </c>
      <c r="M53">
        <v>35</v>
      </c>
      <c r="N53" s="28">
        <v>0.38888888888888801</v>
      </c>
    </row>
    <row r="54" spans="4:14" x14ac:dyDescent="0.25">
      <c r="D54" s="6" t="s">
        <v>26</v>
      </c>
      <c r="E54" s="6">
        <v>1983</v>
      </c>
      <c r="F54" s="6">
        <v>3</v>
      </c>
      <c r="G54" s="6">
        <v>1</v>
      </c>
      <c r="H54" s="6">
        <v>9</v>
      </c>
      <c r="I54" s="6">
        <v>109</v>
      </c>
      <c r="J54" s="6"/>
      <c r="K54" s="13">
        <v>45918</v>
      </c>
      <c r="L54">
        <v>90</v>
      </c>
      <c r="M54">
        <v>50</v>
      </c>
      <c r="N54" s="28">
        <v>0.55555555555555503</v>
      </c>
    </row>
    <row r="55" spans="4:14" x14ac:dyDescent="0.25">
      <c r="D55" s="6" t="s">
        <v>26</v>
      </c>
      <c r="E55" s="6">
        <v>1983</v>
      </c>
      <c r="F55" s="6">
        <v>3</v>
      </c>
      <c r="G55" s="6">
        <v>1</v>
      </c>
      <c r="H55" s="6">
        <v>9</v>
      </c>
      <c r="I55" s="6">
        <v>109</v>
      </c>
      <c r="J55" s="6"/>
      <c r="K55" s="13">
        <v>45922</v>
      </c>
      <c r="L55">
        <v>90</v>
      </c>
    </row>
    <row r="56" spans="4:14" x14ac:dyDescent="0.25">
      <c r="D56" s="6" t="s">
        <v>313</v>
      </c>
      <c r="E56" s="6">
        <v>2016</v>
      </c>
      <c r="F56" s="6">
        <v>3</v>
      </c>
      <c r="G56" s="6">
        <v>1</v>
      </c>
      <c r="H56" s="6">
        <v>10</v>
      </c>
      <c r="I56" s="6">
        <v>110</v>
      </c>
      <c r="J56" s="6"/>
      <c r="K56" s="13">
        <v>45887</v>
      </c>
      <c r="L56">
        <v>86</v>
      </c>
    </row>
    <row r="57" spans="4:14" x14ac:dyDescent="0.25">
      <c r="D57" s="6" t="s">
        <v>313</v>
      </c>
      <c r="E57" s="6">
        <v>2016</v>
      </c>
      <c r="F57" s="6">
        <v>3</v>
      </c>
      <c r="G57" s="6">
        <v>1</v>
      </c>
      <c r="H57" s="6">
        <v>10</v>
      </c>
      <c r="I57" s="6">
        <v>110</v>
      </c>
      <c r="J57" s="6"/>
      <c r="K57" s="13">
        <v>45908</v>
      </c>
      <c r="L57">
        <v>86</v>
      </c>
    </row>
    <row r="58" spans="4:14" x14ac:dyDescent="0.25">
      <c r="D58" s="6" t="s">
        <v>313</v>
      </c>
      <c r="E58" s="6">
        <v>2016</v>
      </c>
      <c r="F58" s="6">
        <v>3</v>
      </c>
      <c r="G58" s="6">
        <v>1</v>
      </c>
      <c r="H58" s="6">
        <v>10</v>
      </c>
      <c r="I58" s="6">
        <v>110</v>
      </c>
      <c r="J58" s="6"/>
      <c r="K58" s="13">
        <v>45911</v>
      </c>
      <c r="L58">
        <v>86</v>
      </c>
      <c r="M58">
        <v>3</v>
      </c>
      <c r="N58" s="28">
        <v>3.4883720930232502E-2</v>
      </c>
    </row>
    <row r="59" spans="4:14" x14ac:dyDescent="0.25">
      <c r="D59" s="6" t="s">
        <v>313</v>
      </c>
      <c r="E59" s="6">
        <v>2016</v>
      </c>
      <c r="F59" s="6">
        <v>3</v>
      </c>
      <c r="G59" s="6">
        <v>1</v>
      </c>
      <c r="H59" s="6">
        <v>10</v>
      </c>
      <c r="I59" s="6">
        <v>110</v>
      </c>
      <c r="J59" s="6"/>
      <c r="K59" s="13">
        <v>45915</v>
      </c>
      <c r="L59">
        <v>86</v>
      </c>
      <c r="M59">
        <v>7</v>
      </c>
      <c r="N59" s="28">
        <v>8.1395348837209294E-2</v>
      </c>
    </row>
    <row r="60" spans="4:14" x14ac:dyDescent="0.25">
      <c r="D60" s="6" t="s">
        <v>313</v>
      </c>
      <c r="E60" s="6">
        <v>2016</v>
      </c>
      <c r="F60" s="6">
        <v>3</v>
      </c>
      <c r="G60" s="6">
        <v>1</v>
      </c>
      <c r="H60" s="6">
        <v>10</v>
      </c>
      <c r="I60" s="6">
        <v>110</v>
      </c>
      <c r="J60" s="6"/>
      <c r="K60" s="13">
        <v>45918</v>
      </c>
      <c r="L60">
        <v>86</v>
      </c>
      <c r="M60">
        <v>35</v>
      </c>
      <c r="N60" s="28">
        <v>0.40697674418604601</v>
      </c>
    </row>
    <row r="61" spans="4:14" x14ac:dyDescent="0.25">
      <c r="D61" s="6" t="s">
        <v>313</v>
      </c>
      <c r="E61" s="6">
        <v>2016</v>
      </c>
      <c r="F61" s="6">
        <v>3</v>
      </c>
      <c r="G61" s="6">
        <v>1</v>
      </c>
      <c r="H61" s="6">
        <v>10</v>
      </c>
      <c r="I61" s="6">
        <v>110</v>
      </c>
      <c r="J61" s="6"/>
      <c r="K61" s="13">
        <v>45922</v>
      </c>
      <c r="L61">
        <v>86</v>
      </c>
      <c r="M61">
        <v>46</v>
      </c>
      <c r="N61" s="28">
        <v>0.53488372093023195</v>
      </c>
    </row>
    <row r="62" spans="4:14" x14ac:dyDescent="0.25">
      <c r="D62" s="6" t="s">
        <v>42</v>
      </c>
      <c r="E62" s="6">
        <v>2016</v>
      </c>
      <c r="F62" s="6">
        <v>3</v>
      </c>
      <c r="G62" s="6">
        <v>1</v>
      </c>
      <c r="H62" s="6">
        <v>11</v>
      </c>
      <c r="I62" s="6">
        <v>111</v>
      </c>
      <c r="J62" s="6"/>
      <c r="K62" s="13">
        <v>45887</v>
      </c>
      <c r="L62">
        <v>62</v>
      </c>
    </row>
    <row r="63" spans="4:14" x14ac:dyDescent="0.25">
      <c r="D63" s="6" t="s">
        <v>42</v>
      </c>
      <c r="E63" s="6">
        <v>2016</v>
      </c>
      <c r="F63" s="6">
        <v>3</v>
      </c>
      <c r="G63" s="6">
        <v>1</v>
      </c>
      <c r="H63" s="6">
        <v>11</v>
      </c>
      <c r="I63" s="6">
        <v>111</v>
      </c>
      <c r="J63" s="6"/>
      <c r="K63" s="13">
        <v>45908</v>
      </c>
      <c r="L63">
        <v>62</v>
      </c>
      <c r="M63">
        <v>3</v>
      </c>
      <c r="N63" s="28">
        <v>4.8387096774193498E-2</v>
      </c>
    </row>
    <row r="64" spans="4:14" x14ac:dyDescent="0.25">
      <c r="D64" s="6" t="s">
        <v>42</v>
      </c>
      <c r="E64" s="6">
        <v>2016</v>
      </c>
      <c r="F64" s="6">
        <v>3</v>
      </c>
      <c r="G64" s="6">
        <v>1</v>
      </c>
      <c r="H64" s="6">
        <v>11</v>
      </c>
      <c r="I64" s="6">
        <v>111</v>
      </c>
      <c r="J64" s="6"/>
      <c r="K64" s="13">
        <v>45911</v>
      </c>
      <c r="L64">
        <v>62</v>
      </c>
      <c r="M64">
        <v>30</v>
      </c>
      <c r="N64" s="28">
        <v>0.483870967741935</v>
      </c>
    </row>
    <row r="65" spans="4:14" x14ac:dyDescent="0.25">
      <c r="D65" s="6" t="s">
        <v>42</v>
      </c>
      <c r="E65" s="6">
        <v>2016</v>
      </c>
      <c r="F65" s="6">
        <v>3</v>
      </c>
      <c r="G65" s="6">
        <v>1</v>
      </c>
      <c r="H65" s="6">
        <v>11</v>
      </c>
      <c r="I65" s="6">
        <v>111</v>
      </c>
      <c r="J65" s="6"/>
      <c r="K65" s="13">
        <v>45915</v>
      </c>
      <c r="L65">
        <v>62</v>
      </c>
      <c r="M65">
        <v>35</v>
      </c>
      <c r="N65" s="28">
        <v>0.56451612903225801</v>
      </c>
    </row>
    <row r="66" spans="4:14" x14ac:dyDescent="0.25">
      <c r="D66" s="6" t="s">
        <v>42</v>
      </c>
      <c r="E66" s="6">
        <v>2016</v>
      </c>
      <c r="F66" s="6">
        <v>3</v>
      </c>
      <c r="G66" s="6">
        <v>1</v>
      </c>
      <c r="H66" s="6">
        <v>11</v>
      </c>
      <c r="I66" s="6">
        <v>111</v>
      </c>
      <c r="J66" s="6"/>
      <c r="K66" s="13">
        <v>45918</v>
      </c>
      <c r="L66">
        <v>62</v>
      </c>
    </row>
    <row r="67" spans="4:14" x14ac:dyDescent="0.25">
      <c r="D67" s="6" t="s">
        <v>42</v>
      </c>
      <c r="E67" s="6">
        <v>2016</v>
      </c>
      <c r="F67" s="6">
        <v>3</v>
      </c>
      <c r="G67" s="6">
        <v>1</v>
      </c>
      <c r="H67" s="6">
        <v>11</v>
      </c>
      <c r="I67" s="6">
        <v>111</v>
      </c>
      <c r="J67" s="6"/>
      <c r="K67" s="13">
        <v>45922</v>
      </c>
      <c r="L67">
        <v>62</v>
      </c>
    </row>
    <row r="68" spans="4:14" x14ac:dyDescent="0.25">
      <c r="D68" s="6" t="s">
        <v>38</v>
      </c>
      <c r="E68" s="6">
        <v>1999</v>
      </c>
      <c r="F68" s="6">
        <v>3</v>
      </c>
      <c r="G68" s="6">
        <v>1</v>
      </c>
      <c r="H68" s="6">
        <v>12</v>
      </c>
      <c r="I68" s="6">
        <v>112</v>
      </c>
      <c r="J68" s="6"/>
      <c r="K68" s="13">
        <v>45887</v>
      </c>
      <c r="L68">
        <v>46</v>
      </c>
    </row>
    <row r="69" spans="4:14" x14ac:dyDescent="0.25">
      <c r="D69" s="6" t="s">
        <v>38</v>
      </c>
      <c r="E69" s="6">
        <v>1999</v>
      </c>
      <c r="F69" s="6">
        <v>3</v>
      </c>
      <c r="G69" s="6">
        <v>1</v>
      </c>
      <c r="H69" s="6">
        <v>12</v>
      </c>
      <c r="I69" s="6">
        <v>112</v>
      </c>
      <c r="J69" s="6"/>
      <c r="K69" s="13">
        <v>45908</v>
      </c>
      <c r="L69">
        <v>46</v>
      </c>
    </row>
    <row r="70" spans="4:14" x14ac:dyDescent="0.25">
      <c r="D70" s="6" t="s">
        <v>38</v>
      </c>
      <c r="E70" s="6">
        <v>1999</v>
      </c>
      <c r="F70" s="6">
        <v>3</v>
      </c>
      <c r="G70" s="6">
        <v>1</v>
      </c>
      <c r="H70" s="6">
        <v>12</v>
      </c>
      <c r="I70" s="6">
        <v>112</v>
      </c>
      <c r="J70" s="6"/>
      <c r="K70" s="13">
        <v>45911</v>
      </c>
      <c r="L70">
        <v>46</v>
      </c>
      <c r="M70">
        <v>10</v>
      </c>
      <c r="N70" s="28">
        <v>0.217391304347826</v>
      </c>
    </row>
    <row r="71" spans="4:14" x14ac:dyDescent="0.25">
      <c r="D71" s="6" t="s">
        <v>38</v>
      </c>
      <c r="E71" s="6">
        <v>1999</v>
      </c>
      <c r="F71" s="6">
        <v>3</v>
      </c>
      <c r="G71" s="6">
        <v>1</v>
      </c>
      <c r="H71" s="6">
        <v>12</v>
      </c>
      <c r="I71" s="6">
        <v>112</v>
      </c>
      <c r="J71" s="6"/>
      <c r="K71" s="13">
        <v>45915</v>
      </c>
      <c r="L71">
        <v>46</v>
      </c>
      <c r="M71">
        <v>29</v>
      </c>
      <c r="N71" s="28">
        <v>0.63043478260869501</v>
      </c>
    </row>
    <row r="72" spans="4:14" x14ac:dyDescent="0.25">
      <c r="D72" s="6" t="s">
        <v>38</v>
      </c>
      <c r="E72" s="6">
        <v>1999</v>
      </c>
      <c r="F72" s="6">
        <v>3</v>
      </c>
      <c r="G72" s="6">
        <v>1</v>
      </c>
      <c r="H72" s="6">
        <v>12</v>
      </c>
      <c r="I72" s="6">
        <v>112</v>
      </c>
      <c r="J72" s="6"/>
      <c r="K72" s="13">
        <v>45918</v>
      </c>
      <c r="L72">
        <v>46</v>
      </c>
    </row>
    <row r="73" spans="4:14" x14ac:dyDescent="0.25">
      <c r="D73" s="6" t="s">
        <v>38</v>
      </c>
      <c r="E73" s="6">
        <v>1999</v>
      </c>
      <c r="F73" s="6">
        <v>3</v>
      </c>
      <c r="G73" s="6">
        <v>1</v>
      </c>
      <c r="H73" s="6">
        <v>12</v>
      </c>
      <c r="I73" s="6">
        <v>112</v>
      </c>
      <c r="J73" s="6"/>
      <c r="K73" s="13">
        <v>45922</v>
      </c>
      <c r="L73">
        <v>46</v>
      </c>
    </row>
    <row r="74" spans="4:14" x14ac:dyDescent="0.25">
      <c r="D74" s="6" t="s">
        <v>32</v>
      </c>
      <c r="E74" s="6">
        <v>2018</v>
      </c>
      <c r="F74" s="6">
        <v>4</v>
      </c>
      <c r="G74" s="6">
        <v>1</v>
      </c>
      <c r="H74" s="6">
        <v>13</v>
      </c>
      <c r="I74" s="6">
        <v>113</v>
      </c>
      <c r="J74" s="6"/>
      <c r="K74" s="13">
        <v>45887</v>
      </c>
      <c r="L74">
        <v>66</v>
      </c>
    </row>
    <row r="75" spans="4:14" x14ac:dyDescent="0.25">
      <c r="D75" s="6" t="s">
        <v>32</v>
      </c>
      <c r="E75" s="6">
        <v>2018</v>
      </c>
      <c r="F75" s="6">
        <v>4</v>
      </c>
      <c r="G75" s="6">
        <v>1</v>
      </c>
      <c r="H75" s="6">
        <v>13</v>
      </c>
      <c r="I75" s="6">
        <v>113</v>
      </c>
      <c r="J75" s="6"/>
      <c r="K75" s="13">
        <v>45908</v>
      </c>
      <c r="L75">
        <v>66</v>
      </c>
    </row>
    <row r="76" spans="4:14" x14ac:dyDescent="0.25">
      <c r="D76" s="6" t="s">
        <v>32</v>
      </c>
      <c r="E76" s="6">
        <v>2018</v>
      </c>
      <c r="F76" s="6">
        <v>4</v>
      </c>
      <c r="G76" s="6">
        <v>1</v>
      </c>
      <c r="H76" s="6">
        <v>13</v>
      </c>
      <c r="I76" s="6">
        <v>113</v>
      </c>
      <c r="J76" s="6"/>
      <c r="K76" s="13">
        <v>45911</v>
      </c>
      <c r="L76">
        <v>66</v>
      </c>
    </row>
    <row r="77" spans="4:14" x14ac:dyDescent="0.25">
      <c r="D77" s="6" t="s">
        <v>32</v>
      </c>
      <c r="E77" s="6">
        <v>2018</v>
      </c>
      <c r="F77" s="6">
        <v>4</v>
      </c>
      <c r="G77" s="6">
        <v>1</v>
      </c>
      <c r="H77" s="6">
        <v>13</v>
      </c>
      <c r="I77" s="6">
        <v>113</v>
      </c>
      <c r="J77" s="6"/>
      <c r="K77" s="13">
        <v>45915</v>
      </c>
      <c r="L77">
        <v>66</v>
      </c>
      <c r="M77">
        <v>46</v>
      </c>
      <c r="N77" s="28">
        <v>0.69696969696969702</v>
      </c>
    </row>
    <row r="78" spans="4:14" x14ac:dyDescent="0.25">
      <c r="D78" s="6" t="s">
        <v>32</v>
      </c>
      <c r="E78" s="6">
        <v>2018</v>
      </c>
      <c r="F78" s="6">
        <v>4</v>
      </c>
      <c r="G78" s="6">
        <v>1</v>
      </c>
      <c r="H78" s="6">
        <v>13</v>
      </c>
      <c r="I78" s="6">
        <v>113</v>
      </c>
      <c r="J78" s="6"/>
      <c r="K78" s="13">
        <v>45918</v>
      </c>
      <c r="L78">
        <v>66</v>
      </c>
    </row>
    <row r="79" spans="4:14" x14ac:dyDescent="0.25">
      <c r="D79" s="6" t="s">
        <v>32</v>
      </c>
      <c r="E79" s="6">
        <v>2018</v>
      </c>
      <c r="F79" s="6">
        <v>4</v>
      </c>
      <c r="G79" s="6">
        <v>1</v>
      </c>
      <c r="H79" s="6">
        <v>13</v>
      </c>
      <c r="I79" s="6">
        <v>113</v>
      </c>
      <c r="J79" s="6"/>
      <c r="K79" s="13">
        <v>45922</v>
      </c>
      <c r="L79">
        <v>66</v>
      </c>
    </row>
    <row r="80" spans="4:14" x14ac:dyDescent="0.25">
      <c r="D80" s="6" t="s">
        <v>27</v>
      </c>
      <c r="E80" s="6">
        <v>1985</v>
      </c>
      <c r="F80" s="6">
        <v>4</v>
      </c>
      <c r="G80" s="6">
        <v>1</v>
      </c>
      <c r="H80" s="6">
        <v>14</v>
      </c>
      <c r="I80" s="6">
        <v>114</v>
      </c>
      <c r="J80" s="6"/>
      <c r="K80" s="13">
        <v>45887</v>
      </c>
      <c r="L80">
        <v>58</v>
      </c>
    </row>
    <row r="81" spans="1:14" x14ac:dyDescent="0.25">
      <c r="D81" s="6" t="s">
        <v>27</v>
      </c>
      <c r="E81" s="6">
        <v>1985</v>
      </c>
      <c r="F81" s="6">
        <v>4</v>
      </c>
      <c r="G81" s="6">
        <v>1</v>
      </c>
      <c r="H81" s="6">
        <v>14</v>
      </c>
      <c r="I81" s="6">
        <v>114</v>
      </c>
      <c r="J81" s="6"/>
      <c r="K81" s="13">
        <v>45908</v>
      </c>
      <c r="L81">
        <v>58</v>
      </c>
    </row>
    <row r="82" spans="1:14" x14ac:dyDescent="0.25">
      <c r="D82" s="6" t="s">
        <v>27</v>
      </c>
      <c r="E82" s="6">
        <v>1985</v>
      </c>
      <c r="F82" s="6">
        <v>4</v>
      </c>
      <c r="G82" s="6">
        <v>1</v>
      </c>
      <c r="H82" s="6">
        <v>14</v>
      </c>
      <c r="I82" s="6">
        <v>114</v>
      </c>
      <c r="J82" s="6"/>
      <c r="K82" s="13">
        <v>45911</v>
      </c>
      <c r="L82">
        <v>58</v>
      </c>
    </row>
    <row r="83" spans="1:14" x14ac:dyDescent="0.25">
      <c r="D83" s="6" t="s">
        <v>27</v>
      </c>
      <c r="E83" s="6">
        <v>1985</v>
      </c>
      <c r="F83" s="6">
        <v>4</v>
      </c>
      <c r="G83" s="6">
        <v>1</v>
      </c>
      <c r="H83" s="6">
        <v>14</v>
      </c>
      <c r="I83" s="6">
        <v>114</v>
      </c>
      <c r="J83" s="6"/>
      <c r="K83" s="13">
        <v>45915</v>
      </c>
      <c r="L83">
        <v>58</v>
      </c>
      <c r="M83">
        <v>15</v>
      </c>
      <c r="N83" s="28">
        <v>0.25862068965517199</v>
      </c>
    </row>
    <row r="84" spans="1:14" x14ac:dyDescent="0.25">
      <c r="D84" s="6" t="s">
        <v>27</v>
      </c>
      <c r="E84" s="6">
        <v>1985</v>
      </c>
      <c r="F84" s="6">
        <v>4</v>
      </c>
      <c r="G84" s="6">
        <v>1</v>
      </c>
      <c r="H84" s="6">
        <v>14</v>
      </c>
      <c r="I84" s="6">
        <v>114</v>
      </c>
      <c r="J84" s="6"/>
      <c r="K84" s="13">
        <v>45918</v>
      </c>
      <c r="L84">
        <v>58</v>
      </c>
      <c r="M84">
        <v>28</v>
      </c>
      <c r="N84" s="28">
        <v>0.48275862068965503</v>
      </c>
    </row>
    <row r="85" spans="1:14" x14ac:dyDescent="0.25">
      <c r="D85" s="6" t="s">
        <v>27</v>
      </c>
      <c r="E85" s="6">
        <v>1985</v>
      </c>
      <c r="F85" s="6">
        <v>4</v>
      </c>
      <c r="G85" s="6">
        <v>1</v>
      </c>
      <c r="H85" s="6">
        <v>14</v>
      </c>
      <c r="I85" s="6">
        <v>114</v>
      </c>
      <c r="J85" s="6"/>
      <c r="K85" s="13">
        <v>45922</v>
      </c>
      <c r="L85">
        <v>58</v>
      </c>
      <c r="M85">
        <v>34</v>
      </c>
      <c r="N85" s="28">
        <v>0.58620689655172398</v>
      </c>
    </row>
    <row r="86" spans="1:14" x14ac:dyDescent="0.25">
      <c r="D86" s="6" t="s">
        <v>36</v>
      </c>
      <c r="E86" s="6">
        <v>1984</v>
      </c>
      <c r="F86" s="6">
        <v>4</v>
      </c>
      <c r="G86" s="6">
        <v>1</v>
      </c>
      <c r="H86" s="6">
        <v>15</v>
      </c>
      <c r="I86" s="6">
        <v>115</v>
      </c>
      <c r="J86" s="6"/>
      <c r="K86" s="13">
        <v>45887</v>
      </c>
      <c r="L86">
        <v>48</v>
      </c>
    </row>
    <row r="87" spans="1:14" x14ac:dyDescent="0.25">
      <c r="D87" s="6" t="s">
        <v>36</v>
      </c>
      <c r="E87" s="6">
        <v>1984</v>
      </c>
      <c r="F87" s="6">
        <v>4</v>
      </c>
      <c r="G87" s="6">
        <v>1</v>
      </c>
      <c r="H87" s="6">
        <v>15</v>
      </c>
      <c r="I87" s="6">
        <v>115</v>
      </c>
      <c r="J87" s="6"/>
      <c r="K87" s="13">
        <v>45908</v>
      </c>
      <c r="L87">
        <v>48</v>
      </c>
    </row>
    <row r="88" spans="1:14" x14ac:dyDescent="0.25">
      <c r="D88" s="6" t="s">
        <v>36</v>
      </c>
      <c r="E88" s="6">
        <v>1984</v>
      </c>
      <c r="F88" s="6">
        <v>4</v>
      </c>
      <c r="G88" s="6">
        <v>1</v>
      </c>
      <c r="H88" s="6">
        <v>15</v>
      </c>
      <c r="I88" s="6">
        <v>115</v>
      </c>
      <c r="J88" s="6"/>
      <c r="K88" s="13">
        <v>45911</v>
      </c>
      <c r="L88">
        <v>48</v>
      </c>
    </row>
    <row r="89" spans="1:14" x14ac:dyDescent="0.25">
      <c r="D89" s="6" t="s">
        <v>36</v>
      </c>
      <c r="E89" s="6">
        <v>1984</v>
      </c>
      <c r="F89" s="55">
        <v>4</v>
      </c>
      <c r="G89" s="55">
        <v>1</v>
      </c>
      <c r="H89" s="55">
        <v>15</v>
      </c>
      <c r="I89" s="6">
        <v>115</v>
      </c>
      <c r="J89" s="6"/>
      <c r="K89" s="13">
        <v>45915</v>
      </c>
      <c r="L89">
        <v>48</v>
      </c>
      <c r="M89">
        <v>25</v>
      </c>
      <c r="N89" s="28">
        <v>0.52083333333333304</v>
      </c>
    </row>
    <row r="90" spans="1:14" x14ac:dyDescent="0.25">
      <c r="A90" s="54"/>
      <c r="B90" s="54"/>
      <c r="C90" s="55"/>
      <c r="D90" s="54" t="s">
        <v>36</v>
      </c>
      <c r="E90" s="54">
        <v>1984</v>
      </c>
      <c r="F90" s="6">
        <v>4</v>
      </c>
      <c r="G90" s="6">
        <v>1</v>
      </c>
      <c r="H90" s="6">
        <v>15</v>
      </c>
      <c r="I90" s="55">
        <v>115</v>
      </c>
      <c r="J90" s="6"/>
      <c r="K90" s="13">
        <v>45918</v>
      </c>
      <c r="L90">
        <v>48</v>
      </c>
    </row>
    <row r="91" spans="1:14" x14ac:dyDescent="0.25">
      <c r="D91" s="6" t="s">
        <v>36</v>
      </c>
      <c r="E91" s="6">
        <v>1984</v>
      </c>
      <c r="F91" s="6">
        <v>4</v>
      </c>
      <c r="G91" s="6">
        <v>1</v>
      </c>
      <c r="H91" s="6">
        <v>15</v>
      </c>
      <c r="I91" s="6">
        <v>115</v>
      </c>
      <c r="J91" s="6"/>
      <c r="K91" s="13">
        <v>45922</v>
      </c>
      <c r="L91">
        <v>48</v>
      </c>
    </row>
    <row r="92" spans="1:14" x14ac:dyDescent="0.25">
      <c r="D92" s="6" t="s">
        <v>43</v>
      </c>
      <c r="E92" s="6">
        <v>2020</v>
      </c>
      <c r="F92" s="6">
        <v>4</v>
      </c>
      <c r="G92" s="6">
        <v>1</v>
      </c>
      <c r="H92" s="6">
        <v>16</v>
      </c>
      <c r="I92" s="6">
        <v>116</v>
      </c>
      <c r="J92" s="6"/>
      <c r="K92" s="13">
        <v>45887</v>
      </c>
      <c r="L92">
        <v>32</v>
      </c>
    </row>
    <row r="93" spans="1:14" x14ac:dyDescent="0.25">
      <c r="D93" s="6" t="s">
        <v>43</v>
      </c>
      <c r="E93" s="6">
        <v>2020</v>
      </c>
      <c r="F93" s="6">
        <v>4</v>
      </c>
      <c r="G93" s="6">
        <v>1</v>
      </c>
      <c r="H93" s="6">
        <v>16</v>
      </c>
      <c r="I93" s="6">
        <v>116</v>
      </c>
      <c r="J93" s="6"/>
      <c r="K93" s="13">
        <v>45908</v>
      </c>
      <c r="L93">
        <v>32</v>
      </c>
    </row>
    <row r="94" spans="1:14" x14ac:dyDescent="0.25">
      <c r="D94" s="6" t="s">
        <v>43</v>
      </c>
      <c r="E94" s="6">
        <v>2020</v>
      </c>
      <c r="F94" s="6">
        <v>4</v>
      </c>
      <c r="G94" s="6">
        <v>1</v>
      </c>
      <c r="H94" s="6">
        <v>16</v>
      </c>
      <c r="I94" s="6">
        <v>116</v>
      </c>
      <c r="J94" s="6"/>
      <c r="K94" s="13">
        <v>45911</v>
      </c>
      <c r="L94">
        <v>32</v>
      </c>
    </row>
    <row r="95" spans="1:14" x14ac:dyDescent="0.25">
      <c r="D95" s="6" t="s">
        <v>43</v>
      </c>
      <c r="E95" s="6">
        <v>2020</v>
      </c>
      <c r="F95" s="6">
        <v>4</v>
      </c>
      <c r="G95" s="6">
        <v>1</v>
      </c>
      <c r="H95" s="6">
        <v>16</v>
      </c>
      <c r="I95" s="6">
        <v>116</v>
      </c>
      <c r="J95" s="6"/>
      <c r="K95" s="13">
        <v>45915</v>
      </c>
      <c r="L95">
        <v>32</v>
      </c>
      <c r="M95">
        <v>24</v>
      </c>
      <c r="N95" s="28">
        <v>0.75</v>
      </c>
    </row>
    <row r="96" spans="1:14" x14ac:dyDescent="0.25">
      <c r="D96" s="6" t="s">
        <v>43</v>
      </c>
      <c r="E96" s="6">
        <v>2020</v>
      </c>
      <c r="F96" s="6">
        <v>4</v>
      </c>
      <c r="G96" s="6">
        <v>1</v>
      </c>
      <c r="H96" s="6">
        <v>16</v>
      </c>
      <c r="I96" s="6">
        <v>116</v>
      </c>
      <c r="J96" s="6"/>
      <c r="K96" s="13">
        <v>45918</v>
      </c>
      <c r="L96">
        <v>32</v>
      </c>
    </row>
    <row r="97" spans="4:14" x14ac:dyDescent="0.25">
      <c r="D97" s="6" t="s">
        <v>43</v>
      </c>
      <c r="E97" s="6">
        <v>2020</v>
      </c>
      <c r="F97" s="6">
        <v>4</v>
      </c>
      <c r="G97" s="6">
        <v>1</v>
      </c>
      <c r="H97" s="6">
        <v>16</v>
      </c>
      <c r="I97" s="6">
        <v>116</v>
      </c>
      <c r="J97" s="6"/>
      <c r="K97" s="13">
        <v>45922</v>
      </c>
      <c r="L97">
        <v>32</v>
      </c>
    </row>
    <row r="98" spans="4:14" x14ac:dyDescent="0.25">
      <c r="D98" s="6" t="s">
        <v>313</v>
      </c>
      <c r="E98" s="6">
        <v>2016</v>
      </c>
      <c r="F98" s="6">
        <v>1</v>
      </c>
      <c r="G98" s="6">
        <v>2</v>
      </c>
      <c r="H98" s="6">
        <v>1</v>
      </c>
      <c r="I98" s="6">
        <v>117</v>
      </c>
      <c r="J98" s="6"/>
      <c r="K98" s="13">
        <v>45887</v>
      </c>
      <c r="L98">
        <v>69</v>
      </c>
      <c r="M98">
        <v>0</v>
      </c>
      <c r="N98" s="28">
        <v>0</v>
      </c>
    </row>
    <row r="99" spans="4:14" x14ac:dyDescent="0.25">
      <c r="D99" s="6" t="s">
        <v>313</v>
      </c>
      <c r="E99" s="6">
        <v>2016</v>
      </c>
      <c r="F99" s="6">
        <v>1</v>
      </c>
      <c r="G99" s="6">
        <v>2</v>
      </c>
      <c r="H99" s="6">
        <v>1</v>
      </c>
      <c r="I99" s="6">
        <v>117</v>
      </c>
      <c r="J99" s="6"/>
      <c r="K99" s="13">
        <v>45908</v>
      </c>
      <c r="L99">
        <v>69</v>
      </c>
    </row>
    <row r="100" spans="4:14" x14ac:dyDescent="0.25">
      <c r="D100" s="6" t="s">
        <v>313</v>
      </c>
      <c r="E100" s="6">
        <v>2016</v>
      </c>
      <c r="F100" s="6">
        <v>1</v>
      </c>
      <c r="G100" s="6">
        <v>2</v>
      </c>
      <c r="H100" s="6">
        <v>1</v>
      </c>
      <c r="I100" s="6">
        <v>117</v>
      </c>
      <c r="J100" s="6"/>
      <c r="K100" s="13">
        <v>45911</v>
      </c>
      <c r="L100">
        <v>69</v>
      </c>
      <c r="M100">
        <v>2</v>
      </c>
      <c r="N100" s="28">
        <v>2.8985507246376802E-2</v>
      </c>
    </row>
    <row r="101" spans="4:14" x14ac:dyDescent="0.25">
      <c r="D101" s="6" t="s">
        <v>313</v>
      </c>
      <c r="E101" s="6">
        <v>2016</v>
      </c>
      <c r="F101" s="6">
        <v>1</v>
      </c>
      <c r="G101" s="6">
        <v>2</v>
      </c>
      <c r="H101" s="6">
        <v>1</v>
      </c>
      <c r="I101" s="6">
        <v>117</v>
      </c>
      <c r="J101" s="6"/>
      <c r="K101" s="13">
        <v>45915</v>
      </c>
      <c r="L101">
        <v>69</v>
      </c>
      <c r="M101">
        <v>10</v>
      </c>
      <c r="N101" s="28">
        <v>0.14492753623188401</v>
      </c>
    </row>
    <row r="102" spans="4:14" x14ac:dyDescent="0.25">
      <c r="D102" s="6" t="s">
        <v>313</v>
      </c>
      <c r="E102" s="6">
        <v>2016</v>
      </c>
      <c r="F102" s="6">
        <v>1</v>
      </c>
      <c r="G102" s="6">
        <v>2</v>
      </c>
      <c r="H102" s="6">
        <v>1</v>
      </c>
      <c r="I102" s="6">
        <v>117</v>
      </c>
      <c r="J102" s="6"/>
      <c r="K102" s="13">
        <v>45918</v>
      </c>
      <c r="L102">
        <v>69</v>
      </c>
      <c r="M102">
        <v>20</v>
      </c>
      <c r="N102" s="28">
        <v>0.28985507246376802</v>
      </c>
    </row>
    <row r="103" spans="4:14" x14ac:dyDescent="0.25">
      <c r="D103" s="6" t="s">
        <v>313</v>
      </c>
      <c r="E103" s="6">
        <v>2016</v>
      </c>
      <c r="F103" s="6">
        <v>1</v>
      </c>
      <c r="G103" s="6">
        <v>2</v>
      </c>
      <c r="H103" s="6">
        <v>1</v>
      </c>
      <c r="I103" s="6">
        <v>117</v>
      </c>
      <c r="J103" s="6"/>
      <c r="K103" s="13">
        <v>45922</v>
      </c>
      <c r="L103">
        <v>69</v>
      </c>
      <c r="M103">
        <v>35</v>
      </c>
      <c r="N103" s="28">
        <v>0.50724637681159401</v>
      </c>
    </row>
    <row r="104" spans="4:14" x14ac:dyDescent="0.25">
      <c r="D104" s="6" t="s">
        <v>311</v>
      </c>
      <c r="E104" s="6">
        <v>2023</v>
      </c>
      <c r="F104" s="6">
        <v>1</v>
      </c>
      <c r="G104" s="6">
        <v>2</v>
      </c>
      <c r="H104" s="6">
        <v>2</v>
      </c>
      <c r="I104" s="6">
        <v>118</v>
      </c>
      <c r="J104" s="6"/>
      <c r="K104" s="13">
        <v>45887</v>
      </c>
      <c r="L104">
        <v>84</v>
      </c>
      <c r="M104">
        <v>0</v>
      </c>
      <c r="N104" s="28">
        <v>0</v>
      </c>
    </row>
    <row r="105" spans="4:14" x14ac:dyDescent="0.25">
      <c r="D105" s="6" t="s">
        <v>311</v>
      </c>
      <c r="E105" s="6">
        <v>2023</v>
      </c>
      <c r="F105" s="6">
        <v>1</v>
      </c>
      <c r="G105" s="6">
        <v>2</v>
      </c>
      <c r="H105" s="6">
        <v>2</v>
      </c>
      <c r="I105" s="6">
        <v>118</v>
      </c>
      <c r="J105" s="6"/>
      <c r="K105" s="13">
        <v>45908</v>
      </c>
      <c r="L105">
        <v>84</v>
      </c>
      <c r="M105">
        <v>32</v>
      </c>
      <c r="N105" s="28">
        <v>0.38095238095237999</v>
      </c>
    </row>
    <row r="106" spans="4:14" x14ac:dyDescent="0.25">
      <c r="D106" s="6" t="s">
        <v>311</v>
      </c>
      <c r="E106" s="6">
        <v>2023</v>
      </c>
      <c r="F106" s="6">
        <v>1</v>
      </c>
      <c r="G106" s="6">
        <v>2</v>
      </c>
      <c r="H106" s="6">
        <v>2</v>
      </c>
      <c r="I106" s="6">
        <v>118</v>
      </c>
      <c r="J106" s="6"/>
      <c r="K106" s="13">
        <v>45911</v>
      </c>
      <c r="L106">
        <v>84</v>
      </c>
      <c r="M106">
        <v>48</v>
      </c>
      <c r="N106" s="28">
        <v>0.57142857142857095</v>
      </c>
    </row>
    <row r="107" spans="4:14" x14ac:dyDescent="0.25">
      <c r="D107" s="6" t="s">
        <v>311</v>
      </c>
      <c r="E107" s="6">
        <v>2023</v>
      </c>
      <c r="F107" s="6">
        <v>1</v>
      </c>
      <c r="G107" s="6">
        <v>2</v>
      </c>
      <c r="H107" s="6">
        <v>2</v>
      </c>
      <c r="I107" s="6">
        <v>118</v>
      </c>
      <c r="J107" s="6"/>
      <c r="K107" s="13">
        <v>45915</v>
      </c>
      <c r="L107">
        <v>84</v>
      </c>
    </row>
    <row r="108" spans="4:14" x14ac:dyDescent="0.25">
      <c r="D108" s="6" t="s">
        <v>311</v>
      </c>
      <c r="E108" s="6">
        <v>2023</v>
      </c>
      <c r="F108" s="6">
        <v>1</v>
      </c>
      <c r="G108" s="6">
        <v>2</v>
      </c>
      <c r="H108" s="6">
        <v>2</v>
      </c>
      <c r="I108" s="6">
        <v>118</v>
      </c>
      <c r="J108" s="6"/>
      <c r="K108" s="13">
        <v>45918</v>
      </c>
      <c r="L108">
        <v>84</v>
      </c>
    </row>
    <row r="109" spans="4:14" x14ac:dyDescent="0.25">
      <c r="D109" s="6" t="s">
        <v>311</v>
      </c>
      <c r="E109" s="6">
        <v>2023</v>
      </c>
      <c r="F109" s="6">
        <v>1</v>
      </c>
      <c r="G109" s="6">
        <v>2</v>
      </c>
      <c r="H109" s="6">
        <v>2</v>
      </c>
      <c r="I109" s="6">
        <v>118</v>
      </c>
      <c r="J109" s="6"/>
      <c r="K109" s="13">
        <v>45922</v>
      </c>
      <c r="L109">
        <v>84</v>
      </c>
    </row>
    <row r="110" spans="4:14" x14ac:dyDescent="0.25">
      <c r="D110" s="6" t="s">
        <v>318</v>
      </c>
      <c r="E110" s="6">
        <v>2004</v>
      </c>
      <c r="F110" s="6">
        <v>1</v>
      </c>
      <c r="G110" s="6">
        <v>2</v>
      </c>
      <c r="H110" s="6">
        <v>3</v>
      </c>
      <c r="I110" s="6">
        <v>119</v>
      </c>
      <c r="J110" s="6"/>
      <c r="K110" s="13">
        <v>45887</v>
      </c>
      <c r="L110">
        <v>49</v>
      </c>
      <c r="M110">
        <v>0</v>
      </c>
      <c r="N110" s="28">
        <v>0</v>
      </c>
    </row>
    <row r="111" spans="4:14" x14ac:dyDescent="0.25">
      <c r="D111" s="6" t="s">
        <v>318</v>
      </c>
      <c r="E111" s="6">
        <v>2004</v>
      </c>
      <c r="F111" s="6">
        <v>1</v>
      </c>
      <c r="G111" s="6">
        <v>2</v>
      </c>
      <c r="H111" s="6">
        <v>3</v>
      </c>
      <c r="I111" s="6">
        <v>119</v>
      </c>
      <c r="J111" s="6"/>
      <c r="K111" s="13">
        <v>45908</v>
      </c>
      <c r="L111">
        <v>49</v>
      </c>
    </row>
    <row r="112" spans="4:14" x14ac:dyDescent="0.25">
      <c r="D112" s="6" t="s">
        <v>318</v>
      </c>
      <c r="E112" s="6">
        <v>2004</v>
      </c>
      <c r="F112" s="6">
        <v>1</v>
      </c>
      <c r="G112" s="6">
        <v>2</v>
      </c>
      <c r="H112" s="6">
        <v>3</v>
      </c>
      <c r="I112" s="6">
        <v>119</v>
      </c>
      <c r="J112" s="6"/>
      <c r="K112" s="13">
        <v>45911</v>
      </c>
      <c r="L112">
        <v>49</v>
      </c>
      <c r="M112">
        <v>10</v>
      </c>
      <c r="N112" s="28">
        <v>0.20408163265306101</v>
      </c>
    </row>
    <row r="113" spans="4:14" x14ac:dyDescent="0.25">
      <c r="D113" s="6" t="s">
        <v>318</v>
      </c>
      <c r="E113" s="6">
        <v>2004</v>
      </c>
      <c r="F113" s="6">
        <v>1</v>
      </c>
      <c r="G113" s="6">
        <v>2</v>
      </c>
      <c r="H113" s="6">
        <v>3</v>
      </c>
      <c r="I113" s="6">
        <v>119</v>
      </c>
      <c r="J113" s="6"/>
      <c r="K113" s="13">
        <v>45915</v>
      </c>
      <c r="L113">
        <v>49</v>
      </c>
      <c r="M113">
        <v>25</v>
      </c>
      <c r="N113" s="28">
        <v>0.51020408163265296</v>
      </c>
    </row>
    <row r="114" spans="4:14" x14ac:dyDescent="0.25">
      <c r="D114" s="6" t="s">
        <v>318</v>
      </c>
      <c r="E114" s="6">
        <v>2004</v>
      </c>
      <c r="F114" s="6">
        <v>1</v>
      </c>
      <c r="G114" s="6">
        <v>2</v>
      </c>
      <c r="H114" s="6">
        <v>3</v>
      </c>
      <c r="I114" s="6">
        <v>119</v>
      </c>
      <c r="J114" s="6"/>
      <c r="K114" s="13">
        <v>45918</v>
      </c>
      <c r="L114">
        <v>49</v>
      </c>
    </row>
    <row r="115" spans="4:14" x14ac:dyDescent="0.25">
      <c r="D115" s="6" t="s">
        <v>318</v>
      </c>
      <c r="E115" s="6">
        <v>2004</v>
      </c>
      <c r="F115" s="6">
        <v>1</v>
      </c>
      <c r="G115" s="6">
        <v>2</v>
      </c>
      <c r="H115" s="6">
        <v>3</v>
      </c>
      <c r="I115" s="6">
        <v>119</v>
      </c>
      <c r="J115" s="6"/>
      <c r="K115" s="13">
        <v>45922</v>
      </c>
      <c r="L115">
        <v>49</v>
      </c>
    </row>
    <row r="116" spans="4:14" x14ac:dyDescent="0.25">
      <c r="D116" s="6" t="s">
        <v>42</v>
      </c>
      <c r="E116" s="6">
        <v>2016</v>
      </c>
      <c r="F116" s="6">
        <v>1</v>
      </c>
      <c r="G116" s="6">
        <v>2</v>
      </c>
      <c r="H116" s="6">
        <v>4</v>
      </c>
      <c r="I116" s="6">
        <v>120</v>
      </c>
      <c r="J116" s="6"/>
      <c r="K116" s="13">
        <v>45887</v>
      </c>
      <c r="L116">
        <v>55</v>
      </c>
      <c r="M116">
        <v>0</v>
      </c>
      <c r="N116" s="28">
        <v>0</v>
      </c>
    </row>
    <row r="117" spans="4:14" x14ac:dyDescent="0.25">
      <c r="D117" s="6" t="s">
        <v>42</v>
      </c>
      <c r="E117" s="6">
        <v>2016</v>
      </c>
      <c r="F117" s="6">
        <v>1</v>
      </c>
      <c r="G117" s="6">
        <v>2</v>
      </c>
      <c r="H117" s="6">
        <v>4</v>
      </c>
      <c r="I117" s="6">
        <v>120</v>
      </c>
      <c r="J117" s="6"/>
      <c r="K117" s="13">
        <v>45908</v>
      </c>
      <c r="L117">
        <v>55</v>
      </c>
      <c r="M117">
        <v>12</v>
      </c>
      <c r="N117" s="28">
        <v>0.218181818181818</v>
      </c>
    </row>
    <row r="118" spans="4:14" x14ac:dyDescent="0.25">
      <c r="D118" s="6" t="s">
        <v>42</v>
      </c>
      <c r="E118" s="6">
        <v>2016</v>
      </c>
      <c r="F118" s="6">
        <v>1</v>
      </c>
      <c r="G118" s="6">
        <v>2</v>
      </c>
      <c r="H118" s="6">
        <v>4</v>
      </c>
      <c r="I118" s="6">
        <v>120</v>
      </c>
      <c r="J118" s="6"/>
      <c r="K118" s="13">
        <v>45911</v>
      </c>
      <c r="L118">
        <v>55</v>
      </c>
      <c r="M118">
        <v>26</v>
      </c>
      <c r="N118" s="28">
        <v>0.472727272727272</v>
      </c>
    </row>
    <row r="119" spans="4:14" x14ac:dyDescent="0.25">
      <c r="D119" s="6" t="s">
        <v>42</v>
      </c>
      <c r="E119" s="6">
        <v>2016</v>
      </c>
      <c r="F119" s="6">
        <v>1</v>
      </c>
      <c r="G119" s="6">
        <v>2</v>
      </c>
      <c r="H119" s="6">
        <v>4</v>
      </c>
      <c r="I119" s="6">
        <v>120</v>
      </c>
      <c r="J119" s="6"/>
      <c r="K119" s="13">
        <v>45915</v>
      </c>
      <c r="L119">
        <v>55</v>
      </c>
      <c r="M119">
        <v>40</v>
      </c>
      <c r="N119" s="28">
        <v>0.72727272727272696</v>
      </c>
    </row>
    <row r="120" spans="4:14" x14ac:dyDescent="0.25">
      <c r="D120" s="6" t="s">
        <v>42</v>
      </c>
      <c r="E120" s="6">
        <v>2016</v>
      </c>
      <c r="F120" s="6">
        <v>1</v>
      </c>
      <c r="G120" s="6">
        <v>2</v>
      </c>
      <c r="H120" s="6">
        <v>4</v>
      </c>
      <c r="I120" s="6">
        <v>120</v>
      </c>
      <c r="J120" s="6"/>
      <c r="K120" s="13">
        <v>45918</v>
      </c>
      <c r="L120">
        <v>55</v>
      </c>
    </row>
    <row r="121" spans="4:14" x14ac:dyDescent="0.25">
      <c r="D121" s="6" t="s">
        <v>42</v>
      </c>
      <c r="E121" s="6">
        <v>2016</v>
      </c>
      <c r="F121" s="6">
        <v>1</v>
      </c>
      <c r="G121" s="6">
        <v>2</v>
      </c>
      <c r="H121" s="6">
        <v>4</v>
      </c>
      <c r="I121" s="6">
        <v>120</v>
      </c>
      <c r="J121" s="6"/>
      <c r="K121" s="13">
        <v>45922</v>
      </c>
      <c r="L121">
        <v>55</v>
      </c>
    </row>
    <row r="122" spans="4:14" x14ac:dyDescent="0.25">
      <c r="D122" s="6" t="s">
        <v>27</v>
      </c>
      <c r="E122" s="6">
        <v>1985</v>
      </c>
      <c r="F122" s="6">
        <v>2</v>
      </c>
      <c r="G122" s="6">
        <v>2</v>
      </c>
      <c r="H122" s="6">
        <v>5</v>
      </c>
      <c r="I122" s="6">
        <v>121</v>
      </c>
      <c r="J122" s="6"/>
      <c r="K122" s="13">
        <v>45887</v>
      </c>
      <c r="L122">
        <v>79</v>
      </c>
    </row>
    <row r="123" spans="4:14" x14ac:dyDescent="0.25">
      <c r="D123" s="6" t="s">
        <v>27</v>
      </c>
      <c r="E123" s="6">
        <v>1985</v>
      </c>
      <c r="F123" s="6">
        <v>2</v>
      </c>
      <c r="G123" s="6">
        <v>2</v>
      </c>
      <c r="H123" s="6">
        <v>5</v>
      </c>
      <c r="I123" s="6">
        <v>121</v>
      </c>
      <c r="J123" s="6"/>
      <c r="K123" s="13">
        <v>45908</v>
      </c>
      <c r="L123">
        <v>79</v>
      </c>
    </row>
    <row r="124" spans="4:14" x14ac:dyDescent="0.25">
      <c r="D124" s="6" t="s">
        <v>27</v>
      </c>
      <c r="E124" s="6">
        <v>1985</v>
      </c>
      <c r="F124" s="6">
        <v>2</v>
      </c>
      <c r="G124" s="6">
        <v>2</v>
      </c>
      <c r="H124" s="6">
        <v>5</v>
      </c>
      <c r="I124" s="6">
        <v>121</v>
      </c>
      <c r="J124" s="6"/>
      <c r="K124" s="13">
        <v>45911</v>
      </c>
      <c r="L124">
        <v>79</v>
      </c>
      <c r="M124">
        <v>1</v>
      </c>
      <c r="N124" s="28">
        <v>1.26582278481012E-2</v>
      </c>
    </row>
    <row r="125" spans="4:14" x14ac:dyDescent="0.25">
      <c r="D125" s="6" t="s">
        <v>27</v>
      </c>
      <c r="E125" s="6">
        <v>1985</v>
      </c>
      <c r="F125" s="6">
        <v>2</v>
      </c>
      <c r="G125" s="6">
        <v>2</v>
      </c>
      <c r="H125" s="6">
        <v>5</v>
      </c>
      <c r="I125" s="6">
        <v>121</v>
      </c>
      <c r="J125" s="6"/>
      <c r="K125" s="13">
        <v>45915</v>
      </c>
      <c r="L125">
        <v>79</v>
      </c>
      <c r="M125">
        <v>30</v>
      </c>
      <c r="N125" s="28">
        <v>0.379746835443038</v>
      </c>
    </row>
    <row r="126" spans="4:14" x14ac:dyDescent="0.25">
      <c r="D126" s="6" t="s">
        <v>27</v>
      </c>
      <c r="E126" s="6">
        <v>1985</v>
      </c>
      <c r="F126" s="6">
        <v>2</v>
      </c>
      <c r="G126" s="6">
        <v>2</v>
      </c>
      <c r="H126" s="6">
        <v>5</v>
      </c>
      <c r="I126" s="6">
        <v>121</v>
      </c>
      <c r="J126" s="6"/>
      <c r="K126" s="13">
        <v>45918</v>
      </c>
      <c r="L126">
        <v>79</v>
      </c>
      <c r="M126">
        <v>40</v>
      </c>
      <c r="N126" s="28">
        <v>0.50632911392405</v>
      </c>
    </row>
    <row r="127" spans="4:14" x14ac:dyDescent="0.25">
      <c r="D127" s="6" t="s">
        <v>27</v>
      </c>
      <c r="E127" s="6">
        <v>1985</v>
      </c>
      <c r="F127" s="6">
        <v>2</v>
      </c>
      <c r="G127" s="6">
        <v>2</v>
      </c>
      <c r="H127" s="6">
        <v>5</v>
      </c>
      <c r="I127" s="6">
        <v>121</v>
      </c>
      <c r="J127" s="6"/>
      <c r="K127" s="13">
        <v>45922</v>
      </c>
      <c r="L127">
        <v>79</v>
      </c>
    </row>
    <row r="128" spans="4:14" x14ac:dyDescent="0.25">
      <c r="D128" s="6" t="s">
        <v>28</v>
      </c>
      <c r="E128" s="6">
        <v>1998</v>
      </c>
      <c r="F128" s="6">
        <v>2</v>
      </c>
      <c r="G128" s="6">
        <v>2</v>
      </c>
      <c r="H128" s="6">
        <v>6</v>
      </c>
      <c r="I128" s="6">
        <v>122</v>
      </c>
      <c r="J128" s="6"/>
      <c r="K128" s="13">
        <v>45887</v>
      </c>
      <c r="L128">
        <v>89</v>
      </c>
    </row>
    <row r="129" spans="4:14" x14ac:dyDescent="0.25">
      <c r="D129" s="6" t="s">
        <v>28</v>
      </c>
      <c r="E129" s="6">
        <v>1998</v>
      </c>
      <c r="F129" s="6">
        <v>2</v>
      </c>
      <c r="G129" s="6">
        <v>2</v>
      </c>
      <c r="H129" s="6">
        <v>6</v>
      </c>
      <c r="I129" s="6">
        <v>122</v>
      </c>
      <c r="J129" s="6"/>
      <c r="K129" s="13">
        <v>45908</v>
      </c>
      <c r="L129">
        <v>89</v>
      </c>
      <c r="M129">
        <v>3</v>
      </c>
      <c r="N129" s="28">
        <v>3.3707865168539297E-2</v>
      </c>
    </row>
    <row r="130" spans="4:14" x14ac:dyDescent="0.25">
      <c r="D130" s="6" t="s">
        <v>28</v>
      </c>
      <c r="E130" s="6">
        <v>1998</v>
      </c>
      <c r="F130" s="6">
        <v>2</v>
      </c>
      <c r="G130" s="6">
        <v>2</v>
      </c>
      <c r="H130" s="6">
        <v>6</v>
      </c>
      <c r="I130" s="6">
        <v>122</v>
      </c>
      <c r="K130" s="13">
        <v>45911</v>
      </c>
      <c r="L130">
        <v>89</v>
      </c>
      <c r="M130">
        <v>20</v>
      </c>
      <c r="N130" s="28">
        <v>0.224719101123595</v>
      </c>
    </row>
    <row r="131" spans="4:14" x14ac:dyDescent="0.25">
      <c r="D131" s="6" t="s">
        <v>28</v>
      </c>
      <c r="E131" s="6">
        <v>1998</v>
      </c>
      <c r="F131" s="6">
        <v>2</v>
      </c>
      <c r="G131" s="6">
        <v>2</v>
      </c>
      <c r="H131" s="6">
        <v>6</v>
      </c>
      <c r="I131" s="6">
        <v>122</v>
      </c>
      <c r="K131" s="13">
        <v>45915</v>
      </c>
      <c r="L131">
        <v>89</v>
      </c>
      <c r="M131">
        <v>55</v>
      </c>
      <c r="N131" s="28">
        <v>0.61797752808988704</v>
      </c>
    </row>
    <row r="132" spans="4:14" x14ac:dyDescent="0.25">
      <c r="D132" s="6" t="s">
        <v>28</v>
      </c>
      <c r="E132" s="6">
        <v>1998</v>
      </c>
      <c r="F132" s="6">
        <v>2</v>
      </c>
      <c r="G132" s="6">
        <v>2</v>
      </c>
      <c r="H132" s="6">
        <v>6</v>
      </c>
      <c r="I132" s="6">
        <v>122</v>
      </c>
      <c r="K132" s="13">
        <v>45918</v>
      </c>
      <c r="L132">
        <v>89</v>
      </c>
    </row>
    <row r="133" spans="4:14" x14ac:dyDescent="0.25">
      <c r="D133" s="6" t="s">
        <v>28</v>
      </c>
      <c r="E133" s="6">
        <v>1998</v>
      </c>
      <c r="F133" s="6">
        <v>2</v>
      </c>
      <c r="G133" s="6">
        <v>2</v>
      </c>
      <c r="H133" s="6">
        <v>6</v>
      </c>
      <c r="I133" s="6">
        <v>122</v>
      </c>
      <c r="K133" s="13">
        <v>45922</v>
      </c>
      <c r="L133">
        <v>89</v>
      </c>
    </row>
    <row r="134" spans="4:14" x14ac:dyDescent="0.25">
      <c r="D134" s="6" t="s">
        <v>37</v>
      </c>
      <c r="E134" s="6">
        <v>1989</v>
      </c>
      <c r="F134" s="6">
        <v>2</v>
      </c>
      <c r="G134" s="6">
        <v>2</v>
      </c>
      <c r="H134" s="6">
        <v>7</v>
      </c>
      <c r="I134" s="6">
        <v>123</v>
      </c>
      <c r="K134" s="13">
        <v>45887</v>
      </c>
      <c r="L134">
        <v>48</v>
      </c>
    </row>
    <row r="135" spans="4:14" x14ac:dyDescent="0.25">
      <c r="D135" s="6" t="s">
        <v>37</v>
      </c>
      <c r="E135" s="6">
        <v>1989</v>
      </c>
      <c r="F135" s="6">
        <v>2</v>
      </c>
      <c r="G135" s="6">
        <v>2</v>
      </c>
      <c r="H135" s="6">
        <v>7</v>
      </c>
      <c r="I135" s="6">
        <v>123</v>
      </c>
      <c r="K135" s="13">
        <v>45908</v>
      </c>
      <c r="L135">
        <v>48</v>
      </c>
    </row>
    <row r="136" spans="4:14" x14ac:dyDescent="0.25">
      <c r="D136" s="6" t="s">
        <v>37</v>
      </c>
      <c r="E136" s="6">
        <v>1989</v>
      </c>
      <c r="F136" s="6">
        <v>2</v>
      </c>
      <c r="G136" s="6">
        <v>2</v>
      </c>
      <c r="H136" s="6">
        <v>7</v>
      </c>
      <c r="I136" s="6">
        <v>123</v>
      </c>
      <c r="K136" s="13">
        <v>45911</v>
      </c>
      <c r="L136">
        <v>48</v>
      </c>
      <c r="M136">
        <v>11</v>
      </c>
      <c r="N136" s="28">
        <v>0.22916666666666599</v>
      </c>
    </row>
    <row r="137" spans="4:14" x14ac:dyDescent="0.25">
      <c r="D137" s="6" t="s">
        <v>37</v>
      </c>
      <c r="E137" s="6">
        <v>1989</v>
      </c>
      <c r="F137" s="6">
        <v>2</v>
      </c>
      <c r="G137" s="6">
        <v>2</v>
      </c>
      <c r="H137" s="6">
        <v>7</v>
      </c>
      <c r="I137" s="6">
        <v>123</v>
      </c>
      <c r="K137" s="13">
        <v>45915</v>
      </c>
      <c r="L137">
        <v>48</v>
      </c>
      <c r="M137">
        <v>25</v>
      </c>
      <c r="N137" s="28">
        <v>0.52083333333333304</v>
      </c>
    </row>
    <row r="138" spans="4:14" x14ac:dyDescent="0.25">
      <c r="D138" s="6" t="s">
        <v>37</v>
      </c>
      <c r="E138" s="6">
        <v>1989</v>
      </c>
      <c r="F138" s="6">
        <v>2</v>
      </c>
      <c r="G138" s="6">
        <v>2</v>
      </c>
      <c r="H138" s="6">
        <v>7</v>
      </c>
      <c r="I138" s="6">
        <v>123</v>
      </c>
      <c r="K138" s="13">
        <v>45918</v>
      </c>
      <c r="L138">
        <v>48</v>
      </c>
    </row>
    <row r="139" spans="4:14" x14ac:dyDescent="0.25">
      <c r="D139" s="6" t="s">
        <v>37</v>
      </c>
      <c r="E139" s="6">
        <v>1989</v>
      </c>
      <c r="F139" s="6">
        <v>2</v>
      </c>
      <c r="G139" s="6">
        <v>2</v>
      </c>
      <c r="H139" s="6">
        <v>7</v>
      </c>
      <c r="I139" s="6">
        <v>123</v>
      </c>
      <c r="K139" s="13">
        <v>45922</v>
      </c>
      <c r="L139">
        <v>48</v>
      </c>
    </row>
    <row r="140" spans="4:14" x14ac:dyDescent="0.25">
      <c r="D140" s="6" t="s">
        <v>43</v>
      </c>
      <c r="E140" s="6">
        <v>2020</v>
      </c>
      <c r="F140" s="6">
        <v>2</v>
      </c>
      <c r="G140" s="6">
        <v>2</v>
      </c>
      <c r="H140" s="6">
        <v>8</v>
      </c>
      <c r="I140" s="6">
        <v>124</v>
      </c>
      <c r="K140" s="13">
        <v>45887</v>
      </c>
      <c r="L140">
        <v>40</v>
      </c>
    </row>
    <row r="141" spans="4:14" x14ac:dyDescent="0.25">
      <c r="D141" s="6" t="s">
        <v>43</v>
      </c>
      <c r="E141" s="6">
        <v>2020</v>
      </c>
      <c r="F141" s="6">
        <v>2</v>
      </c>
      <c r="G141" s="6">
        <v>2</v>
      </c>
      <c r="H141" s="6">
        <v>8</v>
      </c>
      <c r="I141" s="6">
        <v>124</v>
      </c>
      <c r="K141" s="13">
        <v>45908</v>
      </c>
      <c r="L141">
        <v>40</v>
      </c>
    </row>
    <row r="142" spans="4:14" x14ac:dyDescent="0.25">
      <c r="D142" s="6" t="s">
        <v>43</v>
      </c>
      <c r="E142" s="6">
        <v>2020</v>
      </c>
      <c r="F142" s="6">
        <v>2</v>
      </c>
      <c r="G142" s="6">
        <v>2</v>
      </c>
      <c r="H142" s="6">
        <v>8</v>
      </c>
      <c r="I142" s="6">
        <v>124</v>
      </c>
      <c r="K142" s="13">
        <v>45911</v>
      </c>
      <c r="L142">
        <v>40</v>
      </c>
      <c r="M142">
        <v>6</v>
      </c>
      <c r="N142" s="28">
        <v>0.15</v>
      </c>
    </row>
    <row r="143" spans="4:14" x14ac:dyDescent="0.25">
      <c r="D143" s="6" t="s">
        <v>43</v>
      </c>
      <c r="E143" s="6">
        <v>2020</v>
      </c>
      <c r="F143" s="6">
        <v>2</v>
      </c>
      <c r="G143" s="6">
        <v>2</v>
      </c>
      <c r="H143" s="6">
        <v>8</v>
      </c>
      <c r="I143" s="6">
        <v>124</v>
      </c>
      <c r="K143" s="13">
        <v>45915</v>
      </c>
      <c r="L143">
        <v>40</v>
      </c>
      <c r="M143">
        <v>18</v>
      </c>
      <c r="N143" s="28">
        <v>0.45</v>
      </c>
    </row>
    <row r="144" spans="4:14" x14ac:dyDescent="0.25">
      <c r="D144" s="6" t="s">
        <v>43</v>
      </c>
      <c r="E144" s="6">
        <v>2020</v>
      </c>
      <c r="F144" s="6">
        <v>2</v>
      </c>
      <c r="G144" s="6">
        <v>2</v>
      </c>
      <c r="H144" s="6">
        <v>8</v>
      </c>
      <c r="I144" s="6">
        <v>124</v>
      </c>
      <c r="K144" s="13">
        <v>45918</v>
      </c>
      <c r="L144">
        <v>40</v>
      </c>
      <c r="M144">
        <v>27</v>
      </c>
      <c r="N144" s="28">
        <v>0.67500000000000004</v>
      </c>
    </row>
    <row r="145" spans="4:14" x14ac:dyDescent="0.25">
      <c r="D145" s="6" t="s">
        <v>43</v>
      </c>
      <c r="E145" s="6">
        <v>2020</v>
      </c>
      <c r="F145" s="6">
        <v>2</v>
      </c>
      <c r="G145" s="6">
        <v>2</v>
      </c>
      <c r="H145" s="6">
        <v>8</v>
      </c>
      <c r="I145" s="6">
        <v>124</v>
      </c>
      <c r="K145" s="13">
        <v>45922</v>
      </c>
      <c r="L145">
        <v>40</v>
      </c>
    </row>
    <row r="146" spans="4:14" x14ac:dyDescent="0.25">
      <c r="D146" s="6" t="s">
        <v>312</v>
      </c>
      <c r="E146" s="6">
        <v>2002</v>
      </c>
      <c r="F146" s="6">
        <v>3</v>
      </c>
      <c r="G146" s="6">
        <v>2</v>
      </c>
      <c r="H146" s="6">
        <v>9</v>
      </c>
      <c r="I146" s="6">
        <v>125</v>
      </c>
      <c r="K146" s="13">
        <v>45887</v>
      </c>
      <c r="L146">
        <v>71</v>
      </c>
    </row>
    <row r="147" spans="4:14" x14ac:dyDescent="0.25">
      <c r="D147" s="6" t="s">
        <v>312</v>
      </c>
      <c r="E147" s="6">
        <v>2002</v>
      </c>
      <c r="F147" s="6">
        <v>3</v>
      </c>
      <c r="G147" s="6">
        <v>2</v>
      </c>
      <c r="H147" s="6">
        <v>9</v>
      </c>
      <c r="I147" s="6">
        <v>125</v>
      </c>
      <c r="K147" s="13">
        <v>45908</v>
      </c>
      <c r="L147">
        <v>71</v>
      </c>
    </row>
    <row r="148" spans="4:14" x14ac:dyDescent="0.25">
      <c r="D148" s="6" t="s">
        <v>312</v>
      </c>
      <c r="E148" s="6">
        <v>2002</v>
      </c>
      <c r="F148" s="6">
        <v>3</v>
      </c>
      <c r="G148" s="6">
        <v>2</v>
      </c>
      <c r="H148" s="6">
        <v>9</v>
      </c>
      <c r="I148" s="6">
        <v>125</v>
      </c>
      <c r="K148" s="13">
        <v>45911</v>
      </c>
      <c r="L148">
        <v>71</v>
      </c>
      <c r="M148">
        <v>3</v>
      </c>
      <c r="N148" s="28">
        <v>4.22535211267605E-2</v>
      </c>
    </row>
    <row r="149" spans="4:14" x14ac:dyDescent="0.25">
      <c r="D149" s="6" t="s">
        <v>312</v>
      </c>
      <c r="E149" s="6">
        <v>2002</v>
      </c>
      <c r="F149" s="6">
        <v>3</v>
      </c>
      <c r="G149" s="6">
        <v>2</v>
      </c>
      <c r="H149" s="6">
        <v>9</v>
      </c>
      <c r="I149" s="6">
        <v>125</v>
      </c>
      <c r="K149" s="13">
        <v>45915</v>
      </c>
      <c r="L149">
        <v>71</v>
      </c>
      <c r="M149">
        <v>13</v>
      </c>
      <c r="N149" s="28">
        <v>0.183098591549295</v>
      </c>
    </row>
    <row r="150" spans="4:14" x14ac:dyDescent="0.25">
      <c r="D150" s="6" t="s">
        <v>312</v>
      </c>
      <c r="E150" s="6">
        <v>2002</v>
      </c>
      <c r="F150" s="6">
        <v>3</v>
      </c>
      <c r="G150" s="6">
        <v>2</v>
      </c>
      <c r="H150" s="6">
        <v>9</v>
      </c>
      <c r="I150" s="6">
        <v>125</v>
      </c>
      <c r="K150" s="13">
        <v>45918</v>
      </c>
      <c r="L150">
        <v>71</v>
      </c>
      <c r="M150">
        <v>22</v>
      </c>
      <c r="N150" s="28">
        <v>0.309859154929577</v>
      </c>
    </row>
    <row r="151" spans="4:14" x14ac:dyDescent="0.25">
      <c r="D151" s="6" t="s">
        <v>312</v>
      </c>
      <c r="E151" s="6">
        <v>2002</v>
      </c>
      <c r="F151" s="6">
        <v>3</v>
      </c>
      <c r="G151" s="6">
        <v>2</v>
      </c>
      <c r="H151" s="6">
        <v>9</v>
      </c>
      <c r="I151" s="6">
        <v>125</v>
      </c>
      <c r="K151" s="13">
        <v>45922</v>
      </c>
      <c r="L151">
        <v>71</v>
      </c>
      <c r="M151">
        <v>36</v>
      </c>
      <c r="N151" s="28">
        <v>0.50704225352112597</v>
      </c>
    </row>
    <row r="152" spans="4:14" x14ac:dyDescent="0.25">
      <c r="D152" s="6" t="s">
        <v>32</v>
      </c>
      <c r="E152" s="6">
        <v>2018</v>
      </c>
      <c r="F152" s="6">
        <v>3</v>
      </c>
      <c r="G152" s="6">
        <v>2</v>
      </c>
      <c r="H152" s="6">
        <v>10</v>
      </c>
      <c r="I152" s="6">
        <v>126</v>
      </c>
      <c r="K152" s="13">
        <v>45887</v>
      </c>
      <c r="L152">
        <v>83</v>
      </c>
    </row>
    <row r="153" spans="4:14" x14ac:dyDescent="0.25">
      <c r="D153" s="6" t="s">
        <v>32</v>
      </c>
      <c r="E153" s="6">
        <v>2018</v>
      </c>
      <c r="F153" s="6">
        <v>3</v>
      </c>
      <c r="G153" s="6">
        <v>2</v>
      </c>
      <c r="H153" s="6">
        <v>10</v>
      </c>
      <c r="I153" s="6">
        <v>126</v>
      </c>
      <c r="K153" s="13">
        <v>45908</v>
      </c>
      <c r="L153">
        <v>83</v>
      </c>
    </row>
    <row r="154" spans="4:14" x14ac:dyDescent="0.25">
      <c r="D154" s="6" t="s">
        <v>32</v>
      </c>
      <c r="E154" s="6">
        <v>2018</v>
      </c>
      <c r="F154" s="6">
        <v>3</v>
      </c>
      <c r="G154" s="6">
        <v>2</v>
      </c>
      <c r="H154" s="6">
        <v>10</v>
      </c>
      <c r="I154" s="6">
        <v>126</v>
      </c>
      <c r="K154" s="13">
        <v>45911</v>
      </c>
      <c r="L154">
        <v>83</v>
      </c>
      <c r="M154">
        <v>23</v>
      </c>
      <c r="N154" s="28">
        <v>0.27710843373493899</v>
      </c>
    </row>
    <row r="155" spans="4:14" x14ac:dyDescent="0.25">
      <c r="D155" s="6" t="s">
        <v>32</v>
      </c>
      <c r="E155" s="6">
        <v>2018</v>
      </c>
      <c r="F155" s="6">
        <v>3</v>
      </c>
      <c r="G155" s="6">
        <v>2</v>
      </c>
      <c r="H155" s="6">
        <v>10</v>
      </c>
      <c r="I155" s="6">
        <v>126</v>
      </c>
      <c r="K155" s="13">
        <v>45915</v>
      </c>
      <c r="L155">
        <v>83</v>
      </c>
      <c r="M155">
        <v>40</v>
      </c>
      <c r="N155" s="28">
        <v>0.48192771084337299</v>
      </c>
    </row>
    <row r="156" spans="4:14" x14ac:dyDescent="0.25">
      <c r="D156" s="6" t="s">
        <v>32</v>
      </c>
      <c r="E156" s="6">
        <v>2018</v>
      </c>
      <c r="F156" s="6">
        <v>3</v>
      </c>
      <c r="G156" s="6">
        <v>2</v>
      </c>
      <c r="H156" s="6">
        <v>10</v>
      </c>
      <c r="I156" s="6">
        <v>126</v>
      </c>
      <c r="K156" s="13">
        <v>45918</v>
      </c>
      <c r="L156">
        <v>83</v>
      </c>
      <c r="M156">
        <v>47</v>
      </c>
      <c r="N156" s="28">
        <v>0.56626506024096301</v>
      </c>
    </row>
    <row r="157" spans="4:14" x14ac:dyDescent="0.25">
      <c r="D157" s="6" t="s">
        <v>32</v>
      </c>
      <c r="E157" s="6">
        <v>2018</v>
      </c>
      <c r="F157" s="6">
        <v>3</v>
      </c>
      <c r="G157" s="6">
        <v>2</v>
      </c>
      <c r="H157" s="6">
        <v>10</v>
      </c>
      <c r="I157" s="6">
        <v>126</v>
      </c>
      <c r="K157" s="13">
        <v>45922</v>
      </c>
      <c r="L157">
        <v>83</v>
      </c>
    </row>
    <row r="158" spans="4:14" x14ac:dyDescent="0.25">
      <c r="D158" s="6" t="s">
        <v>39</v>
      </c>
      <c r="E158" s="6">
        <v>2001</v>
      </c>
      <c r="F158" s="6">
        <v>3</v>
      </c>
      <c r="G158" s="6">
        <v>2</v>
      </c>
      <c r="H158" s="6">
        <v>11</v>
      </c>
      <c r="I158" s="6">
        <v>127</v>
      </c>
      <c r="K158" s="13">
        <v>45887</v>
      </c>
      <c r="L158">
        <v>77</v>
      </c>
    </row>
    <row r="159" spans="4:14" x14ac:dyDescent="0.25">
      <c r="D159" s="6" t="s">
        <v>39</v>
      </c>
      <c r="E159" s="6">
        <v>2001</v>
      </c>
      <c r="F159" s="6">
        <v>3</v>
      </c>
      <c r="G159" s="6">
        <v>2</v>
      </c>
      <c r="H159" s="6">
        <v>11</v>
      </c>
      <c r="I159" s="6">
        <v>127</v>
      </c>
      <c r="K159" s="13">
        <v>45908</v>
      </c>
      <c r="L159">
        <v>77</v>
      </c>
    </row>
    <row r="160" spans="4:14" x14ac:dyDescent="0.25">
      <c r="D160" s="6" t="s">
        <v>39</v>
      </c>
      <c r="E160" s="6">
        <v>2001</v>
      </c>
      <c r="F160" s="6">
        <v>3</v>
      </c>
      <c r="G160" s="6">
        <v>2</v>
      </c>
      <c r="H160" s="6">
        <v>11</v>
      </c>
      <c r="I160" s="6">
        <v>127</v>
      </c>
      <c r="K160" s="13">
        <v>45911</v>
      </c>
      <c r="L160">
        <v>77</v>
      </c>
      <c r="M160">
        <v>20</v>
      </c>
      <c r="N160" s="28">
        <v>0.25974025974025899</v>
      </c>
    </row>
    <row r="161" spans="4:14" x14ac:dyDescent="0.25">
      <c r="D161" s="6" t="s">
        <v>39</v>
      </c>
      <c r="E161" s="6">
        <v>2001</v>
      </c>
      <c r="F161" s="6">
        <v>3</v>
      </c>
      <c r="G161" s="6">
        <v>2</v>
      </c>
      <c r="H161" s="6">
        <v>11</v>
      </c>
      <c r="I161" s="6">
        <v>127</v>
      </c>
      <c r="K161" s="13">
        <v>45915</v>
      </c>
      <c r="L161">
        <v>77</v>
      </c>
      <c r="M161">
        <v>34</v>
      </c>
      <c r="N161" s="28">
        <v>0.44155844155844098</v>
      </c>
    </row>
    <row r="162" spans="4:14" x14ac:dyDescent="0.25">
      <c r="D162" s="6" t="s">
        <v>39</v>
      </c>
      <c r="E162" s="6">
        <v>2001</v>
      </c>
      <c r="F162" s="6">
        <v>3</v>
      </c>
      <c r="G162" s="6">
        <v>2</v>
      </c>
      <c r="H162" s="6">
        <v>11</v>
      </c>
      <c r="I162" s="6">
        <v>127</v>
      </c>
      <c r="K162" s="13">
        <v>45918</v>
      </c>
      <c r="L162">
        <v>77</v>
      </c>
      <c r="M162">
        <v>40</v>
      </c>
      <c r="N162" s="28">
        <v>0.51948051948051899</v>
      </c>
    </row>
    <row r="163" spans="4:14" x14ac:dyDescent="0.25">
      <c r="D163" s="6" t="s">
        <v>39</v>
      </c>
      <c r="E163" s="6">
        <v>2001</v>
      </c>
      <c r="F163" s="6">
        <v>3</v>
      </c>
      <c r="G163" s="6">
        <v>2</v>
      </c>
      <c r="H163" s="6">
        <v>11</v>
      </c>
      <c r="I163" s="6">
        <v>127</v>
      </c>
      <c r="K163" s="13">
        <v>45922</v>
      </c>
      <c r="L163">
        <v>77</v>
      </c>
    </row>
    <row r="164" spans="4:14" x14ac:dyDescent="0.25">
      <c r="D164" s="6" t="s">
        <v>36</v>
      </c>
      <c r="E164" s="6">
        <v>1984</v>
      </c>
      <c r="F164" s="6">
        <v>3</v>
      </c>
      <c r="G164" s="6">
        <v>2</v>
      </c>
      <c r="H164" s="6">
        <v>12</v>
      </c>
      <c r="I164" s="6">
        <v>128</v>
      </c>
      <c r="K164" s="13">
        <v>45887</v>
      </c>
      <c r="L164">
        <v>32</v>
      </c>
    </row>
    <row r="165" spans="4:14" x14ac:dyDescent="0.25">
      <c r="D165" s="6" t="s">
        <v>36</v>
      </c>
      <c r="E165" s="6">
        <v>1984</v>
      </c>
      <c r="F165" s="6">
        <v>3</v>
      </c>
      <c r="G165" s="6">
        <v>2</v>
      </c>
      <c r="H165" s="6">
        <v>12</v>
      </c>
      <c r="I165" s="6">
        <v>128</v>
      </c>
      <c r="K165" s="13">
        <v>45908</v>
      </c>
      <c r="L165">
        <v>32</v>
      </c>
    </row>
    <row r="166" spans="4:14" x14ac:dyDescent="0.25">
      <c r="D166" s="6" t="s">
        <v>36</v>
      </c>
      <c r="E166" s="6">
        <v>1984</v>
      </c>
      <c r="F166" s="6">
        <v>3</v>
      </c>
      <c r="G166" s="6">
        <v>2</v>
      </c>
      <c r="H166" s="6">
        <v>12</v>
      </c>
      <c r="I166" s="6">
        <v>128</v>
      </c>
      <c r="K166" s="13">
        <v>45911</v>
      </c>
      <c r="L166">
        <v>32</v>
      </c>
      <c r="M166">
        <v>12</v>
      </c>
      <c r="N166" s="28">
        <v>0.375</v>
      </c>
    </row>
    <row r="167" spans="4:14" x14ac:dyDescent="0.25">
      <c r="D167" s="6" t="s">
        <v>36</v>
      </c>
      <c r="E167" s="6">
        <v>1984</v>
      </c>
      <c r="F167" s="6">
        <v>3</v>
      </c>
      <c r="G167" s="6">
        <v>2</v>
      </c>
      <c r="H167" s="6">
        <v>12</v>
      </c>
      <c r="I167" s="6">
        <v>128</v>
      </c>
      <c r="K167" s="13">
        <v>45915</v>
      </c>
      <c r="L167">
        <v>32</v>
      </c>
      <c r="M167">
        <v>27</v>
      </c>
      <c r="N167" s="28">
        <v>0.84375</v>
      </c>
    </row>
    <row r="168" spans="4:14" x14ac:dyDescent="0.25">
      <c r="D168" s="6" t="s">
        <v>36</v>
      </c>
      <c r="E168" s="6">
        <v>1984</v>
      </c>
      <c r="F168" s="6">
        <v>3</v>
      </c>
      <c r="G168" s="6">
        <v>2</v>
      </c>
      <c r="H168" s="6">
        <v>12</v>
      </c>
      <c r="I168" s="6">
        <v>128</v>
      </c>
      <c r="K168" s="13">
        <v>45918</v>
      </c>
      <c r="L168">
        <v>32</v>
      </c>
    </row>
    <row r="169" spans="4:14" x14ac:dyDescent="0.25">
      <c r="D169" s="6" t="s">
        <v>36</v>
      </c>
      <c r="E169" s="6">
        <v>1984</v>
      </c>
      <c r="F169" s="6">
        <v>3</v>
      </c>
      <c r="G169" s="6">
        <v>2</v>
      </c>
      <c r="H169" s="6">
        <v>12</v>
      </c>
      <c r="I169" s="6">
        <v>128</v>
      </c>
      <c r="K169" s="13">
        <v>45922</v>
      </c>
      <c r="L169">
        <v>32</v>
      </c>
    </row>
    <row r="170" spans="4:14" x14ac:dyDescent="0.25">
      <c r="D170" s="6" t="s">
        <v>26</v>
      </c>
      <c r="E170" s="6">
        <v>1983</v>
      </c>
      <c r="F170" s="6">
        <v>4</v>
      </c>
      <c r="G170" s="6">
        <v>2</v>
      </c>
      <c r="H170" s="6">
        <v>13</v>
      </c>
      <c r="I170" s="6">
        <v>129</v>
      </c>
      <c r="K170" s="13">
        <v>45887</v>
      </c>
      <c r="L170">
        <v>68</v>
      </c>
    </row>
    <row r="171" spans="4:14" x14ac:dyDescent="0.25">
      <c r="D171" s="6" t="s">
        <v>26</v>
      </c>
      <c r="E171" s="6">
        <v>1983</v>
      </c>
      <c r="F171" s="6">
        <v>4</v>
      </c>
      <c r="G171" s="6">
        <v>2</v>
      </c>
      <c r="H171" s="6">
        <v>13</v>
      </c>
      <c r="I171" s="6">
        <v>129</v>
      </c>
      <c r="K171" s="13">
        <v>45908</v>
      </c>
      <c r="L171">
        <v>68</v>
      </c>
    </row>
    <row r="172" spans="4:14" x14ac:dyDescent="0.25">
      <c r="D172" s="6" t="s">
        <v>26</v>
      </c>
      <c r="E172" s="6">
        <v>1983</v>
      </c>
      <c r="F172" s="6">
        <v>4</v>
      </c>
      <c r="G172" s="6">
        <v>2</v>
      </c>
      <c r="H172" s="6">
        <v>13</v>
      </c>
      <c r="I172" s="6">
        <v>129</v>
      </c>
      <c r="K172" s="13">
        <v>45911</v>
      </c>
      <c r="L172">
        <v>68</v>
      </c>
    </row>
    <row r="173" spans="4:14" x14ac:dyDescent="0.25">
      <c r="D173" s="6" t="s">
        <v>26</v>
      </c>
      <c r="E173" s="6">
        <v>1983</v>
      </c>
      <c r="F173" s="6">
        <v>4</v>
      </c>
      <c r="G173" s="6">
        <v>2</v>
      </c>
      <c r="H173" s="6">
        <v>13</v>
      </c>
      <c r="I173" s="6">
        <v>129</v>
      </c>
      <c r="K173" s="13">
        <v>45915</v>
      </c>
      <c r="L173">
        <v>68</v>
      </c>
      <c r="M173">
        <v>43</v>
      </c>
      <c r="N173" s="28">
        <v>0.63235294117647001</v>
      </c>
    </row>
    <row r="174" spans="4:14" x14ac:dyDescent="0.25">
      <c r="D174" s="6" t="s">
        <v>26</v>
      </c>
      <c r="E174" s="6">
        <v>1983</v>
      </c>
      <c r="F174" s="6">
        <v>4</v>
      </c>
      <c r="G174" s="6">
        <v>2</v>
      </c>
      <c r="H174" s="6">
        <v>13</v>
      </c>
      <c r="I174" s="6">
        <v>129</v>
      </c>
      <c r="K174" s="13">
        <v>45918</v>
      </c>
      <c r="L174">
        <v>68</v>
      </c>
    </row>
    <row r="175" spans="4:14" x14ac:dyDescent="0.25">
      <c r="D175" s="6" t="s">
        <v>26</v>
      </c>
      <c r="E175" s="6">
        <v>1983</v>
      </c>
      <c r="F175" s="6">
        <v>4</v>
      </c>
      <c r="G175" s="6">
        <v>2</v>
      </c>
      <c r="H175" s="6">
        <v>13</v>
      </c>
      <c r="I175" s="6">
        <v>129</v>
      </c>
      <c r="K175" s="13">
        <v>45922</v>
      </c>
      <c r="L175">
        <v>68</v>
      </c>
    </row>
    <row r="176" spans="4:14" x14ac:dyDescent="0.25">
      <c r="D176" s="6" t="s">
        <v>29</v>
      </c>
      <c r="E176" s="6">
        <v>1999</v>
      </c>
      <c r="F176" s="6">
        <v>4</v>
      </c>
      <c r="G176" s="6">
        <v>2</v>
      </c>
      <c r="H176" s="6">
        <v>14</v>
      </c>
      <c r="I176" s="6">
        <v>130</v>
      </c>
      <c r="K176" s="13">
        <v>45887</v>
      </c>
      <c r="L176">
        <v>81</v>
      </c>
    </row>
    <row r="177" spans="4:14" x14ac:dyDescent="0.25">
      <c r="D177" s="6" t="s">
        <v>29</v>
      </c>
      <c r="E177" s="6">
        <v>1999</v>
      </c>
      <c r="F177" s="6">
        <v>4</v>
      </c>
      <c r="G177" s="6">
        <v>2</v>
      </c>
      <c r="H177" s="6">
        <v>14</v>
      </c>
      <c r="I177" s="6">
        <v>130</v>
      </c>
      <c r="K177" s="13">
        <v>45908</v>
      </c>
      <c r="L177">
        <v>81</v>
      </c>
    </row>
    <row r="178" spans="4:14" x14ac:dyDescent="0.25">
      <c r="D178" s="6" t="s">
        <v>29</v>
      </c>
      <c r="E178" s="6">
        <v>1999</v>
      </c>
      <c r="F178" s="6">
        <v>4</v>
      </c>
      <c r="G178" s="6">
        <v>2</v>
      </c>
      <c r="H178" s="6">
        <v>14</v>
      </c>
      <c r="I178" s="6">
        <v>130</v>
      </c>
      <c r="K178" s="13">
        <v>45911</v>
      </c>
      <c r="L178">
        <v>81</v>
      </c>
    </row>
    <row r="179" spans="4:14" x14ac:dyDescent="0.25">
      <c r="D179" s="6" t="s">
        <v>29</v>
      </c>
      <c r="E179" s="6">
        <v>1999</v>
      </c>
      <c r="F179" s="6">
        <v>4</v>
      </c>
      <c r="G179" s="6">
        <v>2</v>
      </c>
      <c r="H179" s="6">
        <v>14</v>
      </c>
      <c r="I179" s="6">
        <v>130</v>
      </c>
      <c r="K179" s="13">
        <v>45915</v>
      </c>
      <c r="L179">
        <v>81</v>
      </c>
      <c r="M179">
        <v>41</v>
      </c>
      <c r="N179" s="28">
        <v>0.50617283950617198</v>
      </c>
    </row>
    <row r="180" spans="4:14" x14ac:dyDescent="0.25">
      <c r="D180" s="6" t="s">
        <v>29</v>
      </c>
      <c r="E180" s="6">
        <v>1999</v>
      </c>
      <c r="F180" s="6">
        <v>4</v>
      </c>
      <c r="G180" s="6">
        <v>2</v>
      </c>
      <c r="H180" s="6">
        <v>14</v>
      </c>
      <c r="I180" s="6">
        <v>130</v>
      </c>
      <c r="K180" s="13">
        <v>45918</v>
      </c>
      <c r="L180">
        <v>81</v>
      </c>
    </row>
    <row r="181" spans="4:14" x14ac:dyDescent="0.25">
      <c r="D181" s="6" t="s">
        <v>29</v>
      </c>
      <c r="E181" s="6">
        <v>1999</v>
      </c>
      <c r="F181" s="6">
        <v>4</v>
      </c>
      <c r="G181" s="6">
        <v>2</v>
      </c>
      <c r="H181" s="6">
        <v>14</v>
      </c>
      <c r="I181" s="6">
        <v>130</v>
      </c>
      <c r="K181" s="13">
        <v>45922</v>
      </c>
      <c r="L181">
        <v>81</v>
      </c>
    </row>
    <row r="182" spans="4:14" x14ac:dyDescent="0.25">
      <c r="D182" s="6" t="s">
        <v>38</v>
      </c>
      <c r="E182" s="6">
        <v>1999</v>
      </c>
      <c r="F182" s="6">
        <v>4</v>
      </c>
      <c r="G182" s="6">
        <v>2</v>
      </c>
      <c r="H182" s="6">
        <v>15</v>
      </c>
      <c r="I182" s="6">
        <v>131</v>
      </c>
      <c r="K182" s="13">
        <v>45887</v>
      </c>
      <c r="L182">
        <v>44</v>
      </c>
    </row>
    <row r="183" spans="4:14" x14ac:dyDescent="0.25">
      <c r="D183" s="6" t="s">
        <v>38</v>
      </c>
      <c r="E183" s="6">
        <v>1999</v>
      </c>
      <c r="F183" s="6">
        <v>4</v>
      </c>
      <c r="G183" s="6">
        <v>2</v>
      </c>
      <c r="H183" s="6">
        <v>15</v>
      </c>
      <c r="I183" s="6">
        <v>131</v>
      </c>
      <c r="K183" s="13">
        <v>45908</v>
      </c>
      <c r="L183">
        <v>44</v>
      </c>
    </row>
    <row r="184" spans="4:14" x14ac:dyDescent="0.25">
      <c r="D184" s="6" t="s">
        <v>38</v>
      </c>
      <c r="E184" s="6">
        <v>1999</v>
      </c>
      <c r="F184" s="6">
        <v>4</v>
      </c>
      <c r="G184" s="6">
        <v>2</v>
      </c>
      <c r="H184" s="6">
        <v>15</v>
      </c>
      <c r="I184" s="6">
        <v>131</v>
      </c>
      <c r="K184" s="13">
        <v>45911</v>
      </c>
      <c r="L184">
        <v>44</v>
      </c>
    </row>
    <row r="185" spans="4:14" x14ac:dyDescent="0.25">
      <c r="D185" s="6" t="s">
        <v>38</v>
      </c>
      <c r="E185" s="6">
        <v>1999</v>
      </c>
      <c r="F185" s="6">
        <v>4</v>
      </c>
      <c r="G185" s="6">
        <v>2</v>
      </c>
      <c r="H185" s="6">
        <v>15</v>
      </c>
      <c r="I185" s="6">
        <v>131</v>
      </c>
      <c r="K185" s="13">
        <v>45915</v>
      </c>
      <c r="L185">
        <v>44</v>
      </c>
      <c r="M185">
        <v>25</v>
      </c>
      <c r="N185" s="28">
        <v>0.56818181818181801</v>
      </c>
    </row>
    <row r="186" spans="4:14" x14ac:dyDescent="0.25">
      <c r="D186" s="6" t="s">
        <v>38</v>
      </c>
      <c r="E186" s="6">
        <v>1999</v>
      </c>
      <c r="F186" s="6">
        <v>4</v>
      </c>
      <c r="G186" s="6">
        <v>2</v>
      </c>
      <c r="H186" s="6">
        <v>15</v>
      </c>
      <c r="I186" s="6">
        <v>131</v>
      </c>
      <c r="K186" s="13">
        <v>45918</v>
      </c>
      <c r="L186">
        <v>44</v>
      </c>
    </row>
    <row r="187" spans="4:14" x14ac:dyDescent="0.25">
      <c r="D187" s="6" t="s">
        <v>38</v>
      </c>
      <c r="E187" s="6">
        <v>1999</v>
      </c>
      <c r="F187" s="6">
        <v>4</v>
      </c>
      <c r="G187" s="6">
        <v>2</v>
      </c>
      <c r="H187" s="6">
        <v>15</v>
      </c>
      <c r="I187" s="6">
        <v>131</v>
      </c>
      <c r="K187" s="13">
        <v>45922</v>
      </c>
      <c r="L187">
        <v>44</v>
      </c>
    </row>
    <row r="188" spans="4:14" x14ac:dyDescent="0.25">
      <c r="D188" s="6" t="s">
        <v>41</v>
      </c>
      <c r="E188" s="6">
        <v>2008</v>
      </c>
      <c r="F188" s="6">
        <v>4</v>
      </c>
      <c r="G188" s="6">
        <v>2</v>
      </c>
      <c r="H188" s="6">
        <v>16</v>
      </c>
      <c r="I188" s="6">
        <v>132</v>
      </c>
      <c r="K188" s="13">
        <v>45887</v>
      </c>
      <c r="L188">
        <v>44</v>
      </c>
    </row>
    <row r="189" spans="4:14" x14ac:dyDescent="0.25">
      <c r="D189" s="6" t="s">
        <v>41</v>
      </c>
      <c r="E189" s="6">
        <v>2008</v>
      </c>
      <c r="F189" s="6">
        <v>4</v>
      </c>
      <c r="G189" s="6">
        <v>2</v>
      </c>
      <c r="H189" s="6">
        <v>16</v>
      </c>
      <c r="I189" s="6">
        <v>132</v>
      </c>
      <c r="K189" s="13">
        <v>45908</v>
      </c>
      <c r="L189">
        <v>44</v>
      </c>
      <c r="M189">
        <v>17</v>
      </c>
      <c r="N189" s="28">
        <v>0.38636363636363602</v>
      </c>
    </row>
    <row r="190" spans="4:14" x14ac:dyDescent="0.25">
      <c r="D190" s="6" t="s">
        <v>41</v>
      </c>
      <c r="E190" s="6">
        <v>2008</v>
      </c>
      <c r="F190" s="6">
        <v>4</v>
      </c>
      <c r="G190" s="6">
        <v>2</v>
      </c>
      <c r="H190" s="6">
        <v>16</v>
      </c>
      <c r="I190" s="6">
        <v>132</v>
      </c>
      <c r="K190" s="13">
        <v>45911</v>
      </c>
      <c r="L190">
        <v>44</v>
      </c>
    </row>
    <row r="191" spans="4:14" x14ac:dyDescent="0.25">
      <c r="D191" s="6" t="s">
        <v>41</v>
      </c>
      <c r="E191" s="6">
        <v>2008</v>
      </c>
      <c r="F191" s="6">
        <v>4</v>
      </c>
      <c r="G191" s="6">
        <v>2</v>
      </c>
      <c r="H191" s="6">
        <v>16</v>
      </c>
      <c r="I191" s="6">
        <v>132</v>
      </c>
      <c r="K191" s="13">
        <v>45915</v>
      </c>
      <c r="L191">
        <v>44</v>
      </c>
      <c r="M191">
        <v>28</v>
      </c>
      <c r="N191" s="28">
        <v>0.63636363636363602</v>
      </c>
    </row>
    <row r="192" spans="4:14" x14ac:dyDescent="0.25">
      <c r="D192" s="6" t="s">
        <v>41</v>
      </c>
      <c r="E192" s="6">
        <v>2008</v>
      </c>
      <c r="F192" s="6">
        <v>4</v>
      </c>
      <c r="G192" s="6">
        <v>2</v>
      </c>
      <c r="H192" s="6">
        <v>16</v>
      </c>
      <c r="I192" s="6">
        <v>132</v>
      </c>
      <c r="K192" s="13">
        <v>45918</v>
      </c>
      <c r="L192">
        <v>44</v>
      </c>
    </row>
    <row r="193" spans="4:14" x14ac:dyDescent="0.25">
      <c r="D193" s="6" t="s">
        <v>41</v>
      </c>
      <c r="E193" s="6">
        <v>2008</v>
      </c>
      <c r="F193" s="6">
        <v>4</v>
      </c>
      <c r="G193" s="6">
        <v>2</v>
      </c>
      <c r="H193" s="6">
        <v>16</v>
      </c>
      <c r="I193" s="6">
        <v>132</v>
      </c>
      <c r="K193" s="13">
        <v>45922</v>
      </c>
      <c r="L193">
        <v>44</v>
      </c>
    </row>
    <row r="194" spans="4:14" x14ac:dyDescent="0.25">
      <c r="D194" s="6" t="s">
        <v>26</v>
      </c>
      <c r="E194" s="6">
        <v>1983</v>
      </c>
      <c r="F194" s="6">
        <v>1</v>
      </c>
      <c r="G194" s="6">
        <v>3</v>
      </c>
      <c r="H194" s="6">
        <v>1</v>
      </c>
      <c r="I194" s="6">
        <v>133</v>
      </c>
      <c r="K194" s="13">
        <v>45887</v>
      </c>
      <c r="L194">
        <v>110</v>
      </c>
      <c r="M194">
        <v>0</v>
      </c>
      <c r="N194" s="28">
        <v>0</v>
      </c>
    </row>
    <row r="195" spans="4:14" x14ac:dyDescent="0.25">
      <c r="D195" s="6" t="s">
        <v>26</v>
      </c>
      <c r="E195" s="6">
        <v>1983</v>
      </c>
      <c r="F195" s="6">
        <v>1</v>
      </c>
      <c r="G195" s="6">
        <v>3</v>
      </c>
      <c r="H195" s="6">
        <v>1</v>
      </c>
      <c r="I195" s="6">
        <v>133</v>
      </c>
      <c r="K195" s="13">
        <v>45908</v>
      </c>
      <c r="L195">
        <v>110</v>
      </c>
    </row>
    <row r="196" spans="4:14" x14ac:dyDescent="0.25">
      <c r="D196" s="6" t="s">
        <v>26</v>
      </c>
      <c r="E196" s="6">
        <v>1983</v>
      </c>
      <c r="F196" s="6">
        <v>1</v>
      </c>
      <c r="G196" s="6">
        <v>3</v>
      </c>
      <c r="H196" s="6">
        <v>1</v>
      </c>
      <c r="I196" s="6">
        <v>133</v>
      </c>
      <c r="K196" s="13">
        <v>45911</v>
      </c>
      <c r="L196">
        <v>110</v>
      </c>
      <c r="M196">
        <v>11</v>
      </c>
      <c r="N196" s="28">
        <v>0.1</v>
      </c>
    </row>
    <row r="197" spans="4:14" x14ac:dyDescent="0.25">
      <c r="D197" s="6" t="s">
        <v>26</v>
      </c>
      <c r="E197" s="6">
        <v>1983</v>
      </c>
      <c r="F197" s="6">
        <v>1</v>
      </c>
      <c r="G197" s="6">
        <v>3</v>
      </c>
      <c r="H197" s="6">
        <v>1</v>
      </c>
      <c r="I197" s="6">
        <v>133</v>
      </c>
      <c r="K197" s="13">
        <v>45915</v>
      </c>
      <c r="L197">
        <v>110</v>
      </c>
      <c r="M197">
        <v>40</v>
      </c>
      <c r="N197" s="28">
        <v>0.36363636363636298</v>
      </c>
    </row>
    <row r="198" spans="4:14" x14ac:dyDescent="0.25">
      <c r="D198" s="6" t="s">
        <v>26</v>
      </c>
      <c r="E198" s="6">
        <v>1983</v>
      </c>
      <c r="F198" s="6">
        <v>1</v>
      </c>
      <c r="G198" s="6">
        <v>3</v>
      </c>
      <c r="H198" s="6">
        <v>1</v>
      </c>
      <c r="I198" s="6">
        <v>133</v>
      </c>
      <c r="K198" s="13">
        <v>45918</v>
      </c>
      <c r="L198">
        <v>110</v>
      </c>
      <c r="M198">
        <v>55</v>
      </c>
      <c r="N198" s="28">
        <v>0.5</v>
      </c>
    </row>
    <row r="199" spans="4:14" x14ac:dyDescent="0.25">
      <c r="D199" s="6" t="s">
        <v>26</v>
      </c>
      <c r="E199" s="6">
        <v>1983</v>
      </c>
      <c r="F199" s="6">
        <v>1</v>
      </c>
      <c r="G199" s="6">
        <v>3</v>
      </c>
      <c r="H199" s="6">
        <v>1</v>
      </c>
      <c r="I199" s="6">
        <v>133</v>
      </c>
      <c r="K199" s="13">
        <v>45922</v>
      </c>
      <c r="L199">
        <v>110</v>
      </c>
    </row>
    <row r="200" spans="4:14" x14ac:dyDescent="0.25">
      <c r="D200" s="6" t="s">
        <v>27</v>
      </c>
      <c r="E200" s="6">
        <v>1985</v>
      </c>
      <c r="F200" s="6">
        <v>1</v>
      </c>
      <c r="G200" s="6">
        <v>3</v>
      </c>
      <c r="H200" s="6">
        <v>2</v>
      </c>
      <c r="I200" s="6">
        <v>134</v>
      </c>
      <c r="K200" s="13">
        <v>45887</v>
      </c>
      <c r="L200">
        <v>94</v>
      </c>
      <c r="M200">
        <v>0</v>
      </c>
      <c r="N200" s="28">
        <v>0</v>
      </c>
    </row>
    <row r="201" spans="4:14" x14ac:dyDescent="0.25">
      <c r="D201" s="6" t="s">
        <v>27</v>
      </c>
      <c r="E201" s="6">
        <v>1985</v>
      </c>
      <c r="F201" s="6">
        <v>1</v>
      </c>
      <c r="G201" s="6">
        <v>3</v>
      </c>
      <c r="H201" s="6">
        <v>2</v>
      </c>
      <c r="I201" s="6">
        <v>134</v>
      </c>
      <c r="K201" s="13">
        <v>45908</v>
      </c>
      <c r="L201">
        <v>94</v>
      </c>
    </row>
    <row r="202" spans="4:14" x14ac:dyDescent="0.25">
      <c r="D202" s="6" t="s">
        <v>27</v>
      </c>
      <c r="E202" s="6">
        <v>1985</v>
      </c>
      <c r="F202" s="6">
        <v>1</v>
      </c>
      <c r="G202" s="6">
        <v>3</v>
      </c>
      <c r="H202" s="6">
        <v>2</v>
      </c>
      <c r="I202" s="6">
        <v>134</v>
      </c>
      <c r="K202" s="13">
        <v>45911</v>
      </c>
      <c r="L202">
        <v>94</v>
      </c>
      <c r="M202">
        <v>13</v>
      </c>
      <c r="N202" s="28">
        <v>0.13829787234042501</v>
      </c>
    </row>
    <row r="203" spans="4:14" x14ac:dyDescent="0.25">
      <c r="D203" s="6" t="s">
        <v>27</v>
      </c>
      <c r="E203" s="6">
        <v>1985</v>
      </c>
      <c r="F203" s="6">
        <v>1</v>
      </c>
      <c r="G203" s="6">
        <v>3</v>
      </c>
      <c r="H203" s="6">
        <v>2</v>
      </c>
      <c r="I203" s="6">
        <v>134</v>
      </c>
      <c r="K203" s="13">
        <v>45915</v>
      </c>
      <c r="L203">
        <v>94</v>
      </c>
      <c r="M203">
        <v>40</v>
      </c>
      <c r="N203" s="28">
        <v>0.42553191489361702</v>
      </c>
    </row>
    <row r="204" spans="4:14" x14ac:dyDescent="0.25">
      <c r="D204" s="6" t="s">
        <v>27</v>
      </c>
      <c r="E204" s="6">
        <v>1985</v>
      </c>
      <c r="F204" s="6">
        <v>1</v>
      </c>
      <c r="G204" s="6">
        <v>3</v>
      </c>
      <c r="H204" s="6">
        <v>2</v>
      </c>
      <c r="I204" s="6">
        <v>134</v>
      </c>
      <c r="K204" s="13">
        <v>45918</v>
      </c>
      <c r="L204">
        <v>94</v>
      </c>
      <c r="M204">
        <v>50</v>
      </c>
      <c r="N204" s="28">
        <v>0.53191489361702105</v>
      </c>
    </row>
    <row r="205" spans="4:14" x14ac:dyDescent="0.25">
      <c r="D205" s="6" t="s">
        <v>27</v>
      </c>
      <c r="E205" s="6">
        <v>1985</v>
      </c>
      <c r="F205" s="6">
        <v>1</v>
      </c>
      <c r="G205" s="6">
        <v>3</v>
      </c>
      <c r="H205" s="6">
        <v>2</v>
      </c>
      <c r="I205" s="6">
        <v>134</v>
      </c>
      <c r="K205" s="13">
        <v>45922</v>
      </c>
      <c r="L205">
        <v>94</v>
      </c>
    </row>
    <row r="206" spans="4:14" x14ac:dyDescent="0.25">
      <c r="D206" s="6" t="s">
        <v>41</v>
      </c>
      <c r="E206" s="6">
        <v>2008</v>
      </c>
      <c r="F206" s="6">
        <v>1</v>
      </c>
      <c r="G206" s="6">
        <v>3</v>
      </c>
      <c r="H206" s="6">
        <v>3</v>
      </c>
      <c r="I206" s="6">
        <v>135</v>
      </c>
      <c r="K206" s="13">
        <v>45887</v>
      </c>
      <c r="L206">
        <v>69</v>
      </c>
      <c r="M206">
        <v>0</v>
      </c>
      <c r="N206" s="28">
        <v>0</v>
      </c>
    </row>
    <row r="207" spans="4:14" x14ac:dyDescent="0.25">
      <c r="D207" s="6" t="s">
        <v>41</v>
      </c>
      <c r="E207" s="6">
        <v>2008</v>
      </c>
      <c r="F207" s="6">
        <v>1</v>
      </c>
      <c r="G207" s="6">
        <v>3</v>
      </c>
      <c r="H207" s="6">
        <v>3</v>
      </c>
      <c r="I207" s="6">
        <v>135</v>
      </c>
      <c r="K207" s="13">
        <v>45908</v>
      </c>
      <c r="L207">
        <v>69</v>
      </c>
      <c r="M207">
        <v>14</v>
      </c>
      <c r="N207" s="28">
        <v>0.202898550724637</v>
      </c>
    </row>
    <row r="208" spans="4:14" x14ac:dyDescent="0.25">
      <c r="D208" s="6" t="s">
        <v>41</v>
      </c>
      <c r="E208" s="6">
        <v>2008</v>
      </c>
      <c r="F208" s="6">
        <v>1</v>
      </c>
      <c r="G208" s="6">
        <v>3</v>
      </c>
      <c r="H208" s="6">
        <v>3</v>
      </c>
      <c r="I208" s="6">
        <v>135</v>
      </c>
      <c r="K208" s="13">
        <v>45911</v>
      </c>
      <c r="L208">
        <v>69</v>
      </c>
      <c r="M208">
        <v>39</v>
      </c>
      <c r="N208" s="28">
        <v>0.56521739130434701</v>
      </c>
    </row>
    <row r="209" spans="4:14" x14ac:dyDescent="0.25">
      <c r="D209" s="6" t="s">
        <v>41</v>
      </c>
      <c r="E209" s="6">
        <v>2008</v>
      </c>
      <c r="F209" s="6">
        <v>1</v>
      </c>
      <c r="G209" s="6">
        <v>3</v>
      </c>
      <c r="H209" s="6">
        <v>3</v>
      </c>
      <c r="I209" s="6">
        <v>135</v>
      </c>
      <c r="K209" s="13">
        <v>45915</v>
      </c>
      <c r="L209">
        <v>69</v>
      </c>
    </row>
    <row r="210" spans="4:14" x14ac:dyDescent="0.25">
      <c r="D210" s="6" t="s">
        <v>41</v>
      </c>
      <c r="E210" s="6">
        <v>2008</v>
      </c>
      <c r="F210" s="6">
        <v>1</v>
      </c>
      <c r="G210" s="6">
        <v>3</v>
      </c>
      <c r="H210" s="6">
        <v>3</v>
      </c>
      <c r="I210" s="6">
        <v>135</v>
      </c>
      <c r="K210" s="13">
        <v>45918</v>
      </c>
      <c r="L210">
        <v>69</v>
      </c>
    </row>
    <row r="211" spans="4:14" x14ac:dyDescent="0.25">
      <c r="D211" s="6" t="s">
        <v>41</v>
      </c>
      <c r="E211" s="6">
        <v>2008</v>
      </c>
      <c r="F211" s="6">
        <v>1</v>
      </c>
      <c r="G211" s="6">
        <v>3</v>
      </c>
      <c r="H211" s="6">
        <v>3</v>
      </c>
      <c r="I211" s="6">
        <v>135</v>
      </c>
      <c r="K211" s="13">
        <v>45922</v>
      </c>
      <c r="L211">
        <v>69</v>
      </c>
    </row>
    <row r="212" spans="4:14" x14ac:dyDescent="0.25">
      <c r="D212" s="6" t="s">
        <v>36</v>
      </c>
      <c r="E212" s="6">
        <v>1984</v>
      </c>
      <c r="F212" s="6">
        <v>1</v>
      </c>
      <c r="G212" s="6">
        <v>3</v>
      </c>
      <c r="H212" s="6">
        <v>4</v>
      </c>
      <c r="I212" s="6">
        <v>136</v>
      </c>
      <c r="K212" s="13">
        <v>45887</v>
      </c>
      <c r="L212">
        <v>57</v>
      </c>
      <c r="M212">
        <v>0</v>
      </c>
      <c r="N212" s="28">
        <v>0</v>
      </c>
    </row>
    <row r="213" spans="4:14" x14ac:dyDescent="0.25">
      <c r="D213" s="6" t="s">
        <v>36</v>
      </c>
      <c r="E213" s="6">
        <v>1984</v>
      </c>
      <c r="F213" s="6">
        <v>1</v>
      </c>
      <c r="G213" s="6">
        <v>3</v>
      </c>
      <c r="H213" s="6">
        <v>4</v>
      </c>
      <c r="I213" s="6">
        <v>136</v>
      </c>
      <c r="K213" s="13">
        <v>45908</v>
      </c>
      <c r="L213">
        <v>57</v>
      </c>
    </row>
    <row r="214" spans="4:14" x14ac:dyDescent="0.25">
      <c r="D214" s="6" t="s">
        <v>36</v>
      </c>
      <c r="E214" s="6">
        <v>1984</v>
      </c>
      <c r="F214" s="6">
        <v>1</v>
      </c>
      <c r="G214" s="6">
        <v>3</v>
      </c>
      <c r="H214" s="6">
        <v>4</v>
      </c>
      <c r="I214" s="6">
        <v>136</v>
      </c>
      <c r="K214" s="13">
        <v>45911</v>
      </c>
      <c r="L214">
        <v>57</v>
      </c>
      <c r="M214">
        <v>18</v>
      </c>
      <c r="N214" s="28">
        <v>0.31578947368421001</v>
      </c>
    </row>
    <row r="215" spans="4:14" x14ac:dyDescent="0.25">
      <c r="D215" s="6" t="s">
        <v>36</v>
      </c>
      <c r="E215" s="6">
        <v>1984</v>
      </c>
      <c r="F215" s="6">
        <v>1</v>
      </c>
      <c r="G215" s="6">
        <v>3</v>
      </c>
      <c r="H215" s="6">
        <v>4</v>
      </c>
      <c r="I215" s="6">
        <v>136</v>
      </c>
      <c r="K215" s="13">
        <v>45915</v>
      </c>
      <c r="L215">
        <v>57</v>
      </c>
      <c r="M215">
        <v>37</v>
      </c>
      <c r="N215" s="28">
        <v>0.64912280701754299</v>
      </c>
    </row>
    <row r="216" spans="4:14" x14ac:dyDescent="0.25">
      <c r="D216" s="6" t="s">
        <v>36</v>
      </c>
      <c r="E216" s="6">
        <v>1984</v>
      </c>
      <c r="F216" s="6">
        <v>1</v>
      </c>
      <c r="G216" s="6">
        <v>3</v>
      </c>
      <c r="H216" s="6">
        <v>4</v>
      </c>
      <c r="I216" s="6">
        <v>136</v>
      </c>
      <c r="K216" s="13">
        <v>45918</v>
      </c>
      <c r="L216">
        <v>57</v>
      </c>
    </row>
    <row r="217" spans="4:14" x14ac:dyDescent="0.25">
      <c r="D217" s="6" t="s">
        <v>36</v>
      </c>
      <c r="E217" s="6">
        <v>1984</v>
      </c>
      <c r="F217" s="6">
        <v>1</v>
      </c>
      <c r="G217" s="6">
        <v>3</v>
      </c>
      <c r="H217" s="6">
        <v>4</v>
      </c>
      <c r="I217" s="6">
        <v>136</v>
      </c>
      <c r="K217" s="13">
        <v>45922</v>
      </c>
      <c r="L217">
        <v>57</v>
      </c>
    </row>
    <row r="218" spans="4:14" x14ac:dyDescent="0.25">
      <c r="D218" s="6" t="s">
        <v>313</v>
      </c>
      <c r="E218" s="6">
        <v>2016</v>
      </c>
      <c r="F218" s="6">
        <v>2</v>
      </c>
      <c r="G218" s="6">
        <v>3</v>
      </c>
      <c r="H218" s="6">
        <v>5</v>
      </c>
      <c r="I218" s="6">
        <v>137</v>
      </c>
      <c r="K218" s="13">
        <v>45887</v>
      </c>
      <c r="L218">
        <v>52</v>
      </c>
    </row>
    <row r="219" spans="4:14" x14ac:dyDescent="0.25">
      <c r="D219" s="6" t="s">
        <v>313</v>
      </c>
      <c r="E219" s="6">
        <v>2016</v>
      </c>
      <c r="F219" s="6">
        <v>2</v>
      </c>
      <c r="G219" s="6">
        <v>3</v>
      </c>
      <c r="H219" s="6">
        <v>5</v>
      </c>
      <c r="I219" s="6">
        <v>137</v>
      </c>
      <c r="K219" s="13">
        <v>45908</v>
      </c>
      <c r="L219">
        <v>52</v>
      </c>
    </row>
    <row r="220" spans="4:14" x14ac:dyDescent="0.25">
      <c r="D220" s="6" t="s">
        <v>313</v>
      </c>
      <c r="E220" s="6">
        <v>2016</v>
      </c>
      <c r="F220" s="6">
        <v>2</v>
      </c>
      <c r="G220" s="6">
        <v>3</v>
      </c>
      <c r="H220" s="6">
        <v>5</v>
      </c>
      <c r="I220" s="6">
        <v>137</v>
      </c>
      <c r="K220" s="13">
        <v>45911</v>
      </c>
      <c r="L220">
        <v>52</v>
      </c>
      <c r="M220">
        <v>1</v>
      </c>
      <c r="N220" s="28">
        <v>1.9230769230769201E-2</v>
      </c>
    </row>
    <row r="221" spans="4:14" x14ac:dyDescent="0.25">
      <c r="D221" s="6" t="s">
        <v>313</v>
      </c>
      <c r="E221" s="6">
        <v>2016</v>
      </c>
      <c r="F221" s="6">
        <v>2</v>
      </c>
      <c r="G221" s="6">
        <v>3</v>
      </c>
      <c r="H221" s="6">
        <v>5</v>
      </c>
      <c r="I221" s="6">
        <v>137</v>
      </c>
      <c r="K221" s="13">
        <v>45915</v>
      </c>
      <c r="L221">
        <v>52</v>
      </c>
      <c r="M221">
        <v>4</v>
      </c>
      <c r="N221" s="28">
        <v>7.69230769230769E-2</v>
      </c>
    </row>
    <row r="222" spans="4:14" x14ac:dyDescent="0.25">
      <c r="D222" s="6" t="s">
        <v>313</v>
      </c>
      <c r="E222" s="6">
        <v>2016</v>
      </c>
      <c r="F222" s="6">
        <v>2</v>
      </c>
      <c r="G222" s="6">
        <v>3</v>
      </c>
      <c r="H222" s="6">
        <v>5</v>
      </c>
      <c r="I222" s="6">
        <v>137</v>
      </c>
      <c r="K222" s="13">
        <v>45918</v>
      </c>
      <c r="L222">
        <v>52</v>
      </c>
      <c r="M222">
        <v>12</v>
      </c>
      <c r="N222" s="28">
        <v>0.23076923076923</v>
      </c>
    </row>
    <row r="223" spans="4:14" x14ac:dyDescent="0.25">
      <c r="D223" s="6" t="s">
        <v>313</v>
      </c>
      <c r="E223" s="6">
        <v>2016</v>
      </c>
      <c r="F223" s="6">
        <v>2</v>
      </c>
      <c r="G223" s="6">
        <v>3</v>
      </c>
      <c r="H223" s="6">
        <v>5</v>
      </c>
      <c r="I223" s="6">
        <v>137</v>
      </c>
      <c r="K223" s="13">
        <v>45922</v>
      </c>
      <c r="L223">
        <v>52</v>
      </c>
      <c r="M223">
        <v>26</v>
      </c>
      <c r="N223" s="28">
        <v>0.5</v>
      </c>
    </row>
    <row r="224" spans="4:14" x14ac:dyDescent="0.25">
      <c r="D224" s="6" t="s">
        <v>32</v>
      </c>
      <c r="E224" s="6">
        <v>2018</v>
      </c>
      <c r="F224" s="6">
        <v>2</v>
      </c>
      <c r="G224" s="6">
        <v>3</v>
      </c>
      <c r="H224" s="6">
        <v>6</v>
      </c>
      <c r="I224" s="6">
        <v>138</v>
      </c>
      <c r="K224" s="13">
        <v>45887</v>
      </c>
      <c r="L224">
        <v>67</v>
      </c>
    </row>
    <row r="225" spans="4:14" x14ac:dyDescent="0.25">
      <c r="D225" s="6" t="s">
        <v>32</v>
      </c>
      <c r="E225" s="6">
        <v>2018</v>
      </c>
      <c r="F225" s="6">
        <v>2</v>
      </c>
      <c r="G225" s="6">
        <v>3</v>
      </c>
      <c r="H225" s="6">
        <v>6</v>
      </c>
      <c r="I225" s="6">
        <v>138</v>
      </c>
      <c r="K225" s="13">
        <v>45908</v>
      </c>
      <c r="L225">
        <v>67</v>
      </c>
    </row>
    <row r="226" spans="4:14" x14ac:dyDescent="0.25">
      <c r="D226" s="6" t="s">
        <v>32</v>
      </c>
      <c r="E226" s="6">
        <v>2018</v>
      </c>
      <c r="F226" s="6">
        <v>2</v>
      </c>
      <c r="G226" s="6">
        <v>3</v>
      </c>
      <c r="H226" s="6">
        <v>6</v>
      </c>
      <c r="I226" s="6">
        <v>138</v>
      </c>
      <c r="K226" s="13">
        <v>45911</v>
      </c>
      <c r="L226">
        <v>67</v>
      </c>
      <c r="M226">
        <v>15</v>
      </c>
      <c r="N226" s="28">
        <v>0.22388059701492499</v>
      </c>
    </row>
    <row r="227" spans="4:14" x14ac:dyDescent="0.25">
      <c r="D227" s="6" t="s">
        <v>32</v>
      </c>
      <c r="E227" s="6">
        <v>2018</v>
      </c>
      <c r="F227" s="6">
        <v>2</v>
      </c>
      <c r="G227" s="6">
        <v>3</v>
      </c>
      <c r="H227" s="6">
        <v>6</v>
      </c>
      <c r="I227" s="6">
        <v>138</v>
      </c>
      <c r="K227" s="13">
        <v>45915</v>
      </c>
      <c r="L227">
        <v>67</v>
      </c>
      <c r="M227">
        <v>36</v>
      </c>
      <c r="N227" s="28">
        <v>0.53731343283582</v>
      </c>
    </row>
    <row r="228" spans="4:14" x14ac:dyDescent="0.25">
      <c r="D228" s="6" t="s">
        <v>32</v>
      </c>
      <c r="E228" s="6">
        <v>2018</v>
      </c>
      <c r="F228" s="6">
        <v>2</v>
      </c>
      <c r="G228" s="6">
        <v>3</v>
      </c>
      <c r="H228" s="6">
        <v>6</v>
      </c>
      <c r="I228" s="6">
        <v>138</v>
      </c>
      <c r="K228" s="13">
        <v>45918</v>
      </c>
      <c r="L228">
        <v>67</v>
      </c>
    </row>
    <row r="229" spans="4:14" x14ac:dyDescent="0.25">
      <c r="D229" s="6" t="s">
        <v>32</v>
      </c>
      <c r="E229" s="6">
        <v>2018</v>
      </c>
      <c r="F229" s="6">
        <v>2</v>
      </c>
      <c r="G229" s="6">
        <v>3</v>
      </c>
      <c r="H229" s="6">
        <v>6</v>
      </c>
      <c r="I229" s="6">
        <v>138</v>
      </c>
      <c r="K229" s="13">
        <v>45922</v>
      </c>
      <c r="L229">
        <v>67</v>
      </c>
    </row>
    <row r="230" spans="4:14" x14ac:dyDescent="0.25">
      <c r="D230" s="6" t="s">
        <v>39</v>
      </c>
      <c r="E230" s="6">
        <v>2001</v>
      </c>
      <c r="F230" s="6">
        <v>2</v>
      </c>
      <c r="G230" s="6">
        <v>3</v>
      </c>
      <c r="H230" s="6">
        <v>7</v>
      </c>
      <c r="I230" s="6">
        <v>139</v>
      </c>
      <c r="K230" s="13">
        <v>45887</v>
      </c>
      <c r="L230">
        <v>69</v>
      </c>
    </row>
    <row r="231" spans="4:14" x14ac:dyDescent="0.25">
      <c r="D231" s="6" t="s">
        <v>39</v>
      </c>
      <c r="E231" s="6">
        <v>2001</v>
      </c>
      <c r="F231" s="6">
        <v>2</v>
      </c>
      <c r="G231" s="6">
        <v>3</v>
      </c>
      <c r="H231" s="6">
        <v>7</v>
      </c>
      <c r="I231" s="6">
        <v>139</v>
      </c>
      <c r="K231" s="13">
        <v>45908</v>
      </c>
      <c r="L231">
        <v>69</v>
      </c>
    </row>
    <row r="232" spans="4:14" x14ac:dyDescent="0.25">
      <c r="D232" s="6" t="s">
        <v>39</v>
      </c>
      <c r="E232" s="6">
        <v>2001</v>
      </c>
      <c r="F232" s="6">
        <v>2</v>
      </c>
      <c r="G232" s="6">
        <v>3</v>
      </c>
      <c r="H232" s="6">
        <v>7</v>
      </c>
      <c r="I232" s="6">
        <v>139</v>
      </c>
      <c r="K232" s="13">
        <v>45911</v>
      </c>
      <c r="L232">
        <v>69</v>
      </c>
      <c r="M232">
        <v>20</v>
      </c>
      <c r="N232" s="28">
        <v>0.28985507246376802</v>
      </c>
    </row>
    <row r="233" spans="4:14" x14ac:dyDescent="0.25">
      <c r="D233" s="6" t="s">
        <v>39</v>
      </c>
      <c r="E233" s="6">
        <v>2001</v>
      </c>
      <c r="F233" s="6">
        <v>2</v>
      </c>
      <c r="G233" s="6">
        <v>3</v>
      </c>
      <c r="H233" s="6">
        <v>7</v>
      </c>
      <c r="I233" s="6">
        <v>139</v>
      </c>
      <c r="K233" s="13">
        <v>45915</v>
      </c>
      <c r="L233">
        <v>69</v>
      </c>
      <c r="M233">
        <v>40</v>
      </c>
      <c r="N233" s="28">
        <v>0.57971014492753603</v>
      </c>
    </row>
    <row r="234" spans="4:14" x14ac:dyDescent="0.25">
      <c r="D234" s="6" t="s">
        <v>39</v>
      </c>
      <c r="E234" s="6">
        <v>2001</v>
      </c>
      <c r="F234" s="6">
        <v>2</v>
      </c>
      <c r="G234" s="6">
        <v>3</v>
      </c>
      <c r="H234" s="6">
        <v>7</v>
      </c>
      <c r="I234" s="6">
        <v>139</v>
      </c>
      <c r="K234" s="13">
        <v>45918</v>
      </c>
      <c r="L234">
        <v>69</v>
      </c>
    </row>
    <row r="235" spans="4:14" x14ac:dyDescent="0.25">
      <c r="D235" s="6" t="s">
        <v>39</v>
      </c>
      <c r="E235" s="6">
        <v>2001</v>
      </c>
      <c r="F235" s="6">
        <v>2</v>
      </c>
      <c r="G235" s="6">
        <v>3</v>
      </c>
      <c r="H235" s="6">
        <v>7</v>
      </c>
      <c r="I235" s="6">
        <v>139</v>
      </c>
      <c r="K235" s="13">
        <v>45922</v>
      </c>
      <c r="L235">
        <v>69</v>
      </c>
    </row>
    <row r="236" spans="4:14" x14ac:dyDescent="0.25">
      <c r="D236" s="6" t="s">
        <v>38</v>
      </c>
      <c r="E236" s="6">
        <v>1999</v>
      </c>
      <c r="F236" s="6">
        <v>2</v>
      </c>
      <c r="G236" s="6">
        <v>3</v>
      </c>
      <c r="H236" s="6">
        <v>8</v>
      </c>
      <c r="I236" s="6">
        <v>140</v>
      </c>
      <c r="K236" s="13">
        <v>45887</v>
      </c>
      <c r="L236">
        <v>53</v>
      </c>
    </row>
    <row r="237" spans="4:14" x14ac:dyDescent="0.25">
      <c r="D237" s="6" t="s">
        <v>38</v>
      </c>
      <c r="E237" s="6">
        <v>1999</v>
      </c>
      <c r="F237" s="6">
        <v>2</v>
      </c>
      <c r="G237" s="6">
        <v>3</v>
      </c>
      <c r="H237" s="6">
        <v>8</v>
      </c>
      <c r="I237" s="6">
        <v>140</v>
      </c>
      <c r="K237" s="13">
        <v>45908</v>
      </c>
      <c r="L237">
        <v>53</v>
      </c>
    </row>
    <row r="238" spans="4:14" x14ac:dyDescent="0.25">
      <c r="D238" s="6" t="s">
        <v>38</v>
      </c>
      <c r="E238" s="6">
        <v>1999</v>
      </c>
      <c r="F238" s="6">
        <v>2</v>
      </c>
      <c r="G238" s="6">
        <v>3</v>
      </c>
      <c r="H238" s="6">
        <v>8</v>
      </c>
      <c r="I238" s="6">
        <v>140</v>
      </c>
      <c r="K238" s="13">
        <v>45911</v>
      </c>
      <c r="L238">
        <v>53</v>
      </c>
      <c r="M238">
        <v>6</v>
      </c>
      <c r="N238" s="28">
        <v>0.113207547169811</v>
      </c>
    </row>
    <row r="239" spans="4:14" x14ac:dyDescent="0.25">
      <c r="D239" s="6" t="s">
        <v>38</v>
      </c>
      <c r="E239" s="6">
        <v>1999</v>
      </c>
      <c r="F239" s="6">
        <v>2</v>
      </c>
      <c r="G239" s="6">
        <v>3</v>
      </c>
      <c r="H239" s="6">
        <v>8</v>
      </c>
      <c r="I239" s="6">
        <v>140</v>
      </c>
      <c r="K239" s="13">
        <v>45915</v>
      </c>
      <c r="L239">
        <v>53</v>
      </c>
      <c r="M239">
        <v>25</v>
      </c>
      <c r="N239" s="28">
        <v>0.47169811320754701</v>
      </c>
    </row>
    <row r="240" spans="4:14" x14ac:dyDescent="0.25">
      <c r="D240" s="6" t="s">
        <v>38</v>
      </c>
      <c r="E240" s="6">
        <v>1999</v>
      </c>
      <c r="F240" s="6">
        <v>2</v>
      </c>
      <c r="G240" s="6">
        <v>3</v>
      </c>
      <c r="H240" s="6">
        <v>8</v>
      </c>
      <c r="I240" s="6">
        <v>140</v>
      </c>
      <c r="K240" s="13">
        <v>45918</v>
      </c>
      <c r="L240">
        <v>53</v>
      </c>
      <c r="M240">
        <v>34</v>
      </c>
      <c r="N240" s="28">
        <v>0.64150943396226401</v>
      </c>
    </row>
    <row r="241" spans="4:14" x14ac:dyDescent="0.25">
      <c r="D241" s="6" t="s">
        <v>38</v>
      </c>
      <c r="E241" s="6">
        <v>1999</v>
      </c>
      <c r="F241" s="6">
        <v>2</v>
      </c>
      <c r="G241" s="6">
        <v>3</v>
      </c>
      <c r="H241" s="6">
        <v>8</v>
      </c>
      <c r="I241" s="6">
        <v>140</v>
      </c>
      <c r="K241" s="13">
        <v>45922</v>
      </c>
      <c r="L241">
        <v>53</v>
      </c>
    </row>
    <row r="242" spans="4:14" x14ac:dyDescent="0.25">
      <c r="D242" s="6" t="s">
        <v>28</v>
      </c>
      <c r="E242" s="6">
        <v>1998</v>
      </c>
      <c r="F242" s="6">
        <v>3</v>
      </c>
      <c r="G242" s="6">
        <v>3</v>
      </c>
      <c r="H242" s="6">
        <v>9</v>
      </c>
      <c r="I242" s="6">
        <v>141</v>
      </c>
      <c r="K242" s="13">
        <v>45887</v>
      </c>
      <c r="L242">
        <v>86</v>
      </c>
    </row>
    <row r="243" spans="4:14" x14ac:dyDescent="0.25">
      <c r="D243" s="6" t="s">
        <v>28</v>
      </c>
      <c r="E243" s="6">
        <v>1998</v>
      </c>
      <c r="F243" s="6">
        <v>3</v>
      </c>
      <c r="G243" s="6">
        <v>3</v>
      </c>
      <c r="H243" s="6">
        <v>9</v>
      </c>
      <c r="I243" s="6">
        <v>141</v>
      </c>
      <c r="K243" s="13">
        <v>45908</v>
      </c>
      <c r="L243">
        <v>86</v>
      </c>
      <c r="M243">
        <v>5</v>
      </c>
      <c r="N243" s="28">
        <v>5.8139534883720902E-2</v>
      </c>
    </row>
    <row r="244" spans="4:14" x14ac:dyDescent="0.25">
      <c r="D244" s="6" t="s">
        <v>28</v>
      </c>
      <c r="E244" s="6">
        <v>1998</v>
      </c>
      <c r="F244" s="6">
        <v>3</v>
      </c>
      <c r="G244" s="6">
        <v>3</v>
      </c>
      <c r="H244" s="6">
        <v>9</v>
      </c>
      <c r="I244" s="6">
        <v>141</v>
      </c>
      <c r="K244" s="13">
        <v>45911</v>
      </c>
      <c r="L244">
        <v>86</v>
      </c>
      <c r="M244">
        <v>32</v>
      </c>
      <c r="N244" s="28">
        <v>0.372093023255813</v>
      </c>
    </row>
    <row r="245" spans="4:14" x14ac:dyDescent="0.25">
      <c r="D245" s="6" t="s">
        <v>28</v>
      </c>
      <c r="E245" s="6">
        <v>1998</v>
      </c>
      <c r="F245" s="6">
        <v>3</v>
      </c>
      <c r="G245" s="6">
        <v>3</v>
      </c>
      <c r="H245" s="6">
        <v>9</v>
      </c>
      <c r="I245" s="6">
        <v>141</v>
      </c>
      <c r="K245" s="13">
        <v>45915</v>
      </c>
      <c r="L245">
        <v>86</v>
      </c>
      <c r="M245">
        <v>50</v>
      </c>
      <c r="N245" s="28">
        <v>0.581395348837209</v>
      </c>
    </row>
    <row r="246" spans="4:14" x14ac:dyDescent="0.25">
      <c r="D246" s="6" t="s">
        <v>28</v>
      </c>
      <c r="E246" s="6">
        <v>1998</v>
      </c>
      <c r="F246" s="6">
        <v>3</v>
      </c>
      <c r="G246" s="6">
        <v>3</v>
      </c>
      <c r="H246" s="6">
        <v>9</v>
      </c>
      <c r="I246" s="6">
        <v>141</v>
      </c>
      <c r="K246" s="13">
        <v>45918</v>
      </c>
      <c r="L246">
        <v>86</v>
      </c>
    </row>
    <row r="247" spans="4:14" x14ac:dyDescent="0.25">
      <c r="D247" s="6" t="s">
        <v>28</v>
      </c>
      <c r="E247" s="6">
        <v>1998</v>
      </c>
      <c r="F247" s="6">
        <v>3</v>
      </c>
      <c r="G247" s="6">
        <v>3</v>
      </c>
      <c r="H247" s="6">
        <v>9</v>
      </c>
      <c r="I247" s="6">
        <v>141</v>
      </c>
      <c r="K247" s="13">
        <v>45922</v>
      </c>
      <c r="L247">
        <v>86</v>
      </c>
    </row>
    <row r="248" spans="4:14" x14ac:dyDescent="0.25">
      <c r="D248" s="6" t="s">
        <v>29</v>
      </c>
      <c r="E248" s="6">
        <v>1999</v>
      </c>
      <c r="F248" s="6">
        <v>3</v>
      </c>
      <c r="G248" s="6">
        <v>3</v>
      </c>
      <c r="H248" s="6">
        <v>10</v>
      </c>
      <c r="I248" s="6">
        <v>142</v>
      </c>
      <c r="K248" s="13">
        <v>45887</v>
      </c>
      <c r="L248">
        <v>118</v>
      </c>
    </row>
    <row r="249" spans="4:14" x14ac:dyDescent="0.25">
      <c r="D249" s="6" t="s">
        <v>29</v>
      </c>
      <c r="E249" s="6">
        <v>1999</v>
      </c>
      <c r="F249" s="6">
        <v>3</v>
      </c>
      <c r="G249" s="6">
        <v>3</v>
      </c>
      <c r="H249" s="6">
        <v>10</v>
      </c>
      <c r="I249" s="6">
        <v>142</v>
      </c>
      <c r="K249" s="13">
        <v>45908</v>
      </c>
      <c r="L249">
        <v>118</v>
      </c>
    </row>
    <row r="250" spans="4:14" x14ac:dyDescent="0.25">
      <c r="D250" s="6" t="s">
        <v>29</v>
      </c>
      <c r="E250" s="6">
        <v>1999</v>
      </c>
      <c r="F250" s="6">
        <v>3</v>
      </c>
      <c r="G250" s="6">
        <v>3</v>
      </c>
      <c r="H250" s="6">
        <v>10</v>
      </c>
      <c r="I250" s="6">
        <v>142</v>
      </c>
      <c r="K250" s="13">
        <v>45911</v>
      </c>
      <c r="L250">
        <v>118</v>
      </c>
      <c r="M250">
        <v>15</v>
      </c>
      <c r="N250" s="28">
        <v>0.12711864406779599</v>
      </c>
    </row>
    <row r="251" spans="4:14" x14ac:dyDescent="0.25">
      <c r="D251" s="6" t="s">
        <v>29</v>
      </c>
      <c r="E251" s="6">
        <v>1999</v>
      </c>
      <c r="F251" s="6">
        <v>3</v>
      </c>
      <c r="G251" s="6">
        <v>3</v>
      </c>
      <c r="H251" s="6">
        <v>10</v>
      </c>
      <c r="I251" s="6">
        <v>142</v>
      </c>
      <c r="K251" s="13">
        <v>45915</v>
      </c>
      <c r="L251">
        <v>118</v>
      </c>
      <c r="M251">
        <v>50</v>
      </c>
      <c r="N251" s="28">
        <v>0.42372881355932202</v>
      </c>
    </row>
    <row r="252" spans="4:14" x14ac:dyDescent="0.25">
      <c r="D252" s="6" t="s">
        <v>29</v>
      </c>
      <c r="E252" s="6">
        <v>1999</v>
      </c>
      <c r="F252" s="6">
        <v>3</v>
      </c>
      <c r="G252" s="6">
        <v>3</v>
      </c>
      <c r="H252" s="6">
        <v>10</v>
      </c>
      <c r="I252" s="6">
        <v>142</v>
      </c>
      <c r="K252" s="13">
        <v>45918</v>
      </c>
      <c r="L252">
        <v>118</v>
      </c>
      <c r="M252">
        <v>60</v>
      </c>
      <c r="N252" s="28">
        <v>0.50847457627118597</v>
      </c>
    </row>
    <row r="253" spans="4:14" x14ac:dyDescent="0.25">
      <c r="D253" s="6" t="s">
        <v>29</v>
      </c>
      <c r="E253" s="6">
        <v>1999</v>
      </c>
      <c r="F253" s="6">
        <v>3</v>
      </c>
      <c r="G253" s="6">
        <v>3</v>
      </c>
      <c r="H253" s="6">
        <v>10</v>
      </c>
      <c r="I253" s="6">
        <v>142</v>
      </c>
      <c r="K253" s="13">
        <v>45922</v>
      </c>
      <c r="L253">
        <v>118</v>
      </c>
    </row>
    <row r="254" spans="4:14" x14ac:dyDescent="0.25">
      <c r="D254" s="6" t="s">
        <v>43</v>
      </c>
      <c r="E254" s="6">
        <v>2020</v>
      </c>
      <c r="F254" s="6">
        <v>3</v>
      </c>
      <c r="G254" s="6">
        <v>3</v>
      </c>
      <c r="H254" s="6">
        <v>11</v>
      </c>
      <c r="I254" s="6">
        <v>143</v>
      </c>
      <c r="K254" s="13">
        <v>45887</v>
      </c>
      <c r="L254">
        <v>43</v>
      </c>
    </row>
    <row r="255" spans="4:14" x14ac:dyDescent="0.25">
      <c r="D255" s="6" t="s">
        <v>43</v>
      </c>
      <c r="E255" s="6">
        <v>2020</v>
      </c>
      <c r="F255" s="6">
        <v>3</v>
      </c>
      <c r="G255" s="6">
        <v>3</v>
      </c>
      <c r="H255" s="6">
        <v>11</v>
      </c>
      <c r="I255" s="6">
        <v>143</v>
      </c>
      <c r="K255" s="13">
        <v>45908</v>
      </c>
      <c r="L255">
        <v>43</v>
      </c>
    </row>
    <row r="256" spans="4:14" x14ac:dyDescent="0.25">
      <c r="D256" s="6" t="s">
        <v>43</v>
      </c>
      <c r="E256" s="6">
        <v>2020</v>
      </c>
      <c r="F256" s="6">
        <v>3</v>
      </c>
      <c r="G256" s="6">
        <v>3</v>
      </c>
      <c r="H256" s="6">
        <v>11</v>
      </c>
      <c r="I256" s="6">
        <v>143</v>
      </c>
      <c r="K256" s="13">
        <v>45911</v>
      </c>
      <c r="L256">
        <v>43</v>
      </c>
      <c r="M256">
        <v>1</v>
      </c>
      <c r="N256" s="28">
        <v>2.3255813953488299E-2</v>
      </c>
    </row>
    <row r="257" spans="4:14" x14ac:dyDescent="0.25">
      <c r="D257" s="6" t="s">
        <v>43</v>
      </c>
      <c r="E257" s="6">
        <v>2020</v>
      </c>
      <c r="F257" s="6">
        <v>3</v>
      </c>
      <c r="G257" s="6">
        <v>3</v>
      </c>
      <c r="H257" s="6">
        <v>11</v>
      </c>
      <c r="I257" s="6">
        <v>143</v>
      </c>
      <c r="K257" s="13">
        <v>45915</v>
      </c>
      <c r="L257">
        <v>43</v>
      </c>
      <c r="M257">
        <v>8</v>
      </c>
      <c r="N257" s="28">
        <v>0.186046511627906</v>
      </c>
    </row>
    <row r="258" spans="4:14" x14ac:dyDescent="0.25">
      <c r="D258" s="6" t="s">
        <v>43</v>
      </c>
      <c r="E258" s="6">
        <v>2020</v>
      </c>
      <c r="F258" s="6">
        <v>3</v>
      </c>
      <c r="G258" s="6">
        <v>3</v>
      </c>
      <c r="H258" s="6">
        <v>11</v>
      </c>
      <c r="I258" s="6">
        <v>143</v>
      </c>
      <c r="K258" s="13">
        <v>45918</v>
      </c>
      <c r="L258">
        <v>43</v>
      </c>
      <c r="M258">
        <v>22</v>
      </c>
      <c r="N258" s="28">
        <v>0.51162790697674398</v>
      </c>
    </row>
    <row r="259" spans="4:14" x14ac:dyDescent="0.25">
      <c r="D259" s="6" t="s">
        <v>43</v>
      </c>
      <c r="E259" s="6">
        <v>2020</v>
      </c>
      <c r="F259" s="6">
        <v>3</v>
      </c>
      <c r="G259" s="6">
        <v>3</v>
      </c>
      <c r="H259" s="6">
        <v>11</v>
      </c>
      <c r="I259" s="6">
        <v>143</v>
      </c>
      <c r="K259" s="13">
        <v>45922</v>
      </c>
      <c r="L259">
        <v>43</v>
      </c>
    </row>
    <row r="260" spans="4:14" x14ac:dyDescent="0.25">
      <c r="D260" s="6" t="s">
        <v>318</v>
      </c>
      <c r="E260" s="6">
        <v>2004</v>
      </c>
      <c r="F260" s="6">
        <v>3</v>
      </c>
      <c r="G260" s="6">
        <v>3</v>
      </c>
      <c r="H260" s="6">
        <v>12</v>
      </c>
      <c r="I260" s="6">
        <v>144</v>
      </c>
      <c r="K260" s="13">
        <v>45887</v>
      </c>
      <c r="L260">
        <v>51</v>
      </c>
    </row>
    <row r="261" spans="4:14" x14ac:dyDescent="0.25">
      <c r="D261" s="6" t="s">
        <v>318</v>
      </c>
      <c r="E261" s="6">
        <v>2004</v>
      </c>
      <c r="F261" s="6">
        <v>3</v>
      </c>
      <c r="G261" s="6">
        <v>3</v>
      </c>
      <c r="H261" s="6">
        <v>12</v>
      </c>
      <c r="I261" s="6">
        <v>144</v>
      </c>
      <c r="K261" s="13">
        <v>45908</v>
      </c>
      <c r="L261">
        <v>51</v>
      </c>
    </row>
    <row r="262" spans="4:14" x14ac:dyDescent="0.25">
      <c r="D262" s="6" t="s">
        <v>318</v>
      </c>
      <c r="E262" s="6">
        <v>2004</v>
      </c>
      <c r="F262" s="6">
        <v>3</v>
      </c>
      <c r="G262" s="6">
        <v>3</v>
      </c>
      <c r="H262" s="6">
        <v>12</v>
      </c>
      <c r="I262" s="6">
        <v>144</v>
      </c>
      <c r="K262" s="13">
        <v>45911</v>
      </c>
      <c r="L262">
        <v>51</v>
      </c>
      <c r="M262">
        <v>5</v>
      </c>
      <c r="N262" s="28">
        <v>9.8039215686274495E-2</v>
      </c>
    </row>
    <row r="263" spans="4:14" x14ac:dyDescent="0.25">
      <c r="D263" s="6" t="s">
        <v>318</v>
      </c>
      <c r="E263" s="6">
        <v>2004</v>
      </c>
      <c r="F263" s="6">
        <v>3</v>
      </c>
      <c r="G263" s="6">
        <v>3</v>
      </c>
      <c r="H263" s="6">
        <v>12</v>
      </c>
      <c r="I263" s="6">
        <v>144</v>
      </c>
      <c r="K263" s="13">
        <v>45915</v>
      </c>
      <c r="L263">
        <v>51</v>
      </c>
      <c r="M263">
        <v>26</v>
      </c>
      <c r="N263" s="28">
        <v>0.50980392156862697</v>
      </c>
    </row>
    <row r="264" spans="4:14" x14ac:dyDescent="0.25">
      <c r="D264" s="6" t="s">
        <v>318</v>
      </c>
      <c r="E264" s="6">
        <v>2004</v>
      </c>
      <c r="F264" s="6">
        <v>3</v>
      </c>
      <c r="G264" s="6">
        <v>3</v>
      </c>
      <c r="H264" s="6">
        <v>12</v>
      </c>
      <c r="I264" s="6">
        <v>144</v>
      </c>
      <c r="K264" s="13">
        <v>45918</v>
      </c>
      <c r="L264">
        <v>51</v>
      </c>
    </row>
    <row r="265" spans="4:14" x14ac:dyDescent="0.25">
      <c r="D265" s="6" t="s">
        <v>318</v>
      </c>
      <c r="E265" s="6">
        <v>2004</v>
      </c>
      <c r="F265" s="6">
        <v>3</v>
      </c>
      <c r="G265" s="6">
        <v>3</v>
      </c>
      <c r="H265" s="6">
        <v>12</v>
      </c>
      <c r="I265" s="6">
        <v>144</v>
      </c>
      <c r="K265" s="13">
        <v>45922</v>
      </c>
      <c r="L265">
        <v>51</v>
      </c>
    </row>
    <row r="266" spans="4:14" x14ac:dyDescent="0.25">
      <c r="D266" s="6" t="s">
        <v>311</v>
      </c>
      <c r="E266" s="6">
        <v>2023</v>
      </c>
      <c r="F266" s="6">
        <v>4</v>
      </c>
      <c r="G266" s="6">
        <v>3</v>
      </c>
      <c r="H266" s="6">
        <v>13</v>
      </c>
      <c r="I266" s="6">
        <v>145</v>
      </c>
      <c r="K266" s="13">
        <v>45887</v>
      </c>
      <c r="L266">
        <v>60</v>
      </c>
    </row>
    <row r="267" spans="4:14" x14ac:dyDescent="0.25">
      <c r="D267" s="6" t="s">
        <v>311</v>
      </c>
      <c r="E267" s="6">
        <v>2023</v>
      </c>
      <c r="F267" s="6">
        <v>4</v>
      </c>
      <c r="G267" s="6">
        <v>3</v>
      </c>
      <c r="H267" s="6">
        <v>13</v>
      </c>
      <c r="I267" s="6">
        <v>145</v>
      </c>
      <c r="K267" s="13">
        <v>45908</v>
      </c>
      <c r="L267">
        <v>60</v>
      </c>
      <c r="M267">
        <v>35</v>
      </c>
      <c r="N267" s="28">
        <v>0.58333333333333304</v>
      </c>
    </row>
    <row r="268" spans="4:14" x14ac:dyDescent="0.25">
      <c r="D268" s="6" t="s">
        <v>311</v>
      </c>
      <c r="E268" s="6">
        <v>2023</v>
      </c>
      <c r="F268" s="6">
        <v>4</v>
      </c>
      <c r="G268" s="6">
        <v>3</v>
      </c>
      <c r="H268" s="6">
        <v>13</v>
      </c>
      <c r="I268" s="6">
        <v>145</v>
      </c>
      <c r="K268" s="13">
        <v>45911</v>
      </c>
      <c r="L268">
        <v>60</v>
      </c>
    </row>
    <row r="269" spans="4:14" x14ac:dyDescent="0.25">
      <c r="D269" s="6" t="s">
        <v>311</v>
      </c>
      <c r="E269" s="6">
        <v>2023</v>
      </c>
      <c r="F269" s="6">
        <v>4</v>
      </c>
      <c r="G269" s="6">
        <v>3</v>
      </c>
      <c r="H269" s="6">
        <v>13</v>
      </c>
      <c r="I269" s="6">
        <v>145</v>
      </c>
      <c r="K269" s="13">
        <v>45915</v>
      </c>
      <c r="L269">
        <v>60</v>
      </c>
    </row>
    <row r="270" spans="4:14" x14ac:dyDescent="0.25">
      <c r="D270" s="6" t="s">
        <v>311</v>
      </c>
      <c r="E270" s="6">
        <v>2023</v>
      </c>
      <c r="F270" s="6">
        <v>4</v>
      </c>
      <c r="G270" s="6">
        <v>3</v>
      </c>
      <c r="H270" s="6">
        <v>13</v>
      </c>
      <c r="I270" s="6">
        <v>145</v>
      </c>
      <c r="K270" s="13">
        <v>45918</v>
      </c>
      <c r="L270">
        <v>60</v>
      </c>
    </row>
    <row r="271" spans="4:14" x14ac:dyDescent="0.25">
      <c r="D271" s="6" t="s">
        <v>311</v>
      </c>
      <c r="E271" s="6">
        <v>2023</v>
      </c>
      <c r="F271" s="6">
        <v>4</v>
      </c>
      <c r="G271" s="6">
        <v>3</v>
      </c>
      <c r="H271" s="6">
        <v>13</v>
      </c>
      <c r="I271" s="6">
        <v>145</v>
      </c>
      <c r="K271" s="13">
        <v>45922</v>
      </c>
      <c r="L271">
        <v>60</v>
      </c>
    </row>
    <row r="272" spans="4:14" x14ac:dyDescent="0.25">
      <c r="D272" s="6" t="s">
        <v>312</v>
      </c>
      <c r="E272" s="6">
        <v>2002</v>
      </c>
      <c r="F272" s="6">
        <v>4</v>
      </c>
      <c r="G272" s="6">
        <v>3</v>
      </c>
      <c r="H272" s="6">
        <v>14</v>
      </c>
      <c r="I272" s="6">
        <v>146</v>
      </c>
      <c r="K272" s="13">
        <v>45887</v>
      </c>
      <c r="L272">
        <v>59</v>
      </c>
    </row>
    <row r="273" spans="4:14" x14ac:dyDescent="0.25">
      <c r="D273" s="6" t="s">
        <v>312</v>
      </c>
      <c r="E273" s="6">
        <v>2002</v>
      </c>
      <c r="F273" s="6">
        <v>4</v>
      </c>
      <c r="G273" s="6">
        <v>3</v>
      </c>
      <c r="H273" s="6">
        <v>14</v>
      </c>
      <c r="I273" s="6">
        <v>146</v>
      </c>
      <c r="K273" s="13">
        <v>45908</v>
      </c>
      <c r="L273">
        <v>59</v>
      </c>
    </row>
    <row r="274" spans="4:14" x14ac:dyDescent="0.25">
      <c r="D274" s="6" t="s">
        <v>312</v>
      </c>
      <c r="E274" s="6">
        <v>2002</v>
      </c>
      <c r="F274" s="6">
        <v>4</v>
      </c>
      <c r="G274" s="6">
        <v>3</v>
      </c>
      <c r="H274" s="6">
        <v>14</v>
      </c>
      <c r="I274" s="6">
        <v>146</v>
      </c>
      <c r="K274" s="13">
        <v>45911</v>
      </c>
      <c r="L274">
        <v>59</v>
      </c>
    </row>
    <row r="275" spans="4:14" x14ac:dyDescent="0.25">
      <c r="D275" s="6" t="s">
        <v>312</v>
      </c>
      <c r="E275" s="6">
        <v>2002</v>
      </c>
      <c r="F275" s="6">
        <v>4</v>
      </c>
      <c r="G275" s="6">
        <v>3</v>
      </c>
      <c r="H275" s="6">
        <v>14</v>
      </c>
      <c r="I275" s="6">
        <v>146</v>
      </c>
      <c r="K275" s="13">
        <v>45915</v>
      </c>
      <c r="L275">
        <v>59</v>
      </c>
      <c r="M275">
        <v>38</v>
      </c>
      <c r="N275" s="28">
        <v>0.644067796610169</v>
      </c>
    </row>
    <row r="276" spans="4:14" x14ac:dyDescent="0.25">
      <c r="D276" s="6" t="s">
        <v>312</v>
      </c>
      <c r="E276" s="6">
        <v>2002</v>
      </c>
      <c r="F276" s="6">
        <v>4</v>
      </c>
      <c r="G276" s="6">
        <v>3</v>
      </c>
      <c r="H276" s="6">
        <v>14</v>
      </c>
      <c r="I276" s="6">
        <v>146</v>
      </c>
      <c r="K276" s="13">
        <v>45918</v>
      </c>
      <c r="L276">
        <v>59</v>
      </c>
    </row>
    <row r="277" spans="4:14" x14ac:dyDescent="0.25">
      <c r="D277" s="6" t="s">
        <v>312</v>
      </c>
      <c r="E277" s="6">
        <v>2002</v>
      </c>
      <c r="F277" s="6">
        <v>4</v>
      </c>
      <c r="G277" s="6">
        <v>3</v>
      </c>
      <c r="H277" s="6">
        <v>14</v>
      </c>
      <c r="I277" s="6">
        <v>146</v>
      </c>
      <c r="K277" s="13">
        <v>45922</v>
      </c>
      <c r="L277">
        <v>59</v>
      </c>
    </row>
    <row r="278" spans="4:14" x14ac:dyDescent="0.25">
      <c r="D278" s="6" t="s">
        <v>37</v>
      </c>
      <c r="E278" s="6">
        <v>1989</v>
      </c>
      <c r="F278" s="6">
        <v>4</v>
      </c>
      <c r="G278" s="6">
        <v>3</v>
      </c>
      <c r="H278" s="6">
        <v>15</v>
      </c>
      <c r="I278" s="6">
        <v>147</v>
      </c>
      <c r="K278" s="13">
        <v>45887</v>
      </c>
      <c r="L278">
        <v>33</v>
      </c>
    </row>
    <row r="279" spans="4:14" x14ac:dyDescent="0.25">
      <c r="D279" s="6" t="s">
        <v>37</v>
      </c>
      <c r="E279" s="6">
        <v>1989</v>
      </c>
      <c r="F279" s="6">
        <v>4</v>
      </c>
      <c r="G279" s="6">
        <v>3</v>
      </c>
      <c r="H279" s="6">
        <v>15</v>
      </c>
      <c r="I279" s="6">
        <v>147</v>
      </c>
      <c r="K279" s="13">
        <v>45908</v>
      </c>
      <c r="L279">
        <v>33</v>
      </c>
    </row>
    <row r="280" spans="4:14" x14ac:dyDescent="0.25">
      <c r="D280" s="6" t="s">
        <v>37</v>
      </c>
      <c r="E280" s="6">
        <v>1989</v>
      </c>
      <c r="F280" s="6">
        <v>4</v>
      </c>
      <c r="G280" s="6">
        <v>3</v>
      </c>
      <c r="H280" s="6">
        <v>15</v>
      </c>
      <c r="I280" s="6">
        <v>147</v>
      </c>
      <c r="K280" s="13">
        <v>45911</v>
      </c>
      <c r="L280">
        <v>33</v>
      </c>
    </row>
    <row r="281" spans="4:14" x14ac:dyDescent="0.25">
      <c r="D281" s="6" t="s">
        <v>37</v>
      </c>
      <c r="E281" s="6">
        <v>1989</v>
      </c>
      <c r="F281" s="6">
        <v>4</v>
      </c>
      <c r="G281" s="6">
        <v>3</v>
      </c>
      <c r="H281" s="6">
        <v>15</v>
      </c>
      <c r="I281" s="6">
        <v>147</v>
      </c>
      <c r="K281" s="13">
        <v>45915</v>
      </c>
      <c r="L281">
        <v>33</v>
      </c>
      <c r="M281">
        <v>15</v>
      </c>
      <c r="N281" s="28">
        <v>0.45454545454545398</v>
      </c>
    </row>
    <row r="282" spans="4:14" x14ac:dyDescent="0.25">
      <c r="D282" s="6" t="s">
        <v>37</v>
      </c>
      <c r="E282" s="6">
        <v>1989</v>
      </c>
      <c r="F282" s="6">
        <v>4</v>
      </c>
      <c r="G282" s="6">
        <v>3</v>
      </c>
      <c r="H282" s="6">
        <v>15</v>
      </c>
      <c r="I282" s="6">
        <v>147</v>
      </c>
      <c r="K282" s="13">
        <v>45918</v>
      </c>
      <c r="L282">
        <v>33</v>
      </c>
      <c r="M282">
        <v>26</v>
      </c>
      <c r="N282" s="28">
        <v>0.78787878787878696</v>
      </c>
    </row>
    <row r="283" spans="4:14" x14ac:dyDescent="0.25">
      <c r="D283" s="6" t="s">
        <v>37</v>
      </c>
      <c r="E283" s="6">
        <v>1989</v>
      </c>
      <c r="F283" s="6">
        <v>4</v>
      </c>
      <c r="G283" s="6">
        <v>3</v>
      </c>
      <c r="H283" s="6">
        <v>15</v>
      </c>
      <c r="I283" s="6">
        <v>147</v>
      </c>
      <c r="K283" s="13">
        <v>45922</v>
      </c>
      <c r="L283">
        <v>33</v>
      </c>
    </row>
    <row r="284" spans="4:14" x14ac:dyDescent="0.25">
      <c r="D284" s="6" t="s">
        <v>42</v>
      </c>
      <c r="E284" s="6">
        <v>2016</v>
      </c>
      <c r="F284" s="6">
        <v>4</v>
      </c>
      <c r="G284" s="6">
        <v>3</v>
      </c>
      <c r="H284" s="6">
        <v>16</v>
      </c>
      <c r="I284" s="6">
        <v>148</v>
      </c>
      <c r="K284" s="13">
        <v>45887</v>
      </c>
      <c r="L284">
        <v>55</v>
      </c>
    </row>
    <row r="285" spans="4:14" x14ac:dyDescent="0.25">
      <c r="D285" s="6" t="s">
        <v>42</v>
      </c>
      <c r="E285" s="6">
        <v>2016</v>
      </c>
      <c r="F285" s="6">
        <v>4</v>
      </c>
      <c r="G285" s="6">
        <v>3</v>
      </c>
      <c r="H285" s="6">
        <v>16</v>
      </c>
      <c r="I285" s="6">
        <v>148</v>
      </c>
      <c r="K285" s="13">
        <v>45908</v>
      </c>
      <c r="L285">
        <v>55</v>
      </c>
      <c r="M285">
        <v>6</v>
      </c>
      <c r="N285" s="28">
        <v>0.109090909090909</v>
      </c>
    </row>
    <row r="286" spans="4:14" x14ac:dyDescent="0.25">
      <c r="D286" s="6" t="s">
        <v>42</v>
      </c>
      <c r="E286" s="6">
        <v>2016</v>
      </c>
      <c r="F286" s="6">
        <v>4</v>
      </c>
      <c r="G286" s="6">
        <v>3</v>
      </c>
      <c r="H286" s="6">
        <v>16</v>
      </c>
      <c r="I286" s="6">
        <v>148</v>
      </c>
      <c r="K286" s="13">
        <v>45911</v>
      </c>
      <c r="L286">
        <v>55</v>
      </c>
      <c r="M286">
        <v>24</v>
      </c>
      <c r="N286" s="28">
        <v>0.43636363636363601</v>
      </c>
    </row>
    <row r="287" spans="4:14" x14ac:dyDescent="0.25">
      <c r="D287" s="6" t="s">
        <v>42</v>
      </c>
      <c r="E287" s="6">
        <v>2016</v>
      </c>
      <c r="F287" s="6">
        <v>4</v>
      </c>
      <c r="G287" s="6">
        <v>3</v>
      </c>
      <c r="H287" s="6">
        <v>16</v>
      </c>
      <c r="I287" s="6">
        <v>148</v>
      </c>
      <c r="K287" s="13">
        <v>45915</v>
      </c>
      <c r="L287">
        <v>55</v>
      </c>
      <c r="M287">
        <v>43</v>
      </c>
      <c r="N287" s="28">
        <v>0.78181818181818097</v>
      </c>
    </row>
    <row r="288" spans="4:14" x14ac:dyDescent="0.25">
      <c r="D288" s="6" t="s">
        <v>42</v>
      </c>
      <c r="E288" s="6">
        <v>2016</v>
      </c>
      <c r="F288" s="6">
        <v>4</v>
      </c>
      <c r="G288" s="6">
        <v>3</v>
      </c>
      <c r="H288" s="6">
        <v>16</v>
      </c>
      <c r="I288" s="6">
        <v>148</v>
      </c>
      <c r="K288" s="13">
        <v>45918</v>
      </c>
      <c r="L288">
        <v>55</v>
      </c>
    </row>
    <row r="289" spans="4:14" x14ac:dyDescent="0.25">
      <c r="D289" s="6" t="s">
        <v>42</v>
      </c>
      <c r="E289" s="6">
        <v>2016</v>
      </c>
      <c r="F289" s="6">
        <v>4</v>
      </c>
      <c r="G289" s="6">
        <v>3</v>
      </c>
      <c r="H289" s="6">
        <v>16</v>
      </c>
      <c r="I289" s="6">
        <v>148</v>
      </c>
      <c r="K289" s="13">
        <v>45922</v>
      </c>
      <c r="L289">
        <v>55</v>
      </c>
    </row>
    <row r="290" spans="4:14" x14ac:dyDescent="0.25">
      <c r="D290" s="6" t="s">
        <v>29</v>
      </c>
      <c r="E290" s="6">
        <v>1999</v>
      </c>
      <c r="F290" s="6">
        <v>1</v>
      </c>
      <c r="G290" s="6">
        <v>4</v>
      </c>
      <c r="H290" s="6">
        <v>1</v>
      </c>
      <c r="I290" s="6">
        <v>149</v>
      </c>
      <c r="K290" s="13">
        <v>45887</v>
      </c>
      <c r="L290">
        <v>153</v>
      </c>
      <c r="M290">
        <v>0</v>
      </c>
      <c r="N290" s="28">
        <v>0</v>
      </c>
    </row>
    <row r="291" spans="4:14" x14ac:dyDescent="0.25">
      <c r="D291" s="6" t="s">
        <v>29</v>
      </c>
      <c r="E291" s="6">
        <v>1999</v>
      </c>
      <c r="F291" s="6">
        <v>1</v>
      </c>
      <c r="G291" s="6">
        <v>4</v>
      </c>
      <c r="H291" s="6">
        <v>1</v>
      </c>
      <c r="I291" s="6">
        <v>149</v>
      </c>
      <c r="K291" s="13">
        <v>45908</v>
      </c>
      <c r="L291">
        <v>153</v>
      </c>
    </row>
    <row r="292" spans="4:14" x14ac:dyDescent="0.25">
      <c r="D292" s="6" t="s">
        <v>29</v>
      </c>
      <c r="E292" s="6">
        <v>1999</v>
      </c>
      <c r="F292" s="6">
        <v>1</v>
      </c>
      <c r="G292" s="6">
        <v>4</v>
      </c>
      <c r="H292" s="6">
        <v>1</v>
      </c>
      <c r="I292" s="6">
        <v>149</v>
      </c>
      <c r="K292" s="13">
        <v>45911</v>
      </c>
      <c r="L292">
        <v>153</v>
      </c>
      <c r="M292">
        <v>1</v>
      </c>
      <c r="N292" s="28">
        <v>6.5359477124183E-3</v>
      </c>
    </row>
    <row r="293" spans="4:14" x14ac:dyDescent="0.25">
      <c r="D293" s="6" t="s">
        <v>29</v>
      </c>
      <c r="E293" s="6">
        <v>1999</v>
      </c>
      <c r="F293" s="6">
        <v>1</v>
      </c>
      <c r="G293" s="6">
        <v>4</v>
      </c>
      <c r="H293" s="6">
        <v>1</v>
      </c>
      <c r="I293" s="6">
        <v>149</v>
      </c>
      <c r="K293" s="13">
        <v>45915</v>
      </c>
      <c r="L293">
        <v>153</v>
      </c>
      <c r="M293">
        <v>59</v>
      </c>
      <c r="N293" s="28">
        <v>0.38562091503267898</v>
      </c>
    </row>
    <row r="294" spans="4:14" x14ac:dyDescent="0.25">
      <c r="D294" s="6" t="s">
        <v>29</v>
      </c>
      <c r="E294" s="6">
        <v>1999</v>
      </c>
      <c r="F294" s="6">
        <v>1</v>
      </c>
      <c r="G294" s="6">
        <v>4</v>
      </c>
      <c r="H294" s="6">
        <v>1</v>
      </c>
      <c r="I294" s="6">
        <v>149</v>
      </c>
      <c r="K294" s="13">
        <v>45918</v>
      </c>
      <c r="L294">
        <v>153</v>
      </c>
      <c r="M294">
        <v>80</v>
      </c>
      <c r="N294" s="28">
        <v>0.52287581699346397</v>
      </c>
    </row>
    <row r="295" spans="4:14" x14ac:dyDescent="0.25">
      <c r="D295" s="6" t="s">
        <v>29</v>
      </c>
      <c r="E295" s="6">
        <v>1999</v>
      </c>
      <c r="F295" s="6">
        <v>1</v>
      </c>
      <c r="G295" s="6">
        <v>4</v>
      </c>
      <c r="H295" s="6">
        <v>1</v>
      </c>
      <c r="I295" s="6">
        <v>149</v>
      </c>
      <c r="K295" s="13">
        <v>45922</v>
      </c>
      <c r="L295">
        <v>153</v>
      </c>
    </row>
    <row r="296" spans="4:14" x14ac:dyDescent="0.25">
      <c r="D296" s="6" t="s">
        <v>32</v>
      </c>
      <c r="E296" s="6">
        <v>2018</v>
      </c>
      <c r="F296" s="6">
        <v>1</v>
      </c>
      <c r="G296" s="6">
        <v>4</v>
      </c>
      <c r="H296" s="6">
        <v>2</v>
      </c>
      <c r="I296" s="6">
        <v>150</v>
      </c>
      <c r="K296" s="13">
        <v>45887</v>
      </c>
      <c r="L296">
        <v>87</v>
      </c>
      <c r="M296">
        <v>0</v>
      </c>
      <c r="N296" s="28">
        <v>0</v>
      </c>
    </row>
    <row r="297" spans="4:14" x14ac:dyDescent="0.25">
      <c r="D297" s="6" t="s">
        <v>32</v>
      </c>
      <c r="E297" s="6">
        <v>2018</v>
      </c>
      <c r="F297" s="6">
        <v>1</v>
      </c>
      <c r="G297" s="6">
        <v>4</v>
      </c>
      <c r="H297" s="6">
        <v>2</v>
      </c>
      <c r="I297" s="6">
        <v>150</v>
      </c>
      <c r="K297" s="13">
        <v>45908</v>
      </c>
      <c r="L297">
        <v>87</v>
      </c>
    </row>
    <row r="298" spans="4:14" x14ac:dyDescent="0.25">
      <c r="D298" s="6" t="s">
        <v>32</v>
      </c>
      <c r="E298" s="6">
        <v>2018</v>
      </c>
      <c r="F298" s="6">
        <v>1</v>
      </c>
      <c r="G298" s="6">
        <v>4</v>
      </c>
      <c r="H298" s="6">
        <v>2</v>
      </c>
      <c r="I298" s="6">
        <v>150</v>
      </c>
      <c r="K298" s="13">
        <v>45911</v>
      </c>
      <c r="L298">
        <v>87</v>
      </c>
      <c r="M298">
        <v>20</v>
      </c>
      <c r="N298" s="28">
        <v>0.229885057471264</v>
      </c>
    </row>
    <row r="299" spans="4:14" x14ac:dyDescent="0.25">
      <c r="D299" s="6" t="s">
        <v>32</v>
      </c>
      <c r="E299" s="6">
        <v>2018</v>
      </c>
      <c r="F299" s="6">
        <v>1</v>
      </c>
      <c r="G299" s="6">
        <v>4</v>
      </c>
      <c r="H299" s="6">
        <v>2</v>
      </c>
      <c r="I299" s="6">
        <v>150</v>
      </c>
      <c r="K299" s="13">
        <v>45915</v>
      </c>
      <c r="L299">
        <v>87</v>
      </c>
      <c r="M299">
        <v>50</v>
      </c>
      <c r="N299" s="28">
        <v>0.57471264367816</v>
      </c>
    </row>
    <row r="300" spans="4:14" x14ac:dyDescent="0.25">
      <c r="D300" s="6" t="s">
        <v>32</v>
      </c>
      <c r="E300" s="6">
        <v>2018</v>
      </c>
      <c r="F300" s="6">
        <v>1</v>
      </c>
      <c r="G300" s="6">
        <v>4</v>
      </c>
      <c r="H300" s="6">
        <v>2</v>
      </c>
      <c r="I300" s="6">
        <v>150</v>
      </c>
      <c r="K300" s="13">
        <v>45918</v>
      </c>
      <c r="L300">
        <v>87</v>
      </c>
    </row>
    <row r="301" spans="4:14" x14ac:dyDescent="0.25">
      <c r="D301" s="6" t="s">
        <v>32</v>
      </c>
      <c r="E301" s="6">
        <v>2018</v>
      </c>
      <c r="F301" s="6">
        <v>1</v>
      </c>
      <c r="G301" s="6">
        <v>4</v>
      </c>
      <c r="H301" s="6">
        <v>2</v>
      </c>
      <c r="I301" s="6">
        <v>150</v>
      </c>
      <c r="K301" s="13">
        <v>45922</v>
      </c>
      <c r="L301">
        <v>87</v>
      </c>
    </row>
    <row r="302" spans="4:14" x14ac:dyDescent="0.25">
      <c r="D302" s="6" t="s">
        <v>38</v>
      </c>
      <c r="E302" s="6">
        <v>1999</v>
      </c>
      <c r="F302" s="6">
        <v>1</v>
      </c>
      <c r="G302" s="6">
        <v>4</v>
      </c>
      <c r="H302" s="6">
        <v>3</v>
      </c>
      <c r="I302" s="6">
        <v>151</v>
      </c>
      <c r="K302" s="13">
        <v>45887</v>
      </c>
      <c r="L302">
        <v>55</v>
      </c>
      <c r="M302">
        <v>0</v>
      </c>
      <c r="N302" s="28">
        <v>0</v>
      </c>
    </row>
    <row r="303" spans="4:14" x14ac:dyDescent="0.25">
      <c r="D303" s="6" t="s">
        <v>38</v>
      </c>
      <c r="E303" s="6">
        <v>1999</v>
      </c>
      <c r="F303" s="6">
        <v>1</v>
      </c>
      <c r="G303" s="6">
        <v>4</v>
      </c>
      <c r="H303" s="6">
        <v>3</v>
      </c>
      <c r="I303" s="6">
        <v>151</v>
      </c>
      <c r="K303" s="13">
        <v>45908</v>
      </c>
      <c r="L303">
        <v>55</v>
      </c>
    </row>
    <row r="304" spans="4:14" x14ac:dyDescent="0.25">
      <c r="D304" s="6" t="s">
        <v>38</v>
      </c>
      <c r="E304" s="6">
        <v>1999</v>
      </c>
      <c r="F304" s="6">
        <v>1</v>
      </c>
      <c r="G304" s="6">
        <v>4</v>
      </c>
      <c r="H304" s="6">
        <v>3</v>
      </c>
      <c r="I304" s="6">
        <v>151</v>
      </c>
      <c r="K304" s="13">
        <v>45911</v>
      </c>
      <c r="L304">
        <v>55</v>
      </c>
    </row>
    <row r="305" spans="4:14" x14ac:dyDescent="0.25">
      <c r="D305" s="6" t="s">
        <v>38</v>
      </c>
      <c r="E305" s="6">
        <v>1999</v>
      </c>
      <c r="F305" s="6">
        <v>1</v>
      </c>
      <c r="G305" s="6">
        <v>4</v>
      </c>
      <c r="H305" s="6">
        <v>3</v>
      </c>
      <c r="I305" s="6">
        <v>151</v>
      </c>
      <c r="K305" s="13">
        <v>45915</v>
      </c>
      <c r="L305">
        <v>55</v>
      </c>
      <c r="M305">
        <v>29</v>
      </c>
      <c r="N305" s="28">
        <v>0.527272727272727</v>
      </c>
    </row>
    <row r="306" spans="4:14" x14ac:dyDescent="0.25">
      <c r="D306" s="6" t="s">
        <v>38</v>
      </c>
      <c r="E306" s="6">
        <v>1999</v>
      </c>
      <c r="F306" s="6">
        <v>1</v>
      </c>
      <c r="G306" s="6">
        <v>4</v>
      </c>
      <c r="H306" s="6">
        <v>3</v>
      </c>
      <c r="I306" s="6">
        <v>151</v>
      </c>
      <c r="K306" s="13">
        <v>45918</v>
      </c>
      <c r="L306">
        <v>55</v>
      </c>
    </row>
    <row r="307" spans="4:14" x14ac:dyDescent="0.25">
      <c r="D307" s="6" t="s">
        <v>38</v>
      </c>
      <c r="E307" s="6">
        <v>1999</v>
      </c>
      <c r="F307" s="6">
        <v>1</v>
      </c>
      <c r="G307" s="6">
        <v>4</v>
      </c>
      <c r="H307" s="6">
        <v>3</v>
      </c>
      <c r="I307" s="6">
        <v>151</v>
      </c>
      <c r="K307" s="13">
        <v>45922</v>
      </c>
      <c r="L307">
        <v>55</v>
      </c>
    </row>
    <row r="308" spans="4:14" x14ac:dyDescent="0.25">
      <c r="D308" s="6" t="s">
        <v>43</v>
      </c>
      <c r="E308" s="6">
        <v>2020</v>
      </c>
      <c r="F308" s="6">
        <v>1</v>
      </c>
      <c r="G308" s="6">
        <v>4</v>
      </c>
      <c r="H308" s="6">
        <v>4</v>
      </c>
      <c r="I308" s="6">
        <v>152</v>
      </c>
      <c r="K308" s="13">
        <v>45887</v>
      </c>
      <c r="L308">
        <v>36</v>
      </c>
      <c r="M308">
        <v>0</v>
      </c>
      <c r="N308" s="28">
        <v>0</v>
      </c>
    </row>
    <row r="309" spans="4:14" x14ac:dyDescent="0.25">
      <c r="D309" s="6" t="s">
        <v>43</v>
      </c>
      <c r="E309" s="6">
        <v>2020</v>
      </c>
      <c r="F309" s="6">
        <v>1</v>
      </c>
      <c r="G309" s="6">
        <v>4</v>
      </c>
      <c r="H309" s="6">
        <v>4</v>
      </c>
      <c r="I309" s="6">
        <v>152</v>
      </c>
      <c r="K309" s="13">
        <v>45908</v>
      </c>
      <c r="L309">
        <v>36</v>
      </c>
    </row>
    <row r="310" spans="4:14" x14ac:dyDescent="0.25">
      <c r="D310" s="6" t="s">
        <v>43</v>
      </c>
      <c r="E310" s="6">
        <v>2020</v>
      </c>
      <c r="F310" s="6">
        <v>1</v>
      </c>
      <c r="G310" s="6">
        <v>4</v>
      </c>
      <c r="H310" s="6">
        <v>4</v>
      </c>
      <c r="I310" s="6">
        <v>152</v>
      </c>
      <c r="K310" s="13">
        <v>45911</v>
      </c>
      <c r="L310">
        <v>36</v>
      </c>
      <c r="M310">
        <v>3</v>
      </c>
      <c r="N310" s="28">
        <v>8.3333333333333301E-2</v>
      </c>
    </row>
    <row r="311" spans="4:14" x14ac:dyDescent="0.25">
      <c r="D311" s="6" t="s">
        <v>43</v>
      </c>
      <c r="E311" s="6">
        <v>2020</v>
      </c>
      <c r="F311" s="6">
        <v>1</v>
      </c>
      <c r="G311" s="6">
        <v>4</v>
      </c>
      <c r="H311" s="6">
        <v>4</v>
      </c>
      <c r="I311" s="6">
        <v>152</v>
      </c>
      <c r="K311" s="13">
        <v>45915</v>
      </c>
      <c r="L311">
        <v>36</v>
      </c>
      <c r="M311">
        <v>13</v>
      </c>
      <c r="N311" s="28">
        <v>0.36111111111111099</v>
      </c>
    </row>
    <row r="312" spans="4:14" x14ac:dyDescent="0.25">
      <c r="D312" s="6" t="s">
        <v>43</v>
      </c>
      <c r="E312" s="6">
        <v>2020</v>
      </c>
      <c r="F312" s="6">
        <v>1</v>
      </c>
      <c r="G312" s="6">
        <v>4</v>
      </c>
      <c r="H312" s="6">
        <v>4</v>
      </c>
      <c r="I312" s="6">
        <v>152</v>
      </c>
      <c r="K312" s="13">
        <v>45918</v>
      </c>
      <c r="L312">
        <v>36</v>
      </c>
      <c r="M312">
        <v>25</v>
      </c>
      <c r="N312" s="28">
        <v>0.69444444444444398</v>
      </c>
    </row>
    <row r="313" spans="4:14" x14ac:dyDescent="0.25">
      <c r="D313" s="6" t="s">
        <v>43</v>
      </c>
      <c r="E313" s="6">
        <v>2020</v>
      </c>
      <c r="F313" s="6">
        <v>1</v>
      </c>
      <c r="G313" s="6">
        <v>4</v>
      </c>
      <c r="H313" s="6">
        <v>4</v>
      </c>
      <c r="I313" s="6">
        <v>152</v>
      </c>
      <c r="K313" s="13">
        <v>45922</v>
      </c>
      <c r="L313">
        <v>36</v>
      </c>
    </row>
    <row r="314" spans="4:14" x14ac:dyDescent="0.25">
      <c r="D314" s="6" t="s">
        <v>312</v>
      </c>
      <c r="E314" s="6">
        <v>2002</v>
      </c>
      <c r="F314" s="6">
        <v>2</v>
      </c>
      <c r="G314" s="6">
        <v>4</v>
      </c>
      <c r="H314" s="6">
        <v>5</v>
      </c>
      <c r="I314" s="6">
        <v>153</v>
      </c>
      <c r="K314" s="13">
        <v>45887</v>
      </c>
      <c r="L314">
        <v>79</v>
      </c>
    </row>
    <row r="315" spans="4:14" x14ac:dyDescent="0.25">
      <c r="D315" s="6" t="s">
        <v>312</v>
      </c>
      <c r="E315" s="6">
        <v>2002</v>
      </c>
      <c r="F315" s="6">
        <v>2</v>
      </c>
      <c r="G315" s="6">
        <v>4</v>
      </c>
      <c r="H315" s="6">
        <v>5</v>
      </c>
      <c r="I315" s="6">
        <v>153</v>
      </c>
      <c r="K315" s="13">
        <v>45908</v>
      </c>
      <c r="L315">
        <v>79</v>
      </c>
    </row>
    <row r="316" spans="4:14" x14ac:dyDescent="0.25">
      <c r="D316" s="6" t="s">
        <v>312</v>
      </c>
      <c r="E316" s="6">
        <v>2002</v>
      </c>
      <c r="F316" s="6">
        <v>2</v>
      </c>
      <c r="G316" s="6">
        <v>4</v>
      </c>
      <c r="H316" s="6">
        <v>5</v>
      </c>
      <c r="I316" s="6">
        <v>153</v>
      </c>
      <c r="K316" s="13">
        <v>45911</v>
      </c>
      <c r="L316">
        <v>79</v>
      </c>
      <c r="M316">
        <v>2</v>
      </c>
      <c r="N316" s="28">
        <v>2.53164556962025E-2</v>
      </c>
    </row>
    <row r="317" spans="4:14" x14ac:dyDescent="0.25">
      <c r="D317" s="6" t="s">
        <v>312</v>
      </c>
      <c r="E317" s="6">
        <v>2002</v>
      </c>
      <c r="F317" s="6">
        <v>2</v>
      </c>
      <c r="G317" s="6">
        <v>4</v>
      </c>
      <c r="H317" s="6">
        <v>5</v>
      </c>
      <c r="I317" s="6">
        <v>153</v>
      </c>
      <c r="K317" s="13">
        <v>45915</v>
      </c>
      <c r="L317">
        <v>79</v>
      </c>
      <c r="M317">
        <v>20</v>
      </c>
      <c r="N317" s="28">
        <v>0.253164556962025</v>
      </c>
    </row>
    <row r="318" spans="4:14" x14ac:dyDescent="0.25">
      <c r="D318" s="6" t="s">
        <v>312</v>
      </c>
      <c r="E318" s="6">
        <v>2002</v>
      </c>
      <c r="F318" s="6">
        <v>2</v>
      </c>
      <c r="G318" s="6">
        <v>4</v>
      </c>
      <c r="H318" s="6">
        <v>5</v>
      </c>
      <c r="I318" s="6">
        <v>153</v>
      </c>
      <c r="K318" s="13">
        <v>45918</v>
      </c>
      <c r="L318">
        <v>79</v>
      </c>
      <c r="M318">
        <v>34</v>
      </c>
      <c r="N318" s="28">
        <v>0.430379746835443</v>
      </c>
    </row>
    <row r="319" spans="4:14" x14ac:dyDescent="0.25">
      <c r="D319" s="6" t="s">
        <v>312</v>
      </c>
      <c r="E319" s="6">
        <v>2002</v>
      </c>
      <c r="F319" s="6">
        <v>2</v>
      </c>
      <c r="G319" s="6">
        <v>4</v>
      </c>
      <c r="H319" s="6">
        <v>5</v>
      </c>
      <c r="I319" s="6">
        <v>153</v>
      </c>
      <c r="K319" s="13">
        <v>45922</v>
      </c>
      <c r="L319">
        <v>79</v>
      </c>
      <c r="M319">
        <v>46</v>
      </c>
      <c r="N319" s="28">
        <v>0.582278481012658</v>
      </c>
    </row>
    <row r="320" spans="4:14" x14ac:dyDescent="0.25">
      <c r="D320" s="6" t="s">
        <v>26</v>
      </c>
      <c r="E320" s="6">
        <v>1983</v>
      </c>
      <c r="F320" s="6">
        <v>2</v>
      </c>
      <c r="G320" s="6">
        <v>4</v>
      </c>
      <c r="H320" s="6">
        <v>6</v>
      </c>
      <c r="I320" s="6">
        <v>154</v>
      </c>
      <c r="K320" s="13">
        <v>45887</v>
      </c>
      <c r="L320">
        <v>94</v>
      </c>
    </row>
    <row r="321" spans="4:14" x14ac:dyDescent="0.25">
      <c r="D321" s="6" t="s">
        <v>26</v>
      </c>
      <c r="E321" s="6">
        <v>1983</v>
      </c>
      <c r="F321" s="6">
        <v>2</v>
      </c>
      <c r="G321" s="6">
        <v>4</v>
      </c>
      <c r="H321" s="6">
        <v>6</v>
      </c>
      <c r="I321" s="6">
        <v>154</v>
      </c>
      <c r="K321" s="13">
        <v>45908</v>
      </c>
      <c r="L321">
        <v>94</v>
      </c>
    </row>
    <row r="322" spans="4:14" x14ac:dyDescent="0.25">
      <c r="D322" s="6" t="s">
        <v>26</v>
      </c>
      <c r="E322" s="6">
        <v>1983</v>
      </c>
      <c r="F322" s="6">
        <v>2</v>
      </c>
      <c r="G322" s="6">
        <v>4</v>
      </c>
      <c r="H322" s="6">
        <v>6</v>
      </c>
      <c r="I322" s="6">
        <v>154</v>
      </c>
      <c r="K322" s="13">
        <v>45911</v>
      </c>
      <c r="L322">
        <v>94</v>
      </c>
      <c r="M322">
        <v>13</v>
      </c>
      <c r="N322" s="28">
        <v>0.13829787234042501</v>
      </c>
    </row>
    <row r="323" spans="4:14" x14ac:dyDescent="0.25">
      <c r="D323" s="6" t="s">
        <v>26</v>
      </c>
      <c r="E323" s="6">
        <v>1983</v>
      </c>
      <c r="F323" s="6">
        <v>2</v>
      </c>
      <c r="G323" s="6">
        <v>4</v>
      </c>
      <c r="H323" s="6">
        <v>6</v>
      </c>
      <c r="I323" s="6">
        <v>154</v>
      </c>
      <c r="K323" s="13">
        <v>45915</v>
      </c>
      <c r="L323">
        <v>94</v>
      </c>
      <c r="M323">
        <v>35</v>
      </c>
      <c r="N323" s="28">
        <v>0.37234042553191399</v>
      </c>
    </row>
    <row r="324" spans="4:14" x14ac:dyDescent="0.25">
      <c r="D324" s="6" t="s">
        <v>26</v>
      </c>
      <c r="E324" s="6">
        <v>1983</v>
      </c>
      <c r="F324" s="6">
        <v>2</v>
      </c>
      <c r="G324" s="6">
        <v>4</v>
      </c>
      <c r="H324" s="6">
        <v>6</v>
      </c>
      <c r="I324" s="6">
        <v>154</v>
      </c>
      <c r="K324" s="13">
        <v>45918</v>
      </c>
      <c r="L324">
        <v>94</v>
      </c>
      <c r="M324">
        <v>47</v>
      </c>
      <c r="N324" s="28">
        <v>0.5</v>
      </c>
    </row>
    <row r="325" spans="4:14" x14ac:dyDescent="0.25">
      <c r="D325" s="6" t="s">
        <v>26</v>
      </c>
      <c r="E325" s="6">
        <v>1983</v>
      </c>
      <c r="F325" s="6">
        <v>2</v>
      </c>
      <c r="G325" s="6">
        <v>4</v>
      </c>
      <c r="H325" s="6">
        <v>6</v>
      </c>
      <c r="I325" s="6">
        <v>154</v>
      </c>
      <c r="K325" s="13">
        <v>45922</v>
      </c>
      <c r="L325">
        <v>94</v>
      </c>
    </row>
    <row r="326" spans="4:14" x14ac:dyDescent="0.25">
      <c r="D326" s="6" t="s">
        <v>36</v>
      </c>
      <c r="E326" s="6">
        <v>1984</v>
      </c>
      <c r="F326" s="6">
        <v>2</v>
      </c>
      <c r="G326" s="6">
        <v>4</v>
      </c>
      <c r="H326" s="6">
        <v>7</v>
      </c>
      <c r="I326" s="6">
        <v>155</v>
      </c>
      <c r="K326" s="13">
        <v>45887</v>
      </c>
      <c r="L326">
        <v>50</v>
      </c>
    </row>
    <row r="327" spans="4:14" x14ac:dyDescent="0.25">
      <c r="D327" s="6" t="s">
        <v>36</v>
      </c>
      <c r="E327" s="6">
        <v>1984</v>
      </c>
      <c r="F327" s="6">
        <v>2</v>
      </c>
      <c r="G327" s="6">
        <v>4</v>
      </c>
      <c r="H327" s="6">
        <v>7</v>
      </c>
      <c r="I327" s="6">
        <v>155</v>
      </c>
      <c r="K327" s="13">
        <v>45908</v>
      </c>
      <c r="L327">
        <v>50</v>
      </c>
    </row>
    <row r="328" spans="4:14" x14ac:dyDescent="0.25">
      <c r="D328" s="6" t="s">
        <v>36</v>
      </c>
      <c r="E328" s="6">
        <v>1984</v>
      </c>
      <c r="F328" s="6">
        <v>2</v>
      </c>
      <c r="G328" s="6">
        <v>4</v>
      </c>
      <c r="H328" s="6">
        <v>7</v>
      </c>
      <c r="I328" s="6">
        <v>155</v>
      </c>
      <c r="K328" s="13">
        <v>45911</v>
      </c>
      <c r="L328">
        <v>50</v>
      </c>
      <c r="M328">
        <v>7</v>
      </c>
      <c r="N328" s="28">
        <v>0.14000000000000001</v>
      </c>
    </row>
    <row r="329" spans="4:14" x14ac:dyDescent="0.25">
      <c r="D329" s="6" t="s">
        <v>36</v>
      </c>
      <c r="E329" s="6">
        <v>1984</v>
      </c>
      <c r="F329" s="6">
        <v>2</v>
      </c>
      <c r="G329" s="6">
        <v>4</v>
      </c>
      <c r="H329" s="6">
        <v>7</v>
      </c>
      <c r="I329" s="6">
        <v>155</v>
      </c>
      <c r="K329" s="13">
        <v>45915</v>
      </c>
      <c r="L329">
        <v>50</v>
      </c>
      <c r="M329">
        <v>31</v>
      </c>
      <c r="N329" s="28">
        <v>0.62</v>
      </c>
    </row>
    <row r="330" spans="4:14" x14ac:dyDescent="0.25">
      <c r="D330" s="6" t="s">
        <v>36</v>
      </c>
      <c r="E330" s="6">
        <v>1984</v>
      </c>
      <c r="F330" s="6">
        <v>2</v>
      </c>
      <c r="G330" s="6">
        <v>4</v>
      </c>
      <c r="H330" s="6">
        <v>7</v>
      </c>
      <c r="I330" s="6">
        <v>155</v>
      </c>
      <c r="K330" s="13">
        <v>45918</v>
      </c>
      <c r="L330">
        <v>50</v>
      </c>
    </row>
    <row r="331" spans="4:14" x14ac:dyDescent="0.25">
      <c r="D331" s="6" t="s">
        <v>36</v>
      </c>
      <c r="E331" s="6">
        <v>1984</v>
      </c>
      <c r="F331" s="6">
        <v>2</v>
      </c>
      <c r="G331" s="6">
        <v>4</v>
      </c>
      <c r="H331" s="6">
        <v>7</v>
      </c>
      <c r="I331" s="6">
        <v>155</v>
      </c>
      <c r="K331" s="13">
        <v>45922</v>
      </c>
      <c r="L331">
        <v>50</v>
      </c>
    </row>
    <row r="332" spans="4:14" x14ac:dyDescent="0.25">
      <c r="D332" s="6" t="s">
        <v>42</v>
      </c>
      <c r="E332" s="6">
        <v>2016</v>
      </c>
      <c r="F332" s="6">
        <v>2</v>
      </c>
      <c r="G332" s="6">
        <v>4</v>
      </c>
      <c r="H332" s="6">
        <v>8</v>
      </c>
      <c r="I332" s="6">
        <v>156</v>
      </c>
      <c r="K332" s="13">
        <v>45887</v>
      </c>
      <c r="L332">
        <v>58</v>
      </c>
    </row>
    <row r="333" spans="4:14" x14ac:dyDescent="0.25">
      <c r="D333" s="6" t="s">
        <v>42</v>
      </c>
      <c r="E333" s="6">
        <v>2016</v>
      </c>
      <c r="F333" s="6">
        <v>2</v>
      </c>
      <c r="G333" s="6">
        <v>4</v>
      </c>
      <c r="H333" s="6">
        <v>8</v>
      </c>
      <c r="I333" s="6">
        <v>156</v>
      </c>
      <c r="K333" s="13">
        <v>45908</v>
      </c>
      <c r="L333">
        <v>58</v>
      </c>
      <c r="M333">
        <v>13</v>
      </c>
      <c r="N333" s="28">
        <v>0.22413793103448201</v>
      </c>
    </row>
    <row r="334" spans="4:14" x14ac:dyDescent="0.25">
      <c r="D334" s="6" t="s">
        <v>42</v>
      </c>
      <c r="E334" s="6">
        <v>2016</v>
      </c>
      <c r="F334" s="6">
        <v>2</v>
      </c>
      <c r="G334" s="6">
        <v>4</v>
      </c>
      <c r="H334" s="6">
        <v>8</v>
      </c>
      <c r="I334" s="6">
        <v>156</v>
      </c>
      <c r="K334" s="13">
        <v>45911</v>
      </c>
      <c r="L334">
        <v>58</v>
      </c>
      <c r="M334">
        <v>35</v>
      </c>
      <c r="N334" s="28">
        <v>0.60344827586206895</v>
      </c>
    </row>
    <row r="335" spans="4:14" x14ac:dyDescent="0.25">
      <c r="D335" s="6" t="s">
        <v>42</v>
      </c>
      <c r="E335" s="6">
        <v>2016</v>
      </c>
      <c r="F335" s="6">
        <v>2</v>
      </c>
      <c r="G335" s="6">
        <v>4</v>
      </c>
      <c r="H335" s="6">
        <v>8</v>
      </c>
      <c r="I335" s="6">
        <v>156</v>
      </c>
      <c r="K335" s="13">
        <v>45915</v>
      </c>
      <c r="L335">
        <v>58</v>
      </c>
    </row>
    <row r="336" spans="4:14" x14ac:dyDescent="0.25">
      <c r="D336" s="6" t="s">
        <v>42</v>
      </c>
      <c r="E336" s="6">
        <v>2016</v>
      </c>
      <c r="F336" s="6">
        <v>2</v>
      </c>
      <c r="G336" s="6">
        <v>4</v>
      </c>
      <c r="H336" s="6">
        <v>8</v>
      </c>
      <c r="I336" s="6">
        <v>156</v>
      </c>
      <c r="K336" s="13">
        <v>45918</v>
      </c>
      <c r="L336">
        <v>58</v>
      </c>
    </row>
    <row r="337" spans="4:14" x14ac:dyDescent="0.25">
      <c r="D337" s="6" t="s">
        <v>42</v>
      </c>
      <c r="E337" s="6">
        <v>2016</v>
      </c>
      <c r="F337" s="6">
        <v>2</v>
      </c>
      <c r="G337" s="6">
        <v>4</v>
      </c>
      <c r="H337" s="6">
        <v>8</v>
      </c>
      <c r="I337" s="6">
        <v>156</v>
      </c>
      <c r="K337" s="13">
        <v>45922</v>
      </c>
      <c r="L337">
        <v>58</v>
      </c>
    </row>
    <row r="338" spans="4:14" x14ac:dyDescent="0.25">
      <c r="D338" s="6" t="s">
        <v>27</v>
      </c>
      <c r="E338" s="6">
        <v>1985</v>
      </c>
      <c r="F338" s="6">
        <v>3</v>
      </c>
      <c r="G338" s="6">
        <v>4</v>
      </c>
      <c r="H338" s="6">
        <v>9</v>
      </c>
      <c r="I338" s="6">
        <v>157</v>
      </c>
      <c r="K338" s="13">
        <v>45887</v>
      </c>
      <c r="L338">
        <v>73</v>
      </c>
    </row>
    <row r="339" spans="4:14" x14ac:dyDescent="0.25">
      <c r="D339" s="6" t="s">
        <v>27</v>
      </c>
      <c r="E339" s="6">
        <v>1985</v>
      </c>
      <c r="F339" s="6">
        <v>3</v>
      </c>
      <c r="G339" s="6">
        <v>4</v>
      </c>
      <c r="H339" s="6">
        <v>9</v>
      </c>
      <c r="I339" s="6">
        <v>157</v>
      </c>
      <c r="K339" s="13">
        <v>45908</v>
      </c>
      <c r="L339">
        <v>73</v>
      </c>
    </row>
    <row r="340" spans="4:14" x14ac:dyDescent="0.25">
      <c r="D340" s="6" t="s">
        <v>27</v>
      </c>
      <c r="E340" s="6">
        <v>1985</v>
      </c>
      <c r="F340" s="6">
        <v>3</v>
      </c>
      <c r="G340" s="6">
        <v>4</v>
      </c>
      <c r="H340" s="6">
        <v>9</v>
      </c>
      <c r="I340" s="6">
        <v>157</v>
      </c>
      <c r="K340" s="13">
        <v>45911</v>
      </c>
      <c r="L340">
        <v>73</v>
      </c>
      <c r="M340">
        <v>7</v>
      </c>
      <c r="N340" s="28">
        <v>9.5890410958904104E-2</v>
      </c>
    </row>
    <row r="341" spans="4:14" x14ac:dyDescent="0.25">
      <c r="D341" s="6" t="s">
        <v>27</v>
      </c>
      <c r="E341" s="6">
        <v>1985</v>
      </c>
      <c r="F341" s="6">
        <v>3</v>
      </c>
      <c r="G341" s="6">
        <v>4</v>
      </c>
      <c r="H341" s="6">
        <v>9</v>
      </c>
      <c r="I341" s="6">
        <v>157</v>
      </c>
      <c r="K341" s="13">
        <v>45915</v>
      </c>
      <c r="L341">
        <v>73</v>
      </c>
      <c r="M341">
        <v>26</v>
      </c>
      <c r="N341" s="28">
        <v>0.35616438356164298</v>
      </c>
    </row>
    <row r="342" spans="4:14" x14ac:dyDescent="0.25">
      <c r="D342" s="6" t="s">
        <v>27</v>
      </c>
      <c r="E342" s="6">
        <v>1985</v>
      </c>
      <c r="F342" s="6">
        <v>3</v>
      </c>
      <c r="G342" s="6">
        <v>4</v>
      </c>
      <c r="H342" s="6">
        <v>9</v>
      </c>
      <c r="I342" s="6">
        <v>157</v>
      </c>
      <c r="K342" s="13">
        <v>45918</v>
      </c>
      <c r="L342">
        <v>73</v>
      </c>
      <c r="M342">
        <v>42</v>
      </c>
      <c r="N342" s="28">
        <v>0.57534246575342396</v>
      </c>
    </row>
    <row r="343" spans="4:14" x14ac:dyDescent="0.25">
      <c r="D343" s="6" t="s">
        <v>27</v>
      </c>
      <c r="E343" s="6">
        <v>1985</v>
      </c>
      <c r="F343" s="6">
        <v>3</v>
      </c>
      <c r="G343" s="6">
        <v>4</v>
      </c>
      <c r="H343" s="6">
        <v>9</v>
      </c>
      <c r="I343" s="6">
        <v>157</v>
      </c>
      <c r="K343" s="13">
        <v>45922</v>
      </c>
      <c r="L343">
        <v>73</v>
      </c>
    </row>
    <row r="344" spans="4:14" x14ac:dyDescent="0.25">
      <c r="D344" s="6" t="s">
        <v>311</v>
      </c>
      <c r="E344" s="6">
        <v>2023</v>
      </c>
      <c r="F344" s="6">
        <v>3</v>
      </c>
      <c r="G344" s="6">
        <v>4</v>
      </c>
      <c r="H344" s="6">
        <v>10</v>
      </c>
      <c r="I344" s="6">
        <v>158</v>
      </c>
      <c r="K344" s="13">
        <v>45887</v>
      </c>
      <c r="L344">
        <v>81</v>
      </c>
    </row>
    <row r="345" spans="4:14" x14ac:dyDescent="0.25">
      <c r="D345" s="6" t="s">
        <v>311</v>
      </c>
      <c r="E345" s="6">
        <v>2023</v>
      </c>
      <c r="F345" s="6">
        <v>3</v>
      </c>
      <c r="G345" s="6">
        <v>4</v>
      </c>
      <c r="H345" s="6">
        <v>10</v>
      </c>
      <c r="I345" s="6">
        <v>158</v>
      </c>
      <c r="K345" s="13">
        <v>45908</v>
      </c>
      <c r="L345">
        <v>81</v>
      </c>
      <c r="M345">
        <v>20</v>
      </c>
      <c r="N345" s="28">
        <v>0.24691358024691301</v>
      </c>
    </row>
    <row r="346" spans="4:14" x14ac:dyDescent="0.25">
      <c r="D346" s="6" t="s">
        <v>311</v>
      </c>
      <c r="E346" s="6">
        <v>2023</v>
      </c>
      <c r="F346" s="6">
        <v>3</v>
      </c>
      <c r="G346" s="6">
        <v>4</v>
      </c>
      <c r="H346" s="6">
        <v>10</v>
      </c>
      <c r="I346" s="6">
        <v>158</v>
      </c>
      <c r="K346" s="13">
        <v>45911</v>
      </c>
      <c r="L346">
        <v>81</v>
      </c>
      <c r="M346">
        <v>42</v>
      </c>
      <c r="N346" s="28">
        <v>0.51851851851851805</v>
      </c>
    </row>
    <row r="347" spans="4:14" x14ac:dyDescent="0.25">
      <c r="D347" s="6" t="s">
        <v>311</v>
      </c>
      <c r="E347" s="6">
        <v>2023</v>
      </c>
      <c r="F347" s="6">
        <v>3</v>
      </c>
      <c r="G347" s="6">
        <v>4</v>
      </c>
      <c r="H347" s="6">
        <v>10</v>
      </c>
      <c r="I347" s="6">
        <v>158</v>
      </c>
      <c r="K347" s="13">
        <v>45915</v>
      </c>
      <c r="L347">
        <v>81</v>
      </c>
    </row>
    <row r="348" spans="4:14" x14ac:dyDescent="0.25">
      <c r="D348" s="6" t="s">
        <v>311</v>
      </c>
      <c r="E348" s="6">
        <v>2023</v>
      </c>
      <c r="F348" s="6">
        <v>3</v>
      </c>
      <c r="G348" s="6">
        <v>4</v>
      </c>
      <c r="H348" s="6">
        <v>10</v>
      </c>
      <c r="I348" s="6">
        <v>158</v>
      </c>
      <c r="K348" s="13">
        <v>45918</v>
      </c>
      <c r="L348">
        <v>81</v>
      </c>
    </row>
    <row r="349" spans="4:14" x14ac:dyDescent="0.25">
      <c r="D349" s="6" t="s">
        <v>311</v>
      </c>
      <c r="E349" s="6">
        <v>2023</v>
      </c>
      <c r="F349" s="6">
        <v>3</v>
      </c>
      <c r="G349" s="6">
        <v>4</v>
      </c>
      <c r="H349" s="6">
        <v>10</v>
      </c>
      <c r="I349" s="6">
        <v>158</v>
      </c>
      <c r="K349" s="13">
        <v>45922</v>
      </c>
      <c r="L349">
        <v>81</v>
      </c>
    </row>
    <row r="350" spans="4:14" x14ac:dyDescent="0.25">
      <c r="D350" s="6" t="s">
        <v>41</v>
      </c>
      <c r="E350" s="6">
        <v>2008</v>
      </c>
      <c r="F350" s="6">
        <v>3</v>
      </c>
      <c r="G350" s="6">
        <v>4</v>
      </c>
      <c r="H350" s="6">
        <v>11</v>
      </c>
      <c r="I350" s="6">
        <v>159</v>
      </c>
      <c r="K350" s="13">
        <v>45887</v>
      </c>
      <c r="L350">
        <v>51</v>
      </c>
    </row>
    <row r="351" spans="4:14" x14ac:dyDescent="0.25">
      <c r="D351" s="6" t="s">
        <v>41</v>
      </c>
      <c r="E351" s="6">
        <v>2008</v>
      </c>
      <c r="F351" s="6">
        <v>3</v>
      </c>
      <c r="G351" s="6">
        <v>4</v>
      </c>
      <c r="H351" s="6">
        <v>11</v>
      </c>
      <c r="I351" s="6">
        <v>159</v>
      </c>
      <c r="K351" s="13">
        <v>45908</v>
      </c>
      <c r="L351">
        <v>51</v>
      </c>
      <c r="M351">
        <v>4</v>
      </c>
      <c r="N351" s="28">
        <v>7.8431372549019607E-2</v>
      </c>
    </row>
    <row r="352" spans="4:14" x14ac:dyDescent="0.25">
      <c r="D352" s="6" t="s">
        <v>41</v>
      </c>
      <c r="E352" s="6">
        <v>2008</v>
      </c>
      <c r="F352" s="6">
        <v>3</v>
      </c>
      <c r="G352" s="6">
        <v>4</v>
      </c>
      <c r="H352" s="6">
        <v>11</v>
      </c>
      <c r="I352" s="6">
        <v>159</v>
      </c>
      <c r="K352" s="13">
        <v>45911</v>
      </c>
      <c r="L352">
        <v>51</v>
      </c>
      <c r="M352">
        <v>21</v>
      </c>
      <c r="N352" s="28">
        <v>0.41176470588235198</v>
      </c>
    </row>
    <row r="353" spans="4:14" x14ac:dyDescent="0.25">
      <c r="D353" s="6" t="s">
        <v>41</v>
      </c>
      <c r="E353" s="6">
        <v>2008</v>
      </c>
      <c r="F353" s="6">
        <v>3</v>
      </c>
      <c r="G353" s="6">
        <v>4</v>
      </c>
      <c r="H353" s="6">
        <v>11</v>
      </c>
      <c r="I353" s="6">
        <v>159</v>
      </c>
      <c r="K353" s="13">
        <v>45915</v>
      </c>
      <c r="L353">
        <v>51</v>
      </c>
      <c r="M353">
        <v>39</v>
      </c>
      <c r="N353" s="28">
        <v>0.76470588235294101</v>
      </c>
    </row>
    <row r="354" spans="4:14" x14ac:dyDescent="0.25">
      <c r="D354" s="6" t="s">
        <v>41</v>
      </c>
      <c r="E354" s="6">
        <v>2008</v>
      </c>
      <c r="F354" s="6">
        <v>3</v>
      </c>
      <c r="G354" s="6">
        <v>4</v>
      </c>
      <c r="H354" s="6">
        <v>11</v>
      </c>
      <c r="I354" s="6">
        <v>159</v>
      </c>
      <c r="K354" s="13">
        <v>45918</v>
      </c>
      <c r="L354">
        <v>51</v>
      </c>
    </row>
    <row r="355" spans="4:14" x14ac:dyDescent="0.25">
      <c r="D355" s="6" t="s">
        <v>41</v>
      </c>
      <c r="E355" s="6">
        <v>2008</v>
      </c>
      <c r="F355" s="6">
        <v>3</v>
      </c>
      <c r="G355" s="6">
        <v>4</v>
      </c>
      <c r="H355" s="6">
        <v>11</v>
      </c>
      <c r="I355" s="6">
        <v>159</v>
      </c>
      <c r="K355" s="13">
        <v>45922</v>
      </c>
      <c r="L355">
        <v>51</v>
      </c>
    </row>
    <row r="356" spans="4:14" x14ac:dyDescent="0.25">
      <c r="D356" s="6" t="s">
        <v>37</v>
      </c>
      <c r="E356" s="6">
        <v>1989</v>
      </c>
      <c r="F356" s="6">
        <v>3</v>
      </c>
      <c r="G356" s="6">
        <v>4</v>
      </c>
      <c r="H356" s="6">
        <v>12</v>
      </c>
      <c r="I356" s="6">
        <v>160</v>
      </c>
      <c r="K356" s="13">
        <v>45887</v>
      </c>
      <c r="L356">
        <v>48</v>
      </c>
    </row>
    <row r="357" spans="4:14" x14ac:dyDescent="0.25">
      <c r="D357" s="6" t="s">
        <v>37</v>
      </c>
      <c r="E357" s="6">
        <v>1989</v>
      </c>
      <c r="F357" s="6">
        <v>3</v>
      </c>
      <c r="G357" s="6">
        <v>4</v>
      </c>
      <c r="H357" s="6">
        <v>12</v>
      </c>
      <c r="I357" s="6">
        <v>160</v>
      </c>
      <c r="K357" s="13">
        <v>45908</v>
      </c>
      <c r="L357">
        <v>48</v>
      </c>
    </row>
    <row r="358" spans="4:14" x14ac:dyDescent="0.25">
      <c r="D358" s="6" t="s">
        <v>37</v>
      </c>
      <c r="E358" s="6">
        <v>1989</v>
      </c>
      <c r="F358" s="6">
        <v>3</v>
      </c>
      <c r="G358" s="6">
        <v>4</v>
      </c>
      <c r="H358" s="6">
        <v>12</v>
      </c>
      <c r="I358" s="6">
        <v>160</v>
      </c>
      <c r="K358" s="13">
        <v>45911</v>
      </c>
      <c r="L358">
        <v>48</v>
      </c>
      <c r="M358">
        <v>7</v>
      </c>
      <c r="N358" s="28">
        <v>0.14583333333333301</v>
      </c>
    </row>
    <row r="359" spans="4:14" x14ac:dyDescent="0.25">
      <c r="D359" s="6" t="s">
        <v>37</v>
      </c>
      <c r="E359" s="6">
        <v>1989</v>
      </c>
      <c r="F359" s="6">
        <v>3</v>
      </c>
      <c r="G359" s="6">
        <v>4</v>
      </c>
      <c r="H359" s="6">
        <v>12</v>
      </c>
      <c r="I359" s="6">
        <v>160</v>
      </c>
      <c r="K359" s="13">
        <v>45915</v>
      </c>
      <c r="L359">
        <v>48</v>
      </c>
      <c r="M359">
        <v>25</v>
      </c>
      <c r="N359" s="28">
        <v>0.52083333333333304</v>
      </c>
    </row>
    <row r="360" spans="4:14" x14ac:dyDescent="0.25">
      <c r="D360" s="6" t="s">
        <v>37</v>
      </c>
      <c r="E360" s="6">
        <v>1989</v>
      </c>
      <c r="F360" s="6">
        <v>3</v>
      </c>
      <c r="G360" s="6">
        <v>4</v>
      </c>
      <c r="H360" s="6">
        <v>12</v>
      </c>
      <c r="I360" s="6">
        <v>160</v>
      </c>
      <c r="K360" s="13">
        <v>45918</v>
      </c>
      <c r="L360">
        <v>48</v>
      </c>
    </row>
    <row r="361" spans="4:14" x14ac:dyDescent="0.25">
      <c r="D361" s="6" t="s">
        <v>37</v>
      </c>
      <c r="E361" s="6">
        <v>1989</v>
      </c>
      <c r="F361" s="6">
        <v>3</v>
      </c>
      <c r="G361" s="6">
        <v>4</v>
      </c>
      <c r="H361" s="6">
        <v>12</v>
      </c>
      <c r="I361" s="6">
        <v>160</v>
      </c>
      <c r="K361" s="13">
        <v>45922</v>
      </c>
      <c r="L361">
        <v>48</v>
      </c>
    </row>
    <row r="362" spans="4:14" x14ac:dyDescent="0.25">
      <c r="D362" s="6" t="s">
        <v>28</v>
      </c>
      <c r="E362" s="6">
        <v>1998</v>
      </c>
      <c r="F362" s="6">
        <v>4</v>
      </c>
      <c r="G362" s="6">
        <v>4</v>
      </c>
      <c r="H362" s="6">
        <v>13</v>
      </c>
      <c r="I362" s="6">
        <v>161</v>
      </c>
      <c r="K362" s="13">
        <v>45887</v>
      </c>
      <c r="L362">
        <v>62</v>
      </c>
    </row>
    <row r="363" spans="4:14" x14ac:dyDescent="0.25">
      <c r="D363" s="6" t="s">
        <v>28</v>
      </c>
      <c r="E363" s="6">
        <v>1998</v>
      </c>
      <c r="F363" s="6">
        <v>4</v>
      </c>
      <c r="G363" s="6">
        <v>4</v>
      </c>
      <c r="H363" s="6">
        <v>13</v>
      </c>
      <c r="I363" s="6">
        <v>161</v>
      </c>
      <c r="K363" s="13">
        <v>45908</v>
      </c>
      <c r="L363">
        <v>62</v>
      </c>
      <c r="M363">
        <v>7</v>
      </c>
      <c r="N363" s="28">
        <v>0.112903225806451</v>
      </c>
    </row>
    <row r="364" spans="4:14" x14ac:dyDescent="0.25">
      <c r="D364" s="6" t="s">
        <v>28</v>
      </c>
      <c r="E364" s="6">
        <v>1998</v>
      </c>
      <c r="F364" s="6">
        <v>4</v>
      </c>
      <c r="G364" s="6">
        <v>4</v>
      </c>
      <c r="H364" s="6">
        <v>13</v>
      </c>
      <c r="I364" s="6">
        <v>161</v>
      </c>
      <c r="K364" s="13">
        <v>45911</v>
      </c>
      <c r="L364">
        <v>62</v>
      </c>
    </row>
    <row r="365" spans="4:14" x14ac:dyDescent="0.25">
      <c r="D365" s="6" t="s">
        <v>28</v>
      </c>
      <c r="E365" s="6">
        <v>1998</v>
      </c>
      <c r="F365" s="6">
        <v>4</v>
      </c>
      <c r="G365" s="6">
        <v>4</v>
      </c>
      <c r="H365" s="6">
        <v>13</v>
      </c>
      <c r="I365" s="6">
        <v>161</v>
      </c>
      <c r="K365" s="13">
        <v>45915</v>
      </c>
      <c r="L365">
        <v>62</v>
      </c>
      <c r="M365">
        <v>48</v>
      </c>
      <c r="N365" s="28">
        <v>0.77419354838709598</v>
      </c>
    </row>
    <row r="366" spans="4:14" x14ac:dyDescent="0.25">
      <c r="D366" s="6" t="s">
        <v>28</v>
      </c>
      <c r="E366" s="6">
        <v>1998</v>
      </c>
      <c r="F366" s="6">
        <v>4</v>
      </c>
      <c r="G366" s="6">
        <v>4</v>
      </c>
      <c r="H366" s="6">
        <v>13</v>
      </c>
      <c r="I366" s="6">
        <v>161</v>
      </c>
      <c r="K366" s="13">
        <v>45918</v>
      </c>
      <c r="L366">
        <v>62</v>
      </c>
    </row>
    <row r="367" spans="4:14" x14ac:dyDescent="0.25">
      <c r="D367" s="6" t="s">
        <v>28</v>
      </c>
      <c r="E367" s="6">
        <v>1998</v>
      </c>
      <c r="F367" s="6">
        <v>4</v>
      </c>
      <c r="G367" s="6">
        <v>4</v>
      </c>
      <c r="H367" s="6">
        <v>13</v>
      </c>
      <c r="I367" s="6">
        <v>161</v>
      </c>
      <c r="K367" s="13">
        <v>45922</v>
      </c>
      <c r="L367">
        <v>62</v>
      </c>
    </row>
    <row r="368" spans="4:14" x14ac:dyDescent="0.25">
      <c r="D368" s="6" t="s">
        <v>313</v>
      </c>
      <c r="E368" s="6">
        <v>2016</v>
      </c>
      <c r="F368" s="6">
        <v>4</v>
      </c>
      <c r="G368" s="6">
        <v>4</v>
      </c>
      <c r="H368" s="6">
        <v>14</v>
      </c>
      <c r="I368" s="6">
        <v>162</v>
      </c>
      <c r="K368" s="13">
        <v>45887</v>
      </c>
      <c r="L368">
        <v>52</v>
      </c>
    </row>
    <row r="369" spans="4:14" x14ac:dyDescent="0.25">
      <c r="D369" s="6" t="s">
        <v>313</v>
      </c>
      <c r="E369" s="6">
        <v>2016</v>
      </c>
      <c r="F369" s="6">
        <v>4</v>
      </c>
      <c r="G369" s="6">
        <v>4</v>
      </c>
      <c r="H369" s="6">
        <v>14</v>
      </c>
      <c r="I369" s="6">
        <v>162</v>
      </c>
      <c r="K369" s="13">
        <v>45908</v>
      </c>
      <c r="L369">
        <v>52</v>
      </c>
    </row>
    <row r="370" spans="4:14" x14ac:dyDescent="0.25">
      <c r="D370" s="6" t="s">
        <v>313</v>
      </c>
      <c r="E370" s="6">
        <v>2016</v>
      </c>
      <c r="F370" s="6">
        <v>4</v>
      </c>
      <c r="G370" s="6">
        <v>4</v>
      </c>
      <c r="H370" s="6">
        <v>14</v>
      </c>
      <c r="I370" s="6">
        <v>162</v>
      </c>
      <c r="K370" s="13">
        <v>45911</v>
      </c>
      <c r="L370">
        <v>52</v>
      </c>
    </row>
    <row r="371" spans="4:14" x14ac:dyDescent="0.25">
      <c r="D371" s="6" t="s">
        <v>313</v>
      </c>
      <c r="E371" s="6">
        <v>2016</v>
      </c>
      <c r="F371" s="6">
        <v>4</v>
      </c>
      <c r="G371" s="6">
        <v>4</v>
      </c>
      <c r="H371" s="6">
        <v>14</v>
      </c>
      <c r="I371" s="6">
        <v>162</v>
      </c>
      <c r="K371" s="13">
        <v>45915</v>
      </c>
      <c r="L371">
        <v>52</v>
      </c>
      <c r="M371">
        <v>4</v>
      </c>
      <c r="N371" s="28">
        <v>7.69230769230769E-2</v>
      </c>
    </row>
    <row r="372" spans="4:14" x14ac:dyDescent="0.25">
      <c r="D372" s="6" t="s">
        <v>313</v>
      </c>
      <c r="E372" s="6">
        <v>2016</v>
      </c>
      <c r="F372" s="6">
        <v>4</v>
      </c>
      <c r="G372" s="6">
        <v>4</v>
      </c>
      <c r="H372" s="6">
        <v>14</v>
      </c>
      <c r="I372" s="6">
        <v>162</v>
      </c>
      <c r="K372" s="13">
        <v>45918</v>
      </c>
      <c r="L372">
        <v>52</v>
      </c>
      <c r="M372">
        <v>12</v>
      </c>
      <c r="N372" s="28">
        <v>0.23076923076923</v>
      </c>
    </row>
    <row r="373" spans="4:14" x14ac:dyDescent="0.25">
      <c r="D373" s="6" t="s">
        <v>313</v>
      </c>
      <c r="E373" s="6">
        <v>2016</v>
      </c>
      <c r="F373" s="6">
        <v>4</v>
      </c>
      <c r="G373" s="6">
        <v>4</v>
      </c>
      <c r="H373" s="6">
        <v>14</v>
      </c>
      <c r="I373" s="6">
        <v>162</v>
      </c>
      <c r="K373" s="13">
        <v>45922</v>
      </c>
      <c r="L373">
        <v>52</v>
      </c>
      <c r="M373">
        <v>30</v>
      </c>
      <c r="N373" s="28">
        <v>0.57692307692307598</v>
      </c>
    </row>
    <row r="374" spans="4:14" x14ac:dyDescent="0.25">
      <c r="D374" s="6" t="s">
        <v>318</v>
      </c>
      <c r="E374" s="6">
        <v>2004</v>
      </c>
      <c r="F374" s="6">
        <v>4</v>
      </c>
      <c r="G374" s="6">
        <v>4</v>
      </c>
      <c r="H374" s="6">
        <v>15</v>
      </c>
      <c r="I374" s="6">
        <v>163</v>
      </c>
      <c r="K374" s="13">
        <v>45887</v>
      </c>
      <c r="L374">
        <v>55</v>
      </c>
    </row>
    <row r="375" spans="4:14" x14ac:dyDescent="0.25">
      <c r="D375" s="6" t="s">
        <v>318</v>
      </c>
      <c r="E375" s="6">
        <v>2004</v>
      </c>
      <c r="F375" s="6">
        <v>4</v>
      </c>
      <c r="G375" s="6">
        <v>4</v>
      </c>
      <c r="H375" s="6">
        <v>15</v>
      </c>
      <c r="I375" s="6">
        <v>163</v>
      </c>
      <c r="K375" s="13">
        <v>45908</v>
      </c>
      <c r="L375">
        <v>55</v>
      </c>
    </row>
    <row r="376" spans="4:14" x14ac:dyDescent="0.25">
      <c r="D376" s="6" t="s">
        <v>318</v>
      </c>
      <c r="E376" s="6">
        <v>2004</v>
      </c>
      <c r="F376" s="6">
        <v>4</v>
      </c>
      <c r="G376" s="6">
        <v>4</v>
      </c>
      <c r="H376" s="6">
        <v>15</v>
      </c>
      <c r="I376" s="6">
        <v>163</v>
      </c>
      <c r="K376" s="13">
        <v>45911</v>
      </c>
      <c r="L376">
        <v>55</v>
      </c>
    </row>
    <row r="377" spans="4:14" x14ac:dyDescent="0.25">
      <c r="D377" s="6" t="s">
        <v>318</v>
      </c>
      <c r="E377" s="6">
        <v>2004</v>
      </c>
      <c r="F377" s="6">
        <v>4</v>
      </c>
      <c r="G377" s="6">
        <v>4</v>
      </c>
      <c r="H377" s="6">
        <v>15</v>
      </c>
      <c r="I377" s="6">
        <v>163</v>
      </c>
      <c r="K377" s="13">
        <v>45915</v>
      </c>
      <c r="L377">
        <v>55</v>
      </c>
      <c r="M377">
        <v>36</v>
      </c>
      <c r="N377" s="28">
        <v>0.65454545454545399</v>
      </c>
    </row>
    <row r="378" spans="4:14" x14ac:dyDescent="0.25">
      <c r="D378" s="6" t="s">
        <v>318</v>
      </c>
      <c r="E378" s="6">
        <v>2004</v>
      </c>
      <c r="F378" s="6">
        <v>4</v>
      </c>
      <c r="G378" s="6">
        <v>4</v>
      </c>
      <c r="H378" s="6">
        <v>15</v>
      </c>
      <c r="I378" s="6">
        <v>163</v>
      </c>
      <c r="K378" s="13">
        <v>45918</v>
      </c>
      <c r="L378">
        <v>55</v>
      </c>
    </row>
    <row r="379" spans="4:14" x14ac:dyDescent="0.25">
      <c r="D379" s="6" t="s">
        <v>318</v>
      </c>
      <c r="E379" s="6">
        <v>2004</v>
      </c>
      <c r="F379" s="6">
        <v>4</v>
      </c>
      <c r="G379" s="6">
        <v>4</v>
      </c>
      <c r="H379" s="6">
        <v>15</v>
      </c>
      <c r="I379" s="6">
        <v>163</v>
      </c>
      <c r="K379" s="13">
        <v>45922</v>
      </c>
      <c r="L379">
        <v>55</v>
      </c>
    </row>
    <row r="380" spans="4:14" x14ac:dyDescent="0.25">
      <c r="D380" s="6" t="s">
        <v>39</v>
      </c>
      <c r="E380" s="6">
        <v>2001</v>
      </c>
      <c r="F380" s="6">
        <v>4</v>
      </c>
      <c r="G380" s="6">
        <v>4</v>
      </c>
      <c r="H380" s="6">
        <v>16</v>
      </c>
      <c r="I380" s="6">
        <v>164</v>
      </c>
      <c r="K380" s="13">
        <v>45887</v>
      </c>
      <c r="L380">
        <v>94</v>
      </c>
    </row>
    <row r="381" spans="4:14" x14ac:dyDescent="0.25">
      <c r="D381" s="6" t="s">
        <v>39</v>
      </c>
      <c r="E381" s="6">
        <v>2001</v>
      </c>
      <c r="F381" s="6">
        <v>4</v>
      </c>
      <c r="G381" s="6">
        <v>4</v>
      </c>
      <c r="H381" s="6">
        <v>16</v>
      </c>
      <c r="I381" s="6">
        <v>164</v>
      </c>
      <c r="K381" s="13">
        <v>45908</v>
      </c>
      <c r="L381">
        <v>94</v>
      </c>
    </row>
    <row r="382" spans="4:14" x14ac:dyDescent="0.25">
      <c r="D382" s="6" t="s">
        <v>39</v>
      </c>
      <c r="E382" s="6">
        <v>2001</v>
      </c>
      <c r="F382" s="6">
        <v>4</v>
      </c>
      <c r="G382" s="6">
        <v>4</v>
      </c>
      <c r="H382" s="6">
        <v>16</v>
      </c>
      <c r="I382" s="6">
        <v>164</v>
      </c>
      <c r="K382" s="13">
        <v>45911</v>
      </c>
      <c r="L382">
        <v>94</v>
      </c>
    </row>
    <row r="383" spans="4:14" x14ac:dyDescent="0.25">
      <c r="D383" s="6" t="s">
        <v>39</v>
      </c>
      <c r="E383" s="6">
        <v>2001</v>
      </c>
      <c r="F383" s="6">
        <v>4</v>
      </c>
      <c r="G383" s="6">
        <v>4</v>
      </c>
      <c r="H383" s="6">
        <v>16</v>
      </c>
      <c r="I383" s="6">
        <v>164</v>
      </c>
      <c r="K383" s="13">
        <v>45915</v>
      </c>
      <c r="L383">
        <v>94</v>
      </c>
      <c r="M383">
        <v>50</v>
      </c>
      <c r="N383" s="28">
        <v>0.53191489361702105</v>
      </c>
    </row>
    <row r="384" spans="4:14" x14ac:dyDescent="0.25">
      <c r="D384" s="6" t="s">
        <v>39</v>
      </c>
      <c r="E384" s="6">
        <v>2001</v>
      </c>
      <c r="F384" s="6">
        <v>4</v>
      </c>
      <c r="G384" s="6">
        <v>4</v>
      </c>
      <c r="H384" s="6">
        <v>16</v>
      </c>
      <c r="I384" s="6">
        <v>164</v>
      </c>
      <c r="K384" s="13">
        <v>45918</v>
      </c>
      <c r="L384">
        <v>94</v>
      </c>
    </row>
    <row r="385" spans="4:12" x14ac:dyDescent="0.25">
      <c r="D385" s="6" t="s">
        <v>39</v>
      </c>
      <c r="E385" s="6">
        <v>2001</v>
      </c>
      <c r="F385" s="6">
        <v>4</v>
      </c>
      <c r="G385" s="6">
        <v>4</v>
      </c>
      <c r="H385" s="6">
        <v>16</v>
      </c>
      <c r="I385" s="6">
        <v>164</v>
      </c>
      <c r="K385" s="13">
        <v>45922</v>
      </c>
      <c r="L385">
        <v>94</v>
      </c>
    </row>
  </sheetData>
  <phoneticPr fontId="6"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D8BD-07D0-40F7-A621-6E302522AB66}">
  <sheetPr>
    <tabColor rgb="FF92D050"/>
  </sheetPr>
  <dimension ref="A1:EM474"/>
  <sheetViews>
    <sheetView workbookViewId="0"/>
  </sheetViews>
  <sheetFormatPr defaultRowHeight="15" x14ac:dyDescent="0.25"/>
  <cols>
    <col min="1" max="3" width="9.140625" style="5"/>
    <col min="4" max="4" width="14.7109375" style="5" bestFit="1" customWidth="1"/>
    <col min="5" max="5" width="9.140625" style="5" customWidth="1"/>
    <col min="6" max="6" width="9.140625" style="5"/>
    <col min="7" max="9" width="9.140625" style="5" customWidth="1"/>
    <col min="10" max="11" width="9.140625" style="6" customWidth="1"/>
    <col min="12" max="12" width="11.5703125" style="5" customWidth="1"/>
    <col min="13" max="18" width="9.140625" style="91" customWidth="1"/>
    <col min="19" max="21" width="9.140625" style="5" customWidth="1"/>
    <col min="22" max="22" width="9.140625" style="91" customWidth="1"/>
    <col min="23" max="25" width="9.140625" style="5" customWidth="1"/>
    <col min="26" max="26" width="9.140625" style="30" customWidth="1"/>
    <col min="27" max="29" width="9.140625" style="5" customWidth="1"/>
    <col min="30" max="30" width="9.140625" style="30" customWidth="1"/>
    <col min="31" max="33" width="9.140625" style="5" customWidth="1"/>
    <col min="34" max="34" width="9.140625" style="30" customWidth="1"/>
    <col min="35" max="37" width="9.140625" style="5" customWidth="1"/>
    <col min="38" max="38" width="9.140625" style="30" customWidth="1"/>
    <col min="39" max="41" width="9.140625" style="5" customWidth="1"/>
    <col min="42" max="42" width="9.140625" style="30" customWidth="1"/>
    <col min="43" max="44" width="9.140625" style="5" customWidth="1"/>
    <col min="45" max="45" width="9.140625" style="25" customWidth="1"/>
    <col min="46" max="48" width="9.140625" style="5" customWidth="1"/>
    <col min="49" max="49" width="10.5703125" style="32" customWidth="1"/>
    <col min="50" max="50" width="10.5703125" style="90" customWidth="1"/>
    <col min="51" max="51" width="10.5703125" style="32" customWidth="1"/>
    <col min="52" max="55" width="9.140625" style="24" customWidth="1"/>
    <col min="56" max="56" width="9.140625" style="91" customWidth="1"/>
    <col min="57" max="57" width="9.140625" style="24" customWidth="1"/>
    <col min="58" max="58" width="9.140625" style="29" customWidth="1"/>
    <col min="59" max="59" width="10.5703125" style="24" customWidth="1"/>
    <col min="60" max="60" width="9.5703125" style="8" customWidth="1"/>
    <col min="61" max="61" width="9.5703125" style="39" customWidth="1"/>
    <col min="62" max="65" width="9.140625" style="24" customWidth="1"/>
    <col min="66" max="69" width="9.140625" style="8" customWidth="1"/>
    <col min="70" max="74" width="9.140625" style="25" customWidth="1"/>
    <col min="75" max="75" width="10.5703125" style="28" customWidth="1"/>
    <col min="76" max="79" width="10.42578125" style="28" customWidth="1"/>
    <col min="80" max="80" width="12.42578125" style="28" customWidth="1"/>
    <col min="81" max="82" width="12.42578125" style="36" customWidth="1"/>
    <col min="83" max="83" width="11.7109375" customWidth="1"/>
    <col min="84" max="84" width="12.7109375" style="28" customWidth="1"/>
    <col min="85" max="85" width="9.42578125" style="28" customWidth="1"/>
    <col min="86" max="86" width="8.7109375" customWidth="1"/>
    <col min="87" max="87" width="9.85546875" style="28" customWidth="1"/>
    <col min="88" max="88" width="12" style="28" customWidth="1"/>
    <col min="89" max="89" width="12.28515625" customWidth="1"/>
    <col min="90" max="90" width="10.7109375" customWidth="1"/>
    <col min="91" max="91" width="10" customWidth="1"/>
    <col min="92" max="92" width="8.42578125" customWidth="1"/>
    <col min="93" max="102" width="5.5703125" bestFit="1" customWidth="1"/>
    <col min="103" max="103" width="7" bestFit="1" customWidth="1"/>
    <col min="104" max="104" width="5.28515625" customWidth="1"/>
    <col min="105" max="105" width="6.85546875" customWidth="1"/>
    <col min="106" max="106" width="9" bestFit="1" customWidth="1"/>
    <col min="107" max="107" width="11.5703125" bestFit="1" customWidth="1"/>
    <col min="108" max="108" width="11.42578125" bestFit="1" customWidth="1"/>
    <col min="109" max="142" width="8.5703125" bestFit="1" customWidth="1"/>
    <col min="143" max="143" width="11" bestFit="1" customWidth="1"/>
  </cols>
  <sheetData>
    <row r="1" spans="1:143" ht="101.1" customHeight="1" x14ac:dyDescent="0.25">
      <c r="A1" s="4" t="s">
        <v>44</v>
      </c>
      <c r="B1" s="4" t="s">
        <v>45</v>
      </c>
      <c r="C1" s="4" t="s">
        <v>46</v>
      </c>
      <c r="D1" s="4" t="s">
        <v>47</v>
      </c>
      <c r="E1" s="4" t="s">
        <v>48</v>
      </c>
      <c r="F1" s="4" t="s">
        <v>49</v>
      </c>
      <c r="G1" s="4" t="s">
        <v>50</v>
      </c>
      <c r="H1" s="4" t="s">
        <v>51</v>
      </c>
      <c r="I1" s="4" t="s">
        <v>54</v>
      </c>
      <c r="J1" s="4" t="s">
        <v>53</v>
      </c>
      <c r="K1" s="4" t="s">
        <v>52</v>
      </c>
      <c r="L1" s="4" t="s">
        <v>151</v>
      </c>
      <c r="M1" s="89" t="s">
        <v>178</v>
      </c>
      <c r="N1" s="89" t="s">
        <v>179</v>
      </c>
      <c r="O1" s="89" t="s">
        <v>180</v>
      </c>
      <c r="P1" s="89" t="s">
        <v>181</v>
      </c>
      <c r="Q1" s="89" t="s">
        <v>182</v>
      </c>
      <c r="R1" s="89" t="s">
        <v>183</v>
      </c>
      <c r="S1" s="4" t="s">
        <v>184</v>
      </c>
      <c r="T1" s="4" t="s">
        <v>185</v>
      </c>
      <c r="U1" s="4" t="s">
        <v>186</v>
      </c>
      <c r="V1" s="89" t="s">
        <v>187</v>
      </c>
      <c r="W1" s="4" t="s">
        <v>188</v>
      </c>
      <c r="X1" s="4" t="s">
        <v>189</v>
      </c>
      <c r="Y1" s="4" t="s">
        <v>190</v>
      </c>
      <c r="Z1" s="4" t="s">
        <v>191</v>
      </c>
      <c r="AA1" s="4" t="s">
        <v>192</v>
      </c>
      <c r="AB1" s="4" t="s">
        <v>193</v>
      </c>
      <c r="AC1" s="4" t="s">
        <v>194</v>
      </c>
      <c r="AD1" s="4" t="s">
        <v>195</v>
      </c>
      <c r="AE1" s="4" t="s">
        <v>196</v>
      </c>
      <c r="AF1" s="4" t="s">
        <v>197</v>
      </c>
      <c r="AG1" s="4" t="s">
        <v>198</v>
      </c>
      <c r="AH1" s="4" t="s">
        <v>199</v>
      </c>
      <c r="AI1" s="4" t="s">
        <v>200</v>
      </c>
      <c r="AJ1" s="4" t="s">
        <v>201</v>
      </c>
      <c r="AK1" s="4" t="s">
        <v>202</v>
      </c>
      <c r="AL1" s="4" t="s">
        <v>203</v>
      </c>
      <c r="AM1" s="4" t="s">
        <v>204</v>
      </c>
      <c r="AN1" s="4" t="s">
        <v>205</v>
      </c>
      <c r="AO1" s="4" t="s">
        <v>206</v>
      </c>
      <c r="AP1" s="4" t="s">
        <v>158</v>
      </c>
      <c r="AQ1" s="4" t="s">
        <v>207</v>
      </c>
      <c r="AR1" s="4" t="s">
        <v>208</v>
      </c>
      <c r="AS1" s="11" t="s">
        <v>209</v>
      </c>
      <c r="AT1" s="4" t="s">
        <v>210</v>
      </c>
      <c r="AU1" s="4" t="s">
        <v>211</v>
      </c>
      <c r="AV1" s="4" t="s">
        <v>554</v>
      </c>
      <c r="AW1" s="31" t="s">
        <v>212</v>
      </c>
      <c r="AX1" s="94" t="s">
        <v>213</v>
      </c>
      <c r="AY1" s="31" t="s">
        <v>214</v>
      </c>
      <c r="AZ1" s="23" t="s">
        <v>215</v>
      </c>
      <c r="BA1" s="23" t="s">
        <v>216</v>
      </c>
      <c r="BB1" s="23" t="s">
        <v>217</v>
      </c>
      <c r="BC1" s="23" t="s">
        <v>218</v>
      </c>
      <c r="BD1" s="89" t="s">
        <v>219</v>
      </c>
      <c r="BE1" s="23" t="s">
        <v>220</v>
      </c>
      <c r="BF1" s="23" t="s">
        <v>221</v>
      </c>
      <c r="BG1" s="23" t="s">
        <v>222</v>
      </c>
      <c r="BH1" s="10" t="s">
        <v>223</v>
      </c>
      <c r="BI1" s="10" t="s">
        <v>224</v>
      </c>
      <c r="BJ1" s="23" t="s">
        <v>225</v>
      </c>
      <c r="BK1" s="23" t="s">
        <v>226</v>
      </c>
      <c r="BL1" s="23" t="s">
        <v>227</v>
      </c>
      <c r="BM1" s="23" t="s">
        <v>228</v>
      </c>
      <c r="BN1" s="10" t="s">
        <v>229</v>
      </c>
      <c r="BO1" s="10" t="s">
        <v>230</v>
      </c>
      <c r="BP1" s="10" t="s">
        <v>231</v>
      </c>
      <c r="BQ1" s="10" t="s">
        <v>232</v>
      </c>
      <c r="BR1" s="11" t="s">
        <v>233</v>
      </c>
      <c r="BS1" s="11" t="s">
        <v>234</v>
      </c>
      <c r="BT1" s="11" t="s">
        <v>235</v>
      </c>
      <c r="BU1" s="11" t="s">
        <v>236</v>
      </c>
      <c r="BV1" s="11" t="s">
        <v>237</v>
      </c>
      <c r="BW1" s="23" t="s">
        <v>582</v>
      </c>
      <c r="BX1" s="23" t="s">
        <v>583</v>
      </c>
      <c r="BY1" s="23" t="s">
        <v>719</v>
      </c>
      <c r="BZ1" s="23" t="s">
        <v>720</v>
      </c>
      <c r="CA1" s="23" t="s">
        <v>721</v>
      </c>
      <c r="CB1" s="23" t="s">
        <v>722</v>
      </c>
      <c r="CC1" s="23" t="s">
        <v>718</v>
      </c>
      <c r="CD1" s="23" t="s">
        <v>723</v>
      </c>
      <c r="CE1" s="23" t="s">
        <v>724</v>
      </c>
      <c r="CF1" s="23" t="s">
        <v>725</v>
      </c>
      <c r="CG1" s="23" t="s">
        <v>726</v>
      </c>
      <c r="CH1" s="23" t="s">
        <v>727</v>
      </c>
      <c r="CI1" s="23" t="s">
        <v>728</v>
      </c>
      <c r="CJ1" s="23" t="s">
        <v>729</v>
      </c>
    </row>
    <row r="2" spans="1:143" s="33" customFormat="1" x14ac:dyDescent="0.25">
      <c r="A2" s="5" t="s">
        <v>24</v>
      </c>
      <c r="B2" s="5"/>
      <c r="C2" s="5"/>
      <c r="D2" s="5" t="s">
        <v>28</v>
      </c>
      <c r="E2" s="5">
        <v>1998</v>
      </c>
      <c r="F2" s="5">
        <v>1</v>
      </c>
      <c r="G2" s="5">
        <v>1</v>
      </c>
      <c r="H2" s="5">
        <v>1</v>
      </c>
      <c r="I2" s="5">
        <v>101</v>
      </c>
      <c r="J2" s="61"/>
      <c r="K2" s="61"/>
      <c r="L2" s="32"/>
      <c r="M2" s="90"/>
      <c r="N2" s="90"/>
      <c r="O2" s="90"/>
      <c r="P2" s="90"/>
      <c r="Q2" s="90"/>
      <c r="R2" s="90">
        <v>0.99524449103496471</v>
      </c>
      <c r="S2" s="32">
        <v>0.99654993335751108</v>
      </c>
      <c r="T2" s="32">
        <v>0.98775633885867775</v>
      </c>
      <c r="U2" s="32">
        <v>0.93507367890240811</v>
      </c>
      <c r="V2" s="90"/>
      <c r="W2" s="32"/>
      <c r="X2" s="32"/>
      <c r="Y2" s="32"/>
      <c r="Z2" s="32"/>
      <c r="AA2" s="32"/>
      <c r="AB2" s="32"/>
      <c r="AC2" s="32"/>
      <c r="AD2" s="32"/>
      <c r="AE2" s="32"/>
      <c r="AF2" s="32"/>
      <c r="AG2" s="32"/>
      <c r="AH2" s="32"/>
      <c r="AI2" s="32"/>
      <c r="AJ2" s="32"/>
      <c r="AK2" s="32"/>
      <c r="AL2" s="32"/>
      <c r="AM2" s="32"/>
      <c r="AN2" s="32"/>
      <c r="AO2" s="32"/>
      <c r="AP2" s="32"/>
      <c r="AQ2" s="32">
        <v>0.5</v>
      </c>
      <c r="AR2" s="32">
        <v>3632</v>
      </c>
      <c r="AS2" s="20">
        <f>AR2/AQ2</f>
        <v>7264</v>
      </c>
      <c r="AT2" s="32">
        <v>224.25</v>
      </c>
      <c r="AU2" s="32">
        <v>30</v>
      </c>
      <c r="AV2" s="35">
        <f>AT2/AU2</f>
        <v>7.4749999999999996</v>
      </c>
      <c r="AW2" s="32">
        <v>224.25</v>
      </c>
      <c r="AX2" s="90"/>
      <c r="AY2" s="32">
        <v>20</v>
      </c>
      <c r="AZ2" s="35">
        <v>8.1</v>
      </c>
      <c r="BA2" s="35">
        <v>3.64</v>
      </c>
      <c r="BB2" s="35">
        <v>12.43</v>
      </c>
      <c r="BC2" s="35">
        <v>1.33</v>
      </c>
      <c r="BD2" s="93">
        <f>SUM(AZ2:BC2)</f>
        <v>25.5</v>
      </c>
      <c r="BE2" s="35">
        <f>BD2/AY2</f>
        <v>1.2749999999999999</v>
      </c>
      <c r="BF2" s="29">
        <f>AT2/AU2</f>
        <v>7.4749999999999996</v>
      </c>
      <c r="BG2" s="35">
        <f>BE2/BF2</f>
        <v>0.1705685618729097</v>
      </c>
      <c r="BH2" s="20">
        <f>AR2*BG2</f>
        <v>619.50501672240807</v>
      </c>
      <c r="BI2" s="38">
        <f>BH2/AQ2</f>
        <v>1239.0100334448161</v>
      </c>
      <c r="BJ2" s="35">
        <f>AZ2/BD2</f>
        <v>0.31764705882352939</v>
      </c>
      <c r="BK2" s="35">
        <f>BA2/BD2</f>
        <v>0.1427450980392157</v>
      </c>
      <c r="BL2" s="35">
        <f>BB2/BD2</f>
        <v>0.48745098039215684</v>
      </c>
      <c r="BM2" s="35">
        <f>BC2/BD2</f>
        <v>5.2156862745098044E-2</v>
      </c>
      <c r="BN2" s="20">
        <f>BI2*BJ2</f>
        <v>393.56789297658861</v>
      </c>
      <c r="BO2" s="20">
        <f>BI2*BK2</f>
        <v>176.8626086956522</v>
      </c>
      <c r="BP2" s="20">
        <f>BI2*BL2</f>
        <v>603.95665551839465</v>
      </c>
      <c r="BQ2" s="20">
        <f>BI2*BM2</f>
        <v>64.622876254180611</v>
      </c>
      <c r="BR2" s="29">
        <v>2.4499999999999997</v>
      </c>
      <c r="BS2" s="29">
        <v>22.324999999999999</v>
      </c>
      <c r="BT2" s="29">
        <v>41.8</v>
      </c>
      <c r="BU2" s="29">
        <v>46.05</v>
      </c>
      <c r="BV2" s="29">
        <v>46.05</v>
      </c>
      <c r="BW2" s="36"/>
      <c r="BX2" s="36"/>
      <c r="BY2" s="36">
        <v>-24.31</v>
      </c>
      <c r="BZ2" s="36">
        <v>3.4885999999999999</v>
      </c>
      <c r="CA2" s="36">
        <v>5.35</v>
      </c>
      <c r="CB2" s="36">
        <v>-24.65</v>
      </c>
      <c r="CC2" s="36">
        <v>2.3727</v>
      </c>
      <c r="CD2" s="36">
        <v>5.0199999999999996</v>
      </c>
      <c r="CE2">
        <v>-25.79</v>
      </c>
      <c r="CF2" s="28">
        <v>2.2000000000000002</v>
      </c>
      <c r="CG2" s="28">
        <v>9.48</v>
      </c>
      <c r="CH2">
        <v>-22.93</v>
      </c>
      <c r="CI2" s="28">
        <v>3.1850999999999998</v>
      </c>
      <c r="CJ2" s="28">
        <v>19.43</v>
      </c>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row>
    <row r="3" spans="1:143" x14ac:dyDescent="0.25">
      <c r="A3" s="5" t="s">
        <v>24</v>
      </c>
      <c r="D3" s="5" t="s">
        <v>312</v>
      </c>
      <c r="E3" s="5">
        <v>2002</v>
      </c>
      <c r="F3" s="5">
        <v>1</v>
      </c>
      <c r="G3" s="5">
        <v>1</v>
      </c>
      <c r="H3" s="5">
        <v>2</v>
      </c>
      <c r="I3" s="5">
        <v>102</v>
      </c>
      <c r="J3" s="61"/>
      <c r="K3" s="61"/>
      <c r="R3" s="91">
        <v>0.99795546409635172</v>
      </c>
      <c r="S3" s="5">
        <v>0.99838739871298587</v>
      </c>
      <c r="T3" s="5">
        <v>0.99792562096073179</v>
      </c>
      <c r="U3" s="5">
        <v>0.96550231032760303</v>
      </c>
      <c r="AQ3" s="5">
        <v>0.5</v>
      </c>
      <c r="AR3" s="5">
        <v>2698</v>
      </c>
      <c r="AS3" s="20">
        <f t="shared" ref="AS3:AS65" si="0">AR3/AQ3</f>
        <v>5396</v>
      </c>
      <c r="AT3" s="5">
        <v>185.13</v>
      </c>
      <c r="AU3" s="5">
        <v>30</v>
      </c>
      <c r="AV3" s="35">
        <f t="shared" ref="AV3:AV65" si="1">AT3/AU3</f>
        <v>6.1710000000000003</v>
      </c>
      <c r="AW3" s="32">
        <v>185.13</v>
      </c>
      <c r="AY3" s="32">
        <v>20</v>
      </c>
      <c r="AZ3" s="24">
        <v>7.19</v>
      </c>
      <c r="BA3" s="24">
        <v>2.78</v>
      </c>
      <c r="BB3" s="24">
        <v>8.3000000000000007</v>
      </c>
      <c r="BC3" s="24">
        <v>0.49</v>
      </c>
      <c r="BD3" s="93">
        <f t="shared" ref="BD3:BD65" si="2">SUM(AZ3:BC3)</f>
        <v>18.760000000000002</v>
      </c>
      <c r="BE3" s="35">
        <f t="shared" ref="BE3:BE65" si="3">BD3/AY3</f>
        <v>0.93800000000000006</v>
      </c>
      <c r="BF3" s="29">
        <f t="shared" ref="BF3:BF65" si="4">AT3/AU3</f>
        <v>6.1710000000000003</v>
      </c>
      <c r="BG3" s="35">
        <f t="shared" ref="BG3:BG65" si="5">BE3/BF3</f>
        <v>0.15200129638632312</v>
      </c>
      <c r="BH3" s="20">
        <f t="shared" ref="BH3:BH65" si="6">AR3*BG3</f>
        <v>410.09949765029978</v>
      </c>
      <c r="BI3" s="38">
        <f t="shared" ref="BI3:BI65" si="7">BH3/AQ3</f>
        <v>820.19899530059956</v>
      </c>
      <c r="BJ3" s="35">
        <f t="shared" ref="BJ3:BJ65" si="8">AZ3/BD3</f>
        <v>0.38326226012793174</v>
      </c>
      <c r="BK3" s="35">
        <f t="shared" ref="BK3:BK65" si="9">BA3/BD3</f>
        <v>0.14818763326226012</v>
      </c>
      <c r="BL3" s="35">
        <f t="shared" ref="BL3:BL65" si="10">BB3/BD3</f>
        <v>0.44243070362473347</v>
      </c>
      <c r="BM3" s="35">
        <f>BC3/BD3</f>
        <v>2.6119402985074626E-2</v>
      </c>
      <c r="BN3" s="20">
        <f t="shared" ref="BN3:BN65" si="11">BI3*BJ3</f>
        <v>314.35132069356666</v>
      </c>
      <c r="BO3" s="20">
        <f>BI3*BK3</f>
        <v>121.54334791767945</v>
      </c>
      <c r="BP3" s="20">
        <f>BI3*BL3</f>
        <v>362.88121860314374</v>
      </c>
      <c r="BQ3" s="20">
        <f t="shared" ref="BQ3:BQ65" si="12">BI3*BM3</f>
        <v>21.423108086209691</v>
      </c>
      <c r="BR3" s="25">
        <v>9</v>
      </c>
      <c r="BS3" s="25">
        <v>7.8250000000000002</v>
      </c>
      <c r="BT3" s="25">
        <v>34.549999999999997</v>
      </c>
      <c r="BU3" s="25">
        <v>52.199999999999996</v>
      </c>
      <c r="BV3" s="25">
        <v>52.199999999999996</v>
      </c>
      <c r="BX3" s="36"/>
      <c r="BY3" s="36">
        <v>-24.91</v>
      </c>
      <c r="BZ3" s="36">
        <v>2.9662999999999999</v>
      </c>
      <c r="CA3" s="36">
        <v>5.31</v>
      </c>
      <c r="CB3" s="28">
        <v>-24.44</v>
      </c>
      <c r="CC3" s="36">
        <v>2.7319</v>
      </c>
      <c r="CD3" s="36">
        <v>3.87</v>
      </c>
      <c r="CE3">
        <v>-26.34</v>
      </c>
      <c r="CF3" s="28">
        <v>3.8020999999999998</v>
      </c>
      <c r="CG3" s="28">
        <v>5.79</v>
      </c>
      <c r="CH3">
        <v>-23.37</v>
      </c>
      <c r="CI3" s="28">
        <v>4.5491000000000001</v>
      </c>
      <c r="CJ3" s="28">
        <v>15.12</v>
      </c>
    </row>
    <row r="4" spans="1:143" x14ac:dyDescent="0.25">
      <c r="A4" s="5" t="s">
        <v>34</v>
      </c>
      <c r="D4" s="5" t="s">
        <v>39</v>
      </c>
      <c r="E4" s="5">
        <v>2001</v>
      </c>
      <c r="F4" s="5">
        <v>1</v>
      </c>
      <c r="G4" s="5">
        <v>1</v>
      </c>
      <c r="H4" s="5">
        <v>3</v>
      </c>
      <c r="I4" s="5">
        <v>103</v>
      </c>
      <c r="J4" s="61"/>
      <c r="K4" s="61"/>
      <c r="R4" s="91">
        <v>0.98694600555865453</v>
      </c>
      <c r="S4" s="5">
        <v>0.98729394680652105</v>
      </c>
      <c r="T4" s="5">
        <v>0.96402303140158863</v>
      </c>
      <c r="U4" s="5">
        <v>0.84488713503958834</v>
      </c>
      <c r="AQ4" s="32">
        <v>0.5</v>
      </c>
      <c r="AR4" s="5">
        <v>3326</v>
      </c>
      <c r="AS4" s="20">
        <f t="shared" si="0"/>
        <v>6652</v>
      </c>
      <c r="AT4" s="5">
        <v>177.1</v>
      </c>
      <c r="AU4" s="32">
        <v>30</v>
      </c>
      <c r="AV4" s="35">
        <f t="shared" si="1"/>
        <v>5.9033333333333333</v>
      </c>
      <c r="AW4" s="32">
        <v>177.1</v>
      </c>
      <c r="AY4" s="32">
        <v>20</v>
      </c>
      <c r="AZ4" s="24">
        <v>7.3</v>
      </c>
      <c r="BA4" s="24">
        <v>0.46</v>
      </c>
      <c r="BB4" s="24">
        <v>9.91</v>
      </c>
      <c r="BC4" s="24">
        <v>1.56</v>
      </c>
      <c r="BD4" s="93">
        <f t="shared" si="2"/>
        <v>19.23</v>
      </c>
      <c r="BE4" s="35">
        <f t="shared" si="3"/>
        <v>0.96150000000000002</v>
      </c>
      <c r="BF4" s="29">
        <f t="shared" si="4"/>
        <v>5.9033333333333333</v>
      </c>
      <c r="BG4" s="35">
        <f t="shared" si="5"/>
        <v>0.16287408243929982</v>
      </c>
      <c r="BH4" s="20">
        <f t="shared" si="6"/>
        <v>541.7191981931112</v>
      </c>
      <c r="BI4" s="38">
        <f t="shared" si="7"/>
        <v>1083.4383963862224</v>
      </c>
      <c r="BJ4" s="35">
        <f t="shared" si="8"/>
        <v>0.3796151846073843</v>
      </c>
      <c r="BK4" s="35">
        <f t="shared" si="9"/>
        <v>2.3920956838273531E-2</v>
      </c>
      <c r="BL4" s="35">
        <f t="shared" si="10"/>
        <v>0.51534061362454497</v>
      </c>
      <c r="BM4" s="35">
        <f t="shared" ref="BM4:BM65" si="13">BC4/BD4</f>
        <v>8.1123244929797195E-2</v>
      </c>
      <c r="BN4" s="20">
        <f t="shared" si="11"/>
        <v>411.28966685488422</v>
      </c>
      <c r="BO4" s="20">
        <f t="shared" ref="BO4:BO65" si="14">BI4*BK4</f>
        <v>25.916883116883113</v>
      </c>
      <c r="BP4" s="20">
        <f t="shared" ref="BP4:BP65" si="15">BI4*BL4</f>
        <v>558.33980801806888</v>
      </c>
      <c r="BQ4" s="20">
        <f t="shared" si="12"/>
        <v>87.892038396386212</v>
      </c>
      <c r="BR4" s="25">
        <v>2.5249999999999999</v>
      </c>
      <c r="BS4" s="25">
        <v>25.9</v>
      </c>
      <c r="BT4" s="25">
        <v>40.700000000000003</v>
      </c>
      <c r="BU4" s="25">
        <v>35.049999999999997</v>
      </c>
      <c r="BV4" s="25">
        <v>35.049999999999997</v>
      </c>
      <c r="BX4" s="36"/>
      <c r="BY4" s="36">
        <v>-24.77</v>
      </c>
      <c r="BZ4" s="36">
        <v>3.7534999999999998</v>
      </c>
      <c r="CA4" s="36">
        <v>4.4000000000000004</v>
      </c>
      <c r="CB4" s="28">
        <v>-24.7</v>
      </c>
      <c r="CC4" s="36">
        <v>2.3622999999999998</v>
      </c>
      <c r="CD4" s="36">
        <v>3.78</v>
      </c>
      <c r="CE4">
        <v>-25.88</v>
      </c>
      <c r="CF4" s="28">
        <v>2.3378999999999999</v>
      </c>
      <c r="CG4" s="28">
        <v>8.94</v>
      </c>
      <c r="CH4">
        <v>-23.37</v>
      </c>
      <c r="CI4" s="28">
        <v>2.5956000000000001</v>
      </c>
      <c r="CJ4" s="28">
        <v>18.27</v>
      </c>
    </row>
    <row r="5" spans="1:143" x14ac:dyDescent="0.25">
      <c r="A5" s="5" t="s">
        <v>34</v>
      </c>
      <c r="D5" s="5" t="s">
        <v>37</v>
      </c>
      <c r="E5" s="5">
        <v>1989</v>
      </c>
      <c r="F5" s="5">
        <v>1</v>
      </c>
      <c r="G5" s="5">
        <v>1</v>
      </c>
      <c r="H5" s="5">
        <v>4</v>
      </c>
      <c r="I5" s="5">
        <v>104</v>
      </c>
      <c r="J5" s="61"/>
      <c r="K5" s="61"/>
      <c r="R5" s="91">
        <v>0.99485472618136994</v>
      </c>
      <c r="S5" s="5">
        <v>0.99068869115613545</v>
      </c>
      <c r="T5" s="5">
        <v>0.9802555914977108</v>
      </c>
      <c r="U5" s="5">
        <v>0.84017692150893952</v>
      </c>
      <c r="AQ5" s="5">
        <v>0.5</v>
      </c>
      <c r="AR5" s="5">
        <v>2630</v>
      </c>
      <c r="AS5" s="20">
        <f t="shared" si="0"/>
        <v>5260</v>
      </c>
      <c r="AT5" s="5">
        <v>194.56</v>
      </c>
      <c r="AU5" s="5">
        <v>30</v>
      </c>
      <c r="AV5" s="35">
        <f t="shared" si="1"/>
        <v>6.4853333333333332</v>
      </c>
      <c r="AW5" s="32">
        <v>194.56</v>
      </c>
      <c r="AY5" s="32">
        <v>20</v>
      </c>
      <c r="AZ5" s="24">
        <v>7.39</v>
      </c>
      <c r="BA5" s="24">
        <v>1.06</v>
      </c>
      <c r="BB5" s="24">
        <v>10.81</v>
      </c>
      <c r="BC5" s="24">
        <v>1.35</v>
      </c>
      <c r="BD5" s="93">
        <f t="shared" si="2"/>
        <v>20.61</v>
      </c>
      <c r="BE5" s="35">
        <f t="shared" si="3"/>
        <v>1.0305</v>
      </c>
      <c r="BF5" s="29">
        <f t="shared" si="4"/>
        <v>6.4853333333333332</v>
      </c>
      <c r="BG5" s="35">
        <f t="shared" si="5"/>
        <v>0.15889699835526316</v>
      </c>
      <c r="BH5" s="20">
        <f t="shared" si="6"/>
        <v>417.89910567434214</v>
      </c>
      <c r="BI5" s="38">
        <f t="shared" si="7"/>
        <v>835.79821134868428</v>
      </c>
      <c r="BJ5" s="35">
        <f t="shared" si="8"/>
        <v>0.35856380397865112</v>
      </c>
      <c r="BK5" s="35">
        <f t="shared" si="9"/>
        <v>5.1431344007763224E-2</v>
      </c>
      <c r="BL5" s="35">
        <f t="shared" si="10"/>
        <v>0.52450266860747219</v>
      </c>
      <c r="BM5" s="35">
        <f t="shared" si="13"/>
        <v>6.5502183406113537E-2</v>
      </c>
      <c r="BN5" s="20">
        <f t="shared" si="11"/>
        <v>299.68698601973682</v>
      </c>
      <c r="BO5" s="20">
        <f t="shared" si="14"/>
        <v>42.986225328947377</v>
      </c>
      <c r="BP5" s="20">
        <f t="shared" si="15"/>
        <v>438.37839226973693</v>
      </c>
      <c r="BQ5" s="20">
        <f t="shared" si="12"/>
        <v>54.746607730263165</v>
      </c>
      <c r="BR5" s="25">
        <v>7.5750000000000002</v>
      </c>
      <c r="BS5" s="25">
        <v>25.8</v>
      </c>
      <c r="BT5" s="25">
        <v>48.075000000000003</v>
      </c>
      <c r="BU5" s="25">
        <v>48.4</v>
      </c>
      <c r="BV5" s="25">
        <v>48.4</v>
      </c>
      <c r="BX5" s="36"/>
      <c r="BY5" s="36">
        <v>-24.88</v>
      </c>
      <c r="BZ5" s="36">
        <v>2.9779</v>
      </c>
      <c r="CA5" s="36">
        <v>2.77</v>
      </c>
      <c r="CB5" s="28">
        <v>-24.71</v>
      </c>
      <c r="CC5" s="36">
        <v>2.8249</v>
      </c>
      <c r="CD5" s="36">
        <v>3.62</v>
      </c>
      <c r="CE5">
        <v>-26.09</v>
      </c>
      <c r="CF5" s="28">
        <v>2.6589</v>
      </c>
      <c r="CG5" s="28">
        <v>9.9499999999999993</v>
      </c>
      <c r="CH5">
        <v>-23.69</v>
      </c>
      <c r="CI5" s="28">
        <v>3.6764000000000001</v>
      </c>
      <c r="CJ5" s="28">
        <v>15.5</v>
      </c>
    </row>
    <row r="6" spans="1:143" x14ac:dyDescent="0.25">
      <c r="A6" s="5" t="s">
        <v>24</v>
      </c>
      <c r="D6" s="5" t="s">
        <v>29</v>
      </c>
      <c r="E6" s="5">
        <v>1999</v>
      </c>
      <c r="F6" s="5">
        <v>2</v>
      </c>
      <c r="G6" s="5">
        <v>1</v>
      </c>
      <c r="H6" s="5">
        <v>5</v>
      </c>
      <c r="I6" s="5">
        <v>105</v>
      </c>
      <c r="J6" s="61"/>
      <c r="K6" s="61"/>
      <c r="R6" s="91">
        <v>0.99786287367504523</v>
      </c>
      <c r="S6" s="5">
        <v>0.99738456742190573</v>
      </c>
      <c r="T6" s="5">
        <v>0.99503269095246472</v>
      </c>
      <c r="U6" s="5">
        <v>0.91253596149455174</v>
      </c>
      <c r="AQ6" s="32">
        <v>0.5</v>
      </c>
      <c r="AR6" s="5">
        <v>2906</v>
      </c>
      <c r="AS6" s="20">
        <f t="shared" si="0"/>
        <v>5812</v>
      </c>
      <c r="AT6" s="5">
        <v>204.36</v>
      </c>
      <c r="AU6" s="32">
        <v>30</v>
      </c>
      <c r="AV6" s="35">
        <f t="shared" si="1"/>
        <v>6.8120000000000003</v>
      </c>
      <c r="AW6" s="32">
        <v>204.36</v>
      </c>
      <c r="AY6" s="32">
        <v>20</v>
      </c>
      <c r="AZ6" s="24">
        <v>8.09</v>
      </c>
      <c r="BA6" s="24">
        <v>8.59</v>
      </c>
      <c r="BB6" s="24">
        <v>13.49</v>
      </c>
      <c r="BC6" s="24">
        <v>1.59</v>
      </c>
      <c r="BD6" s="93">
        <f t="shared" si="2"/>
        <v>31.76</v>
      </c>
      <c r="BE6" s="35">
        <f t="shared" si="3"/>
        <v>1.5880000000000001</v>
      </c>
      <c r="BF6" s="29">
        <f t="shared" si="4"/>
        <v>6.8120000000000003</v>
      </c>
      <c r="BG6" s="35">
        <f t="shared" si="5"/>
        <v>0.23311802701115678</v>
      </c>
      <c r="BH6" s="20">
        <f t="shared" si="6"/>
        <v>677.44098649442162</v>
      </c>
      <c r="BI6" s="38">
        <f t="shared" si="7"/>
        <v>1354.8819729888432</v>
      </c>
      <c r="BJ6" s="35">
        <f t="shared" si="8"/>
        <v>0.25472292191435769</v>
      </c>
      <c r="BK6" s="35">
        <f t="shared" si="9"/>
        <v>0.27046599496221663</v>
      </c>
      <c r="BL6" s="35">
        <f t="shared" si="10"/>
        <v>0.42474811083123426</v>
      </c>
      <c r="BM6" s="35">
        <f t="shared" si="13"/>
        <v>5.0062972292191435E-2</v>
      </c>
      <c r="BN6" s="20">
        <f t="shared" si="11"/>
        <v>345.11949500880803</v>
      </c>
      <c r="BO6" s="20">
        <f t="shared" si="14"/>
        <v>366.44950088079861</v>
      </c>
      <c r="BP6" s="20">
        <f t="shared" si="15"/>
        <v>575.48355842630656</v>
      </c>
      <c r="BQ6" s="20">
        <f t="shared" si="12"/>
        <v>67.829418672930117</v>
      </c>
      <c r="BR6" s="25">
        <v>12.399999999999999</v>
      </c>
      <c r="BS6" s="25">
        <v>19.724999999999998</v>
      </c>
      <c r="BT6" s="25">
        <v>35.274999999999999</v>
      </c>
      <c r="BU6" s="25">
        <v>39.25</v>
      </c>
      <c r="BV6" s="25">
        <v>39.25</v>
      </c>
      <c r="BX6" s="36"/>
      <c r="BY6" s="36">
        <v>-24.17</v>
      </c>
      <c r="BZ6" s="36">
        <v>2.5007999999999999</v>
      </c>
      <c r="CA6" s="36">
        <v>3.48</v>
      </c>
      <c r="CB6" s="28">
        <v>-24.34</v>
      </c>
      <c r="CC6" s="36">
        <v>1.6708000000000001</v>
      </c>
      <c r="CD6" s="36">
        <v>6.61</v>
      </c>
      <c r="CE6">
        <v>-25.63</v>
      </c>
      <c r="CF6" s="28">
        <v>2.1818</v>
      </c>
      <c r="CG6" s="28">
        <v>13.62</v>
      </c>
      <c r="CH6">
        <v>-23.29</v>
      </c>
      <c r="CI6" s="28">
        <v>3.5167000000000002</v>
      </c>
      <c r="CJ6" s="28">
        <v>16.84</v>
      </c>
    </row>
    <row r="7" spans="1:143" x14ac:dyDescent="0.25">
      <c r="A7" s="5" t="s">
        <v>24</v>
      </c>
      <c r="D7" s="5" t="s">
        <v>311</v>
      </c>
      <c r="E7" s="5">
        <v>2023</v>
      </c>
      <c r="F7" s="5">
        <v>2</v>
      </c>
      <c r="G7" s="5">
        <v>1</v>
      </c>
      <c r="H7" s="5">
        <v>6</v>
      </c>
      <c r="I7" s="5">
        <v>106</v>
      </c>
      <c r="J7" s="61"/>
      <c r="K7" s="61"/>
      <c r="R7" s="91">
        <v>0.99165899628291854</v>
      </c>
      <c r="S7" s="5">
        <v>0.98030648980261947</v>
      </c>
      <c r="T7" s="5">
        <v>0.9891775922463385</v>
      </c>
      <c r="U7" s="5">
        <v>0.80181792348551595</v>
      </c>
      <c r="AQ7" s="5">
        <v>0.5</v>
      </c>
      <c r="AR7" s="5">
        <v>3306</v>
      </c>
      <c r="AS7" s="20">
        <f t="shared" si="0"/>
        <v>6612</v>
      </c>
      <c r="AT7" s="5">
        <v>239.29</v>
      </c>
      <c r="AU7" s="5">
        <v>30</v>
      </c>
      <c r="AV7" s="35">
        <f t="shared" si="1"/>
        <v>7.9763333333333328</v>
      </c>
      <c r="AW7" s="32">
        <v>239.29</v>
      </c>
      <c r="AY7" s="32">
        <v>20</v>
      </c>
      <c r="AZ7" s="24">
        <v>8.2799999999999994</v>
      </c>
      <c r="BA7" s="24">
        <v>3.71</v>
      </c>
      <c r="BB7" s="24">
        <v>13.51</v>
      </c>
      <c r="BC7" s="24">
        <v>1.18</v>
      </c>
      <c r="BD7" s="93">
        <f t="shared" si="2"/>
        <v>26.68</v>
      </c>
      <c r="BE7" s="35">
        <f t="shared" si="3"/>
        <v>1.3340000000000001</v>
      </c>
      <c r="BF7" s="29">
        <f t="shared" si="4"/>
        <v>7.9763333333333328</v>
      </c>
      <c r="BG7" s="35">
        <f t="shared" si="5"/>
        <v>0.1672447657653893</v>
      </c>
      <c r="BH7" s="20">
        <f t="shared" si="6"/>
        <v>552.91119562037704</v>
      </c>
      <c r="BI7" s="38">
        <f t="shared" si="7"/>
        <v>1105.8223912407541</v>
      </c>
      <c r="BJ7" s="35">
        <f t="shared" si="8"/>
        <v>0.31034482758620685</v>
      </c>
      <c r="BK7" s="35">
        <f>BA7/BD7</f>
        <v>0.13905547226386808</v>
      </c>
      <c r="BL7" s="35">
        <f t="shared" si="10"/>
        <v>0.50637181409295351</v>
      </c>
      <c r="BM7" s="35">
        <f t="shared" si="13"/>
        <v>4.4227886056971512E-2</v>
      </c>
      <c r="BN7" s="20">
        <f t="shared" si="11"/>
        <v>343.18625935057878</v>
      </c>
      <c r="BO7" s="20">
        <f t="shared" si="14"/>
        <v>153.77065485394294</v>
      </c>
      <c r="BP7" s="20">
        <f t="shared" si="15"/>
        <v>559.95729031718838</v>
      </c>
      <c r="BQ7" s="20">
        <f t="shared" si="12"/>
        <v>48.90818671904384</v>
      </c>
      <c r="BR7" s="25">
        <v>2.4000000000000004</v>
      </c>
      <c r="BS7" s="25">
        <v>8.4249999999999989</v>
      </c>
      <c r="BT7" s="25">
        <v>38.924999999999997</v>
      </c>
      <c r="BU7" s="25">
        <v>49.25</v>
      </c>
      <c r="BV7" s="25">
        <v>49.25</v>
      </c>
      <c r="BX7" s="36"/>
      <c r="BY7" s="36">
        <v>-24.24</v>
      </c>
      <c r="BZ7" s="36">
        <v>2.9851999999999999</v>
      </c>
      <c r="CA7" s="36">
        <v>4.6500000000000004</v>
      </c>
      <c r="CB7" s="28">
        <v>-24.48</v>
      </c>
      <c r="CC7" s="36">
        <v>1.6737</v>
      </c>
      <c r="CD7" s="36">
        <v>6.39</v>
      </c>
      <c r="CE7">
        <v>-25.59</v>
      </c>
      <c r="CF7" s="28">
        <v>2.4032</v>
      </c>
      <c r="CG7" s="28">
        <v>14.95</v>
      </c>
      <c r="CH7">
        <v>-23.4</v>
      </c>
      <c r="CI7" s="28">
        <v>2.2389000000000001</v>
      </c>
      <c r="CJ7" s="28">
        <v>20.73</v>
      </c>
    </row>
    <row r="8" spans="1:143" x14ac:dyDescent="0.25">
      <c r="A8" s="5" t="s">
        <v>34</v>
      </c>
      <c r="D8" s="5" t="s">
        <v>41</v>
      </c>
      <c r="E8" s="5">
        <v>2008</v>
      </c>
      <c r="F8" s="5">
        <v>2</v>
      </c>
      <c r="G8" s="5">
        <v>1</v>
      </c>
      <c r="H8" s="5">
        <v>7</v>
      </c>
      <c r="I8" s="5">
        <v>107</v>
      </c>
      <c r="J8" s="61"/>
      <c r="K8" s="61"/>
      <c r="R8" s="91">
        <v>0.95410705473252921</v>
      </c>
      <c r="S8" s="5">
        <v>0.94675534706545184</v>
      </c>
      <c r="T8" s="5">
        <v>0.92077499570175247</v>
      </c>
      <c r="U8" s="5">
        <v>0.77207419478413331</v>
      </c>
      <c r="AQ8" s="32">
        <v>0.5</v>
      </c>
      <c r="AR8" s="5">
        <v>2893</v>
      </c>
      <c r="AS8" s="20">
        <f t="shared" si="0"/>
        <v>5786</v>
      </c>
      <c r="AT8" s="5">
        <v>240.3</v>
      </c>
      <c r="AU8" s="32">
        <v>30</v>
      </c>
      <c r="AV8" s="35">
        <f t="shared" si="1"/>
        <v>8.01</v>
      </c>
      <c r="AW8" s="32">
        <v>240.3</v>
      </c>
      <c r="AY8" s="32">
        <v>20</v>
      </c>
      <c r="AZ8" s="24">
        <v>8.5</v>
      </c>
      <c r="BA8" s="24">
        <v>0.41</v>
      </c>
      <c r="BB8" s="24">
        <v>12.24</v>
      </c>
      <c r="BC8" s="24">
        <v>2.09</v>
      </c>
      <c r="BD8" s="93">
        <f t="shared" si="2"/>
        <v>23.24</v>
      </c>
      <c r="BE8" s="35">
        <f t="shared" si="3"/>
        <v>1.1619999999999999</v>
      </c>
      <c r="BF8" s="29">
        <f t="shared" si="4"/>
        <v>8.01</v>
      </c>
      <c r="BG8" s="35">
        <f t="shared" si="5"/>
        <v>0.14506866416978775</v>
      </c>
      <c r="BH8" s="20">
        <f t="shared" si="6"/>
        <v>419.68364544319599</v>
      </c>
      <c r="BI8" s="38">
        <f t="shared" si="7"/>
        <v>839.36729088639197</v>
      </c>
      <c r="BJ8" s="35">
        <f t="shared" si="8"/>
        <v>0.36574870912220314</v>
      </c>
      <c r="BK8" s="35">
        <f>BA8/BD8</f>
        <v>1.7641996557659207E-2</v>
      </c>
      <c r="BL8" s="35">
        <f t="shared" si="10"/>
        <v>0.52667814113597256</v>
      </c>
      <c r="BM8" s="35">
        <f t="shared" si="13"/>
        <v>8.9931153184165238E-2</v>
      </c>
      <c r="BN8" s="20">
        <f t="shared" si="11"/>
        <v>306.99750312109865</v>
      </c>
      <c r="BO8" s="20">
        <f t="shared" si="14"/>
        <v>14.808114856429462</v>
      </c>
      <c r="BP8" s="20">
        <f t="shared" si="15"/>
        <v>442.07640449438207</v>
      </c>
      <c r="BQ8" s="20">
        <f t="shared" si="12"/>
        <v>75.485268414481894</v>
      </c>
      <c r="BR8" s="25">
        <v>15.850000000000001</v>
      </c>
      <c r="BS8" s="25">
        <v>30.874999999999996</v>
      </c>
      <c r="BT8" s="25">
        <v>37.1</v>
      </c>
      <c r="BU8" s="25">
        <v>48.224999999999994</v>
      </c>
      <c r="BV8" s="25">
        <v>48.224999999999994</v>
      </c>
      <c r="BX8" s="36"/>
      <c r="BY8" s="36">
        <v>-24.88</v>
      </c>
      <c r="BZ8" s="36">
        <v>3.6995</v>
      </c>
      <c r="CA8" s="36">
        <v>4.82</v>
      </c>
      <c r="CB8" s="28">
        <v>-24.77</v>
      </c>
      <c r="CC8" s="36">
        <v>2.1030000000000002</v>
      </c>
      <c r="CD8" s="36">
        <v>2.84</v>
      </c>
      <c r="CE8">
        <v>-25.92</v>
      </c>
      <c r="CF8" s="28">
        <v>2.1202999999999999</v>
      </c>
      <c r="CG8" s="28">
        <v>12.78</v>
      </c>
      <c r="CH8">
        <v>-23.91</v>
      </c>
      <c r="CI8" s="28">
        <v>2.1518999999999999</v>
      </c>
      <c r="CJ8" s="28">
        <v>22.6</v>
      </c>
    </row>
    <row r="9" spans="1:143" x14ac:dyDescent="0.25">
      <c r="A9" s="5" t="s">
        <v>34</v>
      </c>
      <c r="D9" s="5" t="s">
        <v>318</v>
      </c>
      <c r="E9" s="5">
        <v>2004</v>
      </c>
      <c r="F9" s="5">
        <v>2</v>
      </c>
      <c r="G9" s="5">
        <v>1</v>
      </c>
      <c r="H9" s="5">
        <v>8</v>
      </c>
      <c r="I9" s="5">
        <v>108</v>
      </c>
      <c r="J9" s="61"/>
      <c r="K9" s="61"/>
      <c r="R9" s="91">
        <v>0.99460311900569609</v>
      </c>
      <c r="S9" s="5">
        <v>0.99175114357320882</v>
      </c>
      <c r="T9" s="5">
        <v>0.98391270702685318</v>
      </c>
      <c r="U9" s="5">
        <v>0.87635170445409238</v>
      </c>
      <c r="AQ9" s="5">
        <v>0.5</v>
      </c>
      <c r="AR9" s="5">
        <v>2762</v>
      </c>
      <c r="AS9" s="20">
        <f t="shared" si="0"/>
        <v>5524</v>
      </c>
      <c r="AT9" s="5">
        <v>254.71</v>
      </c>
      <c r="AU9" s="5">
        <v>30</v>
      </c>
      <c r="AV9" s="35">
        <f t="shared" si="1"/>
        <v>8.490333333333334</v>
      </c>
      <c r="AW9" s="32">
        <v>254.71</v>
      </c>
      <c r="AY9" s="32">
        <v>20</v>
      </c>
      <c r="AZ9" s="24">
        <v>8.9499999999999993</v>
      </c>
      <c r="BA9" s="24">
        <v>1.23</v>
      </c>
      <c r="BB9" s="24">
        <v>17.75</v>
      </c>
      <c r="BC9" s="24">
        <v>1.95</v>
      </c>
      <c r="BD9" s="93">
        <f t="shared" si="2"/>
        <v>29.88</v>
      </c>
      <c r="BE9" s="35">
        <f t="shared" si="3"/>
        <v>1.494</v>
      </c>
      <c r="BF9" s="29">
        <f t="shared" si="4"/>
        <v>8.490333333333334</v>
      </c>
      <c r="BG9" s="35">
        <f t="shared" si="5"/>
        <v>0.17596482273958619</v>
      </c>
      <c r="BH9" s="20">
        <f t="shared" si="6"/>
        <v>486.01484040673705</v>
      </c>
      <c r="BI9" s="38">
        <f t="shared" si="7"/>
        <v>972.0296808134741</v>
      </c>
      <c r="BJ9" s="35">
        <f t="shared" si="8"/>
        <v>0.29953145917001339</v>
      </c>
      <c r="BK9" s="35">
        <f t="shared" si="9"/>
        <v>4.1164658634538151E-2</v>
      </c>
      <c r="BL9" s="35">
        <f t="shared" si="10"/>
        <v>0.59404283801874169</v>
      </c>
      <c r="BM9" s="35">
        <f t="shared" si="13"/>
        <v>6.5261044176706834E-2</v>
      </c>
      <c r="BN9" s="20">
        <f t="shared" si="11"/>
        <v>291.15346865062224</v>
      </c>
      <c r="BO9" s="20">
        <f t="shared" si="14"/>
        <v>40.013269993325743</v>
      </c>
      <c r="BP9" s="20">
        <f t="shared" si="15"/>
        <v>577.42727022888778</v>
      </c>
      <c r="BQ9" s="20">
        <f t="shared" si="12"/>
        <v>63.435671940638379</v>
      </c>
      <c r="BR9" s="25">
        <v>33.524999999999999</v>
      </c>
      <c r="BS9" s="25">
        <v>40.924999999999997</v>
      </c>
      <c r="BT9" s="25">
        <v>44.733333333333327</v>
      </c>
      <c r="BU9" s="25">
        <v>48.9</v>
      </c>
      <c r="BV9" s="25">
        <v>48.9</v>
      </c>
      <c r="BX9" s="36"/>
      <c r="BY9" s="36">
        <v>-24.71</v>
      </c>
      <c r="BZ9" s="36">
        <v>2.6027</v>
      </c>
      <c r="CA9" s="36">
        <v>1.55</v>
      </c>
      <c r="CB9" s="28">
        <v>-24.93</v>
      </c>
      <c r="CC9" s="36">
        <v>2.5175999999999998</v>
      </c>
      <c r="CD9" s="36">
        <v>3.71</v>
      </c>
      <c r="CE9">
        <v>-25.7</v>
      </c>
      <c r="CF9" s="28">
        <v>2.2705000000000002</v>
      </c>
      <c r="CG9" s="28">
        <v>10.55</v>
      </c>
      <c r="CH9">
        <v>-24.27</v>
      </c>
      <c r="CI9" s="28">
        <v>3.5680999999999998</v>
      </c>
      <c r="CJ9" s="28">
        <v>14.77</v>
      </c>
    </row>
    <row r="10" spans="1:143" x14ac:dyDescent="0.25">
      <c r="A10" s="5" t="s">
        <v>24</v>
      </c>
      <c r="D10" s="5" t="s">
        <v>26</v>
      </c>
      <c r="E10" s="5">
        <v>1983</v>
      </c>
      <c r="F10" s="5">
        <v>3</v>
      </c>
      <c r="G10" s="5">
        <v>1</v>
      </c>
      <c r="H10" s="5">
        <v>9</v>
      </c>
      <c r="I10" s="5">
        <v>109</v>
      </c>
      <c r="R10" s="91">
        <v>0.99828247662721836</v>
      </c>
      <c r="S10" s="5">
        <v>0.99840012426219327</v>
      </c>
      <c r="T10" s="5">
        <v>0.9931692824491849</v>
      </c>
      <c r="U10" s="5">
        <v>0.91032638402570198</v>
      </c>
      <c r="AQ10" s="32">
        <v>0.5</v>
      </c>
      <c r="AR10" s="5">
        <v>2851</v>
      </c>
      <c r="AS10" s="20">
        <f t="shared" si="0"/>
        <v>5702</v>
      </c>
      <c r="AT10" s="5">
        <v>211.7</v>
      </c>
      <c r="AU10" s="32">
        <v>30</v>
      </c>
      <c r="AV10" s="35">
        <f t="shared" si="1"/>
        <v>7.0566666666666666</v>
      </c>
      <c r="AW10" s="32">
        <v>211.7</v>
      </c>
      <c r="AY10" s="32">
        <v>20</v>
      </c>
      <c r="AZ10" s="24">
        <v>7.99</v>
      </c>
      <c r="BA10" s="24">
        <v>2.56</v>
      </c>
      <c r="BB10" s="24">
        <v>13.39</v>
      </c>
      <c r="BC10" s="24">
        <v>1.17</v>
      </c>
      <c r="BD10" s="93">
        <f t="shared" si="2"/>
        <v>25.11</v>
      </c>
      <c r="BE10" s="35">
        <f t="shared" si="3"/>
        <v>1.2555000000000001</v>
      </c>
      <c r="BF10" s="29">
        <f t="shared" si="4"/>
        <v>7.0566666666666666</v>
      </c>
      <c r="BG10" s="35">
        <f t="shared" si="5"/>
        <v>0.1779168634860652</v>
      </c>
      <c r="BH10" s="20">
        <f t="shared" si="6"/>
        <v>507.24097779877189</v>
      </c>
      <c r="BI10" s="38">
        <f t="shared" si="7"/>
        <v>1014.4819555975438</v>
      </c>
      <c r="BJ10" s="35">
        <f t="shared" si="8"/>
        <v>0.31819992035045802</v>
      </c>
      <c r="BK10" s="35">
        <f t="shared" si="9"/>
        <v>0.10195141377937077</v>
      </c>
      <c r="BL10" s="35">
        <f t="shared" si="10"/>
        <v>0.53325368379131821</v>
      </c>
      <c r="BM10" s="35">
        <f t="shared" si="13"/>
        <v>4.6594982078853042E-2</v>
      </c>
      <c r="BN10" s="20">
        <f t="shared" si="11"/>
        <v>322.8080774681153</v>
      </c>
      <c r="BO10" s="20">
        <f t="shared" si="14"/>
        <v>103.42786962683043</v>
      </c>
      <c r="BP10" s="20">
        <f t="shared" si="15"/>
        <v>540.97623996221068</v>
      </c>
      <c r="BQ10" s="20">
        <f t="shared" si="12"/>
        <v>47.269768540387339</v>
      </c>
      <c r="BR10" s="25">
        <v>6</v>
      </c>
      <c r="BS10" s="25">
        <v>6.1</v>
      </c>
      <c r="BT10" s="25">
        <v>31.55</v>
      </c>
      <c r="BU10" s="25">
        <v>48.849999999999994</v>
      </c>
      <c r="BV10" s="25">
        <v>48.849999999999994</v>
      </c>
      <c r="BX10" s="36"/>
      <c r="BY10" s="36">
        <v>-24.47</v>
      </c>
      <c r="BZ10" s="36">
        <v>2.6032999999999999</v>
      </c>
      <c r="CA10" s="36">
        <v>2.99</v>
      </c>
      <c r="CB10" s="28">
        <v>-24.57</v>
      </c>
      <c r="CC10" s="36">
        <v>2.0806</v>
      </c>
      <c r="CD10" s="36">
        <v>4.6900000000000004</v>
      </c>
      <c r="CE10">
        <v>-25.86</v>
      </c>
      <c r="CF10" s="28">
        <v>2.7160000000000002</v>
      </c>
      <c r="CG10" s="28">
        <v>9.2200000000000006</v>
      </c>
      <c r="CH10">
        <v>-23.47</v>
      </c>
      <c r="CI10" s="28">
        <v>4.2386999999999997</v>
      </c>
      <c r="CJ10" s="28">
        <v>16.43</v>
      </c>
    </row>
    <row r="11" spans="1:143" x14ac:dyDescent="0.25">
      <c r="A11" s="5" t="s">
        <v>24</v>
      </c>
      <c r="D11" s="5" t="s">
        <v>313</v>
      </c>
      <c r="E11" s="5">
        <v>2016</v>
      </c>
      <c r="F11" s="5">
        <v>3</v>
      </c>
      <c r="G11" s="5">
        <v>1</v>
      </c>
      <c r="H11" s="5">
        <v>10</v>
      </c>
      <c r="I11" s="5">
        <v>110</v>
      </c>
      <c r="R11" s="91">
        <v>0.99425314243222473</v>
      </c>
      <c r="S11" s="5">
        <v>0.99334462357798703</v>
      </c>
      <c r="T11" s="5">
        <v>0.99656397260977692</v>
      </c>
      <c r="U11" s="5">
        <v>0.9220741368898443</v>
      </c>
      <c r="AQ11" s="5">
        <v>0.5</v>
      </c>
      <c r="AR11" s="5">
        <v>2439</v>
      </c>
      <c r="AS11" s="20">
        <f t="shared" si="0"/>
        <v>4878</v>
      </c>
      <c r="AT11" s="5">
        <v>158.9</v>
      </c>
      <c r="AU11" s="5">
        <v>30</v>
      </c>
      <c r="AV11" s="35">
        <f t="shared" si="1"/>
        <v>5.2966666666666669</v>
      </c>
      <c r="AW11" s="32">
        <v>158.9</v>
      </c>
      <c r="AY11" s="32">
        <v>20</v>
      </c>
      <c r="AZ11" s="24">
        <v>9.61</v>
      </c>
      <c r="BA11" s="24">
        <v>6.09</v>
      </c>
      <c r="BB11" s="24">
        <v>13.95</v>
      </c>
      <c r="BC11" s="24">
        <v>1.35</v>
      </c>
      <c r="BD11" s="93">
        <f t="shared" si="2"/>
        <v>31</v>
      </c>
      <c r="BE11" s="35">
        <f t="shared" si="3"/>
        <v>1.55</v>
      </c>
      <c r="BF11" s="29">
        <f t="shared" si="4"/>
        <v>5.2966666666666669</v>
      </c>
      <c r="BG11" s="35">
        <f t="shared" si="5"/>
        <v>0.29263687853996223</v>
      </c>
      <c r="BH11" s="20">
        <f t="shared" si="6"/>
        <v>713.74134675896789</v>
      </c>
      <c r="BI11" s="38">
        <f t="shared" si="7"/>
        <v>1427.4826935179358</v>
      </c>
      <c r="BJ11" s="35">
        <f t="shared" si="8"/>
        <v>0.31</v>
      </c>
      <c r="BK11" s="35">
        <f t="shared" si="9"/>
        <v>0.1964516129032258</v>
      </c>
      <c r="BL11" s="35">
        <f t="shared" si="10"/>
        <v>0.44999999999999996</v>
      </c>
      <c r="BM11" s="35">
        <f t="shared" si="13"/>
        <v>4.3548387096774194E-2</v>
      </c>
      <c r="BN11" s="20">
        <f t="shared" si="11"/>
        <v>442.51963499056006</v>
      </c>
      <c r="BO11" s="20">
        <f t="shared" si="14"/>
        <v>280.43127753303963</v>
      </c>
      <c r="BP11" s="20">
        <f t="shared" si="15"/>
        <v>642.36721208307108</v>
      </c>
      <c r="BQ11" s="20">
        <f t="shared" si="12"/>
        <v>62.164568911264944</v>
      </c>
      <c r="BR11" s="25">
        <v>6.6750000000000007</v>
      </c>
      <c r="BS11" s="25">
        <v>20.675000000000001</v>
      </c>
      <c r="BT11" s="25">
        <v>39.799999999999997</v>
      </c>
      <c r="BU11" s="25">
        <v>41.475000000000001</v>
      </c>
      <c r="BV11" s="25">
        <v>41.475000000000001</v>
      </c>
      <c r="BX11" s="36"/>
      <c r="BY11" s="36">
        <v>-24.24</v>
      </c>
      <c r="BZ11" s="36">
        <v>2.5531000000000001</v>
      </c>
      <c r="CA11" s="36">
        <v>2.15</v>
      </c>
      <c r="CB11" s="28">
        <v>-24.79</v>
      </c>
      <c r="CC11" s="36">
        <v>1.8640000000000001</v>
      </c>
      <c r="CD11" s="36">
        <v>3.23</v>
      </c>
      <c r="CE11">
        <v>-25.69</v>
      </c>
      <c r="CF11" s="28">
        <v>2.6629</v>
      </c>
      <c r="CG11" s="28">
        <v>6.5</v>
      </c>
      <c r="CH11">
        <v>-24.41</v>
      </c>
      <c r="CI11" s="28">
        <v>2.5663999999999998</v>
      </c>
      <c r="CJ11" s="28">
        <v>15.35</v>
      </c>
    </row>
    <row r="12" spans="1:143" x14ac:dyDescent="0.25">
      <c r="A12" s="5" t="s">
        <v>34</v>
      </c>
      <c r="D12" s="5" t="s">
        <v>42</v>
      </c>
      <c r="E12" s="5">
        <v>2016</v>
      </c>
      <c r="F12" s="5">
        <v>3</v>
      </c>
      <c r="G12" s="5">
        <v>1</v>
      </c>
      <c r="H12" s="5">
        <v>11</v>
      </c>
      <c r="I12" s="5">
        <v>111</v>
      </c>
      <c r="R12" s="91">
        <v>0.9872749997720115</v>
      </c>
      <c r="S12" s="5">
        <v>0.99060513523619598</v>
      </c>
      <c r="T12" s="5">
        <v>0.9816520025594867</v>
      </c>
      <c r="U12" s="5">
        <v>0.82621058207652986</v>
      </c>
      <c r="AQ12" s="32">
        <v>0.5</v>
      </c>
      <c r="AR12" s="5">
        <v>3427</v>
      </c>
      <c r="AS12" s="20">
        <f t="shared" si="0"/>
        <v>6854</v>
      </c>
      <c r="AT12" s="5">
        <v>231.66</v>
      </c>
      <c r="AU12" s="32">
        <v>30</v>
      </c>
      <c r="AV12" s="35">
        <f t="shared" si="1"/>
        <v>7.7219999999999995</v>
      </c>
      <c r="AW12" s="32">
        <v>231.66</v>
      </c>
      <c r="AY12" s="32">
        <v>20</v>
      </c>
      <c r="AZ12" s="24">
        <v>6.77</v>
      </c>
      <c r="BA12" s="24">
        <v>1.18</v>
      </c>
      <c r="BB12" s="24">
        <v>12.25</v>
      </c>
      <c r="BC12" s="24">
        <v>1.93</v>
      </c>
      <c r="BD12" s="93">
        <f t="shared" si="2"/>
        <v>22.13</v>
      </c>
      <c r="BE12" s="35">
        <f t="shared" si="3"/>
        <v>1.1065</v>
      </c>
      <c r="BF12" s="29">
        <f t="shared" si="4"/>
        <v>7.7219999999999995</v>
      </c>
      <c r="BG12" s="35">
        <f t="shared" si="5"/>
        <v>0.14329189329189332</v>
      </c>
      <c r="BH12" s="20">
        <f t="shared" si="6"/>
        <v>491.06131831131842</v>
      </c>
      <c r="BI12" s="38">
        <f t="shared" si="7"/>
        <v>982.12263662263683</v>
      </c>
      <c r="BJ12" s="35">
        <f t="shared" si="8"/>
        <v>0.30591956619972888</v>
      </c>
      <c r="BK12" s="35">
        <f t="shared" si="9"/>
        <v>5.3321283325802077E-2</v>
      </c>
      <c r="BL12" s="35">
        <f t="shared" si="10"/>
        <v>0.55354722096701314</v>
      </c>
      <c r="BM12" s="35">
        <f t="shared" si="13"/>
        <v>8.7211929507455946E-2</v>
      </c>
      <c r="BN12" s="20">
        <f t="shared" si="11"/>
        <v>300.450530950531</v>
      </c>
      <c r="BO12" s="20">
        <f t="shared" si="14"/>
        <v>52.368039368039376</v>
      </c>
      <c r="BP12" s="20">
        <f t="shared" si="15"/>
        <v>543.65125615125635</v>
      </c>
      <c r="BQ12" s="20">
        <f t="shared" si="12"/>
        <v>85.652810152810176</v>
      </c>
      <c r="BR12" s="25">
        <v>11.775</v>
      </c>
      <c r="BS12" s="25">
        <v>18.625</v>
      </c>
      <c r="BT12" s="25">
        <v>31.9</v>
      </c>
      <c r="BU12" s="25">
        <v>51.566666666666663</v>
      </c>
      <c r="BV12" s="25">
        <v>51.566666666666663</v>
      </c>
      <c r="BX12" s="36"/>
      <c r="BY12" s="36">
        <v>-24.48</v>
      </c>
      <c r="BZ12" s="36">
        <v>3.3917999999999999</v>
      </c>
      <c r="CA12" s="36">
        <v>-0.48</v>
      </c>
      <c r="CB12" s="28">
        <v>-24.53</v>
      </c>
      <c r="CC12" s="36">
        <v>2.6183000000000001</v>
      </c>
      <c r="CD12" s="36">
        <v>3.31</v>
      </c>
      <c r="CE12">
        <v>-26.05</v>
      </c>
      <c r="CF12" s="28">
        <v>2.7709999999999999</v>
      </c>
      <c r="CG12" s="28">
        <v>8.48</v>
      </c>
      <c r="CH12">
        <v>-24.37</v>
      </c>
      <c r="CI12" s="28">
        <v>3.2982999999999998</v>
      </c>
      <c r="CJ12" s="28">
        <v>13.14</v>
      </c>
    </row>
    <row r="13" spans="1:143" x14ac:dyDescent="0.25">
      <c r="A13" s="5" t="s">
        <v>34</v>
      </c>
      <c r="D13" s="5" t="s">
        <v>38</v>
      </c>
      <c r="E13" s="5">
        <v>1999</v>
      </c>
      <c r="F13" s="5">
        <v>3</v>
      </c>
      <c r="G13" s="5">
        <v>1</v>
      </c>
      <c r="H13" s="5">
        <v>12</v>
      </c>
      <c r="I13" s="5">
        <v>112</v>
      </c>
      <c r="R13" s="91">
        <v>0.98081318562260256</v>
      </c>
      <c r="S13" s="5">
        <v>0.99033639052072087</v>
      </c>
      <c r="T13" s="5">
        <v>0.98480746746664505</v>
      </c>
      <c r="U13" s="5">
        <v>0.90277613535531731</v>
      </c>
      <c r="AQ13" s="5">
        <v>0.5</v>
      </c>
      <c r="AR13" s="5">
        <v>2948</v>
      </c>
      <c r="AS13" s="20">
        <f t="shared" si="0"/>
        <v>5896</v>
      </c>
      <c r="AT13" s="5">
        <v>209.1</v>
      </c>
      <c r="AU13" s="5">
        <v>30</v>
      </c>
      <c r="AV13" s="35">
        <f t="shared" si="1"/>
        <v>6.97</v>
      </c>
      <c r="AW13" s="32">
        <v>209.1</v>
      </c>
      <c r="AY13" s="32">
        <v>20</v>
      </c>
      <c r="AZ13" s="24">
        <v>8.6199999999999992</v>
      </c>
      <c r="BA13" s="24">
        <v>1.77</v>
      </c>
      <c r="BB13" s="24">
        <v>11.38</v>
      </c>
      <c r="BC13" s="24">
        <v>1.06</v>
      </c>
      <c r="BD13" s="93">
        <f t="shared" si="2"/>
        <v>22.83</v>
      </c>
      <c r="BE13" s="35">
        <f t="shared" si="3"/>
        <v>1.1415</v>
      </c>
      <c r="BF13" s="29">
        <f t="shared" si="4"/>
        <v>6.97</v>
      </c>
      <c r="BG13" s="35">
        <f t="shared" si="5"/>
        <v>0.16377331420373029</v>
      </c>
      <c r="BH13" s="20">
        <f t="shared" si="6"/>
        <v>482.80373027259691</v>
      </c>
      <c r="BI13" s="38">
        <f t="shared" si="7"/>
        <v>965.60746054519382</v>
      </c>
      <c r="BJ13" s="35">
        <f t="shared" si="8"/>
        <v>0.37757336837494526</v>
      </c>
      <c r="BK13" s="35">
        <f t="shared" si="9"/>
        <v>7.7529566360052565E-2</v>
      </c>
      <c r="BL13" s="35">
        <f t="shared" si="10"/>
        <v>0.49846692947875609</v>
      </c>
      <c r="BM13" s="35">
        <f t="shared" si="13"/>
        <v>4.643013578624617E-2</v>
      </c>
      <c r="BN13" s="20">
        <f t="shared" si="11"/>
        <v>364.58766140602592</v>
      </c>
      <c r="BO13" s="20">
        <f t="shared" si="14"/>
        <v>74.863127690100441</v>
      </c>
      <c r="BP13" s="20">
        <f t="shared" si="15"/>
        <v>481.32338593974191</v>
      </c>
      <c r="BQ13" s="20">
        <f t="shared" si="12"/>
        <v>44.833285509325691</v>
      </c>
      <c r="BR13" s="25">
        <v>4.55</v>
      </c>
      <c r="BS13" s="25">
        <v>10.6</v>
      </c>
      <c r="BT13" s="25">
        <v>28.6</v>
      </c>
      <c r="BU13" s="25">
        <v>47.6</v>
      </c>
      <c r="BV13" s="25">
        <v>47.6</v>
      </c>
      <c r="BX13" s="36"/>
      <c r="BY13" s="36">
        <v>-24.47</v>
      </c>
      <c r="BZ13" s="36">
        <v>2.2864</v>
      </c>
      <c r="CA13" s="36">
        <v>7.02</v>
      </c>
      <c r="CB13" s="28">
        <v>-24.84</v>
      </c>
      <c r="CC13" s="36">
        <v>1.9326000000000001</v>
      </c>
      <c r="CD13" s="36">
        <v>2.82</v>
      </c>
      <c r="CE13">
        <v>-25.69</v>
      </c>
      <c r="CF13" s="28">
        <v>2.5594000000000001</v>
      </c>
      <c r="CG13" s="28">
        <v>6.7</v>
      </c>
      <c r="CH13">
        <v>-23.19</v>
      </c>
      <c r="CI13" s="28">
        <v>3.5019999999999998</v>
      </c>
      <c r="CJ13" s="28">
        <v>17.940000000000001</v>
      </c>
    </row>
    <row r="14" spans="1:143" x14ac:dyDescent="0.25">
      <c r="A14" s="5" t="s">
        <v>24</v>
      </c>
      <c r="D14" s="5" t="s">
        <v>32</v>
      </c>
      <c r="E14" s="5">
        <v>2018</v>
      </c>
      <c r="F14" s="5">
        <v>4</v>
      </c>
      <c r="G14" s="5">
        <v>1</v>
      </c>
      <c r="H14" s="5">
        <v>13</v>
      </c>
      <c r="I14" s="5">
        <v>113</v>
      </c>
      <c r="R14" s="91">
        <v>0.99703509499545762</v>
      </c>
      <c r="S14" s="5">
        <v>0.99850396966465216</v>
      </c>
      <c r="T14" s="5">
        <v>0.9942774006529832</v>
      </c>
      <c r="U14" s="5">
        <v>0.93823920789826831</v>
      </c>
      <c r="AQ14" s="32">
        <v>0.5</v>
      </c>
      <c r="AR14" s="5">
        <v>2814</v>
      </c>
      <c r="AS14" s="20">
        <f t="shared" si="0"/>
        <v>5628</v>
      </c>
      <c r="AT14" s="5">
        <v>274.60000000000002</v>
      </c>
      <c r="AU14" s="32">
        <v>30</v>
      </c>
      <c r="AV14" s="35">
        <f t="shared" si="1"/>
        <v>9.1533333333333342</v>
      </c>
      <c r="AW14" s="32">
        <v>274.60000000000002</v>
      </c>
      <c r="AY14" s="32">
        <v>20</v>
      </c>
      <c r="AZ14" s="24">
        <v>12.71</v>
      </c>
      <c r="BA14" s="24">
        <v>4.7699999999999996</v>
      </c>
      <c r="BB14" s="24">
        <v>19.03</v>
      </c>
      <c r="BC14" s="24">
        <v>1.04</v>
      </c>
      <c r="BD14" s="93">
        <f t="shared" si="2"/>
        <v>37.550000000000004</v>
      </c>
      <c r="BE14" s="35">
        <f t="shared" si="3"/>
        <v>1.8775000000000002</v>
      </c>
      <c r="BF14" s="29">
        <f t="shared" si="4"/>
        <v>9.1533333333333342</v>
      </c>
      <c r="BG14" s="35">
        <f t="shared" si="5"/>
        <v>0.20511653313911143</v>
      </c>
      <c r="BH14" s="20">
        <f t="shared" si="6"/>
        <v>577.19792425345963</v>
      </c>
      <c r="BI14" s="38">
        <f t="shared" si="7"/>
        <v>1154.3958485069193</v>
      </c>
      <c r="BJ14" s="35">
        <f t="shared" si="8"/>
        <v>0.33848202396804261</v>
      </c>
      <c r="BK14" s="35">
        <f t="shared" si="9"/>
        <v>0.12703062583222369</v>
      </c>
      <c r="BL14" s="35">
        <f t="shared" si="10"/>
        <v>0.50679094540612513</v>
      </c>
      <c r="BM14" s="35">
        <f t="shared" si="13"/>
        <v>2.769640479360852E-2</v>
      </c>
      <c r="BN14" s="20">
        <f t="shared" si="11"/>
        <v>390.74224326292796</v>
      </c>
      <c r="BO14" s="20">
        <f t="shared" si="14"/>
        <v>146.64362709395485</v>
      </c>
      <c r="BP14" s="20">
        <f t="shared" si="15"/>
        <v>585.03736343772766</v>
      </c>
      <c r="BQ14" s="20">
        <f t="shared" si="12"/>
        <v>31.972614712308815</v>
      </c>
      <c r="BR14" s="25">
        <v>6.125</v>
      </c>
      <c r="BS14" s="25">
        <v>26.975000000000001</v>
      </c>
      <c r="BT14" s="25">
        <v>32.475000000000001</v>
      </c>
      <c r="BU14" s="25">
        <v>54.25</v>
      </c>
      <c r="BV14" s="25">
        <v>54.25</v>
      </c>
      <c r="BX14" s="36"/>
      <c r="BY14" s="36">
        <v>-24.05</v>
      </c>
      <c r="BZ14" s="36">
        <v>2.7311999999999999</v>
      </c>
      <c r="CA14" s="36">
        <v>2.17</v>
      </c>
      <c r="CB14" s="28">
        <v>-24.31</v>
      </c>
      <c r="CC14" s="36">
        <v>1.9426000000000001</v>
      </c>
      <c r="CD14" s="36">
        <v>4.9800000000000004</v>
      </c>
      <c r="CE14">
        <v>-25.54</v>
      </c>
      <c r="CF14" s="28">
        <v>2.2400000000000002</v>
      </c>
      <c r="CG14" s="28">
        <v>16.14</v>
      </c>
      <c r="CH14">
        <v>-23.06</v>
      </c>
      <c r="CI14" s="28">
        <v>3.6543999999999999</v>
      </c>
      <c r="CJ14" s="28">
        <v>23.68</v>
      </c>
    </row>
    <row r="15" spans="1:143" x14ac:dyDescent="0.25">
      <c r="A15" s="5" t="s">
        <v>24</v>
      </c>
      <c r="D15" s="5" t="s">
        <v>27</v>
      </c>
      <c r="E15" s="5">
        <v>1985</v>
      </c>
      <c r="F15" s="5">
        <v>4</v>
      </c>
      <c r="G15" s="5">
        <v>1</v>
      </c>
      <c r="H15" s="5">
        <v>14</v>
      </c>
      <c r="I15" s="5">
        <v>114</v>
      </c>
      <c r="R15" s="91">
        <v>0.99825663517622409</v>
      </c>
      <c r="S15" s="5">
        <v>0.99848053544657256</v>
      </c>
      <c r="T15" s="5">
        <v>0.99621845116475705</v>
      </c>
      <c r="U15" s="5">
        <v>0.91603374272667437</v>
      </c>
      <c r="AQ15" s="5">
        <v>0.5</v>
      </c>
      <c r="AR15" s="5">
        <v>2913</v>
      </c>
      <c r="AS15" s="20">
        <f t="shared" si="0"/>
        <v>5826</v>
      </c>
      <c r="AT15" s="5">
        <v>212.9</v>
      </c>
      <c r="AU15" s="5">
        <v>30</v>
      </c>
      <c r="AV15" s="35">
        <f t="shared" si="1"/>
        <v>7.0966666666666667</v>
      </c>
      <c r="AW15" s="32">
        <v>212.9</v>
      </c>
      <c r="AY15" s="32">
        <v>20</v>
      </c>
      <c r="AZ15" s="24">
        <v>7.67</v>
      </c>
      <c r="BA15" s="24">
        <v>4.0999999999999996</v>
      </c>
      <c r="BB15" s="24">
        <v>17.22</v>
      </c>
      <c r="BC15" s="24">
        <v>1.59</v>
      </c>
      <c r="BD15" s="93">
        <f t="shared" si="2"/>
        <v>30.58</v>
      </c>
      <c r="BE15" s="35">
        <f t="shared" si="3"/>
        <v>1.5289999999999999</v>
      </c>
      <c r="BF15" s="29">
        <f t="shared" si="4"/>
        <v>7.0966666666666667</v>
      </c>
      <c r="BG15" s="35">
        <f t="shared" si="5"/>
        <v>0.21545326444340065</v>
      </c>
      <c r="BH15" s="20">
        <f t="shared" si="6"/>
        <v>627.61535932362608</v>
      </c>
      <c r="BI15" s="38">
        <f t="shared" si="7"/>
        <v>1255.2307186472522</v>
      </c>
      <c r="BJ15" s="35">
        <f t="shared" si="8"/>
        <v>0.25081752779594507</v>
      </c>
      <c r="BK15" s="35">
        <f t="shared" si="9"/>
        <v>0.13407455853499017</v>
      </c>
      <c r="BL15" s="35">
        <f t="shared" si="10"/>
        <v>0.56311314584695882</v>
      </c>
      <c r="BM15" s="35">
        <f t="shared" si="13"/>
        <v>5.1994767822105957E-2</v>
      </c>
      <c r="BN15" s="20">
        <f t="shared" si="11"/>
        <v>314.83386566463128</v>
      </c>
      <c r="BO15" s="20">
        <f t="shared" si="14"/>
        <v>168.2945044621888</v>
      </c>
      <c r="BP15" s="20">
        <f t="shared" si="15"/>
        <v>706.83691874119302</v>
      </c>
      <c r="BQ15" s="20">
        <f t="shared" si="12"/>
        <v>65.265429779239085</v>
      </c>
      <c r="BR15" s="25">
        <v>2.95</v>
      </c>
      <c r="BS15" s="25">
        <v>11.866666666666667</v>
      </c>
      <c r="BT15" s="25">
        <v>25.95</v>
      </c>
      <c r="BU15" s="25">
        <v>46.599999999999994</v>
      </c>
      <c r="BV15" s="25">
        <v>46.599999999999994</v>
      </c>
      <c r="BX15" s="36"/>
      <c r="BY15" s="36">
        <v>-24.61</v>
      </c>
      <c r="BZ15" s="36">
        <v>1.7081</v>
      </c>
      <c r="CA15" s="36">
        <v>5.2</v>
      </c>
      <c r="CB15" s="28">
        <v>-24.12</v>
      </c>
      <c r="CC15" s="36">
        <v>1.9517</v>
      </c>
      <c r="CD15" s="36">
        <v>3.01</v>
      </c>
      <c r="CE15">
        <v>-25.86</v>
      </c>
      <c r="CF15" s="28">
        <v>2.3380999999999998</v>
      </c>
      <c r="CG15" s="28">
        <v>14.19</v>
      </c>
      <c r="CH15">
        <v>-23.63</v>
      </c>
      <c r="CI15" s="28">
        <v>3.7951999999999999</v>
      </c>
      <c r="CJ15" s="28">
        <v>17.760000000000002</v>
      </c>
    </row>
    <row r="16" spans="1:143" x14ac:dyDescent="0.25">
      <c r="A16" s="5" t="s">
        <v>34</v>
      </c>
      <c r="D16" s="5" t="s">
        <v>36</v>
      </c>
      <c r="E16" s="5">
        <v>1984</v>
      </c>
      <c r="F16" s="5">
        <v>4</v>
      </c>
      <c r="G16" s="5">
        <v>1</v>
      </c>
      <c r="H16" s="5">
        <v>15</v>
      </c>
      <c r="I16" s="5">
        <v>115</v>
      </c>
      <c r="R16" s="91">
        <v>0.9893932007147983</v>
      </c>
      <c r="S16" s="5">
        <v>0.99269245846026877</v>
      </c>
      <c r="T16" s="5">
        <v>0.97543638275499467</v>
      </c>
      <c r="U16" s="5">
        <v>0.8450582914836583</v>
      </c>
      <c r="AQ16" s="32">
        <v>0.5</v>
      </c>
      <c r="AR16" s="5">
        <v>2756</v>
      </c>
      <c r="AS16" s="20">
        <f t="shared" si="0"/>
        <v>5512</v>
      </c>
      <c r="AT16" s="5">
        <v>219.9</v>
      </c>
      <c r="AU16" s="32">
        <v>30</v>
      </c>
      <c r="AV16" s="35">
        <f t="shared" si="1"/>
        <v>7.33</v>
      </c>
      <c r="AW16" s="32">
        <v>219.9</v>
      </c>
      <c r="AY16" s="32">
        <v>20</v>
      </c>
      <c r="AZ16" s="24">
        <v>11.9</v>
      </c>
      <c r="BA16" s="24">
        <v>0.5</v>
      </c>
      <c r="BB16" s="24">
        <v>15</v>
      </c>
      <c r="BC16" s="24">
        <v>1.41</v>
      </c>
      <c r="BD16" s="93">
        <f t="shared" si="2"/>
        <v>28.81</v>
      </c>
      <c r="BE16" s="35">
        <f t="shared" si="3"/>
        <v>1.4404999999999999</v>
      </c>
      <c r="BF16" s="29">
        <f t="shared" si="4"/>
        <v>7.33</v>
      </c>
      <c r="BG16" s="35">
        <f t="shared" si="5"/>
        <v>0.19652114597544337</v>
      </c>
      <c r="BH16" s="20">
        <f t="shared" si="6"/>
        <v>541.61227830832195</v>
      </c>
      <c r="BI16" s="38">
        <f t="shared" si="7"/>
        <v>1083.2245566166439</v>
      </c>
      <c r="BJ16" s="35">
        <f t="shared" si="8"/>
        <v>0.41305102395001736</v>
      </c>
      <c r="BK16" s="35">
        <f t="shared" si="9"/>
        <v>1.7355085039916698E-2</v>
      </c>
      <c r="BL16" s="35">
        <f t="shared" si="10"/>
        <v>0.52065255119750087</v>
      </c>
      <c r="BM16" s="35">
        <f t="shared" si="13"/>
        <v>4.8941339812565078E-2</v>
      </c>
      <c r="BN16" s="20">
        <f t="shared" si="11"/>
        <v>447.42701227830833</v>
      </c>
      <c r="BO16" s="20">
        <f t="shared" si="14"/>
        <v>18.799454297407916</v>
      </c>
      <c r="BP16" s="20">
        <f t="shared" si="15"/>
        <v>563.98362892223736</v>
      </c>
      <c r="BQ16" s="20">
        <f t="shared" si="12"/>
        <v>53.014461118690306</v>
      </c>
      <c r="BR16" s="25">
        <v>10.324999999999999</v>
      </c>
      <c r="BS16" s="25">
        <v>17.625</v>
      </c>
      <c r="BT16" s="25">
        <v>42.5</v>
      </c>
      <c r="BU16" s="25">
        <v>50.099999999999994</v>
      </c>
      <c r="BV16" s="25">
        <v>50.099999999999994</v>
      </c>
      <c r="BX16" s="36"/>
      <c r="BY16" s="36">
        <v>-24.35</v>
      </c>
      <c r="BZ16" s="36">
        <v>3.3163999999999998</v>
      </c>
      <c r="CA16" s="36">
        <v>3.23</v>
      </c>
      <c r="CB16" s="28">
        <v>-24.66</v>
      </c>
      <c r="CC16" s="36">
        <v>2.6070000000000002</v>
      </c>
      <c r="CD16" s="36">
        <v>1.17</v>
      </c>
      <c r="CE16">
        <v>-26.04</v>
      </c>
      <c r="CF16" s="28">
        <v>2.0615999999999999</v>
      </c>
      <c r="CG16" s="28">
        <v>13.2</v>
      </c>
      <c r="CH16">
        <v>-23.28</v>
      </c>
      <c r="CI16" s="28">
        <v>3.4456000000000002</v>
      </c>
      <c r="CJ16" s="28">
        <v>22.64</v>
      </c>
    </row>
    <row r="17" spans="1:88" x14ac:dyDescent="0.25">
      <c r="A17" s="5" t="s">
        <v>34</v>
      </c>
      <c r="D17" s="5" t="s">
        <v>43</v>
      </c>
      <c r="E17" s="5">
        <v>2020</v>
      </c>
      <c r="F17" s="5">
        <v>4</v>
      </c>
      <c r="G17" s="5">
        <v>1</v>
      </c>
      <c r="H17" s="5">
        <v>16</v>
      </c>
      <c r="I17" s="5">
        <v>116</v>
      </c>
      <c r="R17" s="91">
        <v>0.99151575608757925</v>
      </c>
      <c r="S17" s="5">
        <v>0.99131062587669039</v>
      </c>
      <c r="T17" s="5">
        <v>0.97122979332924075</v>
      </c>
      <c r="U17" s="5">
        <v>0.89106867397955869</v>
      </c>
      <c r="AQ17" s="5">
        <v>0.5</v>
      </c>
      <c r="AR17" s="5">
        <v>2901</v>
      </c>
      <c r="AS17" s="20">
        <f t="shared" si="0"/>
        <v>5802</v>
      </c>
      <c r="AT17" s="5">
        <v>234.2</v>
      </c>
      <c r="AU17" s="5">
        <v>30</v>
      </c>
      <c r="AV17" s="35">
        <f t="shared" si="1"/>
        <v>7.8066666666666666</v>
      </c>
      <c r="AW17" s="32">
        <v>234.2</v>
      </c>
      <c r="AY17" s="32">
        <v>20</v>
      </c>
      <c r="AZ17" s="24">
        <v>8.4</v>
      </c>
      <c r="BA17" s="24">
        <v>1.06</v>
      </c>
      <c r="BB17" s="24">
        <v>17.3</v>
      </c>
      <c r="BC17" s="24">
        <v>2.17</v>
      </c>
      <c r="BD17" s="93">
        <f t="shared" si="2"/>
        <v>28.93</v>
      </c>
      <c r="BE17" s="35">
        <f t="shared" si="3"/>
        <v>1.4464999999999999</v>
      </c>
      <c r="BF17" s="29">
        <f t="shared" si="4"/>
        <v>7.8066666666666666</v>
      </c>
      <c r="BG17" s="35">
        <f t="shared" si="5"/>
        <v>0.18529035012809564</v>
      </c>
      <c r="BH17" s="20">
        <f t="shared" si="6"/>
        <v>537.52730572160544</v>
      </c>
      <c r="BI17" s="38">
        <f t="shared" si="7"/>
        <v>1075.0546114432109</v>
      </c>
      <c r="BJ17" s="35">
        <f t="shared" si="8"/>
        <v>0.29035603180089875</v>
      </c>
      <c r="BK17" s="35">
        <f t="shared" si="9"/>
        <v>3.6640165917732462E-2</v>
      </c>
      <c r="BL17" s="35">
        <f t="shared" si="10"/>
        <v>0.59799516073280334</v>
      </c>
      <c r="BM17" s="35">
        <f t="shared" si="13"/>
        <v>7.5008641548565499E-2</v>
      </c>
      <c r="BN17" s="20">
        <f t="shared" si="11"/>
        <v>312.14859094790779</v>
      </c>
      <c r="BO17" s="20">
        <f t="shared" si="14"/>
        <v>39.390179333902651</v>
      </c>
      <c r="BP17" s="20">
        <f t="shared" si="15"/>
        <v>642.87745516652433</v>
      </c>
      <c r="BQ17" s="20">
        <f t="shared" si="12"/>
        <v>80.638385994876174</v>
      </c>
      <c r="BR17" s="25">
        <v>13.25</v>
      </c>
      <c r="BS17" s="25">
        <v>18.774999999999999</v>
      </c>
      <c r="BT17" s="25">
        <v>52.025000000000006</v>
      </c>
      <c r="BU17" s="25">
        <v>51.275000000000006</v>
      </c>
      <c r="BV17" s="25">
        <v>51.275000000000006</v>
      </c>
      <c r="BX17" s="36"/>
      <c r="BY17" s="36">
        <v>-24.44</v>
      </c>
      <c r="BZ17" s="36">
        <v>2.4765999999999999</v>
      </c>
      <c r="CA17" s="36">
        <v>4.74</v>
      </c>
      <c r="CB17" s="28">
        <v>-24.99</v>
      </c>
      <c r="CC17" s="36">
        <v>2.1017999999999999</v>
      </c>
      <c r="CD17" s="36">
        <v>3.28</v>
      </c>
      <c r="CE17">
        <v>-26.42</v>
      </c>
      <c r="CF17" s="28">
        <v>2.2385999999999999</v>
      </c>
      <c r="CG17" s="28">
        <v>10.62</v>
      </c>
      <c r="CH17">
        <v>-23.72</v>
      </c>
      <c r="CI17" s="28">
        <v>3.3717000000000001</v>
      </c>
      <c r="CJ17" s="28">
        <v>16.28</v>
      </c>
    </row>
    <row r="18" spans="1:88" x14ac:dyDescent="0.25">
      <c r="A18" s="5" t="s">
        <v>24</v>
      </c>
      <c r="D18" s="5" t="s">
        <v>313</v>
      </c>
      <c r="E18" s="5">
        <v>2016</v>
      </c>
      <c r="F18" s="5">
        <v>1</v>
      </c>
      <c r="G18" s="5">
        <v>2</v>
      </c>
      <c r="H18" s="5">
        <v>1</v>
      </c>
      <c r="I18" s="5">
        <v>117</v>
      </c>
      <c r="J18" s="61"/>
      <c r="K18" s="61"/>
      <c r="R18" s="91">
        <v>0.99467142297753297</v>
      </c>
      <c r="S18" s="5">
        <v>0.99026962019193343</v>
      </c>
      <c r="T18" s="5">
        <v>0.98668497683554435</v>
      </c>
      <c r="U18" s="5">
        <v>0.86936158050882073</v>
      </c>
      <c r="AQ18" s="32">
        <v>0.5</v>
      </c>
      <c r="AR18" s="5">
        <v>2922</v>
      </c>
      <c r="AS18" s="20">
        <f t="shared" si="0"/>
        <v>5844</v>
      </c>
      <c r="AT18" s="5">
        <v>260.10000000000002</v>
      </c>
      <c r="AU18" s="32">
        <v>30</v>
      </c>
      <c r="AV18" s="35">
        <f t="shared" si="1"/>
        <v>8.67</v>
      </c>
      <c r="AW18" s="32">
        <v>260.10000000000002</v>
      </c>
      <c r="AY18" s="32">
        <v>20</v>
      </c>
      <c r="AZ18" s="24">
        <v>9.09</v>
      </c>
      <c r="BA18" s="24">
        <v>5.94</v>
      </c>
      <c r="BB18" s="24">
        <v>17.97</v>
      </c>
      <c r="BC18" s="24">
        <v>1.75</v>
      </c>
      <c r="BD18" s="93">
        <f t="shared" si="2"/>
        <v>34.75</v>
      </c>
      <c r="BE18" s="35">
        <f t="shared" si="3"/>
        <v>1.7375</v>
      </c>
      <c r="BF18" s="29">
        <f t="shared" si="4"/>
        <v>8.67</v>
      </c>
      <c r="BG18" s="35">
        <f t="shared" si="5"/>
        <v>0.20040369088811996</v>
      </c>
      <c r="BH18" s="20">
        <f t="shared" si="6"/>
        <v>585.57958477508657</v>
      </c>
      <c r="BI18" s="38">
        <f t="shared" si="7"/>
        <v>1171.1591695501731</v>
      </c>
      <c r="BJ18" s="35">
        <f t="shared" si="8"/>
        <v>0.26158273381294966</v>
      </c>
      <c r="BK18" s="35">
        <f t="shared" si="9"/>
        <v>0.17093525179856117</v>
      </c>
      <c r="BL18" s="35">
        <f t="shared" si="10"/>
        <v>0.51712230215827337</v>
      </c>
      <c r="BM18" s="35">
        <f t="shared" si="13"/>
        <v>5.0359712230215826E-2</v>
      </c>
      <c r="BN18" s="20">
        <f t="shared" si="11"/>
        <v>306.35501730103812</v>
      </c>
      <c r="BO18" s="20">
        <f t="shared" si="14"/>
        <v>200.19238754325264</v>
      </c>
      <c r="BP18" s="20">
        <f t="shared" si="15"/>
        <v>605.63252595155711</v>
      </c>
      <c r="BQ18" s="20">
        <f t="shared" si="12"/>
        <v>58.979238754325266</v>
      </c>
      <c r="BR18" s="25">
        <v>14.775</v>
      </c>
      <c r="BS18" s="25">
        <v>14.85</v>
      </c>
      <c r="BT18" s="25">
        <v>38.6</v>
      </c>
      <c r="BU18" s="25">
        <v>45.75</v>
      </c>
      <c r="BV18" s="25">
        <v>45.75</v>
      </c>
      <c r="BX18" s="36"/>
      <c r="BY18" s="36">
        <v>-25.59</v>
      </c>
      <c r="BZ18" s="36">
        <v>2.0840000000000001</v>
      </c>
      <c r="CA18" s="36">
        <v>5.68</v>
      </c>
      <c r="CB18" s="28">
        <v>-25.34</v>
      </c>
      <c r="CC18" s="36">
        <v>1.9407000000000001</v>
      </c>
      <c r="CD18" s="36">
        <v>6.86</v>
      </c>
      <c r="CE18">
        <v>-25.26</v>
      </c>
      <c r="CF18" s="28">
        <v>2.3746</v>
      </c>
      <c r="CG18" s="28">
        <v>9.16</v>
      </c>
      <c r="CH18">
        <v>-23.69</v>
      </c>
      <c r="CI18" s="28">
        <v>3.6602000000000001</v>
      </c>
      <c r="CJ18" s="28">
        <v>18.309999999999999</v>
      </c>
    </row>
    <row r="19" spans="1:88" x14ac:dyDescent="0.25">
      <c r="A19" s="5" t="s">
        <v>24</v>
      </c>
      <c r="D19" s="5" t="s">
        <v>311</v>
      </c>
      <c r="E19" s="5">
        <v>2023</v>
      </c>
      <c r="F19" s="5">
        <v>1</v>
      </c>
      <c r="G19" s="5">
        <v>2</v>
      </c>
      <c r="H19" s="5">
        <v>2</v>
      </c>
      <c r="I19" s="5">
        <v>118</v>
      </c>
      <c r="J19" s="61"/>
      <c r="K19" s="61"/>
      <c r="R19" s="91">
        <v>0.99218832059318662</v>
      </c>
      <c r="S19" s="5">
        <v>0.99265133332928901</v>
      </c>
      <c r="T19" s="5">
        <v>0.98137639957549461</v>
      </c>
      <c r="U19" s="5">
        <v>0.84353914427141785</v>
      </c>
      <c r="AQ19" s="5">
        <v>0.5</v>
      </c>
      <c r="AR19" s="5">
        <v>3162</v>
      </c>
      <c r="AS19" s="20">
        <f t="shared" si="0"/>
        <v>6324</v>
      </c>
      <c r="AT19" s="5">
        <v>280.10000000000002</v>
      </c>
      <c r="AU19" s="5">
        <v>30</v>
      </c>
      <c r="AV19" s="35">
        <f t="shared" si="1"/>
        <v>9.3366666666666678</v>
      </c>
      <c r="AW19" s="32">
        <v>280.10000000000002</v>
      </c>
      <c r="AY19" s="32">
        <v>20</v>
      </c>
      <c r="AZ19" s="24">
        <v>9.91</v>
      </c>
      <c r="BA19" s="24">
        <v>4.1500000000000004</v>
      </c>
      <c r="BB19" s="24">
        <v>24.64</v>
      </c>
      <c r="BC19" s="24">
        <v>2.99</v>
      </c>
      <c r="BD19" s="93">
        <f t="shared" si="2"/>
        <v>41.690000000000005</v>
      </c>
      <c r="BE19" s="35">
        <f t="shared" si="3"/>
        <v>2.0845000000000002</v>
      </c>
      <c r="BF19" s="29">
        <f t="shared" si="4"/>
        <v>9.3366666666666678</v>
      </c>
      <c r="BG19" s="35">
        <f t="shared" si="5"/>
        <v>0.22325955016065691</v>
      </c>
      <c r="BH19" s="20">
        <f t="shared" si="6"/>
        <v>705.94669760799718</v>
      </c>
      <c r="BI19" s="38">
        <f t="shared" si="7"/>
        <v>1411.8933952159944</v>
      </c>
      <c r="BJ19" s="35">
        <f t="shared" si="8"/>
        <v>0.23770688414487884</v>
      </c>
      <c r="BK19" s="35">
        <f t="shared" si="9"/>
        <v>9.9544255217078437E-2</v>
      </c>
      <c r="BL19" s="35">
        <f t="shared" si="10"/>
        <v>0.59102902374670174</v>
      </c>
      <c r="BM19" s="35">
        <f t="shared" si="13"/>
        <v>7.1719836891340843E-2</v>
      </c>
      <c r="BN19" s="20">
        <f t="shared" si="11"/>
        <v>335.61677972152802</v>
      </c>
      <c r="BO19" s="20">
        <f t="shared" si="14"/>
        <v>140.54587647268832</v>
      </c>
      <c r="BP19" s="20">
        <f t="shared" si="15"/>
        <v>834.4699750089253</v>
      </c>
      <c r="BQ19" s="20">
        <f t="shared" si="12"/>
        <v>101.26076401285255</v>
      </c>
      <c r="BR19" s="25">
        <v>4.0250000000000004</v>
      </c>
      <c r="BS19" s="25">
        <v>22.8</v>
      </c>
      <c r="BT19" s="25">
        <v>52.5</v>
      </c>
      <c r="BU19" s="25">
        <v>48.9</v>
      </c>
      <c r="BV19" s="25">
        <v>48.9</v>
      </c>
      <c r="BX19" s="36"/>
      <c r="BY19" s="36">
        <v>-24.39</v>
      </c>
      <c r="BZ19" s="36">
        <v>3.7624</v>
      </c>
      <c r="CA19" s="36">
        <v>7.98</v>
      </c>
      <c r="CB19" s="28">
        <v>-25.05</v>
      </c>
      <c r="CC19" s="36">
        <v>1.9359</v>
      </c>
      <c r="CD19" s="36">
        <v>7.92</v>
      </c>
      <c r="CE19">
        <v>-26.08</v>
      </c>
      <c r="CF19" s="28">
        <v>1.5383</v>
      </c>
      <c r="CG19" s="28">
        <v>16.899999999999999</v>
      </c>
      <c r="CH19">
        <v>-24.11</v>
      </c>
      <c r="CI19" s="28">
        <v>2.1391</v>
      </c>
      <c r="CJ19" s="28">
        <v>21.92</v>
      </c>
    </row>
    <row r="20" spans="1:88" x14ac:dyDescent="0.25">
      <c r="A20" s="5" t="s">
        <v>34</v>
      </c>
      <c r="D20" s="5" t="s">
        <v>318</v>
      </c>
      <c r="E20" s="5">
        <v>2004</v>
      </c>
      <c r="F20" s="5">
        <v>1</v>
      </c>
      <c r="G20" s="5">
        <v>2</v>
      </c>
      <c r="H20" s="5">
        <v>3</v>
      </c>
      <c r="I20" s="5">
        <v>119</v>
      </c>
      <c r="J20" s="61"/>
      <c r="K20" s="61"/>
      <c r="R20" s="91">
        <v>0.99221724360100749</v>
      </c>
      <c r="S20" s="5">
        <v>0.9919756340420548</v>
      </c>
      <c r="T20" s="5">
        <v>0.98520827826126622</v>
      </c>
      <c r="U20" s="5">
        <v>0.88125956627920843</v>
      </c>
      <c r="AQ20" s="32">
        <v>0.5</v>
      </c>
      <c r="AR20" s="5">
        <v>2729</v>
      </c>
      <c r="AS20" s="20">
        <f t="shared" si="0"/>
        <v>5458</v>
      </c>
      <c r="AT20" s="5">
        <v>180.33</v>
      </c>
      <c r="AU20" s="32">
        <v>30</v>
      </c>
      <c r="AV20" s="35">
        <f t="shared" si="1"/>
        <v>6.0110000000000001</v>
      </c>
      <c r="AW20" s="32">
        <v>180.33</v>
      </c>
      <c r="AY20" s="32">
        <v>20</v>
      </c>
      <c r="AZ20" s="24">
        <v>8</v>
      </c>
      <c r="BA20" s="24">
        <v>0.22</v>
      </c>
      <c r="BB20" s="24">
        <v>10.19</v>
      </c>
      <c r="BC20" s="24">
        <v>0.84</v>
      </c>
      <c r="BD20" s="93">
        <f t="shared" si="2"/>
        <v>19.25</v>
      </c>
      <c r="BE20" s="35">
        <f t="shared" si="3"/>
        <v>0.96250000000000002</v>
      </c>
      <c r="BF20" s="29">
        <f t="shared" si="4"/>
        <v>6.0110000000000001</v>
      </c>
      <c r="BG20" s="35">
        <f t="shared" si="5"/>
        <v>0.16012310763600066</v>
      </c>
      <c r="BH20" s="20">
        <f t="shared" si="6"/>
        <v>436.97596073864577</v>
      </c>
      <c r="BI20" s="38">
        <f t="shared" si="7"/>
        <v>873.95192147729153</v>
      </c>
      <c r="BJ20" s="35">
        <f t="shared" si="8"/>
        <v>0.41558441558441561</v>
      </c>
      <c r="BK20" s="35">
        <f t="shared" si="9"/>
        <v>1.1428571428571429E-2</v>
      </c>
      <c r="BL20" s="35">
        <f t="shared" si="10"/>
        <v>0.52935064935064935</v>
      </c>
      <c r="BM20" s="35">
        <f t="shared" si="13"/>
        <v>4.3636363636363633E-2</v>
      </c>
      <c r="BN20" s="20">
        <f t="shared" si="11"/>
        <v>363.20079853601726</v>
      </c>
      <c r="BO20" s="20">
        <f t="shared" si="14"/>
        <v>9.9880219597404754</v>
      </c>
      <c r="BP20" s="20">
        <f t="shared" si="15"/>
        <v>462.627017135252</v>
      </c>
      <c r="BQ20" s="20">
        <f t="shared" si="12"/>
        <v>38.136083846281807</v>
      </c>
      <c r="BR20" s="25">
        <v>5.2</v>
      </c>
      <c r="BS20" s="25">
        <v>31</v>
      </c>
      <c r="BT20" s="25">
        <v>48.099999999999994</v>
      </c>
      <c r="BU20" s="25">
        <v>47.025000000000006</v>
      </c>
      <c r="BV20" s="25">
        <v>47.025000000000006</v>
      </c>
      <c r="BX20" s="36"/>
      <c r="BY20" s="36">
        <v>-25.06</v>
      </c>
      <c r="BZ20" s="36">
        <v>3.9906000000000001</v>
      </c>
      <c r="CA20" s="36">
        <v>6</v>
      </c>
      <c r="CB20" s="28">
        <v>-25.12</v>
      </c>
      <c r="CC20" s="36">
        <v>2.1349</v>
      </c>
      <c r="CD20" s="36">
        <v>8.42</v>
      </c>
      <c r="CE20">
        <v>-26.48</v>
      </c>
      <c r="CF20" s="28">
        <v>1.8642000000000001</v>
      </c>
      <c r="CG20" s="28">
        <v>8.42</v>
      </c>
      <c r="CH20">
        <v>-23.61</v>
      </c>
      <c r="CI20" s="28">
        <v>3.3628</v>
      </c>
      <c r="CJ20" s="28">
        <v>20.97</v>
      </c>
    </row>
    <row r="21" spans="1:88" x14ac:dyDescent="0.25">
      <c r="A21" s="5" t="s">
        <v>34</v>
      </c>
      <c r="D21" s="5" t="s">
        <v>42</v>
      </c>
      <c r="E21" s="5">
        <v>2016</v>
      </c>
      <c r="F21" s="5">
        <v>1</v>
      </c>
      <c r="G21" s="5">
        <v>2</v>
      </c>
      <c r="H21" s="5">
        <v>4</v>
      </c>
      <c r="I21" s="5">
        <v>120</v>
      </c>
      <c r="J21" s="61"/>
      <c r="K21" s="61"/>
      <c r="R21" s="91">
        <v>0.98995299621422428</v>
      </c>
      <c r="S21" s="5">
        <v>0.99374065887706298</v>
      </c>
      <c r="T21" s="5">
        <v>0.98877560597207192</v>
      </c>
      <c r="U21" s="5">
        <v>0.84178954877306544</v>
      </c>
      <c r="AQ21" s="5">
        <v>0.5</v>
      </c>
      <c r="AR21" s="5">
        <v>2996</v>
      </c>
      <c r="AS21" s="20">
        <f t="shared" si="0"/>
        <v>5992</v>
      </c>
      <c r="AT21" s="5">
        <v>258.19</v>
      </c>
      <c r="AU21" s="5">
        <v>30</v>
      </c>
      <c r="AV21" s="35">
        <f t="shared" si="1"/>
        <v>8.6063333333333336</v>
      </c>
      <c r="AW21" s="32">
        <v>258.19</v>
      </c>
      <c r="AY21" s="32">
        <v>20</v>
      </c>
      <c r="AZ21" s="24">
        <v>7.37</v>
      </c>
      <c r="BA21" s="24">
        <v>0.92</v>
      </c>
      <c r="BB21" s="24">
        <v>14.79</v>
      </c>
      <c r="BC21" s="24">
        <v>2.41</v>
      </c>
      <c r="BD21" s="93">
        <f t="shared" si="2"/>
        <v>25.49</v>
      </c>
      <c r="BE21" s="35">
        <f t="shared" si="3"/>
        <v>1.2745</v>
      </c>
      <c r="BF21" s="29">
        <f t="shared" si="4"/>
        <v>8.6063333333333336</v>
      </c>
      <c r="BG21" s="35">
        <f t="shared" si="5"/>
        <v>0.1480886169100275</v>
      </c>
      <c r="BH21" s="20">
        <f t="shared" si="6"/>
        <v>443.67349626244243</v>
      </c>
      <c r="BI21" s="38">
        <f t="shared" si="7"/>
        <v>887.34699252488485</v>
      </c>
      <c r="BJ21" s="35">
        <f t="shared" si="8"/>
        <v>0.28913299333071796</v>
      </c>
      <c r="BK21" s="35">
        <f t="shared" si="9"/>
        <v>3.6092585327579446E-2</v>
      </c>
      <c r="BL21" s="35">
        <f t="shared" si="10"/>
        <v>0.58022754021184775</v>
      </c>
      <c r="BM21" s="35">
        <f t="shared" si="13"/>
        <v>9.4546881129854862E-2</v>
      </c>
      <c r="BN21" s="20">
        <f t="shared" si="11"/>
        <v>256.56129207173018</v>
      </c>
      <c r="BO21" s="20">
        <f t="shared" si="14"/>
        <v>32.02664704287541</v>
      </c>
      <c r="BP21" s="20">
        <f t="shared" si="15"/>
        <v>514.86316278709478</v>
      </c>
      <c r="BQ21" s="20">
        <f t="shared" si="12"/>
        <v>83.895890623184499</v>
      </c>
      <c r="BR21" s="25">
        <v>24.625</v>
      </c>
      <c r="BS21" s="25">
        <v>25.25</v>
      </c>
      <c r="BT21" s="25">
        <v>49.775000000000006</v>
      </c>
      <c r="BU21" s="25">
        <v>57.625</v>
      </c>
      <c r="BV21" s="25">
        <v>57.625</v>
      </c>
      <c r="BX21" s="36"/>
      <c r="BY21" s="36">
        <v>-24.87</v>
      </c>
      <c r="BZ21" s="36">
        <v>2.4512999999999998</v>
      </c>
      <c r="CA21" s="36">
        <v>6.62</v>
      </c>
      <c r="CB21" s="28">
        <v>-24.81</v>
      </c>
      <c r="CC21" s="36">
        <v>2.6177000000000001</v>
      </c>
      <c r="CD21" s="36">
        <v>4.93</v>
      </c>
      <c r="CE21">
        <v>-25.54</v>
      </c>
      <c r="CF21" s="28">
        <v>3.0192999999999999</v>
      </c>
      <c r="CG21" s="28">
        <v>10.1</v>
      </c>
      <c r="CH21">
        <v>-24.26</v>
      </c>
      <c r="CI21" s="28">
        <v>3.4538000000000002</v>
      </c>
      <c r="CJ21" s="28">
        <v>14.28</v>
      </c>
    </row>
    <row r="22" spans="1:88" x14ac:dyDescent="0.25">
      <c r="A22" s="5" t="s">
        <v>24</v>
      </c>
      <c r="D22" s="5" t="s">
        <v>27</v>
      </c>
      <c r="E22" s="5">
        <v>1985</v>
      </c>
      <c r="F22" s="5">
        <v>2</v>
      </c>
      <c r="G22" s="5">
        <v>2</v>
      </c>
      <c r="H22" s="5">
        <v>5</v>
      </c>
      <c r="I22" s="5">
        <v>121</v>
      </c>
      <c r="J22" s="61"/>
      <c r="K22" s="61"/>
      <c r="R22" s="91">
        <v>0.99634809281380976</v>
      </c>
      <c r="S22" s="5">
        <v>0.99527483789386928</v>
      </c>
      <c r="T22" s="5">
        <v>0.98994165189323324</v>
      </c>
      <c r="U22" s="5">
        <v>0.91420369794692624</v>
      </c>
      <c r="AQ22" s="32">
        <v>0.5</v>
      </c>
      <c r="AR22" s="5">
        <v>2996</v>
      </c>
      <c r="AS22" s="20">
        <f t="shared" si="0"/>
        <v>5992</v>
      </c>
      <c r="AT22" s="5">
        <v>221.7</v>
      </c>
      <c r="AU22" s="32">
        <v>30</v>
      </c>
      <c r="AV22" s="35">
        <f t="shared" si="1"/>
        <v>7.39</v>
      </c>
      <c r="AW22" s="32">
        <v>221.7</v>
      </c>
      <c r="AY22" s="32">
        <v>20</v>
      </c>
      <c r="AZ22" s="24">
        <v>8.31</v>
      </c>
      <c r="BA22" s="24">
        <v>4.28</v>
      </c>
      <c r="BB22" s="24">
        <v>19.05</v>
      </c>
      <c r="BC22" s="24">
        <v>2.0099999999999998</v>
      </c>
      <c r="BD22" s="93">
        <f t="shared" si="2"/>
        <v>33.65</v>
      </c>
      <c r="BE22" s="35">
        <f t="shared" si="3"/>
        <v>1.6824999999999999</v>
      </c>
      <c r="BF22" s="29">
        <f t="shared" si="4"/>
        <v>7.39</v>
      </c>
      <c r="BG22" s="35">
        <f t="shared" si="5"/>
        <v>0.22767253044654939</v>
      </c>
      <c r="BH22" s="20">
        <f t="shared" si="6"/>
        <v>682.10690121786195</v>
      </c>
      <c r="BI22" s="38">
        <f t="shared" si="7"/>
        <v>1364.2138024357239</v>
      </c>
      <c r="BJ22" s="35">
        <f t="shared" si="8"/>
        <v>0.24695393759286779</v>
      </c>
      <c r="BK22" s="35">
        <f t="shared" si="9"/>
        <v>0.1271916790490342</v>
      </c>
      <c r="BL22" s="35">
        <f t="shared" si="10"/>
        <v>0.56612184249628539</v>
      </c>
      <c r="BM22" s="35">
        <f t="shared" si="13"/>
        <v>5.9732540861812775E-2</v>
      </c>
      <c r="BN22" s="20">
        <f t="shared" si="11"/>
        <v>336.89797023004064</v>
      </c>
      <c r="BO22" s="20">
        <f t="shared" si="14"/>
        <v>173.51664411366713</v>
      </c>
      <c r="BP22" s="20">
        <f t="shared" si="15"/>
        <v>772.31123139377553</v>
      </c>
      <c r="BQ22" s="20">
        <f t="shared" si="12"/>
        <v>81.487956698240851</v>
      </c>
      <c r="BR22" s="25">
        <v>6.3250000000000002</v>
      </c>
      <c r="BS22" s="25">
        <v>15.675000000000001</v>
      </c>
      <c r="BT22" s="25">
        <v>33.799999999999997</v>
      </c>
      <c r="BU22" s="25">
        <v>49.875</v>
      </c>
      <c r="BV22" s="25">
        <v>49.875</v>
      </c>
      <c r="BX22" s="36"/>
      <c r="BY22" s="36">
        <v>-24.32</v>
      </c>
      <c r="BZ22" s="36">
        <v>1.7196</v>
      </c>
      <c r="CA22" s="36">
        <v>6.29</v>
      </c>
      <c r="CB22" s="28">
        <v>-24.83</v>
      </c>
      <c r="CC22" s="36">
        <v>1.7219</v>
      </c>
      <c r="CD22" s="36">
        <v>7.85</v>
      </c>
      <c r="CE22">
        <v>-26.03</v>
      </c>
      <c r="CF22" s="28">
        <v>2.1705000000000001</v>
      </c>
      <c r="CG22" s="28">
        <v>15.13</v>
      </c>
      <c r="CH22">
        <v>-23.9</v>
      </c>
      <c r="CI22" s="28">
        <v>3.5470999999999999</v>
      </c>
      <c r="CJ22" s="28">
        <v>15.25</v>
      </c>
    </row>
    <row r="23" spans="1:88" x14ac:dyDescent="0.25">
      <c r="A23" s="5" t="s">
        <v>24</v>
      </c>
      <c r="D23" s="5" t="s">
        <v>28</v>
      </c>
      <c r="E23" s="5">
        <v>1998</v>
      </c>
      <c r="F23" s="5">
        <v>2</v>
      </c>
      <c r="G23" s="5">
        <v>2</v>
      </c>
      <c r="H23" s="5">
        <v>6</v>
      </c>
      <c r="I23" s="5">
        <v>122</v>
      </c>
      <c r="J23" s="61"/>
      <c r="K23" s="61"/>
      <c r="R23" s="91">
        <v>0.98937918900931443</v>
      </c>
      <c r="S23" s="5">
        <v>0.99299754764931636</v>
      </c>
      <c r="T23" s="5">
        <v>0.94234218459291708</v>
      </c>
      <c r="U23" s="5">
        <v>0.72760406276854372</v>
      </c>
      <c r="AQ23" s="5">
        <v>0.5</v>
      </c>
      <c r="AR23" s="5">
        <v>3100</v>
      </c>
      <c r="AS23" s="20">
        <f t="shared" si="0"/>
        <v>6200</v>
      </c>
      <c r="AT23" s="5">
        <v>242.56</v>
      </c>
      <c r="AU23" s="5">
        <v>30</v>
      </c>
      <c r="AV23" s="35">
        <f t="shared" si="1"/>
        <v>8.0853333333333328</v>
      </c>
      <c r="AW23" s="32">
        <v>242.56</v>
      </c>
      <c r="AY23" s="32">
        <v>20</v>
      </c>
      <c r="AZ23" s="24">
        <v>7.91</v>
      </c>
      <c r="BA23" s="24">
        <v>4.16</v>
      </c>
      <c r="BB23" s="24">
        <v>17.350000000000001</v>
      </c>
      <c r="BC23" s="24">
        <v>1.78</v>
      </c>
      <c r="BD23" s="93">
        <f t="shared" si="2"/>
        <v>31.200000000000003</v>
      </c>
      <c r="BE23" s="35">
        <f t="shared" si="3"/>
        <v>1.56</v>
      </c>
      <c r="BF23" s="29">
        <f t="shared" si="4"/>
        <v>8.0853333333333328</v>
      </c>
      <c r="BG23" s="35">
        <f t="shared" si="5"/>
        <v>0.19294195250659632</v>
      </c>
      <c r="BH23" s="20">
        <f t="shared" si="6"/>
        <v>598.12005277044864</v>
      </c>
      <c r="BI23" s="38">
        <f t="shared" si="7"/>
        <v>1196.2401055408973</v>
      </c>
      <c r="BJ23" s="35">
        <f t="shared" si="8"/>
        <v>0.25352564102564101</v>
      </c>
      <c r="BK23" s="35">
        <f t="shared" si="9"/>
        <v>0.13333333333333333</v>
      </c>
      <c r="BL23" s="35">
        <f t="shared" si="10"/>
        <v>0.55608974358974361</v>
      </c>
      <c r="BM23" s="35">
        <f t="shared" si="13"/>
        <v>5.705128205128205E-2</v>
      </c>
      <c r="BN23" s="20">
        <f t="shared" si="11"/>
        <v>303.27753957783642</v>
      </c>
      <c r="BO23" s="20">
        <f t="shared" si="14"/>
        <v>159.49868073878631</v>
      </c>
      <c r="BP23" s="20">
        <f t="shared" si="15"/>
        <v>665.21685356200544</v>
      </c>
      <c r="BQ23" s="20">
        <f t="shared" si="12"/>
        <v>68.247031662269137</v>
      </c>
      <c r="BR23" s="25">
        <v>6.4</v>
      </c>
      <c r="BS23" s="25">
        <v>21.575000000000003</v>
      </c>
      <c r="BT23" s="25">
        <v>38.875</v>
      </c>
      <c r="BU23" s="25">
        <v>44.699999999999996</v>
      </c>
      <c r="BV23" s="25">
        <v>44.699999999999996</v>
      </c>
      <c r="BX23" s="36"/>
      <c r="BY23" s="36">
        <v>-24.52</v>
      </c>
      <c r="BZ23" s="36">
        <v>1.9378</v>
      </c>
      <c r="CA23" s="36">
        <v>9.1199999999999992</v>
      </c>
      <c r="CB23" s="28">
        <v>-25.07</v>
      </c>
      <c r="CC23" s="36">
        <v>1.7819</v>
      </c>
      <c r="CD23" s="36">
        <v>6.39</v>
      </c>
      <c r="CE23">
        <v>-25.68</v>
      </c>
      <c r="CF23" s="28">
        <v>1.4167000000000001</v>
      </c>
      <c r="CG23" s="28">
        <v>15.6</v>
      </c>
      <c r="CH23">
        <v>-24.03</v>
      </c>
      <c r="CI23" s="28">
        <v>3.3330000000000002</v>
      </c>
      <c r="CJ23" s="28">
        <v>16.25</v>
      </c>
    </row>
    <row r="24" spans="1:88" x14ac:dyDescent="0.25">
      <c r="A24" s="5" t="s">
        <v>34</v>
      </c>
      <c r="D24" s="5" t="s">
        <v>37</v>
      </c>
      <c r="E24" s="5">
        <v>1989</v>
      </c>
      <c r="F24" s="5">
        <v>2</v>
      </c>
      <c r="G24" s="5">
        <v>2</v>
      </c>
      <c r="H24" s="5">
        <v>7</v>
      </c>
      <c r="I24" s="5">
        <v>123</v>
      </c>
      <c r="J24" s="61"/>
      <c r="K24" s="61"/>
      <c r="R24" s="91">
        <v>0.97831494868918523</v>
      </c>
      <c r="S24" s="5">
        <v>0.97195562757073406</v>
      </c>
      <c r="T24" s="5">
        <v>0.94214809506003572</v>
      </c>
      <c r="U24" s="5">
        <v>0.72759566247039753</v>
      </c>
      <c r="AQ24" s="32">
        <v>0.5</v>
      </c>
      <c r="AR24" s="5">
        <v>2400</v>
      </c>
      <c r="AS24" s="20">
        <f t="shared" si="0"/>
        <v>4800</v>
      </c>
      <c r="AT24" s="5">
        <v>221.93</v>
      </c>
      <c r="AU24" s="32">
        <v>30</v>
      </c>
      <c r="AV24" s="35">
        <f t="shared" si="1"/>
        <v>7.3976666666666668</v>
      </c>
      <c r="AW24" s="32">
        <v>221.93</v>
      </c>
      <c r="AY24" s="32">
        <v>20</v>
      </c>
      <c r="AZ24" s="24">
        <v>8.6999999999999993</v>
      </c>
      <c r="BA24" s="24">
        <v>0.2</v>
      </c>
      <c r="BB24" s="24">
        <v>15.79</v>
      </c>
      <c r="BC24" s="24">
        <v>2.36</v>
      </c>
      <c r="BD24" s="93">
        <f t="shared" si="2"/>
        <v>27.049999999999997</v>
      </c>
      <c r="BE24" s="35">
        <f t="shared" si="3"/>
        <v>1.3524999999999998</v>
      </c>
      <c r="BF24" s="29">
        <f t="shared" si="4"/>
        <v>7.3976666666666668</v>
      </c>
      <c r="BG24" s="35">
        <f t="shared" si="5"/>
        <v>0.18282791871310772</v>
      </c>
      <c r="BH24" s="20">
        <f t="shared" si="6"/>
        <v>438.7870049114585</v>
      </c>
      <c r="BI24" s="38">
        <f t="shared" si="7"/>
        <v>877.57400982291699</v>
      </c>
      <c r="BJ24" s="35">
        <f t="shared" si="8"/>
        <v>0.32162661737523107</v>
      </c>
      <c r="BK24" s="35">
        <f t="shared" si="9"/>
        <v>7.3937153419593353E-3</v>
      </c>
      <c r="BL24" s="35">
        <f t="shared" si="10"/>
        <v>0.58373382624768955</v>
      </c>
      <c r="BM24" s="35">
        <f t="shared" si="13"/>
        <v>8.7245841035120147E-2</v>
      </c>
      <c r="BN24" s="20">
        <f t="shared" si="11"/>
        <v>282.25116027576257</v>
      </c>
      <c r="BO24" s="20">
        <f t="shared" si="14"/>
        <v>6.4885324201324739</v>
      </c>
      <c r="BP24" s="20">
        <f t="shared" si="15"/>
        <v>512.26963456945884</v>
      </c>
      <c r="BQ24" s="20">
        <f t="shared" si="12"/>
        <v>76.564682557563188</v>
      </c>
      <c r="BR24" s="25">
        <v>12.45</v>
      </c>
      <c r="BS24" s="25">
        <v>20.999999999999996</v>
      </c>
      <c r="BT24" s="25">
        <v>47.650000000000006</v>
      </c>
      <c r="BU24" s="25">
        <v>50.7</v>
      </c>
      <c r="BV24" s="25">
        <v>50.7</v>
      </c>
      <c r="BX24" s="36"/>
      <c r="BY24" s="36">
        <v>-24.69</v>
      </c>
      <c r="BZ24" s="36">
        <v>2.2343999999999999</v>
      </c>
      <c r="CA24" s="36">
        <v>6.01</v>
      </c>
      <c r="CB24" s="28">
        <v>-25.27</v>
      </c>
      <c r="CC24" s="36">
        <v>2.7427000000000001</v>
      </c>
      <c r="CD24" s="36">
        <v>3.17</v>
      </c>
      <c r="CE24">
        <v>-26.21</v>
      </c>
      <c r="CF24" s="28">
        <v>2.2959000000000001</v>
      </c>
      <c r="CG24" s="28">
        <v>15.52</v>
      </c>
      <c r="CH24">
        <v>-24.56</v>
      </c>
      <c r="CI24" s="28">
        <v>3.0929000000000002</v>
      </c>
      <c r="CJ24" s="28">
        <v>12.75</v>
      </c>
    </row>
    <row r="25" spans="1:88" x14ac:dyDescent="0.25">
      <c r="A25" s="5" t="s">
        <v>34</v>
      </c>
      <c r="D25" s="5" t="s">
        <v>43</v>
      </c>
      <c r="E25" s="5">
        <v>2020</v>
      </c>
      <c r="F25" s="5">
        <v>2</v>
      </c>
      <c r="G25" s="5">
        <v>2</v>
      </c>
      <c r="H25" s="5">
        <v>8</v>
      </c>
      <c r="I25" s="5">
        <v>124</v>
      </c>
      <c r="J25" s="61"/>
      <c r="K25" s="61"/>
      <c r="R25" s="91">
        <v>0.95003057721140716</v>
      </c>
      <c r="S25" s="5">
        <v>0.94952092779292718</v>
      </c>
      <c r="T25" s="5">
        <v>0.91617098443276801</v>
      </c>
      <c r="U25" s="5">
        <v>0.76797676460624054</v>
      </c>
      <c r="AQ25" s="5">
        <v>0.5</v>
      </c>
      <c r="AR25" s="5">
        <v>2493</v>
      </c>
      <c r="AS25" s="20">
        <f t="shared" si="0"/>
        <v>4986</v>
      </c>
      <c r="AT25" s="5">
        <v>255.7</v>
      </c>
      <c r="AU25" s="5">
        <v>30</v>
      </c>
      <c r="AV25" s="35">
        <f t="shared" si="1"/>
        <v>8.5233333333333334</v>
      </c>
      <c r="AW25" s="32">
        <v>255.7</v>
      </c>
      <c r="AY25" s="32">
        <v>20</v>
      </c>
      <c r="AZ25" s="24">
        <v>9.9</v>
      </c>
      <c r="BA25" s="24">
        <v>0.83</v>
      </c>
      <c r="BB25" s="24">
        <v>19.27</v>
      </c>
      <c r="BC25" s="24">
        <v>2.29</v>
      </c>
      <c r="BD25" s="93">
        <f t="shared" si="2"/>
        <v>32.29</v>
      </c>
      <c r="BE25" s="35">
        <f t="shared" si="3"/>
        <v>1.6145</v>
      </c>
      <c r="BF25" s="29">
        <f t="shared" si="4"/>
        <v>8.5233333333333334</v>
      </c>
      <c r="BG25" s="35">
        <f t="shared" si="5"/>
        <v>0.18942119671490026</v>
      </c>
      <c r="BH25" s="20">
        <f t="shared" si="6"/>
        <v>472.22704341024638</v>
      </c>
      <c r="BI25" s="38">
        <f t="shared" si="7"/>
        <v>944.45408682049276</v>
      </c>
      <c r="BJ25" s="35">
        <f t="shared" si="8"/>
        <v>0.30659646949519975</v>
      </c>
      <c r="BK25" s="35">
        <f t="shared" si="9"/>
        <v>2.5704552493031899E-2</v>
      </c>
      <c r="BL25" s="35">
        <f t="shared" si="10"/>
        <v>0.59677918860328272</v>
      </c>
      <c r="BM25" s="35">
        <f t="shared" si="13"/>
        <v>7.0919789408485603E-2</v>
      </c>
      <c r="BN25" s="20">
        <f t="shared" si="11"/>
        <v>289.56628861947593</v>
      </c>
      <c r="BO25" s="20">
        <f t="shared" si="14"/>
        <v>24.276769651935862</v>
      </c>
      <c r="BP25" s="20">
        <f t="shared" si="15"/>
        <v>563.63054360578803</v>
      </c>
      <c r="BQ25" s="20">
        <f t="shared" si="12"/>
        <v>66.980484943292922</v>
      </c>
      <c r="BR25" s="25">
        <v>26.049999999999997</v>
      </c>
      <c r="BS25" s="25">
        <v>24.549999999999997</v>
      </c>
      <c r="BT25" s="25">
        <v>40.6</v>
      </c>
      <c r="BU25" s="25">
        <v>47.225000000000001</v>
      </c>
      <c r="BV25" s="25">
        <v>47.225000000000001</v>
      </c>
      <c r="BX25" s="36"/>
      <c r="BY25" s="36">
        <v>-23.63</v>
      </c>
      <c r="BZ25" s="36">
        <v>1.6488</v>
      </c>
      <c r="CA25" s="36">
        <v>8.77</v>
      </c>
      <c r="CB25" s="28">
        <v>-25.19</v>
      </c>
      <c r="CC25" s="36">
        <v>2.1905999999999999</v>
      </c>
      <c r="CD25" s="36">
        <v>7.09</v>
      </c>
      <c r="CE25">
        <v>-26.03</v>
      </c>
      <c r="CF25" s="28">
        <v>1.6594</v>
      </c>
      <c r="CG25" s="28">
        <v>14.26</v>
      </c>
      <c r="CH25">
        <v>-23.96</v>
      </c>
      <c r="CI25" s="28">
        <v>3.1503999999999999</v>
      </c>
      <c r="CJ25" s="28">
        <v>15.97</v>
      </c>
    </row>
    <row r="26" spans="1:88" x14ac:dyDescent="0.25">
      <c r="A26" s="5" t="s">
        <v>24</v>
      </c>
      <c r="D26" s="5" t="s">
        <v>312</v>
      </c>
      <c r="E26" s="5">
        <v>2002</v>
      </c>
      <c r="F26" s="5">
        <v>3</v>
      </c>
      <c r="G26" s="5">
        <v>2</v>
      </c>
      <c r="H26" s="5">
        <v>9</v>
      </c>
      <c r="I26" s="5">
        <v>125</v>
      </c>
      <c r="J26" s="55"/>
      <c r="K26" s="55"/>
      <c r="R26" s="91">
        <v>0.9964430769456154</v>
      </c>
      <c r="S26" s="5">
        <v>0.99534720844646019</v>
      </c>
      <c r="T26" s="5">
        <v>0.99023278520878932</v>
      </c>
      <c r="U26" s="5">
        <v>0.94911110931944354</v>
      </c>
      <c r="AQ26" s="32">
        <v>0.5</v>
      </c>
      <c r="AR26" s="5">
        <v>3205</v>
      </c>
      <c r="AS26" s="20">
        <f t="shared" si="0"/>
        <v>6410</v>
      </c>
      <c r="AT26" s="5">
        <v>258.5</v>
      </c>
      <c r="AU26" s="32">
        <v>30</v>
      </c>
      <c r="AV26" s="35">
        <f t="shared" si="1"/>
        <v>8.6166666666666671</v>
      </c>
      <c r="AW26" s="32">
        <v>258.5</v>
      </c>
      <c r="AY26" s="32">
        <v>20</v>
      </c>
      <c r="AZ26" s="24">
        <v>8.69</v>
      </c>
      <c r="BA26" s="24">
        <v>7.39</v>
      </c>
      <c r="BB26" s="24">
        <v>17.579999999999998</v>
      </c>
      <c r="BC26" s="24">
        <v>1.08</v>
      </c>
      <c r="BD26" s="93">
        <f t="shared" si="2"/>
        <v>34.739999999999995</v>
      </c>
      <c r="BE26" s="35">
        <f t="shared" si="3"/>
        <v>1.7369999999999997</v>
      </c>
      <c r="BF26" s="29">
        <f t="shared" si="4"/>
        <v>8.6166666666666671</v>
      </c>
      <c r="BG26" s="35">
        <f t="shared" si="5"/>
        <v>0.20158607350096708</v>
      </c>
      <c r="BH26" s="20">
        <f t="shared" si="6"/>
        <v>646.08336557059954</v>
      </c>
      <c r="BI26" s="38">
        <f t="shared" si="7"/>
        <v>1292.1667311411991</v>
      </c>
      <c r="BJ26" s="35">
        <f t="shared" si="8"/>
        <v>0.25014392630972943</v>
      </c>
      <c r="BK26" s="35">
        <f t="shared" si="9"/>
        <v>0.21272308578008062</v>
      </c>
      <c r="BL26" s="35">
        <f t="shared" si="10"/>
        <v>0.50604490500863564</v>
      </c>
      <c r="BM26" s="35">
        <f t="shared" si="13"/>
        <v>3.1088082901554411E-2</v>
      </c>
      <c r="BN26" s="20">
        <f t="shared" si="11"/>
        <v>323.22765957446808</v>
      </c>
      <c r="BO26" s="20">
        <f t="shared" si="14"/>
        <v>274.87369439071568</v>
      </c>
      <c r="BP26" s="20">
        <f t="shared" si="15"/>
        <v>653.89439071566733</v>
      </c>
      <c r="BQ26" s="20">
        <f t="shared" si="12"/>
        <v>40.170986460348168</v>
      </c>
      <c r="BR26" s="25">
        <v>4.5333333333333332</v>
      </c>
      <c r="BS26" s="25">
        <v>14.600000000000001</v>
      </c>
      <c r="BT26" s="25">
        <v>30.625000000000004</v>
      </c>
      <c r="BU26" s="25">
        <v>39.5</v>
      </c>
      <c r="BV26" s="25">
        <v>39.5</v>
      </c>
      <c r="BX26" s="36"/>
      <c r="BY26" s="36">
        <v>-23.81</v>
      </c>
      <c r="BZ26" s="36">
        <v>1.9581999999999999</v>
      </c>
      <c r="CA26" s="36">
        <v>9.19</v>
      </c>
      <c r="CB26" s="28">
        <v>-25.27</v>
      </c>
      <c r="CC26" s="36">
        <v>1.8527</v>
      </c>
      <c r="CD26" s="36">
        <v>7.24</v>
      </c>
      <c r="CE26">
        <v>-26.19</v>
      </c>
      <c r="CF26" s="28">
        <v>2.6263999999999998</v>
      </c>
      <c r="CG26" s="28">
        <v>12.49</v>
      </c>
      <c r="CH26">
        <v>-23.53</v>
      </c>
      <c r="CI26" s="28">
        <v>3.6053000000000002</v>
      </c>
      <c r="CJ26" s="28">
        <v>21.28</v>
      </c>
    </row>
    <row r="27" spans="1:88" x14ac:dyDescent="0.25">
      <c r="A27" s="5" t="s">
        <v>24</v>
      </c>
      <c r="D27" s="5" t="s">
        <v>32</v>
      </c>
      <c r="E27" s="5">
        <v>2018</v>
      </c>
      <c r="F27" s="5">
        <v>3</v>
      </c>
      <c r="G27" s="5">
        <v>2</v>
      </c>
      <c r="H27" s="5">
        <v>10</v>
      </c>
      <c r="I27" s="5">
        <v>126</v>
      </c>
      <c r="R27" s="91">
        <v>0.99838631250045851</v>
      </c>
      <c r="S27" s="5">
        <v>0.99845742142589844</v>
      </c>
      <c r="T27" s="5">
        <v>0.98999508908382072</v>
      </c>
      <c r="U27" s="5">
        <v>0.91482762154617436</v>
      </c>
      <c r="AQ27" s="5">
        <v>0.5</v>
      </c>
      <c r="AR27" s="5">
        <v>3293</v>
      </c>
      <c r="AS27" s="20">
        <f t="shared" si="0"/>
        <v>6586</v>
      </c>
      <c r="AT27" s="5">
        <v>253.07</v>
      </c>
      <c r="AU27" s="5">
        <v>30</v>
      </c>
      <c r="AV27" s="35">
        <f t="shared" si="1"/>
        <v>8.4356666666666662</v>
      </c>
      <c r="AW27" s="32">
        <v>253.07</v>
      </c>
      <c r="AY27" s="32">
        <v>20</v>
      </c>
      <c r="AZ27" s="24">
        <v>8.1199999999999992</v>
      </c>
      <c r="BA27" s="24">
        <v>7.19</v>
      </c>
      <c r="BB27" s="24">
        <v>13.61</v>
      </c>
      <c r="BC27" s="24">
        <v>0.93</v>
      </c>
      <c r="BD27" s="93">
        <f t="shared" si="2"/>
        <v>29.849999999999998</v>
      </c>
      <c r="BE27" s="35">
        <f t="shared" si="3"/>
        <v>1.4924999999999999</v>
      </c>
      <c r="BF27" s="29">
        <f t="shared" si="4"/>
        <v>8.4356666666666662</v>
      </c>
      <c r="BG27" s="35">
        <f t="shared" si="5"/>
        <v>0.17692733235863595</v>
      </c>
      <c r="BH27" s="20">
        <f t="shared" si="6"/>
        <v>582.62170545698814</v>
      </c>
      <c r="BI27" s="38">
        <f t="shared" si="7"/>
        <v>1165.2434109139763</v>
      </c>
      <c r="BJ27" s="35">
        <f t="shared" si="8"/>
        <v>0.27202680067001672</v>
      </c>
      <c r="BK27" s="35">
        <f t="shared" si="9"/>
        <v>0.24087102177554442</v>
      </c>
      <c r="BL27" s="35">
        <f t="shared" si="10"/>
        <v>0.4559463986599665</v>
      </c>
      <c r="BM27" s="35">
        <f t="shared" si="13"/>
        <v>3.1155778894472366E-2</v>
      </c>
      <c r="BN27" s="20">
        <f t="shared" si="11"/>
        <v>316.97743707274662</v>
      </c>
      <c r="BO27" s="20">
        <f t="shared" si="14"/>
        <v>280.67337100407002</v>
      </c>
      <c r="BP27" s="20">
        <f t="shared" si="15"/>
        <v>531.28853676848303</v>
      </c>
      <c r="BQ27" s="20">
        <f t="shared" si="12"/>
        <v>36.304066068676654</v>
      </c>
      <c r="BR27" s="25">
        <v>6.7750000000000004</v>
      </c>
      <c r="BS27" s="25">
        <v>32.825000000000003</v>
      </c>
      <c r="BT27" s="25">
        <v>40.400000000000006</v>
      </c>
      <c r="BU27" s="25">
        <v>51.05</v>
      </c>
      <c r="BV27" s="25">
        <v>51.05</v>
      </c>
      <c r="BX27" s="36"/>
      <c r="BY27" s="36">
        <v>-24.16</v>
      </c>
      <c r="BZ27" s="36">
        <v>1.8944000000000001</v>
      </c>
      <c r="CA27" s="36">
        <v>6.36</v>
      </c>
      <c r="CB27" s="28">
        <v>-25.37</v>
      </c>
      <c r="CC27" s="36">
        <v>2.0337000000000001</v>
      </c>
      <c r="CD27" s="36">
        <v>4.45</v>
      </c>
      <c r="CE27">
        <v>-25.98</v>
      </c>
      <c r="CF27" s="28">
        <v>2.8376000000000001</v>
      </c>
      <c r="CG27" s="28">
        <v>11.68</v>
      </c>
      <c r="CH27">
        <v>-23.8</v>
      </c>
      <c r="CI27" s="28">
        <v>3.9361999999999999</v>
      </c>
      <c r="CJ27" s="28">
        <v>14.93</v>
      </c>
    </row>
    <row r="28" spans="1:88" x14ac:dyDescent="0.25">
      <c r="A28" s="5" t="s">
        <v>34</v>
      </c>
      <c r="D28" s="5" t="s">
        <v>39</v>
      </c>
      <c r="E28" s="5">
        <v>2001</v>
      </c>
      <c r="F28" s="5">
        <v>3</v>
      </c>
      <c r="G28" s="5">
        <v>2</v>
      </c>
      <c r="H28" s="5">
        <v>11</v>
      </c>
      <c r="I28" s="5">
        <v>127</v>
      </c>
      <c r="R28" s="91">
        <v>0.97183451685490807</v>
      </c>
      <c r="S28" s="5">
        <v>0.98151894129850048</v>
      </c>
      <c r="T28" s="5">
        <v>0.96269204941605946</v>
      </c>
      <c r="U28" s="5">
        <v>0.88722090405473175</v>
      </c>
      <c r="AQ28" s="32">
        <v>0.5</v>
      </c>
      <c r="AR28" s="5">
        <v>3594</v>
      </c>
      <c r="AS28" s="20">
        <f t="shared" si="0"/>
        <v>7188</v>
      </c>
      <c r="AT28" s="5">
        <v>194.71</v>
      </c>
      <c r="AU28" s="32">
        <v>30</v>
      </c>
      <c r="AV28" s="35">
        <f t="shared" si="1"/>
        <v>6.490333333333334</v>
      </c>
      <c r="AW28" s="32">
        <v>194.71</v>
      </c>
      <c r="AY28" s="32">
        <v>20</v>
      </c>
      <c r="AZ28" s="24">
        <v>5.59</v>
      </c>
      <c r="BA28" s="24">
        <v>1.06</v>
      </c>
      <c r="BB28" s="24">
        <v>11.16</v>
      </c>
      <c r="BC28" s="24">
        <v>1.6</v>
      </c>
      <c r="BD28" s="93">
        <f t="shared" si="2"/>
        <v>19.410000000000004</v>
      </c>
      <c r="BE28" s="35">
        <f t="shared" si="3"/>
        <v>0.97050000000000014</v>
      </c>
      <c r="BF28" s="29">
        <f t="shared" si="4"/>
        <v>6.490333333333334</v>
      </c>
      <c r="BG28" s="35">
        <f t="shared" si="5"/>
        <v>0.14953007036104976</v>
      </c>
      <c r="BH28" s="20">
        <f t="shared" si="6"/>
        <v>537.41107287761281</v>
      </c>
      <c r="BI28" s="38">
        <f t="shared" si="7"/>
        <v>1074.8221457552256</v>
      </c>
      <c r="BJ28" s="35">
        <f t="shared" si="8"/>
        <v>0.28799587841318902</v>
      </c>
      <c r="BK28" s="35">
        <f t="shared" si="9"/>
        <v>5.4611025244719211E-2</v>
      </c>
      <c r="BL28" s="35">
        <f t="shared" si="10"/>
        <v>0.57496136012364751</v>
      </c>
      <c r="BM28" s="35">
        <f t="shared" si="13"/>
        <v>8.2431736218444088E-2</v>
      </c>
      <c r="BN28" s="20">
        <f t="shared" si="11"/>
        <v>309.5443480047249</v>
      </c>
      <c r="BO28" s="20">
        <f t="shared" si="14"/>
        <v>58.697139335421895</v>
      </c>
      <c r="BP28" s="20">
        <f t="shared" si="15"/>
        <v>617.98120281444187</v>
      </c>
      <c r="BQ28" s="20">
        <f t="shared" si="12"/>
        <v>88.599455600636816</v>
      </c>
      <c r="BR28" s="25">
        <v>16.675000000000001</v>
      </c>
      <c r="BS28" s="25">
        <v>23.099999999999998</v>
      </c>
      <c r="BT28" s="25">
        <v>39.525000000000006</v>
      </c>
      <c r="BU28" s="25">
        <v>43.966666666666669</v>
      </c>
      <c r="BV28" s="25">
        <v>43.966666666666669</v>
      </c>
      <c r="BX28" s="36"/>
      <c r="BY28" s="36">
        <v>-24.3</v>
      </c>
      <c r="BZ28" s="36">
        <v>2.4106000000000001</v>
      </c>
      <c r="CA28" s="36">
        <v>7.55</v>
      </c>
      <c r="CB28" s="28">
        <v>-25.2</v>
      </c>
      <c r="CC28" s="36">
        <v>2.6837</v>
      </c>
      <c r="CD28" s="36">
        <v>6.9</v>
      </c>
      <c r="CE28">
        <v>-25.82</v>
      </c>
      <c r="CF28" s="28">
        <v>2.4087000000000001</v>
      </c>
      <c r="CG28" s="28">
        <v>9.3699999999999992</v>
      </c>
      <c r="CH28">
        <v>-24.87</v>
      </c>
      <c r="CI28" s="28">
        <v>2.9276</v>
      </c>
      <c r="CJ28" s="28">
        <v>13.68</v>
      </c>
    </row>
    <row r="29" spans="1:88" x14ac:dyDescent="0.25">
      <c r="A29" s="5" t="s">
        <v>34</v>
      </c>
      <c r="D29" s="5" t="s">
        <v>36</v>
      </c>
      <c r="E29" s="5">
        <v>1984</v>
      </c>
      <c r="F29" s="5">
        <v>3</v>
      </c>
      <c r="G29" s="5">
        <v>2</v>
      </c>
      <c r="H29" s="5">
        <v>12</v>
      </c>
      <c r="I29" s="5">
        <v>128</v>
      </c>
      <c r="R29" s="91">
        <v>0.99688273545766337</v>
      </c>
      <c r="S29" s="5">
        <v>0.99564705844466517</v>
      </c>
      <c r="T29" s="5">
        <v>0.99408377152407235</v>
      </c>
      <c r="U29" s="5">
        <v>0.93669511340903211</v>
      </c>
      <c r="AQ29" s="5">
        <v>0.5</v>
      </c>
      <c r="AR29" s="5">
        <v>2987</v>
      </c>
      <c r="AS29" s="20">
        <f t="shared" si="0"/>
        <v>5974</v>
      </c>
      <c r="AT29" s="5">
        <v>197.7</v>
      </c>
      <c r="AU29" s="5">
        <v>30</v>
      </c>
      <c r="AV29" s="35">
        <f t="shared" si="1"/>
        <v>6.59</v>
      </c>
      <c r="AW29" s="32">
        <v>197.7</v>
      </c>
      <c r="AY29" s="32">
        <v>20</v>
      </c>
      <c r="AZ29" s="24">
        <v>7.51</v>
      </c>
      <c r="BA29" s="24">
        <v>1.45</v>
      </c>
      <c r="BB29" s="24">
        <v>10.73</v>
      </c>
      <c r="BC29" s="24">
        <v>1</v>
      </c>
      <c r="BD29" s="93">
        <f t="shared" si="2"/>
        <v>20.689999999999998</v>
      </c>
      <c r="BE29" s="35">
        <f t="shared" si="3"/>
        <v>1.0345</v>
      </c>
      <c r="BF29" s="29">
        <f t="shared" si="4"/>
        <v>6.59</v>
      </c>
      <c r="BG29" s="35">
        <f t="shared" si="5"/>
        <v>0.15698027314112292</v>
      </c>
      <c r="BH29" s="20">
        <f t="shared" si="6"/>
        <v>468.90007587253416</v>
      </c>
      <c r="BI29" s="38">
        <f t="shared" si="7"/>
        <v>937.80015174506832</v>
      </c>
      <c r="BJ29" s="35">
        <f t="shared" si="8"/>
        <v>0.36297728371193816</v>
      </c>
      <c r="BK29" s="35">
        <f t="shared" si="9"/>
        <v>7.008216529724505E-2</v>
      </c>
      <c r="BL29" s="35">
        <f t="shared" si="10"/>
        <v>0.51860802319961341</v>
      </c>
      <c r="BM29" s="35">
        <f t="shared" si="13"/>
        <v>4.8332527791203485E-2</v>
      </c>
      <c r="BN29" s="20">
        <f t="shared" si="11"/>
        <v>340.40015174506834</v>
      </c>
      <c r="BO29" s="20">
        <f t="shared" si="14"/>
        <v>65.723065250379364</v>
      </c>
      <c r="BP29" s="20">
        <f t="shared" si="15"/>
        <v>486.35068285280738</v>
      </c>
      <c r="BQ29" s="20">
        <f t="shared" si="12"/>
        <v>45.326251896813361</v>
      </c>
      <c r="BR29" s="25">
        <v>3.55</v>
      </c>
      <c r="BS29" s="25">
        <v>15.774999999999999</v>
      </c>
      <c r="BT29" s="25">
        <v>32.75</v>
      </c>
      <c r="BU29" s="25">
        <v>44.25</v>
      </c>
      <c r="BV29" s="25">
        <v>44.25</v>
      </c>
      <c r="BX29" s="36"/>
      <c r="BY29" s="36">
        <v>-24.77</v>
      </c>
      <c r="BZ29" s="36">
        <v>1.1333</v>
      </c>
      <c r="CA29" s="36">
        <v>10.53</v>
      </c>
      <c r="CB29" s="28">
        <v>-25.55</v>
      </c>
      <c r="CC29" s="36">
        <v>2.8180000000000001</v>
      </c>
      <c r="CD29" s="36">
        <v>4.45</v>
      </c>
      <c r="CE29">
        <v>-26.54</v>
      </c>
      <c r="CF29" s="28">
        <v>3.3129</v>
      </c>
      <c r="CG29" s="28">
        <v>4.42</v>
      </c>
      <c r="CH29">
        <v>-23.76</v>
      </c>
      <c r="CI29" s="28">
        <v>4.9877000000000002</v>
      </c>
      <c r="CJ29" s="28">
        <v>17.91</v>
      </c>
    </row>
    <row r="30" spans="1:88" x14ac:dyDescent="0.25">
      <c r="A30" s="5" t="s">
        <v>24</v>
      </c>
      <c r="D30" s="5" t="s">
        <v>26</v>
      </c>
      <c r="E30" s="5">
        <v>1983</v>
      </c>
      <c r="F30" s="5">
        <v>4</v>
      </c>
      <c r="G30" s="5">
        <v>2</v>
      </c>
      <c r="H30" s="5">
        <v>13</v>
      </c>
      <c r="I30" s="5">
        <v>129</v>
      </c>
      <c r="R30" s="91">
        <v>0.9978838036463481</v>
      </c>
      <c r="S30" s="5">
        <v>0.99792703127553539</v>
      </c>
      <c r="T30" s="5">
        <v>0.99556372811824001</v>
      </c>
      <c r="U30" s="5">
        <v>0.92078323175216303</v>
      </c>
      <c r="AQ30" s="32">
        <v>0.5</v>
      </c>
      <c r="AR30" s="5">
        <v>2988</v>
      </c>
      <c r="AS30" s="20">
        <f t="shared" si="0"/>
        <v>5976</v>
      </c>
      <c r="AT30" s="5">
        <v>184.07</v>
      </c>
      <c r="AU30" s="32">
        <v>30</v>
      </c>
      <c r="AV30" s="35">
        <f t="shared" si="1"/>
        <v>6.1356666666666664</v>
      </c>
      <c r="AW30" s="32">
        <v>184.07</v>
      </c>
      <c r="AY30" s="32">
        <v>20</v>
      </c>
      <c r="AZ30" s="24">
        <v>6.3</v>
      </c>
      <c r="BA30" s="24">
        <v>3.16</v>
      </c>
      <c r="BB30" s="24">
        <v>10.31</v>
      </c>
      <c r="BC30" s="24">
        <v>1.0900000000000001</v>
      </c>
      <c r="BD30" s="93">
        <f t="shared" si="2"/>
        <v>20.860000000000003</v>
      </c>
      <c r="BE30" s="35">
        <f t="shared" si="3"/>
        <v>1.0430000000000001</v>
      </c>
      <c r="BF30" s="29">
        <f t="shared" si="4"/>
        <v>6.1356666666666664</v>
      </c>
      <c r="BG30" s="35">
        <f t="shared" si="5"/>
        <v>0.16998967783995222</v>
      </c>
      <c r="BH30" s="20">
        <f t="shared" si="6"/>
        <v>507.92915738577727</v>
      </c>
      <c r="BI30" s="38">
        <f t="shared" si="7"/>
        <v>1015.8583147715545</v>
      </c>
      <c r="BJ30" s="35">
        <f t="shared" si="8"/>
        <v>0.3020134228187919</v>
      </c>
      <c r="BK30" s="35">
        <f t="shared" si="9"/>
        <v>0.15148609779482261</v>
      </c>
      <c r="BL30" s="35">
        <f t="shared" si="10"/>
        <v>0.49424736337488012</v>
      </c>
      <c r="BM30" s="35">
        <f t="shared" si="13"/>
        <v>5.2253116011505271E-2</v>
      </c>
      <c r="BN30" s="20">
        <f t="shared" si="11"/>
        <v>306.80284674308689</v>
      </c>
      <c r="BO30" s="20">
        <f t="shared" si="14"/>
        <v>153.88841201716741</v>
      </c>
      <c r="BP30" s="20">
        <f t="shared" si="15"/>
        <v>502.0852936382899</v>
      </c>
      <c r="BQ30" s="20">
        <f t="shared" si="12"/>
        <v>53.081762373010278</v>
      </c>
      <c r="BR30" s="25">
        <v>4.5</v>
      </c>
      <c r="BS30" s="25">
        <v>13.975000000000001</v>
      </c>
      <c r="BT30" s="25">
        <v>27.85</v>
      </c>
      <c r="BU30" s="25">
        <v>47.824999999999996</v>
      </c>
      <c r="BV30" s="25">
        <v>47.824999999999996</v>
      </c>
      <c r="BX30" s="36"/>
      <c r="BY30" s="36">
        <v>-23.51</v>
      </c>
      <c r="BZ30" s="36">
        <v>2.0232999999999999</v>
      </c>
      <c r="CA30" s="36">
        <v>5.4</v>
      </c>
      <c r="CB30" s="28">
        <v>-24.83</v>
      </c>
      <c r="CC30" s="36">
        <v>2.4447000000000001</v>
      </c>
      <c r="CD30" s="36">
        <v>4.6100000000000003</v>
      </c>
      <c r="CE30">
        <v>-27.19</v>
      </c>
      <c r="CF30" s="28">
        <v>2.6391</v>
      </c>
      <c r="CG30" s="28">
        <v>11.66</v>
      </c>
      <c r="CH30">
        <v>-24.21</v>
      </c>
      <c r="CI30" s="28">
        <v>3.2856999999999998</v>
      </c>
      <c r="CJ30" s="28">
        <v>13.05</v>
      </c>
    </row>
    <row r="31" spans="1:88" x14ac:dyDescent="0.25">
      <c r="A31" s="5" t="s">
        <v>24</v>
      </c>
      <c r="D31" s="5" t="s">
        <v>29</v>
      </c>
      <c r="E31" s="5">
        <v>1999</v>
      </c>
      <c r="F31" s="5">
        <v>4</v>
      </c>
      <c r="G31" s="5">
        <v>2</v>
      </c>
      <c r="H31" s="5">
        <v>14</v>
      </c>
      <c r="I31" s="5">
        <v>130</v>
      </c>
      <c r="R31" s="91">
        <v>0.997687696851009</v>
      </c>
      <c r="S31" s="5">
        <v>0.99821820837773478</v>
      </c>
      <c r="T31" s="5">
        <v>0.99654798203008033</v>
      </c>
      <c r="U31" s="5">
        <v>0.92793145038989133</v>
      </c>
      <c r="AQ31" s="5">
        <v>0.5</v>
      </c>
      <c r="AR31" s="5">
        <v>2819</v>
      </c>
      <c r="AS31" s="20">
        <f t="shared" si="0"/>
        <v>5638</v>
      </c>
      <c r="AT31" s="5">
        <v>162.6</v>
      </c>
      <c r="AU31" s="5">
        <v>30</v>
      </c>
      <c r="AV31" s="35">
        <f t="shared" si="1"/>
        <v>5.42</v>
      </c>
      <c r="AW31" s="32">
        <v>162.6</v>
      </c>
      <c r="AY31" s="32">
        <v>20</v>
      </c>
      <c r="AZ31" s="24">
        <v>6.39</v>
      </c>
      <c r="BA31" s="24">
        <v>6.11</v>
      </c>
      <c r="BB31" s="24">
        <v>10.32</v>
      </c>
      <c r="BC31" s="24">
        <v>0.76</v>
      </c>
      <c r="BD31" s="93">
        <f t="shared" si="2"/>
        <v>23.580000000000002</v>
      </c>
      <c r="BE31" s="35">
        <f t="shared" si="3"/>
        <v>1.179</v>
      </c>
      <c r="BF31" s="29">
        <f t="shared" si="4"/>
        <v>5.42</v>
      </c>
      <c r="BG31" s="35">
        <f t="shared" si="5"/>
        <v>0.21752767527675279</v>
      </c>
      <c r="BH31" s="20">
        <f t="shared" si="6"/>
        <v>613.21051660516616</v>
      </c>
      <c r="BI31" s="38">
        <f t="shared" si="7"/>
        <v>1226.4210332103323</v>
      </c>
      <c r="BJ31" s="35">
        <f t="shared" si="8"/>
        <v>0.27099236641221369</v>
      </c>
      <c r="BK31" s="35">
        <f t="shared" si="9"/>
        <v>0.25911789652247669</v>
      </c>
      <c r="BL31" s="35">
        <f t="shared" si="10"/>
        <v>0.43765903307888038</v>
      </c>
      <c r="BM31" s="35">
        <f t="shared" si="13"/>
        <v>3.2230703986429174E-2</v>
      </c>
      <c r="BN31" s="20">
        <f t="shared" si="11"/>
        <v>332.35073800738007</v>
      </c>
      <c r="BO31" s="20">
        <f t="shared" si="14"/>
        <v>317.78763837638382</v>
      </c>
      <c r="BP31" s="20">
        <f t="shared" si="15"/>
        <v>536.75424354243546</v>
      </c>
      <c r="BQ31" s="20">
        <f t="shared" si="12"/>
        <v>39.528413284132846</v>
      </c>
      <c r="BR31" s="25">
        <v>6.2666666666666666</v>
      </c>
      <c r="BS31" s="25">
        <v>13.5</v>
      </c>
      <c r="BT31" s="25">
        <v>23.974999999999998</v>
      </c>
      <c r="BU31" s="25">
        <v>46.375</v>
      </c>
      <c r="BV31" s="25">
        <v>46.375</v>
      </c>
      <c r="BX31" s="36"/>
      <c r="BY31" s="36">
        <v>-24.24</v>
      </c>
      <c r="BZ31" s="36">
        <v>1.3167</v>
      </c>
      <c r="CA31" s="36">
        <v>9.17</v>
      </c>
      <c r="CB31" s="28">
        <v>-24.79</v>
      </c>
      <c r="CC31" s="36">
        <v>2.1537000000000002</v>
      </c>
      <c r="CD31" s="36">
        <v>7.87</v>
      </c>
      <c r="CE31">
        <v>-25.83</v>
      </c>
      <c r="CF31" s="28">
        <v>2.9340000000000002</v>
      </c>
      <c r="CG31" s="28">
        <v>9.31</v>
      </c>
      <c r="CH31">
        <v>-23.66</v>
      </c>
      <c r="CI31" s="28">
        <v>4.2236000000000002</v>
      </c>
      <c r="CJ31" s="28">
        <v>18.96</v>
      </c>
    </row>
    <row r="32" spans="1:88" x14ac:dyDescent="0.25">
      <c r="A32" s="5" t="s">
        <v>34</v>
      </c>
      <c r="D32" s="5" t="s">
        <v>38</v>
      </c>
      <c r="E32" s="5">
        <v>1999</v>
      </c>
      <c r="F32" s="5">
        <v>4</v>
      </c>
      <c r="G32" s="5">
        <v>2</v>
      </c>
      <c r="H32" s="5">
        <v>15</v>
      </c>
      <c r="I32" s="5">
        <v>131</v>
      </c>
      <c r="R32" s="91">
        <v>0.9840689144659569</v>
      </c>
      <c r="S32" s="5">
        <v>0.98253308633217229</v>
      </c>
      <c r="T32" s="5">
        <v>0.98591823270037027</v>
      </c>
      <c r="U32" s="5">
        <v>0.94641456062107698</v>
      </c>
      <c r="AQ32" s="32">
        <v>0.5</v>
      </c>
      <c r="AR32" s="5">
        <v>2855</v>
      </c>
      <c r="AS32" s="20">
        <f t="shared" si="0"/>
        <v>5710</v>
      </c>
      <c r="AT32" s="5">
        <v>185.5</v>
      </c>
      <c r="AU32" s="32">
        <v>30</v>
      </c>
      <c r="AV32" s="35">
        <f t="shared" si="1"/>
        <v>6.1833333333333336</v>
      </c>
      <c r="AW32" s="32">
        <v>185.5</v>
      </c>
      <c r="AY32" s="32">
        <v>20</v>
      </c>
      <c r="AZ32" s="24">
        <v>7.94</v>
      </c>
      <c r="BA32" s="24">
        <v>1.1200000000000001</v>
      </c>
      <c r="BB32" s="24">
        <v>10.11</v>
      </c>
      <c r="BC32" s="24">
        <v>0.91</v>
      </c>
      <c r="BD32" s="93">
        <f t="shared" si="2"/>
        <v>20.080000000000002</v>
      </c>
      <c r="BE32" s="35">
        <f t="shared" si="3"/>
        <v>1.004</v>
      </c>
      <c r="BF32" s="29">
        <f t="shared" si="4"/>
        <v>6.1833333333333336</v>
      </c>
      <c r="BG32" s="35">
        <f t="shared" si="5"/>
        <v>0.16237196765498652</v>
      </c>
      <c r="BH32" s="20">
        <f t="shared" si="6"/>
        <v>463.57196765498651</v>
      </c>
      <c r="BI32" s="38">
        <f t="shared" si="7"/>
        <v>927.14393530997302</v>
      </c>
      <c r="BJ32" s="35">
        <f t="shared" si="8"/>
        <v>0.39541832669322707</v>
      </c>
      <c r="BK32" s="35">
        <f t="shared" si="9"/>
        <v>5.5776892430278883E-2</v>
      </c>
      <c r="BL32" s="35">
        <f t="shared" si="10"/>
        <v>0.50348605577689232</v>
      </c>
      <c r="BM32" s="35">
        <f t="shared" si="13"/>
        <v>4.5318725099601588E-2</v>
      </c>
      <c r="BN32" s="20">
        <f t="shared" si="11"/>
        <v>366.60970350404313</v>
      </c>
      <c r="BO32" s="20">
        <f t="shared" si="14"/>
        <v>51.713207547169809</v>
      </c>
      <c r="BP32" s="20">
        <f t="shared" si="15"/>
        <v>466.80404312668452</v>
      </c>
      <c r="BQ32" s="20">
        <f t="shared" si="12"/>
        <v>42.016981132075465</v>
      </c>
      <c r="BR32" s="25">
        <v>5.7999999999999989</v>
      </c>
      <c r="BS32" s="25">
        <v>12.6</v>
      </c>
      <c r="BT32" s="25">
        <v>45.224999999999994</v>
      </c>
      <c r="BU32" s="25">
        <v>49.924999999999997</v>
      </c>
      <c r="BV32" s="25">
        <v>49.924999999999997</v>
      </c>
      <c r="BX32" s="36"/>
      <c r="BY32" s="36">
        <v>-23.98</v>
      </c>
      <c r="BZ32" s="36">
        <v>1.7929999999999999</v>
      </c>
      <c r="CA32" s="36">
        <v>8.44</v>
      </c>
      <c r="CB32" s="28">
        <v>-25.09</v>
      </c>
      <c r="CC32" s="36">
        <v>2.2951000000000001</v>
      </c>
      <c r="CD32" s="36">
        <v>5.15</v>
      </c>
      <c r="CE32">
        <v>-26.57</v>
      </c>
      <c r="CF32" s="28">
        <v>1.8788</v>
      </c>
      <c r="CG32" s="28">
        <v>13.97</v>
      </c>
      <c r="CH32">
        <v>-23.85</v>
      </c>
      <c r="CI32" s="28">
        <v>3.6745000000000001</v>
      </c>
      <c r="CJ32" s="28">
        <v>19.32</v>
      </c>
    </row>
    <row r="33" spans="1:88" x14ac:dyDescent="0.25">
      <c r="A33" s="5" t="s">
        <v>34</v>
      </c>
      <c r="D33" s="5" t="s">
        <v>41</v>
      </c>
      <c r="E33" s="5">
        <v>2008</v>
      </c>
      <c r="F33" s="5">
        <v>4</v>
      </c>
      <c r="G33" s="5">
        <v>2</v>
      </c>
      <c r="H33" s="5">
        <v>16</v>
      </c>
      <c r="I33" s="5">
        <v>132</v>
      </c>
      <c r="R33" s="91">
        <v>0.95725260476620466</v>
      </c>
      <c r="S33" s="5">
        <v>0.95258889042556316</v>
      </c>
      <c r="T33" s="5">
        <v>0.94144344100206379</v>
      </c>
      <c r="U33" s="5">
        <v>0.76843802892398116</v>
      </c>
      <c r="AQ33" s="5">
        <v>0.5</v>
      </c>
      <c r="AR33" s="5">
        <v>3040</v>
      </c>
      <c r="AS33" s="20">
        <f t="shared" si="0"/>
        <v>6080</v>
      </c>
      <c r="AT33" s="5">
        <v>181.2</v>
      </c>
      <c r="AU33" s="5">
        <v>30</v>
      </c>
      <c r="AV33" s="35">
        <f t="shared" si="1"/>
        <v>6.04</v>
      </c>
      <c r="AW33" s="32">
        <v>181.2</v>
      </c>
      <c r="AY33" s="32">
        <v>20</v>
      </c>
      <c r="AZ33" s="24">
        <v>6.64</v>
      </c>
      <c r="BA33" s="24">
        <v>0.5</v>
      </c>
      <c r="BB33" s="24">
        <v>10.08</v>
      </c>
      <c r="BC33" s="24">
        <v>1.91</v>
      </c>
      <c r="BD33" s="93">
        <f t="shared" si="2"/>
        <v>19.13</v>
      </c>
      <c r="BE33" s="35">
        <f t="shared" si="3"/>
        <v>0.95649999999999991</v>
      </c>
      <c r="BF33" s="29">
        <f t="shared" si="4"/>
        <v>6.04</v>
      </c>
      <c r="BG33" s="35">
        <f t="shared" si="5"/>
        <v>0.15836092715231787</v>
      </c>
      <c r="BH33" s="20">
        <f t="shared" si="6"/>
        <v>481.41721854304632</v>
      </c>
      <c r="BI33" s="38">
        <f t="shared" si="7"/>
        <v>962.83443708609263</v>
      </c>
      <c r="BJ33" s="35">
        <f t="shared" si="8"/>
        <v>0.34709879769994773</v>
      </c>
      <c r="BK33" s="35">
        <f t="shared" si="9"/>
        <v>2.6136957658128596E-2</v>
      </c>
      <c r="BL33" s="35">
        <f t="shared" si="10"/>
        <v>0.52692106638787251</v>
      </c>
      <c r="BM33" s="35">
        <f t="shared" si="13"/>
        <v>9.9843178254051229E-2</v>
      </c>
      <c r="BN33" s="20">
        <f t="shared" si="11"/>
        <v>334.19867549668874</v>
      </c>
      <c r="BO33" s="20">
        <f t="shared" si="14"/>
        <v>25.165562913907284</v>
      </c>
      <c r="BP33" s="20">
        <f t="shared" si="15"/>
        <v>507.33774834437088</v>
      </c>
      <c r="BQ33" s="20">
        <f t="shared" si="12"/>
        <v>96.132450331125824</v>
      </c>
      <c r="BR33" s="25">
        <v>1.75</v>
      </c>
      <c r="BS33" s="25">
        <v>14.725000000000001</v>
      </c>
      <c r="BT33" s="25">
        <v>42.099999999999994</v>
      </c>
      <c r="BU33" s="25">
        <v>47.75</v>
      </c>
      <c r="BV33" s="25">
        <v>47.75</v>
      </c>
      <c r="BX33" s="36"/>
      <c r="BY33" s="36">
        <v>-24.33</v>
      </c>
      <c r="BZ33" s="36">
        <v>2.153</v>
      </c>
      <c r="CA33" s="36">
        <v>6.78</v>
      </c>
      <c r="CB33" s="28">
        <v>-25.36</v>
      </c>
      <c r="CC33" s="36">
        <v>1.8479000000000001</v>
      </c>
      <c r="CD33" s="36">
        <v>4.83</v>
      </c>
      <c r="CE33">
        <v>-26.87</v>
      </c>
      <c r="CF33" s="28">
        <v>2.0331999999999999</v>
      </c>
      <c r="CG33" s="28">
        <v>11.33</v>
      </c>
      <c r="CH33">
        <v>-24.27</v>
      </c>
      <c r="CI33" s="28">
        <v>2.3206000000000002</v>
      </c>
      <c r="CJ33" s="28">
        <v>22.41</v>
      </c>
    </row>
    <row r="34" spans="1:88" x14ac:dyDescent="0.25">
      <c r="A34" s="5" t="s">
        <v>24</v>
      </c>
      <c r="D34" s="5" t="s">
        <v>26</v>
      </c>
      <c r="E34" s="5">
        <v>1983</v>
      </c>
      <c r="F34" s="5">
        <v>1</v>
      </c>
      <c r="G34" s="5">
        <v>3</v>
      </c>
      <c r="H34" s="5">
        <v>1</v>
      </c>
      <c r="I34" s="5">
        <v>133</v>
      </c>
      <c r="J34" s="61"/>
      <c r="K34" s="61"/>
      <c r="R34" s="91">
        <v>0.99813287580862131</v>
      </c>
      <c r="S34" s="5">
        <v>0.99750538386248078</v>
      </c>
      <c r="T34" s="5">
        <v>0.99469945873021082</v>
      </c>
      <c r="U34" s="5">
        <v>0.90956769608257859</v>
      </c>
      <c r="AQ34" s="32">
        <v>0.5</v>
      </c>
      <c r="AR34" s="5">
        <v>3668</v>
      </c>
      <c r="AS34" s="20">
        <f t="shared" si="0"/>
        <v>7336</v>
      </c>
      <c r="AT34" s="5">
        <v>229.6</v>
      </c>
      <c r="AU34" s="32">
        <v>30</v>
      </c>
      <c r="AV34" s="35">
        <f t="shared" si="1"/>
        <v>7.6533333333333333</v>
      </c>
      <c r="AW34" s="32">
        <v>229.6</v>
      </c>
      <c r="AY34" s="32">
        <v>20</v>
      </c>
      <c r="AZ34" s="24">
        <v>6.75</v>
      </c>
      <c r="BA34" s="24">
        <v>5.85</v>
      </c>
      <c r="BB34" s="24">
        <v>16.89</v>
      </c>
      <c r="BC34" s="24">
        <v>2.14</v>
      </c>
      <c r="BD34" s="93">
        <f t="shared" si="2"/>
        <v>31.630000000000003</v>
      </c>
      <c r="BE34" s="35">
        <f t="shared" si="3"/>
        <v>1.5815000000000001</v>
      </c>
      <c r="BF34" s="29">
        <f t="shared" si="4"/>
        <v>7.6533333333333333</v>
      </c>
      <c r="BG34" s="35">
        <f t="shared" si="5"/>
        <v>0.20664198606271778</v>
      </c>
      <c r="BH34" s="20">
        <f t="shared" si="6"/>
        <v>757.96280487804881</v>
      </c>
      <c r="BI34" s="38">
        <f t="shared" si="7"/>
        <v>1515.9256097560976</v>
      </c>
      <c r="BJ34" s="35">
        <f t="shared" si="8"/>
        <v>0.21340499525766676</v>
      </c>
      <c r="BK34" s="35">
        <f t="shared" si="9"/>
        <v>0.18495099588997785</v>
      </c>
      <c r="BL34" s="35">
        <f t="shared" si="10"/>
        <v>0.53398672146696169</v>
      </c>
      <c r="BM34" s="35">
        <f t="shared" si="13"/>
        <v>6.7657287385393616E-2</v>
      </c>
      <c r="BN34" s="20">
        <f t="shared" si="11"/>
        <v>323.5060975609756</v>
      </c>
      <c r="BO34" s="20">
        <f t="shared" si="14"/>
        <v>280.3719512195122</v>
      </c>
      <c r="BP34" s="20">
        <f t="shared" si="15"/>
        <v>809.48414634146332</v>
      </c>
      <c r="BQ34" s="20">
        <f t="shared" si="12"/>
        <v>102.56341463414635</v>
      </c>
      <c r="BR34" s="25">
        <v>14.375</v>
      </c>
      <c r="BS34" s="25">
        <v>25.375</v>
      </c>
      <c r="BT34" s="25">
        <v>42.475000000000001</v>
      </c>
      <c r="BU34" s="25">
        <v>49.075000000000003</v>
      </c>
      <c r="BV34" s="25">
        <v>49.075000000000003</v>
      </c>
      <c r="BX34" s="36"/>
      <c r="BY34" s="36">
        <v>-24.98</v>
      </c>
      <c r="BZ34" s="36">
        <v>3.6827000000000001</v>
      </c>
      <c r="CA34" s="36">
        <v>5.74</v>
      </c>
      <c r="CB34" s="28">
        <v>-25.04</v>
      </c>
      <c r="CC34" s="36">
        <v>1.8234999999999999</v>
      </c>
      <c r="CD34" s="36">
        <v>7.86</v>
      </c>
      <c r="CE34">
        <v>-25.61</v>
      </c>
      <c r="CF34" s="28">
        <v>2.3302</v>
      </c>
      <c r="CG34" s="28">
        <v>8.85</v>
      </c>
      <c r="CH34">
        <v>-24.57</v>
      </c>
      <c r="CI34" s="28">
        <v>2.4075000000000002</v>
      </c>
      <c r="CJ34" s="28">
        <v>11.79</v>
      </c>
    </row>
    <row r="35" spans="1:88" x14ac:dyDescent="0.25">
      <c r="A35" s="5" t="s">
        <v>24</v>
      </c>
      <c r="D35" s="5" t="s">
        <v>27</v>
      </c>
      <c r="E35" s="5">
        <v>1985</v>
      </c>
      <c r="F35" s="5">
        <v>1</v>
      </c>
      <c r="G35" s="5">
        <v>3</v>
      </c>
      <c r="H35" s="5">
        <v>2</v>
      </c>
      <c r="I35" s="5">
        <v>134</v>
      </c>
      <c r="J35" s="61"/>
      <c r="K35" s="61"/>
      <c r="R35" s="91">
        <v>0.99730688908352494</v>
      </c>
      <c r="S35" s="5">
        <v>0.9973796871191567</v>
      </c>
      <c r="T35" s="5">
        <v>0.99046991989989641</v>
      </c>
      <c r="U35" s="5">
        <v>0.86513340211225653</v>
      </c>
      <c r="AQ35" s="5">
        <v>0.5</v>
      </c>
      <c r="AR35" s="5">
        <v>3075</v>
      </c>
      <c r="AS35" s="20">
        <f t="shared" si="0"/>
        <v>6150</v>
      </c>
      <c r="AT35" s="5">
        <v>222.8</v>
      </c>
      <c r="AU35" s="5">
        <v>30</v>
      </c>
      <c r="AV35" s="35">
        <f t="shared" si="1"/>
        <v>7.4266666666666667</v>
      </c>
      <c r="AW35" s="32">
        <v>222.8</v>
      </c>
      <c r="AY35" s="32">
        <v>20</v>
      </c>
      <c r="AZ35" s="24">
        <v>7.3</v>
      </c>
      <c r="BA35" s="24">
        <v>4.49</v>
      </c>
      <c r="BB35" s="24">
        <v>15.76</v>
      </c>
      <c r="BC35" s="24">
        <v>2.27</v>
      </c>
      <c r="BD35" s="93">
        <f t="shared" si="2"/>
        <v>29.819999999999997</v>
      </c>
      <c r="BE35" s="35">
        <f t="shared" si="3"/>
        <v>1.4909999999999999</v>
      </c>
      <c r="BF35" s="29">
        <f t="shared" si="4"/>
        <v>7.4266666666666667</v>
      </c>
      <c r="BG35" s="35">
        <f t="shared" si="5"/>
        <v>0.20076301615798922</v>
      </c>
      <c r="BH35" s="20">
        <f t="shared" si="6"/>
        <v>617.34627468581687</v>
      </c>
      <c r="BI35" s="38">
        <f t="shared" si="7"/>
        <v>1234.6925493716337</v>
      </c>
      <c r="BJ35" s="35">
        <f t="shared" si="8"/>
        <v>0.24480214621059693</v>
      </c>
      <c r="BK35" s="35">
        <f t="shared" si="9"/>
        <v>0.15057008718980552</v>
      </c>
      <c r="BL35" s="35">
        <f t="shared" si="10"/>
        <v>0.52850435949027508</v>
      </c>
      <c r="BM35" s="35">
        <f t="shared" si="13"/>
        <v>7.6123407109322611E-2</v>
      </c>
      <c r="BN35" s="20">
        <f t="shared" si="11"/>
        <v>302.25538599640936</v>
      </c>
      <c r="BO35" s="20">
        <f t="shared" si="14"/>
        <v>185.90776481149015</v>
      </c>
      <c r="BP35" s="20">
        <f t="shared" si="15"/>
        <v>652.54039497307008</v>
      </c>
      <c r="BQ35" s="20">
        <f t="shared" si="12"/>
        <v>93.989003590664282</v>
      </c>
      <c r="BR35" s="25">
        <v>4.9333333333333336</v>
      </c>
      <c r="BS35" s="25">
        <v>21.274999999999999</v>
      </c>
      <c r="BT35" s="25">
        <v>23.8</v>
      </c>
      <c r="BU35" s="25">
        <v>45.849999999999994</v>
      </c>
      <c r="BV35" s="25">
        <v>45.849999999999994</v>
      </c>
      <c r="BX35" s="36"/>
      <c r="BY35" s="36">
        <v>-24.68</v>
      </c>
      <c r="BZ35" s="36">
        <v>2.145</v>
      </c>
      <c r="CA35" s="36">
        <v>12.16</v>
      </c>
      <c r="CB35" s="28">
        <v>-25.03</v>
      </c>
      <c r="CC35" s="36">
        <v>1.5669999999999999</v>
      </c>
      <c r="CD35" s="36">
        <v>5.47</v>
      </c>
      <c r="CE35">
        <v>-25.51</v>
      </c>
      <c r="CF35" s="28">
        <v>2.3066</v>
      </c>
      <c r="CG35" s="28">
        <v>10.9</v>
      </c>
      <c r="CH35">
        <v>-24.4</v>
      </c>
      <c r="CI35" s="28">
        <v>2.5998000000000001</v>
      </c>
      <c r="CJ35" s="28">
        <v>12.6</v>
      </c>
    </row>
    <row r="36" spans="1:88" x14ac:dyDescent="0.25">
      <c r="A36" s="5" t="s">
        <v>34</v>
      </c>
      <c r="D36" s="5" t="s">
        <v>41</v>
      </c>
      <c r="E36" s="5">
        <v>2008</v>
      </c>
      <c r="F36" s="5">
        <v>1</v>
      </c>
      <c r="G36" s="5">
        <v>3</v>
      </c>
      <c r="H36" s="5">
        <v>3</v>
      </c>
      <c r="I36" s="5">
        <v>135</v>
      </c>
      <c r="J36" s="61"/>
      <c r="K36" s="61"/>
      <c r="R36" s="91">
        <v>0.98981000809435404</v>
      </c>
      <c r="S36" s="5">
        <v>0.98803942354999685</v>
      </c>
      <c r="T36" s="5">
        <v>0.98065058625099588</v>
      </c>
      <c r="U36" s="5">
        <v>0.92716933693955894</v>
      </c>
      <c r="AQ36" s="32">
        <v>0.5</v>
      </c>
      <c r="AR36" s="5">
        <v>3132</v>
      </c>
      <c r="AS36" s="20">
        <f t="shared" si="0"/>
        <v>6264</v>
      </c>
      <c r="AT36" s="5">
        <v>194.5</v>
      </c>
      <c r="AU36" s="32">
        <v>30</v>
      </c>
      <c r="AV36" s="35">
        <f t="shared" si="1"/>
        <v>6.4833333333333334</v>
      </c>
      <c r="AW36" s="32">
        <v>194.5</v>
      </c>
      <c r="AY36" s="32">
        <v>20</v>
      </c>
      <c r="AZ36" s="24">
        <v>7.31</v>
      </c>
      <c r="BA36" s="24">
        <v>0.75</v>
      </c>
      <c r="BB36" s="24">
        <v>10.98</v>
      </c>
      <c r="BC36" s="24">
        <v>1.56</v>
      </c>
      <c r="BD36" s="93">
        <f t="shared" si="2"/>
        <v>20.599999999999998</v>
      </c>
      <c r="BE36" s="35">
        <f t="shared" si="3"/>
        <v>1.0299999999999998</v>
      </c>
      <c r="BF36" s="29">
        <f t="shared" si="4"/>
        <v>6.4833333333333334</v>
      </c>
      <c r="BG36" s="35">
        <f t="shared" si="5"/>
        <v>0.15886889460154238</v>
      </c>
      <c r="BH36" s="20">
        <f t="shared" si="6"/>
        <v>497.57737789203077</v>
      </c>
      <c r="BI36" s="38">
        <f t="shared" si="7"/>
        <v>995.15475578406154</v>
      </c>
      <c r="BJ36" s="35">
        <f t="shared" si="8"/>
        <v>0.35485436893203887</v>
      </c>
      <c r="BK36" s="35">
        <f t="shared" si="9"/>
        <v>3.6407766990291267E-2</v>
      </c>
      <c r="BL36" s="35">
        <f t="shared" si="10"/>
        <v>0.53300970873786413</v>
      </c>
      <c r="BM36" s="35">
        <f t="shared" si="13"/>
        <v>7.5728155339805842E-2</v>
      </c>
      <c r="BN36" s="20">
        <f t="shared" si="11"/>
        <v>353.13501285347041</v>
      </c>
      <c r="BO36" s="20">
        <f t="shared" si="14"/>
        <v>36.231362467866326</v>
      </c>
      <c r="BP36" s="20">
        <f t="shared" si="15"/>
        <v>530.42714652956295</v>
      </c>
      <c r="BQ36" s="20">
        <f t="shared" si="12"/>
        <v>75.361233933161955</v>
      </c>
      <c r="BR36" s="25">
        <v>5.35</v>
      </c>
      <c r="BS36" s="25">
        <v>19.475000000000001</v>
      </c>
      <c r="BT36" s="25">
        <v>35.774999999999999</v>
      </c>
      <c r="BU36" s="25">
        <v>51.075000000000003</v>
      </c>
      <c r="BV36" s="25">
        <v>51.075000000000003</v>
      </c>
      <c r="BX36" s="36"/>
      <c r="BY36" s="36">
        <v>-25.03</v>
      </c>
      <c r="BZ36" s="36">
        <v>3.0146000000000002</v>
      </c>
      <c r="CA36" s="36">
        <v>7.74</v>
      </c>
      <c r="CB36" s="28">
        <v>-25.82</v>
      </c>
      <c r="CC36" s="36">
        <v>1.9576</v>
      </c>
      <c r="CD36" s="36">
        <v>3.23</v>
      </c>
      <c r="CE36">
        <v>-25.78</v>
      </c>
      <c r="CF36" s="28">
        <v>2.1280000000000001</v>
      </c>
      <c r="CG36" s="28">
        <v>10.91</v>
      </c>
      <c r="CH36">
        <v>-23.43</v>
      </c>
      <c r="CI36" s="28">
        <v>2.5928</v>
      </c>
      <c r="CJ36" s="28">
        <v>21.53</v>
      </c>
    </row>
    <row r="37" spans="1:88" x14ac:dyDescent="0.25">
      <c r="A37" s="5" t="s">
        <v>34</v>
      </c>
      <c r="D37" s="5" t="s">
        <v>36</v>
      </c>
      <c r="E37" s="5">
        <v>1984</v>
      </c>
      <c r="F37" s="5">
        <v>1</v>
      </c>
      <c r="G37" s="5">
        <v>3</v>
      </c>
      <c r="H37" s="5">
        <v>4</v>
      </c>
      <c r="I37" s="5">
        <v>136</v>
      </c>
      <c r="J37" s="61"/>
      <c r="K37" s="61"/>
      <c r="R37" s="91">
        <v>0.99653901802639522</v>
      </c>
      <c r="S37" s="5">
        <v>0.99231031983020335</v>
      </c>
      <c r="T37" s="5">
        <v>0.98604038527560911</v>
      </c>
      <c r="U37" s="5">
        <v>0.89018974713617249</v>
      </c>
      <c r="AQ37" s="5">
        <v>0.5</v>
      </c>
      <c r="AR37" s="5">
        <v>2816</v>
      </c>
      <c r="AS37" s="20">
        <f t="shared" si="0"/>
        <v>5632</v>
      </c>
      <c r="AT37" s="5">
        <v>212.1</v>
      </c>
      <c r="AU37" s="5">
        <v>30</v>
      </c>
      <c r="AV37" s="35">
        <f t="shared" si="1"/>
        <v>7.0699999999999994</v>
      </c>
      <c r="AW37" s="32">
        <v>212.1</v>
      </c>
      <c r="AY37" s="32">
        <v>20</v>
      </c>
      <c r="AZ37" s="24">
        <v>9.9700000000000006</v>
      </c>
      <c r="BA37" s="24">
        <v>1.1599999999999999</v>
      </c>
      <c r="BB37" s="24">
        <v>14.7</v>
      </c>
      <c r="BC37" s="24">
        <v>1.79</v>
      </c>
      <c r="BD37" s="93">
        <f t="shared" si="2"/>
        <v>27.619999999999997</v>
      </c>
      <c r="BE37" s="35">
        <f t="shared" si="3"/>
        <v>1.3809999999999998</v>
      </c>
      <c r="BF37" s="29">
        <f t="shared" si="4"/>
        <v>7.0699999999999994</v>
      </c>
      <c r="BG37" s="35">
        <f t="shared" si="5"/>
        <v>0.19533239038189532</v>
      </c>
      <c r="BH37" s="20">
        <f t="shared" si="6"/>
        <v>550.05601131541721</v>
      </c>
      <c r="BI37" s="38">
        <f t="shared" si="7"/>
        <v>1100.1120226308344</v>
      </c>
      <c r="BJ37" s="35">
        <f t="shared" si="8"/>
        <v>0.36097031136857355</v>
      </c>
      <c r="BK37" s="35">
        <f t="shared" si="9"/>
        <v>4.1998551774076756E-2</v>
      </c>
      <c r="BL37" s="35">
        <f t="shared" si="10"/>
        <v>0.53222302679217959</v>
      </c>
      <c r="BM37" s="35">
        <f t="shared" si="13"/>
        <v>6.4808110065170177E-2</v>
      </c>
      <c r="BN37" s="20">
        <f t="shared" si="11"/>
        <v>397.10777934936351</v>
      </c>
      <c r="BO37" s="20">
        <f t="shared" si="14"/>
        <v>46.203111739745403</v>
      </c>
      <c r="BP37" s="20">
        <f t="shared" si="15"/>
        <v>585.50495049504946</v>
      </c>
      <c r="BQ37" s="20">
        <f t="shared" si="12"/>
        <v>71.296181046676097</v>
      </c>
      <c r="BR37" s="25">
        <v>7.3249999999999993</v>
      </c>
      <c r="BS37" s="25">
        <v>24.2</v>
      </c>
      <c r="BT37" s="25">
        <v>44.525000000000006</v>
      </c>
      <c r="BU37" s="25">
        <v>50.1</v>
      </c>
      <c r="BV37" s="25">
        <v>50.1</v>
      </c>
      <c r="BX37" s="36"/>
      <c r="BY37" s="36">
        <v>-25.4</v>
      </c>
      <c r="BZ37" s="36">
        <v>2.0266999999999999</v>
      </c>
      <c r="CA37" s="36">
        <v>11.24</v>
      </c>
      <c r="CB37" s="28">
        <v>-25.2</v>
      </c>
      <c r="CC37" s="36">
        <v>2.54</v>
      </c>
      <c r="CD37" s="36">
        <v>5.07</v>
      </c>
      <c r="CE37">
        <v>-25.89</v>
      </c>
      <c r="CF37" s="28">
        <v>1.4031</v>
      </c>
      <c r="CG37" s="28">
        <v>13.87</v>
      </c>
      <c r="CH37">
        <v>-23.41</v>
      </c>
      <c r="CI37" s="28">
        <v>3.0779999999999998</v>
      </c>
      <c r="CJ37" s="28">
        <v>18.86</v>
      </c>
    </row>
    <row r="38" spans="1:88" x14ac:dyDescent="0.25">
      <c r="A38" s="5" t="s">
        <v>24</v>
      </c>
      <c r="D38" s="5" t="s">
        <v>313</v>
      </c>
      <c r="E38" s="5">
        <v>2016</v>
      </c>
      <c r="F38" s="5">
        <v>2</v>
      </c>
      <c r="G38" s="5">
        <v>3</v>
      </c>
      <c r="H38" s="5">
        <v>5</v>
      </c>
      <c r="I38" s="5">
        <v>137</v>
      </c>
      <c r="J38" s="61"/>
      <c r="K38" s="61"/>
      <c r="R38" s="91">
        <v>0.99592144571403762</v>
      </c>
      <c r="S38" s="5">
        <v>0.99067842514045112</v>
      </c>
      <c r="T38" s="5">
        <v>0.97996860679634112</v>
      </c>
      <c r="U38" s="5">
        <v>0.93822971237819219</v>
      </c>
      <c r="AQ38" s="32">
        <v>0.5</v>
      </c>
      <c r="AR38" s="5">
        <v>2755</v>
      </c>
      <c r="AS38" s="20">
        <f t="shared" si="0"/>
        <v>5510</v>
      </c>
      <c r="AT38" s="5">
        <v>208.2</v>
      </c>
      <c r="AU38" s="32">
        <v>30</v>
      </c>
      <c r="AV38" s="35">
        <f t="shared" si="1"/>
        <v>6.9399999999999995</v>
      </c>
      <c r="AW38" s="32">
        <v>208.2</v>
      </c>
      <c r="AY38" s="32">
        <v>20</v>
      </c>
      <c r="AZ38" s="24">
        <v>9.86</v>
      </c>
      <c r="BA38" s="24">
        <v>4.3499999999999996</v>
      </c>
      <c r="BB38" s="24">
        <v>12.3</v>
      </c>
      <c r="BC38" s="24">
        <v>1.46</v>
      </c>
      <c r="BD38" s="93">
        <f t="shared" si="2"/>
        <v>27.97</v>
      </c>
      <c r="BE38" s="35">
        <f t="shared" si="3"/>
        <v>1.3984999999999999</v>
      </c>
      <c r="BF38" s="29">
        <f t="shared" si="4"/>
        <v>6.9399999999999995</v>
      </c>
      <c r="BG38" s="35">
        <f t="shared" si="5"/>
        <v>0.2015129682997118</v>
      </c>
      <c r="BH38" s="20">
        <f t="shared" si="6"/>
        <v>555.16822766570601</v>
      </c>
      <c r="BI38" s="38">
        <f t="shared" si="7"/>
        <v>1110.336455331412</v>
      </c>
      <c r="BJ38" s="35">
        <f t="shared" si="8"/>
        <v>0.35252055774043617</v>
      </c>
      <c r="BK38" s="35">
        <f t="shared" si="9"/>
        <v>0.15552377547372184</v>
      </c>
      <c r="BL38" s="35">
        <f t="shared" si="10"/>
        <v>0.43975688237397215</v>
      </c>
      <c r="BM38" s="35">
        <f t="shared" si="13"/>
        <v>5.2198784411869863E-2</v>
      </c>
      <c r="BN38" s="20">
        <f t="shared" si="11"/>
        <v>391.41642651296826</v>
      </c>
      <c r="BO38" s="20">
        <f t="shared" si="14"/>
        <v>172.6837175792507</v>
      </c>
      <c r="BP38" s="20">
        <f t="shared" si="15"/>
        <v>488.27809798270891</v>
      </c>
      <c r="BQ38" s="20">
        <f t="shared" si="12"/>
        <v>57.95821325648415</v>
      </c>
      <c r="BR38" s="25">
        <v>11</v>
      </c>
      <c r="BS38" s="25">
        <v>27.85</v>
      </c>
      <c r="BT38" s="25">
        <v>25.133333333333336</v>
      </c>
      <c r="BU38" s="25">
        <v>46.7</v>
      </c>
      <c r="BV38" s="25">
        <v>46.7</v>
      </c>
      <c r="BX38" s="36"/>
      <c r="BY38" s="36">
        <v>-25</v>
      </c>
      <c r="BZ38" s="36">
        <v>1.7564</v>
      </c>
      <c r="CA38" s="36">
        <v>9.5399999999999991</v>
      </c>
      <c r="CB38" s="28">
        <v>-25.57</v>
      </c>
      <c r="CC38" s="36">
        <v>1.8948</v>
      </c>
      <c r="CD38" s="36">
        <v>4.6500000000000004</v>
      </c>
      <c r="CE38">
        <v>-25.47</v>
      </c>
      <c r="CF38" s="28">
        <v>2.7951000000000001</v>
      </c>
      <c r="CG38" s="28">
        <v>8.66</v>
      </c>
      <c r="CH38">
        <v>-23.78</v>
      </c>
      <c r="CI38" s="28">
        <v>3.0792999999999999</v>
      </c>
      <c r="CJ38" s="28">
        <v>14.12</v>
      </c>
    </row>
    <row r="39" spans="1:88" x14ac:dyDescent="0.25">
      <c r="A39" s="5" t="s">
        <v>24</v>
      </c>
      <c r="D39" s="5" t="s">
        <v>32</v>
      </c>
      <c r="E39" s="5">
        <v>2018</v>
      </c>
      <c r="F39" s="5">
        <v>2</v>
      </c>
      <c r="G39" s="5">
        <v>3</v>
      </c>
      <c r="H39" s="5">
        <v>6</v>
      </c>
      <c r="I39" s="5">
        <v>138</v>
      </c>
      <c r="J39" s="61"/>
      <c r="K39" s="61"/>
      <c r="R39" s="91">
        <v>0.99456753016905697</v>
      </c>
      <c r="S39" s="5">
        <v>0.9949707290655988</v>
      </c>
      <c r="T39" s="5">
        <v>0.98949135077224737</v>
      </c>
      <c r="U39" s="5">
        <v>0.8874313984626836</v>
      </c>
      <c r="AQ39" s="5">
        <v>0.5</v>
      </c>
      <c r="AR39" s="5">
        <v>3089</v>
      </c>
      <c r="AS39" s="20">
        <f t="shared" si="0"/>
        <v>6178</v>
      </c>
      <c r="AT39" s="5">
        <v>262.88</v>
      </c>
      <c r="AU39" s="5">
        <v>30</v>
      </c>
      <c r="AV39" s="35">
        <f t="shared" si="1"/>
        <v>8.7626666666666662</v>
      </c>
      <c r="AW39" s="32">
        <v>262.88</v>
      </c>
      <c r="AY39" s="32">
        <v>20</v>
      </c>
      <c r="AZ39" s="24">
        <v>11.01</v>
      </c>
      <c r="BA39" s="24">
        <v>5.22</v>
      </c>
      <c r="BB39" s="24">
        <v>17.59</v>
      </c>
      <c r="BC39" s="24">
        <v>1.65</v>
      </c>
      <c r="BD39" s="93">
        <f t="shared" si="2"/>
        <v>35.47</v>
      </c>
      <c r="BE39" s="35">
        <f t="shared" si="3"/>
        <v>1.7734999999999999</v>
      </c>
      <c r="BF39" s="29">
        <f t="shared" si="4"/>
        <v>8.7626666666666662</v>
      </c>
      <c r="BG39" s="35">
        <f t="shared" si="5"/>
        <v>0.20239272671941569</v>
      </c>
      <c r="BH39" s="20">
        <f t="shared" si="6"/>
        <v>625.19113283627507</v>
      </c>
      <c r="BI39" s="38">
        <f t="shared" si="7"/>
        <v>1250.3822656725501</v>
      </c>
      <c r="BJ39" s="35">
        <f t="shared" si="8"/>
        <v>0.3104031575979701</v>
      </c>
      <c r="BK39" s="35">
        <f t="shared" si="9"/>
        <v>0.14716661967860165</v>
      </c>
      <c r="BL39" s="35">
        <f t="shared" si="10"/>
        <v>0.49591203834226105</v>
      </c>
      <c r="BM39" s="35">
        <f t="shared" si="13"/>
        <v>4.6518184381167185E-2</v>
      </c>
      <c r="BN39" s="20">
        <f t="shared" si="11"/>
        <v>388.12260346926348</v>
      </c>
      <c r="BO39" s="20">
        <f t="shared" si="14"/>
        <v>184.01453134510044</v>
      </c>
      <c r="BP39" s="20">
        <f t="shared" si="15"/>
        <v>620.07961807668892</v>
      </c>
      <c r="BQ39" s="20">
        <f t="shared" si="12"/>
        <v>58.165512781497263</v>
      </c>
      <c r="BR39" s="25">
        <v>11.249999999999998</v>
      </c>
      <c r="BS39" s="25">
        <v>24.774999999999999</v>
      </c>
      <c r="BT39" s="25">
        <v>46.6</v>
      </c>
      <c r="BU39" s="25">
        <v>50.474999999999994</v>
      </c>
      <c r="BV39" s="25">
        <v>50.474999999999994</v>
      </c>
      <c r="BX39" s="36"/>
      <c r="BY39" s="36">
        <v>-25.17</v>
      </c>
      <c r="BZ39" s="36">
        <v>1.3556999999999999</v>
      </c>
      <c r="CA39" s="36">
        <v>9.6199999999999992</v>
      </c>
      <c r="CB39" s="28">
        <v>-24.94</v>
      </c>
      <c r="CC39" s="36">
        <v>2.1421999999999999</v>
      </c>
      <c r="CD39" s="36">
        <v>4.32</v>
      </c>
      <c r="CE39">
        <v>-25.41</v>
      </c>
      <c r="CF39" s="28">
        <v>2.1179000000000001</v>
      </c>
      <c r="CG39" s="28">
        <v>12.63</v>
      </c>
      <c r="CH39">
        <v>-23.58</v>
      </c>
      <c r="CI39" s="28">
        <v>3.7336999999999998</v>
      </c>
      <c r="CJ39" s="28">
        <v>18.95</v>
      </c>
    </row>
    <row r="40" spans="1:88" x14ac:dyDescent="0.25">
      <c r="A40" s="5" t="s">
        <v>34</v>
      </c>
      <c r="D40" s="5" t="s">
        <v>39</v>
      </c>
      <c r="E40" s="5">
        <v>2001</v>
      </c>
      <c r="F40" s="5">
        <v>2</v>
      </c>
      <c r="G40" s="5">
        <v>3</v>
      </c>
      <c r="H40" s="5">
        <v>7</v>
      </c>
      <c r="I40" s="5">
        <v>139</v>
      </c>
      <c r="J40" s="61"/>
      <c r="K40" s="61"/>
      <c r="R40" s="91">
        <v>0.98376909312537852</v>
      </c>
      <c r="S40" s="5">
        <v>0.98904926348542344</v>
      </c>
      <c r="T40" s="5">
        <v>0.97079461710072523</v>
      </c>
      <c r="U40" s="5">
        <v>0.77068231369161111</v>
      </c>
      <c r="AQ40" s="32">
        <v>0.5</v>
      </c>
      <c r="AR40" s="5">
        <v>3473</v>
      </c>
      <c r="AS40" s="20">
        <f t="shared" si="0"/>
        <v>6946</v>
      </c>
      <c r="AT40" s="5">
        <v>161.44999999999999</v>
      </c>
      <c r="AU40" s="32">
        <v>30</v>
      </c>
      <c r="AV40" s="35">
        <f t="shared" si="1"/>
        <v>5.3816666666666659</v>
      </c>
      <c r="AW40" s="32">
        <v>161.44999999999999</v>
      </c>
      <c r="AY40" s="32">
        <v>20</v>
      </c>
      <c r="AZ40" s="24">
        <v>4.74</v>
      </c>
      <c r="BA40" s="24">
        <v>0.88</v>
      </c>
      <c r="BB40" s="24">
        <v>7.66</v>
      </c>
      <c r="BC40" s="24">
        <v>0.95</v>
      </c>
      <c r="BD40" s="93">
        <f t="shared" si="2"/>
        <v>14.23</v>
      </c>
      <c r="BE40" s="35">
        <f t="shared" si="3"/>
        <v>0.71150000000000002</v>
      </c>
      <c r="BF40" s="29">
        <f t="shared" si="4"/>
        <v>5.3816666666666659</v>
      </c>
      <c r="BG40" s="35">
        <f t="shared" si="5"/>
        <v>0.13220811396717252</v>
      </c>
      <c r="BH40" s="20">
        <f t="shared" si="6"/>
        <v>459.15877980799019</v>
      </c>
      <c r="BI40" s="38">
        <f t="shared" si="7"/>
        <v>918.31755961598037</v>
      </c>
      <c r="BJ40" s="35">
        <f t="shared" si="8"/>
        <v>0.33309908643710473</v>
      </c>
      <c r="BK40" s="35">
        <f t="shared" si="9"/>
        <v>6.1841180604356991E-2</v>
      </c>
      <c r="BL40" s="35">
        <f t="shared" si="10"/>
        <v>0.53829936753338015</v>
      </c>
      <c r="BM40" s="35">
        <f t="shared" si="13"/>
        <v>6.6760365425158105E-2</v>
      </c>
      <c r="BN40" s="20">
        <f t="shared" si="11"/>
        <v>305.89074016723453</v>
      </c>
      <c r="BO40" s="20">
        <f t="shared" si="14"/>
        <v>56.789842056364208</v>
      </c>
      <c r="BP40" s="20">
        <f t="shared" si="15"/>
        <v>494.32976153607933</v>
      </c>
      <c r="BQ40" s="20">
        <f t="shared" si="12"/>
        <v>61.307215856302264</v>
      </c>
      <c r="BR40" s="25">
        <v>8.9749999999999996</v>
      </c>
      <c r="BS40" s="25">
        <v>24.099999999999998</v>
      </c>
      <c r="BT40" s="25">
        <v>25.1</v>
      </c>
      <c r="BU40" s="25">
        <v>45.974999999999994</v>
      </c>
      <c r="BV40" s="25">
        <v>45.974999999999994</v>
      </c>
      <c r="BX40" s="36"/>
      <c r="BY40" s="36">
        <v>-24.91</v>
      </c>
      <c r="BZ40" s="36">
        <v>2.7951999999999999</v>
      </c>
      <c r="CA40" s="36">
        <v>7.08</v>
      </c>
      <c r="CB40" s="28">
        <v>-25.23</v>
      </c>
      <c r="CC40" s="36">
        <v>2.4165000000000001</v>
      </c>
      <c r="CD40" s="36">
        <v>5.12</v>
      </c>
      <c r="CE40">
        <v>-25.7</v>
      </c>
      <c r="CF40" s="28">
        <v>2.2784</v>
      </c>
      <c r="CG40" s="28">
        <v>9.64</v>
      </c>
      <c r="CH40">
        <v>-23.83</v>
      </c>
      <c r="CI40" s="28">
        <v>3.8207</v>
      </c>
      <c r="CJ40" s="28">
        <v>11.75</v>
      </c>
    </row>
    <row r="41" spans="1:88" x14ac:dyDescent="0.25">
      <c r="A41" s="5" t="s">
        <v>34</v>
      </c>
      <c r="D41" s="5" t="s">
        <v>38</v>
      </c>
      <c r="E41" s="5">
        <v>1999</v>
      </c>
      <c r="F41" s="5">
        <v>2</v>
      </c>
      <c r="G41" s="5">
        <v>3</v>
      </c>
      <c r="H41" s="5">
        <v>8</v>
      </c>
      <c r="I41" s="5">
        <v>140</v>
      </c>
      <c r="J41" s="61"/>
      <c r="K41" s="61"/>
      <c r="R41" s="91">
        <v>0.98074767067223956</v>
      </c>
      <c r="S41" s="5">
        <v>0.98525121908742597</v>
      </c>
      <c r="T41" s="5">
        <v>0.98442312449138336</v>
      </c>
      <c r="U41" s="5">
        <v>0.93425979418119054</v>
      </c>
      <c r="AQ41" s="5">
        <v>0.5</v>
      </c>
      <c r="AR41" s="5">
        <v>3009</v>
      </c>
      <c r="AS41" s="20">
        <f t="shared" si="0"/>
        <v>6018</v>
      </c>
      <c r="AT41" s="5">
        <v>215.01</v>
      </c>
      <c r="AU41" s="5">
        <v>30</v>
      </c>
      <c r="AV41" s="35">
        <f t="shared" si="1"/>
        <v>7.1669999999999998</v>
      </c>
      <c r="AW41" s="32">
        <v>215.01</v>
      </c>
      <c r="AY41" s="32">
        <v>20</v>
      </c>
      <c r="AZ41" s="24">
        <v>8.0299999999999994</v>
      </c>
      <c r="BA41" s="24">
        <v>1.58</v>
      </c>
      <c r="BB41" s="24">
        <v>13</v>
      </c>
      <c r="BC41" s="24">
        <v>1.05</v>
      </c>
      <c r="BD41" s="93">
        <f t="shared" si="2"/>
        <v>23.66</v>
      </c>
      <c r="BE41" s="35">
        <f t="shared" si="3"/>
        <v>1.1830000000000001</v>
      </c>
      <c r="BF41" s="29">
        <f t="shared" si="4"/>
        <v>7.1669999999999998</v>
      </c>
      <c r="BG41" s="35">
        <f t="shared" si="5"/>
        <v>0.16506209013534257</v>
      </c>
      <c r="BH41" s="20">
        <f t="shared" si="6"/>
        <v>496.67182921724577</v>
      </c>
      <c r="BI41" s="38">
        <f t="shared" si="7"/>
        <v>993.34365843449154</v>
      </c>
      <c r="BJ41" s="35">
        <f t="shared" si="8"/>
        <v>0.33939137785291629</v>
      </c>
      <c r="BK41" s="35">
        <f t="shared" si="9"/>
        <v>6.6779374471682168E-2</v>
      </c>
      <c r="BL41" s="35">
        <f t="shared" si="10"/>
        <v>0.5494505494505495</v>
      </c>
      <c r="BM41" s="35">
        <f t="shared" si="13"/>
        <v>4.4378698224852076E-2</v>
      </c>
      <c r="BN41" s="20">
        <f t="shared" si="11"/>
        <v>337.13227291753873</v>
      </c>
      <c r="BO41" s="20">
        <f t="shared" si="14"/>
        <v>66.334868145667656</v>
      </c>
      <c r="BP41" s="20">
        <f t="shared" si="15"/>
        <v>545.79321892005032</v>
      </c>
      <c r="BQ41" s="20">
        <f t="shared" si="12"/>
        <v>44.083298451234839</v>
      </c>
      <c r="BR41" s="25">
        <v>14.174999999999999</v>
      </c>
      <c r="BS41" s="25">
        <v>27.45</v>
      </c>
      <c r="BT41" s="25">
        <v>45.75</v>
      </c>
      <c r="BU41" s="25">
        <v>40.024999999999999</v>
      </c>
      <c r="BV41" s="25">
        <v>40.024999999999999</v>
      </c>
      <c r="BX41" s="36"/>
      <c r="BY41" s="36">
        <v>-24.92</v>
      </c>
      <c r="BZ41" s="36">
        <v>2.0968</v>
      </c>
      <c r="CA41" s="36">
        <v>9.93</v>
      </c>
      <c r="CB41" s="28">
        <v>-25.35</v>
      </c>
      <c r="CC41" s="36">
        <v>2.3235999999999999</v>
      </c>
      <c r="CD41" s="36">
        <v>5.22</v>
      </c>
      <c r="CE41">
        <v>-25.71</v>
      </c>
      <c r="CF41" s="28">
        <v>2.0102000000000002</v>
      </c>
      <c r="CG41" s="28">
        <v>10.28</v>
      </c>
      <c r="CH41">
        <v>-23.44</v>
      </c>
      <c r="CI41" s="28">
        <v>4.1868999999999996</v>
      </c>
      <c r="CJ41" s="28">
        <v>15.71</v>
      </c>
    </row>
    <row r="42" spans="1:88" x14ac:dyDescent="0.25">
      <c r="A42" s="5" t="s">
        <v>24</v>
      </c>
      <c r="D42" s="5" t="s">
        <v>28</v>
      </c>
      <c r="E42" s="5">
        <v>1998</v>
      </c>
      <c r="F42" s="5">
        <v>3</v>
      </c>
      <c r="G42" s="5">
        <v>3</v>
      </c>
      <c r="H42" s="5">
        <v>9</v>
      </c>
      <c r="I42" s="5">
        <v>141</v>
      </c>
      <c r="R42" s="91">
        <v>0.99046226989703567</v>
      </c>
      <c r="S42" s="5">
        <v>0.99361320326034797</v>
      </c>
      <c r="T42" s="5">
        <v>0.99140893494183591</v>
      </c>
      <c r="U42" s="5">
        <v>0.88775068969516135</v>
      </c>
      <c r="AQ42" s="32">
        <v>0.5</v>
      </c>
      <c r="AR42" s="5">
        <v>3502</v>
      </c>
      <c r="AS42" s="20">
        <f t="shared" si="0"/>
        <v>7004</v>
      </c>
      <c r="AT42" s="5">
        <v>183.97</v>
      </c>
      <c r="AU42" s="32">
        <v>30</v>
      </c>
      <c r="AV42" s="35">
        <f t="shared" si="1"/>
        <v>6.1323333333333334</v>
      </c>
      <c r="AW42" s="32">
        <v>183.97</v>
      </c>
      <c r="AY42" s="32">
        <v>20</v>
      </c>
      <c r="AZ42" s="24">
        <v>7.86</v>
      </c>
      <c r="BA42" s="24">
        <v>4.83</v>
      </c>
      <c r="BB42" s="24">
        <v>10.93</v>
      </c>
      <c r="BC42" s="24">
        <v>0.95</v>
      </c>
      <c r="BD42" s="93">
        <f t="shared" si="2"/>
        <v>24.57</v>
      </c>
      <c r="BE42" s="35">
        <f t="shared" si="3"/>
        <v>1.2284999999999999</v>
      </c>
      <c r="BF42" s="29">
        <f t="shared" si="4"/>
        <v>6.1323333333333334</v>
      </c>
      <c r="BG42" s="35">
        <f t="shared" si="5"/>
        <v>0.20033157580040223</v>
      </c>
      <c r="BH42" s="20">
        <f t="shared" si="6"/>
        <v>701.56117845300855</v>
      </c>
      <c r="BI42" s="38">
        <f t="shared" si="7"/>
        <v>1403.1223569060171</v>
      </c>
      <c r="BJ42" s="35">
        <f t="shared" si="8"/>
        <v>0.31990231990231993</v>
      </c>
      <c r="BK42" s="35">
        <f t="shared" si="9"/>
        <v>0.19658119658119658</v>
      </c>
      <c r="BL42" s="35">
        <f t="shared" si="10"/>
        <v>0.44485144485144484</v>
      </c>
      <c r="BM42" s="35">
        <f t="shared" si="13"/>
        <v>3.8665038665038662E-2</v>
      </c>
      <c r="BN42" s="20">
        <f t="shared" si="11"/>
        <v>448.86209708104582</v>
      </c>
      <c r="BO42" s="20">
        <f t="shared" si="14"/>
        <v>275.8274718704136</v>
      </c>
      <c r="BP42" s="20">
        <f t="shared" si="15"/>
        <v>624.1810077730064</v>
      </c>
      <c r="BQ42" s="20">
        <f t="shared" si="12"/>
        <v>54.251780181551325</v>
      </c>
      <c r="BR42" s="25">
        <v>4.6000000000000005</v>
      </c>
      <c r="BS42" s="25">
        <v>13</v>
      </c>
      <c r="BT42" s="25">
        <v>29.700000000000003</v>
      </c>
      <c r="BU42" s="25">
        <v>43.35</v>
      </c>
      <c r="BV42" s="25">
        <v>43.35</v>
      </c>
      <c r="BX42" s="36"/>
      <c r="BY42" s="36">
        <v>-24.71</v>
      </c>
      <c r="BZ42" s="36">
        <v>1.724</v>
      </c>
      <c r="CA42" s="36">
        <v>12.04</v>
      </c>
      <c r="CB42" s="28">
        <v>-25.58</v>
      </c>
      <c r="CC42" s="36">
        <v>1.8180000000000001</v>
      </c>
      <c r="CD42" s="36">
        <v>4.96</v>
      </c>
      <c r="CE42">
        <v>-25.65</v>
      </c>
      <c r="CF42" s="28">
        <v>2.1055999999999999</v>
      </c>
      <c r="CG42" s="28">
        <v>10.65</v>
      </c>
      <c r="CH42">
        <v>-23.71</v>
      </c>
      <c r="CI42" s="28">
        <v>2.7808000000000002</v>
      </c>
      <c r="CJ42" s="28">
        <v>18.41</v>
      </c>
    </row>
    <row r="43" spans="1:88" x14ac:dyDescent="0.25">
      <c r="A43" s="5" t="s">
        <v>24</v>
      </c>
      <c r="D43" s="5" t="s">
        <v>29</v>
      </c>
      <c r="E43" s="5">
        <v>1999</v>
      </c>
      <c r="F43" s="5">
        <v>3</v>
      </c>
      <c r="G43" s="5">
        <v>3</v>
      </c>
      <c r="H43" s="5">
        <v>10</v>
      </c>
      <c r="I43" s="5">
        <v>142</v>
      </c>
      <c r="R43" s="91">
        <v>0.99824692216354272</v>
      </c>
      <c r="S43" s="5">
        <v>0.9967208164445035</v>
      </c>
      <c r="T43" s="5">
        <v>0.9946299765112242</v>
      </c>
      <c r="U43" s="5">
        <v>0.89080345663770488</v>
      </c>
      <c r="AQ43" s="5">
        <v>0.5</v>
      </c>
      <c r="AR43" s="5">
        <v>2690</v>
      </c>
      <c r="AS43" s="20">
        <f t="shared" si="0"/>
        <v>5380</v>
      </c>
      <c r="AT43" s="5">
        <v>203.8</v>
      </c>
      <c r="AU43" s="5">
        <v>30</v>
      </c>
      <c r="AV43" s="35">
        <f t="shared" si="1"/>
        <v>6.7933333333333339</v>
      </c>
      <c r="AW43" s="32">
        <v>203.8</v>
      </c>
      <c r="AY43" s="32">
        <v>20</v>
      </c>
      <c r="AZ43" s="24">
        <v>6.23</v>
      </c>
      <c r="BA43" s="24">
        <v>5.94</v>
      </c>
      <c r="BB43" s="24">
        <v>10.1</v>
      </c>
      <c r="BC43" s="24">
        <v>0.51</v>
      </c>
      <c r="BD43" s="93">
        <f t="shared" si="2"/>
        <v>22.780000000000005</v>
      </c>
      <c r="BE43" s="35">
        <f t="shared" si="3"/>
        <v>1.1390000000000002</v>
      </c>
      <c r="BF43" s="29">
        <f t="shared" si="4"/>
        <v>6.7933333333333339</v>
      </c>
      <c r="BG43" s="35">
        <f t="shared" si="5"/>
        <v>0.16766437684003926</v>
      </c>
      <c r="BH43" s="20">
        <f t="shared" si="6"/>
        <v>451.01717369970561</v>
      </c>
      <c r="BI43" s="38">
        <f t="shared" si="7"/>
        <v>902.03434739941122</v>
      </c>
      <c r="BJ43" s="35">
        <f t="shared" si="8"/>
        <v>0.27348551360842843</v>
      </c>
      <c r="BK43" s="35">
        <f t="shared" si="9"/>
        <v>0.26075504828797186</v>
      </c>
      <c r="BL43" s="35">
        <f t="shared" si="10"/>
        <v>0.443371378402107</v>
      </c>
      <c r="BM43" s="35">
        <f t="shared" si="13"/>
        <v>2.2388059701492533E-2</v>
      </c>
      <c r="BN43" s="20">
        <f t="shared" si="11"/>
        <v>246.69332679097153</v>
      </c>
      <c r="BO43" s="20">
        <f t="shared" si="14"/>
        <v>235.21000981354265</v>
      </c>
      <c r="BP43" s="20">
        <f t="shared" si="15"/>
        <v>399.93621197252202</v>
      </c>
      <c r="BQ43" s="20">
        <f t="shared" si="12"/>
        <v>20.194798822374874</v>
      </c>
      <c r="BR43" s="25">
        <v>21.174999999999997</v>
      </c>
      <c r="BS43" s="25">
        <v>13.649999999999999</v>
      </c>
      <c r="BT43" s="25">
        <v>35.700000000000003</v>
      </c>
      <c r="BU43" s="25">
        <v>44.7</v>
      </c>
      <c r="BV43" s="25">
        <v>44.7</v>
      </c>
      <c r="BX43" s="36"/>
      <c r="BY43" s="36">
        <v>-24.3</v>
      </c>
      <c r="BZ43" s="36">
        <v>1.1896</v>
      </c>
      <c r="CA43" s="36">
        <v>12.36</v>
      </c>
      <c r="CB43" s="28">
        <v>-24.65</v>
      </c>
      <c r="CC43" s="36">
        <v>2.4161000000000001</v>
      </c>
      <c r="CD43" s="36">
        <v>6.42</v>
      </c>
      <c r="CE43">
        <v>-26.12</v>
      </c>
      <c r="CF43" s="28">
        <v>3.4198</v>
      </c>
      <c r="CG43" s="28">
        <v>8.43</v>
      </c>
      <c r="CH43">
        <v>-23.97</v>
      </c>
      <c r="CI43" s="28">
        <v>3.4821</v>
      </c>
      <c r="CJ43" s="28">
        <v>12.24</v>
      </c>
    </row>
    <row r="44" spans="1:88" x14ac:dyDescent="0.25">
      <c r="A44" s="5" t="s">
        <v>34</v>
      </c>
      <c r="D44" s="5" t="s">
        <v>43</v>
      </c>
      <c r="E44" s="5">
        <v>2020</v>
      </c>
      <c r="F44" s="5">
        <v>3</v>
      </c>
      <c r="G44" s="5">
        <v>3</v>
      </c>
      <c r="H44" s="5">
        <v>11</v>
      </c>
      <c r="I44" s="5">
        <v>143</v>
      </c>
      <c r="R44" s="91">
        <v>0.98977492276568169</v>
      </c>
      <c r="S44" s="5">
        <v>0.98515966944803035</v>
      </c>
      <c r="T44" s="5">
        <v>0.97534161822343435</v>
      </c>
      <c r="U44" s="5">
        <v>0.89431939555446471</v>
      </c>
      <c r="AQ44" s="32">
        <v>0.5</v>
      </c>
      <c r="AR44" s="5">
        <v>3177</v>
      </c>
      <c r="AS44" s="20">
        <f t="shared" si="0"/>
        <v>6354</v>
      </c>
      <c r="AT44" s="5">
        <v>252.6</v>
      </c>
      <c r="AU44" s="32">
        <v>30</v>
      </c>
      <c r="AV44" s="35">
        <f t="shared" si="1"/>
        <v>8.42</v>
      </c>
      <c r="AW44" s="32">
        <v>252.6</v>
      </c>
      <c r="AY44" s="32">
        <v>20</v>
      </c>
      <c r="AZ44" s="24">
        <v>8.7899999999999991</v>
      </c>
      <c r="BA44" s="24">
        <v>1.08</v>
      </c>
      <c r="BB44" s="24">
        <v>15.98</v>
      </c>
      <c r="BC44" s="24">
        <v>1.61</v>
      </c>
      <c r="BD44" s="93">
        <f t="shared" si="2"/>
        <v>27.46</v>
      </c>
      <c r="BE44" s="35">
        <f t="shared" si="3"/>
        <v>1.373</v>
      </c>
      <c r="BF44" s="29">
        <f t="shared" si="4"/>
        <v>8.42</v>
      </c>
      <c r="BG44" s="35">
        <f t="shared" si="5"/>
        <v>0.16306413301662709</v>
      </c>
      <c r="BH44" s="20">
        <f t="shared" si="6"/>
        <v>518.05475059382422</v>
      </c>
      <c r="BI44" s="38">
        <f t="shared" si="7"/>
        <v>1036.1095011876484</v>
      </c>
      <c r="BJ44" s="35">
        <f t="shared" si="8"/>
        <v>0.32010196649672246</v>
      </c>
      <c r="BK44" s="35">
        <f t="shared" si="9"/>
        <v>3.9329934450109252E-2</v>
      </c>
      <c r="BL44" s="35">
        <f t="shared" si="10"/>
        <v>0.58193736343772762</v>
      </c>
      <c r="BM44" s="35">
        <f t="shared" si="13"/>
        <v>5.8630735615440639E-2</v>
      </c>
      <c r="BN44" s="20">
        <f t="shared" si="11"/>
        <v>331.66068883610444</v>
      </c>
      <c r="BO44" s="20">
        <f t="shared" si="14"/>
        <v>40.75011876484561</v>
      </c>
      <c r="BP44" s="20">
        <f t="shared" si="15"/>
        <v>602.95083135391928</v>
      </c>
      <c r="BQ44" s="20">
        <f t="shared" si="12"/>
        <v>60.747862232779092</v>
      </c>
      <c r="BR44" s="25">
        <v>6.6000000000000014</v>
      </c>
      <c r="BS44" s="25">
        <v>34.700000000000003</v>
      </c>
      <c r="BT44" s="25">
        <v>39.6</v>
      </c>
      <c r="BU44" s="25">
        <v>48.925000000000004</v>
      </c>
      <c r="BV44" s="25">
        <v>48.925000000000004</v>
      </c>
      <c r="BX44" s="36"/>
      <c r="BY44" s="36">
        <v>-24.99</v>
      </c>
      <c r="BZ44" s="36">
        <v>1.4651000000000001</v>
      </c>
      <c r="CA44" s="36">
        <v>10.17</v>
      </c>
      <c r="CB44" s="28">
        <v>-25.44</v>
      </c>
      <c r="CC44" s="36">
        <v>2.6960000000000002</v>
      </c>
      <c r="CD44" s="36">
        <v>5.17</v>
      </c>
      <c r="CE44">
        <v>-25.89</v>
      </c>
      <c r="CF44" s="28">
        <v>1.9530000000000001</v>
      </c>
      <c r="CG44" s="28">
        <v>13.24</v>
      </c>
      <c r="CH44">
        <v>-23.74</v>
      </c>
      <c r="CI44" s="28">
        <v>4.2333999999999996</v>
      </c>
      <c r="CJ44" s="28">
        <v>13.75</v>
      </c>
    </row>
    <row r="45" spans="1:88" x14ac:dyDescent="0.25">
      <c r="A45" s="5" t="s">
        <v>34</v>
      </c>
      <c r="D45" s="5" t="s">
        <v>318</v>
      </c>
      <c r="E45" s="5">
        <v>2004</v>
      </c>
      <c r="F45" s="5">
        <v>3</v>
      </c>
      <c r="G45" s="5">
        <v>3</v>
      </c>
      <c r="H45" s="5">
        <v>12</v>
      </c>
      <c r="I45" s="5">
        <v>144</v>
      </c>
      <c r="R45" s="91">
        <v>0.99499255543053755</v>
      </c>
      <c r="S45" s="5">
        <v>0.99577290122980167</v>
      </c>
      <c r="T45" s="5">
        <v>0.98929101877507142</v>
      </c>
      <c r="U45" s="5">
        <v>0.9297512193122669</v>
      </c>
      <c r="AQ45" s="5">
        <v>0.5</v>
      </c>
      <c r="AR45" s="5">
        <v>2753</v>
      </c>
      <c r="AS45" s="20">
        <f t="shared" si="0"/>
        <v>5506</v>
      </c>
      <c r="AT45" s="5">
        <v>191.95</v>
      </c>
      <c r="AU45" s="5">
        <v>30</v>
      </c>
      <c r="AV45" s="35">
        <f t="shared" si="1"/>
        <v>6.3983333333333325</v>
      </c>
      <c r="AW45" s="32">
        <v>191.95</v>
      </c>
      <c r="AY45" s="32">
        <v>20</v>
      </c>
      <c r="AZ45" s="24">
        <v>6.4</v>
      </c>
      <c r="BA45" s="24">
        <v>1.33</v>
      </c>
      <c r="BB45" s="24">
        <v>10.71</v>
      </c>
      <c r="BC45" s="24">
        <v>0.68</v>
      </c>
      <c r="BD45" s="93">
        <f t="shared" si="2"/>
        <v>19.12</v>
      </c>
      <c r="BE45" s="35">
        <f t="shared" si="3"/>
        <v>0.95600000000000007</v>
      </c>
      <c r="BF45" s="29">
        <f t="shared" si="4"/>
        <v>6.3983333333333325</v>
      </c>
      <c r="BG45" s="35">
        <f t="shared" si="5"/>
        <v>0.14941390987236264</v>
      </c>
      <c r="BH45" s="20">
        <f t="shared" si="6"/>
        <v>411.33649387861436</v>
      </c>
      <c r="BI45" s="38">
        <f t="shared" si="7"/>
        <v>822.67298775722873</v>
      </c>
      <c r="BJ45" s="35">
        <f t="shared" si="8"/>
        <v>0.33472803347280333</v>
      </c>
      <c r="BK45" s="35">
        <f t="shared" si="9"/>
        <v>6.956066945606694E-2</v>
      </c>
      <c r="BL45" s="35">
        <f t="shared" si="10"/>
        <v>0.56014644351464438</v>
      </c>
      <c r="BM45" s="35">
        <f t="shared" si="13"/>
        <v>3.5564853556485358E-2</v>
      </c>
      <c r="BN45" s="20">
        <f t="shared" si="11"/>
        <v>275.37171138317279</v>
      </c>
      <c r="BO45" s="20">
        <f t="shared" si="14"/>
        <v>57.225683771815589</v>
      </c>
      <c r="BP45" s="20">
        <f t="shared" si="15"/>
        <v>460.81734826777824</v>
      </c>
      <c r="BQ45" s="20">
        <f t="shared" si="12"/>
        <v>29.258244334462113</v>
      </c>
      <c r="BR45" s="25">
        <v>5.9</v>
      </c>
      <c r="BS45" s="25">
        <v>28.825000000000003</v>
      </c>
      <c r="BT45" s="25">
        <v>37.625</v>
      </c>
      <c r="BU45" s="25">
        <v>49.15</v>
      </c>
      <c r="BV45" s="25">
        <v>49.15</v>
      </c>
      <c r="BX45" s="36"/>
      <c r="BY45" s="36">
        <v>-25.2</v>
      </c>
      <c r="BZ45" s="36">
        <v>1.7487999999999999</v>
      </c>
      <c r="CA45" s="36">
        <v>12.36</v>
      </c>
      <c r="CB45" s="28">
        <v>-25.17</v>
      </c>
      <c r="CC45" s="36">
        <v>2.6947999999999999</v>
      </c>
      <c r="CD45" s="36">
        <v>2.87</v>
      </c>
      <c r="CE45">
        <v>-25.53</v>
      </c>
      <c r="CF45" s="28">
        <v>3.0491000000000001</v>
      </c>
      <c r="CG45" s="28">
        <v>6.17</v>
      </c>
      <c r="CH45">
        <v>-23.51</v>
      </c>
      <c r="CI45" s="28">
        <v>4.1158000000000001</v>
      </c>
      <c r="CJ45" s="28">
        <v>14.97</v>
      </c>
    </row>
    <row r="46" spans="1:88" x14ac:dyDescent="0.25">
      <c r="A46" s="5" t="s">
        <v>24</v>
      </c>
      <c r="D46" s="5" t="s">
        <v>311</v>
      </c>
      <c r="E46" s="5">
        <v>2023</v>
      </c>
      <c r="F46" s="5">
        <v>4</v>
      </c>
      <c r="G46" s="5">
        <v>3</v>
      </c>
      <c r="H46" s="5">
        <v>13</v>
      </c>
      <c r="I46" s="5">
        <v>145</v>
      </c>
      <c r="R46" s="91">
        <v>0.99608457762134639</v>
      </c>
      <c r="S46" s="5">
        <v>0.9954946244811701</v>
      </c>
      <c r="T46" s="5">
        <v>0.98969852958005433</v>
      </c>
      <c r="U46" s="5">
        <v>0.85517403336644959</v>
      </c>
      <c r="AQ46" s="32">
        <v>0.5</v>
      </c>
      <c r="AR46" s="5">
        <v>3570</v>
      </c>
      <c r="AS46" s="20">
        <f t="shared" si="0"/>
        <v>7140</v>
      </c>
      <c r="AT46" s="5">
        <v>252.7</v>
      </c>
      <c r="AU46" s="32">
        <v>30</v>
      </c>
      <c r="AV46" s="35">
        <f t="shared" si="1"/>
        <v>8.4233333333333338</v>
      </c>
      <c r="AW46" s="32">
        <v>252.7</v>
      </c>
      <c r="AY46" s="32">
        <v>20</v>
      </c>
      <c r="AZ46" s="24">
        <v>9.83</v>
      </c>
      <c r="BA46" s="24">
        <v>4.83</v>
      </c>
      <c r="BB46" s="24">
        <v>18.8</v>
      </c>
      <c r="BC46" s="24">
        <v>1.88</v>
      </c>
      <c r="BD46" s="93">
        <f t="shared" si="2"/>
        <v>35.340000000000003</v>
      </c>
      <c r="BE46" s="35">
        <f t="shared" si="3"/>
        <v>1.7670000000000001</v>
      </c>
      <c r="BF46" s="29">
        <f t="shared" si="4"/>
        <v>8.4233333333333338</v>
      </c>
      <c r="BG46" s="35">
        <f t="shared" si="5"/>
        <v>0.20977443609022556</v>
      </c>
      <c r="BH46" s="20">
        <f t="shared" si="6"/>
        <v>748.8947368421052</v>
      </c>
      <c r="BI46" s="38">
        <f t="shared" si="7"/>
        <v>1497.7894736842104</v>
      </c>
      <c r="BJ46" s="35">
        <f t="shared" si="8"/>
        <v>0.27815506508205995</v>
      </c>
      <c r="BK46" s="35">
        <f t="shared" si="9"/>
        <v>0.13667232597623089</v>
      </c>
      <c r="BL46" s="35">
        <f t="shared" si="10"/>
        <v>0.5319750990379174</v>
      </c>
      <c r="BM46" s="35">
        <f t="shared" si="13"/>
        <v>5.3197509903791726E-2</v>
      </c>
      <c r="BN46" s="20">
        <f t="shared" si="11"/>
        <v>416.61772853185585</v>
      </c>
      <c r="BO46" s="20">
        <f t="shared" si="14"/>
        <v>204.7063711911357</v>
      </c>
      <c r="BP46" s="20">
        <f t="shared" si="15"/>
        <v>796.786703601108</v>
      </c>
      <c r="BQ46" s="20">
        <f t="shared" si="12"/>
        <v>79.678670360110786</v>
      </c>
      <c r="BR46" s="25">
        <v>8.375</v>
      </c>
      <c r="BS46" s="25">
        <v>29.324999999999999</v>
      </c>
      <c r="BT46" s="25">
        <v>45.724999999999994</v>
      </c>
      <c r="BU46" s="25">
        <v>53.4</v>
      </c>
      <c r="BV46" s="25">
        <v>53.4</v>
      </c>
      <c r="BX46" s="36"/>
      <c r="BY46" s="36">
        <v>-24.42</v>
      </c>
      <c r="BZ46" s="36">
        <v>2.1053000000000002</v>
      </c>
      <c r="CA46" s="36">
        <v>11.26</v>
      </c>
      <c r="CB46" s="28">
        <v>-24.94</v>
      </c>
      <c r="CC46" s="36">
        <v>1.8712</v>
      </c>
      <c r="CD46" s="36">
        <v>5.49</v>
      </c>
      <c r="CE46">
        <v>-25.31</v>
      </c>
      <c r="CF46" s="28">
        <v>1.8512999999999999</v>
      </c>
      <c r="CG46" s="28">
        <v>12.04</v>
      </c>
      <c r="CH46">
        <v>-24.06</v>
      </c>
      <c r="CI46" s="28">
        <v>2.1722000000000001</v>
      </c>
      <c r="CJ46" s="28">
        <v>22.35</v>
      </c>
    </row>
    <row r="47" spans="1:88" x14ac:dyDescent="0.25">
      <c r="A47" s="5" t="s">
        <v>24</v>
      </c>
      <c r="D47" s="5" t="s">
        <v>312</v>
      </c>
      <c r="E47" s="5">
        <v>2002</v>
      </c>
      <c r="F47" s="5">
        <v>4</v>
      </c>
      <c r="G47" s="5">
        <v>3</v>
      </c>
      <c r="H47" s="5">
        <v>14</v>
      </c>
      <c r="I47" s="5">
        <v>146</v>
      </c>
      <c r="R47" s="91">
        <v>0.99762415210978705</v>
      </c>
      <c r="S47" s="5">
        <v>0.99688595028866078</v>
      </c>
      <c r="T47" s="5">
        <v>0.996016019336317</v>
      </c>
      <c r="U47" s="5">
        <v>0.95991453764297496</v>
      </c>
      <c r="AQ47" s="5">
        <v>0.5</v>
      </c>
      <c r="AR47" s="5">
        <v>2716</v>
      </c>
      <c r="AS47" s="20">
        <f t="shared" si="0"/>
        <v>5432</v>
      </c>
      <c r="AT47" s="5">
        <v>167.6</v>
      </c>
      <c r="AU47" s="5">
        <v>30</v>
      </c>
      <c r="AV47" s="35">
        <f t="shared" si="1"/>
        <v>5.5866666666666669</v>
      </c>
      <c r="AW47" s="32">
        <v>167.6</v>
      </c>
      <c r="AY47" s="32">
        <v>20</v>
      </c>
      <c r="AZ47" s="24">
        <v>5.99</v>
      </c>
      <c r="BA47" s="24">
        <v>3.49</v>
      </c>
      <c r="BB47" s="24">
        <v>7.66</v>
      </c>
      <c r="BC47" s="24">
        <v>0.48</v>
      </c>
      <c r="BD47" s="93">
        <f t="shared" si="2"/>
        <v>17.62</v>
      </c>
      <c r="BE47" s="35">
        <f t="shared" si="3"/>
        <v>0.88100000000000001</v>
      </c>
      <c r="BF47" s="29">
        <f t="shared" si="4"/>
        <v>5.5866666666666669</v>
      </c>
      <c r="BG47" s="35">
        <f t="shared" si="5"/>
        <v>0.15769689737470166</v>
      </c>
      <c r="BH47" s="20">
        <f t="shared" si="6"/>
        <v>428.30477326968969</v>
      </c>
      <c r="BI47" s="38">
        <f t="shared" si="7"/>
        <v>856.60954653937938</v>
      </c>
      <c r="BJ47" s="35">
        <f t="shared" si="8"/>
        <v>0.33995459704880815</v>
      </c>
      <c r="BK47" s="35">
        <f t="shared" si="9"/>
        <v>0.19807037457434734</v>
      </c>
      <c r="BL47" s="35">
        <f t="shared" si="10"/>
        <v>0.43473325766174797</v>
      </c>
      <c r="BM47" s="35">
        <f t="shared" si="13"/>
        <v>2.7241770715096477E-2</v>
      </c>
      <c r="BN47" s="20">
        <f t="shared" si="11"/>
        <v>291.208353221957</v>
      </c>
      <c r="BO47" s="20">
        <f t="shared" si="14"/>
        <v>169.66897374701671</v>
      </c>
      <c r="BP47" s="20">
        <f t="shared" si="15"/>
        <v>372.39665871121713</v>
      </c>
      <c r="BQ47" s="20">
        <f t="shared" si="12"/>
        <v>23.335560859188536</v>
      </c>
      <c r="BR47" s="25">
        <v>12.350000000000001</v>
      </c>
      <c r="BS47" s="25">
        <v>26.500000000000004</v>
      </c>
      <c r="BT47" s="25">
        <v>45.375</v>
      </c>
      <c r="BU47" s="25">
        <v>50.6</v>
      </c>
      <c r="BV47" s="25">
        <v>50.6</v>
      </c>
      <c r="BX47" s="36"/>
      <c r="BY47" s="36">
        <v>-25.11</v>
      </c>
      <c r="BZ47" s="36">
        <v>2.5059</v>
      </c>
      <c r="CA47" s="36">
        <v>8.57</v>
      </c>
      <c r="CB47" s="28">
        <v>-25.52</v>
      </c>
      <c r="CC47" s="36">
        <v>2.5575000000000001</v>
      </c>
      <c r="CD47" s="36">
        <v>2.94</v>
      </c>
      <c r="CE47">
        <v>-26</v>
      </c>
      <c r="CF47" s="28">
        <v>4.0494000000000003</v>
      </c>
      <c r="CG47" s="28">
        <v>8.52</v>
      </c>
      <c r="CH47">
        <v>-23.56</v>
      </c>
      <c r="CI47" s="28">
        <v>3.9801000000000002</v>
      </c>
      <c r="CJ47" s="28">
        <v>19.88</v>
      </c>
    </row>
    <row r="48" spans="1:88" x14ac:dyDescent="0.25">
      <c r="A48" s="5" t="s">
        <v>34</v>
      </c>
      <c r="D48" s="5" t="s">
        <v>37</v>
      </c>
      <c r="E48" s="5">
        <v>1989</v>
      </c>
      <c r="F48" s="5">
        <v>4</v>
      </c>
      <c r="G48" s="5">
        <v>3</v>
      </c>
      <c r="H48" s="5">
        <v>15</v>
      </c>
      <c r="I48" s="5">
        <v>147</v>
      </c>
      <c r="R48" s="91">
        <v>0.99093215359987552</v>
      </c>
      <c r="S48" s="5">
        <v>0.99276104299885926</v>
      </c>
      <c r="T48" s="5">
        <v>0.98679953769438189</v>
      </c>
      <c r="U48" s="5">
        <v>0.90672159165117672</v>
      </c>
      <c r="AQ48" s="32">
        <v>0.5</v>
      </c>
      <c r="AR48" s="5">
        <v>2836</v>
      </c>
      <c r="AS48" s="20">
        <f t="shared" si="0"/>
        <v>5672</v>
      </c>
      <c r="AT48" s="5">
        <v>205.8</v>
      </c>
      <c r="AU48" s="32">
        <v>30</v>
      </c>
      <c r="AV48" s="35">
        <f t="shared" si="1"/>
        <v>6.86</v>
      </c>
      <c r="AW48" s="32">
        <v>205.8</v>
      </c>
      <c r="AY48" s="32">
        <v>20</v>
      </c>
      <c r="AZ48" s="24">
        <v>9.67</v>
      </c>
      <c r="BA48" s="24">
        <v>0.8</v>
      </c>
      <c r="BB48" s="24">
        <v>12.46</v>
      </c>
      <c r="BC48" s="24">
        <v>1.57</v>
      </c>
      <c r="BD48" s="93">
        <f t="shared" si="2"/>
        <v>24.5</v>
      </c>
      <c r="BE48" s="35">
        <f t="shared" si="3"/>
        <v>1.2250000000000001</v>
      </c>
      <c r="BF48" s="29">
        <f t="shared" si="4"/>
        <v>6.86</v>
      </c>
      <c r="BG48" s="35">
        <f t="shared" si="5"/>
        <v>0.17857142857142858</v>
      </c>
      <c r="BH48" s="20">
        <f t="shared" si="6"/>
        <v>506.42857142857144</v>
      </c>
      <c r="BI48" s="38">
        <f t="shared" si="7"/>
        <v>1012.8571428571429</v>
      </c>
      <c r="BJ48" s="35">
        <f t="shared" si="8"/>
        <v>0.39469387755102042</v>
      </c>
      <c r="BK48" s="35">
        <f t="shared" si="9"/>
        <v>3.2653061224489799E-2</v>
      </c>
      <c r="BL48" s="35">
        <f t="shared" si="10"/>
        <v>0.50857142857142856</v>
      </c>
      <c r="BM48" s="35">
        <f t="shared" si="13"/>
        <v>6.408163265306123E-2</v>
      </c>
      <c r="BN48" s="20">
        <f t="shared" si="11"/>
        <v>399.76851311953357</v>
      </c>
      <c r="BO48" s="20">
        <f t="shared" si="14"/>
        <v>33.072886297376094</v>
      </c>
      <c r="BP48" s="20">
        <f t="shared" si="15"/>
        <v>515.11020408163267</v>
      </c>
      <c r="BQ48" s="20">
        <f t="shared" si="12"/>
        <v>64.905539358600592</v>
      </c>
      <c r="BR48" s="25">
        <v>6</v>
      </c>
      <c r="BS48" s="25">
        <v>25.549999999999997</v>
      </c>
      <c r="BT48" s="25">
        <v>37.974999999999994</v>
      </c>
      <c r="BU48" s="25">
        <v>49.775000000000006</v>
      </c>
      <c r="BV48" s="25">
        <v>49.775000000000006</v>
      </c>
      <c r="BX48" s="36"/>
      <c r="BY48" s="36">
        <v>-25.6</v>
      </c>
      <c r="BZ48" s="36">
        <v>1.6213</v>
      </c>
      <c r="CA48" s="36">
        <v>12.85</v>
      </c>
      <c r="CB48" s="28">
        <v>-25.61</v>
      </c>
      <c r="CC48" s="36">
        <v>2.2761</v>
      </c>
      <c r="CD48" s="36">
        <v>2.4300000000000002</v>
      </c>
      <c r="CE48">
        <v>-25.39</v>
      </c>
      <c r="CF48" s="28">
        <v>2.3024</v>
      </c>
      <c r="CG48" s="28">
        <v>14.67</v>
      </c>
      <c r="CH48">
        <v>-23.53</v>
      </c>
      <c r="CI48" s="28">
        <v>3.2629000000000001</v>
      </c>
      <c r="CJ48" s="28">
        <v>19.68</v>
      </c>
    </row>
    <row r="49" spans="1:88" x14ac:dyDescent="0.25">
      <c r="A49" s="5" t="s">
        <v>34</v>
      </c>
      <c r="D49" s="5" t="s">
        <v>42</v>
      </c>
      <c r="E49" s="5">
        <v>2016</v>
      </c>
      <c r="F49" s="5">
        <v>4</v>
      </c>
      <c r="G49" s="5">
        <v>3</v>
      </c>
      <c r="H49" s="5">
        <v>16</v>
      </c>
      <c r="I49" s="5">
        <v>148</v>
      </c>
      <c r="R49" s="91">
        <v>0.99257794970492252</v>
      </c>
      <c r="S49" s="5">
        <v>0.9919329293249004</v>
      </c>
      <c r="T49" s="5">
        <v>0.97547035527144654</v>
      </c>
      <c r="U49" s="5">
        <v>0.88486727606453208</v>
      </c>
      <c r="AQ49" s="5">
        <v>0.5</v>
      </c>
      <c r="AR49" s="5">
        <v>3283</v>
      </c>
      <c r="AS49" s="20">
        <f t="shared" si="0"/>
        <v>6566</v>
      </c>
      <c r="AT49" s="5">
        <v>203.72</v>
      </c>
      <c r="AU49" s="5">
        <v>30</v>
      </c>
      <c r="AV49" s="35">
        <f t="shared" si="1"/>
        <v>6.7906666666666666</v>
      </c>
      <c r="AW49" s="32">
        <v>203.72</v>
      </c>
      <c r="AY49" s="32">
        <v>20</v>
      </c>
      <c r="AZ49" s="24">
        <v>7.76</v>
      </c>
      <c r="BA49" s="24">
        <v>0.71</v>
      </c>
      <c r="BB49" s="24">
        <v>11.13</v>
      </c>
      <c r="BC49" s="24">
        <v>1.83</v>
      </c>
      <c r="BD49" s="93">
        <f t="shared" si="2"/>
        <v>21.43</v>
      </c>
      <c r="BE49" s="35">
        <f t="shared" si="3"/>
        <v>1.0714999999999999</v>
      </c>
      <c r="BF49" s="29">
        <f t="shared" si="4"/>
        <v>6.7906666666666666</v>
      </c>
      <c r="BG49" s="35">
        <f t="shared" si="5"/>
        <v>0.15779010406440211</v>
      </c>
      <c r="BH49" s="20">
        <f t="shared" si="6"/>
        <v>518.02491164343212</v>
      </c>
      <c r="BI49" s="38">
        <f t="shared" si="7"/>
        <v>1036.0498232868642</v>
      </c>
      <c r="BJ49" s="35">
        <f t="shared" si="8"/>
        <v>0.36210919272048531</v>
      </c>
      <c r="BK49" s="35">
        <f t="shared" si="9"/>
        <v>3.3131124591693886E-2</v>
      </c>
      <c r="BL49" s="35">
        <f t="shared" si="10"/>
        <v>0.51936537564162388</v>
      </c>
      <c r="BM49" s="35">
        <f t="shared" si="13"/>
        <v>8.5394307046196924E-2</v>
      </c>
      <c r="BN49" s="20">
        <f t="shared" si="11"/>
        <v>375.16316512860789</v>
      </c>
      <c r="BO49" s="20">
        <f t="shared" si="14"/>
        <v>34.325495778519532</v>
      </c>
      <c r="BP49" s="20">
        <f t="shared" si="15"/>
        <v>538.08840565482024</v>
      </c>
      <c r="BQ49" s="20">
        <f t="shared" si="12"/>
        <v>88.47275672491655</v>
      </c>
      <c r="BR49" s="25">
        <v>6.625</v>
      </c>
      <c r="BS49" s="25">
        <v>34.25</v>
      </c>
      <c r="BT49" s="25">
        <v>36.56666666666667</v>
      </c>
      <c r="BU49" s="25">
        <v>48.775000000000006</v>
      </c>
      <c r="BV49" s="25">
        <v>48.775000000000006</v>
      </c>
      <c r="BX49" s="36"/>
      <c r="BY49" s="36">
        <v>-24.77</v>
      </c>
      <c r="BZ49" s="36">
        <v>2.9039000000000001</v>
      </c>
      <c r="CA49" s="36">
        <v>7.93</v>
      </c>
      <c r="CB49" s="28">
        <v>-25.45</v>
      </c>
      <c r="CC49" s="36">
        <v>1.7968999999999999</v>
      </c>
      <c r="CD49" s="36">
        <v>3.82</v>
      </c>
      <c r="CE49">
        <v>-25.99</v>
      </c>
      <c r="CF49" s="28">
        <v>2.0501</v>
      </c>
      <c r="CG49" s="28">
        <v>10.37</v>
      </c>
      <c r="CH49">
        <v>-23.81</v>
      </c>
      <c r="CI49" s="28">
        <v>2.3811</v>
      </c>
      <c r="CJ49" s="28">
        <v>19.36</v>
      </c>
    </row>
    <row r="50" spans="1:88" x14ac:dyDescent="0.25">
      <c r="A50" s="5" t="s">
        <v>24</v>
      </c>
      <c r="D50" s="5" t="s">
        <v>29</v>
      </c>
      <c r="E50" s="5">
        <v>1999</v>
      </c>
      <c r="F50" s="5">
        <v>1</v>
      </c>
      <c r="G50" s="5">
        <v>4</v>
      </c>
      <c r="H50" s="5">
        <v>1</v>
      </c>
      <c r="I50" s="5">
        <v>149</v>
      </c>
      <c r="J50" s="61"/>
      <c r="K50" s="61"/>
      <c r="R50" s="91">
        <v>0.99729193330383559</v>
      </c>
      <c r="S50" s="5">
        <v>0.99707439081467319</v>
      </c>
      <c r="T50" s="5">
        <v>0.99333209651529986</v>
      </c>
      <c r="U50" s="5">
        <v>0.96314809296781878</v>
      </c>
      <c r="AQ50" s="32">
        <v>0.5</v>
      </c>
      <c r="AR50" s="5">
        <v>3244</v>
      </c>
      <c r="AS50" s="20">
        <f t="shared" si="0"/>
        <v>6488</v>
      </c>
      <c r="AT50" s="5">
        <v>208.5</v>
      </c>
      <c r="AU50" s="32">
        <v>30</v>
      </c>
      <c r="AV50" s="35">
        <f t="shared" si="1"/>
        <v>6.95</v>
      </c>
      <c r="AW50" s="32">
        <v>208.5</v>
      </c>
      <c r="AY50" s="32">
        <v>20</v>
      </c>
      <c r="AZ50" s="24">
        <v>6.75</v>
      </c>
      <c r="BA50" s="24">
        <v>6.33</v>
      </c>
      <c r="BB50" s="24">
        <v>15.87</v>
      </c>
      <c r="BC50" s="24">
        <v>1.79</v>
      </c>
      <c r="BD50" s="93">
        <f t="shared" si="2"/>
        <v>30.74</v>
      </c>
      <c r="BE50" s="35">
        <f t="shared" si="3"/>
        <v>1.5369999999999999</v>
      </c>
      <c r="BF50" s="29">
        <f t="shared" si="4"/>
        <v>6.95</v>
      </c>
      <c r="BG50" s="35">
        <f t="shared" si="5"/>
        <v>0.22115107913669063</v>
      </c>
      <c r="BH50" s="20">
        <f t="shared" si="6"/>
        <v>717.41410071942437</v>
      </c>
      <c r="BI50" s="38">
        <f t="shared" si="7"/>
        <v>1434.8282014388487</v>
      </c>
      <c r="BJ50" s="35">
        <f t="shared" si="8"/>
        <v>0.21958360442420299</v>
      </c>
      <c r="BK50" s="35">
        <f t="shared" si="9"/>
        <v>0.20592062459336372</v>
      </c>
      <c r="BL50" s="35">
        <f t="shared" si="10"/>
        <v>0.51626545217957054</v>
      </c>
      <c r="BM50" s="35">
        <f t="shared" si="13"/>
        <v>5.8230318802862724E-2</v>
      </c>
      <c r="BN50" s="20">
        <f t="shared" si="11"/>
        <v>315.06474820143882</v>
      </c>
      <c r="BO50" s="20">
        <f t="shared" si="14"/>
        <v>295.46071942446042</v>
      </c>
      <c r="BP50" s="20">
        <f t="shared" si="15"/>
        <v>740.75223021582713</v>
      </c>
      <c r="BQ50" s="20">
        <f t="shared" si="12"/>
        <v>83.550503597122301</v>
      </c>
      <c r="BR50" s="25">
        <v>11.975</v>
      </c>
      <c r="BS50" s="25">
        <v>24.5</v>
      </c>
      <c r="BT50" s="25">
        <v>36.450000000000003</v>
      </c>
      <c r="BU50" s="25">
        <v>47.45</v>
      </c>
      <c r="BV50" s="25">
        <v>47.45</v>
      </c>
      <c r="BX50" s="36"/>
      <c r="BY50" s="36">
        <v>-24.35</v>
      </c>
      <c r="BZ50" s="36">
        <v>3.306</v>
      </c>
      <c r="CA50" s="36">
        <v>5.67</v>
      </c>
      <c r="CB50" s="28">
        <v>-24.97</v>
      </c>
      <c r="CC50" s="36">
        <v>2.3591000000000002</v>
      </c>
      <c r="CD50" s="36">
        <v>3.86</v>
      </c>
      <c r="CE50">
        <v>-25.97</v>
      </c>
      <c r="CF50" s="28">
        <v>2.3972000000000002</v>
      </c>
      <c r="CG50" s="28">
        <v>8.83</v>
      </c>
      <c r="CH50">
        <v>-24.77</v>
      </c>
      <c r="CI50" s="28">
        <v>2.3296999999999999</v>
      </c>
      <c r="CJ50" s="28">
        <v>13.51</v>
      </c>
    </row>
    <row r="51" spans="1:88" x14ac:dyDescent="0.25">
      <c r="A51" s="5" t="s">
        <v>24</v>
      </c>
      <c r="D51" s="5" t="s">
        <v>32</v>
      </c>
      <c r="E51" s="5">
        <v>2018</v>
      </c>
      <c r="F51" s="5">
        <v>1</v>
      </c>
      <c r="G51" s="5">
        <v>4</v>
      </c>
      <c r="H51" s="5">
        <v>2</v>
      </c>
      <c r="I51" s="5">
        <v>150</v>
      </c>
      <c r="J51" s="61"/>
      <c r="K51" s="61"/>
      <c r="R51" s="91">
        <v>0.99215172948677788</v>
      </c>
      <c r="S51" s="5">
        <v>0.99054547632006906</v>
      </c>
      <c r="T51" s="5">
        <v>0.98119572758907747</v>
      </c>
      <c r="U51" s="5">
        <v>0.86680268472956457</v>
      </c>
      <c r="AQ51" s="5">
        <v>0.5</v>
      </c>
      <c r="AR51" s="5">
        <v>2789</v>
      </c>
      <c r="AS51" s="20">
        <f t="shared" si="0"/>
        <v>5578</v>
      </c>
      <c r="AT51" s="5">
        <v>262.56</v>
      </c>
      <c r="AU51" s="5">
        <v>30</v>
      </c>
      <c r="AV51" s="35">
        <f t="shared" si="1"/>
        <v>8.7520000000000007</v>
      </c>
      <c r="AW51" s="32">
        <v>262.56</v>
      </c>
      <c r="AY51" s="32">
        <v>20</v>
      </c>
      <c r="AZ51" s="24">
        <v>12.48</v>
      </c>
      <c r="BA51" s="24">
        <v>5.88</v>
      </c>
      <c r="BB51" s="24">
        <v>20.25</v>
      </c>
      <c r="BC51" s="24">
        <v>1.79</v>
      </c>
      <c r="BD51" s="93">
        <f t="shared" si="2"/>
        <v>40.4</v>
      </c>
      <c r="BE51" s="35">
        <f t="shared" si="3"/>
        <v>2.02</v>
      </c>
      <c r="BF51" s="29">
        <f t="shared" si="4"/>
        <v>8.7520000000000007</v>
      </c>
      <c r="BG51" s="35">
        <f t="shared" si="5"/>
        <v>0.23080438756855573</v>
      </c>
      <c r="BH51" s="20">
        <f t="shared" si="6"/>
        <v>643.71343692870198</v>
      </c>
      <c r="BI51" s="38">
        <f t="shared" si="7"/>
        <v>1287.426873857404</v>
      </c>
      <c r="BJ51" s="35">
        <f t="shared" si="8"/>
        <v>0.30891089108910891</v>
      </c>
      <c r="BK51" s="35">
        <f t="shared" si="9"/>
        <v>0.14554455445544554</v>
      </c>
      <c r="BL51" s="35">
        <f t="shared" si="10"/>
        <v>0.50123762376237624</v>
      </c>
      <c r="BM51" s="35">
        <f t="shared" si="13"/>
        <v>4.4306930693069312E-2</v>
      </c>
      <c r="BN51" s="20">
        <f t="shared" si="11"/>
        <v>397.70018281535647</v>
      </c>
      <c r="BO51" s="20">
        <f t="shared" si="14"/>
        <v>187.37797074954295</v>
      </c>
      <c r="BP51" s="20">
        <f t="shared" si="15"/>
        <v>645.30678702010971</v>
      </c>
      <c r="BQ51" s="20">
        <f t="shared" si="12"/>
        <v>57.041933272394886</v>
      </c>
      <c r="BR51" s="25">
        <v>7.75</v>
      </c>
      <c r="BS51" s="25">
        <v>16.725000000000001</v>
      </c>
      <c r="BT51" s="25">
        <v>41.349999999999994</v>
      </c>
      <c r="BU51" s="25">
        <v>46.075000000000003</v>
      </c>
      <c r="BV51" s="25">
        <v>46.075000000000003</v>
      </c>
      <c r="BX51" s="36"/>
      <c r="BY51" s="36">
        <v>-23.87</v>
      </c>
      <c r="BZ51" s="36">
        <v>3.3571</v>
      </c>
      <c r="CA51" s="36">
        <v>6.46</v>
      </c>
      <c r="CB51" s="28">
        <v>-25.24</v>
      </c>
      <c r="CC51" s="36">
        <v>1.7907</v>
      </c>
      <c r="CD51" s="36">
        <v>6.92</v>
      </c>
      <c r="CE51">
        <v>-25.74</v>
      </c>
      <c r="CF51" s="28">
        <v>1.7036</v>
      </c>
      <c r="CG51" s="28">
        <v>15.76</v>
      </c>
      <c r="CH51">
        <v>-23.66</v>
      </c>
      <c r="CI51" s="28">
        <v>2.6173999999999999</v>
      </c>
      <c r="CJ51" s="28">
        <v>24.42</v>
      </c>
    </row>
    <row r="52" spans="1:88" x14ac:dyDescent="0.25">
      <c r="A52" s="5" t="s">
        <v>34</v>
      </c>
      <c r="D52" s="5" t="s">
        <v>38</v>
      </c>
      <c r="E52" s="5">
        <v>1999</v>
      </c>
      <c r="F52" s="5">
        <v>1</v>
      </c>
      <c r="G52" s="5">
        <v>4</v>
      </c>
      <c r="H52" s="5">
        <v>3</v>
      </c>
      <c r="I52" s="5">
        <v>151</v>
      </c>
      <c r="J52" s="61"/>
      <c r="K52" s="61"/>
      <c r="R52" s="91">
        <v>0.96307195747104613</v>
      </c>
      <c r="S52" s="5">
        <v>0.96015693628720811</v>
      </c>
      <c r="T52" s="5">
        <v>0.93810974069907793</v>
      </c>
      <c r="U52" s="5">
        <v>0.83316613946606877</v>
      </c>
      <c r="AQ52" s="32">
        <v>0.5</v>
      </c>
      <c r="AR52" s="5">
        <v>2723</v>
      </c>
      <c r="AS52" s="20">
        <f t="shared" si="0"/>
        <v>5446</v>
      </c>
      <c r="AT52" s="5">
        <v>157.57</v>
      </c>
      <c r="AU52" s="32">
        <v>30</v>
      </c>
      <c r="AV52" s="35">
        <f t="shared" si="1"/>
        <v>5.2523333333333335</v>
      </c>
      <c r="AW52" s="32">
        <v>157.57</v>
      </c>
      <c r="AY52" s="32">
        <v>20</v>
      </c>
      <c r="AZ52" s="24">
        <v>5.71</v>
      </c>
      <c r="BA52" s="24">
        <v>0.76</v>
      </c>
      <c r="BB52" s="24">
        <v>10.1</v>
      </c>
      <c r="BC52" s="24">
        <v>0.94</v>
      </c>
      <c r="BD52" s="93">
        <f t="shared" si="2"/>
        <v>17.510000000000002</v>
      </c>
      <c r="BE52" s="35">
        <f t="shared" si="3"/>
        <v>0.87550000000000006</v>
      </c>
      <c r="BF52" s="29">
        <f t="shared" si="4"/>
        <v>5.2523333333333335</v>
      </c>
      <c r="BG52" s="35">
        <f t="shared" si="5"/>
        <v>0.16668782128577775</v>
      </c>
      <c r="BH52" s="20">
        <f t="shared" si="6"/>
        <v>453.8909373611728</v>
      </c>
      <c r="BI52" s="38">
        <f t="shared" si="7"/>
        <v>907.78187472234561</v>
      </c>
      <c r="BJ52" s="35">
        <f t="shared" si="8"/>
        <v>0.32609937178754994</v>
      </c>
      <c r="BK52" s="35">
        <f t="shared" si="9"/>
        <v>4.3403769274700167E-2</v>
      </c>
      <c r="BL52" s="35">
        <f t="shared" si="10"/>
        <v>0.57681324957167324</v>
      </c>
      <c r="BM52" s="35">
        <f t="shared" si="13"/>
        <v>5.3683609366076517E-2</v>
      </c>
      <c r="BN52" s="20">
        <f t="shared" si="11"/>
        <v>296.02709906708128</v>
      </c>
      <c r="BO52" s="20">
        <f t="shared" si="14"/>
        <v>39.401155042203463</v>
      </c>
      <c r="BP52" s="20">
        <f t="shared" si="15"/>
        <v>523.62061306086173</v>
      </c>
      <c r="BQ52" s="20">
        <f t="shared" si="12"/>
        <v>48.733007552199012</v>
      </c>
      <c r="BR52" s="25">
        <v>8.6499999999999986</v>
      </c>
      <c r="BS52" s="25">
        <v>29.900000000000002</v>
      </c>
      <c r="BT52" s="25">
        <v>40.225000000000001</v>
      </c>
      <c r="BU52" s="25">
        <v>47.333333333333336</v>
      </c>
      <c r="BV52" s="25">
        <v>47.333333333333336</v>
      </c>
      <c r="BX52" s="36"/>
      <c r="BY52" s="36">
        <v>-24.39</v>
      </c>
      <c r="BZ52" s="36">
        <v>2.7515999999999998</v>
      </c>
      <c r="CA52" s="36">
        <v>7.09</v>
      </c>
      <c r="CB52" s="28">
        <v>-25.08</v>
      </c>
      <c r="CC52" s="36">
        <v>1.7537</v>
      </c>
      <c r="CD52" s="36">
        <v>6.97</v>
      </c>
      <c r="CE52">
        <v>-25.64</v>
      </c>
      <c r="CF52" s="28">
        <v>2.4582999999999999</v>
      </c>
      <c r="CG52" s="28">
        <v>13.29</v>
      </c>
      <c r="CH52">
        <v>-24.83</v>
      </c>
      <c r="CI52" s="28">
        <v>2.4809999999999999</v>
      </c>
      <c r="CJ52" s="28">
        <v>13.02</v>
      </c>
    </row>
    <row r="53" spans="1:88" x14ac:dyDescent="0.25">
      <c r="A53" s="5" t="s">
        <v>34</v>
      </c>
      <c r="D53" s="5" t="s">
        <v>43</v>
      </c>
      <c r="E53" s="5">
        <v>2020</v>
      </c>
      <c r="F53" s="5">
        <v>1</v>
      </c>
      <c r="G53" s="5">
        <v>4</v>
      </c>
      <c r="H53" s="5">
        <v>4</v>
      </c>
      <c r="I53" s="5">
        <v>152</v>
      </c>
      <c r="J53" s="61"/>
      <c r="K53" s="61"/>
      <c r="R53" s="91">
        <v>0.97745897204953625</v>
      </c>
      <c r="S53" s="5">
        <v>0.97379108406707748</v>
      </c>
      <c r="T53" s="5">
        <v>0.93432834748468707</v>
      </c>
      <c r="U53" s="5">
        <v>0.8006764621577146</v>
      </c>
      <c r="AQ53" s="5">
        <v>0.5</v>
      </c>
      <c r="AR53" s="5">
        <v>2314</v>
      </c>
      <c r="AS53" s="20">
        <f t="shared" si="0"/>
        <v>4628</v>
      </c>
      <c r="AT53" s="5">
        <v>250.9</v>
      </c>
      <c r="AU53" s="5">
        <v>30</v>
      </c>
      <c r="AV53" s="35">
        <f t="shared" si="1"/>
        <v>8.3633333333333333</v>
      </c>
      <c r="AW53" s="32">
        <v>250.9</v>
      </c>
      <c r="AY53" s="32">
        <v>20</v>
      </c>
      <c r="AZ53" s="24">
        <v>10.57</v>
      </c>
      <c r="BA53" s="24">
        <v>0.2</v>
      </c>
      <c r="BB53" s="24">
        <v>19.809999999999999</v>
      </c>
      <c r="BC53" s="24">
        <v>2.61</v>
      </c>
      <c r="BD53" s="93">
        <f t="shared" si="2"/>
        <v>33.19</v>
      </c>
      <c r="BE53" s="35">
        <f t="shared" si="3"/>
        <v>1.6595</v>
      </c>
      <c r="BF53" s="29">
        <f t="shared" si="4"/>
        <v>8.3633333333333333</v>
      </c>
      <c r="BG53" s="35">
        <f t="shared" si="5"/>
        <v>0.19842566759665206</v>
      </c>
      <c r="BH53" s="20">
        <f t="shared" si="6"/>
        <v>459.15699481865289</v>
      </c>
      <c r="BI53" s="38">
        <f t="shared" si="7"/>
        <v>918.31398963730578</v>
      </c>
      <c r="BJ53" s="35">
        <f t="shared" si="8"/>
        <v>0.31846941849954807</v>
      </c>
      <c r="BK53" s="35">
        <f t="shared" si="9"/>
        <v>6.0259114191021403E-3</v>
      </c>
      <c r="BL53" s="35">
        <f t="shared" si="10"/>
        <v>0.59686652606206692</v>
      </c>
      <c r="BM53" s="35">
        <f t="shared" si="13"/>
        <v>7.8638144019282916E-2</v>
      </c>
      <c r="BN53" s="20">
        <f t="shared" si="11"/>
        <v>292.45492227979281</v>
      </c>
      <c r="BO53" s="20">
        <f t="shared" si="14"/>
        <v>5.5336787564766858</v>
      </c>
      <c r="BP53" s="20">
        <f t="shared" si="15"/>
        <v>548.11088082901563</v>
      </c>
      <c r="BQ53" s="20">
        <f t="shared" si="12"/>
        <v>72.214507772020724</v>
      </c>
      <c r="BR53" s="25">
        <v>17.349999999999998</v>
      </c>
      <c r="BS53" s="25">
        <v>29.233333333333334</v>
      </c>
      <c r="BT53" s="25">
        <v>46.95</v>
      </c>
      <c r="BU53" s="25">
        <v>48.274999999999999</v>
      </c>
      <c r="BV53" s="25">
        <v>48.274999999999999</v>
      </c>
      <c r="BX53" s="36"/>
      <c r="BY53" s="36">
        <v>-23.65</v>
      </c>
      <c r="BZ53" s="36">
        <v>2.4517000000000002</v>
      </c>
      <c r="CA53" s="36">
        <v>7</v>
      </c>
      <c r="CB53" s="28">
        <v>-25.45</v>
      </c>
      <c r="CC53" s="36">
        <v>1.4013</v>
      </c>
      <c r="CD53" s="36">
        <v>5.15</v>
      </c>
      <c r="CE53">
        <v>-25.52</v>
      </c>
      <c r="CF53" s="28">
        <v>2.2496999999999998</v>
      </c>
      <c r="CG53" s="28">
        <v>14.04</v>
      </c>
      <c r="CH53">
        <v>-24.41</v>
      </c>
      <c r="CI53" s="28">
        <v>3.6394000000000002</v>
      </c>
      <c r="CJ53" s="28">
        <v>12.99</v>
      </c>
    </row>
    <row r="54" spans="1:88" x14ac:dyDescent="0.25">
      <c r="A54" s="5" t="s">
        <v>24</v>
      </c>
      <c r="D54" s="5" t="s">
        <v>312</v>
      </c>
      <c r="E54" s="5">
        <v>2002</v>
      </c>
      <c r="F54" s="5">
        <v>2</v>
      </c>
      <c r="G54" s="5">
        <v>4</v>
      </c>
      <c r="H54" s="5">
        <v>5</v>
      </c>
      <c r="I54" s="5">
        <v>153</v>
      </c>
      <c r="J54" s="61"/>
      <c r="K54" s="61"/>
      <c r="R54" s="91">
        <v>0.98163587007014241</v>
      </c>
      <c r="S54" s="5">
        <v>0.98011730624347637</v>
      </c>
      <c r="T54" s="5">
        <v>0.97125572330589305</v>
      </c>
      <c r="U54" s="5">
        <v>0.83208038641891624</v>
      </c>
      <c r="AQ54" s="32">
        <v>0.5</v>
      </c>
      <c r="AR54" s="5">
        <v>2902</v>
      </c>
      <c r="AS54" s="20">
        <f t="shared" si="0"/>
        <v>5804</v>
      </c>
      <c r="AT54" s="5">
        <v>239.7</v>
      </c>
      <c r="AU54" s="32">
        <v>30</v>
      </c>
      <c r="AV54" s="35">
        <f t="shared" si="1"/>
        <v>7.9899999999999993</v>
      </c>
      <c r="AW54" s="32">
        <v>239.7</v>
      </c>
      <c r="AY54" s="32">
        <v>20</v>
      </c>
      <c r="AZ54" s="24">
        <v>8.36</v>
      </c>
      <c r="BA54" s="24">
        <v>5.21</v>
      </c>
      <c r="BB54" s="24">
        <v>15.78</v>
      </c>
      <c r="BC54" s="24">
        <v>2.54</v>
      </c>
      <c r="BD54" s="93">
        <f t="shared" si="2"/>
        <v>31.89</v>
      </c>
      <c r="BE54" s="35">
        <f t="shared" si="3"/>
        <v>1.5945</v>
      </c>
      <c r="BF54" s="29">
        <f t="shared" si="4"/>
        <v>7.9899999999999993</v>
      </c>
      <c r="BG54" s="35">
        <f t="shared" si="5"/>
        <v>0.19956195244055072</v>
      </c>
      <c r="BH54" s="20">
        <f t="shared" si="6"/>
        <v>579.12878598247823</v>
      </c>
      <c r="BI54" s="38">
        <f t="shared" si="7"/>
        <v>1158.2575719649565</v>
      </c>
      <c r="BJ54" s="35">
        <f t="shared" si="8"/>
        <v>0.26215114455942301</v>
      </c>
      <c r="BK54" s="35">
        <f t="shared" si="9"/>
        <v>0.16337409846346818</v>
      </c>
      <c r="BL54" s="35">
        <f t="shared" si="10"/>
        <v>0.49482596425211661</v>
      </c>
      <c r="BM54" s="35">
        <f t="shared" si="13"/>
        <v>7.964879272499216E-2</v>
      </c>
      <c r="BN54" s="20">
        <f t="shared" si="11"/>
        <v>303.63854818523163</v>
      </c>
      <c r="BO54" s="20">
        <f t="shared" si="14"/>
        <v>189.22928660826037</v>
      </c>
      <c r="BP54" s="20">
        <f t="shared" si="15"/>
        <v>573.13591989987492</v>
      </c>
      <c r="BQ54" s="20">
        <f t="shared" si="12"/>
        <v>92.253817271589512</v>
      </c>
      <c r="BR54" s="25">
        <v>3.9</v>
      </c>
      <c r="BS54" s="25">
        <v>6.0750000000000011</v>
      </c>
      <c r="BT54" s="25">
        <v>33.674999999999997</v>
      </c>
      <c r="BU54" s="25">
        <v>49.7</v>
      </c>
      <c r="BV54" s="25">
        <v>49.7</v>
      </c>
      <c r="BX54" s="36"/>
      <c r="BY54" s="36">
        <v>-23.01</v>
      </c>
      <c r="BZ54" s="36">
        <v>1.9158999999999999</v>
      </c>
      <c r="CA54" s="36">
        <v>8.5</v>
      </c>
      <c r="CB54" s="28">
        <v>-24.68</v>
      </c>
      <c r="CC54" s="36">
        <v>2.4550999999999998</v>
      </c>
      <c r="CD54" s="36">
        <v>4.7300000000000004</v>
      </c>
      <c r="CE54">
        <v>-25.87</v>
      </c>
      <c r="CF54" s="28">
        <v>1.6976</v>
      </c>
      <c r="CG54" s="28">
        <v>14.34</v>
      </c>
      <c r="CH54">
        <v>-24.3</v>
      </c>
      <c r="CI54" s="28">
        <v>3.0598000000000001</v>
      </c>
      <c r="CJ54" s="28">
        <v>15.62</v>
      </c>
    </row>
    <row r="55" spans="1:88" x14ac:dyDescent="0.25">
      <c r="A55" s="5" t="s">
        <v>24</v>
      </c>
      <c r="D55" s="5" t="s">
        <v>26</v>
      </c>
      <c r="E55" s="5">
        <v>1983</v>
      </c>
      <c r="F55" s="5">
        <v>2</v>
      </c>
      <c r="G55" s="5">
        <v>4</v>
      </c>
      <c r="H55" s="5">
        <v>6</v>
      </c>
      <c r="I55" s="5">
        <v>154</v>
      </c>
      <c r="J55" s="61"/>
      <c r="K55" s="61"/>
      <c r="R55" s="91">
        <v>0.99807180343041013</v>
      </c>
      <c r="S55" s="5">
        <v>0.99785322232131746</v>
      </c>
      <c r="T55" s="5">
        <v>0.98693332043593218</v>
      </c>
      <c r="U55" s="5">
        <v>0.90425382112556363</v>
      </c>
      <c r="AQ55" s="5">
        <v>0.5</v>
      </c>
      <c r="AR55" s="5">
        <v>3225</v>
      </c>
      <c r="AS55" s="20">
        <f t="shared" si="0"/>
        <v>6450</v>
      </c>
      <c r="AT55" s="5">
        <v>200.2</v>
      </c>
      <c r="AU55" s="5">
        <v>30</v>
      </c>
      <c r="AV55" s="35">
        <f t="shared" si="1"/>
        <v>6.6733333333333329</v>
      </c>
      <c r="AW55" s="32">
        <v>200.2</v>
      </c>
      <c r="AY55" s="32">
        <v>20</v>
      </c>
      <c r="AZ55" s="24">
        <v>6.16</v>
      </c>
      <c r="BA55" s="24">
        <v>4.3099999999999996</v>
      </c>
      <c r="BB55" s="24">
        <v>14.71</v>
      </c>
      <c r="BC55" s="24">
        <v>2.1800000000000002</v>
      </c>
      <c r="BD55" s="93">
        <f t="shared" si="2"/>
        <v>27.36</v>
      </c>
      <c r="BE55" s="35">
        <f t="shared" si="3"/>
        <v>1.3679999999999999</v>
      </c>
      <c r="BF55" s="29">
        <f t="shared" si="4"/>
        <v>6.6733333333333329</v>
      </c>
      <c r="BG55" s="35">
        <f t="shared" si="5"/>
        <v>0.204995004995005</v>
      </c>
      <c r="BH55" s="20">
        <f t="shared" si="6"/>
        <v>661.10889110889116</v>
      </c>
      <c r="BI55" s="38">
        <f t="shared" si="7"/>
        <v>1322.2177822177823</v>
      </c>
      <c r="BJ55" s="35">
        <f t="shared" si="8"/>
        <v>0.22514619883040937</v>
      </c>
      <c r="BK55" s="35">
        <f t="shared" si="9"/>
        <v>0.15752923976608185</v>
      </c>
      <c r="BL55" s="35">
        <f t="shared" si="10"/>
        <v>0.53764619883040943</v>
      </c>
      <c r="BM55" s="35">
        <f t="shared" si="13"/>
        <v>7.9678362573099418E-2</v>
      </c>
      <c r="BN55" s="20">
        <f t="shared" si="11"/>
        <v>297.69230769230774</v>
      </c>
      <c r="BO55" s="20">
        <f t="shared" si="14"/>
        <v>208.28796203796202</v>
      </c>
      <c r="BP55" s="20">
        <f t="shared" si="15"/>
        <v>710.88536463536479</v>
      </c>
      <c r="BQ55" s="20">
        <f t="shared" si="12"/>
        <v>105.35214785214787</v>
      </c>
      <c r="BR55" s="25">
        <v>1.7</v>
      </c>
      <c r="BS55" s="25">
        <v>16.024999999999999</v>
      </c>
      <c r="BT55" s="25">
        <v>44.125</v>
      </c>
      <c r="BU55" s="25">
        <v>42.724999999999994</v>
      </c>
      <c r="BV55" s="25">
        <v>42.724999999999994</v>
      </c>
      <c r="BX55" s="36"/>
      <c r="BY55" s="36">
        <v>-23.08</v>
      </c>
      <c r="BZ55" s="36">
        <v>2.0232000000000001</v>
      </c>
      <c r="CA55" s="36">
        <v>7.08</v>
      </c>
      <c r="CB55" s="28">
        <v>-25.33</v>
      </c>
      <c r="CC55" s="36">
        <v>1.5798000000000001</v>
      </c>
      <c r="CD55" s="36">
        <v>5.09</v>
      </c>
      <c r="CE55">
        <v>-26.02</v>
      </c>
      <c r="CF55" s="28">
        <v>1.2171000000000001</v>
      </c>
      <c r="CG55" s="28">
        <v>12.11</v>
      </c>
      <c r="CH55">
        <v>-24.81</v>
      </c>
      <c r="CI55" s="28">
        <v>2.4481999999999999</v>
      </c>
      <c r="CJ55" s="28">
        <v>11.41</v>
      </c>
    </row>
    <row r="56" spans="1:88" x14ac:dyDescent="0.25">
      <c r="A56" s="5" t="s">
        <v>34</v>
      </c>
      <c r="D56" s="5" t="s">
        <v>36</v>
      </c>
      <c r="E56" s="5">
        <v>1984</v>
      </c>
      <c r="F56" s="5">
        <v>2</v>
      </c>
      <c r="G56" s="5">
        <v>4</v>
      </c>
      <c r="H56" s="5">
        <v>7</v>
      </c>
      <c r="I56" s="5">
        <v>155</v>
      </c>
      <c r="J56" s="61"/>
      <c r="K56" s="61"/>
      <c r="R56" s="91">
        <v>0.97254553575587055</v>
      </c>
      <c r="S56" s="5">
        <v>0.96219599862291039</v>
      </c>
      <c r="T56" s="5">
        <v>0.94288763171915246</v>
      </c>
      <c r="U56" s="5">
        <v>0.76905085244655746</v>
      </c>
      <c r="AQ56" s="32">
        <v>0.5</v>
      </c>
      <c r="AR56" s="5">
        <v>2915</v>
      </c>
      <c r="AS56" s="20">
        <f t="shared" si="0"/>
        <v>5830</v>
      </c>
      <c r="AT56" s="5">
        <v>211.89</v>
      </c>
      <c r="AU56" s="32">
        <v>30</v>
      </c>
      <c r="AV56" s="35">
        <f t="shared" si="1"/>
        <v>7.0629999999999997</v>
      </c>
      <c r="AW56" s="32">
        <v>211.89</v>
      </c>
      <c r="AY56" s="32">
        <v>20</v>
      </c>
      <c r="AZ56" s="24">
        <v>8.64</v>
      </c>
      <c r="BA56" s="24">
        <v>0.76</v>
      </c>
      <c r="BB56" s="24">
        <v>14.14</v>
      </c>
      <c r="BC56" s="24">
        <v>1.92</v>
      </c>
      <c r="BD56" s="93">
        <f t="shared" si="2"/>
        <v>25.46</v>
      </c>
      <c r="BE56" s="35">
        <f t="shared" si="3"/>
        <v>1.2730000000000001</v>
      </c>
      <c r="BF56" s="29">
        <f t="shared" si="4"/>
        <v>7.0629999999999997</v>
      </c>
      <c r="BG56" s="35">
        <f t="shared" si="5"/>
        <v>0.18023502760866489</v>
      </c>
      <c r="BH56" s="20">
        <f t="shared" si="6"/>
        <v>525.38510547925819</v>
      </c>
      <c r="BI56" s="38">
        <f t="shared" si="7"/>
        <v>1050.7702109585164</v>
      </c>
      <c r="BJ56" s="35">
        <f t="shared" si="8"/>
        <v>0.3393558523173606</v>
      </c>
      <c r="BK56" s="35">
        <f>BA56/BD56</f>
        <v>2.9850746268656716E-2</v>
      </c>
      <c r="BL56" s="35">
        <f t="shared" si="10"/>
        <v>0.55538098978790262</v>
      </c>
      <c r="BM56" s="35">
        <f t="shared" si="13"/>
        <v>7.5412411626080117E-2</v>
      </c>
      <c r="BN56" s="20">
        <f t="shared" si="11"/>
        <v>356.58502052952014</v>
      </c>
      <c r="BO56" s="20">
        <f t="shared" si="14"/>
        <v>31.366274953985563</v>
      </c>
      <c r="BP56" s="20">
        <f t="shared" si="15"/>
        <v>583.57779980178407</v>
      </c>
      <c r="BQ56" s="20">
        <f t="shared" si="12"/>
        <v>79.241115673226673</v>
      </c>
      <c r="BR56" s="25">
        <v>22.425000000000001</v>
      </c>
      <c r="BS56" s="25">
        <v>38.9</v>
      </c>
      <c r="BT56" s="25">
        <v>35</v>
      </c>
      <c r="BU56" s="25">
        <v>46.125</v>
      </c>
      <c r="BV56" s="25">
        <v>46.125</v>
      </c>
      <c r="BX56" s="36"/>
      <c r="BY56" s="36">
        <v>-23.91</v>
      </c>
      <c r="BZ56" s="36">
        <v>2.1053000000000002</v>
      </c>
      <c r="CA56" s="36">
        <v>7.84</v>
      </c>
      <c r="CB56" s="28">
        <v>-25.05</v>
      </c>
      <c r="CC56" s="36">
        <v>2.2578999999999998</v>
      </c>
      <c r="CD56" s="36">
        <v>4.2300000000000004</v>
      </c>
      <c r="CE56">
        <v>-26.04</v>
      </c>
      <c r="CF56" s="28">
        <v>2.1745000000000001</v>
      </c>
      <c r="CG56" s="28">
        <v>12.68</v>
      </c>
      <c r="CH56">
        <v>-24.19</v>
      </c>
      <c r="CI56" s="28">
        <v>4.1647999999999996</v>
      </c>
      <c r="CJ56" s="28">
        <v>13.72</v>
      </c>
    </row>
    <row r="57" spans="1:88" x14ac:dyDescent="0.25">
      <c r="A57" s="5" t="s">
        <v>34</v>
      </c>
      <c r="D57" s="5" t="s">
        <v>42</v>
      </c>
      <c r="E57" s="5">
        <v>2016</v>
      </c>
      <c r="F57" s="5">
        <v>2</v>
      </c>
      <c r="G57" s="5">
        <v>4</v>
      </c>
      <c r="H57" s="5">
        <v>8</v>
      </c>
      <c r="I57" s="5">
        <v>156</v>
      </c>
      <c r="J57" s="61"/>
      <c r="K57" s="61"/>
      <c r="R57" s="91">
        <v>0.9756774187195999</v>
      </c>
      <c r="S57" s="5">
        <v>0.97350140800693163</v>
      </c>
      <c r="T57" s="5">
        <v>0.9280594960400147</v>
      </c>
      <c r="U57" s="5">
        <v>0.66999508722329093</v>
      </c>
      <c r="AQ57" s="5">
        <v>0.5</v>
      </c>
      <c r="AR57" s="5">
        <v>2723</v>
      </c>
      <c r="AS57" s="20">
        <f t="shared" si="0"/>
        <v>5446</v>
      </c>
      <c r="AT57" s="5">
        <v>224.24</v>
      </c>
      <c r="AU57" s="5">
        <v>30</v>
      </c>
      <c r="AV57" s="35">
        <f t="shared" si="1"/>
        <v>7.4746666666666668</v>
      </c>
      <c r="AW57" s="32">
        <v>224.24</v>
      </c>
      <c r="AY57" s="32">
        <v>20</v>
      </c>
      <c r="AZ57" s="24">
        <v>5.86</v>
      </c>
      <c r="BA57" s="24">
        <v>1.02</v>
      </c>
      <c r="BB57" s="24">
        <v>13.33</v>
      </c>
      <c r="BC57" s="24">
        <v>2.41</v>
      </c>
      <c r="BD57" s="93">
        <f t="shared" si="2"/>
        <v>22.62</v>
      </c>
      <c r="BE57" s="35">
        <f t="shared" si="3"/>
        <v>1.131</v>
      </c>
      <c r="BF57" s="29">
        <f t="shared" si="4"/>
        <v>7.4746666666666668</v>
      </c>
      <c r="BG57" s="35">
        <f t="shared" si="5"/>
        <v>0.15131109525508385</v>
      </c>
      <c r="BH57" s="20">
        <f t="shared" si="6"/>
        <v>412.02011237959334</v>
      </c>
      <c r="BI57" s="38">
        <f t="shared" si="7"/>
        <v>824.04022475918669</v>
      </c>
      <c r="BJ57" s="35">
        <f t="shared" si="8"/>
        <v>0.25906277630415564</v>
      </c>
      <c r="BK57" s="35">
        <f t="shared" si="9"/>
        <v>4.5092838196286469E-2</v>
      </c>
      <c r="BL57" s="35">
        <f t="shared" si="10"/>
        <v>0.58930150309460649</v>
      </c>
      <c r="BM57" s="35">
        <f t="shared" si="13"/>
        <v>0.10654288240495137</v>
      </c>
      <c r="BN57" s="20">
        <f t="shared" si="11"/>
        <v>213.47814841241532</v>
      </c>
      <c r="BO57" s="20">
        <f t="shared" si="14"/>
        <v>37.158312522297543</v>
      </c>
      <c r="BP57" s="20">
        <f t="shared" si="15"/>
        <v>485.6081430610061</v>
      </c>
      <c r="BQ57" s="20">
        <f t="shared" si="12"/>
        <v>87.795620763467724</v>
      </c>
      <c r="BR57" s="25">
        <v>13.574999999999999</v>
      </c>
      <c r="BS57" s="25">
        <v>22.05</v>
      </c>
      <c r="BT57" s="25">
        <v>41.924999999999997</v>
      </c>
      <c r="BU57" s="25">
        <v>49.199999999999996</v>
      </c>
      <c r="BV57" s="25">
        <v>49.199999999999996</v>
      </c>
      <c r="BX57" s="36"/>
      <c r="BY57" s="36">
        <v>-23.91</v>
      </c>
      <c r="BZ57" s="36">
        <v>1.835</v>
      </c>
      <c r="CA57" s="36">
        <v>7.2</v>
      </c>
      <c r="CB57" s="28">
        <v>-24.73</v>
      </c>
      <c r="CC57" s="36">
        <v>2.6221000000000001</v>
      </c>
      <c r="CD57" s="36">
        <v>4.92</v>
      </c>
      <c r="CE57">
        <v>-25.42</v>
      </c>
      <c r="CF57" s="28">
        <v>2.0804999999999998</v>
      </c>
      <c r="CG57" s="28">
        <v>12.26</v>
      </c>
      <c r="CH57">
        <v>-24.71</v>
      </c>
      <c r="CI57" s="28">
        <v>2.5729000000000002</v>
      </c>
      <c r="CJ57" s="28">
        <v>10.84</v>
      </c>
    </row>
    <row r="58" spans="1:88" x14ac:dyDescent="0.25">
      <c r="A58" s="5" t="s">
        <v>24</v>
      </c>
      <c r="D58" s="5" t="s">
        <v>27</v>
      </c>
      <c r="E58" s="5">
        <v>1985</v>
      </c>
      <c r="F58" s="5">
        <v>3</v>
      </c>
      <c r="G58" s="5">
        <v>4</v>
      </c>
      <c r="H58" s="5">
        <v>9</v>
      </c>
      <c r="I58" s="5">
        <v>157</v>
      </c>
      <c r="R58" s="91">
        <v>0.99743238720657423</v>
      </c>
      <c r="S58" s="5">
        <v>0.99748898739680392</v>
      </c>
      <c r="T58" s="5">
        <v>0.99122383259278601</v>
      </c>
      <c r="U58" s="5">
        <v>0.92031993826211822</v>
      </c>
      <c r="AQ58" s="32">
        <v>0.5</v>
      </c>
      <c r="AR58" s="5">
        <v>3094</v>
      </c>
      <c r="AS58" s="20">
        <f t="shared" si="0"/>
        <v>6188</v>
      </c>
      <c r="AT58" s="5">
        <v>259.3</v>
      </c>
      <c r="AU58" s="32">
        <v>30</v>
      </c>
      <c r="AV58" s="35">
        <f t="shared" si="1"/>
        <v>8.6433333333333344</v>
      </c>
      <c r="AW58" s="32">
        <v>259.3</v>
      </c>
      <c r="AY58" s="32">
        <v>20</v>
      </c>
      <c r="AZ58" s="24">
        <v>8.7899999999999991</v>
      </c>
      <c r="BA58" s="24">
        <v>7.07</v>
      </c>
      <c r="BB58" s="24">
        <v>19.62</v>
      </c>
      <c r="BC58" s="24">
        <v>2.3199999999999998</v>
      </c>
      <c r="BD58" s="93">
        <f t="shared" si="2"/>
        <v>37.800000000000004</v>
      </c>
      <c r="BE58" s="35">
        <f t="shared" si="3"/>
        <v>1.8900000000000001</v>
      </c>
      <c r="BF58" s="29">
        <f t="shared" si="4"/>
        <v>8.6433333333333344</v>
      </c>
      <c r="BG58" s="35">
        <f t="shared" si="5"/>
        <v>0.21866563825684535</v>
      </c>
      <c r="BH58" s="20">
        <f t="shared" si="6"/>
        <v>676.55148476667955</v>
      </c>
      <c r="BI58" s="38">
        <f t="shared" si="7"/>
        <v>1353.1029695333591</v>
      </c>
      <c r="BJ58" s="35">
        <f t="shared" si="8"/>
        <v>0.23253968253968249</v>
      </c>
      <c r="BK58" s="35">
        <f t="shared" si="9"/>
        <v>0.18703703703703703</v>
      </c>
      <c r="BL58" s="35">
        <f t="shared" si="10"/>
        <v>0.51904761904761898</v>
      </c>
      <c r="BM58" s="35">
        <f t="shared" si="13"/>
        <v>6.1375661375661361E-2</v>
      </c>
      <c r="BN58" s="20">
        <f t="shared" si="11"/>
        <v>314.65013497878897</v>
      </c>
      <c r="BO58" s="20">
        <f t="shared" si="14"/>
        <v>253.08037022753567</v>
      </c>
      <c r="BP58" s="20">
        <f t="shared" si="15"/>
        <v>702.32487466255293</v>
      </c>
      <c r="BQ58" s="20">
        <f t="shared" si="12"/>
        <v>83.047589664481279</v>
      </c>
      <c r="BR58" s="25">
        <v>7.2250000000000005</v>
      </c>
      <c r="BS58" s="25">
        <v>18.399999999999999</v>
      </c>
      <c r="BT58" s="25">
        <v>32.266666666666666</v>
      </c>
      <c r="BU58" s="25">
        <v>47.95</v>
      </c>
      <c r="BV58" s="25">
        <v>47.95</v>
      </c>
      <c r="BX58" s="36"/>
      <c r="BY58" s="36">
        <v>-23.13</v>
      </c>
      <c r="BZ58" s="36">
        <v>1.4315</v>
      </c>
      <c r="CA58" s="36">
        <v>9.3800000000000008</v>
      </c>
      <c r="CB58" s="28">
        <v>-24.61</v>
      </c>
      <c r="CC58" s="36">
        <v>1.8751</v>
      </c>
      <c r="CD58" s="36">
        <v>4.8899999999999997</v>
      </c>
      <c r="CE58">
        <v>-25.94</v>
      </c>
      <c r="CF58" s="28">
        <v>1.8788</v>
      </c>
      <c r="CG58" s="28">
        <v>9.94</v>
      </c>
      <c r="CH58">
        <v>-24.53</v>
      </c>
      <c r="CI58" s="28">
        <v>2.9580000000000002</v>
      </c>
      <c r="CJ58" s="28">
        <v>14.14</v>
      </c>
    </row>
    <row r="59" spans="1:88" x14ac:dyDescent="0.25">
      <c r="A59" s="5" t="s">
        <v>24</v>
      </c>
      <c r="D59" s="5" t="s">
        <v>311</v>
      </c>
      <c r="E59" s="5">
        <v>2023</v>
      </c>
      <c r="F59" s="5">
        <v>3</v>
      </c>
      <c r="G59" s="5">
        <v>4</v>
      </c>
      <c r="H59" s="5">
        <v>10</v>
      </c>
      <c r="I59" s="5">
        <v>158</v>
      </c>
      <c r="R59" s="91">
        <v>0.99526142792842887</v>
      </c>
      <c r="S59" s="5">
        <v>0.99123549690659729</v>
      </c>
      <c r="T59" s="5">
        <v>0.9822206986185481</v>
      </c>
      <c r="U59" s="5">
        <v>0.82928476926337125</v>
      </c>
      <c r="AQ59" s="5">
        <v>0.5</v>
      </c>
      <c r="AR59" s="5">
        <v>3605</v>
      </c>
      <c r="AS59" s="20">
        <f t="shared" si="0"/>
        <v>7210</v>
      </c>
      <c r="AT59" s="5">
        <v>239.2</v>
      </c>
      <c r="AU59" s="5">
        <v>30</v>
      </c>
      <c r="AV59" s="35">
        <f t="shared" si="1"/>
        <v>7.9733333333333327</v>
      </c>
      <c r="AW59" s="32">
        <v>239.2</v>
      </c>
      <c r="AY59" s="32">
        <v>20</v>
      </c>
      <c r="AZ59" s="24">
        <v>9.32</v>
      </c>
      <c r="BA59" s="24">
        <v>2.78</v>
      </c>
      <c r="BB59" s="24">
        <v>16.25</v>
      </c>
      <c r="BC59" s="24">
        <v>2.06</v>
      </c>
      <c r="BD59" s="93">
        <f t="shared" si="2"/>
        <v>30.41</v>
      </c>
      <c r="BE59" s="35">
        <f t="shared" si="3"/>
        <v>1.5205</v>
      </c>
      <c r="BF59" s="29">
        <f t="shared" si="4"/>
        <v>7.9733333333333327</v>
      </c>
      <c r="BG59" s="35">
        <f t="shared" si="5"/>
        <v>0.19069816053511707</v>
      </c>
      <c r="BH59" s="20">
        <f t="shared" si="6"/>
        <v>687.46686872909697</v>
      </c>
      <c r="BI59" s="38">
        <f t="shared" si="7"/>
        <v>1374.9337374581939</v>
      </c>
      <c r="BJ59" s="35">
        <f t="shared" si="8"/>
        <v>0.30647813219335746</v>
      </c>
      <c r="BK59" s="35">
        <f t="shared" si="9"/>
        <v>9.1417296941795456E-2</v>
      </c>
      <c r="BL59" s="35">
        <f t="shared" si="10"/>
        <v>0.53436369615258139</v>
      </c>
      <c r="BM59" s="35">
        <f t="shared" si="13"/>
        <v>6.7740874712265697E-2</v>
      </c>
      <c r="BN59" s="20">
        <f t="shared" si="11"/>
        <v>421.38712374581939</v>
      </c>
      <c r="BO59" s="20">
        <f t="shared" si="14"/>
        <v>125.69272575250835</v>
      </c>
      <c r="BP59" s="20">
        <f t="shared" si="15"/>
        <v>734.7146739130435</v>
      </c>
      <c r="BQ59" s="20">
        <f t="shared" si="12"/>
        <v>93.13921404682273</v>
      </c>
      <c r="BR59" s="25">
        <v>9.9500000000000011</v>
      </c>
      <c r="BS59" s="25">
        <v>21.875</v>
      </c>
      <c r="BT59" s="25">
        <v>44.649999999999991</v>
      </c>
      <c r="BU59" s="25">
        <v>52.225000000000001</v>
      </c>
      <c r="BV59" s="25">
        <v>52.225000000000001</v>
      </c>
      <c r="BX59" s="36"/>
      <c r="BY59" s="36">
        <v>-23.22</v>
      </c>
      <c r="BZ59" s="36">
        <v>2.8668</v>
      </c>
      <c r="CA59" s="36">
        <v>6.13</v>
      </c>
      <c r="CB59" s="28">
        <v>-24.38</v>
      </c>
      <c r="CC59" s="36">
        <v>1.8238000000000001</v>
      </c>
      <c r="CD59" s="36">
        <v>9.73</v>
      </c>
      <c r="CE59">
        <v>-25.45</v>
      </c>
      <c r="CF59" s="28">
        <v>1.2796000000000001</v>
      </c>
      <c r="CG59" s="28">
        <v>15.69</v>
      </c>
      <c r="CH59">
        <v>-23.81</v>
      </c>
      <c r="CI59" s="28">
        <v>2.8169</v>
      </c>
      <c r="CJ59" s="28">
        <v>22.65</v>
      </c>
    </row>
    <row r="60" spans="1:88" x14ac:dyDescent="0.25">
      <c r="A60" s="5" t="s">
        <v>34</v>
      </c>
      <c r="D60" s="5" t="s">
        <v>41</v>
      </c>
      <c r="E60" s="5">
        <v>2008</v>
      </c>
      <c r="F60" s="5">
        <v>3</v>
      </c>
      <c r="G60" s="5">
        <v>4</v>
      </c>
      <c r="H60" s="5">
        <v>11</v>
      </c>
      <c r="I60" s="5">
        <v>159</v>
      </c>
      <c r="R60" s="91">
        <v>0.97485776597649687</v>
      </c>
      <c r="S60" s="5">
        <v>0.96985760156668521</v>
      </c>
      <c r="T60" s="5">
        <v>0.96243929677990903</v>
      </c>
      <c r="U60" s="5">
        <v>0.81921707924042408</v>
      </c>
      <c r="AQ60" s="32">
        <v>0.5</v>
      </c>
      <c r="AR60" s="5">
        <v>2947</v>
      </c>
      <c r="AS60" s="20">
        <f t="shared" si="0"/>
        <v>5894</v>
      </c>
      <c r="AT60" s="5">
        <v>197.01</v>
      </c>
      <c r="AU60" s="32">
        <v>30</v>
      </c>
      <c r="AV60" s="35">
        <f t="shared" si="1"/>
        <v>6.5669999999999993</v>
      </c>
      <c r="AW60" s="32">
        <v>197.01</v>
      </c>
      <c r="AY60" s="32">
        <v>20</v>
      </c>
      <c r="AZ60" s="24">
        <v>7.88</v>
      </c>
      <c r="BA60" s="24">
        <v>0.71</v>
      </c>
      <c r="BB60" s="24">
        <v>10.72</v>
      </c>
      <c r="BC60" s="24">
        <v>1.56</v>
      </c>
      <c r="BD60" s="93">
        <f t="shared" si="2"/>
        <v>20.87</v>
      </c>
      <c r="BE60" s="35">
        <f t="shared" si="3"/>
        <v>1.0435000000000001</v>
      </c>
      <c r="BF60" s="29">
        <f t="shared" si="4"/>
        <v>6.5669999999999993</v>
      </c>
      <c r="BG60" s="35">
        <f t="shared" si="5"/>
        <v>0.15890056342317652</v>
      </c>
      <c r="BH60" s="20">
        <f t="shared" si="6"/>
        <v>468.2799604081012</v>
      </c>
      <c r="BI60" s="38">
        <f t="shared" si="7"/>
        <v>936.55992081620241</v>
      </c>
      <c r="BJ60" s="35">
        <f t="shared" si="8"/>
        <v>0.37757546717776713</v>
      </c>
      <c r="BK60" s="35">
        <f t="shared" si="9"/>
        <v>3.4020124580737901E-2</v>
      </c>
      <c r="BL60" s="35">
        <f t="shared" si="10"/>
        <v>0.51365596550071879</v>
      </c>
      <c r="BM60" s="35">
        <f t="shared" si="13"/>
        <v>7.474844274077623E-2</v>
      </c>
      <c r="BN60" s="20">
        <f t="shared" si="11"/>
        <v>353.62204964215022</v>
      </c>
      <c r="BO60" s="20">
        <f t="shared" si="14"/>
        <v>31.861885183493229</v>
      </c>
      <c r="BP60" s="20">
        <f t="shared" si="15"/>
        <v>481.06959037612319</v>
      </c>
      <c r="BQ60" s="20">
        <f t="shared" si="12"/>
        <v>70.006395614435831</v>
      </c>
      <c r="BR60" s="25">
        <v>10.475</v>
      </c>
      <c r="BS60" s="25">
        <v>5.875</v>
      </c>
      <c r="BT60" s="25">
        <v>43.849999999999994</v>
      </c>
      <c r="BU60" s="25">
        <v>49.575000000000003</v>
      </c>
      <c r="BV60" s="25">
        <v>49.575000000000003</v>
      </c>
      <c r="BX60" s="36"/>
      <c r="BY60" s="36">
        <v>-24.11</v>
      </c>
      <c r="BZ60" s="36">
        <v>2.7130000000000001</v>
      </c>
      <c r="CA60" s="36">
        <v>9.0500000000000007</v>
      </c>
      <c r="CB60" s="28">
        <v>-24.93</v>
      </c>
      <c r="CC60" s="36">
        <v>2.6960000000000002</v>
      </c>
      <c r="CD60" s="36">
        <v>3.28</v>
      </c>
      <c r="CE60">
        <v>-25.49</v>
      </c>
      <c r="CF60" s="28">
        <v>2.2103999999999999</v>
      </c>
      <c r="CG60" s="28">
        <v>10.039999999999999</v>
      </c>
      <c r="CH60">
        <v>-24.39</v>
      </c>
      <c r="CI60" s="28">
        <v>2.0091000000000001</v>
      </c>
      <c r="CJ60" s="28">
        <v>20.57</v>
      </c>
    </row>
    <row r="61" spans="1:88" x14ac:dyDescent="0.25">
      <c r="A61" s="5" t="s">
        <v>34</v>
      </c>
      <c r="D61" s="5" t="s">
        <v>37</v>
      </c>
      <c r="E61" s="5">
        <v>1989</v>
      </c>
      <c r="F61" s="5">
        <v>3</v>
      </c>
      <c r="G61" s="5">
        <v>4</v>
      </c>
      <c r="H61" s="5">
        <v>12</v>
      </c>
      <c r="I61" s="5">
        <v>160</v>
      </c>
      <c r="R61" s="91">
        <v>0.99251187105837013</v>
      </c>
      <c r="S61" s="5">
        <v>0.99261800817748325</v>
      </c>
      <c r="T61" s="5">
        <v>0.98712136289257735</v>
      </c>
      <c r="U61" s="5">
        <v>0.81056832256638867</v>
      </c>
      <c r="AQ61" s="5">
        <v>0.5</v>
      </c>
      <c r="AR61" s="5">
        <v>2626</v>
      </c>
      <c r="AS61" s="20">
        <f t="shared" si="0"/>
        <v>5252</v>
      </c>
      <c r="AT61" s="5">
        <v>183.2</v>
      </c>
      <c r="AU61" s="5">
        <v>30</v>
      </c>
      <c r="AV61" s="35">
        <f t="shared" si="1"/>
        <v>6.1066666666666665</v>
      </c>
      <c r="AW61" s="32">
        <v>183.2</v>
      </c>
      <c r="AY61" s="32">
        <v>20</v>
      </c>
      <c r="AZ61" s="24">
        <v>9</v>
      </c>
      <c r="BA61" s="24">
        <v>0.53</v>
      </c>
      <c r="BB61" s="24">
        <v>10.23</v>
      </c>
      <c r="BC61" s="24">
        <v>0.97</v>
      </c>
      <c r="BD61" s="93">
        <f t="shared" si="2"/>
        <v>20.729999999999997</v>
      </c>
      <c r="BE61" s="35">
        <f t="shared" si="3"/>
        <v>1.0364999999999998</v>
      </c>
      <c r="BF61" s="29">
        <f t="shared" si="4"/>
        <v>6.1066666666666665</v>
      </c>
      <c r="BG61" s="35">
        <f t="shared" si="5"/>
        <v>0.16973253275109168</v>
      </c>
      <c r="BH61" s="20">
        <f t="shared" si="6"/>
        <v>445.71763100436675</v>
      </c>
      <c r="BI61" s="38">
        <f t="shared" si="7"/>
        <v>891.4352620087335</v>
      </c>
      <c r="BJ61" s="35">
        <f t="shared" si="8"/>
        <v>0.43415340086830689</v>
      </c>
      <c r="BK61" s="35">
        <f t="shared" si="9"/>
        <v>2.556681138446696E-2</v>
      </c>
      <c r="BL61" s="35">
        <f t="shared" si="10"/>
        <v>0.49348769898697548</v>
      </c>
      <c r="BM61" s="35">
        <f t="shared" si="13"/>
        <v>4.6792088760250851E-2</v>
      </c>
      <c r="BN61" s="20">
        <f t="shared" si="11"/>
        <v>387.01965065502185</v>
      </c>
      <c r="BO61" s="20">
        <f t="shared" si="14"/>
        <v>22.791157205240175</v>
      </c>
      <c r="BP61" s="20">
        <f t="shared" si="15"/>
        <v>439.91233624454151</v>
      </c>
      <c r="BQ61" s="20">
        <f t="shared" si="12"/>
        <v>41.712117903930128</v>
      </c>
      <c r="BR61" s="25">
        <v>5.6000000000000005</v>
      </c>
      <c r="BS61" s="25">
        <v>21.45</v>
      </c>
      <c r="BT61" s="25">
        <v>42.924999999999997</v>
      </c>
      <c r="BU61" s="25">
        <v>48.425000000000004</v>
      </c>
      <c r="BV61" s="25">
        <v>48.425000000000004</v>
      </c>
      <c r="BX61" s="36"/>
      <c r="BY61" s="36">
        <v>-24.07</v>
      </c>
      <c r="BZ61" s="36">
        <v>3.0649000000000002</v>
      </c>
      <c r="CA61" s="36">
        <v>5.52</v>
      </c>
      <c r="CB61" s="28">
        <v>-25.25</v>
      </c>
      <c r="CC61" s="36">
        <v>1.8892</v>
      </c>
      <c r="CD61" s="36">
        <v>2.31</v>
      </c>
      <c r="CE61">
        <v>-25.65</v>
      </c>
      <c r="CF61" s="28">
        <v>2.6907999999999999</v>
      </c>
      <c r="CG61" s="28">
        <v>9.76</v>
      </c>
      <c r="CH61">
        <v>-23.87</v>
      </c>
      <c r="CI61" s="28">
        <v>3.5836999999999999</v>
      </c>
      <c r="CJ61" s="28">
        <v>20.98</v>
      </c>
    </row>
    <row r="62" spans="1:88" x14ac:dyDescent="0.25">
      <c r="A62" s="5" t="s">
        <v>24</v>
      </c>
      <c r="D62" s="5" t="s">
        <v>28</v>
      </c>
      <c r="E62" s="5">
        <v>1998</v>
      </c>
      <c r="F62" s="5">
        <v>4</v>
      </c>
      <c r="G62" s="5">
        <v>4</v>
      </c>
      <c r="H62" s="5">
        <v>13</v>
      </c>
      <c r="I62" s="5">
        <v>161</v>
      </c>
      <c r="R62" s="91">
        <v>0.98941438223833156</v>
      </c>
      <c r="S62" s="5">
        <v>0.99143396790375327</v>
      </c>
      <c r="T62" s="5">
        <v>0.98595235690786331</v>
      </c>
      <c r="U62" s="5">
        <v>0.81031489463601536</v>
      </c>
      <c r="AQ62" s="32">
        <v>0.5</v>
      </c>
      <c r="AR62" s="5">
        <v>3607</v>
      </c>
      <c r="AS62" s="20">
        <f t="shared" si="0"/>
        <v>7214</v>
      </c>
      <c r="AT62" s="5">
        <v>243.41</v>
      </c>
      <c r="AU62" s="32">
        <v>30</v>
      </c>
      <c r="AV62" s="35">
        <f t="shared" si="1"/>
        <v>8.113666666666667</v>
      </c>
      <c r="AW62" s="32">
        <v>243.41</v>
      </c>
      <c r="AY62" s="32">
        <v>20</v>
      </c>
      <c r="AZ62" s="24">
        <v>10.029999999999999</v>
      </c>
      <c r="BA62" s="24">
        <v>3.28</v>
      </c>
      <c r="BB62" s="24">
        <v>14.01</v>
      </c>
      <c r="BC62" s="24">
        <v>1.67</v>
      </c>
      <c r="BD62" s="93">
        <f t="shared" si="2"/>
        <v>28.990000000000002</v>
      </c>
      <c r="BE62" s="35">
        <f t="shared" si="3"/>
        <v>1.4495</v>
      </c>
      <c r="BF62" s="29">
        <f t="shared" si="4"/>
        <v>8.113666666666667</v>
      </c>
      <c r="BG62" s="35">
        <f t="shared" si="5"/>
        <v>0.17864919272010188</v>
      </c>
      <c r="BH62" s="20">
        <f t="shared" si="6"/>
        <v>644.38763814140748</v>
      </c>
      <c r="BI62" s="38">
        <f t="shared" si="7"/>
        <v>1288.775276282815</v>
      </c>
      <c r="BJ62" s="35">
        <f t="shared" si="8"/>
        <v>0.34598137288720243</v>
      </c>
      <c r="BK62" s="35">
        <f t="shared" si="9"/>
        <v>0.11314246291824766</v>
      </c>
      <c r="BL62" s="35">
        <f t="shared" si="10"/>
        <v>0.48327009313556396</v>
      </c>
      <c r="BM62" s="35">
        <f t="shared" si="13"/>
        <v>5.7606071058985853E-2</v>
      </c>
      <c r="BN62" s="20">
        <f t="shared" si="11"/>
        <v>445.89223943141195</v>
      </c>
      <c r="BO62" s="20">
        <f t="shared" si="14"/>
        <v>145.81520890678277</v>
      </c>
      <c r="BP62" s="20">
        <f t="shared" si="15"/>
        <v>622.82654780000814</v>
      </c>
      <c r="BQ62" s="20">
        <f t="shared" si="12"/>
        <v>74.241280144611963</v>
      </c>
      <c r="BR62" s="25">
        <v>5.0250000000000004</v>
      </c>
      <c r="BS62" s="25">
        <v>18.95</v>
      </c>
      <c r="BT62" s="25">
        <v>33.65</v>
      </c>
      <c r="BU62" s="25">
        <v>43.375</v>
      </c>
      <c r="BV62" s="25">
        <v>43.375</v>
      </c>
      <c r="BX62" s="36"/>
      <c r="BY62" s="36">
        <v>-23.35</v>
      </c>
      <c r="BZ62" s="36">
        <v>2.0937999999999999</v>
      </c>
      <c r="CA62" s="36">
        <v>9.3000000000000007</v>
      </c>
      <c r="CB62" s="28">
        <v>-25.01</v>
      </c>
      <c r="CC62" s="36">
        <v>1.8065</v>
      </c>
      <c r="CD62" s="36">
        <v>6.03</v>
      </c>
      <c r="CE62">
        <v>-25.63</v>
      </c>
      <c r="CF62" s="28">
        <v>2.5196000000000001</v>
      </c>
      <c r="CG62" s="28">
        <v>7.73</v>
      </c>
      <c r="CH62">
        <v>-24.32</v>
      </c>
      <c r="CI62" s="28">
        <v>2.8138999999999998</v>
      </c>
      <c r="CJ62" s="28">
        <v>16.88</v>
      </c>
    </row>
    <row r="63" spans="1:88" x14ac:dyDescent="0.25">
      <c r="A63" s="5" t="s">
        <v>24</v>
      </c>
      <c r="D63" s="5" t="s">
        <v>313</v>
      </c>
      <c r="E63" s="5">
        <v>2016</v>
      </c>
      <c r="F63" s="5">
        <v>4</v>
      </c>
      <c r="G63" s="5">
        <v>4</v>
      </c>
      <c r="H63" s="5">
        <v>14</v>
      </c>
      <c r="I63" s="5">
        <v>162</v>
      </c>
      <c r="R63" s="91">
        <v>0.99803149699499871</v>
      </c>
      <c r="S63" s="5">
        <v>0.99667368623355113</v>
      </c>
      <c r="T63" s="5">
        <v>0.9885518065330986</v>
      </c>
      <c r="U63" s="5">
        <v>0.92938804629924598</v>
      </c>
      <c r="AQ63" s="5">
        <v>0.5</v>
      </c>
      <c r="AR63" s="5">
        <v>2446</v>
      </c>
      <c r="AS63" s="20">
        <f t="shared" si="0"/>
        <v>4892</v>
      </c>
      <c r="AT63" s="5">
        <v>215.4</v>
      </c>
      <c r="AU63" s="5">
        <v>30</v>
      </c>
      <c r="AV63" s="35">
        <f t="shared" si="1"/>
        <v>7.1800000000000006</v>
      </c>
      <c r="AW63" s="32">
        <v>215.4</v>
      </c>
      <c r="AY63" s="32">
        <v>20</v>
      </c>
      <c r="AZ63" s="24">
        <v>8.8699999999999992</v>
      </c>
      <c r="BA63" s="24">
        <v>3.54</v>
      </c>
      <c r="BB63" s="24">
        <v>13.9</v>
      </c>
      <c r="BC63" s="24">
        <v>1.58</v>
      </c>
      <c r="BD63" s="93">
        <f t="shared" si="2"/>
        <v>27.89</v>
      </c>
      <c r="BE63" s="35">
        <f t="shared" si="3"/>
        <v>1.3945000000000001</v>
      </c>
      <c r="BF63" s="29">
        <f t="shared" si="4"/>
        <v>7.1800000000000006</v>
      </c>
      <c r="BG63" s="35">
        <f t="shared" si="5"/>
        <v>0.1942200557103064</v>
      </c>
      <c r="BH63" s="20">
        <f t="shared" si="6"/>
        <v>475.06225626740945</v>
      </c>
      <c r="BI63" s="38">
        <f t="shared" si="7"/>
        <v>950.1245125348189</v>
      </c>
      <c r="BJ63" s="35">
        <f t="shared" si="8"/>
        <v>0.31803513804230904</v>
      </c>
      <c r="BK63" s="35">
        <f t="shared" si="9"/>
        <v>0.12692721405521692</v>
      </c>
      <c r="BL63" s="35">
        <f t="shared" si="10"/>
        <v>0.49838651846539977</v>
      </c>
      <c r="BM63" s="35">
        <f t="shared" si="13"/>
        <v>5.6651129437074219E-2</v>
      </c>
      <c r="BN63" s="20">
        <f t="shared" si="11"/>
        <v>302.17298050139271</v>
      </c>
      <c r="BO63" s="20">
        <f t="shared" si="14"/>
        <v>120.5966573816156</v>
      </c>
      <c r="BP63" s="20">
        <f t="shared" si="15"/>
        <v>473.52924791086349</v>
      </c>
      <c r="BQ63" s="20">
        <f t="shared" si="12"/>
        <v>53.825626740947072</v>
      </c>
      <c r="BR63" s="25">
        <v>8.1499999999999986</v>
      </c>
      <c r="BS63" s="25">
        <v>13.274999999999999</v>
      </c>
      <c r="BT63" s="25">
        <v>17.233333333333334</v>
      </c>
      <c r="BU63" s="25">
        <v>49.466666666666661</v>
      </c>
      <c r="BV63" s="25">
        <v>49.466666666666661</v>
      </c>
      <c r="BX63" s="36"/>
      <c r="BY63" s="36">
        <v>-24.03</v>
      </c>
      <c r="BZ63" s="36">
        <v>1.6516</v>
      </c>
      <c r="CA63" s="36">
        <v>6.62</v>
      </c>
      <c r="CB63" s="28">
        <v>-25.58</v>
      </c>
      <c r="CC63" s="36">
        <v>1.6978</v>
      </c>
      <c r="CD63" s="36">
        <v>4.2</v>
      </c>
      <c r="CE63">
        <v>-25.97</v>
      </c>
      <c r="CF63" s="28">
        <v>2.0586000000000002</v>
      </c>
      <c r="CG63" s="28">
        <v>11.05</v>
      </c>
      <c r="CH63">
        <v>-24.24</v>
      </c>
      <c r="CI63" s="28">
        <v>2.9207999999999998</v>
      </c>
      <c r="CJ63" s="28">
        <v>14.49</v>
      </c>
    </row>
    <row r="64" spans="1:88" x14ac:dyDescent="0.25">
      <c r="A64" s="5" t="s">
        <v>34</v>
      </c>
      <c r="D64" s="5" t="s">
        <v>318</v>
      </c>
      <c r="E64" s="5">
        <v>2004</v>
      </c>
      <c r="F64" s="5">
        <v>4</v>
      </c>
      <c r="G64" s="5">
        <v>4</v>
      </c>
      <c r="H64" s="5">
        <v>15</v>
      </c>
      <c r="I64" s="5">
        <v>163</v>
      </c>
      <c r="R64" s="91">
        <v>0.99385852826908716</v>
      </c>
      <c r="S64" s="5">
        <v>0.99116045087733218</v>
      </c>
      <c r="T64" s="5">
        <v>0.97126280303240264</v>
      </c>
      <c r="U64" s="5">
        <v>0.85164802556191221</v>
      </c>
      <c r="AQ64" s="32">
        <v>0.5</v>
      </c>
      <c r="AR64" s="5">
        <v>2786</v>
      </c>
      <c r="AS64" s="20">
        <f t="shared" si="0"/>
        <v>5572</v>
      </c>
      <c r="AT64" s="5">
        <v>208.6</v>
      </c>
      <c r="AU64" s="32">
        <v>30</v>
      </c>
      <c r="AV64" s="35">
        <f t="shared" si="1"/>
        <v>6.9533333333333331</v>
      </c>
      <c r="AW64" s="32">
        <v>208.6</v>
      </c>
      <c r="AY64" s="32">
        <v>20</v>
      </c>
      <c r="AZ64" s="24">
        <v>8.73</v>
      </c>
      <c r="BA64" s="24">
        <v>0.67</v>
      </c>
      <c r="BB64" s="24">
        <v>12.95</v>
      </c>
      <c r="BC64" s="24">
        <v>1.49</v>
      </c>
      <c r="BD64" s="93">
        <f t="shared" si="2"/>
        <v>23.84</v>
      </c>
      <c r="BE64" s="35">
        <f t="shared" si="3"/>
        <v>1.1919999999999999</v>
      </c>
      <c r="BF64" s="29">
        <f t="shared" si="4"/>
        <v>6.9533333333333331</v>
      </c>
      <c r="BG64" s="35">
        <f t="shared" si="5"/>
        <v>0.17142857142857143</v>
      </c>
      <c r="BH64" s="20">
        <f t="shared" si="6"/>
        <v>477.6</v>
      </c>
      <c r="BI64" s="38">
        <f t="shared" si="7"/>
        <v>955.2</v>
      </c>
      <c r="BJ64" s="35">
        <f t="shared" si="8"/>
        <v>0.36619127516778527</v>
      </c>
      <c r="BK64" s="35">
        <f t="shared" si="9"/>
        <v>2.8104026845637585E-2</v>
      </c>
      <c r="BL64" s="35">
        <f t="shared" si="10"/>
        <v>0.54320469798657711</v>
      </c>
      <c r="BM64" s="35">
        <f t="shared" si="13"/>
        <v>6.25E-2</v>
      </c>
      <c r="BN64" s="20">
        <f t="shared" si="11"/>
        <v>349.78590604026851</v>
      </c>
      <c r="BO64" s="20">
        <f t="shared" si="14"/>
        <v>26.844966442953023</v>
      </c>
      <c r="BP64" s="20">
        <f t="shared" si="15"/>
        <v>518.86912751677846</v>
      </c>
      <c r="BQ64" s="20">
        <f t="shared" si="12"/>
        <v>59.7</v>
      </c>
      <c r="BR64" s="25">
        <v>23</v>
      </c>
      <c r="BS64" s="25">
        <v>26.5</v>
      </c>
      <c r="BT64" s="25">
        <v>47.574999999999996</v>
      </c>
      <c r="BU64" s="25">
        <v>51.125</v>
      </c>
      <c r="BV64" s="25">
        <v>51.125</v>
      </c>
      <c r="BX64" s="36"/>
      <c r="BY64" s="36">
        <v>-23.21</v>
      </c>
      <c r="BZ64" s="36">
        <v>2.8006000000000002</v>
      </c>
      <c r="CA64" s="36">
        <v>8.75</v>
      </c>
      <c r="CB64" s="28">
        <v>-25.21</v>
      </c>
      <c r="CC64" s="36">
        <v>3.2749000000000001</v>
      </c>
      <c r="CD64" s="36">
        <v>0.95</v>
      </c>
      <c r="CE64">
        <v>-25.8</v>
      </c>
      <c r="CF64" s="28">
        <v>2.8934000000000002</v>
      </c>
      <c r="CG64" s="28">
        <v>8.2100000000000009</v>
      </c>
      <c r="CH64">
        <v>-24.02</v>
      </c>
      <c r="CI64" s="28">
        <v>2.7976999999999999</v>
      </c>
      <c r="CJ64" s="28">
        <v>19.239999999999998</v>
      </c>
    </row>
    <row r="65" spans="1:88" x14ac:dyDescent="0.25">
      <c r="A65" s="5" t="s">
        <v>34</v>
      </c>
      <c r="D65" s="5" t="s">
        <v>39</v>
      </c>
      <c r="E65" s="5">
        <v>2001</v>
      </c>
      <c r="F65" s="5">
        <v>4</v>
      </c>
      <c r="G65" s="5">
        <v>4</v>
      </c>
      <c r="H65" s="5">
        <v>16</v>
      </c>
      <c r="I65" s="5">
        <v>164</v>
      </c>
      <c r="R65" s="91">
        <v>0.98815078625818631</v>
      </c>
      <c r="S65" s="5">
        <v>0.99014744784458486</v>
      </c>
      <c r="T65" s="5">
        <v>0.95621115501407061</v>
      </c>
      <c r="U65" s="5">
        <v>0.70554264246263065</v>
      </c>
      <c r="AQ65" s="5">
        <v>0.5</v>
      </c>
      <c r="AR65" s="5">
        <v>3400</v>
      </c>
      <c r="AS65" s="20">
        <f t="shared" si="0"/>
        <v>6800</v>
      </c>
      <c r="AT65" s="5">
        <v>210.91</v>
      </c>
      <c r="AU65" s="5">
        <v>30</v>
      </c>
      <c r="AV65" s="35">
        <f t="shared" si="1"/>
        <v>7.0303333333333331</v>
      </c>
      <c r="AW65" s="32">
        <v>210.91</v>
      </c>
      <c r="AY65" s="32">
        <v>20</v>
      </c>
      <c r="AZ65" s="24">
        <v>8.08</v>
      </c>
      <c r="BA65" s="24">
        <v>0.62</v>
      </c>
      <c r="BB65" s="24">
        <v>12.48</v>
      </c>
      <c r="BC65" s="24">
        <v>2.41</v>
      </c>
      <c r="BD65" s="93">
        <f t="shared" si="2"/>
        <v>23.59</v>
      </c>
      <c r="BE65" s="35">
        <f t="shared" si="3"/>
        <v>1.1795</v>
      </c>
      <c r="BF65" s="29">
        <f t="shared" si="4"/>
        <v>7.0303333333333331</v>
      </c>
      <c r="BG65" s="35">
        <f t="shared" si="5"/>
        <v>0.16777298373713906</v>
      </c>
      <c r="BH65" s="20">
        <f t="shared" si="6"/>
        <v>570.42814470627275</v>
      </c>
      <c r="BI65" s="38">
        <f t="shared" si="7"/>
        <v>1140.8562894125455</v>
      </c>
      <c r="BJ65" s="35">
        <f t="shared" si="8"/>
        <v>0.34251801610852056</v>
      </c>
      <c r="BK65" s="35">
        <f t="shared" si="9"/>
        <v>2.6282323018228061E-2</v>
      </c>
      <c r="BL65" s="35">
        <f t="shared" si="10"/>
        <v>0.52903772785078429</v>
      </c>
      <c r="BM65" s="35">
        <f t="shared" si="13"/>
        <v>0.10216193302246715</v>
      </c>
      <c r="BN65" s="20">
        <f t="shared" si="11"/>
        <v>390.76383291451327</v>
      </c>
      <c r="BO65" s="20">
        <f t="shared" si="14"/>
        <v>29.984353515717601</v>
      </c>
      <c r="BP65" s="20">
        <f t="shared" si="15"/>
        <v>603.55601915508987</v>
      </c>
      <c r="BQ65" s="20">
        <f t="shared" si="12"/>
        <v>116.55208382722488</v>
      </c>
      <c r="BR65" s="25">
        <v>17.05</v>
      </c>
      <c r="BS65" s="25">
        <v>23.724999999999998</v>
      </c>
      <c r="BT65" s="25">
        <v>36.975000000000001</v>
      </c>
      <c r="BU65" s="25">
        <v>47.024999999999999</v>
      </c>
      <c r="BV65" s="25">
        <v>47.024999999999999</v>
      </c>
      <c r="BX65" s="36"/>
      <c r="BY65" s="36">
        <v>-23.68</v>
      </c>
      <c r="BZ65" s="36">
        <v>2.8407</v>
      </c>
      <c r="CA65" s="36">
        <v>8.2200000000000006</v>
      </c>
      <c r="CB65" s="28">
        <v>-24.96</v>
      </c>
      <c r="CC65" s="36">
        <v>2.4434999999999998</v>
      </c>
      <c r="CD65" s="36">
        <v>3.65</v>
      </c>
      <c r="CE65">
        <v>-25.72</v>
      </c>
      <c r="CF65" s="28">
        <v>1.7465999999999999</v>
      </c>
      <c r="CG65" s="28">
        <v>12.49</v>
      </c>
      <c r="CH65">
        <v>-24.62</v>
      </c>
      <c r="CI65" s="28">
        <v>2.3616000000000001</v>
      </c>
      <c r="CJ65" s="28">
        <v>17.86</v>
      </c>
    </row>
    <row r="90" spans="10:11" x14ac:dyDescent="0.25">
      <c r="J90" s="55"/>
      <c r="K90" s="55"/>
    </row>
    <row r="154" spans="10:11" x14ac:dyDescent="0.25">
      <c r="J154" s="55"/>
      <c r="K154" s="55"/>
    </row>
    <row r="218" spans="10:11" x14ac:dyDescent="0.25">
      <c r="J218" s="55"/>
      <c r="K218" s="55"/>
    </row>
    <row r="282" spans="10:11" x14ac:dyDescent="0.25">
      <c r="J282" s="55"/>
      <c r="K282" s="55"/>
    </row>
    <row r="346" spans="10:11" x14ac:dyDescent="0.25">
      <c r="J346" s="55"/>
      <c r="K346" s="55"/>
    </row>
    <row r="410" spans="10:11" x14ac:dyDescent="0.25">
      <c r="J410" s="55"/>
      <c r="K410" s="55"/>
    </row>
    <row r="474" spans="10:11" x14ac:dyDescent="0.25">
      <c r="J474" s="55"/>
      <c r="K474" s="55"/>
    </row>
  </sheetData>
  <sortState xmlns:xlrd2="http://schemas.microsoft.com/office/spreadsheetml/2017/richdata2" ref="A2:EM474">
    <sortCondition ref="I2:I474"/>
  </sortState>
  <phoneticPr fontId="6" type="noConversion"/>
  <pageMargins left="0.7" right="0.7" top="0.75" bottom="0.75" header="0.3" footer="0.3"/>
  <pageSetup paperSize="9" orientation="portrait" horizontalDpi="360" verticalDpi="360"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357A-795F-4700-B995-75CFA59869B4}">
  <sheetPr>
    <tabColor rgb="FF92D050"/>
  </sheetPr>
  <dimension ref="A1:P321"/>
  <sheetViews>
    <sheetView workbookViewId="0"/>
  </sheetViews>
  <sheetFormatPr defaultRowHeight="15" x14ac:dyDescent="0.25"/>
  <cols>
    <col min="10" max="11" width="13.5703125" customWidth="1"/>
    <col min="12" max="12" width="11" customWidth="1"/>
    <col min="13" max="13" width="20.42578125" customWidth="1"/>
    <col min="16" max="16" width="15.5703125" bestFit="1" customWidth="1"/>
    <col min="17" max="19" width="10.5703125" bestFit="1" customWidth="1"/>
    <col min="20" max="20" width="9.5703125" bestFit="1" customWidth="1"/>
  </cols>
  <sheetData>
    <row r="1" spans="1:16" ht="63" customHeight="1" x14ac:dyDescent="0.25">
      <c r="A1" s="4" t="s">
        <v>44</v>
      </c>
      <c r="B1" s="4" t="s">
        <v>45</v>
      </c>
      <c r="C1" s="4" t="s">
        <v>46</v>
      </c>
      <c r="D1" s="4" t="s">
        <v>47</v>
      </c>
      <c r="E1" s="4" t="s">
        <v>48</v>
      </c>
      <c r="F1" s="4" t="s">
        <v>49</v>
      </c>
      <c r="G1" s="4" t="s">
        <v>54</v>
      </c>
      <c r="H1" s="4" t="s">
        <v>50</v>
      </c>
      <c r="I1" s="4" t="s">
        <v>51</v>
      </c>
      <c r="J1" s="4" t="s">
        <v>173</v>
      </c>
      <c r="K1" s="4" t="s">
        <v>174</v>
      </c>
      <c r="L1" s="4" t="s">
        <v>175</v>
      </c>
      <c r="M1" s="4" t="s">
        <v>238</v>
      </c>
      <c r="N1" s="4" t="s">
        <v>239</v>
      </c>
      <c r="O1" s="4"/>
      <c r="P1" s="4"/>
    </row>
    <row r="2" spans="1:16" x14ac:dyDescent="0.25">
      <c r="A2" t="s">
        <v>24</v>
      </c>
      <c r="D2" t="s">
        <v>28</v>
      </c>
      <c r="E2">
        <v>1998</v>
      </c>
      <c r="F2">
        <v>1</v>
      </c>
      <c r="G2">
        <v>101</v>
      </c>
      <c r="H2">
        <v>1</v>
      </c>
      <c r="I2">
        <v>1</v>
      </c>
      <c r="K2" s="13">
        <v>45932</v>
      </c>
      <c r="L2">
        <v>113</v>
      </c>
    </row>
    <row r="3" spans="1:16" x14ac:dyDescent="0.25">
      <c r="A3" t="s">
        <v>24</v>
      </c>
      <c r="D3" t="s">
        <v>28</v>
      </c>
      <c r="E3">
        <v>1998</v>
      </c>
      <c r="F3">
        <v>1</v>
      </c>
      <c r="G3">
        <v>101</v>
      </c>
      <c r="H3">
        <v>1</v>
      </c>
      <c r="I3">
        <v>1</v>
      </c>
      <c r="K3" s="13">
        <v>45936</v>
      </c>
      <c r="L3">
        <v>113</v>
      </c>
      <c r="M3">
        <v>2</v>
      </c>
      <c r="N3">
        <v>1.7699115044247701E-2</v>
      </c>
    </row>
    <row r="4" spans="1:16" x14ac:dyDescent="0.25">
      <c r="A4" t="s">
        <v>24</v>
      </c>
      <c r="D4" t="s">
        <v>28</v>
      </c>
      <c r="E4">
        <v>1998</v>
      </c>
      <c r="F4">
        <v>1</v>
      </c>
      <c r="G4">
        <v>101</v>
      </c>
      <c r="H4">
        <v>1</v>
      </c>
      <c r="I4">
        <v>1</v>
      </c>
      <c r="K4" s="13">
        <v>45939</v>
      </c>
      <c r="L4">
        <v>113</v>
      </c>
      <c r="M4">
        <v>57</v>
      </c>
      <c r="N4">
        <v>0.50442477876106195</v>
      </c>
    </row>
    <row r="5" spans="1:16" x14ac:dyDescent="0.25">
      <c r="A5" t="s">
        <v>24</v>
      </c>
      <c r="D5" t="s">
        <v>28</v>
      </c>
      <c r="E5">
        <v>1998</v>
      </c>
      <c r="F5">
        <v>1</v>
      </c>
      <c r="G5">
        <v>101</v>
      </c>
      <c r="H5">
        <v>1</v>
      </c>
      <c r="I5">
        <v>1</v>
      </c>
      <c r="K5" s="13">
        <v>45943</v>
      </c>
      <c r="L5">
        <v>113</v>
      </c>
    </row>
    <row r="6" spans="1:16" x14ac:dyDescent="0.25">
      <c r="A6" t="s">
        <v>24</v>
      </c>
      <c r="D6" t="s">
        <v>28</v>
      </c>
      <c r="E6">
        <v>1998</v>
      </c>
      <c r="F6">
        <v>1</v>
      </c>
      <c r="G6">
        <v>101</v>
      </c>
      <c r="H6">
        <v>1</v>
      </c>
      <c r="I6">
        <v>1</v>
      </c>
      <c r="K6" s="13">
        <v>45946</v>
      </c>
      <c r="L6">
        <v>113</v>
      </c>
    </row>
    <row r="7" spans="1:16" x14ac:dyDescent="0.25">
      <c r="A7" t="s">
        <v>24</v>
      </c>
      <c r="D7" t="s">
        <v>312</v>
      </c>
      <c r="E7">
        <v>2002</v>
      </c>
      <c r="F7">
        <v>1</v>
      </c>
      <c r="G7">
        <v>102</v>
      </c>
      <c r="H7">
        <v>1</v>
      </c>
      <c r="I7">
        <v>2</v>
      </c>
      <c r="K7" s="13">
        <v>45932</v>
      </c>
      <c r="L7">
        <v>74</v>
      </c>
    </row>
    <row r="8" spans="1:16" x14ac:dyDescent="0.25">
      <c r="A8" t="s">
        <v>24</v>
      </c>
      <c r="D8" t="s">
        <v>312</v>
      </c>
      <c r="E8">
        <v>2002</v>
      </c>
      <c r="F8">
        <v>1</v>
      </c>
      <c r="G8">
        <v>102</v>
      </c>
      <c r="H8">
        <v>1</v>
      </c>
      <c r="I8">
        <v>2</v>
      </c>
      <c r="K8" s="13">
        <v>45936</v>
      </c>
      <c r="L8">
        <v>74</v>
      </c>
      <c r="M8">
        <v>1</v>
      </c>
      <c r="N8">
        <v>1.35135135135135E-2</v>
      </c>
    </row>
    <row r="9" spans="1:16" x14ac:dyDescent="0.25">
      <c r="A9" t="s">
        <v>24</v>
      </c>
      <c r="D9" t="s">
        <v>312</v>
      </c>
      <c r="E9">
        <v>2002</v>
      </c>
      <c r="F9">
        <v>1</v>
      </c>
      <c r="G9">
        <v>102</v>
      </c>
      <c r="H9">
        <v>1</v>
      </c>
      <c r="I9">
        <v>2</v>
      </c>
      <c r="K9" s="13">
        <v>45939</v>
      </c>
      <c r="L9">
        <v>74</v>
      </c>
      <c r="M9">
        <v>10</v>
      </c>
      <c r="N9">
        <v>0.135135135135135</v>
      </c>
    </row>
    <row r="10" spans="1:16" x14ac:dyDescent="0.25">
      <c r="A10" t="s">
        <v>24</v>
      </c>
      <c r="D10" t="s">
        <v>312</v>
      </c>
      <c r="E10">
        <v>2002</v>
      </c>
      <c r="F10">
        <v>1</v>
      </c>
      <c r="G10">
        <v>102</v>
      </c>
      <c r="H10">
        <v>1</v>
      </c>
      <c r="I10">
        <v>2</v>
      </c>
      <c r="K10" s="13">
        <v>45943</v>
      </c>
      <c r="L10">
        <v>74</v>
      </c>
      <c r="M10">
        <v>37</v>
      </c>
      <c r="N10">
        <v>0.5</v>
      </c>
    </row>
    <row r="11" spans="1:16" x14ac:dyDescent="0.25">
      <c r="A11" t="s">
        <v>24</v>
      </c>
      <c r="D11" t="s">
        <v>312</v>
      </c>
      <c r="E11">
        <v>2002</v>
      </c>
      <c r="F11">
        <v>1</v>
      </c>
      <c r="G11">
        <v>102</v>
      </c>
      <c r="H11">
        <v>1</v>
      </c>
      <c r="I11">
        <v>2</v>
      </c>
      <c r="K11" s="13">
        <v>45946</v>
      </c>
      <c r="L11">
        <v>74</v>
      </c>
    </row>
    <row r="12" spans="1:16" x14ac:dyDescent="0.25">
      <c r="A12" t="s">
        <v>34</v>
      </c>
      <c r="D12" t="s">
        <v>39</v>
      </c>
      <c r="E12">
        <v>2001</v>
      </c>
      <c r="F12">
        <v>1</v>
      </c>
      <c r="G12">
        <v>103</v>
      </c>
      <c r="H12">
        <v>1</v>
      </c>
      <c r="I12">
        <v>3</v>
      </c>
      <c r="K12" s="13">
        <v>45932</v>
      </c>
      <c r="L12">
        <v>82</v>
      </c>
    </row>
    <row r="13" spans="1:16" x14ac:dyDescent="0.25">
      <c r="A13" t="s">
        <v>34</v>
      </c>
      <c r="D13" t="s">
        <v>39</v>
      </c>
      <c r="E13">
        <v>2001</v>
      </c>
      <c r="F13">
        <v>1</v>
      </c>
      <c r="G13">
        <v>103</v>
      </c>
      <c r="H13">
        <v>1</v>
      </c>
      <c r="I13">
        <v>3</v>
      </c>
      <c r="K13" s="13">
        <v>45936</v>
      </c>
      <c r="L13">
        <v>82</v>
      </c>
      <c r="M13">
        <v>1</v>
      </c>
      <c r="N13">
        <v>1.21951219512195E-2</v>
      </c>
    </row>
    <row r="14" spans="1:16" x14ac:dyDescent="0.25">
      <c r="A14" t="s">
        <v>34</v>
      </c>
      <c r="D14" t="s">
        <v>39</v>
      </c>
      <c r="E14">
        <v>2001</v>
      </c>
      <c r="F14">
        <v>1</v>
      </c>
      <c r="G14">
        <v>103</v>
      </c>
      <c r="H14">
        <v>1</v>
      </c>
      <c r="I14">
        <v>3</v>
      </c>
      <c r="K14" s="13">
        <v>45939</v>
      </c>
      <c r="L14">
        <v>82</v>
      </c>
      <c r="M14">
        <v>17</v>
      </c>
      <c r="N14">
        <v>0.207317073170731</v>
      </c>
    </row>
    <row r="15" spans="1:16" x14ac:dyDescent="0.25">
      <c r="A15" t="s">
        <v>34</v>
      </c>
      <c r="D15" t="s">
        <v>39</v>
      </c>
      <c r="E15">
        <v>2001</v>
      </c>
      <c r="F15">
        <v>1</v>
      </c>
      <c r="G15">
        <v>103</v>
      </c>
      <c r="H15">
        <v>1</v>
      </c>
      <c r="I15">
        <v>3</v>
      </c>
      <c r="K15" s="13">
        <v>45943</v>
      </c>
      <c r="L15">
        <v>82</v>
      </c>
      <c r="M15">
        <v>41</v>
      </c>
      <c r="N15">
        <v>0.5</v>
      </c>
    </row>
    <row r="16" spans="1:16" x14ac:dyDescent="0.25">
      <c r="A16" t="s">
        <v>34</v>
      </c>
      <c r="D16" t="s">
        <v>39</v>
      </c>
      <c r="E16">
        <v>2001</v>
      </c>
      <c r="F16">
        <v>1</v>
      </c>
      <c r="G16">
        <v>103</v>
      </c>
      <c r="H16">
        <v>1</v>
      </c>
      <c r="I16">
        <v>3</v>
      </c>
      <c r="K16" s="13">
        <v>45946</v>
      </c>
      <c r="L16">
        <v>82</v>
      </c>
    </row>
    <row r="17" spans="1:14" x14ac:dyDescent="0.25">
      <c r="A17" t="s">
        <v>34</v>
      </c>
      <c r="D17" t="s">
        <v>37</v>
      </c>
      <c r="E17">
        <v>1989</v>
      </c>
      <c r="F17">
        <v>1</v>
      </c>
      <c r="G17">
        <v>104</v>
      </c>
      <c r="H17">
        <v>1</v>
      </c>
      <c r="I17">
        <v>4</v>
      </c>
      <c r="K17" s="13">
        <v>45932</v>
      </c>
      <c r="L17">
        <v>59</v>
      </c>
    </row>
    <row r="18" spans="1:14" x14ac:dyDescent="0.25">
      <c r="A18" t="s">
        <v>34</v>
      </c>
      <c r="D18" t="s">
        <v>37</v>
      </c>
      <c r="E18">
        <v>1989</v>
      </c>
      <c r="F18">
        <v>1</v>
      </c>
      <c r="G18">
        <v>104</v>
      </c>
      <c r="H18">
        <v>1</v>
      </c>
      <c r="I18">
        <v>4</v>
      </c>
      <c r="K18" s="13">
        <v>45936</v>
      </c>
      <c r="L18">
        <v>59</v>
      </c>
      <c r="M18">
        <v>6</v>
      </c>
      <c r="N18">
        <v>0.101694915254237</v>
      </c>
    </row>
    <row r="19" spans="1:14" x14ac:dyDescent="0.25">
      <c r="A19" t="s">
        <v>34</v>
      </c>
      <c r="D19" t="s">
        <v>37</v>
      </c>
      <c r="E19">
        <v>1989</v>
      </c>
      <c r="F19">
        <v>1</v>
      </c>
      <c r="G19">
        <v>104</v>
      </c>
      <c r="H19">
        <v>1</v>
      </c>
      <c r="I19">
        <v>4</v>
      </c>
      <c r="K19" s="13">
        <v>45939</v>
      </c>
      <c r="L19">
        <v>59</v>
      </c>
      <c r="M19">
        <v>16</v>
      </c>
      <c r="N19">
        <v>0.27118644067796599</v>
      </c>
    </row>
    <row r="20" spans="1:14" x14ac:dyDescent="0.25">
      <c r="A20" t="s">
        <v>34</v>
      </c>
      <c r="D20" t="s">
        <v>37</v>
      </c>
      <c r="E20">
        <v>1989</v>
      </c>
      <c r="F20">
        <v>1</v>
      </c>
      <c r="G20">
        <v>104</v>
      </c>
      <c r="H20">
        <v>1</v>
      </c>
      <c r="I20">
        <v>4</v>
      </c>
      <c r="K20" s="13">
        <v>45943</v>
      </c>
      <c r="L20">
        <v>59</v>
      </c>
      <c r="M20">
        <v>31</v>
      </c>
      <c r="N20">
        <v>0.52542372881355903</v>
      </c>
    </row>
    <row r="21" spans="1:14" x14ac:dyDescent="0.25">
      <c r="A21" t="s">
        <v>34</v>
      </c>
      <c r="D21" t="s">
        <v>37</v>
      </c>
      <c r="E21">
        <v>1989</v>
      </c>
      <c r="F21">
        <v>1</v>
      </c>
      <c r="G21">
        <v>104</v>
      </c>
      <c r="H21">
        <v>1</v>
      </c>
      <c r="I21">
        <v>4</v>
      </c>
      <c r="K21" s="13">
        <v>45946</v>
      </c>
      <c r="L21">
        <v>59</v>
      </c>
    </row>
    <row r="22" spans="1:14" x14ac:dyDescent="0.25">
      <c r="A22" t="s">
        <v>24</v>
      </c>
      <c r="D22" t="s">
        <v>29</v>
      </c>
      <c r="E22">
        <v>1999</v>
      </c>
      <c r="F22">
        <v>2</v>
      </c>
      <c r="G22">
        <v>105</v>
      </c>
      <c r="H22">
        <v>1</v>
      </c>
      <c r="I22">
        <v>5</v>
      </c>
      <c r="K22" s="13">
        <v>45932</v>
      </c>
      <c r="L22">
        <v>102</v>
      </c>
    </row>
    <row r="23" spans="1:14" x14ac:dyDescent="0.25">
      <c r="A23" t="s">
        <v>24</v>
      </c>
      <c r="D23" t="s">
        <v>29</v>
      </c>
      <c r="E23">
        <v>1999</v>
      </c>
      <c r="F23">
        <v>2</v>
      </c>
      <c r="G23">
        <v>105</v>
      </c>
      <c r="H23">
        <v>1</v>
      </c>
      <c r="I23">
        <v>5</v>
      </c>
      <c r="K23" s="13">
        <v>45936</v>
      </c>
      <c r="L23">
        <v>102</v>
      </c>
      <c r="M23">
        <v>5</v>
      </c>
      <c r="N23">
        <v>4.9019607843137199E-2</v>
      </c>
    </row>
    <row r="24" spans="1:14" x14ac:dyDescent="0.25">
      <c r="A24" t="s">
        <v>24</v>
      </c>
      <c r="D24" t="s">
        <v>29</v>
      </c>
      <c r="E24">
        <v>1999</v>
      </c>
      <c r="F24">
        <v>2</v>
      </c>
      <c r="G24">
        <v>105</v>
      </c>
      <c r="H24">
        <v>1</v>
      </c>
      <c r="I24">
        <v>5</v>
      </c>
      <c r="K24" s="13">
        <v>45939</v>
      </c>
      <c r="L24">
        <v>102</v>
      </c>
      <c r="M24">
        <v>31</v>
      </c>
      <c r="N24">
        <v>0.30392156862745001</v>
      </c>
    </row>
    <row r="25" spans="1:14" x14ac:dyDescent="0.25">
      <c r="A25" t="s">
        <v>24</v>
      </c>
      <c r="D25" t="s">
        <v>29</v>
      </c>
      <c r="E25">
        <v>1999</v>
      </c>
      <c r="F25">
        <v>2</v>
      </c>
      <c r="G25">
        <v>105</v>
      </c>
      <c r="H25">
        <v>1</v>
      </c>
      <c r="I25">
        <v>5</v>
      </c>
      <c r="K25" s="13">
        <v>45943</v>
      </c>
      <c r="L25">
        <v>102</v>
      </c>
      <c r="M25">
        <v>62</v>
      </c>
      <c r="N25">
        <v>0.60784313725490102</v>
      </c>
    </row>
    <row r="26" spans="1:14" x14ac:dyDescent="0.25">
      <c r="A26" t="s">
        <v>24</v>
      </c>
      <c r="D26" t="s">
        <v>29</v>
      </c>
      <c r="E26">
        <v>1999</v>
      </c>
      <c r="F26">
        <v>2</v>
      </c>
      <c r="G26">
        <v>105</v>
      </c>
      <c r="H26">
        <v>1</v>
      </c>
      <c r="I26">
        <v>5</v>
      </c>
      <c r="K26" s="13">
        <v>45946</v>
      </c>
      <c r="L26">
        <v>102</v>
      </c>
    </row>
    <row r="27" spans="1:14" x14ac:dyDescent="0.25">
      <c r="A27" t="s">
        <v>24</v>
      </c>
      <c r="D27" t="s">
        <v>311</v>
      </c>
      <c r="E27">
        <v>2023</v>
      </c>
      <c r="F27">
        <v>2</v>
      </c>
      <c r="G27">
        <v>106</v>
      </c>
      <c r="H27">
        <v>1</v>
      </c>
      <c r="I27">
        <v>6</v>
      </c>
      <c r="K27" s="13">
        <v>45932</v>
      </c>
      <c r="L27">
        <v>81</v>
      </c>
      <c r="M27">
        <v>2</v>
      </c>
      <c r="N27">
        <v>2.4691358024691301E-2</v>
      </c>
    </row>
    <row r="28" spans="1:14" x14ac:dyDescent="0.25">
      <c r="A28" t="s">
        <v>24</v>
      </c>
      <c r="D28" t="s">
        <v>311</v>
      </c>
      <c r="E28">
        <v>2023</v>
      </c>
      <c r="F28">
        <v>2</v>
      </c>
      <c r="G28">
        <v>106</v>
      </c>
      <c r="H28">
        <v>1</v>
      </c>
      <c r="I28">
        <v>6</v>
      </c>
      <c r="K28" s="13">
        <v>45936</v>
      </c>
      <c r="L28">
        <v>81</v>
      </c>
      <c r="M28">
        <v>19</v>
      </c>
      <c r="N28">
        <v>0.234567901234567</v>
      </c>
    </row>
    <row r="29" spans="1:14" x14ac:dyDescent="0.25">
      <c r="A29" t="s">
        <v>24</v>
      </c>
      <c r="D29" t="s">
        <v>311</v>
      </c>
      <c r="E29">
        <v>2023</v>
      </c>
      <c r="F29">
        <v>2</v>
      </c>
      <c r="G29">
        <v>106</v>
      </c>
      <c r="H29">
        <v>1</v>
      </c>
      <c r="I29">
        <v>6</v>
      </c>
      <c r="K29" s="13">
        <v>45939</v>
      </c>
      <c r="L29">
        <v>81</v>
      </c>
      <c r="M29">
        <v>41</v>
      </c>
      <c r="N29">
        <v>0.50617283950617198</v>
      </c>
    </row>
    <row r="30" spans="1:14" x14ac:dyDescent="0.25">
      <c r="A30" t="s">
        <v>24</v>
      </c>
      <c r="D30" t="s">
        <v>311</v>
      </c>
      <c r="E30">
        <v>2023</v>
      </c>
      <c r="F30">
        <v>2</v>
      </c>
      <c r="G30">
        <v>106</v>
      </c>
      <c r="H30">
        <v>1</v>
      </c>
      <c r="I30">
        <v>6</v>
      </c>
      <c r="K30" s="13">
        <v>45943</v>
      </c>
      <c r="L30">
        <v>81</v>
      </c>
    </row>
    <row r="31" spans="1:14" x14ac:dyDescent="0.25">
      <c r="A31" t="s">
        <v>24</v>
      </c>
      <c r="D31" t="s">
        <v>311</v>
      </c>
      <c r="E31">
        <v>2023</v>
      </c>
      <c r="F31">
        <v>2</v>
      </c>
      <c r="G31">
        <v>106</v>
      </c>
      <c r="H31">
        <v>1</v>
      </c>
      <c r="I31">
        <v>6</v>
      </c>
      <c r="K31" s="13">
        <v>45946</v>
      </c>
      <c r="L31">
        <v>81</v>
      </c>
    </row>
    <row r="32" spans="1:14" x14ac:dyDescent="0.25">
      <c r="A32" t="s">
        <v>34</v>
      </c>
      <c r="D32" t="s">
        <v>41</v>
      </c>
      <c r="E32">
        <v>2008</v>
      </c>
      <c r="F32">
        <v>2</v>
      </c>
      <c r="G32">
        <v>107</v>
      </c>
      <c r="H32">
        <v>1</v>
      </c>
      <c r="I32">
        <v>7</v>
      </c>
      <c r="K32" s="13">
        <v>45932</v>
      </c>
      <c r="L32">
        <v>55</v>
      </c>
    </row>
    <row r="33" spans="1:14" x14ac:dyDescent="0.25">
      <c r="A33" t="s">
        <v>34</v>
      </c>
      <c r="D33" t="s">
        <v>41</v>
      </c>
      <c r="E33">
        <v>2008</v>
      </c>
      <c r="F33">
        <v>2</v>
      </c>
      <c r="G33">
        <v>107</v>
      </c>
      <c r="H33">
        <v>1</v>
      </c>
      <c r="I33">
        <v>7</v>
      </c>
      <c r="K33" s="13">
        <v>45936</v>
      </c>
      <c r="L33">
        <v>55</v>
      </c>
      <c r="M33">
        <v>24</v>
      </c>
      <c r="N33">
        <v>0.43636363636363601</v>
      </c>
    </row>
    <row r="34" spans="1:14" x14ac:dyDescent="0.25">
      <c r="A34" t="s">
        <v>34</v>
      </c>
      <c r="D34" t="s">
        <v>41</v>
      </c>
      <c r="E34">
        <v>2008</v>
      </c>
      <c r="F34">
        <v>2</v>
      </c>
      <c r="G34">
        <v>107</v>
      </c>
      <c r="H34">
        <v>1</v>
      </c>
      <c r="I34">
        <v>7</v>
      </c>
      <c r="K34" s="13">
        <v>45939</v>
      </c>
      <c r="L34">
        <v>55</v>
      </c>
      <c r="M34">
        <v>42</v>
      </c>
      <c r="N34">
        <v>0.763636363636363</v>
      </c>
    </row>
    <row r="35" spans="1:14" x14ac:dyDescent="0.25">
      <c r="A35" t="s">
        <v>34</v>
      </c>
      <c r="D35" t="s">
        <v>41</v>
      </c>
      <c r="E35">
        <v>2008</v>
      </c>
      <c r="F35">
        <v>2</v>
      </c>
      <c r="G35">
        <v>107</v>
      </c>
      <c r="H35">
        <v>1</v>
      </c>
      <c r="I35">
        <v>7</v>
      </c>
      <c r="K35" s="13">
        <v>45943</v>
      </c>
      <c r="L35">
        <v>55</v>
      </c>
    </row>
    <row r="36" spans="1:14" x14ac:dyDescent="0.25">
      <c r="A36" t="s">
        <v>34</v>
      </c>
      <c r="D36" t="s">
        <v>41</v>
      </c>
      <c r="E36">
        <v>2008</v>
      </c>
      <c r="F36">
        <v>2</v>
      </c>
      <c r="G36">
        <v>107</v>
      </c>
      <c r="H36">
        <v>1</v>
      </c>
      <c r="I36">
        <v>7</v>
      </c>
      <c r="K36" s="13">
        <v>45946</v>
      </c>
      <c r="L36">
        <v>55</v>
      </c>
    </row>
    <row r="37" spans="1:14" x14ac:dyDescent="0.25">
      <c r="A37" t="s">
        <v>34</v>
      </c>
      <c r="D37" t="s">
        <v>318</v>
      </c>
      <c r="E37">
        <v>2004</v>
      </c>
      <c r="F37">
        <v>2</v>
      </c>
      <c r="G37">
        <v>108</v>
      </c>
      <c r="H37">
        <v>1</v>
      </c>
      <c r="I37">
        <v>8</v>
      </c>
      <c r="K37" s="13">
        <v>45932</v>
      </c>
      <c r="L37">
        <v>51</v>
      </c>
    </row>
    <row r="38" spans="1:14" x14ac:dyDescent="0.25">
      <c r="A38" t="s">
        <v>34</v>
      </c>
      <c r="D38" t="s">
        <v>318</v>
      </c>
      <c r="E38">
        <v>2004</v>
      </c>
      <c r="F38">
        <v>2</v>
      </c>
      <c r="G38">
        <v>108</v>
      </c>
      <c r="H38">
        <v>1</v>
      </c>
      <c r="I38">
        <v>8</v>
      </c>
      <c r="K38" s="13">
        <v>45936</v>
      </c>
      <c r="L38">
        <v>51</v>
      </c>
      <c r="M38">
        <v>7</v>
      </c>
      <c r="N38">
        <v>0.13725490196078399</v>
      </c>
    </row>
    <row r="39" spans="1:14" x14ac:dyDescent="0.25">
      <c r="A39" t="s">
        <v>34</v>
      </c>
      <c r="D39" t="s">
        <v>318</v>
      </c>
      <c r="E39">
        <v>2004</v>
      </c>
      <c r="F39">
        <v>2</v>
      </c>
      <c r="G39">
        <v>108</v>
      </c>
      <c r="H39">
        <v>1</v>
      </c>
      <c r="I39">
        <v>8</v>
      </c>
      <c r="K39" s="13">
        <v>45939</v>
      </c>
      <c r="L39">
        <v>51</v>
      </c>
      <c r="M39">
        <v>20</v>
      </c>
      <c r="N39">
        <v>0.39215686274509798</v>
      </c>
    </row>
    <row r="40" spans="1:14" x14ac:dyDescent="0.25">
      <c r="A40" t="s">
        <v>34</v>
      </c>
      <c r="D40" t="s">
        <v>318</v>
      </c>
      <c r="E40">
        <v>2004</v>
      </c>
      <c r="F40">
        <v>2</v>
      </c>
      <c r="G40">
        <v>108</v>
      </c>
      <c r="H40">
        <v>1</v>
      </c>
      <c r="I40">
        <v>8</v>
      </c>
      <c r="K40" s="13">
        <v>45943</v>
      </c>
      <c r="L40">
        <v>51</v>
      </c>
      <c r="M40">
        <v>39</v>
      </c>
      <c r="N40">
        <v>0.76470588235294101</v>
      </c>
    </row>
    <row r="41" spans="1:14" x14ac:dyDescent="0.25">
      <c r="A41" t="s">
        <v>34</v>
      </c>
      <c r="D41" t="s">
        <v>318</v>
      </c>
      <c r="E41">
        <v>2004</v>
      </c>
      <c r="F41">
        <v>2</v>
      </c>
      <c r="G41">
        <v>108</v>
      </c>
      <c r="H41">
        <v>1</v>
      </c>
      <c r="I41">
        <v>8</v>
      </c>
      <c r="K41" s="13">
        <v>45946</v>
      </c>
      <c r="L41">
        <v>51</v>
      </c>
    </row>
    <row r="42" spans="1:14" x14ac:dyDescent="0.25">
      <c r="A42" t="s">
        <v>24</v>
      </c>
      <c r="D42" t="s">
        <v>26</v>
      </c>
      <c r="E42">
        <v>1983</v>
      </c>
      <c r="F42">
        <v>3</v>
      </c>
      <c r="G42">
        <v>109</v>
      </c>
      <c r="H42">
        <v>1</v>
      </c>
      <c r="I42">
        <v>9</v>
      </c>
      <c r="K42" s="13">
        <v>45932</v>
      </c>
      <c r="L42">
        <v>90</v>
      </c>
      <c r="M42">
        <v>2</v>
      </c>
      <c r="N42">
        <v>2.2222222222222199E-2</v>
      </c>
    </row>
    <row r="43" spans="1:14" x14ac:dyDescent="0.25">
      <c r="A43" t="s">
        <v>24</v>
      </c>
      <c r="D43" t="s">
        <v>26</v>
      </c>
      <c r="E43">
        <v>1983</v>
      </c>
      <c r="F43">
        <v>3</v>
      </c>
      <c r="G43">
        <v>109</v>
      </c>
      <c r="H43">
        <v>1</v>
      </c>
      <c r="I43">
        <v>9</v>
      </c>
      <c r="K43" s="13">
        <v>45936</v>
      </c>
      <c r="L43">
        <v>90</v>
      </c>
      <c r="M43">
        <v>10</v>
      </c>
      <c r="N43">
        <v>0.11111111111111099</v>
      </c>
    </row>
    <row r="44" spans="1:14" x14ac:dyDescent="0.25">
      <c r="A44" t="s">
        <v>24</v>
      </c>
      <c r="D44" t="s">
        <v>26</v>
      </c>
      <c r="E44">
        <v>1983</v>
      </c>
      <c r="F44">
        <v>3</v>
      </c>
      <c r="G44">
        <v>109</v>
      </c>
      <c r="H44">
        <v>1</v>
      </c>
      <c r="I44">
        <v>9</v>
      </c>
      <c r="K44" s="13">
        <v>45939</v>
      </c>
      <c r="L44">
        <v>90</v>
      </c>
      <c r="M44">
        <v>29</v>
      </c>
      <c r="N44">
        <v>0.32222222222222202</v>
      </c>
    </row>
    <row r="45" spans="1:14" x14ac:dyDescent="0.25">
      <c r="A45" t="s">
        <v>24</v>
      </c>
      <c r="D45" t="s">
        <v>26</v>
      </c>
      <c r="E45">
        <v>1983</v>
      </c>
      <c r="F45">
        <v>3</v>
      </c>
      <c r="G45">
        <v>109</v>
      </c>
      <c r="H45">
        <v>1</v>
      </c>
      <c r="I45">
        <v>9</v>
      </c>
      <c r="K45" s="13">
        <v>45943</v>
      </c>
      <c r="L45">
        <v>90</v>
      </c>
      <c r="M45">
        <v>45</v>
      </c>
      <c r="N45">
        <v>0.5</v>
      </c>
    </row>
    <row r="46" spans="1:14" x14ac:dyDescent="0.25">
      <c r="A46" t="s">
        <v>24</v>
      </c>
      <c r="D46" t="s">
        <v>26</v>
      </c>
      <c r="E46">
        <v>1983</v>
      </c>
      <c r="F46">
        <v>3</v>
      </c>
      <c r="G46">
        <v>109</v>
      </c>
      <c r="H46">
        <v>1</v>
      </c>
      <c r="I46">
        <v>9</v>
      </c>
      <c r="K46" s="13">
        <v>45946</v>
      </c>
      <c r="L46">
        <v>90</v>
      </c>
    </row>
    <row r="47" spans="1:14" x14ac:dyDescent="0.25">
      <c r="A47" t="s">
        <v>24</v>
      </c>
      <c r="D47" t="s">
        <v>313</v>
      </c>
      <c r="E47">
        <v>2016</v>
      </c>
      <c r="F47">
        <v>3</v>
      </c>
      <c r="G47">
        <v>110</v>
      </c>
      <c r="H47">
        <v>1</v>
      </c>
      <c r="I47">
        <v>10</v>
      </c>
      <c r="K47" s="13">
        <v>45932</v>
      </c>
      <c r="L47">
        <v>86</v>
      </c>
    </row>
    <row r="48" spans="1:14" x14ac:dyDescent="0.25">
      <c r="A48" t="s">
        <v>24</v>
      </c>
      <c r="D48" t="s">
        <v>313</v>
      </c>
      <c r="E48">
        <v>2016</v>
      </c>
      <c r="F48">
        <v>3</v>
      </c>
      <c r="G48">
        <v>110</v>
      </c>
      <c r="H48">
        <v>1</v>
      </c>
      <c r="I48">
        <v>10</v>
      </c>
      <c r="K48" s="13">
        <v>45936</v>
      </c>
      <c r="L48">
        <v>86</v>
      </c>
      <c r="M48">
        <v>3</v>
      </c>
      <c r="N48">
        <v>3.4883720930232502E-2</v>
      </c>
    </row>
    <row r="49" spans="1:14" x14ac:dyDescent="0.25">
      <c r="A49" t="s">
        <v>24</v>
      </c>
      <c r="D49" t="s">
        <v>313</v>
      </c>
      <c r="E49">
        <v>2016</v>
      </c>
      <c r="F49">
        <v>3</v>
      </c>
      <c r="G49">
        <v>110</v>
      </c>
      <c r="H49">
        <v>1</v>
      </c>
      <c r="I49">
        <v>10</v>
      </c>
      <c r="K49" s="13">
        <v>45939</v>
      </c>
      <c r="L49">
        <v>86</v>
      </c>
      <c r="M49">
        <v>6</v>
      </c>
      <c r="N49">
        <v>6.9767441860465101E-2</v>
      </c>
    </row>
    <row r="50" spans="1:14" x14ac:dyDescent="0.25">
      <c r="A50" t="s">
        <v>24</v>
      </c>
      <c r="D50" t="s">
        <v>313</v>
      </c>
      <c r="E50">
        <v>2016</v>
      </c>
      <c r="F50">
        <v>3</v>
      </c>
      <c r="G50">
        <v>110</v>
      </c>
      <c r="H50">
        <v>1</v>
      </c>
      <c r="I50">
        <v>10</v>
      </c>
      <c r="K50" s="13">
        <v>45943</v>
      </c>
      <c r="L50">
        <v>86</v>
      </c>
      <c r="M50">
        <v>20</v>
      </c>
      <c r="N50">
        <v>0.232558139534883</v>
      </c>
    </row>
    <row r="51" spans="1:14" x14ac:dyDescent="0.25">
      <c r="A51" t="s">
        <v>24</v>
      </c>
      <c r="D51" t="s">
        <v>313</v>
      </c>
      <c r="E51">
        <v>2016</v>
      </c>
      <c r="F51">
        <v>3</v>
      </c>
      <c r="G51">
        <v>110</v>
      </c>
      <c r="H51">
        <v>1</v>
      </c>
      <c r="I51">
        <v>10</v>
      </c>
      <c r="K51" s="13">
        <v>45946</v>
      </c>
      <c r="L51">
        <v>86</v>
      </c>
      <c r="M51">
        <v>43</v>
      </c>
      <c r="N51">
        <v>0.5</v>
      </c>
    </row>
    <row r="52" spans="1:14" x14ac:dyDescent="0.25">
      <c r="A52" t="s">
        <v>34</v>
      </c>
      <c r="D52" t="s">
        <v>42</v>
      </c>
      <c r="E52">
        <v>2016</v>
      </c>
      <c r="F52">
        <v>3</v>
      </c>
      <c r="G52">
        <v>111</v>
      </c>
      <c r="H52">
        <v>1</v>
      </c>
      <c r="I52">
        <v>11</v>
      </c>
      <c r="K52" s="13">
        <v>45932</v>
      </c>
      <c r="L52">
        <v>62</v>
      </c>
    </row>
    <row r="53" spans="1:14" x14ac:dyDescent="0.25">
      <c r="A53" t="s">
        <v>34</v>
      </c>
      <c r="D53" t="s">
        <v>42</v>
      </c>
      <c r="E53">
        <v>2016</v>
      </c>
      <c r="F53">
        <v>3</v>
      </c>
      <c r="G53">
        <v>111</v>
      </c>
      <c r="H53">
        <v>1</v>
      </c>
      <c r="I53">
        <v>11</v>
      </c>
      <c r="K53" s="13">
        <v>45936</v>
      </c>
      <c r="L53">
        <v>62</v>
      </c>
      <c r="M53">
        <v>6</v>
      </c>
      <c r="N53">
        <v>9.6774193548387094E-2</v>
      </c>
    </row>
    <row r="54" spans="1:14" x14ac:dyDescent="0.25">
      <c r="A54" t="s">
        <v>34</v>
      </c>
      <c r="D54" t="s">
        <v>42</v>
      </c>
      <c r="E54">
        <v>2016</v>
      </c>
      <c r="F54">
        <v>3</v>
      </c>
      <c r="G54">
        <v>111</v>
      </c>
      <c r="H54">
        <v>1</v>
      </c>
      <c r="I54">
        <v>11</v>
      </c>
      <c r="K54" s="13">
        <v>45939</v>
      </c>
      <c r="L54">
        <v>62</v>
      </c>
      <c r="M54">
        <v>31</v>
      </c>
      <c r="N54">
        <v>0.5</v>
      </c>
    </row>
    <row r="55" spans="1:14" x14ac:dyDescent="0.25">
      <c r="A55" t="s">
        <v>34</v>
      </c>
      <c r="D55" t="s">
        <v>42</v>
      </c>
      <c r="E55">
        <v>2016</v>
      </c>
      <c r="F55">
        <v>3</v>
      </c>
      <c r="G55">
        <v>111</v>
      </c>
      <c r="H55">
        <v>1</v>
      </c>
      <c r="I55">
        <v>11</v>
      </c>
      <c r="K55" s="13">
        <v>45943</v>
      </c>
      <c r="L55">
        <v>62</v>
      </c>
    </row>
    <row r="56" spans="1:14" x14ac:dyDescent="0.25">
      <c r="A56" t="s">
        <v>34</v>
      </c>
      <c r="D56" t="s">
        <v>42</v>
      </c>
      <c r="E56">
        <v>2016</v>
      </c>
      <c r="F56">
        <v>3</v>
      </c>
      <c r="G56">
        <v>111</v>
      </c>
      <c r="H56">
        <v>1</v>
      </c>
      <c r="I56">
        <v>11</v>
      </c>
      <c r="K56" s="13">
        <v>45946</v>
      </c>
      <c r="L56">
        <v>62</v>
      </c>
    </row>
    <row r="57" spans="1:14" x14ac:dyDescent="0.25">
      <c r="A57" t="s">
        <v>34</v>
      </c>
      <c r="D57" t="s">
        <v>38</v>
      </c>
      <c r="E57">
        <v>1999</v>
      </c>
      <c r="F57">
        <v>3</v>
      </c>
      <c r="G57">
        <v>112</v>
      </c>
      <c r="H57">
        <v>1</v>
      </c>
      <c r="I57">
        <v>12</v>
      </c>
      <c r="K57" s="13">
        <v>45932</v>
      </c>
      <c r="L57">
        <v>46</v>
      </c>
    </row>
    <row r="58" spans="1:14" x14ac:dyDescent="0.25">
      <c r="A58" t="s">
        <v>34</v>
      </c>
      <c r="D58" t="s">
        <v>38</v>
      </c>
      <c r="E58">
        <v>1999</v>
      </c>
      <c r="F58">
        <v>3</v>
      </c>
      <c r="G58">
        <v>112</v>
      </c>
      <c r="H58">
        <v>1</v>
      </c>
      <c r="I58">
        <v>12</v>
      </c>
      <c r="K58" s="13">
        <v>45936</v>
      </c>
      <c r="L58">
        <v>46</v>
      </c>
      <c r="M58">
        <v>3</v>
      </c>
      <c r="N58">
        <v>6.5217391304347797E-2</v>
      </c>
    </row>
    <row r="59" spans="1:14" x14ac:dyDescent="0.25">
      <c r="A59" t="s">
        <v>34</v>
      </c>
      <c r="D59" t="s">
        <v>38</v>
      </c>
      <c r="E59">
        <v>1999</v>
      </c>
      <c r="F59">
        <v>3</v>
      </c>
      <c r="G59">
        <v>112</v>
      </c>
      <c r="H59">
        <v>1</v>
      </c>
      <c r="I59">
        <v>12</v>
      </c>
      <c r="K59" s="13">
        <v>45939</v>
      </c>
      <c r="L59">
        <v>46</v>
      </c>
      <c r="M59">
        <v>23</v>
      </c>
      <c r="N59">
        <v>0.5</v>
      </c>
    </row>
    <row r="60" spans="1:14" x14ac:dyDescent="0.25">
      <c r="A60" t="s">
        <v>34</v>
      </c>
      <c r="D60" t="s">
        <v>38</v>
      </c>
      <c r="E60">
        <v>1999</v>
      </c>
      <c r="F60">
        <v>3</v>
      </c>
      <c r="G60">
        <v>112</v>
      </c>
      <c r="H60">
        <v>1</v>
      </c>
      <c r="I60">
        <v>12</v>
      </c>
      <c r="K60" s="13">
        <v>45943</v>
      </c>
      <c r="L60">
        <v>46</v>
      </c>
    </row>
    <row r="61" spans="1:14" x14ac:dyDescent="0.25">
      <c r="A61" t="s">
        <v>34</v>
      </c>
      <c r="D61" t="s">
        <v>38</v>
      </c>
      <c r="E61">
        <v>1999</v>
      </c>
      <c r="F61">
        <v>3</v>
      </c>
      <c r="G61">
        <v>112</v>
      </c>
      <c r="H61">
        <v>1</v>
      </c>
      <c r="I61">
        <v>12</v>
      </c>
      <c r="K61" s="13">
        <v>45946</v>
      </c>
      <c r="L61">
        <v>46</v>
      </c>
    </row>
    <row r="62" spans="1:14" x14ac:dyDescent="0.25">
      <c r="A62" t="s">
        <v>24</v>
      </c>
      <c r="D62" t="s">
        <v>32</v>
      </c>
      <c r="E62">
        <v>2018</v>
      </c>
      <c r="F62">
        <v>4</v>
      </c>
      <c r="G62">
        <v>113</v>
      </c>
      <c r="H62">
        <v>1</v>
      </c>
      <c r="I62">
        <v>13</v>
      </c>
      <c r="K62" s="13">
        <v>45932</v>
      </c>
      <c r="L62">
        <v>66</v>
      </c>
    </row>
    <row r="63" spans="1:14" x14ac:dyDescent="0.25">
      <c r="A63" t="s">
        <v>24</v>
      </c>
      <c r="D63" t="s">
        <v>32</v>
      </c>
      <c r="E63">
        <v>2018</v>
      </c>
      <c r="F63">
        <v>4</v>
      </c>
      <c r="G63">
        <v>113</v>
      </c>
      <c r="H63">
        <v>1</v>
      </c>
      <c r="I63">
        <v>13</v>
      </c>
      <c r="K63" s="13">
        <v>45936</v>
      </c>
      <c r="L63">
        <v>66</v>
      </c>
      <c r="M63">
        <v>7</v>
      </c>
      <c r="N63">
        <v>0.10606060606060599</v>
      </c>
    </row>
    <row r="64" spans="1:14" x14ac:dyDescent="0.25">
      <c r="A64" t="s">
        <v>24</v>
      </c>
      <c r="D64" t="s">
        <v>32</v>
      </c>
      <c r="E64">
        <v>2018</v>
      </c>
      <c r="F64">
        <v>4</v>
      </c>
      <c r="G64">
        <v>113</v>
      </c>
      <c r="H64">
        <v>1</v>
      </c>
      <c r="I64">
        <v>13</v>
      </c>
      <c r="K64" s="13">
        <v>45939</v>
      </c>
      <c r="L64">
        <v>66</v>
      </c>
      <c r="M64">
        <v>25</v>
      </c>
      <c r="N64">
        <v>0.37878787878787801</v>
      </c>
    </row>
    <row r="65" spans="1:14" x14ac:dyDescent="0.25">
      <c r="A65" t="s">
        <v>24</v>
      </c>
      <c r="D65" t="s">
        <v>32</v>
      </c>
      <c r="E65">
        <v>2018</v>
      </c>
      <c r="F65">
        <v>4</v>
      </c>
      <c r="G65">
        <v>113</v>
      </c>
      <c r="H65">
        <v>1</v>
      </c>
      <c r="I65">
        <v>13</v>
      </c>
      <c r="K65" s="13">
        <v>45943</v>
      </c>
      <c r="L65">
        <v>66</v>
      </c>
      <c r="M65">
        <v>47</v>
      </c>
      <c r="N65">
        <v>0.71212121212121204</v>
      </c>
    </row>
    <row r="66" spans="1:14" x14ac:dyDescent="0.25">
      <c r="A66" t="s">
        <v>24</v>
      </c>
      <c r="D66" t="s">
        <v>32</v>
      </c>
      <c r="E66">
        <v>2018</v>
      </c>
      <c r="F66">
        <v>4</v>
      </c>
      <c r="G66">
        <v>113</v>
      </c>
      <c r="H66">
        <v>1</v>
      </c>
      <c r="I66">
        <v>13</v>
      </c>
      <c r="K66" s="13">
        <v>45946</v>
      </c>
      <c r="L66">
        <v>66</v>
      </c>
    </row>
    <row r="67" spans="1:14" x14ac:dyDescent="0.25">
      <c r="A67" t="s">
        <v>24</v>
      </c>
      <c r="D67" t="s">
        <v>27</v>
      </c>
      <c r="E67">
        <v>1985</v>
      </c>
      <c r="F67">
        <v>4</v>
      </c>
      <c r="G67">
        <v>114</v>
      </c>
      <c r="H67">
        <v>1</v>
      </c>
      <c r="I67">
        <v>14</v>
      </c>
      <c r="K67" s="13">
        <v>45932</v>
      </c>
      <c r="L67">
        <v>58</v>
      </c>
    </row>
    <row r="68" spans="1:14" x14ac:dyDescent="0.25">
      <c r="A68" t="s">
        <v>24</v>
      </c>
      <c r="D68" t="s">
        <v>27</v>
      </c>
      <c r="E68">
        <v>1985</v>
      </c>
      <c r="F68">
        <v>4</v>
      </c>
      <c r="G68">
        <v>114</v>
      </c>
      <c r="H68">
        <v>1</v>
      </c>
      <c r="I68">
        <v>14</v>
      </c>
      <c r="K68" s="13">
        <v>45936</v>
      </c>
      <c r="L68">
        <v>58</v>
      </c>
      <c r="M68">
        <v>2</v>
      </c>
      <c r="N68">
        <v>3.4482758620689599E-2</v>
      </c>
    </row>
    <row r="69" spans="1:14" x14ac:dyDescent="0.25">
      <c r="A69" t="s">
        <v>24</v>
      </c>
      <c r="D69" t="s">
        <v>27</v>
      </c>
      <c r="E69">
        <v>1985</v>
      </c>
      <c r="F69">
        <v>4</v>
      </c>
      <c r="G69">
        <v>114</v>
      </c>
      <c r="H69">
        <v>1</v>
      </c>
      <c r="I69">
        <v>14</v>
      </c>
      <c r="K69" s="13">
        <v>45939</v>
      </c>
      <c r="L69">
        <v>58</v>
      </c>
      <c r="M69">
        <v>7</v>
      </c>
      <c r="N69">
        <v>0.12068965517241299</v>
      </c>
    </row>
    <row r="70" spans="1:14" x14ac:dyDescent="0.25">
      <c r="A70" t="s">
        <v>24</v>
      </c>
      <c r="D70" t="s">
        <v>27</v>
      </c>
      <c r="E70">
        <v>1985</v>
      </c>
      <c r="F70">
        <v>4</v>
      </c>
      <c r="G70">
        <v>114</v>
      </c>
      <c r="H70">
        <v>1</v>
      </c>
      <c r="I70">
        <v>14</v>
      </c>
      <c r="K70" s="13">
        <v>45943</v>
      </c>
      <c r="L70">
        <v>58</v>
      </c>
      <c r="M70">
        <v>29</v>
      </c>
      <c r="N70">
        <v>0.5</v>
      </c>
    </row>
    <row r="71" spans="1:14" x14ac:dyDescent="0.25">
      <c r="A71" t="s">
        <v>24</v>
      </c>
      <c r="D71" t="s">
        <v>27</v>
      </c>
      <c r="E71">
        <v>1985</v>
      </c>
      <c r="F71">
        <v>4</v>
      </c>
      <c r="G71">
        <v>114</v>
      </c>
      <c r="H71">
        <v>1</v>
      </c>
      <c r="I71">
        <v>14</v>
      </c>
      <c r="K71" s="13">
        <v>45946</v>
      </c>
      <c r="L71">
        <v>58</v>
      </c>
    </row>
    <row r="72" spans="1:14" x14ac:dyDescent="0.25">
      <c r="A72" t="s">
        <v>34</v>
      </c>
      <c r="D72" t="s">
        <v>36</v>
      </c>
      <c r="E72">
        <v>1984</v>
      </c>
      <c r="F72">
        <v>4</v>
      </c>
      <c r="G72">
        <v>115</v>
      </c>
      <c r="H72">
        <v>1</v>
      </c>
      <c r="I72">
        <v>15</v>
      </c>
      <c r="K72" s="13">
        <v>45932</v>
      </c>
      <c r="L72">
        <v>48</v>
      </c>
    </row>
    <row r="73" spans="1:14" x14ac:dyDescent="0.25">
      <c r="A73" t="s">
        <v>34</v>
      </c>
      <c r="D73" t="s">
        <v>36</v>
      </c>
      <c r="E73">
        <v>1984</v>
      </c>
      <c r="F73">
        <v>4</v>
      </c>
      <c r="G73">
        <v>115</v>
      </c>
      <c r="H73">
        <v>1</v>
      </c>
      <c r="I73">
        <v>15</v>
      </c>
      <c r="K73" s="13">
        <v>45936</v>
      </c>
      <c r="L73">
        <v>48</v>
      </c>
    </row>
    <row r="74" spans="1:14" x14ac:dyDescent="0.25">
      <c r="A74" t="s">
        <v>34</v>
      </c>
      <c r="D74" t="s">
        <v>36</v>
      </c>
      <c r="E74">
        <v>1984</v>
      </c>
      <c r="F74">
        <v>4</v>
      </c>
      <c r="G74">
        <v>115</v>
      </c>
      <c r="H74">
        <v>1</v>
      </c>
      <c r="I74">
        <v>15</v>
      </c>
      <c r="K74" s="13">
        <v>45939</v>
      </c>
      <c r="L74">
        <v>48</v>
      </c>
      <c r="M74">
        <v>15</v>
      </c>
      <c r="N74">
        <v>0.3125</v>
      </c>
    </row>
    <row r="75" spans="1:14" x14ac:dyDescent="0.25">
      <c r="A75" t="s">
        <v>34</v>
      </c>
      <c r="D75" t="s">
        <v>36</v>
      </c>
      <c r="E75">
        <v>1984</v>
      </c>
      <c r="F75">
        <v>4</v>
      </c>
      <c r="G75">
        <v>115</v>
      </c>
      <c r="H75">
        <v>1</v>
      </c>
      <c r="I75">
        <v>15</v>
      </c>
      <c r="K75" s="13">
        <v>45943</v>
      </c>
      <c r="L75">
        <v>48</v>
      </c>
      <c r="M75">
        <v>38</v>
      </c>
      <c r="N75">
        <v>0.79166666666666596</v>
      </c>
    </row>
    <row r="76" spans="1:14" x14ac:dyDescent="0.25">
      <c r="A76" t="s">
        <v>34</v>
      </c>
      <c r="D76" t="s">
        <v>36</v>
      </c>
      <c r="E76">
        <v>1984</v>
      </c>
      <c r="F76">
        <v>4</v>
      </c>
      <c r="G76">
        <v>115</v>
      </c>
      <c r="H76">
        <v>1</v>
      </c>
      <c r="I76">
        <v>15</v>
      </c>
      <c r="K76" s="13">
        <v>45946</v>
      </c>
      <c r="L76">
        <v>48</v>
      </c>
    </row>
    <row r="77" spans="1:14" x14ac:dyDescent="0.25">
      <c r="A77" t="s">
        <v>34</v>
      </c>
      <c r="D77" t="s">
        <v>43</v>
      </c>
      <c r="E77">
        <v>2020</v>
      </c>
      <c r="F77">
        <v>4</v>
      </c>
      <c r="G77">
        <v>116</v>
      </c>
      <c r="H77">
        <v>1</v>
      </c>
      <c r="I77">
        <v>16</v>
      </c>
      <c r="K77" s="13">
        <v>45932</v>
      </c>
      <c r="L77">
        <v>32</v>
      </c>
    </row>
    <row r="78" spans="1:14" x14ac:dyDescent="0.25">
      <c r="A78" t="s">
        <v>34</v>
      </c>
      <c r="D78" t="s">
        <v>43</v>
      </c>
      <c r="E78">
        <v>2020</v>
      </c>
      <c r="F78">
        <v>4</v>
      </c>
      <c r="G78">
        <v>116</v>
      </c>
      <c r="H78">
        <v>1</v>
      </c>
      <c r="I78">
        <v>16</v>
      </c>
      <c r="K78" s="13">
        <v>45936</v>
      </c>
      <c r="L78">
        <v>32</v>
      </c>
      <c r="M78">
        <v>2</v>
      </c>
      <c r="N78">
        <v>6.25E-2</v>
      </c>
    </row>
    <row r="79" spans="1:14" x14ac:dyDescent="0.25">
      <c r="A79" t="s">
        <v>34</v>
      </c>
      <c r="D79" t="s">
        <v>43</v>
      </c>
      <c r="E79">
        <v>2020</v>
      </c>
      <c r="F79">
        <v>4</v>
      </c>
      <c r="G79">
        <v>116</v>
      </c>
      <c r="H79">
        <v>1</v>
      </c>
      <c r="I79">
        <v>16</v>
      </c>
      <c r="K79" s="13">
        <v>45939</v>
      </c>
      <c r="L79">
        <v>32</v>
      </c>
      <c r="M79">
        <v>7</v>
      </c>
      <c r="N79">
        <v>0.21875</v>
      </c>
    </row>
    <row r="80" spans="1:14" x14ac:dyDescent="0.25">
      <c r="A80" t="s">
        <v>34</v>
      </c>
      <c r="D80" t="s">
        <v>43</v>
      </c>
      <c r="E80">
        <v>2020</v>
      </c>
      <c r="F80">
        <v>4</v>
      </c>
      <c r="G80">
        <v>116</v>
      </c>
      <c r="H80">
        <v>1</v>
      </c>
      <c r="I80">
        <v>16</v>
      </c>
      <c r="K80" s="13">
        <v>45943</v>
      </c>
      <c r="L80">
        <v>32</v>
      </c>
      <c r="M80">
        <v>24</v>
      </c>
      <c r="N80">
        <v>0.75</v>
      </c>
    </row>
    <row r="81" spans="1:14" x14ac:dyDescent="0.25">
      <c r="A81" t="s">
        <v>34</v>
      </c>
      <c r="D81" t="s">
        <v>43</v>
      </c>
      <c r="E81">
        <v>2020</v>
      </c>
      <c r="F81">
        <v>4</v>
      </c>
      <c r="G81">
        <v>116</v>
      </c>
      <c r="H81">
        <v>1</v>
      </c>
      <c r="I81">
        <v>16</v>
      </c>
      <c r="K81" s="13">
        <v>45946</v>
      </c>
      <c r="L81">
        <v>32</v>
      </c>
    </row>
    <row r="82" spans="1:14" x14ac:dyDescent="0.25">
      <c r="A82" t="s">
        <v>24</v>
      </c>
      <c r="D82" t="s">
        <v>313</v>
      </c>
      <c r="E82">
        <v>2016</v>
      </c>
      <c r="F82">
        <v>1</v>
      </c>
      <c r="G82">
        <v>117</v>
      </c>
      <c r="H82">
        <v>2</v>
      </c>
      <c r="I82">
        <v>1</v>
      </c>
      <c r="K82" s="13">
        <v>45932</v>
      </c>
      <c r="L82">
        <v>69</v>
      </c>
    </row>
    <row r="83" spans="1:14" x14ac:dyDescent="0.25">
      <c r="A83" t="s">
        <v>24</v>
      </c>
      <c r="D83" t="s">
        <v>313</v>
      </c>
      <c r="E83">
        <v>2016</v>
      </c>
      <c r="F83">
        <v>1</v>
      </c>
      <c r="G83">
        <v>117</v>
      </c>
      <c r="H83">
        <v>2</v>
      </c>
      <c r="I83">
        <v>1</v>
      </c>
      <c r="K83" s="13">
        <v>45936</v>
      </c>
      <c r="L83">
        <v>69</v>
      </c>
    </row>
    <row r="84" spans="1:14" x14ac:dyDescent="0.25">
      <c r="A84" t="s">
        <v>24</v>
      </c>
      <c r="D84" t="s">
        <v>313</v>
      </c>
      <c r="E84">
        <v>2016</v>
      </c>
      <c r="F84">
        <v>1</v>
      </c>
      <c r="G84">
        <v>117</v>
      </c>
      <c r="H84">
        <v>2</v>
      </c>
      <c r="I84">
        <v>1</v>
      </c>
      <c r="K84" s="13">
        <v>45939</v>
      </c>
      <c r="L84">
        <v>69</v>
      </c>
      <c r="M84">
        <v>3</v>
      </c>
      <c r="N84">
        <v>4.3478260869565202E-2</v>
      </c>
    </row>
    <row r="85" spans="1:14" x14ac:dyDescent="0.25">
      <c r="A85" t="s">
        <v>24</v>
      </c>
      <c r="D85" t="s">
        <v>313</v>
      </c>
      <c r="E85">
        <v>2016</v>
      </c>
      <c r="F85">
        <v>1</v>
      </c>
      <c r="G85">
        <v>117</v>
      </c>
      <c r="H85">
        <v>2</v>
      </c>
      <c r="I85">
        <v>1</v>
      </c>
      <c r="K85" s="13">
        <v>45943</v>
      </c>
      <c r="L85">
        <v>69</v>
      </c>
      <c r="M85">
        <v>15</v>
      </c>
      <c r="N85">
        <v>0.217391304347826</v>
      </c>
    </row>
    <row r="86" spans="1:14" x14ac:dyDescent="0.25">
      <c r="A86" t="s">
        <v>24</v>
      </c>
      <c r="D86" t="s">
        <v>313</v>
      </c>
      <c r="E86">
        <v>2016</v>
      </c>
      <c r="F86">
        <v>1</v>
      </c>
      <c r="G86">
        <v>117</v>
      </c>
      <c r="H86">
        <v>2</v>
      </c>
      <c r="I86">
        <v>1</v>
      </c>
      <c r="K86" s="13">
        <v>45946</v>
      </c>
      <c r="L86">
        <v>69</v>
      </c>
      <c r="M86">
        <v>35</v>
      </c>
      <c r="N86">
        <v>0.50724637681159401</v>
      </c>
    </row>
    <row r="87" spans="1:14" x14ac:dyDescent="0.25">
      <c r="A87" t="s">
        <v>24</v>
      </c>
      <c r="D87" t="s">
        <v>311</v>
      </c>
      <c r="E87">
        <v>2023</v>
      </c>
      <c r="F87">
        <v>1</v>
      </c>
      <c r="G87">
        <v>118</v>
      </c>
      <c r="H87">
        <v>2</v>
      </c>
      <c r="I87">
        <v>2</v>
      </c>
      <c r="K87" s="13">
        <v>45932</v>
      </c>
      <c r="L87">
        <v>84</v>
      </c>
    </row>
    <row r="88" spans="1:14" x14ac:dyDescent="0.25">
      <c r="A88" t="s">
        <v>24</v>
      </c>
      <c r="D88" t="s">
        <v>311</v>
      </c>
      <c r="E88">
        <v>2023</v>
      </c>
      <c r="F88">
        <v>1</v>
      </c>
      <c r="G88">
        <v>118</v>
      </c>
      <c r="H88">
        <v>2</v>
      </c>
      <c r="I88">
        <v>2</v>
      </c>
      <c r="K88" s="13">
        <v>45936</v>
      </c>
      <c r="L88">
        <v>84</v>
      </c>
      <c r="M88">
        <v>20</v>
      </c>
      <c r="N88">
        <v>0.238095238095238</v>
      </c>
    </row>
    <row r="89" spans="1:14" x14ac:dyDescent="0.25">
      <c r="A89" t="s">
        <v>24</v>
      </c>
      <c r="D89" t="s">
        <v>311</v>
      </c>
      <c r="E89">
        <v>2023</v>
      </c>
      <c r="F89">
        <v>1</v>
      </c>
      <c r="G89">
        <v>118</v>
      </c>
      <c r="H89">
        <v>2</v>
      </c>
      <c r="I89">
        <v>2</v>
      </c>
      <c r="K89" s="13">
        <v>45939</v>
      </c>
      <c r="L89">
        <v>84</v>
      </c>
      <c r="M89">
        <v>42</v>
      </c>
      <c r="N89">
        <v>0.5</v>
      </c>
    </row>
    <row r="90" spans="1:14" x14ac:dyDescent="0.25">
      <c r="A90" t="s">
        <v>24</v>
      </c>
      <c r="D90" t="s">
        <v>311</v>
      </c>
      <c r="E90">
        <v>2023</v>
      </c>
      <c r="F90">
        <v>1</v>
      </c>
      <c r="G90">
        <v>118</v>
      </c>
      <c r="H90">
        <v>2</v>
      </c>
      <c r="I90">
        <v>2</v>
      </c>
      <c r="K90" s="13">
        <v>45943</v>
      </c>
      <c r="L90">
        <v>84</v>
      </c>
    </row>
    <row r="91" spans="1:14" x14ac:dyDescent="0.25">
      <c r="A91" t="s">
        <v>24</v>
      </c>
      <c r="D91" t="s">
        <v>311</v>
      </c>
      <c r="E91">
        <v>2023</v>
      </c>
      <c r="F91">
        <v>1</v>
      </c>
      <c r="G91">
        <v>118</v>
      </c>
      <c r="H91">
        <v>2</v>
      </c>
      <c r="I91">
        <v>2</v>
      </c>
      <c r="K91" s="13">
        <v>45946</v>
      </c>
      <c r="L91">
        <v>84</v>
      </c>
    </row>
    <row r="92" spans="1:14" x14ac:dyDescent="0.25">
      <c r="A92" t="s">
        <v>34</v>
      </c>
      <c r="D92" t="s">
        <v>318</v>
      </c>
      <c r="E92">
        <v>2004</v>
      </c>
      <c r="F92">
        <v>1</v>
      </c>
      <c r="G92">
        <v>119</v>
      </c>
      <c r="H92">
        <v>2</v>
      </c>
      <c r="I92">
        <v>3</v>
      </c>
      <c r="K92" s="13">
        <v>45932</v>
      </c>
      <c r="L92">
        <v>49</v>
      </c>
    </row>
    <row r="93" spans="1:14" x14ac:dyDescent="0.25">
      <c r="A93" t="s">
        <v>34</v>
      </c>
      <c r="D93" t="s">
        <v>318</v>
      </c>
      <c r="E93">
        <v>2004</v>
      </c>
      <c r="F93">
        <v>1</v>
      </c>
      <c r="G93">
        <v>119</v>
      </c>
      <c r="H93">
        <v>2</v>
      </c>
      <c r="I93">
        <v>3</v>
      </c>
      <c r="K93" s="13">
        <v>45936</v>
      </c>
      <c r="L93">
        <v>49</v>
      </c>
      <c r="M93">
        <v>4</v>
      </c>
      <c r="N93">
        <v>8.16326530612244E-2</v>
      </c>
    </row>
    <row r="94" spans="1:14" x14ac:dyDescent="0.25">
      <c r="A94" t="s">
        <v>34</v>
      </c>
      <c r="D94" t="s">
        <v>318</v>
      </c>
      <c r="E94">
        <v>2004</v>
      </c>
      <c r="F94">
        <v>1</v>
      </c>
      <c r="G94">
        <v>119</v>
      </c>
      <c r="H94">
        <v>2</v>
      </c>
      <c r="I94">
        <v>3</v>
      </c>
      <c r="K94" s="13">
        <v>45939</v>
      </c>
      <c r="L94">
        <v>49</v>
      </c>
      <c r="M94">
        <v>14</v>
      </c>
      <c r="N94">
        <v>0.28571428571428498</v>
      </c>
    </row>
    <row r="95" spans="1:14" x14ac:dyDescent="0.25">
      <c r="A95" t="s">
        <v>34</v>
      </c>
      <c r="D95" t="s">
        <v>318</v>
      </c>
      <c r="E95">
        <v>2004</v>
      </c>
      <c r="F95">
        <v>1</v>
      </c>
      <c r="G95">
        <v>119</v>
      </c>
      <c r="H95">
        <v>2</v>
      </c>
      <c r="I95">
        <v>3</v>
      </c>
      <c r="K95" s="13">
        <v>45943</v>
      </c>
      <c r="L95">
        <v>49</v>
      </c>
      <c r="M95">
        <v>28</v>
      </c>
      <c r="N95">
        <v>0.57142857142857095</v>
      </c>
    </row>
    <row r="96" spans="1:14" x14ac:dyDescent="0.25">
      <c r="A96" t="s">
        <v>34</v>
      </c>
      <c r="D96" t="s">
        <v>318</v>
      </c>
      <c r="E96">
        <v>2004</v>
      </c>
      <c r="F96">
        <v>1</v>
      </c>
      <c r="G96">
        <v>119</v>
      </c>
      <c r="H96">
        <v>2</v>
      </c>
      <c r="I96">
        <v>3</v>
      </c>
      <c r="K96" s="13">
        <v>45946</v>
      </c>
      <c r="L96">
        <v>49</v>
      </c>
    </row>
    <row r="97" spans="1:14" x14ac:dyDescent="0.25">
      <c r="A97" t="s">
        <v>34</v>
      </c>
      <c r="D97" t="s">
        <v>42</v>
      </c>
      <c r="E97">
        <v>2016</v>
      </c>
      <c r="F97">
        <v>1</v>
      </c>
      <c r="G97">
        <v>120</v>
      </c>
      <c r="H97">
        <v>2</v>
      </c>
      <c r="I97">
        <v>4</v>
      </c>
      <c r="K97" s="13">
        <v>45932</v>
      </c>
      <c r="L97">
        <v>55</v>
      </c>
    </row>
    <row r="98" spans="1:14" x14ac:dyDescent="0.25">
      <c r="A98" t="s">
        <v>34</v>
      </c>
      <c r="D98" t="s">
        <v>42</v>
      </c>
      <c r="E98">
        <v>2016</v>
      </c>
      <c r="F98">
        <v>1</v>
      </c>
      <c r="G98">
        <v>120</v>
      </c>
      <c r="H98">
        <v>2</v>
      </c>
      <c r="I98">
        <v>4</v>
      </c>
      <c r="K98" s="13">
        <v>45936</v>
      </c>
      <c r="L98">
        <v>55</v>
      </c>
      <c r="M98">
        <v>12</v>
      </c>
      <c r="N98">
        <v>0.218181818181818</v>
      </c>
    </row>
    <row r="99" spans="1:14" x14ac:dyDescent="0.25">
      <c r="A99" t="s">
        <v>34</v>
      </c>
      <c r="D99" t="s">
        <v>42</v>
      </c>
      <c r="E99">
        <v>2016</v>
      </c>
      <c r="F99">
        <v>1</v>
      </c>
      <c r="G99">
        <v>120</v>
      </c>
      <c r="H99">
        <v>2</v>
      </c>
      <c r="I99">
        <v>4</v>
      </c>
      <c r="K99" s="13">
        <v>45939</v>
      </c>
      <c r="L99">
        <v>55</v>
      </c>
      <c r="M99">
        <v>32</v>
      </c>
      <c r="N99">
        <v>0.58181818181818101</v>
      </c>
    </row>
    <row r="100" spans="1:14" x14ac:dyDescent="0.25">
      <c r="A100" t="s">
        <v>34</v>
      </c>
      <c r="D100" t="s">
        <v>42</v>
      </c>
      <c r="E100">
        <v>2016</v>
      </c>
      <c r="F100">
        <v>1</v>
      </c>
      <c r="G100">
        <v>120</v>
      </c>
      <c r="H100">
        <v>2</v>
      </c>
      <c r="I100">
        <v>4</v>
      </c>
      <c r="K100" s="13">
        <v>45943</v>
      </c>
      <c r="L100">
        <v>55</v>
      </c>
    </row>
    <row r="101" spans="1:14" x14ac:dyDescent="0.25">
      <c r="A101" t="s">
        <v>34</v>
      </c>
      <c r="D101" t="s">
        <v>42</v>
      </c>
      <c r="E101">
        <v>2016</v>
      </c>
      <c r="F101">
        <v>1</v>
      </c>
      <c r="G101">
        <v>120</v>
      </c>
      <c r="H101">
        <v>2</v>
      </c>
      <c r="I101">
        <v>4</v>
      </c>
      <c r="K101" s="13">
        <v>45946</v>
      </c>
      <c r="L101">
        <v>55</v>
      </c>
    </row>
    <row r="102" spans="1:14" x14ac:dyDescent="0.25">
      <c r="A102" t="s">
        <v>24</v>
      </c>
      <c r="D102" t="s">
        <v>27</v>
      </c>
      <c r="E102">
        <v>1985</v>
      </c>
      <c r="F102">
        <v>2</v>
      </c>
      <c r="G102">
        <v>121</v>
      </c>
      <c r="H102">
        <v>2</v>
      </c>
      <c r="I102">
        <v>5</v>
      </c>
      <c r="K102" s="13">
        <v>45932</v>
      </c>
      <c r="L102">
        <v>79</v>
      </c>
    </row>
    <row r="103" spans="1:14" x14ac:dyDescent="0.25">
      <c r="A103" t="s">
        <v>24</v>
      </c>
      <c r="D103" t="s">
        <v>27</v>
      </c>
      <c r="E103">
        <v>1985</v>
      </c>
      <c r="F103">
        <v>2</v>
      </c>
      <c r="G103">
        <v>121</v>
      </c>
      <c r="H103">
        <v>2</v>
      </c>
      <c r="I103">
        <v>5</v>
      </c>
      <c r="K103" s="13">
        <v>45936</v>
      </c>
      <c r="L103">
        <v>79</v>
      </c>
    </row>
    <row r="104" spans="1:14" x14ac:dyDescent="0.25">
      <c r="A104" t="s">
        <v>24</v>
      </c>
      <c r="D104" t="s">
        <v>27</v>
      </c>
      <c r="E104">
        <v>1985</v>
      </c>
      <c r="F104">
        <v>2</v>
      </c>
      <c r="G104">
        <v>121</v>
      </c>
      <c r="H104">
        <v>2</v>
      </c>
      <c r="I104">
        <v>5</v>
      </c>
      <c r="K104" s="13">
        <v>45939</v>
      </c>
      <c r="L104">
        <v>79</v>
      </c>
      <c r="M104">
        <v>4</v>
      </c>
      <c r="N104">
        <v>5.0632911392405E-2</v>
      </c>
    </row>
    <row r="105" spans="1:14" x14ac:dyDescent="0.25">
      <c r="A105" t="s">
        <v>24</v>
      </c>
      <c r="D105" t="s">
        <v>27</v>
      </c>
      <c r="E105">
        <v>1985</v>
      </c>
      <c r="F105">
        <v>2</v>
      </c>
      <c r="G105">
        <v>121</v>
      </c>
      <c r="H105">
        <v>2</v>
      </c>
      <c r="I105">
        <v>5</v>
      </c>
      <c r="K105" s="13">
        <v>45943</v>
      </c>
      <c r="L105">
        <v>79</v>
      </c>
      <c r="M105">
        <v>40</v>
      </c>
      <c r="N105">
        <v>0.50632911392405</v>
      </c>
    </row>
    <row r="106" spans="1:14" x14ac:dyDescent="0.25">
      <c r="A106" t="s">
        <v>24</v>
      </c>
      <c r="D106" t="s">
        <v>27</v>
      </c>
      <c r="E106">
        <v>1985</v>
      </c>
      <c r="F106">
        <v>2</v>
      </c>
      <c r="G106">
        <v>121</v>
      </c>
      <c r="H106">
        <v>2</v>
      </c>
      <c r="I106">
        <v>5</v>
      </c>
      <c r="K106" s="13">
        <v>45946</v>
      </c>
      <c r="L106">
        <v>79</v>
      </c>
    </row>
    <row r="107" spans="1:14" x14ac:dyDescent="0.25">
      <c r="A107" t="s">
        <v>24</v>
      </c>
      <c r="D107" t="s">
        <v>28</v>
      </c>
      <c r="E107">
        <v>1998</v>
      </c>
      <c r="F107">
        <v>2</v>
      </c>
      <c r="G107">
        <v>122</v>
      </c>
      <c r="H107">
        <v>2</v>
      </c>
      <c r="I107">
        <v>6</v>
      </c>
      <c r="K107" s="13">
        <v>45932</v>
      </c>
      <c r="L107">
        <v>89</v>
      </c>
    </row>
    <row r="108" spans="1:14" x14ac:dyDescent="0.25">
      <c r="A108" t="s">
        <v>24</v>
      </c>
      <c r="D108" t="s">
        <v>28</v>
      </c>
      <c r="E108">
        <v>1998</v>
      </c>
      <c r="F108">
        <v>2</v>
      </c>
      <c r="G108">
        <v>122</v>
      </c>
      <c r="H108">
        <v>2</v>
      </c>
      <c r="I108">
        <v>6</v>
      </c>
      <c r="K108" s="13">
        <v>45936</v>
      </c>
      <c r="L108">
        <v>89</v>
      </c>
      <c r="M108">
        <v>2</v>
      </c>
      <c r="N108">
        <v>2.2471910112359501E-2</v>
      </c>
    </row>
    <row r="109" spans="1:14" x14ac:dyDescent="0.25">
      <c r="A109" t="s">
        <v>24</v>
      </c>
      <c r="D109" t="s">
        <v>28</v>
      </c>
      <c r="E109">
        <v>1998</v>
      </c>
      <c r="F109">
        <v>2</v>
      </c>
      <c r="G109">
        <v>122</v>
      </c>
      <c r="H109">
        <v>2</v>
      </c>
      <c r="I109">
        <v>6</v>
      </c>
      <c r="K109" s="13">
        <v>45939</v>
      </c>
      <c r="L109">
        <v>89</v>
      </c>
      <c r="M109">
        <v>36</v>
      </c>
      <c r="N109">
        <v>0.40449438202247101</v>
      </c>
    </row>
    <row r="110" spans="1:14" x14ac:dyDescent="0.25">
      <c r="A110" t="s">
        <v>24</v>
      </c>
      <c r="D110" t="s">
        <v>28</v>
      </c>
      <c r="E110">
        <v>1998</v>
      </c>
      <c r="F110">
        <v>2</v>
      </c>
      <c r="G110">
        <v>122</v>
      </c>
      <c r="H110">
        <v>2</v>
      </c>
      <c r="I110">
        <v>6</v>
      </c>
      <c r="K110" s="13">
        <v>45943</v>
      </c>
      <c r="L110">
        <v>89</v>
      </c>
      <c r="M110">
        <v>61</v>
      </c>
      <c r="N110">
        <v>0.68539325842696597</v>
      </c>
    </row>
    <row r="111" spans="1:14" x14ac:dyDescent="0.25">
      <c r="A111" t="s">
        <v>24</v>
      </c>
      <c r="D111" t="s">
        <v>28</v>
      </c>
      <c r="E111">
        <v>1998</v>
      </c>
      <c r="F111">
        <v>2</v>
      </c>
      <c r="G111">
        <v>122</v>
      </c>
      <c r="H111">
        <v>2</v>
      </c>
      <c r="I111">
        <v>6</v>
      </c>
      <c r="K111" s="13">
        <v>45946</v>
      </c>
      <c r="L111">
        <v>89</v>
      </c>
    </row>
    <row r="112" spans="1:14" x14ac:dyDescent="0.25">
      <c r="A112" t="s">
        <v>34</v>
      </c>
      <c r="D112" t="s">
        <v>37</v>
      </c>
      <c r="E112">
        <v>1989</v>
      </c>
      <c r="F112">
        <v>2</v>
      </c>
      <c r="G112">
        <v>123</v>
      </c>
      <c r="H112">
        <v>2</v>
      </c>
      <c r="I112">
        <v>7</v>
      </c>
      <c r="K112" s="13">
        <v>45932</v>
      </c>
      <c r="L112">
        <v>48</v>
      </c>
    </row>
    <row r="113" spans="1:14" x14ac:dyDescent="0.25">
      <c r="A113" t="s">
        <v>34</v>
      </c>
      <c r="D113" t="s">
        <v>37</v>
      </c>
      <c r="E113">
        <v>1989</v>
      </c>
      <c r="F113">
        <v>2</v>
      </c>
      <c r="G113">
        <v>123</v>
      </c>
      <c r="H113">
        <v>2</v>
      </c>
      <c r="I113">
        <v>7</v>
      </c>
      <c r="K113" s="13">
        <v>45936</v>
      </c>
      <c r="L113">
        <v>48</v>
      </c>
      <c r="M113">
        <v>9</v>
      </c>
      <c r="N113">
        <v>0.1875</v>
      </c>
    </row>
    <row r="114" spans="1:14" x14ac:dyDescent="0.25">
      <c r="A114" t="s">
        <v>34</v>
      </c>
      <c r="D114" t="s">
        <v>37</v>
      </c>
      <c r="E114">
        <v>1989</v>
      </c>
      <c r="F114">
        <v>2</v>
      </c>
      <c r="G114">
        <v>123</v>
      </c>
      <c r="H114">
        <v>2</v>
      </c>
      <c r="I114">
        <v>7</v>
      </c>
      <c r="K114" s="13">
        <v>45939</v>
      </c>
      <c r="L114">
        <v>48</v>
      </c>
      <c r="M114">
        <v>24</v>
      </c>
      <c r="N114">
        <v>0.5</v>
      </c>
    </row>
    <row r="115" spans="1:14" x14ac:dyDescent="0.25">
      <c r="A115" t="s">
        <v>34</v>
      </c>
      <c r="D115" t="s">
        <v>37</v>
      </c>
      <c r="E115">
        <v>1989</v>
      </c>
      <c r="F115">
        <v>2</v>
      </c>
      <c r="G115">
        <v>123</v>
      </c>
      <c r="H115">
        <v>2</v>
      </c>
      <c r="I115">
        <v>7</v>
      </c>
      <c r="K115" s="13">
        <v>45943</v>
      </c>
      <c r="L115">
        <v>48</v>
      </c>
    </row>
    <row r="116" spans="1:14" x14ac:dyDescent="0.25">
      <c r="A116" t="s">
        <v>34</v>
      </c>
      <c r="D116" t="s">
        <v>37</v>
      </c>
      <c r="E116">
        <v>1989</v>
      </c>
      <c r="F116">
        <v>2</v>
      </c>
      <c r="G116">
        <v>123</v>
      </c>
      <c r="H116">
        <v>2</v>
      </c>
      <c r="I116">
        <v>7</v>
      </c>
      <c r="K116" s="13">
        <v>45946</v>
      </c>
      <c r="L116">
        <v>48</v>
      </c>
    </row>
    <row r="117" spans="1:14" x14ac:dyDescent="0.25">
      <c r="A117" t="s">
        <v>34</v>
      </c>
      <c r="D117" t="s">
        <v>43</v>
      </c>
      <c r="E117">
        <v>2020</v>
      </c>
      <c r="F117">
        <v>2</v>
      </c>
      <c r="G117">
        <v>124</v>
      </c>
      <c r="H117">
        <v>2</v>
      </c>
      <c r="I117">
        <v>8</v>
      </c>
      <c r="K117" s="13">
        <v>45932</v>
      </c>
      <c r="L117">
        <v>40</v>
      </c>
    </row>
    <row r="118" spans="1:14" x14ac:dyDescent="0.25">
      <c r="A118" t="s">
        <v>34</v>
      </c>
      <c r="D118" t="s">
        <v>43</v>
      </c>
      <c r="E118">
        <v>2020</v>
      </c>
      <c r="F118">
        <v>2</v>
      </c>
      <c r="G118">
        <v>124</v>
      </c>
      <c r="H118">
        <v>2</v>
      </c>
      <c r="I118">
        <v>8</v>
      </c>
      <c r="K118" s="13">
        <v>45936</v>
      </c>
      <c r="L118">
        <v>40</v>
      </c>
      <c r="M118">
        <v>1</v>
      </c>
      <c r="N118">
        <v>2.5000000000000001E-2</v>
      </c>
    </row>
    <row r="119" spans="1:14" x14ac:dyDescent="0.25">
      <c r="A119" t="s">
        <v>34</v>
      </c>
      <c r="D119" t="s">
        <v>43</v>
      </c>
      <c r="E119">
        <v>2020</v>
      </c>
      <c r="F119">
        <v>2</v>
      </c>
      <c r="G119">
        <v>124</v>
      </c>
      <c r="H119">
        <v>2</v>
      </c>
      <c r="I119">
        <v>8</v>
      </c>
      <c r="K119" s="13">
        <v>45939</v>
      </c>
      <c r="L119">
        <v>40</v>
      </c>
      <c r="M119">
        <v>18</v>
      </c>
      <c r="N119">
        <v>0.45</v>
      </c>
    </row>
    <row r="120" spans="1:14" x14ac:dyDescent="0.25">
      <c r="A120" t="s">
        <v>34</v>
      </c>
      <c r="D120" t="s">
        <v>43</v>
      </c>
      <c r="E120">
        <v>2020</v>
      </c>
      <c r="F120">
        <v>2</v>
      </c>
      <c r="G120">
        <v>124</v>
      </c>
      <c r="H120">
        <v>2</v>
      </c>
      <c r="I120">
        <v>8</v>
      </c>
      <c r="K120" s="13">
        <v>45943</v>
      </c>
      <c r="L120">
        <v>40</v>
      </c>
      <c r="M120">
        <v>32</v>
      </c>
      <c r="N120">
        <v>0.8</v>
      </c>
    </row>
    <row r="121" spans="1:14" x14ac:dyDescent="0.25">
      <c r="A121" t="s">
        <v>34</v>
      </c>
      <c r="D121" t="s">
        <v>43</v>
      </c>
      <c r="E121">
        <v>2020</v>
      </c>
      <c r="F121">
        <v>2</v>
      </c>
      <c r="G121">
        <v>124</v>
      </c>
      <c r="H121">
        <v>2</v>
      </c>
      <c r="I121">
        <v>8</v>
      </c>
      <c r="K121" s="13">
        <v>45946</v>
      </c>
      <c r="L121">
        <v>40</v>
      </c>
    </row>
    <row r="122" spans="1:14" x14ac:dyDescent="0.25">
      <c r="A122" t="s">
        <v>24</v>
      </c>
      <c r="D122" t="s">
        <v>312</v>
      </c>
      <c r="E122">
        <v>2002</v>
      </c>
      <c r="F122">
        <v>3</v>
      </c>
      <c r="G122">
        <v>125</v>
      </c>
      <c r="H122">
        <v>2</v>
      </c>
      <c r="I122">
        <v>9</v>
      </c>
      <c r="K122" s="13">
        <v>45932</v>
      </c>
      <c r="L122">
        <v>71</v>
      </c>
    </row>
    <row r="123" spans="1:14" x14ac:dyDescent="0.25">
      <c r="A123" t="s">
        <v>24</v>
      </c>
      <c r="D123" t="s">
        <v>312</v>
      </c>
      <c r="E123">
        <v>2002</v>
      </c>
      <c r="F123">
        <v>3</v>
      </c>
      <c r="G123">
        <v>125</v>
      </c>
      <c r="H123">
        <v>2</v>
      </c>
      <c r="I123">
        <v>9</v>
      </c>
      <c r="K123" s="13">
        <v>45936</v>
      </c>
      <c r="L123">
        <v>71</v>
      </c>
    </row>
    <row r="124" spans="1:14" x14ac:dyDescent="0.25">
      <c r="A124" t="s">
        <v>24</v>
      </c>
      <c r="D124" t="s">
        <v>312</v>
      </c>
      <c r="E124">
        <v>2002</v>
      </c>
      <c r="F124">
        <v>3</v>
      </c>
      <c r="G124">
        <v>125</v>
      </c>
      <c r="H124">
        <v>2</v>
      </c>
      <c r="I124">
        <v>9</v>
      </c>
      <c r="K124" s="13">
        <v>45939</v>
      </c>
      <c r="L124">
        <v>71</v>
      </c>
      <c r="M124">
        <v>12</v>
      </c>
      <c r="N124">
        <v>0.169014084507042</v>
      </c>
    </row>
    <row r="125" spans="1:14" x14ac:dyDescent="0.25">
      <c r="A125" t="s">
        <v>24</v>
      </c>
      <c r="D125" t="s">
        <v>312</v>
      </c>
      <c r="E125">
        <v>2002</v>
      </c>
      <c r="F125">
        <v>3</v>
      </c>
      <c r="G125">
        <v>125</v>
      </c>
      <c r="H125">
        <v>2</v>
      </c>
      <c r="I125">
        <v>9</v>
      </c>
      <c r="K125" s="13">
        <v>45943</v>
      </c>
      <c r="L125">
        <v>71</v>
      </c>
      <c r="M125">
        <v>36</v>
      </c>
      <c r="N125">
        <v>0.50704225352112597</v>
      </c>
    </row>
    <row r="126" spans="1:14" x14ac:dyDescent="0.25">
      <c r="A126" t="s">
        <v>24</v>
      </c>
      <c r="D126" t="s">
        <v>312</v>
      </c>
      <c r="E126">
        <v>2002</v>
      </c>
      <c r="F126">
        <v>3</v>
      </c>
      <c r="G126">
        <v>125</v>
      </c>
      <c r="H126">
        <v>2</v>
      </c>
      <c r="I126">
        <v>9</v>
      </c>
      <c r="K126" s="13">
        <v>45946</v>
      </c>
      <c r="L126">
        <v>71</v>
      </c>
    </row>
    <row r="127" spans="1:14" x14ac:dyDescent="0.25">
      <c r="A127" t="s">
        <v>24</v>
      </c>
      <c r="D127" t="s">
        <v>32</v>
      </c>
      <c r="E127">
        <v>2018</v>
      </c>
      <c r="F127">
        <v>3</v>
      </c>
      <c r="G127">
        <v>126</v>
      </c>
      <c r="H127">
        <v>2</v>
      </c>
      <c r="I127">
        <v>10</v>
      </c>
      <c r="K127" s="13">
        <v>45932</v>
      </c>
      <c r="L127">
        <v>83</v>
      </c>
    </row>
    <row r="128" spans="1:14" x14ac:dyDescent="0.25">
      <c r="A128" t="s">
        <v>24</v>
      </c>
      <c r="D128" t="s">
        <v>32</v>
      </c>
      <c r="E128">
        <v>2018</v>
      </c>
      <c r="F128">
        <v>3</v>
      </c>
      <c r="G128">
        <v>126</v>
      </c>
      <c r="H128">
        <v>2</v>
      </c>
      <c r="I128">
        <v>10</v>
      </c>
      <c r="K128" s="13">
        <v>45936</v>
      </c>
      <c r="L128">
        <v>83</v>
      </c>
      <c r="M128">
        <v>15</v>
      </c>
      <c r="N128">
        <v>0.180722891566265</v>
      </c>
    </row>
    <row r="129" spans="1:14" x14ac:dyDescent="0.25">
      <c r="A129" t="s">
        <v>24</v>
      </c>
      <c r="D129" t="s">
        <v>32</v>
      </c>
      <c r="E129">
        <v>2018</v>
      </c>
      <c r="F129">
        <v>3</v>
      </c>
      <c r="G129">
        <v>126</v>
      </c>
      <c r="H129">
        <v>2</v>
      </c>
      <c r="I129">
        <v>10</v>
      </c>
      <c r="K129" s="13">
        <v>45939</v>
      </c>
      <c r="L129">
        <v>83</v>
      </c>
      <c r="M129">
        <v>35</v>
      </c>
      <c r="N129">
        <v>0.421686746987951</v>
      </c>
    </row>
    <row r="130" spans="1:14" x14ac:dyDescent="0.25">
      <c r="A130" t="s">
        <v>24</v>
      </c>
      <c r="D130" t="s">
        <v>32</v>
      </c>
      <c r="E130">
        <v>2018</v>
      </c>
      <c r="F130">
        <v>3</v>
      </c>
      <c r="G130">
        <v>126</v>
      </c>
      <c r="H130">
        <v>2</v>
      </c>
      <c r="I130">
        <v>10</v>
      </c>
      <c r="K130" s="13">
        <v>45943</v>
      </c>
      <c r="L130">
        <v>83</v>
      </c>
      <c r="M130">
        <v>57</v>
      </c>
      <c r="N130">
        <v>0.686746987951807</v>
      </c>
    </row>
    <row r="131" spans="1:14" x14ac:dyDescent="0.25">
      <c r="A131" t="s">
        <v>24</v>
      </c>
      <c r="D131" t="s">
        <v>32</v>
      </c>
      <c r="E131">
        <v>2018</v>
      </c>
      <c r="F131">
        <v>3</v>
      </c>
      <c r="G131">
        <v>126</v>
      </c>
      <c r="H131">
        <v>2</v>
      </c>
      <c r="I131">
        <v>10</v>
      </c>
      <c r="K131" s="13">
        <v>45946</v>
      </c>
      <c r="L131">
        <v>83</v>
      </c>
    </row>
    <row r="132" spans="1:14" x14ac:dyDescent="0.25">
      <c r="A132" t="s">
        <v>34</v>
      </c>
      <c r="D132" t="s">
        <v>39</v>
      </c>
      <c r="E132">
        <v>2001</v>
      </c>
      <c r="F132">
        <v>3</v>
      </c>
      <c r="G132">
        <v>127</v>
      </c>
      <c r="H132">
        <v>2</v>
      </c>
      <c r="I132">
        <v>11</v>
      </c>
      <c r="K132" s="13">
        <v>45932</v>
      </c>
      <c r="L132">
        <v>77</v>
      </c>
    </row>
    <row r="133" spans="1:14" x14ac:dyDescent="0.25">
      <c r="A133" t="s">
        <v>34</v>
      </c>
      <c r="D133" t="s">
        <v>39</v>
      </c>
      <c r="E133">
        <v>2001</v>
      </c>
      <c r="F133">
        <v>3</v>
      </c>
      <c r="G133">
        <v>127</v>
      </c>
      <c r="H133">
        <v>2</v>
      </c>
      <c r="I133">
        <v>11</v>
      </c>
      <c r="K133" s="13">
        <v>45936</v>
      </c>
      <c r="L133">
        <v>77</v>
      </c>
      <c r="M133">
        <v>3</v>
      </c>
      <c r="N133">
        <v>3.8961038961038898E-2</v>
      </c>
    </row>
    <row r="134" spans="1:14" x14ac:dyDescent="0.25">
      <c r="A134" t="s">
        <v>34</v>
      </c>
      <c r="D134" t="s">
        <v>39</v>
      </c>
      <c r="E134">
        <v>2001</v>
      </c>
      <c r="F134">
        <v>3</v>
      </c>
      <c r="G134">
        <v>127</v>
      </c>
      <c r="H134">
        <v>2</v>
      </c>
      <c r="I134">
        <v>11</v>
      </c>
      <c r="K134" s="13">
        <v>45939</v>
      </c>
      <c r="L134">
        <v>77</v>
      </c>
      <c r="M134">
        <v>26</v>
      </c>
      <c r="N134">
        <v>0.337662337662337</v>
      </c>
    </row>
    <row r="135" spans="1:14" x14ac:dyDescent="0.25">
      <c r="A135" t="s">
        <v>34</v>
      </c>
      <c r="D135" t="s">
        <v>39</v>
      </c>
      <c r="E135">
        <v>2001</v>
      </c>
      <c r="F135">
        <v>3</v>
      </c>
      <c r="G135">
        <v>127</v>
      </c>
      <c r="H135">
        <v>2</v>
      </c>
      <c r="I135">
        <v>11</v>
      </c>
      <c r="K135" s="13">
        <v>45943</v>
      </c>
      <c r="L135">
        <v>77</v>
      </c>
      <c r="M135">
        <v>39</v>
      </c>
      <c r="N135">
        <v>0.506493506493506</v>
      </c>
    </row>
    <row r="136" spans="1:14" x14ac:dyDescent="0.25">
      <c r="A136" t="s">
        <v>34</v>
      </c>
      <c r="D136" t="s">
        <v>39</v>
      </c>
      <c r="E136">
        <v>2001</v>
      </c>
      <c r="F136">
        <v>3</v>
      </c>
      <c r="G136">
        <v>127</v>
      </c>
      <c r="H136">
        <v>2</v>
      </c>
      <c r="I136">
        <v>11</v>
      </c>
      <c r="K136" s="13">
        <v>45946</v>
      </c>
      <c r="L136">
        <v>77</v>
      </c>
    </row>
    <row r="137" spans="1:14" x14ac:dyDescent="0.25">
      <c r="A137" t="s">
        <v>34</v>
      </c>
      <c r="D137" t="s">
        <v>36</v>
      </c>
      <c r="E137">
        <v>1984</v>
      </c>
      <c r="F137">
        <v>3</v>
      </c>
      <c r="G137">
        <v>128</v>
      </c>
      <c r="H137">
        <v>2</v>
      </c>
      <c r="I137">
        <v>12</v>
      </c>
      <c r="K137" s="13">
        <v>45932</v>
      </c>
      <c r="L137">
        <v>32</v>
      </c>
    </row>
    <row r="138" spans="1:14" x14ac:dyDescent="0.25">
      <c r="A138" t="s">
        <v>34</v>
      </c>
      <c r="D138" t="s">
        <v>36</v>
      </c>
      <c r="E138">
        <v>1984</v>
      </c>
      <c r="F138">
        <v>3</v>
      </c>
      <c r="G138">
        <v>128</v>
      </c>
      <c r="H138">
        <v>2</v>
      </c>
      <c r="I138">
        <v>12</v>
      </c>
      <c r="K138" s="13">
        <v>45936</v>
      </c>
      <c r="L138">
        <v>32</v>
      </c>
      <c r="M138">
        <v>4</v>
      </c>
      <c r="N138">
        <v>0.125</v>
      </c>
    </row>
    <row r="139" spans="1:14" x14ac:dyDescent="0.25">
      <c r="A139" t="s">
        <v>34</v>
      </c>
      <c r="D139" t="s">
        <v>36</v>
      </c>
      <c r="E139">
        <v>1984</v>
      </c>
      <c r="F139">
        <v>3</v>
      </c>
      <c r="G139">
        <v>128</v>
      </c>
      <c r="H139">
        <v>2</v>
      </c>
      <c r="I139">
        <v>12</v>
      </c>
      <c r="K139" s="13">
        <v>45939</v>
      </c>
      <c r="L139">
        <v>32</v>
      </c>
      <c r="M139">
        <v>22</v>
      </c>
      <c r="N139">
        <v>0.6875</v>
      </c>
    </row>
    <row r="140" spans="1:14" x14ac:dyDescent="0.25">
      <c r="A140" t="s">
        <v>34</v>
      </c>
      <c r="D140" t="s">
        <v>36</v>
      </c>
      <c r="E140">
        <v>1984</v>
      </c>
      <c r="F140">
        <v>3</v>
      </c>
      <c r="G140">
        <v>128</v>
      </c>
      <c r="H140">
        <v>2</v>
      </c>
      <c r="I140">
        <v>12</v>
      </c>
      <c r="K140" s="13">
        <v>45943</v>
      </c>
      <c r="L140">
        <v>32</v>
      </c>
    </row>
    <row r="141" spans="1:14" x14ac:dyDescent="0.25">
      <c r="A141" t="s">
        <v>34</v>
      </c>
      <c r="D141" t="s">
        <v>36</v>
      </c>
      <c r="E141">
        <v>1984</v>
      </c>
      <c r="F141">
        <v>3</v>
      </c>
      <c r="G141">
        <v>128</v>
      </c>
      <c r="H141">
        <v>2</v>
      </c>
      <c r="I141">
        <v>12</v>
      </c>
      <c r="K141" s="13">
        <v>45946</v>
      </c>
      <c r="L141">
        <v>32</v>
      </c>
    </row>
    <row r="142" spans="1:14" x14ac:dyDescent="0.25">
      <c r="A142" t="s">
        <v>24</v>
      </c>
      <c r="D142" t="s">
        <v>26</v>
      </c>
      <c r="E142">
        <v>1983</v>
      </c>
      <c r="F142">
        <v>4</v>
      </c>
      <c r="G142">
        <v>129</v>
      </c>
      <c r="H142">
        <v>2</v>
      </c>
      <c r="I142">
        <v>13</v>
      </c>
      <c r="K142" s="13">
        <v>45932</v>
      </c>
      <c r="L142">
        <v>68</v>
      </c>
    </row>
    <row r="143" spans="1:14" x14ac:dyDescent="0.25">
      <c r="A143" t="s">
        <v>24</v>
      </c>
      <c r="D143" t="s">
        <v>26</v>
      </c>
      <c r="E143">
        <v>1983</v>
      </c>
      <c r="F143">
        <v>4</v>
      </c>
      <c r="G143">
        <v>129</v>
      </c>
      <c r="H143">
        <v>2</v>
      </c>
      <c r="I143">
        <v>13</v>
      </c>
      <c r="K143" s="13">
        <v>45936</v>
      </c>
      <c r="L143">
        <v>68</v>
      </c>
      <c r="M143">
        <v>3</v>
      </c>
      <c r="N143">
        <v>4.4117647058823498E-2</v>
      </c>
    </row>
    <row r="144" spans="1:14" x14ac:dyDescent="0.25">
      <c r="A144" t="s">
        <v>24</v>
      </c>
      <c r="D144" t="s">
        <v>26</v>
      </c>
      <c r="E144">
        <v>1983</v>
      </c>
      <c r="F144">
        <v>4</v>
      </c>
      <c r="G144">
        <v>129</v>
      </c>
      <c r="H144">
        <v>2</v>
      </c>
      <c r="I144">
        <v>13</v>
      </c>
      <c r="K144" s="13">
        <v>45939</v>
      </c>
      <c r="L144">
        <v>68</v>
      </c>
      <c r="M144">
        <v>28</v>
      </c>
      <c r="N144">
        <v>0.41176470588235198</v>
      </c>
    </row>
    <row r="145" spans="1:14" x14ac:dyDescent="0.25">
      <c r="A145" t="s">
        <v>24</v>
      </c>
      <c r="D145" t="s">
        <v>26</v>
      </c>
      <c r="E145">
        <v>1983</v>
      </c>
      <c r="F145">
        <v>4</v>
      </c>
      <c r="G145">
        <v>129</v>
      </c>
      <c r="H145">
        <v>2</v>
      </c>
      <c r="I145">
        <v>13</v>
      </c>
      <c r="K145" s="13">
        <v>45943</v>
      </c>
      <c r="L145">
        <v>68</v>
      </c>
      <c r="M145">
        <v>51</v>
      </c>
      <c r="N145">
        <v>0.75</v>
      </c>
    </row>
    <row r="146" spans="1:14" x14ac:dyDescent="0.25">
      <c r="A146" t="s">
        <v>24</v>
      </c>
      <c r="D146" t="s">
        <v>26</v>
      </c>
      <c r="E146">
        <v>1983</v>
      </c>
      <c r="F146">
        <v>4</v>
      </c>
      <c r="G146">
        <v>129</v>
      </c>
      <c r="H146">
        <v>2</v>
      </c>
      <c r="I146">
        <v>13</v>
      </c>
      <c r="K146" s="13">
        <v>45946</v>
      </c>
      <c r="L146">
        <v>68</v>
      </c>
    </row>
    <row r="147" spans="1:14" x14ac:dyDescent="0.25">
      <c r="A147" t="s">
        <v>24</v>
      </c>
      <c r="D147" t="s">
        <v>29</v>
      </c>
      <c r="E147">
        <v>1999</v>
      </c>
      <c r="F147">
        <v>4</v>
      </c>
      <c r="G147">
        <v>130</v>
      </c>
      <c r="H147">
        <v>2</v>
      </c>
      <c r="I147">
        <v>14</v>
      </c>
      <c r="K147" s="13">
        <v>45932</v>
      </c>
      <c r="L147">
        <v>81</v>
      </c>
    </row>
    <row r="148" spans="1:14" x14ac:dyDescent="0.25">
      <c r="A148" t="s">
        <v>24</v>
      </c>
      <c r="D148" t="s">
        <v>29</v>
      </c>
      <c r="E148">
        <v>1999</v>
      </c>
      <c r="F148">
        <v>4</v>
      </c>
      <c r="G148">
        <v>130</v>
      </c>
      <c r="H148">
        <v>2</v>
      </c>
      <c r="I148">
        <v>14</v>
      </c>
      <c r="K148" s="13">
        <v>45936</v>
      </c>
      <c r="L148">
        <v>81</v>
      </c>
      <c r="M148">
        <v>2</v>
      </c>
      <c r="N148">
        <v>2.4691358024691301E-2</v>
      </c>
    </row>
    <row r="149" spans="1:14" x14ac:dyDescent="0.25">
      <c r="A149" t="s">
        <v>24</v>
      </c>
      <c r="D149" t="s">
        <v>29</v>
      </c>
      <c r="E149">
        <v>1999</v>
      </c>
      <c r="F149">
        <v>4</v>
      </c>
      <c r="G149">
        <v>130</v>
      </c>
      <c r="H149">
        <v>2</v>
      </c>
      <c r="I149">
        <v>14</v>
      </c>
      <c r="K149" s="13">
        <v>45939</v>
      </c>
      <c r="L149">
        <v>81</v>
      </c>
      <c r="M149">
        <v>23</v>
      </c>
      <c r="N149">
        <v>0.28395061728394999</v>
      </c>
    </row>
    <row r="150" spans="1:14" x14ac:dyDescent="0.25">
      <c r="A150" t="s">
        <v>24</v>
      </c>
      <c r="D150" t="s">
        <v>29</v>
      </c>
      <c r="E150">
        <v>1999</v>
      </c>
      <c r="F150">
        <v>4</v>
      </c>
      <c r="G150">
        <v>130</v>
      </c>
      <c r="H150">
        <v>2</v>
      </c>
      <c r="I150">
        <v>14</v>
      </c>
      <c r="K150" s="13">
        <v>45943</v>
      </c>
      <c r="L150">
        <v>81</v>
      </c>
      <c r="M150">
        <v>44</v>
      </c>
      <c r="N150">
        <v>0.54320987654320896</v>
      </c>
    </row>
    <row r="151" spans="1:14" x14ac:dyDescent="0.25">
      <c r="A151" t="s">
        <v>24</v>
      </c>
      <c r="D151" t="s">
        <v>29</v>
      </c>
      <c r="E151">
        <v>1999</v>
      </c>
      <c r="F151">
        <v>4</v>
      </c>
      <c r="G151">
        <v>130</v>
      </c>
      <c r="H151">
        <v>2</v>
      </c>
      <c r="I151">
        <v>14</v>
      </c>
      <c r="K151" s="13">
        <v>45946</v>
      </c>
      <c r="L151">
        <v>81</v>
      </c>
    </row>
    <row r="152" spans="1:14" x14ac:dyDescent="0.25">
      <c r="A152" t="s">
        <v>34</v>
      </c>
      <c r="D152" t="s">
        <v>38</v>
      </c>
      <c r="E152">
        <v>1999</v>
      </c>
      <c r="F152">
        <v>4</v>
      </c>
      <c r="G152">
        <v>131</v>
      </c>
      <c r="H152">
        <v>2</v>
      </c>
      <c r="I152">
        <v>15</v>
      </c>
      <c r="K152" s="13">
        <v>45932</v>
      </c>
      <c r="L152">
        <v>44</v>
      </c>
    </row>
    <row r="153" spans="1:14" x14ac:dyDescent="0.25">
      <c r="A153" t="s">
        <v>34</v>
      </c>
      <c r="D153" t="s">
        <v>38</v>
      </c>
      <c r="E153">
        <v>1999</v>
      </c>
      <c r="F153">
        <v>4</v>
      </c>
      <c r="G153">
        <v>131</v>
      </c>
      <c r="H153">
        <v>2</v>
      </c>
      <c r="I153">
        <v>15</v>
      </c>
      <c r="K153" s="13">
        <v>45936</v>
      </c>
      <c r="L153">
        <v>44</v>
      </c>
      <c r="M153">
        <v>3</v>
      </c>
      <c r="N153">
        <v>6.8181818181818094E-2</v>
      </c>
    </row>
    <row r="154" spans="1:14" x14ac:dyDescent="0.25">
      <c r="A154" t="s">
        <v>34</v>
      </c>
      <c r="D154" t="s">
        <v>38</v>
      </c>
      <c r="E154">
        <v>1999</v>
      </c>
      <c r="F154">
        <v>4</v>
      </c>
      <c r="G154">
        <v>131</v>
      </c>
      <c r="H154">
        <v>2</v>
      </c>
      <c r="I154">
        <v>15</v>
      </c>
      <c r="K154" s="13">
        <v>45939</v>
      </c>
      <c r="L154">
        <v>44</v>
      </c>
      <c r="M154">
        <v>23</v>
      </c>
      <c r="N154">
        <v>0.52272727272727204</v>
      </c>
    </row>
    <row r="155" spans="1:14" x14ac:dyDescent="0.25">
      <c r="A155" t="s">
        <v>34</v>
      </c>
      <c r="D155" t="s">
        <v>38</v>
      </c>
      <c r="E155">
        <v>1999</v>
      </c>
      <c r="F155">
        <v>4</v>
      </c>
      <c r="G155">
        <v>131</v>
      </c>
      <c r="H155">
        <v>2</v>
      </c>
      <c r="I155">
        <v>15</v>
      </c>
      <c r="K155" s="13">
        <v>45943</v>
      </c>
      <c r="L155">
        <v>44</v>
      </c>
    </row>
    <row r="156" spans="1:14" x14ac:dyDescent="0.25">
      <c r="A156" t="s">
        <v>34</v>
      </c>
      <c r="D156" t="s">
        <v>38</v>
      </c>
      <c r="E156">
        <v>1999</v>
      </c>
      <c r="F156">
        <v>4</v>
      </c>
      <c r="G156">
        <v>131</v>
      </c>
      <c r="H156">
        <v>2</v>
      </c>
      <c r="I156">
        <v>15</v>
      </c>
      <c r="K156" s="13">
        <v>45946</v>
      </c>
      <c r="L156">
        <v>44</v>
      </c>
    </row>
    <row r="157" spans="1:14" x14ac:dyDescent="0.25">
      <c r="A157" t="s">
        <v>34</v>
      </c>
      <c r="D157" t="s">
        <v>41</v>
      </c>
      <c r="E157">
        <v>2008</v>
      </c>
      <c r="F157">
        <v>4</v>
      </c>
      <c r="G157">
        <v>132</v>
      </c>
      <c r="H157">
        <v>2</v>
      </c>
      <c r="I157">
        <v>16</v>
      </c>
      <c r="K157" s="13">
        <v>45932</v>
      </c>
      <c r="L157">
        <v>44</v>
      </c>
    </row>
    <row r="158" spans="1:14" x14ac:dyDescent="0.25">
      <c r="A158" t="s">
        <v>34</v>
      </c>
      <c r="D158" t="s">
        <v>41</v>
      </c>
      <c r="E158">
        <v>2008</v>
      </c>
      <c r="F158">
        <v>4</v>
      </c>
      <c r="G158">
        <v>132</v>
      </c>
      <c r="H158">
        <v>2</v>
      </c>
      <c r="I158">
        <v>16</v>
      </c>
      <c r="K158" s="13">
        <v>45936</v>
      </c>
      <c r="L158">
        <v>44</v>
      </c>
      <c r="M158">
        <v>12</v>
      </c>
      <c r="N158">
        <v>0.27272727272727199</v>
      </c>
    </row>
    <row r="159" spans="1:14" x14ac:dyDescent="0.25">
      <c r="A159" t="s">
        <v>34</v>
      </c>
      <c r="D159" t="s">
        <v>41</v>
      </c>
      <c r="E159">
        <v>2008</v>
      </c>
      <c r="F159">
        <v>4</v>
      </c>
      <c r="G159">
        <v>132</v>
      </c>
      <c r="H159">
        <v>2</v>
      </c>
      <c r="I159">
        <v>16</v>
      </c>
      <c r="K159" s="13">
        <v>45939</v>
      </c>
      <c r="L159">
        <v>44</v>
      </c>
      <c r="M159">
        <v>22</v>
      </c>
      <c r="N159">
        <v>0.5</v>
      </c>
    </row>
    <row r="160" spans="1:14" x14ac:dyDescent="0.25">
      <c r="A160" t="s">
        <v>34</v>
      </c>
      <c r="D160" t="s">
        <v>41</v>
      </c>
      <c r="E160">
        <v>2008</v>
      </c>
      <c r="F160">
        <v>4</v>
      </c>
      <c r="G160">
        <v>132</v>
      </c>
      <c r="H160">
        <v>2</v>
      </c>
      <c r="I160">
        <v>16</v>
      </c>
      <c r="K160" s="13">
        <v>45943</v>
      </c>
      <c r="L160">
        <v>44</v>
      </c>
    </row>
    <row r="161" spans="1:14" x14ac:dyDescent="0.25">
      <c r="A161" t="s">
        <v>34</v>
      </c>
      <c r="D161" t="s">
        <v>41</v>
      </c>
      <c r="E161">
        <v>2008</v>
      </c>
      <c r="F161">
        <v>4</v>
      </c>
      <c r="G161">
        <v>132</v>
      </c>
      <c r="H161">
        <v>2</v>
      </c>
      <c r="I161">
        <v>16</v>
      </c>
      <c r="K161" s="13">
        <v>45946</v>
      </c>
      <c r="L161">
        <v>44</v>
      </c>
    </row>
    <row r="162" spans="1:14" x14ac:dyDescent="0.25">
      <c r="A162" t="s">
        <v>24</v>
      </c>
      <c r="D162" t="s">
        <v>26</v>
      </c>
      <c r="E162">
        <v>1983</v>
      </c>
      <c r="F162">
        <v>1</v>
      </c>
      <c r="G162">
        <v>133</v>
      </c>
      <c r="H162">
        <v>3</v>
      </c>
      <c r="I162">
        <v>1</v>
      </c>
      <c r="K162" s="13">
        <v>45932</v>
      </c>
      <c r="L162">
        <v>110</v>
      </c>
    </row>
    <row r="163" spans="1:14" x14ac:dyDescent="0.25">
      <c r="A163" t="s">
        <v>24</v>
      </c>
      <c r="D163" t="s">
        <v>26</v>
      </c>
      <c r="E163">
        <v>1983</v>
      </c>
      <c r="F163">
        <v>1</v>
      </c>
      <c r="G163">
        <v>133</v>
      </c>
      <c r="H163">
        <v>3</v>
      </c>
      <c r="I163">
        <v>1</v>
      </c>
      <c r="K163" s="13">
        <v>45936</v>
      </c>
      <c r="L163">
        <v>110</v>
      </c>
      <c r="M163">
        <v>5</v>
      </c>
      <c r="N163">
        <v>4.54545454545454E-2</v>
      </c>
    </row>
    <row r="164" spans="1:14" x14ac:dyDescent="0.25">
      <c r="A164" t="s">
        <v>24</v>
      </c>
      <c r="D164" t="s">
        <v>26</v>
      </c>
      <c r="E164">
        <v>1983</v>
      </c>
      <c r="F164">
        <v>1</v>
      </c>
      <c r="G164">
        <v>133</v>
      </c>
      <c r="H164">
        <v>3</v>
      </c>
      <c r="I164">
        <v>1</v>
      </c>
      <c r="K164" s="13">
        <v>45939</v>
      </c>
      <c r="L164">
        <v>110</v>
      </c>
      <c r="M164">
        <v>22</v>
      </c>
      <c r="N164">
        <v>0.2</v>
      </c>
    </row>
    <row r="165" spans="1:14" x14ac:dyDescent="0.25">
      <c r="A165" t="s">
        <v>24</v>
      </c>
      <c r="D165" t="s">
        <v>26</v>
      </c>
      <c r="E165">
        <v>1983</v>
      </c>
      <c r="F165">
        <v>1</v>
      </c>
      <c r="G165">
        <v>133</v>
      </c>
      <c r="H165">
        <v>3</v>
      </c>
      <c r="I165">
        <v>1</v>
      </c>
      <c r="K165" s="13">
        <v>45943</v>
      </c>
      <c r="L165">
        <v>110</v>
      </c>
      <c r="M165">
        <v>55</v>
      </c>
      <c r="N165">
        <v>0.5</v>
      </c>
    </row>
    <row r="166" spans="1:14" x14ac:dyDescent="0.25">
      <c r="A166" t="s">
        <v>24</v>
      </c>
      <c r="D166" t="s">
        <v>26</v>
      </c>
      <c r="E166">
        <v>1983</v>
      </c>
      <c r="F166">
        <v>1</v>
      </c>
      <c r="G166">
        <v>133</v>
      </c>
      <c r="H166">
        <v>3</v>
      </c>
      <c r="I166">
        <v>1</v>
      </c>
      <c r="K166" s="13">
        <v>45946</v>
      </c>
      <c r="L166">
        <v>110</v>
      </c>
    </row>
    <row r="167" spans="1:14" x14ac:dyDescent="0.25">
      <c r="A167" t="s">
        <v>24</v>
      </c>
      <c r="D167" t="s">
        <v>27</v>
      </c>
      <c r="E167">
        <v>1985</v>
      </c>
      <c r="F167">
        <v>1</v>
      </c>
      <c r="G167">
        <v>134</v>
      </c>
      <c r="H167">
        <v>3</v>
      </c>
      <c r="I167">
        <v>2</v>
      </c>
      <c r="K167" s="13">
        <v>45932</v>
      </c>
      <c r="L167">
        <v>94</v>
      </c>
    </row>
    <row r="168" spans="1:14" x14ac:dyDescent="0.25">
      <c r="A168" t="s">
        <v>24</v>
      </c>
      <c r="D168" t="s">
        <v>27</v>
      </c>
      <c r="E168">
        <v>1985</v>
      </c>
      <c r="F168">
        <v>1</v>
      </c>
      <c r="G168">
        <v>134</v>
      </c>
      <c r="H168">
        <v>3</v>
      </c>
      <c r="I168">
        <v>2</v>
      </c>
      <c r="K168" s="13">
        <v>45936</v>
      </c>
      <c r="L168">
        <v>94</v>
      </c>
      <c r="M168">
        <v>2</v>
      </c>
      <c r="N168">
        <v>2.1276595744680799E-2</v>
      </c>
    </row>
    <row r="169" spans="1:14" x14ac:dyDescent="0.25">
      <c r="A169" t="s">
        <v>24</v>
      </c>
      <c r="D169" t="s">
        <v>27</v>
      </c>
      <c r="E169">
        <v>1985</v>
      </c>
      <c r="F169">
        <v>1</v>
      </c>
      <c r="G169">
        <v>134</v>
      </c>
      <c r="H169">
        <v>3</v>
      </c>
      <c r="I169">
        <v>2</v>
      </c>
      <c r="K169" s="13">
        <v>45939</v>
      </c>
      <c r="L169">
        <v>94</v>
      </c>
      <c r="M169">
        <v>17</v>
      </c>
      <c r="N169">
        <v>0.180851063829787</v>
      </c>
    </row>
    <row r="170" spans="1:14" x14ac:dyDescent="0.25">
      <c r="A170" t="s">
        <v>24</v>
      </c>
      <c r="D170" t="s">
        <v>27</v>
      </c>
      <c r="E170">
        <v>1985</v>
      </c>
      <c r="F170">
        <v>1</v>
      </c>
      <c r="G170">
        <v>134</v>
      </c>
      <c r="H170">
        <v>3</v>
      </c>
      <c r="I170">
        <v>2</v>
      </c>
      <c r="K170" s="13">
        <v>45943</v>
      </c>
      <c r="L170">
        <v>94</v>
      </c>
      <c r="M170">
        <v>47</v>
      </c>
      <c r="N170">
        <v>0.5</v>
      </c>
    </row>
    <row r="171" spans="1:14" x14ac:dyDescent="0.25">
      <c r="A171" t="s">
        <v>24</v>
      </c>
      <c r="D171" t="s">
        <v>27</v>
      </c>
      <c r="E171">
        <v>1985</v>
      </c>
      <c r="F171">
        <v>1</v>
      </c>
      <c r="G171">
        <v>134</v>
      </c>
      <c r="H171">
        <v>3</v>
      </c>
      <c r="I171">
        <v>2</v>
      </c>
      <c r="K171" s="13">
        <v>45946</v>
      </c>
      <c r="L171">
        <v>94</v>
      </c>
    </row>
    <row r="172" spans="1:14" x14ac:dyDescent="0.25">
      <c r="A172" t="s">
        <v>34</v>
      </c>
      <c r="D172" t="s">
        <v>41</v>
      </c>
      <c r="E172">
        <v>2008</v>
      </c>
      <c r="F172">
        <v>1</v>
      </c>
      <c r="G172">
        <v>135</v>
      </c>
      <c r="H172">
        <v>3</v>
      </c>
      <c r="I172">
        <v>3</v>
      </c>
      <c r="K172" s="13">
        <v>45932</v>
      </c>
      <c r="L172">
        <v>69</v>
      </c>
    </row>
    <row r="173" spans="1:14" x14ac:dyDescent="0.25">
      <c r="A173" t="s">
        <v>34</v>
      </c>
      <c r="D173" t="s">
        <v>41</v>
      </c>
      <c r="E173">
        <v>2008</v>
      </c>
      <c r="F173">
        <v>1</v>
      </c>
      <c r="G173">
        <v>135</v>
      </c>
      <c r="H173">
        <v>3</v>
      </c>
      <c r="I173">
        <v>3</v>
      </c>
      <c r="K173" s="13">
        <v>45936</v>
      </c>
      <c r="L173">
        <v>69</v>
      </c>
      <c r="M173">
        <v>35</v>
      </c>
      <c r="N173">
        <v>0.50724637681159401</v>
      </c>
    </row>
    <row r="174" spans="1:14" x14ac:dyDescent="0.25">
      <c r="A174" t="s">
        <v>34</v>
      </c>
      <c r="D174" t="s">
        <v>41</v>
      </c>
      <c r="E174">
        <v>2008</v>
      </c>
      <c r="F174">
        <v>1</v>
      </c>
      <c r="G174">
        <v>135</v>
      </c>
      <c r="H174">
        <v>3</v>
      </c>
      <c r="I174">
        <v>3</v>
      </c>
      <c r="K174" s="13">
        <v>45939</v>
      </c>
      <c r="L174">
        <v>69</v>
      </c>
    </row>
    <row r="175" spans="1:14" x14ac:dyDescent="0.25">
      <c r="A175" t="s">
        <v>34</v>
      </c>
      <c r="D175" t="s">
        <v>41</v>
      </c>
      <c r="E175">
        <v>2008</v>
      </c>
      <c r="F175">
        <v>1</v>
      </c>
      <c r="G175">
        <v>135</v>
      </c>
      <c r="H175">
        <v>3</v>
      </c>
      <c r="I175">
        <v>3</v>
      </c>
      <c r="K175" s="13">
        <v>45943</v>
      </c>
      <c r="L175">
        <v>69</v>
      </c>
    </row>
    <row r="176" spans="1:14" x14ac:dyDescent="0.25">
      <c r="A176" t="s">
        <v>34</v>
      </c>
      <c r="D176" t="s">
        <v>41</v>
      </c>
      <c r="E176">
        <v>2008</v>
      </c>
      <c r="F176">
        <v>1</v>
      </c>
      <c r="G176">
        <v>135</v>
      </c>
      <c r="H176">
        <v>3</v>
      </c>
      <c r="I176">
        <v>3</v>
      </c>
      <c r="K176" s="13">
        <v>45946</v>
      </c>
      <c r="L176">
        <v>69</v>
      </c>
    </row>
    <row r="177" spans="1:14" x14ac:dyDescent="0.25">
      <c r="A177" t="s">
        <v>34</v>
      </c>
      <c r="D177" t="s">
        <v>36</v>
      </c>
      <c r="E177">
        <v>1984</v>
      </c>
      <c r="F177">
        <v>1</v>
      </c>
      <c r="G177">
        <v>136</v>
      </c>
      <c r="H177">
        <v>3</v>
      </c>
      <c r="I177">
        <v>4</v>
      </c>
      <c r="K177" s="13">
        <v>45932</v>
      </c>
      <c r="L177">
        <v>57</v>
      </c>
    </row>
    <row r="178" spans="1:14" x14ac:dyDescent="0.25">
      <c r="A178" t="s">
        <v>34</v>
      </c>
      <c r="D178" t="s">
        <v>36</v>
      </c>
      <c r="E178">
        <v>1984</v>
      </c>
      <c r="F178">
        <v>1</v>
      </c>
      <c r="G178">
        <v>136</v>
      </c>
      <c r="H178">
        <v>3</v>
      </c>
      <c r="I178">
        <v>4</v>
      </c>
      <c r="K178" s="13">
        <v>45936</v>
      </c>
      <c r="L178">
        <v>57</v>
      </c>
      <c r="M178">
        <v>8</v>
      </c>
      <c r="N178">
        <v>0.140350877192982</v>
      </c>
    </row>
    <row r="179" spans="1:14" x14ac:dyDescent="0.25">
      <c r="A179" t="s">
        <v>34</v>
      </c>
      <c r="D179" t="s">
        <v>36</v>
      </c>
      <c r="E179">
        <v>1984</v>
      </c>
      <c r="F179">
        <v>1</v>
      </c>
      <c r="G179">
        <v>136</v>
      </c>
      <c r="H179">
        <v>3</v>
      </c>
      <c r="I179">
        <v>4</v>
      </c>
      <c r="K179" s="13">
        <v>45939</v>
      </c>
      <c r="L179">
        <v>57</v>
      </c>
      <c r="M179">
        <v>33</v>
      </c>
      <c r="N179">
        <v>0.57894736842105199</v>
      </c>
    </row>
    <row r="180" spans="1:14" x14ac:dyDescent="0.25">
      <c r="A180" t="s">
        <v>34</v>
      </c>
      <c r="D180" t="s">
        <v>36</v>
      </c>
      <c r="E180">
        <v>1984</v>
      </c>
      <c r="F180">
        <v>1</v>
      </c>
      <c r="G180">
        <v>136</v>
      </c>
      <c r="H180">
        <v>3</v>
      </c>
      <c r="I180">
        <v>4</v>
      </c>
      <c r="K180" s="13">
        <v>45943</v>
      </c>
      <c r="L180">
        <v>57</v>
      </c>
    </row>
    <row r="181" spans="1:14" x14ac:dyDescent="0.25">
      <c r="A181" t="s">
        <v>34</v>
      </c>
      <c r="D181" t="s">
        <v>36</v>
      </c>
      <c r="E181">
        <v>1984</v>
      </c>
      <c r="F181">
        <v>1</v>
      </c>
      <c r="G181">
        <v>136</v>
      </c>
      <c r="H181">
        <v>3</v>
      </c>
      <c r="I181">
        <v>4</v>
      </c>
      <c r="K181" s="13">
        <v>45946</v>
      </c>
      <c r="L181">
        <v>57</v>
      </c>
    </row>
    <row r="182" spans="1:14" x14ac:dyDescent="0.25">
      <c r="A182" t="s">
        <v>24</v>
      </c>
      <c r="D182" t="s">
        <v>313</v>
      </c>
      <c r="E182">
        <v>2016</v>
      </c>
      <c r="F182">
        <v>2</v>
      </c>
      <c r="G182">
        <v>137</v>
      </c>
      <c r="H182">
        <v>3</v>
      </c>
      <c r="I182">
        <v>5</v>
      </c>
      <c r="K182" s="13">
        <v>45932</v>
      </c>
      <c r="L182">
        <v>52</v>
      </c>
    </row>
    <row r="183" spans="1:14" x14ac:dyDescent="0.25">
      <c r="A183" t="s">
        <v>24</v>
      </c>
      <c r="D183" t="s">
        <v>313</v>
      </c>
      <c r="E183">
        <v>2016</v>
      </c>
      <c r="F183">
        <v>2</v>
      </c>
      <c r="G183">
        <v>137</v>
      </c>
      <c r="H183">
        <v>3</v>
      </c>
      <c r="I183">
        <v>5</v>
      </c>
      <c r="K183" s="13">
        <v>45936</v>
      </c>
      <c r="L183">
        <v>52</v>
      </c>
      <c r="M183">
        <v>1</v>
      </c>
      <c r="N183">
        <v>1.9230769230769201E-2</v>
      </c>
    </row>
    <row r="184" spans="1:14" x14ac:dyDescent="0.25">
      <c r="A184" t="s">
        <v>24</v>
      </c>
      <c r="D184" t="s">
        <v>313</v>
      </c>
      <c r="E184">
        <v>2016</v>
      </c>
      <c r="F184">
        <v>2</v>
      </c>
      <c r="G184">
        <v>137</v>
      </c>
      <c r="H184">
        <v>3</v>
      </c>
      <c r="I184">
        <v>5</v>
      </c>
      <c r="K184" s="13">
        <v>45939</v>
      </c>
      <c r="L184">
        <v>52</v>
      </c>
      <c r="M184">
        <v>1</v>
      </c>
      <c r="N184">
        <v>1.9230769230769201E-2</v>
      </c>
    </row>
    <row r="185" spans="1:14" x14ac:dyDescent="0.25">
      <c r="A185" t="s">
        <v>24</v>
      </c>
      <c r="D185" t="s">
        <v>313</v>
      </c>
      <c r="E185">
        <v>2016</v>
      </c>
      <c r="F185">
        <v>2</v>
      </c>
      <c r="G185">
        <v>137</v>
      </c>
      <c r="H185">
        <v>3</v>
      </c>
      <c r="I185">
        <v>5</v>
      </c>
      <c r="K185" s="13">
        <v>45943</v>
      </c>
      <c r="L185">
        <v>52</v>
      </c>
      <c r="M185">
        <v>12</v>
      </c>
      <c r="N185">
        <v>0.23076923076923</v>
      </c>
    </row>
    <row r="186" spans="1:14" x14ac:dyDescent="0.25">
      <c r="A186" t="s">
        <v>24</v>
      </c>
      <c r="D186" t="s">
        <v>313</v>
      </c>
      <c r="E186">
        <v>2016</v>
      </c>
      <c r="F186">
        <v>2</v>
      </c>
      <c r="G186">
        <v>137</v>
      </c>
      <c r="H186">
        <v>3</v>
      </c>
      <c r="I186">
        <v>5</v>
      </c>
      <c r="K186" s="13">
        <v>45946</v>
      </c>
      <c r="L186">
        <v>52</v>
      </c>
      <c r="M186">
        <v>26</v>
      </c>
      <c r="N186">
        <v>0.5</v>
      </c>
    </row>
    <row r="187" spans="1:14" x14ac:dyDescent="0.25">
      <c r="A187" t="s">
        <v>24</v>
      </c>
      <c r="D187" t="s">
        <v>32</v>
      </c>
      <c r="E187">
        <v>2018</v>
      </c>
      <c r="F187">
        <v>2</v>
      </c>
      <c r="G187">
        <v>138</v>
      </c>
      <c r="H187">
        <v>3</v>
      </c>
      <c r="I187">
        <v>6</v>
      </c>
      <c r="K187" s="13">
        <v>45932</v>
      </c>
      <c r="L187">
        <v>67</v>
      </c>
    </row>
    <row r="188" spans="1:14" x14ac:dyDescent="0.25">
      <c r="A188" t="s">
        <v>24</v>
      </c>
      <c r="D188" t="s">
        <v>32</v>
      </c>
      <c r="E188">
        <v>2018</v>
      </c>
      <c r="F188">
        <v>2</v>
      </c>
      <c r="G188">
        <v>138</v>
      </c>
      <c r="H188">
        <v>3</v>
      </c>
      <c r="I188">
        <v>6</v>
      </c>
      <c r="K188" s="13">
        <v>45936</v>
      </c>
      <c r="L188">
        <v>67</v>
      </c>
      <c r="M188">
        <v>3</v>
      </c>
      <c r="N188">
        <v>4.4776119402985003E-2</v>
      </c>
    </row>
    <row r="189" spans="1:14" x14ac:dyDescent="0.25">
      <c r="A189" t="s">
        <v>24</v>
      </c>
      <c r="D189" t="s">
        <v>32</v>
      </c>
      <c r="E189">
        <v>2018</v>
      </c>
      <c r="F189">
        <v>2</v>
      </c>
      <c r="G189">
        <v>138</v>
      </c>
      <c r="H189">
        <v>3</v>
      </c>
      <c r="I189">
        <v>6</v>
      </c>
      <c r="K189" s="13">
        <v>45939</v>
      </c>
      <c r="L189">
        <v>67</v>
      </c>
      <c r="M189">
        <v>25</v>
      </c>
      <c r="N189">
        <v>0.37313432835820898</v>
      </c>
    </row>
    <row r="190" spans="1:14" x14ac:dyDescent="0.25">
      <c r="A190" t="s">
        <v>24</v>
      </c>
      <c r="D190" t="s">
        <v>32</v>
      </c>
      <c r="E190">
        <v>2018</v>
      </c>
      <c r="F190">
        <v>2</v>
      </c>
      <c r="G190">
        <v>138</v>
      </c>
      <c r="H190">
        <v>3</v>
      </c>
      <c r="I190">
        <v>6</v>
      </c>
      <c r="K190" s="13">
        <v>45943</v>
      </c>
      <c r="L190">
        <v>67</v>
      </c>
      <c r="M190">
        <v>44</v>
      </c>
      <c r="N190">
        <v>0.65671641791044699</v>
      </c>
    </row>
    <row r="191" spans="1:14" x14ac:dyDescent="0.25">
      <c r="A191" t="s">
        <v>24</v>
      </c>
      <c r="D191" t="s">
        <v>32</v>
      </c>
      <c r="E191">
        <v>2018</v>
      </c>
      <c r="F191">
        <v>2</v>
      </c>
      <c r="G191">
        <v>138</v>
      </c>
      <c r="H191">
        <v>3</v>
      </c>
      <c r="I191">
        <v>6</v>
      </c>
      <c r="K191" s="13">
        <v>45946</v>
      </c>
      <c r="L191">
        <v>67</v>
      </c>
    </row>
    <row r="192" spans="1:14" x14ac:dyDescent="0.25">
      <c r="A192" t="s">
        <v>34</v>
      </c>
      <c r="D192" t="s">
        <v>39</v>
      </c>
      <c r="E192">
        <v>2001</v>
      </c>
      <c r="F192">
        <v>2</v>
      </c>
      <c r="G192">
        <v>139</v>
      </c>
      <c r="H192">
        <v>3</v>
      </c>
      <c r="I192">
        <v>7</v>
      </c>
      <c r="K192" s="13">
        <v>45932</v>
      </c>
      <c r="L192">
        <v>69</v>
      </c>
    </row>
    <row r="193" spans="1:14" x14ac:dyDescent="0.25">
      <c r="A193" t="s">
        <v>34</v>
      </c>
      <c r="D193" t="s">
        <v>39</v>
      </c>
      <c r="E193">
        <v>2001</v>
      </c>
      <c r="F193">
        <v>2</v>
      </c>
      <c r="G193">
        <v>139</v>
      </c>
      <c r="H193">
        <v>3</v>
      </c>
      <c r="I193">
        <v>7</v>
      </c>
      <c r="K193" s="13">
        <v>45936</v>
      </c>
      <c r="L193">
        <v>69</v>
      </c>
      <c r="M193">
        <v>5</v>
      </c>
      <c r="N193">
        <v>7.2463768115942004E-2</v>
      </c>
    </row>
    <row r="194" spans="1:14" x14ac:dyDescent="0.25">
      <c r="A194" t="s">
        <v>34</v>
      </c>
      <c r="D194" t="s">
        <v>39</v>
      </c>
      <c r="E194">
        <v>2001</v>
      </c>
      <c r="F194">
        <v>2</v>
      </c>
      <c r="G194">
        <v>139</v>
      </c>
      <c r="H194">
        <v>3</v>
      </c>
      <c r="I194">
        <v>7</v>
      </c>
      <c r="K194" s="13">
        <v>45939</v>
      </c>
      <c r="L194">
        <v>69</v>
      </c>
      <c r="M194">
        <v>30</v>
      </c>
      <c r="N194">
        <v>0.434782608695652</v>
      </c>
    </row>
    <row r="195" spans="1:14" x14ac:dyDescent="0.25">
      <c r="A195" t="s">
        <v>34</v>
      </c>
      <c r="D195" t="s">
        <v>39</v>
      </c>
      <c r="E195">
        <v>2001</v>
      </c>
      <c r="F195">
        <v>2</v>
      </c>
      <c r="G195">
        <v>139</v>
      </c>
      <c r="H195">
        <v>3</v>
      </c>
      <c r="I195">
        <v>7</v>
      </c>
      <c r="K195" s="13">
        <v>45943</v>
      </c>
      <c r="L195">
        <v>69</v>
      </c>
      <c r="M195">
        <v>38</v>
      </c>
      <c r="N195">
        <v>0.55072463768115898</v>
      </c>
    </row>
    <row r="196" spans="1:14" x14ac:dyDescent="0.25">
      <c r="A196" t="s">
        <v>34</v>
      </c>
      <c r="D196" t="s">
        <v>39</v>
      </c>
      <c r="E196">
        <v>2001</v>
      </c>
      <c r="F196">
        <v>2</v>
      </c>
      <c r="G196">
        <v>139</v>
      </c>
      <c r="H196">
        <v>3</v>
      </c>
      <c r="I196">
        <v>7</v>
      </c>
      <c r="K196" s="13">
        <v>45946</v>
      </c>
      <c r="L196">
        <v>69</v>
      </c>
    </row>
    <row r="197" spans="1:14" x14ac:dyDescent="0.25">
      <c r="A197" t="s">
        <v>34</v>
      </c>
      <c r="D197" t="s">
        <v>38</v>
      </c>
      <c r="E197">
        <v>1999</v>
      </c>
      <c r="F197">
        <v>2</v>
      </c>
      <c r="G197">
        <v>140</v>
      </c>
      <c r="H197">
        <v>3</v>
      </c>
      <c r="I197">
        <v>8</v>
      </c>
      <c r="K197" s="13">
        <v>45932</v>
      </c>
      <c r="L197">
        <v>53</v>
      </c>
    </row>
    <row r="198" spans="1:14" x14ac:dyDescent="0.25">
      <c r="A198" t="s">
        <v>34</v>
      </c>
      <c r="D198" t="s">
        <v>38</v>
      </c>
      <c r="E198">
        <v>1999</v>
      </c>
      <c r="F198">
        <v>2</v>
      </c>
      <c r="G198">
        <v>140</v>
      </c>
      <c r="H198">
        <v>3</v>
      </c>
      <c r="I198">
        <v>8</v>
      </c>
      <c r="K198" s="13">
        <v>45936</v>
      </c>
      <c r="L198">
        <v>53</v>
      </c>
      <c r="M198">
        <v>4</v>
      </c>
      <c r="N198">
        <v>7.5471698113207503E-2</v>
      </c>
    </row>
    <row r="199" spans="1:14" x14ac:dyDescent="0.25">
      <c r="A199" t="s">
        <v>34</v>
      </c>
      <c r="D199" t="s">
        <v>38</v>
      </c>
      <c r="E199">
        <v>1999</v>
      </c>
      <c r="F199">
        <v>2</v>
      </c>
      <c r="G199">
        <v>140</v>
      </c>
      <c r="H199">
        <v>3</v>
      </c>
      <c r="I199">
        <v>8</v>
      </c>
      <c r="K199" s="13">
        <v>45939</v>
      </c>
      <c r="L199">
        <v>53</v>
      </c>
      <c r="M199">
        <v>30</v>
      </c>
      <c r="N199">
        <v>0.56603773584905603</v>
      </c>
    </row>
    <row r="200" spans="1:14" x14ac:dyDescent="0.25">
      <c r="A200" t="s">
        <v>34</v>
      </c>
      <c r="D200" t="s">
        <v>38</v>
      </c>
      <c r="E200">
        <v>1999</v>
      </c>
      <c r="F200">
        <v>2</v>
      </c>
      <c r="G200">
        <v>140</v>
      </c>
      <c r="H200">
        <v>3</v>
      </c>
      <c r="I200">
        <v>8</v>
      </c>
      <c r="K200" s="13">
        <v>45943</v>
      </c>
      <c r="L200">
        <v>53</v>
      </c>
    </row>
    <row r="201" spans="1:14" x14ac:dyDescent="0.25">
      <c r="A201" t="s">
        <v>34</v>
      </c>
      <c r="D201" t="s">
        <v>38</v>
      </c>
      <c r="E201">
        <v>1999</v>
      </c>
      <c r="F201">
        <v>2</v>
      </c>
      <c r="G201">
        <v>140</v>
      </c>
      <c r="H201">
        <v>3</v>
      </c>
      <c r="I201">
        <v>8</v>
      </c>
      <c r="K201" s="13">
        <v>45946</v>
      </c>
      <c r="L201">
        <v>53</v>
      </c>
    </row>
    <row r="202" spans="1:14" x14ac:dyDescent="0.25">
      <c r="A202" t="s">
        <v>24</v>
      </c>
      <c r="D202" t="s">
        <v>28</v>
      </c>
      <c r="E202">
        <v>1998</v>
      </c>
      <c r="F202">
        <v>3</v>
      </c>
      <c r="G202">
        <v>141</v>
      </c>
      <c r="H202">
        <v>3</v>
      </c>
      <c r="I202">
        <v>9</v>
      </c>
      <c r="K202" s="13">
        <v>45932</v>
      </c>
      <c r="L202">
        <v>86</v>
      </c>
    </row>
    <row r="203" spans="1:14" x14ac:dyDescent="0.25">
      <c r="A203" t="s">
        <v>24</v>
      </c>
      <c r="D203" t="s">
        <v>28</v>
      </c>
      <c r="E203">
        <v>1998</v>
      </c>
      <c r="F203">
        <v>3</v>
      </c>
      <c r="G203">
        <v>141</v>
      </c>
      <c r="H203">
        <v>3</v>
      </c>
      <c r="I203">
        <v>9</v>
      </c>
      <c r="K203" s="13">
        <v>45936</v>
      </c>
      <c r="L203">
        <v>86</v>
      </c>
      <c r="M203">
        <v>12</v>
      </c>
      <c r="N203">
        <v>0.13953488372093001</v>
      </c>
    </row>
    <row r="204" spans="1:14" x14ac:dyDescent="0.25">
      <c r="A204" t="s">
        <v>24</v>
      </c>
      <c r="D204" t="s">
        <v>28</v>
      </c>
      <c r="E204">
        <v>1998</v>
      </c>
      <c r="F204">
        <v>3</v>
      </c>
      <c r="G204">
        <v>141</v>
      </c>
      <c r="H204">
        <v>3</v>
      </c>
      <c r="I204">
        <v>9</v>
      </c>
      <c r="K204" s="13">
        <v>45939</v>
      </c>
      <c r="L204">
        <v>86</v>
      </c>
      <c r="M204">
        <v>53</v>
      </c>
      <c r="N204">
        <v>0.61627906976744096</v>
      </c>
    </row>
    <row r="205" spans="1:14" x14ac:dyDescent="0.25">
      <c r="A205" t="s">
        <v>24</v>
      </c>
      <c r="D205" t="s">
        <v>28</v>
      </c>
      <c r="E205">
        <v>1998</v>
      </c>
      <c r="F205">
        <v>3</v>
      </c>
      <c r="G205">
        <v>141</v>
      </c>
      <c r="H205">
        <v>3</v>
      </c>
      <c r="I205">
        <v>9</v>
      </c>
      <c r="K205" s="13">
        <v>45943</v>
      </c>
      <c r="L205">
        <v>86</v>
      </c>
    </row>
    <row r="206" spans="1:14" x14ac:dyDescent="0.25">
      <c r="A206" t="s">
        <v>24</v>
      </c>
      <c r="D206" t="s">
        <v>28</v>
      </c>
      <c r="E206">
        <v>1998</v>
      </c>
      <c r="F206">
        <v>3</v>
      </c>
      <c r="G206">
        <v>141</v>
      </c>
      <c r="H206">
        <v>3</v>
      </c>
      <c r="I206">
        <v>9</v>
      </c>
      <c r="K206" s="13">
        <v>45946</v>
      </c>
      <c r="L206">
        <v>86</v>
      </c>
    </row>
    <row r="207" spans="1:14" x14ac:dyDescent="0.25">
      <c r="A207" t="s">
        <v>24</v>
      </c>
      <c r="D207" t="s">
        <v>29</v>
      </c>
      <c r="E207">
        <v>1999</v>
      </c>
      <c r="F207">
        <v>3</v>
      </c>
      <c r="G207">
        <v>142</v>
      </c>
      <c r="H207">
        <v>3</v>
      </c>
      <c r="I207">
        <v>10</v>
      </c>
      <c r="K207" s="13">
        <v>45932</v>
      </c>
      <c r="L207">
        <v>118</v>
      </c>
    </row>
    <row r="208" spans="1:14" x14ac:dyDescent="0.25">
      <c r="A208" t="s">
        <v>24</v>
      </c>
      <c r="D208" t="s">
        <v>29</v>
      </c>
      <c r="E208">
        <v>1999</v>
      </c>
      <c r="F208">
        <v>3</v>
      </c>
      <c r="G208">
        <v>142</v>
      </c>
      <c r="H208">
        <v>3</v>
      </c>
      <c r="I208">
        <v>10</v>
      </c>
      <c r="K208" s="13">
        <v>45936</v>
      </c>
      <c r="L208">
        <v>118</v>
      </c>
      <c r="M208">
        <v>3</v>
      </c>
      <c r="N208">
        <v>2.5423728813559299E-2</v>
      </c>
    </row>
    <row r="209" spans="1:14" x14ac:dyDescent="0.25">
      <c r="A209" t="s">
        <v>24</v>
      </c>
      <c r="D209" t="s">
        <v>29</v>
      </c>
      <c r="E209">
        <v>1999</v>
      </c>
      <c r="F209">
        <v>3</v>
      </c>
      <c r="G209">
        <v>142</v>
      </c>
      <c r="H209">
        <v>3</v>
      </c>
      <c r="I209">
        <v>10</v>
      </c>
      <c r="K209" s="13">
        <v>45939</v>
      </c>
      <c r="L209">
        <v>118</v>
      </c>
      <c r="M209">
        <v>37</v>
      </c>
      <c r="N209">
        <v>0.31355932203389802</v>
      </c>
    </row>
    <row r="210" spans="1:14" x14ac:dyDescent="0.25">
      <c r="A210" t="s">
        <v>24</v>
      </c>
      <c r="D210" t="s">
        <v>29</v>
      </c>
      <c r="E210">
        <v>1999</v>
      </c>
      <c r="F210">
        <v>3</v>
      </c>
      <c r="G210">
        <v>142</v>
      </c>
      <c r="H210">
        <v>3</v>
      </c>
      <c r="I210">
        <v>10</v>
      </c>
      <c r="K210" s="13">
        <v>45943</v>
      </c>
      <c r="L210">
        <v>118</v>
      </c>
      <c r="M210">
        <v>62</v>
      </c>
      <c r="N210">
        <v>0.52542372881355903</v>
      </c>
    </row>
    <row r="211" spans="1:14" x14ac:dyDescent="0.25">
      <c r="A211" t="s">
        <v>24</v>
      </c>
      <c r="D211" t="s">
        <v>29</v>
      </c>
      <c r="E211">
        <v>1999</v>
      </c>
      <c r="F211">
        <v>3</v>
      </c>
      <c r="G211">
        <v>142</v>
      </c>
      <c r="H211">
        <v>3</v>
      </c>
      <c r="I211">
        <v>10</v>
      </c>
      <c r="K211" s="13">
        <v>45946</v>
      </c>
      <c r="L211">
        <v>118</v>
      </c>
    </row>
    <row r="212" spans="1:14" x14ac:dyDescent="0.25">
      <c r="A212" t="s">
        <v>34</v>
      </c>
      <c r="D212" t="s">
        <v>43</v>
      </c>
      <c r="E212">
        <v>2020</v>
      </c>
      <c r="F212">
        <v>3</v>
      </c>
      <c r="G212">
        <v>143</v>
      </c>
      <c r="H212">
        <v>3</v>
      </c>
      <c r="I212">
        <v>11</v>
      </c>
      <c r="K212" s="13">
        <v>45932</v>
      </c>
      <c r="L212">
        <v>43</v>
      </c>
    </row>
    <row r="213" spans="1:14" x14ac:dyDescent="0.25">
      <c r="A213" t="s">
        <v>34</v>
      </c>
      <c r="D213" t="s">
        <v>43</v>
      </c>
      <c r="E213">
        <v>2020</v>
      </c>
      <c r="F213">
        <v>3</v>
      </c>
      <c r="G213">
        <v>143</v>
      </c>
      <c r="H213">
        <v>3</v>
      </c>
      <c r="I213">
        <v>11</v>
      </c>
      <c r="K213" s="13">
        <v>45936</v>
      </c>
      <c r="L213">
        <v>43</v>
      </c>
    </row>
    <row r="214" spans="1:14" x14ac:dyDescent="0.25">
      <c r="A214" t="s">
        <v>34</v>
      </c>
      <c r="D214" t="s">
        <v>43</v>
      </c>
      <c r="E214">
        <v>2020</v>
      </c>
      <c r="F214">
        <v>3</v>
      </c>
      <c r="G214">
        <v>143</v>
      </c>
      <c r="H214">
        <v>3</v>
      </c>
      <c r="I214">
        <v>11</v>
      </c>
      <c r="K214" s="13">
        <v>45939</v>
      </c>
      <c r="L214">
        <v>43</v>
      </c>
      <c r="M214">
        <v>2</v>
      </c>
      <c r="N214">
        <v>4.6511627906976702E-2</v>
      </c>
    </row>
    <row r="215" spans="1:14" x14ac:dyDescent="0.25">
      <c r="A215" t="s">
        <v>34</v>
      </c>
      <c r="D215" t="s">
        <v>43</v>
      </c>
      <c r="E215">
        <v>2020</v>
      </c>
      <c r="F215">
        <v>3</v>
      </c>
      <c r="G215">
        <v>143</v>
      </c>
      <c r="H215">
        <v>3</v>
      </c>
      <c r="I215">
        <v>11</v>
      </c>
      <c r="K215" s="13">
        <v>45943</v>
      </c>
      <c r="L215">
        <v>43</v>
      </c>
      <c r="M215">
        <v>22</v>
      </c>
      <c r="N215">
        <v>0.51162790697674398</v>
      </c>
    </row>
    <row r="216" spans="1:14" x14ac:dyDescent="0.25">
      <c r="A216" t="s">
        <v>34</v>
      </c>
      <c r="D216" t="s">
        <v>43</v>
      </c>
      <c r="E216">
        <v>2020</v>
      </c>
      <c r="F216">
        <v>3</v>
      </c>
      <c r="G216">
        <v>143</v>
      </c>
      <c r="H216">
        <v>3</v>
      </c>
      <c r="I216">
        <v>11</v>
      </c>
      <c r="K216" s="13">
        <v>45946</v>
      </c>
      <c r="L216">
        <v>43</v>
      </c>
    </row>
    <row r="217" spans="1:14" x14ac:dyDescent="0.25">
      <c r="A217" t="s">
        <v>34</v>
      </c>
      <c r="D217" t="s">
        <v>318</v>
      </c>
      <c r="E217">
        <v>2004</v>
      </c>
      <c r="F217">
        <v>3</v>
      </c>
      <c r="G217">
        <v>144</v>
      </c>
      <c r="H217">
        <v>3</v>
      </c>
      <c r="I217">
        <v>12</v>
      </c>
      <c r="K217" s="13">
        <v>45932</v>
      </c>
      <c r="L217">
        <v>51</v>
      </c>
    </row>
    <row r="218" spans="1:14" x14ac:dyDescent="0.25">
      <c r="A218" t="s">
        <v>34</v>
      </c>
      <c r="D218" t="s">
        <v>318</v>
      </c>
      <c r="E218">
        <v>2004</v>
      </c>
      <c r="F218">
        <v>3</v>
      </c>
      <c r="G218">
        <v>144</v>
      </c>
      <c r="H218">
        <v>3</v>
      </c>
      <c r="I218">
        <v>12</v>
      </c>
      <c r="K218" s="13">
        <v>45936</v>
      </c>
      <c r="L218">
        <v>51</v>
      </c>
      <c r="M218">
        <v>4</v>
      </c>
      <c r="N218">
        <v>7.8431372549019607E-2</v>
      </c>
    </row>
    <row r="219" spans="1:14" x14ac:dyDescent="0.25">
      <c r="A219" t="s">
        <v>34</v>
      </c>
      <c r="D219" t="s">
        <v>318</v>
      </c>
      <c r="E219">
        <v>2004</v>
      </c>
      <c r="F219">
        <v>3</v>
      </c>
      <c r="G219">
        <v>144</v>
      </c>
      <c r="H219">
        <v>3</v>
      </c>
      <c r="I219">
        <v>12</v>
      </c>
      <c r="K219" s="13">
        <v>45939</v>
      </c>
      <c r="L219">
        <v>51</v>
      </c>
      <c r="M219">
        <v>19</v>
      </c>
      <c r="N219">
        <v>0.37254901960784298</v>
      </c>
    </row>
    <row r="220" spans="1:14" x14ac:dyDescent="0.25">
      <c r="A220" t="s">
        <v>34</v>
      </c>
      <c r="D220" t="s">
        <v>318</v>
      </c>
      <c r="E220">
        <v>2004</v>
      </c>
      <c r="F220">
        <v>3</v>
      </c>
      <c r="G220">
        <v>144</v>
      </c>
      <c r="H220">
        <v>3</v>
      </c>
      <c r="I220">
        <v>12</v>
      </c>
      <c r="K220" s="13">
        <v>45943</v>
      </c>
      <c r="L220">
        <v>51</v>
      </c>
      <c r="M220">
        <v>39</v>
      </c>
      <c r="N220">
        <v>0.76470588235294101</v>
      </c>
    </row>
    <row r="221" spans="1:14" x14ac:dyDescent="0.25">
      <c r="A221" t="s">
        <v>34</v>
      </c>
      <c r="D221" t="s">
        <v>318</v>
      </c>
      <c r="E221">
        <v>2004</v>
      </c>
      <c r="F221">
        <v>3</v>
      </c>
      <c r="G221">
        <v>144</v>
      </c>
      <c r="H221">
        <v>3</v>
      </c>
      <c r="I221">
        <v>12</v>
      </c>
      <c r="K221" s="13">
        <v>45946</v>
      </c>
      <c r="L221">
        <v>51</v>
      </c>
    </row>
    <row r="222" spans="1:14" x14ac:dyDescent="0.25">
      <c r="A222" t="s">
        <v>24</v>
      </c>
      <c r="D222" t="s">
        <v>311</v>
      </c>
      <c r="E222">
        <v>2023</v>
      </c>
      <c r="F222">
        <v>4</v>
      </c>
      <c r="G222">
        <v>145</v>
      </c>
      <c r="H222">
        <v>3</v>
      </c>
      <c r="I222">
        <v>13</v>
      </c>
      <c r="K222" s="13">
        <v>45932</v>
      </c>
      <c r="L222">
        <v>60</v>
      </c>
      <c r="M222">
        <v>2</v>
      </c>
      <c r="N222">
        <v>3.3333333333333298E-2</v>
      </c>
    </row>
    <row r="223" spans="1:14" x14ac:dyDescent="0.25">
      <c r="A223" t="s">
        <v>24</v>
      </c>
      <c r="D223" t="s">
        <v>311</v>
      </c>
      <c r="E223">
        <v>2023</v>
      </c>
      <c r="F223">
        <v>4</v>
      </c>
      <c r="G223">
        <v>145</v>
      </c>
      <c r="H223">
        <v>3</v>
      </c>
      <c r="I223">
        <v>13</v>
      </c>
      <c r="K223" s="13">
        <v>45936</v>
      </c>
      <c r="L223">
        <v>60</v>
      </c>
      <c r="M223">
        <v>18</v>
      </c>
      <c r="N223">
        <v>0.3</v>
      </c>
    </row>
    <row r="224" spans="1:14" x14ac:dyDescent="0.25">
      <c r="A224" t="s">
        <v>24</v>
      </c>
      <c r="D224" t="s">
        <v>311</v>
      </c>
      <c r="E224">
        <v>2023</v>
      </c>
      <c r="F224">
        <v>4</v>
      </c>
      <c r="G224">
        <v>145</v>
      </c>
      <c r="H224">
        <v>3</v>
      </c>
      <c r="I224">
        <v>13</v>
      </c>
      <c r="K224" s="13">
        <v>45939</v>
      </c>
      <c r="L224">
        <v>60</v>
      </c>
      <c r="M224">
        <v>34</v>
      </c>
      <c r="N224">
        <v>0.56666666666666599</v>
      </c>
    </row>
    <row r="225" spans="1:14" x14ac:dyDescent="0.25">
      <c r="A225" t="s">
        <v>24</v>
      </c>
      <c r="D225" t="s">
        <v>311</v>
      </c>
      <c r="E225">
        <v>2023</v>
      </c>
      <c r="F225">
        <v>4</v>
      </c>
      <c r="G225">
        <v>145</v>
      </c>
      <c r="H225">
        <v>3</v>
      </c>
      <c r="I225">
        <v>13</v>
      </c>
      <c r="K225" s="13">
        <v>45943</v>
      </c>
      <c r="L225">
        <v>60</v>
      </c>
    </row>
    <row r="226" spans="1:14" x14ac:dyDescent="0.25">
      <c r="A226" t="s">
        <v>24</v>
      </c>
      <c r="D226" t="s">
        <v>311</v>
      </c>
      <c r="E226">
        <v>2023</v>
      </c>
      <c r="F226">
        <v>4</v>
      </c>
      <c r="G226">
        <v>145</v>
      </c>
      <c r="H226">
        <v>3</v>
      </c>
      <c r="I226">
        <v>13</v>
      </c>
      <c r="K226" s="13">
        <v>45946</v>
      </c>
      <c r="L226">
        <v>60</v>
      </c>
    </row>
    <row r="227" spans="1:14" x14ac:dyDescent="0.25">
      <c r="A227" t="s">
        <v>24</v>
      </c>
      <c r="D227" t="s">
        <v>312</v>
      </c>
      <c r="E227">
        <v>2002</v>
      </c>
      <c r="F227">
        <v>4</v>
      </c>
      <c r="G227">
        <v>146</v>
      </c>
      <c r="H227">
        <v>3</v>
      </c>
      <c r="I227">
        <v>14</v>
      </c>
      <c r="K227" s="13">
        <v>45932</v>
      </c>
      <c r="L227">
        <v>59</v>
      </c>
    </row>
    <row r="228" spans="1:14" x14ac:dyDescent="0.25">
      <c r="A228" t="s">
        <v>24</v>
      </c>
      <c r="D228" t="s">
        <v>312</v>
      </c>
      <c r="E228">
        <v>2002</v>
      </c>
      <c r="F228">
        <v>4</v>
      </c>
      <c r="G228">
        <v>146</v>
      </c>
      <c r="H228">
        <v>3</v>
      </c>
      <c r="I228">
        <v>14</v>
      </c>
      <c r="K228" s="13">
        <v>45936</v>
      </c>
      <c r="L228">
        <v>59</v>
      </c>
      <c r="M228">
        <v>4</v>
      </c>
      <c r="N228">
        <v>6.7796610169491497E-2</v>
      </c>
    </row>
    <row r="229" spans="1:14" x14ac:dyDescent="0.25">
      <c r="A229" t="s">
        <v>24</v>
      </c>
      <c r="D229" t="s">
        <v>312</v>
      </c>
      <c r="E229">
        <v>2002</v>
      </c>
      <c r="F229">
        <v>4</v>
      </c>
      <c r="G229">
        <v>146</v>
      </c>
      <c r="H229">
        <v>3</v>
      </c>
      <c r="I229">
        <v>14</v>
      </c>
      <c r="K229" s="13">
        <v>45939</v>
      </c>
      <c r="L229">
        <v>59</v>
      </c>
      <c r="M229">
        <v>25</v>
      </c>
      <c r="N229">
        <v>0.42372881355932202</v>
      </c>
    </row>
    <row r="230" spans="1:14" x14ac:dyDescent="0.25">
      <c r="A230" t="s">
        <v>24</v>
      </c>
      <c r="D230" t="s">
        <v>312</v>
      </c>
      <c r="E230">
        <v>2002</v>
      </c>
      <c r="F230">
        <v>4</v>
      </c>
      <c r="G230">
        <v>146</v>
      </c>
      <c r="H230">
        <v>3</v>
      </c>
      <c r="I230">
        <v>14</v>
      </c>
      <c r="K230" s="13">
        <v>45943</v>
      </c>
      <c r="L230">
        <v>59</v>
      </c>
      <c r="M230">
        <v>45</v>
      </c>
      <c r="N230">
        <v>0.76271186440677896</v>
      </c>
    </row>
    <row r="231" spans="1:14" x14ac:dyDescent="0.25">
      <c r="A231" t="s">
        <v>24</v>
      </c>
      <c r="D231" t="s">
        <v>312</v>
      </c>
      <c r="E231">
        <v>2002</v>
      </c>
      <c r="F231">
        <v>4</v>
      </c>
      <c r="G231">
        <v>146</v>
      </c>
      <c r="H231">
        <v>3</v>
      </c>
      <c r="I231">
        <v>14</v>
      </c>
      <c r="K231" s="13">
        <v>45946</v>
      </c>
      <c r="L231">
        <v>59</v>
      </c>
    </row>
    <row r="232" spans="1:14" x14ac:dyDescent="0.25">
      <c r="A232" t="s">
        <v>34</v>
      </c>
      <c r="D232" t="s">
        <v>37</v>
      </c>
      <c r="E232">
        <v>1989</v>
      </c>
      <c r="F232">
        <v>4</v>
      </c>
      <c r="G232">
        <v>147</v>
      </c>
      <c r="H232">
        <v>3</v>
      </c>
      <c r="I232">
        <v>15</v>
      </c>
      <c r="K232" s="13">
        <v>45932</v>
      </c>
      <c r="L232">
        <v>33</v>
      </c>
    </row>
    <row r="233" spans="1:14" x14ac:dyDescent="0.25">
      <c r="A233" t="s">
        <v>34</v>
      </c>
      <c r="D233" t="s">
        <v>37</v>
      </c>
      <c r="E233">
        <v>1989</v>
      </c>
      <c r="F233">
        <v>4</v>
      </c>
      <c r="G233">
        <v>147</v>
      </c>
      <c r="H233">
        <v>3</v>
      </c>
      <c r="I233">
        <v>15</v>
      </c>
      <c r="K233" s="13">
        <v>45936</v>
      </c>
      <c r="L233">
        <v>33</v>
      </c>
      <c r="M233">
        <v>1</v>
      </c>
      <c r="N233">
        <v>3.03030303030303E-2</v>
      </c>
    </row>
    <row r="234" spans="1:14" x14ac:dyDescent="0.25">
      <c r="A234" t="s">
        <v>34</v>
      </c>
      <c r="D234" t="s">
        <v>37</v>
      </c>
      <c r="E234">
        <v>1989</v>
      </c>
      <c r="F234">
        <v>4</v>
      </c>
      <c r="G234">
        <v>147</v>
      </c>
      <c r="H234">
        <v>3</v>
      </c>
      <c r="I234">
        <v>15</v>
      </c>
      <c r="K234" s="13">
        <v>45939</v>
      </c>
      <c r="L234">
        <v>33</v>
      </c>
      <c r="M234">
        <v>10</v>
      </c>
      <c r="N234">
        <v>0.30303030303030298</v>
      </c>
    </row>
    <row r="235" spans="1:14" x14ac:dyDescent="0.25">
      <c r="A235" t="s">
        <v>34</v>
      </c>
      <c r="D235" t="s">
        <v>37</v>
      </c>
      <c r="E235">
        <v>1989</v>
      </c>
      <c r="F235">
        <v>4</v>
      </c>
      <c r="G235">
        <v>147</v>
      </c>
      <c r="H235">
        <v>3</v>
      </c>
      <c r="I235">
        <v>15</v>
      </c>
      <c r="K235" s="13">
        <v>45943</v>
      </c>
      <c r="L235">
        <v>33</v>
      </c>
      <c r="M235">
        <v>31</v>
      </c>
      <c r="N235">
        <v>0.939393939393939</v>
      </c>
    </row>
    <row r="236" spans="1:14" x14ac:dyDescent="0.25">
      <c r="A236" t="s">
        <v>34</v>
      </c>
      <c r="D236" t="s">
        <v>37</v>
      </c>
      <c r="E236">
        <v>1989</v>
      </c>
      <c r="F236">
        <v>4</v>
      </c>
      <c r="G236">
        <v>147</v>
      </c>
      <c r="H236">
        <v>3</v>
      </c>
      <c r="I236">
        <v>15</v>
      </c>
      <c r="K236" s="13">
        <v>45946</v>
      </c>
      <c r="L236">
        <v>33</v>
      </c>
    </row>
    <row r="237" spans="1:14" x14ac:dyDescent="0.25">
      <c r="A237" t="s">
        <v>34</v>
      </c>
      <c r="D237" t="s">
        <v>42</v>
      </c>
      <c r="E237">
        <v>2016</v>
      </c>
      <c r="F237">
        <v>4</v>
      </c>
      <c r="G237">
        <v>148</v>
      </c>
      <c r="H237">
        <v>3</v>
      </c>
      <c r="I237">
        <v>16</v>
      </c>
      <c r="K237" s="13">
        <v>45932</v>
      </c>
      <c r="L237">
        <v>55</v>
      </c>
    </row>
    <row r="238" spans="1:14" x14ac:dyDescent="0.25">
      <c r="A238" t="s">
        <v>34</v>
      </c>
      <c r="D238" t="s">
        <v>42</v>
      </c>
      <c r="E238">
        <v>2016</v>
      </c>
      <c r="F238">
        <v>4</v>
      </c>
      <c r="G238">
        <v>148</v>
      </c>
      <c r="H238">
        <v>3</v>
      </c>
      <c r="I238">
        <v>16</v>
      </c>
      <c r="K238" s="13">
        <v>45936</v>
      </c>
      <c r="L238">
        <v>55</v>
      </c>
      <c r="M238">
        <v>12</v>
      </c>
      <c r="N238">
        <v>0.218181818181818</v>
      </c>
    </row>
    <row r="239" spans="1:14" x14ac:dyDescent="0.25">
      <c r="A239" t="s">
        <v>34</v>
      </c>
      <c r="D239" t="s">
        <v>42</v>
      </c>
      <c r="E239">
        <v>2016</v>
      </c>
      <c r="F239">
        <v>4</v>
      </c>
      <c r="G239">
        <v>148</v>
      </c>
      <c r="H239">
        <v>3</v>
      </c>
      <c r="I239">
        <v>16</v>
      </c>
      <c r="K239" s="13">
        <v>45939</v>
      </c>
      <c r="L239">
        <v>55</v>
      </c>
      <c r="M239">
        <v>34</v>
      </c>
      <c r="N239">
        <v>0.61818181818181805</v>
      </c>
    </row>
    <row r="240" spans="1:14" x14ac:dyDescent="0.25">
      <c r="A240" t="s">
        <v>34</v>
      </c>
      <c r="D240" t="s">
        <v>42</v>
      </c>
      <c r="E240">
        <v>2016</v>
      </c>
      <c r="F240">
        <v>4</v>
      </c>
      <c r="G240">
        <v>148</v>
      </c>
      <c r="H240">
        <v>3</v>
      </c>
      <c r="I240">
        <v>16</v>
      </c>
      <c r="K240" s="13">
        <v>45943</v>
      </c>
      <c r="L240">
        <v>55</v>
      </c>
    </row>
    <row r="241" spans="1:14" x14ac:dyDescent="0.25">
      <c r="A241" t="s">
        <v>34</v>
      </c>
      <c r="D241" t="s">
        <v>42</v>
      </c>
      <c r="E241">
        <v>2016</v>
      </c>
      <c r="F241">
        <v>4</v>
      </c>
      <c r="G241">
        <v>148</v>
      </c>
      <c r="H241">
        <v>3</v>
      </c>
      <c r="I241">
        <v>16</v>
      </c>
      <c r="K241" s="13">
        <v>45946</v>
      </c>
      <c r="L241">
        <v>55</v>
      </c>
    </row>
    <row r="242" spans="1:14" x14ac:dyDescent="0.25">
      <c r="A242" t="s">
        <v>24</v>
      </c>
      <c r="D242" t="s">
        <v>29</v>
      </c>
      <c r="E242">
        <v>1999</v>
      </c>
      <c r="F242">
        <v>1</v>
      </c>
      <c r="G242">
        <v>149</v>
      </c>
      <c r="H242">
        <v>4</v>
      </c>
      <c r="I242">
        <v>1</v>
      </c>
      <c r="K242" s="13">
        <v>45932</v>
      </c>
      <c r="L242">
        <v>153</v>
      </c>
    </row>
    <row r="243" spans="1:14" x14ac:dyDescent="0.25">
      <c r="A243" t="s">
        <v>24</v>
      </c>
      <c r="D243" t="s">
        <v>29</v>
      </c>
      <c r="E243">
        <v>1999</v>
      </c>
      <c r="F243">
        <v>1</v>
      </c>
      <c r="G243">
        <v>149</v>
      </c>
      <c r="H243">
        <v>4</v>
      </c>
      <c r="I243">
        <v>1</v>
      </c>
      <c r="K243" s="13">
        <v>45936</v>
      </c>
      <c r="L243">
        <v>153</v>
      </c>
      <c r="M243">
        <v>1</v>
      </c>
      <c r="N243">
        <v>6.5359477124183E-3</v>
      </c>
    </row>
    <row r="244" spans="1:14" x14ac:dyDescent="0.25">
      <c r="A244" t="s">
        <v>24</v>
      </c>
      <c r="D244" t="s">
        <v>29</v>
      </c>
      <c r="E244">
        <v>1999</v>
      </c>
      <c r="F244">
        <v>1</v>
      </c>
      <c r="G244">
        <v>149</v>
      </c>
      <c r="H244">
        <v>4</v>
      </c>
      <c r="I244">
        <v>1</v>
      </c>
      <c r="K244" s="13">
        <v>45939</v>
      </c>
      <c r="L244">
        <v>153</v>
      </c>
      <c r="M244">
        <v>23</v>
      </c>
      <c r="N244">
        <v>0.15032679738561999</v>
      </c>
    </row>
    <row r="245" spans="1:14" x14ac:dyDescent="0.25">
      <c r="A245" t="s">
        <v>24</v>
      </c>
      <c r="D245" t="s">
        <v>29</v>
      </c>
      <c r="E245">
        <v>1999</v>
      </c>
      <c r="F245">
        <v>1</v>
      </c>
      <c r="G245">
        <v>149</v>
      </c>
      <c r="H245">
        <v>4</v>
      </c>
      <c r="I245">
        <v>1</v>
      </c>
      <c r="K245" s="13">
        <v>45943</v>
      </c>
      <c r="L245">
        <v>153</v>
      </c>
      <c r="M245">
        <v>77</v>
      </c>
      <c r="N245">
        <v>0.50326797385620903</v>
      </c>
    </row>
    <row r="246" spans="1:14" x14ac:dyDescent="0.25">
      <c r="A246" t="s">
        <v>24</v>
      </c>
      <c r="D246" t="s">
        <v>29</v>
      </c>
      <c r="E246">
        <v>1999</v>
      </c>
      <c r="F246">
        <v>1</v>
      </c>
      <c r="G246">
        <v>149</v>
      </c>
      <c r="H246">
        <v>4</v>
      </c>
      <c r="I246">
        <v>1</v>
      </c>
      <c r="K246" s="13">
        <v>45946</v>
      </c>
      <c r="L246">
        <v>153</v>
      </c>
    </row>
    <row r="247" spans="1:14" x14ac:dyDescent="0.25">
      <c r="A247" t="s">
        <v>24</v>
      </c>
      <c r="D247" t="s">
        <v>32</v>
      </c>
      <c r="E247">
        <v>2018</v>
      </c>
      <c r="F247">
        <v>1</v>
      </c>
      <c r="G247">
        <v>150</v>
      </c>
      <c r="H247">
        <v>4</v>
      </c>
      <c r="I247">
        <v>2</v>
      </c>
      <c r="K247" s="13">
        <v>45932</v>
      </c>
      <c r="L247">
        <v>87</v>
      </c>
    </row>
    <row r="248" spans="1:14" x14ac:dyDescent="0.25">
      <c r="A248" t="s">
        <v>24</v>
      </c>
      <c r="D248" t="s">
        <v>32</v>
      </c>
      <c r="E248">
        <v>2018</v>
      </c>
      <c r="F248">
        <v>1</v>
      </c>
      <c r="G248">
        <v>150</v>
      </c>
      <c r="H248">
        <v>4</v>
      </c>
      <c r="I248">
        <v>2</v>
      </c>
      <c r="K248" s="13">
        <v>45936</v>
      </c>
      <c r="L248">
        <v>87</v>
      </c>
      <c r="M248">
        <v>6</v>
      </c>
      <c r="N248">
        <v>6.8965517241379296E-2</v>
      </c>
    </row>
    <row r="249" spans="1:14" x14ac:dyDescent="0.25">
      <c r="A249" t="s">
        <v>24</v>
      </c>
      <c r="D249" t="s">
        <v>32</v>
      </c>
      <c r="E249">
        <v>2018</v>
      </c>
      <c r="F249">
        <v>1</v>
      </c>
      <c r="G249">
        <v>150</v>
      </c>
      <c r="H249">
        <v>4</v>
      </c>
      <c r="I249">
        <v>2</v>
      </c>
      <c r="K249" s="13">
        <v>45939</v>
      </c>
      <c r="L249">
        <v>87</v>
      </c>
      <c r="M249">
        <v>35</v>
      </c>
      <c r="N249">
        <v>0.40229885057471199</v>
      </c>
    </row>
    <row r="250" spans="1:14" x14ac:dyDescent="0.25">
      <c r="A250" t="s">
        <v>24</v>
      </c>
      <c r="D250" t="s">
        <v>32</v>
      </c>
      <c r="E250">
        <v>2018</v>
      </c>
      <c r="F250">
        <v>1</v>
      </c>
      <c r="G250">
        <v>150</v>
      </c>
      <c r="H250">
        <v>4</v>
      </c>
      <c r="I250">
        <v>2</v>
      </c>
      <c r="K250" s="13">
        <v>45943</v>
      </c>
      <c r="L250">
        <v>87</v>
      </c>
      <c r="M250">
        <v>49</v>
      </c>
      <c r="N250">
        <v>0.56321839080459701</v>
      </c>
    </row>
    <row r="251" spans="1:14" x14ac:dyDescent="0.25">
      <c r="A251" t="s">
        <v>24</v>
      </c>
      <c r="D251" t="s">
        <v>32</v>
      </c>
      <c r="E251">
        <v>2018</v>
      </c>
      <c r="F251">
        <v>1</v>
      </c>
      <c r="G251">
        <v>150</v>
      </c>
      <c r="H251">
        <v>4</v>
      </c>
      <c r="I251">
        <v>2</v>
      </c>
      <c r="K251" s="13">
        <v>45946</v>
      </c>
      <c r="L251">
        <v>87</v>
      </c>
    </row>
    <row r="252" spans="1:14" x14ac:dyDescent="0.25">
      <c r="A252" t="s">
        <v>34</v>
      </c>
      <c r="D252" t="s">
        <v>38</v>
      </c>
      <c r="E252">
        <v>1999</v>
      </c>
      <c r="F252">
        <v>1</v>
      </c>
      <c r="G252">
        <v>151</v>
      </c>
      <c r="H252">
        <v>4</v>
      </c>
      <c r="I252">
        <v>3</v>
      </c>
      <c r="K252" s="13">
        <v>45932</v>
      </c>
      <c r="L252">
        <v>55</v>
      </c>
    </row>
    <row r="253" spans="1:14" x14ac:dyDescent="0.25">
      <c r="A253" t="s">
        <v>34</v>
      </c>
      <c r="D253" t="s">
        <v>38</v>
      </c>
      <c r="E253">
        <v>1999</v>
      </c>
      <c r="F253">
        <v>1</v>
      </c>
      <c r="G253">
        <v>151</v>
      </c>
      <c r="H253">
        <v>4</v>
      </c>
      <c r="I253">
        <v>3</v>
      </c>
      <c r="K253" s="13">
        <v>45936</v>
      </c>
      <c r="L253">
        <v>55</v>
      </c>
      <c r="M253">
        <v>3</v>
      </c>
      <c r="N253">
        <v>5.4545454545454501E-2</v>
      </c>
    </row>
    <row r="254" spans="1:14" x14ac:dyDescent="0.25">
      <c r="A254" t="s">
        <v>34</v>
      </c>
      <c r="D254" t="s">
        <v>38</v>
      </c>
      <c r="E254">
        <v>1999</v>
      </c>
      <c r="F254">
        <v>1</v>
      </c>
      <c r="G254">
        <v>151</v>
      </c>
      <c r="H254">
        <v>4</v>
      </c>
      <c r="I254">
        <v>3</v>
      </c>
      <c r="K254" s="13">
        <v>45939</v>
      </c>
      <c r="L254">
        <v>55</v>
      </c>
      <c r="M254">
        <v>20</v>
      </c>
      <c r="N254">
        <v>0.36363636363636298</v>
      </c>
    </row>
    <row r="255" spans="1:14" x14ac:dyDescent="0.25">
      <c r="A255" t="s">
        <v>34</v>
      </c>
      <c r="D255" t="s">
        <v>38</v>
      </c>
      <c r="E255">
        <v>1999</v>
      </c>
      <c r="F255">
        <v>1</v>
      </c>
      <c r="G255">
        <v>151</v>
      </c>
      <c r="H255">
        <v>4</v>
      </c>
      <c r="I255">
        <v>3</v>
      </c>
      <c r="K255" s="13">
        <v>45943</v>
      </c>
      <c r="L255">
        <v>55</v>
      </c>
      <c r="M255">
        <v>36</v>
      </c>
      <c r="N255">
        <v>0.65454545454545399</v>
      </c>
    </row>
    <row r="256" spans="1:14" x14ac:dyDescent="0.25">
      <c r="A256" t="s">
        <v>34</v>
      </c>
      <c r="D256" t="s">
        <v>38</v>
      </c>
      <c r="E256">
        <v>1999</v>
      </c>
      <c r="F256">
        <v>1</v>
      </c>
      <c r="G256">
        <v>151</v>
      </c>
      <c r="H256">
        <v>4</v>
      </c>
      <c r="I256">
        <v>3</v>
      </c>
      <c r="K256" s="13">
        <v>45946</v>
      </c>
      <c r="L256">
        <v>55</v>
      </c>
    </row>
    <row r="257" spans="1:14" x14ac:dyDescent="0.25">
      <c r="A257" t="s">
        <v>34</v>
      </c>
      <c r="D257" t="s">
        <v>43</v>
      </c>
      <c r="E257">
        <v>2020</v>
      </c>
      <c r="F257">
        <v>1</v>
      </c>
      <c r="G257">
        <v>152</v>
      </c>
      <c r="H257">
        <v>4</v>
      </c>
      <c r="I257">
        <v>4</v>
      </c>
      <c r="K257" s="13">
        <v>45932</v>
      </c>
      <c r="L257">
        <v>36</v>
      </c>
    </row>
    <row r="258" spans="1:14" x14ac:dyDescent="0.25">
      <c r="A258" t="s">
        <v>34</v>
      </c>
      <c r="D258" t="s">
        <v>43</v>
      </c>
      <c r="E258">
        <v>2020</v>
      </c>
      <c r="F258">
        <v>1</v>
      </c>
      <c r="G258">
        <v>152</v>
      </c>
      <c r="H258">
        <v>4</v>
      </c>
      <c r="I258">
        <v>4</v>
      </c>
      <c r="K258" s="13">
        <v>45936</v>
      </c>
      <c r="L258">
        <v>36</v>
      </c>
    </row>
    <row r="259" spans="1:14" x14ac:dyDescent="0.25">
      <c r="A259" t="s">
        <v>34</v>
      </c>
      <c r="D259" t="s">
        <v>43</v>
      </c>
      <c r="E259">
        <v>2020</v>
      </c>
      <c r="F259">
        <v>1</v>
      </c>
      <c r="G259">
        <v>152</v>
      </c>
      <c r="H259">
        <v>4</v>
      </c>
      <c r="I259">
        <v>4</v>
      </c>
      <c r="K259" s="13">
        <v>45939</v>
      </c>
      <c r="L259">
        <v>36</v>
      </c>
      <c r="M259">
        <v>7</v>
      </c>
      <c r="N259">
        <v>0.194444444444444</v>
      </c>
    </row>
    <row r="260" spans="1:14" x14ac:dyDescent="0.25">
      <c r="A260" t="s">
        <v>34</v>
      </c>
      <c r="D260" t="s">
        <v>43</v>
      </c>
      <c r="E260">
        <v>2020</v>
      </c>
      <c r="F260">
        <v>1</v>
      </c>
      <c r="G260">
        <v>152</v>
      </c>
      <c r="H260">
        <v>4</v>
      </c>
      <c r="I260">
        <v>4</v>
      </c>
      <c r="K260" s="13">
        <v>45943</v>
      </c>
      <c r="L260">
        <v>36</v>
      </c>
      <c r="M260">
        <v>20</v>
      </c>
      <c r="N260">
        <v>0.55555555555555503</v>
      </c>
    </row>
    <row r="261" spans="1:14" x14ac:dyDescent="0.25">
      <c r="A261" t="s">
        <v>34</v>
      </c>
      <c r="D261" t="s">
        <v>43</v>
      </c>
      <c r="E261">
        <v>2020</v>
      </c>
      <c r="F261">
        <v>1</v>
      </c>
      <c r="G261">
        <v>152</v>
      </c>
      <c r="H261">
        <v>4</v>
      </c>
      <c r="I261">
        <v>4</v>
      </c>
      <c r="K261" s="13">
        <v>45946</v>
      </c>
      <c r="L261">
        <v>36</v>
      </c>
    </row>
    <row r="262" spans="1:14" x14ac:dyDescent="0.25">
      <c r="A262" t="s">
        <v>24</v>
      </c>
      <c r="D262" t="s">
        <v>312</v>
      </c>
      <c r="E262">
        <v>2002</v>
      </c>
      <c r="F262">
        <v>2</v>
      </c>
      <c r="G262">
        <v>153</v>
      </c>
      <c r="H262">
        <v>4</v>
      </c>
      <c r="I262">
        <v>5</v>
      </c>
      <c r="K262" s="13">
        <v>45932</v>
      </c>
      <c r="L262">
        <v>79</v>
      </c>
    </row>
    <row r="263" spans="1:14" x14ac:dyDescent="0.25">
      <c r="A263" t="s">
        <v>24</v>
      </c>
      <c r="D263" t="s">
        <v>312</v>
      </c>
      <c r="E263">
        <v>2002</v>
      </c>
      <c r="F263">
        <v>2</v>
      </c>
      <c r="G263">
        <v>153</v>
      </c>
      <c r="H263">
        <v>4</v>
      </c>
      <c r="I263">
        <v>5</v>
      </c>
      <c r="K263" s="13">
        <v>45936</v>
      </c>
      <c r="L263">
        <v>79</v>
      </c>
    </row>
    <row r="264" spans="1:14" x14ac:dyDescent="0.25">
      <c r="A264" t="s">
        <v>24</v>
      </c>
      <c r="D264" t="s">
        <v>312</v>
      </c>
      <c r="E264">
        <v>2002</v>
      </c>
      <c r="F264">
        <v>2</v>
      </c>
      <c r="G264">
        <v>153</v>
      </c>
      <c r="H264">
        <v>4</v>
      </c>
      <c r="I264">
        <v>5</v>
      </c>
      <c r="K264" s="13">
        <v>45939</v>
      </c>
      <c r="L264">
        <v>79</v>
      </c>
      <c r="M264">
        <v>9</v>
      </c>
      <c r="N264">
        <v>0.113924050632911</v>
      </c>
    </row>
    <row r="265" spans="1:14" x14ac:dyDescent="0.25">
      <c r="A265" t="s">
        <v>24</v>
      </c>
      <c r="D265" t="s">
        <v>312</v>
      </c>
      <c r="E265">
        <v>2002</v>
      </c>
      <c r="F265">
        <v>2</v>
      </c>
      <c r="G265">
        <v>153</v>
      </c>
      <c r="H265">
        <v>4</v>
      </c>
      <c r="I265">
        <v>5</v>
      </c>
      <c r="K265" s="13">
        <v>45943</v>
      </c>
      <c r="L265">
        <v>79</v>
      </c>
      <c r="M265">
        <v>40</v>
      </c>
      <c r="N265">
        <v>0.50632911392405</v>
      </c>
    </row>
    <row r="266" spans="1:14" x14ac:dyDescent="0.25">
      <c r="A266" t="s">
        <v>24</v>
      </c>
      <c r="D266" t="s">
        <v>312</v>
      </c>
      <c r="E266">
        <v>2002</v>
      </c>
      <c r="F266">
        <v>2</v>
      </c>
      <c r="G266">
        <v>153</v>
      </c>
      <c r="H266">
        <v>4</v>
      </c>
      <c r="I266">
        <v>5</v>
      </c>
      <c r="K266" s="13">
        <v>45946</v>
      </c>
      <c r="L266">
        <v>79</v>
      </c>
    </row>
    <row r="267" spans="1:14" x14ac:dyDescent="0.25">
      <c r="A267" t="s">
        <v>24</v>
      </c>
      <c r="D267" t="s">
        <v>26</v>
      </c>
      <c r="E267">
        <v>1983</v>
      </c>
      <c r="F267">
        <v>2</v>
      </c>
      <c r="G267">
        <v>154</v>
      </c>
      <c r="H267">
        <v>4</v>
      </c>
      <c r="I267">
        <v>6</v>
      </c>
      <c r="K267" s="13">
        <v>45932</v>
      </c>
      <c r="L267">
        <v>94</v>
      </c>
    </row>
    <row r="268" spans="1:14" x14ac:dyDescent="0.25">
      <c r="A268" t="s">
        <v>24</v>
      </c>
      <c r="D268" t="s">
        <v>26</v>
      </c>
      <c r="E268">
        <v>1983</v>
      </c>
      <c r="F268">
        <v>2</v>
      </c>
      <c r="G268">
        <v>154</v>
      </c>
      <c r="H268">
        <v>4</v>
      </c>
      <c r="I268">
        <v>6</v>
      </c>
      <c r="K268" s="13">
        <v>45936</v>
      </c>
      <c r="L268">
        <v>94</v>
      </c>
      <c r="M268">
        <v>4</v>
      </c>
      <c r="N268">
        <v>4.2553191489361701E-2</v>
      </c>
    </row>
    <row r="269" spans="1:14" x14ac:dyDescent="0.25">
      <c r="A269" t="s">
        <v>24</v>
      </c>
      <c r="D269" t="s">
        <v>26</v>
      </c>
      <c r="E269">
        <v>1983</v>
      </c>
      <c r="F269">
        <v>2</v>
      </c>
      <c r="G269">
        <v>154</v>
      </c>
      <c r="H269">
        <v>4</v>
      </c>
      <c r="I269">
        <v>6</v>
      </c>
      <c r="K269" s="13">
        <v>45939</v>
      </c>
      <c r="L269">
        <v>94</v>
      </c>
      <c r="M269">
        <v>22</v>
      </c>
      <c r="N269">
        <v>0.23404255319148901</v>
      </c>
    </row>
    <row r="270" spans="1:14" x14ac:dyDescent="0.25">
      <c r="A270" t="s">
        <v>24</v>
      </c>
      <c r="D270" t="s">
        <v>26</v>
      </c>
      <c r="E270">
        <v>1983</v>
      </c>
      <c r="F270">
        <v>2</v>
      </c>
      <c r="G270">
        <v>154</v>
      </c>
      <c r="H270">
        <v>4</v>
      </c>
      <c r="I270">
        <v>6</v>
      </c>
      <c r="K270" s="13">
        <v>45943</v>
      </c>
      <c r="L270">
        <v>94</v>
      </c>
      <c r="M270">
        <v>47</v>
      </c>
      <c r="N270">
        <v>0.5</v>
      </c>
    </row>
    <row r="271" spans="1:14" x14ac:dyDescent="0.25">
      <c r="A271" t="s">
        <v>24</v>
      </c>
      <c r="D271" t="s">
        <v>26</v>
      </c>
      <c r="E271">
        <v>1983</v>
      </c>
      <c r="F271">
        <v>2</v>
      </c>
      <c r="G271">
        <v>154</v>
      </c>
      <c r="H271">
        <v>4</v>
      </c>
      <c r="I271">
        <v>6</v>
      </c>
      <c r="K271" s="13">
        <v>45946</v>
      </c>
      <c r="L271">
        <v>94</v>
      </c>
    </row>
    <row r="272" spans="1:14" x14ac:dyDescent="0.25">
      <c r="A272" t="s">
        <v>34</v>
      </c>
      <c r="D272" t="s">
        <v>36</v>
      </c>
      <c r="E272">
        <v>1984</v>
      </c>
      <c r="F272">
        <v>2</v>
      </c>
      <c r="G272">
        <v>155</v>
      </c>
      <c r="H272">
        <v>4</v>
      </c>
      <c r="I272">
        <v>7</v>
      </c>
      <c r="K272" s="13">
        <v>45932</v>
      </c>
      <c r="L272">
        <v>50</v>
      </c>
    </row>
    <row r="273" spans="1:14" x14ac:dyDescent="0.25">
      <c r="A273" t="s">
        <v>34</v>
      </c>
      <c r="D273" t="s">
        <v>36</v>
      </c>
      <c r="E273">
        <v>1984</v>
      </c>
      <c r="F273">
        <v>2</v>
      </c>
      <c r="G273">
        <v>155</v>
      </c>
      <c r="H273">
        <v>4</v>
      </c>
      <c r="I273">
        <v>7</v>
      </c>
      <c r="K273" s="13">
        <v>45936</v>
      </c>
      <c r="L273">
        <v>50</v>
      </c>
      <c r="M273">
        <v>1</v>
      </c>
      <c r="N273">
        <v>0.02</v>
      </c>
    </row>
    <row r="274" spans="1:14" x14ac:dyDescent="0.25">
      <c r="A274" t="s">
        <v>34</v>
      </c>
      <c r="D274" t="s">
        <v>36</v>
      </c>
      <c r="E274">
        <v>1984</v>
      </c>
      <c r="F274">
        <v>2</v>
      </c>
      <c r="G274">
        <v>155</v>
      </c>
      <c r="H274">
        <v>4</v>
      </c>
      <c r="I274">
        <v>7</v>
      </c>
      <c r="K274" s="13">
        <v>45939</v>
      </c>
      <c r="L274">
        <v>50</v>
      </c>
      <c r="M274">
        <v>23</v>
      </c>
      <c r="N274">
        <v>0.46</v>
      </c>
    </row>
    <row r="275" spans="1:14" x14ac:dyDescent="0.25">
      <c r="A275" t="s">
        <v>34</v>
      </c>
      <c r="D275" t="s">
        <v>36</v>
      </c>
      <c r="E275">
        <v>1984</v>
      </c>
      <c r="F275">
        <v>2</v>
      </c>
      <c r="G275">
        <v>155</v>
      </c>
      <c r="H275">
        <v>4</v>
      </c>
      <c r="I275">
        <v>7</v>
      </c>
      <c r="K275" s="13">
        <v>45943</v>
      </c>
      <c r="L275">
        <v>50</v>
      </c>
      <c r="M275">
        <v>47</v>
      </c>
      <c r="N275">
        <v>0.94</v>
      </c>
    </row>
    <row r="276" spans="1:14" x14ac:dyDescent="0.25">
      <c r="A276" t="s">
        <v>34</v>
      </c>
      <c r="D276" t="s">
        <v>36</v>
      </c>
      <c r="E276">
        <v>1984</v>
      </c>
      <c r="F276">
        <v>2</v>
      </c>
      <c r="G276">
        <v>155</v>
      </c>
      <c r="H276">
        <v>4</v>
      </c>
      <c r="I276">
        <v>7</v>
      </c>
      <c r="K276" s="13">
        <v>45946</v>
      </c>
      <c r="L276">
        <v>50</v>
      </c>
    </row>
    <row r="277" spans="1:14" x14ac:dyDescent="0.25">
      <c r="A277" t="s">
        <v>34</v>
      </c>
      <c r="D277" t="s">
        <v>42</v>
      </c>
      <c r="E277">
        <v>2016</v>
      </c>
      <c r="F277">
        <v>2</v>
      </c>
      <c r="G277">
        <v>156</v>
      </c>
      <c r="H277">
        <v>4</v>
      </c>
      <c r="I277">
        <v>8</v>
      </c>
      <c r="K277" s="13">
        <v>45932</v>
      </c>
      <c r="L277">
        <v>58</v>
      </c>
    </row>
    <row r="278" spans="1:14" x14ac:dyDescent="0.25">
      <c r="A278" t="s">
        <v>34</v>
      </c>
      <c r="D278" t="s">
        <v>42</v>
      </c>
      <c r="E278">
        <v>2016</v>
      </c>
      <c r="F278">
        <v>2</v>
      </c>
      <c r="G278">
        <v>156</v>
      </c>
      <c r="H278">
        <v>4</v>
      </c>
      <c r="I278">
        <v>8</v>
      </c>
      <c r="K278" s="13">
        <v>45936</v>
      </c>
      <c r="L278">
        <v>58</v>
      </c>
      <c r="M278">
        <v>20</v>
      </c>
      <c r="N278">
        <v>0.34482758620689602</v>
      </c>
    </row>
    <row r="279" spans="1:14" x14ac:dyDescent="0.25">
      <c r="A279" t="s">
        <v>34</v>
      </c>
      <c r="D279" t="s">
        <v>42</v>
      </c>
      <c r="E279">
        <v>2016</v>
      </c>
      <c r="F279">
        <v>2</v>
      </c>
      <c r="G279">
        <v>156</v>
      </c>
      <c r="H279">
        <v>4</v>
      </c>
      <c r="I279">
        <v>8</v>
      </c>
      <c r="K279" s="13">
        <v>45939</v>
      </c>
      <c r="L279">
        <v>58</v>
      </c>
      <c r="M279">
        <v>44</v>
      </c>
      <c r="N279">
        <v>0.75862068965517204</v>
      </c>
    </row>
    <row r="280" spans="1:14" x14ac:dyDescent="0.25">
      <c r="A280" t="s">
        <v>34</v>
      </c>
      <c r="D280" t="s">
        <v>42</v>
      </c>
      <c r="E280">
        <v>2016</v>
      </c>
      <c r="F280">
        <v>2</v>
      </c>
      <c r="G280">
        <v>156</v>
      </c>
      <c r="H280">
        <v>4</v>
      </c>
      <c r="I280">
        <v>8</v>
      </c>
      <c r="K280" s="13">
        <v>45943</v>
      </c>
      <c r="L280">
        <v>58</v>
      </c>
    </row>
    <row r="281" spans="1:14" x14ac:dyDescent="0.25">
      <c r="A281" t="s">
        <v>34</v>
      </c>
      <c r="D281" t="s">
        <v>42</v>
      </c>
      <c r="E281">
        <v>2016</v>
      </c>
      <c r="F281">
        <v>2</v>
      </c>
      <c r="G281">
        <v>156</v>
      </c>
      <c r="H281">
        <v>4</v>
      </c>
      <c r="I281">
        <v>8</v>
      </c>
      <c r="K281" s="13">
        <v>45946</v>
      </c>
      <c r="L281">
        <v>58</v>
      </c>
    </row>
    <row r="282" spans="1:14" x14ac:dyDescent="0.25">
      <c r="A282" t="s">
        <v>24</v>
      </c>
      <c r="D282" t="s">
        <v>27</v>
      </c>
      <c r="E282">
        <v>1985</v>
      </c>
      <c r="F282">
        <v>3</v>
      </c>
      <c r="G282">
        <v>157</v>
      </c>
      <c r="H282">
        <v>4</v>
      </c>
      <c r="I282">
        <v>9</v>
      </c>
      <c r="K282" s="13">
        <v>45932</v>
      </c>
      <c r="L282">
        <v>73</v>
      </c>
    </row>
    <row r="283" spans="1:14" x14ac:dyDescent="0.25">
      <c r="A283" t="s">
        <v>24</v>
      </c>
      <c r="D283" t="s">
        <v>27</v>
      </c>
      <c r="E283">
        <v>1985</v>
      </c>
      <c r="F283">
        <v>3</v>
      </c>
      <c r="G283">
        <v>157</v>
      </c>
      <c r="H283">
        <v>4</v>
      </c>
      <c r="I283">
        <v>9</v>
      </c>
      <c r="K283" s="13">
        <v>45936</v>
      </c>
      <c r="L283">
        <v>73</v>
      </c>
    </row>
    <row r="284" spans="1:14" x14ac:dyDescent="0.25">
      <c r="A284" t="s">
        <v>24</v>
      </c>
      <c r="D284" t="s">
        <v>27</v>
      </c>
      <c r="E284">
        <v>1985</v>
      </c>
      <c r="F284">
        <v>3</v>
      </c>
      <c r="G284">
        <v>157</v>
      </c>
      <c r="H284">
        <v>4</v>
      </c>
      <c r="I284">
        <v>9</v>
      </c>
      <c r="K284" s="13">
        <v>45939</v>
      </c>
      <c r="L284">
        <v>73</v>
      </c>
      <c r="M284">
        <v>10</v>
      </c>
      <c r="N284">
        <v>0.13698630136986301</v>
      </c>
    </row>
    <row r="285" spans="1:14" x14ac:dyDescent="0.25">
      <c r="A285" t="s">
        <v>24</v>
      </c>
      <c r="D285" t="s">
        <v>27</v>
      </c>
      <c r="E285">
        <v>1985</v>
      </c>
      <c r="F285">
        <v>3</v>
      </c>
      <c r="G285">
        <v>157</v>
      </c>
      <c r="H285">
        <v>4</v>
      </c>
      <c r="I285">
        <v>9</v>
      </c>
      <c r="K285" s="13">
        <v>45943</v>
      </c>
      <c r="L285">
        <v>73</v>
      </c>
      <c r="M285">
        <v>50</v>
      </c>
      <c r="N285">
        <v>0.68493150684931503</v>
      </c>
    </row>
    <row r="286" spans="1:14" x14ac:dyDescent="0.25">
      <c r="A286" t="s">
        <v>24</v>
      </c>
      <c r="D286" t="s">
        <v>27</v>
      </c>
      <c r="E286">
        <v>1985</v>
      </c>
      <c r="F286">
        <v>3</v>
      </c>
      <c r="G286">
        <v>157</v>
      </c>
      <c r="H286">
        <v>4</v>
      </c>
      <c r="I286">
        <v>9</v>
      </c>
      <c r="K286" s="13">
        <v>45946</v>
      </c>
      <c r="L286">
        <v>73</v>
      </c>
    </row>
    <row r="287" spans="1:14" x14ac:dyDescent="0.25">
      <c r="A287" t="s">
        <v>24</v>
      </c>
      <c r="D287" t="s">
        <v>311</v>
      </c>
      <c r="E287">
        <v>2023</v>
      </c>
      <c r="F287">
        <v>3</v>
      </c>
      <c r="G287">
        <v>158</v>
      </c>
      <c r="H287">
        <v>4</v>
      </c>
      <c r="I287">
        <v>10</v>
      </c>
      <c r="K287" s="13">
        <v>45932</v>
      </c>
      <c r="L287">
        <v>81</v>
      </c>
      <c r="M287">
        <v>3</v>
      </c>
      <c r="N287">
        <v>3.7037037037037E-2</v>
      </c>
    </row>
    <row r="288" spans="1:14" x14ac:dyDescent="0.25">
      <c r="A288" t="s">
        <v>24</v>
      </c>
      <c r="D288" t="s">
        <v>311</v>
      </c>
      <c r="E288">
        <v>2023</v>
      </c>
      <c r="F288">
        <v>3</v>
      </c>
      <c r="G288">
        <v>158</v>
      </c>
      <c r="H288">
        <v>4</v>
      </c>
      <c r="I288">
        <v>10</v>
      </c>
      <c r="K288" s="13">
        <v>45936</v>
      </c>
      <c r="L288">
        <v>81</v>
      </c>
      <c r="M288">
        <v>22</v>
      </c>
      <c r="N288">
        <v>0.27160493827160398</v>
      </c>
    </row>
    <row r="289" spans="1:14" x14ac:dyDescent="0.25">
      <c r="A289" t="s">
        <v>24</v>
      </c>
      <c r="D289" t="s">
        <v>311</v>
      </c>
      <c r="E289">
        <v>2023</v>
      </c>
      <c r="F289">
        <v>3</v>
      </c>
      <c r="G289">
        <v>158</v>
      </c>
      <c r="H289">
        <v>4</v>
      </c>
      <c r="I289">
        <v>10</v>
      </c>
      <c r="K289" s="13">
        <v>45939</v>
      </c>
      <c r="L289">
        <v>81</v>
      </c>
      <c r="M289">
        <v>44</v>
      </c>
      <c r="N289">
        <v>0.54320987654320896</v>
      </c>
    </row>
    <row r="290" spans="1:14" x14ac:dyDescent="0.25">
      <c r="A290" t="s">
        <v>24</v>
      </c>
      <c r="D290" t="s">
        <v>311</v>
      </c>
      <c r="E290">
        <v>2023</v>
      </c>
      <c r="F290">
        <v>3</v>
      </c>
      <c r="G290">
        <v>158</v>
      </c>
      <c r="H290">
        <v>4</v>
      </c>
      <c r="I290">
        <v>10</v>
      </c>
      <c r="K290" s="13">
        <v>45943</v>
      </c>
      <c r="L290">
        <v>81</v>
      </c>
    </row>
    <row r="291" spans="1:14" x14ac:dyDescent="0.25">
      <c r="A291" t="s">
        <v>24</v>
      </c>
      <c r="D291" t="s">
        <v>311</v>
      </c>
      <c r="E291">
        <v>2023</v>
      </c>
      <c r="F291">
        <v>3</v>
      </c>
      <c r="G291">
        <v>158</v>
      </c>
      <c r="H291">
        <v>4</v>
      </c>
      <c r="I291">
        <v>10</v>
      </c>
      <c r="K291" s="13">
        <v>45946</v>
      </c>
      <c r="L291">
        <v>81</v>
      </c>
    </row>
    <row r="292" spans="1:14" x14ac:dyDescent="0.25">
      <c r="A292" t="s">
        <v>34</v>
      </c>
      <c r="D292" t="s">
        <v>41</v>
      </c>
      <c r="E292">
        <v>2008</v>
      </c>
      <c r="F292">
        <v>3</v>
      </c>
      <c r="G292">
        <v>159</v>
      </c>
      <c r="H292">
        <v>4</v>
      </c>
      <c r="I292">
        <v>11</v>
      </c>
      <c r="K292" s="13">
        <v>45932</v>
      </c>
      <c r="L292">
        <v>51</v>
      </c>
    </row>
    <row r="293" spans="1:14" x14ac:dyDescent="0.25">
      <c r="A293" t="s">
        <v>34</v>
      </c>
      <c r="D293" t="s">
        <v>41</v>
      </c>
      <c r="E293">
        <v>2008</v>
      </c>
      <c r="F293">
        <v>3</v>
      </c>
      <c r="G293">
        <v>159</v>
      </c>
      <c r="H293">
        <v>4</v>
      </c>
      <c r="I293">
        <v>11</v>
      </c>
      <c r="K293" s="13">
        <v>45936</v>
      </c>
      <c r="L293">
        <v>51</v>
      </c>
      <c r="M293">
        <v>4</v>
      </c>
      <c r="N293">
        <v>7.8431372549019607E-2</v>
      </c>
    </row>
    <row r="294" spans="1:14" x14ac:dyDescent="0.25">
      <c r="A294" t="s">
        <v>34</v>
      </c>
      <c r="D294" t="s">
        <v>41</v>
      </c>
      <c r="E294">
        <v>2008</v>
      </c>
      <c r="F294">
        <v>3</v>
      </c>
      <c r="G294">
        <v>159</v>
      </c>
      <c r="H294">
        <v>4</v>
      </c>
      <c r="I294">
        <v>11</v>
      </c>
      <c r="K294" s="13">
        <v>45939</v>
      </c>
      <c r="L294">
        <v>51</v>
      </c>
      <c r="M294">
        <v>26</v>
      </c>
      <c r="N294">
        <v>0.50980392156862697</v>
      </c>
    </row>
    <row r="295" spans="1:14" x14ac:dyDescent="0.25">
      <c r="A295" t="s">
        <v>34</v>
      </c>
      <c r="D295" t="s">
        <v>41</v>
      </c>
      <c r="E295">
        <v>2008</v>
      </c>
      <c r="F295">
        <v>3</v>
      </c>
      <c r="G295">
        <v>159</v>
      </c>
      <c r="H295">
        <v>4</v>
      </c>
      <c r="I295">
        <v>11</v>
      </c>
      <c r="K295" s="13">
        <v>45943</v>
      </c>
      <c r="L295">
        <v>51</v>
      </c>
    </row>
    <row r="296" spans="1:14" x14ac:dyDescent="0.25">
      <c r="A296" t="s">
        <v>34</v>
      </c>
      <c r="D296" t="s">
        <v>41</v>
      </c>
      <c r="E296">
        <v>2008</v>
      </c>
      <c r="F296">
        <v>3</v>
      </c>
      <c r="G296">
        <v>159</v>
      </c>
      <c r="H296">
        <v>4</v>
      </c>
      <c r="I296">
        <v>11</v>
      </c>
      <c r="K296" s="13">
        <v>45946</v>
      </c>
      <c r="L296">
        <v>51</v>
      </c>
    </row>
    <row r="297" spans="1:14" x14ac:dyDescent="0.25">
      <c r="A297" t="s">
        <v>34</v>
      </c>
      <c r="D297" t="s">
        <v>37</v>
      </c>
      <c r="E297">
        <v>1989</v>
      </c>
      <c r="F297">
        <v>3</v>
      </c>
      <c r="G297">
        <v>160</v>
      </c>
      <c r="H297">
        <v>4</v>
      </c>
      <c r="I297">
        <v>12</v>
      </c>
      <c r="K297" s="13">
        <v>45932</v>
      </c>
      <c r="L297">
        <v>48</v>
      </c>
    </row>
    <row r="298" spans="1:14" x14ac:dyDescent="0.25">
      <c r="A298" t="s">
        <v>34</v>
      </c>
      <c r="D298" t="s">
        <v>37</v>
      </c>
      <c r="E298">
        <v>1989</v>
      </c>
      <c r="F298">
        <v>3</v>
      </c>
      <c r="G298">
        <v>160</v>
      </c>
      <c r="H298">
        <v>4</v>
      </c>
      <c r="I298">
        <v>12</v>
      </c>
      <c r="K298" s="13">
        <v>45936</v>
      </c>
      <c r="L298">
        <v>48</v>
      </c>
      <c r="M298">
        <v>3</v>
      </c>
      <c r="N298">
        <v>6.25E-2</v>
      </c>
    </row>
    <row r="299" spans="1:14" x14ac:dyDescent="0.25">
      <c r="A299" t="s">
        <v>34</v>
      </c>
      <c r="D299" t="s">
        <v>37</v>
      </c>
      <c r="E299">
        <v>1989</v>
      </c>
      <c r="F299">
        <v>3</v>
      </c>
      <c r="G299">
        <v>160</v>
      </c>
      <c r="H299">
        <v>4</v>
      </c>
      <c r="I299">
        <v>12</v>
      </c>
      <c r="K299" s="13">
        <v>45939</v>
      </c>
      <c r="L299">
        <v>48</v>
      </c>
      <c r="M299">
        <v>24</v>
      </c>
      <c r="N299">
        <v>0.5</v>
      </c>
    </row>
    <row r="300" spans="1:14" x14ac:dyDescent="0.25">
      <c r="A300" t="s">
        <v>34</v>
      </c>
      <c r="D300" t="s">
        <v>37</v>
      </c>
      <c r="E300">
        <v>1989</v>
      </c>
      <c r="F300">
        <v>3</v>
      </c>
      <c r="G300">
        <v>160</v>
      </c>
      <c r="H300">
        <v>4</v>
      </c>
      <c r="I300">
        <v>12</v>
      </c>
      <c r="K300" s="13">
        <v>45943</v>
      </c>
      <c r="L300">
        <v>48</v>
      </c>
    </row>
    <row r="301" spans="1:14" x14ac:dyDescent="0.25">
      <c r="A301" t="s">
        <v>34</v>
      </c>
      <c r="D301" t="s">
        <v>37</v>
      </c>
      <c r="E301">
        <v>1989</v>
      </c>
      <c r="F301">
        <v>3</v>
      </c>
      <c r="G301">
        <v>160</v>
      </c>
      <c r="H301">
        <v>4</v>
      </c>
      <c r="I301">
        <v>12</v>
      </c>
      <c r="K301" s="13">
        <v>45946</v>
      </c>
      <c r="L301">
        <v>48</v>
      </c>
    </row>
    <row r="302" spans="1:14" x14ac:dyDescent="0.25">
      <c r="A302" t="s">
        <v>24</v>
      </c>
      <c r="D302" t="s">
        <v>28</v>
      </c>
      <c r="E302">
        <v>1998</v>
      </c>
      <c r="F302">
        <v>4</v>
      </c>
      <c r="G302">
        <v>161</v>
      </c>
      <c r="H302">
        <v>4</v>
      </c>
      <c r="I302">
        <v>13</v>
      </c>
      <c r="K302" s="13">
        <v>45932</v>
      </c>
      <c r="L302">
        <v>62</v>
      </c>
    </row>
    <row r="303" spans="1:14" x14ac:dyDescent="0.25">
      <c r="A303" t="s">
        <v>24</v>
      </c>
      <c r="D303" t="s">
        <v>28</v>
      </c>
      <c r="E303">
        <v>1998</v>
      </c>
      <c r="F303">
        <v>4</v>
      </c>
      <c r="G303">
        <v>161</v>
      </c>
      <c r="H303">
        <v>4</v>
      </c>
      <c r="I303">
        <v>13</v>
      </c>
      <c r="K303" s="13">
        <v>45936</v>
      </c>
      <c r="L303">
        <v>62</v>
      </c>
      <c r="M303">
        <v>7</v>
      </c>
      <c r="N303">
        <v>0.112903225806451</v>
      </c>
    </row>
    <row r="304" spans="1:14" x14ac:dyDescent="0.25">
      <c r="A304" t="s">
        <v>24</v>
      </c>
      <c r="D304" t="s">
        <v>28</v>
      </c>
      <c r="E304">
        <v>1998</v>
      </c>
      <c r="F304">
        <v>4</v>
      </c>
      <c r="G304">
        <v>161</v>
      </c>
      <c r="H304">
        <v>4</v>
      </c>
      <c r="I304">
        <v>13</v>
      </c>
      <c r="K304" s="13">
        <v>45939</v>
      </c>
      <c r="L304">
        <v>62</v>
      </c>
      <c r="M304">
        <v>31</v>
      </c>
      <c r="N304">
        <v>0.5</v>
      </c>
    </row>
    <row r="305" spans="1:14" x14ac:dyDescent="0.25">
      <c r="A305" t="s">
        <v>24</v>
      </c>
      <c r="D305" t="s">
        <v>28</v>
      </c>
      <c r="E305">
        <v>1998</v>
      </c>
      <c r="F305">
        <v>4</v>
      </c>
      <c r="G305">
        <v>161</v>
      </c>
      <c r="H305">
        <v>4</v>
      </c>
      <c r="I305">
        <v>13</v>
      </c>
      <c r="K305" s="13">
        <v>45943</v>
      </c>
      <c r="L305">
        <v>62</v>
      </c>
    </row>
    <row r="306" spans="1:14" x14ac:dyDescent="0.25">
      <c r="A306" t="s">
        <v>24</v>
      </c>
      <c r="D306" t="s">
        <v>28</v>
      </c>
      <c r="E306">
        <v>1998</v>
      </c>
      <c r="F306">
        <v>4</v>
      </c>
      <c r="G306">
        <v>161</v>
      </c>
      <c r="H306">
        <v>4</v>
      </c>
      <c r="I306">
        <v>13</v>
      </c>
      <c r="K306" s="13">
        <v>45946</v>
      </c>
      <c r="L306">
        <v>62</v>
      </c>
    </row>
    <row r="307" spans="1:14" x14ac:dyDescent="0.25">
      <c r="A307" t="s">
        <v>24</v>
      </c>
      <c r="D307" t="s">
        <v>313</v>
      </c>
      <c r="E307">
        <v>2016</v>
      </c>
      <c r="F307">
        <v>4</v>
      </c>
      <c r="G307">
        <v>162</v>
      </c>
      <c r="H307">
        <v>4</v>
      </c>
      <c r="I307">
        <v>14</v>
      </c>
      <c r="K307" s="13">
        <v>45932</v>
      </c>
      <c r="L307">
        <v>52</v>
      </c>
    </row>
    <row r="308" spans="1:14" x14ac:dyDescent="0.25">
      <c r="A308" t="s">
        <v>24</v>
      </c>
      <c r="D308" t="s">
        <v>313</v>
      </c>
      <c r="E308">
        <v>2016</v>
      </c>
      <c r="F308">
        <v>4</v>
      </c>
      <c r="G308">
        <v>162</v>
      </c>
      <c r="H308">
        <v>4</v>
      </c>
      <c r="I308">
        <v>14</v>
      </c>
      <c r="K308" s="13">
        <v>45936</v>
      </c>
      <c r="L308">
        <v>52</v>
      </c>
    </row>
    <row r="309" spans="1:14" x14ac:dyDescent="0.25">
      <c r="A309" t="s">
        <v>24</v>
      </c>
      <c r="D309" t="s">
        <v>313</v>
      </c>
      <c r="E309">
        <v>2016</v>
      </c>
      <c r="F309">
        <v>4</v>
      </c>
      <c r="G309">
        <v>162</v>
      </c>
      <c r="H309">
        <v>4</v>
      </c>
      <c r="I309">
        <v>14</v>
      </c>
      <c r="K309" s="13">
        <v>45939</v>
      </c>
      <c r="L309">
        <v>52</v>
      </c>
      <c r="M309">
        <v>3</v>
      </c>
      <c r="N309">
        <v>5.7692307692307598E-2</v>
      </c>
    </row>
    <row r="310" spans="1:14" x14ac:dyDescent="0.25">
      <c r="A310" t="s">
        <v>24</v>
      </c>
      <c r="D310" t="s">
        <v>313</v>
      </c>
      <c r="E310">
        <v>2016</v>
      </c>
      <c r="F310">
        <v>4</v>
      </c>
      <c r="G310">
        <v>162</v>
      </c>
      <c r="H310">
        <v>4</v>
      </c>
      <c r="I310">
        <v>14</v>
      </c>
      <c r="K310" s="13">
        <v>45943</v>
      </c>
      <c r="L310">
        <v>52</v>
      </c>
      <c r="M310">
        <v>10</v>
      </c>
      <c r="N310">
        <v>0.19230769230769201</v>
      </c>
    </row>
    <row r="311" spans="1:14" x14ac:dyDescent="0.25">
      <c r="A311" t="s">
        <v>24</v>
      </c>
      <c r="D311" t="s">
        <v>313</v>
      </c>
      <c r="E311">
        <v>2016</v>
      </c>
      <c r="F311">
        <v>4</v>
      </c>
      <c r="G311">
        <v>162</v>
      </c>
      <c r="H311">
        <v>4</v>
      </c>
      <c r="I311">
        <v>14</v>
      </c>
      <c r="K311" s="13">
        <v>45946</v>
      </c>
      <c r="L311">
        <v>52</v>
      </c>
      <c r="M311">
        <v>26</v>
      </c>
      <c r="N311">
        <v>0.5</v>
      </c>
    </row>
    <row r="312" spans="1:14" x14ac:dyDescent="0.25">
      <c r="A312" t="s">
        <v>34</v>
      </c>
      <c r="D312" t="s">
        <v>318</v>
      </c>
      <c r="E312">
        <v>2004</v>
      </c>
      <c r="F312">
        <v>4</v>
      </c>
      <c r="G312">
        <v>163</v>
      </c>
      <c r="H312">
        <v>4</v>
      </c>
      <c r="I312">
        <v>15</v>
      </c>
      <c r="K312" s="13">
        <v>45932</v>
      </c>
      <c r="L312">
        <v>55</v>
      </c>
    </row>
    <row r="313" spans="1:14" x14ac:dyDescent="0.25">
      <c r="A313" t="s">
        <v>34</v>
      </c>
      <c r="D313" t="s">
        <v>318</v>
      </c>
      <c r="E313">
        <v>2004</v>
      </c>
      <c r="F313">
        <v>4</v>
      </c>
      <c r="G313">
        <v>163</v>
      </c>
      <c r="H313">
        <v>4</v>
      </c>
      <c r="I313">
        <v>15</v>
      </c>
      <c r="K313" s="13">
        <v>45936</v>
      </c>
      <c r="L313">
        <v>55</v>
      </c>
      <c r="M313">
        <v>5</v>
      </c>
      <c r="N313">
        <v>9.0909090909090898E-2</v>
      </c>
    </row>
    <row r="314" spans="1:14" x14ac:dyDescent="0.25">
      <c r="A314" t="s">
        <v>34</v>
      </c>
      <c r="D314" t="s">
        <v>318</v>
      </c>
      <c r="E314">
        <v>2004</v>
      </c>
      <c r="F314">
        <v>4</v>
      </c>
      <c r="G314">
        <v>163</v>
      </c>
      <c r="H314">
        <v>4</v>
      </c>
      <c r="I314">
        <v>15</v>
      </c>
      <c r="K314" s="13">
        <v>45939</v>
      </c>
      <c r="L314">
        <v>55</v>
      </c>
      <c r="M314">
        <v>25</v>
      </c>
      <c r="N314">
        <v>0.45454545454545398</v>
      </c>
    </row>
    <row r="315" spans="1:14" x14ac:dyDescent="0.25">
      <c r="A315" t="s">
        <v>34</v>
      </c>
      <c r="D315" t="s">
        <v>318</v>
      </c>
      <c r="E315">
        <v>2004</v>
      </c>
      <c r="F315">
        <v>4</v>
      </c>
      <c r="G315">
        <v>163</v>
      </c>
      <c r="H315">
        <v>4</v>
      </c>
      <c r="I315">
        <v>15</v>
      </c>
      <c r="K315" s="13">
        <v>45943</v>
      </c>
      <c r="L315">
        <v>55</v>
      </c>
      <c r="M315">
        <v>42</v>
      </c>
      <c r="N315">
        <v>0.763636363636363</v>
      </c>
    </row>
    <row r="316" spans="1:14" x14ac:dyDescent="0.25">
      <c r="A316" t="s">
        <v>34</v>
      </c>
      <c r="D316" t="s">
        <v>318</v>
      </c>
      <c r="E316">
        <v>2004</v>
      </c>
      <c r="F316">
        <v>4</v>
      </c>
      <c r="G316">
        <v>163</v>
      </c>
      <c r="H316">
        <v>4</v>
      </c>
      <c r="I316">
        <v>15</v>
      </c>
      <c r="K316" s="13">
        <v>45946</v>
      </c>
      <c r="L316">
        <v>55</v>
      </c>
    </row>
    <row r="317" spans="1:14" x14ac:dyDescent="0.25">
      <c r="A317" t="s">
        <v>34</v>
      </c>
      <c r="D317" t="s">
        <v>39</v>
      </c>
      <c r="E317">
        <v>2001</v>
      </c>
      <c r="F317">
        <v>4</v>
      </c>
      <c r="G317">
        <v>164</v>
      </c>
      <c r="H317">
        <v>4</v>
      </c>
      <c r="I317">
        <v>16</v>
      </c>
      <c r="K317" s="13">
        <v>45932</v>
      </c>
      <c r="L317">
        <v>94</v>
      </c>
    </row>
    <row r="318" spans="1:14" x14ac:dyDescent="0.25">
      <c r="A318" t="s">
        <v>34</v>
      </c>
      <c r="D318" t="s">
        <v>39</v>
      </c>
      <c r="E318">
        <v>2001</v>
      </c>
      <c r="F318">
        <v>4</v>
      </c>
      <c r="G318">
        <v>164</v>
      </c>
      <c r="H318">
        <v>4</v>
      </c>
      <c r="I318">
        <v>16</v>
      </c>
      <c r="K318" s="13">
        <v>45936</v>
      </c>
      <c r="L318">
        <v>94</v>
      </c>
      <c r="M318">
        <v>12</v>
      </c>
      <c r="N318">
        <v>0.12765957446808501</v>
      </c>
    </row>
    <row r="319" spans="1:14" x14ac:dyDescent="0.25">
      <c r="A319" t="s">
        <v>34</v>
      </c>
      <c r="D319" t="s">
        <v>39</v>
      </c>
      <c r="E319">
        <v>2001</v>
      </c>
      <c r="F319">
        <v>4</v>
      </c>
      <c r="G319">
        <v>164</v>
      </c>
      <c r="H319">
        <v>4</v>
      </c>
      <c r="I319">
        <v>16</v>
      </c>
      <c r="K319" s="13">
        <v>45939</v>
      </c>
      <c r="L319">
        <v>94</v>
      </c>
      <c r="M319">
        <v>35</v>
      </c>
      <c r="N319">
        <v>0.37234042553191399</v>
      </c>
    </row>
    <row r="320" spans="1:14" x14ac:dyDescent="0.25">
      <c r="A320" t="s">
        <v>34</v>
      </c>
      <c r="D320" t="s">
        <v>39</v>
      </c>
      <c r="E320">
        <v>2001</v>
      </c>
      <c r="F320">
        <v>4</v>
      </c>
      <c r="G320">
        <v>164</v>
      </c>
      <c r="H320">
        <v>4</v>
      </c>
      <c r="I320">
        <v>16</v>
      </c>
      <c r="K320" s="13">
        <v>45943</v>
      </c>
      <c r="L320">
        <v>94</v>
      </c>
      <c r="M320">
        <v>69</v>
      </c>
      <c r="N320">
        <v>0.73404255319148903</v>
      </c>
    </row>
    <row r="321" spans="1:12" x14ac:dyDescent="0.25">
      <c r="A321" t="s">
        <v>34</v>
      </c>
      <c r="D321" t="s">
        <v>39</v>
      </c>
      <c r="E321">
        <v>2001</v>
      </c>
      <c r="F321">
        <v>4</v>
      </c>
      <c r="G321">
        <v>164</v>
      </c>
      <c r="H321">
        <v>4</v>
      </c>
      <c r="I321">
        <v>16</v>
      </c>
      <c r="K321" s="13">
        <v>45946</v>
      </c>
      <c r="L321">
        <v>94</v>
      </c>
    </row>
  </sheetData>
  <pageMargins left="0.7" right="0.7" top="0.75" bottom="0.75" header="0.3" footer="0.3"/>
  <pageSetup paperSize="9" orientation="portrait" horizontalDpi="360" verticalDpi="360"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7938-F2B0-4A80-BF12-C20ABA15568A}">
  <sheetPr>
    <tabColor theme="9" tint="0.59999389629810485"/>
  </sheetPr>
  <dimension ref="A1:CM474"/>
  <sheetViews>
    <sheetView workbookViewId="0">
      <selection activeCell="M23" sqref="M23"/>
    </sheetView>
  </sheetViews>
  <sheetFormatPr defaultRowHeight="15" x14ac:dyDescent="0.25"/>
  <cols>
    <col min="4" max="4" width="14.7109375" bestFit="1" customWidth="1"/>
    <col min="5" max="6" width="9.140625" style="6"/>
    <col min="7" max="11" width="9.140625" style="6" customWidth="1"/>
    <col min="12" max="12" width="10.5703125" style="5" customWidth="1"/>
    <col min="13" max="13" width="9.140625" style="5" customWidth="1"/>
    <col min="14" max="17" width="9.140625" style="43" customWidth="1"/>
    <col min="18" max="21" width="9.140625" style="91" customWidth="1"/>
    <col min="22" max="45" width="9.140625" style="5" customWidth="1"/>
    <col min="46" max="46" width="9.140625" style="25" customWidth="1"/>
    <col min="47" max="48" width="9.140625" style="5" customWidth="1"/>
    <col min="49" max="50" width="11.42578125" style="25" customWidth="1"/>
    <col min="51" max="51" width="9.5703125" style="25" customWidth="1"/>
    <col min="52" max="57" width="9.140625" style="25" customWidth="1"/>
    <col min="58" max="58" width="10.5703125" style="25" customWidth="1"/>
    <col min="59" max="59" width="9.5703125" style="25" customWidth="1"/>
    <col min="60" max="60" width="9.5703125" style="24" customWidth="1"/>
    <col min="61" max="61" width="10.42578125" style="24" customWidth="1"/>
    <col min="62" max="62" width="9.5703125" style="24" customWidth="1"/>
    <col min="63" max="63" width="9.5703125" style="39" customWidth="1"/>
    <col min="64" max="65" width="9.140625" style="24" customWidth="1"/>
    <col min="66" max="66" width="14.5703125" style="24" customWidth="1"/>
    <col min="67" max="70" width="9.140625" style="24" customWidth="1"/>
    <col min="71" max="71" width="10.5703125" style="24" customWidth="1"/>
    <col min="72" max="76" width="9.140625" style="12" customWidth="1"/>
    <col min="77" max="77" width="9.140625" style="8" customWidth="1"/>
    <col min="78" max="78" width="9.140625" style="119" customWidth="1"/>
    <col min="79" max="79" width="9.140625" style="33"/>
    <col min="80" max="91" width="9.140625" style="36"/>
  </cols>
  <sheetData>
    <row r="1" spans="1:91" ht="96" customHeight="1" x14ac:dyDescent="0.25">
      <c r="A1" s="53" t="s">
        <v>44</v>
      </c>
      <c r="B1" s="53" t="s">
        <v>45</v>
      </c>
      <c r="C1" s="53" t="s">
        <v>46</v>
      </c>
      <c r="D1" s="53" t="s">
        <v>47</v>
      </c>
      <c r="E1" s="53" t="s">
        <v>48</v>
      </c>
      <c r="F1" s="53" t="s">
        <v>49</v>
      </c>
      <c r="G1" s="53" t="s">
        <v>50</v>
      </c>
      <c r="H1" s="53" t="s">
        <v>51</v>
      </c>
      <c r="I1" s="4" t="s">
        <v>53</v>
      </c>
      <c r="J1" s="4" t="s">
        <v>52</v>
      </c>
      <c r="K1" s="53" t="s">
        <v>54</v>
      </c>
      <c r="L1" s="4" t="s">
        <v>151</v>
      </c>
      <c r="M1" s="4" t="s">
        <v>178</v>
      </c>
      <c r="N1" s="42" t="s">
        <v>179</v>
      </c>
      <c r="O1" s="42" t="s">
        <v>180</v>
      </c>
      <c r="P1" s="42" t="s">
        <v>181</v>
      </c>
      <c r="Q1" s="42" t="s">
        <v>182</v>
      </c>
      <c r="R1" s="89" t="s">
        <v>183</v>
      </c>
      <c r="S1" s="89" t="s">
        <v>184</v>
      </c>
      <c r="T1" s="89" t="s">
        <v>185</v>
      </c>
      <c r="U1" s="89" t="s">
        <v>186</v>
      </c>
      <c r="V1" s="4" t="s">
        <v>187</v>
      </c>
      <c r="W1" s="4" t="s">
        <v>188</v>
      </c>
      <c r="X1" s="4" t="s">
        <v>189</v>
      </c>
      <c r="Y1" s="4" t="s">
        <v>190</v>
      </c>
      <c r="Z1" s="4" t="s">
        <v>191</v>
      </c>
      <c r="AA1" s="4" t="s">
        <v>192</v>
      </c>
      <c r="AB1" s="4" t="s">
        <v>193</v>
      </c>
      <c r="AC1" s="4" t="s">
        <v>194</v>
      </c>
      <c r="AD1" s="4" t="s">
        <v>195</v>
      </c>
      <c r="AE1" s="4" t="s">
        <v>196</v>
      </c>
      <c r="AF1" s="4" t="s">
        <v>197</v>
      </c>
      <c r="AG1" s="4" t="s">
        <v>198</v>
      </c>
      <c r="AH1" s="4" t="s">
        <v>199</v>
      </c>
      <c r="AI1" s="4" t="s">
        <v>200</v>
      </c>
      <c r="AJ1" s="4" t="s">
        <v>201</v>
      </c>
      <c r="AK1" s="4" t="s">
        <v>202</v>
      </c>
      <c r="AL1" s="4" t="s">
        <v>203</v>
      </c>
      <c r="AM1" s="4" t="s">
        <v>204</v>
      </c>
      <c r="AN1" s="4" t="s">
        <v>205</v>
      </c>
      <c r="AO1" s="4" t="s">
        <v>206</v>
      </c>
      <c r="AP1" s="4" t="s">
        <v>158</v>
      </c>
      <c r="AQ1" s="4" t="s">
        <v>207</v>
      </c>
      <c r="AR1" s="4" t="s">
        <v>208</v>
      </c>
      <c r="AS1" s="4" t="s">
        <v>209</v>
      </c>
      <c r="AT1" s="4" t="s">
        <v>210</v>
      </c>
      <c r="AU1" s="4" t="s">
        <v>211</v>
      </c>
      <c r="AV1" s="4" t="s">
        <v>555</v>
      </c>
      <c r="AW1" s="4" t="s">
        <v>212</v>
      </c>
      <c r="AX1" s="4" t="s">
        <v>213</v>
      </c>
      <c r="AY1" s="4" t="s">
        <v>214</v>
      </c>
      <c r="AZ1" s="4" t="s">
        <v>215</v>
      </c>
      <c r="BA1" s="4" t="s">
        <v>216</v>
      </c>
      <c r="BB1" s="4" t="s">
        <v>217</v>
      </c>
      <c r="BC1" s="4" t="s">
        <v>218</v>
      </c>
      <c r="BD1" s="4" t="s">
        <v>240</v>
      </c>
      <c r="BE1" s="4" t="s">
        <v>241</v>
      </c>
      <c r="BF1" s="4" t="s">
        <v>219</v>
      </c>
      <c r="BG1" s="4" t="s">
        <v>220</v>
      </c>
      <c r="BH1" s="4" t="s">
        <v>221</v>
      </c>
      <c r="BI1" s="23" t="s">
        <v>222</v>
      </c>
      <c r="BJ1" s="4" t="s">
        <v>223</v>
      </c>
      <c r="BK1" s="10" t="s">
        <v>242</v>
      </c>
      <c r="BL1" s="23" t="s">
        <v>225</v>
      </c>
      <c r="BM1" s="23" t="s">
        <v>226</v>
      </c>
      <c r="BN1" s="23" t="s">
        <v>227</v>
      </c>
      <c r="BO1" s="23" t="s">
        <v>228</v>
      </c>
      <c r="BP1" s="23" t="s">
        <v>229</v>
      </c>
      <c r="BQ1" s="23" t="s">
        <v>230</v>
      </c>
      <c r="BR1" s="23" t="s">
        <v>231</v>
      </c>
      <c r="BS1" s="23" t="s">
        <v>232</v>
      </c>
      <c r="BT1" s="53" t="s">
        <v>233</v>
      </c>
      <c r="BU1" s="53" t="s">
        <v>234</v>
      </c>
      <c r="BV1" s="53" t="s">
        <v>235</v>
      </c>
      <c r="BW1" s="53" t="s">
        <v>236</v>
      </c>
      <c r="BX1" s="53" t="s">
        <v>237</v>
      </c>
      <c r="BY1" s="10" t="s">
        <v>583</v>
      </c>
      <c r="BZ1" s="10" t="s">
        <v>593</v>
      </c>
      <c r="CA1" s="23" t="s">
        <v>719</v>
      </c>
      <c r="CB1" s="23" t="s">
        <v>720</v>
      </c>
      <c r="CC1" s="23" t="s">
        <v>721</v>
      </c>
      <c r="CD1" s="23" t="s">
        <v>722</v>
      </c>
      <c r="CE1" s="23" t="s">
        <v>718</v>
      </c>
      <c r="CF1" s="23" t="s">
        <v>723</v>
      </c>
      <c r="CG1" s="23" t="s">
        <v>724</v>
      </c>
      <c r="CH1" s="23" t="s">
        <v>725</v>
      </c>
      <c r="CI1" s="23" t="s">
        <v>726</v>
      </c>
      <c r="CJ1" s="23" t="s">
        <v>727</v>
      </c>
      <c r="CK1" s="23" t="s">
        <v>728</v>
      </c>
      <c r="CL1" s="23" t="s">
        <v>729</v>
      </c>
      <c r="CM1" s="23"/>
    </row>
    <row r="2" spans="1:91" x14ac:dyDescent="0.25">
      <c r="A2" t="s">
        <v>24</v>
      </c>
      <c r="D2" t="s">
        <v>28</v>
      </c>
      <c r="E2" s="61">
        <v>1998</v>
      </c>
      <c r="F2" s="61">
        <v>1</v>
      </c>
      <c r="G2" s="61">
        <v>1</v>
      </c>
      <c r="H2" s="61">
        <v>1</v>
      </c>
      <c r="I2" s="61"/>
      <c r="J2" s="61"/>
      <c r="K2" s="61"/>
      <c r="R2" s="91">
        <v>0.99777821057225069</v>
      </c>
      <c r="S2" s="91">
        <v>0.99372115682796991</v>
      </c>
      <c r="T2" s="91">
        <v>0.9849344184122093</v>
      </c>
      <c r="U2" s="91">
        <v>0.79203317724600097</v>
      </c>
      <c r="AP2" s="5">
        <v>91</v>
      </c>
      <c r="AQ2" s="5">
        <v>0.5</v>
      </c>
      <c r="AR2" s="5">
        <v>3366</v>
      </c>
      <c r="AS2" s="5">
        <f t="shared" ref="AS2:AS33" si="0">AR2/AQ2</f>
        <v>6732</v>
      </c>
      <c r="AT2" s="25">
        <v>205.67</v>
      </c>
      <c r="AU2" s="5">
        <v>30</v>
      </c>
      <c r="AV2" s="24">
        <f t="shared" ref="AV2:AV33" si="1">AT2/AU2</f>
        <v>6.8556666666666661</v>
      </c>
      <c r="AZ2" s="25">
        <v>7.08</v>
      </c>
      <c r="BA2" s="25">
        <v>5.75</v>
      </c>
      <c r="BB2" s="25">
        <v>13.21</v>
      </c>
      <c r="BC2" s="25">
        <v>3.58</v>
      </c>
      <c r="BE2" s="25">
        <f t="shared" ref="BE2:BE33" si="2">SUM(AZ2:BC2)</f>
        <v>29.619999999999997</v>
      </c>
      <c r="BF2" s="25">
        <f t="shared" ref="BF2:BF33" si="3">BE2</f>
        <v>29.619999999999997</v>
      </c>
      <c r="BG2" s="25">
        <f t="shared" ref="BG2:BG33" si="4">BF2/20</f>
        <v>1.4809999999999999</v>
      </c>
      <c r="BH2" s="24">
        <f t="shared" ref="BH2:BH33" si="5">AT2/AU2</f>
        <v>6.8556666666666661</v>
      </c>
      <c r="BI2" s="24">
        <f t="shared" ref="BI2:BI33" si="6">BG2/BH2</f>
        <v>0.21602567219331939</v>
      </c>
      <c r="BJ2" s="24">
        <f t="shared" ref="BJ2:BJ33" si="7">AR2*BI2</f>
        <v>727.14241260271308</v>
      </c>
      <c r="BK2" s="39">
        <f t="shared" ref="BK2:BK33" si="8">BJ2/AQ2</f>
        <v>1454.2848252054262</v>
      </c>
      <c r="BL2" s="24">
        <f t="shared" ref="BL2:BL33" si="9">AZ2/BE2</f>
        <v>0.23902768399729915</v>
      </c>
      <c r="BM2" s="24">
        <f t="shared" ref="BM2:BM33" si="10">BA2/BE2</f>
        <v>0.19412559081701555</v>
      </c>
      <c r="BN2" s="24">
        <f t="shared" ref="BN2:BN33" si="11" xml:space="preserve"> BB2/BE2</f>
        <v>0.44598244429439576</v>
      </c>
      <c r="BO2" s="24">
        <f t="shared" ref="BO2:BO33" si="12" xml:space="preserve">                                                           BC2/BE2</f>
        <v>0.12086428089128969</v>
      </c>
      <c r="BP2" s="24">
        <f t="shared" ref="BP2:BP33" si="13">BK2*BL2</f>
        <v>347.61433364127004</v>
      </c>
      <c r="BQ2" s="24">
        <f t="shared" ref="BQ2:BQ33" si="14">BK2*BM2</f>
        <v>282.31390090922355</v>
      </c>
      <c r="BR2" s="24">
        <f t="shared" ref="BR2:BR33" si="15">BK2*BN2</f>
        <v>648.58550104536403</v>
      </c>
      <c r="BS2" s="24">
        <f t="shared" ref="BS2:BS33" si="16">BK2*BO2</f>
        <v>175.77108960956875</v>
      </c>
      <c r="BT2" s="12">
        <v>8</v>
      </c>
      <c r="BU2" s="12">
        <v>14.274999999999999</v>
      </c>
      <c r="BV2" s="12">
        <v>38.549999999999997</v>
      </c>
      <c r="BW2" s="12">
        <v>45.55</v>
      </c>
      <c r="BX2" s="12">
        <v>45.55</v>
      </c>
      <c r="BZ2" s="119">
        <v>685.71428571428567</v>
      </c>
      <c r="CA2" s="33">
        <v>-26.01</v>
      </c>
      <c r="CB2" s="36">
        <v>2.5670000000000002</v>
      </c>
      <c r="CC2" s="36">
        <v>9.01</v>
      </c>
      <c r="CD2" s="36">
        <v>-25.75</v>
      </c>
      <c r="CE2" s="36">
        <v>2.6501000000000001</v>
      </c>
      <c r="CF2" s="36">
        <v>5.81</v>
      </c>
      <c r="CG2" s="36">
        <v>-25.99</v>
      </c>
      <c r="CH2" s="36">
        <v>1.7359</v>
      </c>
      <c r="CI2" s="36">
        <v>8.82</v>
      </c>
      <c r="CJ2" s="36">
        <v>-25.23</v>
      </c>
      <c r="CK2" s="36">
        <v>2.2147999999999999</v>
      </c>
      <c r="CL2" s="36">
        <v>13.38</v>
      </c>
    </row>
    <row r="3" spans="1:91" x14ac:dyDescent="0.25">
      <c r="A3" t="s">
        <v>24</v>
      </c>
      <c r="D3" t="s">
        <v>312</v>
      </c>
      <c r="E3" s="61">
        <v>2002</v>
      </c>
      <c r="F3" s="61">
        <v>1</v>
      </c>
      <c r="G3" s="61">
        <v>1</v>
      </c>
      <c r="H3" s="61">
        <v>2</v>
      </c>
      <c r="I3" s="61"/>
      <c r="J3" s="61"/>
      <c r="K3" s="61"/>
      <c r="R3" s="91">
        <v>0.99522121429099464</v>
      </c>
      <c r="S3" s="91">
        <v>0.99323858881284688</v>
      </c>
      <c r="T3" s="91">
        <v>0.96171190317601873</v>
      </c>
      <c r="U3" s="91">
        <v>0.75964603206188153</v>
      </c>
      <c r="AP3" s="5">
        <v>86</v>
      </c>
      <c r="AQ3" s="5">
        <v>0.5</v>
      </c>
      <c r="AR3" s="5">
        <v>3158</v>
      </c>
      <c r="AS3" s="5">
        <f t="shared" si="0"/>
        <v>6316</v>
      </c>
      <c r="AT3" s="25">
        <v>181.91</v>
      </c>
      <c r="AU3" s="5">
        <v>30</v>
      </c>
      <c r="AV3" s="24">
        <f t="shared" si="1"/>
        <v>6.0636666666666663</v>
      </c>
      <c r="AZ3" s="25">
        <v>8.24</v>
      </c>
      <c r="BA3" s="25">
        <v>15.18</v>
      </c>
      <c r="BB3" s="25">
        <v>14.71</v>
      </c>
      <c r="BC3" s="25">
        <v>4.6900000000000004</v>
      </c>
      <c r="BE3" s="25">
        <f t="shared" si="2"/>
        <v>42.82</v>
      </c>
      <c r="BF3" s="25">
        <f t="shared" si="3"/>
        <v>42.82</v>
      </c>
      <c r="BG3" s="25">
        <f t="shared" si="4"/>
        <v>2.141</v>
      </c>
      <c r="BH3" s="24">
        <f t="shared" si="5"/>
        <v>6.0636666666666663</v>
      </c>
      <c r="BI3" s="24">
        <f t="shared" si="6"/>
        <v>0.35308669122093345</v>
      </c>
      <c r="BJ3" s="24">
        <f t="shared" si="7"/>
        <v>1115.0477708757078</v>
      </c>
      <c r="BK3" s="39">
        <f t="shared" si="8"/>
        <v>2230.0955417514156</v>
      </c>
      <c r="BL3" s="24">
        <f t="shared" si="9"/>
        <v>0.19243344231667445</v>
      </c>
      <c r="BM3" s="24">
        <f t="shared" si="10"/>
        <v>0.35450723960765995</v>
      </c>
      <c r="BN3" s="24">
        <f t="shared" si="11"/>
        <v>0.34353106025221863</v>
      </c>
      <c r="BO3" s="24">
        <f t="shared" si="12"/>
        <v>0.109528257823447</v>
      </c>
      <c r="BP3" s="24">
        <f t="shared" si="13"/>
        <v>429.14496179429386</v>
      </c>
      <c r="BQ3" s="24">
        <f t="shared" si="14"/>
        <v>790.58501456764327</v>
      </c>
      <c r="BR3" s="24">
        <f t="shared" si="15"/>
        <v>766.10708592160972</v>
      </c>
      <c r="BS3" s="24">
        <f t="shared" si="16"/>
        <v>244.25847946786874</v>
      </c>
      <c r="BT3" s="12">
        <v>7.4</v>
      </c>
      <c r="BU3" s="12">
        <v>4.55</v>
      </c>
      <c r="BV3" s="12">
        <v>36</v>
      </c>
      <c r="BW3" s="12">
        <v>52.174999999999997</v>
      </c>
      <c r="BX3" s="12">
        <v>52.174999999999997</v>
      </c>
      <c r="BZ3" s="119">
        <v>450</v>
      </c>
      <c r="CA3" s="33">
        <v>-25.39</v>
      </c>
      <c r="CB3" s="36">
        <v>3.0813999999999999</v>
      </c>
      <c r="CC3" s="36">
        <v>5.22</v>
      </c>
      <c r="CD3" s="36">
        <v>-25.53</v>
      </c>
      <c r="CE3" s="36">
        <v>2.6166999999999998</v>
      </c>
      <c r="CF3" s="36">
        <v>6.27</v>
      </c>
      <c r="CG3" s="36">
        <v>-25.68</v>
      </c>
      <c r="CH3" s="36">
        <v>1.9939</v>
      </c>
      <c r="CI3" s="36">
        <v>10.54</v>
      </c>
      <c r="CJ3" s="36">
        <v>-24.86</v>
      </c>
      <c r="CK3" s="36">
        <v>2.3010999999999999</v>
      </c>
      <c r="CL3" s="36">
        <v>14.35</v>
      </c>
    </row>
    <row r="4" spans="1:91" x14ac:dyDescent="0.25">
      <c r="A4" t="s">
        <v>34</v>
      </c>
      <c r="D4" t="s">
        <v>39</v>
      </c>
      <c r="E4" s="61">
        <v>2001</v>
      </c>
      <c r="F4" s="61">
        <v>1</v>
      </c>
      <c r="G4" s="61">
        <v>1</v>
      </c>
      <c r="H4" s="61">
        <v>3</v>
      </c>
      <c r="I4" s="61"/>
      <c r="J4" s="61"/>
      <c r="K4" s="61"/>
      <c r="R4" s="91">
        <v>0.96911726333214609</v>
      </c>
      <c r="S4" s="91">
        <v>0.93894726122032468</v>
      </c>
      <c r="T4" s="91">
        <v>0.86687561449241957</v>
      </c>
      <c r="U4" s="91">
        <v>0.66158043410750678</v>
      </c>
      <c r="AP4" s="5">
        <v>78</v>
      </c>
      <c r="AQ4" s="5">
        <v>0.5</v>
      </c>
      <c r="AR4" s="5">
        <v>2550</v>
      </c>
      <c r="AS4" s="5">
        <f t="shared" si="0"/>
        <v>5100</v>
      </c>
      <c r="AT4" s="25">
        <v>133.93</v>
      </c>
      <c r="AU4" s="5">
        <v>30</v>
      </c>
      <c r="AV4" s="24">
        <f t="shared" si="1"/>
        <v>4.4643333333333333</v>
      </c>
      <c r="AZ4" s="25">
        <v>6.63</v>
      </c>
      <c r="BA4" s="25">
        <v>1.79</v>
      </c>
      <c r="BB4" s="25">
        <v>16.75</v>
      </c>
      <c r="BC4" s="25">
        <v>8.06</v>
      </c>
      <c r="BE4" s="25">
        <f t="shared" si="2"/>
        <v>33.230000000000004</v>
      </c>
      <c r="BF4" s="25">
        <f t="shared" si="3"/>
        <v>33.230000000000004</v>
      </c>
      <c r="BG4" s="25">
        <f t="shared" si="4"/>
        <v>1.6615000000000002</v>
      </c>
      <c r="BH4" s="24">
        <f t="shared" si="5"/>
        <v>4.4643333333333333</v>
      </c>
      <c r="BI4" s="24">
        <f t="shared" si="6"/>
        <v>0.3721720301650116</v>
      </c>
      <c r="BJ4" s="24">
        <f t="shared" si="7"/>
        <v>949.03867692077961</v>
      </c>
      <c r="BK4" s="39">
        <f t="shared" si="8"/>
        <v>1898.0773538415592</v>
      </c>
      <c r="BL4" s="24">
        <f t="shared" si="9"/>
        <v>0.19951850737285581</v>
      </c>
      <c r="BM4" s="24">
        <f t="shared" si="10"/>
        <v>5.3866987661751423E-2</v>
      </c>
      <c r="BN4" s="24">
        <f t="shared" si="11"/>
        <v>0.50406259404152864</v>
      </c>
      <c r="BO4" s="24">
        <f t="shared" si="12"/>
        <v>0.24255191092386397</v>
      </c>
      <c r="BP4" s="24">
        <f t="shared" si="13"/>
        <v>378.70156051668778</v>
      </c>
      <c r="BQ4" s="24">
        <f t="shared" si="14"/>
        <v>102.24370940043306</v>
      </c>
      <c r="BR4" s="24">
        <f t="shared" si="15"/>
        <v>956.74979466885679</v>
      </c>
      <c r="BS4" s="24">
        <f t="shared" si="16"/>
        <v>460.38228925558133</v>
      </c>
      <c r="BT4" s="12">
        <v>6.2249999999999996</v>
      </c>
      <c r="BU4" s="12">
        <v>6.1</v>
      </c>
      <c r="BV4" s="12">
        <v>50.300000000000004</v>
      </c>
      <c r="BW4" s="12">
        <v>48.024999999999999</v>
      </c>
      <c r="BX4" s="12">
        <v>48.024999999999999</v>
      </c>
      <c r="BZ4" s="119">
        <v>695.6521739130435</v>
      </c>
      <c r="CA4" s="33">
        <v>-25.65</v>
      </c>
      <c r="CB4" s="36">
        <v>3.1446000000000001</v>
      </c>
      <c r="CC4" s="36">
        <v>3.86</v>
      </c>
      <c r="CD4" s="36">
        <v>-25.34</v>
      </c>
      <c r="CE4" s="36">
        <v>2.7492000000000001</v>
      </c>
      <c r="CF4" s="36">
        <v>1.23</v>
      </c>
      <c r="CG4" s="36">
        <v>-25.65</v>
      </c>
      <c r="CH4" s="36">
        <v>1.4247000000000001</v>
      </c>
      <c r="CI4" s="36">
        <v>9.76</v>
      </c>
      <c r="CJ4" s="36">
        <v>-24.9</v>
      </c>
      <c r="CK4" s="36">
        <v>1.9831000000000001</v>
      </c>
      <c r="CL4" s="36">
        <v>14.33</v>
      </c>
    </row>
    <row r="5" spans="1:91" x14ac:dyDescent="0.25">
      <c r="A5" t="s">
        <v>34</v>
      </c>
      <c r="D5" t="s">
        <v>37</v>
      </c>
      <c r="E5" s="6">
        <v>1989</v>
      </c>
      <c r="F5" s="6">
        <v>1</v>
      </c>
      <c r="G5" s="6">
        <v>1</v>
      </c>
      <c r="H5" s="6">
        <v>4</v>
      </c>
      <c r="R5" s="91">
        <v>0.98927378398137744</v>
      </c>
      <c r="S5" s="91">
        <v>0.98001803934426801</v>
      </c>
      <c r="T5" s="91">
        <v>0.95502839214767132</v>
      </c>
      <c r="U5" s="91">
        <v>0.80899448346902514</v>
      </c>
      <c r="AP5" s="5">
        <v>91</v>
      </c>
      <c r="AQ5" s="5">
        <v>0.5</v>
      </c>
      <c r="AR5" s="5">
        <v>2952</v>
      </c>
      <c r="AS5" s="5">
        <f t="shared" si="0"/>
        <v>5904</v>
      </c>
      <c r="AT5" s="25">
        <v>260.77</v>
      </c>
      <c r="AU5" s="5">
        <v>30</v>
      </c>
      <c r="AV5" s="24">
        <f t="shared" si="1"/>
        <v>8.6923333333333321</v>
      </c>
      <c r="AZ5" s="25">
        <v>9.32</v>
      </c>
      <c r="BA5" s="25">
        <v>0.56999999999999995</v>
      </c>
      <c r="BB5" s="25">
        <v>21.6</v>
      </c>
      <c r="BC5" s="25">
        <v>7.67</v>
      </c>
      <c r="BE5" s="25">
        <f t="shared" si="2"/>
        <v>39.160000000000004</v>
      </c>
      <c r="BF5" s="25">
        <f t="shared" si="3"/>
        <v>39.160000000000004</v>
      </c>
      <c r="BG5" s="25">
        <f t="shared" si="4"/>
        <v>1.9580000000000002</v>
      </c>
      <c r="BH5" s="24">
        <f t="shared" si="5"/>
        <v>8.6923333333333321</v>
      </c>
      <c r="BI5" s="24">
        <f t="shared" si="6"/>
        <v>0.22525597269624578</v>
      </c>
      <c r="BJ5" s="24">
        <f t="shared" si="7"/>
        <v>664.95563139931755</v>
      </c>
      <c r="BK5" s="39">
        <f t="shared" si="8"/>
        <v>1329.9112627986351</v>
      </c>
      <c r="BL5" s="24">
        <f t="shared" si="9"/>
        <v>0.23799795709908067</v>
      </c>
      <c r="BM5" s="24">
        <f t="shared" si="10"/>
        <v>1.4555669050051069E-2</v>
      </c>
      <c r="BN5" s="24">
        <f t="shared" si="11"/>
        <v>0.55158324821246163</v>
      </c>
      <c r="BO5" s="24">
        <f t="shared" si="12"/>
        <v>0.19586312563840652</v>
      </c>
      <c r="BP5" s="24">
        <f t="shared" si="13"/>
        <v>316.51616366913373</v>
      </c>
      <c r="BQ5" s="24">
        <f t="shared" si="14"/>
        <v>19.357748207232426</v>
      </c>
      <c r="BR5" s="24">
        <f t="shared" si="15"/>
        <v>733.55677416880781</v>
      </c>
      <c r="BS5" s="24">
        <f t="shared" si="16"/>
        <v>260.48057675346092</v>
      </c>
      <c r="BT5" s="12">
        <v>4.1500000000000004</v>
      </c>
      <c r="BU5" s="12">
        <v>26.85</v>
      </c>
      <c r="BV5" s="12">
        <v>46.475000000000001</v>
      </c>
      <c r="BW5" s="12">
        <v>48.55</v>
      </c>
      <c r="BX5" s="12">
        <v>48.55</v>
      </c>
      <c r="BZ5" s="119">
        <v>552.94117647058818</v>
      </c>
      <c r="CA5" s="33">
        <v>-25.76</v>
      </c>
      <c r="CB5" s="36">
        <v>3.4516</v>
      </c>
      <c r="CC5" s="36">
        <v>5.36</v>
      </c>
      <c r="CD5" s="36">
        <v>-25.75</v>
      </c>
      <c r="CE5" s="36">
        <v>2.7086000000000001</v>
      </c>
      <c r="CF5" s="36">
        <v>2.97</v>
      </c>
      <c r="CG5" s="36">
        <v>-25.66</v>
      </c>
      <c r="CH5" s="36">
        <v>1.4802</v>
      </c>
      <c r="CI5" s="36">
        <v>14.39</v>
      </c>
      <c r="CJ5" s="36">
        <v>-26.41</v>
      </c>
      <c r="CK5" s="36">
        <v>1.9706999999999999</v>
      </c>
      <c r="CL5" s="36">
        <v>7.74</v>
      </c>
    </row>
    <row r="6" spans="1:91" x14ac:dyDescent="0.25">
      <c r="A6" t="s">
        <v>24</v>
      </c>
      <c r="D6" t="s">
        <v>29</v>
      </c>
      <c r="E6" s="6">
        <v>1999</v>
      </c>
      <c r="F6" s="6">
        <v>2</v>
      </c>
      <c r="G6" s="6">
        <v>1</v>
      </c>
      <c r="H6" s="6">
        <v>5</v>
      </c>
      <c r="R6" s="91">
        <v>0.9953404904486064</v>
      </c>
      <c r="S6" s="91">
        <v>0.99411249788481948</v>
      </c>
      <c r="T6" s="91">
        <v>0.96064362828951655</v>
      </c>
      <c r="U6" s="91">
        <v>0.77770872339518515</v>
      </c>
      <c r="AP6" s="5">
        <v>87</v>
      </c>
      <c r="AQ6" s="5">
        <v>0.5</v>
      </c>
      <c r="AR6" s="5">
        <v>2635.9</v>
      </c>
      <c r="AS6" s="5">
        <f t="shared" si="0"/>
        <v>5271.8</v>
      </c>
      <c r="AT6" s="25">
        <v>301.95</v>
      </c>
      <c r="AU6" s="5">
        <v>30</v>
      </c>
      <c r="AV6" s="24">
        <f t="shared" si="1"/>
        <v>10.065</v>
      </c>
      <c r="AZ6" s="25">
        <v>12.69</v>
      </c>
      <c r="BA6" s="25">
        <v>11.78</v>
      </c>
      <c r="BB6" s="25">
        <v>34.4</v>
      </c>
      <c r="BC6" s="25">
        <v>10.99</v>
      </c>
      <c r="BE6" s="25">
        <f t="shared" si="2"/>
        <v>69.86</v>
      </c>
      <c r="BF6" s="25">
        <f t="shared" si="3"/>
        <v>69.86</v>
      </c>
      <c r="BG6" s="25">
        <f t="shared" si="4"/>
        <v>3.4929999999999999</v>
      </c>
      <c r="BH6" s="24">
        <f t="shared" si="5"/>
        <v>10.065</v>
      </c>
      <c r="BI6" s="24">
        <f t="shared" si="6"/>
        <v>0.34704421261798313</v>
      </c>
      <c r="BJ6" s="24">
        <f t="shared" si="7"/>
        <v>914.7738400397418</v>
      </c>
      <c r="BK6" s="39">
        <f t="shared" si="8"/>
        <v>1829.5476800794836</v>
      </c>
      <c r="BL6" s="24">
        <f t="shared" si="9"/>
        <v>0.18164901231033495</v>
      </c>
      <c r="BM6" s="24">
        <f t="shared" si="10"/>
        <v>0.16862296020612652</v>
      </c>
      <c r="BN6" s="24">
        <f t="shared" si="11"/>
        <v>0.49241339822502145</v>
      </c>
      <c r="BO6" s="24">
        <f t="shared" si="12"/>
        <v>0.15731462925851702</v>
      </c>
      <c r="BP6" s="24">
        <f t="shared" si="13"/>
        <v>332.33552906110287</v>
      </c>
      <c r="BQ6" s="24">
        <f t="shared" si="14"/>
        <v>308.50374565325387</v>
      </c>
      <c r="BR6" s="24">
        <f t="shared" si="15"/>
        <v>900.8937903626429</v>
      </c>
      <c r="BS6" s="24">
        <f t="shared" si="16"/>
        <v>287.81461500248389</v>
      </c>
      <c r="BT6" s="12">
        <v>10</v>
      </c>
      <c r="BU6" s="12">
        <v>7.375</v>
      </c>
      <c r="BV6" s="12">
        <v>36.25</v>
      </c>
      <c r="BW6" s="12">
        <v>48.550000000000004</v>
      </c>
      <c r="BX6" s="12">
        <v>48.550000000000004</v>
      </c>
      <c r="BZ6" s="119">
        <v>764.44444444444446</v>
      </c>
      <c r="CA6" s="33">
        <v>-26.13</v>
      </c>
      <c r="CB6" s="36">
        <v>3.1530999999999998</v>
      </c>
      <c r="CC6" s="36">
        <v>6.51</v>
      </c>
      <c r="CD6" s="36">
        <v>-24.66</v>
      </c>
      <c r="CE6" s="36">
        <v>2.5072999999999999</v>
      </c>
      <c r="CF6" s="36">
        <v>4.41</v>
      </c>
      <c r="CG6" s="36">
        <v>-25.48</v>
      </c>
      <c r="CH6" s="36">
        <v>2.1093000000000002</v>
      </c>
      <c r="CI6" s="36">
        <v>11.36</v>
      </c>
      <c r="CJ6" s="36">
        <v>-25.35</v>
      </c>
      <c r="CK6" s="36">
        <v>1.9492</v>
      </c>
      <c r="CL6" s="36">
        <v>13</v>
      </c>
    </row>
    <row r="7" spans="1:91" x14ac:dyDescent="0.25">
      <c r="A7" t="s">
        <v>24</v>
      </c>
      <c r="D7" t="s">
        <v>311</v>
      </c>
      <c r="E7" s="6">
        <v>2023</v>
      </c>
      <c r="F7" s="6">
        <v>2</v>
      </c>
      <c r="G7" s="6">
        <v>1</v>
      </c>
      <c r="H7" s="6">
        <v>6</v>
      </c>
      <c r="R7" s="91">
        <v>0.99638998026603298</v>
      </c>
      <c r="S7" s="91">
        <v>0.99262313677536518</v>
      </c>
      <c r="T7" s="91">
        <v>0.94480558731917252</v>
      </c>
      <c r="U7" s="91">
        <v>0.74433898652938835</v>
      </c>
      <c r="AP7" s="5">
        <v>84</v>
      </c>
      <c r="AQ7" s="5">
        <v>0.5</v>
      </c>
      <c r="AR7" s="5">
        <v>3088</v>
      </c>
      <c r="AS7" s="5">
        <f t="shared" si="0"/>
        <v>6176</v>
      </c>
      <c r="AT7" s="25">
        <v>293.04000000000002</v>
      </c>
      <c r="AU7" s="5">
        <v>30</v>
      </c>
      <c r="AV7" s="24">
        <f t="shared" si="1"/>
        <v>9.7680000000000007</v>
      </c>
      <c r="AZ7" s="25">
        <v>9.5500000000000007</v>
      </c>
      <c r="BA7" s="25">
        <v>4.72</v>
      </c>
      <c r="BB7" s="25">
        <v>35.020000000000003</v>
      </c>
      <c r="BC7" s="25">
        <v>10.130000000000001</v>
      </c>
      <c r="BE7" s="25">
        <f t="shared" si="2"/>
        <v>59.420000000000009</v>
      </c>
      <c r="BF7" s="25">
        <f t="shared" si="3"/>
        <v>59.420000000000009</v>
      </c>
      <c r="BG7" s="25">
        <f t="shared" si="4"/>
        <v>2.9710000000000005</v>
      </c>
      <c r="BH7" s="24">
        <f t="shared" si="5"/>
        <v>9.7680000000000007</v>
      </c>
      <c r="BI7" s="24">
        <f t="shared" si="6"/>
        <v>0.30415642915642921</v>
      </c>
      <c r="BJ7" s="24">
        <f t="shared" si="7"/>
        <v>939.23505323505344</v>
      </c>
      <c r="BK7" s="39">
        <f t="shared" si="8"/>
        <v>1878.4701064701069</v>
      </c>
      <c r="BL7" s="24">
        <f t="shared" si="9"/>
        <v>0.1607202961965668</v>
      </c>
      <c r="BM7" s="24">
        <f t="shared" si="10"/>
        <v>7.9434533826994266E-2</v>
      </c>
      <c r="BN7" s="24">
        <f t="shared" si="11"/>
        <v>0.58936385055536855</v>
      </c>
      <c r="BO7" s="24">
        <f t="shared" si="12"/>
        <v>0.17048131942107034</v>
      </c>
      <c r="BP7" s="24">
        <f t="shared" si="13"/>
        <v>301.90827190827196</v>
      </c>
      <c r="BQ7" s="24">
        <f t="shared" si="14"/>
        <v>149.21539721539722</v>
      </c>
      <c r="BR7" s="24">
        <f t="shared" si="15"/>
        <v>1107.1023751023754</v>
      </c>
      <c r="BS7" s="24">
        <f t="shared" si="16"/>
        <v>320.24406224406232</v>
      </c>
      <c r="BT7" s="12">
        <v>15.125</v>
      </c>
      <c r="BU7" s="12">
        <v>14.3</v>
      </c>
      <c r="BV7" s="12">
        <v>44.399999999999991</v>
      </c>
      <c r="BW7" s="12">
        <v>50</v>
      </c>
      <c r="BX7" s="12">
        <v>50</v>
      </c>
      <c r="BZ7" s="119">
        <v>858.82352941176464</v>
      </c>
      <c r="CA7" s="33">
        <v>-25.31</v>
      </c>
      <c r="CB7" s="36">
        <v>2.9148000000000001</v>
      </c>
      <c r="CC7" s="36">
        <v>8.5500000000000007</v>
      </c>
      <c r="CD7" s="36">
        <v>-24.87</v>
      </c>
      <c r="CE7" s="36">
        <v>2.0068999999999999</v>
      </c>
      <c r="CF7" s="36">
        <v>5.66</v>
      </c>
      <c r="CG7" s="36">
        <v>-25.54</v>
      </c>
      <c r="CH7" s="36">
        <v>0.76761000000000001</v>
      </c>
      <c r="CI7" s="36">
        <v>17.73</v>
      </c>
      <c r="CJ7" s="36">
        <v>-25.97</v>
      </c>
      <c r="CK7" s="36">
        <v>2.0899000000000001</v>
      </c>
      <c r="CL7" s="36">
        <v>8.14</v>
      </c>
    </row>
    <row r="8" spans="1:91" x14ac:dyDescent="0.25">
      <c r="A8" t="s">
        <v>34</v>
      </c>
      <c r="D8" t="s">
        <v>41</v>
      </c>
      <c r="E8" s="61">
        <v>2008</v>
      </c>
      <c r="F8" s="61">
        <v>2</v>
      </c>
      <c r="G8" s="61">
        <v>1</v>
      </c>
      <c r="H8" s="61">
        <v>7</v>
      </c>
      <c r="I8" s="61"/>
      <c r="J8" s="61"/>
      <c r="K8" s="61"/>
      <c r="R8" s="91">
        <v>0.97485075477233385</v>
      </c>
      <c r="S8" s="91">
        <v>0.95241926178358949</v>
      </c>
      <c r="T8" s="91">
        <v>0.90381462278637914</v>
      </c>
      <c r="U8" s="91">
        <v>0.62949170732757376</v>
      </c>
      <c r="AP8" s="5">
        <v>86</v>
      </c>
      <c r="AQ8" s="5">
        <v>0.5</v>
      </c>
      <c r="AR8" s="5">
        <v>3196</v>
      </c>
      <c r="AS8" s="5">
        <f t="shared" si="0"/>
        <v>6392</v>
      </c>
      <c r="AT8" s="25">
        <v>233.47</v>
      </c>
      <c r="AU8" s="5">
        <v>30</v>
      </c>
      <c r="AV8" s="24">
        <f t="shared" si="1"/>
        <v>7.7823333333333329</v>
      </c>
      <c r="AZ8" s="25">
        <v>7.1</v>
      </c>
      <c r="BA8" s="25">
        <v>1.0900000000000001</v>
      </c>
      <c r="BB8" s="25">
        <v>19.8</v>
      </c>
      <c r="BC8" s="25">
        <v>7.41</v>
      </c>
      <c r="BE8" s="25">
        <f t="shared" si="2"/>
        <v>35.400000000000006</v>
      </c>
      <c r="BF8" s="25">
        <f t="shared" si="3"/>
        <v>35.400000000000006</v>
      </c>
      <c r="BG8" s="25">
        <f t="shared" si="4"/>
        <v>1.7700000000000002</v>
      </c>
      <c r="BH8" s="24">
        <f t="shared" si="5"/>
        <v>7.7823333333333329</v>
      </c>
      <c r="BI8" s="24">
        <f t="shared" si="6"/>
        <v>0.22743821475992637</v>
      </c>
      <c r="BJ8" s="24">
        <f t="shared" si="7"/>
        <v>726.89253437272464</v>
      </c>
      <c r="BK8" s="39">
        <f t="shared" si="8"/>
        <v>1453.7850687454493</v>
      </c>
      <c r="BL8" s="24">
        <f t="shared" si="9"/>
        <v>0.20056497175141239</v>
      </c>
      <c r="BM8" s="24">
        <f t="shared" si="10"/>
        <v>3.0790960451977399E-2</v>
      </c>
      <c r="BN8" s="24">
        <f t="shared" si="11"/>
        <v>0.55932203389830504</v>
      </c>
      <c r="BO8" s="24">
        <f t="shared" si="12"/>
        <v>0.20932203389830506</v>
      </c>
      <c r="BP8" s="24">
        <f t="shared" si="13"/>
        <v>291.57836124555615</v>
      </c>
      <c r="BQ8" s="24">
        <f t="shared" si="14"/>
        <v>44.763438557416372</v>
      </c>
      <c r="BR8" s="24">
        <f t="shared" si="15"/>
        <v>813.1340215016919</v>
      </c>
      <c r="BS8" s="24">
        <f t="shared" si="16"/>
        <v>304.3092474407847</v>
      </c>
      <c r="BT8" s="12">
        <v>5.25</v>
      </c>
      <c r="BU8" s="12">
        <v>13.975</v>
      </c>
      <c r="BV8" s="12">
        <v>36.549999999999997</v>
      </c>
      <c r="BW8" s="12">
        <v>53.850000000000009</v>
      </c>
      <c r="BX8" s="12">
        <v>53.850000000000009</v>
      </c>
      <c r="BZ8" s="119">
        <v>753.84615384615381</v>
      </c>
      <c r="CA8" s="33">
        <v>-26.05</v>
      </c>
      <c r="CB8" s="36">
        <v>3.0510999999999999</v>
      </c>
      <c r="CC8" s="36">
        <v>6.81</v>
      </c>
      <c r="CD8" s="36">
        <v>-25.57</v>
      </c>
      <c r="CE8" s="36">
        <v>2.3635999999999999</v>
      </c>
      <c r="CF8" s="36">
        <v>2.17</v>
      </c>
      <c r="CG8" s="36">
        <v>-25.74</v>
      </c>
      <c r="CH8" s="36">
        <v>0.99</v>
      </c>
      <c r="CI8" s="36">
        <v>12.13</v>
      </c>
      <c r="CJ8" s="36">
        <v>-25.92</v>
      </c>
      <c r="CK8" s="36">
        <v>1.5871999999999999</v>
      </c>
      <c r="CL8" s="36">
        <v>10.74</v>
      </c>
    </row>
    <row r="9" spans="1:91" x14ac:dyDescent="0.25">
      <c r="A9" t="s">
        <v>34</v>
      </c>
      <c r="D9" t="s">
        <v>318</v>
      </c>
      <c r="E9" s="61">
        <v>2004</v>
      </c>
      <c r="F9" s="61">
        <v>2</v>
      </c>
      <c r="G9" s="61">
        <v>1</v>
      </c>
      <c r="H9" s="61">
        <v>8</v>
      </c>
      <c r="I9" s="61"/>
      <c r="J9" s="61"/>
      <c r="K9" s="61"/>
      <c r="L9"/>
      <c r="M9"/>
      <c r="N9"/>
      <c r="O9"/>
      <c r="P9"/>
      <c r="Q9"/>
      <c r="R9" s="86">
        <v>0.94950610940267433</v>
      </c>
      <c r="S9" s="86">
        <v>0.93353937373497242</v>
      </c>
      <c r="T9" s="86">
        <v>0.8916513175935018</v>
      </c>
      <c r="U9" s="86">
        <v>0.74382337603272453</v>
      </c>
      <c r="V9"/>
      <c r="W9"/>
      <c r="X9"/>
      <c r="Y9"/>
      <c r="Z9"/>
      <c r="AA9"/>
      <c r="AB9"/>
      <c r="AC9"/>
      <c r="AD9"/>
      <c r="AE9"/>
      <c r="AF9"/>
      <c r="AG9"/>
      <c r="AH9"/>
      <c r="AI9"/>
      <c r="AJ9"/>
      <c r="AK9"/>
      <c r="AL9"/>
      <c r="AM9"/>
      <c r="AN9"/>
      <c r="AO9"/>
      <c r="AP9" s="5">
        <v>96</v>
      </c>
      <c r="AQ9" s="5">
        <v>0.5</v>
      </c>
      <c r="AR9" s="5">
        <v>2460</v>
      </c>
      <c r="AS9" s="5">
        <f t="shared" si="0"/>
        <v>4920</v>
      </c>
      <c r="AT9" s="25">
        <v>254.55</v>
      </c>
      <c r="AU9" s="5">
        <v>30</v>
      </c>
      <c r="AV9" s="24">
        <f t="shared" si="1"/>
        <v>8.4850000000000012</v>
      </c>
      <c r="AZ9" s="25">
        <v>9.4700000000000006</v>
      </c>
      <c r="BA9" s="25">
        <v>1.28</v>
      </c>
      <c r="BB9" s="25">
        <v>26.71</v>
      </c>
      <c r="BC9" s="25">
        <v>8.86</v>
      </c>
      <c r="BE9" s="25">
        <f t="shared" si="2"/>
        <v>46.32</v>
      </c>
      <c r="BF9" s="25">
        <f t="shared" si="3"/>
        <v>46.32</v>
      </c>
      <c r="BG9" s="25">
        <f t="shared" si="4"/>
        <v>2.3159999999999998</v>
      </c>
      <c r="BH9" s="24">
        <f t="shared" si="5"/>
        <v>8.4850000000000012</v>
      </c>
      <c r="BI9" s="24">
        <f t="shared" si="6"/>
        <v>0.2729522687094873</v>
      </c>
      <c r="BJ9" s="24">
        <f t="shared" si="7"/>
        <v>671.46258102533875</v>
      </c>
      <c r="BK9" s="39">
        <f t="shared" si="8"/>
        <v>1342.9251620506775</v>
      </c>
      <c r="BL9" s="24">
        <f t="shared" si="9"/>
        <v>0.20444732297063906</v>
      </c>
      <c r="BM9" s="24">
        <f t="shared" si="10"/>
        <v>2.7633851468048358E-2</v>
      </c>
      <c r="BN9" s="24">
        <f t="shared" si="11"/>
        <v>0.57664075993091535</v>
      </c>
      <c r="BO9" s="24">
        <f t="shared" si="12"/>
        <v>0.19127806563039723</v>
      </c>
      <c r="BP9" s="24">
        <f t="shared" si="13"/>
        <v>274.55745433117266</v>
      </c>
      <c r="BQ9" s="24">
        <f t="shared" si="14"/>
        <v>37.11019446081319</v>
      </c>
      <c r="BR9" s="24">
        <f t="shared" si="15"/>
        <v>774.3853859752503</v>
      </c>
      <c r="BS9" s="24">
        <f t="shared" si="16"/>
        <v>256.87212728344133</v>
      </c>
      <c r="BT9" s="12">
        <v>4.3499999999999996</v>
      </c>
      <c r="BU9" s="12">
        <v>6.25</v>
      </c>
      <c r="BV9" s="12">
        <v>48.25</v>
      </c>
      <c r="BW9" s="12">
        <v>50.724999999999994</v>
      </c>
      <c r="BX9" s="12">
        <v>50.724999999999994</v>
      </c>
      <c r="BY9"/>
      <c r="BZ9" s="119">
        <v>666.66666666666674</v>
      </c>
      <c r="CA9" s="33">
        <v>-25.72</v>
      </c>
      <c r="CB9" s="36">
        <v>3.1128999999999998</v>
      </c>
      <c r="CC9" s="36">
        <v>9.65</v>
      </c>
      <c r="CD9" s="36">
        <v>-26.02</v>
      </c>
      <c r="CE9" s="36">
        <v>3.1471</v>
      </c>
      <c r="CF9" s="131">
        <v>-0.16</v>
      </c>
      <c r="CG9" s="36">
        <v>-25.72</v>
      </c>
      <c r="CH9" s="36">
        <v>1.4450000000000001</v>
      </c>
      <c r="CI9" s="36">
        <v>11.75</v>
      </c>
      <c r="CJ9" s="36">
        <v>-25.8</v>
      </c>
      <c r="CK9" s="36">
        <v>2.556</v>
      </c>
      <c r="CL9" s="36">
        <v>9.91</v>
      </c>
    </row>
    <row r="10" spans="1:91" x14ac:dyDescent="0.25">
      <c r="A10" t="s">
        <v>24</v>
      </c>
      <c r="D10" t="s">
        <v>26</v>
      </c>
      <c r="E10" s="61">
        <v>1983</v>
      </c>
      <c r="F10" s="61">
        <v>3</v>
      </c>
      <c r="G10" s="61">
        <v>1</v>
      </c>
      <c r="H10" s="61">
        <v>9</v>
      </c>
      <c r="I10" s="61"/>
      <c r="J10" s="61"/>
      <c r="K10" s="61"/>
      <c r="R10" s="91">
        <v>0.99130374315340786</v>
      </c>
      <c r="S10" s="91">
        <v>0.97350011818213644</v>
      </c>
      <c r="T10" s="91">
        <v>0.77987703596158153</v>
      </c>
      <c r="U10" s="91">
        <v>0.51180385854256671</v>
      </c>
      <c r="AP10" s="5">
        <v>100</v>
      </c>
      <c r="AQ10" s="5">
        <v>0.5</v>
      </c>
      <c r="AR10" s="5">
        <v>2335</v>
      </c>
      <c r="AS10" s="5">
        <f t="shared" si="0"/>
        <v>4670</v>
      </c>
      <c r="AT10" s="25">
        <v>298.55</v>
      </c>
      <c r="AU10" s="5">
        <v>30</v>
      </c>
      <c r="AV10" s="24">
        <f t="shared" si="1"/>
        <v>9.9516666666666662</v>
      </c>
      <c r="AZ10" s="25">
        <v>9.7200000000000006</v>
      </c>
      <c r="BA10" s="25">
        <v>15.52</v>
      </c>
      <c r="BB10" s="25">
        <v>25.11</v>
      </c>
      <c r="BC10" s="25">
        <v>7.01</v>
      </c>
      <c r="BE10" s="25">
        <f t="shared" si="2"/>
        <v>57.36</v>
      </c>
      <c r="BF10" s="25">
        <f t="shared" si="3"/>
        <v>57.36</v>
      </c>
      <c r="BG10" s="25">
        <f t="shared" si="4"/>
        <v>2.8679999999999999</v>
      </c>
      <c r="BH10" s="24">
        <f t="shared" si="5"/>
        <v>9.9516666666666662</v>
      </c>
      <c r="BI10" s="24">
        <f t="shared" si="6"/>
        <v>0.28819293250711775</v>
      </c>
      <c r="BJ10" s="24">
        <f t="shared" si="7"/>
        <v>672.93049740411993</v>
      </c>
      <c r="BK10" s="39">
        <f t="shared" si="8"/>
        <v>1345.8609948082399</v>
      </c>
      <c r="BL10" s="24">
        <f t="shared" si="9"/>
        <v>0.16945606694560672</v>
      </c>
      <c r="BM10" s="24">
        <f t="shared" si="10"/>
        <v>0.27057182705718269</v>
      </c>
      <c r="BN10" s="24">
        <f t="shared" si="11"/>
        <v>0.43776150627615062</v>
      </c>
      <c r="BO10" s="24">
        <f t="shared" si="12"/>
        <v>0.12221059972105996</v>
      </c>
      <c r="BP10" s="24">
        <f t="shared" si="13"/>
        <v>228.06431083570595</v>
      </c>
      <c r="BQ10" s="24">
        <f t="shared" si="14"/>
        <v>364.15206833026292</v>
      </c>
      <c r="BR10" s="24">
        <f t="shared" si="15"/>
        <v>589.16613632557358</v>
      </c>
      <c r="BS10" s="24">
        <f t="shared" si="16"/>
        <v>164.47847931669736</v>
      </c>
      <c r="BT10" s="12">
        <v>8.9250000000000007</v>
      </c>
      <c r="BU10" s="12">
        <v>15.974999999999998</v>
      </c>
      <c r="BV10" s="12">
        <v>27.774999999999999</v>
      </c>
      <c r="BW10" s="12">
        <v>50.2</v>
      </c>
      <c r="BX10" s="12">
        <v>50.2</v>
      </c>
      <c r="BZ10" s="119">
        <v>551.72413793103453</v>
      </c>
      <c r="CA10" s="33">
        <v>-26.17</v>
      </c>
      <c r="CB10" s="36">
        <v>3.3913000000000002</v>
      </c>
      <c r="CC10" s="36">
        <v>8.85</v>
      </c>
      <c r="CD10" s="36">
        <v>-24.41</v>
      </c>
      <c r="CE10" s="36">
        <v>2.1355</v>
      </c>
      <c r="CF10" s="36">
        <v>4.9400000000000004</v>
      </c>
      <c r="CG10" s="36">
        <v>-25.95</v>
      </c>
      <c r="CH10" s="36">
        <v>1.7099</v>
      </c>
      <c r="CI10" s="36">
        <v>9.89</v>
      </c>
      <c r="CJ10" s="36">
        <v>-26.27</v>
      </c>
      <c r="CK10" s="36">
        <v>2.4201999999999999</v>
      </c>
      <c r="CL10" s="36">
        <v>7.21</v>
      </c>
    </row>
    <row r="11" spans="1:91" x14ac:dyDescent="0.25">
      <c r="A11" t="s">
        <v>24</v>
      </c>
      <c r="D11" t="s">
        <v>313</v>
      </c>
      <c r="E11" s="61">
        <v>2016</v>
      </c>
      <c r="F11" s="61">
        <v>3</v>
      </c>
      <c r="G11" s="61">
        <v>1</v>
      </c>
      <c r="H11" s="61">
        <v>10</v>
      </c>
      <c r="I11" s="61"/>
      <c r="J11" s="61"/>
      <c r="K11" s="61"/>
      <c r="R11" s="91">
        <v>0.97036511821496463</v>
      </c>
      <c r="S11" s="91">
        <v>0.96557001453276803</v>
      </c>
      <c r="T11" s="91">
        <v>0.94554119937251446</v>
      </c>
      <c r="U11" s="91">
        <v>0.85562114000548029</v>
      </c>
      <c r="AP11" s="5">
        <v>95</v>
      </c>
      <c r="AQ11" s="5">
        <v>0.5</v>
      </c>
      <c r="AR11" s="5">
        <v>2730</v>
      </c>
      <c r="AS11" s="5">
        <f t="shared" si="0"/>
        <v>5460</v>
      </c>
      <c r="AT11" s="25">
        <v>320</v>
      </c>
      <c r="AU11" s="5">
        <v>30</v>
      </c>
      <c r="AV11" s="24">
        <f t="shared" si="1"/>
        <v>10.666666666666666</v>
      </c>
      <c r="AZ11" s="25">
        <v>15.07</v>
      </c>
      <c r="BA11" s="25">
        <v>4.34</v>
      </c>
      <c r="BB11" s="25">
        <v>30.28</v>
      </c>
      <c r="BC11" s="25">
        <v>10.23</v>
      </c>
      <c r="BE11" s="25">
        <f t="shared" si="2"/>
        <v>59.92</v>
      </c>
      <c r="BF11" s="25">
        <f t="shared" si="3"/>
        <v>59.92</v>
      </c>
      <c r="BG11" s="25">
        <f t="shared" si="4"/>
        <v>2.996</v>
      </c>
      <c r="BH11" s="24">
        <f t="shared" si="5"/>
        <v>10.666666666666666</v>
      </c>
      <c r="BI11" s="24">
        <f t="shared" si="6"/>
        <v>0.28087500000000004</v>
      </c>
      <c r="BJ11" s="24">
        <f t="shared" si="7"/>
        <v>766.78875000000016</v>
      </c>
      <c r="BK11" s="39">
        <f t="shared" si="8"/>
        <v>1533.5775000000003</v>
      </c>
      <c r="BL11" s="24">
        <f t="shared" si="9"/>
        <v>0.25150200267022699</v>
      </c>
      <c r="BM11" s="24">
        <f t="shared" si="10"/>
        <v>7.2429906542056069E-2</v>
      </c>
      <c r="BN11" s="24">
        <f t="shared" si="11"/>
        <v>0.50534045393858473</v>
      </c>
      <c r="BO11" s="24">
        <f t="shared" si="12"/>
        <v>0.17072763684913217</v>
      </c>
      <c r="BP11" s="24">
        <f t="shared" si="13"/>
        <v>385.69781250000011</v>
      </c>
      <c r="BQ11" s="24">
        <f t="shared" si="14"/>
        <v>111.07687500000002</v>
      </c>
      <c r="BR11" s="24">
        <f t="shared" si="15"/>
        <v>774.9787500000001</v>
      </c>
      <c r="BS11" s="24">
        <f t="shared" si="16"/>
        <v>261.82406250000003</v>
      </c>
      <c r="BT11" s="12">
        <v>6.3250000000000002</v>
      </c>
      <c r="BU11" s="12">
        <v>3.1499999999999995</v>
      </c>
      <c r="BV11" s="12">
        <v>35.433333333333337</v>
      </c>
      <c r="BW11" s="12">
        <v>59.025000000000006</v>
      </c>
      <c r="BX11" s="12">
        <v>59.025000000000006</v>
      </c>
      <c r="BZ11" s="119">
        <v>505.26315789473682</v>
      </c>
      <c r="CA11" s="33">
        <v>-26.21</v>
      </c>
      <c r="CB11" s="36">
        <v>2.8719999999999999</v>
      </c>
      <c r="CC11" s="36">
        <v>7.6</v>
      </c>
      <c r="CD11" s="36">
        <v>-24.44</v>
      </c>
      <c r="CE11" s="36">
        <v>1.9177999999999999</v>
      </c>
      <c r="CF11" s="36">
        <v>4.5999999999999996</v>
      </c>
      <c r="CG11" s="36">
        <v>-25.56</v>
      </c>
      <c r="CH11" s="36">
        <v>1.8002</v>
      </c>
      <c r="CI11" s="36">
        <v>12.64</v>
      </c>
      <c r="CJ11" s="36">
        <v>-25.87</v>
      </c>
      <c r="CK11" s="36">
        <v>2.1880000000000002</v>
      </c>
      <c r="CL11" s="36">
        <v>9.35</v>
      </c>
    </row>
    <row r="12" spans="1:91" x14ac:dyDescent="0.25">
      <c r="A12" t="s">
        <v>34</v>
      </c>
      <c r="D12" t="s">
        <v>42</v>
      </c>
      <c r="E12" s="6">
        <v>2016</v>
      </c>
      <c r="F12" s="6">
        <v>3</v>
      </c>
      <c r="G12" s="6">
        <v>1</v>
      </c>
      <c r="H12" s="6">
        <v>11</v>
      </c>
      <c r="R12" s="91">
        <v>0.93066341069184011</v>
      </c>
      <c r="S12" s="91">
        <v>0.95288896493809661</v>
      </c>
      <c r="T12" s="91">
        <v>0.90688248821458695</v>
      </c>
      <c r="U12" s="91">
        <v>0.74069300251794357</v>
      </c>
      <c r="AP12" s="5">
        <v>84</v>
      </c>
      <c r="AQ12" s="5">
        <v>0.5</v>
      </c>
      <c r="AR12" s="5">
        <v>3064</v>
      </c>
      <c r="AS12" s="5">
        <f t="shared" si="0"/>
        <v>6128</v>
      </c>
      <c r="AT12" s="25">
        <v>222.23</v>
      </c>
      <c r="AU12" s="5">
        <v>30</v>
      </c>
      <c r="AV12" s="24">
        <f t="shared" si="1"/>
        <v>7.4076666666666666</v>
      </c>
      <c r="AZ12" s="25">
        <v>7.34</v>
      </c>
      <c r="BA12" s="25">
        <v>1.06</v>
      </c>
      <c r="BB12" s="25">
        <v>18.440000000000001</v>
      </c>
      <c r="BC12" s="25">
        <v>6.57</v>
      </c>
      <c r="BE12" s="25">
        <f t="shared" si="2"/>
        <v>33.410000000000004</v>
      </c>
      <c r="BF12" s="25">
        <f t="shared" si="3"/>
        <v>33.410000000000004</v>
      </c>
      <c r="BG12" s="25">
        <f t="shared" si="4"/>
        <v>1.6705000000000001</v>
      </c>
      <c r="BH12" s="24">
        <f t="shared" si="5"/>
        <v>7.4076666666666666</v>
      </c>
      <c r="BI12" s="24">
        <f t="shared" si="6"/>
        <v>0.22550960716374929</v>
      </c>
      <c r="BJ12" s="24">
        <f t="shared" si="7"/>
        <v>690.96143634972782</v>
      </c>
      <c r="BK12" s="39">
        <f t="shared" si="8"/>
        <v>1381.9228726994556</v>
      </c>
      <c r="BL12" s="24">
        <f t="shared" si="9"/>
        <v>0.21969470218497453</v>
      </c>
      <c r="BM12" s="24">
        <f t="shared" si="10"/>
        <v>3.1727027835977251E-2</v>
      </c>
      <c r="BN12" s="24">
        <f t="shared" si="11"/>
        <v>0.55193055971266081</v>
      </c>
      <c r="BO12" s="24">
        <f t="shared" si="12"/>
        <v>0.1966477102663873</v>
      </c>
      <c r="BP12" s="24">
        <f t="shared" si="13"/>
        <v>303.60113396031136</v>
      </c>
      <c r="BQ12" s="24">
        <f t="shared" si="14"/>
        <v>43.844305449309275</v>
      </c>
      <c r="BR12" s="24">
        <f t="shared" si="15"/>
        <v>762.72546460873866</v>
      </c>
      <c r="BS12" s="24">
        <f t="shared" si="16"/>
        <v>271.75196868109617</v>
      </c>
      <c r="BT12" s="12">
        <v>7.75</v>
      </c>
      <c r="BU12" s="12">
        <v>4.0250000000000004</v>
      </c>
      <c r="BV12" s="12">
        <v>35.050000000000004</v>
      </c>
      <c r="BW12" s="12">
        <v>52.975000000000001</v>
      </c>
      <c r="BX12" s="12">
        <v>52.975000000000001</v>
      </c>
      <c r="BZ12" s="119">
        <v>783.33333333333326</v>
      </c>
      <c r="CA12" s="33">
        <v>-26.34</v>
      </c>
      <c r="CB12" s="36">
        <v>3.5270999999999999</v>
      </c>
      <c r="CC12" s="36">
        <v>6.48</v>
      </c>
      <c r="CD12" s="36">
        <v>-25.38</v>
      </c>
      <c r="CE12" s="36">
        <v>2.2740999999999998</v>
      </c>
      <c r="CF12" s="36">
        <v>2.3199999999999998</v>
      </c>
      <c r="CG12" s="36">
        <v>-25.39</v>
      </c>
      <c r="CH12" s="36">
        <v>2.3815</v>
      </c>
      <c r="CI12" s="36">
        <v>10.85</v>
      </c>
      <c r="CJ12" s="36">
        <v>-26.42</v>
      </c>
      <c r="CK12" s="36">
        <v>2.2065000000000001</v>
      </c>
      <c r="CL12" s="36">
        <v>7.87</v>
      </c>
    </row>
    <row r="13" spans="1:91" x14ac:dyDescent="0.25">
      <c r="A13" t="s">
        <v>34</v>
      </c>
      <c r="D13" t="s">
        <v>38</v>
      </c>
      <c r="E13" s="6">
        <v>1999</v>
      </c>
      <c r="F13" s="6">
        <v>3</v>
      </c>
      <c r="G13" s="6">
        <v>1</v>
      </c>
      <c r="H13" s="6">
        <v>12</v>
      </c>
      <c r="R13" s="91">
        <v>0.95385706036771556</v>
      </c>
      <c r="S13" s="91">
        <v>0.91845861013763097</v>
      </c>
      <c r="T13" s="91">
        <v>0.88647550261953212</v>
      </c>
      <c r="U13" s="91">
        <v>0.77351700139846569</v>
      </c>
      <c r="AP13" s="5">
        <v>96</v>
      </c>
      <c r="AQ13" s="5">
        <v>0.5</v>
      </c>
      <c r="AR13" s="5">
        <v>3177</v>
      </c>
      <c r="AS13" s="5">
        <f t="shared" si="0"/>
        <v>6354</v>
      </c>
      <c r="AT13" s="25">
        <v>257.7</v>
      </c>
      <c r="AU13" s="5">
        <v>30</v>
      </c>
      <c r="AV13" s="24">
        <f t="shared" si="1"/>
        <v>8.59</v>
      </c>
      <c r="AZ13" s="25">
        <v>9.4700000000000006</v>
      </c>
      <c r="BA13" s="25">
        <v>1.39</v>
      </c>
      <c r="BB13" s="25">
        <v>21.24</v>
      </c>
      <c r="BC13" s="25">
        <v>5.98</v>
      </c>
      <c r="BE13" s="25">
        <f t="shared" si="2"/>
        <v>38.08</v>
      </c>
      <c r="BF13" s="25">
        <f t="shared" si="3"/>
        <v>38.08</v>
      </c>
      <c r="BG13" s="25">
        <f t="shared" si="4"/>
        <v>1.9039999999999999</v>
      </c>
      <c r="BH13" s="24">
        <f t="shared" si="5"/>
        <v>8.59</v>
      </c>
      <c r="BI13" s="24">
        <f t="shared" si="6"/>
        <v>0.22165308498253783</v>
      </c>
      <c r="BJ13" s="24">
        <f t="shared" si="7"/>
        <v>704.19185098952266</v>
      </c>
      <c r="BK13" s="39">
        <f t="shared" si="8"/>
        <v>1408.3837019790453</v>
      </c>
      <c r="BL13" s="24">
        <f t="shared" si="9"/>
        <v>0.248686974789916</v>
      </c>
      <c r="BM13" s="24">
        <f t="shared" si="10"/>
        <v>3.6502100840336137E-2</v>
      </c>
      <c r="BN13" s="24">
        <f t="shared" si="11"/>
        <v>0.5577731092436975</v>
      </c>
      <c r="BO13" s="24">
        <f t="shared" si="12"/>
        <v>0.15703781512605045</v>
      </c>
      <c r="BP13" s="24">
        <f t="shared" si="13"/>
        <v>350.24668218859142</v>
      </c>
      <c r="BQ13" s="24">
        <f t="shared" si="14"/>
        <v>51.408963911525028</v>
      </c>
      <c r="BR13" s="24">
        <f t="shared" si="15"/>
        <v>785.5585564610011</v>
      </c>
      <c r="BS13" s="24">
        <f t="shared" si="16"/>
        <v>221.16949941792785</v>
      </c>
      <c r="BT13" s="12">
        <v>9.5500000000000007</v>
      </c>
      <c r="BU13" s="12">
        <v>8.15</v>
      </c>
      <c r="BV13" s="12">
        <v>51.075000000000003</v>
      </c>
      <c r="BW13" s="12">
        <v>51.275000000000006</v>
      </c>
      <c r="BX13" s="12">
        <v>51.275000000000006</v>
      </c>
      <c r="BZ13" s="119">
        <v>742.85714285714289</v>
      </c>
      <c r="CA13" s="33">
        <v>-25.85</v>
      </c>
      <c r="CB13" s="36">
        <v>3.3033000000000001</v>
      </c>
      <c r="CC13" s="36">
        <v>8.5299999999999994</v>
      </c>
      <c r="CD13" s="36">
        <v>-25.29</v>
      </c>
      <c r="CE13" s="36">
        <v>2.0249000000000001</v>
      </c>
      <c r="CF13" s="36">
        <v>3.78</v>
      </c>
      <c r="CG13" s="36">
        <v>-25.64</v>
      </c>
      <c r="CH13" s="36">
        <v>1.3753</v>
      </c>
      <c r="CI13" s="36">
        <v>12.91</v>
      </c>
      <c r="CJ13" s="36">
        <v>-26.33</v>
      </c>
      <c r="CK13" s="36">
        <v>2.1392000000000002</v>
      </c>
      <c r="CL13" s="36">
        <v>5.98</v>
      </c>
    </row>
    <row r="14" spans="1:91" x14ac:dyDescent="0.25">
      <c r="A14" t="s">
        <v>24</v>
      </c>
      <c r="D14" t="s">
        <v>32</v>
      </c>
      <c r="E14" s="6">
        <v>2018</v>
      </c>
      <c r="F14" s="6">
        <v>4</v>
      </c>
      <c r="G14" s="6">
        <v>1</v>
      </c>
      <c r="H14" s="6">
        <v>13</v>
      </c>
      <c r="R14" s="91">
        <v>0.99309664409809351</v>
      </c>
      <c r="S14" s="91">
        <v>0.99167029979535926</v>
      </c>
      <c r="T14" s="91">
        <v>0.96262360104310496</v>
      </c>
      <c r="U14" s="91">
        <v>0.84626448272963595</v>
      </c>
      <c r="AP14" s="5">
        <v>84</v>
      </c>
      <c r="AQ14" s="5">
        <v>0.5</v>
      </c>
      <c r="AR14" s="5">
        <v>2827</v>
      </c>
      <c r="AS14" s="5">
        <f t="shared" si="0"/>
        <v>5654</v>
      </c>
      <c r="AT14" s="25">
        <v>253.66</v>
      </c>
      <c r="AU14" s="5">
        <v>30</v>
      </c>
      <c r="AV14" s="24">
        <f t="shared" si="1"/>
        <v>8.4553333333333338</v>
      </c>
      <c r="AZ14" s="25">
        <v>11.15</v>
      </c>
      <c r="BA14" s="25">
        <v>5.65</v>
      </c>
      <c r="BB14" s="25">
        <v>28.46</v>
      </c>
      <c r="BC14" s="25">
        <v>10.5</v>
      </c>
      <c r="BE14" s="25">
        <f t="shared" si="2"/>
        <v>55.760000000000005</v>
      </c>
      <c r="BF14" s="25">
        <f t="shared" si="3"/>
        <v>55.760000000000005</v>
      </c>
      <c r="BG14" s="25">
        <f t="shared" si="4"/>
        <v>2.7880000000000003</v>
      </c>
      <c r="BH14" s="24">
        <f t="shared" si="5"/>
        <v>8.4553333333333338</v>
      </c>
      <c r="BI14" s="24">
        <f t="shared" si="6"/>
        <v>0.32973271308050145</v>
      </c>
      <c r="BJ14" s="24">
        <f t="shared" si="7"/>
        <v>932.15437987857763</v>
      </c>
      <c r="BK14" s="39">
        <f t="shared" si="8"/>
        <v>1864.3087597571553</v>
      </c>
      <c r="BL14" s="24">
        <f t="shared" si="9"/>
        <v>0.19996413199426111</v>
      </c>
      <c r="BM14" s="24">
        <f t="shared" si="10"/>
        <v>0.10132711621233859</v>
      </c>
      <c r="BN14" s="24">
        <f t="shared" si="11"/>
        <v>0.51040172166427544</v>
      </c>
      <c r="BO14" s="24">
        <f t="shared" si="12"/>
        <v>0.18830703012912481</v>
      </c>
      <c r="BP14" s="24">
        <f t="shared" si="13"/>
        <v>372.79488291413702</v>
      </c>
      <c r="BQ14" s="24">
        <f t="shared" si="14"/>
        <v>188.90503035559408</v>
      </c>
      <c r="BR14" s="24">
        <f t="shared" si="15"/>
        <v>951.54640069384209</v>
      </c>
      <c r="BS14" s="24">
        <f t="shared" si="16"/>
        <v>351.06244579358196</v>
      </c>
      <c r="BT14" s="12">
        <v>6.2</v>
      </c>
      <c r="BU14" s="12">
        <v>12.366666666666665</v>
      </c>
      <c r="BV14" s="12">
        <v>40.4</v>
      </c>
      <c r="BW14" s="12">
        <v>51.375</v>
      </c>
      <c r="BX14" s="12">
        <v>51.375</v>
      </c>
      <c r="BZ14" s="119">
        <v>605.40540540540542</v>
      </c>
      <c r="CA14" s="33">
        <v>-25.67</v>
      </c>
      <c r="CB14" s="36">
        <v>2.9376000000000002</v>
      </c>
      <c r="CC14" s="36">
        <v>10.31</v>
      </c>
      <c r="CD14" s="36">
        <v>-24.44</v>
      </c>
      <c r="CE14" s="36">
        <v>1.7363999999999999</v>
      </c>
      <c r="CF14" s="36">
        <v>5.85</v>
      </c>
      <c r="CG14" s="36">
        <v>-25.27</v>
      </c>
      <c r="CH14" s="36">
        <v>1.4958</v>
      </c>
      <c r="CI14" s="36">
        <v>12.62</v>
      </c>
      <c r="CJ14" s="36">
        <v>-26.42</v>
      </c>
      <c r="CK14" s="36">
        <v>2.0966999999999998</v>
      </c>
      <c r="CL14" s="36">
        <v>8.9600000000000009</v>
      </c>
    </row>
    <row r="15" spans="1:91" x14ac:dyDescent="0.25">
      <c r="A15" t="s">
        <v>24</v>
      </c>
      <c r="D15" t="s">
        <v>27</v>
      </c>
      <c r="E15" s="61">
        <v>1985</v>
      </c>
      <c r="F15" s="61">
        <v>4</v>
      </c>
      <c r="G15" s="61">
        <v>1</v>
      </c>
      <c r="H15" s="61">
        <v>14</v>
      </c>
      <c r="I15" s="61"/>
      <c r="J15" s="61"/>
      <c r="K15" s="61"/>
      <c r="R15" s="91">
        <v>0.99265730532759644</v>
      </c>
      <c r="S15" s="91">
        <v>0.99515805472985963</v>
      </c>
      <c r="T15" s="91">
        <v>0.95956339677114799</v>
      </c>
      <c r="U15" s="91">
        <v>0.80186788903089223</v>
      </c>
      <c r="AP15" s="5">
        <v>90</v>
      </c>
      <c r="AQ15" s="5">
        <v>0.5</v>
      </c>
      <c r="AR15" s="5">
        <v>2589</v>
      </c>
      <c r="AS15" s="5">
        <f t="shared" si="0"/>
        <v>5178</v>
      </c>
      <c r="AT15" s="25">
        <v>273.8</v>
      </c>
      <c r="AU15" s="5">
        <v>30</v>
      </c>
      <c r="AV15" s="24">
        <f t="shared" si="1"/>
        <v>9.1266666666666669</v>
      </c>
      <c r="AZ15" s="25">
        <v>11.21</v>
      </c>
      <c r="BA15" s="25">
        <v>7.66</v>
      </c>
      <c r="BB15" s="25">
        <v>27.25</v>
      </c>
      <c r="BC15" s="25">
        <v>7.44</v>
      </c>
      <c r="BE15" s="25">
        <f t="shared" si="2"/>
        <v>53.56</v>
      </c>
      <c r="BF15" s="25">
        <f t="shared" si="3"/>
        <v>53.56</v>
      </c>
      <c r="BG15" s="25">
        <f t="shared" si="4"/>
        <v>2.6779999999999999</v>
      </c>
      <c r="BH15" s="24">
        <f t="shared" si="5"/>
        <v>9.1266666666666669</v>
      </c>
      <c r="BI15" s="24">
        <f t="shared" si="6"/>
        <v>0.29342585829072315</v>
      </c>
      <c r="BJ15" s="24">
        <f t="shared" si="7"/>
        <v>759.67954711468224</v>
      </c>
      <c r="BK15" s="39">
        <f t="shared" si="8"/>
        <v>1519.3590942293645</v>
      </c>
      <c r="BL15" s="24">
        <f t="shared" si="9"/>
        <v>0.20929798356982823</v>
      </c>
      <c r="BM15" s="24">
        <f t="shared" si="10"/>
        <v>0.14301717699775951</v>
      </c>
      <c r="BN15" s="24">
        <f t="shared" si="11"/>
        <v>0.50877520537714715</v>
      </c>
      <c r="BO15" s="24">
        <f t="shared" si="12"/>
        <v>0.13890963405526513</v>
      </c>
      <c r="BP15" s="24">
        <f t="shared" si="13"/>
        <v>317.99879474068661</v>
      </c>
      <c r="BQ15" s="24">
        <f t="shared" si="14"/>
        <v>217.29444850255658</v>
      </c>
      <c r="BR15" s="24">
        <f t="shared" si="15"/>
        <v>773.01223520818121</v>
      </c>
      <c r="BS15" s="24">
        <f t="shared" si="16"/>
        <v>211.05361577794011</v>
      </c>
      <c r="BT15" s="12">
        <v>9.0500000000000007</v>
      </c>
      <c r="BU15" s="12">
        <v>9.0250000000000004</v>
      </c>
      <c r="BV15" s="12">
        <v>34.924999999999997</v>
      </c>
      <c r="BW15" s="12">
        <v>47.075000000000003</v>
      </c>
      <c r="BX15" s="12">
        <v>47.075000000000003</v>
      </c>
      <c r="BZ15" s="119">
        <v>544</v>
      </c>
      <c r="CA15" s="33">
        <v>-25.92</v>
      </c>
      <c r="CB15" s="36">
        <v>3.4011</v>
      </c>
      <c r="CC15" s="36">
        <v>6.23</v>
      </c>
      <c r="CD15" s="36">
        <v>-24.56</v>
      </c>
      <c r="CE15" s="36">
        <v>0.58923999999999999</v>
      </c>
      <c r="CF15" s="36">
        <v>5.73</v>
      </c>
      <c r="CG15" s="36">
        <v>-26.06</v>
      </c>
      <c r="CH15" s="36">
        <v>1.0690999999999999</v>
      </c>
      <c r="CI15" s="36">
        <v>8</v>
      </c>
      <c r="CJ15" s="36">
        <v>-26.48</v>
      </c>
      <c r="CK15" s="36">
        <v>2.2966000000000002</v>
      </c>
      <c r="CL15" s="36">
        <v>6.32</v>
      </c>
    </row>
    <row r="16" spans="1:91" x14ac:dyDescent="0.25">
      <c r="A16" t="s">
        <v>34</v>
      </c>
      <c r="D16" t="s">
        <v>36</v>
      </c>
      <c r="E16" s="6">
        <v>1984</v>
      </c>
      <c r="F16" s="6">
        <v>4</v>
      </c>
      <c r="G16" s="6">
        <v>1</v>
      </c>
      <c r="H16" s="6">
        <v>15</v>
      </c>
      <c r="R16" s="91">
        <v>0.99026467841661658</v>
      </c>
      <c r="S16" s="91">
        <v>0.98606720393070368</v>
      </c>
      <c r="T16" s="91">
        <v>0.94643964578882989</v>
      </c>
      <c r="U16" s="91">
        <v>0.74598003710104432</v>
      </c>
      <c r="AP16" s="5">
        <v>89</v>
      </c>
      <c r="AQ16" s="5">
        <v>0.5</v>
      </c>
      <c r="AR16" s="5">
        <v>3104</v>
      </c>
      <c r="AS16" s="5">
        <f t="shared" si="0"/>
        <v>6208</v>
      </c>
      <c r="AT16" s="25">
        <v>276.63</v>
      </c>
      <c r="AU16" s="5">
        <v>30</v>
      </c>
      <c r="AV16" s="24">
        <f t="shared" si="1"/>
        <v>9.2210000000000001</v>
      </c>
      <c r="AZ16" s="25">
        <v>9.31</v>
      </c>
      <c r="BA16" s="25">
        <v>1.79</v>
      </c>
      <c r="BB16" s="25">
        <v>23.15</v>
      </c>
      <c r="BC16" s="25">
        <v>7.58</v>
      </c>
      <c r="BE16" s="25">
        <f t="shared" si="2"/>
        <v>41.83</v>
      </c>
      <c r="BF16" s="25">
        <f t="shared" si="3"/>
        <v>41.83</v>
      </c>
      <c r="BG16" s="25">
        <f t="shared" si="4"/>
        <v>2.0914999999999999</v>
      </c>
      <c r="BH16" s="24">
        <f t="shared" si="5"/>
        <v>9.2210000000000001</v>
      </c>
      <c r="BI16" s="24">
        <f t="shared" si="6"/>
        <v>0.22681921700466326</v>
      </c>
      <c r="BJ16" s="24">
        <f t="shared" si="7"/>
        <v>704.04684958247481</v>
      </c>
      <c r="BK16" s="39">
        <f t="shared" si="8"/>
        <v>1408.0936991649496</v>
      </c>
      <c r="BL16" s="24">
        <f t="shared" si="9"/>
        <v>0.22256753526177386</v>
      </c>
      <c r="BM16" s="24">
        <f t="shared" si="10"/>
        <v>4.2792254362897443E-2</v>
      </c>
      <c r="BN16" s="24">
        <f t="shared" si="11"/>
        <v>0.55343055223523785</v>
      </c>
      <c r="BO16" s="24">
        <f t="shared" si="12"/>
        <v>0.18120965814009085</v>
      </c>
      <c r="BP16" s="24">
        <f t="shared" si="13"/>
        <v>313.3959440407765</v>
      </c>
      <c r="BQ16" s="24">
        <f t="shared" si="14"/>
        <v>60.255503741459712</v>
      </c>
      <c r="BR16" s="24">
        <f t="shared" si="15"/>
        <v>779.28207352781692</v>
      </c>
      <c r="BS16" s="24">
        <f t="shared" si="16"/>
        <v>255.16017785489646</v>
      </c>
      <c r="BT16" s="12">
        <v>4.0249999999999995</v>
      </c>
      <c r="BU16" s="12">
        <v>8.125</v>
      </c>
      <c r="BV16" s="12">
        <v>25.824999999999999</v>
      </c>
      <c r="BW16" s="12">
        <v>49.35</v>
      </c>
      <c r="BX16" s="12">
        <v>49.35</v>
      </c>
      <c r="BZ16" s="119">
        <v>583.33333333333326</v>
      </c>
      <c r="CA16" s="33">
        <v>-25.29</v>
      </c>
      <c r="CB16" s="36">
        <v>3.4952999999999999</v>
      </c>
      <c r="CC16" s="36">
        <v>7.51</v>
      </c>
      <c r="CD16" s="36">
        <v>-25.39</v>
      </c>
      <c r="CE16" s="36">
        <v>2.1989999999999998</v>
      </c>
      <c r="CF16" s="36">
        <v>3.09</v>
      </c>
      <c r="CG16" s="36">
        <v>-25.73</v>
      </c>
      <c r="CH16" s="36">
        <v>1.5693999999999999</v>
      </c>
      <c r="CI16" s="36">
        <v>9.77</v>
      </c>
      <c r="CJ16" s="36">
        <v>-26.28</v>
      </c>
      <c r="CK16" s="36">
        <v>1.9117999999999999</v>
      </c>
      <c r="CL16" s="36">
        <v>5.61</v>
      </c>
    </row>
    <row r="17" spans="1:90" x14ac:dyDescent="0.25">
      <c r="A17" t="s">
        <v>34</v>
      </c>
      <c r="D17" t="s">
        <v>43</v>
      </c>
      <c r="E17" s="6">
        <v>2020</v>
      </c>
      <c r="F17" s="6">
        <v>4</v>
      </c>
      <c r="G17" s="6">
        <v>1</v>
      </c>
      <c r="H17" s="6">
        <v>16</v>
      </c>
      <c r="R17" s="91">
        <v>0.97832352454392402</v>
      </c>
      <c r="S17" s="91">
        <v>0.95707045930018408</v>
      </c>
      <c r="T17" s="91">
        <v>0.89468273788476349</v>
      </c>
      <c r="U17" s="91">
        <v>0.67532796215824842</v>
      </c>
      <c r="AP17" s="5">
        <v>89</v>
      </c>
      <c r="AQ17" s="5">
        <v>0.5</v>
      </c>
      <c r="AR17" s="5">
        <v>2791</v>
      </c>
      <c r="AS17" s="5">
        <f t="shared" si="0"/>
        <v>5582</v>
      </c>
      <c r="AT17" s="25">
        <v>270.58999999999997</v>
      </c>
      <c r="AU17" s="5">
        <v>30</v>
      </c>
      <c r="AV17" s="24">
        <f t="shared" si="1"/>
        <v>9.0196666666666658</v>
      </c>
      <c r="AZ17" s="25">
        <v>10.34</v>
      </c>
      <c r="BA17" s="25">
        <v>1.31</v>
      </c>
      <c r="BB17" s="25">
        <v>26.86</v>
      </c>
      <c r="BC17" s="25">
        <v>8.16</v>
      </c>
      <c r="BE17" s="25">
        <f t="shared" si="2"/>
        <v>46.67</v>
      </c>
      <c r="BF17" s="25">
        <f t="shared" si="3"/>
        <v>46.67</v>
      </c>
      <c r="BG17" s="25">
        <f t="shared" si="4"/>
        <v>2.3334999999999999</v>
      </c>
      <c r="BH17" s="24">
        <f t="shared" si="5"/>
        <v>9.0196666666666658</v>
      </c>
      <c r="BI17" s="24">
        <f t="shared" si="6"/>
        <v>0.25871244317971842</v>
      </c>
      <c r="BJ17" s="24">
        <f t="shared" si="7"/>
        <v>722.0664289145941</v>
      </c>
      <c r="BK17" s="39">
        <f t="shared" si="8"/>
        <v>1444.1328578291882</v>
      </c>
      <c r="BL17" s="24">
        <f t="shared" si="9"/>
        <v>0.22155560317120204</v>
      </c>
      <c r="BM17" s="24">
        <f t="shared" si="10"/>
        <v>2.80694236125991E-2</v>
      </c>
      <c r="BN17" s="24">
        <f t="shared" si="11"/>
        <v>0.57553031926290976</v>
      </c>
      <c r="BO17" s="24">
        <f t="shared" si="12"/>
        <v>0.17484465395328905</v>
      </c>
      <c r="BP17" s="24">
        <f t="shared" si="13"/>
        <v>319.95572637569757</v>
      </c>
      <c r="BQ17" s="24">
        <f t="shared" si="14"/>
        <v>40.535976939280836</v>
      </c>
      <c r="BR17" s="24">
        <f t="shared" si="15"/>
        <v>831.14224472449098</v>
      </c>
      <c r="BS17" s="24">
        <f t="shared" si="16"/>
        <v>252.49890978971877</v>
      </c>
      <c r="BT17" s="12">
        <v>12.5</v>
      </c>
      <c r="BU17" s="12">
        <v>25.85</v>
      </c>
      <c r="BV17" s="12">
        <v>61.674999999999997</v>
      </c>
      <c r="BW17" s="12">
        <v>49.449999999999996</v>
      </c>
      <c r="BX17" s="12">
        <v>49.449999999999996</v>
      </c>
      <c r="BZ17" s="119">
        <v>433.33333333333331</v>
      </c>
      <c r="CA17" s="33">
        <v>-25.11</v>
      </c>
      <c r="CB17" s="36">
        <v>3.3732000000000002</v>
      </c>
      <c r="CC17" s="36">
        <v>6.85</v>
      </c>
      <c r="CD17" s="36">
        <v>-25.28</v>
      </c>
      <c r="CE17" s="36">
        <v>2.1957</v>
      </c>
      <c r="CF17" s="36">
        <v>1.98</v>
      </c>
      <c r="CG17" s="36">
        <v>-26.12</v>
      </c>
      <c r="CH17" s="36">
        <v>1.2715000000000001</v>
      </c>
      <c r="CI17" s="36">
        <v>10.17</v>
      </c>
      <c r="CJ17" s="36">
        <v>-26.48</v>
      </c>
      <c r="CK17" s="36">
        <v>2.1920000000000002</v>
      </c>
      <c r="CL17" s="36">
        <v>7.22</v>
      </c>
    </row>
    <row r="18" spans="1:90" x14ac:dyDescent="0.25">
      <c r="A18" t="s">
        <v>24</v>
      </c>
      <c r="D18" t="s">
        <v>313</v>
      </c>
      <c r="E18" s="61">
        <v>2016</v>
      </c>
      <c r="F18" s="61">
        <v>1</v>
      </c>
      <c r="G18" s="61">
        <v>2</v>
      </c>
      <c r="H18" s="61">
        <v>1</v>
      </c>
      <c r="I18" s="61"/>
      <c r="J18" s="61"/>
      <c r="K18" s="61"/>
      <c r="R18" s="91">
        <v>0.98362869285800614</v>
      </c>
      <c r="S18" s="91">
        <v>0.97830364335479914</v>
      </c>
      <c r="T18" s="91">
        <v>0.9637591109994621</v>
      </c>
      <c r="U18" s="91">
        <v>0.78020501694123501</v>
      </c>
      <c r="AP18" s="5">
        <v>89</v>
      </c>
      <c r="AQ18" s="5">
        <v>0.5</v>
      </c>
      <c r="AR18" s="5">
        <v>2954</v>
      </c>
      <c r="AS18" s="5">
        <f t="shared" si="0"/>
        <v>5908</v>
      </c>
      <c r="AT18" s="25">
        <v>283.19</v>
      </c>
      <c r="AU18" s="5">
        <v>30</v>
      </c>
      <c r="AV18" s="24">
        <f t="shared" si="1"/>
        <v>9.4396666666666658</v>
      </c>
      <c r="AZ18" s="25">
        <v>12.16</v>
      </c>
      <c r="BA18" s="25">
        <v>8.02</v>
      </c>
      <c r="BB18" s="25">
        <v>27.45</v>
      </c>
      <c r="BC18" s="25">
        <v>8.5500000000000007</v>
      </c>
      <c r="BE18" s="25">
        <f t="shared" si="2"/>
        <v>56.179999999999993</v>
      </c>
      <c r="BF18" s="25">
        <f t="shared" si="3"/>
        <v>56.179999999999993</v>
      </c>
      <c r="BG18" s="25">
        <f t="shared" si="4"/>
        <v>2.8089999999999997</v>
      </c>
      <c r="BH18" s="24">
        <f t="shared" si="5"/>
        <v>9.4396666666666658</v>
      </c>
      <c r="BI18" s="24">
        <f t="shared" si="6"/>
        <v>0.29757406688089266</v>
      </c>
      <c r="BJ18" s="24">
        <f t="shared" si="7"/>
        <v>879.03379356615687</v>
      </c>
      <c r="BK18" s="39">
        <f t="shared" si="8"/>
        <v>1758.0675871323137</v>
      </c>
      <c r="BL18" s="24">
        <f t="shared" si="9"/>
        <v>0.21644713421146319</v>
      </c>
      <c r="BM18" s="24">
        <f t="shared" si="10"/>
        <v>0.14275542897828411</v>
      </c>
      <c r="BN18" s="24">
        <f t="shared" si="11"/>
        <v>0.48860804556781778</v>
      </c>
      <c r="BO18" s="24">
        <f t="shared" si="12"/>
        <v>0.15218939124243505</v>
      </c>
      <c r="BP18" s="24">
        <f t="shared" si="13"/>
        <v>380.52869098485115</v>
      </c>
      <c r="BQ18" s="24">
        <f t="shared" si="14"/>
        <v>250.97369257389033</v>
      </c>
      <c r="BR18" s="24">
        <f t="shared" si="15"/>
        <v>859.00596772484903</v>
      </c>
      <c r="BS18" s="24">
        <f t="shared" si="16"/>
        <v>267.55923584872346</v>
      </c>
      <c r="BT18" s="12">
        <v>7.3999999999999995</v>
      </c>
      <c r="BU18" s="12">
        <v>8.0250000000000004</v>
      </c>
      <c r="BV18" s="12">
        <v>15.824999999999999</v>
      </c>
      <c r="BW18" s="12">
        <v>50.025000000000006</v>
      </c>
      <c r="BX18" s="12">
        <v>50.025000000000006</v>
      </c>
      <c r="BZ18" s="119">
        <v>336.84210526315786</v>
      </c>
      <c r="CA18" s="33">
        <v>-26.14</v>
      </c>
      <c r="CB18" s="36">
        <v>2.7435999999999998</v>
      </c>
      <c r="CC18" s="36">
        <v>4.8899999999999997</v>
      </c>
      <c r="CD18" s="36">
        <v>-25.43</v>
      </c>
      <c r="CE18" s="36">
        <v>1.7479</v>
      </c>
      <c r="CF18" s="36">
        <v>7.13</v>
      </c>
      <c r="CG18" s="36">
        <v>-26.01</v>
      </c>
      <c r="CH18" s="36">
        <v>1.1259999999999999</v>
      </c>
      <c r="CI18" s="36">
        <v>8.91</v>
      </c>
      <c r="CJ18" s="36">
        <v>-25.11</v>
      </c>
      <c r="CK18" s="36">
        <v>1.4711000000000001</v>
      </c>
      <c r="CL18" s="36">
        <v>15.26</v>
      </c>
    </row>
    <row r="19" spans="1:90" x14ac:dyDescent="0.25">
      <c r="A19" t="s">
        <v>24</v>
      </c>
      <c r="D19" t="s">
        <v>311</v>
      </c>
      <c r="E19" s="6">
        <v>2023</v>
      </c>
      <c r="F19" s="6">
        <v>1</v>
      </c>
      <c r="G19" s="6">
        <v>2</v>
      </c>
      <c r="H19" s="6">
        <v>2</v>
      </c>
      <c r="R19" s="91">
        <v>0.9848110915386098</v>
      </c>
      <c r="S19" s="91">
        <v>0.97570109759392298</v>
      </c>
      <c r="T19" s="91">
        <v>0.88868999868560428</v>
      </c>
      <c r="U19" s="91">
        <v>0.67664117995252082</v>
      </c>
      <c r="AP19" s="5">
        <v>91</v>
      </c>
      <c r="AQ19" s="5">
        <v>0.5</v>
      </c>
      <c r="AR19" s="5">
        <v>2902</v>
      </c>
      <c r="AS19" s="5">
        <f t="shared" si="0"/>
        <v>5804</v>
      </c>
      <c r="AT19" s="25">
        <v>301.3</v>
      </c>
      <c r="AU19" s="5">
        <v>30</v>
      </c>
      <c r="AV19" s="24">
        <f t="shared" si="1"/>
        <v>10.043333333333333</v>
      </c>
      <c r="AZ19" s="25">
        <v>8.3000000000000007</v>
      </c>
      <c r="BA19" s="25">
        <v>8.3000000000000007</v>
      </c>
      <c r="BB19" s="25">
        <v>31.96</v>
      </c>
      <c r="BC19" s="25">
        <v>8.5299999999999994</v>
      </c>
      <c r="BE19" s="25">
        <f t="shared" si="2"/>
        <v>57.09</v>
      </c>
      <c r="BF19" s="25">
        <f t="shared" si="3"/>
        <v>57.09</v>
      </c>
      <c r="BG19" s="25">
        <f t="shared" si="4"/>
        <v>2.8545000000000003</v>
      </c>
      <c r="BH19" s="24">
        <f t="shared" si="5"/>
        <v>10.043333333333333</v>
      </c>
      <c r="BI19" s="24">
        <f t="shared" si="6"/>
        <v>0.2842183869897113</v>
      </c>
      <c r="BJ19" s="24">
        <f t="shared" si="7"/>
        <v>824.80175904414216</v>
      </c>
      <c r="BK19" s="39">
        <f t="shared" si="8"/>
        <v>1649.6035180882843</v>
      </c>
      <c r="BL19" s="24">
        <f t="shared" si="9"/>
        <v>0.14538448064459625</v>
      </c>
      <c r="BM19" s="24">
        <f t="shared" si="10"/>
        <v>0.14538448064459625</v>
      </c>
      <c r="BN19" s="24">
        <f t="shared" si="11"/>
        <v>0.559817831494132</v>
      </c>
      <c r="BO19" s="24">
        <f t="shared" si="12"/>
        <v>0.14941320721667539</v>
      </c>
      <c r="BP19" s="24">
        <f t="shared" si="13"/>
        <v>239.82675074676405</v>
      </c>
      <c r="BQ19" s="24">
        <f t="shared" si="14"/>
        <v>239.82675074676405</v>
      </c>
      <c r="BR19" s="24">
        <f t="shared" si="15"/>
        <v>923.47746432127451</v>
      </c>
      <c r="BS19" s="24">
        <f t="shared" si="16"/>
        <v>246.47255227348157</v>
      </c>
      <c r="BT19" s="12">
        <v>9.65</v>
      </c>
      <c r="BU19" s="12">
        <v>27.825000000000003</v>
      </c>
      <c r="BV19" s="12">
        <v>49.3</v>
      </c>
      <c r="BW19" s="12">
        <v>50.375</v>
      </c>
      <c r="BX19" s="12">
        <v>50.375</v>
      </c>
      <c r="BZ19" s="119">
        <v>674.28571428571433</v>
      </c>
      <c r="CA19" s="33">
        <v>-25.78</v>
      </c>
      <c r="CB19" s="36">
        <v>3.2953999999999999</v>
      </c>
      <c r="CC19" s="36">
        <v>5.75</v>
      </c>
      <c r="CD19" s="36">
        <v>-25.21</v>
      </c>
      <c r="CE19" s="36">
        <v>1.9952000000000001</v>
      </c>
      <c r="CF19" s="36">
        <v>7.15</v>
      </c>
      <c r="CG19" s="36">
        <v>-25.68</v>
      </c>
      <c r="CH19" s="36">
        <v>0.78708</v>
      </c>
      <c r="CI19" s="36">
        <v>15.75</v>
      </c>
      <c r="CJ19" s="36">
        <v>-24.57</v>
      </c>
      <c r="CK19" s="36">
        <v>1.8643000000000001</v>
      </c>
      <c r="CL19" s="36">
        <v>16.510000000000002</v>
      </c>
    </row>
    <row r="20" spans="1:90" x14ac:dyDescent="0.25">
      <c r="A20" t="s">
        <v>34</v>
      </c>
      <c r="D20" t="s">
        <v>318</v>
      </c>
      <c r="E20">
        <v>2004</v>
      </c>
      <c r="F20">
        <v>1</v>
      </c>
      <c r="G20">
        <v>2</v>
      </c>
      <c r="H20">
        <v>3</v>
      </c>
      <c r="I20"/>
      <c r="J20"/>
      <c r="K20"/>
      <c r="L20"/>
      <c r="M20"/>
      <c r="N20"/>
      <c r="O20"/>
      <c r="P20"/>
      <c r="Q20"/>
      <c r="R20" s="86">
        <v>0.9745431183596418</v>
      </c>
      <c r="S20" s="86">
        <v>0.95558388845671705</v>
      </c>
      <c r="T20" s="86">
        <v>0.90830647610776116</v>
      </c>
      <c r="U20" s="86">
        <v>0.67150372573518224</v>
      </c>
      <c r="V20"/>
      <c r="W20"/>
      <c r="X20"/>
      <c r="Y20"/>
      <c r="Z20"/>
      <c r="AA20"/>
      <c r="AB20"/>
      <c r="AC20"/>
      <c r="AD20"/>
      <c r="AE20"/>
      <c r="AF20"/>
      <c r="AG20"/>
      <c r="AH20"/>
      <c r="AI20"/>
      <c r="AJ20"/>
      <c r="AK20"/>
      <c r="AL20"/>
      <c r="AM20"/>
      <c r="AN20"/>
      <c r="AO20"/>
      <c r="AP20" s="5">
        <v>95</v>
      </c>
      <c r="AQ20" s="5">
        <v>0.5</v>
      </c>
      <c r="AR20" s="5">
        <v>2645</v>
      </c>
      <c r="AS20" s="5">
        <f t="shared" si="0"/>
        <v>5290</v>
      </c>
      <c r="AT20" s="25">
        <v>250.93</v>
      </c>
      <c r="AU20" s="5">
        <v>30</v>
      </c>
      <c r="AV20" s="24">
        <f t="shared" si="1"/>
        <v>8.3643333333333327</v>
      </c>
      <c r="AZ20" s="25">
        <v>9.51</v>
      </c>
      <c r="BA20" s="25">
        <v>1.17</v>
      </c>
      <c r="BB20" s="25">
        <v>26.25</v>
      </c>
      <c r="BC20" s="25">
        <v>8.7100000000000009</v>
      </c>
      <c r="BE20" s="25">
        <f t="shared" si="2"/>
        <v>45.64</v>
      </c>
      <c r="BF20" s="25">
        <f t="shared" si="3"/>
        <v>45.64</v>
      </c>
      <c r="BG20" s="25">
        <f t="shared" si="4"/>
        <v>2.282</v>
      </c>
      <c r="BH20" s="24">
        <f t="shared" si="5"/>
        <v>8.3643333333333327</v>
      </c>
      <c r="BI20" s="24">
        <f t="shared" si="6"/>
        <v>0.27282509066273464</v>
      </c>
      <c r="BJ20" s="24">
        <f t="shared" si="7"/>
        <v>721.62236480293313</v>
      </c>
      <c r="BK20" s="39">
        <f t="shared" si="8"/>
        <v>1443.2447296058663</v>
      </c>
      <c r="BL20" s="24">
        <f t="shared" si="9"/>
        <v>0.20836985100788782</v>
      </c>
      <c r="BM20" s="24">
        <f t="shared" si="10"/>
        <v>2.5635407537248026E-2</v>
      </c>
      <c r="BN20" s="24">
        <f t="shared" si="11"/>
        <v>0.57515337423312884</v>
      </c>
      <c r="BO20" s="24">
        <f t="shared" si="12"/>
        <v>0.19084136722173534</v>
      </c>
      <c r="BP20" s="24">
        <f t="shared" si="13"/>
        <v>300.72868927589371</v>
      </c>
      <c r="BQ20" s="24">
        <f t="shared" si="14"/>
        <v>36.998166819431717</v>
      </c>
      <c r="BR20" s="24">
        <f t="shared" si="15"/>
        <v>830.08707607699364</v>
      </c>
      <c r="BS20" s="24">
        <f t="shared" si="16"/>
        <v>275.43079743354724</v>
      </c>
      <c r="BT20" s="12">
        <v>8.5250000000000004</v>
      </c>
      <c r="BU20" s="12">
        <v>7.2999999999999989</v>
      </c>
      <c r="BV20" s="12">
        <v>54.300000000000004</v>
      </c>
      <c r="BW20" s="12">
        <v>51.75</v>
      </c>
      <c r="BX20" s="12">
        <v>51.75</v>
      </c>
      <c r="BY20"/>
      <c r="BZ20" s="119">
        <v>539.13043478260875</v>
      </c>
      <c r="CA20" s="33">
        <v>-25.67</v>
      </c>
      <c r="CB20" s="36">
        <v>3.1457999999999999</v>
      </c>
      <c r="CC20" s="36">
        <v>7.14</v>
      </c>
      <c r="CD20" s="36">
        <v>-26.17</v>
      </c>
      <c r="CE20" s="36">
        <v>3.0985999999999998</v>
      </c>
      <c r="CF20" s="36">
        <v>4.4400000000000004</v>
      </c>
      <c r="CG20" s="36">
        <v>-25.94</v>
      </c>
      <c r="CH20" s="36">
        <v>1.5125</v>
      </c>
      <c r="CI20" s="36">
        <v>11.92</v>
      </c>
      <c r="CJ20" s="36">
        <v>-25.06</v>
      </c>
      <c r="CK20" s="36">
        <v>1.6708000000000001</v>
      </c>
      <c r="CL20" s="36">
        <v>14.62</v>
      </c>
    </row>
    <row r="21" spans="1:90" x14ac:dyDescent="0.25">
      <c r="A21" t="s">
        <v>34</v>
      </c>
      <c r="D21" t="s">
        <v>42</v>
      </c>
      <c r="E21" s="6">
        <v>2016</v>
      </c>
      <c r="F21" s="6">
        <v>1</v>
      </c>
      <c r="G21" s="6">
        <v>2</v>
      </c>
      <c r="H21" s="6">
        <v>4</v>
      </c>
      <c r="R21" s="91">
        <v>0.98884434222811046</v>
      </c>
      <c r="S21" s="91">
        <v>0.95395186741933446</v>
      </c>
      <c r="T21" s="91">
        <v>0.91523466528168884</v>
      </c>
      <c r="U21" s="91">
        <v>0.75586972044885281</v>
      </c>
      <c r="AP21" s="5">
        <v>89</v>
      </c>
      <c r="AQ21" s="5">
        <v>0.5</v>
      </c>
      <c r="AR21" s="5">
        <v>3379</v>
      </c>
      <c r="AS21" s="5">
        <f t="shared" si="0"/>
        <v>6758</v>
      </c>
      <c r="AT21" s="25">
        <v>237.43</v>
      </c>
      <c r="AU21" s="5">
        <v>30</v>
      </c>
      <c r="AV21" s="24">
        <f t="shared" si="1"/>
        <v>7.9143333333333334</v>
      </c>
      <c r="AZ21" s="25">
        <v>7.24</v>
      </c>
      <c r="BA21" s="25">
        <v>0.92</v>
      </c>
      <c r="BB21" s="25">
        <v>19.5</v>
      </c>
      <c r="BC21" s="25">
        <v>6.34</v>
      </c>
      <c r="BE21" s="25">
        <f t="shared" si="2"/>
        <v>34</v>
      </c>
      <c r="BF21" s="25">
        <f t="shared" si="3"/>
        <v>34</v>
      </c>
      <c r="BG21" s="25">
        <f t="shared" si="4"/>
        <v>1.7</v>
      </c>
      <c r="BH21" s="24">
        <f t="shared" si="5"/>
        <v>7.9143333333333334</v>
      </c>
      <c r="BI21" s="24">
        <f t="shared" si="6"/>
        <v>0.21480015162363644</v>
      </c>
      <c r="BJ21" s="24">
        <f t="shared" si="7"/>
        <v>725.80971233626758</v>
      </c>
      <c r="BK21" s="39">
        <f t="shared" si="8"/>
        <v>1451.6194246725352</v>
      </c>
      <c r="BL21" s="24">
        <f t="shared" si="9"/>
        <v>0.21294117647058824</v>
      </c>
      <c r="BM21" s="24">
        <f t="shared" si="10"/>
        <v>2.7058823529411767E-2</v>
      </c>
      <c r="BN21" s="24">
        <f t="shared" si="11"/>
        <v>0.57352941176470584</v>
      </c>
      <c r="BO21" s="24">
        <f t="shared" si="12"/>
        <v>0.18647058823529411</v>
      </c>
      <c r="BP21" s="24">
        <f t="shared" si="13"/>
        <v>309.1095480773281</v>
      </c>
      <c r="BQ21" s="24">
        <f t="shared" si="14"/>
        <v>39.279113844080364</v>
      </c>
      <c r="BR21" s="24">
        <f t="shared" si="15"/>
        <v>832.54643473865985</v>
      </c>
      <c r="BS21" s="24">
        <f t="shared" si="16"/>
        <v>270.68432801246684</v>
      </c>
      <c r="BT21" s="12">
        <v>6.7750000000000004</v>
      </c>
      <c r="BU21" s="12">
        <v>8.4500000000000011</v>
      </c>
      <c r="BV21" s="12">
        <v>40.824999999999996</v>
      </c>
      <c r="BW21" s="12">
        <v>54.349999999999994</v>
      </c>
      <c r="BX21" s="12">
        <v>54.349999999999994</v>
      </c>
      <c r="BZ21" s="119">
        <v>692.30769230769238</v>
      </c>
      <c r="CA21" s="33">
        <v>-25.82</v>
      </c>
      <c r="CB21" s="36">
        <v>2.9512</v>
      </c>
      <c r="CC21" s="36">
        <v>5.98</v>
      </c>
      <c r="CD21" s="36">
        <v>-25.46</v>
      </c>
      <c r="CE21" s="36">
        <v>2.141</v>
      </c>
      <c r="CF21" s="36">
        <v>5.35</v>
      </c>
      <c r="CG21" s="36">
        <v>-25.82</v>
      </c>
      <c r="CH21" s="36">
        <v>1.5754999999999999</v>
      </c>
      <c r="CI21" s="36">
        <v>13.03</v>
      </c>
      <c r="CJ21" s="36">
        <v>-25.2</v>
      </c>
      <c r="CK21" s="36">
        <v>1.9581</v>
      </c>
      <c r="CL21" s="36">
        <v>10.77</v>
      </c>
    </row>
    <row r="22" spans="1:90" x14ac:dyDescent="0.25">
      <c r="A22" t="s">
        <v>24</v>
      </c>
      <c r="D22" t="s">
        <v>27</v>
      </c>
      <c r="E22" s="61">
        <v>1985</v>
      </c>
      <c r="F22" s="61">
        <v>2</v>
      </c>
      <c r="G22" s="61">
        <v>2</v>
      </c>
      <c r="H22" s="61">
        <v>5</v>
      </c>
      <c r="I22" s="61"/>
      <c r="J22" s="61"/>
      <c r="K22" s="61"/>
      <c r="R22" s="91">
        <v>0.99733542239191841</v>
      </c>
      <c r="S22" s="91">
        <v>0.99150881896636778</v>
      </c>
      <c r="T22" s="91">
        <v>0.96042142437753897</v>
      </c>
      <c r="U22" s="91">
        <v>0.69716444831139412</v>
      </c>
      <c r="AP22" s="5">
        <v>86</v>
      </c>
      <c r="AQ22" s="5">
        <v>0.5</v>
      </c>
      <c r="AR22" s="5">
        <v>2467</v>
      </c>
      <c r="AS22" s="5">
        <f t="shared" si="0"/>
        <v>4934</v>
      </c>
      <c r="AT22" s="25">
        <v>216.41</v>
      </c>
      <c r="AU22" s="5">
        <v>30</v>
      </c>
      <c r="AV22" s="24">
        <f t="shared" si="1"/>
        <v>7.2136666666666667</v>
      </c>
      <c r="AZ22" s="25">
        <v>9.7899999999999991</v>
      </c>
      <c r="BA22" s="25">
        <v>8.26</v>
      </c>
      <c r="BB22" s="25">
        <v>21.47</v>
      </c>
      <c r="BC22" s="25">
        <v>7.18</v>
      </c>
      <c r="BE22" s="25">
        <f t="shared" si="2"/>
        <v>46.699999999999996</v>
      </c>
      <c r="BF22" s="25">
        <f t="shared" si="3"/>
        <v>46.699999999999996</v>
      </c>
      <c r="BG22" s="25">
        <f t="shared" si="4"/>
        <v>2.335</v>
      </c>
      <c r="BH22" s="24">
        <f t="shared" si="5"/>
        <v>7.2136666666666667</v>
      </c>
      <c r="BI22" s="24">
        <f t="shared" si="6"/>
        <v>0.32369114181414904</v>
      </c>
      <c r="BJ22" s="24">
        <f t="shared" si="7"/>
        <v>798.54604685550567</v>
      </c>
      <c r="BK22" s="39">
        <f t="shared" si="8"/>
        <v>1597.0920937110113</v>
      </c>
      <c r="BL22" s="24">
        <f t="shared" si="9"/>
        <v>0.20963597430406852</v>
      </c>
      <c r="BM22" s="24">
        <f t="shared" si="10"/>
        <v>0.17687366167023555</v>
      </c>
      <c r="BN22" s="24">
        <f t="shared" si="11"/>
        <v>0.45974304068522487</v>
      </c>
      <c r="BO22" s="24">
        <f t="shared" si="12"/>
        <v>0.15374732334047109</v>
      </c>
      <c r="BP22" s="24">
        <f t="shared" si="13"/>
        <v>334.80795711843257</v>
      </c>
      <c r="BQ22" s="24">
        <f t="shared" si="14"/>
        <v>282.48352663924953</v>
      </c>
      <c r="BR22" s="24">
        <f t="shared" si="15"/>
        <v>734.25197541703244</v>
      </c>
      <c r="BS22" s="24">
        <f t="shared" si="16"/>
        <v>245.54863453629682</v>
      </c>
      <c r="BT22" s="12">
        <v>11.274999999999999</v>
      </c>
      <c r="BU22" s="12">
        <v>5.9250000000000007</v>
      </c>
      <c r="BV22" s="12">
        <v>42.25</v>
      </c>
      <c r="BW22" s="12">
        <v>47.2</v>
      </c>
      <c r="BX22" s="12">
        <v>47.2</v>
      </c>
      <c r="BZ22" s="119">
        <v>567.74193548387098</v>
      </c>
      <c r="CA22" s="33">
        <v>-24.96</v>
      </c>
      <c r="CB22" s="36">
        <v>3.0327999999999999</v>
      </c>
      <c r="CC22" s="36">
        <v>5.51</v>
      </c>
      <c r="CD22" s="36">
        <v>-25.42</v>
      </c>
      <c r="CE22" s="36">
        <v>1.625</v>
      </c>
      <c r="CF22" s="36">
        <v>5.42</v>
      </c>
      <c r="CG22" s="36">
        <v>-25.79</v>
      </c>
      <c r="CH22" s="36">
        <v>1.2101999999999999</v>
      </c>
      <c r="CI22" s="36">
        <v>12.87</v>
      </c>
      <c r="CJ22" s="36">
        <v>-25.19</v>
      </c>
      <c r="CK22" s="36">
        <v>1.6364000000000001</v>
      </c>
      <c r="CL22" s="36">
        <v>11.38</v>
      </c>
    </row>
    <row r="23" spans="1:90" x14ac:dyDescent="0.25">
      <c r="A23" t="s">
        <v>24</v>
      </c>
      <c r="D23" t="s">
        <v>28</v>
      </c>
      <c r="E23" s="61">
        <v>1998</v>
      </c>
      <c r="F23" s="61">
        <v>2</v>
      </c>
      <c r="G23" s="61">
        <v>2</v>
      </c>
      <c r="H23" s="61">
        <v>6</v>
      </c>
      <c r="I23" s="61"/>
      <c r="J23" s="61"/>
      <c r="K23" s="61"/>
      <c r="R23" s="91">
        <v>0.99200667999083036</v>
      </c>
      <c r="S23" s="91">
        <v>0.99288311072557056</v>
      </c>
      <c r="T23" s="91">
        <v>0.95074744075740913</v>
      </c>
      <c r="U23" s="91">
        <v>0.7833417294767312</v>
      </c>
      <c r="AP23" s="5">
        <v>89</v>
      </c>
      <c r="AQ23" s="5">
        <v>0.5</v>
      </c>
      <c r="AR23" s="5">
        <v>3274</v>
      </c>
      <c r="AS23" s="5">
        <f t="shared" si="0"/>
        <v>6548</v>
      </c>
      <c r="AT23" s="25">
        <v>234.01</v>
      </c>
      <c r="AU23" s="5">
        <v>30</v>
      </c>
      <c r="AV23" s="24">
        <f t="shared" si="1"/>
        <v>7.8003333333333327</v>
      </c>
      <c r="AZ23" s="25">
        <v>7.36</v>
      </c>
      <c r="BA23" s="25">
        <v>5.0999999999999996</v>
      </c>
      <c r="BB23" s="25">
        <v>20.2</v>
      </c>
      <c r="BC23" s="25">
        <v>6.23</v>
      </c>
      <c r="BE23" s="25">
        <f t="shared" si="2"/>
        <v>38.89</v>
      </c>
      <c r="BF23" s="25">
        <f t="shared" si="3"/>
        <v>38.89</v>
      </c>
      <c r="BG23" s="25">
        <f t="shared" si="4"/>
        <v>1.9445000000000001</v>
      </c>
      <c r="BH23" s="24">
        <f t="shared" si="5"/>
        <v>7.8003333333333327</v>
      </c>
      <c r="BI23" s="24">
        <f t="shared" si="6"/>
        <v>0.24928421862313579</v>
      </c>
      <c r="BJ23" s="24">
        <f t="shared" si="7"/>
        <v>816.15653177214654</v>
      </c>
      <c r="BK23" s="39">
        <f t="shared" si="8"/>
        <v>1632.3130635442931</v>
      </c>
      <c r="BL23" s="24">
        <f t="shared" si="9"/>
        <v>0.1892517356646953</v>
      </c>
      <c r="BM23" s="24">
        <f t="shared" si="10"/>
        <v>0.13113911031113396</v>
      </c>
      <c r="BN23" s="24">
        <f t="shared" si="11"/>
        <v>0.5194137310362561</v>
      </c>
      <c r="BO23" s="24">
        <f t="shared" si="12"/>
        <v>0.16019542298791464</v>
      </c>
      <c r="BP23" s="24">
        <f t="shared" si="13"/>
        <v>308.91808042391352</v>
      </c>
      <c r="BQ23" s="24">
        <f t="shared" si="14"/>
        <v>214.06008290244006</v>
      </c>
      <c r="BR23" s="24">
        <f t="shared" si="15"/>
        <v>847.84581855476267</v>
      </c>
      <c r="BS23" s="24">
        <f t="shared" si="16"/>
        <v>261.48908166317682</v>
      </c>
      <c r="BT23" s="12">
        <v>5.2249999999999996</v>
      </c>
      <c r="BU23" s="12">
        <v>8.7999999999999989</v>
      </c>
      <c r="BV23" s="12">
        <v>41.650000000000006</v>
      </c>
      <c r="BW23" s="12">
        <v>42.849999999999994</v>
      </c>
      <c r="BX23" s="12">
        <v>42.849999999999994</v>
      </c>
      <c r="BZ23" s="119">
        <v>653.65853658536582</v>
      </c>
      <c r="CA23" s="33">
        <v>-24.8</v>
      </c>
      <c r="CB23" s="36">
        <v>2.9041999999999999</v>
      </c>
      <c r="CC23" s="36">
        <v>7.28</v>
      </c>
      <c r="CD23" s="36">
        <v>-25.08</v>
      </c>
      <c r="CE23" s="36">
        <v>1.6385000000000001</v>
      </c>
      <c r="CF23" s="36">
        <v>6.37</v>
      </c>
      <c r="CG23" s="36">
        <v>-25.65</v>
      </c>
      <c r="CH23" s="36">
        <v>0.98333000000000004</v>
      </c>
      <c r="CI23" s="36">
        <v>16.52</v>
      </c>
      <c r="CJ23" s="36">
        <v>-25.54</v>
      </c>
      <c r="CK23" s="36">
        <v>1.6153999999999999</v>
      </c>
      <c r="CL23" s="36">
        <v>12.58</v>
      </c>
    </row>
    <row r="24" spans="1:90" x14ac:dyDescent="0.25">
      <c r="A24" t="s">
        <v>34</v>
      </c>
      <c r="D24" t="s">
        <v>37</v>
      </c>
      <c r="E24" s="6">
        <v>1989</v>
      </c>
      <c r="F24" s="6">
        <v>2</v>
      </c>
      <c r="G24" s="6">
        <v>2</v>
      </c>
      <c r="H24" s="6">
        <v>7</v>
      </c>
      <c r="R24" s="91">
        <v>0.97870884944300485</v>
      </c>
      <c r="S24" s="91">
        <v>0.97941087145281891</v>
      </c>
      <c r="T24" s="91">
        <v>0.95173090228374024</v>
      </c>
      <c r="U24" s="91">
        <v>0.84570339315225906</v>
      </c>
      <c r="AP24" s="5">
        <v>82</v>
      </c>
      <c r="AQ24" s="5">
        <v>0.5</v>
      </c>
      <c r="AR24" s="5">
        <v>2531</v>
      </c>
      <c r="AS24" s="5">
        <f t="shared" si="0"/>
        <v>5062</v>
      </c>
      <c r="AT24" s="25">
        <v>232.41</v>
      </c>
      <c r="AU24" s="5">
        <v>30</v>
      </c>
      <c r="AV24" s="24">
        <f t="shared" si="1"/>
        <v>7.7469999999999999</v>
      </c>
      <c r="AZ24" s="25">
        <v>8.57</v>
      </c>
      <c r="BA24" s="25">
        <v>1.65</v>
      </c>
      <c r="BB24" s="25">
        <v>24.78</v>
      </c>
      <c r="BC24" s="25">
        <v>7.33</v>
      </c>
      <c r="BE24" s="25">
        <f t="shared" si="2"/>
        <v>42.33</v>
      </c>
      <c r="BF24" s="25">
        <f t="shared" si="3"/>
        <v>42.33</v>
      </c>
      <c r="BG24" s="25">
        <f t="shared" si="4"/>
        <v>2.1164999999999998</v>
      </c>
      <c r="BH24" s="24">
        <f t="shared" si="5"/>
        <v>7.7469999999999999</v>
      </c>
      <c r="BI24" s="24">
        <f t="shared" si="6"/>
        <v>0.27320253001161737</v>
      </c>
      <c r="BJ24" s="24">
        <f t="shared" si="7"/>
        <v>691.4756034594036</v>
      </c>
      <c r="BK24" s="39">
        <f t="shared" si="8"/>
        <v>1382.9512069188072</v>
      </c>
      <c r="BL24" s="24">
        <f t="shared" si="9"/>
        <v>0.20245688636900544</v>
      </c>
      <c r="BM24" s="24">
        <f t="shared" si="10"/>
        <v>3.8979447200566973E-2</v>
      </c>
      <c r="BN24" s="24">
        <f t="shared" si="11"/>
        <v>0.5854004252303332</v>
      </c>
      <c r="BO24" s="24">
        <f t="shared" si="12"/>
        <v>0.17316324120009449</v>
      </c>
      <c r="BP24" s="24">
        <f t="shared" si="13"/>
        <v>279.98799535303988</v>
      </c>
      <c r="BQ24" s="24">
        <f t="shared" si="14"/>
        <v>53.906673551052016</v>
      </c>
      <c r="BR24" s="24">
        <f t="shared" si="15"/>
        <v>809.58022460307222</v>
      </c>
      <c r="BS24" s="24">
        <f t="shared" si="16"/>
        <v>239.47631341164319</v>
      </c>
      <c r="BT24" s="12">
        <v>2.3250000000000002</v>
      </c>
      <c r="BU24" s="12">
        <v>10.75</v>
      </c>
      <c r="BV24" s="12">
        <v>33.625</v>
      </c>
      <c r="BW24" s="12">
        <v>53.275000000000006</v>
      </c>
      <c r="BX24" s="12">
        <v>53.275000000000006</v>
      </c>
      <c r="BZ24" s="119">
        <v>678.26086956521738</v>
      </c>
      <c r="CA24" s="33">
        <v>-25.54</v>
      </c>
      <c r="CB24" s="36">
        <v>3.1842000000000001</v>
      </c>
      <c r="CC24" s="36">
        <v>6.76</v>
      </c>
      <c r="CD24" s="36">
        <v>-25.88</v>
      </c>
      <c r="CE24" s="36">
        <v>2.1859999999999999</v>
      </c>
      <c r="CF24" s="36">
        <v>2.86</v>
      </c>
      <c r="CG24" s="36">
        <v>-26.42</v>
      </c>
      <c r="CH24" s="36">
        <v>0.64959</v>
      </c>
      <c r="CI24" s="36">
        <v>9.24</v>
      </c>
      <c r="CJ24" s="36">
        <v>-25.39</v>
      </c>
      <c r="CK24" s="36">
        <v>2.1823999999999999</v>
      </c>
      <c r="CL24" s="36">
        <v>11.18</v>
      </c>
    </row>
    <row r="25" spans="1:90" x14ac:dyDescent="0.25">
      <c r="A25" t="s">
        <v>34</v>
      </c>
      <c r="D25" t="s">
        <v>43</v>
      </c>
      <c r="E25" s="6">
        <v>2020</v>
      </c>
      <c r="F25" s="6">
        <v>2</v>
      </c>
      <c r="G25" s="6">
        <v>2</v>
      </c>
      <c r="H25" s="6">
        <v>8</v>
      </c>
      <c r="R25" s="91">
        <v>0.95703094716331671</v>
      </c>
      <c r="S25" s="91">
        <v>0.93515888202241537</v>
      </c>
      <c r="T25" s="91">
        <v>0.8671631676714785</v>
      </c>
      <c r="U25" s="91">
        <v>0.53490923026239812</v>
      </c>
      <c r="AP25" s="5">
        <v>85</v>
      </c>
      <c r="AQ25" s="5">
        <v>0.5</v>
      </c>
      <c r="AR25" s="5">
        <v>2237</v>
      </c>
      <c r="AS25" s="5">
        <f t="shared" si="0"/>
        <v>4474</v>
      </c>
      <c r="AT25" s="25">
        <v>256.07</v>
      </c>
      <c r="AU25" s="5">
        <v>30</v>
      </c>
      <c r="AV25" s="24">
        <f t="shared" si="1"/>
        <v>8.5356666666666658</v>
      </c>
      <c r="AZ25" s="25">
        <v>9.94</v>
      </c>
      <c r="BA25" s="25">
        <v>0.93</v>
      </c>
      <c r="BB25" s="25">
        <v>28.78</v>
      </c>
      <c r="BC25" s="25">
        <v>9.67</v>
      </c>
      <c r="BE25" s="25">
        <f t="shared" si="2"/>
        <v>49.32</v>
      </c>
      <c r="BF25" s="25">
        <f t="shared" si="3"/>
        <v>49.32</v>
      </c>
      <c r="BG25" s="25">
        <f t="shared" si="4"/>
        <v>2.4660000000000002</v>
      </c>
      <c r="BH25" s="24">
        <f t="shared" si="5"/>
        <v>8.5356666666666658</v>
      </c>
      <c r="BI25" s="24">
        <f t="shared" si="6"/>
        <v>0.28890537743585742</v>
      </c>
      <c r="BJ25" s="24">
        <f t="shared" si="7"/>
        <v>646.28132932401309</v>
      </c>
      <c r="BK25" s="39">
        <f t="shared" si="8"/>
        <v>1292.5626586480262</v>
      </c>
      <c r="BL25" s="24">
        <f t="shared" si="9"/>
        <v>0.20154095701540956</v>
      </c>
      <c r="BM25" s="24">
        <f t="shared" si="10"/>
        <v>1.8856447688564478E-2</v>
      </c>
      <c r="BN25" s="24">
        <f t="shared" si="11"/>
        <v>0.58353609083536095</v>
      </c>
      <c r="BO25" s="24">
        <f t="shared" si="12"/>
        <v>0.19606650446066504</v>
      </c>
      <c r="BP25" s="24">
        <f t="shared" si="13"/>
        <v>260.50431522630532</v>
      </c>
      <c r="BQ25" s="24">
        <f t="shared" si="14"/>
        <v>24.373140156988331</v>
      </c>
      <c r="BR25" s="24">
        <f t="shared" si="15"/>
        <v>754.25696098723029</v>
      </c>
      <c r="BS25" s="24">
        <f t="shared" si="16"/>
        <v>253.42824227750228</v>
      </c>
      <c r="BT25" s="12">
        <v>7.3249999999999993</v>
      </c>
      <c r="BU25" s="12">
        <v>12.925000000000001</v>
      </c>
      <c r="BV25" s="12">
        <v>51.625</v>
      </c>
      <c r="BW25" s="12">
        <v>38.85</v>
      </c>
      <c r="BX25" s="12">
        <v>38.85</v>
      </c>
      <c r="BZ25" s="119">
        <v>528</v>
      </c>
      <c r="CA25" s="33">
        <v>-25.66</v>
      </c>
      <c r="CB25" s="36">
        <v>2.6497000000000002</v>
      </c>
      <c r="CC25" s="36">
        <v>3.52</v>
      </c>
      <c r="CD25" s="36">
        <v>-26.15</v>
      </c>
      <c r="CE25" s="36">
        <v>2.7378999999999998</v>
      </c>
      <c r="CF25" s="36">
        <v>0.02</v>
      </c>
      <c r="CG25" s="36">
        <v>-25.63</v>
      </c>
      <c r="CH25" s="36">
        <v>0.62963999999999998</v>
      </c>
      <c r="CI25" s="36">
        <v>20.62</v>
      </c>
      <c r="CJ25" s="36">
        <v>-25.15</v>
      </c>
      <c r="CK25" s="36">
        <v>1.5926</v>
      </c>
      <c r="CL25" s="36">
        <v>16.71</v>
      </c>
    </row>
    <row r="26" spans="1:90" x14ac:dyDescent="0.25">
      <c r="A26" t="s">
        <v>24</v>
      </c>
      <c r="D26" t="s">
        <v>312</v>
      </c>
      <c r="E26" s="61">
        <v>2002</v>
      </c>
      <c r="F26" s="61">
        <v>3</v>
      </c>
      <c r="G26" s="61">
        <v>2</v>
      </c>
      <c r="H26" s="61">
        <v>9</v>
      </c>
      <c r="I26" s="61"/>
      <c r="J26" s="61"/>
      <c r="K26" s="61"/>
      <c r="R26" s="91">
        <v>0.98626077827209901</v>
      </c>
      <c r="S26" s="91">
        <v>0.97804957822085115</v>
      </c>
      <c r="T26" s="91">
        <v>0.9625357782734526</v>
      </c>
      <c r="U26" s="91">
        <v>0.87905827716976515</v>
      </c>
      <c r="AP26" s="5">
        <v>82</v>
      </c>
      <c r="AQ26" s="5">
        <v>0.5</v>
      </c>
      <c r="AR26" s="5">
        <v>2648</v>
      </c>
      <c r="AS26" s="5">
        <f t="shared" si="0"/>
        <v>5296</v>
      </c>
      <c r="AT26" s="25">
        <v>233.43</v>
      </c>
      <c r="AU26" s="5">
        <v>30</v>
      </c>
      <c r="AV26" s="24">
        <f t="shared" si="1"/>
        <v>7.7810000000000006</v>
      </c>
      <c r="AZ26" s="25">
        <v>9.1</v>
      </c>
      <c r="BA26" s="25">
        <v>3.25</v>
      </c>
      <c r="BB26" s="25">
        <v>25.44</v>
      </c>
      <c r="BC26" s="25">
        <v>8.43</v>
      </c>
      <c r="BE26" s="25">
        <f t="shared" si="2"/>
        <v>46.22</v>
      </c>
      <c r="BF26" s="25">
        <f t="shared" si="3"/>
        <v>46.22</v>
      </c>
      <c r="BG26" s="25">
        <f t="shared" si="4"/>
        <v>2.3109999999999999</v>
      </c>
      <c r="BH26" s="24">
        <f t="shared" si="5"/>
        <v>7.7810000000000006</v>
      </c>
      <c r="BI26" s="24">
        <f t="shared" si="6"/>
        <v>0.29700552628196886</v>
      </c>
      <c r="BJ26" s="24">
        <f t="shared" si="7"/>
        <v>786.47063359465358</v>
      </c>
      <c r="BK26" s="39">
        <f t="shared" si="8"/>
        <v>1572.9412671893072</v>
      </c>
      <c r="BL26" s="24">
        <f t="shared" si="9"/>
        <v>0.19688446559930767</v>
      </c>
      <c r="BM26" s="24">
        <f t="shared" si="10"/>
        <v>7.0315880571181308E-2</v>
      </c>
      <c r="BN26" s="24">
        <f t="shared" si="11"/>
        <v>0.55041107745564699</v>
      </c>
      <c r="BO26" s="24">
        <f t="shared" si="12"/>
        <v>0.18238857637386413</v>
      </c>
      <c r="BP26" s="24">
        <f t="shared" si="13"/>
        <v>309.68770080966453</v>
      </c>
      <c r="BQ26" s="24">
        <f t="shared" si="14"/>
        <v>110.60275028916591</v>
      </c>
      <c r="BR26" s="24">
        <f t="shared" si="15"/>
        <v>865.76429764811724</v>
      </c>
      <c r="BS26" s="24">
        <f t="shared" si="16"/>
        <v>286.8865184423596</v>
      </c>
      <c r="BT26" s="12">
        <v>13.525</v>
      </c>
      <c r="BU26" s="12">
        <v>10.324999999999999</v>
      </c>
      <c r="BV26" s="12">
        <v>43.974999999999994</v>
      </c>
      <c r="BW26" s="12">
        <v>51.099999999999994</v>
      </c>
      <c r="BX26" s="12">
        <v>51.099999999999994</v>
      </c>
      <c r="BZ26" s="119">
        <v>600</v>
      </c>
      <c r="CA26" s="33">
        <v>-25.55</v>
      </c>
      <c r="CB26" s="36">
        <v>3.6232000000000002</v>
      </c>
      <c r="CC26" s="36">
        <v>6.32</v>
      </c>
      <c r="CD26" s="36">
        <v>-25.14</v>
      </c>
      <c r="CE26" s="36">
        <v>2.1692</v>
      </c>
      <c r="CF26" s="36">
        <v>5.33</v>
      </c>
      <c r="CG26" s="36">
        <v>-25.46</v>
      </c>
      <c r="CH26" s="36">
        <v>1.1704000000000001</v>
      </c>
      <c r="CI26" s="36">
        <v>17.149999999999999</v>
      </c>
      <c r="CJ26" s="36">
        <v>-25.13</v>
      </c>
      <c r="CK26" s="36">
        <v>2.2029999999999998</v>
      </c>
      <c r="CL26" s="36">
        <v>14.86</v>
      </c>
    </row>
    <row r="27" spans="1:90" x14ac:dyDescent="0.25">
      <c r="A27" t="s">
        <v>24</v>
      </c>
      <c r="D27" t="s">
        <v>32</v>
      </c>
      <c r="E27" s="6">
        <v>2018</v>
      </c>
      <c r="F27" s="6">
        <v>3</v>
      </c>
      <c r="G27" s="6">
        <v>2</v>
      </c>
      <c r="H27" s="6">
        <v>10</v>
      </c>
      <c r="R27" s="91">
        <v>0.98993063082121413</v>
      </c>
      <c r="S27" s="91">
        <v>0.99067846140630678</v>
      </c>
      <c r="T27" s="91">
        <v>0.98117533239714261</v>
      </c>
      <c r="U27" s="91">
        <v>0.84196031009050809</v>
      </c>
      <c r="AP27" s="5">
        <v>84</v>
      </c>
      <c r="AQ27" s="5">
        <v>0.5</v>
      </c>
      <c r="AR27" s="5">
        <v>2873</v>
      </c>
      <c r="AS27" s="5">
        <f t="shared" si="0"/>
        <v>5746</v>
      </c>
      <c r="AT27" s="25">
        <v>284.33</v>
      </c>
      <c r="AU27" s="5">
        <v>30</v>
      </c>
      <c r="AV27" s="24">
        <f t="shared" si="1"/>
        <v>9.477666666666666</v>
      </c>
      <c r="AZ27" s="25">
        <v>10.45</v>
      </c>
      <c r="BA27" s="25">
        <v>7.42</v>
      </c>
      <c r="BB27" s="25">
        <v>30.63</v>
      </c>
      <c r="BC27" s="25">
        <v>8.31</v>
      </c>
      <c r="BE27" s="25">
        <f t="shared" si="2"/>
        <v>56.81</v>
      </c>
      <c r="BF27" s="25">
        <f t="shared" si="3"/>
        <v>56.81</v>
      </c>
      <c r="BG27" s="25">
        <f t="shared" si="4"/>
        <v>2.8405</v>
      </c>
      <c r="BH27" s="24">
        <f t="shared" si="5"/>
        <v>9.477666666666666</v>
      </c>
      <c r="BI27" s="24">
        <f t="shared" si="6"/>
        <v>0.29970456863503675</v>
      </c>
      <c r="BJ27" s="24">
        <f t="shared" si="7"/>
        <v>861.05122568846059</v>
      </c>
      <c r="BK27" s="39">
        <f t="shared" si="8"/>
        <v>1722.1024513769212</v>
      </c>
      <c r="BL27" s="24">
        <f t="shared" si="9"/>
        <v>0.18394648829431437</v>
      </c>
      <c r="BM27" s="24">
        <f t="shared" si="10"/>
        <v>0.13061080795634572</v>
      </c>
      <c r="BN27" s="24">
        <f t="shared" si="11"/>
        <v>0.53916563985213872</v>
      </c>
      <c r="BO27" s="24">
        <f t="shared" si="12"/>
        <v>0.14627706389720119</v>
      </c>
      <c r="BP27" s="24">
        <f t="shared" si="13"/>
        <v>316.77469841381492</v>
      </c>
      <c r="BQ27" s="24">
        <f t="shared" si="14"/>
        <v>224.92519255794323</v>
      </c>
      <c r="BR27" s="24">
        <f t="shared" si="15"/>
        <v>928.49847008757433</v>
      </c>
      <c r="BS27" s="24">
        <f t="shared" si="16"/>
        <v>251.9040903175887</v>
      </c>
      <c r="BT27" s="12">
        <v>13.3</v>
      </c>
      <c r="BU27" s="12">
        <v>13.175000000000001</v>
      </c>
      <c r="BV27" s="12">
        <v>47.875</v>
      </c>
      <c r="BW27" s="12">
        <v>50.674999999999997</v>
      </c>
      <c r="BX27" s="12">
        <v>50.674999999999997</v>
      </c>
      <c r="BZ27" s="119">
        <v>471.11111111111114</v>
      </c>
      <c r="CA27" s="33">
        <v>-25.12</v>
      </c>
      <c r="CB27" s="36">
        <v>3.3079999999999998</v>
      </c>
      <c r="CC27" s="36">
        <v>8.6300000000000008</v>
      </c>
      <c r="CD27" s="36">
        <v>-24.97</v>
      </c>
      <c r="CE27" s="36">
        <v>1.8340000000000001</v>
      </c>
      <c r="CF27" s="36">
        <v>5.7</v>
      </c>
      <c r="CG27" s="36">
        <v>-25.61</v>
      </c>
      <c r="CH27" s="36">
        <v>0.78776000000000002</v>
      </c>
      <c r="CI27" s="36">
        <v>18.489999999999998</v>
      </c>
      <c r="CJ27" s="36">
        <v>-25.32</v>
      </c>
      <c r="CK27" s="36">
        <v>1.7339</v>
      </c>
      <c r="CL27" s="36">
        <v>13.87</v>
      </c>
    </row>
    <row r="28" spans="1:90" x14ac:dyDescent="0.25">
      <c r="A28" t="s">
        <v>34</v>
      </c>
      <c r="D28" t="s">
        <v>39</v>
      </c>
      <c r="E28" s="61">
        <v>2001</v>
      </c>
      <c r="F28" s="61">
        <v>3</v>
      </c>
      <c r="G28" s="61">
        <v>2</v>
      </c>
      <c r="H28" s="61">
        <v>11</v>
      </c>
      <c r="I28" s="61"/>
      <c r="J28" s="61"/>
      <c r="K28" s="61"/>
      <c r="R28" s="91">
        <v>0.98512162221956123</v>
      </c>
      <c r="S28" s="91">
        <v>0.95795239250058473</v>
      </c>
      <c r="T28" s="91">
        <v>0.91450632833468759</v>
      </c>
      <c r="U28" s="91">
        <v>0.69531028850164933</v>
      </c>
      <c r="AP28" s="5">
        <v>77</v>
      </c>
      <c r="AQ28" s="5">
        <v>0.5</v>
      </c>
      <c r="AR28" s="5">
        <v>3060</v>
      </c>
      <c r="AS28" s="5">
        <f t="shared" si="0"/>
        <v>6120</v>
      </c>
      <c r="AT28" s="25">
        <v>223.87</v>
      </c>
      <c r="AU28" s="5">
        <v>30</v>
      </c>
      <c r="AV28" s="24">
        <f t="shared" si="1"/>
        <v>7.4623333333333335</v>
      </c>
      <c r="AZ28" s="25">
        <v>7.32</v>
      </c>
      <c r="BA28" s="25">
        <v>2.08</v>
      </c>
      <c r="BB28" s="25">
        <v>21.71</v>
      </c>
      <c r="BC28" s="25">
        <v>7.94</v>
      </c>
      <c r="BE28" s="25">
        <f t="shared" si="2"/>
        <v>39.049999999999997</v>
      </c>
      <c r="BF28" s="25">
        <f t="shared" si="3"/>
        <v>39.049999999999997</v>
      </c>
      <c r="BG28" s="25">
        <f t="shared" si="4"/>
        <v>1.9524999999999999</v>
      </c>
      <c r="BH28" s="24">
        <f t="shared" si="5"/>
        <v>7.4623333333333335</v>
      </c>
      <c r="BI28" s="24">
        <f t="shared" si="6"/>
        <v>0.26164738464287307</v>
      </c>
      <c r="BJ28" s="24">
        <f t="shared" si="7"/>
        <v>800.64099700719157</v>
      </c>
      <c r="BK28" s="39">
        <f t="shared" si="8"/>
        <v>1601.2819940143831</v>
      </c>
      <c r="BL28" s="24">
        <f t="shared" si="9"/>
        <v>0.18745198463508325</v>
      </c>
      <c r="BM28" s="24">
        <f t="shared" si="10"/>
        <v>5.3265044814340592E-2</v>
      </c>
      <c r="BN28" s="24">
        <f t="shared" si="11"/>
        <v>0.55595390524967991</v>
      </c>
      <c r="BO28" s="24">
        <f t="shared" si="12"/>
        <v>0.20332906530089631</v>
      </c>
      <c r="BP28" s="24">
        <f t="shared" si="13"/>
        <v>300.16348773841963</v>
      </c>
      <c r="BQ28" s="24">
        <f t="shared" si="14"/>
        <v>85.292357171572789</v>
      </c>
      <c r="BR28" s="24">
        <f t="shared" si="15"/>
        <v>890.2389779782909</v>
      </c>
      <c r="BS28" s="24">
        <f t="shared" si="16"/>
        <v>325.58717112609997</v>
      </c>
      <c r="BT28" s="12">
        <v>7.25</v>
      </c>
      <c r="BU28" s="12">
        <v>19.049999999999997</v>
      </c>
      <c r="BV28" s="12">
        <v>36.199999999999996</v>
      </c>
      <c r="BW28" s="12">
        <v>45.766666666666673</v>
      </c>
      <c r="BX28" s="12">
        <v>45.766666666666673</v>
      </c>
      <c r="BZ28" s="119">
        <v>575</v>
      </c>
      <c r="CA28" s="33">
        <v>-25.46</v>
      </c>
      <c r="CB28" s="36">
        <v>3.1513</v>
      </c>
      <c r="CC28" s="36">
        <v>6.07</v>
      </c>
      <c r="CD28" s="36">
        <v>-25.35</v>
      </c>
      <c r="CE28" s="36">
        <v>2.6600999999999999</v>
      </c>
      <c r="CF28" s="36">
        <v>1.37</v>
      </c>
      <c r="CG28" s="36">
        <v>-25.7</v>
      </c>
      <c r="CH28" s="36">
        <v>0.74204000000000003</v>
      </c>
      <c r="CI28" s="36">
        <v>13.21</v>
      </c>
      <c r="CJ28" s="36">
        <v>-25.68</v>
      </c>
      <c r="CK28" s="36">
        <v>1.7909999999999999</v>
      </c>
      <c r="CL28" s="36">
        <v>9.91</v>
      </c>
    </row>
    <row r="29" spans="1:90" x14ac:dyDescent="0.25">
      <c r="A29" t="s">
        <v>34</v>
      </c>
      <c r="D29" t="s">
        <v>36</v>
      </c>
      <c r="E29" s="6">
        <v>1984</v>
      </c>
      <c r="F29" s="6">
        <v>3</v>
      </c>
      <c r="G29" s="6">
        <v>2</v>
      </c>
      <c r="H29" s="6">
        <v>12</v>
      </c>
      <c r="R29" s="91">
        <v>0.99081678026564879</v>
      </c>
      <c r="S29" s="91">
        <v>0.99306525205016571</v>
      </c>
      <c r="T29" s="91">
        <v>0.94618937517619539</v>
      </c>
      <c r="U29" s="91">
        <v>0.82024358433869182</v>
      </c>
      <c r="AP29" s="5">
        <v>87</v>
      </c>
      <c r="AQ29" s="5">
        <v>0.5</v>
      </c>
      <c r="AR29" s="5">
        <v>3168</v>
      </c>
      <c r="AS29" s="5">
        <f t="shared" si="0"/>
        <v>6336</v>
      </c>
      <c r="AT29" s="25">
        <v>218.7</v>
      </c>
      <c r="AU29" s="5">
        <v>30</v>
      </c>
      <c r="AV29" s="24">
        <f t="shared" si="1"/>
        <v>7.29</v>
      </c>
      <c r="AZ29" s="25">
        <v>8.57</v>
      </c>
      <c r="BA29" s="25">
        <v>1.79</v>
      </c>
      <c r="BB29" s="25">
        <v>16.48</v>
      </c>
      <c r="BC29" s="25">
        <v>5.33</v>
      </c>
      <c r="BE29" s="25">
        <f t="shared" si="2"/>
        <v>32.17</v>
      </c>
      <c r="BF29" s="25">
        <f t="shared" si="3"/>
        <v>32.17</v>
      </c>
      <c r="BG29" s="25">
        <f t="shared" si="4"/>
        <v>1.6085</v>
      </c>
      <c r="BH29" s="24">
        <f t="shared" si="5"/>
        <v>7.29</v>
      </c>
      <c r="BI29" s="24">
        <f t="shared" si="6"/>
        <v>0.22064471879286696</v>
      </c>
      <c r="BJ29" s="24">
        <f t="shared" si="7"/>
        <v>699.00246913580247</v>
      </c>
      <c r="BK29" s="39">
        <f t="shared" si="8"/>
        <v>1398.0049382716049</v>
      </c>
      <c r="BL29" s="24">
        <f t="shared" si="9"/>
        <v>0.26639726453217283</v>
      </c>
      <c r="BM29" s="24">
        <f t="shared" si="10"/>
        <v>5.5641902393534344E-2</v>
      </c>
      <c r="BN29" s="24">
        <f t="shared" si="11"/>
        <v>0.51227852036058441</v>
      </c>
      <c r="BO29" s="24">
        <f t="shared" si="12"/>
        <v>0.16568231271370842</v>
      </c>
      <c r="BP29" s="24">
        <f t="shared" si="13"/>
        <v>372.42469135802469</v>
      </c>
      <c r="BQ29" s="24">
        <f t="shared" si="14"/>
        <v>77.787654320987642</v>
      </c>
      <c r="BR29" s="24">
        <f t="shared" si="15"/>
        <v>716.16790123456792</v>
      </c>
      <c r="BS29" s="24">
        <f t="shared" si="16"/>
        <v>231.62469135802471</v>
      </c>
      <c r="BT29" s="12">
        <v>5.8249999999999993</v>
      </c>
      <c r="BU29" s="12">
        <v>9.9499999999999993</v>
      </c>
      <c r="BV29" s="12">
        <v>38.774999999999999</v>
      </c>
      <c r="BW29" s="12">
        <v>47.975000000000001</v>
      </c>
      <c r="BX29" s="12">
        <v>47.975000000000001</v>
      </c>
      <c r="BZ29" s="119">
        <v>700</v>
      </c>
      <c r="CA29" s="33">
        <v>-25.86</v>
      </c>
      <c r="CB29" s="36">
        <v>3.6985000000000001</v>
      </c>
      <c r="CC29" s="36">
        <v>4.9000000000000004</v>
      </c>
      <c r="CD29" s="36">
        <v>-25.36</v>
      </c>
      <c r="CE29" s="36">
        <v>3.2117</v>
      </c>
      <c r="CF29" s="36">
        <v>3.5</v>
      </c>
      <c r="CG29" s="36">
        <v>-26.04</v>
      </c>
      <c r="CH29" s="36">
        <v>1.6632</v>
      </c>
      <c r="CI29" s="36">
        <v>10.210000000000001</v>
      </c>
      <c r="CJ29" s="36">
        <v>-26.02</v>
      </c>
      <c r="CK29" s="36">
        <v>2.2317999999999998</v>
      </c>
      <c r="CL29" s="36">
        <v>6.11</v>
      </c>
    </row>
    <row r="30" spans="1:90" x14ac:dyDescent="0.25">
      <c r="A30" t="s">
        <v>24</v>
      </c>
      <c r="D30" t="s">
        <v>26</v>
      </c>
      <c r="E30" s="61">
        <v>1983</v>
      </c>
      <c r="F30" s="61">
        <v>4</v>
      </c>
      <c r="G30" s="61">
        <v>2</v>
      </c>
      <c r="H30" s="61">
        <v>13</v>
      </c>
      <c r="I30" s="61"/>
      <c r="J30" s="61"/>
      <c r="K30" s="61"/>
      <c r="R30" s="91">
        <v>0.99590918368491888</v>
      </c>
      <c r="S30" s="91">
        <v>0.99499012958352318</v>
      </c>
      <c r="T30" s="91">
        <v>0.9083422584669899</v>
      </c>
      <c r="U30" s="91">
        <v>0.66715371065688045</v>
      </c>
      <c r="AP30" s="5">
        <v>112</v>
      </c>
      <c r="AQ30" s="5">
        <v>0.5</v>
      </c>
      <c r="AR30" s="5">
        <v>2634</v>
      </c>
      <c r="AS30" s="5">
        <f t="shared" si="0"/>
        <v>5268</v>
      </c>
      <c r="AT30" s="25">
        <v>233.9</v>
      </c>
      <c r="AU30" s="5">
        <v>30</v>
      </c>
      <c r="AV30" s="24">
        <f t="shared" si="1"/>
        <v>7.7966666666666669</v>
      </c>
      <c r="AZ30" s="25">
        <v>8.6999999999999993</v>
      </c>
      <c r="BA30" s="25">
        <v>5.35</v>
      </c>
      <c r="BB30" s="25">
        <v>24.07</v>
      </c>
      <c r="BC30" s="25">
        <v>7.33</v>
      </c>
      <c r="BE30" s="25">
        <f t="shared" si="2"/>
        <v>45.449999999999996</v>
      </c>
      <c r="BF30" s="25">
        <f t="shared" si="3"/>
        <v>45.449999999999996</v>
      </c>
      <c r="BG30" s="25">
        <f t="shared" si="4"/>
        <v>2.2725</v>
      </c>
      <c r="BH30" s="24">
        <f t="shared" si="5"/>
        <v>7.7966666666666669</v>
      </c>
      <c r="BI30" s="24">
        <f t="shared" si="6"/>
        <v>0.29147071398033347</v>
      </c>
      <c r="BJ30" s="24">
        <f t="shared" si="7"/>
        <v>767.73386062419831</v>
      </c>
      <c r="BK30" s="39">
        <f t="shared" si="8"/>
        <v>1535.4677212483966</v>
      </c>
      <c r="BL30" s="24">
        <f t="shared" si="9"/>
        <v>0.19141914191419143</v>
      </c>
      <c r="BM30" s="24">
        <f t="shared" si="10"/>
        <v>0.11771177117711772</v>
      </c>
      <c r="BN30" s="24">
        <f t="shared" si="11"/>
        <v>0.52959295929592964</v>
      </c>
      <c r="BO30" s="24">
        <f t="shared" si="12"/>
        <v>0.16127612761276131</v>
      </c>
      <c r="BP30" s="24">
        <f t="shared" si="13"/>
        <v>293.91791363830697</v>
      </c>
      <c r="BQ30" s="24">
        <f t="shared" si="14"/>
        <v>180.74262505344163</v>
      </c>
      <c r="BR30" s="24">
        <f t="shared" si="15"/>
        <v>813.17289439931596</v>
      </c>
      <c r="BS30" s="24">
        <f t="shared" si="16"/>
        <v>247.63428815733221</v>
      </c>
      <c r="BT30" s="12">
        <v>5.875</v>
      </c>
      <c r="BU30" s="12">
        <v>6.6750000000000007</v>
      </c>
      <c r="BV30" s="12">
        <v>28.724999999999998</v>
      </c>
      <c r="BW30" s="12">
        <v>45.9</v>
      </c>
      <c r="BX30" s="12">
        <v>45.9</v>
      </c>
      <c r="BZ30" s="120"/>
      <c r="CA30" s="33">
        <v>-25.38</v>
      </c>
      <c r="CB30" s="36">
        <v>2.9786999999999999</v>
      </c>
      <c r="CC30" s="36">
        <v>8.06</v>
      </c>
      <c r="CD30" s="36">
        <v>-24.84</v>
      </c>
      <c r="CE30" s="36">
        <v>2.5823999999999998</v>
      </c>
      <c r="CF30" s="36">
        <v>3.39</v>
      </c>
      <c r="CG30" s="36">
        <v>-26.14</v>
      </c>
      <c r="CH30" s="36">
        <v>0.95326999999999995</v>
      </c>
      <c r="CI30" s="36">
        <v>10.4</v>
      </c>
      <c r="CJ30" s="36">
        <v>-25.69</v>
      </c>
      <c r="CK30" s="36">
        <v>2.0596000000000001</v>
      </c>
      <c r="CL30" s="36">
        <v>10.130000000000001</v>
      </c>
    </row>
    <row r="31" spans="1:90" x14ac:dyDescent="0.25">
      <c r="A31" t="s">
        <v>24</v>
      </c>
      <c r="D31" t="s">
        <v>29</v>
      </c>
      <c r="E31" s="6">
        <v>1999</v>
      </c>
      <c r="F31" s="6">
        <v>4</v>
      </c>
      <c r="G31" s="6">
        <v>2</v>
      </c>
      <c r="H31" s="6">
        <v>14</v>
      </c>
      <c r="R31" s="91">
        <v>0.99417197924765544</v>
      </c>
      <c r="S31" s="91">
        <v>0.98345921363527811</v>
      </c>
      <c r="T31" s="91">
        <v>0.91463276177614583</v>
      </c>
      <c r="U31" s="91">
        <v>0.6931828925613841</v>
      </c>
      <c r="AP31" s="5">
        <v>91</v>
      </c>
      <c r="AQ31" s="5">
        <v>0.5</v>
      </c>
      <c r="AR31" s="5">
        <v>2756</v>
      </c>
      <c r="AS31" s="5">
        <f t="shared" si="0"/>
        <v>5512</v>
      </c>
      <c r="AT31" s="25">
        <v>227.4</v>
      </c>
      <c r="AU31" s="5">
        <v>30</v>
      </c>
      <c r="AV31" s="24">
        <f t="shared" si="1"/>
        <v>7.58</v>
      </c>
      <c r="AZ31" s="25">
        <v>9.52</v>
      </c>
      <c r="BA31" s="25">
        <v>10.26</v>
      </c>
      <c r="BB31" s="25">
        <v>35.28</v>
      </c>
      <c r="BC31" s="25">
        <v>11.05</v>
      </c>
      <c r="BE31" s="25">
        <f t="shared" si="2"/>
        <v>66.11</v>
      </c>
      <c r="BF31" s="25">
        <f t="shared" si="3"/>
        <v>66.11</v>
      </c>
      <c r="BG31" s="25">
        <f t="shared" si="4"/>
        <v>3.3054999999999999</v>
      </c>
      <c r="BH31" s="24">
        <f t="shared" si="5"/>
        <v>7.58</v>
      </c>
      <c r="BI31" s="24">
        <f t="shared" si="6"/>
        <v>0.43608179419525062</v>
      </c>
      <c r="BJ31" s="24">
        <f t="shared" si="7"/>
        <v>1201.8414248021106</v>
      </c>
      <c r="BK31" s="39">
        <f t="shared" si="8"/>
        <v>2403.6828496042212</v>
      </c>
      <c r="BL31" s="24">
        <f t="shared" si="9"/>
        <v>0.14400242020874299</v>
      </c>
      <c r="BM31" s="24">
        <f t="shared" si="10"/>
        <v>0.15519588564513689</v>
      </c>
      <c r="BN31" s="24">
        <f t="shared" si="11"/>
        <v>0.53365602783240051</v>
      </c>
      <c r="BO31" s="24">
        <f t="shared" si="12"/>
        <v>0.16714566631371958</v>
      </c>
      <c r="BP31" s="24">
        <f t="shared" si="13"/>
        <v>346.13614775725586</v>
      </c>
      <c r="BQ31" s="24">
        <f t="shared" si="14"/>
        <v>373.04168865435349</v>
      </c>
      <c r="BR31" s="24">
        <f t="shared" si="15"/>
        <v>1282.739841688654</v>
      </c>
      <c r="BS31" s="24">
        <f t="shared" si="16"/>
        <v>401.76517150395779</v>
      </c>
      <c r="BT31" s="12">
        <v>7.7</v>
      </c>
      <c r="BU31" s="12">
        <v>7.75</v>
      </c>
      <c r="BV31" s="12">
        <v>46.75</v>
      </c>
      <c r="BW31" s="12">
        <v>48.666666666666664</v>
      </c>
      <c r="BX31" s="12">
        <v>48.666666666666664</v>
      </c>
      <c r="BZ31" s="119">
        <v>582.85714285714278</v>
      </c>
      <c r="CA31" s="33">
        <v>-26.01</v>
      </c>
      <c r="CB31" s="36">
        <v>3.1995</v>
      </c>
      <c r="CC31" s="36">
        <v>6.8</v>
      </c>
      <c r="CD31" s="36">
        <v>-24.73</v>
      </c>
      <c r="CE31" s="36">
        <v>2.1598999999999999</v>
      </c>
      <c r="CF31" s="36">
        <v>5.16</v>
      </c>
      <c r="CG31" s="36">
        <v>-25.98</v>
      </c>
      <c r="CH31" s="36">
        <v>0.90795999999999999</v>
      </c>
      <c r="CI31" s="36">
        <v>13.39</v>
      </c>
      <c r="CJ31" s="36">
        <v>-25.89</v>
      </c>
      <c r="CK31" s="36">
        <v>1.7492000000000001</v>
      </c>
      <c r="CL31" s="36">
        <v>9.6999999999999993</v>
      </c>
    </row>
    <row r="32" spans="1:90" x14ac:dyDescent="0.25">
      <c r="A32" t="s">
        <v>34</v>
      </c>
      <c r="D32" t="s">
        <v>38</v>
      </c>
      <c r="E32" s="6">
        <v>1999</v>
      </c>
      <c r="F32" s="6">
        <v>4</v>
      </c>
      <c r="G32" s="6">
        <v>2</v>
      </c>
      <c r="H32" s="6">
        <v>15</v>
      </c>
      <c r="R32" s="91">
        <v>0.93679062580025174</v>
      </c>
      <c r="S32" s="91">
        <v>0.93772654627863616</v>
      </c>
      <c r="T32" s="91">
        <v>0.87337682530321958</v>
      </c>
      <c r="U32" s="91">
        <v>0.7083749801543221</v>
      </c>
      <c r="AP32" s="5">
        <v>92</v>
      </c>
      <c r="AQ32" s="5">
        <v>0.5</v>
      </c>
      <c r="AR32" s="5">
        <v>3173</v>
      </c>
      <c r="AS32" s="5">
        <f t="shared" si="0"/>
        <v>6346</v>
      </c>
      <c r="AT32" s="25">
        <v>210.26</v>
      </c>
      <c r="AU32" s="5">
        <v>30</v>
      </c>
      <c r="AV32" s="24">
        <f t="shared" si="1"/>
        <v>7.0086666666666666</v>
      </c>
      <c r="AZ32" s="25">
        <v>6.76</v>
      </c>
      <c r="BA32" s="25">
        <v>2.23</v>
      </c>
      <c r="BB32" s="25">
        <v>18.45</v>
      </c>
      <c r="BC32" s="25">
        <v>5.35</v>
      </c>
      <c r="BE32" s="25">
        <f t="shared" si="2"/>
        <v>32.79</v>
      </c>
      <c r="BF32" s="25">
        <f t="shared" si="3"/>
        <v>32.79</v>
      </c>
      <c r="BG32" s="25">
        <f t="shared" si="4"/>
        <v>1.6395</v>
      </c>
      <c r="BH32" s="24">
        <f t="shared" si="5"/>
        <v>7.0086666666666666</v>
      </c>
      <c r="BI32" s="24">
        <f t="shared" si="6"/>
        <v>0.23392466470084658</v>
      </c>
      <c r="BJ32" s="24">
        <f t="shared" si="7"/>
        <v>742.2429610957862</v>
      </c>
      <c r="BK32" s="39">
        <f t="shared" si="8"/>
        <v>1484.4859221915724</v>
      </c>
      <c r="BL32" s="24">
        <f t="shared" si="9"/>
        <v>0.20616041476059774</v>
      </c>
      <c r="BM32" s="24">
        <f t="shared" si="10"/>
        <v>6.800853918877707E-2</v>
      </c>
      <c r="BN32" s="24">
        <f t="shared" si="11"/>
        <v>0.56267154620311066</v>
      </c>
      <c r="BO32" s="24">
        <f t="shared" si="12"/>
        <v>0.16315949984751449</v>
      </c>
      <c r="BP32" s="24">
        <f t="shared" si="13"/>
        <v>306.04223342528297</v>
      </c>
      <c r="BQ32" s="24">
        <f t="shared" si="14"/>
        <v>100.95771901455342</v>
      </c>
      <c r="BR32" s="24">
        <f t="shared" si="15"/>
        <v>835.27798915628262</v>
      </c>
      <c r="BS32" s="24">
        <f t="shared" si="16"/>
        <v>242.20798059545325</v>
      </c>
      <c r="BT32" s="12">
        <v>8.4</v>
      </c>
      <c r="BU32" s="12">
        <v>9.4249999999999989</v>
      </c>
      <c r="BV32" s="12">
        <v>17.425000000000001</v>
      </c>
      <c r="BW32" s="12">
        <v>50.55</v>
      </c>
      <c r="BX32" s="12">
        <v>50.55</v>
      </c>
      <c r="BZ32" s="119">
        <v>636.36363636363637</v>
      </c>
      <c r="CA32" s="33">
        <v>-26.09</v>
      </c>
      <c r="CB32" s="36">
        <v>3.0583999999999998</v>
      </c>
      <c r="CC32" s="36">
        <v>8.15</v>
      </c>
      <c r="CD32" s="36">
        <v>-25.35</v>
      </c>
      <c r="CE32" s="36">
        <v>2.3582999999999998</v>
      </c>
      <c r="CF32" s="36">
        <v>5.72</v>
      </c>
      <c r="CG32" s="36">
        <v>-26.45</v>
      </c>
      <c r="CH32" s="36">
        <v>0.56544000000000005</v>
      </c>
      <c r="CI32" s="36">
        <v>8.5</v>
      </c>
      <c r="CJ32" s="36">
        <v>-25.56</v>
      </c>
      <c r="CK32" s="36">
        <v>2.1720999999999999</v>
      </c>
      <c r="CL32" s="36">
        <v>8.6999999999999993</v>
      </c>
    </row>
    <row r="33" spans="1:90" x14ac:dyDescent="0.25">
      <c r="A33" t="s">
        <v>34</v>
      </c>
      <c r="D33" t="s">
        <v>41</v>
      </c>
      <c r="E33" s="61">
        <v>2008</v>
      </c>
      <c r="F33" s="61">
        <v>4</v>
      </c>
      <c r="G33" s="61">
        <v>2</v>
      </c>
      <c r="H33" s="61">
        <v>16</v>
      </c>
      <c r="I33" s="61"/>
      <c r="J33" s="61"/>
      <c r="K33" s="61"/>
      <c r="R33" s="91">
        <v>0.97878282790116733</v>
      </c>
      <c r="S33" s="91">
        <v>0.9687836612285613</v>
      </c>
      <c r="T33" s="91">
        <v>0.91589898112849266</v>
      </c>
      <c r="U33" s="91">
        <v>0.7413416451113356</v>
      </c>
      <c r="AP33" s="5">
        <v>86</v>
      </c>
      <c r="AQ33" s="5">
        <v>0.5</v>
      </c>
      <c r="AR33" s="5">
        <v>3458</v>
      </c>
      <c r="AS33" s="5">
        <f t="shared" si="0"/>
        <v>6916</v>
      </c>
      <c r="AT33" s="25">
        <v>216.41</v>
      </c>
      <c r="AU33" s="5">
        <v>30</v>
      </c>
      <c r="AV33" s="24">
        <f t="shared" si="1"/>
        <v>7.2136666666666667</v>
      </c>
      <c r="AZ33" s="25">
        <v>5.91</v>
      </c>
      <c r="BA33" s="25">
        <v>1.46</v>
      </c>
      <c r="BB33" s="25">
        <v>18.18</v>
      </c>
      <c r="BC33" s="25">
        <v>5.52</v>
      </c>
      <c r="BE33" s="25">
        <f t="shared" si="2"/>
        <v>31.07</v>
      </c>
      <c r="BF33" s="25">
        <f t="shared" si="3"/>
        <v>31.07</v>
      </c>
      <c r="BG33" s="25">
        <f t="shared" si="4"/>
        <v>1.5535000000000001</v>
      </c>
      <c r="BH33" s="24">
        <f t="shared" si="5"/>
        <v>7.2136666666666667</v>
      </c>
      <c r="BI33" s="24">
        <f t="shared" si="6"/>
        <v>0.21535511297999169</v>
      </c>
      <c r="BJ33" s="24">
        <f t="shared" si="7"/>
        <v>744.69798068481123</v>
      </c>
      <c r="BK33" s="39">
        <f t="shared" si="8"/>
        <v>1489.3959613696225</v>
      </c>
      <c r="BL33" s="24">
        <f t="shared" si="9"/>
        <v>0.19021564209848729</v>
      </c>
      <c r="BM33" s="24">
        <f t="shared" si="10"/>
        <v>4.6990666237528157E-2</v>
      </c>
      <c r="BN33" s="24">
        <f t="shared" si="11"/>
        <v>0.5851303508207274</v>
      </c>
      <c r="BO33" s="24">
        <f t="shared" si="12"/>
        <v>0.17766334084325713</v>
      </c>
      <c r="BP33" s="24">
        <f t="shared" si="13"/>
        <v>283.30640913081652</v>
      </c>
      <c r="BQ33" s="24">
        <f t="shared" si="14"/>
        <v>69.987708516242307</v>
      </c>
      <c r="BR33" s="24">
        <f t="shared" si="15"/>
        <v>871.49078138718176</v>
      </c>
      <c r="BS33" s="24">
        <f t="shared" si="16"/>
        <v>264.61106233538186</v>
      </c>
      <c r="BT33" s="12">
        <v>5.7750000000000004</v>
      </c>
      <c r="BU33" s="12">
        <v>11.65</v>
      </c>
      <c r="BV33" s="12">
        <v>39.4</v>
      </c>
      <c r="BW33" s="12">
        <v>42.35</v>
      </c>
      <c r="BX33" s="12">
        <v>42.35</v>
      </c>
      <c r="BZ33" s="119">
        <v>486.95652173913049</v>
      </c>
      <c r="CA33" s="33">
        <v>-26</v>
      </c>
      <c r="CB33" s="36">
        <v>2.5598999999999998</v>
      </c>
      <c r="CC33" s="36">
        <v>8.51</v>
      </c>
      <c r="CD33" s="36">
        <v>-25.35</v>
      </c>
      <c r="CE33" s="36">
        <v>2.2141000000000002</v>
      </c>
      <c r="CF33" s="36">
        <v>3.54</v>
      </c>
      <c r="CG33" s="36">
        <v>-26.22</v>
      </c>
      <c r="CH33" s="36">
        <v>0.98880000000000001</v>
      </c>
      <c r="CI33" s="36">
        <v>13.8</v>
      </c>
      <c r="CJ33" s="36">
        <v>-26.15</v>
      </c>
      <c r="CK33" s="36">
        <v>2.0908000000000002</v>
      </c>
      <c r="CL33" s="36">
        <v>6.98</v>
      </c>
    </row>
    <row r="34" spans="1:90" x14ac:dyDescent="0.25">
      <c r="A34" t="s">
        <v>24</v>
      </c>
      <c r="D34" t="s">
        <v>26</v>
      </c>
      <c r="E34" s="61">
        <v>1983</v>
      </c>
      <c r="F34" s="61">
        <v>1</v>
      </c>
      <c r="G34" s="61">
        <v>3</v>
      </c>
      <c r="H34" s="61">
        <v>1</v>
      </c>
      <c r="I34" s="61"/>
      <c r="J34" s="61"/>
      <c r="K34" s="61"/>
      <c r="R34" s="91">
        <v>0.99719394232339553</v>
      </c>
      <c r="S34" s="91">
        <v>0.99426291595093919</v>
      </c>
      <c r="T34" s="91">
        <v>0.97597919500725305</v>
      </c>
      <c r="U34" s="91">
        <v>0.77396852284583206</v>
      </c>
      <c r="AP34" s="5">
        <v>110</v>
      </c>
      <c r="AQ34" s="5">
        <v>0.5</v>
      </c>
      <c r="AR34" s="5">
        <v>2840</v>
      </c>
      <c r="AS34" s="5">
        <f t="shared" ref="AS34:AS65" si="17">AR34/AQ34</f>
        <v>5680</v>
      </c>
      <c r="AT34" s="25">
        <v>255.2</v>
      </c>
      <c r="AU34" s="5">
        <v>30</v>
      </c>
      <c r="AV34" s="24">
        <f t="shared" ref="AV34:AV65" si="18">AT34/AU34</f>
        <v>8.5066666666666659</v>
      </c>
      <c r="AZ34" s="25">
        <v>10.95</v>
      </c>
      <c r="BA34" s="25">
        <v>10.85</v>
      </c>
      <c r="BB34" s="25">
        <v>27.15</v>
      </c>
      <c r="BC34" s="25">
        <v>6.42</v>
      </c>
      <c r="BE34" s="25">
        <f t="shared" ref="BE34:BE65" si="19">SUM(AZ34:BC34)</f>
        <v>55.37</v>
      </c>
      <c r="BF34" s="25">
        <f t="shared" ref="BF34:BF65" si="20">BE34</f>
        <v>55.37</v>
      </c>
      <c r="BG34" s="25">
        <f t="shared" ref="BG34:BG65" si="21">BF34/20</f>
        <v>2.7685</v>
      </c>
      <c r="BH34" s="24">
        <f t="shared" ref="BH34:BH65" si="22">AT34/AU34</f>
        <v>8.5066666666666659</v>
      </c>
      <c r="BI34" s="24">
        <f t="shared" ref="BI34:BI65" si="23">BG34/BH34</f>
        <v>0.32545062695924765</v>
      </c>
      <c r="BJ34" s="24">
        <f t="shared" ref="BJ34:BJ65" si="24">AR34*BI34</f>
        <v>924.27978056426332</v>
      </c>
      <c r="BK34" s="39">
        <f t="shared" ref="BK34:BK65" si="25">BJ34/AQ34</f>
        <v>1848.5595611285266</v>
      </c>
      <c r="BL34" s="24">
        <f t="shared" ref="BL34:BL65" si="26">AZ34/BE34</f>
        <v>0.19776052013725845</v>
      </c>
      <c r="BM34" s="24">
        <f t="shared" ref="BM34:BM65" si="27">BA34/BE34</f>
        <v>0.19595448798988621</v>
      </c>
      <c r="BN34" s="24">
        <f t="shared" ref="BN34:BN65" si="28" xml:space="preserve"> BB34/BE34</f>
        <v>0.49033772801155862</v>
      </c>
      <c r="BO34" s="24">
        <f t="shared" ref="BO34:BO65" si="29" xml:space="preserve">                                                           BC34/BE34</f>
        <v>0.11594726386129674</v>
      </c>
      <c r="BP34" s="24">
        <f t="shared" ref="BP34:BP65" si="30">BK34*BL34</f>
        <v>365.57210031347961</v>
      </c>
      <c r="BQ34" s="24">
        <f t="shared" ref="BQ34:BQ65" si="31">BK34*BM34</f>
        <v>362.23354231974918</v>
      </c>
      <c r="BR34" s="24">
        <f t="shared" ref="BR34:BR65" si="32">BK34*BN34</f>
        <v>906.41849529780563</v>
      </c>
      <c r="BS34" s="24">
        <f t="shared" ref="BS34:BS65" si="33">BK34*BO34</f>
        <v>214.33542319749216</v>
      </c>
      <c r="BT34" s="12">
        <v>7.2749999999999995</v>
      </c>
      <c r="BU34" s="12">
        <v>11.85</v>
      </c>
      <c r="BV34" s="12">
        <v>28.125000000000004</v>
      </c>
      <c r="BW34" s="12">
        <v>53.95</v>
      </c>
      <c r="BX34" s="12">
        <v>53.95</v>
      </c>
      <c r="BZ34" s="119">
        <v>762.5</v>
      </c>
      <c r="CA34" s="33">
        <v>-24.73</v>
      </c>
      <c r="CB34" s="36">
        <v>2.6985999999999999</v>
      </c>
      <c r="CC34" s="36">
        <v>7.4</v>
      </c>
      <c r="CD34" s="36">
        <v>-25.6</v>
      </c>
      <c r="CE34" s="36">
        <v>2.4411</v>
      </c>
      <c r="CF34" s="36">
        <v>5.28</v>
      </c>
      <c r="CG34" s="36">
        <v>-25.82</v>
      </c>
      <c r="CH34" s="36">
        <v>2.0059</v>
      </c>
      <c r="CI34" s="36">
        <v>10.39</v>
      </c>
      <c r="CJ34" s="36">
        <v>-25.44</v>
      </c>
      <c r="CK34" s="36">
        <v>1.9421999999999999</v>
      </c>
      <c r="CL34" s="36">
        <v>13.55</v>
      </c>
    </row>
    <row r="35" spans="1:90" x14ac:dyDescent="0.25">
      <c r="A35" t="s">
        <v>24</v>
      </c>
      <c r="D35" t="s">
        <v>27</v>
      </c>
      <c r="E35" s="61">
        <v>1985</v>
      </c>
      <c r="F35" s="61">
        <v>1</v>
      </c>
      <c r="G35" s="61">
        <v>3</v>
      </c>
      <c r="H35" s="61">
        <v>2</v>
      </c>
      <c r="I35" s="61"/>
      <c r="J35" s="61"/>
      <c r="K35" s="61"/>
      <c r="R35" s="91">
        <v>0.9952655381366915</v>
      </c>
      <c r="S35" s="91">
        <v>0.98965689519469002</v>
      </c>
      <c r="T35" s="91">
        <v>0.93032018462216171</v>
      </c>
      <c r="U35" s="91">
        <v>0.66576702748957695</v>
      </c>
      <c r="AP35" s="5">
        <v>98</v>
      </c>
      <c r="AQ35" s="5">
        <v>0.5</v>
      </c>
      <c r="AR35" s="5">
        <v>2900</v>
      </c>
      <c r="AS35" s="5">
        <f t="shared" si="17"/>
        <v>5800</v>
      </c>
      <c r="AT35" s="25">
        <v>285.17</v>
      </c>
      <c r="AU35" s="5">
        <v>30</v>
      </c>
      <c r="AV35" s="24">
        <f t="shared" si="18"/>
        <v>9.5056666666666665</v>
      </c>
      <c r="AZ35" s="25">
        <v>10.95</v>
      </c>
      <c r="BA35" s="25">
        <v>5.18</v>
      </c>
      <c r="BB35" s="25">
        <v>30.04</v>
      </c>
      <c r="BC35" s="25">
        <v>10.029999999999999</v>
      </c>
      <c r="BE35" s="25">
        <f t="shared" si="19"/>
        <v>56.2</v>
      </c>
      <c r="BF35" s="25">
        <f t="shared" si="20"/>
        <v>56.2</v>
      </c>
      <c r="BG35" s="25">
        <f t="shared" si="21"/>
        <v>2.81</v>
      </c>
      <c r="BH35" s="24">
        <f t="shared" si="22"/>
        <v>9.5056666666666665</v>
      </c>
      <c r="BI35" s="24">
        <f t="shared" si="23"/>
        <v>0.29561314303748643</v>
      </c>
      <c r="BJ35" s="24">
        <f t="shared" si="24"/>
        <v>857.2781148087106</v>
      </c>
      <c r="BK35" s="39">
        <f t="shared" si="25"/>
        <v>1714.5562296174212</v>
      </c>
      <c r="BL35" s="24">
        <f t="shared" si="26"/>
        <v>0.19483985765124553</v>
      </c>
      <c r="BM35" s="24">
        <f t="shared" si="27"/>
        <v>9.2170818505338065E-2</v>
      </c>
      <c r="BN35" s="24">
        <f t="shared" si="28"/>
        <v>0.53451957295373664</v>
      </c>
      <c r="BO35" s="24">
        <f t="shared" si="29"/>
        <v>0.1784697508896797</v>
      </c>
      <c r="BP35" s="24">
        <f t="shared" si="30"/>
        <v>334.06389171371461</v>
      </c>
      <c r="BQ35" s="24">
        <f t="shared" si="31"/>
        <v>158.03205105726406</v>
      </c>
      <c r="BR35" s="24">
        <f t="shared" si="32"/>
        <v>916.46386366027275</v>
      </c>
      <c r="BS35" s="24">
        <f t="shared" si="33"/>
        <v>305.99642318616964</v>
      </c>
      <c r="BT35" s="12">
        <v>3.6999999999999997</v>
      </c>
      <c r="BU35" s="12">
        <v>17.833333333333332</v>
      </c>
      <c r="BV35" s="12">
        <v>41.924999999999997</v>
      </c>
      <c r="BW35" s="12">
        <v>46.533333333333331</v>
      </c>
      <c r="BX35" s="12">
        <v>46.533333333333331</v>
      </c>
      <c r="BZ35" s="119">
        <v>509.99999999999994</v>
      </c>
      <c r="CA35" s="33">
        <v>-24.89</v>
      </c>
      <c r="CB35" s="36">
        <v>3.0183</v>
      </c>
      <c r="CC35" s="36">
        <v>7.72</v>
      </c>
      <c r="CD35" s="36">
        <v>-25.26</v>
      </c>
      <c r="CE35" s="36">
        <v>2.4573999999999998</v>
      </c>
      <c r="CF35" s="36">
        <v>4.8499999999999996</v>
      </c>
      <c r="CG35" s="36">
        <v>-25.95</v>
      </c>
      <c r="CH35" s="36">
        <v>1.4011</v>
      </c>
      <c r="CI35" s="36">
        <v>12.45</v>
      </c>
      <c r="CJ35" s="36">
        <v>-25.21</v>
      </c>
      <c r="CK35" s="36">
        <v>1.9134</v>
      </c>
      <c r="CL35" s="36">
        <v>13.04</v>
      </c>
    </row>
    <row r="36" spans="1:90" x14ac:dyDescent="0.25">
      <c r="A36" t="s">
        <v>34</v>
      </c>
      <c r="D36" t="s">
        <v>41</v>
      </c>
      <c r="E36" s="61">
        <v>2008</v>
      </c>
      <c r="F36" s="61">
        <v>1</v>
      </c>
      <c r="G36" s="61">
        <v>3</v>
      </c>
      <c r="H36" s="61">
        <v>3</v>
      </c>
      <c r="I36" s="61"/>
      <c r="J36" s="61"/>
      <c r="K36" s="61"/>
      <c r="R36" s="91">
        <v>0.98320407707955526</v>
      </c>
      <c r="S36" s="91">
        <v>0.95170116970986551</v>
      </c>
      <c r="T36" s="91">
        <v>0.88152854408193182</v>
      </c>
      <c r="U36" s="91">
        <v>0.64683274175723937</v>
      </c>
      <c r="AP36" s="5">
        <v>87</v>
      </c>
      <c r="AQ36" s="5">
        <v>0.5</v>
      </c>
      <c r="AR36" s="5">
        <v>2875</v>
      </c>
      <c r="AS36" s="5">
        <f t="shared" si="17"/>
        <v>5750</v>
      </c>
      <c r="AT36" s="25">
        <v>192.3</v>
      </c>
      <c r="AU36" s="5">
        <v>30</v>
      </c>
      <c r="AV36" s="24">
        <f t="shared" si="18"/>
        <v>6.41</v>
      </c>
      <c r="AZ36" s="25">
        <v>6.25</v>
      </c>
      <c r="BA36" s="25">
        <v>1.98</v>
      </c>
      <c r="BB36" s="25">
        <v>19.989999999999998</v>
      </c>
      <c r="BC36" s="25">
        <v>7.26</v>
      </c>
      <c r="BE36" s="25">
        <f t="shared" si="19"/>
        <v>35.479999999999997</v>
      </c>
      <c r="BF36" s="25">
        <f t="shared" si="20"/>
        <v>35.479999999999997</v>
      </c>
      <c r="BG36" s="25">
        <f t="shared" si="21"/>
        <v>1.7739999999999998</v>
      </c>
      <c r="BH36" s="24">
        <f t="shared" si="22"/>
        <v>6.41</v>
      </c>
      <c r="BI36" s="24">
        <f t="shared" si="23"/>
        <v>0.2767550702028081</v>
      </c>
      <c r="BJ36" s="24">
        <f t="shared" si="24"/>
        <v>795.67082683307331</v>
      </c>
      <c r="BK36" s="39">
        <f t="shared" si="25"/>
        <v>1591.3416536661466</v>
      </c>
      <c r="BL36" s="24">
        <f t="shared" si="26"/>
        <v>0.17615558060879372</v>
      </c>
      <c r="BM36" s="24">
        <f t="shared" si="27"/>
        <v>5.5806087936865846E-2</v>
      </c>
      <c r="BN36" s="24">
        <f t="shared" si="28"/>
        <v>0.56341600901916578</v>
      </c>
      <c r="BO36" s="24">
        <f t="shared" si="29"/>
        <v>0.20462232243517475</v>
      </c>
      <c r="BP36" s="24">
        <f t="shared" si="30"/>
        <v>280.32371294851799</v>
      </c>
      <c r="BQ36" s="24">
        <f t="shared" si="31"/>
        <v>88.806552262090491</v>
      </c>
      <c r="BR36" s="24">
        <f t="shared" si="32"/>
        <v>896.58736349453989</v>
      </c>
      <c r="BS36" s="24">
        <f t="shared" si="33"/>
        <v>325.62402496099844</v>
      </c>
      <c r="BT36" s="12">
        <v>8.6750000000000007</v>
      </c>
      <c r="BU36" s="12">
        <v>13.75</v>
      </c>
      <c r="BV36" s="12">
        <v>35.475000000000001</v>
      </c>
      <c r="BW36" s="12">
        <v>52.15</v>
      </c>
      <c r="BX36" s="12">
        <v>52.15</v>
      </c>
      <c r="BZ36" s="119">
        <v>684.21052631578948</v>
      </c>
      <c r="CA36" s="33">
        <v>-25.34</v>
      </c>
      <c r="CB36" s="36">
        <v>2.9676999999999998</v>
      </c>
      <c r="CC36" s="36">
        <v>7.96</v>
      </c>
      <c r="CD36" s="36">
        <v>-25.83</v>
      </c>
      <c r="CE36" s="36">
        <v>2.8755999999999999</v>
      </c>
      <c r="CF36" s="36">
        <v>4.78</v>
      </c>
      <c r="CG36" s="36">
        <v>-26.15</v>
      </c>
      <c r="CH36" s="36">
        <v>0.74809000000000003</v>
      </c>
      <c r="CI36" s="36">
        <v>12.49</v>
      </c>
      <c r="CJ36" s="36">
        <v>-25.18</v>
      </c>
      <c r="CK36" s="36">
        <v>1.7492000000000001</v>
      </c>
      <c r="CL36" s="36">
        <v>14.01</v>
      </c>
    </row>
    <row r="37" spans="1:90" x14ac:dyDescent="0.25">
      <c r="A37" t="s">
        <v>34</v>
      </c>
      <c r="D37" t="s">
        <v>36</v>
      </c>
      <c r="E37" s="54">
        <v>1984</v>
      </c>
      <c r="F37" s="55">
        <v>1</v>
      </c>
      <c r="G37" s="55">
        <v>3</v>
      </c>
      <c r="H37" s="55">
        <v>4</v>
      </c>
      <c r="I37" s="55"/>
      <c r="J37" s="55"/>
      <c r="K37" s="55"/>
      <c r="R37" s="91">
        <v>0.99216194194855556</v>
      </c>
      <c r="S37" s="91">
        <v>0.98058603978152448</v>
      </c>
      <c r="T37" s="91">
        <v>0.95492007495990183</v>
      </c>
      <c r="U37" s="91">
        <v>0.80148107278775493</v>
      </c>
      <c r="AP37" s="5">
        <v>89</v>
      </c>
      <c r="AQ37" s="5">
        <v>0.5</v>
      </c>
      <c r="AR37" s="5">
        <v>2960</v>
      </c>
      <c r="AS37" s="5">
        <f t="shared" si="17"/>
        <v>5920</v>
      </c>
      <c r="AT37" s="25">
        <v>263.92</v>
      </c>
      <c r="AU37" s="5">
        <v>30</v>
      </c>
      <c r="AV37" s="24">
        <f t="shared" si="18"/>
        <v>8.7973333333333343</v>
      </c>
      <c r="AZ37" s="25">
        <v>9.9600000000000009</v>
      </c>
      <c r="BA37" s="25">
        <v>1.19</v>
      </c>
      <c r="BB37" s="25">
        <v>26.36</v>
      </c>
      <c r="BC37" s="25">
        <v>8.5299999999999994</v>
      </c>
      <c r="BE37" s="25">
        <f t="shared" si="19"/>
        <v>46.04</v>
      </c>
      <c r="BF37" s="25">
        <f t="shared" si="20"/>
        <v>46.04</v>
      </c>
      <c r="BG37" s="25">
        <f t="shared" si="21"/>
        <v>2.302</v>
      </c>
      <c r="BH37" s="24">
        <f t="shared" si="22"/>
        <v>8.7973333333333343</v>
      </c>
      <c r="BI37" s="24">
        <f t="shared" si="23"/>
        <v>0.26167020309184597</v>
      </c>
      <c r="BJ37" s="24">
        <f t="shared" si="24"/>
        <v>774.54380115186405</v>
      </c>
      <c r="BK37" s="39">
        <f t="shared" si="25"/>
        <v>1549.0876023037281</v>
      </c>
      <c r="BL37" s="24">
        <f t="shared" si="26"/>
        <v>0.2163336229365769</v>
      </c>
      <c r="BM37" s="24">
        <f t="shared" si="27"/>
        <v>2.5847089487402258E-2</v>
      </c>
      <c r="BN37" s="24">
        <f t="shared" si="28"/>
        <v>0.57254561251086011</v>
      </c>
      <c r="BO37" s="24">
        <f t="shared" si="29"/>
        <v>0.18527367506516071</v>
      </c>
      <c r="BP37" s="24">
        <f t="shared" si="30"/>
        <v>335.11973325250074</v>
      </c>
      <c r="BQ37" s="24">
        <f t="shared" si="31"/>
        <v>40.039405880569859</v>
      </c>
      <c r="BR37" s="24">
        <f t="shared" si="32"/>
        <v>886.92331009396764</v>
      </c>
      <c r="BS37" s="24">
        <f t="shared" si="33"/>
        <v>287.00515307668979</v>
      </c>
      <c r="BT37" s="12">
        <v>5.8000000000000007</v>
      </c>
      <c r="BU37" s="12">
        <v>4.5500000000000007</v>
      </c>
      <c r="BV37" s="12">
        <v>43.05</v>
      </c>
      <c r="BW37" s="12">
        <v>49.175000000000004</v>
      </c>
      <c r="BX37" s="12">
        <v>49.175000000000004</v>
      </c>
      <c r="BZ37" s="119">
        <v>544.44444444444446</v>
      </c>
      <c r="CA37" s="33">
        <v>-24.89</v>
      </c>
      <c r="CB37" s="36">
        <v>3.1688999999999998</v>
      </c>
      <c r="CC37" s="36">
        <v>7.04</v>
      </c>
      <c r="CD37" s="36">
        <v>-25.87</v>
      </c>
      <c r="CE37" s="36">
        <v>2.7681</v>
      </c>
      <c r="CF37" s="36">
        <v>3.62</v>
      </c>
      <c r="CG37" s="36">
        <v>-25.54</v>
      </c>
      <c r="CH37" s="36">
        <v>1.8391999999999999</v>
      </c>
      <c r="CI37" s="36">
        <v>14.28</v>
      </c>
      <c r="CJ37" s="36">
        <v>-25.91</v>
      </c>
      <c r="CK37" s="36">
        <v>1.6839</v>
      </c>
      <c r="CL37" s="36">
        <v>12.27</v>
      </c>
    </row>
    <row r="38" spans="1:90" x14ac:dyDescent="0.25">
      <c r="A38" t="s">
        <v>24</v>
      </c>
      <c r="D38" t="s">
        <v>313</v>
      </c>
      <c r="E38" s="61">
        <v>2016</v>
      </c>
      <c r="F38" s="61">
        <v>2</v>
      </c>
      <c r="G38" s="61">
        <v>3</v>
      </c>
      <c r="H38" s="61">
        <v>5</v>
      </c>
      <c r="I38" s="61"/>
      <c r="J38" s="61"/>
      <c r="K38" s="61"/>
      <c r="R38" s="91">
        <v>0.99490555610425579</v>
      </c>
      <c r="S38" s="91">
        <v>0.9776385206982473</v>
      </c>
      <c r="T38" s="91">
        <v>0.93512231309041294</v>
      </c>
      <c r="U38" s="91">
        <v>0.7118217752896675</v>
      </c>
      <c r="AP38" s="5">
        <v>86</v>
      </c>
      <c r="AQ38" s="5">
        <v>0.5</v>
      </c>
      <c r="AR38" s="5">
        <v>2450</v>
      </c>
      <c r="AS38" s="5">
        <f t="shared" si="17"/>
        <v>4900</v>
      </c>
      <c r="AT38" s="25">
        <v>262.3</v>
      </c>
      <c r="AU38" s="5">
        <v>30</v>
      </c>
      <c r="AV38" s="24">
        <f t="shared" si="18"/>
        <v>8.7433333333333341</v>
      </c>
      <c r="AZ38" s="25">
        <v>10.56</v>
      </c>
      <c r="BA38" s="25">
        <v>9.9600000000000009</v>
      </c>
      <c r="BB38" s="25">
        <v>30.12</v>
      </c>
      <c r="BC38" s="25">
        <v>10.38</v>
      </c>
      <c r="BE38" s="25">
        <f t="shared" si="19"/>
        <v>61.02</v>
      </c>
      <c r="BF38" s="25">
        <f t="shared" si="20"/>
        <v>61.02</v>
      </c>
      <c r="BG38" s="25">
        <f t="shared" si="21"/>
        <v>3.0510000000000002</v>
      </c>
      <c r="BH38" s="24">
        <f t="shared" si="22"/>
        <v>8.7433333333333341</v>
      </c>
      <c r="BI38" s="24">
        <f t="shared" si="23"/>
        <v>0.34895158215783451</v>
      </c>
      <c r="BJ38" s="24">
        <f t="shared" si="24"/>
        <v>854.93137628669456</v>
      </c>
      <c r="BK38" s="39">
        <f t="shared" si="25"/>
        <v>1709.8627525733891</v>
      </c>
      <c r="BL38" s="24">
        <f t="shared" si="26"/>
        <v>0.17305801376597837</v>
      </c>
      <c r="BM38" s="24">
        <f t="shared" si="27"/>
        <v>0.16322517207472961</v>
      </c>
      <c r="BN38" s="24">
        <f t="shared" si="28"/>
        <v>0.49360865290068828</v>
      </c>
      <c r="BO38" s="24">
        <f t="shared" si="29"/>
        <v>0.17010816125860373</v>
      </c>
      <c r="BP38" s="24">
        <f t="shared" si="30"/>
        <v>295.90545177277926</v>
      </c>
      <c r="BQ38" s="24">
        <f t="shared" si="31"/>
        <v>279.09264201296224</v>
      </c>
      <c r="BR38" s="24">
        <f t="shared" si="32"/>
        <v>844.0030499428135</v>
      </c>
      <c r="BS38" s="24">
        <f t="shared" si="33"/>
        <v>290.86160884483411</v>
      </c>
      <c r="BT38" s="12">
        <v>6.3500000000000005</v>
      </c>
      <c r="BU38" s="12">
        <v>9.4250000000000007</v>
      </c>
      <c r="BV38" s="12">
        <v>36.65</v>
      </c>
      <c r="BW38" s="12">
        <v>45.2</v>
      </c>
      <c r="BX38" s="12">
        <v>45.2</v>
      </c>
      <c r="BZ38" s="119">
        <v>348.38709677419354</v>
      </c>
      <c r="CA38" s="33">
        <v>-24.72</v>
      </c>
      <c r="CB38" s="36">
        <v>2.2772000000000001</v>
      </c>
      <c r="CC38" s="36">
        <v>9.39</v>
      </c>
      <c r="CD38" s="36">
        <v>-25.6</v>
      </c>
      <c r="CE38" s="36">
        <v>2.2402000000000002</v>
      </c>
      <c r="CF38" s="36">
        <v>7.19</v>
      </c>
      <c r="CG38" s="36">
        <v>-25.83</v>
      </c>
      <c r="CH38" s="36">
        <v>1.3832</v>
      </c>
      <c r="CI38" s="36">
        <v>15.05</v>
      </c>
      <c r="CJ38" s="36">
        <v>-25.54</v>
      </c>
      <c r="CK38" s="36">
        <v>1.9593</v>
      </c>
      <c r="CL38" s="36">
        <v>15.7</v>
      </c>
    </row>
    <row r="39" spans="1:90" x14ac:dyDescent="0.25">
      <c r="A39" t="s">
        <v>24</v>
      </c>
      <c r="D39" t="s">
        <v>32</v>
      </c>
      <c r="E39" s="6">
        <v>2018</v>
      </c>
      <c r="F39" s="6">
        <v>2</v>
      </c>
      <c r="G39" s="6">
        <v>3</v>
      </c>
      <c r="H39" s="6">
        <v>6</v>
      </c>
      <c r="R39" s="91">
        <v>0.98928400412527007</v>
      </c>
      <c r="S39" s="91">
        <v>0.97390269391791462</v>
      </c>
      <c r="T39" s="91">
        <v>0.93704034957095395</v>
      </c>
      <c r="U39" s="91">
        <v>0.84162688664544083</v>
      </c>
      <c r="AP39" s="5">
        <v>76</v>
      </c>
      <c r="AQ39" s="5">
        <v>0.5</v>
      </c>
      <c r="AR39" s="5">
        <v>2443</v>
      </c>
      <c r="AS39" s="5">
        <f t="shared" si="17"/>
        <v>4886</v>
      </c>
      <c r="AT39" s="25">
        <v>277.94</v>
      </c>
      <c r="AU39" s="5">
        <v>30</v>
      </c>
      <c r="AV39" s="24">
        <f t="shared" si="18"/>
        <v>9.2646666666666668</v>
      </c>
      <c r="AZ39" s="25">
        <v>11.84</v>
      </c>
      <c r="BA39" s="25">
        <v>8.5399999999999991</v>
      </c>
      <c r="BB39" s="25">
        <v>23.77</v>
      </c>
      <c r="BC39" s="25">
        <v>11.4</v>
      </c>
      <c r="BE39" s="25">
        <f t="shared" si="19"/>
        <v>55.55</v>
      </c>
      <c r="BF39" s="25">
        <f t="shared" si="20"/>
        <v>55.55</v>
      </c>
      <c r="BG39" s="25">
        <f t="shared" si="21"/>
        <v>2.7774999999999999</v>
      </c>
      <c r="BH39" s="24">
        <f t="shared" si="22"/>
        <v>9.2646666666666668</v>
      </c>
      <c r="BI39" s="24">
        <f t="shared" si="23"/>
        <v>0.29979491976685613</v>
      </c>
      <c r="BJ39" s="24">
        <f t="shared" si="24"/>
        <v>732.39898899042953</v>
      </c>
      <c r="BK39" s="39">
        <f t="shared" si="25"/>
        <v>1464.7979779808591</v>
      </c>
      <c r="BL39" s="24">
        <f t="shared" si="26"/>
        <v>0.21314131413141316</v>
      </c>
      <c r="BM39" s="24">
        <f t="shared" si="27"/>
        <v>0.15373537353735373</v>
      </c>
      <c r="BN39" s="24">
        <f t="shared" si="28"/>
        <v>0.42790279027902794</v>
      </c>
      <c r="BO39" s="24">
        <f t="shared" si="29"/>
        <v>0.20522052205220523</v>
      </c>
      <c r="BP39" s="24">
        <f t="shared" si="30"/>
        <v>312.20896596387712</v>
      </c>
      <c r="BQ39" s="24">
        <f t="shared" si="31"/>
        <v>225.19126430164781</v>
      </c>
      <c r="BR39" s="24">
        <f t="shared" si="32"/>
        <v>626.79114197308775</v>
      </c>
      <c r="BS39" s="24">
        <f t="shared" si="33"/>
        <v>300.60660574224653</v>
      </c>
      <c r="BT39" s="12">
        <v>10.95</v>
      </c>
      <c r="BU39" s="12">
        <v>16.625</v>
      </c>
      <c r="BV39" s="12">
        <v>49.6</v>
      </c>
      <c r="BW39" s="12">
        <v>54.924999999999997</v>
      </c>
      <c r="BX39" s="12">
        <v>54.924999999999997</v>
      </c>
      <c r="BZ39" s="119">
        <v>554.83870967741939</v>
      </c>
      <c r="CA39" s="33">
        <v>-24.23</v>
      </c>
      <c r="CB39" s="36">
        <v>2.8957000000000002</v>
      </c>
      <c r="CC39" s="36">
        <v>6.98</v>
      </c>
      <c r="CD39" s="36">
        <v>-25.61</v>
      </c>
      <c r="CE39" s="36">
        <v>2.1133000000000002</v>
      </c>
      <c r="CF39" s="36">
        <v>7.26</v>
      </c>
      <c r="CG39" s="36">
        <v>-25.45</v>
      </c>
      <c r="CH39" s="36">
        <v>1.5630999999999999</v>
      </c>
      <c r="CI39" s="36">
        <v>12.87</v>
      </c>
      <c r="CJ39" s="36">
        <v>-25.32</v>
      </c>
      <c r="CK39" s="36">
        <v>2.1198999999999999</v>
      </c>
      <c r="CL39" s="36">
        <v>14.32</v>
      </c>
    </row>
    <row r="40" spans="1:90" x14ac:dyDescent="0.25">
      <c r="A40" t="s">
        <v>34</v>
      </c>
      <c r="D40" t="s">
        <v>39</v>
      </c>
      <c r="E40" s="61">
        <v>2001</v>
      </c>
      <c r="F40" s="61">
        <v>2</v>
      </c>
      <c r="G40" s="61">
        <v>3</v>
      </c>
      <c r="H40" s="61">
        <v>7</v>
      </c>
      <c r="I40" s="61"/>
      <c r="J40" s="61"/>
      <c r="K40" s="61"/>
      <c r="R40" s="91">
        <v>0.97989145368295405</v>
      </c>
      <c r="S40" s="91">
        <v>0.96316458041205255</v>
      </c>
      <c r="T40" s="91">
        <v>0.89661511243703396</v>
      </c>
      <c r="U40" s="91">
        <v>0.66409990725388124</v>
      </c>
      <c r="AP40" s="5">
        <v>82</v>
      </c>
      <c r="AQ40" s="5">
        <v>0.5</v>
      </c>
      <c r="AR40" s="5">
        <v>2680</v>
      </c>
      <c r="AS40" s="5">
        <f t="shared" si="17"/>
        <v>5360</v>
      </c>
      <c r="AT40" s="25">
        <v>164.2</v>
      </c>
      <c r="AU40" s="5">
        <v>30</v>
      </c>
      <c r="AV40" s="24">
        <f t="shared" si="18"/>
        <v>5.4733333333333327</v>
      </c>
      <c r="AZ40" s="25">
        <v>6.29</v>
      </c>
      <c r="BA40" s="25">
        <v>1.37</v>
      </c>
      <c r="BB40" s="25">
        <v>18.03</v>
      </c>
      <c r="BC40" s="25">
        <v>7.51</v>
      </c>
      <c r="BE40" s="25">
        <f t="shared" si="19"/>
        <v>33.200000000000003</v>
      </c>
      <c r="BF40" s="25">
        <f t="shared" si="20"/>
        <v>33.200000000000003</v>
      </c>
      <c r="BG40" s="25">
        <f t="shared" si="21"/>
        <v>1.6600000000000001</v>
      </c>
      <c r="BH40" s="24">
        <f t="shared" si="22"/>
        <v>5.4733333333333327</v>
      </c>
      <c r="BI40" s="24">
        <f t="shared" si="23"/>
        <v>0.30328867235079177</v>
      </c>
      <c r="BJ40" s="24">
        <f t="shared" si="24"/>
        <v>812.81364190012198</v>
      </c>
      <c r="BK40" s="39">
        <f t="shared" si="25"/>
        <v>1625.627283800244</v>
      </c>
      <c r="BL40" s="24">
        <f t="shared" si="26"/>
        <v>0.1894578313253012</v>
      </c>
      <c r="BM40" s="24">
        <f t="shared" si="27"/>
        <v>4.1265060240963852E-2</v>
      </c>
      <c r="BN40" s="24">
        <f t="shared" si="28"/>
        <v>0.54307228915662653</v>
      </c>
      <c r="BO40" s="24">
        <f t="shared" si="29"/>
        <v>0.22620481927710842</v>
      </c>
      <c r="BP40" s="24">
        <f t="shared" si="30"/>
        <v>307.98781973203415</v>
      </c>
      <c r="BQ40" s="24">
        <f t="shared" si="31"/>
        <v>67.081607795371511</v>
      </c>
      <c r="BR40" s="24">
        <f t="shared" si="32"/>
        <v>882.83313032886747</v>
      </c>
      <c r="BS40" s="24">
        <f t="shared" si="33"/>
        <v>367.72472594397084</v>
      </c>
      <c r="BT40" s="12">
        <v>9.9</v>
      </c>
      <c r="BU40" s="12">
        <v>23.424999999999997</v>
      </c>
      <c r="BV40" s="12">
        <v>46.025000000000006</v>
      </c>
      <c r="BW40" s="12">
        <v>47.924999999999997</v>
      </c>
      <c r="BX40" s="12">
        <v>47.924999999999997</v>
      </c>
      <c r="BZ40" s="119">
        <v>782.60869565217388</v>
      </c>
      <c r="CA40" s="33">
        <v>-25.1</v>
      </c>
      <c r="CB40" s="36">
        <v>3.4866000000000001</v>
      </c>
      <c r="CC40" s="36">
        <v>7.19</v>
      </c>
      <c r="CD40" s="36">
        <v>-26.19</v>
      </c>
      <c r="CE40" s="36">
        <v>2.4557000000000002</v>
      </c>
      <c r="CF40" s="36">
        <v>1.72</v>
      </c>
      <c r="CG40" s="36">
        <v>-25.9</v>
      </c>
      <c r="CH40" s="36">
        <v>1.2079</v>
      </c>
      <c r="CI40" s="36">
        <v>9.64</v>
      </c>
      <c r="CJ40" s="36">
        <v>-25.08</v>
      </c>
      <c r="CK40" s="36">
        <v>1.6558999999999999</v>
      </c>
      <c r="CL40" s="36">
        <v>18.649999999999999</v>
      </c>
    </row>
    <row r="41" spans="1:90" x14ac:dyDescent="0.25">
      <c r="A41" t="s">
        <v>34</v>
      </c>
      <c r="D41" t="s">
        <v>38</v>
      </c>
      <c r="E41" s="6">
        <v>1999</v>
      </c>
      <c r="F41" s="6">
        <v>2</v>
      </c>
      <c r="G41" s="6">
        <v>3</v>
      </c>
      <c r="H41" s="6">
        <v>8</v>
      </c>
      <c r="R41" s="91">
        <v>0.9716594253209152</v>
      </c>
      <c r="S41" s="91">
        <v>0.96541458925354873</v>
      </c>
      <c r="T41" s="91">
        <v>0.94436963516255634</v>
      </c>
      <c r="U41" s="91">
        <v>0.82299341428228179</v>
      </c>
      <c r="AP41" s="5">
        <v>96</v>
      </c>
      <c r="AQ41" s="5">
        <v>0.5</v>
      </c>
      <c r="AR41" s="5">
        <v>2794</v>
      </c>
      <c r="AS41" s="5">
        <f t="shared" si="17"/>
        <v>5588</v>
      </c>
      <c r="AT41" s="25">
        <v>211.91</v>
      </c>
      <c r="AU41" s="5">
        <v>30</v>
      </c>
      <c r="AV41" s="24">
        <f t="shared" si="18"/>
        <v>7.0636666666666663</v>
      </c>
      <c r="AZ41" s="25">
        <v>9.14</v>
      </c>
      <c r="BA41" s="25">
        <v>1.26</v>
      </c>
      <c r="BB41" s="25">
        <v>22.02</v>
      </c>
      <c r="BC41" s="25">
        <v>6.63</v>
      </c>
      <c r="BE41" s="25">
        <f t="shared" si="19"/>
        <v>39.050000000000004</v>
      </c>
      <c r="BF41" s="25">
        <f t="shared" si="20"/>
        <v>39.050000000000004</v>
      </c>
      <c r="BG41" s="25">
        <f t="shared" si="21"/>
        <v>1.9525000000000001</v>
      </c>
      <c r="BH41" s="24">
        <f t="shared" si="22"/>
        <v>7.0636666666666663</v>
      </c>
      <c r="BI41" s="24">
        <f t="shared" si="23"/>
        <v>0.27641451559624369</v>
      </c>
      <c r="BJ41" s="24">
        <f t="shared" si="24"/>
        <v>772.30215657590486</v>
      </c>
      <c r="BK41" s="39">
        <f t="shared" si="25"/>
        <v>1544.6043131518097</v>
      </c>
      <c r="BL41" s="24">
        <f t="shared" si="26"/>
        <v>0.23405889884763123</v>
      </c>
      <c r="BM41" s="24">
        <f t="shared" si="27"/>
        <v>3.2266325224071697E-2</v>
      </c>
      <c r="BN41" s="24">
        <f t="shared" si="28"/>
        <v>0.56389244558258633</v>
      </c>
      <c r="BO41" s="24">
        <f t="shared" si="29"/>
        <v>0.16978233034571061</v>
      </c>
      <c r="BP41" s="24">
        <f t="shared" si="30"/>
        <v>361.52838469161435</v>
      </c>
      <c r="BQ41" s="24">
        <f t="shared" si="31"/>
        <v>49.838705110660179</v>
      </c>
      <c r="BR41" s="24">
        <f t="shared" si="32"/>
        <v>870.99070360058499</v>
      </c>
      <c r="BS41" s="24">
        <f t="shared" si="33"/>
        <v>262.24651974894999</v>
      </c>
      <c r="BT41" s="12">
        <v>8.3000000000000007</v>
      </c>
      <c r="BU41" s="12">
        <v>18.324999999999999</v>
      </c>
      <c r="BV41" s="12">
        <v>35.450000000000003</v>
      </c>
      <c r="BW41" s="12">
        <v>49.95</v>
      </c>
      <c r="BX41" s="12">
        <v>49.95</v>
      </c>
      <c r="BZ41" s="119">
        <v>661.53846153846155</v>
      </c>
      <c r="CA41" s="33">
        <v>-24.73</v>
      </c>
      <c r="CB41" s="36">
        <v>2.9415</v>
      </c>
      <c r="CC41" s="36">
        <v>8.6199999999999992</v>
      </c>
      <c r="CD41" s="36">
        <v>-26.06</v>
      </c>
      <c r="CE41" s="36">
        <v>2.4925000000000002</v>
      </c>
      <c r="CF41" s="36">
        <v>3.11</v>
      </c>
      <c r="CG41" s="36">
        <v>-26.05</v>
      </c>
      <c r="CH41" s="36">
        <v>1.1938</v>
      </c>
      <c r="CI41" s="36">
        <v>13.3</v>
      </c>
      <c r="CJ41" s="36">
        <v>-25.36</v>
      </c>
      <c r="CK41" s="36">
        <v>1.8695999999999999</v>
      </c>
      <c r="CL41" s="36">
        <v>12.48</v>
      </c>
    </row>
    <row r="42" spans="1:90" x14ac:dyDescent="0.25">
      <c r="A42" t="s">
        <v>24</v>
      </c>
      <c r="D42" t="s">
        <v>28</v>
      </c>
      <c r="E42" s="61">
        <v>1998</v>
      </c>
      <c r="F42" s="61">
        <v>3</v>
      </c>
      <c r="G42" s="61">
        <v>3</v>
      </c>
      <c r="H42" s="61">
        <v>9</v>
      </c>
      <c r="I42" s="61"/>
      <c r="J42" s="61"/>
      <c r="K42" s="61"/>
      <c r="R42" s="91">
        <v>0.99402340035544989</v>
      </c>
      <c r="S42" s="91">
        <v>0.97657380421570072</v>
      </c>
      <c r="T42" s="91">
        <v>0.97433497896551502</v>
      </c>
      <c r="U42" s="91">
        <v>0.78126307730413413</v>
      </c>
      <c r="AP42" s="5">
        <v>100</v>
      </c>
      <c r="AQ42" s="5">
        <v>0.5</v>
      </c>
      <c r="AR42" s="5">
        <v>3400</v>
      </c>
      <c r="AS42" s="5">
        <f t="shared" si="17"/>
        <v>6800</v>
      </c>
      <c r="AT42" s="25">
        <v>248.35</v>
      </c>
      <c r="AU42" s="5">
        <v>30</v>
      </c>
      <c r="AV42" s="24">
        <f t="shared" si="18"/>
        <v>8.2783333333333324</v>
      </c>
      <c r="AZ42" s="25">
        <v>8.1300000000000008</v>
      </c>
      <c r="BA42" s="25">
        <v>5.24</v>
      </c>
      <c r="BB42" s="25">
        <v>21.08</v>
      </c>
      <c r="BC42" s="25">
        <v>5.71</v>
      </c>
      <c r="BE42" s="25">
        <f t="shared" si="19"/>
        <v>40.160000000000004</v>
      </c>
      <c r="BF42" s="25">
        <f t="shared" si="20"/>
        <v>40.160000000000004</v>
      </c>
      <c r="BG42" s="25">
        <f t="shared" si="21"/>
        <v>2.008</v>
      </c>
      <c r="BH42" s="24">
        <f t="shared" si="22"/>
        <v>8.2783333333333324</v>
      </c>
      <c r="BI42" s="24">
        <f t="shared" si="23"/>
        <v>0.2425609019528891</v>
      </c>
      <c r="BJ42" s="24">
        <f t="shared" si="24"/>
        <v>824.70706663982298</v>
      </c>
      <c r="BK42" s="39">
        <f t="shared" si="25"/>
        <v>1649.414133279646</v>
      </c>
      <c r="BL42" s="24">
        <f t="shared" si="26"/>
        <v>0.20244023904382472</v>
      </c>
      <c r="BM42" s="24">
        <f t="shared" si="27"/>
        <v>0.13047808764940239</v>
      </c>
      <c r="BN42" s="24">
        <f t="shared" si="28"/>
        <v>0.52490039840637437</v>
      </c>
      <c r="BO42" s="24">
        <f t="shared" si="29"/>
        <v>0.14218127490039839</v>
      </c>
      <c r="BP42" s="24">
        <f t="shared" si="30"/>
        <v>333.90779142339449</v>
      </c>
      <c r="BQ42" s="24">
        <f t="shared" si="31"/>
        <v>215.2124018522247</v>
      </c>
      <c r="BR42" s="24">
        <f t="shared" si="32"/>
        <v>865.77813569559089</v>
      </c>
      <c r="BS42" s="24">
        <f t="shared" si="33"/>
        <v>234.51580430843569</v>
      </c>
      <c r="BT42" s="12">
        <v>5.2249999999999996</v>
      </c>
      <c r="BU42" s="12">
        <v>8.2249999999999996</v>
      </c>
      <c r="BV42" s="12">
        <v>42.85</v>
      </c>
      <c r="BW42" s="12">
        <v>43.15</v>
      </c>
      <c r="BX42" s="12">
        <v>43.15</v>
      </c>
      <c r="BZ42" s="119">
        <v>576.74418604651157</v>
      </c>
      <c r="CA42" s="33">
        <v>-24.68</v>
      </c>
      <c r="CB42" s="36">
        <v>2.8757000000000001</v>
      </c>
      <c r="CC42" s="36">
        <v>7.69</v>
      </c>
      <c r="CD42" s="36">
        <v>-25.32</v>
      </c>
      <c r="CE42" s="36">
        <v>2.2818999999999998</v>
      </c>
      <c r="CF42" s="36">
        <v>5.88</v>
      </c>
      <c r="CG42" s="36">
        <v>-25.83</v>
      </c>
      <c r="CH42" s="36">
        <v>1.0096000000000001</v>
      </c>
      <c r="CI42" s="36">
        <v>12.22</v>
      </c>
      <c r="CJ42" s="36">
        <v>-25.25</v>
      </c>
      <c r="CK42" s="36">
        <v>1.8109</v>
      </c>
      <c r="CL42" s="36">
        <v>13.01</v>
      </c>
    </row>
    <row r="43" spans="1:90" x14ac:dyDescent="0.25">
      <c r="A43" t="s">
        <v>24</v>
      </c>
      <c r="D43" t="s">
        <v>29</v>
      </c>
      <c r="E43" s="6">
        <v>1999</v>
      </c>
      <c r="F43" s="6">
        <v>3</v>
      </c>
      <c r="G43" s="6">
        <v>3</v>
      </c>
      <c r="H43" s="6">
        <v>10</v>
      </c>
      <c r="R43" s="91">
        <v>0.99235712596769743</v>
      </c>
      <c r="S43" s="91">
        <v>0.99293064573537304</v>
      </c>
      <c r="T43" s="91">
        <v>0.94850375941180065</v>
      </c>
      <c r="U43" s="91">
        <v>0.65880945090929455</v>
      </c>
      <c r="AP43" s="5">
        <v>91</v>
      </c>
      <c r="AQ43" s="5">
        <v>0.5</v>
      </c>
      <c r="AR43" s="5">
        <v>3162</v>
      </c>
      <c r="AS43" s="5">
        <f t="shared" si="17"/>
        <v>6324</v>
      </c>
      <c r="AT43" s="25">
        <v>270.89999999999998</v>
      </c>
      <c r="AU43" s="5">
        <v>30</v>
      </c>
      <c r="AV43" s="24">
        <f t="shared" si="18"/>
        <v>9.0299999999999994</v>
      </c>
      <c r="AZ43" s="25">
        <v>11.26</v>
      </c>
      <c r="BA43" s="25">
        <v>4.0999999999999996</v>
      </c>
      <c r="BB43" s="25">
        <v>32.9</v>
      </c>
      <c r="BC43" s="25">
        <v>10.79</v>
      </c>
      <c r="BE43" s="25">
        <f t="shared" si="19"/>
        <v>59.05</v>
      </c>
      <c r="BF43" s="25">
        <f t="shared" si="20"/>
        <v>59.05</v>
      </c>
      <c r="BG43" s="25">
        <f t="shared" si="21"/>
        <v>2.9524999999999997</v>
      </c>
      <c r="BH43" s="24">
        <f t="shared" si="22"/>
        <v>9.0299999999999994</v>
      </c>
      <c r="BI43" s="24">
        <f t="shared" si="23"/>
        <v>0.32696566998892579</v>
      </c>
      <c r="BJ43" s="24">
        <f t="shared" si="24"/>
        <v>1033.8654485049833</v>
      </c>
      <c r="BK43" s="39">
        <f t="shared" si="25"/>
        <v>2067.7308970099666</v>
      </c>
      <c r="BL43" s="24">
        <f t="shared" si="26"/>
        <v>0.19068585944115157</v>
      </c>
      <c r="BM43" s="24">
        <f t="shared" si="27"/>
        <v>6.9432684165961045E-2</v>
      </c>
      <c r="BN43" s="24">
        <f t="shared" si="28"/>
        <v>0.55715495342929722</v>
      </c>
      <c r="BO43" s="24">
        <f t="shared" si="29"/>
        <v>0.18272650296359016</v>
      </c>
      <c r="BP43" s="24">
        <f t="shared" si="30"/>
        <v>394.28704318936877</v>
      </c>
      <c r="BQ43" s="24">
        <f t="shared" si="31"/>
        <v>143.56810631229234</v>
      </c>
      <c r="BR43" s="24">
        <f t="shared" si="32"/>
        <v>1152.046511627907</v>
      </c>
      <c r="BS43" s="24">
        <f t="shared" si="33"/>
        <v>377.82923588039864</v>
      </c>
      <c r="BT43" s="12">
        <v>8.75</v>
      </c>
      <c r="BU43" s="12">
        <v>6.3000000000000007</v>
      </c>
      <c r="BV43" s="12">
        <v>43.85</v>
      </c>
      <c r="BW43" s="12">
        <v>49</v>
      </c>
      <c r="BX43" s="12">
        <v>49</v>
      </c>
      <c r="BZ43" s="119">
        <v>563.26530612244903</v>
      </c>
      <c r="CA43" s="33">
        <v>-24.17</v>
      </c>
      <c r="CB43" s="36">
        <v>2.6227999999999998</v>
      </c>
      <c r="CC43" s="36">
        <v>9.51</v>
      </c>
      <c r="CD43" s="36">
        <v>-25.53</v>
      </c>
      <c r="CE43" s="36">
        <v>1.3568</v>
      </c>
      <c r="CF43" s="36">
        <v>6.36</v>
      </c>
      <c r="CG43" s="36">
        <v>-25.95</v>
      </c>
      <c r="CH43" s="36">
        <v>1.0495000000000001</v>
      </c>
      <c r="CI43" s="36">
        <v>20.100000000000001</v>
      </c>
      <c r="CJ43" s="36">
        <v>-25.31</v>
      </c>
      <c r="CK43" s="36">
        <v>1.8446</v>
      </c>
      <c r="CL43" s="36">
        <v>14.67</v>
      </c>
    </row>
    <row r="44" spans="1:90" x14ac:dyDescent="0.25">
      <c r="A44" t="s">
        <v>34</v>
      </c>
      <c r="D44" t="s">
        <v>43</v>
      </c>
      <c r="E44" s="6">
        <v>2020</v>
      </c>
      <c r="F44" s="6">
        <v>3</v>
      </c>
      <c r="G44" s="6">
        <v>3</v>
      </c>
      <c r="H44" s="6">
        <v>11</v>
      </c>
      <c r="R44" s="91">
        <v>0.97254883799569702</v>
      </c>
      <c r="S44" s="91">
        <v>0.96848420473235686</v>
      </c>
      <c r="T44" s="91">
        <v>0.91703607681079358</v>
      </c>
      <c r="U44" s="91">
        <v>0.71252969428262425</v>
      </c>
      <c r="AP44" s="5">
        <v>83</v>
      </c>
      <c r="AQ44" s="5">
        <v>0.5</v>
      </c>
      <c r="AR44" s="5">
        <v>2627</v>
      </c>
      <c r="AS44" s="5">
        <f t="shared" si="17"/>
        <v>5254</v>
      </c>
      <c r="AT44" s="25">
        <v>254.38</v>
      </c>
      <c r="AU44" s="5">
        <v>30</v>
      </c>
      <c r="AV44" s="24">
        <f t="shared" si="18"/>
        <v>8.4793333333333329</v>
      </c>
      <c r="AZ44" s="25">
        <v>11.04</v>
      </c>
      <c r="BA44" s="25">
        <v>0.91</v>
      </c>
      <c r="BB44" s="25">
        <v>29.18</v>
      </c>
      <c r="BC44" s="25">
        <v>10.3</v>
      </c>
      <c r="BE44" s="25">
        <f t="shared" si="19"/>
        <v>51.429999999999993</v>
      </c>
      <c r="BF44" s="25">
        <f t="shared" si="20"/>
        <v>51.429999999999993</v>
      </c>
      <c r="BG44" s="25">
        <f t="shared" si="21"/>
        <v>2.5714999999999995</v>
      </c>
      <c r="BH44" s="24">
        <f t="shared" si="22"/>
        <v>8.4793333333333329</v>
      </c>
      <c r="BI44" s="24">
        <f t="shared" si="23"/>
        <v>0.30326676625520871</v>
      </c>
      <c r="BJ44" s="24">
        <f t="shared" si="24"/>
        <v>796.68179495243328</v>
      </c>
      <c r="BK44" s="39">
        <f t="shared" si="25"/>
        <v>1593.3635899048666</v>
      </c>
      <c r="BL44" s="24">
        <f t="shared" si="26"/>
        <v>0.21466070386933697</v>
      </c>
      <c r="BM44" s="24">
        <f t="shared" si="27"/>
        <v>1.7693952945751511E-2</v>
      </c>
      <c r="BN44" s="24">
        <f t="shared" si="28"/>
        <v>0.56737312852420774</v>
      </c>
      <c r="BO44" s="24">
        <f t="shared" si="29"/>
        <v>0.20027221466070391</v>
      </c>
      <c r="BP44" s="24">
        <f t="shared" si="30"/>
        <v>342.03254972875226</v>
      </c>
      <c r="BQ44" s="24">
        <f t="shared" si="31"/>
        <v>28.192900385250415</v>
      </c>
      <c r="BR44" s="24">
        <f t="shared" si="32"/>
        <v>904.03168488088693</v>
      </c>
      <c r="BS44" s="24">
        <f t="shared" si="33"/>
        <v>319.10645490997723</v>
      </c>
      <c r="BT44" s="12">
        <v>9.7249999999999996</v>
      </c>
      <c r="BU44" s="12">
        <v>18.850000000000001</v>
      </c>
      <c r="BV44" s="12">
        <v>48.766666666666673</v>
      </c>
      <c r="BW44" s="12">
        <v>64.349999999999994</v>
      </c>
      <c r="BX44" s="12">
        <v>64.349999999999994</v>
      </c>
      <c r="BZ44" s="119">
        <v>520</v>
      </c>
      <c r="CA44" s="33">
        <v>-24.03</v>
      </c>
      <c r="CB44" s="36">
        <v>2.7841999999999998</v>
      </c>
      <c r="CC44" s="36">
        <v>8.9</v>
      </c>
      <c r="CD44" s="36">
        <v>-25.86</v>
      </c>
      <c r="CE44" s="36">
        <v>2.923</v>
      </c>
      <c r="CF44" s="131">
        <v>-1.18</v>
      </c>
      <c r="CG44" s="36">
        <v>-25.43</v>
      </c>
      <c r="CH44" s="36">
        <v>1.2787999999999999</v>
      </c>
      <c r="CI44" s="36">
        <v>17.23</v>
      </c>
      <c r="CJ44" s="36">
        <v>-25.04</v>
      </c>
      <c r="CK44" s="36">
        <v>2.0994999999999999</v>
      </c>
      <c r="CL44" s="36">
        <v>14.91</v>
      </c>
    </row>
    <row r="45" spans="1:90" x14ac:dyDescent="0.25">
      <c r="A45" t="s">
        <v>34</v>
      </c>
      <c r="D45" t="s">
        <v>318</v>
      </c>
      <c r="E45" s="61">
        <v>2004</v>
      </c>
      <c r="F45" s="61">
        <v>3</v>
      </c>
      <c r="G45" s="61">
        <v>3</v>
      </c>
      <c r="H45" s="61">
        <v>12</v>
      </c>
      <c r="I45" s="61"/>
      <c r="J45" s="61"/>
      <c r="K45" s="61"/>
      <c r="L45"/>
      <c r="M45"/>
      <c r="N45"/>
      <c r="O45"/>
      <c r="P45"/>
      <c r="Q45"/>
      <c r="R45" s="86">
        <v>0.97890361298427886</v>
      </c>
      <c r="S45" s="86">
        <v>0.97225377002136382</v>
      </c>
      <c r="T45" s="86">
        <v>0.93444211000053734</v>
      </c>
      <c r="U45" s="86">
        <v>0.73212522846725803</v>
      </c>
      <c r="V45"/>
      <c r="W45"/>
      <c r="X45"/>
      <c r="Y45"/>
      <c r="Z45"/>
      <c r="AA45"/>
      <c r="AB45"/>
      <c r="AC45"/>
      <c r="AD45"/>
      <c r="AE45"/>
      <c r="AF45"/>
      <c r="AG45"/>
      <c r="AH45"/>
      <c r="AI45"/>
      <c r="AJ45"/>
      <c r="AK45"/>
      <c r="AL45"/>
      <c r="AM45"/>
      <c r="AN45"/>
      <c r="AO45"/>
      <c r="AP45" s="5">
        <v>97</v>
      </c>
      <c r="AQ45" s="5">
        <v>0.5</v>
      </c>
      <c r="AR45" s="5">
        <v>2564</v>
      </c>
      <c r="AS45" s="5">
        <f t="shared" si="17"/>
        <v>5128</v>
      </c>
      <c r="AT45" s="25">
        <v>197.7</v>
      </c>
      <c r="AU45" s="5">
        <v>30</v>
      </c>
      <c r="AV45" s="24">
        <f t="shared" si="18"/>
        <v>6.59</v>
      </c>
      <c r="AZ45" s="25">
        <v>8.35</v>
      </c>
      <c r="BA45" s="25">
        <v>1.22</v>
      </c>
      <c r="BB45" s="25">
        <v>22.91</v>
      </c>
      <c r="BC45" s="25">
        <v>7.59</v>
      </c>
      <c r="BE45" s="25">
        <f t="shared" si="19"/>
        <v>40.070000000000007</v>
      </c>
      <c r="BF45" s="25">
        <f t="shared" si="20"/>
        <v>40.070000000000007</v>
      </c>
      <c r="BG45" s="25">
        <f t="shared" si="21"/>
        <v>2.0035000000000003</v>
      </c>
      <c r="BH45" s="24">
        <f t="shared" si="22"/>
        <v>6.59</v>
      </c>
      <c r="BI45" s="24">
        <f t="shared" si="23"/>
        <v>0.30402124430956001</v>
      </c>
      <c r="BJ45" s="24">
        <f t="shared" si="24"/>
        <v>779.51047040971184</v>
      </c>
      <c r="BK45" s="39">
        <f t="shared" si="25"/>
        <v>1559.0209408194237</v>
      </c>
      <c r="BL45" s="24">
        <f t="shared" si="26"/>
        <v>0.20838532568005985</v>
      </c>
      <c r="BM45" s="24">
        <f t="shared" si="27"/>
        <v>3.0446718243074614E-2</v>
      </c>
      <c r="BN45" s="24">
        <f t="shared" si="28"/>
        <v>0.57174943848265525</v>
      </c>
      <c r="BO45" s="24">
        <f t="shared" si="29"/>
        <v>0.18941851759421011</v>
      </c>
      <c r="BP45" s="24">
        <f t="shared" si="30"/>
        <v>324.87708649468891</v>
      </c>
      <c r="BQ45" s="24">
        <f t="shared" si="31"/>
        <v>47.467071320182093</v>
      </c>
      <c r="BR45" s="24">
        <f t="shared" si="32"/>
        <v>891.36934749620639</v>
      </c>
      <c r="BS45" s="24">
        <f t="shared" si="33"/>
        <v>295.30743550834597</v>
      </c>
      <c r="BT45" s="12">
        <v>5.9</v>
      </c>
      <c r="BU45" s="12">
        <v>14.25</v>
      </c>
      <c r="BV45" s="12">
        <v>31.2</v>
      </c>
      <c r="BW45" s="12">
        <v>50.433333333333337</v>
      </c>
      <c r="BX45" s="12">
        <v>50.433333333333337</v>
      </c>
      <c r="BY45"/>
      <c r="BZ45" s="119">
        <v>557.8947368421052</v>
      </c>
      <c r="CA45" s="33">
        <v>-24.48</v>
      </c>
      <c r="CB45" s="36">
        <v>2.7862</v>
      </c>
      <c r="CC45" s="36">
        <v>2.4300000000000002</v>
      </c>
      <c r="CD45" s="36">
        <v>-26.2</v>
      </c>
      <c r="CE45" s="36">
        <v>3.4729000000000001</v>
      </c>
      <c r="CF45" s="131">
        <v>-0.57999999999999996</v>
      </c>
      <c r="CG45" s="36">
        <v>-25.94</v>
      </c>
      <c r="CH45" s="36">
        <v>1.3185</v>
      </c>
      <c r="CI45" s="36">
        <v>12.08</v>
      </c>
      <c r="CJ45" s="36">
        <v>-25.37</v>
      </c>
      <c r="CK45" s="36">
        <v>1.8233999999999999</v>
      </c>
      <c r="CL45" s="36">
        <v>16.420000000000002</v>
      </c>
    </row>
    <row r="46" spans="1:90" x14ac:dyDescent="0.25">
      <c r="A46" t="s">
        <v>24</v>
      </c>
      <c r="D46" t="s">
        <v>311</v>
      </c>
      <c r="E46" s="6">
        <v>2023</v>
      </c>
      <c r="F46" s="6">
        <v>4</v>
      </c>
      <c r="G46" s="6">
        <v>3</v>
      </c>
      <c r="H46" s="6">
        <v>13</v>
      </c>
      <c r="R46" s="91">
        <v>0.98920830469579524</v>
      </c>
      <c r="S46" s="91">
        <v>0.97967486355273004</v>
      </c>
      <c r="T46" s="91">
        <v>0.94305655545665334</v>
      </c>
      <c r="U46" s="91">
        <v>0.78648612651301741</v>
      </c>
      <c r="AP46" s="5">
        <v>94</v>
      </c>
      <c r="AQ46" s="5">
        <v>0.5</v>
      </c>
      <c r="AR46" s="5">
        <v>2841</v>
      </c>
      <c r="AS46" s="5">
        <f t="shared" si="17"/>
        <v>5682</v>
      </c>
      <c r="AT46" s="25">
        <v>226.02</v>
      </c>
      <c r="AU46" s="5">
        <v>30</v>
      </c>
      <c r="AV46" s="24">
        <f t="shared" si="18"/>
        <v>7.5340000000000007</v>
      </c>
      <c r="AZ46" s="25">
        <v>7.26</v>
      </c>
      <c r="BA46" s="25">
        <v>5.83</v>
      </c>
      <c r="BB46" s="25">
        <v>25.39</v>
      </c>
      <c r="BC46" s="25">
        <v>6.1</v>
      </c>
      <c r="BE46" s="25">
        <f t="shared" si="19"/>
        <v>44.580000000000005</v>
      </c>
      <c r="BF46" s="25">
        <f t="shared" si="20"/>
        <v>44.580000000000005</v>
      </c>
      <c r="BG46" s="25">
        <f t="shared" si="21"/>
        <v>2.2290000000000001</v>
      </c>
      <c r="BH46" s="24">
        <f t="shared" si="22"/>
        <v>7.5340000000000007</v>
      </c>
      <c r="BI46" s="24">
        <f t="shared" si="23"/>
        <v>0.29585877355986195</v>
      </c>
      <c r="BJ46" s="24">
        <f t="shared" si="24"/>
        <v>840.53477568356777</v>
      </c>
      <c r="BK46" s="39">
        <f t="shared" si="25"/>
        <v>1681.0695513671355</v>
      </c>
      <c r="BL46" s="24">
        <f t="shared" si="26"/>
        <v>0.16285329744279944</v>
      </c>
      <c r="BM46" s="24">
        <f t="shared" si="27"/>
        <v>0.1307761327949753</v>
      </c>
      <c r="BN46" s="24">
        <f t="shared" si="28"/>
        <v>0.56953790937640192</v>
      </c>
      <c r="BO46" s="24">
        <f t="shared" si="29"/>
        <v>0.1368326603858232</v>
      </c>
      <c r="BP46" s="24">
        <f t="shared" si="30"/>
        <v>273.76771967082556</v>
      </c>
      <c r="BQ46" s="24">
        <f t="shared" si="31"/>
        <v>219.84377488717806</v>
      </c>
      <c r="BR46" s="24">
        <f t="shared" si="32"/>
        <v>957.4328378019643</v>
      </c>
      <c r="BS46" s="24">
        <f t="shared" si="33"/>
        <v>230.02521900716744</v>
      </c>
      <c r="BT46" s="12">
        <v>8.1</v>
      </c>
      <c r="BU46" s="12">
        <v>12.925000000000001</v>
      </c>
      <c r="BV46" s="12">
        <v>38.924999999999997</v>
      </c>
      <c r="BW46" s="12">
        <v>54.224999999999994</v>
      </c>
      <c r="BX46" s="12">
        <v>54.224999999999994</v>
      </c>
      <c r="BZ46" s="119">
        <v>540</v>
      </c>
      <c r="CA46" s="33">
        <v>-24.42</v>
      </c>
      <c r="CB46" s="36">
        <v>2.2355999999999998</v>
      </c>
      <c r="CC46" s="36">
        <v>8.94</v>
      </c>
      <c r="CD46" s="36">
        <v>-25.2</v>
      </c>
      <c r="CE46" s="36">
        <v>1.8533999999999999</v>
      </c>
      <c r="CF46" s="36">
        <v>7.21</v>
      </c>
      <c r="CG46" s="36">
        <v>-25.53</v>
      </c>
      <c r="CH46" s="36">
        <v>0.79498999999999997</v>
      </c>
      <c r="CI46" s="36">
        <v>17.43</v>
      </c>
      <c r="CJ46" s="36">
        <v>-25.28</v>
      </c>
      <c r="CK46" s="36">
        <v>1.7221</v>
      </c>
      <c r="CL46" s="36">
        <v>13.63</v>
      </c>
    </row>
    <row r="47" spans="1:90" x14ac:dyDescent="0.25">
      <c r="A47" t="s">
        <v>24</v>
      </c>
      <c r="D47" t="s">
        <v>312</v>
      </c>
      <c r="E47" s="61">
        <v>2002</v>
      </c>
      <c r="F47" s="61">
        <v>4</v>
      </c>
      <c r="G47" s="61">
        <v>3</v>
      </c>
      <c r="H47" s="61">
        <v>14</v>
      </c>
      <c r="I47" s="61"/>
      <c r="J47" s="61"/>
      <c r="K47" s="61"/>
      <c r="R47" s="91">
        <v>0.9839105541077533</v>
      </c>
      <c r="S47" s="91">
        <v>0.9868568359524611</v>
      </c>
      <c r="T47" s="91">
        <v>0.93861747567996401</v>
      </c>
      <c r="U47" s="91">
        <v>0.82863070587931775</v>
      </c>
      <c r="AP47" s="5">
        <v>87</v>
      </c>
      <c r="AQ47" s="5">
        <v>0.5</v>
      </c>
      <c r="AR47" s="5">
        <v>2538</v>
      </c>
      <c r="AS47" s="5">
        <f t="shared" si="17"/>
        <v>5076</v>
      </c>
      <c r="AT47" s="25">
        <v>247.5</v>
      </c>
      <c r="AU47" s="5">
        <v>30</v>
      </c>
      <c r="AV47" s="24">
        <f t="shared" si="18"/>
        <v>8.25</v>
      </c>
      <c r="AZ47" s="25">
        <v>8.4499999999999993</v>
      </c>
      <c r="BA47" s="25">
        <v>8.81</v>
      </c>
      <c r="BB47" s="25">
        <v>19.45</v>
      </c>
      <c r="BC47" s="25">
        <v>6.57</v>
      </c>
      <c r="BE47" s="25">
        <f t="shared" si="19"/>
        <v>43.279999999999994</v>
      </c>
      <c r="BF47" s="25">
        <f t="shared" si="20"/>
        <v>43.279999999999994</v>
      </c>
      <c r="BG47" s="25">
        <f t="shared" si="21"/>
        <v>2.1639999999999997</v>
      </c>
      <c r="BH47" s="24">
        <f t="shared" si="22"/>
        <v>8.25</v>
      </c>
      <c r="BI47" s="24">
        <f t="shared" si="23"/>
        <v>0.26230303030303026</v>
      </c>
      <c r="BJ47" s="24">
        <f t="shared" si="24"/>
        <v>665.7250909090908</v>
      </c>
      <c r="BK47" s="39">
        <f t="shared" si="25"/>
        <v>1331.4501818181816</v>
      </c>
      <c r="BL47" s="24">
        <f t="shared" si="26"/>
        <v>0.19524029574861368</v>
      </c>
      <c r="BM47" s="24">
        <f t="shared" si="27"/>
        <v>0.20355822550831798</v>
      </c>
      <c r="BN47" s="24">
        <f t="shared" si="28"/>
        <v>0.44939926062846586</v>
      </c>
      <c r="BO47" s="24">
        <f t="shared" si="29"/>
        <v>0.15180221811460262</v>
      </c>
      <c r="BP47" s="24">
        <f t="shared" si="30"/>
        <v>259.9527272727272</v>
      </c>
      <c r="BQ47" s="24">
        <f t="shared" si="31"/>
        <v>271.02763636363636</v>
      </c>
      <c r="BR47" s="24">
        <f t="shared" si="32"/>
        <v>598.35272727272729</v>
      </c>
      <c r="BS47" s="24">
        <f t="shared" si="33"/>
        <v>202.11709090909093</v>
      </c>
      <c r="BT47" s="12">
        <v>10.4</v>
      </c>
      <c r="BU47" s="12">
        <v>17.375</v>
      </c>
      <c r="BV47" s="12">
        <v>30.475000000000001</v>
      </c>
      <c r="BW47" s="12">
        <v>49.600000000000009</v>
      </c>
      <c r="BX47" s="12">
        <v>49.600000000000009</v>
      </c>
      <c r="BZ47" s="119">
        <v>640</v>
      </c>
      <c r="CA47" s="33">
        <v>-24.56</v>
      </c>
      <c r="CB47" s="36">
        <v>2.2890000000000001</v>
      </c>
      <c r="CC47" s="36">
        <v>7.09</v>
      </c>
      <c r="CD47" s="36">
        <v>-25.57</v>
      </c>
      <c r="CE47" s="36">
        <v>2.4226999999999999</v>
      </c>
      <c r="CF47" s="36">
        <v>4.5</v>
      </c>
      <c r="CG47" s="36">
        <v>-25.65</v>
      </c>
      <c r="CH47" s="36">
        <v>1.3864000000000001</v>
      </c>
      <c r="CI47" s="36">
        <v>14.11</v>
      </c>
      <c r="CJ47" s="36">
        <v>-25.8</v>
      </c>
      <c r="CK47" s="36">
        <v>2.2113999999999998</v>
      </c>
      <c r="CL47" s="36">
        <v>11.53</v>
      </c>
    </row>
    <row r="48" spans="1:90" x14ac:dyDescent="0.25">
      <c r="A48" t="s">
        <v>34</v>
      </c>
      <c r="D48" t="s">
        <v>37</v>
      </c>
      <c r="E48" s="6">
        <v>1989</v>
      </c>
      <c r="F48" s="6">
        <v>4</v>
      </c>
      <c r="G48" s="6">
        <v>3</v>
      </c>
      <c r="H48" s="6">
        <v>15</v>
      </c>
      <c r="R48" s="91">
        <v>0.99260721808978902</v>
      </c>
      <c r="S48" s="91">
        <v>0.9870558548544911</v>
      </c>
      <c r="T48" s="91">
        <v>0.95634648883788642</v>
      </c>
      <c r="U48" s="91">
        <v>0.84161814331825668</v>
      </c>
      <c r="AP48" s="5">
        <v>92</v>
      </c>
      <c r="AQ48" s="5">
        <v>0.5</v>
      </c>
      <c r="AR48" s="5">
        <v>3218</v>
      </c>
      <c r="AS48" s="5">
        <f t="shared" si="17"/>
        <v>6436</v>
      </c>
      <c r="AT48" s="25">
        <v>269.58</v>
      </c>
      <c r="AU48" s="5">
        <v>30</v>
      </c>
      <c r="AV48" s="24">
        <f t="shared" si="18"/>
        <v>8.9859999999999989</v>
      </c>
      <c r="AZ48" s="25">
        <v>9.1300000000000008</v>
      </c>
      <c r="BA48" s="25">
        <v>1.86</v>
      </c>
      <c r="BB48" s="25">
        <v>22.94</v>
      </c>
      <c r="BC48" s="25">
        <v>6.8</v>
      </c>
      <c r="BE48" s="25">
        <f t="shared" si="19"/>
        <v>40.729999999999997</v>
      </c>
      <c r="BF48" s="25">
        <f t="shared" si="20"/>
        <v>40.729999999999997</v>
      </c>
      <c r="BG48" s="25">
        <f t="shared" si="21"/>
        <v>2.0364999999999998</v>
      </c>
      <c r="BH48" s="24">
        <f t="shared" si="22"/>
        <v>8.9859999999999989</v>
      </c>
      <c r="BI48" s="24">
        <f t="shared" si="23"/>
        <v>0.22663031382150012</v>
      </c>
      <c r="BJ48" s="24">
        <f t="shared" si="24"/>
        <v>729.29634987758743</v>
      </c>
      <c r="BK48" s="39">
        <f t="shared" si="25"/>
        <v>1458.5926997551749</v>
      </c>
      <c r="BL48" s="24">
        <f t="shared" si="26"/>
        <v>0.22415909648907442</v>
      </c>
      <c r="BM48" s="24">
        <f t="shared" si="27"/>
        <v>4.5666584826908919E-2</v>
      </c>
      <c r="BN48" s="24">
        <f t="shared" si="28"/>
        <v>0.56322121286520999</v>
      </c>
      <c r="BO48" s="24">
        <f t="shared" si="29"/>
        <v>0.16695310581880679</v>
      </c>
      <c r="BP48" s="24">
        <f t="shared" si="30"/>
        <v>326.95682172267982</v>
      </c>
      <c r="BQ48" s="24">
        <f t="shared" si="31"/>
        <v>66.608947251279787</v>
      </c>
      <c r="BR48" s="24">
        <f t="shared" si="32"/>
        <v>821.51034943245065</v>
      </c>
      <c r="BS48" s="24">
        <f t="shared" si="33"/>
        <v>243.51658134876479</v>
      </c>
      <c r="BT48" s="12">
        <v>6.9749999999999996</v>
      </c>
      <c r="BU48" s="12">
        <v>9.7250000000000014</v>
      </c>
      <c r="BV48" s="12">
        <v>24.55</v>
      </c>
      <c r="BW48" s="12">
        <v>51.375</v>
      </c>
      <c r="BX48" s="12">
        <v>51.375</v>
      </c>
      <c r="BZ48" s="119">
        <v>583.33333333333326</v>
      </c>
      <c r="CA48" s="33">
        <v>-25.35</v>
      </c>
      <c r="CB48" s="36">
        <v>2.5310999999999999</v>
      </c>
      <c r="CC48" s="36">
        <v>6.28</v>
      </c>
      <c r="CD48" s="36">
        <v>-25.85</v>
      </c>
      <c r="CE48" s="36">
        <v>2.6507999999999998</v>
      </c>
      <c r="CF48" s="36">
        <v>2.86</v>
      </c>
      <c r="CG48" s="36">
        <v>-26.17</v>
      </c>
      <c r="CH48" s="36">
        <v>1.1408</v>
      </c>
      <c r="CI48" s="36">
        <v>11.97</v>
      </c>
      <c r="CJ48" s="36">
        <v>-26.03</v>
      </c>
      <c r="CK48" s="36">
        <v>1.9085000000000001</v>
      </c>
      <c r="CL48" s="36">
        <v>11.85</v>
      </c>
    </row>
    <row r="49" spans="1:90" x14ac:dyDescent="0.25">
      <c r="A49" t="s">
        <v>34</v>
      </c>
      <c r="D49" t="s">
        <v>42</v>
      </c>
      <c r="E49" s="6">
        <v>2016</v>
      </c>
      <c r="F49" s="6">
        <v>4</v>
      </c>
      <c r="G49" s="6">
        <v>3</v>
      </c>
      <c r="H49" s="6">
        <v>16</v>
      </c>
      <c r="R49" s="91">
        <v>0.96590454835940631</v>
      </c>
      <c r="S49" s="91">
        <v>0.93312664174429527</v>
      </c>
      <c r="T49" s="91">
        <v>0.90822094188096347</v>
      </c>
      <c r="U49" s="91">
        <v>0.67167519526042441</v>
      </c>
      <c r="AP49" s="5">
        <v>84</v>
      </c>
      <c r="AQ49" s="5">
        <v>0.5</v>
      </c>
      <c r="AR49" s="5">
        <v>3192</v>
      </c>
      <c r="AS49" s="5">
        <f t="shared" si="17"/>
        <v>6384</v>
      </c>
      <c r="AT49" s="25">
        <v>257.45999999999998</v>
      </c>
      <c r="AU49" s="5">
        <v>30</v>
      </c>
      <c r="AV49" s="24">
        <f t="shared" si="18"/>
        <v>8.581999999999999</v>
      </c>
      <c r="AZ49" s="25">
        <v>11.44</v>
      </c>
      <c r="BA49" s="25">
        <v>1.59</v>
      </c>
      <c r="BB49" s="25">
        <v>37.32</v>
      </c>
      <c r="BC49" s="25">
        <v>10.9</v>
      </c>
      <c r="BE49" s="25">
        <f t="shared" si="19"/>
        <v>61.25</v>
      </c>
      <c r="BF49" s="25">
        <f t="shared" si="20"/>
        <v>61.25</v>
      </c>
      <c r="BG49" s="25">
        <f t="shared" si="21"/>
        <v>3.0625</v>
      </c>
      <c r="BH49" s="24">
        <f t="shared" si="22"/>
        <v>8.581999999999999</v>
      </c>
      <c r="BI49" s="24">
        <f t="shared" si="23"/>
        <v>0.35685154975530181</v>
      </c>
      <c r="BJ49" s="24">
        <f t="shared" si="24"/>
        <v>1139.0701468189234</v>
      </c>
      <c r="BK49" s="39">
        <f t="shared" si="25"/>
        <v>2278.1402936378468</v>
      </c>
      <c r="BL49" s="24">
        <f t="shared" si="26"/>
        <v>0.18677551020408162</v>
      </c>
      <c r="BM49" s="24">
        <f t="shared" si="27"/>
        <v>2.5959183673469388E-2</v>
      </c>
      <c r="BN49" s="24">
        <f t="shared" si="28"/>
        <v>0.60930612244897964</v>
      </c>
      <c r="BO49" s="24">
        <f t="shared" si="29"/>
        <v>0.17795918367346938</v>
      </c>
      <c r="BP49" s="24">
        <f t="shared" si="30"/>
        <v>425.50081566068513</v>
      </c>
      <c r="BQ49" s="24">
        <f t="shared" si="31"/>
        <v>59.138662316476349</v>
      </c>
      <c r="BR49" s="24">
        <f t="shared" si="32"/>
        <v>1388.0848287112563</v>
      </c>
      <c r="BS49" s="24">
        <f t="shared" si="33"/>
        <v>405.41598694942905</v>
      </c>
      <c r="BT49" s="12">
        <v>9.2999999999999989</v>
      </c>
      <c r="BU49" s="12">
        <v>13.225</v>
      </c>
      <c r="BV49" s="12">
        <v>37.625</v>
      </c>
      <c r="BW49" s="12">
        <v>54.325000000000003</v>
      </c>
      <c r="BX49" s="12">
        <v>54.325000000000003</v>
      </c>
      <c r="BZ49" s="119">
        <v>615.38461538461547</v>
      </c>
      <c r="CA49" s="33">
        <v>-24.95</v>
      </c>
      <c r="CB49" s="36">
        <v>3.3546999999999998</v>
      </c>
      <c r="CC49" s="36">
        <v>7.37</v>
      </c>
      <c r="CD49" s="36">
        <v>-26.11</v>
      </c>
      <c r="CE49" s="36">
        <v>2.3805999999999998</v>
      </c>
      <c r="CF49" s="36">
        <v>4.68</v>
      </c>
      <c r="CG49" s="36">
        <v>-25.59</v>
      </c>
      <c r="CH49" s="36">
        <v>1.5582</v>
      </c>
      <c r="CI49" s="36">
        <v>13.83</v>
      </c>
      <c r="CJ49" s="36">
        <v>-26.06</v>
      </c>
      <c r="CK49" s="36">
        <v>1.929</v>
      </c>
      <c r="CL49" s="36">
        <v>9.49</v>
      </c>
    </row>
    <row r="50" spans="1:90" x14ac:dyDescent="0.25">
      <c r="A50" t="s">
        <v>24</v>
      </c>
      <c r="D50" t="s">
        <v>29</v>
      </c>
      <c r="E50" s="6">
        <v>1999</v>
      </c>
      <c r="F50" s="6">
        <v>1</v>
      </c>
      <c r="G50" s="6">
        <v>4</v>
      </c>
      <c r="H50" s="6">
        <v>1</v>
      </c>
      <c r="R50" s="91">
        <v>0.98778626152528304</v>
      </c>
      <c r="S50" s="91">
        <v>0.97817466525851371</v>
      </c>
      <c r="T50" s="91">
        <v>0.93063677772384967</v>
      </c>
      <c r="U50" s="91">
        <v>0.70922832989893581</v>
      </c>
      <c r="AP50" s="5">
        <v>106</v>
      </c>
      <c r="AQ50" s="5">
        <v>0.5</v>
      </c>
      <c r="AR50" s="5">
        <v>2436</v>
      </c>
      <c r="AS50" s="5">
        <f t="shared" si="17"/>
        <v>4872</v>
      </c>
      <c r="AT50" s="25">
        <v>248.48</v>
      </c>
      <c r="AU50" s="5">
        <v>30</v>
      </c>
      <c r="AV50" s="24">
        <f t="shared" si="18"/>
        <v>8.2826666666666657</v>
      </c>
      <c r="AZ50" s="25">
        <v>10.050000000000001</v>
      </c>
      <c r="BA50" s="25">
        <v>3.69</v>
      </c>
      <c r="BB50" s="25">
        <v>35.049999999999997</v>
      </c>
      <c r="BC50" s="25">
        <v>11.35</v>
      </c>
      <c r="BE50" s="25">
        <f t="shared" si="19"/>
        <v>60.14</v>
      </c>
      <c r="BF50" s="25">
        <f t="shared" si="20"/>
        <v>60.14</v>
      </c>
      <c r="BG50" s="25">
        <f t="shared" si="21"/>
        <v>3.0070000000000001</v>
      </c>
      <c r="BH50" s="24">
        <f t="shared" si="22"/>
        <v>8.2826666666666657</v>
      </c>
      <c r="BI50" s="24">
        <f t="shared" si="23"/>
        <v>0.36304732775273668</v>
      </c>
      <c r="BJ50" s="24">
        <f t="shared" si="24"/>
        <v>884.38329040566657</v>
      </c>
      <c r="BK50" s="39">
        <f t="shared" si="25"/>
        <v>1768.7665808113331</v>
      </c>
      <c r="BL50" s="24">
        <f t="shared" si="26"/>
        <v>0.16711007648819423</v>
      </c>
      <c r="BM50" s="24">
        <f t="shared" si="27"/>
        <v>6.1356834053874293E-2</v>
      </c>
      <c r="BN50" s="24">
        <f t="shared" si="28"/>
        <v>0.58280678417026932</v>
      </c>
      <c r="BO50" s="24">
        <f t="shared" si="29"/>
        <v>0.18872630528766213</v>
      </c>
      <c r="BP50" s="24">
        <f t="shared" si="30"/>
        <v>295.57871860914366</v>
      </c>
      <c r="BQ50" s="24">
        <f t="shared" si="31"/>
        <v>108.5259175788796</v>
      </c>
      <c r="BR50" s="24">
        <f t="shared" si="32"/>
        <v>1030.8491629104958</v>
      </c>
      <c r="BS50" s="24">
        <f t="shared" si="33"/>
        <v>333.81278171281394</v>
      </c>
      <c r="BT50" s="12">
        <v>6.875</v>
      </c>
      <c r="BU50" s="12">
        <v>7.2750000000000004</v>
      </c>
      <c r="BV50" s="12">
        <v>38.900000000000006</v>
      </c>
      <c r="BW50" s="12">
        <v>58.3</v>
      </c>
      <c r="BX50" s="12">
        <v>58.3</v>
      </c>
      <c r="BZ50" s="119">
        <v>540.54054054054052</v>
      </c>
      <c r="CA50" s="33">
        <v>-25.68</v>
      </c>
      <c r="CB50" s="36">
        <v>2.4502999999999999</v>
      </c>
      <c r="CC50" s="36">
        <v>10.35</v>
      </c>
      <c r="CD50" s="36">
        <v>-25.43</v>
      </c>
      <c r="CE50" s="36">
        <v>1.6504000000000001</v>
      </c>
      <c r="CF50" s="36">
        <v>8.36</v>
      </c>
      <c r="CG50" s="36">
        <v>-26.64</v>
      </c>
      <c r="CH50" s="36">
        <v>1.0955999999999999</v>
      </c>
      <c r="CI50" s="36">
        <v>14.94</v>
      </c>
      <c r="CJ50" s="36">
        <v>-24.86</v>
      </c>
      <c r="CK50" s="36">
        <v>2.4643999999999999</v>
      </c>
      <c r="CL50" s="36">
        <v>18.399999999999999</v>
      </c>
    </row>
    <row r="51" spans="1:90" x14ac:dyDescent="0.25">
      <c r="A51" t="s">
        <v>24</v>
      </c>
      <c r="D51" t="s">
        <v>32</v>
      </c>
      <c r="E51" s="6">
        <v>2018</v>
      </c>
      <c r="F51" s="6">
        <v>1</v>
      </c>
      <c r="G51" s="6">
        <v>4</v>
      </c>
      <c r="H51" s="6">
        <v>2</v>
      </c>
      <c r="R51" s="91">
        <v>0.98343163553093582</v>
      </c>
      <c r="S51" s="91">
        <v>0.9694906839163645</v>
      </c>
      <c r="T51" s="91">
        <v>0.89763907659471742</v>
      </c>
      <c r="U51" s="91">
        <v>0.74204624479776049</v>
      </c>
      <c r="AP51" s="5">
        <v>84</v>
      </c>
      <c r="AQ51" s="5">
        <v>0.5</v>
      </c>
      <c r="AR51" s="5">
        <v>2817</v>
      </c>
      <c r="AS51" s="5">
        <f t="shared" si="17"/>
        <v>5634</v>
      </c>
      <c r="AT51" s="25">
        <v>254.46</v>
      </c>
      <c r="AU51" s="5">
        <v>30</v>
      </c>
      <c r="AV51" s="24">
        <f t="shared" si="18"/>
        <v>8.4820000000000011</v>
      </c>
      <c r="AZ51" s="25">
        <v>9.68</v>
      </c>
      <c r="BA51" s="25">
        <v>7.74</v>
      </c>
      <c r="BB51" s="25">
        <v>27.28</v>
      </c>
      <c r="BC51" s="25">
        <v>10.7</v>
      </c>
      <c r="BE51" s="25">
        <f t="shared" si="19"/>
        <v>55.400000000000006</v>
      </c>
      <c r="BF51" s="25">
        <f t="shared" si="20"/>
        <v>55.400000000000006</v>
      </c>
      <c r="BG51" s="25">
        <f t="shared" si="21"/>
        <v>2.7700000000000005</v>
      </c>
      <c r="BH51" s="24">
        <f t="shared" si="22"/>
        <v>8.4820000000000011</v>
      </c>
      <c r="BI51" s="24">
        <f t="shared" si="23"/>
        <v>0.32657392124498941</v>
      </c>
      <c r="BJ51" s="24">
        <f t="shared" si="24"/>
        <v>919.95873614713514</v>
      </c>
      <c r="BK51" s="39">
        <f t="shared" si="25"/>
        <v>1839.9174722942703</v>
      </c>
      <c r="BL51" s="24">
        <f t="shared" si="26"/>
        <v>0.1747292418772563</v>
      </c>
      <c r="BM51" s="24">
        <f t="shared" si="27"/>
        <v>0.13971119133574006</v>
      </c>
      <c r="BN51" s="24">
        <f t="shared" si="28"/>
        <v>0.49241877256317684</v>
      </c>
      <c r="BO51" s="24">
        <f t="shared" si="29"/>
        <v>0.19314079422382668</v>
      </c>
      <c r="BP51" s="24">
        <f t="shared" si="30"/>
        <v>321.48738505069559</v>
      </c>
      <c r="BQ51" s="24">
        <f t="shared" si="31"/>
        <v>257.05706201367599</v>
      </c>
      <c r="BR51" s="24">
        <f t="shared" si="32"/>
        <v>906.00990332468746</v>
      </c>
      <c r="BS51" s="24">
        <f t="shared" si="33"/>
        <v>355.36312190521102</v>
      </c>
      <c r="BT51" s="12">
        <v>9.6999999999999993</v>
      </c>
      <c r="BU51" s="12">
        <v>11.75</v>
      </c>
      <c r="BV51" s="12">
        <v>48</v>
      </c>
      <c r="BW51" s="12">
        <v>48.8</v>
      </c>
      <c r="BX51" s="12">
        <v>48.8</v>
      </c>
      <c r="BZ51" s="119">
        <v>432</v>
      </c>
      <c r="CA51" s="33">
        <v>-24.5</v>
      </c>
      <c r="CB51" s="36">
        <v>2.6324000000000001</v>
      </c>
      <c r="CC51" s="36">
        <v>8.6199999999999992</v>
      </c>
      <c r="CD51" s="36">
        <v>-24.99</v>
      </c>
      <c r="CE51" s="36">
        <v>1.9745999999999999</v>
      </c>
      <c r="CF51" s="36">
        <v>4.51</v>
      </c>
      <c r="CG51" s="36">
        <v>-24.9</v>
      </c>
      <c r="CH51" s="36">
        <v>1.1073999999999999</v>
      </c>
      <c r="CI51" s="36">
        <v>24.9</v>
      </c>
      <c r="CJ51" s="36">
        <v>-24.76</v>
      </c>
      <c r="CK51" s="36">
        <v>1.8776999999999999</v>
      </c>
      <c r="CL51" s="36">
        <v>22.7</v>
      </c>
    </row>
    <row r="52" spans="1:90" x14ac:dyDescent="0.25">
      <c r="A52" t="s">
        <v>34</v>
      </c>
      <c r="D52" t="s">
        <v>38</v>
      </c>
      <c r="E52" s="6">
        <v>1999</v>
      </c>
      <c r="F52" s="6">
        <v>1</v>
      </c>
      <c r="G52" s="6">
        <v>4</v>
      </c>
      <c r="H52" s="6">
        <v>3</v>
      </c>
      <c r="R52" s="91">
        <v>0.94980958216202949</v>
      </c>
      <c r="S52" s="91">
        <v>0.92717575271333164</v>
      </c>
      <c r="T52" s="91">
        <v>0.82663344547173245</v>
      </c>
      <c r="U52" s="91">
        <v>0.59451344857261834</v>
      </c>
      <c r="AP52" s="5">
        <v>99</v>
      </c>
      <c r="AQ52" s="5">
        <v>0.5</v>
      </c>
      <c r="AR52" s="5">
        <v>3008</v>
      </c>
      <c r="AS52" s="5">
        <f t="shared" si="17"/>
        <v>6016</v>
      </c>
      <c r="AT52" s="25">
        <v>241.53</v>
      </c>
      <c r="AU52" s="5">
        <v>30</v>
      </c>
      <c r="AV52" s="24">
        <f t="shared" si="18"/>
        <v>8.0510000000000002</v>
      </c>
      <c r="AZ52" s="25">
        <v>8.84</v>
      </c>
      <c r="BA52" s="25">
        <v>1.98</v>
      </c>
      <c r="BB52" s="25">
        <v>21.26</v>
      </c>
      <c r="BC52" s="25">
        <v>5.84</v>
      </c>
      <c r="BE52" s="25">
        <f t="shared" si="19"/>
        <v>37.92</v>
      </c>
      <c r="BF52" s="25">
        <f t="shared" si="20"/>
        <v>37.92</v>
      </c>
      <c r="BG52" s="25">
        <f t="shared" si="21"/>
        <v>1.8960000000000001</v>
      </c>
      <c r="BH52" s="24">
        <f t="shared" si="22"/>
        <v>8.0510000000000002</v>
      </c>
      <c r="BI52" s="24">
        <f t="shared" si="23"/>
        <v>0.23549869581418459</v>
      </c>
      <c r="BJ52" s="24">
        <f t="shared" si="24"/>
        <v>708.38007700906724</v>
      </c>
      <c r="BK52" s="39">
        <f t="shared" si="25"/>
        <v>1416.7601540181345</v>
      </c>
      <c r="BL52" s="24">
        <f t="shared" si="26"/>
        <v>0.2331223628691983</v>
      </c>
      <c r="BM52" s="24">
        <f t="shared" si="27"/>
        <v>5.2215189873417715E-2</v>
      </c>
      <c r="BN52" s="24">
        <f t="shared" si="28"/>
        <v>0.56065400843881863</v>
      </c>
      <c r="BO52" s="24">
        <f t="shared" si="29"/>
        <v>0.15400843881856538</v>
      </c>
      <c r="BP52" s="24">
        <f t="shared" si="30"/>
        <v>330.2784747236368</v>
      </c>
      <c r="BQ52" s="24">
        <f t="shared" si="31"/>
        <v>73.976400447149416</v>
      </c>
      <c r="BR52" s="24">
        <f t="shared" si="32"/>
        <v>794.3122593466652</v>
      </c>
      <c r="BS52" s="24">
        <f t="shared" si="33"/>
        <v>218.19301950068314</v>
      </c>
      <c r="BT52" s="12">
        <v>8.875</v>
      </c>
      <c r="BU52" s="12">
        <v>4.6999999999999993</v>
      </c>
      <c r="BV52" s="12">
        <v>26.3</v>
      </c>
      <c r="BW52" s="12">
        <v>38.474999999999994</v>
      </c>
      <c r="BX52" s="12">
        <v>38.474999999999994</v>
      </c>
      <c r="BZ52" s="119">
        <v>533.33333333333326</v>
      </c>
      <c r="CA52" s="33">
        <v>-25.67</v>
      </c>
      <c r="CB52" s="36">
        <v>2.6823000000000001</v>
      </c>
      <c r="CC52" s="36">
        <v>6.85</v>
      </c>
      <c r="CD52" s="36">
        <v>-25.79</v>
      </c>
      <c r="CE52" s="36">
        <v>2.1614</v>
      </c>
      <c r="CF52" s="36">
        <v>4.74</v>
      </c>
      <c r="CG52" s="36">
        <v>-26.1</v>
      </c>
      <c r="CH52" s="36">
        <v>1.4475</v>
      </c>
      <c r="CI52" s="36">
        <v>11.13</v>
      </c>
      <c r="CJ52" s="36">
        <v>-24.87</v>
      </c>
      <c r="CK52" s="36">
        <v>2.5327999999999999</v>
      </c>
      <c r="CL52" s="36">
        <v>12.79</v>
      </c>
    </row>
    <row r="53" spans="1:90" x14ac:dyDescent="0.25">
      <c r="A53" t="s">
        <v>34</v>
      </c>
      <c r="D53" t="s">
        <v>43</v>
      </c>
      <c r="E53" s="6">
        <v>2020</v>
      </c>
      <c r="F53" s="6">
        <v>1</v>
      </c>
      <c r="G53" s="6">
        <v>4</v>
      </c>
      <c r="H53" s="6">
        <v>4</v>
      </c>
      <c r="R53" s="91">
        <v>0.96779011201143927</v>
      </c>
      <c r="S53" s="91">
        <v>0.94747045233193772</v>
      </c>
      <c r="T53" s="91">
        <v>0.87457089361264628</v>
      </c>
      <c r="U53" s="91">
        <v>0.63416937080591984</v>
      </c>
      <c r="AP53" s="5">
        <v>85</v>
      </c>
      <c r="AQ53" s="5">
        <v>0.5</v>
      </c>
      <c r="AR53" s="5">
        <v>3083</v>
      </c>
      <c r="AS53" s="5">
        <f t="shared" si="17"/>
        <v>6166</v>
      </c>
      <c r="AT53" s="25">
        <v>268.36</v>
      </c>
      <c r="AU53" s="5">
        <v>30</v>
      </c>
      <c r="AV53" s="24">
        <f t="shared" si="18"/>
        <v>8.945333333333334</v>
      </c>
      <c r="AZ53" s="25">
        <v>10.99</v>
      </c>
      <c r="BA53" s="25">
        <v>1.35</v>
      </c>
      <c r="BB53" s="25">
        <v>24.61</v>
      </c>
      <c r="BC53" s="25">
        <v>8.27</v>
      </c>
      <c r="BE53" s="25">
        <f t="shared" si="19"/>
        <v>45.22</v>
      </c>
      <c r="BF53" s="25">
        <f t="shared" si="20"/>
        <v>45.22</v>
      </c>
      <c r="BG53" s="25">
        <f t="shared" si="21"/>
        <v>2.2610000000000001</v>
      </c>
      <c r="BH53" s="24">
        <f t="shared" si="22"/>
        <v>8.945333333333334</v>
      </c>
      <c r="BI53" s="24">
        <f t="shared" si="23"/>
        <v>0.25275748993888808</v>
      </c>
      <c r="BJ53" s="24">
        <f t="shared" si="24"/>
        <v>779.25134148159191</v>
      </c>
      <c r="BK53" s="39">
        <f t="shared" si="25"/>
        <v>1558.5026829631838</v>
      </c>
      <c r="BL53" s="24">
        <f t="shared" si="26"/>
        <v>0.24303405572755418</v>
      </c>
      <c r="BM53" s="24">
        <f t="shared" si="27"/>
        <v>2.9854046881910661E-2</v>
      </c>
      <c r="BN53" s="24">
        <f t="shared" si="28"/>
        <v>0.54422821760283058</v>
      </c>
      <c r="BO53" s="24">
        <f t="shared" si="29"/>
        <v>0.18288367978770456</v>
      </c>
      <c r="BP53" s="24">
        <f t="shared" si="30"/>
        <v>378.76922790281714</v>
      </c>
      <c r="BQ53" s="24">
        <f t="shared" si="31"/>
        <v>46.527612162766438</v>
      </c>
      <c r="BR53" s="24">
        <f t="shared" si="32"/>
        <v>848.1811372782829</v>
      </c>
      <c r="BS53" s="24">
        <f t="shared" si="33"/>
        <v>285.02470561931733</v>
      </c>
      <c r="BT53" s="12">
        <v>8.875</v>
      </c>
      <c r="BU53" s="12">
        <v>24.3</v>
      </c>
      <c r="BV53" s="12">
        <v>45.674999999999997</v>
      </c>
      <c r="BW53" s="12">
        <v>46.924999999999997</v>
      </c>
      <c r="BX53" s="12">
        <v>46.924999999999997</v>
      </c>
      <c r="BZ53" s="119">
        <v>492.30769230769232</v>
      </c>
      <c r="CA53" s="33">
        <v>-25</v>
      </c>
      <c r="CB53" s="36">
        <v>2.5928</v>
      </c>
      <c r="CC53" s="36">
        <v>6.45</v>
      </c>
      <c r="CD53" s="36">
        <v>-25.77</v>
      </c>
      <c r="CE53" s="36">
        <v>2.3879000000000001</v>
      </c>
      <c r="CF53" s="36">
        <v>1.94</v>
      </c>
      <c r="CG53" s="36">
        <v>-25.7</v>
      </c>
      <c r="CH53" s="36">
        <v>2.0811999999999999</v>
      </c>
      <c r="CI53" s="36">
        <v>10.72</v>
      </c>
      <c r="CJ53" s="36">
        <v>-24.34</v>
      </c>
      <c r="CK53" s="36">
        <v>1.3069999999999999</v>
      </c>
      <c r="CL53" s="36">
        <v>20.48</v>
      </c>
    </row>
    <row r="54" spans="1:90" x14ac:dyDescent="0.25">
      <c r="A54" t="s">
        <v>24</v>
      </c>
      <c r="D54" t="s">
        <v>312</v>
      </c>
      <c r="E54" s="61">
        <v>2002</v>
      </c>
      <c r="F54" s="61">
        <v>2</v>
      </c>
      <c r="G54" s="61">
        <v>4</v>
      </c>
      <c r="H54" s="61">
        <v>5</v>
      </c>
      <c r="I54" s="61"/>
      <c r="J54" s="61"/>
      <c r="K54" s="61"/>
      <c r="R54" s="91">
        <v>0.97187433024928238</v>
      </c>
      <c r="S54" s="91">
        <v>0.97128568878969956</v>
      </c>
      <c r="T54" s="91">
        <v>0.89146671375032405</v>
      </c>
      <c r="U54" s="91">
        <v>0.69466119991851694</v>
      </c>
      <c r="AP54" s="5">
        <v>80</v>
      </c>
      <c r="AQ54" s="5">
        <v>0.5</v>
      </c>
      <c r="AR54" s="5">
        <v>2607</v>
      </c>
      <c r="AS54" s="5">
        <f t="shared" si="17"/>
        <v>5214</v>
      </c>
      <c r="AT54" s="25">
        <v>264.2</v>
      </c>
      <c r="AU54" s="5">
        <v>30</v>
      </c>
      <c r="AV54" s="24">
        <f t="shared" si="18"/>
        <v>8.8066666666666666</v>
      </c>
      <c r="AZ54" s="25">
        <v>12.55</v>
      </c>
      <c r="BA54" s="25">
        <v>14.06</v>
      </c>
      <c r="BB54" s="25">
        <v>29.88</v>
      </c>
      <c r="BC54" s="25">
        <v>10.54</v>
      </c>
      <c r="BE54" s="25">
        <f t="shared" si="19"/>
        <v>67.03</v>
      </c>
      <c r="BF54" s="25">
        <f t="shared" si="20"/>
        <v>67.03</v>
      </c>
      <c r="BG54" s="25">
        <f t="shared" si="21"/>
        <v>3.3515000000000001</v>
      </c>
      <c r="BH54" s="24">
        <f t="shared" si="22"/>
        <v>8.8066666666666666</v>
      </c>
      <c r="BI54" s="24">
        <f t="shared" si="23"/>
        <v>0.38056396669190007</v>
      </c>
      <c r="BJ54" s="24">
        <f t="shared" si="24"/>
        <v>992.13026116578351</v>
      </c>
      <c r="BK54" s="39">
        <f t="shared" si="25"/>
        <v>1984.260522331567</v>
      </c>
      <c r="BL54" s="24">
        <f t="shared" si="26"/>
        <v>0.18722959868715502</v>
      </c>
      <c r="BM54" s="24">
        <f t="shared" si="27"/>
        <v>0.20975682530210354</v>
      </c>
      <c r="BN54" s="24">
        <f t="shared" si="28"/>
        <v>0.44577055049977621</v>
      </c>
      <c r="BO54" s="24">
        <f t="shared" si="29"/>
        <v>0.15724302551096522</v>
      </c>
      <c r="BP54" s="24">
        <f t="shared" si="30"/>
        <v>371.51230128690389</v>
      </c>
      <c r="BQ54" s="24">
        <f t="shared" si="31"/>
        <v>416.21218773656324</v>
      </c>
      <c r="BR54" s="24">
        <f t="shared" si="32"/>
        <v>884.52490537471613</v>
      </c>
      <c r="BS54" s="24">
        <f t="shared" si="33"/>
        <v>312.01112793338376</v>
      </c>
      <c r="BT54" s="12">
        <v>7.65</v>
      </c>
      <c r="BU54" s="12">
        <v>15.675000000000001</v>
      </c>
      <c r="BV54" s="12">
        <v>37.024999999999999</v>
      </c>
      <c r="BW54" s="12">
        <v>48.766666666666673</v>
      </c>
      <c r="BX54" s="12">
        <v>48.766666666666673</v>
      </c>
      <c r="BZ54" s="119">
        <v>647.05882352941182</v>
      </c>
      <c r="CA54" s="33">
        <v>-24.53</v>
      </c>
      <c r="CB54" s="36">
        <v>2.7483</v>
      </c>
      <c r="CC54" s="36">
        <v>8.67</v>
      </c>
      <c r="CD54" s="36">
        <v>-24.64</v>
      </c>
      <c r="CE54" s="36">
        <v>2.7050000000000001</v>
      </c>
      <c r="CF54" s="36">
        <v>6.4</v>
      </c>
      <c r="CG54" s="36">
        <v>-25.71</v>
      </c>
      <c r="CH54" s="36">
        <v>1.3792</v>
      </c>
      <c r="CI54" s="36">
        <v>8.89</v>
      </c>
      <c r="CJ54" s="36">
        <v>-24.4</v>
      </c>
      <c r="CK54" s="36">
        <v>2.1886999999999999</v>
      </c>
      <c r="CL54" s="36">
        <v>19.149999999999999</v>
      </c>
    </row>
    <row r="55" spans="1:90" x14ac:dyDescent="0.25">
      <c r="A55" t="s">
        <v>24</v>
      </c>
      <c r="D55" t="s">
        <v>26</v>
      </c>
      <c r="E55" s="61">
        <v>1983</v>
      </c>
      <c r="F55" s="61">
        <v>2</v>
      </c>
      <c r="G55" s="61">
        <v>4</v>
      </c>
      <c r="H55" s="61">
        <v>6</v>
      </c>
      <c r="I55" s="61"/>
      <c r="J55" s="61"/>
      <c r="K55" s="61"/>
      <c r="R55" s="91">
        <v>0.99110364218267299</v>
      </c>
      <c r="S55" s="91">
        <v>0.98282675382104279</v>
      </c>
      <c r="T55" s="91">
        <v>0.89656485050621093</v>
      </c>
      <c r="U55" s="91">
        <v>0.53011131017270741</v>
      </c>
      <c r="AP55" s="5">
        <v>93</v>
      </c>
      <c r="AQ55" s="5">
        <v>0.5</v>
      </c>
      <c r="AR55" s="5">
        <v>2829</v>
      </c>
      <c r="AS55" s="5">
        <f t="shared" si="17"/>
        <v>5658</v>
      </c>
      <c r="AT55" s="25">
        <v>218.02</v>
      </c>
      <c r="AU55" s="5">
        <v>30</v>
      </c>
      <c r="AV55" s="24">
        <f t="shared" si="18"/>
        <v>7.2673333333333341</v>
      </c>
      <c r="AZ55" s="25">
        <v>8.44</v>
      </c>
      <c r="BA55" s="25">
        <v>4.7300000000000004</v>
      </c>
      <c r="BB55" s="25">
        <v>22.66</v>
      </c>
      <c r="BC55" s="25">
        <v>7.2</v>
      </c>
      <c r="BE55" s="25">
        <f t="shared" si="19"/>
        <v>43.03</v>
      </c>
      <c r="BF55" s="25">
        <f t="shared" si="20"/>
        <v>43.03</v>
      </c>
      <c r="BG55" s="25">
        <f t="shared" si="21"/>
        <v>2.1515</v>
      </c>
      <c r="BH55" s="24">
        <f t="shared" si="22"/>
        <v>7.2673333333333341</v>
      </c>
      <c r="BI55" s="24">
        <f t="shared" si="23"/>
        <v>0.29605082102559394</v>
      </c>
      <c r="BJ55" s="24">
        <f t="shared" si="24"/>
        <v>837.52777268140528</v>
      </c>
      <c r="BK55" s="39">
        <f t="shared" si="25"/>
        <v>1675.0555453628106</v>
      </c>
      <c r="BL55" s="24">
        <f t="shared" si="26"/>
        <v>0.19614222635370671</v>
      </c>
      <c r="BM55" s="24">
        <f t="shared" si="27"/>
        <v>0.10992330931907972</v>
      </c>
      <c r="BN55" s="24">
        <f t="shared" si="28"/>
        <v>0.52660934231931211</v>
      </c>
      <c r="BO55" s="24">
        <f t="shared" si="29"/>
        <v>0.16732512200790145</v>
      </c>
      <c r="BP55" s="24">
        <f t="shared" si="30"/>
        <v>328.54912393358404</v>
      </c>
      <c r="BQ55" s="24">
        <f t="shared" si="31"/>
        <v>184.127648839556</v>
      </c>
      <c r="BR55" s="24">
        <f t="shared" si="32"/>
        <v>882.09989909182639</v>
      </c>
      <c r="BS55" s="24">
        <f t="shared" si="33"/>
        <v>280.27887349784419</v>
      </c>
      <c r="BT55" s="12">
        <v>5.125</v>
      </c>
      <c r="BU55" s="12">
        <v>20.5</v>
      </c>
      <c r="BV55" s="12">
        <v>32.025000000000006</v>
      </c>
      <c r="BW55" s="12">
        <v>37.074999999999996</v>
      </c>
      <c r="BX55" s="12">
        <v>37.074999999999996</v>
      </c>
      <c r="BZ55" s="119">
        <v>876.92307692307702</v>
      </c>
      <c r="CA55" s="33">
        <v>-24.39</v>
      </c>
      <c r="CB55" s="36">
        <v>2.7256999999999998</v>
      </c>
      <c r="CC55" s="36">
        <v>7.39</v>
      </c>
      <c r="CD55" s="36">
        <v>-25.03</v>
      </c>
      <c r="CE55" s="36">
        <v>2.5301999999999998</v>
      </c>
      <c r="CF55" s="36">
        <v>4.3499999999999996</v>
      </c>
      <c r="CG55" s="36">
        <v>-25.98</v>
      </c>
      <c r="CH55" s="36">
        <v>1.2245999999999999</v>
      </c>
      <c r="CI55" s="36">
        <v>12.58</v>
      </c>
      <c r="CJ55" s="36">
        <v>-24.88</v>
      </c>
      <c r="CK55" s="36">
        <v>1.6852</v>
      </c>
      <c r="CL55" s="36">
        <v>17.510000000000002</v>
      </c>
    </row>
    <row r="56" spans="1:90" x14ac:dyDescent="0.25">
      <c r="A56" t="s">
        <v>34</v>
      </c>
      <c r="D56" t="s">
        <v>36</v>
      </c>
      <c r="E56" s="6">
        <v>1984</v>
      </c>
      <c r="F56" s="6">
        <v>2</v>
      </c>
      <c r="G56" s="6">
        <v>4</v>
      </c>
      <c r="H56" s="6">
        <v>7</v>
      </c>
      <c r="R56" s="91">
        <v>0.98344526632634466</v>
      </c>
      <c r="S56" s="91">
        <v>0.96596073237561619</v>
      </c>
      <c r="T56" s="91">
        <v>0.93461836460511005</v>
      </c>
      <c r="U56" s="91">
        <v>0.76235722524378169</v>
      </c>
      <c r="AP56" s="5">
        <v>89</v>
      </c>
      <c r="AQ56" s="5">
        <v>0.5</v>
      </c>
      <c r="AR56" s="5">
        <v>2783</v>
      </c>
      <c r="AS56" s="5">
        <f t="shared" si="17"/>
        <v>5566</v>
      </c>
      <c r="AT56" s="25">
        <v>206.83</v>
      </c>
      <c r="AU56" s="5">
        <v>30</v>
      </c>
      <c r="AV56" s="24">
        <f t="shared" si="18"/>
        <v>6.8943333333333339</v>
      </c>
      <c r="AZ56" s="25">
        <v>8.3000000000000007</v>
      </c>
      <c r="BA56" s="25">
        <v>2.62</v>
      </c>
      <c r="BB56" s="25">
        <v>20.38</v>
      </c>
      <c r="BC56" s="25">
        <v>6.79</v>
      </c>
      <c r="BE56" s="25">
        <f t="shared" si="19"/>
        <v>38.090000000000003</v>
      </c>
      <c r="BF56" s="25">
        <f t="shared" si="20"/>
        <v>38.090000000000003</v>
      </c>
      <c r="BG56" s="25">
        <f t="shared" si="21"/>
        <v>1.9045000000000001</v>
      </c>
      <c r="BH56" s="24">
        <f t="shared" si="22"/>
        <v>6.8943333333333339</v>
      </c>
      <c r="BI56" s="24">
        <f t="shared" si="23"/>
        <v>0.27624135763670649</v>
      </c>
      <c r="BJ56" s="24">
        <f t="shared" si="24"/>
        <v>768.7796983029541</v>
      </c>
      <c r="BK56" s="39">
        <f t="shared" si="25"/>
        <v>1537.5593966059082</v>
      </c>
      <c r="BL56" s="24">
        <f t="shared" si="26"/>
        <v>0.21790496193226569</v>
      </c>
      <c r="BM56" s="24">
        <f t="shared" si="27"/>
        <v>6.8784457862956158E-2</v>
      </c>
      <c r="BN56" s="24">
        <f t="shared" si="28"/>
        <v>0.53504856917826193</v>
      </c>
      <c r="BO56" s="24">
        <f t="shared" si="29"/>
        <v>0.17826201102651612</v>
      </c>
      <c r="BP56" s="24">
        <f t="shared" si="30"/>
        <v>335.04182178600786</v>
      </c>
      <c r="BQ56" s="24">
        <f t="shared" si="31"/>
        <v>105.76018952763138</v>
      </c>
      <c r="BR56" s="24">
        <f t="shared" si="32"/>
        <v>822.668955180583</v>
      </c>
      <c r="BS56" s="24">
        <f t="shared" si="33"/>
        <v>274.08843011168591</v>
      </c>
      <c r="BT56" s="12">
        <v>9.8999999999999986</v>
      </c>
      <c r="BU56" s="12">
        <v>15.175000000000001</v>
      </c>
      <c r="BV56" s="12">
        <v>31</v>
      </c>
      <c r="BW56" s="12">
        <v>51.275000000000006</v>
      </c>
      <c r="BX56" s="12">
        <v>51.275000000000006</v>
      </c>
      <c r="BZ56" s="119">
        <v>634.48275862068965</v>
      </c>
      <c r="CA56" s="33">
        <v>-24.52</v>
      </c>
      <c r="CB56" s="36">
        <v>3.2027999999999999</v>
      </c>
      <c r="CC56" s="36">
        <v>7.92</v>
      </c>
      <c r="CD56" s="36">
        <v>-25.46</v>
      </c>
      <c r="CE56" s="36">
        <v>2.4020999999999999</v>
      </c>
      <c r="CF56" s="36">
        <v>5.26</v>
      </c>
      <c r="CG56" s="36">
        <v>-26.1</v>
      </c>
      <c r="CH56" s="36">
        <v>1.4205000000000001</v>
      </c>
      <c r="CI56" s="36">
        <v>9.7100000000000009</v>
      </c>
      <c r="CJ56" s="36">
        <v>-24.45</v>
      </c>
      <c r="CK56" s="36">
        <v>2.5588000000000002</v>
      </c>
      <c r="CL56" s="36">
        <v>17.260000000000002</v>
      </c>
    </row>
    <row r="57" spans="1:90" x14ac:dyDescent="0.25">
      <c r="A57" t="s">
        <v>34</v>
      </c>
      <c r="D57" t="s">
        <v>42</v>
      </c>
      <c r="E57" s="6">
        <v>2016</v>
      </c>
      <c r="F57" s="6">
        <v>2</v>
      </c>
      <c r="G57" s="6">
        <v>4</v>
      </c>
      <c r="H57" s="6">
        <v>8</v>
      </c>
      <c r="R57" s="91">
        <v>0.98010994641346239</v>
      </c>
      <c r="S57" s="91">
        <v>0.95016275895329338</v>
      </c>
      <c r="T57" s="91">
        <v>0.92548503678543315</v>
      </c>
      <c r="U57" s="91">
        <v>0.74484125822693981</v>
      </c>
      <c r="AP57" s="5">
        <v>85</v>
      </c>
      <c r="AQ57" s="5">
        <v>0.5</v>
      </c>
      <c r="AR57" s="5">
        <v>2938</v>
      </c>
      <c r="AS57" s="5">
        <f t="shared" si="17"/>
        <v>5876</v>
      </c>
      <c r="AT57" s="25">
        <v>223.92</v>
      </c>
      <c r="AU57" s="5">
        <v>30</v>
      </c>
      <c r="AV57" s="24">
        <f t="shared" si="18"/>
        <v>7.4639999999999995</v>
      </c>
      <c r="AZ57" s="25">
        <v>6.58</v>
      </c>
      <c r="BA57" s="25">
        <v>2.5499999999999998</v>
      </c>
      <c r="BB57" s="25">
        <v>20.49</v>
      </c>
      <c r="BC57" s="25">
        <v>6.83</v>
      </c>
      <c r="BE57" s="25">
        <f t="shared" si="19"/>
        <v>36.449999999999996</v>
      </c>
      <c r="BF57" s="25">
        <f t="shared" si="20"/>
        <v>36.449999999999996</v>
      </c>
      <c r="BG57" s="25">
        <f t="shared" si="21"/>
        <v>1.8224999999999998</v>
      </c>
      <c r="BH57" s="24">
        <f t="shared" si="22"/>
        <v>7.4639999999999995</v>
      </c>
      <c r="BI57" s="24">
        <f t="shared" si="23"/>
        <v>0.24417202572347266</v>
      </c>
      <c r="BJ57" s="24">
        <f t="shared" si="24"/>
        <v>717.37741157556263</v>
      </c>
      <c r="BK57" s="39">
        <f t="shared" si="25"/>
        <v>1434.7548231511253</v>
      </c>
      <c r="BL57" s="24">
        <f t="shared" si="26"/>
        <v>0.18052126200274352</v>
      </c>
      <c r="BM57" s="24">
        <f t="shared" si="27"/>
        <v>6.9958847736625515E-2</v>
      </c>
      <c r="BN57" s="24">
        <f t="shared" si="28"/>
        <v>0.56213991769547322</v>
      </c>
      <c r="BO57" s="24">
        <f t="shared" si="29"/>
        <v>0.18737997256515779</v>
      </c>
      <c r="BP57" s="24">
        <f t="shared" si="30"/>
        <v>259.00375133976422</v>
      </c>
      <c r="BQ57" s="24">
        <f t="shared" si="31"/>
        <v>100.37379421221864</v>
      </c>
      <c r="BR57" s="24">
        <f t="shared" si="32"/>
        <v>806.53295819935681</v>
      </c>
      <c r="BS57" s="24">
        <f t="shared" si="33"/>
        <v>268.84431939978566</v>
      </c>
      <c r="BT57" s="12">
        <v>6.9</v>
      </c>
      <c r="BU57" s="12">
        <v>5.4499999999999993</v>
      </c>
      <c r="BV57" s="12">
        <v>37.6</v>
      </c>
      <c r="BW57" s="12">
        <v>51.724999999999994</v>
      </c>
      <c r="BX57" s="12">
        <v>51.724999999999994</v>
      </c>
      <c r="BZ57" s="119">
        <v>570</v>
      </c>
      <c r="CA57" s="33">
        <v>-24.76</v>
      </c>
      <c r="CB57" s="36">
        <v>2.9434999999999998</v>
      </c>
      <c r="CC57" s="36">
        <v>9.69</v>
      </c>
      <c r="CD57" s="36">
        <v>-25.53</v>
      </c>
      <c r="CE57" s="36">
        <v>2.4481999999999999</v>
      </c>
      <c r="CF57" s="36">
        <v>3.91</v>
      </c>
      <c r="CG57" s="36">
        <v>-26.14</v>
      </c>
      <c r="CH57" s="36">
        <v>1.3774999999999999</v>
      </c>
      <c r="CI57" s="36">
        <v>11.31</v>
      </c>
      <c r="CJ57" s="36">
        <v>-24.48</v>
      </c>
      <c r="CK57" s="36">
        <v>2.2193999999999998</v>
      </c>
      <c r="CL57" s="36">
        <v>18.45</v>
      </c>
    </row>
    <row r="58" spans="1:90" x14ac:dyDescent="0.25">
      <c r="A58" t="s">
        <v>24</v>
      </c>
      <c r="D58" t="s">
        <v>27</v>
      </c>
      <c r="E58" s="61">
        <v>1985</v>
      </c>
      <c r="F58" s="61">
        <v>3</v>
      </c>
      <c r="G58" s="61">
        <v>4</v>
      </c>
      <c r="H58" s="61">
        <v>9</v>
      </c>
      <c r="I58" s="61"/>
      <c r="J58" s="61"/>
      <c r="K58" s="61"/>
      <c r="R58" s="91">
        <v>0.99459861985537446</v>
      </c>
      <c r="S58" s="91">
        <v>0.99019682985690605</v>
      </c>
      <c r="T58" s="91">
        <v>0.95343169669765127</v>
      </c>
      <c r="U58" s="91">
        <v>0.82208178936299647</v>
      </c>
      <c r="AP58" s="5">
        <v>93</v>
      </c>
      <c r="AQ58" s="5">
        <v>0.5</v>
      </c>
      <c r="AR58" s="5">
        <v>2171</v>
      </c>
      <c r="AS58" s="5">
        <f t="shared" si="17"/>
        <v>4342</v>
      </c>
      <c r="AT58" s="25">
        <v>203.3</v>
      </c>
      <c r="AU58" s="5">
        <v>30</v>
      </c>
      <c r="AV58" s="24">
        <f t="shared" si="18"/>
        <v>6.7766666666666673</v>
      </c>
      <c r="AZ58" s="25">
        <v>8.39</v>
      </c>
      <c r="BA58" s="25">
        <v>5.25</v>
      </c>
      <c r="BB58" s="25">
        <v>26.02</v>
      </c>
      <c r="BC58" s="25">
        <v>8.43</v>
      </c>
      <c r="BE58" s="25">
        <f t="shared" si="19"/>
        <v>48.089999999999996</v>
      </c>
      <c r="BF58" s="25">
        <f t="shared" si="20"/>
        <v>48.089999999999996</v>
      </c>
      <c r="BG58" s="25">
        <f t="shared" si="21"/>
        <v>2.4044999999999996</v>
      </c>
      <c r="BH58" s="24">
        <f t="shared" si="22"/>
        <v>6.7766666666666673</v>
      </c>
      <c r="BI58" s="24">
        <f t="shared" si="23"/>
        <v>0.35482046237088039</v>
      </c>
      <c r="BJ58" s="24">
        <f t="shared" si="24"/>
        <v>770.31522380718127</v>
      </c>
      <c r="BK58" s="39">
        <f t="shared" si="25"/>
        <v>1540.6304476143625</v>
      </c>
      <c r="BL58" s="24">
        <f t="shared" si="26"/>
        <v>0.17446454564358496</v>
      </c>
      <c r="BM58" s="24">
        <f t="shared" si="27"/>
        <v>0.1091703056768559</v>
      </c>
      <c r="BN58" s="24">
        <f t="shared" si="28"/>
        <v>0.54106882927843625</v>
      </c>
      <c r="BO58" s="24">
        <f t="shared" si="29"/>
        <v>0.17529631940112289</v>
      </c>
      <c r="BP58" s="24">
        <f t="shared" si="30"/>
        <v>268.78539104771266</v>
      </c>
      <c r="BQ58" s="24">
        <f t="shared" si="31"/>
        <v>168.19109690113129</v>
      </c>
      <c r="BR58" s="24">
        <f t="shared" si="32"/>
        <v>833.5871126414163</v>
      </c>
      <c r="BS58" s="24">
        <f t="shared" si="33"/>
        <v>270.06684702410223</v>
      </c>
      <c r="BT58" s="12">
        <v>3.3000000000000003</v>
      </c>
      <c r="BU58" s="12">
        <v>6.3249999999999993</v>
      </c>
      <c r="BV58" s="12">
        <v>42.2</v>
      </c>
      <c r="BW58" s="12">
        <v>47.05</v>
      </c>
      <c r="BX58" s="12">
        <v>47.05</v>
      </c>
      <c r="BZ58" s="119">
        <v>533.33333333333326</v>
      </c>
      <c r="CA58" s="33">
        <v>-25.23</v>
      </c>
      <c r="CB58" s="36">
        <v>2.3712</v>
      </c>
      <c r="CC58" s="36">
        <v>9.57</v>
      </c>
      <c r="CD58" s="36">
        <v>-25.26</v>
      </c>
      <c r="CE58" s="36">
        <v>2.0424000000000002</v>
      </c>
      <c r="CF58" s="36">
        <v>4.24</v>
      </c>
      <c r="CG58" s="36">
        <v>-26.07</v>
      </c>
      <c r="CH58" s="36">
        <v>1.0627</v>
      </c>
      <c r="CI58" s="36">
        <v>14.61</v>
      </c>
      <c r="CJ58" s="36">
        <v>-24.72</v>
      </c>
      <c r="CK58" s="36">
        <v>2.0537999999999998</v>
      </c>
      <c r="CL58" s="36">
        <v>15.38</v>
      </c>
    </row>
    <row r="59" spans="1:90" x14ac:dyDescent="0.25">
      <c r="A59" t="s">
        <v>24</v>
      </c>
      <c r="D59" t="s">
        <v>311</v>
      </c>
      <c r="E59" s="6">
        <v>2023</v>
      </c>
      <c r="F59" s="6">
        <v>3</v>
      </c>
      <c r="G59" s="6">
        <v>4</v>
      </c>
      <c r="H59" s="6">
        <v>10</v>
      </c>
      <c r="R59" s="91">
        <v>0.98800876012410521</v>
      </c>
      <c r="S59" s="91">
        <v>0.98677538429240086</v>
      </c>
      <c r="T59" s="91">
        <v>0.95040814472433566</v>
      </c>
      <c r="U59" s="91">
        <v>0.7828731297792052</v>
      </c>
      <c r="AP59" s="5">
        <v>91</v>
      </c>
      <c r="AQ59" s="5">
        <v>0.5</v>
      </c>
      <c r="AR59" s="5">
        <v>3178</v>
      </c>
      <c r="AS59" s="5">
        <f t="shared" si="17"/>
        <v>6356</v>
      </c>
      <c r="AT59" s="25">
        <v>252.65</v>
      </c>
      <c r="AU59" s="5">
        <v>30</v>
      </c>
      <c r="AV59" s="24">
        <f t="shared" si="18"/>
        <v>8.4216666666666669</v>
      </c>
      <c r="AZ59" s="25">
        <v>7.5</v>
      </c>
      <c r="BA59" s="25">
        <v>4.54</v>
      </c>
      <c r="BB59" s="25">
        <v>28.73</v>
      </c>
      <c r="BC59" s="25">
        <v>8.7100000000000009</v>
      </c>
      <c r="BE59" s="25">
        <f t="shared" si="19"/>
        <v>49.48</v>
      </c>
      <c r="BF59" s="25">
        <f t="shared" si="20"/>
        <v>49.48</v>
      </c>
      <c r="BG59" s="25">
        <f t="shared" si="21"/>
        <v>2.4739999999999998</v>
      </c>
      <c r="BH59" s="24">
        <f t="shared" si="22"/>
        <v>8.4216666666666669</v>
      </c>
      <c r="BI59" s="24">
        <f t="shared" si="23"/>
        <v>0.29376607955669898</v>
      </c>
      <c r="BJ59" s="24">
        <f t="shared" si="24"/>
        <v>933.5886008311893</v>
      </c>
      <c r="BK59" s="39">
        <f t="shared" si="25"/>
        <v>1867.1772016623786</v>
      </c>
      <c r="BL59" s="24">
        <f t="shared" si="26"/>
        <v>0.15157639450282945</v>
      </c>
      <c r="BM59" s="24">
        <f t="shared" si="27"/>
        <v>9.1754244139046079E-2</v>
      </c>
      <c r="BN59" s="24">
        <f t="shared" si="28"/>
        <v>0.58063864187550529</v>
      </c>
      <c r="BO59" s="24">
        <f t="shared" si="29"/>
        <v>0.17603071948261928</v>
      </c>
      <c r="BP59" s="24">
        <f t="shared" si="30"/>
        <v>283.01998812586584</v>
      </c>
      <c r="BQ59" s="24">
        <f t="shared" si="31"/>
        <v>171.32143281219075</v>
      </c>
      <c r="BR59" s="24">
        <f t="shared" si="32"/>
        <v>1084.1552345141499</v>
      </c>
      <c r="BS59" s="24">
        <f t="shared" si="33"/>
        <v>328.68054621017222</v>
      </c>
      <c r="BT59" s="12">
        <v>6.0750000000000002</v>
      </c>
      <c r="BU59" s="12">
        <v>7.2</v>
      </c>
      <c r="BV59" s="12">
        <v>46.400000000000006</v>
      </c>
      <c r="BW59" s="12">
        <v>49.9</v>
      </c>
      <c r="BX59" s="12">
        <v>49.9</v>
      </c>
      <c r="BZ59" s="119">
        <v>825.80645161290317</v>
      </c>
      <c r="CA59" s="33">
        <v>-25.4</v>
      </c>
      <c r="CB59" s="36">
        <v>1.8147</v>
      </c>
      <c r="CC59" s="36">
        <v>11.56</v>
      </c>
      <c r="CD59" s="36">
        <v>-24.77</v>
      </c>
      <c r="CE59" s="36">
        <v>1.9174</v>
      </c>
      <c r="CF59" s="36">
        <v>8.18</v>
      </c>
      <c r="CG59" s="36">
        <v>-25.87</v>
      </c>
      <c r="CH59" s="36">
        <v>0.85438000000000003</v>
      </c>
      <c r="CI59" s="36">
        <v>13.57</v>
      </c>
      <c r="CJ59" s="36">
        <v>-24.51</v>
      </c>
      <c r="CK59" s="36">
        <v>1.7982</v>
      </c>
      <c r="CL59" s="36">
        <v>15.41</v>
      </c>
    </row>
    <row r="60" spans="1:90" x14ac:dyDescent="0.25">
      <c r="A60" t="s">
        <v>34</v>
      </c>
      <c r="D60" t="s">
        <v>41</v>
      </c>
      <c r="E60" s="61">
        <v>2008</v>
      </c>
      <c r="F60" s="61">
        <v>3</v>
      </c>
      <c r="G60" s="61">
        <v>4</v>
      </c>
      <c r="H60" s="61">
        <v>11</v>
      </c>
      <c r="I60" s="61"/>
      <c r="J60" s="61"/>
      <c r="K60" s="61"/>
      <c r="R60" s="91">
        <v>0.98119280492759786</v>
      </c>
      <c r="S60" s="91">
        <v>0.94684498559418129</v>
      </c>
      <c r="T60" s="91">
        <v>0.85724775119667174</v>
      </c>
      <c r="U60" s="91">
        <v>0.66757600648960869</v>
      </c>
      <c r="AP60" s="5">
        <v>87</v>
      </c>
      <c r="AQ60" s="5">
        <v>0.5</v>
      </c>
      <c r="AR60" s="5">
        <v>3444</v>
      </c>
      <c r="AS60" s="5">
        <f t="shared" si="17"/>
        <v>6888</v>
      </c>
      <c r="AT60" s="25">
        <v>242.35</v>
      </c>
      <c r="AU60" s="5">
        <v>30</v>
      </c>
      <c r="AV60" s="24">
        <f t="shared" si="18"/>
        <v>8.0783333333333331</v>
      </c>
      <c r="AZ60" s="25">
        <v>8.07</v>
      </c>
      <c r="BA60" s="25">
        <v>1.6</v>
      </c>
      <c r="BB60" s="25">
        <v>24.82</v>
      </c>
      <c r="BC60" s="25">
        <v>7.9</v>
      </c>
      <c r="BE60" s="25">
        <f t="shared" si="19"/>
        <v>42.39</v>
      </c>
      <c r="BF60" s="25">
        <f t="shared" si="20"/>
        <v>42.39</v>
      </c>
      <c r="BG60" s="25">
        <f t="shared" si="21"/>
        <v>2.1194999999999999</v>
      </c>
      <c r="BH60" s="24">
        <f t="shared" si="22"/>
        <v>8.0783333333333331</v>
      </c>
      <c r="BI60" s="24">
        <f t="shared" si="23"/>
        <v>0.26236847534557456</v>
      </c>
      <c r="BJ60" s="24">
        <f t="shared" si="24"/>
        <v>903.5970290901588</v>
      </c>
      <c r="BK60" s="39">
        <f t="shared" si="25"/>
        <v>1807.1940581803176</v>
      </c>
      <c r="BL60" s="24">
        <f t="shared" si="26"/>
        <v>0.19037508846426043</v>
      </c>
      <c r="BM60" s="24">
        <f t="shared" si="27"/>
        <v>3.7744751120547301E-2</v>
      </c>
      <c r="BN60" s="24">
        <f t="shared" si="28"/>
        <v>0.58551545175748998</v>
      </c>
      <c r="BO60" s="24">
        <f t="shared" si="29"/>
        <v>0.1863647086577023</v>
      </c>
      <c r="BP60" s="24">
        <f t="shared" si="30"/>
        <v>344.04472869816379</v>
      </c>
      <c r="BQ60" s="24">
        <f t="shared" si="31"/>
        <v>68.21208995254797</v>
      </c>
      <c r="BR60" s="24">
        <f t="shared" si="32"/>
        <v>1058.1400453889003</v>
      </c>
      <c r="BS60" s="24">
        <f t="shared" si="33"/>
        <v>336.79719414070559</v>
      </c>
      <c r="BT60" s="12">
        <v>4.8</v>
      </c>
      <c r="BU60" s="12">
        <v>6.9</v>
      </c>
      <c r="BV60" s="12">
        <v>27.5</v>
      </c>
      <c r="BW60" s="12">
        <v>54.474999999999994</v>
      </c>
      <c r="BX60" s="12">
        <v>54.474999999999994</v>
      </c>
      <c r="BZ60" s="119">
        <v>576</v>
      </c>
      <c r="CA60" s="33">
        <v>-24.9</v>
      </c>
      <c r="CB60" s="36">
        <v>2.8546</v>
      </c>
      <c r="CC60" s="36">
        <v>8.83</v>
      </c>
      <c r="CD60" s="36">
        <v>-25.62</v>
      </c>
      <c r="CE60" s="36">
        <v>2.0606</v>
      </c>
      <c r="CF60" s="36">
        <v>5.64</v>
      </c>
      <c r="CG60" s="36">
        <v>-25.83</v>
      </c>
      <c r="CH60" s="36">
        <v>1.2619</v>
      </c>
      <c r="CI60" s="36">
        <v>14</v>
      </c>
      <c r="CJ60" s="36">
        <v>-24.86</v>
      </c>
      <c r="CK60" s="36">
        <v>1.6845000000000001</v>
      </c>
      <c r="CL60" s="36">
        <v>16.309999999999999</v>
      </c>
    </row>
    <row r="61" spans="1:90" x14ac:dyDescent="0.25">
      <c r="A61" t="s">
        <v>34</v>
      </c>
      <c r="D61" t="s">
        <v>37</v>
      </c>
      <c r="E61" s="6">
        <v>1989</v>
      </c>
      <c r="F61" s="6">
        <v>3</v>
      </c>
      <c r="G61" s="6">
        <v>4</v>
      </c>
      <c r="H61" s="6">
        <v>12</v>
      </c>
      <c r="R61" s="91">
        <v>0.97506520719455558</v>
      </c>
      <c r="S61" s="91">
        <v>0.97527128174319822</v>
      </c>
      <c r="T61" s="91">
        <v>0.95316115391189993</v>
      </c>
      <c r="U61" s="91">
        <v>0.79758569475450114</v>
      </c>
      <c r="AP61" s="5">
        <v>86</v>
      </c>
      <c r="AQ61" s="5">
        <v>0.5</v>
      </c>
      <c r="AR61" s="5">
        <v>2721</v>
      </c>
      <c r="AS61" s="5">
        <f t="shared" si="17"/>
        <v>5442</v>
      </c>
      <c r="AT61" s="25">
        <v>187.07</v>
      </c>
      <c r="AU61" s="5">
        <v>30</v>
      </c>
      <c r="AV61" s="24">
        <f t="shared" si="18"/>
        <v>6.235666666666666</v>
      </c>
      <c r="AZ61" s="25">
        <v>6.95</v>
      </c>
      <c r="BA61" s="25">
        <v>1.53</v>
      </c>
      <c r="BB61" s="25">
        <v>16.649999999999999</v>
      </c>
      <c r="BC61" s="25">
        <v>5.34</v>
      </c>
      <c r="BE61" s="25">
        <f t="shared" si="19"/>
        <v>30.47</v>
      </c>
      <c r="BF61" s="25">
        <f t="shared" si="20"/>
        <v>30.47</v>
      </c>
      <c r="BG61" s="25">
        <f t="shared" si="21"/>
        <v>1.5234999999999999</v>
      </c>
      <c r="BH61" s="24">
        <f t="shared" si="22"/>
        <v>6.235666666666666</v>
      </c>
      <c r="BI61" s="24">
        <f t="shared" si="23"/>
        <v>0.24432030790613141</v>
      </c>
      <c r="BJ61" s="24">
        <f t="shared" si="24"/>
        <v>664.79555781258352</v>
      </c>
      <c r="BK61" s="39">
        <f t="shared" si="25"/>
        <v>1329.591115625167</v>
      </c>
      <c r="BL61" s="24">
        <f t="shared" si="26"/>
        <v>0.22809320643255662</v>
      </c>
      <c r="BM61" s="24">
        <f t="shared" si="27"/>
        <v>5.0213324581555634E-2</v>
      </c>
      <c r="BN61" s="24">
        <f t="shared" si="28"/>
        <v>0.54643912044634069</v>
      </c>
      <c r="BO61" s="24">
        <f t="shared" si="29"/>
        <v>0.17525434853954711</v>
      </c>
      <c r="BP61" s="24">
        <f t="shared" si="30"/>
        <v>303.27070080718448</v>
      </c>
      <c r="BQ61" s="24">
        <f t="shared" si="31"/>
        <v>66.76319024963918</v>
      </c>
      <c r="BR61" s="24">
        <f t="shared" si="32"/>
        <v>726.54059977548513</v>
      </c>
      <c r="BS61" s="24">
        <f t="shared" si="33"/>
        <v>233.01662479285829</v>
      </c>
      <c r="BT61" s="12">
        <v>3.7749999999999999</v>
      </c>
      <c r="BU61" s="12">
        <v>18.575000000000003</v>
      </c>
      <c r="BV61" s="12">
        <v>59.025000000000006</v>
      </c>
      <c r="BW61" s="12">
        <v>52.725000000000001</v>
      </c>
      <c r="BX61" s="12">
        <v>52.725000000000001</v>
      </c>
      <c r="BZ61" s="119">
        <v>473.68421052631572</v>
      </c>
      <c r="CA61" s="33">
        <v>-24.74</v>
      </c>
      <c r="CB61" s="36">
        <v>3.3081999999999998</v>
      </c>
      <c r="CC61" s="36">
        <v>10.65</v>
      </c>
      <c r="CD61" s="36">
        <v>-25.8</v>
      </c>
      <c r="CE61" s="36">
        <v>2.6869999999999998</v>
      </c>
      <c r="CF61" s="36">
        <v>3.99</v>
      </c>
      <c r="CG61" s="36">
        <v>-25.97</v>
      </c>
      <c r="CH61" s="36">
        <v>1.8194999999999999</v>
      </c>
      <c r="CI61" s="36">
        <v>10.220000000000001</v>
      </c>
      <c r="CJ61" s="36">
        <v>-24.59</v>
      </c>
      <c r="CK61" s="36">
        <v>2.1379000000000001</v>
      </c>
      <c r="CL61" s="36">
        <v>14.19</v>
      </c>
    </row>
    <row r="62" spans="1:90" x14ac:dyDescent="0.25">
      <c r="A62" t="s">
        <v>24</v>
      </c>
      <c r="D62" t="s">
        <v>28</v>
      </c>
      <c r="E62" s="61">
        <v>1998</v>
      </c>
      <c r="F62" s="61">
        <v>4</v>
      </c>
      <c r="G62" s="61">
        <v>4</v>
      </c>
      <c r="H62" s="61">
        <v>13</v>
      </c>
      <c r="I62" s="61"/>
      <c r="J62" s="61"/>
      <c r="K62" s="61"/>
      <c r="R62" s="91">
        <v>0.98343974739002871</v>
      </c>
      <c r="S62" s="91">
        <v>0.98501687812175165</v>
      </c>
      <c r="T62" s="91">
        <v>0.92975959897123162</v>
      </c>
      <c r="U62" s="91">
        <v>0.78488971171142496</v>
      </c>
      <c r="AP62" s="5">
        <v>90</v>
      </c>
      <c r="AQ62" s="5">
        <v>0.5</v>
      </c>
      <c r="AR62" s="5">
        <v>3536</v>
      </c>
      <c r="AS62" s="5">
        <f t="shared" si="17"/>
        <v>7072</v>
      </c>
      <c r="AT62" s="25">
        <v>249.55</v>
      </c>
      <c r="AU62" s="5">
        <v>30</v>
      </c>
      <c r="AV62" s="24">
        <f t="shared" si="18"/>
        <v>8.3183333333333334</v>
      </c>
      <c r="AZ62" s="25">
        <v>7.73</v>
      </c>
      <c r="BA62" s="25">
        <v>6.54</v>
      </c>
      <c r="BB62" s="25">
        <v>25.98</v>
      </c>
      <c r="BC62" s="25">
        <v>7.05</v>
      </c>
      <c r="BE62" s="25">
        <f t="shared" si="19"/>
        <v>47.3</v>
      </c>
      <c r="BF62" s="25">
        <f t="shared" si="20"/>
        <v>47.3</v>
      </c>
      <c r="BG62" s="25">
        <f t="shared" si="21"/>
        <v>2.3649999999999998</v>
      </c>
      <c r="BH62" s="24">
        <f t="shared" si="22"/>
        <v>8.3183333333333334</v>
      </c>
      <c r="BI62" s="24">
        <f t="shared" si="23"/>
        <v>0.28431176117010615</v>
      </c>
      <c r="BJ62" s="24">
        <f t="shared" si="24"/>
        <v>1005.3263874974954</v>
      </c>
      <c r="BK62" s="39">
        <f t="shared" si="25"/>
        <v>2010.6527749949908</v>
      </c>
      <c r="BL62" s="24">
        <f t="shared" si="26"/>
        <v>0.16342494714587741</v>
      </c>
      <c r="BM62" s="24">
        <f t="shared" si="27"/>
        <v>0.1382663847780127</v>
      </c>
      <c r="BN62" s="24">
        <f t="shared" si="28"/>
        <v>0.54926004228329817</v>
      </c>
      <c r="BO62" s="24">
        <f t="shared" si="29"/>
        <v>0.14904862579281183</v>
      </c>
      <c r="BP62" s="24">
        <f t="shared" si="30"/>
        <v>328.59082348226809</v>
      </c>
      <c r="BQ62" s="24">
        <f t="shared" si="31"/>
        <v>278.0056902424364</v>
      </c>
      <c r="BR62" s="24">
        <f t="shared" si="32"/>
        <v>1104.3712282107795</v>
      </c>
      <c r="BS62" s="24">
        <f t="shared" si="33"/>
        <v>299.68503305950708</v>
      </c>
      <c r="BT62" s="12">
        <v>6</v>
      </c>
      <c r="BU62" s="12">
        <v>5.375</v>
      </c>
      <c r="BV62" s="12">
        <v>31.549999999999997</v>
      </c>
      <c r="BW62" s="12">
        <v>43.975000000000001</v>
      </c>
      <c r="BX62" s="12">
        <v>43.975000000000001</v>
      </c>
      <c r="BZ62" s="119">
        <v>737.5</v>
      </c>
      <c r="CA62" s="33">
        <v>-24.87</v>
      </c>
      <c r="CB62" s="36">
        <v>3.0687000000000002</v>
      </c>
      <c r="CC62" s="36">
        <v>8.73</v>
      </c>
      <c r="CD62" s="36">
        <v>-25.04</v>
      </c>
      <c r="CE62" s="36">
        <v>1.9069</v>
      </c>
      <c r="CF62" s="36">
        <v>8.07</v>
      </c>
      <c r="CG62" s="36">
        <v>-25.68</v>
      </c>
      <c r="CH62" s="36">
        <v>1.1223000000000001</v>
      </c>
      <c r="CI62" s="36">
        <v>16.809999999999999</v>
      </c>
      <c r="CJ62" s="36">
        <v>-25.03</v>
      </c>
      <c r="CK62" s="36">
        <v>1.8013999999999999</v>
      </c>
      <c r="CL62" s="36">
        <v>13.1</v>
      </c>
    </row>
    <row r="63" spans="1:90" x14ac:dyDescent="0.25">
      <c r="A63" t="s">
        <v>24</v>
      </c>
      <c r="D63" t="s">
        <v>313</v>
      </c>
      <c r="E63" s="61">
        <v>2016</v>
      </c>
      <c r="F63" s="61">
        <v>4</v>
      </c>
      <c r="G63" s="61">
        <v>4</v>
      </c>
      <c r="H63" s="61">
        <v>14</v>
      </c>
      <c r="I63" s="61"/>
      <c r="J63" s="61"/>
      <c r="K63" s="61"/>
      <c r="R63" s="91">
        <v>0.99204538912555706</v>
      </c>
      <c r="S63" s="91">
        <v>0.99132103523488257</v>
      </c>
      <c r="T63" s="91">
        <v>0.95759533160010157</v>
      </c>
      <c r="U63" s="91">
        <v>0.86111751949879778</v>
      </c>
      <c r="AP63" s="5">
        <v>90</v>
      </c>
      <c r="AQ63" s="5">
        <v>0.5</v>
      </c>
      <c r="AR63" s="5">
        <v>2557</v>
      </c>
      <c r="AS63" s="5">
        <f t="shared" si="17"/>
        <v>5114</v>
      </c>
      <c r="AT63" s="25">
        <v>236.66</v>
      </c>
      <c r="AU63" s="5">
        <v>30</v>
      </c>
      <c r="AV63" s="24">
        <f t="shared" si="18"/>
        <v>7.8886666666666665</v>
      </c>
      <c r="AZ63" s="25">
        <v>9.61</v>
      </c>
      <c r="BA63" s="25">
        <v>6.24</v>
      </c>
      <c r="BB63" s="25">
        <v>22.4</v>
      </c>
      <c r="BC63" s="25">
        <v>7.88</v>
      </c>
      <c r="BE63" s="25">
        <f t="shared" si="19"/>
        <v>46.13</v>
      </c>
      <c r="BF63" s="25">
        <f t="shared" si="20"/>
        <v>46.13</v>
      </c>
      <c r="BG63" s="25">
        <f t="shared" si="21"/>
        <v>2.3065000000000002</v>
      </c>
      <c r="BH63" s="24">
        <f t="shared" si="22"/>
        <v>7.8886666666666665</v>
      </c>
      <c r="BI63" s="24">
        <f t="shared" si="23"/>
        <v>0.29238147553452215</v>
      </c>
      <c r="BJ63" s="24">
        <f t="shared" si="24"/>
        <v>747.61943294177308</v>
      </c>
      <c r="BK63" s="39">
        <f t="shared" si="25"/>
        <v>1495.2388658835462</v>
      </c>
      <c r="BL63" s="24">
        <f t="shared" si="26"/>
        <v>0.20832430088879253</v>
      </c>
      <c r="BM63" s="24">
        <f t="shared" si="27"/>
        <v>0.13526988944287882</v>
      </c>
      <c r="BN63" s="24">
        <f t="shared" si="28"/>
        <v>0.48558421851289829</v>
      </c>
      <c r="BO63" s="24">
        <f t="shared" si="29"/>
        <v>0.1708215911554303</v>
      </c>
      <c r="BP63" s="24">
        <f t="shared" si="30"/>
        <v>311.49459139694079</v>
      </c>
      <c r="BQ63" s="24">
        <f t="shared" si="31"/>
        <v>202.26079607876281</v>
      </c>
      <c r="BR63" s="24">
        <f t="shared" si="32"/>
        <v>726.06439618017407</v>
      </c>
      <c r="BS63" s="24">
        <f t="shared" si="33"/>
        <v>255.41908222766841</v>
      </c>
      <c r="BT63" s="12">
        <v>7.4749999999999996</v>
      </c>
      <c r="BU63" s="12">
        <v>5.5</v>
      </c>
      <c r="BV63" s="12">
        <v>32.725000000000001</v>
      </c>
      <c r="BW63" s="12">
        <v>48.65</v>
      </c>
      <c r="BX63" s="12">
        <v>48.65</v>
      </c>
      <c r="BZ63" s="119">
        <v>455.17241379310349</v>
      </c>
      <c r="CA63" s="33">
        <v>-25</v>
      </c>
      <c r="CB63" s="36">
        <v>2.3986999999999998</v>
      </c>
      <c r="CC63" s="36">
        <v>8.18</v>
      </c>
      <c r="CD63" s="36">
        <v>-25.38</v>
      </c>
      <c r="CE63" s="36">
        <v>2.1757</v>
      </c>
      <c r="CF63" s="36">
        <v>5.14</v>
      </c>
      <c r="CG63" s="36">
        <v>-25.64</v>
      </c>
      <c r="CH63" s="36">
        <v>1.2446999999999999</v>
      </c>
      <c r="CI63" s="36">
        <v>16.149999999999999</v>
      </c>
      <c r="CJ63" s="36">
        <v>-25.12</v>
      </c>
      <c r="CK63" s="36">
        <v>2.0341</v>
      </c>
      <c r="CL63" s="36">
        <v>12.77</v>
      </c>
    </row>
    <row r="64" spans="1:90" x14ac:dyDescent="0.25">
      <c r="A64" t="s">
        <v>34</v>
      </c>
      <c r="D64" t="s">
        <v>318</v>
      </c>
      <c r="E64" s="61">
        <v>2004</v>
      </c>
      <c r="F64" s="61">
        <v>4</v>
      </c>
      <c r="G64" s="61">
        <v>4</v>
      </c>
      <c r="H64" s="61">
        <v>15</v>
      </c>
      <c r="I64" s="61"/>
      <c r="J64" s="61"/>
      <c r="K64" s="61"/>
      <c r="L64"/>
      <c r="M64"/>
      <c r="N64"/>
      <c r="O64"/>
      <c r="P64"/>
      <c r="Q64"/>
      <c r="R64" s="86">
        <v>0.97873869556224891</v>
      </c>
      <c r="S64" s="86">
        <v>0.96806805978824773</v>
      </c>
      <c r="T64" s="86">
        <v>0.93623833138449031</v>
      </c>
      <c r="U64" s="86">
        <v>0.75886596228829362</v>
      </c>
      <c r="V64"/>
      <c r="W64"/>
      <c r="X64"/>
      <c r="Y64"/>
      <c r="Z64"/>
      <c r="AA64"/>
      <c r="AB64"/>
      <c r="AC64"/>
      <c r="AD64"/>
      <c r="AE64"/>
      <c r="AF64"/>
      <c r="AG64"/>
      <c r="AH64"/>
      <c r="AI64"/>
      <c r="AJ64"/>
      <c r="AK64"/>
      <c r="AL64"/>
      <c r="AM64"/>
      <c r="AN64"/>
      <c r="AO64"/>
      <c r="AP64" s="5">
        <v>94</v>
      </c>
      <c r="AQ64" s="5">
        <v>0.5</v>
      </c>
      <c r="AR64" s="5">
        <v>2672</v>
      </c>
      <c r="AS64" s="5">
        <f t="shared" si="17"/>
        <v>5344</v>
      </c>
      <c r="AT64" s="25">
        <v>206.97</v>
      </c>
      <c r="AU64" s="5">
        <v>30</v>
      </c>
      <c r="AV64" s="24">
        <f t="shared" si="18"/>
        <v>6.899</v>
      </c>
      <c r="AZ64" s="25">
        <v>9.17</v>
      </c>
      <c r="BA64" s="25">
        <v>1</v>
      </c>
      <c r="BB64" s="25">
        <v>25.09</v>
      </c>
      <c r="BC64" s="25">
        <v>9.18</v>
      </c>
      <c r="BE64" s="25">
        <f t="shared" si="19"/>
        <v>44.44</v>
      </c>
      <c r="BF64" s="25">
        <f t="shared" si="20"/>
        <v>44.44</v>
      </c>
      <c r="BG64" s="25">
        <f t="shared" si="21"/>
        <v>2.222</v>
      </c>
      <c r="BH64" s="24">
        <f t="shared" si="22"/>
        <v>6.899</v>
      </c>
      <c r="BI64" s="24">
        <f t="shared" si="23"/>
        <v>0.32207566313958547</v>
      </c>
      <c r="BJ64" s="24">
        <f t="shared" si="24"/>
        <v>860.58617190897235</v>
      </c>
      <c r="BK64" s="39">
        <f t="shared" si="25"/>
        <v>1721.1723438179447</v>
      </c>
      <c r="BL64" s="24">
        <f t="shared" si="26"/>
        <v>0.20634563456345636</v>
      </c>
      <c r="BM64" s="24">
        <f t="shared" si="27"/>
        <v>2.2502250225022502E-2</v>
      </c>
      <c r="BN64" s="24">
        <f t="shared" si="28"/>
        <v>0.56458145814581462</v>
      </c>
      <c r="BO64" s="24">
        <f t="shared" si="29"/>
        <v>0.20657065706570657</v>
      </c>
      <c r="BP64" s="24">
        <f t="shared" si="30"/>
        <v>355.15639947818528</v>
      </c>
      <c r="BQ64" s="24">
        <f t="shared" si="31"/>
        <v>38.730250760979857</v>
      </c>
      <c r="BR64" s="24">
        <f t="shared" si="32"/>
        <v>971.74199159298462</v>
      </c>
      <c r="BS64" s="24">
        <f t="shared" si="33"/>
        <v>355.54370198579505</v>
      </c>
      <c r="BT64" s="12">
        <v>7.8250000000000011</v>
      </c>
      <c r="BU64" s="12">
        <v>21.433333333333337</v>
      </c>
      <c r="BV64" s="12">
        <v>50.15</v>
      </c>
      <c r="BW64" s="12">
        <v>48.699999999999996</v>
      </c>
      <c r="BX64" s="12">
        <v>48.699999999999996</v>
      </c>
      <c r="BY64"/>
      <c r="BZ64" s="119">
        <v>666.66666666666674</v>
      </c>
      <c r="CA64" s="33">
        <v>-25.22</v>
      </c>
      <c r="CB64" s="36">
        <v>3.2435999999999998</v>
      </c>
      <c r="CC64" s="36">
        <v>6.19</v>
      </c>
      <c r="CD64" s="36">
        <v>-26.04</v>
      </c>
      <c r="CE64" s="36">
        <v>3.1905000000000001</v>
      </c>
      <c r="CF64" s="131">
        <v>-0.2</v>
      </c>
      <c r="CG64" s="36">
        <v>-26.28</v>
      </c>
      <c r="CH64" s="36">
        <v>1.0769</v>
      </c>
      <c r="CI64" s="36">
        <v>9.4700000000000006</v>
      </c>
      <c r="CJ64" s="36">
        <v>-25.08</v>
      </c>
      <c r="CK64" s="36">
        <v>2.2473000000000001</v>
      </c>
      <c r="CL64" s="36">
        <v>13.58</v>
      </c>
    </row>
    <row r="65" spans="1:90" x14ac:dyDescent="0.25">
      <c r="A65" t="s">
        <v>34</v>
      </c>
      <c r="D65" t="s">
        <v>39</v>
      </c>
      <c r="E65" s="61">
        <v>2001</v>
      </c>
      <c r="F65" s="61">
        <v>4</v>
      </c>
      <c r="G65" s="61">
        <v>4</v>
      </c>
      <c r="H65" s="61">
        <v>16</v>
      </c>
      <c r="I65" s="61"/>
      <c r="J65" s="61"/>
      <c r="K65" s="61"/>
      <c r="R65" s="91">
        <v>0.98720174528494098</v>
      </c>
      <c r="S65" s="91">
        <v>0.972414081614842</v>
      </c>
      <c r="T65" s="91">
        <v>0.90683917739926612</v>
      </c>
      <c r="U65" s="91">
        <v>0.74301620254741241</v>
      </c>
      <c r="AP65" s="5">
        <v>78</v>
      </c>
      <c r="AQ65" s="5">
        <v>0.5</v>
      </c>
      <c r="AR65" s="5">
        <v>2594</v>
      </c>
      <c r="AS65" s="5">
        <f t="shared" si="17"/>
        <v>5188</v>
      </c>
      <c r="AT65" s="25">
        <v>179.73</v>
      </c>
      <c r="AU65" s="5">
        <v>30</v>
      </c>
      <c r="AV65" s="24">
        <f t="shared" si="18"/>
        <v>5.9909999999999997</v>
      </c>
      <c r="AZ65" s="25">
        <v>6.67</v>
      </c>
      <c r="BA65" s="25">
        <v>2.52</v>
      </c>
      <c r="BB65" s="25">
        <v>20.02</v>
      </c>
      <c r="BC65" s="25">
        <v>8.65</v>
      </c>
      <c r="BE65" s="25">
        <f t="shared" si="19"/>
        <v>37.86</v>
      </c>
      <c r="BF65" s="25">
        <f t="shared" si="20"/>
        <v>37.86</v>
      </c>
      <c r="BG65" s="25">
        <f t="shared" si="21"/>
        <v>1.893</v>
      </c>
      <c r="BH65" s="24">
        <f t="shared" si="22"/>
        <v>5.9909999999999997</v>
      </c>
      <c r="BI65" s="24">
        <f t="shared" si="23"/>
        <v>0.31597396094141211</v>
      </c>
      <c r="BJ65" s="24">
        <f t="shared" si="24"/>
        <v>819.63645468202299</v>
      </c>
      <c r="BK65" s="39">
        <f t="shared" si="25"/>
        <v>1639.272909364046</v>
      </c>
      <c r="BL65" s="24">
        <f t="shared" si="26"/>
        <v>0.17617538298996302</v>
      </c>
      <c r="BM65" s="24">
        <f t="shared" si="27"/>
        <v>6.6561014263074481E-2</v>
      </c>
      <c r="BN65" s="24">
        <f t="shared" si="28"/>
        <v>0.52879027997886952</v>
      </c>
      <c r="BO65" s="24">
        <f t="shared" si="29"/>
        <v>0.22847332276809298</v>
      </c>
      <c r="BP65" s="24">
        <f t="shared" si="30"/>
        <v>288.79953263228174</v>
      </c>
      <c r="BQ65" s="24">
        <f t="shared" si="31"/>
        <v>109.11166750125186</v>
      </c>
      <c r="BR65" s="24">
        <f t="shared" si="32"/>
        <v>866.83158070438981</v>
      </c>
      <c r="BS65" s="24">
        <f t="shared" si="33"/>
        <v>374.5301285261225</v>
      </c>
      <c r="BT65" s="12">
        <v>7.1000000000000005</v>
      </c>
      <c r="BU65" s="12">
        <v>9.1</v>
      </c>
      <c r="BV65" s="12">
        <v>41.8</v>
      </c>
      <c r="BW65" s="12">
        <v>48.800000000000004</v>
      </c>
      <c r="BX65" s="12">
        <v>48.800000000000004</v>
      </c>
      <c r="BZ65" s="119">
        <v>630</v>
      </c>
      <c r="CA65" s="33">
        <v>-25.17</v>
      </c>
      <c r="CB65" s="36">
        <v>2.7351999999999999</v>
      </c>
      <c r="CC65" s="36">
        <v>8.09</v>
      </c>
      <c r="CD65" s="36">
        <v>-25.73</v>
      </c>
      <c r="CE65" s="36">
        <v>2.4744999999999999</v>
      </c>
      <c r="CF65" s="36">
        <v>1.39</v>
      </c>
      <c r="CG65" s="36">
        <v>-25.95</v>
      </c>
      <c r="CH65" s="36">
        <v>1.0661</v>
      </c>
      <c r="CI65" s="36">
        <v>12.55</v>
      </c>
      <c r="CJ65" s="36">
        <v>-25.22</v>
      </c>
      <c r="CK65" s="36">
        <v>2.2121</v>
      </c>
      <c r="CL65" s="36">
        <v>15</v>
      </c>
    </row>
    <row r="90" spans="5:11" x14ac:dyDescent="0.25">
      <c r="E90" s="54"/>
      <c r="F90" s="55"/>
      <c r="G90" s="55"/>
      <c r="H90" s="55"/>
      <c r="I90" s="55"/>
      <c r="J90" s="55"/>
      <c r="K90" s="55"/>
    </row>
    <row r="154" spans="5:11" x14ac:dyDescent="0.25">
      <c r="E154" s="54"/>
      <c r="F154" s="55"/>
      <c r="G154" s="55"/>
      <c r="H154" s="55"/>
      <c r="I154" s="55"/>
      <c r="J154" s="55"/>
      <c r="K154" s="55"/>
    </row>
    <row r="218" spans="5:11" x14ac:dyDescent="0.25">
      <c r="E218" s="54"/>
      <c r="F218" s="55"/>
      <c r="G218" s="55"/>
      <c r="H218" s="55"/>
      <c r="I218" s="55"/>
      <c r="J218" s="55"/>
      <c r="K218" s="55"/>
    </row>
    <row r="282" spans="5:11" x14ac:dyDescent="0.25">
      <c r="E282" s="54"/>
      <c r="F282" s="55"/>
      <c r="G282" s="55"/>
      <c r="H282" s="55"/>
      <c r="I282" s="55"/>
      <c r="J282" s="55"/>
      <c r="K282" s="55"/>
    </row>
    <row r="346" spans="5:11" x14ac:dyDescent="0.25">
      <c r="E346" s="54"/>
      <c r="F346" s="55"/>
      <c r="G346" s="55"/>
      <c r="H346" s="55"/>
      <c r="I346" s="55"/>
      <c r="J346" s="55"/>
      <c r="K346" s="55"/>
    </row>
    <row r="410" spans="5:11" x14ac:dyDescent="0.25">
      <c r="E410" s="54"/>
      <c r="F410" s="55"/>
      <c r="G410" s="55"/>
      <c r="H410" s="55"/>
      <c r="I410" s="55"/>
      <c r="J410" s="55"/>
      <c r="K410" s="55"/>
    </row>
    <row r="474" spans="5:11" x14ac:dyDescent="0.25">
      <c r="E474" s="54"/>
      <c r="F474" s="55"/>
      <c r="G474" s="55"/>
      <c r="H474" s="55"/>
      <c r="I474" s="55"/>
      <c r="J474" s="55"/>
      <c r="K474" s="55"/>
    </row>
  </sheetData>
  <sortState xmlns:xlrd2="http://schemas.microsoft.com/office/spreadsheetml/2017/richdata2" ref="A2:CL474">
    <sortCondition ref="G2:G474"/>
    <sortCondition ref="H2:H474"/>
  </sortState>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887-ADBB-41FF-A916-70AEAC1C8B55}">
  <sheetPr>
    <tabColor theme="9" tint="0.59999389629810485"/>
  </sheetPr>
  <dimension ref="A1:AR474"/>
  <sheetViews>
    <sheetView tabSelected="1" topLeftCell="J10" workbookViewId="0">
      <selection activeCell="AR2" sqref="M2:AR2"/>
    </sheetView>
  </sheetViews>
  <sheetFormatPr defaultRowHeight="15" x14ac:dyDescent="0.25"/>
  <cols>
    <col min="4" max="4" width="14.7109375" bestFit="1" customWidth="1"/>
    <col min="5" max="8" width="9.140625" style="6"/>
    <col min="9" max="12" width="9.140625" style="6" customWidth="1"/>
    <col min="13" max="13" width="12.42578125" style="43" customWidth="1"/>
    <col min="14" max="14" width="12.140625" style="43" customWidth="1"/>
    <col min="15" max="16" width="12" style="43" customWidth="1"/>
    <col min="17" max="17" width="11.85546875" style="43" customWidth="1"/>
    <col min="18" max="19" width="12.42578125" style="43" customWidth="1"/>
    <col min="20" max="20" width="12.140625" style="43" customWidth="1"/>
    <col min="21" max="21" width="12.42578125" style="43" customWidth="1"/>
    <col min="22" max="22" width="12.140625" style="43" customWidth="1"/>
    <col min="23" max="24" width="9.5703125" style="43" customWidth="1"/>
    <col min="25" max="33" width="8.85546875" style="43"/>
    <col min="34" max="42" width="8.85546875" style="45"/>
    <col min="43" max="43" width="8.85546875" style="133"/>
    <col min="44" max="44" width="10.42578125" style="88" customWidth="1"/>
    <col min="46" max="46" width="27.5703125" bestFit="1" customWidth="1"/>
    <col min="47" max="47" width="15.5703125" bestFit="1" customWidth="1"/>
    <col min="48" max="48" width="15.42578125" bestFit="1" customWidth="1"/>
    <col min="49" max="52" width="9.42578125" bestFit="1" customWidth="1"/>
    <col min="53" max="53" width="11.42578125" bestFit="1" customWidth="1"/>
    <col min="54" max="54" width="10.5703125" bestFit="1" customWidth="1"/>
  </cols>
  <sheetData>
    <row r="1" spans="1:44" s="1" customFormat="1" ht="58.5" customHeight="1" x14ac:dyDescent="0.25">
      <c r="A1" s="53" t="s">
        <v>44</v>
      </c>
      <c r="B1" s="53" t="s">
        <v>45</v>
      </c>
      <c r="C1" s="53" t="s">
        <v>46</v>
      </c>
      <c r="D1" s="53" t="s">
        <v>47</v>
      </c>
      <c r="E1" s="53" t="s">
        <v>48</v>
      </c>
      <c r="F1" s="53" t="s">
        <v>49</v>
      </c>
      <c r="G1" s="53" t="s">
        <v>50</v>
      </c>
      <c r="H1" s="53" t="s">
        <v>51</v>
      </c>
      <c r="I1" s="4" t="s">
        <v>53</v>
      </c>
      <c r="J1" s="4" t="s">
        <v>52</v>
      </c>
      <c r="K1" s="53" t="s">
        <v>54</v>
      </c>
      <c r="L1" s="99" t="s">
        <v>584</v>
      </c>
      <c r="M1" s="42" t="s">
        <v>243</v>
      </c>
      <c r="N1" s="42" t="s">
        <v>244</v>
      </c>
      <c r="O1" s="42" t="s">
        <v>245</v>
      </c>
      <c r="P1" s="42" t="s">
        <v>246</v>
      </c>
      <c r="Q1" s="42" t="s">
        <v>247</v>
      </c>
      <c r="R1" s="42" t="s">
        <v>248</v>
      </c>
      <c r="S1" s="42" t="s">
        <v>249</v>
      </c>
      <c r="T1" s="42" t="s">
        <v>250</v>
      </c>
      <c r="U1" s="42" t="s">
        <v>251</v>
      </c>
      <c r="V1" s="42" t="s">
        <v>252</v>
      </c>
      <c r="W1" s="42" t="s">
        <v>557</v>
      </c>
      <c r="X1" s="42" t="s">
        <v>253</v>
      </c>
      <c r="Y1" s="42" t="s">
        <v>254</v>
      </c>
      <c r="Z1" s="42" t="s">
        <v>255</v>
      </c>
      <c r="AA1" s="42" t="s">
        <v>256</v>
      </c>
      <c r="AB1" s="42" t="s">
        <v>257</v>
      </c>
      <c r="AC1" s="42" t="s">
        <v>258</v>
      </c>
      <c r="AD1" s="42" t="s">
        <v>259</v>
      </c>
      <c r="AE1" s="42" t="s">
        <v>260</v>
      </c>
      <c r="AF1" s="42" t="s">
        <v>261</v>
      </c>
      <c r="AG1" s="42" t="s">
        <v>262</v>
      </c>
      <c r="AH1" s="57" t="s">
        <v>263</v>
      </c>
      <c r="AI1" s="57" t="s">
        <v>264</v>
      </c>
      <c r="AJ1" s="57" t="s">
        <v>265</v>
      </c>
      <c r="AK1" s="57" t="s">
        <v>266</v>
      </c>
      <c r="AL1" s="57" t="s">
        <v>267</v>
      </c>
      <c r="AM1" s="57" t="s">
        <v>268</v>
      </c>
      <c r="AN1" s="57" t="s">
        <v>269</v>
      </c>
      <c r="AO1" s="57" t="s">
        <v>270</v>
      </c>
      <c r="AP1" s="57" t="s">
        <v>271</v>
      </c>
      <c r="AQ1" s="57" t="s">
        <v>272</v>
      </c>
      <c r="AR1" s="57" t="s">
        <v>556</v>
      </c>
    </row>
    <row r="2" spans="1:44" x14ac:dyDescent="0.25">
      <c r="A2" t="s">
        <v>24</v>
      </c>
      <c r="D2" t="s">
        <v>28</v>
      </c>
      <c r="E2" s="61">
        <v>1998</v>
      </c>
      <c r="F2" s="61">
        <v>1</v>
      </c>
      <c r="G2" s="61">
        <v>1</v>
      </c>
      <c r="H2" s="61">
        <v>1</v>
      </c>
      <c r="I2" s="61"/>
      <c r="J2" s="61"/>
      <c r="K2">
        <v>101</v>
      </c>
      <c r="L2" s="61"/>
      <c r="M2" s="43">
        <v>16</v>
      </c>
      <c r="N2" s="43">
        <v>17</v>
      </c>
      <c r="O2" s="43">
        <v>22</v>
      </c>
      <c r="P2" s="43">
        <v>18</v>
      </c>
      <c r="Q2" s="43">
        <v>21</v>
      </c>
      <c r="R2" s="43">
        <v>18</v>
      </c>
      <c r="S2" s="43">
        <v>16</v>
      </c>
      <c r="T2" s="43">
        <v>22</v>
      </c>
      <c r="U2" s="43">
        <v>12</v>
      </c>
      <c r="V2" s="43">
        <v>15</v>
      </c>
      <c r="W2" s="43">
        <f>AVERAGE(M2:V2)</f>
        <v>17.7</v>
      </c>
      <c r="X2" s="43">
        <v>0</v>
      </c>
      <c r="Y2" s="43">
        <v>0</v>
      </c>
      <c r="Z2" s="43">
        <v>0</v>
      </c>
      <c r="AA2" s="43">
        <v>0</v>
      </c>
      <c r="AB2" s="43">
        <v>0</v>
      </c>
      <c r="AC2" s="43">
        <v>0</v>
      </c>
      <c r="AD2" s="43">
        <v>0</v>
      </c>
      <c r="AE2" s="43">
        <v>0</v>
      </c>
      <c r="AF2" s="43">
        <v>0</v>
      </c>
      <c r="AG2" s="43">
        <v>1</v>
      </c>
      <c r="AH2" s="45">
        <f>X2/M2</f>
        <v>0</v>
      </c>
      <c r="AI2" s="45">
        <f>Y2/N2</f>
        <v>0</v>
      </c>
      <c r="AJ2" s="45">
        <f t="shared" ref="AJ2:AQ4" si="0">Z2/O2</f>
        <v>0</v>
      </c>
      <c r="AK2" s="45">
        <f t="shared" si="0"/>
        <v>0</v>
      </c>
      <c r="AL2" s="45">
        <f t="shared" si="0"/>
        <v>0</v>
      </c>
      <c r="AM2" s="45">
        <f t="shared" si="0"/>
        <v>0</v>
      </c>
      <c r="AN2" s="45">
        <f t="shared" si="0"/>
        <v>0</v>
      </c>
      <c r="AO2" s="45">
        <f t="shared" si="0"/>
        <v>0</v>
      </c>
      <c r="AP2" s="45">
        <f t="shared" si="0"/>
        <v>0</v>
      </c>
      <c r="AQ2" s="133">
        <f t="shared" si="0"/>
        <v>6.6666666666666666E-2</v>
      </c>
      <c r="AR2" s="134">
        <f>AVERAGE(AH2:AQ2)</f>
        <v>6.6666666666666662E-3</v>
      </c>
    </row>
    <row r="3" spans="1:44" x14ac:dyDescent="0.25">
      <c r="A3" t="s">
        <v>24</v>
      </c>
      <c r="D3" t="s">
        <v>312</v>
      </c>
      <c r="E3" s="61">
        <v>2002</v>
      </c>
      <c r="F3" s="61">
        <v>1</v>
      </c>
      <c r="G3" s="61">
        <v>1</v>
      </c>
      <c r="H3" s="61">
        <v>2</v>
      </c>
      <c r="I3" s="61"/>
      <c r="J3" s="61"/>
      <c r="K3">
        <v>102</v>
      </c>
      <c r="L3" s="61"/>
      <c r="M3" s="43">
        <v>8</v>
      </c>
      <c r="N3" s="43">
        <v>17</v>
      </c>
      <c r="O3" s="43">
        <v>18</v>
      </c>
      <c r="P3" s="43">
        <v>19</v>
      </c>
      <c r="Q3" s="43">
        <v>17</v>
      </c>
      <c r="R3" s="43">
        <v>16</v>
      </c>
      <c r="S3" s="43">
        <v>20</v>
      </c>
      <c r="T3" s="43">
        <v>21</v>
      </c>
      <c r="U3" s="43">
        <v>20</v>
      </c>
      <c r="V3" s="43">
        <v>22</v>
      </c>
      <c r="W3" s="43">
        <f t="shared" ref="W3:W65" si="1">AVERAGE(M3:V3)</f>
        <v>17.8</v>
      </c>
      <c r="X3" s="43">
        <v>4</v>
      </c>
      <c r="Y3" s="43">
        <v>0</v>
      </c>
      <c r="Z3" s="43">
        <v>0</v>
      </c>
      <c r="AA3" s="43">
        <v>0</v>
      </c>
      <c r="AB3" s="43">
        <v>0</v>
      </c>
      <c r="AC3" s="43">
        <v>0</v>
      </c>
      <c r="AD3" s="43">
        <v>0</v>
      </c>
      <c r="AE3" s="43">
        <v>0</v>
      </c>
      <c r="AF3" s="43">
        <v>1</v>
      </c>
      <c r="AG3" s="43">
        <v>0</v>
      </c>
      <c r="AH3" s="45">
        <f>X3/M3</f>
        <v>0.5</v>
      </c>
      <c r="AI3" s="45">
        <f t="shared" ref="AI3:AI4" si="2">Y3/N3</f>
        <v>0</v>
      </c>
      <c r="AJ3" s="45">
        <f t="shared" si="0"/>
        <v>0</v>
      </c>
      <c r="AK3" s="45">
        <f t="shared" si="0"/>
        <v>0</v>
      </c>
      <c r="AL3" s="45">
        <f t="shared" si="0"/>
        <v>0</v>
      </c>
      <c r="AM3" s="45">
        <f t="shared" si="0"/>
        <v>0</v>
      </c>
      <c r="AN3" s="45">
        <f t="shared" si="0"/>
        <v>0</v>
      </c>
      <c r="AO3" s="45">
        <f t="shared" si="0"/>
        <v>0</v>
      </c>
      <c r="AP3" s="45">
        <f t="shared" si="0"/>
        <v>0.05</v>
      </c>
      <c r="AQ3" s="45">
        <f t="shared" si="0"/>
        <v>0</v>
      </c>
      <c r="AR3" s="134">
        <f t="shared" ref="AR3:AR65" si="3">AVERAGE(AH3:AQ3)</f>
        <v>5.5000000000000007E-2</v>
      </c>
    </row>
    <row r="4" spans="1:44" x14ac:dyDescent="0.25">
      <c r="A4" t="s">
        <v>34</v>
      </c>
      <c r="D4" t="s">
        <v>39</v>
      </c>
      <c r="E4" s="61">
        <v>2001</v>
      </c>
      <c r="F4" s="61">
        <v>1</v>
      </c>
      <c r="G4" s="61">
        <v>1</v>
      </c>
      <c r="H4" s="61">
        <v>3</v>
      </c>
      <c r="I4" s="61"/>
      <c r="J4" s="61"/>
      <c r="K4">
        <v>103</v>
      </c>
      <c r="L4" s="61"/>
      <c r="M4" s="43">
        <v>13</v>
      </c>
      <c r="N4" s="43">
        <v>13</v>
      </c>
      <c r="O4" s="43">
        <v>13</v>
      </c>
      <c r="P4" s="43">
        <v>14</v>
      </c>
      <c r="Q4" s="43">
        <v>13</v>
      </c>
      <c r="R4" s="43">
        <v>17</v>
      </c>
      <c r="S4" s="43">
        <v>14</v>
      </c>
      <c r="T4" s="43">
        <v>14</v>
      </c>
      <c r="U4" s="43">
        <v>17</v>
      </c>
      <c r="V4" s="43">
        <v>16</v>
      </c>
      <c r="W4" s="43">
        <f t="shared" si="1"/>
        <v>14.4</v>
      </c>
      <c r="X4" s="43">
        <v>1</v>
      </c>
      <c r="Y4" s="43">
        <v>1</v>
      </c>
      <c r="Z4" s="43">
        <v>2</v>
      </c>
      <c r="AA4" s="43">
        <v>1</v>
      </c>
      <c r="AB4" s="43">
        <v>1</v>
      </c>
      <c r="AC4" s="43">
        <v>1</v>
      </c>
      <c r="AD4" s="43">
        <v>0</v>
      </c>
      <c r="AE4" s="43">
        <v>0</v>
      </c>
      <c r="AF4" s="43">
        <v>0</v>
      </c>
      <c r="AG4" s="43">
        <v>1</v>
      </c>
      <c r="AH4" s="45">
        <f>X4/M4</f>
        <v>7.6923076923076927E-2</v>
      </c>
      <c r="AI4" s="45">
        <f t="shared" si="2"/>
        <v>7.6923076923076927E-2</v>
      </c>
      <c r="AJ4" s="45">
        <f t="shared" si="0"/>
        <v>0.15384615384615385</v>
      </c>
      <c r="AK4" s="45">
        <f t="shared" si="0"/>
        <v>7.1428571428571425E-2</v>
      </c>
      <c r="AL4" s="45">
        <f t="shared" si="0"/>
        <v>7.6923076923076927E-2</v>
      </c>
      <c r="AM4" s="45">
        <f t="shared" si="0"/>
        <v>5.8823529411764705E-2</v>
      </c>
      <c r="AN4" s="45">
        <f t="shared" si="0"/>
        <v>0</v>
      </c>
      <c r="AO4" s="45">
        <f t="shared" si="0"/>
        <v>0</v>
      </c>
      <c r="AP4" s="45">
        <f t="shared" si="0"/>
        <v>0</v>
      </c>
      <c r="AQ4" s="45">
        <f t="shared" si="0"/>
        <v>6.25E-2</v>
      </c>
      <c r="AR4" s="134">
        <f t="shared" si="3"/>
        <v>5.7736748545572071E-2</v>
      </c>
    </row>
    <row r="5" spans="1:44" x14ac:dyDescent="0.25">
      <c r="A5" t="s">
        <v>34</v>
      </c>
      <c r="D5" t="s">
        <v>37</v>
      </c>
      <c r="E5" s="6">
        <v>1989</v>
      </c>
      <c r="F5" s="6">
        <v>1</v>
      </c>
      <c r="G5" s="61">
        <v>1</v>
      </c>
      <c r="H5" s="61">
        <v>4</v>
      </c>
      <c r="I5" s="61"/>
      <c r="J5" s="61"/>
      <c r="K5">
        <v>104</v>
      </c>
      <c r="L5" s="61"/>
      <c r="AR5" s="134"/>
    </row>
    <row r="6" spans="1:44" x14ac:dyDescent="0.25">
      <c r="A6" t="s">
        <v>24</v>
      </c>
      <c r="D6" t="s">
        <v>29</v>
      </c>
      <c r="E6" s="6">
        <v>1999</v>
      </c>
      <c r="F6" s="6">
        <v>2</v>
      </c>
      <c r="G6" s="61">
        <v>1</v>
      </c>
      <c r="H6" s="61">
        <v>5</v>
      </c>
      <c r="I6" s="61"/>
      <c r="J6" s="61"/>
      <c r="K6">
        <v>105</v>
      </c>
      <c r="L6" s="61"/>
      <c r="M6" s="43">
        <v>20</v>
      </c>
      <c r="N6" s="43">
        <v>15</v>
      </c>
      <c r="O6" s="43">
        <v>21</v>
      </c>
      <c r="P6" s="43">
        <v>18</v>
      </c>
      <c r="Q6" s="43">
        <v>20</v>
      </c>
      <c r="R6" s="43">
        <v>18</v>
      </c>
      <c r="S6" s="43">
        <v>19</v>
      </c>
      <c r="T6" s="43">
        <v>19</v>
      </c>
      <c r="U6" s="43">
        <v>20</v>
      </c>
      <c r="V6" s="43">
        <v>20</v>
      </c>
      <c r="W6" s="43">
        <f t="shared" si="1"/>
        <v>19</v>
      </c>
      <c r="X6" s="43">
        <v>0</v>
      </c>
      <c r="Y6" s="43">
        <v>0</v>
      </c>
      <c r="Z6" s="43">
        <v>0</v>
      </c>
      <c r="AA6" s="43">
        <v>0</v>
      </c>
      <c r="AB6" s="43">
        <v>0</v>
      </c>
      <c r="AC6" s="43">
        <v>0</v>
      </c>
      <c r="AD6" s="43">
        <v>0</v>
      </c>
      <c r="AE6" s="43">
        <v>0</v>
      </c>
      <c r="AF6" s="43">
        <v>0</v>
      </c>
      <c r="AG6" s="43">
        <v>0</v>
      </c>
      <c r="AH6" s="45">
        <f t="shared" ref="AH6:AH65" si="4">X6/M6</f>
        <v>0</v>
      </c>
      <c r="AI6" s="45">
        <f t="shared" ref="AI6:AI29" si="5">Y6/N6</f>
        <v>0</v>
      </c>
      <c r="AJ6" s="45">
        <f t="shared" ref="AJ6:AJ29" si="6">Z6/O6</f>
        <v>0</v>
      </c>
      <c r="AK6" s="45">
        <f t="shared" ref="AK6:AK29" si="7">AA6/P6</f>
        <v>0</v>
      </c>
      <c r="AL6" s="45">
        <f t="shared" ref="AL6:AL29" si="8">AB6/Q6</f>
        <v>0</v>
      </c>
      <c r="AM6" s="45">
        <f t="shared" ref="AM6:AM29" si="9">AC6/R6</f>
        <v>0</v>
      </c>
      <c r="AN6" s="45">
        <f t="shared" ref="AN6:AN29" si="10">AD6/S6</f>
        <v>0</v>
      </c>
      <c r="AO6" s="45">
        <f t="shared" ref="AO6:AO29" si="11">AE6/T6</f>
        <v>0</v>
      </c>
      <c r="AP6" s="45">
        <f t="shared" ref="AP6:AP29" si="12">AF6/U6</f>
        <v>0</v>
      </c>
      <c r="AQ6" s="45">
        <f t="shared" ref="AQ6:AQ29" si="13">AG6/V6</f>
        <v>0</v>
      </c>
      <c r="AR6" s="134">
        <f t="shared" si="3"/>
        <v>0</v>
      </c>
    </row>
    <row r="7" spans="1:44" x14ac:dyDescent="0.25">
      <c r="A7" t="s">
        <v>24</v>
      </c>
      <c r="D7" t="s">
        <v>311</v>
      </c>
      <c r="E7" s="6">
        <v>2023</v>
      </c>
      <c r="F7" s="6">
        <v>2</v>
      </c>
      <c r="G7" s="61">
        <v>1</v>
      </c>
      <c r="H7" s="61">
        <v>6</v>
      </c>
      <c r="I7" s="61"/>
      <c r="J7" s="61"/>
      <c r="K7">
        <v>106</v>
      </c>
      <c r="L7" s="61"/>
      <c r="M7" s="43">
        <v>14</v>
      </c>
      <c r="N7" s="43">
        <v>20</v>
      </c>
      <c r="O7" s="43">
        <v>12</v>
      </c>
      <c r="P7" s="43">
        <v>20</v>
      </c>
      <c r="Q7" s="43">
        <v>18</v>
      </c>
      <c r="R7" s="43">
        <v>14</v>
      </c>
      <c r="S7" s="43">
        <v>16</v>
      </c>
      <c r="T7" s="43">
        <v>21</v>
      </c>
      <c r="U7" s="43">
        <v>19</v>
      </c>
      <c r="V7" s="43">
        <v>13</v>
      </c>
      <c r="W7" s="43">
        <f t="shared" si="1"/>
        <v>16.7</v>
      </c>
      <c r="X7" s="43">
        <v>0</v>
      </c>
      <c r="Y7" s="43">
        <v>0</v>
      </c>
      <c r="Z7" s="43">
        <v>0</v>
      </c>
      <c r="AA7" s="43">
        <v>0</v>
      </c>
      <c r="AB7" s="43">
        <v>0</v>
      </c>
      <c r="AC7" s="43">
        <v>0</v>
      </c>
      <c r="AD7" s="43">
        <v>0</v>
      </c>
      <c r="AE7" s="43">
        <v>0</v>
      </c>
      <c r="AF7" s="43">
        <v>0</v>
      </c>
      <c r="AG7" s="43">
        <v>0</v>
      </c>
      <c r="AH7" s="45">
        <f t="shared" si="4"/>
        <v>0</v>
      </c>
      <c r="AI7" s="45">
        <f t="shared" si="5"/>
        <v>0</v>
      </c>
      <c r="AJ7" s="45">
        <f t="shared" si="6"/>
        <v>0</v>
      </c>
      <c r="AK7" s="45">
        <f t="shared" si="7"/>
        <v>0</v>
      </c>
      <c r="AL7" s="45">
        <f t="shared" si="8"/>
        <v>0</v>
      </c>
      <c r="AM7" s="45">
        <f t="shared" si="9"/>
        <v>0</v>
      </c>
      <c r="AN7" s="45">
        <f t="shared" si="10"/>
        <v>0</v>
      </c>
      <c r="AO7" s="45">
        <f t="shared" si="11"/>
        <v>0</v>
      </c>
      <c r="AP7" s="45">
        <f t="shared" si="12"/>
        <v>0</v>
      </c>
      <c r="AQ7" s="45">
        <f t="shared" si="13"/>
        <v>0</v>
      </c>
      <c r="AR7" s="134">
        <f t="shared" si="3"/>
        <v>0</v>
      </c>
    </row>
    <row r="8" spans="1:44" x14ac:dyDescent="0.25">
      <c r="A8" t="s">
        <v>34</v>
      </c>
      <c r="D8" t="s">
        <v>41</v>
      </c>
      <c r="E8" s="61">
        <v>2008</v>
      </c>
      <c r="F8" s="61">
        <v>2</v>
      </c>
      <c r="G8" s="61">
        <v>1</v>
      </c>
      <c r="H8" s="61">
        <v>7</v>
      </c>
      <c r="I8" s="61"/>
      <c r="J8" s="61"/>
      <c r="K8">
        <v>107</v>
      </c>
      <c r="L8" s="61"/>
      <c r="M8" s="43">
        <v>14</v>
      </c>
      <c r="N8" s="43">
        <v>12</v>
      </c>
      <c r="O8" s="43">
        <v>16</v>
      </c>
      <c r="P8" s="43">
        <v>14</v>
      </c>
      <c r="Q8" s="43">
        <v>15</v>
      </c>
      <c r="R8" s="43">
        <v>14</v>
      </c>
      <c r="S8" s="43">
        <v>13</v>
      </c>
      <c r="T8" s="43">
        <v>13</v>
      </c>
      <c r="U8" s="43">
        <v>15</v>
      </c>
      <c r="V8" s="43">
        <v>13</v>
      </c>
      <c r="W8" s="43">
        <f t="shared" si="1"/>
        <v>13.9</v>
      </c>
      <c r="X8" s="43">
        <v>1</v>
      </c>
      <c r="Y8" s="43">
        <v>6</v>
      </c>
      <c r="Z8" s="43">
        <v>1</v>
      </c>
      <c r="AA8" s="43">
        <v>0</v>
      </c>
      <c r="AB8" s="43">
        <v>1</v>
      </c>
      <c r="AC8" s="43">
        <v>0</v>
      </c>
      <c r="AD8" s="43">
        <v>0</v>
      </c>
      <c r="AE8" s="43">
        <v>0</v>
      </c>
      <c r="AF8" s="43">
        <v>0</v>
      </c>
      <c r="AG8" s="43">
        <v>1</v>
      </c>
      <c r="AH8" s="45">
        <f t="shared" si="4"/>
        <v>7.1428571428571425E-2</v>
      </c>
      <c r="AI8" s="45">
        <f t="shared" si="5"/>
        <v>0.5</v>
      </c>
      <c r="AJ8" s="45">
        <f t="shared" si="6"/>
        <v>6.25E-2</v>
      </c>
      <c r="AK8" s="45">
        <f t="shared" si="7"/>
        <v>0</v>
      </c>
      <c r="AL8" s="45">
        <f t="shared" si="8"/>
        <v>6.6666666666666666E-2</v>
      </c>
      <c r="AM8" s="45">
        <f t="shared" si="9"/>
        <v>0</v>
      </c>
      <c r="AN8" s="45">
        <f t="shared" si="10"/>
        <v>0</v>
      </c>
      <c r="AO8" s="45">
        <f t="shared" si="11"/>
        <v>0</v>
      </c>
      <c r="AP8" s="45">
        <f t="shared" si="12"/>
        <v>0</v>
      </c>
      <c r="AQ8" s="45">
        <f t="shared" si="13"/>
        <v>7.6923076923076927E-2</v>
      </c>
      <c r="AR8" s="134">
        <f t="shared" si="3"/>
        <v>7.7751831501831487E-2</v>
      </c>
    </row>
    <row r="9" spans="1:44" x14ac:dyDescent="0.25">
      <c r="A9" t="s">
        <v>34</v>
      </c>
      <c r="D9" t="s">
        <v>318</v>
      </c>
      <c r="E9" s="61">
        <v>2004</v>
      </c>
      <c r="F9" s="61">
        <v>2</v>
      </c>
      <c r="G9" s="61">
        <v>1</v>
      </c>
      <c r="H9" s="61">
        <v>8</v>
      </c>
      <c r="I9" s="61"/>
      <c r="J9" s="61"/>
      <c r="K9">
        <v>108</v>
      </c>
      <c r="L9" s="61"/>
      <c r="M9" s="43">
        <v>15</v>
      </c>
      <c r="N9" s="43">
        <v>17</v>
      </c>
      <c r="O9" s="43">
        <v>14</v>
      </c>
      <c r="P9" s="43">
        <v>18</v>
      </c>
      <c r="Q9" s="43">
        <v>18</v>
      </c>
      <c r="R9" s="43">
        <v>13</v>
      </c>
      <c r="S9" s="43">
        <v>11</v>
      </c>
      <c r="T9" s="43">
        <v>10</v>
      </c>
      <c r="U9" s="43">
        <v>14</v>
      </c>
      <c r="V9" s="43">
        <v>13</v>
      </c>
      <c r="W9" s="43">
        <f t="shared" si="1"/>
        <v>14.3</v>
      </c>
      <c r="X9" s="43">
        <v>0</v>
      </c>
      <c r="Y9" s="43">
        <v>0</v>
      </c>
      <c r="Z9" s="43">
        <v>0</v>
      </c>
      <c r="AA9" s="43">
        <v>1</v>
      </c>
      <c r="AB9" s="43">
        <v>0</v>
      </c>
      <c r="AC9" s="43">
        <v>0</v>
      </c>
      <c r="AD9" s="43">
        <v>0</v>
      </c>
      <c r="AE9" s="43">
        <v>0</v>
      </c>
      <c r="AF9" s="43">
        <v>0</v>
      </c>
      <c r="AG9" s="43">
        <v>1</v>
      </c>
      <c r="AH9" s="45">
        <f t="shared" si="4"/>
        <v>0</v>
      </c>
      <c r="AI9" s="45">
        <f t="shared" si="5"/>
        <v>0</v>
      </c>
      <c r="AJ9" s="45">
        <f t="shared" si="6"/>
        <v>0</v>
      </c>
      <c r="AK9" s="45">
        <f t="shared" si="7"/>
        <v>5.5555555555555552E-2</v>
      </c>
      <c r="AL9" s="45">
        <f t="shared" si="8"/>
        <v>0</v>
      </c>
      <c r="AM9" s="45">
        <f t="shared" si="9"/>
        <v>0</v>
      </c>
      <c r="AN9" s="45">
        <f t="shared" si="10"/>
        <v>0</v>
      </c>
      <c r="AO9" s="45">
        <f t="shared" si="11"/>
        <v>0</v>
      </c>
      <c r="AP9" s="45">
        <f t="shared" si="12"/>
        <v>0</v>
      </c>
      <c r="AQ9" s="45">
        <f t="shared" si="13"/>
        <v>7.6923076923076927E-2</v>
      </c>
      <c r="AR9" s="134">
        <f t="shared" si="3"/>
        <v>1.3247863247863248E-2</v>
      </c>
    </row>
    <row r="10" spans="1:44" x14ac:dyDescent="0.25">
      <c r="A10" t="s">
        <v>24</v>
      </c>
      <c r="D10" t="s">
        <v>26</v>
      </c>
      <c r="E10" s="61">
        <v>1983</v>
      </c>
      <c r="F10" s="61">
        <v>3</v>
      </c>
      <c r="G10" s="61">
        <v>1</v>
      </c>
      <c r="H10" s="61">
        <v>9</v>
      </c>
      <c r="K10">
        <v>109</v>
      </c>
      <c r="M10" s="43">
        <v>21</v>
      </c>
      <c r="N10" s="43">
        <v>14</v>
      </c>
      <c r="O10" s="43">
        <v>21</v>
      </c>
      <c r="P10" s="43">
        <v>21</v>
      </c>
      <c r="Q10" s="43">
        <v>20</v>
      </c>
      <c r="R10" s="43">
        <v>21</v>
      </c>
      <c r="S10" s="43">
        <v>20</v>
      </c>
      <c r="T10" s="43">
        <v>20</v>
      </c>
      <c r="U10" s="43">
        <v>21</v>
      </c>
      <c r="V10" s="43">
        <v>17</v>
      </c>
      <c r="W10" s="43">
        <f t="shared" si="1"/>
        <v>19.600000000000001</v>
      </c>
      <c r="X10" s="43">
        <v>0</v>
      </c>
      <c r="Y10" s="43">
        <v>0</v>
      </c>
      <c r="Z10" s="43">
        <v>0</v>
      </c>
      <c r="AA10" s="43">
        <v>0</v>
      </c>
      <c r="AB10" s="43">
        <v>0</v>
      </c>
      <c r="AC10" s="43">
        <v>0</v>
      </c>
      <c r="AD10" s="43">
        <v>0</v>
      </c>
      <c r="AE10" s="43">
        <v>0</v>
      </c>
      <c r="AF10" s="43">
        <v>0</v>
      </c>
      <c r="AG10" s="43">
        <v>0</v>
      </c>
      <c r="AH10" s="45">
        <f t="shared" si="4"/>
        <v>0</v>
      </c>
      <c r="AI10" s="45">
        <f t="shared" si="5"/>
        <v>0</v>
      </c>
      <c r="AJ10" s="45">
        <f t="shared" si="6"/>
        <v>0</v>
      </c>
      <c r="AK10" s="45">
        <f t="shared" si="7"/>
        <v>0</v>
      </c>
      <c r="AL10" s="45">
        <f t="shared" si="8"/>
        <v>0</v>
      </c>
      <c r="AM10" s="45">
        <f t="shared" si="9"/>
        <v>0</v>
      </c>
      <c r="AN10" s="45">
        <f t="shared" si="10"/>
        <v>0</v>
      </c>
      <c r="AO10" s="45">
        <f t="shared" si="11"/>
        <v>0</v>
      </c>
      <c r="AP10" s="45">
        <f t="shared" si="12"/>
        <v>0</v>
      </c>
      <c r="AQ10" s="45">
        <f t="shared" si="13"/>
        <v>0</v>
      </c>
      <c r="AR10" s="134">
        <f t="shared" si="3"/>
        <v>0</v>
      </c>
    </row>
    <row r="11" spans="1:44" x14ac:dyDescent="0.25">
      <c r="A11" t="s">
        <v>24</v>
      </c>
      <c r="D11" t="s">
        <v>313</v>
      </c>
      <c r="E11" s="61">
        <v>2016</v>
      </c>
      <c r="F11" s="61">
        <v>3</v>
      </c>
      <c r="G11" s="61">
        <v>1</v>
      </c>
      <c r="H11" s="61">
        <v>10</v>
      </c>
      <c r="K11">
        <v>110</v>
      </c>
      <c r="M11" s="43">
        <v>16</v>
      </c>
      <c r="N11" s="43">
        <v>24</v>
      </c>
      <c r="O11" s="43">
        <v>23</v>
      </c>
      <c r="P11" s="43">
        <v>21</v>
      </c>
      <c r="Q11" s="43">
        <v>20</v>
      </c>
      <c r="R11" s="43">
        <v>20</v>
      </c>
      <c r="S11" s="43">
        <v>24</v>
      </c>
      <c r="T11" s="43">
        <v>15</v>
      </c>
      <c r="U11" s="43">
        <v>14</v>
      </c>
      <c r="V11" s="43">
        <v>16</v>
      </c>
      <c r="W11" s="43">
        <f t="shared" si="1"/>
        <v>19.3</v>
      </c>
      <c r="X11" s="43">
        <v>0</v>
      </c>
      <c r="Y11" s="43">
        <v>2</v>
      </c>
      <c r="Z11" s="43">
        <v>0</v>
      </c>
      <c r="AA11" s="43">
        <v>0</v>
      </c>
      <c r="AB11" s="43">
        <v>0</v>
      </c>
      <c r="AC11" s="43">
        <v>1</v>
      </c>
      <c r="AD11" s="43">
        <v>1</v>
      </c>
      <c r="AE11" s="43">
        <v>1</v>
      </c>
      <c r="AF11" s="43">
        <v>0</v>
      </c>
      <c r="AG11" s="43">
        <v>0</v>
      </c>
      <c r="AH11" s="45">
        <f t="shared" si="4"/>
        <v>0</v>
      </c>
      <c r="AI11" s="45">
        <f t="shared" si="5"/>
        <v>8.3333333333333329E-2</v>
      </c>
      <c r="AJ11" s="45">
        <f t="shared" si="6"/>
        <v>0</v>
      </c>
      <c r="AK11" s="45">
        <f t="shared" si="7"/>
        <v>0</v>
      </c>
      <c r="AL11" s="45">
        <f t="shared" si="8"/>
        <v>0</v>
      </c>
      <c r="AM11" s="45">
        <f t="shared" si="9"/>
        <v>0.05</v>
      </c>
      <c r="AN11" s="45">
        <f t="shared" si="10"/>
        <v>4.1666666666666664E-2</v>
      </c>
      <c r="AO11" s="45">
        <f t="shared" si="11"/>
        <v>6.6666666666666666E-2</v>
      </c>
      <c r="AP11" s="45">
        <f t="shared" si="12"/>
        <v>0</v>
      </c>
      <c r="AQ11" s="45">
        <f t="shared" si="13"/>
        <v>0</v>
      </c>
      <c r="AR11" s="134">
        <f t="shared" si="3"/>
        <v>2.4166666666666663E-2</v>
      </c>
    </row>
    <row r="12" spans="1:44" x14ac:dyDescent="0.25">
      <c r="A12" t="s">
        <v>34</v>
      </c>
      <c r="D12" t="s">
        <v>42</v>
      </c>
      <c r="E12" s="6">
        <v>2016</v>
      </c>
      <c r="F12" s="6">
        <v>3</v>
      </c>
      <c r="G12" s="61">
        <v>1</v>
      </c>
      <c r="H12" s="61">
        <v>11</v>
      </c>
      <c r="K12">
        <v>111</v>
      </c>
      <c r="M12" s="43">
        <v>13</v>
      </c>
      <c r="N12" s="43">
        <v>12</v>
      </c>
      <c r="O12" s="43">
        <v>12</v>
      </c>
      <c r="P12" s="43">
        <v>13</v>
      </c>
      <c r="Q12" s="43">
        <v>12</v>
      </c>
      <c r="R12" s="43">
        <v>12</v>
      </c>
      <c r="S12" s="43">
        <v>18</v>
      </c>
      <c r="T12" s="43">
        <v>11</v>
      </c>
      <c r="U12" s="43">
        <v>14</v>
      </c>
      <c r="V12" s="43">
        <v>13</v>
      </c>
      <c r="W12" s="43">
        <f t="shared" si="1"/>
        <v>13</v>
      </c>
      <c r="X12" s="43">
        <v>0</v>
      </c>
      <c r="Y12" s="43">
        <v>0</v>
      </c>
      <c r="Z12" s="43">
        <v>0</v>
      </c>
      <c r="AA12" s="43">
        <v>1</v>
      </c>
      <c r="AB12" s="43">
        <v>0</v>
      </c>
      <c r="AC12" s="43">
        <v>1</v>
      </c>
      <c r="AD12" s="43">
        <v>0</v>
      </c>
      <c r="AE12" s="43">
        <v>0</v>
      </c>
      <c r="AF12" s="43">
        <v>0</v>
      </c>
      <c r="AG12" s="43">
        <v>0</v>
      </c>
      <c r="AH12" s="45">
        <f t="shared" si="4"/>
        <v>0</v>
      </c>
      <c r="AI12" s="45">
        <f t="shared" si="5"/>
        <v>0</v>
      </c>
      <c r="AJ12" s="45">
        <f t="shared" si="6"/>
        <v>0</v>
      </c>
      <c r="AK12" s="45">
        <f t="shared" si="7"/>
        <v>7.6923076923076927E-2</v>
      </c>
      <c r="AL12" s="45">
        <f t="shared" si="8"/>
        <v>0</v>
      </c>
      <c r="AM12" s="45">
        <f t="shared" si="9"/>
        <v>8.3333333333333329E-2</v>
      </c>
      <c r="AN12" s="45">
        <f t="shared" si="10"/>
        <v>0</v>
      </c>
      <c r="AO12" s="45">
        <f t="shared" si="11"/>
        <v>0</v>
      </c>
      <c r="AP12" s="45">
        <f t="shared" si="12"/>
        <v>0</v>
      </c>
      <c r="AQ12" s="45">
        <f t="shared" si="13"/>
        <v>0</v>
      </c>
      <c r="AR12" s="134">
        <f t="shared" si="3"/>
        <v>1.6025641025641024E-2</v>
      </c>
    </row>
    <row r="13" spans="1:44" x14ac:dyDescent="0.25">
      <c r="A13" t="s">
        <v>34</v>
      </c>
      <c r="D13" t="s">
        <v>38</v>
      </c>
      <c r="E13" s="6">
        <v>1999</v>
      </c>
      <c r="F13" s="6">
        <v>3</v>
      </c>
      <c r="G13" s="61">
        <v>1</v>
      </c>
      <c r="H13" s="61">
        <v>12</v>
      </c>
      <c r="K13">
        <v>112</v>
      </c>
      <c r="M13" s="43">
        <v>13</v>
      </c>
      <c r="N13" s="43">
        <v>7</v>
      </c>
      <c r="O13" s="43">
        <v>17</v>
      </c>
      <c r="P13" s="43">
        <v>15</v>
      </c>
      <c r="Q13" s="43">
        <v>10</v>
      </c>
      <c r="R13" s="43">
        <v>12</v>
      </c>
      <c r="S13" s="43">
        <v>17</v>
      </c>
      <c r="T13" s="43">
        <v>10</v>
      </c>
      <c r="U13" s="43">
        <v>9</v>
      </c>
      <c r="V13" s="43">
        <v>16</v>
      </c>
      <c r="W13" s="43">
        <f t="shared" si="1"/>
        <v>12.6</v>
      </c>
      <c r="X13" s="43">
        <v>1</v>
      </c>
      <c r="Y13" s="43">
        <v>0</v>
      </c>
      <c r="Z13" s="43">
        <v>0</v>
      </c>
      <c r="AA13" s="43">
        <v>0</v>
      </c>
      <c r="AB13" s="43">
        <v>0</v>
      </c>
      <c r="AC13" s="43">
        <v>0</v>
      </c>
      <c r="AD13" s="43">
        <v>0</v>
      </c>
      <c r="AE13" s="43">
        <v>0</v>
      </c>
      <c r="AF13" s="43">
        <v>0</v>
      </c>
      <c r="AG13" s="43">
        <v>0</v>
      </c>
      <c r="AH13" s="45">
        <f t="shared" si="4"/>
        <v>7.6923076923076927E-2</v>
      </c>
      <c r="AI13" s="45">
        <f t="shared" si="5"/>
        <v>0</v>
      </c>
      <c r="AJ13" s="45">
        <f t="shared" si="6"/>
        <v>0</v>
      </c>
      <c r="AK13" s="45">
        <f t="shared" si="7"/>
        <v>0</v>
      </c>
      <c r="AL13" s="45">
        <f t="shared" si="8"/>
        <v>0</v>
      </c>
      <c r="AM13" s="45">
        <f t="shared" si="9"/>
        <v>0</v>
      </c>
      <c r="AN13" s="45">
        <f t="shared" si="10"/>
        <v>0</v>
      </c>
      <c r="AO13" s="45">
        <f t="shared" si="11"/>
        <v>0</v>
      </c>
      <c r="AP13" s="45">
        <f t="shared" si="12"/>
        <v>0</v>
      </c>
      <c r="AQ13" s="45">
        <f t="shared" si="13"/>
        <v>0</v>
      </c>
      <c r="AR13" s="134">
        <f t="shared" si="3"/>
        <v>7.6923076923076927E-3</v>
      </c>
    </row>
    <row r="14" spans="1:44" x14ac:dyDescent="0.25">
      <c r="A14" t="s">
        <v>24</v>
      </c>
      <c r="D14" t="s">
        <v>32</v>
      </c>
      <c r="E14" s="6">
        <v>2018</v>
      </c>
      <c r="F14" s="6">
        <v>4</v>
      </c>
      <c r="G14" s="61">
        <v>1</v>
      </c>
      <c r="H14" s="61">
        <v>13</v>
      </c>
      <c r="K14">
        <v>113</v>
      </c>
      <c r="M14" s="43">
        <v>19</v>
      </c>
      <c r="N14" s="43">
        <v>19</v>
      </c>
      <c r="O14" s="43">
        <v>21</v>
      </c>
      <c r="P14" s="43">
        <v>21</v>
      </c>
      <c r="Q14" s="43">
        <v>19</v>
      </c>
      <c r="R14" s="43">
        <v>21</v>
      </c>
      <c r="S14" s="43">
        <v>21</v>
      </c>
      <c r="T14" s="43">
        <v>18</v>
      </c>
      <c r="U14" s="43">
        <v>20</v>
      </c>
      <c r="V14" s="43">
        <v>18</v>
      </c>
      <c r="W14" s="43">
        <f t="shared" si="1"/>
        <v>19.7</v>
      </c>
      <c r="X14" s="43">
        <v>0</v>
      </c>
      <c r="Y14" s="43">
        <v>0</v>
      </c>
      <c r="Z14" s="43">
        <v>0</v>
      </c>
      <c r="AA14" s="43">
        <v>0</v>
      </c>
      <c r="AB14" s="43">
        <v>1</v>
      </c>
      <c r="AC14" s="43">
        <v>0</v>
      </c>
      <c r="AD14" s="43">
        <v>0</v>
      </c>
      <c r="AE14" s="43">
        <v>0</v>
      </c>
      <c r="AF14" s="43">
        <v>2</v>
      </c>
      <c r="AG14" s="43">
        <v>0</v>
      </c>
      <c r="AH14" s="45">
        <f t="shared" si="4"/>
        <v>0</v>
      </c>
      <c r="AI14" s="45">
        <f t="shared" si="5"/>
        <v>0</v>
      </c>
      <c r="AJ14" s="45">
        <f t="shared" si="6"/>
        <v>0</v>
      </c>
      <c r="AK14" s="45">
        <f t="shared" si="7"/>
        <v>0</v>
      </c>
      <c r="AL14" s="45">
        <f t="shared" si="8"/>
        <v>5.2631578947368418E-2</v>
      </c>
      <c r="AM14" s="45">
        <f t="shared" si="9"/>
        <v>0</v>
      </c>
      <c r="AN14" s="45">
        <f t="shared" si="10"/>
        <v>0</v>
      </c>
      <c r="AO14" s="45">
        <f t="shared" si="11"/>
        <v>0</v>
      </c>
      <c r="AP14" s="45">
        <f t="shared" si="12"/>
        <v>0.1</v>
      </c>
      <c r="AQ14" s="45">
        <f t="shared" si="13"/>
        <v>0</v>
      </c>
      <c r="AR14" s="134">
        <f t="shared" si="3"/>
        <v>1.5263157894736843E-2</v>
      </c>
    </row>
    <row r="15" spans="1:44" x14ac:dyDescent="0.25">
      <c r="A15" t="s">
        <v>24</v>
      </c>
      <c r="D15" t="s">
        <v>27</v>
      </c>
      <c r="E15" s="61">
        <v>1985</v>
      </c>
      <c r="F15" s="61">
        <v>4</v>
      </c>
      <c r="G15" s="61">
        <v>1</v>
      </c>
      <c r="H15" s="61">
        <v>14</v>
      </c>
      <c r="K15">
        <v>114</v>
      </c>
      <c r="M15" s="43">
        <v>18</v>
      </c>
      <c r="N15" s="43">
        <v>19</v>
      </c>
      <c r="O15" s="43">
        <v>22</v>
      </c>
      <c r="P15" s="43">
        <v>23</v>
      </c>
      <c r="Q15" s="43">
        <v>19</v>
      </c>
      <c r="R15" s="43">
        <v>16</v>
      </c>
      <c r="S15" s="43">
        <v>17</v>
      </c>
      <c r="T15" s="43">
        <v>20</v>
      </c>
      <c r="U15" s="43">
        <v>19</v>
      </c>
      <c r="V15" s="43">
        <v>17</v>
      </c>
      <c r="W15" s="43">
        <f t="shared" si="1"/>
        <v>19</v>
      </c>
      <c r="X15" s="43">
        <v>0</v>
      </c>
      <c r="Y15" s="43">
        <v>0</v>
      </c>
      <c r="Z15" s="43">
        <v>0</v>
      </c>
      <c r="AA15" s="43">
        <v>0</v>
      </c>
      <c r="AB15" s="43">
        <v>0</v>
      </c>
      <c r="AC15" s="43">
        <v>0</v>
      </c>
      <c r="AD15" s="43">
        <v>0</v>
      </c>
      <c r="AE15" s="43">
        <v>0</v>
      </c>
      <c r="AF15" s="43">
        <v>0</v>
      </c>
      <c r="AG15" s="43">
        <v>1</v>
      </c>
      <c r="AH15" s="45">
        <f t="shared" si="4"/>
        <v>0</v>
      </c>
      <c r="AI15" s="45">
        <f t="shared" si="5"/>
        <v>0</v>
      </c>
      <c r="AJ15" s="45">
        <f t="shared" si="6"/>
        <v>0</v>
      </c>
      <c r="AK15" s="45">
        <f t="shared" si="7"/>
        <v>0</v>
      </c>
      <c r="AL15" s="45">
        <f t="shared" si="8"/>
        <v>0</v>
      </c>
      <c r="AM15" s="45">
        <f t="shared" si="9"/>
        <v>0</v>
      </c>
      <c r="AN15" s="45">
        <f t="shared" si="10"/>
        <v>0</v>
      </c>
      <c r="AO15" s="45">
        <f t="shared" si="11"/>
        <v>0</v>
      </c>
      <c r="AP15" s="45">
        <f t="shared" si="12"/>
        <v>0</v>
      </c>
      <c r="AQ15" s="45">
        <f t="shared" si="13"/>
        <v>5.8823529411764705E-2</v>
      </c>
      <c r="AR15" s="134">
        <f t="shared" si="3"/>
        <v>5.8823529411764705E-3</v>
      </c>
    </row>
    <row r="16" spans="1:44" x14ac:dyDescent="0.25">
      <c r="A16" t="s">
        <v>34</v>
      </c>
      <c r="D16" t="s">
        <v>36</v>
      </c>
      <c r="E16" s="6">
        <v>1984</v>
      </c>
      <c r="F16" s="6">
        <v>4</v>
      </c>
      <c r="G16" s="61">
        <v>1</v>
      </c>
      <c r="H16" s="61">
        <v>15</v>
      </c>
      <c r="K16">
        <v>115</v>
      </c>
      <c r="M16" s="43">
        <v>15</v>
      </c>
      <c r="N16" s="43">
        <v>16</v>
      </c>
      <c r="O16" s="43">
        <v>11</v>
      </c>
      <c r="P16" s="43">
        <v>17</v>
      </c>
      <c r="Q16" s="43">
        <v>18</v>
      </c>
      <c r="R16" s="43">
        <v>15</v>
      </c>
      <c r="S16" s="43">
        <v>16</v>
      </c>
      <c r="T16" s="43">
        <v>18</v>
      </c>
      <c r="U16" s="43">
        <v>15</v>
      </c>
      <c r="V16" s="43">
        <v>13</v>
      </c>
      <c r="W16" s="43">
        <f t="shared" si="1"/>
        <v>15.4</v>
      </c>
      <c r="X16" s="43">
        <v>0</v>
      </c>
      <c r="Y16" s="43">
        <v>0</v>
      </c>
      <c r="Z16" s="43">
        <v>0</v>
      </c>
      <c r="AA16" s="43">
        <v>0</v>
      </c>
      <c r="AB16" s="43">
        <v>0</v>
      </c>
      <c r="AC16" s="43">
        <v>0</v>
      </c>
      <c r="AD16" s="43">
        <v>0</v>
      </c>
      <c r="AE16" s="43">
        <v>0</v>
      </c>
      <c r="AF16" s="43">
        <v>0</v>
      </c>
      <c r="AG16" s="43">
        <v>0</v>
      </c>
      <c r="AH16" s="45">
        <f t="shared" si="4"/>
        <v>0</v>
      </c>
      <c r="AI16" s="45">
        <f t="shared" si="5"/>
        <v>0</v>
      </c>
      <c r="AJ16" s="45">
        <f t="shared" si="6"/>
        <v>0</v>
      </c>
      <c r="AK16" s="45">
        <f t="shared" si="7"/>
        <v>0</v>
      </c>
      <c r="AL16" s="45">
        <f t="shared" si="8"/>
        <v>0</v>
      </c>
      <c r="AM16" s="45">
        <f t="shared" si="9"/>
        <v>0</v>
      </c>
      <c r="AN16" s="45">
        <f t="shared" si="10"/>
        <v>0</v>
      </c>
      <c r="AO16" s="45">
        <f t="shared" si="11"/>
        <v>0</v>
      </c>
      <c r="AP16" s="45">
        <f t="shared" si="12"/>
        <v>0</v>
      </c>
      <c r="AQ16" s="45">
        <f t="shared" si="13"/>
        <v>0</v>
      </c>
      <c r="AR16" s="134">
        <f t="shared" si="3"/>
        <v>0</v>
      </c>
    </row>
    <row r="17" spans="1:44" x14ac:dyDescent="0.25">
      <c r="A17" t="s">
        <v>34</v>
      </c>
      <c r="D17" t="s">
        <v>43</v>
      </c>
      <c r="E17" s="6">
        <v>2020</v>
      </c>
      <c r="F17" s="6">
        <v>4</v>
      </c>
      <c r="G17" s="61">
        <v>1</v>
      </c>
      <c r="H17" s="61">
        <v>16</v>
      </c>
      <c r="K17">
        <v>116</v>
      </c>
      <c r="M17" s="43">
        <v>16</v>
      </c>
      <c r="N17" s="43">
        <v>15</v>
      </c>
      <c r="O17" s="43">
        <v>11</v>
      </c>
      <c r="P17" s="43">
        <v>17</v>
      </c>
      <c r="Q17" s="43">
        <v>17</v>
      </c>
      <c r="R17" s="43">
        <v>15</v>
      </c>
      <c r="S17" s="43">
        <v>16</v>
      </c>
      <c r="T17" s="43">
        <v>14</v>
      </c>
      <c r="U17" s="43">
        <v>15</v>
      </c>
      <c r="V17" s="43">
        <v>14</v>
      </c>
      <c r="W17" s="43">
        <f t="shared" si="1"/>
        <v>15</v>
      </c>
      <c r="X17" s="43">
        <v>0</v>
      </c>
      <c r="Y17" s="43">
        <v>0</v>
      </c>
      <c r="Z17" s="43">
        <v>1</v>
      </c>
      <c r="AA17" s="43">
        <v>0</v>
      </c>
      <c r="AB17" s="43">
        <v>0</v>
      </c>
      <c r="AC17" s="43">
        <v>0</v>
      </c>
      <c r="AD17" s="43">
        <v>0</v>
      </c>
      <c r="AE17" s="43">
        <v>0</v>
      </c>
      <c r="AF17" s="43">
        <v>1</v>
      </c>
      <c r="AG17" s="43">
        <v>0</v>
      </c>
      <c r="AH17" s="45">
        <f t="shared" si="4"/>
        <v>0</v>
      </c>
      <c r="AI17" s="45">
        <f t="shared" si="5"/>
        <v>0</v>
      </c>
      <c r="AJ17" s="45">
        <f t="shared" si="6"/>
        <v>9.0909090909090912E-2</v>
      </c>
      <c r="AK17" s="45">
        <f t="shared" si="7"/>
        <v>0</v>
      </c>
      <c r="AL17" s="45">
        <f t="shared" si="8"/>
        <v>0</v>
      </c>
      <c r="AM17" s="45">
        <f t="shared" si="9"/>
        <v>0</v>
      </c>
      <c r="AN17" s="45">
        <f t="shared" si="10"/>
        <v>0</v>
      </c>
      <c r="AO17" s="45">
        <f t="shared" si="11"/>
        <v>0</v>
      </c>
      <c r="AP17" s="45">
        <f t="shared" si="12"/>
        <v>6.6666666666666666E-2</v>
      </c>
      <c r="AQ17" s="45">
        <f t="shared" si="13"/>
        <v>0</v>
      </c>
      <c r="AR17" s="134">
        <f t="shared" si="3"/>
        <v>1.5757575757575758E-2</v>
      </c>
    </row>
    <row r="18" spans="1:44" x14ac:dyDescent="0.25">
      <c r="A18" t="s">
        <v>24</v>
      </c>
      <c r="D18" t="s">
        <v>313</v>
      </c>
      <c r="E18" s="61">
        <v>2016</v>
      </c>
      <c r="F18" s="61">
        <v>1</v>
      </c>
      <c r="G18" s="61">
        <v>2</v>
      </c>
      <c r="H18" s="61">
        <v>1</v>
      </c>
      <c r="I18" s="61"/>
      <c r="J18" s="61"/>
      <c r="K18">
        <v>117</v>
      </c>
      <c r="L18" s="61"/>
      <c r="M18" s="43">
        <v>14</v>
      </c>
      <c r="N18" s="43">
        <v>13</v>
      </c>
      <c r="O18" s="43">
        <v>21</v>
      </c>
      <c r="P18" s="43">
        <v>23</v>
      </c>
      <c r="Q18" s="43">
        <v>15</v>
      </c>
      <c r="R18" s="43">
        <v>23</v>
      </c>
      <c r="S18" s="43">
        <v>21</v>
      </c>
      <c r="T18" s="43">
        <v>20</v>
      </c>
      <c r="U18" s="43">
        <v>13</v>
      </c>
      <c r="V18" s="43">
        <v>17</v>
      </c>
      <c r="W18" s="43">
        <f t="shared" si="1"/>
        <v>18</v>
      </c>
      <c r="X18" s="43">
        <v>1</v>
      </c>
      <c r="Y18" s="43">
        <v>0</v>
      </c>
      <c r="Z18" s="43">
        <v>0</v>
      </c>
      <c r="AA18" s="43">
        <v>1</v>
      </c>
      <c r="AB18" s="43">
        <v>1</v>
      </c>
      <c r="AC18" s="43">
        <v>1</v>
      </c>
      <c r="AD18" s="43">
        <v>0</v>
      </c>
      <c r="AE18" s="43">
        <v>3</v>
      </c>
      <c r="AF18" s="43">
        <v>1</v>
      </c>
      <c r="AG18" s="43">
        <v>0</v>
      </c>
      <c r="AH18" s="45">
        <f t="shared" si="4"/>
        <v>7.1428571428571425E-2</v>
      </c>
      <c r="AI18" s="45">
        <f t="shared" si="5"/>
        <v>0</v>
      </c>
      <c r="AJ18" s="45">
        <f t="shared" si="6"/>
        <v>0</v>
      </c>
      <c r="AK18" s="45">
        <f t="shared" si="7"/>
        <v>4.3478260869565216E-2</v>
      </c>
      <c r="AL18" s="45">
        <f t="shared" si="8"/>
        <v>6.6666666666666666E-2</v>
      </c>
      <c r="AM18" s="45">
        <f t="shared" si="9"/>
        <v>4.3478260869565216E-2</v>
      </c>
      <c r="AN18" s="45">
        <f t="shared" si="10"/>
        <v>0</v>
      </c>
      <c r="AO18" s="45">
        <f t="shared" si="11"/>
        <v>0.15</v>
      </c>
      <c r="AP18" s="45">
        <f t="shared" si="12"/>
        <v>7.6923076923076927E-2</v>
      </c>
      <c r="AQ18" s="45">
        <f t="shared" si="13"/>
        <v>0</v>
      </c>
      <c r="AR18" s="134">
        <f t="shared" si="3"/>
        <v>4.519748367574454E-2</v>
      </c>
    </row>
    <row r="19" spans="1:44" x14ac:dyDescent="0.25">
      <c r="A19" t="s">
        <v>24</v>
      </c>
      <c r="D19" t="s">
        <v>311</v>
      </c>
      <c r="E19" s="6">
        <v>2023</v>
      </c>
      <c r="F19" s="6">
        <v>1</v>
      </c>
      <c r="G19" s="61">
        <v>2</v>
      </c>
      <c r="H19" s="61">
        <v>2</v>
      </c>
      <c r="I19" s="61"/>
      <c r="J19" s="61"/>
      <c r="K19">
        <v>118</v>
      </c>
      <c r="L19" s="61"/>
      <c r="M19" s="43">
        <v>20</v>
      </c>
      <c r="N19" s="43">
        <v>15</v>
      </c>
      <c r="O19" s="43">
        <v>15</v>
      </c>
      <c r="P19" s="43">
        <v>16</v>
      </c>
      <c r="Q19" s="43">
        <v>19</v>
      </c>
      <c r="R19" s="43">
        <v>17</v>
      </c>
      <c r="S19" s="43">
        <v>19</v>
      </c>
      <c r="T19" s="43">
        <v>13</v>
      </c>
      <c r="U19" s="43">
        <v>19</v>
      </c>
      <c r="V19" s="43">
        <v>17</v>
      </c>
      <c r="W19" s="43">
        <f t="shared" si="1"/>
        <v>17</v>
      </c>
      <c r="X19" s="43">
        <v>0</v>
      </c>
      <c r="Y19" s="43">
        <v>0</v>
      </c>
      <c r="Z19" s="43">
        <v>0</v>
      </c>
      <c r="AA19" s="43">
        <v>0</v>
      </c>
      <c r="AB19" s="43">
        <v>0</v>
      </c>
      <c r="AC19" s="43">
        <v>0</v>
      </c>
      <c r="AD19" s="43">
        <v>0</v>
      </c>
      <c r="AE19" s="43">
        <v>0</v>
      </c>
      <c r="AF19" s="43">
        <v>0</v>
      </c>
      <c r="AG19" s="43">
        <v>0</v>
      </c>
      <c r="AH19" s="45">
        <f t="shared" si="4"/>
        <v>0</v>
      </c>
      <c r="AI19" s="45">
        <f t="shared" si="5"/>
        <v>0</v>
      </c>
      <c r="AJ19" s="45">
        <f t="shared" si="6"/>
        <v>0</v>
      </c>
      <c r="AK19" s="45">
        <f t="shared" si="7"/>
        <v>0</v>
      </c>
      <c r="AL19" s="45">
        <f t="shared" si="8"/>
        <v>0</v>
      </c>
      <c r="AM19" s="45">
        <f t="shared" si="9"/>
        <v>0</v>
      </c>
      <c r="AN19" s="45">
        <f t="shared" si="10"/>
        <v>0</v>
      </c>
      <c r="AO19" s="45">
        <f t="shared" si="11"/>
        <v>0</v>
      </c>
      <c r="AP19" s="45">
        <f t="shared" si="12"/>
        <v>0</v>
      </c>
      <c r="AQ19" s="45">
        <f t="shared" si="13"/>
        <v>0</v>
      </c>
      <c r="AR19" s="134">
        <f t="shared" si="3"/>
        <v>0</v>
      </c>
    </row>
    <row r="20" spans="1:44" x14ac:dyDescent="0.25">
      <c r="A20" t="s">
        <v>34</v>
      </c>
      <c r="D20" t="s">
        <v>318</v>
      </c>
      <c r="E20">
        <v>2004</v>
      </c>
      <c r="F20">
        <v>1</v>
      </c>
      <c r="G20" s="61">
        <v>2</v>
      </c>
      <c r="H20" s="61">
        <v>3</v>
      </c>
      <c r="I20" s="61"/>
      <c r="J20" s="61"/>
      <c r="K20">
        <v>119</v>
      </c>
      <c r="L20" s="61"/>
      <c r="M20" s="43">
        <v>17</v>
      </c>
      <c r="N20" s="43">
        <v>16</v>
      </c>
      <c r="O20" s="43">
        <v>14</v>
      </c>
      <c r="P20" s="43">
        <v>16</v>
      </c>
      <c r="Q20" s="43">
        <v>15</v>
      </c>
      <c r="R20" s="43">
        <v>17</v>
      </c>
      <c r="S20" s="43">
        <v>14</v>
      </c>
      <c r="T20" s="43">
        <v>13</v>
      </c>
      <c r="U20" s="43">
        <v>17</v>
      </c>
      <c r="V20" s="43">
        <v>10</v>
      </c>
      <c r="W20" s="43">
        <f t="shared" si="1"/>
        <v>14.9</v>
      </c>
      <c r="X20" s="43">
        <v>0</v>
      </c>
      <c r="Y20" s="43">
        <v>0</v>
      </c>
      <c r="Z20" s="43">
        <v>0</v>
      </c>
      <c r="AA20" s="43">
        <v>0</v>
      </c>
      <c r="AB20" s="43">
        <v>0</v>
      </c>
      <c r="AC20" s="43">
        <v>0</v>
      </c>
      <c r="AD20" s="43">
        <v>0</v>
      </c>
      <c r="AE20" s="43">
        <v>0</v>
      </c>
      <c r="AF20" s="43">
        <v>0</v>
      </c>
      <c r="AG20" s="43">
        <v>0</v>
      </c>
      <c r="AH20" s="45">
        <f t="shared" si="4"/>
        <v>0</v>
      </c>
      <c r="AI20" s="45">
        <f t="shared" si="5"/>
        <v>0</v>
      </c>
      <c r="AJ20" s="45">
        <f t="shared" si="6"/>
        <v>0</v>
      </c>
      <c r="AK20" s="45">
        <f t="shared" si="7"/>
        <v>0</v>
      </c>
      <c r="AL20" s="45">
        <f t="shared" si="8"/>
        <v>0</v>
      </c>
      <c r="AM20" s="45">
        <f t="shared" si="9"/>
        <v>0</v>
      </c>
      <c r="AN20" s="45">
        <f t="shared" si="10"/>
        <v>0</v>
      </c>
      <c r="AO20" s="45">
        <f t="shared" si="11"/>
        <v>0</v>
      </c>
      <c r="AP20" s="45">
        <f t="shared" si="12"/>
        <v>0</v>
      </c>
      <c r="AQ20" s="45">
        <f t="shared" si="13"/>
        <v>0</v>
      </c>
      <c r="AR20" s="134">
        <f t="shared" si="3"/>
        <v>0</v>
      </c>
    </row>
    <row r="21" spans="1:44" x14ac:dyDescent="0.25">
      <c r="A21" t="s">
        <v>34</v>
      </c>
      <c r="D21" t="s">
        <v>42</v>
      </c>
      <c r="E21" s="6">
        <v>2016</v>
      </c>
      <c r="F21" s="6">
        <v>1</v>
      </c>
      <c r="G21" s="61">
        <v>2</v>
      </c>
      <c r="H21" s="61">
        <v>4</v>
      </c>
      <c r="I21" s="61"/>
      <c r="J21" s="61"/>
      <c r="K21">
        <v>120</v>
      </c>
      <c r="L21" s="61"/>
      <c r="M21" s="43">
        <v>15</v>
      </c>
      <c r="N21" s="43">
        <v>15</v>
      </c>
      <c r="O21" s="43">
        <v>12</v>
      </c>
      <c r="P21" s="43">
        <v>12</v>
      </c>
      <c r="Q21" s="43">
        <v>14</v>
      </c>
      <c r="R21" s="43">
        <v>13</v>
      </c>
      <c r="S21" s="43">
        <v>14</v>
      </c>
      <c r="T21" s="43">
        <v>12</v>
      </c>
      <c r="U21" s="43">
        <v>13</v>
      </c>
      <c r="V21" s="43">
        <v>14</v>
      </c>
      <c r="W21" s="43">
        <f t="shared" si="1"/>
        <v>13.4</v>
      </c>
      <c r="X21" s="43">
        <v>0</v>
      </c>
      <c r="Y21" s="43">
        <v>0</v>
      </c>
      <c r="Z21" s="43">
        <v>0</v>
      </c>
      <c r="AA21" s="43">
        <v>2</v>
      </c>
      <c r="AB21" s="43">
        <v>0</v>
      </c>
      <c r="AC21" s="43">
        <v>0</v>
      </c>
      <c r="AD21" s="43">
        <v>0</v>
      </c>
      <c r="AE21" s="43">
        <v>1</v>
      </c>
      <c r="AF21" s="43">
        <v>0</v>
      </c>
      <c r="AG21" s="43">
        <v>0</v>
      </c>
      <c r="AH21" s="45">
        <f t="shared" si="4"/>
        <v>0</v>
      </c>
      <c r="AI21" s="45">
        <f t="shared" si="5"/>
        <v>0</v>
      </c>
      <c r="AJ21" s="45">
        <f t="shared" si="6"/>
        <v>0</v>
      </c>
      <c r="AK21" s="45">
        <f t="shared" si="7"/>
        <v>0.16666666666666666</v>
      </c>
      <c r="AL21" s="45">
        <f t="shared" si="8"/>
        <v>0</v>
      </c>
      <c r="AM21" s="45">
        <f t="shared" si="9"/>
        <v>0</v>
      </c>
      <c r="AN21" s="45">
        <f t="shared" si="10"/>
        <v>0</v>
      </c>
      <c r="AO21" s="45">
        <f t="shared" si="11"/>
        <v>8.3333333333333329E-2</v>
      </c>
      <c r="AP21" s="45">
        <f t="shared" si="12"/>
        <v>0</v>
      </c>
      <c r="AQ21" s="45">
        <f t="shared" si="13"/>
        <v>0</v>
      </c>
      <c r="AR21" s="134">
        <f t="shared" si="3"/>
        <v>2.5000000000000001E-2</v>
      </c>
    </row>
    <row r="22" spans="1:44" x14ac:dyDescent="0.25">
      <c r="A22" t="s">
        <v>24</v>
      </c>
      <c r="D22" t="s">
        <v>27</v>
      </c>
      <c r="E22" s="61">
        <v>1985</v>
      </c>
      <c r="F22" s="61">
        <v>2</v>
      </c>
      <c r="G22" s="61">
        <v>2</v>
      </c>
      <c r="H22" s="61">
        <v>5</v>
      </c>
      <c r="I22" s="61"/>
      <c r="J22" s="61"/>
      <c r="K22">
        <v>121</v>
      </c>
      <c r="L22" s="61"/>
      <c r="M22" s="43">
        <v>12</v>
      </c>
      <c r="N22" s="43">
        <v>24</v>
      </c>
      <c r="O22" s="43">
        <v>22</v>
      </c>
      <c r="P22" s="43">
        <v>19</v>
      </c>
      <c r="Q22" s="43">
        <v>24</v>
      </c>
      <c r="R22" s="43">
        <v>15</v>
      </c>
      <c r="S22" s="43">
        <v>17</v>
      </c>
      <c r="T22" s="43">
        <v>20</v>
      </c>
      <c r="U22" s="43">
        <v>18</v>
      </c>
      <c r="V22" s="43">
        <v>18</v>
      </c>
      <c r="W22" s="43">
        <f t="shared" si="1"/>
        <v>18.899999999999999</v>
      </c>
      <c r="X22" s="43">
        <v>0</v>
      </c>
      <c r="Y22" s="43">
        <v>0</v>
      </c>
      <c r="Z22" s="43">
        <v>1</v>
      </c>
      <c r="AA22" s="43">
        <v>0</v>
      </c>
      <c r="AB22" s="43">
        <v>0</v>
      </c>
      <c r="AC22" s="43">
        <v>0</v>
      </c>
      <c r="AD22" s="43">
        <v>0</v>
      </c>
      <c r="AE22" s="43">
        <v>0</v>
      </c>
      <c r="AF22" s="43">
        <v>0</v>
      </c>
      <c r="AG22" s="43">
        <v>0</v>
      </c>
      <c r="AH22" s="45">
        <f t="shared" si="4"/>
        <v>0</v>
      </c>
      <c r="AI22" s="45">
        <f t="shared" si="5"/>
        <v>0</v>
      </c>
      <c r="AJ22" s="45">
        <f t="shared" si="6"/>
        <v>4.5454545454545456E-2</v>
      </c>
      <c r="AK22" s="45">
        <f t="shared" si="7"/>
        <v>0</v>
      </c>
      <c r="AL22" s="45">
        <f t="shared" si="8"/>
        <v>0</v>
      </c>
      <c r="AM22" s="45">
        <f t="shared" si="9"/>
        <v>0</v>
      </c>
      <c r="AN22" s="45">
        <f t="shared" si="10"/>
        <v>0</v>
      </c>
      <c r="AO22" s="45">
        <f t="shared" si="11"/>
        <v>0</v>
      </c>
      <c r="AP22" s="45">
        <f t="shared" si="12"/>
        <v>0</v>
      </c>
      <c r="AQ22" s="45">
        <f t="shared" si="13"/>
        <v>0</v>
      </c>
      <c r="AR22" s="134">
        <f t="shared" si="3"/>
        <v>4.5454545454545452E-3</v>
      </c>
    </row>
    <row r="23" spans="1:44" x14ac:dyDescent="0.25">
      <c r="A23" t="s">
        <v>24</v>
      </c>
      <c r="D23" t="s">
        <v>28</v>
      </c>
      <c r="E23" s="61">
        <v>1998</v>
      </c>
      <c r="F23" s="61">
        <v>2</v>
      </c>
      <c r="G23" s="61">
        <v>2</v>
      </c>
      <c r="H23" s="61">
        <v>6</v>
      </c>
      <c r="I23" s="61"/>
      <c r="J23" s="61"/>
      <c r="K23">
        <v>122</v>
      </c>
      <c r="L23" s="61"/>
      <c r="M23" s="43">
        <v>19</v>
      </c>
      <c r="N23" s="43">
        <v>16</v>
      </c>
      <c r="O23" s="43">
        <v>17</v>
      </c>
      <c r="P23" s="43">
        <v>16</v>
      </c>
      <c r="Q23" s="43">
        <v>18</v>
      </c>
      <c r="R23" s="43">
        <v>11</v>
      </c>
      <c r="S23" s="43">
        <v>15</v>
      </c>
      <c r="T23" s="43">
        <v>15</v>
      </c>
      <c r="U23" s="43">
        <v>13</v>
      </c>
      <c r="V23" s="43">
        <v>14</v>
      </c>
      <c r="W23" s="43">
        <f t="shared" si="1"/>
        <v>15.4</v>
      </c>
      <c r="X23" s="43">
        <v>0</v>
      </c>
      <c r="Y23" s="43">
        <v>0</v>
      </c>
      <c r="Z23" s="43">
        <v>0</v>
      </c>
      <c r="AA23" s="43">
        <v>1</v>
      </c>
      <c r="AB23" s="43">
        <v>1</v>
      </c>
      <c r="AC23" s="43">
        <v>0</v>
      </c>
      <c r="AD23" s="43">
        <v>0</v>
      </c>
      <c r="AE23" s="43">
        <v>0</v>
      </c>
      <c r="AF23" s="43">
        <v>0</v>
      </c>
      <c r="AG23" s="43">
        <v>0</v>
      </c>
      <c r="AH23" s="45">
        <f t="shared" si="4"/>
        <v>0</v>
      </c>
      <c r="AI23" s="45">
        <f t="shared" si="5"/>
        <v>0</v>
      </c>
      <c r="AJ23" s="45">
        <f t="shared" si="6"/>
        <v>0</v>
      </c>
      <c r="AK23" s="45">
        <f t="shared" si="7"/>
        <v>6.25E-2</v>
      </c>
      <c r="AL23" s="45">
        <f t="shared" si="8"/>
        <v>5.5555555555555552E-2</v>
      </c>
      <c r="AM23" s="45">
        <f t="shared" si="9"/>
        <v>0</v>
      </c>
      <c r="AN23" s="45">
        <f t="shared" si="10"/>
        <v>0</v>
      </c>
      <c r="AO23" s="45">
        <f t="shared" si="11"/>
        <v>0</v>
      </c>
      <c r="AP23" s="45">
        <f t="shared" si="12"/>
        <v>0</v>
      </c>
      <c r="AQ23" s="45">
        <f t="shared" si="13"/>
        <v>0</v>
      </c>
      <c r="AR23" s="134">
        <f t="shared" si="3"/>
        <v>1.1805555555555555E-2</v>
      </c>
    </row>
    <row r="24" spans="1:44" x14ac:dyDescent="0.25">
      <c r="A24" t="s">
        <v>34</v>
      </c>
      <c r="D24" t="s">
        <v>37</v>
      </c>
      <c r="E24" s="6">
        <v>1989</v>
      </c>
      <c r="F24" s="6">
        <v>2</v>
      </c>
      <c r="G24" s="61">
        <v>2</v>
      </c>
      <c r="H24" s="61">
        <v>7</v>
      </c>
      <c r="I24" s="61"/>
      <c r="J24" s="61"/>
      <c r="K24">
        <v>123</v>
      </c>
      <c r="L24" s="61"/>
      <c r="M24" s="43">
        <v>14</v>
      </c>
      <c r="N24" s="43">
        <v>18</v>
      </c>
      <c r="O24" s="43">
        <v>17</v>
      </c>
      <c r="P24" s="43">
        <v>15</v>
      </c>
      <c r="Q24" s="43">
        <v>17</v>
      </c>
      <c r="R24" s="43">
        <v>15</v>
      </c>
      <c r="S24" s="43">
        <v>17</v>
      </c>
      <c r="T24" s="43">
        <v>17</v>
      </c>
      <c r="U24" s="43">
        <v>16</v>
      </c>
      <c r="V24" s="43">
        <v>15</v>
      </c>
      <c r="W24" s="43">
        <f t="shared" si="1"/>
        <v>16.100000000000001</v>
      </c>
      <c r="X24" s="43">
        <v>0</v>
      </c>
      <c r="Y24" s="43">
        <v>0</v>
      </c>
      <c r="Z24" s="43">
        <v>0</v>
      </c>
      <c r="AA24" s="43">
        <v>0</v>
      </c>
      <c r="AB24" s="43">
        <v>0</v>
      </c>
      <c r="AC24" s="43">
        <v>0</v>
      </c>
      <c r="AD24" s="43">
        <v>0</v>
      </c>
      <c r="AE24" s="43">
        <v>0</v>
      </c>
      <c r="AF24" s="43">
        <v>0</v>
      </c>
      <c r="AG24" s="43">
        <v>0</v>
      </c>
      <c r="AH24" s="45">
        <f t="shared" si="4"/>
        <v>0</v>
      </c>
      <c r="AI24" s="45">
        <f t="shared" si="5"/>
        <v>0</v>
      </c>
      <c r="AJ24" s="45">
        <f t="shared" si="6"/>
        <v>0</v>
      </c>
      <c r="AK24" s="45">
        <f t="shared" si="7"/>
        <v>0</v>
      </c>
      <c r="AL24" s="45">
        <f t="shared" si="8"/>
        <v>0</v>
      </c>
      <c r="AM24" s="45">
        <f t="shared" si="9"/>
        <v>0</v>
      </c>
      <c r="AN24" s="45">
        <f t="shared" si="10"/>
        <v>0</v>
      </c>
      <c r="AO24" s="45">
        <f t="shared" si="11"/>
        <v>0</v>
      </c>
      <c r="AP24" s="45">
        <f t="shared" si="12"/>
        <v>0</v>
      </c>
      <c r="AQ24" s="45">
        <f t="shared" si="13"/>
        <v>0</v>
      </c>
      <c r="AR24" s="134">
        <f t="shared" si="3"/>
        <v>0</v>
      </c>
    </row>
    <row r="25" spans="1:44" x14ac:dyDescent="0.25">
      <c r="A25" t="s">
        <v>34</v>
      </c>
      <c r="D25" t="s">
        <v>43</v>
      </c>
      <c r="E25" s="6">
        <v>2020</v>
      </c>
      <c r="F25" s="6">
        <v>2</v>
      </c>
      <c r="G25" s="61">
        <v>2</v>
      </c>
      <c r="H25" s="61">
        <v>8</v>
      </c>
      <c r="I25" s="61"/>
      <c r="J25" s="61"/>
      <c r="K25">
        <v>124</v>
      </c>
      <c r="L25" s="61"/>
      <c r="M25" s="43">
        <v>15</v>
      </c>
      <c r="N25" s="43">
        <v>17</v>
      </c>
      <c r="O25" s="43">
        <v>15</v>
      </c>
      <c r="P25" s="43">
        <v>14</v>
      </c>
      <c r="Q25" s="43">
        <v>15</v>
      </c>
      <c r="R25" s="43">
        <v>19</v>
      </c>
      <c r="S25" s="43">
        <v>16</v>
      </c>
      <c r="T25" s="43">
        <v>14</v>
      </c>
      <c r="U25" s="43">
        <v>15</v>
      </c>
      <c r="V25" s="43">
        <v>17</v>
      </c>
      <c r="W25" s="43">
        <f t="shared" si="1"/>
        <v>15.7</v>
      </c>
      <c r="X25" s="43">
        <v>0</v>
      </c>
      <c r="Y25" s="43">
        <v>0</v>
      </c>
      <c r="Z25" s="43">
        <v>0</v>
      </c>
      <c r="AA25" s="43">
        <v>0</v>
      </c>
      <c r="AB25" s="43">
        <v>0</v>
      </c>
      <c r="AC25" s="43">
        <v>0</v>
      </c>
      <c r="AD25" s="43">
        <v>0</v>
      </c>
      <c r="AE25" s="43">
        <v>0</v>
      </c>
      <c r="AF25" s="43">
        <v>0</v>
      </c>
      <c r="AG25" s="43">
        <v>0</v>
      </c>
      <c r="AH25" s="45">
        <f t="shared" si="4"/>
        <v>0</v>
      </c>
      <c r="AI25" s="45">
        <f t="shared" si="5"/>
        <v>0</v>
      </c>
      <c r="AJ25" s="45">
        <f t="shared" si="6"/>
        <v>0</v>
      </c>
      <c r="AK25" s="45">
        <f t="shared" si="7"/>
        <v>0</v>
      </c>
      <c r="AL25" s="45">
        <f t="shared" si="8"/>
        <v>0</v>
      </c>
      <c r="AM25" s="45">
        <f t="shared" si="9"/>
        <v>0</v>
      </c>
      <c r="AN25" s="45">
        <f t="shared" si="10"/>
        <v>0</v>
      </c>
      <c r="AO25" s="45">
        <f t="shared" si="11"/>
        <v>0</v>
      </c>
      <c r="AP25" s="45">
        <f t="shared" si="12"/>
        <v>0</v>
      </c>
      <c r="AQ25" s="45">
        <f t="shared" si="13"/>
        <v>0</v>
      </c>
      <c r="AR25" s="134">
        <f t="shared" si="3"/>
        <v>0</v>
      </c>
    </row>
    <row r="26" spans="1:44" x14ac:dyDescent="0.25">
      <c r="A26" t="s">
        <v>24</v>
      </c>
      <c r="D26" t="s">
        <v>312</v>
      </c>
      <c r="E26" s="61">
        <v>2002</v>
      </c>
      <c r="F26" s="61">
        <v>3</v>
      </c>
      <c r="G26" s="61">
        <v>2</v>
      </c>
      <c r="H26" s="61">
        <v>9</v>
      </c>
      <c r="I26" s="55"/>
      <c r="J26" s="55"/>
      <c r="K26">
        <v>125</v>
      </c>
      <c r="L26" s="55"/>
      <c r="M26" s="43">
        <v>17</v>
      </c>
      <c r="N26" s="43">
        <v>19</v>
      </c>
      <c r="O26" s="43">
        <v>22</v>
      </c>
      <c r="P26" s="43">
        <v>18</v>
      </c>
      <c r="Q26" s="43">
        <v>16</v>
      </c>
      <c r="R26" s="43">
        <v>20</v>
      </c>
      <c r="S26" s="43">
        <v>15</v>
      </c>
      <c r="T26" s="43">
        <v>19</v>
      </c>
      <c r="U26" s="43">
        <v>14</v>
      </c>
      <c r="V26" s="43">
        <v>13</v>
      </c>
      <c r="W26" s="43">
        <f t="shared" si="1"/>
        <v>17.3</v>
      </c>
      <c r="X26" s="43">
        <v>0</v>
      </c>
      <c r="Y26" s="43">
        <v>1</v>
      </c>
      <c r="Z26" s="43">
        <v>1</v>
      </c>
      <c r="AA26" s="43">
        <v>0</v>
      </c>
      <c r="AB26" s="43">
        <v>0</v>
      </c>
      <c r="AC26" s="43">
        <v>0</v>
      </c>
      <c r="AD26" s="43">
        <v>0</v>
      </c>
      <c r="AE26" s="43">
        <v>0</v>
      </c>
      <c r="AF26" s="43">
        <v>0</v>
      </c>
      <c r="AG26" s="43">
        <v>0</v>
      </c>
      <c r="AH26" s="45">
        <f t="shared" si="4"/>
        <v>0</v>
      </c>
      <c r="AI26" s="45">
        <f t="shared" si="5"/>
        <v>5.2631578947368418E-2</v>
      </c>
      <c r="AJ26" s="45">
        <f t="shared" si="6"/>
        <v>4.5454545454545456E-2</v>
      </c>
      <c r="AK26" s="45">
        <f t="shared" si="7"/>
        <v>0</v>
      </c>
      <c r="AL26" s="45">
        <f t="shared" si="8"/>
        <v>0</v>
      </c>
      <c r="AM26" s="45">
        <f t="shared" si="9"/>
        <v>0</v>
      </c>
      <c r="AN26" s="45">
        <f t="shared" si="10"/>
        <v>0</v>
      </c>
      <c r="AO26" s="45">
        <f t="shared" si="11"/>
        <v>0</v>
      </c>
      <c r="AP26" s="45">
        <f t="shared" si="12"/>
        <v>0</v>
      </c>
      <c r="AQ26" s="45">
        <f t="shared" si="13"/>
        <v>0</v>
      </c>
      <c r="AR26" s="134">
        <f t="shared" si="3"/>
        <v>9.8086124401913881E-3</v>
      </c>
    </row>
    <row r="27" spans="1:44" x14ac:dyDescent="0.25">
      <c r="A27" t="s">
        <v>24</v>
      </c>
      <c r="D27" t="s">
        <v>32</v>
      </c>
      <c r="E27" s="6">
        <v>2018</v>
      </c>
      <c r="F27" s="6">
        <v>3</v>
      </c>
      <c r="G27" s="61">
        <v>2</v>
      </c>
      <c r="H27" s="61">
        <v>10</v>
      </c>
      <c r="K27">
        <v>126</v>
      </c>
      <c r="M27" s="43">
        <v>18</v>
      </c>
      <c r="N27" s="43">
        <v>18</v>
      </c>
      <c r="O27" s="43">
        <v>16</v>
      </c>
      <c r="P27" s="43">
        <v>24</v>
      </c>
      <c r="Q27" s="43">
        <v>19</v>
      </c>
      <c r="R27" s="43">
        <v>20</v>
      </c>
      <c r="S27" s="43">
        <v>23</v>
      </c>
      <c r="T27" s="43">
        <v>21</v>
      </c>
      <c r="U27" s="43">
        <v>24</v>
      </c>
      <c r="V27" s="43">
        <v>21</v>
      </c>
      <c r="W27" s="43">
        <f t="shared" si="1"/>
        <v>20.399999999999999</v>
      </c>
      <c r="X27" s="43">
        <v>0</v>
      </c>
      <c r="Y27" s="43">
        <v>0</v>
      </c>
      <c r="Z27" s="43">
        <v>0</v>
      </c>
      <c r="AA27" s="43">
        <v>0</v>
      </c>
      <c r="AB27" s="43">
        <v>0</v>
      </c>
      <c r="AC27" s="43">
        <v>1</v>
      </c>
      <c r="AD27" s="43">
        <v>0</v>
      </c>
      <c r="AE27" s="43">
        <v>0</v>
      </c>
      <c r="AF27" s="43">
        <v>0</v>
      </c>
      <c r="AG27" s="43">
        <v>0</v>
      </c>
      <c r="AH27" s="45">
        <f t="shared" si="4"/>
        <v>0</v>
      </c>
      <c r="AI27" s="45">
        <f t="shared" si="5"/>
        <v>0</v>
      </c>
      <c r="AJ27" s="45">
        <f t="shared" si="6"/>
        <v>0</v>
      </c>
      <c r="AK27" s="45">
        <f t="shared" si="7"/>
        <v>0</v>
      </c>
      <c r="AL27" s="45">
        <f t="shared" si="8"/>
        <v>0</v>
      </c>
      <c r="AM27" s="45">
        <f t="shared" si="9"/>
        <v>0.05</v>
      </c>
      <c r="AN27" s="45">
        <f t="shared" si="10"/>
        <v>0</v>
      </c>
      <c r="AO27" s="45">
        <f t="shared" si="11"/>
        <v>0</v>
      </c>
      <c r="AP27" s="45">
        <f t="shared" si="12"/>
        <v>0</v>
      </c>
      <c r="AQ27" s="45">
        <f t="shared" si="13"/>
        <v>0</v>
      </c>
      <c r="AR27" s="134">
        <f t="shared" si="3"/>
        <v>5.0000000000000001E-3</v>
      </c>
    </row>
    <row r="28" spans="1:44" x14ac:dyDescent="0.25">
      <c r="A28" t="s">
        <v>34</v>
      </c>
      <c r="D28" t="s">
        <v>39</v>
      </c>
      <c r="E28" s="61">
        <v>2001</v>
      </c>
      <c r="F28" s="61">
        <v>3</v>
      </c>
      <c r="G28" s="61">
        <v>2</v>
      </c>
      <c r="H28" s="61">
        <v>11</v>
      </c>
      <c r="K28">
        <v>127</v>
      </c>
      <c r="M28" s="43">
        <v>12</v>
      </c>
      <c r="N28" s="43">
        <v>15</v>
      </c>
      <c r="O28" s="43">
        <v>16</v>
      </c>
      <c r="P28" s="43">
        <v>13</v>
      </c>
      <c r="Q28" s="43">
        <v>14</v>
      </c>
      <c r="R28" s="43">
        <v>15</v>
      </c>
      <c r="S28" s="43">
        <v>14</v>
      </c>
      <c r="T28" s="43">
        <v>12</v>
      </c>
      <c r="U28" s="43">
        <v>13</v>
      </c>
      <c r="V28" s="43">
        <v>13</v>
      </c>
      <c r="W28" s="43">
        <f t="shared" si="1"/>
        <v>13.7</v>
      </c>
      <c r="X28" s="43">
        <v>0</v>
      </c>
      <c r="Y28" s="43">
        <v>1</v>
      </c>
      <c r="Z28" s="43">
        <v>1</v>
      </c>
      <c r="AA28" s="43">
        <v>0</v>
      </c>
      <c r="AB28" s="43">
        <v>0</v>
      </c>
      <c r="AC28" s="43">
        <v>0</v>
      </c>
      <c r="AD28" s="43">
        <v>0</v>
      </c>
      <c r="AE28" s="43">
        <v>3</v>
      </c>
      <c r="AF28" s="43">
        <v>0</v>
      </c>
      <c r="AG28" s="43">
        <v>0</v>
      </c>
      <c r="AH28" s="45">
        <f t="shared" si="4"/>
        <v>0</v>
      </c>
      <c r="AI28" s="45">
        <f t="shared" si="5"/>
        <v>6.6666666666666666E-2</v>
      </c>
      <c r="AJ28" s="45">
        <f t="shared" si="6"/>
        <v>6.25E-2</v>
      </c>
      <c r="AK28" s="45">
        <f t="shared" si="7"/>
        <v>0</v>
      </c>
      <c r="AL28" s="45">
        <f t="shared" si="8"/>
        <v>0</v>
      </c>
      <c r="AM28" s="45">
        <f t="shared" si="9"/>
        <v>0</v>
      </c>
      <c r="AN28" s="45">
        <f t="shared" si="10"/>
        <v>0</v>
      </c>
      <c r="AO28" s="45">
        <f t="shared" si="11"/>
        <v>0.25</v>
      </c>
      <c r="AP28" s="45">
        <f t="shared" si="12"/>
        <v>0</v>
      </c>
      <c r="AQ28" s="45">
        <f t="shared" si="13"/>
        <v>0</v>
      </c>
      <c r="AR28" s="134">
        <f t="shared" si="3"/>
        <v>3.7916666666666668E-2</v>
      </c>
    </row>
    <row r="29" spans="1:44" x14ac:dyDescent="0.25">
      <c r="A29" t="s">
        <v>34</v>
      </c>
      <c r="D29" t="s">
        <v>36</v>
      </c>
      <c r="E29" s="6">
        <v>1984</v>
      </c>
      <c r="F29" s="6">
        <v>3</v>
      </c>
      <c r="G29" s="61">
        <v>2</v>
      </c>
      <c r="H29" s="61">
        <v>12</v>
      </c>
      <c r="K29">
        <v>128</v>
      </c>
      <c r="M29" s="43">
        <v>16</v>
      </c>
      <c r="N29" s="43">
        <v>16</v>
      </c>
      <c r="O29" s="43">
        <v>16</v>
      </c>
      <c r="P29" s="43">
        <v>18</v>
      </c>
      <c r="Q29" s="43">
        <v>17</v>
      </c>
      <c r="R29" s="43">
        <v>16</v>
      </c>
      <c r="S29" s="43">
        <v>17</v>
      </c>
      <c r="T29" s="43">
        <v>17</v>
      </c>
      <c r="U29" s="43">
        <v>14</v>
      </c>
      <c r="V29" s="43">
        <v>16</v>
      </c>
      <c r="W29" s="43">
        <f t="shared" si="1"/>
        <v>16.3</v>
      </c>
      <c r="X29" s="43">
        <v>0</v>
      </c>
      <c r="Y29" s="43">
        <v>0</v>
      </c>
      <c r="Z29" s="43">
        <v>0</v>
      </c>
      <c r="AA29" s="43">
        <v>0</v>
      </c>
      <c r="AB29" s="43">
        <v>0</v>
      </c>
      <c r="AC29" s="43">
        <v>0</v>
      </c>
      <c r="AD29" s="43">
        <v>0</v>
      </c>
      <c r="AE29" s="43">
        <v>0</v>
      </c>
      <c r="AF29" s="43">
        <v>0</v>
      </c>
      <c r="AG29" s="43">
        <v>0</v>
      </c>
      <c r="AH29" s="45">
        <f t="shared" si="4"/>
        <v>0</v>
      </c>
      <c r="AI29" s="45">
        <f t="shared" si="5"/>
        <v>0</v>
      </c>
      <c r="AJ29" s="45">
        <f t="shared" si="6"/>
        <v>0</v>
      </c>
      <c r="AK29" s="45">
        <f t="shared" si="7"/>
        <v>0</v>
      </c>
      <c r="AL29" s="45">
        <f t="shared" si="8"/>
        <v>0</v>
      </c>
      <c r="AM29" s="45">
        <f t="shared" si="9"/>
        <v>0</v>
      </c>
      <c r="AN29" s="45">
        <f t="shared" si="10"/>
        <v>0</v>
      </c>
      <c r="AO29" s="45">
        <f t="shared" si="11"/>
        <v>0</v>
      </c>
      <c r="AP29" s="45">
        <f t="shared" si="12"/>
        <v>0</v>
      </c>
      <c r="AQ29" s="45">
        <f t="shared" si="13"/>
        <v>0</v>
      </c>
      <c r="AR29" s="134">
        <f t="shared" si="3"/>
        <v>0</v>
      </c>
    </row>
    <row r="30" spans="1:44" x14ac:dyDescent="0.25">
      <c r="A30" t="s">
        <v>24</v>
      </c>
      <c r="D30" t="s">
        <v>26</v>
      </c>
      <c r="E30" s="61">
        <v>1983</v>
      </c>
      <c r="F30" s="61">
        <v>4</v>
      </c>
      <c r="G30" s="61">
        <v>2</v>
      </c>
      <c r="H30" s="61">
        <v>13</v>
      </c>
      <c r="K30">
        <v>129</v>
      </c>
      <c r="AR30" s="134"/>
    </row>
    <row r="31" spans="1:44" x14ac:dyDescent="0.25">
      <c r="A31" t="s">
        <v>24</v>
      </c>
      <c r="D31" t="s">
        <v>29</v>
      </c>
      <c r="E31" s="6">
        <v>1999</v>
      </c>
      <c r="F31" s="6">
        <v>4</v>
      </c>
      <c r="G31" s="61">
        <v>2</v>
      </c>
      <c r="H31" s="61">
        <v>14</v>
      </c>
      <c r="K31">
        <v>130</v>
      </c>
      <c r="AR31" s="134"/>
    </row>
    <row r="32" spans="1:44" x14ac:dyDescent="0.25">
      <c r="A32" t="s">
        <v>34</v>
      </c>
      <c r="D32" t="s">
        <v>38</v>
      </c>
      <c r="E32" s="6">
        <v>1999</v>
      </c>
      <c r="F32" s="6">
        <v>4</v>
      </c>
      <c r="G32" s="61">
        <v>2</v>
      </c>
      <c r="H32" s="61">
        <v>15</v>
      </c>
      <c r="K32">
        <v>131</v>
      </c>
      <c r="M32" s="43">
        <v>15</v>
      </c>
      <c r="N32" s="43">
        <v>13</v>
      </c>
      <c r="O32" s="43">
        <v>14</v>
      </c>
      <c r="P32" s="43">
        <v>15</v>
      </c>
      <c r="Q32" s="43">
        <v>17</v>
      </c>
      <c r="R32" s="43">
        <v>13</v>
      </c>
      <c r="S32" s="43">
        <v>11</v>
      </c>
      <c r="T32" s="43">
        <v>14</v>
      </c>
      <c r="U32" s="43">
        <v>12</v>
      </c>
      <c r="V32" s="43">
        <v>12</v>
      </c>
      <c r="W32" s="43">
        <f t="shared" si="1"/>
        <v>13.6</v>
      </c>
      <c r="X32" s="43">
        <v>0</v>
      </c>
      <c r="Y32" s="43">
        <v>0</v>
      </c>
      <c r="Z32" s="43">
        <v>0</v>
      </c>
      <c r="AA32" s="43">
        <v>0</v>
      </c>
      <c r="AB32" s="43">
        <v>0</v>
      </c>
      <c r="AC32" s="43">
        <v>0</v>
      </c>
      <c r="AD32" s="43">
        <v>0</v>
      </c>
      <c r="AE32" s="43">
        <v>0</v>
      </c>
      <c r="AF32" s="43">
        <v>0</v>
      </c>
      <c r="AG32" s="43">
        <v>0</v>
      </c>
      <c r="AH32" s="45">
        <f t="shared" si="4"/>
        <v>0</v>
      </c>
      <c r="AI32" s="45">
        <f t="shared" ref="AI32:AI65" si="14">Y32/N32</f>
        <v>0</v>
      </c>
      <c r="AJ32" s="45">
        <f t="shared" ref="AJ32:AJ65" si="15">Z32/O32</f>
        <v>0</v>
      </c>
      <c r="AK32" s="45">
        <f t="shared" ref="AK32:AK65" si="16">AA32/P32</f>
        <v>0</v>
      </c>
      <c r="AL32" s="45">
        <f t="shared" ref="AL32:AL65" si="17">AB32/Q32</f>
        <v>0</v>
      </c>
      <c r="AM32" s="45">
        <f t="shared" ref="AM32:AM65" si="18">AC32/R32</f>
        <v>0</v>
      </c>
      <c r="AN32" s="45">
        <f t="shared" ref="AN32:AN65" si="19">AD32/S32</f>
        <v>0</v>
      </c>
      <c r="AO32" s="45">
        <f t="shared" ref="AO32:AO65" si="20">AE32/T32</f>
        <v>0</v>
      </c>
      <c r="AP32" s="45">
        <f t="shared" ref="AP32:AP65" si="21">AF32/U32</f>
        <v>0</v>
      </c>
      <c r="AQ32" s="45">
        <f t="shared" ref="AQ32:AQ65" si="22">AG32/V32</f>
        <v>0</v>
      </c>
      <c r="AR32" s="134">
        <f t="shared" si="3"/>
        <v>0</v>
      </c>
    </row>
    <row r="33" spans="1:44" x14ac:dyDescent="0.25">
      <c r="A33" t="s">
        <v>34</v>
      </c>
      <c r="D33" t="s">
        <v>41</v>
      </c>
      <c r="E33" s="61">
        <v>2008</v>
      </c>
      <c r="F33" s="61">
        <v>4</v>
      </c>
      <c r="G33" s="61">
        <v>2</v>
      </c>
      <c r="H33" s="61">
        <v>16</v>
      </c>
      <c r="K33">
        <v>132</v>
      </c>
      <c r="M33" s="43">
        <v>12</v>
      </c>
      <c r="N33" s="43">
        <v>13</v>
      </c>
      <c r="O33" s="43">
        <v>12</v>
      </c>
      <c r="P33" s="43">
        <v>13</v>
      </c>
      <c r="Q33" s="43">
        <v>12</v>
      </c>
      <c r="R33" s="43">
        <v>11</v>
      </c>
      <c r="S33" s="43">
        <v>12</v>
      </c>
      <c r="T33" s="43">
        <v>13</v>
      </c>
      <c r="U33" s="43">
        <v>13</v>
      </c>
      <c r="V33" s="43">
        <v>13</v>
      </c>
      <c r="W33" s="43">
        <f t="shared" si="1"/>
        <v>12.4</v>
      </c>
      <c r="X33" s="43">
        <v>0</v>
      </c>
      <c r="Y33" s="43">
        <v>0</v>
      </c>
      <c r="Z33" s="43">
        <v>1</v>
      </c>
      <c r="AA33" s="43">
        <v>0</v>
      </c>
      <c r="AB33" s="43">
        <v>1</v>
      </c>
      <c r="AC33" s="43">
        <v>0</v>
      </c>
      <c r="AD33" s="43">
        <v>0</v>
      </c>
      <c r="AE33" s="43">
        <v>0</v>
      </c>
      <c r="AF33" s="43">
        <v>2</v>
      </c>
      <c r="AG33" s="43">
        <v>0</v>
      </c>
      <c r="AH33" s="45">
        <f t="shared" si="4"/>
        <v>0</v>
      </c>
      <c r="AI33" s="45">
        <f t="shared" si="14"/>
        <v>0</v>
      </c>
      <c r="AJ33" s="45">
        <f t="shared" si="15"/>
        <v>8.3333333333333329E-2</v>
      </c>
      <c r="AK33" s="45">
        <f t="shared" si="16"/>
        <v>0</v>
      </c>
      <c r="AL33" s="45">
        <f t="shared" si="17"/>
        <v>8.3333333333333329E-2</v>
      </c>
      <c r="AM33" s="45">
        <f t="shared" si="18"/>
        <v>0</v>
      </c>
      <c r="AN33" s="45">
        <f t="shared" si="19"/>
        <v>0</v>
      </c>
      <c r="AO33" s="45">
        <f t="shared" si="20"/>
        <v>0</v>
      </c>
      <c r="AP33" s="45">
        <f t="shared" si="21"/>
        <v>0.15384615384615385</v>
      </c>
      <c r="AQ33" s="45">
        <f t="shared" si="22"/>
        <v>0</v>
      </c>
      <c r="AR33" s="134">
        <f t="shared" si="3"/>
        <v>3.2051282051282048E-2</v>
      </c>
    </row>
    <row r="34" spans="1:44" x14ac:dyDescent="0.25">
      <c r="A34" t="s">
        <v>24</v>
      </c>
      <c r="D34" t="s">
        <v>26</v>
      </c>
      <c r="E34" s="61">
        <v>1983</v>
      </c>
      <c r="F34" s="61">
        <v>1</v>
      </c>
      <c r="G34" s="61">
        <v>3</v>
      </c>
      <c r="H34" s="61">
        <v>1</v>
      </c>
      <c r="I34" s="61"/>
      <c r="J34" s="61"/>
      <c r="K34">
        <v>133</v>
      </c>
      <c r="L34" s="61"/>
      <c r="M34" s="43">
        <v>18</v>
      </c>
      <c r="N34" s="43">
        <v>21</v>
      </c>
      <c r="O34" s="43">
        <v>17</v>
      </c>
      <c r="P34" s="43">
        <v>22</v>
      </c>
      <c r="Q34" s="43">
        <v>16</v>
      </c>
      <c r="R34" s="43">
        <v>17</v>
      </c>
      <c r="S34" s="43">
        <v>22</v>
      </c>
      <c r="T34" s="43">
        <v>18</v>
      </c>
      <c r="U34" s="43">
        <v>20</v>
      </c>
      <c r="V34" s="43">
        <v>20</v>
      </c>
      <c r="W34" s="43">
        <f t="shared" si="1"/>
        <v>19.100000000000001</v>
      </c>
      <c r="X34" s="43">
        <v>0</v>
      </c>
      <c r="Y34" s="43">
        <v>0</v>
      </c>
      <c r="Z34" s="43">
        <v>0</v>
      </c>
      <c r="AA34" s="43">
        <v>0</v>
      </c>
      <c r="AB34" s="43">
        <v>0</v>
      </c>
      <c r="AC34" s="43">
        <v>0</v>
      </c>
      <c r="AD34" s="43">
        <v>0</v>
      </c>
      <c r="AE34" s="43">
        <v>0</v>
      </c>
      <c r="AF34" s="43">
        <v>0</v>
      </c>
      <c r="AG34" s="43">
        <v>0</v>
      </c>
      <c r="AH34" s="45">
        <f t="shared" si="4"/>
        <v>0</v>
      </c>
      <c r="AI34" s="45">
        <f t="shared" si="14"/>
        <v>0</v>
      </c>
      <c r="AJ34" s="45">
        <f t="shared" si="15"/>
        <v>0</v>
      </c>
      <c r="AK34" s="45">
        <f t="shared" si="16"/>
        <v>0</v>
      </c>
      <c r="AL34" s="45">
        <f t="shared" si="17"/>
        <v>0</v>
      </c>
      <c r="AM34" s="45">
        <f t="shared" si="18"/>
        <v>0</v>
      </c>
      <c r="AN34" s="45">
        <f t="shared" si="19"/>
        <v>0</v>
      </c>
      <c r="AO34" s="45">
        <f t="shared" si="20"/>
        <v>0</v>
      </c>
      <c r="AP34" s="45">
        <f t="shared" si="21"/>
        <v>0</v>
      </c>
      <c r="AQ34" s="45">
        <f t="shared" si="22"/>
        <v>0</v>
      </c>
      <c r="AR34" s="134">
        <f t="shared" si="3"/>
        <v>0</v>
      </c>
    </row>
    <row r="35" spans="1:44" x14ac:dyDescent="0.25">
      <c r="A35" t="s">
        <v>24</v>
      </c>
      <c r="D35" t="s">
        <v>27</v>
      </c>
      <c r="E35" s="61">
        <v>1985</v>
      </c>
      <c r="F35" s="61">
        <v>1</v>
      </c>
      <c r="G35" s="61">
        <v>3</v>
      </c>
      <c r="H35" s="61">
        <v>2</v>
      </c>
      <c r="I35" s="61"/>
      <c r="J35" s="61"/>
      <c r="K35">
        <v>134</v>
      </c>
      <c r="L35" s="61"/>
      <c r="M35" s="43">
        <v>14</v>
      </c>
      <c r="N35" s="43">
        <v>20</v>
      </c>
      <c r="O35" s="43">
        <v>21</v>
      </c>
      <c r="P35" s="43">
        <v>20</v>
      </c>
      <c r="Q35" s="43">
        <v>18</v>
      </c>
      <c r="R35" s="43">
        <v>19</v>
      </c>
      <c r="S35" s="43">
        <v>21</v>
      </c>
      <c r="T35" s="43">
        <v>21</v>
      </c>
      <c r="U35" s="43">
        <v>22</v>
      </c>
      <c r="V35" s="43">
        <v>19</v>
      </c>
      <c r="W35" s="43">
        <f t="shared" si="1"/>
        <v>19.5</v>
      </c>
      <c r="X35" s="43">
        <v>0</v>
      </c>
      <c r="Y35" s="43">
        <v>0</v>
      </c>
      <c r="Z35" s="43">
        <v>0</v>
      </c>
      <c r="AA35" s="43">
        <v>0</v>
      </c>
      <c r="AB35" s="43">
        <v>0</v>
      </c>
      <c r="AC35" s="43">
        <v>0</v>
      </c>
      <c r="AD35" s="43">
        <v>0</v>
      </c>
      <c r="AE35" s="43">
        <v>0</v>
      </c>
      <c r="AF35" s="43">
        <v>0</v>
      </c>
      <c r="AG35" s="43">
        <v>0</v>
      </c>
      <c r="AH35" s="45">
        <f t="shared" si="4"/>
        <v>0</v>
      </c>
      <c r="AI35" s="45">
        <f t="shared" si="14"/>
        <v>0</v>
      </c>
      <c r="AJ35" s="45">
        <f t="shared" si="15"/>
        <v>0</v>
      </c>
      <c r="AK35" s="45">
        <f t="shared" si="16"/>
        <v>0</v>
      </c>
      <c r="AL35" s="45">
        <f t="shared" si="17"/>
        <v>0</v>
      </c>
      <c r="AM35" s="45">
        <f t="shared" si="18"/>
        <v>0</v>
      </c>
      <c r="AN35" s="45">
        <f t="shared" si="19"/>
        <v>0</v>
      </c>
      <c r="AO35" s="45">
        <f t="shared" si="20"/>
        <v>0</v>
      </c>
      <c r="AP35" s="45">
        <f t="shared" si="21"/>
        <v>0</v>
      </c>
      <c r="AQ35" s="45">
        <f t="shared" si="22"/>
        <v>0</v>
      </c>
      <c r="AR35" s="134">
        <f t="shared" si="3"/>
        <v>0</v>
      </c>
    </row>
    <row r="36" spans="1:44" x14ac:dyDescent="0.25">
      <c r="A36" t="s">
        <v>34</v>
      </c>
      <c r="D36" t="s">
        <v>41</v>
      </c>
      <c r="E36" s="61">
        <v>2008</v>
      </c>
      <c r="F36" s="61">
        <v>1</v>
      </c>
      <c r="G36" s="61">
        <v>3</v>
      </c>
      <c r="H36" s="61">
        <v>3</v>
      </c>
      <c r="I36" s="61"/>
      <c r="J36" s="61"/>
      <c r="K36">
        <v>135</v>
      </c>
      <c r="L36" s="61"/>
      <c r="M36" s="43">
        <v>14</v>
      </c>
      <c r="N36" s="43">
        <v>14</v>
      </c>
      <c r="O36" s="43">
        <v>14</v>
      </c>
      <c r="P36" s="43">
        <v>16</v>
      </c>
      <c r="Q36" s="43">
        <v>13</v>
      </c>
      <c r="R36" s="43">
        <v>10</v>
      </c>
      <c r="S36" s="43">
        <v>13</v>
      </c>
      <c r="T36" s="43">
        <v>14</v>
      </c>
      <c r="U36" s="43">
        <v>12</v>
      </c>
      <c r="V36" s="43">
        <v>13</v>
      </c>
      <c r="W36" s="43">
        <f t="shared" si="1"/>
        <v>13.3</v>
      </c>
      <c r="X36" s="43">
        <v>0</v>
      </c>
      <c r="Y36" s="43">
        <v>0</v>
      </c>
      <c r="Z36" s="43">
        <v>0</v>
      </c>
      <c r="AA36" s="43">
        <v>2</v>
      </c>
      <c r="AB36" s="43">
        <v>0</v>
      </c>
      <c r="AC36" s="43">
        <v>1</v>
      </c>
      <c r="AD36" s="43">
        <v>1</v>
      </c>
      <c r="AE36" s="43">
        <v>0</v>
      </c>
      <c r="AF36" s="43">
        <v>0</v>
      </c>
      <c r="AG36" s="43">
        <v>1</v>
      </c>
      <c r="AH36" s="45">
        <f t="shared" si="4"/>
        <v>0</v>
      </c>
      <c r="AI36" s="45">
        <f t="shared" si="14"/>
        <v>0</v>
      </c>
      <c r="AJ36" s="45">
        <f t="shared" si="15"/>
        <v>0</v>
      </c>
      <c r="AK36" s="45">
        <f t="shared" si="16"/>
        <v>0.125</v>
      </c>
      <c r="AL36" s="45">
        <f t="shared" si="17"/>
        <v>0</v>
      </c>
      <c r="AM36" s="45">
        <f t="shared" si="18"/>
        <v>0.1</v>
      </c>
      <c r="AN36" s="45">
        <f t="shared" si="19"/>
        <v>7.6923076923076927E-2</v>
      </c>
      <c r="AO36" s="45">
        <f t="shared" si="20"/>
        <v>0</v>
      </c>
      <c r="AP36" s="45">
        <f t="shared" si="21"/>
        <v>0</v>
      </c>
      <c r="AQ36" s="45">
        <f t="shared" si="22"/>
        <v>7.6923076923076927E-2</v>
      </c>
      <c r="AR36" s="134">
        <f t="shared" si="3"/>
        <v>3.7884615384615392E-2</v>
      </c>
    </row>
    <row r="37" spans="1:44" x14ac:dyDescent="0.25">
      <c r="A37" t="s">
        <v>34</v>
      </c>
      <c r="D37" t="s">
        <v>36</v>
      </c>
      <c r="E37" s="54">
        <v>1984</v>
      </c>
      <c r="F37" s="55">
        <v>1</v>
      </c>
      <c r="G37" s="61">
        <v>3</v>
      </c>
      <c r="H37" s="61">
        <v>4</v>
      </c>
      <c r="I37" s="61"/>
      <c r="J37" s="61"/>
      <c r="K37">
        <v>136</v>
      </c>
      <c r="L37" s="61"/>
      <c r="M37" s="43">
        <v>15</v>
      </c>
      <c r="N37" s="43">
        <v>18</v>
      </c>
      <c r="O37" s="43">
        <v>16</v>
      </c>
      <c r="P37" s="43">
        <v>18</v>
      </c>
      <c r="Q37" s="43">
        <v>15</v>
      </c>
      <c r="R37" s="43">
        <v>14</v>
      </c>
      <c r="S37" s="43">
        <v>13</v>
      </c>
      <c r="T37" s="43">
        <v>16</v>
      </c>
      <c r="U37" s="43">
        <v>15</v>
      </c>
      <c r="V37" s="43">
        <v>18</v>
      </c>
      <c r="W37" s="43">
        <f t="shared" si="1"/>
        <v>15.8</v>
      </c>
      <c r="X37" s="43">
        <v>0</v>
      </c>
      <c r="Y37" s="43">
        <v>0</v>
      </c>
      <c r="Z37" s="43">
        <v>0</v>
      </c>
      <c r="AA37" s="43">
        <v>0</v>
      </c>
      <c r="AB37" s="43">
        <v>0</v>
      </c>
      <c r="AC37" s="43">
        <v>0</v>
      </c>
      <c r="AD37" s="43">
        <v>0</v>
      </c>
      <c r="AE37" s="43">
        <v>0</v>
      </c>
      <c r="AF37" s="43">
        <v>0</v>
      </c>
      <c r="AG37" s="43">
        <v>0</v>
      </c>
      <c r="AH37" s="45">
        <f t="shared" si="4"/>
        <v>0</v>
      </c>
      <c r="AI37" s="45">
        <f t="shared" si="14"/>
        <v>0</v>
      </c>
      <c r="AJ37" s="45">
        <f t="shared" si="15"/>
        <v>0</v>
      </c>
      <c r="AK37" s="45">
        <f t="shared" si="16"/>
        <v>0</v>
      </c>
      <c r="AL37" s="45">
        <f t="shared" si="17"/>
        <v>0</v>
      </c>
      <c r="AM37" s="45">
        <f t="shared" si="18"/>
        <v>0</v>
      </c>
      <c r="AN37" s="45">
        <f t="shared" si="19"/>
        <v>0</v>
      </c>
      <c r="AO37" s="45">
        <f t="shared" si="20"/>
        <v>0</v>
      </c>
      <c r="AP37" s="45">
        <f t="shared" si="21"/>
        <v>0</v>
      </c>
      <c r="AQ37" s="45">
        <f t="shared" si="22"/>
        <v>0</v>
      </c>
      <c r="AR37" s="134">
        <f t="shared" si="3"/>
        <v>0</v>
      </c>
    </row>
    <row r="38" spans="1:44" x14ac:dyDescent="0.25">
      <c r="A38" t="s">
        <v>24</v>
      </c>
      <c r="D38" t="s">
        <v>313</v>
      </c>
      <c r="E38" s="61">
        <v>2016</v>
      </c>
      <c r="F38" s="61">
        <v>2</v>
      </c>
      <c r="G38" s="61">
        <v>3</v>
      </c>
      <c r="H38" s="61">
        <v>5</v>
      </c>
      <c r="I38" s="61"/>
      <c r="J38" s="61"/>
      <c r="K38">
        <v>137</v>
      </c>
      <c r="L38" s="61"/>
      <c r="M38" s="43">
        <v>23</v>
      </c>
      <c r="N38" s="43">
        <v>24</v>
      </c>
      <c r="O38" s="43">
        <v>23</v>
      </c>
      <c r="P38" s="43">
        <v>20</v>
      </c>
      <c r="Q38" s="43">
        <v>16</v>
      </c>
      <c r="R38" s="43">
        <v>17</v>
      </c>
      <c r="S38" s="43">
        <v>16</v>
      </c>
      <c r="T38" s="43">
        <v>15</v>
      </c>
      <c r="U38" s="43">
        <v>12</v>
      </c>
      <c r="V38" s="43">
        <v>13</v>
      </c>
      <c r="W38" s="43">
        <f t="shared" si="1"/>
        <v>17.899999999999999</v>
      </c>
      <c r="X38" s="43">
        <v>0</v>
      </c>
      <c r="Y38" s="43">
        <v>0</v>
      </c>
      <c r="Z38" s="43">
        <v>0</v>
      </c>
      <c r="AA38" s="43">
        <v>0</v>
      </c>
      <c r="AB38" s="43">
        <v>0</v>
      </c>
      <c r="AC38" s="43">
        <v>0</v>
      </c>
      <c r="AD38" s="43">
        <v>0</v>
      </c>
      <c r="AE38" s="43">
        <v>0</v>
      </c>
      <c r="AF38" s="43">
        <v>0</v>
      </c>
      <c r="AG38" s="43">
        <v>0</v>
      </c>
      <c r="AH38" s="45">
        <f t="shared" si="4"/>
        <v>0</v>
      </c>
      <c r="AI38" s="45">
        <f t="shared" si="14"/>
        <v>0</v>
      </c>
      <c r="AJ38" s="45">
        <f t="shared" si="15"/>
        <v>0</v>
      </c>
      <c r="AK38" s="45">
        <f t="shared" si="16"/>
        <v>0</v>
      </c>
      <c r="AL38" s="45">
        <f t="shared" si="17"/>
        <v>0</v>
      </c>
      <c r="AM38" s="45">
        <f t="shared" si="18"/>
        <v>0</v>
      </c>
      <c r="AN38" s="45">
        <f t="shared" si="19"/>
        <v>0</v>
      </c>
      <c r="AO38" s="45">
        <f t="shared" si="20"/>
        <v>0</v>
      </c>
      <c r="AP38" s="45">
        <f t="shared" si="21"/>
        <v>0</v>
      </c>
      <c r="AQ38" s="45">
        <f t="shared" si="22"/>
        <v>0</v>
      </c>
      <c r="AR38" s="134">
        <f t="shared" si="3"/>
        <v>0</v>
      </c>
    </row>
    <row r="39" spans="1:44" x14ac:dyDescent="0.25">
      <c r="A39" t="s">
        <v>24</v>
      </c>
      <c r="D39" t="s">
        <v>32</v>
      </c>
      <c r="E39" s="6">
        <v>2018</v>
      </c>
      <c r="F39" s="6">
        <v>2</v>
      </c>
      <c r="G39" s="61">
        <v>3</v>
      </c>
      <c r="H39" s="61">
        <v>6</v>
      </c>
      <c r="I39" s="61"/>
      <c r="J39" s="61"/>
      <c r="K39">
        <v>138</v>
      </c>
      <c r="L39" s="61"/>
      <c r="M39" s="43">
        <v>15</v>
      </c>
      <c r="N39" s="43">
        <v>17</v>
      </c>
      <c r="O39" s="43">
        <v>15</v>
      </c>
      <c r="P39" s="43">
        <v>18</v>
      </c>
      <c r="Q39" s="43">
        <v>13</v>
      </c>
      <c r="R39" s="43">
        <v>17</v>
      </c>
      <c r="S39" s="43">
        <v>14</v>
      </c>
      <c r="T39" s="43">
        <v>19</v>
      </c>
      <c r="U39" s="43">
        <v>18</v>
      </c>
      <c r="V39" s="43">
        <v>20</v>
      </c>
      <c r="W39" s="43">
        <f t="shared" si="1"/>
        <v>16.600000000000001</v>
      </c>
      <c r="X39" s="43">
        <v>0</v>
      </c>
      <c r="Y39" s="43">
        <v>0</v>
      </c>
      <c r="Z39" s="43">
        <v>0</v>
      </c>
      <c r="AA39" s="43">
        <v>0</v>
      </c>
      <c r="AB39" s="43">
        <v>1</v>
      </c>
      <c r="AC39" s="43">
        <v>0</v>
      </c>
      <c r="AD39" s="43">
        <v>0</v>
      </c>
      <c r="AE39" s="43">
        <v>0</v>
      </c>
      <c r="AF39" s="43">
        <v>0</v>
      </c>
      <c r="AG39" s="43">
        <v>1</v>
      </c>
      <c r="AH39" s="45">
        <f t="shared" si="4"/>
        <v>0</v>
      </c>
      <c r="AI39" s="45">
        <f t="shared" si="14"/>
        <v>0</v>
      </c>
      <c r="AJ39" s="45">
        <f t="shared" si="15"/>
        <v>0</v>
      </c>
      <c r="AK39" s="45">
        <f t="shared" si="16"/>
        <v>0</v>
      </c>
      <c r="AL39" s="45">
        <f t="shared" si="17"/>
        <v>7.6923076923076927E-2</v>
      </c>
      <c r="AM39" s="45">
        <f t="shared" si="18"/>
        <v>0</v>
      </c>
      <c r="AN39" s="45">
        <f t="shared" si="19"/>
        <v>0</v>
      </c>
      <c r="AO39" s="45">
        <f t="shared" si="20"/>
        <v>0</v>
      </c>
      <c r="AP39" s="45">
        <f t="shared" si="21"/>
        <v>0</v>
      </c>
      <c r="AQ39" s="45">
        <f t="shared" si="22"/>
        <v>0.05</v>
      </c>
      <c r="AR39" s="134">
        <f t="shared" si="3"/>
        <v>1.2692307692307692E-2</v>
      </c>
    </row>
    <row r="40" spans="1:44" x14ac:dyDescent="0.25">
      <c r="A40" t="s">
        <v>34</v>
      </c>
      <c r="D40" t="s">
        <v>39</v>
      </c>
      <c r="E40" s="61">
        <v>2001</v>
      </c>
      <c r="F40" s="61">
        <v>2</v>
      </c>
      <c r="G40" s="61">
        <v>3</v>
      </c>
      <c r="H40" s="61">
        <v>7</v>
      </c>
      <c r="I40" s="61"/>
      <c r="J40" s="61"/>
      <c r="K40">
        <v>139</v>
      </c>
      <c r="L40" s="61"/>
      <c r="M40" s="43">
        <v>13</v>
      </c>
      <c r="N40" s="43">
        <v>14</v>
      </c>
      <c r="O40" s="43">
        <v>12</v>
      </c>
      <c r="P40" s="43">
        <v>11</v>
      </c>
      <c r="Q40" s="43">
        <v>14</v>
      </c>
      <c r="R40" s="43">
        <v>16</v>
      </c>
      <c r="S40" s="43">
        <v>12</v>
      </c>
      <c r="T40" s="43">
        <v>14</v>
      </c>
      <c r="U40" s="43">
        <v>13</v>
      </c>
      <c r="V40" s="43">
        <v>14</v>
      </c>
      <c r="W40" s="43">
        <f t="shared" si="1"/>
        <v>13.3</v>
      </c>
      <c r="X40" s="43">
        <v>2</v>
      </c>
      <c r="Y40" s="43">
        <v>0</v>
      </c>
      <c r="Z40" s="43">
        <v>0</v>
      </c>
      <c r="AA40" s="43">
        <v>0</v>
      </c>
      <c r="AB40" s="43">
        <v>0</v>
      </c>
      <c r="AC40" s="43">
        <v>0</v>
      </c>
      <c r="AD40" s="43">
        <v>5</v>
      </c>
      <c r="AE40" s="43">
        <v>0</v>
      </c>
      <c r="AF40" s="43">
        <v>0</v>
      </c>
      <c r="AG40" s="43">
        <v>0</v>
      </c>
      <c r="AH40" s="45">
        <f t="shared" si="4"/>
        <v>0.15384615384615385</v>
      </c>
      <c r="AI40" s="45">
        <f t="shared" si="14"/>
        <v>0</v>
      </c>
      <c r="AJ40" s="45">
        <f t="shared" si="15"/>
        <v>0</v>
      </c>
      <c r="AK40" s="45">
        <f t="shared" si="16"/>
        <v>0</v>
      </c>
      <c r="AL40" s="45">
        <f t="shared" si="17"/>
        <v>0</v>
      </c>
      <c r="AM40" s="45">
        <f t="shared" si="18"/>
        <v>0</v>
      </c>
      <c r="AN40" s="45">
        <f t="shared" si="19"/>
        <v>0.41666666666666669</v>
      </c>
      <c r="AO40" s="45">
        <f t="shared" si="20"/>
        <v>0</v>
      </c>
      <c r="AP40" s="45">
        <f t="shared" si="21"/>
        <v>0</v>
      </c>
      <c r="AQ40" s="45">
        <f t="shared" si="22"/>
        <v>0</v>
      </c>
      <c r="AR40" s="134">
        <f t="shared" si="3"/>
        <v>5.705128205128205E-2</v>
      </c>
    </row>
    <row r="41" spans="1:44" x14ac:dyDescent="0.25">
      <c r="A41" t="s">
        <v>34</v>
      </c>
      <c r="D41" t="s">
        <v>38</v>
      </c>
      <c r="E41" s="6">
        <v>1999</v>
      </c>
      <c r="F41" s="6">
        <v>2</v>
      </c>
      <c r="G41" s="61">
        <v>3</v>
      </c>
      <c r="H41" s="61">
        <v>8</v>
      </c>
      <c r="I41" s="61"/>
      <c r="J41" s="61"/>
      <c r="K41">
        <v>140</v>
      </c>
      <c r="L41" s="61"/>
      <c r="M41" s="43">
        <v>14</v>
      </c>
      <c r="N41" s="43">
        <v>13</v>
      </c>
      <c r="O41" s="43">
        <v>14</v>
      </c>
      <c r="P41" s="43">
        <v>14</v>
      </c>
      <c r="Q41" s="43">
        <v>13</v>
      </c>
      <c r="R41" s="43">
        <v>15</v>
      </c>
      <c r="S41" s="43">
        <v>17</v>
      </c>
      <c r="T41" s="43">
        <v>17</v>
      </c>
      <c r="U41" s="43">
        <v>13</v>
      </c>
      <c r="V41" s="43">
        <v>13</v>
      </c>
      <c r="W41" s="43">
        <f t="shared" si="1"/>
        <v>14.3</v>
      </c>
      <c r="X41" s="43">
        <v>0</v>
      </c>
      <c r="Y41" s="43">
        <v>0</v>
      </c>
      <c r="Z41" s="43">
        <v>1</v>
      </c>
      <c r="AA41" s="43">
        <v>0</v>
      </c>
      <c r="AB41" s="43">
        <v>0</v>
      </c>
      <c r="AC41" s="43">
        <v>0</v>
      </c>
      <c r="AD41" s="43">
        <v>0</v>
      </c>
      <c r="AE41" s="43">
        <v>0</v>
      </c>
      <c r="AF41" s="43">
        <v>0</v>
      </c>
      <c r="AG41" s="43">
        <v>0</v>
      </c>
      <c r="AH41" s="45">
        <f t="shared" si="4"/>
        <v>0</v>
      </c>
      <c r="AI41" s="45">
        <f t="shared" si="14"/>
        <v>0</v>
      </c>
      <c r="AJ41" s="45">
        <f t="shared" si="15"/>
        <v>7.1428571428571425E-2</v>
      </c>
      <c r="AK41" s="45">
        <f t="shared" si="16"/>
        <v>0</v>
      </c>
      <c r="AL41" s="45">
        <f t="shared" si="17"/>
        <v>0</v>
      </c>
      <c r="AM41" s="45">
        <f t="shared" si="18"/>
        <v>0</v>
      </c>
      <c r="AN41" s="45">
        <f t="shared" si="19"/>
        <v>0</v>
      </c>
      <c r="AO41" s="45">
        <f t="shared" si="20"/>
        <v>0</v>
      </c>
      <c r="AP41" s="45">
        <f t="shared" si="21"/>
        <v>0</v>
      </c>
      <c r="AQ41" s="45">
        <f t="shared" si="22"/>
        <v>0</v>
      </c>
      <c r="AR41" s="134">
        <f t="shared" si="3"/>
        <v>7.1428571428571426E-3</v>
      </c>
    </row>
    <row r="42" spans="1:44" x14ac:dyDescent="0.25">
      <c r="A42" t="s">
        <v>24</v>
      </c>
      <c r="D42" t="s">
        <v>28</v>
      </c>
      <c r="E42" s="61">
        <v>1998</v>
      </c>
      <c r="F42" s="61">
        <v>3</v>
      </c>
      <c r="G42" s="61">
        <v>3</v>
      </c>
      <c r="H42" s="61">
        <v>9</v>
      </c>
      <c r="K42">
        <v>141</v>
      </c>
      <c r="M42" s="43">
        <v>17</v>
      </c>
      <c r="N42" s="43">
        <v>14</v>
      </c>
      <c r="O42" s="43">
        <v>21</v>
      </c>
      <c r="P42" s="43">
        <v>21</v>
      </c>
      <c r="Q42" s="43">
        <v>20</v>
      </c>
      <c r="R42" s="43">
        <v>17</v>
      </c>
      <c r="S42" s="43">
        <v>16</v>
      </c>
      <c r="T42" s="43">
        <v>15</v>
      </c>
      <c r="U42" s="43">
        <v>14</v>
      </c>
      <c r="V42" s="43">
        <v>20</v>
      </c>
      <c r="W42" s="43">
        <f t="shared" si="1"/>
        <v>17.5</v>
      </c>
      <c r="X42" s="43">
        <v>0</v>
      </c>
      <c r="Y42" s="43">
        <v>0</v>
      </c>
      <c r="Z42" s="43">
        <v>0</v>
      </c>
      <c r="AA42" s="43">
        <v>0</v>
      </c>
      <c r="AB42" s="43">
        <v>0</v>
      </c>
      <c r="AC42" s="43">
        <v>0</v>
      </c>
      <c r="AD42" s="43">
        <v>0</v>
      </c>
      <c r="AE42" s="43">
        <v>0</v>
      </c>
      <c r="AF42" s="43">
        <v>0</v>
      </c>
      <c r="AG42" s="43">
        <v>0</v>
      </c>
      <c r="AH42" s="45">
        <f t="shared" si="4"/>
        <v>0</v>
      </c>
      <c r="AI42" s="45">
        <f t="shared" si="14"/>
        <v>0</v>
      </c>
      <c r="AJ42" s="45">
        <f t="shared" si="15"/>
        <v>0</v>
      </c>
      <c r="AK42" s="45">
        <f t="shared" si="16"/>
        <v>0</v>
      </c>
      <c r="AL42" s="45">
        <f t="shared" si="17"/>
        <v>0</v>
      </c>
      <c r="AM42" s="45">
        <f t="shared" si="18"/>
        <v>0</v>
      </c>
      <c r="AN42" s="45">
        <f t="shared" si="19"/>
        <v>0</v>
      </c>
      <c r="AO42" s="45">
        <f t="shared" si="20"/>
        <v>0</v>
      </c>
      <c r="AP42" s="45">
        <f t="shared" si="21"/>
        <v>0</v>
      </c>
      <c r="AQ42" s="45">
        <f t="shared" si="22"/>
        <v>0</v>
      </c>
      <c r="AR42" s="134">
        <f t="shared" si="3"/>
        <v>0</v>
      </c>
    </row>
    <row r="43" spans="1:44" x14ac:dyDescent="0.25">
      <c r="A43" t="s">
        <v>24</v>
      </c>
      <c r="D43" t="s">
        <v>29</v>
      </c>
      <c r="E43" s="6">
        <v>1999</v>
      </c>
      <c r="F43" s="6">
        <v>3</v>
      </c>
      <c r="G43" s="61">
        <v>3</v>
      </c>
      <c r="H43" s="61">
        <v>10</v>
      </c>
      <c r="K43">
        <v>142</v>
      </c>
      <c r="M43" s="43">
        <v>20</v>
      </c>
      <c r="N43" s="43">
        <v>16</v>
      </c>
      <c r="O43" s="43">
        <v>21</v>
      </c>
      <c r="P43" s="43">
        <v>19</v>
      </c>
      <c r="Q43" s="43">
        <v>15</v>
      </c>
      <c r="R43" s="43">
        <v>18</v>
      </c>
      <c r="S43" s="43">
        <v>21</v>
      </c>
      <c r="T43" s="43">
        <v>14</v>
      </c>
      <c r="U43" s="43">
        <v>19</v>
      </c>
      <c r="V43" s="43">
        <v>18</v>
      </c>
      <c r="W43" s="43">
        <f t="shared" si="1"/>
        <v>18.100000000000001</v>
      </c>
      <c r="X43" s="43">
        <v>0</v>
      </c>
      <c r="Y43" s="43">
        <v>0</v>
      </c>
      <c r="Z43" s="43">
        <v>0</v>
      </c>
      <c r="AA43" s="43">
        <v>0</v>
      </c>
      <c r="AB43" s="43">
        <v>0</v>
      </c>
      <c r="AC43" s="43">
        <v>0</v>
      </c>
      <c r="AD43" s="43">
        <v>0</v>
      </c>
      <c r="AE43" s="43">
        <v>0</v>
      </c>
      <c r="AF43" s="43">
        <v>0</v>
      </c>
      <c r="AG43" s="43">
        <v>0</v>
      </c>
      <c r="AH43" s="45">
        <f t="shared" si="4"/>
        <v>0</v>
      </c>
      <c r="AI43" s="45">
        <f t="shared" si="14"/>
        <v>0</v>
      </c>
      <c r="AJ43" s="45">
        <f t="shared" si="15"/>
        <v>0</v>
      </c>
      <c r="AK43" s="45">
        <f t="shared" si="16"/>
        <v>0</v>
      </c>
      <c r="AL43" s="45">
        <f t="shared" si="17"/>
        <v>0</v>
      </c>
      <c r="AM43" s="45">
        <f t="shared" si="18"/>
        <v>0</v>
      </c>
      <c r="AN43" s="45">
        <f t="shared" si="19"/>
        <v>0</v>
      </c>
      <c r="AO43" s="45">
        <f t="shared" si="20"/>
        <v>0</v>
      </c>
      <c r="AP43" s="45">
        <f t="shared" si="21"/>
        <v>0</v>
      </c>
      <c r="AQ43" s="45">
        <f t="shared" si="22"/>
        <v>0</v>
      </c>
      <c r="AR43" s="134">
        <f t="shared" si="3"/>
        <v>0</v>
      </c>
    </row>
    <row r="44" spans="1:44" x14ac:dyDescent="0.25">
      <c r="A44" t="s">
        <v>34</v>
      </c>
      <c r="D44" t="s">
        <v>43</v>
      </c>
      <c r="E44" s="6">
        <v>2020</v>
      </c>
      <c r="F44" s="6">
        <v>3</v>
      </c>
      <c r="G44" s="61">
        <v>3</v>
      </c>
      <c r="H44" s="61">
        <v>11</v>
      </c>
      <c r="K44">
        <v>143</v>
      </c>
      <c r="M44" s="43">
        <v>15</v>
      </c>
      <c r="N44" s="43">
        <v>16</v>
      </c>
      <c r="O44" s="43">
        <v>16</v>
      </c>
      <c r="P44" s="43">
        <v>18</v>
      </c>
      <c r="Q44" s="43">
        <v>18</v>
      </c>
      <c r="R44" s="43">
        <v>14</v>
      </c>
      <c r="S44" s="43">
        <v>14</v>
      </c>
      <c r="T44" s="43">
        <v>17</v>
      </c>
      <c r="U44" s="43">
        <v>13</v>
      </c>
      <c r="V44" s="43">
        <v>14</v>
      </c>
      <c r="W44" s="43">
        <f t="shared" si="1"/>
        <v>15.5</v>
      </c>
      <c r="X44" s="43">
        <v>0</v>
      </c>
      <c r="Y44" s="43">
        <v>0</v>
      </c>
      <c r="Z44" s="43">
        <v>0</v>
      </c>
      <c r="AA44" s="43">
        <v>0</v>
      </c>
      <c r="AB44" s="43">
        <v>0</v>
      </c>
      <c r="AC44" s="43">
        <v>0</v>
      </c>
      <c r="AD44" s="43">
        <v>0</v>
      </c>
      <c r="AE44" s="43">
        <v>0</v>
      </c>
      <c r="AF44" s="43">
        <v>0</v>
      </c>
      <c r="AG44" s="43">
        <v>0</v>
      </c>
      <c r="AH44" s="45">
        <f t="shared" si="4"/>
        <v>0</v>
      </c>
      <c r="AI44" s="45">
        <f t="shared" si="14"/>
        <v>0</v>
      </c>
      <c r="AJ44" s="45">
        <f t="shared" si="15"/>
        <v>0</v>
      </c>
      <c r="AK44" s="45">
        <f t="shared" si="16"/>
        <v>0</v>
      </c>
      <c r="AL44" s="45">
        <f t="shared" si="17"/>
        <v>0</v>
      </c>
      <c r="AM44" s="45">
        <f t="shared" si="18"/>
        <v>0</v>
      </c>
      <c r="AN44" s="45">
        <f t="shared" si="19"/>
        <v>0</v>
      </c>
      <c r="AO44" s="45">
        <f t="shared" si="20"/>
        <v>0</v>
      </c>
      <c r="AP44" s="45">
        <f t="shared" si="21"/>
        <v>0</v>
      </c>
      <c r="AQ44" s="45">
        <f t="shared" si="22"/>
        <v>0</v>
      </c>
      <c r="AR44" s="134">
        <f t="shared" si="3"/>
        <v>0</v>
      </c>
    </row>
    <row r="45" spans="1:44" x14ac:dyDescent="0.25">
      <c r="A45" t="s">
        <v>34</v>
      </c>
      <c r="D45" t="s">
        <v>318</v>
      </c>
      <c r="E45" s="61">
        <v>2004</v>
      </c>
      <c r="F45" s="61">
        <v>3</v>
      </c>
      <c r="G45" s="61">
        <v>3</v>
      </c>
      <c r="H45" s="61">
        <v>12</v>
      </c>
      <c r="K45">
        <v>144</v>
      </c>
      <c r="M45" s="43">
        <v>17</v>
      </c>
      <c r="N45" s="43">
        <v>13</v>
      </c>
      <c r="O45" s="43">
        <v>14</v>
      </c>
      <c r="P45" s="43">
        <v>17</v>
      </c>
      <c r="Q45" s="43">
        <v>17</v>
      </c>
      <c r="R45" s="43">
        <v>16</v>
      </c>
      <c r="S45" s="43">
        <v>14</v>
      </c>
      <c r="T45" s="43">
        <v>18</v>
      </c>
      <c r="U45" s="43">
        <v>14</v>
      </c>
      <c r="V45" s="43">
        <v>14</v>
      </c>
      <c r="W45" s="43">
        <f t="shared" si="1"/>
        <v>15.4</v>
      </c>
      <c r="X45" s="43">
        <v>0</v>
      </c>
      <c r="Y45" s="43">
        <v>0</v>
      </c>
      <c r="Z45" s="43">
        <v>0</v>
      </c>
      <c r="AA45" s="43">
        <v>0</v>
      </c>
      <c r="AB45" s="43">
        <v>0</v>
      </c>
      <c r="AC45" s="43">
        <v>0</v>
      </c>
      <c r="AD45" s="43">
        <v>1</v>
      </c>
      <c r="AE45" s="43">
        <v>0</v>
      </c>
      <c r="AF45" s="43">
        <v>0</v>
      </c>
      <c r="AG45" s="43">
        <v>0</v>
      </c>
      <c r="AH45" s="45">
        <f t="shared" si="4"/>
        <v>0</v>
      </c>
      <c r="AI45" s="45">
        <f t="shared" si="14"/>
        <v>0</v>
      </c>
      <c r="AJ45" s="45">
        <f t="shared" si="15"/>
        <v>0</v>
      </c>
      <c r="AK45" s="45">
        <f t="shared" si="16"/>
        <v>0</v>
      </c>
      <c r="AL45" s="45">
        <f t="shared" si="17"/>
        <v>0</v>
      </c>
      <c r="AM45" s="45">
        <f t="shared" si="18"/>
        <v>0</v>
      </c>
      <c r="AN45" s="45">
        <f t="shared" si="19"/>
        <v>7.1428571428571425E-2</v>
      </c>
      <c r="AO45" s="45">
        <f t="shared" si="20"/>
        <v>0</v>
      </c>
      <c r="AP45" s="45">
        <f t="shared" si="21"/>
        <v>0</v>
      </c>
      <c r="AQ45" s="45">
        <f t="shared" si="22"/>
        <v>0</v>
      </c>
      <c r="AR45" s="134">
        <f t="shared" si="3"/>
        <v>7.1428571428571426E-3</v>
      </c>
    </row>
    <row r="46" spans="1:44" x14ac:dyDescent="0.25">
      <c r="A46" t="s">
        <v>24</v>
      </c>
      <c r="D46" t="s">
        <v>311</v>
      </c>
      <c r="E46" s="6">
        <v>2023</v>
      </c>
      <c r="F46" s="6">
        <v>4</v>
      </c>
      <c r="G46" s="61">
        <v>3</v>
      </c>
      <c r="H46" s="61">
        <v>13</v>
      </c>
      <c r="K46">
        <v>145</v>
      </c>
      <c r="M46" s="43">
        <v>18</v>
      </c>
      <c r="N46" s="43">
        <v>17</v>
      </c>
      <c r="O46" s="43">
        <v>13</v>
      </c>
      <c r="P46" s="43">
        <v>16</v>
      </c>
      <c r="Q46" s="43">
        <v>13</v>
      </c>
      <c r="R46" s="43">
        <v>16</v>
      </c>
      <c r="S46" s="43">
        <v>14</v>
      </c>
      <c r="T46" s="43">
        <v>18</v>
      </c>
      <c r="U46" s="43">
        <v>14</v>
      </c>
      <c r="V46" s="43">
        <v>20</v>
      </c>
      <c r="W46" s="43">
        <f t="shared" si="1"/>
        <v>15.9</v>
      </c>
      <c r="X46" s="43">
        <v>0</v>
      </c>
      <c r="Y46" s="43">
        <v>0</v>
      </c>
      <c r="Z46" s="43">
        <v>2</v>
      </c>
      <c r="AA46" s="43">
        <v>0</v>
      </c>
      <c r="AB46" s="43">
        <v>0</v>
      </c>
      <c r="AC46" s="43">
        <v>0</v>
      </c>
      <c r="AD46" s="43">
        <v>0</v>
      </c>
      <c r="AE46" s="43">
        <v>0</v>
      </c>
      <c r="AF46" s="43">
        <v>0</v>
      </c>
      <c r="AG46" s="43">
        <v>0</v>
      </c>
      <c r="AH46" s="45">
        <f t="shared" si="4"/>
        <v>0</v>
      </c>
      <c r="AI46" s="45">
        <f t="shared" si="14"/>
        <v>0</v>
      </c>
      <c r="AJ46" s="45">
        <f t="shared" si="15"/>
        <v>0.15384615384615385</v>
      </c>
      <c r="AK46" s="45">
        <f t="shared" si="16"/>
        <v>0</v>
      </c>
      <c r="AL46" s="45">
        <f t="shared" si="17"/>
        <v>0</v>
      </c>
      <c r="AM46" s="45">
        <f t="shared" si="18"/>
        <v>0</v>
      </c>
      <c r="AN46" s="45">
        <f t="shared" si="19"/>
        <v>0</v>
      </c>
      <c r="AO46" s="45">
        <f t="shared" si="20"/>
        <v>0</v>
      </c>
      <c r="AP46" s="45">
        <f t="shared" si="21"/>
        <v>0</v>
      </c>
      <c r="AQ46" s="45">
        <f t="shared" si="22"/>
        <v>0</v>
      </c>
      <c r="AR46" s="134">
        <f t="shared" si="3"/>
        <v>1.5384615384615385E-2</v>
      </c>
    </row>
    <row r="47" spans="1:44" x14ac:dyDescent="0.25">
      <c r="A47" t="s">
        <v>24</v>
      </c>
      <c r="D47" t="s">
        <v>312</v>
      </c>
      <c r="E47" s="61">
        <v>2002</v>
      </c>
      <c r="F47" s="61">
        <v>4</v>
      </c>
      <c r="G47" s="61">
        <v>3</v>
      </c>
      <c r="H47" s="61">
        <v>14</v>
      </c>
      <c r="K47">
        <v>146</v>
      </c>
      <c r="M47" s="43">
        <v>20</v>
      </c>
      <c r="N47" s="43">
        <v>20</v>
      </c>
      <c r="O47" s="43">
        <v>17</v>
      </c>
      <c r="P47" s="43">
        <v>17</v>
      </c>
      <c r="Q47" s="43">
        <v>18</v>
      </c>
      <c r="R47" s="43">
        <v>22</v>
      </c>
      <c r="S47" s="43">
        <v>19</v>
      </c>
      <c r="T47" s="43">
        <v>17</v>
      </c>
      <c r="U47" s="43">
        <v>21</v>
      </c>
      <c r="V47" s="43">
        <v>21</v>
      </c>
      <c r="W47" s="43">
        <f t="shared" si="1"/>
        <v>19.2</v>
      </c>
      <c r="X47" s="43">
        <v>1</v>
      </c>
      <c r="Y47" s="43">
        <v>0</v>
      </c>
      <c r="Z47" s="43">
        <v>0</v>
      </c>
      <c r="AA47" s="43">
        <v>0</v>
      </c>
      <c r="AB47" s="43">
        <v>0</v>
      </c>
      <c r="AC47" s="43">
        <v>0</v>
      </c>
      <c r="AD47" s="43">
        <v>0</v>
      </c>
      <c r="AE47" s="43">
        <v>0</v>
      </c>
      <c r="AF47" s="43">
        <v>0</v>
      </c>
      <c r="AG47" s="43">
        <v>0</v>
      </c>
      <c r="AH47" s="45">
        <f t="shared" si="4"/>
        <v>0.05</v>
      </c>
      <c r="AI47" s="45">
        <f t="shared" si="14"/>
        <v>0</v>
      </c>
      <c r="AJ47" s="45">
        <f t="shared" si="15"/>
        <v>0</v>
      </c>
      <c r="AK47" s="45">
        <f t="shared" si="16"/>
        <v>0</v>
      </c>
      <c r="AL47" s="45">
        <f t="shared" si="17"/>
        <v>0</v>
      </c>
      <c r="AM47" s="45">
        <f t="shared" si="18"/>
        <v>0</v>
      </c>
      <c r="AN47" s="45">
        <f t="shared" si="19"/>
        <v>0</v>
      </c>
      <c r="AO47" s="45">
        <f t="shared" si="20"/>
        <v>0</v>
      </c>
      <c r="AP47" s="45">
        <f t="shared" si="21"/>
        <v>0</v>
      </c>
      <c r="AQ47" s="45">
        <f t="shared" si="22"/>
        <v>0</v>
      </c>
      <c r="AR47" s="134">
        <f t="shared" si="3"/>
        <v>5.0000000000000001E-3</v>
      </c>
    </row>
    <row r="48" spans="1:44" x14ac:dyDescent="0.25">
      <c r="A48" t="s">
        <v>34</v>
      </c>
      <c r="D48" t="s">
        <v>37</v>
      </c>
      <c r="E48" s="6">
        <v>1989</v>
      </c>
      <c r="F48" s="6">
        <v>4</v>
      </c>
      <c r="G48" s="61">
        <v>3</v>
      </c>
      <c r="H48" s="61">
        <v>15</v>
      </c>
      <c r="K48">
        <v>147</v>
      </c>
      <c r="M48" s="43">
        <v>17</v>
      </c>
      <c r="N48" s="43">
        <v>13</v>
      </c>
      <c r="O48" s="43">
        <v>18</v>
      </c>
      <c r="P48" s="43">
        <v>11</v>
      </c>
      <c r="Q48" s="43">
        <v>16</v>
      </c>
      <c r="R48" s="43">
        <v>17</v>
      </c>
      <c r="S48" s="43">
        <v>18</v>
      </c>
      <c r="T48" s="43">
        <v>18</v>
      </c>
      <c r="U48" s="43">
        <v>17</v>
      </c>
      <c r="V48" s="43">
        <v>17</v>
      </c>
      <c r="W48" s="43">
        <f t="shared" si="1"/>
        <v>16.2</v>
      </c>
      <c r="X48" s="43">
        <v>0</v>
      </c>
      <c r="Y48" s="43">
        <v>0</v>
      </c>
      <c r="Z48" s="43">
        <v>0</v>
      </c>
      <c r="AA48" s="43">
        <v>0</v>
      </c>
      <c r="AB48" s="43">
        <v>0</v>
      </c>
      <c r="AC48" s="43">
        <v>0</v>
      </c>
      <c r="AD48" s="43">
        <v>0</v>
      </c>
      <c r="AE48" s="43">
        <v>0</v>
      </c>
      <c r="AF48" s="43">
        <v>0</v>
      </c>
      <c r="AG48" s="43">
        <v>0</v>
      </c>
      <c r="AH48" s="45">
        <f t="shared" si="4"/>
        <v>0</v>
      </c>
      <c r="AI48" s="45">
        <f t="shared" si="14"/>
        <v>0</v>
      </c>
      <c r="AJ48" s="45">
        <f t="shared" si="15"/>
        <v>0</v>
      </c>
      <c r="AK48" s="45">
        <f t="shared" si="16"/>
        <v>0</v>
      </c>
      <c r="AL48" s="45">
        <f t="shared" si="17"/>
        <v>0</v>
      </c>
      <c r="AM48" s="45">
        <f t="shared" si="18"/>
        <v>0</v>
      </c>
      <c r="AN48" s="45">
        <f t="shared" si="19"/>
        <v>0</v>
      </c>
      <c r="AO48" s="45">
        <f t="shared" si="20"/>
        <v>0</v>
      </c>
      <c r="AP48" s="45">
        <f t="shared" si="21"/>
        <v>0</v>
      </c>
      <c r="AQ48" s="45">
        <f t="shared" si="22"/>
        <v>0</v>
      </c>
      <c r="AR48" s="134">
        <f t="shared" si="3"/>
        <v>0</v>
      </c>
    </row>
    <row r="49" spans="1:44" x14ac:dyDescent="0.25">
      <c r="A49" t="s">
        <v>34</v>
      </c>
      <c r="D49" t="s">
        <v>42</v>
      </c>
      <c r="E49" s="6">
        <v>2016</v>
      </c>
      <c r="F49" s="6">
        <v>4</v>
      </c>
      <c r="G49" s="61">
        <v>3</v>
      </c>
      <c r="H49" s="61">
        <v>16</v>
      </c>
      <c r="K49">
        <v>148</v>
      </c>
      <c r="M49" s="43">
        <v>14</v>
      </c>
      <c r="N49" s="43">
        <v>11</v>
      </c>
      <c r="O49" s="43">
        <v>13</v>
      </c>
      <c r="P49" s="43">
        <v>12</v>
      </c>
      <c r="Q49" s="43">
        <v>14</v>
      </c>
      <c r="R49" s="43">
        <v>12</v>
      </c>
      <c r="S49" s="43">
        <v>12</v>
      </c>
      <c r="T49" s="43">
        <v>14</v>
      </c>
      <c r="U49" s="43">
        <v>12</v>
      </c>
      <c r="V49" s="43">
        <v>13</v>
      </c>
      <c r="W49" s="43">
        <f t="shared" si="1"/>
        <v>12.7</v>
      </c>
      <c r="X49" s="43">
        <v>0</v>
      </c>
      <c r="Y49" s="43">
        <v>0</v>
      </c>
      <c r="Z49" s="43">
        <v>0</v>
      </c>
      <c r="AA49" s="43">
        <v>1</v>
      </c>
      <c r="AB49" s="43">
        <v>0</v>
      </c>
      <c r="AC49" s="43">
        <v>0</v>
      </c>
      <c r="AD49" s="43">
        <v>0</v>
      </c>
      <c r="AE49" s="43">
        <v>0</v>
      </c>
      <c r="AF49" s="43">
        <v>1</v>
      </c>
      <c r="AG49" s="43">
        <v>0</v>
      </c>
      <c r="AH49" s="45">
        <f t="shared" si="4"/>
        <v>0</v>
      </c>
      <c r="AI49" s="45">
        <f t="shared" si="14"/>
        <v>0</v>
      </c>
      <c r="AJ49" s="45">
        <f t="shared" si="15"/>
        <v>0</v>
      </c>
      <c r="AK49" s="45">
        <f t="shared" si="16"/>
        <v>8.3333333333333329E-2</v>
      </c>
      <c r="AL49" s="45">
        <f t="shared" si="17"/>
        <v>0</v>
      </c>
      <c r="AM49" s="45">
        <f t="shared" si="18"/>
        <v>0</v>
      </c>
      <c r="AN49" s="45">
        <f t="shared" si="19"/>
        <v>0</v>
      </c>
      <c r="AO49" s="45">
        <f t="shared" si="20"/>
        <v>0</v>
      </c>
      <c r="AP49" s="45">
        <f t="shared" si="21"/>
        <v>8.3333333333333329E-2</v>
      </c>
      <c r="AQ49" s="45">
        <f t="shared" si="22"/>
        <v>0</v>
      </c>
      <c r="AR49" s="134">
        <f t="shared" si="3"/>
        <v>1.6666666666666666E-2</v>
      </c>
    </row>
    <row r="50" spans="1:44" x14ac:dyDescent="0.25">
      <c r="A50" t="s">
        <v>24</v>
      </c>
      <c r="D50" t="s">
        <v>29</v>
      </c>
      <c r="E50" s="6">
        <v>1999</v>
      </c>
      <c r="F50" s="6">
        <v>1</v>
      </c>
      <c r="G50" s="61">
        <v>4</v>
      </c>
      <c r="H50" s="61">
        <v>1</v>
      </c>
      <c r="I50" s="61"/>
      <c r="J50" s="61"/>
      <c r="K50">
        <v>149</v>
      </c>
      <c r="L50" s="61"/>
      <c r="M50" s="43">
        <v>20</v>
      </c>
      <c r="N50" s="43">
        <v>14</v>
      </c>
      <c r="O50" s="43">
        <v>16</v>
      </c>
      <c r="P50" s="43">
        <v>17</v>
      </c>
      <c r="Q50" s="43">
        <v>13</v>
      </c>
      <c r="R50" s="43">
        <v>21</v>
      </c>
      <c r="S50" s="43">
        <v>12</v>
      </c>
      <c r="T50" s="43">
        <v>10</v>
      </c>
      <c r="U50" s="43">
        <v>12</v>
      </c>
      <c r="V50" s="43">
        <v>19</v>
      </c>
      <c r="W50" s="43">
        <f t="shared" si="1"/>
        <v>15.4</v>
      </c>
      <c r="X50" s="43">
        <v>0</v>
      </c>
      <c r="Y50" s="43">
        <v>0</v>
      </c>
      <c r="Z50" s="43">
        <v>0</v>
      </c>
      <c r="AA50" s="43">
        <v>0</v>
      </c>
      <c r="AB50" s="43">
        <v>0</v>
      </c>
      <c r="AC50" s="43">
        <v>0</v>
      </c>
      <c r="AD50" s="43">
        <v>0</v>
      </c>
      <c r="AE50" s="43">
        <v>0</v>
      </c>
      <c r="AF50" s="43">
        <v>0</v>
      </c>
      <c r="AG50" s="43">
        <v>0</v>
      </c>
      <c r="AH50" s="45">
        <f t="shared" si="4"/>
        <v>0</v>
      </c>
      <c r="AI50" s="45">
        <f t="shared" si="14"/>
        <v>0</v>
      </c>
      <c r="AJ50" s="45">
        <f t="shared" si="15"/>
        <v>0</v>
      </c>
      <c r="AK50" s="45">
        <f t="shared" si="16"/>
        <v>0</v>
      </c>
      <c r="AL50" s="45">
        <f t="shared" si="17"/>
        <v>0</v>
      </c>
      <c r="AM50" s="45">
        <f t="shared" si="18"/>
        <v>0</v>
      </c>
      <c r="AN50" s="45">
        <f t="shared" si="19"/>
        <v>0</v>
      </c>
      <c r="AO50" s="45">
        <f t="shared" si="20"/>
        <v>0</v>
      </c>
      <c r="AP50" s="45">
        <f t="shared" si="21"/>
        <v>0</v>
      </c>
      <c r="AQ50" s="45">
        <f t="shared" si="22"/>
        <v>0</v>
      </c>
      <c r="AR50" s="134">
        <f t="shared" si="3"/>
        <v>0</v>
      </c>
    </row>
    <row r="51" spans="1:44" x14ac:dyDescent="0.25">
      <c r="A51" t="s">
        <v>24</v>
      </c>
      <c r="D51" t="s">
        <v>32</v>
      </c>
      <c r="E51" s="6">
        <v>2018</v>
      </c>
      <c r="F51" s="6">
        <v>1</v>
      </c>
      <c r="G51" s="61">
        <v>4</v>
      </c>
      <c r="H51" s="61">
        <v>2</v>
      </c>
      <c r="I51" s="61"/>
      <c r="J51" s="61"/>
      <c r="K51">
        <v>150</v>
      </c>
      <c r="L51" s="61"/>
      <c r="M51" s="43">
        <v>20</v>
      </c>
      <c r="N51" s="43">
        <v>19</v>
      </c>
      <c r="O51" s="43">
        <v>21</v>
      </c>
      <c r="P51" s="43">
        <v>15</v>
      </c>
      <c r="Q51" s="43">
        <v>19</v>
      </c>
      <c r="R51" s="43">
        <v>19</v>
      </c>
      <c r="S51" s="43">
        <v>18</v>
      </c>
      <c r="T51" s="43">
        <v>15</v>
      </c>
      <c r="U51" s="43">
        <v>22</v>
      </c>
      <c r="V51" s="43">
        <v>18</v>
      </c>
      <c r="W51" s="43">
        <f t="shared" si="1"/>
        <v>18.600000000000001</v>
      </c>
      <c r="X51" s="43">
        <v>0</v>
      </c>
      <c r="Y51" s="43">
        <v>4</v>
      </c>
      <c r="Z51" s="43">
        <v>0</v>
      </c>
      <c r="AA51" s="43">
        <v>0</v>
      </c>
      <c r="AB51" s="43">
        <v>1</v>
      </c>
      <c r="AC51" s="43">
        <v>0</v>
      </c>
      <c r="AD51" s="43">
        <v>0</v>
      </c>
      <c r="AE51" s="43">
        <v>0</v>
      </c>
      <c r="AF51" s="43">
        <v>0</v>
      </c>
      <c r="AG51" s="43">
        <v>0</v>
      </c>
      <c r="AH51" s="45">
        <f t="shared" si="4"/>
        <v>0</v>
      </c>
      <c r="AI51" s="45">
        <f t="shared" si="14"/>
        <v>0.21052631578947367</v>
      </c>
      <c r="AJ51" s="45">
        <f t="shared" si="15"/>
        <v>0</v>
      </c>
      <c r="AK51" s="45">
        <f t="shared" si="16"/>
        <v>0</v>
      </c>
      <c r="AL51" s="45">
        <f t="shared" si="17"/>
        <v>5.2631578947368418E-2</v>
      </c>
      <c r="AM51" s="45">
        <f t="shared" si="18"/>
        <v>0</v>
      </c>
      <c r="AN51" s="45">
        <f t="shared" si="19"/>
        <v>0</v>
      </c>
      <c r="AO51" s="45">
        <f t="shared" si="20"/>
        <v>0</v>
      </c>
      <c r="AP51" s="45">
        <f t="shared" si="21"/>
        <v>0</v>
      </c>
      <c r="AQ51" s="45">
        <f t="shared" si="22"/>
        <v>0</v>
      </c>
      <c r="AR51" s="134">
        <f t="shared" si="3"/>
        <v>2.6315789473684209E-2</v>
      </c>
    </row>
    <row r="52" spans="1:44" x14ac:dyDescent="0.25">
      <c r="A52" t="s">
        <v>34</v>
      </c>
      <c r="D52" t="s">
        <v>38</v>
      </c>
      <c r="E52" s="6">
        <v>1999</v>
      </c>
      <c r="F52" s="6">
        <v>1</v>
      </c>
      <c r="G52" s="61">
        <v>4</v>
      </c>
      <c r="H52" s="61">
        <v>3</v>
      </c>
      <c r="I52" s="61"/>
      <c r="J52" s="61"/>
      <c r="K52">
        <v>151</v>
      </c>
      <c r="L52" s="61"/>
      <c r="M52" s="43">
        <v>15</v>
      </c>
      <c r="N52" s="43">
        <v>17</v>
      </c>
      <c r="O52" s="43">
        <v>14</v>
      </c>
      <c r="P52" s="43">
        <v>13</v>
      </c>
      <c r="Q52" s="43">
        <v>14</v>
      </c>
      <c r="R52" s="43">
        <v>12</v>
      </c>
      <c r="S52" s="43">
        <v>11</v>
      </c>
      <c r="T52" s="43">
        <v>10</v>
      </c>
      <c r="U52" s="43">
        <v>11</v>
      </c>
      <c r="V52" s="43">
        <v>16</v>
      </c>
      <c r="W52" s="43">
        <f t="shared" si="1"/>
        <v>13.3</v>
      </c>
      <c r="X52" s="43">
        <v>0</v>
      </c>
      <c r="Y52" s="43">
        <v>0</v>
      </c>
      <c r="Z52" s="43">
        <v>0</v>
      </c>
      <c r="AA52" s="43">
        <v>0</v>
      </c>
      <c r="AB52" s="43">
        <v>0</v>
      </c>
      <c r="AC52" s="43">
        <v>0</v>
      </c>
      <c r="AD52" s="43">
        <v>0</v>
      </c>
      <c r="AE52" s="43">
        <v>1</v>
      </c>
      <c r="AF52" s="43">
        <v>0</v>
      </c>
      <c r="AG52" s="43">
        <v>0</v>
      </c>
      <c r="AH52" s="45">
        <f t="shared" si="4"/>
        <v>0</v>
      </c>
      <c r="AI52" s="45">
        <f t="shared" si="14"/>
        <v>0</v>
      </c>
      <c r="AJ52" s="45">
        <f t="shared" si="15"/>
        <v>0</v>
      </c>
      <c r="AK52" s="45">
        <f t="shared" si="16"/>
        <v>0</v>
      </c>
      <c r="AL52" s="45">
        <f t="shared" si="17"/>
        <v>0</v>
      </c>
      <c r="AM52" s="45">
        <f t="shared" si="18"/>
        <v>0</v>
      </c>
      <c r="AN52" s="45">
        <f t="shared" si="19"/>
        <v>0</v>
      </c>
      <c r="AO52" s="45">
        <f t="shared" si="20"/>
        <v>0.1</v>
      </c>
      <c r="AP52" s="45">
        <f t="shared" si="21"/>
        <v>0</v>
      </c>
      <c r="AQ52" s="45">
        <f t="shared" si="22"/>
        <v>0</v>
      </c>
      <c r="AR52" s="134">
        <f t="shared" si="3"/>
        <v>0.01</v>
      </c>
    </row>
    <row r="53" spans="1:44" x14ac:dyDescent="0.25">
      <c r="A53" t="s">
        <v>34</v>
      </c>
      <c r="D53" t="s">
        <v>43</v>
      </c>
      <c r="E53" s="6">
        <v>2020</v>
      </c>
      <c r="F53" s="6">
        <v>1</v>
      </c>
      <c r="G53" s="61">
        <v>4</v>
      </c>
      <c r="H53" s="61">
        <v>4</v>
      </c>
      <c r="I53" s="61"/>
      <c r="J53" s="61"/>
      <c r="K53">
        <v>152</v>
      </c>
      <c r="L53" s="61"/>
      <c r="M53" s="43">
        <v>18</v>
      </c>
      <c r="N53" s="43">
        <v>15</v>
      </c>
      <c r="O53" s="43">
        <v>16</v>
      </c>
      <c r="P53" s="43">
        <v>16</v>
      </c>
      <c r="Q53" s="43">
        <v>17</v>
      </c>
      <c r="R53" s="43">
        <v>15</v>
      </c>
      <c r="S53" s="43">
        <v>14</v>
      </c>
      <c r="T53" s="43">
        <v>18</v>
      </c>
      <c r="U53" s="43">
        <v>17</v>
      </c>
      <c r="V53" s="43">
        <v>17</v>
      </c>
      <c r="W53" s="43">
        <f t="shared" si="1"/>
        <v>16.3</v>
      </c>
      <c r="X53" s="43">
        <v>0</v>
      </c>
      <c r="Y53" s="43">
        <v>0</v>
      </c>
      <c r="Z53" s="43">
        <v>0</v>
      </c>
      <c r="AA53" s="43">
        <v>0</v>
      </c>
      <c r="AB53" s="43">
        <v>0</v>
      </c>
      <c r="AC53" s="43">
        <v>0</v>
      </c>
      <c r="AD53" s="43">
        <v>0</v>
      </c>
      <c r="AE53" s="43">
        <v>0</v>
      </c>
      <c r="AF53" s="43">
        <v>0</v>
      </c>
      <c r="AG53" s="43">
        <v>0</v>
      </c>
      <c r="AH53" s="45">
        <f t="shared" si="4"/>
        <v>0</v>
      </c>
      <c r="AI53" s="45">
        <f t="shared" si="14"/>
        <v>0</v>
      </c>
      <c r="AJ53" s="45">
        <f t="shared" si="15"/>
        <v>0</v>
      </c>
      <c r="AK53" s="45">
        <f t="shared" si="16"/>
        <v>0</v>
      </c>
      <c r="AL53" s="45">
        <f t="shared" si="17"/>
        <v>0</v>
      </c>
      <c r="AM53" s="45">
        <f t="shared" si="18"/>
        <v>0</v>
      </c>
      <c r="AN53" s="45">
        <f t="shared" si="19"/>
        <v>0</v>
      </c>
      <c r="AO53" s="45">
        <f t="shared" si="20"/>
        <v>0</v>
      </c>
      <c r="AP53" s="45">
        <f t="shared" si="21"/>
        <v>0</v>
      </c>
      <c r="AQ53" s="45">
        <f t="shared" si="22"/>
        <v>0</v>
      </c>
      <c r="AR53" s="134">
        <f t="shared" si="3"/>
        <v>0</v>
      </c>
    </row>
    <row r="54" spans="1:44" x14ac:dyDescent="0.25">
      <c r="A54" t="s">
        <v>24</v>
      </c>
      <c r="D54" t="s">
        <v>312</v>
      </c>
      <c r="E54" s="61">
        <v>2002</v>
      </c>
      <c r="F54" s="61">
        <v>2</v>
      </c>
      <c r="G54" s="61">
        <v>4</v>
      </c>
      <c r="H54" s="61">
        <v>5</v>
      </c>
      <c r="I54" s="61"/>
      <c r="J54" s="61"/>
      <c r="K54">
        <v>153</v>
      </c>
      <c r="L54" s="61"/>
      <c r="M54" s="43">
        <v>12</v>
      </c>
      <c r="N54" s="43">
        <v>21</v>
      </c>
      <c r="O54" s="43">
        <v>15</v>
      </c>
      <c r="P54" s="43">
        <v>14</v>
      </c>
      <c r="Q54" s="43">
        <v>16</v>
      </c>
      <c r="R54" s="43">
        <v>20</v>
      </c>
      <c r="S54" s="43">
        <v>17</v>
      </c>
      <c r="T54" s="43">
        <v>18</v>
      </c>
      <c r="U54" s="43">
        <v>17</v>
      </c>
      <c r="V54" s="43">
        <v>19</v>
      </c>
      <c r="W54" s="43">
        <f t="shared" si="1"/>
        <v>16.899999999999999</v>
      </c>
      <c r="X54" s="43">
        <v>0</v>
      </c>
      <c r="Y54" s="43">
        <v>0</v>
      </c>
      <c r="Z54" s="43">
        <v>0</v>
      </c>
      <c r="AA54" s="43">
        <v>0</v>
      </c>
      <c r="AB54" s="43">
        <v>0</v>
      </c>
      <c r="AC54" s="43">
        <v>0</v>
      </c>
      <c r="AD54" s="43">
        <v>0</v>
      </c>
      <c r="AE54" s="43">
        <v>1</v>
      </c>
      <c r="AF54" s="43">
        <v>0</v>
      </c>
      <c r="AG54" s="43">
        <v>0</v>
      </c>
      <c r="AH54" s="45">
        <f t="shared" si="4"/>
        <v>0</v>
      </c>
      <c r="AI54" s="45">
        <f t="shared" si="14"/>
        <v>0</v>
      </c>
      <c r="AJ54" s="45">
        <f t="shared" si="15"/>
        <v>0</v>
      </c>
      <c r="AK54" s="45">
        <f t="shared" si="16"/>
        <v>0</v>
      </c>
      <c r="AL54" s="45">
        <f t="shared" si="17"/>
        <v>0</v>
      </c>
      <c r="AM54" s="45">
        <f t="shared" si="18"/>
        <v>0</v>
      </c>
      <c r="AN54" s="45">
        <f t="shared" si="19"/>
        <v>0</v>
      </c>
      <c r="AO54" s="45">
        <f t="shared" si="20"/>
        <v>5.5555555555555552E-2</v>
      </c>
      <c r="AP54" s="45">
        <f t="shared" si="21"/>
        <v>0</v>
      </c>
      <c r="AQ54" s="45">
        <f t="shared" si="22"/>
        <v>0</v>
      </c>
      <c r="AR54" s="134">
        <f t="shared" si="3"/>
        <v>5.5555555555555549E-3</v>
      </c>
    </row>
    <row r="55" spans="1:44" x14ac:dyDescent="0.25">
      <c r="A55" t="s">
        <v>24</v>
      </c>
      <c r="D55" t="s">
        <v>26</v>
      </c>
      <c r="E55" s="61">
        <v>1983</v>
      </c>
      <c r="F55" s="61">
        <v>2</v>
      </c>
      <c r="G55" s="61">
        <v>4</v>
      </c>
      <c r="H55" s="61">
        <v>6</v>
      </c>
      <c r="I55" s="61"/>
      <c r="J55" s="61"/>
      <c r="K55">
        <v>154</v>
      </c>
      <c r="L55" s="61"/>
      <c r="M55" s="43">
        <v>14</v>
      </c>
      <c r="N55" s="43">
        <v>14</v>
      </c>
      <c r="O55" s="43">
        <v>20</v>
      </c>
      <c r="P55" s="43">
        <v>20</v>
      </c>
      <c r="Q55" s="43">
        <v>17</v>
      </c>
      <c r="R55" s="43">
        <v>23</v>
      </c>
      <c r="S55" s="43">
        <v>21</v>
      </c>
      <c r="T55" s="43">
        <v>17</v>
      </c>
      <c r="U55" s="43">
        <v>21</v>
      </c>
      <c r="V55" s="43">
        <v>18</v>
      </c>
      <c r="W55" s="43">
        <f t="shared" si="1"/>
        <v>18.5</v>
      </c>
      <c r="X55" s="43">
        <v>0</v>
      </c>
      <c r="Y55" s="43">
        <v>1</v>
      </c>
      <c r="Z55" s="43">
        <v>0</v>
      </c>
      <c r="AA55" s="43">
        <v>0</v>
      </c>
      <c r="AB55" s="43">
        <v>0</v>
      </c>
      <c r="AC55" s="43">
        <v>0</v>
      </c>
      <c r="AD55" s="43">
        <v>0</v>
      </c>
      <c r="AE55" s="43">
        <v>0</v>
      </c>
      <c r="AF55" s="43">
        <v>0</v>
      </c>
      <c r="AG55" s="43">
        <v>0</v>
      </c>
      <c r="AH55" s="45">
        <f t="shared" si="4"/>
        <v>0</v>
      </c>
      <c r="AI55" s="45">
        <f t="shared" si="14"/>
        <v>7.1428571428571425E-2</v>
      </c>
      <c r="AJ55" s="45">
        <f t="shared" si="15"/>
        <v>0</v>
      </c>
      <c r="AK55" s="45">
        <f t="shared" si="16"/>
        <v>0</v>
      </c>
      <c r="AL55" s="45">
        <f t="shared" si="17"/>
        <v>0</v>
      </c>
      <c r="AM55" s="45">
        <f t="shared" si="18"/>
        <v>0</v>
      </c>
      <c r="AN55" s="45">
        <f t="shared" si="19"/>
        <v>0</v>
      </c>
      <c r="AO55" s="45">
        <f t="shared" si="20"/>
        <v>0</v>
      </c>
      <c r="AP55" s="45">
        <f t="shared" si="21"/>
        <v>0</v>
      </c>
      <c r="AQ55" s="45">
        <f t="shared" si="22"/>
        <v>0</v>
      </c>
      <c r="AR55" s="134">
        <f t="shared" si="3"/>
        <v>7.1428571428571426E-3</v>
      </c>
    </row>
    <row r="56" spans="1:44" x14ac:dyDescent="0.25">
      <c r="A56" t="s">
        <v>34</v>
      </c>
      <c r="D56" t="s">
        <v>36</v>
      </c>
      <c r="E56" s="6">
        <v>1984</v>
      </c>
      <c r="F56" s="6">
        <v>2</v>
      </c>
      <c r="G56" s="61">
        <v>4</v>
      </c>
      <c r="H56" s="61">
        <v>7</v>
      </c>
      <c r="I56" s="61"/>
      <c r="J56" s="61"/>
      <c r="K56">
        <v>155</v>
      </c>
      <c r="L56" s="61"/>
      <c r="M56" s="43">
        <v>18</v>
      </c>
      <c r="N56" s="43">
        <v>17</v>
      </c>
      <c r="O56" s="43">
        <v>12</v>
      </c>
      <c r="P56" s="43">
        <v>10</v>
      </c>
      <c r="Q56" s="43">
        <v>16</v>
      </c>
      <c r="R56" s="43">
        <v>14</v>
      </c>
      <c r="S56" s="43">
        <v>15</v>
      </c>
      <c r="T56" s="43">
        <v>16</v>
      </c>
      <c r="U56" s="43">
        <v>19</v>
      </c>
      <c r="V56" s="43">
        <v>15</v>
      </c>
      <c r="W56" s="43">
        <f t="shared" si="1"/>
        <v>15.2</v>
      </c>
      <c r="X56" s="43">
        <v>0</v>
      </c>
      <c r="Y56" s="43">
        <v>0</v>
      </c>
      <c r="Z56" s="43">
        <v>0</v>
      </c>
      <c r="AA56" s="43">
        <v>0</v>
      </c>
      <c r="AB56" s="43">
        <v>0</v>
      </c>
      <c r="AC56" s="43">
        <v>0</v>
      </c>
      <c r="AD56" s="43">
        <v>0</v>
      </c>
      <c r="AE56" s="43">
        <v>0</v>
      </c>
      <c r="AF56" s="43">
        <v>0</v>
      </c>
      <c r="AG56" s="43">
        <v>0</v>
      </c>
      <c r="AH56" s="45">
        <f t="shared" si="4"/>
        <v>0</v>
      </c>
      <c r="AI56" s="45">
        <f t="shared" si="14"/>
        <v>0</v>
      </c>
      <c r="AJ56" s="45">
        <f t="shared" si="15"/>
        <v>0</v>
      </c>
      <c r="AK56" s="45">
        <f t="shared" si="16"/>
        <v>0</v>
      </c>
      <c r="AL56" s="45">
        <f t="shared" si="17"/>
        <v>0</v>
      </c>
      <c r="AM56" s="45">
        <f t="shared" si="18"/>
        <v>0</v>
      </c>
      <c r="AN56" s="45">
        <f t="shared" si="19"/>
        <v>0</v>
      </c>
      <c r="AO56" s="45">
        <f t="shared" si="20"/>
        <v>0</v>
      </c>
      <c r="AP56" s="45">
        <f t="shared" si="21"/>
        <v>0</v>
      </c>
      <c r="AQ56" s="45">
        <f t="shared" si="22"/>
        <v>0</v>
      </c>
      <c r="AR56" s="134">
        <f t="shared" si="3"/>
        <v>0</v>
      </c>
    </row>
    <row r="57" spans="1:44" x14ac:dyDescent="0.25">
      <c r="A57" t="s">
        <v>34</v>
      </c>
      <c r="D57" t="s">
        <v>42</v>
      </c>
      <c r="E57" s="6">
        <v>2016</v>
      </c>
      <c r="F57" s="6">
        <v>2</v>
      </c>
      <c r="G57" s="61">
        <v>4</v>
      </c>
      <c r="H57" s="61">
        <v>8</v>
      </c>
      <c r="I57" s="61"/>
      <c r="J57" s="61"/>
      <c r="K57">
        <v>156</v>
      </c>
      <c r="L57" s="61"/>
      <c r="M57" s="43">
        <v>12</v>
      </c>
      <c r="N57" s="43">
        <v>12</v>
      </c>
      <c r="O57" s="43">
        <v>11</v>
      </c>
      <c r="P57" s="43">
        <v>14</v>
      </c>
      <c r="Q57" s="43">
        <v>14</v>
      </c>
      <c r="R57" s="43">
        <v>15</v>
      </c>
      <c r="S57" s="43">
        <v>13</v>
      </c>
      <c r="T57" s="43">
        <v>15</v>
      </c>
      <c r="U57" s="43">
        <v>15</v>
      </c>
      <c r="V57" s="43">
        <v>14</v>
      </c>
      <c r="W57" s="43">
        <f t="shared" si="1"/>
        <v>13.5</v>
      </c>
      <c r="X57" s="43">
        <v>0</v>
      </c>
      <c r="Y57" s="43">
        <v>0</v>
      </c>
      <c r="Z57" s="43">
        <v>0</v>
      </c>
      <c r="AA57" s="43">
        <v>0</v>
      </c>
      <c r="AB57" s="43">
        <v>0</v>
      </c>
      <c r="AC57" s="43">
        <v>0</v>
      </c>
      <c r="AD57" s="43">
        <v>0</v>
      </c>
      <c r="AE57" s="43">
        <v>0</v>
      </c>
      <c r="AF57" s="43">
        <v>0</v>
      </c>
      <c r="AG57" s="43">
        <v>2</v>
      </c>
      <c r="AH57" s="45">
        <f t="shared" si="4"/>
        <v>0</v>
      </c>
      <c r="AI57" s="45">
        <f t="shared" si="14"/>
        <v>0</v>
      </c>
      <c r="AJ57" s="45">
        <f t="shared" si="15"/>
        <v>0</v>
      </c>
      <c r="AK57" s="45">
        <f t="shared" si="16"/>
        <v>0</v>
      </c>
      <c r="AL57" s="45">
        <f t="shared" si="17"/>
        <v>0</v>
      </c>
      <c r="AM57" s="45">
        <f t="shared" si="18"/>
        <v>0</v>
      </c>
      <c r="AN57" s="45">
        <f t="shared" si="19"/>
        <v>0</v>
      </c>
      <c r="AO57" s="45">
        <f t="shared" si="20"/>
        <v>0</v>
      </c>
      <c r="AP57" s="45">
        <f t="shared" si="21"/>
        <v>0</v>
      </c>
      <c r="AQ57" s="45">
        <f t="shared" si="22"/>
        <v>0.14285714285714285</v>
      </c>
      <c r="AR57" s="134">
        <f t="shared" si="3"/>
        <v>1.4285714285714285E-2</v>
      </c>
    </row>
    <row r="58" spans="1:44" x14ac:dyDescent="0.25">
      <c r="A58" t="s">
        <v>24</v>
      </c>
      <c r="D58" t="s">
        <v>27</v>
      </c>
      <c r="E58" s="61">
        <v>1985</v>
      </c>
      <c r="F58" s="61">
        <v>3</v>
      </c>
      <c r="G58" s="61">
        <v>4</v>
      </c>
      <c r="H58" s="61">
        <v>9</v>
      </c>
      <c r="K58">
        <v>157</v>
      </c>
      <c r="M58" s="43">
        <v>21</v>
      </c>
      <c r="N58" s="43">
        <v>16</v>
      </c>
      <c r="O58" s="43">
        <v>23</v>
      </c>
      <c r="P58" s="43">
        <v>17</v>
      </c>
      <c r="Q58" s="43">
        <v>23</v>
      </c>
      <c r="R58" s="43">
        <v>21</v>
      </c>
      <c r="S58" s="43">
        <v>13</v>
      </c>
      <c r="T58" s="43">
        <v>19</v>
      </c>
      <c r="U58" s="43">
        <v>21</v>
      </c>
      <c r="V58" s="43">
        <v>15</v>
      </c>
      <c r="W58" s="43">
        <f t="shared" si="1"/>
        <v>18.899999999999999</v>
      </c>
      <c r="X58" s="43">
        <v>0</v>
      </c>
      <c r="Y58" s="43">
        <v>1</v>
      </c>
      <c r="Z58" s="43">
        <v>0</v>
      </c>
      <c r="AA58" s="43">
        <v>0</v>
      </c>
      <c r="AB58" s="43">
        <v>0</v>
      </c>
      <c r="AC58" s="43">
        <v>0</v>
      </c>
      <c r="AD58" s="43">
        <v>0</v>
      </c>
      <c r="AE58" s="43">
        <v>0</v>
      </c>
      <c r="AF58" s="43">
        <v>0</v>
      </c>
      <c r="AG58" s="43">
        <v>0</v>
      </c>
      <c r="AH58" s="45">
        <f t="shared" si="4"/>
        <v>0</v>
      </c>
      <c r="AI58" s="45">
        <f t="shared" si="14"/>
        <v>6.25E-2</v>
      </c>
      <c r="AJ58" s="45">
        <f t="shared" si="15"/>
        <v>0</v>
      </c>
      <c r="AK58" s="45">
        <f t="shared" si="16"/>
        <v>0</v>
      </c>
      <c r="AL58" s="45">
        <f t="shared" si="17"/>
        <v>0</v>
      </c>
      <c r="AM58" s="45">
        <f t="shared" si="18"/>
        <v>0</v>
      </c>
      <c r="AN58" s="45">
        <f t="shared" si="19"/>
        <v>0</v>
      </c>
      <c r="AO58" s="45">
        <f t="shared" si="20"/>
        <v>0</v>
      </c>
      <c r="AP58" s="45">
        <f t="shared" si="21"/>
        <v>0</v>
      </c>
      <c r="AQ58" s="45">
        <f t="shared" si="22"/>
        <v>0</v>
      </c>
      <c r="AR58" s="134">
        <f t="shared" si="3"/>
        <v>6.2500000000000003E-3</v>
      </c>
    </row>
    <row r="59" spans="1:44" x14ac:dyDescent="0.25">
      <c r="A59" t="s">
        <v>24</v>
      </c>
      <c r="D59" t="s">
        <v>311</v>
      </c>
      <c r="E59" s="6">
        <v>2023</v>
      </c>
      <c r="F59" s="6">
        <v>3</v>
      </c>
      <c r="G59" s="61">
        <v>4</v>
      </c>
      <c r="H59" s="61">
        <v>10</v>
      </c>
      <c r="K59">
        <v>158</v>
      </c>
      <c r="M59" s="43">
        <v>17</v>
      </c>
      <c r="N59" s="43">
        <v>19</v>
      </c>
      <c r="O59" s="43">
        <v>17</v>
      </c>
      <c r="P59" s="43">
        <v>17</v>
      </c>
      <c r="Q59" s="43">
        <v>17</v>
      </c>
      <c r="R59" s="43">
        <v>18</v>
      </c>
      <c r="S59" s="43">
        <v>15</v>
      </c>
      <c r="T59" s="43">
        <v>14</v>
      </c>
      <c r="U59" s="43">
        <v>14</v>
      </c>
      <c r="V59" s="43">
        <v>13</v>
      </c>
      <c r="W59" s="43">
        <f t="shared" si="1"/>
        <v>16.100000000000001</v>
      </c>
      <c r="X59" s="43">
        <v>0</v>
      </c>
      <c r="Y59" s="43">
        <v>0</v>
      </c>
      <c r="Z59" s="43">
        <v>0</v>
      </c>
      <c r="AA59" s="43">
        <v>0</v>
      </c>
      <c r="AB59" s="43">
        <v>1</v>
      </c>
      <c r="AC59" s="43">
        <v>0</v>
      </c>
      <c r="AD59" s="43">
        <v>0</v>
      </c>
      <c r="AE59" s="43">
        <v>0</v>
      </c>
      <c r="AF59" s="43">
        <v>0</v>
      </c>
      <c r="AG59" s="43">
        <v>0</v>
      </c>
      <c r="AH59" s="45">
        <f t="shared" si="4"/>
        <v>0</v>
      </c>
      <c r="AI59" s="45">
        <f t="shared" si="14"/>
        <v>0</v>
      </c>
      <c r="AJ59" s="45">
        <f t="shared" si="15"/>
        <v>0</v>
      </c>
      <c r="AK59" s="45">
        <f t="shared" si="16"/>
        <v>0</v>
      </c>
      <c r="AL59" s="45">
        <f t="shared" si="17"/>
        <v>5.8823529411764705E-2</v>
      </c>
      <c r="AM59" s="45">
        <f t="shared" si="18"/>
        <v>0</v>
      </c>
      <c r="AN59" s="45">
        <f t="shared" si="19"/>
        <v>0</v>
      </c>
      <c r="AO59" s="45">
        <f t="shared" si="20"/>
        <v>0</v>
      </c>
      <c r="AP59" s="45">
        <f t="shared" si="21"/>
        <v>0</v>
      </c>
      <c r="AQ59" s="45">
        <f t="shared" si="22"/>
        <v>0</v>
      </c>
      <c r="AR59" s="134">
        <f t="shared" si="3"/>
        <v>5.8823529411764705E-3</v>
      </c>
    </row>
    <row r="60" spans="1:44" x14ac:dyDescent="0.25">
      <c r="A60" t="s">
        <v>34</v>
      </c>
      <c r="D60" t="s">
        <v>41</v>
      </c>
      <c r="E60" s="61">
        <v>2008</v>
      </c>
      <c r="F60" s="61">
        <v>3</v>
      </c>
      <c r="G60" s="61">
        <v>4</v>
      </c>
      <c r="H60" s="61">
        <v>11</v>
      </c>
      <c r="K60">
        <v>159</v>
      </c>
      <c r="M60" s="43">
        <v>13</v>
      </c>
      <c r="N60" s="43">
        <v>14</v>
      </c>
      <c r="O60" s="43">
        <v>13</v>
      </c>
      <c r="P60" s="43">
        <v>13</v>
      </c>
      <c r="Q60" s="43">
        <v>15</v>
      </c>
      <c r="R60" s="43">
        <v>15</v>
      </c>
      <c r="S60" s="43">
        <v>15</v>
      </c>
      <c r="T60" s="43">
        <v>16</v>
      </c>
      <c r="U60" s="43">
        <v>15</v>
      </c>
      <c r="V60" s="43">
        <v>14</v>
      </c>
      <c r="W60" s="43">
        <f t="shared" si="1"/>
        <v>14.3</v>
      </c>
      <c r="X60" s="43">
        <v>0</v>
      </c>
      <c r="Y60" s="43">
        <v>2</v>
      </c>
      <c r="Z60" s="43">
        <v>0</v>
      </c>
      <c r="AA60" s="43">
        <v>0</v>
      </c>
      <c r="AB60" s="43">
        <v>0</v>
      </c>
      <c r="AC60" s="43">
        <v>0</v>
      </c>
      <c r="AD60" s="43">
        <v>0</v>
      </c>
      <c r="AE60" s="43">
        <v>0</v>
      </c>
      <c r="AF60" s="43">
        <v>0</v>
      </c>
      <c r="AG60" s="43">
        <v>0</v>
      </c>
      <c r="AH60" s="45">
        <f t="shared" si="4"/>
        <v>0</v>
      </c>
      <c r="AI60" s="45">
        <f t="shared" si="14"/>
        <v>0.14285714285714285</v>
      </c>
      <c r="AJ60" s="45">
        <f t="shared" si="15"/>
        <v>0</v>
      </c>
      <c r="AK60" s="45">
        <f t="shared" si="16"/>
        <v>0</v>
      </c>
      <c r="AL60" s="45">
        <f t="shared" si="17"/>
        <v>0</v>
      </c>
      <c r="AM60" s="45">
        <f t="shared" si="18"/>
        <v>0</v>
      </c>
      <c r="AN60" s="45">
        <f t="shared" si="19"/>
        <v>0</v>
      </c>
      <c r="AO60" s="45">
        <f t="shared" si="20"/>
        <v>0</v>
      </c>
      <c r="AP60" s="45">
        <f t="shared" si="21"/>
        <v>0</v>
      </c>
      <c r="AQ60" s="45">
        <f t="shared" si="22"/>
        <v>0</v>
      </c>
      <c r="AR60" s="134">
        <f t="shared" si="3"/>
        <v>1.4285714285714285E-2</v>
      </c>
    </row>
    <row r="61" spans="1:44" x14ac:dyDescent="0.25">
      <c r="A61" t="s">
        <v>34</v>
      </c>
      <c r="D61" t="s">
        <v>37</v>
      </c>
      <c r="E61" s="6">
        <v>1989</v>
      </c>
      <c r="F61" s="6">
        <v>3</v>
      </c>
      <c r="G61" s="61">
        <v>4</v>
      </c>
      <c r="H61" s="61">
        <v>12</v>
      </c>
      <c r="K61">
        <v>160</v>
      </c>
      <c r="M61" s="43">
        <v>18</v>
      </c>
      <c r="N61" s="43">
        <v>16</v>
      </c>
      <c r="O61" s="43">
        <v>16</v>
      </c>
      <c r="P61" s="43">
        <v>16</v>
      </c>
      <c r="Q61" s="43">
        <v>12</v>
      </c>
      <c r="R61" s="43">
        <v>14</v>
      </c>
      <c r="S61" s="43">
        <v>14</v>
      </c>
      <c r="T61" s="43">
        <v>10</v>
      </c>
      <c r="U61" s="43">
        <v>16</v>
      </c>
      <c r="V61" s="43">
        <v>14</v>
      </c>
      <c r="W61" s="43">
        <f t="shared" si="1"/>
        <v>14.6</v>
      </c>
      <c r="X61" s="43">
        <v>0</v>
      </c>
      <c r="Y61" s="43">
        <v>0</v>
      </c>
      <c r="Z61" s="43">
        <v>0</v>
      </c>
      <c r="AA61" s="43">
        <v>0</v>
      </c>
      <c r="AB61" s="43">
        <v>0</v>
      </c>
      <c r="AC61" s="43">
        <v>0</v>
      </c>
      <c r="AD61" s="43">
        <v>0</v>
      </c>
      <c r="AE61" s="43">
        <v>0</v>
      </c>
      <c r="AF61" s="43">
        <v>0</v>
      </c>
      <c r="AG61" s="43">
        <v>0</v>
      </c>
      <c r="AH61" s="45">
        <f t="shared" si="4"/>
        <v>0</v>
      </c>
      <c r="AI61" s="45">
        <f t="shared" si="14"/>
        <v>0</v>
      </c>
      <c r="AJ61" s="45">
        <f t="shared" si="15"/>
        <v>0</v>
      </c>
      <c r="AK61" s="45">
        <f t="shared" si="16"/>
        <v>0</v>
      </c>
      <c r="AL61" s="45">
        <f t="shared" si="17"/>
        <v>0</v>
      </c>
      <c r="AM61" s="45">
        <f t="shared" si="18"/>
        <v>0</v>
      </c>
      <c r="AN61" s="45">
        <f t="shared" si="19"/>
        <v>0</v>
      </c>
      <c r="AO61" s="45">
        <f t="shared" si="20"/>
        <v>0</v>
      </c>
      <c r="AP61" s="45">
        <f t="shared" si="21"/>
        <v>0</v>
      </c>
      <c r="AQ61" s="45">
        <f t="shared" si="22"/>
        <v>0</v>
      </c>
      <c r="AR61" s="134">
        <f t="shared" si="3"/>
        <v>0</v>
      </c>
    </row>
    <row r="62" spans="1:44" x14ac:dyDescent="0.25">
      <c r="A62" t="s">
        <v>24</v>
      </c>
      <c r="D62" t="s">
        <v>28</v>
      </c>
      <c r="E62" s="61">
        <v>1998</v>
      </c>
      <c r="F62" s="61">
        <v>4</v>
      </c>
      <c r="G62" s="61">
        <v>4</v>
      </c>
      <c r="H62" s="61">
        <v>13</v>
      </c>
      <c r="K62">
        <v>161</v>
      </c>
      <c r="M62" s="43">
        <v>13</v>
      </c>
      <c r="N62" s="43">
        <v>15</v>
      </c>
      <c r="O62" s="43">
        <v>18</v>
      </c>
      <c r="P62" s="43">
        <v>12</v>
      </c>
      <c r="Q62" s="43">
        <v>14</v>
      </c>
      <c r="R62" s="43">
        <v>21</v>
      </c>
      <c r="S62" s="43">
        <v>18</v>
      </c>
      <c r="T62" s="43">
        <v>16</v>
      </c>
      <c r="U62" s="43">
        <v>18</v>
      </c>
      <c r="V62" s="43">
        <v>17</v>
      </c>
      <c r="W62" s="43">
        <f t="shared" si="1"/>
        <v>16.2</v>
      </c>
      <c r="X62" s="43">
        <v>0</v>
      </c>
      <c r="Y62" s="43">
        <v>0</v>
      </c>
      <c r="Z62" s="43">
        <v>0</v>
      </c>
      <c r="AA62" s="43">
        <v>0</v>
      </c>
      <c r="AB62" s="43">
        <v>0</v>
      </c>
      <c r="AC62" s="43">
        <v>0</v>
      </c>
      <c r="AD62" s="43">
        <v>0</v>
      </c>
      <c r="AE62" s="43">
        <v>0</v>
      </c>
      <c r="AF62" s="43">
        <v>0</v>
      </c>
      <c r="AG62" s="43">
        <v>1</v>
      </c>
      <c r="AH62" s="45">
        <f t="shared" si="4"/>
        <v>0</v>
      </c>
      <c r="AI62" s="45">
        <f t="shared" si="14"/>
        <v>0</v>
      </c>
      <c r="AJ62" s="45">
        <f t="shared" si="15"/>
        <v>0</v>
      </c>
      <c r="AK62" s="45">
        <f t="shared" si="16"/>
        <v>0</v>
      </c>
      <c r="AL62" s="45">
        <f t="shared" si="17"/>
        <v>0</v>
      </c>
      <c r="AM62" s="45">
        <f t="shared" si="18"/>
        <v>0</v>
      </c>
      <c r="AN62" s="45">
        <f t="shared" si="19"/>
        <v>0</v>
      </c>
      <c r="AO62" s="45">
        <f t="shared" si="20"/>
        <v>0</v>
      </c>
      <c r="AP62" s="45">
        <f t="shared" si="21"/>
        <v>0</v>
      </c>
      <c r="AQ62" s="45">
        <f t="shared" si="22"/>
        <v>5.8823529411764705E-2</v>
      </c>
      <c r="AR62" s="134">
        <f t="shared" si="3"/>
        <v>5.8823529411764705E-3</v>
      </c>
    </row>
    <row r="63" spans="1:44" x14ac:dyDescent="0.25">
      <c r="A63" t="s">
        <v>24</v>
      </c>
      <c r="D63" t="s">
        <v>313</v>
      </c>
      <c r="E63" s="61">
        <v>2016</v>
      </c>
      <c r="F63" s="61">
        <v>4</v>
      </c>
      <c r="G63" s="61">
        <v>4</v>
      </c>
      <c r="H63" s="61">
        <v>14</v>
      </c>
      <c r="K63">
        <v>162</v>
      </c>
      <c r="M63" s="43">
        <v>19</v>
      </c>
      <c r="N63" s="43">
        <v>24</v>
      </c>
      <c r="O63" s="43">
        <v>17</v>
      </c>
      <c r="P63" s="43">
        <v>18</v>
      </c>
      <c r="Q63" s="43">
        <v>19</v>
      </c>
      <c r="R63" s="43">
        <v>23</v>
      </c>
      <c r="S63" s="43">
        <v>18</v>
      </c>
      <c r="T63" s="43">
        <v>21</v>
      </c>
      <c r="U63" s="43">
        <v>20</v>
      </c>
      <c r="V63" s="43">
        <v>22</v>
      </c>
      <c r="W63" s="43">
        <f t="shared" si="1"/>
        <v>20.100000000000001</v>
      </c>
      <c r="X63" s="43">
        <v>0</v>
      </c>
      <c r="Y63" s="43">
        <v>0</v>
      </c>
      <c r="Z63" s="43">
        <v>0</v>
      </c>
      <c r="AA63" s="43">
        <v>0</v>
      </c>
      <c r="AB63" s="43">
        <v>0</v>
      </c>
      <c r="AC63" s="43">
        <v>0</v>
      </c>
      <c r="AD63" s="43">
        <v>0</v>
      </c>
      <c r="AE63" s="43">
        <v>1</v>
      </c>
      <c r="AF63" s="43">
        <v>0</v>
      </c>
      <c r="AG63" s="43">
        <v>0</v>
      </c>
      <c r="AH63" s="45">
        <f t="shared" si="4"/>
        <v>0</v>
      </c>
      <c r="AI63" s="45">
        <f t="shared" si="14"/>
        <v>0</v>
      </c>
      <c r="AJ63" s="45">
        <f t="shared" si="15"/>
        <v>0</v>
      </c>
      <c r="AK63" s="45">
        <f t="shared" si="16"/>
        <v>0</v>
      </c>
      <c r="AL63" s="45">
        <f t="shared" si="17"/>
        <v>0</v>
      </c>
      <c r="AM63" s="45">
        <f t="shared" si="18"/>
        <v>0</v>
      </c>
      <c r="AN63" s="45">
        <f t="shared" si="19"/>
        <v>0</v>
      </c>
      <c r="AO63" s="45">
        <f t="shared" si="20"/>
        <v>4.7619047619047616E-2</v>
      </c>
      <c r="AP63" s="45">
        <f t="shared" si="21"/>
        <v>0</v>
      </c>
      <c r="AQ63" s="45">
        <f t="shared" si="22"/>
        <v>0</v>
      </c>
      <c r="AR63" s="134">
        <f t="shared" si="3"/>
        <v>4.7619047619047615E-3</v>
      </c>
    </row>
    <row r="64" spans="1:44" x14ac:dyDescent="0.25">
      <c r="A64" t="s">
        <v>34</v>
      </c>
      <c r="D64" t="s">
        <v>318</v>
      </c>
      <c r="E64" s="61">
        <v>2004</v>
      </c>
      <c r="F64" s="61">
        <v>4</v>
      </c>
      <c r="G64" s="61">
        <v>4</v>
      </c>
      <c r="H64" s="61">
        <v>15</v>
      </c>
      <c r="K64">
        <v>163</v>
      </c>
      <c r="M64" s="43">
        <v>14</v>
      </c>
      <c r="N64" s="43">
        <v>14</v>
      </c>
      <c r="O64" s="43">
        <v>12</v>
      </c>
      <c r="P64" s="43">
        <v>11</v>
      </c>
      <c r="Q64" s="43">
        <v>16</v>
      </c>
      <c r="R64" s="43">
        <v>17</v>
      </c>
      <c r="S64" s="43">
        <v>14</v>
      </c>
      <c r="T64" s="43">
        <v>16</v>
      </c>
      <c r="U64" s="43">
        <v>15</v>
      </c>
      <c r="V64" s="43">
        <v>15</v>
      </c>
      <c r="W64" s="43">
        <f t="shared" si="1"/>
        <v>14.4</v>
      </c>
      <c r="X64" s="43">
        <v>0</v>
      </c>
      <c r="Y64" s="43">
        <v>0</v>
      </c>
      <c r="Z64" s="43">
        <v>0</v>
      </c>
      <c r="AA64" s="43">
        <v>0</v>
      </c>
      <c r="AB64" s="43">
        <v>0</v>
      </c>
      <c r="AC64" s="43">
        <v>0</v>
      </c>
      <c r="AD64" s="43">
        <v>0</v>
      </c>
      <c r="AE64" s="43">
        <v>0</v>
      </c>
      <c r="AF64" s="43">
        <v>0</v>
      </c>
      <c r="AG64" s="43">
        <v>0</v>
      </c>
      <c r="AH64" s="45">
        <f t="shared" si="4"/>
        <v>0</v>
      </c>
      <c r="AI64" s="45">
        <f t="shared" si="14"/>
        <v>0</v>
      </c>
      <c r="AJ64" s="45">
        <f t="shared" si="15"/>
        <v>0</v>
      </c>
      <c r="AK64" s="45">
        <f t="shared" si="16"/>
        <v>0</v>
      </c>
      <c r="AL64" s="45">
        <f t="shared" si="17"/>
        <v>0</v>
      </c>
      <c r="AM64" s="45">
        <f t="shared" si="18"/>
        <v>0</v>
      </c>
      <c r="AN64" s="45">
        <f t="shared" si="19"/>
        <v>0</v>
      </c>
      <c r="AO64" s="45">
        <f t="shared" si="20"/>
        <v>0</v>
      </c>
      <c r="AP64" s="45">
        <f t="shared" si="21"/>
        <v>0</v>
      </c>
      <c r="AQ64" s="45">
        <f t="shared" si="22"/>
        <v>0</v>
      </c>
      <c r="AR64" s="134">
        <f t="shared" si="3"/>
        <v>0</v>
      </c>
    </row>
    <row r="65" spans="1:44" x14ac:dyDescent="0.25">
      <c r="A65" t="s">
        <v>34</v>
      </c>
      <c r="D65" t="s">
        <v>39</v>
      </c>
      <c r="E65" s="61">
        <v>2001</v>
      </c>
      <c r="F65" s="61">
        <v>4</v>
      </c>
      <c r="G65" s="61">
        <v>4</v>
      </c>
      <c r="H65" s="61">
        <v>16</v>
      </c>
      <c r="K65">
        <v>164</v>
      </c>
      <c r="M65" s="43">
        <v>17</v>
      </c>
      <c r="N65" s="43">
        <v>15</v>
      </c>
      <c r="O65" s="43">
        <v>15</v>
      </c>
      <c r="P65" s="43">
        <v>14</v>
      </c>
      <c r="Q65" s="43">
        <v>12</v>
      </c>
      <c r="R65" s="43">
        <v>13</v>
      </c>
      <c r="S65" s="43">
        <v>15</v>
      </c>
      <c r="T65" s="43">
        <v>16</v>
      </c>
      <c r="U65" s="43">
        <v>14</v>
      </c>
      <c r="V65" s="43">
        <v>16</v>
      </c>
      <c r="W65" s="43">
        <f t="shared" si="1"/>
        <v>14.7</v>
      </c>
      <c r="X65" s="43">
        <v>0</v>
      </c>
      <c r="Y65" s="43">
        <v>0</v>
      </c>
      <c r="Z65" s="43">
        <v>0</v>
      </c>
      <c r="AA65" s="43">
        <v>0</v>
      </c>
      <c r="AB65" s="43">
        <v>0</v>
      </c>
      <c r="AC65" s="43">
        <v>0</v>
      </c>
      <c r="AD65" s="43">
        <v>0</v>
      </c>
      <c r="AE65" s="43">
        <v>0</v>
      </c>
      <c r="AF65" s="43">
        <v>0</v>
      </c>
      <c r="AG65" s="43">
        <v>1</v>
      </c>
      <c r="AH65" s="45">
        <f t="shared" si="4"/>
        <v>0</v>
      </c>
      <c r="AI65" s="45">
        <f t="shared" si="14"/>
        <v>0</v>
      </c>
      <c r="AJ65" s="45">
        <f t="shared" si="15"/>
        <v>0</v>
      </c>
      <c r="AK65" s="45">
        <f t="shared" si="16"/>
        <v>0</v>
      </c>
      <c r="AL65" s="45">
        <f t="shared" si="17"/>
        <v>0</v>
      </c>
      <c r="AM65" s="45">
        <f t="shared" si="18"/>
        <v>0</v>
      </c>
      <c r="AN65" s="45">
        <f t="shared" si="19"/>
        <v>0</v>
      </c>
      <c r="AO65" s="45">
        <f t="shared" si="20"/>
        <v>0</v>
      </c>
      <c r="AP65" s="45">
        <f t="shared" si="21"/>
        <v>0</v>
      </c>
      <c r="AQ65" s="45">
        <f t="shared" si="22"/>
        <v>6.25E-2</v>
      </c>
      <c r="AR65" s="134">
        <f t="shared" si="3"/>
        <v>6.2500000000000003E-3</v>
      </c>
    </row>
    <row r="90" spans="5:12" x14ac:dyDescent="0.25">
      <c r="E90" s="54"/>
      <c r="F90" s="55"/>
      <c r="G90" s="55"/>
      <c r="H90" s="55"/>
      <c r="I90" s="55"/>
      <c r="J90" s="55"/>
      <c r="K90" s="55"/>
      <c r="L90" s="55"/>
    </row>
    <row r="154" spans="5:12" x14ac:dyDescent="0.25">
      <c r="E154" s="54"/>
      <c r="F154" s="55"/>
      <c r="G154" s="55"/>
      <c r="H154" s="55"/>
      <c r="I154" s="55"/>
      <c r="J154" s="55"/>
      <c r="K154" s="55"/>
      <c r="L154" s="55"/>
    </row>
    <row r="218" spans="5:12" x14ac:dyDescent="0.25">
      <c r="E218" s="54"/>
      <c r="F218" s="55"/>
      <c r="G218" s="55"/>
      <c r="H218" s="55"/>
      <c r="I218" s="55"/>
      <c r="J218" s="55"/>
      <c r="K218" s="55"/>
      <c r="L218" s="55"/>
    </row>
    <row r="282" spans="5:12" x14ac:dyDescent="0.25">
      <c r="E282" s="54"/>
      <c r="F282" s="55"/>
      <c r="G282" s="55"/>
      <c r="H282" s="55"/>
      <c r="I282" s="55"/>
      <c r="J282" s="55"/>
      <c r="K282" s="55"/>
      <c r="L282" s="55"/>
    </row>
    <row r="346" spans="5:12" x14ac:dyDescent="0.25">
      <c r="E346" s="54"/>
      <c r="F346" s="55"/>
      <c r="G346" s="55"/>
      <c r="H346" s="55"/>
      <c r="I346" s="55"/>
      <c r="J346" s="55"/>
      <c r="K346" s="55"/>
      <c r="L346" s="55"/>
    </row>
    <row r="410" spans="5:12" x14ac:dyDescent="0.25">
      <c r="E410" s="54"/>
      <c r="F410" s="55"/>
      <c r="G410" s="55"/>
      <c r="H410" s="55"/>
      <c r="I410" s="55"/>
      <c r="J410" s="55"/>
      <c r="K410" s="55"/>
      <c r="L410" s="55"/>
    </row>
    <row r="474" spans="5:12" x14ac:dyDescent="0.25">
      <c r="E474" s="54"/>
      <c r="F474" s="55"/>
      <c r="G474" s="55"/>
      <c r="H474" s="55"/>
      <c r="I474" s="55"/>
      <c r="J474" s="55"/>
      <c r="K474" s="55"/>
      <c r="L474" s="55"/>
    </row>
  </sheetData>
  <phoneticPr fontId="6" type="noConversion"/>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EA3A-F44F-4FF0-ACD1-306DF5B845D0}">
  <dimension ref="A1:BF474"/>
  <sheetViews>
    <sheetView topLeftCell="AE1" workbookViewId="0">
      <selection activeCell="AO9" sqref="AO9"/>
    </sheetView>
  </sheetViews>
  <sheetFormatPr defaultRowHeight="15" x14ac:dyDescent="0.25"/>
  <cols>
    <col min="1" max="3" width="9.140625" style="44"/>
    <col min="4" max="4" width="9.140625" style="121"/>
    <col min="5" max="8" width="9.140625" style="44"/>
    <col min="9" max="9" width="9.140625" style="44" customWidth="1"/>
    <col min="10" max="12" width="9.140625" style="6" customWidth="1"/>
    <col min="13" max="13" width="15.5703125" style="44" customWidth="1"/>
    <col min="14" max="15" width="9.140625" style="32" customWidth="1"/>
    <col min="16" max="16" width="9.140625" style="29" customWidth="1"/>
    <col min="17" max="17" width="12.42578125" style="90" customWidth="1"/>
    <col min="18" max="18" width="9.140625" style="90" customWidth="1"/>
    <col min="19" max="19" width="12.42578125" style="90" customWidth="1"/>
    <col min="20" max="21" width="12.42578125" style="93" customWidth="1"/>
    <col min="22" max="28" width="9.140625" style="90" customWidth="1"/>
    <col min="29" max="30" width="9.140625" style="32" customWidth="1"/>
    <col min="31" max="31" width="9.140625" style="29" customWidth="1"/>
    <col min="32" max="32" width="9.5703125" style="95" customWidth="1"/>
    <col min="33" max="35" width="9.140625" style="35" customWidth="1"/>
    <col min="36" max="37" width="9.140625" style="93" customWidth="1"/>
    <col min="38" max="42" width="9.140625" style="135" customWidth="1"/>
    <col min="43" max="43" width="10" style="135" customWidth="1"/>
    <col min="44" max="44" width="10" style="93" customWidth="1"/>
    <col min="45" max="46" width="9.140625" style="137" customWidth="1"/>
    <col min="47" max="47" width="11.5703125" style="96" customWidth="1"/>
    <col min="48" max="48" width="10.5703125" style="20" customWidth="1"/>
    <col min="49" max="49" width="11.42578125" style="37" customWidth="1"/>
    <col min="50" max="51" width="10.5703125" style="28" customWidth="1"/>
    <col min="52" max="52" width="9.140625" style="28"/>
    <col min="53" max="53" width="12" style="28" customWidth="1"/>
    <col min="54" max="54" width="14.5703125" style="28" customWidth="1"/>
    <col min="55" max="55" width="15.5703125" style="28" bestFit="1" customWidth="1"/>
    <col min="56" max="56" width="28" customWidth="1"/>
    <col min="57" max="57" width="24.85546875" customWidth="1"/>
    <col min="58" max="58" width="32" customWidth="1"/>
    <col min="59" max="59" width="22.85546875" bestFit="1" customWidth="1"/>
    <col min="60" max="60" width="24.5703125" bestFit="1" customWidth="1"/>
    <col min="61" max="61" width="14.5703125" bestFit="1" customWidth="1"/>
    <col min="62" max="65" width="9.42578125" bestFit="1" customWidth="1"/>
    <col min="66" max="66" width="11.140625" bestFit="1" customWidth="1"/>
    <col min="67" max="69" width="49.85546875" bestFit="1" customWidth="1"/>
    <col min="70" max="70" width="54.85546875" bestFit="1" customWidth="1"/>
    <col min="71" max="71" width="50.5703125" bestFit="1" customWidth="1"/>
    <col min="72" max="72" width="40.42578125" bestFit="1" customWidth="1"/>
    <col min="73" max="73" width="41.85546875" bestFit="1" customWidth="1"/>
    <col min="74" max="74" width="42.5703125" bestFit="1" customWidth="1"/>
    <col min="75" max="75" width="27" bestFit="1" customWidth="1"/>
    <col min="76" max="76" width="7.85546875" customWidth="1"/>
    <col min="77" max="77" width="12.42578125" customWidth="1"/>
    <col min="78" max="78" width="7.5703125" customWidth="1"/>
    <col min="79" max="79" width="14.42578125" customWidth="1"/>
    <col min="80" max="80" width="27" bestFit="1" customWidth="1"/>
    <col min="81" max="81" width="40.42578125" bestFit="1" customWidth="1"/>
    <col min="82" max="82" width="41.140625" bestFit="1" customWidth="1"/>
    <col min="83" max="83" width="41.85546875" bestFit="1" customWidth="1"/>
    <col min="84" max="84" width="42.5703125" bestFit="1" customWidth="1"/>
    <col min="85" max="85" width="27" bestFit="1" customWidth="1"/>
    <col min="86" max="86" width="41.140625" bestFit="1" customWidth="1"/>
    <col min="87" max="87" width="41.85546875" bestFit="1" customWidth="1"/>
    <col min="88" max="88" width="42.5703125" bestFit="1" customWidth="1"/>
    <col min="89" max="89" width="27" bestFit="1" customWidth="1"/>
  </cols>
  <sheetData>
    <row r="1" spans="1:58" ht="105" x14ac:dyDescent="0.25">
      <c r="A1" s="4" t="s">
        <v>44</v>
      </c>
      <c r="B1" s="4" t="s">
        <v>45</v>
      </c>
      <c r="C1" s="4" t="s">
        <v>46</v>
      </c>
      <c r="D1" s="4" t="s">
        <v>47</v>
      </c>
      <c r="E1" s="4" t="s">
        <v>48</v>
      </c>
      <c r="F1" s="4" t="s">
        <v>49</v>
      </c>
      <c r="G1" s="4" t="s">
        <v>50</v>
      </c>
      <c r="H1" s="4" t="s">
        <v>51</v>
      </c>
      <c r="I1" s="4" t="s">
        <v>54</v>
      </c>
      <c r="J1" s="4" t="s">
        <v>584</v>
      </c>
      <c r="K1" s="4" t="s">
        <v>53</v>
      </c>
      <c r="L1" s="4" t="s">
        <v>52</v>
      </c>
      <c r="M1" s="51" t="s">
        <v>273</v>
      </c>
      <c r="N1" s="31" t="s">
        <v>207</v>
      </c>
      <c r="O1" s="31" t="s">
        <v>208</v>
      </c>
      <c r="P1" s="31" t="s">
        <v>274</v>
      </c>
      <c r="Q1" s="94" t="s">
        <v>275</v>
      </c>
      <c r="R1" s="94" t="s">
        <v>276</v>
      </c>
      <c r="S1" s="94" t="s">
        <v>277</v>
      </c>
      <c r="T1" s="92" t="s">
        <v>587</v>
      </c>
      <c r="U1" s="92" t="s">
        <v>278</v>
      </c>
      <c r="V1" s="94" t="s">
        <v>211</v>
      </c>
      <c r="W1" s="94" t="s">
        <v>279</v>
      </c>
      <c r="X1" s="94" t="s">
        <v>280</v>
      </c>
      <c r="Y1" s="94" t="s">
        <v>281</v>
      </c>
      <c r="Z1" s="94" t="s">
        <v>282</v>
      </c>
      <c r="AA1" s="94" t="s">
        <v>283</v>
      </c>
      <c r="AB1" s="89" t="s">
        <v>585</v>
      </c>
      <c r="AC1" s="31" t="s">
        <v>284</v>
      </c>
      <c r="AD1" s="31" t="s">
        <v>285</v>
      </c>
      <c r="AE1" s="52" t="s">
        <v>220</v>
      </c>
      <c r="AF1" s="31" t="s">
        <v>286</v>
      </c>
      <c r="AG1" s="49" t="s">
        <v>226</v>
      </c>
      <c r="AH1" s="49" t="s">
        <v>227</v>
      </c>
      <c r="AI1" s="49" t="s">
        <v>228</v>
      </c>
      <c r="AJ1" s="92" t="s">
        <v>287</v>
      </c>
      <c r="AK1" s="92" t="s">
        <v>288</v>
      </c>
      <c r="AL1" s="136" t="s">
        <v>230</v>
      </c>
      <c r="AM1" s="136" t="s">
        <v>231</v>
      </c>
      <c r="AN1" s="136" t="s">
        <v>232</v>
      </c>
      <c r="AO1" s="136" t="s">
        <v>289</v>
      </c>
      <c r="AP1" s="136" t="s">
        <v>290</v>
      </c>
      <c r="AQ1" s="136" t="s">
        <v>291</v>
      </c>
      <c r="AR1" s="122" t="s">
        <v>586</v>
      </c>
      <c r="AS1" s="122" t="s">
        <v>292</v>
      </c>
      <c r="AT1" s="122" t="s">
        <v>293</v>
      </c>
      <c r="AU1" s="122" t="s">
        <v>294</v>
      </c>
      <c r="AV1" s="122" t="s">
        <v>295</v>
      </c>
      <c r="AW1" s="122" t="s">
        <v>594</v>
      </c>
      <c r="AX1" s="4" t="s">
        <v>722</v>
      </c>
      <c r="AY1" s="4" t="s">
        <v>718</v>
      </c>
      <c r="AZ1" s="4" t="s">
        <v>723</v>
      </c>
      <c r="BA1" s="4" t="s">
        <v>724</v>
      </c>
      <c r="BB1" s="4" t="s">
        <v>725</v>
      </c>
      <c r="BC1" s="4" t="s">
        <v>726</v>
      </c>
    </row>
    <row r="2" spans="1:58" x14ac:dyDescent="0.25">
      <c r="A2" s="44" t="s">
        <v>24</v>
      </c>
      <c r="D2" s="121" t="s">
        <v>28</v>
      </c>
      <c r="E2" s="44">
        <v>1998</v>
      </c>
      <c r="F2" s="44">
        <v>1</v>
      </c>
      <c r="G2" s="44">
        <v>1</v>
      </c>
      <c r="H2" s="44">
        <v>1</v>
      </c>
      <c r="I2" s="44">
        <v>101</v>
      </c>
      <c r="J2" s="61"/>
      <c r="K2" s="61"/>
      <c r="L2" s="61"/>
      <c r="M2" s="44" t="s">
        <v>691</v>
      </c>
      <c r="N2" s="32">
        <v>0.5</v>
      </c>
      <c r="P2" s="29">
        <v>1280.7</v>
      </c>
      <c r="Q2" s="135">
        <v>381.99</v>
      </c>
      <c r="R2" s="90">
        <v>1114</v>
      </c>
      <c r="S2" s="90">
        <v>384.12</v>
      </c>
      <c r="T2" s="93">
        <f>Q2/P2</f>
        <v>0.29826657296790815</v>
      </c>
      <c r="U2" s="93">
        <f t="shared" ref="U2:U33" si="0">S2/R2</f>
        <v>0.34481149012567325</v>
      </c>
      <c r="V2" s="90">
        <v>20</v>
      </c>
      <c r="W2" s="90">
        <v>5.84</v>
      </c>
      <c r="X2" s="90">
        <v>23.93</v>
      </c>
      <c r="Y2" s="90">
        <v>37.93</v>
      </c>
      <c r="Z2" s="90">
        <v>27.8</v>
      </c>
      <c r="AA2" s="90">
        <f>Y2-Z2</f>
        <v>10.129999999999999</v>
      </c>
      <c r="AB2" s="90">
        <f>Z2/(AU2/100)</f>
        <v>860.14851485148517</v>
      </c>
      <c r="AC2" s="32">
        <v>6.4640000000000004</v>
      </c>
      <c r="AD2" s="32">
        <v>67.699999999999989</v>
      </c>
      <c r="AE2" s="29">
        <f>AD2/V2</f>
        <v>3.3849999999999993</v>
      </c>
      <c r="AF2" s="95">
        <f>P2/N2</f>
        <v>2561.4</v>
      </c>
      <c r="AG2" s="35">
        <f>W2/AD2</f>
        <v>8.6262924667651411E-2</v>
      </c>
      <c r="AH2" s="35">
        <f>X2/AD2</f>
        <v>0.35347119645494834</v>
      </c>
      <c r="AI2" s="35">
        <f>Y2/AD2</f>
        <v>0.56026587887740043</v>
      </c>
      <c r="AJ2" s="93">
        <f>Z2/AD2</f>
        <v>0.41063515509601189</v>
      </c>
      <c r="AK2" s="93">
        <f>AA2/AD2</f>
        <v>0.1496307237813885</v>
      </c>
      <c r="AL2" s="135">
        <f>AF2*AG2</f>
        <v>220.95385524372233</v>
      </c>
      <c r="AM2" s="135">
        <f>AF2*AH2</f>
        <v>905.38112259970467</v>
      </c>
      <c r="AN2" s="135">
        <f>AF2*AI2</f>
        <v>1435.0650221565736</v>
      </c>
      <c r="AO2" s="135">
        <f>Q2/N2</f>
        <v>763.98</v>
      </c>
      <c r="AP2" s="135">
        <f>AF2*AK2</f>
        <v>383.26413589364853</v>
      </c>
      <c r="AQ2" s="135">
        <f>AO2</f>
        <v>763.98</v>
      </c>
      <c r="AR2" s="93">
        <f>T2</f>
        <v>0.29826657296790815</v>
      </c>
      <c r="AS2" s="137">
        <f>100*((S2*2)-Q2)/Q2</f>
        <v>101.11521244011622</v>
      </c>
      <c r="AT2" s="137">
        <f>100*((R2*2)-P2)/P2</f>
        <v>73.967361599125482</v>
      </c>
      <c r="AU2" s="29">
        <v>3.2320000000000002</v>
      </c>
      <c r="AV2" s="20">
        <v>25411.864956987498</v>
      </c>
      <c r="AW2" s="37">
        <v>37.058969728940106</v>
      </c>
      <c r="AX2" s="28">
        <v>-25.59</v>
      </c>
      <c r="AY2" s="28">
        <v>1.5235000000000001</v>
      </c>
      <c r="AZ2" s="28">
        <v>5.01</v>
      </c>
      <c r="BA2" s="28">
        <v>-26.59</v>
      </c>
      <c r="BB2" s="28">
        <v>0.77527999999999997</v>
      </c>
      <c r="BC2" s="28">
        <v>7.16</v>
      </c>
      <c r="BF2" s="12"/>
    </row>
    <row r="3" spans="1:58" x14ac:dyDescent="0.25">
      <c r="A3" s="44" t="s">
        <v>24</v>
      </c>
      <c r="D3" s="121" t="s">
        <v>312</v>
      </c>
      <c r="E3" s="44">
        <v>2002</v>
      </c>
      <c r="F3" s="44">
        <v>1</v>
      </c>
      <c r="G3" s="44">
        <v>1</v>
      </c>
      <c r="H3" s="44">
        <v>2</v>
      </c>
      <c r="I3" s="44">
        <v>102</v>
      </c>
      <c r="J3" s="61"/>
      <c r="K3" s="61"/>
      <c r="L3" s="61"/>
      <c r="M3" s="44" t="s">
        <v>691</v>
      </c>
      <c r="N3" s="32">
        <v>0.5</v>
      </c>
      <c r="P3" s="29">
        <v>1122.24</v>
      </c>
      <c r="Q3" s="135">
        <v>343.57</v>
      </c>
      <c r="R3" s="90">
        <v>1174</v>
      </c>
      <c r="S3" s="90">
        <v>397.23</v>
      </c>
      <c r="T3" s="93">
        <f>Q3/P3</f>
        <v>0.30614663530082692</v>
      </c>
      <c r="U3" s="93">
        <f t="shared" si="0"/>
        <v>0.33835604770017036</v>
      </c>
      <c r="V3" s="90">
        <v>20</v>
      </c>
      <c r="W3" s="90">
        <v>5.31</v>
      </c>
      <c r="X3" s="90">
        <v>31.830000000000002</v>
      </c>
      <c r="Y3" s="90">
        <v>52.1</v>
      </c>
      <c r="Z3" s="90">
        <v>40.65</v>
      </c>
      <c r="AA3" s="90">
        <f>Y3-Z3</f>
        <v>11.450000000000003</v>
      </c>
      <c r="AB3" s="90">
        <f>Z3/(AU3/100)</f>
        <v>1157.4601366742597</v>
      </c>
      <c r="AC3" s="32">
        <v>7.024</v>
      </c>
      <c r="AD3" s="32">
        <v>89.24</v>
      </c>
      <c r="AE3" s="29">
        <f>AD3/V3</f>
        <v>4.4619999999999997</v>
      </c>
      <c r="AF3" s="95">
        <f>P3/N3</f>
        <v>2244.48</v>
      </c>
      <c r="AG3" s="35">
        <f>W3/AD3</f>
        <v>5.9502465262214255E-2</v>
      </c>
      <c r="AH3" s="35">
        <f>X3/AD3</f>
        <v>0.35667861945316004</v>
      </c>
      <c r="AI3" s="35">
        <f>Y3/AD3</f>
        <v>0.58381891528462582</v>
      </c>
      <c r="AJ3" s="93">
        <f>Z3/AD3</f>
        <v>0.45551322277005829</v>
      </c>
      <c r="AK3" s="93">
        <f>AA3/AD3</f>
        <v>0.1283056925145675</v>
      </c>
      <c r="AL3" s="135">
        <f>AF3*AG3</f>
        <v>133.55209323173466</v>
      </c>
      <c r="AM3" s="135">
        <f>AF3*AH3</f>
        <v>800.55802779022861</v>
      </c>
      <c r="AN3" s="135">
        <f>AF3*AI3</f>
        <v>1310.3698789780369</v>
      </c>
      <c r="AO3" s="135">
        <f>Q3/N3</f>
        <v>687.14</v>
      </c>
      <c r="AP3" s="135">
        <f>AF3*AK3</f>
        <v>287.97956073509647</v>
      </c>
      <c r="AQ3" s="135">
        <f>AO3</f>
        <v>687.14</v>
      </c>
      <c r="AR3" s="93">
        <f>T3</f>
        <v>0.30614663530082692</v>
      </c>
      <c r="AS3" s="137">
        <f>100*((S3*2)-Q3)/Q3</f>
        <v>131.23672031900344</v>
      </c>
      <c r="AT3" s="137">
        <f>100*((R3*2)-P3)/P3</f>
        <v>109.22440832620474</v>
      </c>
      <c r="AU3" s="29">
        <v>3.512</v>
      </c>
      <c r="AV3" s="20">
        <v>20299.066794033359</v>
      </c>
      <c r="AW3" s="37">
        <v>45.10903732007413</v>
      </c>
      <c r="AX3" s="28">
        <v>-25.35</v>
      </c>
      <c r="AY3" s="28">
        <v>1.8923000000000001</v>
      </c>
      <c r="AZ3" s="28">
        <v>8.9600000000000009</v>
      </c>
      <c r="BA3" s="28">
        <v>-26.97</v>
      </c>
      <c r="BB3" s="28">
        <v>0.97533000000000003</v>
      </c>
      <c r="BC3" s="28">
        <v>5.83</v>
      </c>
      <c r="BF3" s="12"/>
    </row>
    <row r="4" spans="1:58" x14ac:dyDescent="0.25">
      <c r="A4" s="44" t="s">
        <v>34</v>
      </c>
      <c r="D4" s="121" t="s">
        <v>39</v>
      </c>
      <c r="E4" s="44">
        <v>2001</v>
      </c>
      <c r="F4" s="44">
        <v>1</v>
      </c>
      <c r="G4" s="44">
        <v>1</v>
      </c>
      <c r="H4" s="44">
        <v>3</v>
      </c>
      <c r="I4" s="44">
        <v>103</v>
      </c>
      <c r="J4" s="61"/>
      <c r="K4" s="61"/>
      <c r="L4" s="61"/>
      <c r="M4" s="44" t="s">
        <v>691</v>
      </c>
      <c r="N4" s="32">
        <v>0.5</v>
      </c>
      <c r="P4" s="29">
        <v>1106.82</v>
      </c>
      <c r="Q4" s="135">
        <v>329.45</v>
      </c>
      <c r="R4" s="90">
        <v>884</v>
      </c>
      <c r="S4" s="90">
        <v>308.14</v>
      </c>
      <c r="T4" s="93">
        <f>Q4/P4</f>
        <v>0.29765454184058837</v>
      </c>
      <c r="U4" s="93">
        <f t="shared" si="0"/>
        <v>0.34857466063348413</v>
      </c>
      <c r="V4" s="90">
        <v>20</v>
      </c>
      <c r="W4" s="90">
        <v>4.82</v>
      </c>
      <c r="X4" s="90">
        <v>18.43</v>
      </c>
      <c r="Y4" s="90">
        <v>27.57</v>
      </c>
      <c r="Z4" s="90">
        <v>19.09</v>
      </c>
      <c r="AA4" s="90">
        <f>Y4-Z4</f>
        <v>8.48</v>
      </c>
      <c r="AB4" s="90">
        <f>Z4/(AU4/100)</f>
        <v>563.4592680047225</v>
      </c>
      <c r="AC4" s="32">
        <v>6.7759999999999998</v>
      </c>
      <c r="AD4" s="32">
        <v>50.82</v>
      </c>
      <c r="AE4" s="29">
        <f>AD4/V4</f>
        <v>2.5409999999999999</v>
      </c>
      <c r="AF4" s="95">
        <f>P4/N4</f>
        <v>2213.64</v>
      </c>
      <c r="AG4" s="35">
        <f>W4/AD4</f>
        <v>9.4844549390003946E-2</v>
      </c>
      <c r="AH4" s="35">
        <f>X4/AD4</f>
        <v>0.36265249901613539</v>
      </c>
      <c r="AI4" s="35">
        <f>Y4/AD4</f>
        <v>0.54250295159386064</v>
      </c>
      <c r="AJ4" s="93">
        <f>Z4/AD4</f>
        <v>0.37563951200314838</v>
      </c>
      <c r="AK4" s="93">
        <f>AA4/AD4</f>
        <v>0.16686343959071231</v>
      </c>
      <c r="AL4" s="135">
        <f>AF4*AG4</f>
        <v>209.95168831168832</v>
      </c>
      <c r="AM4" s="135">
        <f>AF4*AH4</f>
        <v>802.78207792207786</v>
      </c>
      <c r="AN4" s="135">
        <f>AF4*AI4</f>
        <v>1200.9062337662335</v>
      </c>
      <c r="AO4" s="135">
        <f>Q4/N4</f>
        <v>658.9</v>
      </c>
      <c r="AP4" s="135">
        <f>AF4*AK4</f>
        <v>369.3755844155844</v>
      </c>
      <c r="AQ4" s="135">
        <f>AO4</f>
        <v>658.9</v>
      </c>
      <c r="AR4" s="93">
        <f>T4</f>
        <v>0.29765454184058837</v>
      </c>
      <c r="AS4" s="137">
        <f>100*((S4*2)-Q4)/Q4</f>
        <v>87.063287297010177</v>
      </c>
      <c r="AT4" s="137">
        <f>100*((R4*2)-P4)/P4</f>
        <v>59.736903922950439</v>
      </c>
      <c r="AU4" s="29">
        <v>3.3879999999999999</v>
      </c>
      <c r="AV4" s="20">
        <v>21812.998531402078</v>
      </c>
      <c r="AW4" s="37">
        <v>31.356185388890484</v>
      </c>
      <c r="AX4" s="28">
        <v>-25.88</v>
      </c>
      <c r="AY4" s="28">
        <v>1.5326</v>
      </c>
      <c r="AZ4" s="28">
        <v>4.82</v>
      </c>
      <c r="BA4" s="28">
        <v>-27.09</v>
      </c>
      <c r="BB4" s="28">
        <v>0.93264999999999998</v>
      </c>
      <c r="BC4" s="28">
        <v>3.46</v>
      </c>
      <c r="BF4" s="12"/>
    </row>
    <row r="5" spans="1:58" x14ac:dyDescent="0.25">
      <c r="A5" s="44" t="s">
        <v>34</v>
      </c>
      <c r="D5" s="121" t="s">
        <v>37</v>
      </c>
      <c r="E5" s="44">
        <v>1989</v>
      </c>
      <c r="F5" s="44">
        <v>1</v>
      </c>
      <c r="G5" s="44">
        <v>1</v>
      </c>
      <c r="H5" s="44">
        <v>4</v>
      </c>
      <c r="I5" s="44">
        <v>104</v>
      </c>
      <c r="J5" s="61"/>
      <c r="K5" s="61"/>
      <c r="L5" s="61"/>
      <c r="M5" s="44" t="s">
        <v>691</v>
      </c>
      <c r="N5" s="32">
        <v>0.5</v>
      </c>
      <c r="Q5" s="135"/>
      <c r="R5" s="90">
        <v>884</v>
      </c>
      <c r="S5" s="90">
        <v>340.1</v>
      </c>
      <c r="U5" s="93">
        <f t="shared" si="0"/>
        <v>0.38472850678733034</v>
      </c>
      <c r="V5" s="90">
        <v>20</v>
      </c>
      <c r="AC5" s="32">
        <v>6.1280000000000001</v>
      </c>
      <c r="AU5" s="29">
        <v>3.0640000000000001</v>
      </c>
      <c r="AV5" s="20">
        <v>27049.608355091386</v>
      </c>
      <c r="AW5" s="37">
        <v>48.919504471973788</v>
      </c>
      <c r="BF5" s="12"/>
    </row>
    <row r="6" spans="1:58" x14ac:dyDescent="0.25">
      <c r="A6" s="44" t="s">
        <v>24</v>
      </c>
      <c r="D6" s="121" t="s">
        <v>29</v>
      </c>
      <c r="E6" s="44">
        <v>1999</v>
      </c>
      <c r="F6" s="44">
        <v>2</v>
      </c>
      <c r="G6" s="44">
        <v>1</v>
      </c>
      <c r="H6" s="44">
        <v>5</v>
      </c>
      <c r="I6" s="44">
        <v>105</v>
      </c>
      <c r="J6" s="61"/>
      <c r="K6" s="61"/>
      <c r="L6" s="61"/>
      <c r="M6" s="44" t="s">
        <v>691</v>
      </c>
      <c r="N6" s="32">
        <v>0.5</v>
      </c>
      <c r="P6" s="29">
        <v>1052.75</v>
      </c>
      <c r="Q6" s="135">
        <v>320.26</v>
      </c>
      <c r="R6" s="90">
        <v>1057</v>
      </c>
      <c r="S6" s="90">
        <v>384.73</v>
      </c>
      <c r="T6" s="93">
        <f t="shared" ref="T6:T29" si="1">Q6/P6</f>
        <v>0.30421277606269292</v>
      </c>
      <c r="U6" s="93">
        <f t="shared" si="0"/>
        <v>0.36398297067171242</v>
      </c>
      <c r="V6" s="90">
        <v>20</v>
      </c>
      <c r="W6" s="90">
        <v>4.7699999999999996</v>
      </c>
      <c r="X6" s="90">
        <v>33.799999999999997</v>
      </c>
      <c r="Y6" s="90">
        <v>55.18</v>
      </c>
      <c r="Z6" s="90">
        <v>42.83</v>
      </c>
      <c r="AA6" s="90">
        <f t="shared" ref="AA6:AA29" si="2">Y6-Z6</f>
        <v>12.350000000000001</v>
      </c>
      <c r="AB6" s="90">
        <f t="shared" ref="AB6:AB29" si="3">Z6/(AU6/100)</f>
        <v>1151.3440860215053</v>
      </c>
      <c r="AC6" s="32">
        <v>7.44</v>
      </c>
      <c r="AD6" s="32">
        <v>93.75</v>
      </c>
      <c r="AE6" s="29">
        <f t="shared" ref="AE6:AE29" si="4">AD6/V6</f>
        <v>4.6875</v>
      </c>
      <c r="AF6" s="95">
        <f t="shared" ref="AF6:AF29" si="5">P6/N6</f>
        <v>2105.5</v>
      </c>
      <c r="AG6" s="35">
        <f t="shared" ref="AG6:AG29" si="6">W6/AD6</f>
        <v>5.0879999999999995E-2</v>
      </c>
      <c r="AH6" s="35">
        <f t="shared" ref="AH6:AH29" si="7">X6/AD6</f>
        <v>0.36053333333333332</v>
      </c>
      <c r="AI6" s="35">
        <f t="shared" ref="AI6:AI29" si="8">Y6/AD6</f>
        <v>0.5885866666666667</v>
      </c>
      <c r="AJ6" s="93">
        <f t="shared" ref="AJ6:AJ29" si="9">Z6/AD6</f>
        <v>0.45685333333333333</v>
      </c>
      <c r="AK6" s="93">
        <f t="shared" ref="AK6:AK29" si="10">AA6/AD6</f>
        <v>0.13173333333333334</v>
      </c>
      <c r="AL6" s="135">
        <f t="shared" ref="AL6:AL29" si="11">AF6*AG6</f>
        <v>107.12783999999999</v>
      </c>
      <c r="AM6" s="135">
        <f t="shared" ref="AM6:AM29" si="12">AF6*AH6</f>
        <v>759.10293333333334</v>
      </c>
      <c r="AN6" s="135">
        <f t="shared" ref="AN6:AN29" si="13">AF6*AI6</f>
        <v>1239.2692266666668</v>
      </c>
      <c r="AO6" s="135">
        <f t="shared" ref="AO6:AO29" si="14">Q6/N6</f>
        <v>640.52</v>
      </c>
      <c r="AP6" s="135">
        <f t="shared" ref="AP6:AP29" si="15">AF6*AK6</f>
        <v>277.36453333333333</v>
      </c>
      <c r="AQ6" s="135">
        <f t="shared" ref="AQ6:AQ29" si="16">AO6</f>
        <v>640.52</v>
      </c>
      <c r="AR6" s="93">
        <f t="shared" ref="AR6:AR29" si="17">T6</f>
        <v>0.30421277606269292</v>
      </c>
      <c r="AS6" s="137">
        <f t="shared" ref="AS6:AS29" si="18">100*((S6*2)-Q6)/Q6</f>
        <v>140.26103790670084</v>
      </c>
      <c r="AT6" s="137">
        <f t="shared" ref="AT6:AT29" si="19">100*((R6*2)-P6)/P6</f>
        <v>100.80740916646877</v>
      </c>
      <c r="AU6" s="29">
        <v>3.72</v>
      </c>
      <c r="AV6" s="20">
        <v>17629.928315412184</v>
      </c>
      <c r="AW6" s="37">
        <v>23.062406226556636</v>
      </c>
      <c r="AX6" s="28">
        <v>-25.11</v>
      </c>
      <c r="AY6" s="28">
        <v>1.4029</v>
      </c>
      <c r="AZ6" s="28">
        <v>5.56</v>
      </c>
      <c r="BA6" s="28">
        <v>-26.77</v>
      </c>
      <c r="BB6" s="28">
        <v>0.72331000000000001</v>
      </c>
      <c r="BC6" s="28">
        <v>8.9</v>
      </c>
    </row>
    <row r="7" spans="1:58" x14ac:dyDescent="0.25">
      <c r="A7" s="44" t="s">
        <v>24</v>
      </c>
      <c r="D7" s="121" t="s">
        <v>311</v>
      </c>
      <c r="E7" s="44">
        <v>2023</v>
      </c>
      <c r="F7" s="44">
        <v>2</v>
      </c>
      <c r="G7" s="44">
        <v>1</v>
      </c>
      <c r="H7" s="44">
        <v>6</v>
      </c>
      <c r="I7" s="44">
        <v>106</v>
      </c>
      <c r="J7" s="61"/>
      <c r="K7" s="61"/>
      <c r="L7" s="61"/>
      <c r="M7" s="44" t="s">
        <v>691</v>
      </c>
      <c r="N7" s="32">
        <v>0.5</v>
      </c>
      <c r="P7" s="29">
        <v>985.81999999999994</v>
      </c>
      <c r="Q7" s="135">
        <v>295.12</v>
      </c>
      <c r="R7" s="90">
        <v>1267</v>
      </c>
      <c r="S7" s="90">
        <v>525.21</v>
      </c>
      <c r="T7" s="93">
        <f t="shared" si="1"/>
        <v>0.299364995638149</v>
      </c>
      <c r="U7" s="93">
        <f t="shared" si="0"/>
        <v>0.41453038674033155</v>
      </c>
      <c r="V7" s="90">
        <v>20</v>
      </c>
      <c r="W7" s="90">
        <v>4.66</v>
      </c>
      <c r="X7" s="90">
        <v>25.099999999999998</v>
      </c>
      <c r="Y7" s="90">
        <v>45.06</v>
      </c>
      <c r="Z7" s="90">
        <v>34.020000000000003</v>
      </c>
      <c r="AA7" s="90">
        <f t="shared" si="2"/>
        <v>11.04</v>
      </c>
      <c r="AB7" s="90">
        <f t="shared" si="3"/>
        <v>1067.1267252195735</v>
      </c>
      <c r="AC7" s="32">
        <v>6.3759999999999994</v>
      </c>
      <c r="AD7" s="32">
        <v>74.819999999999993</v>
      </c>
      <c r="AE7" s="29">
        <f t="shared" si="4"/>
        <v>3.7409999999999997</v>
      </c>
      <c r="AF7" s="95">
        <f t="shared" si="5"/>
        <v>1971.6399999999999</v>
      </c>
      <c r="AG7" s="35">
        <f t="shared" si="6"/>
        <v>6.2282812082330934E-2</v>
      </c>
      <c r="AH7" s="35">
        <f t="shared" si="7"/>
        <v>0.3354717989842288</v>
      </c>
      <c r="AI7" s="35">
        <f t="shared" si="8"/>
        <v>0.60224538893344037</v>
      </c>
      <c r="AJ7" s="93">
        <f t="shared" si="9"/>
        <v>0.45469125902165203</v>
      </c>
      <c r="AK7" s="93">
        <f t="shared" si="10"/>
        <v>0.14755412991178829</v>
      </c>
      <c r="AL7" s="135">
        <f t="shared" si="11"/>
        <v>122.79928361400695</v>
      </c>
      <c r="AM7" s="135">
        <f t="shared" si="12"/>
        <v>661.42961774926482</v>
      </c>
      <c r="AN7" s="135">
        <f t="shared" si="13"/>
        <v>1187.4110986367284</v>
      </c>
      <c r="AO7" s="135">
        <f t="shared" si="14"/>
        <v>590.24</v>
      </c>
      <c r="AP7" s="135">
        <f t="shared" si="15"/>
        <v>290.92362469927826</v>
      </c>
      <c r="AQ7" s="135">
        <f t="shared" si="16"/>
        <v>590.24</v>
      </c>
      <c r="AR7" s="93">
        <f t="shared" si="17"/>
        <v>0.299364995638149</v>
      </c>
      <c r="AS7" s="137">
        <f t="shared" si="18"/>
        <v>255.92979127134726</v>
      </c>
      <c r="AT7" s="137">
        <f t="shared" si="19"/>
        <v>157.04489663427401</v>
      </c>
      <c r="AU7" s="29">
        <v>3.1879999999999997</v>
      </c>
      <c r="AV7" s="20">
        <v>22994.495487108914</v>
      </c>
      <c r="AW7" s="37">
        <v>26.774412553482986</v>
      </c>
      <c r="AX7" s="28">
        <v>-25.46</v>
      </c>
      <c r="AY7" s="28">
        <v>1.3541000000000001</v>
      </c>
      <c r="AZ7" s="28">
        <v>5.89</v>
      </c>
      <c r="BA7" s="28">
        <v>-26.83</v>
      </c>
      <c r="BB7" s="28">
        <v>0.59355000000000002</v>
      </c>
      <c r="BC7" s="28">
        <v>6.69</v>
      </c>
    </row>
    <row r="8" spans="1:58" x14ac:dyDescent="0.25">
      <c r="A8" s="44" t="s">
        <v>34</v>
      </c>
      <c r="D8" s="121" t="s">
        <v>41</v>
      </c>
      <c r="E8" s="44">
        <v>2008</v>
      </c>
      <c r="F8" s="44">
        <v>2</v>
      </c>
      <c r="G8" s="44">
        <v>1</v>
      </c>
      <c r="H8" s="44">
        <v>7</v>
      </c>
      <c r="I8" s="44">
        <v>107</v>
      </c>
      <c r="J8" s="61"/>
      <c r="K8" s="61"/>
      <c r="L8" s="61"/>
      <c r="M8" s="44" t="s">
        <v>691</v>
      </c>
      <c r="N8" s="32">
        <v>0.5</v>
      </c>
      <c r="P8" s="29">
        <v>1084.54</v>
      </c>
      <c r="Q8" s="135">
        <v>371.88</v>
      </c>
      <c r="R8" s="90">
        <v>760</v>
      </c>
      <c r="S8" s="90">
        <v>276.42999999999995</v>
      </c>
      <c r="T8" s="93">
        <f t="shared" si="1"/>
        <v>0.34289191731056484</v>
      </c>
      <c r="U8" s="93">
        <f t="shared" si="0"/>
        <v>0.36372368421052625</v>
      </c>
      <c r="V8" s="90">
        <v>20</v>
      </c>
      <c r="W8" s="90">
        <v>4.24</v>
      </c>
      <c r="X8" s="90">
        <v>18.21</v>
      </c>
      <c r="Y8" s="90">
        <v>29.09</v>
      </c>
      <c r="Z8" s="90">
        <v>21.35</v>
      </c>
      <c r="AA8" s="90">
        <f t="shared" si="2"/>
        <v>7.7399999999999984</v>
      </c>
      <c r="AB8" s="90">
        <f t="shared" si="3"/>
        <v>617.05202312138738</v>
      </c>
      <c r="AC8" s="32">
        <v>6.92</v>
      </c>
      <c r="AD8" s="32">
        <v>51.54</v>
      </c>
      <c r="AE8" s="29">
        <f t="shared" si="4"/>
        <v>2.577</v>
      </c>
      <c r="AF8" s="95">
        <f t="shared" si="5"/>
        <v>2169.08</v>
      </c>
      <c r="AG8" s="35">
        <f t="shared" si="6"/>
        <v>8.2266201008925108E-2</v>
      </c>
      <c r="AH8" s="35">
        <f t="shared" si="7"/>
        <v>0.35331781140861468</v>
      </c>
      <c r="AI8" s="35">
        <f t="shared" si="8"/>
        <v>0.56441598758246025</v>
      </c>
      <c r="AJ8" s="93">
        <f t="shared" si="9"/>
        <v>0.41424136592937527</v>
      </c>
      <c r="AK8" s="93">
        <f t="shared" si="10"/>
        <v>0.15017462165308496</v>
      </c>
      <c r="AL8" s="135">
        <f t="shared" si="11"/>
        <v>178.44197128443926</v>
      </c>
      <c r="AM8" s="135">
        <f t="shared" si="12"/>
        <v>766.37459837019787</v>
      </c>
      <c r="AN8" s="135">
        <f t="shared" si="13"/>
        <v>1224.2634303453628</v>
      </c>
      <c r="AO8" s="135">
        <f t="shared" si="14"/>
        <v>743.76</v>
      </c>
      <c r="AP8" s="135">
        <f t="shared" si="15"/>
        <v>325.74076833527351</v>
      </c>
      <c r="AQ8" s="135">
        <f t="shared" si="16"/>
        <v>743.76</v>
      </c>
      <c r="AR8" s="93">
        <f t="shared" si="17"/>
        <v>0.34289191731056484</v>
      </c>
      <c r="AS8" s="137">
        <f t="shared" si="18"/>
        <v>48.666236420350621</v>
      </c>
      <c r="AT8" s="137">
        <f t="shared" si="19"/>
        <v>40.151585003780404</v>
      </c>
      <c r="AU8" s="29">
        <v>3.46</v>
      </c>
      <c r="AV8" s="20">
        <v>21489.837777363417</v>
      </c>
      <c r="AW8" s="37">
        <v>28.506927663849432</v>
      </c>
      <c r="AX8" s="28">
        <v>-26.02</v>
      </c>
      <c r="AY8" s="28">
        <v>1.2648999999999999</v>
      </c>
      <c r="AZ8" s="28">
        <v>6.84</v>
      </c>
      <c r="BA8" s="28">
        <v>-26.75</v>
      </c>
      <c r="BB8" s="28">
        <v>1.2493000000000001</v>
      </c>
      <c r="BC8" s="28">
        <v>7.84</v>
      </c>
    </row>
    <row r="9" spans="1:58" x14ac:dyDescent="0.25">
      <c r="A9" s="44" t="s">
        <v>34</v>
      </c>
      <c r="D9" s="121" t="s">
        <v>318</v>
      </c>
      <c r="E9" s="44">
        <v>2004</v>
      </c>
      <c r="F9" s="44">
        <v>2</v>
      </c>
      <c r="G9" s="44">
        <v>1</v>
      </c>
      <c r="H9" s="44">
        <v>8</v>
      </c>
      <c r="I9" s="44">
        <v>108</v>
      </c>
      <c r="J9" s="61"/>
      <c r="K9" s="61"/>
      <c r="L9" s="61"/>
      <c r="M9" s="44" t="s">
        <v>691</v>
      </c>
      <c r="N9" s="32">
        <v>0.5</v>
      </c>
      <c r="P9" s="29">
        <v>1089.6400000000001</v>
      </c>
      <c r="Q9" s="135">
        <v>381.32</v>
      </c>
      <c r="R9" s="90">
        <v>875</v>
      </c>
      <c r="S9" s="90">
        <v>335.1</v>
      </c>
      <c r="T9" s="93">
        <f t="shared" si="1"/>
        <v>0.34995044234793138</v>
      </c>
      <c r="U9" s="93">
        <f t="shared" si="0"/>
        <v>0.38297142857142857</v>
      </c>
      <c r="V9" s="90">
        <v>20</v>
      </c>
      <c r="W9" s="90">
        <v>3.92</v>
      </c>
      <c r="X9" s="90">
        <v>23.96</v>
      </c>
      <c r="Y9" s="90">
        <v>35.76</v>
      </c>
      <c r="Z9" s="90">
        <v>27.57</v>
      </c>
      <c r="AA9" s="90">
        <f t="shared" si="2"/>
        <v>8.1899999999999977</v>
      </c>
      <c r="AB9" s="90">
        <f t="shared" si="3"/>
        <v>750.81699346405242</v>
      </c>
      <c r="AC9" s="32">
        <v>7.3439999999999994</v>
      </c>
      <c r="AD9" s="32">
        <v>63.64</v>
      </c>
      <c r="AE9" s="29">
        <f t="shared" si="4"/>
        <v>3.1819999999999999</v>
      </c>
      <c r="AF9" s="95">
        <f t="shared" si="5"/>
        <v>2179.2800000000002</v>
      </c>
      <c r="AG9" s="35">
        <f t="shared" si="6"/>
        <v>6.1596480201131364E-2</v>
      </c>
      <c r="AH9" s="35">
        <f t="shared" si="7"/>
        <v>0.37649277184160906</v>
      </c>
      <c r="AI9" s="35">
        <f t="shared" si="8"/>
        <v>0.56191074795725959</v>
      </c>
      <c r="AJ9" s="93">
        <f t="shared" si="9"/>
        <v>0.433218101822753</v>
      </c>
      <c r="AK9" s="93">
        <f t="shared" si="10"/>
        <v>0.12869264613450657</v>
      </c>
      <c r="AL9" s="135">
        <f t="shared" si="11"/>
        <v>134.23597737272158</v>
      </c>
      <c r="AM9" s="135">
        <f t="shared" si="12"/>
        <v>820.48316781898188</v>
      </c>
      <c r="AN9" s="135">
        <f t="shared" si="13"/>
        <v>1224.5608548082969</v>
      </c>
      <c r="AO9" s="135">
        <f t="shared" si="14"/>
        <v>762.64</v>
      </c>
      <c r="AP9" s="135">
        <f t="shared" si="15"/>
        <v>280.45730986800748</v>
      </c>
      <c r="AQ9" s="135">
        <f t="shared" si="16"/>
        <v>762.64</v>
      </c>
      <c r="AR9" s="93">
        <f t="shared" si="17"/>
        <v>0.34995044234793138</v>
      </c>
      <c r="AS9" s="137">
        <f t="shared" si="18"/>
        <v>75.75789363264451</v>
      </c>
      <c r="AT9" s="137">
        <f t="shared" si="19"/>
        <v>60.603502074079493</v>
      </c>
      <c r="AU9" s="29">
        <v>3.6719999999999997</v>
      </c>
      <c r="AV9" s="20">
        <v>21496.303439408552</v>
      </c>
      <c r="AW9" s="37">
        <v>32.244455159112825</v>
      </c>
      <c r="AX9" s="28">
        <v>-25.59</v>
      </c>
      <c r="AY9" s="28">
        <v>1.6763999999999999</v>
      </c>
      <c r="AZ9" s="28">
        <v>6.91</v>
      </c>
      <c r="BA9" s="28">
        <v>-26.94</v>
      </c>
      <c r="BB9" s="28">
        <v>0.87580999999999998</v>
      </c>
      <c r="BC9" s="28">
        <v>6.59</v>
      </c>
    </row>
    <row r="10" spans="1:58" x14ac:dyDescent="0.25">
      <c r="A10" s="44" t="s">
        <v>24</v>
      </c>
      <c r="D10" s="121" t="s">
        <v>26</v>
      </c>
      <c r="E10" s="44">
        <v>1983</v>
      </c>
      <c r="F10" s="44">
        <v>3</v>
      </c>
      <c r="G10" s="44">
        <v>1</v>
      </c>
      <c r="H10" s="44">
        <v>9</v>
      </c>
      <c r="I10" s="44">
        <v>109</v>
      </c>
      <c r="M10" s="44" t="s">
        <v>691</v>
      </c>
      <c r="N10" s="32">
        <v>0.5</v>
      </c>
      <c r="P10" s="29">
        <v>1433.3</v>
      </c>
      <c r="Q10" s="135">
        <v>462.84999999999997</v>
      </c>
      <c r="R10" s="90">
        <v>1415</v>
      </c>
      <c r="S10" s="90">
        <v>501.09000000000003</v>
      </c>
      <c r="T10" s="93">
        <f t="shared" si="1"/>
        <v>0.32292611456080372</v>
      </c>
      <c r="U10" s="93">
        <f t="shared" si="0"/>
        <v>0.35412720848056539</v>
      </c>
      <c r="V10" s="90">
        <v>20</v>
      </c>
      <c r="W10" s="90">
        <v>2.14</v>
      </c>
      <c r="X10" s="90">
        <v>24.8</v>
      </c>
      <c r="Y10" s="90">
        <v>41.36</v>
      </c>
      <c r="Z10" s="90">
        <v>31.32</v>
      </c>
      <c r="AA10" s="90">
        <f t="shared" si="2"/>
        <v>10.039999999999999</v>
      </c>
      <c r="AB10" s="90">
        <f t="shared" si="3"/>
        <v>944.51145958986751</v>
      </c>
      <c r="AC10" s="32">
        <v>6.6319999999999988</v>
      </c>
      <c r="AD10" s="32">
        <v>68.3</v>
      </c>
      <c r="AE10" s="29">
        <f t="shared" si="4"/>
        <v>3.415</v>
      </c>
      <c r="AF10" s="95">
        <f t="shared" si="5"/>
        <v>2866.6</v>
      </c>
      <c r="AG10" s="35">
        <f t="shared" si="6"/>
        <v>3.1332357247437777E-2</v>
      </c>
      <c r="AH10" s="35">
        <f t="shared" si="7"/>
        <v>0.36310395314787702</v>
      </c>
      <c r="AI10" s="35">
        <f t="shared" si="8"/>
        <v>0.60556368960468521</v>
      </c>
      <c r="AJ10" s="93">
        <f t="shared" si="9"/>
        <v>0.45856515373352857</v>
      </c>
      <c r="AK10" s="93">
        <f t="shared" si="10"/>
        <v>0.14699853587115666</v>
      </c>
      <c r="AL10" s="135">
        <f t="shared" si="11"/>
        <v>89.817335285505123</v>
      </c>
      <c r="AM10" s="135">
        <f t="shared" si="12"/>
        <v>1040.8737920937042</v>
      </c>
      <c r="AN10" s="135">
        <f t="shared" si="13"/>
        <v>1735.9088726207906</v>
      </c>
      <c r="AO10" s="135">
        <f t="shared" si="14"/>
        <v>925.69999999999993</v>
      </c>
      <c r="AP10" s="135">
        <f t="shared" si="15"/>
        <v>421.38600292825765</v>
      </c>
      <c r="AQ10" s="135">
        <f t="shared" si="16"/>
        <v>925.69999999999993</v>
      </c>
      <c r="AR10" s="93">
        <f t="shared" si="17"/>
        <v>0.32292611456080372</v>
      </c>
      <c r="AS10" s="137">
        <f t="shared" si="18"/>
        <v>116.52371178567574</v>
      </c>
      <c r="AT10" s="137">
        <f t="shared" si="19"/>
        <v>97.446452243075427</v>
      </c>
      <c r="AU10" s="29">
        <v>3.3159999999999994</v>
      </c>
      <c r="AV10" s="20">
        <v>15250.031873056972</v>
      </c>
      <c r="AW10" s="37">
        <v>27.64068276991576</v>
      </c>
      <c r="AX10" s="28">
        <v>-25.77</v>
      </c>
      <c r="AY10" s="28">
        <v>1.4861</v>
      </c>
      <c r="AZ10" s="28">
        <v>4.37</v>
      </c>
      <c r="BA10" s="28">
        <v>-26.86</v>
      </c>
      <c r="BB10" s="28">
        <v>0.84857000000000005</v>
      </c>
      <c r="BC10" s="28">
        <v>7.5</v>
      </c>
    </row>
    <row r="11" spans="1:58" x14ac:dyDescent="0.25">
      <c r="A11" s="44" t="s">
        <v>24</v>
      </c>
      <c r="D11" s="121" t="s">
        <v>313</v>
      </c>
      <c r="E11" s="44">
        <v>2016</v>
      </c>
      <c r="F11" s="44">
        <v>3</v>
      </c>
      <c r="G11" s="44">
        <v>1</v>
      </c>
      <c r="H11" s="44">
        <v>10</v>
      </c>
      <c r="I11" s="44">
        <v>110</v>
      </c>
      <c r="M11" s="44" t="s">
        <v>691</v>
      </c>
      <c r="N11" s="32">
        <v>0.5</v>
      </c>
      <c r="P11" s="29">
        <v>916.31</v>
      </c>
      <c r="Q11" s="135">
        <v>298.20999999999998</v>
      </c>
      <c r="R11" s="90">
        <v>1417</v>
      </c>
      <c r="S11" s="90">
        <v>504.61</v>
      </c>
      <c r="T11" s="93">
        <f t="shared" si="1"/>
        <v>0.32544662832447535</v>
      </c>
      <c r="U11" s="93">
        <f t="shared" si="0"/>
        <v>0.35611150317572338</v>
      </c>
      <c r="V11" s="90">
        <v>20</v>
      </c>
      <c r="W11" s="90">
        <v>4.13</v>
      </c>
      <c r="X11" s="90">
        <v>29.959999999999997</v>
      </c>
      <c r="Y11" s="90">
        <v>52.22</v>
      </c>
      <c r="Z11" s="90">
        <v>37.19</v>
      </c>
      <c r="AA11" s="90">
        <f t="shared" si="2"/>
        <v>15.030000000000001</v>
      </c>
      <c r="AB11" s="90">
        <f t="shared" si="3"/>
        <v>908.84652981427155</v>
      </c>
      <c r="AC11" s="32">
        <v>8.1840000000000011</v>
      </c>
      <c r="AD11" s="32">
        <v>86.31</v>
      </c>
      <c r="AE11" s="29">
        <f t="shared" si="4"/>
        <v>4.3155000000000001</v>
      </c>
      <c r="AF11" s="95">
        <f t="shared" si="5"/>
        <v>1832.62</v>
      </c>
      <c r="AG11" s="35">
        <f t="shared" si="6"/>
        <v>4.78507704785077E-2</v>
      </c>
      <c r="AH11" s="35">
        <f t="shared" si="7"/>
        <v>0.34712084347120842</v>
      </c>
      <c r="AI11" s="35">
        <f t="shared" si="8"/>
        <v>0.60502838605028386</v>
      </c>
      <c r="AJ11" s="93">
        <f t="shared" si="9"/>
        <v>0.43088865716602937</v>
      </c>
      <c r="AK11" s="93">
        <f t="shared" si="10"/>
        <v>0.17413972888425444</v>
      </c>
      <c r="AL11" s="135">
        <f t="shared" si="11"/>
        <v>87.692278994322777</v>
      </c>
      <c r="AM11" s="135">
        <f t="shared" si="12"/>
        <v>636.14060016220594</v>
      </c>
      <c r="AN11" s="135">
        <f t="shared" si="13"/>
        <v>1108.7871208434713</v>
      </c>
      <c r="AO11" s="135">
        <f t="shared" si="14"/>
        <v>596.41999999999996</v>
      </c>
      <c r="AP11" s="135">
        <f t="shared" si="15"/>
        <v>319.13194994786238</v>
      </c>
      <c r="AQ11" s="135">
        <f t="shared" si="16"/>
        <v>596.41999999999996</v>
      </c>
      <c r="AR11" s="93">
        <f t="shared" si="17"/>
        <v>0.32544662832447535</v>
      </c>
      <c r="AS11" s="137">
        <f t="shared" si="18"/>
        <v>238.42594145065559</v>
      </c>
      <c r="AT11" s="137">
        <f t="shared" si="19"/>
        <v>209.28397594700485</v>
      </c>
      <c r="AU11" s="29">
        <v>4.0920000000000005</v>
      </c>
      <c r="AV11" s="20">
        <v>17292.940338320321</v>
      </c>
      <c r="AW11" s="37">
        <v>34.225611086258972</v>
      </c>
      <c r="AX11" s="28">
        <v>-26.2</v>
      </c>
      <c r="AY11" s="28">
        <v>1.2968999999999999</v>
      </c>
      <c r="AZ11" s="28">
        <v>5.58</v>
      </c>
      <c r="BA11" s="28">
        <v>-26.84</v>
      </c>
      <c r="BB11" s="28">
        <v>1.4398</v>
      </c>
      <c r="BC11" s="28">
        <v>7.83</v>
      </c>
      <c r="BF11" s="28"/>
    </row>
    <row r="12" spans="1:58" x14ac:dyDescent="0.25">
      <c r="A12" s="44" t="s">
        <v>34</v>
      </c>
      <c r="D12" s="121" t="s">
        <v>42</v>
      </c>
      <c r="E12" s="44">
        <v>2016</v>
      </c>
      <c r="F12" s="44">
        <v>3</v>
      </c>
      <c r="G12" s="44">
        <v>1</v>
      </c>
      <c r="H12" s="44">
        <v>11</v>
      </c>
      <c r="I12" s="44">
        <v>111</v>
      </c>
      <c r="M12" s="44" t="s">
        <v>691</v>
      </c>
      <c r="N12" s="32">
        <v>0.5</v>
      </c>
      <c r="P12" s="29">
        <v>1028.24</v>
      </c>
      <c r="Q12" s="135">
        <v>337.34</v>
      </c>
      <c r="R12" s="90">
        <v>855</v>
      </c>
      <c r="S12" s="90">
        <v>312.05999999999995</v>
      </c>
      <c r="T12" s="93">
        <f t="shared" si="1"/>
        <v>0.32807515755076633</v>
      </c>
      <c r="U12" s="93">
        <f t="shared" si="0"/>
        <v>0.3649824561403508</v>
      </c>
      <c r="V12" s="90">
        <v>20</v>
      </c>
      <c r="W12" s="90">
        <v>3.01</v>
      </c>
      <c r="X12" s="90">
        <v>18</v>
      </c>
      <c r="Y12" s="90">
        <v>30.23</v>
      </c>
      <c r="Z12" s="90">
        <v>22.9</v>
      </c>
      <c r="AA12" s="90">
        <f t="shared" si="2"/>
        <v>7.3300000000000018</v>
      </c>
      <c r="AB12" s="90">
        <f t="shared" si="3"/>
        <v>679.12218268090146</v>
      </c>
      <c r="AC12" s="32">
        <v>6.7439999999999998</v>
      </c>
      <c r="AD12" s="32">
        <v>51.24</v>
      </c>
      <c r="AE12" s="29">
        <f t="shared" si="4"/>
        <v>2.5620000000000003</v>
      </c>
      <c r="AF12" s="95">
        <f t="shared" si="5"/>
        <v>2056.48</v>
      </c>
      <c r="AG12" s="35">
        <f t="shared" si="6"/>
        <v>5.87431693989071E-2</v>
      </c>
      <c r="AH12" s="35">
        <f t="shared" si="7"/>
        <v>0.35128805620608899</v>
      </c>
      <c r="AI12" s="35">
        <f t="shared" si="8"/>
        <v>0.58996877439500384</v>
      </c>
      <c r="AJ12" s="93">
        <f t="shared" si="9"/>
        <v>0.44691647150663538</v>
      </c>
      <c r="AK12" s="93">
        <f t="shared" si="10"/>
        <v>0.14305230288836848</v>
      </c>
      <c r="AL12" s="135">
        <f t="shared" si="11"/>
        <v>120.80415300546447</v>
      </c>
      <c r="AM12" s="135">
        <f t="shared" si="12"/>
        <v>722.41686182669787</v>
      </c>
      <c r="AN12" s="135">
        <f t="shared" si="13"/>
        <v>1213.2589851678374</v>
      </c>
      <c r="AO12" s="135">
        <f t="shared" si="14"/>
        <v>674.68</v>
      </c>
      <c r="AP12" s="135">
        <f t="shared" si="15"/>
        <v>294.18419984387202</v>
      </c>
      <c r="AQ12" s="135">
        <f t="shared" si="16"/>
        <v>674.68</v>
      </c>
      <c r="AR12" s="93">
        <f t="shared" si="17"/>
        <v>0.32807515755076633</v>
      </c>
      <c r="AS12" s="137">
        <f t="shared" si="18"/>
        <v>85.012153910001757</v>
      </c>
      <c r="AT12" s="137">
        <f t="shared" si="19"/>
        <v>66.303586711273638</v>
      </c>
      <c r="AU12" s="29">
        <v>3.3719999999999999</v>
      </c>
      <c r="AV12" s="20">
        <v>22591.596022721791</v>
      </c>
      <c r="AW12" s="37">
        <v>28.840335348155481</v>
      </c>
      <c r="AX12" s="28">
        <v>-25.67</v>
      </c>
      <c r="AY12" s="28">
        <v>1.7501</v>
      </c>
      <c r="AZ12" s="28">
        <v>6.51</v>
      </c>
      <c r="BA12" s="28">
        <v>-26.89</v>
      </c>
      <c r="BB12" s="28">
        <v>0.63944000000000001</v>
      </c>
      <c r="BC12" s="28">
        <v>6.44</v>
      </c>
      <c r="BF12" s="28"/>
    </row>
    <row r="13" spans="1:58" x14ac:dyDescent="0.25">
      <c r="A13" s="44" t="s">
        <v>34</v>
      </c>
      <c r="D13" s="121" t="s">
        <v>38</v>
      </c>
      <c r="E13" s="44">
        <v>1999</v>
      </c>
      <c r="F13" s="44">
        <v>3</v>
      </c>
      <c r="G13" s="44">
        <v>1</v>
      </c>
      <c r="H13" s="44">
        <v>12</v>
      </c>
      <c r="I13" s="44">
        <v>112</v>
      </c>
      <c r="M13" s="44" t="s">
        <v>691</v>
      </c>
      <c r="N13" s="32">
        <v>0.5</v>
      </c>
      <c r="P13" s="29">
        <v>1045.94</v>
      </c>
      <c r="Q13" s="135">
        <v>339.6</v>
      </c>
      <c r="R13" s="90">
        <v>749</v>
      </c>
      <c r="S13" s="90">
        <v>265.77999999999997</v>
      </c>
      <c r="T13" s="93">
        <f t="shared" si="1"/>
        <v>0.32468401629156551</v>
      </c>
      <c r="U13" s="93">
        <f t="shared" si="0"/>
        <v>0.35484646194926567</v>
      </c>
      <c r="V13" s="90">
        <v>20</v>
      </c>
      <c r="W13" s="90">
        <v>3.73</v>
      </c>
      <c r="X13" s="90">
        <v>18.47</v>
      </c>
      <c r="Y13" s="90">
        <v>28.74</v>
      </c>
      <c r="Z13" s="90">
        <v>20.81</v>
      </c>
      <c r="AA13" s="90">
        <f t="shared" si="2"/>
        <v>7.93</v>
      </c>
      <c r="AB13" s="90">
        <f t="shared" si="3"/>
        <v>644.67162329615849</v>
      </c>
      <c r="AC13" s="32">
        <v>6.4560000000000004</v>
      </c>
      <c r="AD13" s="32">
        <v>50.94</v>
      </c>
      <c r="AE13" s="29">
        <f t="shared" si="4"/>
        <v>2.5469999999999997</v>
      </c>
      <c r="AF13" s="95">
        <f t="shared" si="5"/>
        <v>2091.88</v>
      </c>
      <c r="AG13" s="35">
        <f t="shared" si="6"/>
        <v>7.3223400078523751E-2</v>
      </c>
      <c r="AH13" s="35">
        <f t="shared" si="7"/>
        <v>0.36258343148802513</v>
      </c>
      <c r="AI13" s="35">
        <f t="shared" si="8"/>
        <v>0.56419316843345113</v>
      </c>
      <c r="AJ13" s="93">
        <f t="shared" si="9"/>
        <v>0.40851982724774244</v>
      </c>
      <c r="AK13" s="93">
        <f t="shared" si="10"/>
        <v>0.15567334118570869</v>
      </c>
      <c r="AL13" s="135">
        <f t="shared" si="11"/>
        <v>153.17456615626227</v>
      </c>
      <c r="AM13" s="135">
        <f t="shared" si="12"/>
        <v>758.48102866117006</v>
      </c>
      <c r="AN13" s="135">
        <f t="shared" si="13"/>
        <v>1180.2244051825678</v>
      </c>
      <c r="AO13" s="135">
        <f t="shared" si="14"/>
        <v>679.2</v>
      </c>
      <c r="AP13" s="135">
        <f t="shared" si="15"/>
        <v>325.64994895956033</v>
      </c>
      <c r="AQ13" s="135">
        <f t="shared" si="16"/>
        <v>679.2</v>
      </c>
      <c r="AR13" s="93">
        <f t="shared" si="17"/>
        <v>0.32468401629156551</v>
      </c>
      <c r="AS13" s="137">
        <f t="shared" si="18"/>
        <v>56.525323910482896</v>
      </c>
      <c r="AT13" s="137">
        <f t="shared" si="19"/>
        <v>43.220452416008555</v>
      </c>
      <c r="AU13" s="29">
        <v>3.2280000000000002</v>
      </c>
      <c r="AV13" s="20">
        <v>22084.982212095772</v>
      </c>
      <c r="AW13" s="37">
        <v>29.729783747052</v>
      </c>
      <c r="AX13" s="28">
        <v>-25.82</v>
      </c>
      <c r="AY13" s="28">
        <v>1.4053</v>
      </c>
      <c r="AZ13" s="28">
        <v>3.38</v>
      </c>
      <c r="BA13" s="28">
        <v>-26.91</v>
      </c>
      <c r="BB13" s="28">
        <v>0.90986</v>
      </c>
      <c r="BC13" s="28">
        <v>6.53</v>
      </c>
      <c r="BF13" s="28"/>
    </row>
    <row r="14" spans="1:58" x14ac:dyDescent="0.25">
      <c r="A14" s="44" t="s">
        <v>24</v>
      </c>
      <c r="D14" s="121" t="s">
        <v>32</v>
      </c>
      <c r="E14" s="44">
        <v>2018</v>
      </c>
      <c r="F14" s="44">
        <v>4</v>
      </c>
      <c r="G14" s="44">
        <v>1</v>
      </c>
      <c r="H14" s="44">
        <v>13</v>
      </c>
      <c r="I14" s="44">
        <v>113</v>
      </c>
      <c r="M14" s="44" t="s">
        <v>691</v>
      </c>
      <c r="N14" s="32">
        <v>0.5</v>
      </c>
      <c r="P14" s="29">
        <v>1138.06</v>
      </c>
      <c r="Q14" s="135">
        <v>426.23</v>
      </c>
      <c r="R14" s="90">
        <v>928</v>
      </c>
      <c r="S14" s="90">
        <v>332.82000000000005</v>
      </c>
      <c r="T14" s="93">
        <f t="shared" si="1"/>
        <v>0.37452331160044289</v>
      </c>
      <c r="U14" s="93">
        <f t="shared" si="0"/>
        <v>0.35864224137931039</v>
      </c>
      <c r="V14" s="90">
        <v>20</v>
      </c>
      <c r="W14" s="90">
        <v>6.85</v>
      </c>
      <c r="X14" s="90">
        <v>25.98</v>
      </c>
      <c r="Y14" s="90">
        <v>53.23</v>
      </c>
      <c r="Z14" s="90">
        <v>40.36</v>
      </c>
      <c r="AA14" s="90">
        <f t="shared" si="2"/>
        <v>12.869999999999997</v>
      </c>
      <c r="AB14" s="90">
        <f t="shared" si="3"/>
        <v>1039.1349124613798</v>
      </c>
      <c r="AC14" s="32">
        <v>7.7680000000000016</v>
      </c>
      <c r="AD14" s="32">
        <v>86.06</v>
      </c>
      <c r="AE14" s="29">
        <f t="shared" si="4"/>
        <v>4.3029999999999999</v>
      </c>
      <c r="AF14" s="95">
        <f t="shared" si="5"/>
        <v>2276.12</v>
      </c>
      <c r="AG14" s="35">
        <f t="shared" si="6"/>
        <v>7.9595630955147559E-2</v>
      </c>
      <c r="AH14" s="35">
        <f t="shared" si="7"/>
        <v>0.30188240762258889</v>
      </c>
      <c r="AI14" s="35">
        <f t="shared" si="8"/>
        <v>0.61852196142226346</v>
      </c>
      <c r="AJ14" s="93">
        <f t="shared" si="9"/>
        <v>0.4689751336277016</v>
      </c>
      <c r="AK14" s="93">
        <f t="shared" si="10"/>
        <v>0.14954682779456191</v>
      </c>
      <c r="AL14" s="135">
        <f t="shared" si="11"/>
        <v>181.16920752963046</v>
      </c>
      <c r="AM14" s="135">
        <f t="shared" si="12"/>
        <v>687.12058563792698</v>
      </c>
      <c r="AN14" s="135">
        <f t="shared" si="13"/>
        <v>1407.8302068324422</v>
      </c>
      <c r="AO14" s="135">
        <f t="shared" si="14"/>
        <v>852.46</v>
      </c>
      <c r="AP14" s="135">
        <f t="shared" si="15"/>
        <v>340.38652567975822</v>
      </c>
      <c r="AQ14" s="135">
        <f t="shared" si="16"/>
        <v>852.46</v>
      </c>
      <c r="AR14" s="93">
        <f t="shared" si="17"/>
        <v>0.37452331160044289</v>
      </c>
      <c r="AS14" s="137">
        <f t="shared" si="18"/>
        <v>56.169204420148759</v>
      </c>
      <c r="AT14" s="137">
        <f t="shared" si="19"/>
        <v>63.084547387659704</v>
      </c>
      <c r="AU14" s="29">
        <v>3.8840000000000008</v>
      </c>
      <c r="AV14" s="20">
        <v>20661.157024793385</v>
      </c>
      <c r="AW14" s="37">
        <v>34.127804014167644</v>
      </c>
      <c r="AX14" s="28">
        <v>-26.08</v>
      </c>
      <c r="AY14" s="28">
        <v>1.9256</v>
      </c>
      <c r="AZ14" s="28">
        <v>5.45</v>
      </c>
      <c r="BA14" s="28">
        <v>-27.18</v>
      </c>
      <c r="BB14" s="28">
        <v>0.66376000000000002</v>
      </c>
      <c r="BC14" s="28">
        <v>4.8899999999999997</v>
      </c>
      <c r="BF14" s="28"/>
    </row>
    <row r="15" spans="1:58" x14ac:dyDescent="0.25">
      <c r="A15" s="44" t="s">
        <v>24</v>
      </c>
      <c r="D15" s="121" t="s">
        <v>27</v>
      </c>
      <c r="E15" s="44">
        <v>1985</v>
      </c>
      <c r="F15" s="44">
        <v>4</v>
      </c>
      <c r="G15" s="44">
        <v>1</v>
      </c>
      <c r="H15" s="44">
        <v>14</v>
      </c>
      <c r="I15" s="44">
        <v>114</v>
      </c>
      <c r="M15" s="44" t="s">
        <v>691</v>
      </c>
      <c r="N15" s="32">
        <v>0.5</v>
      </c>
      <c r="P15" s="29">
        <v>1032.52</v>
      </c>
      <c r="Q15" s="135">
        <v>340.64</v>
      </c>
      <c r="R15" s="90">
        <v>1050</v>
      </c>
      <c r="S15" s="90">
        <v>369.9</v>
      </c>
      <c r="T15" s="93">
        <f t="shared" si="1"/>
        <v>0.32991128501142836</v>
      </c>
      <c r="U15" s="93">
        <f t="shared" si="0"/>
        <v>0.35228571428571426</v>
      </c>
      <c r="V15" s="90">
        <v>20</v>
      </c>
      <c r="W15" s="90">
        <v>4.2300000000000004</v>
      </c>
      <c r="X15" s="90">
        <v>21.59</v>
      </c>
      <c r="Y15" s="90">
        <v>35.700000000000003</v>
      </c>
      <c r="Z15" s="90">
        <v>24.94</v>
      </c>
      <c r="AA15" s="90">
        <f t="shared" si="2"/>
        <v>10.760000000000002</v>
      </c>
      <c r="AB15" s="90">
        <f t="shared" si="3"/>
        <v>733.52941176470586</v>
      </c>
      <c r="AC15" s="32">
        <v>6.8000000000000007</v>
      </c>
      <c r="AD15" s="32">
        <v>61.52000000000001</v>
      </c>
      <c r="AE15" s="29">
        <f t="shared" si="4"/>
        <v>3.0760000000000005</v>
      </c>
      <c r="AF15" s="95">
        <f t="shared" si="5"/>
        <v>2065.04</v>
      </c>
      <c r="AG15" s="35">
        <f t="shared" si="6"/>
        <v>6.8758127438231467E-2</v>
      </c>
      <c r="AH15" s="35">
        <f t="shared" si="7"/>
        <v>0.35094278283485042</v>
      </c>
      <c r="AI15" s="35">
        <f t="shared" si="8"/>
        <v>0.58029908972691802</v>
      </c>
      <c r="AJ15" s="93">
        <f t="shared" si="9"/>
        <v>0.40539661898569568</v>
      </c>
      <c r="AK15" s="93">
        <f t="shared" si="10"/>
        <v>0.17490247074122237</v>
      </c>
      <c r="AL15" s="135">
        <f t="shared" si="11"/>
        <v>141.98828348504551</v>
      </c>
      <c r="AM15" s="135">
        <f t="shared" si="12"/>
        <v>724.71088426527945</v>
      </c>
      <c r="AN15" s="135">
        <f t="shared" si="13"/>
        <v>1198.3408322496748</v>
      </c>
      <c r="AO15" s="135">
        <f t="shared" si="14"/>
        <v>681.28</v>
      </c>
      <c r="AP15" s="135">
        <f t="shared" si="15"/>
        <v>361.18059817945385</v>
      </c>
      <c r="AQ15" s="135">
        <f t="shared" si="16"/>
        <v>681.28</v>
      </c>
      <c r="AR15" s="93">
        <f t="shared" si="17"/>
        <v>0.32991128501142836</v>
      </c>
      <c r="AS15" s="137">
        <f t="shared" si="18"/>
        <v>117.17942696101457</v>
      </c>
      <c r="AT15" s="137">
        <f t="shared" si="19"/>
        <v>103.38589083020184</v>
      </c>
      <c r="AU15" s="29">
        <v>3.4000000000000004</v>
      </c>
      <c r="AV15" s="20">
        <v>18872.549019607843</v>
      </c>
      <c r="AW15" s="37">
        <v>34.692185697808533</v>
      </c>
      <c r="AX15" s="28">
        <v>-25.56</v>
      </c>
      <c r="AY15" s="28">
        <v>1.4009</v>
      </c>
      <c r="AZ15" s="28">
        <v>4.04</v>
      </c>
      <c r="BA15" s="28">
        <v>-27.1</v>
      </c>
      <c r="BB15" s="28">
        <v>1.1175999999999999</v>
      </c>
      <c r="BC15" s="28">
        <v>5.44</v>
      </c>
      <c r="BF15" s="28"/>
    </row>
    <row r="16" spans="1:58" x14ac:dyDescent="0.25">
      <c r="A16" s="44" t="s">
        <v>34</v>
      </c>
      <c r="D16" s="121" t="s">
        <v>36</v>
      </c>
      <c r="E16" s="44">
        <v>1984</v>
      </c>
      <c r="F16" s="44">
        <v>4</v>
      </c>
      <c r="G16" s="44">
        <v>1</v>
      </c>
      <c r="H16" s="44">
        <v>15</v>
      </c>
      <c r="I16" s="44">
        <v>115</v>
      </c>
      <c r="M16" s="44" t="s">
        <v>691</v>
      </c>
      <c r="N16" s="32">
        <v>0.5</v>
      </c>
      <c r="P16" s="29">
        <v>1036.75</v>
      </c>
      <c r="Q16" s="135">
        <v>317.97000000000003</v>
      </c>
      <c r="R16" s="90">
        <v>785</v>
      </c>
      <c r="S16" s="90">
        <v>268.21000000000004</v>
      </c>
      <c r="T16" s="93">
        <f t="shared" si="1"/>
        <v>0.30669881842295638</v>
      </c>
      <c r="U16" s="93">
        <f t="shared" si="0"/>
        <v>0.34166878980891724</v>
      </c>
      <c r="V16" s="90">
        <v>20</v>
      </c>
      <c r="W16" s="90">
        <v>5</v>
      </c>
      <c r="X16" s="90">
        <v>20.93</v>
      </c>
      <c r="Y16" s="90">
        <v>31.82</v>
      </c>
      <c r="Z16" s="90">
        <v>23.28</v>
      </c>
      <c r="AA16" s="90">
        <f t="shared" si="2"/>
        <v>8.5399999999999991</v>
      </c>
      <c r="AB16" s="90">
        <f t="shared" si="3"/>
        <v>819.71830985915506</v>
      </c>
      <c r="AC16" s="32">
        <v>5.68</v>
      </c>
      <c r="AD16" s="32">
        <v>57.75</v>
      </c>
      <c r="AE16" s="29">
        <f t="shared" si="4"/>
        <v>2.8875000000000002</v>
      </c>
      <c r="AF16" s="95">
        <f t="shared" si="5"/>
        <v>2073.5</v>
      </c>
      <c r="AG16" s="35">
        <f t="shared" si="6"/>
        <v>8.6580086580086577E-2</v>
      </c>
      <c r="AH16" s="35">
        <f t="shared" si="7"/>
        <v>0.36242424242424243</v>
      </c>
      <c r="AI16" s="35">
        <f t="shared" si="8"/>
        <v>0.55099567099567104</v>
      </c>
      <c r="AJ16" s="93">
        <f t="shared" si="9"/>
        <v>0.40311688311688315</v>
      </c>
      <c r="AK16" s="93">
        <f t="shared" si="10"/>
        <v>0.14787878787878786</v>
      </c>
      <c r="AL16" s="135">
        <f t="shared" si="11"/>
        <v>179.52380952380952</v>
      </c>
      <c r="AM16" s="135">
        <f t="shared" si="12"/>
        <v>751.48666666666668</v>
      </c>
      <c r="AN16" s="135">
        <f t="shared" si="13"/>
        <v>1142.4895238095239</v>
      </c>
      <c r="AO16" s="135">
        <f t="shared" si="14"/>
        <v>635.94000000000005</v>
      </c>
      <c r="AP16" s="135">
        <f t="shared" si="15"/>
        <v>306.62666666666661</v>
      </c>
      <c r="AQ16" s="135">
        <f t="shared" si="16"/>
        <v>635.94000000000005</v>
      </c>
      <c r="AR16" s="93">
        <f t="shared" si="17"/>
        <v>0.30669881842295638</v>
      </c>
      <c r="AS16" s="137">
        <f t="shared" si="18"/>
        <v>68.701449822310281</v>
      </c>
      <c r="AT16" s="137">
        <f t="shared" si="19"/>
        <v>51.434772124427298</v>
      </c>
      <c r="AU16" s="29">
        <v>2.84</v>
      </c>
      <c r="AV16" s="20">
        <v>26452.834654988754</v>
      </c>
      <c r="AW16" s="37">
        <v>45.347716551409299</v>
      </c>
      <c r="AX16" s="28">
        <v>-25.89</v>
      </c>
      <c r="AY16" s="28">
        <v>1.4807999999999999</v>
      </c>
      <c r="AZ16" s="28">
        <v>3.76</v>
      </c>
      <c r="BA16" s="28">
        <v>-27.22</v>
      </c>
      <c r="BB16" s="28">
        <v>1.3866000000000001</v>
      </c>
      <c r="BC16" s="28">
        <v>8.56</v>
      </c>
      <c r="BF16" s="28"/>
    </row>
    <row r="17" spans="1:58" x14ac:dyDescent="0.25">
      <c r="A17" s="44" t="s">
        <v>34</v>
      </c>
      <c r="D17" s="121" t="s">
        <v>43</v>
      </c>
      <c r="E17" s="44">
        <v>2020</v>
      </c>
      <c r="F17" s="44">
        <v>4</v>
      </c>
      <c r="G17" s="44">
        <v>1</v>
      </c>
      <c r="H17" s="44">
        <v>16</v>
      </c>
      <c r="I17" s="44">
        <v>116</v>
      </c>
      <c r="M17" s="44" t="s">
        <v>691</v>
      </c>
      <c r="N17" s="32">
        <v>0.5</v>
      </c>
      <c r="P17" s="29">
        <v>984.63</v>
      </c>
      <c r="Q17" s="135">
        <v>305.41999999999996</v>
      </c>
      <c r="R17" s="90">
        <v>864</v>
      </c>
      <c r="S17" s="90">
        <v>321.48</v>
      </c>
      <c r="T17" s="93">
        <f t="shared" si="1"/>
        <v>0.31018758315306255</v>
      </c>
      <c r="U17" s="93">
        <f t="shared" si="0"/>
        <v>0.37208333333333338</v>
      </c>
      <c r="V17" s="90">
        <v>20</v>
      </c>
      <c r="W17" s="90">
        <v>5.09</v>
      </c>
      <c r="X17" s="90">
        <v>17.559999999999999</v>
      </c>
      <c r="Y17" s="90">
        <v>27.98</v>
      </c>
      <c r="Z17" s="90">
        <v>19.39</v>
      </c>
      <c r="AA17" s="90">
        <f t="shared" si="2"/>
        <v>8.59</v>
      </c>
      <c r="AB17" s="90">
        <f t="shared" si="3"/>
        <v>566.95906432748541</v>
      </c>
      <c r="AC17" s="32">
        <v>6.84</v>
      </c>
      <c r="AD17" s="32">
        <v>50.629999999999995</v>
      </c>
      <c r="AE17" s="29">
        <f t="shared" si="4"/>
        <v>2.5314999999999999</v>
      </c>
      <c r="AF17" s="95">
        <f t="shared" si="5"/>
        <v>1969.26</v>
      </c>
      <c r="AG17" s="35">
        <f t="shared" si="6"/>
        <v>0.10053328066363816</v>
      </c>
      <c r="AH17" s="35">
        <f t="shared" si="7"/>
        <v>0.34682994272170653</v>
      </c>
      <c r="AI17" s="35">
        <f t="shared" si="8"/>
        <v>0.55263677661465538</v>
      </c>
      <c r="AJ17" s="93">
        <f t="shared" si="9"/>
        <v>0.38297452103495955</v>
      </c>
      <c r="AK17" s="93">
        <f t="shared" si="10"/>
        <v>0.16966225557969586</v>
      </c>
      <c r="AL17" s="135">
        <f t="shared" si="11"/>
        <v>197.97616827967607</v>
      </c>
      <c r="AM17" s="135">
        <f t="shared" si="12"/>
        <v>682.99833300414775</v>
      </c>
      <c r="AN17" s="135">
        <f t="shared" si="13"/>
        <v>1088.2854987161763</v>
      </c>
      <c r="AO17" s="135">
        <f t="shared" si="14"/>
        <v>610.83999999999992</v>
      </c>
      <c r="AP17" s="135">
        <f t="shared" si="15"/>
        <v>334.10909342287187</v>
      </c>
      <c r="AQ17" s="135">
        <f t="shared" si="16"/>
        <v>610.83999999999992</v>
      </c>
      <c r="AR17" s="93">
        <f t="shared" si="17"/>
        <v>0.31018758315306255</v>
      </c>
      <c r="AS17" s="137">
        <f t="shared" si="18"/>
        <v>110.51666557527344</v>
      </c>
      <c r="AT17" s="137">
        <f t="shared" si="19"/>
        <v>75.497394960543559</v>
      </c>
      <c r="AU17" s="29">
        <v>3.42</v>
      </c>
      <c r="AV17" s="20">
        <v>22492.127755285652</v>
      </c>
      <c r="AW17" s="37">
        <v>51.904910204505356</v>
      </c>
      <c r="AX17" s="28">
        <v>-25.68</v>
      </c>
      <c r="AY17" s="28">
        <v>1.4691000000000001</v>
      </c>
      <c r="AZ17" s="28">
        <v>5.59</v>
      </c>
      <c r="BA17" s="28">
        <v>-27.1</v>
      </c>
      <c r="BB17" s="28">
        <v>0.98958999999999997</v>
      </c>
      <c r="BC17" s="28">
        <v>7.66</v>
      </c>
      <c r="BF17" s="28"/>
    </row>
    <row r="18" spans="1:58" x14ac:dyDescent="0.25">
      <c r="A18" s="44" t="s">
        <v>24</v>
      </c>
      <c r="D18" s="121" t="s">
        <v>313</v>
      </c>
      <c r="E18" s="44">
        <v>2016</v>
      </c>
      <c r="F18" s="44">
        <v>1</v>
      </c>
      <c r="G18" s="44">
        <v>2</v>
      </c>
      <c r="H18" s="44">
        <v>1</v>
      </c>
      <c r="I18" s="44">
        <v>117</v>
      </c>
      <c r="J18" s="61"/>
      <c r="K18" s="61"/>
      <c r="L18" s="61"/>
      <c r="M18" s="44" t="s">
        <v>691</v>
      </c>
      <c r="N18" s="32">
        <v>0.5</v>
      </c>
      <c r="P18" s="29">
        <v>940.68000000000006</v>
      </c>
      <c r="Q18" s="135">
        <v>298.19</v>
      </c>
      <c r="R18" s="90">
        <v>1123</v>
      </c>
      <c r="S18" s="90">
        <v>365.74</v>
      </c>
      <c r="T18" s="93">
        <f t="shared" si="1"/>
        <v>0.31699408938214907</v>
      </c>
      <c r="U18" s="93">
        <f t="shared" si="0"/>
        <v>0.32568121104185221</v>
      </c>
      <c r="V18" s="90">
        <v>20</v>
      </c>
      <c r="W18" s="90">
        <v>5.54</v>
      </c>
      <c r="X18" s="90">
        <v>23.1</v>
      </c>
      <c r="Y18" s="90">
        <v>37.04</v>
      </c>
      <c r="Z18" s="90">
        <v>26.99</v>
      </c>
      <c r="AA18" s="90">
        <f t="shared" si="2"/>
        <v>10.050000000000001</v>
      </c>
      <c r="AB18" s="90">
        <f t="shared" si="3"/>
        <v>666.09081934846995</v>
      </c>
      <c r="AC18" s="32">
        <v>8.1039999999999992</v>
      </c>
      <c r="AD18" s="32">
        <v>65.680000000000007</v>
      </c>
      <c r="AE18" s="29">
        <f t="shared" si="4"/>
        <v>3.2840000000000003</v>
      </c>
      <c r="AF18" s="95">
        <f t="shared" si="5"/>
        <v>1881.3600000000001</v>
      </c>
      <c r="AG18" s="35">
        <f t="shared" si="6"/>
        <v>8.4348355663824592E-2</v>
      </c>
      <c r="AH18" s="35">
        <f t="shared" si="7"/>
        <v>0.35170523751522531</v>
      </c>
      <c r="AI18" s="35">
        <f t="shared" si="8"/>
        <v>0.56394640682094999</v>
      </c>
      <c r="AJ18" s="93">
        <f t="shared" si="9"/>
        <v>0.41093179049939094</v>
      </c>
      <c r="AK18" s="93">
        <f t="shared" si="10"/>
        <v>0.15301461632155908</v>
      </c>
      <c r="AL18" s="135">
        <f t="shared" si="11"/>
        <v>158.68962241169305</v>
      </c>
      <c r="AM18" s="135">
        <f t="shared" si="12"/>
        <v>661.68416565164432</v>
      </c>
      <c r="AN18" s="135">
        <f t="shared" si="13"/>
        <v>1060.9862119366626</v>
      </c>
      <c r="AO18" s="135">
        <f t="shared" si="14"/>
        <v>596.38</v>
      </c>
      <c r="AP18" s="135">
        <f t="shared" si="15"/>
        <v>287.87557856272838</v>
      </c>
      <c r="AQ18" s="135">
        <f t="shared" si="16"/>
        <v>596.38</v>
      </c>
      <c r="AR18" s="93">
        <f t="shared" si="17"/>
        <v>0.31699408938214907</v>
      </c>
      <c r="AS18" s="137">
        <f t="shared" si="18"/>
        <v>145.30668365807037</v>
      </c>
      <c r="AT18" s="137">
        <f t="shared" si="19"/>
        <v>138.76344771867159</v>
      </c>
      <c r="AU18" s="29">
        <v>4.0519999999999996</v>
      </c>
      <c r="AV18" s="20">
        <v>18520.108159148462</v>
      </c>
      <c r="AW18" s="37">
        <v>54.981571097471999</v>
      </c>
      <c r="AX18" s="28">
        <v>-25.83</v>
      </c>
      <c r="AY18" s="28">
        <v>1.1435999999999999</v>
      </c>
      <c r="AZ18" s="28">
        <v>4.8099999999999996</v>
      </c>
      <c r="BA18" s="28">
        <v>-26.8</v>
      </c>
      <c r="BB18" s="28">
        <v>0.47628999999999999</v>
      </c>
      <c r="BC18" s="28">
        <v>8.57</v>
      </c>
      <c r="BF18" s="28"/>
    </row>
    <row r="19" spans="1:58" x14ac:dyDescent="0.25">
      <c r="A19" s="44" t="s">
        <v>24</v>
      </c>
      <c r="D19" s="121" t="s">
        <v>311</v>
      </c>
      <c r="E19" s="44">
        <v>2023</v>
      </c>
      <c r="F19" s="44">
        <v>1</v>
      </c>
      <c r="G19" s="44">
        <v>2</v>
      </c>
      <c r="H19" s="44">
        <v>2</v>
      </c>
      <c r="I19" s="44">
        <v>118</v>
      </c>
      <c r="J19" s="61"/>
      <c r="K19" s="61"/>
      <c r="L19" s="61"/>
      <c r="M19" s="44" t="s">
        <v>691</v>
      </c>
      <c r="N19" s="32">
        <v>0.5</v>
      </c>
      <c r="P19" s="29">
        <v>1187.25</v>
      </c>
      <c r="Q19" s="135">
        <v>410.36</v>
      </c>
      <c r="R19" s="90">
        <v>1151</v>
      </c>
      <c r="S19" s="90">
        <v>432.13</v>
      </c>
      <c r="T19" s="93">
        <f t="shared" si="1"/>
        <v>0.3456390819119815</v>
      </c>
      <c r="U19" s="93">
        <f t="shared" si="0"/>
        <v>0.37543874891398782</v>
      </c>
      <c r="V19" s="90">
        <v>20</v>
      </c>
      <c r="W19" s="90">
        <v>5.07</v>
      </c>
      <c r="X19" s="90">
        <v>21.96</v>
      </c>
      <c r="Y19" s="90">
        <v>38.22</v>
      </c>
      <c r="Z19" s="90">
        <v>29.17</v>
      </c>
      <c r="AA19" s="90">
        <f t="shared" si="2"/>
        <v>9.0499999999999972</v>
      </c>
      <c r="AB19" s="90">
        <f t="shared" si="3"/>
        <v>779.94652406417129</v>
      </c>
      <c r="AC19" s="32">
        <v>7.4799999999999995</v>
      </c>
      <c r="AD19" s="32">
        <v>65.25</v>
      </c>
      <c r="AE19" s="29">
        <f t="shared" si="4"/>
        <v>3.2625000000000002</v>
      </c>
      <c r="AF19" s="95">
        <f t="shared" si="5"/>
        <v>2374.5</v>
      </c>
      <c r="AG19" s="35">
        <f t="shared" si="6"/>
        <v>7.7701149425287358E-2</v>
      </c>
      <c r="AH19" s="35">
        <f t="shared" si="7"/>
        <v>0.33655172413793105</v>
      </c>
      <c r="AI19" s="35">
        <f t="shared" si="8"/>
        <v>0.58574712643678162</v>
      </c>
      <c r="AJ19" s="93">
        <f t="shared" si="9"/>
        <v>0.44704980842911879</v>
      </c>
      <c r="AK19" s="93">
        <f t="shared" si="10"/>
        <v>0.1386973180076628</v>
      </c>
      <c r="AL19" s="135">
        <f t="shared" si="11"/>
        <v>184.50137931034484</v>
      </c>
      <c r="AM19" s="135">
        <f t="shared" si="12"/>
        <v>799.1420689655173</v>
      </c>
      <c r="AN19" s="135">
        <f t="shared" si="13"/>
        <v>1390.8565517241379</v>
      </c>
      <c r="AO19" s="135">
        <f t="shared" si="14"/>
        <v>820.72</v>
      </c>
      <c r="AP19" s="135">
        <f t="shared" si="15"/>
        <v>329.33678160919533</v>
      </c>
      <c r="AQ19" s="135">
        <f t="shared" si="16"/>
        <v>820.72</v>
      </c>
      <c r="AR19" s="93">
        <f t="shared" si="17"/>
        <v>0.3456390819119815</v>
      </c>
      <c r="AS19" s="137">
        <f t="shared" si="18"/>
        <v>110.6101959255288</v>
      </c>
      <c r="AT19" s="137">
        <f t="shared" si="19"/>
        <v>93.893451252895346</v>
      </c>
      <c r="AU19" s="29">
        <v>3.7399999999999998</v>
      </c>
      <c r="AV19" s="20">
        <v>24471.606824548002</v>
      </c>
      <c r="AW19" s="37">
        <v>36.292637239795766</v>
      </c>
      <c r="AX19" s="28">
        <v>-24.91</v>
      </c>
      <c r="AY19" s="28">
        <v>1.4716</v>
      </c>
      <c r="AZ19" s="28">
        <v>2.77</v>
      </c>
      <c r="BA19" s="28">
        <v>-26.9</v>
      </c>
      <c r="BB19" s="28">
        <v>0.50522</v>
      </c>
      <c r="BC19" s="28">
        <v>7.66</v>
      </c>
      <c r="BF19" s="28"/>
    </row>
    <row r="20" spans="1:58" x14ac:dyDescent="0.25">
      <c r="A20" s="44" t="s">
        <v>34</v>
      </c>
      <c r="D20" s="121" t="s">
        <v>318</v>
      </c>
      <c r="E20" s="44">
        <v>2004</v>
      </c>
      <c r="F20" s="44">
        <v>1</v>
      </c>
      <c r="G20" s="44">
        <v>2</v>
      </c>
      <c r="H20" s="44">
        <v>3</v>
      </c>
      <c r="I20" s="44">
        <v>119</v>
      </c>
      <c r="J20" s="61"/>
      <c r="K20" s="61"/>
      <c r="L20" s="61"/>
      <c r="M20" s="44" t="s">
        <v>691</v>
      </c>
      <c r="N20" s="32">
        <v>0.5</v>
      </c>
      <c r="P20" s="29">
        <v>1082.6799999999998</v>
      </c>
      <c r="Q20" s="135">
        <v>389.3</v>
      </c>
      <c r="R20" s="90">
        <v>929</v>
      </c>
      <c r="S20" s="90">
        <v>356.6</v>
      </c>
      <c r="T20" s="93">
        <f t="shared" si="1"/>
        <v>0.35957069494218058</v>
      </c>
      <c r="U20" s="93">
        <f t="shared" si="0"/>
        <v>0.38385360602798713</v>
      </c>
      <c r="V20" s="90">
        <v>20</v>
      </c>
      <c r="W20" s="90">
        <v>4.29</v>
      </c>
      <c r="X20" s="90">
        <v>22.5</v>
      </c>
      <c r="Y20" s="90">
        <v>34.89</v>
      </c>
      <c r="Z20" s="90">
        <v>25.8</v>
      </c>
      <c r="AA20" s="90">
        <f t="shared" si="2"/>
        <v>9.09</v>
      </c>
      <c r="AB20" s="90">
        <f t="shared" si="3"/>
        <v>747.3928157589803</v>
      </c>
      <c r="AC20" s="32">
        <v>6.9040000000000008</v>
      </c>
      <c r="AD20" s="32">
        <v>61.68</v>
      </c>
      <c r="AE20" s="29">
        <f t="shared" si="4"/>
        <v>3.0840000000000001</v>
      </c>
      <c r="AF20" s="95">
        <f t="shared" si="5"/>
        <v>2165.3599999999997</v>
      </c>
      <c r="AG20" s="35">
        <f t="shared" si="6"/>
        <v>6.955252918287938E-2</v>
      </c>
      <c r="AH20" s="35">
        <f t="shared" si="7"/>
        <v>0.36478599221789881</v>
      </c>
      <c r="AI20" s="35">
        <f t="shared" si="8"/>
        <v>0.56566147859922178</v>
      </c>
      <c r="AJ20" s="93">
        <f t="shared" si="9"/>
        <v>0.41828793774319067</v>
      </c>
      <c r="AK20" s="93">
        <f t="shared" si="10"/>
        <v>0.14737354085603113</v>
      </c>
      <c r="AL20" s="135">
        <f t="shared" si="11"/>
        <v>150.60626459143967</v>
      </c>
      <c r="AM20" s="135">
        <f t="shared" si="12"/>
        <v>789.89299610894921</v>
      </c>
      <c r="AN20" s="135">
        <f t="shared" si="13"/>
        <v>1224.8607392996107</v>
      </c>
      <c r="AO20" s="135">
        <f t="shared" si="14"/>
        <v>778.6</v>
      </c>
      <c r="AP20" s="135">
        <f t="shared" si="15"/>
        <v>319.11677042801551</v>
      </c>
      <c r="AQ20" s="135">
        <f t="shared" si="16"/>
        <v>778.6</v>
      </c>
      <c r="AR20" s="93">
        <f t="shared" si="17"/>
        <v>0.35957069494218058</v>
      </c>
      <c r="AS20" s="137">
        <f t="shared" si="18"/>
        <v>83.20061649113795</v>
      </c>
      <c r="AT20" s="137">
        <f t="shared" si="19"/>
        <v>71.611187054346644</v>
      </c>
      <c r="AU20" s="29">
        <v>3.4520000000000004</v>
      </c>
      <c r="AV20" s="20">
        <v>21609.726012036033</v>
      </c>
      <c r="AW20" s="37">
        <v>40.082556312647476</v>
      </c>
      <c r="AX20" s="28">
        <v>-25.49</v>
      </c>
      <c r="AY20" s="28">
        <v>1.583</v>
      </c>
      <c r="AZ20" s="28">
        <v>5.0999999999999996</v>
      </c>
      <c r="BA20" s="28">
        <v>-27.03</v>
      </c>
      <c r="BB20" s="28">
        <v>0.78166000000000002</v>
      </c>
      <c r="BC20" s="28">
        <v>5.12</v>
      </c>
      <c r="BF20" s="28"/>
    </row>
    <row r="21" spans="1:58" x14ac:dyDescent="0.25">
      <c r="A21" s="44" t="s">
        <v>34</v>
      </c>
      <c r="D21" s="121" t="s">
        <v>42</v>
      </c>
      <c r="E21" s="44">
        <v>2016</v>
      </c>
      <c r="F21" s="44">
        <v>1</v>
      </c>
      <c r="G21" s="44">
        <v>2</v>
      </c>
      <c r="H21" s="44">
        <v>4</v>
      </c>
      <c r="I21" s="44">
        <v>120</v>
      </c>
      <c r="J21" s="61"/>
      <c r="K21" s="61"/>
      <c r="L21" s="61"/>
      <c r="M21" s="44" t="s">
        <v>691</v>
      </c>
      <c r="N21" s="32">
        <v>0.5</v>
      </c>
      <c r="P21" s="29">
        <v>1173.9000000000001</v>
      </c>
      <c r="Q21" s="135">
        <v>423.66</v>
      </c>
      <c r="R21" s="90">
        <v>911</v>
      </c>
      <c r="S21" s="90">
        <v>332.62</v>
      </c>
      <c r="T21" s="93">
        <f t="shared" si="1"/>
        <v>0.36089956555072833</v>
      </c>
      <c r="U21" s="93">
        <f t="shared" si="0"/>
        <v>0.36511525795828759</v>
      </c>
      <c r="V21" s="90">
        <v>20</v>
      </c>
      <c r="W21" s="90">
        <v>3.92</v>
      </c>
      <c r="X21" s="90">
        <v>18.54</v>
      </c>
      <c r="Y21" s="90">
        <v>31.44</v>
      </c>
      <c r="Z21" s="90">
        <v>23.73</v>
      </c>
      <c r="AA21" s="90">
        <f t="shared" si="2"/>
        <v>7.7100000000000009</v>
      </c>
      <c r="AB21" s="90">
        <f t="shared" si="3"/>
        <v>639.2780172413793</v>
      </c>
      <c r="AC21" s="32">
        <v>7.4240000000000004</v>
      </c>
      <c r="AD21" s="32">
        <v>53.9</v>
      </c>
      <c r="AE21" s="29">
        <f t="shared" si="4"/>
        <v>2.6949999999999998</v>
      </c>
      <c r="AF21" s="95">
        <f t="shared" si="5"/>
        <v>2347.8000000000002</v>
      </c>
      <c r="AG21" s="35">
        <f t="shared" si="6"/>
        <v>7.2727272727272724E-2</v>
      </c>
      <c r="AH21" s="35">
        <f t="shared" si="7"/>
        <v>0.34397031539888684</v>
      </c>
      <c r="AI21" s="35">
        <f t="shared" si="8"/>
        <v>0.58330241187384047</v>
      </c>
      <c r="AJ21" s="93">
        <f t="shared" si="9"/>
        <v>0.4402597402597403</v>
      </c>
      <c r="AK21" s="93">
        <f t="shared" si="10"/>
        <v>0.1430426716141002</v>
      </c>
      <c r="AL21" s="135">
        <f t="shared" si="11"/>
        <v>170.74909090909091</v>
      </c>
      <c r="AM21" s="135">
        <f t="shared" si="12"/>
        <v>807.57350649350656</v>
      </c>
      <c r="AN21" s="135">
        <f t="shared" si="13"/>
        <v>1369.4774025974027</v>
      </c>
      <c r="AO21" s="135">
        <f t="shared" si="14"/>
        <v>847.32</v>
      </c>
      <c r="AP21" s="135">
        <f t="shared" si="15"/>
        <v>335.83558441558449</v>
      </c>
      <c r="AQ21" s="135">
        <f t="shared" si="16"/>
        <v>847.32</v>
      </c>
      <c r="AR21" s="93">
        <f t="shared" si="17"/>
        <v>0.36089956555072833</v>
      </c>
      <c r="AS21" s="137">
        <f t="shared" si="18"/>
        <v>57.022140395600239</v>
      </c>
      <c r="AT21" s="137">
        <f t="shared" si="19"/>
        <v>55.209131953317993</v>
      </c>
      <c r="AU21" s="29">
        <v>3.7120000000000002</v>
      </c>
      <c r="AV21" s="20">
        <v>22456.896551724138</v>
      </c>
      <c r="AW21" s="37">
        <v>32.437739463601531</v>
      </c>
      <c r="AX21" s="28">
        <v>-25.1</v>
      </c>
      <c r="AY21" s="28">
        <v>1.4401999999999999</v>
      </c>
      <c r="AZ21" s="28">
        <v>3.69</v>
      </c>
      <c r="BA21" s="28">
        <v>-27.08</v>
      </c>
      <c r="BB21" s="28">
        <v>0.65322999999999998</v>
      </c>
      <c r="BC21" s="28">
        <v>5.61</v>
      </c>
      <c r="BF21" s="28"/>
    </row>
    <row r="22" spans="1:58" x14ac:dyDescent="0.25">
      <c r="A22" s="44" t="s">
        <v>24</v>
      </c>
      <c r="D22" s="121" t="s">
        <v>27</v>
      </c>
      <c r="E22" s="44">
        <v>1985</v>
      </c>
      <c r="F22" s="44">
        <v>2</v>
      </c>
      <c r="G22" s="44">
        <v>2</v>
      </c>
      <c r="H22" s="44">
        <v>5</v>
      </c>
      <c r="I22" s="44">
        <v>121</v>
      </c>
      <c r="J22" s="61"/>
      <c r="K22" s="61"/>
      <c r="L22" s="61"/>
      <c r="M22" s="44" t="s">
        <v>691</v>
      </c>
      <c r="N22" s="32">
        <v>0.5</v>
      </c>
      <c r="P22" s="29">
        <v>1014.14</v>
      </c>
      <c r="Q22" s="135">
        <v>285.58</v>
      </c>
      <c r="R22" s="90">
        <v>1448</v>
      </c>
      <c r="S22" s="90">
        <v>509.93000000000006</v>
      </c>
      <c r="T22" s="93">
        <f t="shared" si="1"/>
        <v>0.28159820143175496</v>
      </c>
      <c r="U22" s="93">
        <f t="shared" si="0"/>
        <v>0.3521616022099448</v>
      </c>
      <c r="V22" s="90">
        <v>20</v>
      </c>
      <c r="W22" s="90">
        <v>5.5</v>
      </c>
      <c r="X22" s="90">
        <v>21.89</v>
      </c>
      <c r="Y22" s="90">
        <v>34.75</v>
      </c>
      <c r="Z22" s="90">
        <v>25.3</v>
      </c>
      <c r="AA22" s="90">
        <f t="shared" si="2"/>
        <v>9.4499999999999993</v>
      </c>
      <c r="AB22" s="90">
        <f t="shared" si="3"/>
        <v>738.03967327887983</v>
      </c>
      <c r="AC22" s="32">
        <v>6.8559999999999999</v>
      </c>
      <c r="AD22" s="32">
        <v>62.14</v>
      </c>
      <c r="AE22" s="29">
        <f t="shared" si="4"/>
        <v>3.1070000000000002</v>
      </c>
      <c r="AF22" s="95">
        <f t="shared" si="5"/>
        <v>2028.28</v>
      </c>
      <c r="AG22" s="35">
        <f t="shared" si="6"/>
        <v>8.8509816543289349E-2</v>
      </c>
      <c r="AH22" s="35">
        <f t="shared" si="7"/>
        <v>0.35226906984229162</v>
      </c>
      <c r="AI22" s="35">
        <f t="shared" si="8"/>
        <v>0.55922111361441906</v>
      </c>
      <c r="AJ22" s="93">
        <f t="shared" si="9"/>
        <v>0.40714515609913099</v>
      </c>
      <c r="AK22" s="93">
        <f t="shared" si="10"/>
        <v>0.15207595751528805</v>
      </c>
      <c r="AL22" s="135">
        <f t="shared" si="11"/>
        <v>179.52269069842291</v>
      </c>
      <c r="AM22" s="135">
        <f t="shared" si="12"/>
        <v>714.50030897972317</v>
      </c>
      <c r="AN22" s="135">
        <f t="shared" si="13"/>
        <v>1134.2570003218539</v>
      </c>
      <c r="AO22" s="135">
        <f t="shared" si="14"/>
        <v>571.16</v>
      </c>
      <c r="AP22" s="135">
        <f t="shared" si="15"/>
        <v>308.45262310910846</v>
      </c>
      <c r="AQ22" s="135">
        <f t="shared" si="16"/>
        <v>571.16</v>
      </c>
      <c r="AR22" s="93">
        <f t="shared" si="17"/>
        <v>0.28159820143175496</v>
      </c>
      <c r="AS22" s="137">
        <f t="shared" si="18"/>
        <v>257.11884585755314</v>
      </c>
      <c r="AT22" s="137">
        <f t="shared" si="19"/>
        <v>185.56215118228252</v>
      </c>
      <c r="AU22" s="29">
        <v>3.4279999999999999</v>
      </c>
      <c r="AV22" s="20">
        <v>21572.815899424098</v>
      </c>
      <c r="AW22" s="37">
        <v>37.997573459212902</v>
      </c>
      <c r="AX22" s="28">
        <v>-25.6</v>
      </c>
      <c r="AY22" s="28">
        <v>1.8024</v>
      </c>
      <c r="AZ22" s="28">
        <v>4.55</v>
      </c>
      <c r="BA22" s="28">
        <v>-27.2</v>
      </c>
      <c r="BB22" s="28">
        <v>0.59860000000000002</v>
      </c>
      <c r="BC22" s="28">
        <v>3.29</v>
      </c>
      <c r="BF22" s="28"/>
    </row>
    <row r="23" spans="1:58" x14ac:dyDescent="0.25">
      <c r="A23" s="44" t="s">
        <v>24</v>
      </c>
      <c r="D23" s="121" t="s">
        <v>28</v>
      </c>
      <c r="E23" s="44">
        <v>1998</v>
      </c>
      <c r="F23" s="44">
        <v>2</v>
      </c>
      <c r="G23" s="44">
        <v>2</v>
      </c>
      <c r="H23" s="44">
        <v>6</v>
      </c>
      <c r="I23" s="44">
        <v>122</v>
      </c>
      <c r="J23" s="61"/>
      <c r="K23" s="61"/>
      <c r="L23" s="61"/>
      <c r="M23" s="44" t="s">
        <v>691</v>
      </c>
      <c r="N23" s="32">
        <v>0.5</v>
      </c>
      <c r="P23" s="29">
        <v>1250.43</v>
      </c>
      <c r="Q23" s="135">
        <v>401.42</v>
      </c>
      <c r="R23" s="90">
        <v>1010.9999999999999</v>
      </c>
      <c r="S23" s="90">
        <v>346.51</v>
      </c>
      <c r="T23" s="93">
        <f t="shared" si="1"/>
        <v>0.32102556720488151</v>
      </c>
      <c r="U23" s="93">
        <f t="shared" si="0"/>
        <v>0.34273986152324432</v>
      </c>
      <c r="V23" s="90">
        <v>20</v>
      </c>
      <c r="W23" s="90">
        <v>4.63</v>
      </c>
      <c r="X23" s="90">
        <v>19.37</v>
      </c>
      <c r="Y23" s="90">
        <v>30.43</v>
      </c>
      <c r="Z23" s="90">
        <v>21.93</v>
      </c>
      <c r="AA23" s="90">
        <f t="shared" si="2"/>
        <v>8.5</v>
      </c>
      <c r="AB23" s="90">
        <f t="shared" si="3"/>
        <v>658.95432692307679</v>
      </c>
      <c r="AC23" s="32">
        <v>6.6560000000000006</v>
      </c>
      <c r="AD23" s="32">
        <v>54.430000000000007</v>
      </c>
      <c r="AE23" s="29">
        <f t="shared" si="4"/>
        <v>2.7215000000000003</v>
      </c>
      <c r="AF23" s="95">
        <f t="shared" si="5"/>
        <v>2500.86</v>
      </c>
      <c r="AG23" s="35">
        <f t="shared" si="6"/>
        <v>8.5063384163145309E-2</v>
      </c>
      <c r="AH23" s="35">
        <f t="shared" si="7"/>
        <v>0.35586992467389306</v>
      </c>
      <c r="AI23" s="35">
        <f t="shared" si="8"/>
        <v>0.55906669116296148</v>
      </c>
      <c r="AJ23" s="93">
        <f t="shared" si="9"/>
        <v>0.40290281094984376</v>
      </c>
      <c r="AK23" s="93">
        <f t="shared" si="10"/>
        <v>0.15616388021311775</v>
      </c>
      <c r="AL23" s="135">
        <f t="shared" si="11"/>
        <v>212.73161491824359</v>
      </c>
      <c r="AM23" s="135">
        <f t="shared" si="12"/>
        <v>889.98085981995223</v>
      </c>
      <c r="AN23" s="135">
        <f t="shared" si="13"/>
        <v>1398.1475252618038</v>
      </c>
      <c r="AO23" s="135">
        <f t="shared" si="14"/>
        <v>802.84</v>
      </c>
      <c r="AP23" s="135">
        <f t="shared" si="15"/>
        <v>390.5440014697777</v>
      </c>
      <c r="AQ23" s="135">
        <f t="shared" si="16"/>
        <v>802.84</v>
      </c>
      <c r="AR23" s="93">
        <f t="shared" si="17"/>
        <v>0.32102556720488151</v>
      </c>
      <c r="AS23" s="137">
        <f t="shared" si="18"/>
        <v>72.642120472323242</v>
      </c>
      <c r="AT23" s="137">
        <f t="shared" si="19"/>
        <v>61.704373695448737</v>
      </c>
      <c r="AU23" s="29">
        <v>3.3280000000000003</v>
      </c>
      <c r="AV23" s="20">
        <v>26919.103623649073</v>
      </c>
      <c r="AW23" s="37">
        <v>41.182210767522839</v>
      </c>
      <c r="AX23" s="28">
        <v>-25.08</v>
      </c>
      <c r="AY23" s="28">
        <v>1.4370000000000001</v>
      </c>
      <c r="AZ23" s="28">
        <v>4.5599999999999996</v>
      </c>
      <c r="BA23" s="28">
        <v>-26.89</v>
      </c>
      <c r="BB23" s="28">
        <v>0.54198999999999997</v>
      </c>
      <c r="BC23" s="28">
        <v>6.42</v>
      </c>
      <c r="BF23" s="28"/>
    </row>
    <row r="24" spans="1:58" x14ac:dyDescent="0.25">
      <c r="A24" s="44" t="s">
        <v>34</v>
      </c>
      <c r="D24" s="121" t="s">
        <v>37</v>
      </c>
      <c r="E24" s="44">
        <v>1989</v>
      </c>
      <c r="F24" s="44">
        <v>2</v>
      </c>
      <c r="G24" s="44">
        <v>2</v>
      </c>
      <c r="H24" s="44">
        <v>7</v>
      </c>
      <c r="I24" s="44">
        <v>123</v>
      </c>
      <c r="J24" s="61"/>
      <c r="K24" s="61"/>
      <c r="L24" s="61"/>
      <c r="M24" s="44" t="s">
        <v>691</v>
      </c>
      <c r="N24" s="32">
        <v>0.5</v>
      </c>
      <c r="P24" s="29">
        <v>972.16</v>
      </c>
      <c r="Q24" s="135">
        <v>355.65999999999997</v>
      </c>
      <c r="R24" s="90">
        <v>760</v>
      </c>
      <c r="S24" s="90">
        <v>283.32000000000005</v>
      </c>
      <c r="T24" s="93">
        <f t="shared" si="1"/>
        <v>0.36584512837393018</v>
      </c>
      <c r="U24" s="93">
        <f t="shared" si="0"/>
        <v>0.37278947368421061</v>
      </c>
      <c r="V24" s="90">
        <v>20</v>
      </c>
      <c r="W24" s="90">
        <v>4.17</v>
      </c>
      <c r="X24" s="90">
        <v>27.01</v>
      </c>
      <c r="Y24" s="90">
        <v>45.98</v>
      </c>
      <c r="Z24" s="90">
        <v>35.630000000000003</v>
      </c>
      <c r="AA24" s="90">
        <f t="shared" si="2"/>
        <v>10.349999999999994</v>
      </c>
      <c r="AB24" s="90">
        <f t="shared" si="3"/>
        <v>1102.4133663366338</v>
      </c>
      <c r="AC24" s="32">
        <v>6.4640000000000004</v>
      </c>
      <c r="AD24" s="32">
        <v>77.16</v>
      </c>
      <c r="AE24" s="29">
        <f t="shared" si="4"/>
        <v>3.8579999999999997</v>
      </c>
      <c r="AF24" s="95">
        <f t="shared" si="5"/>
        <v>1944.32</v>
      </c>
      <c r="AG24" s="35">
        <f t="shared" si="6"/>
        <v>5.4043545878693623E-2</v>
      </c>
      <c r="AH24" s="35">
        <f t="shared" si="7"/>
        <v>0.35005184033177816</v>
      </c>
      <c r="AI24" s="35">
        <f t="shared" si="8"/>
        <v>0.59590461378952819</v>
      </c>
      <c r="AJ24" s="93">
        <f t="shared" si="9"/>
        <v>0.46176775531363407</v>
      </c>
      <c r="AK24" s="93">
        <f t="shared" si="10"/>
        <v>0.13413685847589418</v>
      </c>
      <c r="AL24" s="135">
        <f t="shared" si="11"/>
        <v>105.07794712286159</v>
      </c>
      <c r="AM24" s="135">
        <f t="shared" si="12"/>
        <v>680.61279419388291</v>
      </c>
      <c r="AN24" s="135">
        <f t="shared" si="13"/>
        <v>1158.6292586832553</v>
      </c>
      <c r="AO24" s="135">
        <f t="shared" si="14"/>
        <v>711.31999999999994</v>
      </c>
      <c r="AP24" s="135">
        <f t="shared" si="15"/>
        <v>260.80497667185057</v>
      </c>
      <c r="AQ24" s="135">
        <f t="shared" si="16"/>
        <v>711.31999999999994</v>
      </c>
      <c r="AR24" s="93">
        <f t="shared" si="17"/>
        <v>0.36584512837393018</v>
      </c>
      <c r="AS24" s="137">
        <f t="shared" si="18"/>
        <v>59.320699544508848</v>
      </c>
      <c r="AT24" s="137">
        <f t="shared" si="19"/>
        <v>56.352863726135617</v>
      </c>
      <c r="AU24" s="29">
        <v>3.2320000000000002</v>
      </c>
      <c r="AV24" s="20">
        <v>23913.001765292804</v>
      </c>
      <c r="AW24" s="37">
        <v>35.25634875652144</v>
      </c>
      <c r="AX24" s="28">
        <v>-25.36</v>
      </c>
      <c r="AY24" s="28">
        <v>0.91281999999999996</v>
      </c>
      <c r="AZ24" s="28">
        <v>7.27</v>
      </c>
      <c r="BA24" s="28">
        <v>-26.8</v>
      </c>
      <c r="BB24" s="28">
        <v>0.75600000000000001</v>
      </c>
      <c r="BC24" s="28">
        <v>5.5</v>
      </c>
      <c r="BF24" s="28"/>
    </row>
    <row r="25" spans="1:58" x14ac:dyDescent="0.25">
      <c r="A25" s="44" t="s">
        <v>34</v>
      </c>
      <c r="D25" s="121" t="s">
        <v>43</v>
      </c>
      <c r="E25" s="44">
        <v>2020</v>
      </c>
      <c r="F25" s="44">
        <v>2</v>
      </c>
      <c r="G25" s="44">
        <v>2</v>
      </c>
      <c r="H25" s="44">
        <v>8</v>
      </c>
      <c r="I25" s="44">
        <v>124</v>
      </c>
      <c r="J25" s="61"/>
      <c r="K25" s="61"/>
      <c r="L25" s="61"/>
      <c r="M25" s="44" t="s">
        <v>691</v>
      </c>
      <c r="N25" s="32">
        <v>0.5</v>
      </c>
      <c r="P25" s="29">
        <v>1065.8</v>
      </c>
      <c r="Q25" s="135">
        <v>412.86</v>
      </c>
      <c r="R25" s="90">
        <v>967</v>
      </c>
      <c r="S25" s="90">
        <v>384.55999999999995</v>
      </c>
      <c r="T25" s="93">
        <f t="shared" si="1"/>
        <v>0.38737098892850441</v>
      </c>
      <c r="U25" s="93">
        <f t="shared" si="0"/>
        <v>0.39768355739400202</v>
      </c>
      <c r="V25" s="90">
        <v>20</v>
      </c>
      <c r="W25" s="90">
        <v>3.65</v>
      </c>
      <c r="X25" s="90">
        <v>22.73</v>
      </c>
      <c r="Y25" s="90">
        <v>43.42</v>
      </c>
      <c r="Z25" s="90">
        <v>34.54</v>
      </c>
      <c r="AA25" s="90">
        <f t="shared" si="2"/>
        <v>8.8800000000000026</v>
      </c>
      <c r="AB25" s="90">
        <f t="shared" si="3"/>
        <v>897.60914760914761</v>
      </c>
      <c r="AC25" s="32">
        <v>7.6959999999999997</v>
      </c>
      <c r="AD25" s="32">
        <v>69.8</v>
      </c>
      <c r="AE25" s="29">
        <f t="shared" si="4"/>
        <v>3.4899999999999998</v>
      </c>
      <c r="AF25" s="95">
        <f t="shared" si="5"/>
        <v>2131.6</v>
      </c>
      <c r="AG25" s="35">
        <f t="shared" si="6"/>
        <v>5.2292263610315186E-2</v>
      </c>
      <c r="AH25" s="35">
        <f t="shared" si="7"/>
        <v>0.32564469914040117</v>
      </c>
      <c r="AI25" s="35">
        <f t="shared" si="8"/>
        <v>0.62206303724928369</v>
      </c>
      <c r="AJ25" s="93">
        <f t="shared" si="9"/>
        <v>0.49484240687679082</v>
      </c>
      <c r="AK25" s="93">
        <f t="shared" si="10"/>
        <v>0.12722063037249287</v>
      </c>
      <c r="AL25" s="135">
        <f t="shared" si="11"/>
        <v>111.46618911174785</v>
      </c>
      <c r="AM25" s="135">
        <f t="shared" si="12"/>
        <v>694.14424068767914</v>
      </c>
      <c r="AN25" s="135">
        <f t="shared" si="13"/>
        <v>1325.9895702005731</v>
      </c>
      <c r="AO25" s="135">
        <f t="shared" si="14"/>
        <v>825.72</v>
      </c>
      <c r="AP25" s="135">
        <f t="shared" si="15"/>
        <v>271.18349570200581</v>
      </c>
      <c r="AQ25" s="135">
        <f t="shared" si="16"/>
        <v>825.72</v>
      </c>
      <c r="AR25" s="93">
        <f t="shared" si="17"/>
        <v>0.38737098892850441</v>
      </c>
      <c r="AS25" s="137">
        <f t="shared" si="18"/>
        <v>86.290752313132742</v>
      </c>
      <c r="AT25" s="137">
        <f t="shared" si="19"/>
        <v>81.459936198161003</v>
      </c>
      <c r="AU25" s="29">
        <v>3.8479999999999999</v>
      </c>
      <c r="AV25" s="20">
        <v>23516.580893630071</v>
      </c>
      <c r="AW25" s="37">
        <v>44.538978965208464</v>
      </c>
      <c r="AX25" s="28">
        <v>-25.33</v>
      </c>
      <c r="AY25" s="28">
        <v>1.3591</v>
      </c>
      <c r="AZ25" s="28">
        <v>5.27</v>
      </c>
      <c r="BA25" s="28">
        <v>-26.87</v>
      </c>
      <c r="BB25" s="28">
        <v>0.90552999999999995</v>
      </c>
      <c r="BC25" s="28">
        <v>9.23</v>
      </c>
      <c r="BF25" s="28"/>
    </row>
    <row r="26" spans="1:58" x14ac:dyDescent="0.25">
      <c r="A26" s="44" t="s">
        <v>24</v>
      </c>
      <c r="D26" s="121" t="s">
        <v>312</v>
      </c>
      <c r="E26" s="44">
        <v>2002</v>
      </c>
      <c r="F26" s="44">
        <v>3</v>
      </c>
      <c r="G26" s="44">
        <v>2</v>
      </c>
      <c r="H26" s="44">
        <v>9</v>
      </c>
      <c r="I26" s="44">
        <v>125</v>
      </c>
      <c r="J26" s="55"/>
      <c r="K26" s="55"/>
      <c r="L26" s="55"/>
      <c r="M26" s="44" t="s">
        <v>691</v>
      </c>
      <c r="N26" s="32">
        <v>0.5</v>
      </c>
      <c r="P26" s="29">
        <v>1178.6500000000001</v>
      </c>
      <c r="Q26" s="135">
        <v>378.19</v>
      </c>
      <c r="R26" s="90">
        <v>1299</v>
      </c>
      <c r="S26" s="90">
        <v>426.46000000000004</v>
      </c>
      <c r="T26" s="93">
        <f t="shared" si="1"/>
        <v>0.32086709370890421</v>
      </c>
      <c r="U26" s="93">
        <f t="shared" si="0"/>
        <v>0.32829869130100081</v>
      </c>
      <c r="V26" s="90">
        <v>20</v>
      </c>
      <c r="W26" s="90">
        <v>4.2</v>
      </c>
      <c r="X26" s="90">
        <v>26.34</v>
      </c>
      <c r="Y26" s="90">
        <v>41.11</v>
      </c>
      <c r="Z26" s="90">
        <v>31.52</v>
      </c>
      <c r="AA26" s="90">
        <f t="shared" si="2"/>
        <v>9.59</v>
      </c>
      <c r="AB26" s="90">
        <f t="shared" si="3"/>
        <v>850.9719222462204</v>
      </c>
      <c r="AC26" s="32">
        <v>7.4079999999999995</v>
      </c>
      <c r="AD26" s="32">
        <v>71.650000000000006</v>
      </c>
      <c r="AE26" s="29">
        <f t="shared" si="4"/>
        <v>3.5825000000000005</v>
      </c>
      <c r="AF26" s="95">
        <f t="shared" si="5"/>
        <v>2357.3000000000002</v>
      </c>
      <c r="AG26" s="35">
        <f t="shared" si="6"/>
        <v>5.861828332170272E-2</v>
      </c>
      <c r="AH26" s="35">
        <f t="shared" si="7"/>
        <v>0.3676203768318213</v>
      </c>
      <c r="AI26" s="35">
        <f t="shared" si="8"/>
        <v>0.57376133984647593</v>
      </c>
      <c r="AJ26" s="93">
        <f t="shared" si="9"/>
        <v>0.43991625959525466</v>
      </c>
      <c r="AK26" s="93">
        <f t="shared" si="10"/>
        <v>0.13384508025122119</v>
      </c>
      <c r="AL26" s="135">
        <f t="shared" si="11"/>
        <v>138.18087927424983</v>
      </c>
      <c r="AM26" s="135">
        <f t="shared" si="12"/>
        <v>866.59151430565248</v>
      </c>
      <c r="AN26" s="135">
        <f t="shared" si="13"/>
        <v>1352.5276064200978</v>
      </c>
      <c r="AO26" s="135">
        <f t="shared" si="14"/>
        <v>756.38</v>
      </c>
      <c r="AP26" s="135">
        <f t="shared" si="15"/>
        <v>315.51300767620376</v>
      </c>
      <c r="AQ26" s="135">
        <f t="shared" si="16"/>
        <v>756.38</v>
      </c>
      <c r="AR26" s="93">
        <f t="shared" si="17"/>
        <v>0.32086709370890421</v>
      </c>
      <c r="AS26" s="137">
        <f t="shared" si="18"/>
        <v>125.5268515825379</v>
      </c>
      <c r="AT26" s="137">
        <f t="shared" si="19"/>
        <v>120.42166885843973</v>
      </c>
      <c r="AU26" s="29">
        <v>3.7039999999999997</v>
      </c>
      <c r="AV26" s="20">
        <v>19241.317837430153</v>
      </c>
      <c r="AW26" s="37">
        <v>32.068863062383592</v>
      </c>
      <c r="AX26" s="28">
        <v>-25.51</v>
      </c>
      <c r="AY26" s="28">
        <v>1.595</v>
      </c>
      <c r="AZ26" s="28">
        <v>6.19</v>
      </c>
      <c r="BA26" s="28">
        <v>-26.87</v>
      </c>
      <c r="BB26" s="28">
        <v>0.55430999999999997</v>
      </c>
      <c r="BC26" s="28">
        <v>7.35</v>
      </c>
      <c r="BF26" s="28"/>
    </row>
    <row r="27" spans="1:58" x14ac:dyDescent="0.25">
      <c r="A27" s="44" t="s">
        <v>24</v>
      </c>
      <c r="D27" s="121" t="s">
        <v>32</v>
      </c>
      <c r="E27" s="44">
        <v>2018</v>
      </c>
      <c r="F27" s="44">
        <v>3</v>
      </c>
      <c r="G27" s="44">
        <v>2</v>
      </c>
      <c r="H27" s="44">
        <v>10</v>
      </c>
      <c r="I27" s="44">
        <v>126</v>
      </c>
      <c r="M27" s="44" t="s">
        <v>691</v>
      </c>
      <c r="N27" s="32">
        <v>0.5</v>
      </c>
      <c r="P27" s="29">
        <v>1206.6099999999999</v>
      </c>
      <c r="Q27" s="135">
        <v>409.25</v>
      </c>
      <c r="R27" s="90">
        <v>1282</v>
      </c>
      <c r="S27" s="90">
        <v>440.73</v>
      </c>
      <c r="T27" s="93">
        <f t="shared" si="1"/>
        <v>0.33917338659550311</v>
      </c>
      <c r="U27" s="93">
        <f t="shared" si="0"/>
        <v>0.34378315132605308</v>
      </c>
      <c r="V27" s="90">
        <v>20</v>
      </c>
      <c r="W27" s="90">
        <v>6.01</v>
      </c>
      <c r="X27" s="90">
        <v>30.180000000000003</v>
      </c>
      <c r="Y27" s="90">
        <v>56.42</v>
      </c>
      <c r="Z27" s="90">
        <v>43.73</v>
      </c>
      <c r="AA27" s="90">
        <f t="shared" si="2"/>
        <v>12.690000000000005</v>
      </c>
      <c r="AB27" s="90">
        <f t="shared" si="3"/>
        <v>1092.1578421578422</v>
      </c>
      <c r="AC27" s="32">
        <v>8.0079999999999991</v>
      </c>
      <c r="AD27" s="32">
        <v>92.61</v>
      </c>
      <c r="AE27" s="29">
        <f t="shared" si="4"/>
        <v>4.6304999999999996</v>
      </c>
      <c r="AF27" s="95">
        <f t="shared" si="5"/>
        <v>2413.2199999999998</v>
      </c>
      <c r="AG27" s="35">
        <f t="shared" si="6"/>
        <v>6.4895799589677144E-2</v>
      </c>
      <c r="AH27" s="35">
        <f t="shared" si="7"/>
        <v>0.32588273404599938</v>
      </c>
      <c r="AI27" s="35">
        <f t="shared" si="8"/>
        <v>0.60922146636432351</v>
      </c>
      <c r="AJ27" s="93">
        <f t="shared" si="9"/>
        <v>0.47219522729726809</v>
      </c>
      <c r="AK27" s="93">
        <f t="shared" si="10"/>
        <v>0.13702623906705544</v>
      </c>
      <c r="AL27" s="135">
        <f t="shared" si="11"/>
        <v>156.60784148580066</v>
      </c>
      <c r="AM27" s="135">
        <f t="shared" si="12"/>
        <v>786.42673145448657</v>
      </c>
      <c r="AN27" s="135">
        <f t="shared" si="13"/>
        <v>1470.1854270597125</v>
      </c>
      <c r="AO27" s="135">
        <f t="shared" si="14"/>
        <v>818.5</v>
      </c>
      <c r="AP27" s="135">
        <f t="shared" si="15"/>
        <v>330.67446064139949</v>
      </c>
      <c r="AQ27" s="135">
        <f t="shared" si="16"/>
        <v>818.5</v>
      </c>
      <c r="AR27" s="93">
        <f t="shared" si="17"/>
        <v>0.33917338659550311</v>
      </c>
      <c r="AS27" s="137">
        <f t="shared" si="18"/>
        <v>115.38423946243128</v>
      </c>
      <c r="AT27" s="137">
        <f t="shared" si="19"/>
        <v>112.49616694706658</v>
      </c>
      <c r="AU27" s="29">
        <v>4.0039999999999996</v>
      </c>
      <c r="AV27" s="20">
        <v>19452.09262282433</v>
      </c>
      <c r="AW27" s="37">
        <v>41.289819246561073</v>
      </c>
      <c r="AX27" s="28">
        <v>-25.53</v>
      </c>
      <c r="AY27" s="28">
        <v>1.5148999999999999</v>
      </c>
      <c r="AZ27" s="28">
        <v>5.3</v>
      </c>
      <c r="BA27" s="28">
        <v>-26.87</v>
      </c>
      <c r="BB27" s="28">
        <v>0.92601999999999995</v>
      </c>
      <c r="BC27" s="28">
        <v>8.82</v>
      </c>
    </row>
    <row r="28" spans="1:58" x14ac:dyDescent="0.25">
      <c r="A28" s="44" t="s">
        <v>34</v>
      </c>
      <c r="D28" s="121" t="s">
        <v>39</v>
      </c>
      <c r="E28" s="44">
        <v>2001</v>
      </c>
      <c r="F28" s="44">
        <v>3</v>
      </c>
      <c r="G28" s="44">
        <v>2</v>
      </c>
      <c r="H28" s="44">
        <v>11</v>
      </c>
      <c r="I28" s="44">
        <v>127</v>
      </c>
      <c r="M28" s="44" t="s">
        <v>691</v>
      </c>
      <c r="N28" s="32">
        <v>0.5</v>
      </c>
      <c r="P28" s="29">
        <v>1044.55</v>
      </c>
      <c r="Q28" s="135">
        <v>343.34</v>
      </c>
      <c r="R28" s="90">
        <v>880</v>
      </c>
      <c r="S28" s="90">
        <v>319.39999999999998</v>
      </c>
      <c r="T28" s="93">
        <f t="shared" si="1"/>
        <v>0.32869656790005264</v>
      </c>
      <c r="U28" s="93">
        <f t="shared" si="0"/>
        <v>0.36295454545454542</v>
      </c>
      <c r="V28" s="90">
        <v>20</v>
      </c>
      <c r="W28" s="90">
        <v>2.93</v>
      </c>
      <c r="X28" s="90">
        <v>17.34</v>
      </c>
      <c r="Y28" s="90">
        <v>26.28</v>
      </c>
      <c r="Z28" s="90">
        <v>19.2</v>
      </c>
      <c r="AA28" s="90">
        <f t="shared" si="2"/>
        <v>7.0800000000000018</v>
      </c>
      <c r="AB28" s="90">
        <f t="shared" si="3"/>
        <v>554.27251732101615</v>
      </c>
      <c r="AC28" s="32">
        <v>6.927999999999999</v>
      </c>
      <c r="AD28" s="32">
        <v>46.55</v>
      </c>
      <c r="AE28" s="29">
        <f t="shared" si="4"/>
        <v>2.3274999999999997</v>
      </c>
      <c r="AF28" s="95">
        <f t="shared" si="5"/>
        <v>2089.1</v>
      </c>
      <c r="AG28" s="35">
        <f t="shared" si="6"/>
        <v>6.2943071965628358E-2</v>
      </c>
      <c r="AH28" s="35">
        <f t="shared" si="7"/>
        <v>0.3725026852846402</v>
      </c>
      <c r="AI28" s="35">
        <f t="shared" si="8"/>
        <v>0.56455424274973154</v>
      </c>
      <c r="AJ28" s="93">
        <f t="shared" si="9"/>
        <v>0.41245972073039744</v>
      </c>
      <c r="AK28" s="93">
        <f t="shared" si="10"/>
        <v>0.1520945220193341</v>
      </c>
      <c r="AL28" s="135">
        <f t="shared" si="11"/>
        <v>131.4943716433942</v>
      </c>
      <c r="AM28" s="135">
        <f t="shared" si="12"/>
        <v>778.19535982814182</v>
      </c>
      <c r="AN28" s="135">
        <f t="shared" si="13"/>
        <v>1179.410268528464</v>
      </c>
      <c r="AO28" s="135">
        <f t="shared" si="14"/>
        <v>686.68</v>
      </c>
      <c r="AP28" s="135">
        <f t="shared" si="15"/>
        <v>317.74066595059088</v>
      </c>
      <c r="AQ28" s="135">
        <f t="shared" si="16"/>
        <v>686.68</v>
      </c>
      <c r="AR28" s="93">
        <f t="shared" si="17"/>
        <v>0.32869656790005264</v>
      </c>
      <c r="AS28" s="137">
        <f t="shared" si="18"/>
        <v>86.054639715733671</v>
      </c>
      <c r="AT28" s="137">
        <f t="shared" si="19"/>
        <v>68.493609688382563</v>
      </c>
      <c r="AU28" s="29">
        <v>3.4639999999999995</v>
      </c>
      <c r="AV28" s="20">
        <v>21380.629330254043</v>
      </c>
      <c r="AW28" s="37">
        <v>37.183703183050511</v>
      </c>
      <c r="AX28" s="28">
        <v>-25.98</v>
      </c>
      <c r="AY28" s="28">
        <v>1.57</v>
      </c>
      <c r="AZ28" s="28">
        <v>5.1100000000000003</v>
      </c>
      <c r="BA28" s="28">
        <v>-26.75</v>
      </c>
      <c r="BB28" s="28">
        <v>0.64432999999999996</v>
      </c>
      <c r="BC28" s="28">
        <v>8.31</v>
      </c>
    </row>
    <row r="29" spans="1:58" x14ac:dyDescent="0.25">
      <c r="A29" s="44" t="s">
        <v>34</v>
      </c>
      <c r="D29" s="121" t="s">
        <v>36</v>
      </c>
      <c r="E29" s="44">
        <v>1984</v>
      </c>
      <c r="F29" s="44">
        <v>3</v>
      </c>
      <c r="G29" s="44">
        <v>2</v>
      </c>
      <c r="H29" s="44">
        <v>12</v>
      </c>
      <c r="I29" s="44">
        <v>128</v>
      </c>
      <c r="M29" s="44" t="s">
        <v>691</v>
      </c>
      <c r="N29" s="32">
        <v>0.5</v>
      </c>
      <c r="P29" s="29">
        <v>1039.9100000000001</v>
      </c>
      <c r="Q29" s="135">
        <v>331.90999999999997</v>
      </c>
      <c r="R29" s="90">
        <v>980</v>
      </c>
      <c r="S29" s="90">
        <v>366.64</v>
      </c>
      <c r="T29" s="93">
        <f t="shared" si="1"/>
        <v>0.31917185141021814</v>
      </c>
      <c r="U29" s="93">
        <f t="shared" si="0"/>
        <v>0.37412244897959185</v>
      </c>
      <c r="V29" s="90">
        <v>20</v>
      </c>
      <c r="W29" s="90">
        <v>3.42</v>
      </c>
      <c r="X29" s="90">
        <v>25.819999999999997</v>
      </c>
      <c r="Y29" s="90">
        <v>38.67</v>
      </c>
      <c r="Z29" s="90">
        <v>29.57</v>
      </c>
      <c r="AA29" s="90">
        <f t="shared" si="2"/>
        <v>9.1000000000000014</v>
      </c>
      <c r="AB29" s="90">
        <f t="shared" si="3"/>
        <v>1003.0529172320217</v>
      </c>
      <c r="AC29" s="32">
        <v>5.8959999999999999</v>
      </c>
      <c r="AD29" s="32">
        <v>67.91</v>
      </c>
      <c r="AE29" s="29">
        <f t="shared" si="4"/>
        <v>3.3954999999999997</v>
      </c>
      <c r="AF29" s="95">
        <f t="shared" si="5"/>
        <v>2079.8200000000002</v>
      </c>
      <c r="AG29" s="35">
        <f t="shared" si="6"/>
        <v>5.0360771609483143E-2</v>
      </c>
      <c r="AH29" s="35">
        <f t="shared" si="7"/>
        <v>0.38020910027978205</v>
      </c>
      <c r="AI29" s="35">
        <f t="shared" si="8"/>
        <v>0.5694301281107349</v>
      </c>
      <c r="AJ29" s="93">
        <f t="shared" si="9"/>
        <v>0.43542924458842586</v>
      </c>
      <c r="AK29" s="93">
        <f t="shared" si="10"/>
        <v>0.13400088352230896</v>
      </c>
      <c r="AL29" s="135">
        <f t="shared" si="11"/>
        <v>104.74134000883524</v>
      </c>
      <c r="AM29" s="135">
        <f t="shared" si="12"/>
        <v>790.76649094389632</v>
      </c>
      <c r="AN29" s="135">
        <f t="shared" si="13"/>
        <v>1184.3121690472688</v>
      </c>
      <c r="AO29" s="135">
        <f t="shared" si="14"/>
        <v>663.81999999999994</v>
      </c>
      <c r="AP29" s="135">
        <f t="shared" si="15"/>
        <v>278.69771756736867</v>
      </c>
      <c r="AQ29" s="135">
        <f t="shared" si="16"/>
        <v>663.81999999999994</v>
      </c>
      <c r="AR29" s="93">
        <f t="shared" si="17"/>
        <v>0.31917185141021814</v>
      </c>
      <c r="AS29" s="137">
        <f t="shared" si="18"/>
        <v>120.927359826459</v>
      </c>
      <c r="AT29" s="137">
        <f t="shared" si="19"/>
        <v>88.47784904462884</v>
      </c>
      <c r="AU29" s="29">
        <v>2.948</v>
      </c>
      <c r="AV29" s="20">
        <v>24195.429104477611</v>
      </c>
      <c r="AW29" s="37">
        <v>34.564898720682301</v>
      </c>
      <c r="AX29" s="28">
        <v>-25.82</v>
      </c>
      <c r="AY29" s="28">
        <v>1.5265</v>
      </c>
      <c r="AZ29" s="28">
        <v>4.32</v>
      </c>
      <c r="BA29" s="28">
        <v>-26.98</v>
      </c>
      <c r="BB29" s="28">
        <v>1.0382</v>
      </c>
      <c r="BC29" s="28">
        <v>6.24</v>
      </c>
    </row>
    <row r="30" spans="1:58" x14ac:dyDescent="0.25">
      <c r="A30" s="44" t="s">
        <v>24</v>
      </c>
      <c r="D30" s="121" t="s">
        <v>26</v>
      </c>
      <c r="E30" s="44">
        <v>1983</v>
      </c>
      <c r="F30" s="44">
        <v>4</v>
      </c>
      <c r="G30" s="44">
        <v>2</v>
      </c>
      <c r="H30" s="44">
        <v>13</v>
      </c>
      <c r="I30" s="44">
        <v>129</v>
      </c>
      <c r="M30" s="44" t="s">
        <v>691</v>
      </c>
      <c r="N30" s="32">
        <v>0.5</v>
      </c>
      <c r="Q30" s="135"/>
      <c r="R30" s="90">
        <v>1226</v>
      </c>
      <c r="S30" s="90">
        <v>434.58000000000004</v>
      </c>
      <c r="U30" s="93">
        <f t="shared" si="0"/>
        <v>0.35446982055464932</v>
      </c>
      <c r="V30" s="90">
        <v>20</v>
      </c>
      <c r="AC30" s="32">
        <v>6.4879999999999995</v>
      </c>
      <c r="AU30" s="29">
        <v>3.2439999999999998</v>
      </c>
      <c r="AV30" s="20">
        <v>13573.060342767563</v>
      </c>
    </row>
    <row r="31" spans="1:58" x14ac:dyDescent="0.25">
      <c r="A31" s="44" t="s">
        <v>24</v>
      </c>
      <c r="D31" s="121" t="s">
        <v>29</v>
      </c>
      <c r="E31" s="44">
        <v>1999</v>
      </c>
      <c r="F31" s="44">
        <v>4</v>
      </c>
      <c r="G31" s="44">
        <v>2</v>
      </c>
      <c r="H31" s="44">
        <v>14</v>
      </c>
      <c r="I31" s="44">
        <v>130</v>
      </c>
      <c r="M31" s="44" t="s">
        <v>691</v>
      </c>
      <c r="N31" s="32">
        <v>0.5</v>
      </c>
      <c r="Q31" s="135"/>
      <c r="R31" s="90">
        <v>981</v>
      </c>
      <c r="S31" s="90">
        <v>329</v>
      </c>
      <c r="U31" s="93">
        <f t="shared" si="0"/>
        <v>0.33537206931702346</v>
      </c>
      <c r="V31" s="90">
        <v>20</v>
      </c>
      <c r="AC31" s="32">
        <v>7.1920000000000002</v>
      </c>
      <c r="AU31" s="29">
        <v>3.5960000000000001</v>
      </c>
      <c r="AV31" s="20">
        <v>24601.707990957697</v>
      </c>
      <c r="AW31" s="37">
        <v>42.208812729584288</v>
      </c>
    </row>
    <row r="32" spans="1:58" x14ac:dyDescent="0.25">
      <c r="A32" s="44" t="s">
        <v>34</v>
      </c>
      <c r="D32" s="121" t="s">
        <v>38</v>
      </c>
      <c r="E32" s="44">
        <v>1999</v>
      </c>
      <c r="F32" s="44">
        <v>4</v>
      </c>
      <c r="G32" s="44">
        <v>2</v>
      </c>
      <c r="H32" s="44">
        <v>15</v>
      </c>
      <c r="I32" s="44">
        <v>131</v>
      </c>
      <c r="M32" s="44" t="s">
        <v>691</v>
      </c>
      <c r="N32" s="32">
        <v>0.5</v>
      </c>
      <c r="P32" s="29">
        <v>1100.93</v>
      </c>
      <c r="Q32" s="135">
        <v>348.12</v>
      </c>
      <c r="R32" s="90">
        <v>883</v>
      </c>
      <c r="S32" s="90">
        <v>319.99</v>
      </c>
      <c r="T32" s="93">
        <f t="shared" ref="T32:T65" si="20">Q32/P32</f>
        <v>0.31620538998846426</v>
      </c>
      <c r="U32" s="93">
        <f t="shared" si="0"/>
        <v>0.36238958097395246</v>
      </c>
      <c r="V32" s="90">
        <v>20</v>
      </c>
      <c r="W32" s="90">
        <v>3.86</v>
      </c>
      <c r="X32" s="90">
        <v>21.53</v>
      </c>
      <c r="Y32" s="90">
        <v>32.54</v>
      </c>
      <c r="Z32" s="90">
        <v>25.05</v>
      </c>
      <c r="AA32" s="90">
        <f t="shared" ref="AA32:AA65" si="21">Y32-Z32</f>
        <v>7.4899999999999984</v>
      </c>
      <c r="AB32" s="90">
        <f t="shared" ref="AB32:AB65" si="22">Z32/(AU32/100)</f>
        <v>813.31168831168827</v>
      </c>
      <c r="AC32" s="32">
        <v>6.16</v>
      </c>
      <c r="AD32" s="32">
        <v>57.93</v>
      </c>
      <c r="AE32" s="29">
        <f t="shared" ref="AE32:AE65" si="23">AD32/V32</f>
        <v>2.8965000000000001</v>
      </c>
      <c r="AF32" s="95">
        <f t="shared" ref="AF32:AF65" si="24">P32/N32</f>
        <v>2201.86</v>
      </c>
      <c r="AG32" s="35">
        <f t="shared" ref="AG32:AG65" si="25">W32/AD32</f>
        <v>6.6632142240635253E-2</v>
      </c>
      <c r="AH32" s="35">
        <f t="shared" ref="AH32:AH65" si="26">X32/AD32</f>
        <v>0.37165544622820645</v>
      </c>
      <c r="AI32" s="35">
        <f t="shared" ref="AI32:AI65" si="27">Y32/AD32</f>
        <v>0.56171241153115825</v>
      </c>
      <c r="AJ32" s="93">
        <f t="shared" ref="AJ32:AJ65" si="28">Z32/AD32</f>
        <v>0.43241843604350078</v>
      </c>
      <c r="AK32" s="93">
        <f t="shared" ref="AK32:AK65" si="29">AA32/AD32</f>
        <v>0.1292939754876575</v>
      </c>
      <c r="AL32" s="135">
        <f t="shared" ref="AL32:AL65" si="30">AF32*AG32</f>
        <v>146.71464871396515</v>
      </c>
      <c r="AM32" s="135">
        <f t="shared" ref="AM32:AM65" si="31">AF32*AH32</f>
        <v>818.33326083203872</v>
      </c>
      <c r="AN32" s="135">
        <f t="shared" ref="AN32:AN65" si="32">AF32*AI32</f>
        <v>1236.8120904539962</v>
      </c>
      <c r="AO32" s="135">
        <f t="shared" ref="AO32:AO65" si="33">Q32/N32</f>
        <v>696.24</v>
      </c>
      <c r="AP32" s="135">
        <f t="shared" ref="AP32:AP65" si="34">AF32*AK32</f>
        <v>284.68723286725356</v>
      </c>
      <c r="AQ32" s="135">
        <f t="shared" ref="AQ32:AQ65" si="35">AO32</f>
        <v>696.24</v>
      </c>
      <c r="AR32" s="93">
        <f t="shared" ref="AR32:AR65" si="36">T32</f>
        <v>0.31620538998846426</v>
      </c>
      <c r="AS32" s="137">
        <f t="shared" ref="AS32:AS65" si="37">100*((S32*2)-Q32)/Q32</f>
        <v>83.83890612432495</v>
      </c>
      <c r="AT32" s="137">
        <f t="shared" ref="AT32:AT65" si="38">100*((R32*2)-P32)/P32</f>
        <v>60.409835321046749</v>
      </c>
      <c r="AU32" s="29">
        <v>3.08</v>
      </c>
      <c r="AV32" s="20">
        <v>23724.307188874114</v>
      </c>
      <c r="AW32" s="37">
        <v>37.281054153945036</v>
      </c>
      <c r="AX32" s="28">
        <v>-25.56</v>
      </c>
      <c r="AY32" s="28">
        <v>1.9410000000000001</v>
      </c>
      <c r="AZ32" s="28">
        <v>4.51</v>
      </c>
      <c r="BA32" s="28">
        <v>-26.79</v>
      </c>
      <c r="BB32" s="28">
        <v>1.3972</v>
      </c>
      <c r="BC32" s="28">
        <v>6.7</v>
      </c>
    </row>
    <row r="33" spans="1:55" x14ac:dyDescent="0.25">
      <c r="A33" s="44" t="s">
        <v>34</v>
      </c>
      <c r="D33" s="121" t="s">
        <v>41</v>
      </c>
      <c r="E33" s="44">
        <v>2008</v>
      </c>
      <c r="F33" s="44">
        <v>4</v>
      </c>
      <c r="G33" s="44">
        <v>2</v>
      </c>
      <c r="H33" s="44">
        <v>16</v>
      </c>
      <c r="I33" s="44">
        <v>132</v>
      </c>
      <c r="M33" s="44" t="s">
        <v>691</v>
      </c>
      <c r="N33" s="32">
        <v>0.5</v>
      </c>
      <c r="P33" s="29">
        <v>1185.81</v>
      </c>
      <c r="Q33" s="135">
        <v>403.14</v>
      </c>
      <c r="R33" s="90">
        <v>935</v>
      </c>
      <c r="S33" s="90">
        <v>324.39999999999998</v>
      </c>
      <c r="T33" s="93">
        <f t="shared" si="20"/>
        <v>0.33997014698813471</v>
      </c>
      <c r="U33" s="93">
        <f t="shared" si="0"/>
        <v>0.34695187165775399</v>
      </c>
      <c r="V33" s="90">
        <v>20</v>
      </c>
      <c r="W33" s="90">
        <v>3.1</v>
      </c>
      <c r="X33" s="90">
        <v>19.489999999999998</v>
      </c>
      <c r="Y33" s="90">
        <v>30.22</v>
      </c>
      <c r="Z33" s="90">
        <v>22.34</v>
      </c>
      <c r="AA33" s="90">
        <f t="shared" si="21"/>
        <v>7.879999999999999</v>
      </c>
      <c r="AB33" s="90">
        <f t="shared" si="22"/>
        <v>681.09756097560989</v>
      </c>
      <c r="AC33" s="32">
        <v>6.5599999999999987</v>
      </c>
      <c r="AD33" s="32">
        <v>52.81</v>
      </c>
      <c r="AE33" s="29">
        <f t="shared" si="23"/>
        <v>2.6405000000000003</v>
      </c>
      <c r="AF33" s="95">
        <f t="shared" si="24"/>
        <v>2371.62</v>
      </c>
      <c r="AG33" s="35">
        <f t="shared" si="25"/>
        <v>5.8701003597803447E-2</v>
      </c>
      <c r="AH33" s="35">
        <f t="shared" si="26"/>
        <v>0.36905889036167389</v>
      </c>
      <c r="AI33" s="35">
        <f t="shared" si="27"/>
        <v>0.57224010604052256</v>
      </c>
      <c r="AJ33" s="93">
        <f t="shared" si="28"/>
        <v>0.42302594205642868</v>
      </c>
      <c r="AK33" s="93">
        <f t="shared" si="29"/>
        <v>0.1492141639840939</v>
      </c>
      <c r="AL33" s="135">
        <f t="shared" si="30"/>
        <v>139.2164741526226</v>
      </c>
      <c r="AM33" s="135">
        <f t="shared" si="31"/>
        <v>875.26744555955293</v>
      </c>
      <c r="AN33" s="135">
        <f t="shared" si="32"/>
        <v>1357.1360802878241</v>
      </c>
      <c r="AO33" s="135">
        <f t="shared" si="33"/>
        <v>806.28</v>
      </c>
      <c r="AP33" s="135">
        <f t="shared" si="34"/>
        <v>353.87929558795673</v>
      </c>
      <c r="AQ33" s="135">
        <f t="shared" si="35"/>
        <v>806.28</v>
      </c>
      <c r="AR33" s="93">
        <f t="shared" si="36"/>
        <v>0.33997014698813471</v>
      </c>
      <c r="AS33" s="137">
        <f t="shared" si="37"/>
        <v>60.936647318549383</v>
      </c>
      <c r="AT33" s="137">
        <f t="shared" si="38"/>
        <v>57.698113525775632</v>
      </c>
      <c r="AU33" s="29">
        <v>3.2799999999999994</v>
      </c>
      <c r="AV33" s="20">
        <v>22325.715383138093</v>
      </c>
      <c r="AW33" s="37">
        <v>45.847451233230004</v>
      </c>
      <c r="AX33" s="28">
        <v>-25.77</v>
      </c>
      <c r="AY33" s="28">
        <v>1.3126</v>
      </c>
      <c r="AZ33" s="28">
        <v>4.9400000000000004</v>
      </c>
      <c r="BA33" s="28">
        <v>-27.22</v>
      </c>
      <c r="BB33" s="28">
        <v>0.65995999999999999</v>
      </c>
      <c r="BC33" s="28">
        <v>5.66</v>
      </c>
    </row>
    <row r="34" spans="1:55" x14ac:dyDescent="0.25">
      <c r="A34" s="44" t="s">
        <v>24</v>
      </c>
      <c r="D34" s="121" t="s">
        <v>26</v>
      </c>
      <c r="E34" s="44">
        <v>1983</v>
      </c>
      <c r="F34" s="44">
        <v>1</v>
      </c>
      <c r="G34" s="44">
        <v>3</v>
      </c>
      <c r="H34" s="44">
        <v>1</v>
      </c>
      <c r="I34" s="44">
        <v>133</v>
      </c>
      <c r="J34" s="61"/>
      <c r="K34" s="61"/>
      <c r="L34" s="61"/>
      <c r="M34" s="44" t="s">
        <v>691</v>
      </c>
      <c r="N34" s="32">
        <v>0.5</v>
      </c>
      <c r="P34" s="29">
        <v>1202.19</v>
      </c>
      <c r="Q34" s="135">
        <v>412.78</v>
      </c>
      <c r="R34" s="90">
        <v>1357</v>
      </c>
      <c r="S34" s="90">
        <v>448.32000000000005</v>
      </c>
      <c r="T34" s="93">
        <f t="shared" si="20"/>
        <v>0.34335670734243334</v>
      </c>
      <c r="U34" s="93">
        <f t="shared" ref="U34:U65" si="39">S34/R34</f>
        <v>0.33037582903463525</v>
      </c>
      <c r="V34" s="90">
        <v>20</v>
      </c>
      <c r="W34" s="90">
        <v>4.04</v>
      </c>
      <c r="X34" s="90">
        <v>31.360000000000003</v>
      </c>
      <c r="Y34" s="90">
        <v>45.79</v>
      </c>
      <c r="Z34" s="90">
        <v>35.880000000000003</v>
      </c>
      <c r="AA34" s="90">
        <f t="shared" si="21"/>
        <v>9.9099999999999966</v>
      </c>
      <c r="AB34" s="90">
        <f t="shared" si="22"/>
        <v>1117.0610211706105</v>
      </c>
      <c r="AC34" s="32">
        <v>6.4239999999999995</v>
      </c>
      <c r="AD34" s="32">
        <v>81.19</v>
      </c>
      <c r="AE34" s="29">
        <f t="shared" si="23"/>
        <v>4.0594999999999999</v>
      </c>
      <c r="AF34" s="95">
        <f t="shared" si="24"/>
        <v>2404.38</v>
      </c>
      <c r="AG34" s="35">
        <f t="shared" si="25"/>
        <v>4.9759822638255943E-2</v>
      </c>
      <c r="AH34" s="35">
        <f t="shared" si="26"/>
        <v>0.38625446483557091</v>
      </c>
      <c r="AI34" s="35">
        <f t="shared" si="27"/>
        <v>0.56398571252617313</v>
      </c>
      <c r="AJ34" s="93">
        <f t="shared" si="28"/>
        <v>0.44192634560906519</v>
      </c>
      <c r="AK34" s="93">
        <f t="shared" si="29"/>
        <v>0.12205936691710798</v>
      </c>
      <c r="AL34" s="135">
        <f t="shared" si="30"/>
        <v>119.64152235496984</v>
      </c>
      <c r="AM34" s="135">
        <f t="shared" si="31"/>
        <v>928.70251016135001</v>
      </c>
      <c r="AN34" s="135">
        <f t="shared" si="32"/>
        <v>1356.0359674836802</v>
      </c>
      <c r="AO34" s="135">
        <f t="shared" si="33"/>
        <v>825.56</v>
      </c>
      <c r="AP34" s="135">
        <f t="shared" si="34"/>
        <v>293.47710062815611</v>
      </c>
      <c r="AQ34" s="135">
        <f t="shared" si="35"/>
        <v>825.56</v>
      </c>
      <c r="AR34" s="93">
        <f t="shared" si="36"/>
        <v>0.34335670734243334</v>
      </c>
      <c r="AS34" s="137">
        <f t="shared" si="37"/>
        <v>117.21982654198366</v>
      </c>
      <c r="AT34" s="137">
        <f t="shared" si="38"/>
        <v>125.75466440412913</v>
      </c>
      <c r="AU34" s="29">
        <v>3.2119999999999997</v>
      </c>
      <c r="AV34" s="20">
        <v>16165.341507807265</v>
      </c>
      <c r="AW34" s="37">
        <v>21.200447879091495</v>
      </c>
      <c r="AX34" s="28">
        <v>-25.39</v>
      </c>
      <c r="AY34" s="28">
        <v>1.8442000000000001</v>
      </c>
      <c r="AZ34" s="28">
        <v>2.64</v>
      </c>
      <c r="BA34" s="28">
        <v>-26.94</v>
      </c>
      <c r="BB34" s="28">
        <v>0.62124999999999997</v>
      </c>
      <c r="BC34" s="28">
        <v>5.81</v>
      </c>
    </row>
    <row r="35" spans="1:55" x14ac:dyDescent="0.25">
      <c r="A35" s="44" t="s">
        <v>24</v>
      </c>
      <c r="D35" s="121" t="s">
        <v>27</v>
      </c>
      <c r="E35" s="44">
        <v>1985</v>
      </c>
      <c r="F35" s="44">
        <v>1</v>
      </c>
      <c r="G35" s="44">
        <v>3</v>
      </c>
      <c r="H35" s="44">
        <v>2</v>
      </c>
      <c r="I35" s="44">
        <v>134</v>
      </c>
      <c r="J35" s="61"/>
      <c r="K35" s="61"/>
      <c r="L35" s="61"/>
      <c r="M35" s="44" t="s">
        <v>691</v>
      </c>
      <c r="N35" s="32">
        <v>0.5</v>
      </c>
      <c r="P35" s="29">
        <v>1213.69</v>
      </c>
      <c r="Q35" s="135">
        <v>360.96000000000004</v>
      </c>
      <c r="R35" s="90">
        <v>1213</v>
      </c>
      <c r="S35" s="90">
        <v>418.01</v>
      </c>
      <c r="T35" s="93">
        <f t="shared" si="20"/>
        <v>0.29740708088556389</v>
      </c>
      <c r="U35" s="93">
        <f t="shared" si="39"/>
        <v>0.34460840890354494</v>
      </c>
      <c r="V35" s="90">
        <v>20</v>
      </c>
      <c r="W35" s="90">
        <v>5.55</v>
      </c>
      <c r="X35" s="90">
        <v>28.74</v>
      </c>
      <c r="Y35" s="90">
        <v>41.4</v>
      </c>
      <c r="Z35" s="90">
        <v>30.72</v>
      </c>
      <c r="AA35" s="90">
        <f t="shared" si="21"/>
        <v>10.68</v>
      </c>
      <c r="AB35" s="90">
        <f t="shared" si="22"/>
        <v>946.97903822441435</v>
      </c>
      <c r="AC35" s="32">
        <v>6.4879999999999995</v>
      </c>
      <c r="AD35" s="32">
        <v>75.69</v>
      </c>
      <c r="AE35" s="29">
        <f t="shared" si="23"/>
        <v>3.7845</v>
      </c>
      <c r="AF35" s="95">
        <f t="shared" si="24"/>
        <v>2427.38</v>
      </c>
      <c r="AG35" s="35">
        <f t="shared" si="25"/>
        <v>7.3325406262386053E-2</v>
      </c>
      <c r="AH35" s="35">
        <f t="shared" si="26"/>
        <v>0.37970669837495047</v>
      </c>
      <c r="AI35" s="35">
        <f t="shared" si="27"/>
        <v>0.54696789536266355</v>
      </c>
      <c r="AJ35" s="93">
        <f t="shared" si="28"/>
        <v>0.4058660325009909</v>
      </c>
      <c r="AK35" s="93">
        <f t="shared" si="29"/>
        <v>0.14110186286167262</v>
      </c>
      <c r="AL35" s="135">
        <f t="shared" si="30"/>
        <v>177.98862465319067</v>
      </c>
      <c r="AM35" s="135">
        <f t="shared" si="31"/>
        <v>921.69244550138728</v>
      </c>
      <c r="AN35" s="135">
        <f t="shared" si="32"/>
        <v>1327.6989298454223</v>
      </c>
      <c r="AO35" s="135">
        <f t="shared" si="33"/>
        <v>721.92000000000007</v>
      </c>
      <c r="AP35" s="135">
        <f t="shared" si="34"/>
        <v>342.50783987316692</v>
      </c>
      <c r="AQ35" s="135">
        <f t="shared" si="35"/>
        <v>721.92000000000007</v>
      </c>
      <c r="AR35" s="93">
        <f t="shared" si="36"/>
        <v>0.29740708088556389</v>
      </c>
      <c r="AS35" s="137">
        <f t="shared" si="37"/>
        <v>131.61015070921982</v>
      </c>
      <c r="AT35" s="137">
        <f t="shared" si="38"/>
        <v>99.886297159900792</v>
      </c>
      <c r="AU35" s="29">
        <v>3.2439999999999998</v>
      </c>
      <c r="AV35" s="20">
        <v>21453.999443140692</v>
      </c>
      <c r="AW35" s="37">
        <v>42.066665574785674</v>
      </c>
      <c r="AX35" s="28">
        <v>-25.21</v>
      </c>
      <c r="AY35" s="28">
        <v>1.7264999999999999</v>
      </c>
      <c r="AZ35" s="28">
        <v>5.74</v>
      </c>
      <c r="BA35" s="28">
        <v>-26.97</v>
      </c>
      <c r="BB35" s="28">
        <v>0.91352</v>
      </c>
      <c r="BC35" s="28">
        <v>4.7699999999999996</v>
      </c>
    </row>
    <row r="36" spans="1:55" x14ac:dyDescent="0.25">
      <c r="A36" s="44" t="s">
        <v>34</v>
      </c>
      <c r="D36" s="121" t="s">
        <v>41</v>
      </c>
      <c r="E36" s="44">
        <v>2008</v>
      </c>
      <c r="F36" s="44">
        <v>1</v>
      </c>
      <c r="G36" s="44">
        <v>3</v>
      </c>
      <c r="H36" s="44">
        <v>3</v>
      </c>
      <c r="I36" s="44">
        <v>135</v>
      </c>
      <c r="J36" s="61"/>
      <c r="K36" s="61"/>
      <c r="L36" s="61"/>
      <c r="M36" s="44" t="s">
        <v>691</v>
      </c>
      <c r="N36" s="32">
        <v>0.5</v>
      </c>
      <c r="P36" s="29">
        <v>1080.1799999999998</v>
      </c>
      <c r="Q36" s="135">
        <v>378.25</v>
      </c>
      <c r="R36" s="90">
        <v>927</v>
      </c>
      <c r="S36" s="90">
        <v>322.34000000000003</v>
      </c>
      <c r="T36" s="93">
        <f t="shared" si="20"/>
        <v>0.35017311929493239</v>
      </c>
      <c r="U36" s="93">
        <f t="shared" si="39"/>
        <v>0.3477238403451996</v>
      </c>
      <c r="V36" s="90">
        <v>20</v>
      </c>
      <c r="W36" s="90">
        <v>3.93</v>
      </c>
      <c r="X36" s="90">
        <v>18.43</v>
      </c>
      <c r="Y36" s="90">
        <v>34.82</v>
      </c>
      <c r="Z36" s="90">
        <v>26.27</v>
      </c>
      <c r="AA36" s="90">
        <f t="shared" si="21"/>
        <v>8.5500000000000007</v>
      </c>
      <c r="AB36" s="90">
        <f t="shared" si="22"/>
        <v>798.96593673965936</v>
      </c>
      <c r="AC36" s="32">
        <v>6.5759999999999996</v>
      </c>
      <c r="AD36" s="32">
        <v>57.18</v>
      </c>
      <c r="AE36" s="29">
        <f t="shared" si="23"/>
        <v>2.859</v>
      </c>
      <c r="AF36" s="95">
        <f t="shared" si="24"/>
        <v>2160.3599999999997</v>
      </c>
      <c r="AG36" s="35">
        <f t="shared" si="25"/>
        <v>6.8730325288562433E-2</v>
      </c>
      <c r="AH36" s="35">
        <f t="shared" si="26"/>
        <v>0.32231549492829659</v>
      </c>
      <c r="AI36" s="35">
        <f t="shared" si="27"/>
        <v>0.60895417978314093</v>
      </c>
      <c r="AJ36" s="93">
        <f t="shared" si="28"/>
        <v>0.45942637285764254</v>
      </c>
      <c r="AK36" s="93">
        <f t="shared" si="29"/>
        <v>0.14952780692549844</v>
      </c>
      <c r="AL36" s="135">
        <f t="shared" si="30"/>
        <v>148.48224554039871</v>
      </c>
      <c r="AM36" s="135">
        <f t="shared" si="31"/>
        <v>696.31750262329467</v>
      </c>
      <c r="AN36" s="135">
        <f t="shared" si="32"/>
        <v>1315.5602518363062</v>
      </c>
      <c r="AO36" s="135">
        <f t="shared" si="33"/>
        <v>756.5</v>
      </c>
      <c r="AP36" s="135">
        <f t="shared" si="34"/>
        <v>323.03389296956976</v>
      </c>
      <c r="AQ36" s="135">
        <f t="shared" si="35"/>
        <v>756.5</v>
      </c>
      <c r="AR36" s="93">
        <f t="shared" si="36"/>
        <v>0.35017311929493239</v>
      </c>
      <c r="AS36" s="137">
        <f t="shared" si="37"/>
        <v>70.437541308658311</v>
      </c>
      <c r="AT36" s="137">
        <f t="shared" si="38"/>
        <v>71.638060323279475</v>
      </c>
      <c r="AU36" s="29">
        <v>3.2879999999999998</v>
      </c>
      <c r="AV36" s="20">
        <v>21751.824817518245</v>
      </c>
      <c r="AW36" s="37">
        <v>31.791128579449744</v>
      </c>
      <c r="AX36" s="28">
        <v>-25.54</v>
      </c>
      <c r="AY36" s="28">
        <v>1.302</v>
      </c>
      <c r="AZ36" s="28">
        <v>4.84</v>
      </c>
      <c r="BA36" s="28">
        <v>-26.81</v>
      </c>
      <c r="BB36" s="28">
        <v>0.66590000000000005</v>
      </c>
      <c r="BC36" s="28">
        <v>7.95</v>
      </c>
    </row>
    <row r="37" spans="1:55" x14ac:dyDescent="0.25">
      <c r="A37" s="44" t="s">
        <v>34</v>
      </c>
      <c r="D37" s="121" t="s">
        <v>36</v>
      </c>
      <c r="E37" s="44">
        <v>1984</v>
      </c>
      <c r="F37" s="44">
        <v>1</v>
      </c>
      <c r="G37" s="44">
        <v>3</v>
      </c>
      <c r="H37" s="44">
        <v>4</v>
      </c>
      <c r="I37" s="44">
        <v>136</v>
      </c>
      <c r="J37" s="61"/>
      <c r="K37" s="61"/>
      <c r="L37" s="61"/>
      <c r="M37" s="44" t="s">
        <v>691</v>
      </c>
      <c r="N37" s="32">
        <v>0.5</v>
      </c>
      <c r="P37" s="29">
        <v>911.87</v>
      </c>
      <c r="Q37" s="135">
        <v>322.58</v>
      </c>
      <c r="R37" s="90">
        <v>889</v>
      </c>
      <c r="S37" s="90">
        <v>311.67999999999995</v>
      </c>
      <c r="T37" s="93">
        <f t="shared" si="20"/>
        <v>0.35375656617719631</v>
      </c>
      <c r="U37" s="93">
        <f t="shared" si="39"/>
        <v>0.35059617547806521</v>
      </c>
      <c r="V37" s="90">
        <v>20</v>
      </c>
      <c r="W37" s="90">
        <v>5.76</v>
      </c>
      <c r="X37" s="90">
        <v>21.38</v>
      </c>
      <c r="Y37" s="90">
        <v>35.729999999999997</v>
      </c>
      <c r="Z37" s="90">
        <v>27.89</v>
      </c>
      <c r="AA37" s="90">
        <f t="shared" si="21"/>
        <v>7.8399999999999963</v>
      </c>
      <c r="AB37" s="90">
        <f t="shared" si="22"/>
        <v>946.06512890094984</v>
      </c>
      <c r="AC37" s="32">
        <v>5.8959999999999999</v>
      </c>
      <c r="AD37" s="32">
        <v>62.86999999999999</v>
      </c>
      <c r="AE37" s="29">
        <f t="shared" si="23"/>
        <v>3.1434999999999995</v>
      </c>
      <c r="AF37" s="95">
        <f t="shared" si="24"/>
        <v>1823.74</v>
      </c>
      <c r="AG37" s="35">
        <f t="shared" si="25"/>
        <v>9.1617623667886131E-2</v>
      </c>
      <c r="AH37" s="35">
        <f t="shared" si="26"/>
        <v>0.34006680451725785</v>
      </c>
      <c r="AI37" s="35">
        <f t="shared" si="27"/>
        <v>0.56831557181485604</v>
      </c>
      <c r="AJ37" s="93">
        <f t="shared" si="28"/>
        <v>0.44361380626690006</v>
      </c>
      <c r="AK37" s="93">
        <f t="shared" si="29"/>
        <v>0.12470176554795606</v>
      </c>
      <c r="AL37" s="135">
        <f t="shared" si="30"/>
        <v>167.08672498807064</v>
      </c>
      <c r="AM37" s="135">
        <f t="shared" si="31"/>
        <v>620.19343407030385</v>
      </c>
      <c r="AN37" s="135">
        <f t="shared" si="32"/>
        <v>1036.4598409416255</v>
      </c>
      <c r="AO37" s="135">
        <f t="shared" si="33"/>
        <v>645.16</v>
      </c>
      <c r="AP37" s="135">
        <f t="shared" si="34"/>
        <v>227.4235979004294</v>
      </c>
      <c r="AQ37" s="135">
        <f t="shared" si="35"/>
        <v>645.16</v>
      </c>
      <c r="AR37" s="93">
        <f t="shared" si="36"/>
        <v>0.35375656617719631</v>
      </c>
      <c r="AS37" s="137">
        <f t="shared" si="37"/>
        <v>93.241986483972951</v>
      </c>
      <c r="AT37" s="137">
        <f t="shared" si="38"/>
        <v>94.983934113415287</v>
      </c>
      <c r="AU37" s="29">
        <v>2.948</v>
      </c>
      <c r="AV37" s="20">
        <v>24839.147371646173</v>
      </c>
      <c r="AW37" s="37">
        <v>45.622923743839912</v>
      </c>
      <c r="AX37" s="28">
        <v>-25.81</v>
      </c>
      <c r="AY37" s="28">
        <v>1.2950999999999999</v>
      </c>
      <c r="AZ37" s="28">
        <v>4.0599999999999996</v>
      </c>
      <c r="BA37" s="28">
        <v>-26.74</v>
      </c>
      <c r="BB37" s="28">
        <v>0.87524999999999997</v>
      </c>
      <c r="BC37" s="28">
        <v>6.49</v>
      </c>
    </row>
    <row r="38" spans="1:55" x14ac:dyDescent="0.25">
      <c r="A38" s="44" t="s">
        <v>24</v>
      </c>
      <c r="D38" s="121" t="s">
        <v>313</v>
      </c>
      <c r="E38" s="44">
        <v>2016</v>
      </c>
      <c r="F38" s="44">
        <v>2</v>
      </c>
      <c r="G38" s="44">
        <v>3</v>
      </c>
      <c r="H38" s="44">
        <v>5</v>
      </c>
      <c r="I38" s="44">
        <v>137</v>
      </c>
      <c r="J38" s="61"/>
      <c r="K38" s="61"/>
      <c r="L38" s="61"/>
      <c r="M38" s="44" t="s">
        <v>691</v>
      </c>
      <c r="N38" s="32">
        <v>0.5</v>
      </c>
      <c r="P38" s="29">
        <v>1076.4299999999998</v>
      </c>
      <c r="Q38" s="135">
        <v>367.76</v>
      </c>
      <c r="R38" s="90">
        <v>1148</v>
      </c>
      <c r="S38" s="90">
        <v>391.86</v>
      </c>
      <c r="T38" s="93">
        <f t="shared" si="20"/>
        <v>0.34164785448194501</v>
      </c>
      <c r="U38" s="93">
        <f t="shared" si="39"/>
        <v>0.34134146341463417</v>
      </c>
      <c r="V38" s="90">
        <v>20</v>
      </c>
      <c r="W38" s="90">
        <v>5.69</v>
      </c>
      <c r="X38" s="90">
        <v>23.91</v>
      </c>
      <c r="Y38" s="90">
        <v>43.83</v>
      </c>
      <c r="Z38" s="90">
        <v>34.06</v>
      </c>
      <c r="AA38" s="90">
        <f t="shared" si="21"/>
        <v>9.769999999999996</v>
      </c>
      <c r="AB38" s="90">
        <f t="shared" si="22"/>
        <v>877.83505154639192</v>
      </c>
      <c r="AC38" s="32">
        <v>7.7599999999999989</v>
      </c>
      <c r="AD38" s="32">
        <v>73.429999999999993</v>
      </c>
      <c r="AE38" s="29">
        <f t="shared" si="23"/>
        <v>3.6714999999999995</v>
      </c>
      <c r="AF38" s="95">
        <f t="shared" si="24"/>
        <v>2152.8599999999997</v>
      </c>
      <c r="AG38" s="35">
        <f t="shared" si="25"/>
        <v>7.7488764810023161E-2</v>
      </c>
      <c r="AH38" s="35">
        <f t="shared" si="26"/>
        <v>0.32561623314721505</v>
      </c>
      <c r="AI38" s="35">
        <f t="shared" si="27"/>
        <v>0.5968950020427618</v>
      </c>
      <c r="AJ38" s="93">
        <f t="shared" si="28"/>
        <v>0.46384311589268701</v>
      </c>
      <c r="AK38" s="93">
        <f t="shared" si="29"/>
        <v>0.13305188615007485</v>
      </c>
      <c r="AL38" s="135">
        <f t="shared" si="30"/>
        <v>166.82246220890644</v>
      </c>
      <c r="AM38" s="135">
        <f t="shared" si="31"/>
        <v>701.00616369331328</v>
      </c>
      <c r="AN38" s="135">
        <f t="shared" si="32"/>
        <v>1285.0313740977799</v>
      </c>
      <c r="AO38" s="135">
        <f t="shared" si="33"/>
        <v>735.52</v>
      </c>
      <c r="AP38" s="135">
        <f t="shared" si="34"/>
        <v>286.44208361705012</v>
      </c>
      <c r="AQ38" s="135">
        <f t="shared" si="35"/>
        <v>735.52</v>
      </c>
      <c r="AR38" s="93">
        <f t="shared" si="36"/>
        <v>0.34164785448194501</v>
      </c>
      <c r="AS38" s="137">
        <f t="shared" si="37"/>
        <v>113.10637372199261</v>
      </c>
      <c r="AT38" s="137">
        <f t="shared" si="38"/>
        <v>113.29765985712032</v>
      </c>
      <c r="AU38" s="29">
        <v>3.8799999999999994</v>
      </c>
      <c r="AV38" s="20">
        <v>18722.842293601432</v>
      </c>
      <c r="AW38" s="37">
        <v>53.741491768670777</v>
      </c>
      <c r="AX38" s="28">
        <v>-25.5</v>
      </c>
      <c r="AY38" s="28">
        <v>1.3701000000000001</v>
      </c>
      <c r="AZ38" s="28">
        <v>4.7699999999999996</v>
      </c>
      <c r="BA38" s="28">
        <v>-26.75</v>
      </c>
      <c r="BB38" s="28">
        <v>0.58565999999999996</v>
      </c>
      <c r="BC38" s="28">
        <v>6.37</v>
      </c>
    </row>
    <row r="39" spans="1:55" x14ac:dyDescent="0.25">
      <c r="A39" s="44" t="s">
        <v>24</v>
      </c>
      <c r="D39" s="121" t="s">
        <v>32</v>
      </c>
      <c r="E39" s="44">
        <v>2018</v>
      </c>
      <c r="F39" s="44">
        <v>2</v>
      </c>
      <c r="G39" s="44">
        <v>3</v>
      </c>
      <c r="H39" s="44">
        <v>6</v>
      </c>
      <c r="I39" s="44">
        <v>138</v>
      </c>
      <c r="J39" s="61"/>
      <c r="K39" s="61"/>
      <c r="L39" s="61"/>
      <c r="M39" s="44" t="s">
        <v>691</v>
      </c>
      <c r="N39" s="32">
        <v>0.5</v>
      </c>
      <c r="P39" s="29">
        <v>1235.3599999999999</v>
      </c>
      <c r="Q39" s="135">
        <v>469.71999999999997</v>
      </c>
      <c r="R39" s="90">
        <v>1192</v>
      </c>
      <c r="S39" s="90">
        <v>450.53999999999996</v>
      </c>
      <c r="T39" s="93">
        <f t="shared" si="20"/>
        <v>0.3802292449164616</v>
      </c>
      <c r="U39" s="93">
        <f t="shared" si="39"/>
        <v>0.37796979865771807</v>
      </c>
      <c r="V39" s="90">
        <v>20</v>
      </c>
      <c r="W39" s="90">
        <v>5.21</v>
      </c>
      <c r="X39" s="90">
        <v>18.12</v>
      </c>
      <c r="Y39" s="90">
        <v>41.03</v>
      </c>
      <c r="Z39" s="90">
        <v>31.4</v>
      </c>
      <c r="AA39" s="90">
        <f t="shared" si="21"/>
        <v>9.6300000000000026</v>
      </c>
      <c r="AB39" s="90">
        <f t="shared" si="22"/>
        <v>816.008316008316</v>
      </c>
      <c r="AC39" s="32">
        <v>7.6959999999999997</v>
      </c>
      <c r="AD39" s="32">
        <v>64.36</v>
      </c>
      <c r="AE39" s="29">
        <f t="shared" si="23"/>
        <v>3.218</v>
      </c>
      <c r="AF39" s="95">
        <f t="shared" si="24"/>
        <v>2470.7199999999998</v>
      </c>
      <c r="AG39" s="35">
        <f t="shared" si="25"/>
        <v>8.0950901180857682E-2</v>
      </c>
      <c r="AH39" s="35">
        <f t="shared" si="26"/>
        <v>0.28154133001864512</v>
      </c>
      <c r="AI39" s="35">
        <f t="shared" si="27"/>
        <v>0.6375077688004972</v>
      </c>
      <c r="AJ39" s="93">
        <f t="shared" si="28"/>
        <v>0.48788067122436296</v>
      </c>
      <c r="AK39" s="93">
        <f t="shared" si="29"/>
        <v>0.14962709757613429</v>
      </c>
      <c r="AL39" s="135">
        <f t="shared" si="30"/>
        <v>200.00701056556866</v>
      </c>
      <c r="AM39" s="135">
        <f t="shared" si="31"/>
        <v>695.60979490366685</v>
      </c>
      <c r="AN39" s="135">
        <f t="shared" si="32"/>
        <v>1575.1031945307643</v>
      </c>
      <c r="AO39" s="135">
        <f t="shared" si="33"/>
        <v>939.43999999999994</v>
      </c>
      <c r="AP39" s="135">
        <f t="shared" si="34"/>
        <v>369.6866625233065</v>
      </c>
      <c r="AQ39" s="135">
        <f t="shared" si="35"/>
        <v>939.43999999999994</v>
      </c>
      <c r="AR39" s="93">
        <f t="shared" si="36"/>
        <v>0.3802292449164616</v>
      </c>
      <c r="AS39" s="137">
        <f t="shared" si="37"/>
        <v>91.833432683300686</v>
      </c>
      <c r="AT39" s="137">
        <f t="shared" si="38"/>
        <v>92.98018391400079</v>
      </c>
      <c r="AU39" s="29">
        <v>3.8479999999999999</v>
      </c>
      <c r="AV39" s="20">
        <v>22827.442827442828</v>
      </c>
      <c r="AW39" s="37">
        <v>41.14248416573998</v>
      </c>
      <c r="AX39" s="28">
        <v>-26.11</v>
      </c>
      <c r="AY39" s="28">
        <v>1.3912</v>
      </c>
      <c r="AZ39" s="28">
        <v>4.63</v>
      </c>
      <c r="BA39" s="28">
        <v>-26.72</v>
      </c>
      <c r="BB39" s="28">
        <v>0.58396999999999999</v>
      </c>
      <c r="BC39" s="28">
        <v>6.27</v>
      </c>
    </row>
    <row r="40" spans="1:55" x14ac:dyDescent="0.25">
      <c r="A40" s="44" t="s">
        <v>34</v>
      </c>
      <c r="D40" s="121" t="s">
        <v>39</v>
      </c>
      <c r="E40" s="44">
        <v>2001</v>
      </c>
      <c r="F40" s="44">
        <v>2</v>
      </c>
      <c r="G40" s="44">
        <v>3</v>
      </c>
      <c r="H40" s="44">
        <v>7</v>
      </c>
      <c r="I40" s="44">
        <v>139</v>
      </c>
      <c r="J40" s="61"/>
      <c r="K40" s="61"/>
      <c r="L40" s="61"/>
      <c r="M40" s="44" t="s">
        <v>691</v>
      </c>
      <c r="N40" s="32">
        <v>0.5</v>
      </c>
      <c r="P40" s="29">
        <v>1049.9100000000001</v>
      </c>
      <c r="Q40" s="135">
        <v>365.84</v>
      </c>
      <c r="R40" s="90">
        <v>764</v>
      </c>
      <c r="S40" s="90">
        <v>270.23</v>
      </c>
      <c r="T40" s="93">
        <f t="shared" si="20"/>
        <v>0.34844891466887634</v>
      </c>
      <c r="U40" s="93">
        <f t="shared" si="39"/>
        <v>0.3537041884816754</v>
      </c>
      <c r="V40" s="90">
        <v>20</v>
      </c>
      <c r="W40" s="90">
        <v>3.78</v>
      </c>
      <c r="X40" s="90">
        <v>14.3</v>
      </c>
      <c r="Y40" s="90">
        <v>27.83</v>
      </c>
      <c r="Z40" s="90">
        <v>21.25</v>
      </c>
      <c r="AA40" s="90">
        <f t="shared" si="21"/>
        <v>6.5799999999999983</v>
      </c>
      <c r="AB40" s="90">
        <f t="shared" si="22"/>
        <v>603.00794551645856</v>
      </c>
      <c r="AC40" s="32">
        <v>7.048</v>
      </c>
      <c r="AD40" s="32">
        <v>45.91</v>
      </c>
      <c r="AE40" s="29">
        <f t="shared" si="23"/>
        <v>2.2954999999999997</v>
      </c>
      <c r="AF40" s="95">
        <f t="shared" si="24"/>
        <v>2099.8200000000002</v>
      </c>
      <c r="AG40" s="35">
        <f t="shared" si="25"/>
        <v>8.2335003267262036E-2</v>
      </c>
      <c r="AH40" s="35">
        <f t="shared" si="26"/>
        <v>0.31147898061424528</v>
      </c>
      <c r="AI40" s="35">
        <f t="shared" si="27"/>
        <v>0.60618601611849277</v>
      </c>
      <c r="AJ40" s="93">
        <f t="shared" si="28"/>
        <v>0.46286212154214773</v>
      </c>
      <c r="AK40" s="93">
        <f t="shared" si="29"/>
        <v>0.14332389457634501</v>
      </c>
      <c r="AL40" s="135">
        <f t="shared" si="30"/>
        <v>172.88868656066219</v>
      </c>
      <c r="AM40" s="135">
        <f t="shared" si="31"/>
        <v>654.04979307340454</v>
      </c>
      <c r="AN40" s="135">
        <f t="shared" si="32"/>
        <v>1272.8815203659335</v>
      </c>
      <c r="AO40" s="135">
        <f t="shared" si="33"/>
        <v>731.68</v>
      </c>
      <c r="AP40" s="135">
        <f t="shared" si="34"/>
        <v>300.9543803093008</v>
      </c>
      <c r="AQ40" s="135">
        <f t="shared" si="35"/>
        <v>731.68</v>
      </c>
      <c r="AR40" s="93">
        <f t="shared" si="36"/>
        <v>0.34844891466887634</v>
      </c>
      <c r="AS40" s="137">
        <f t="shared" si="37"/>
        <v>47.731248633282334</v>
      </c>
      <c r="AT40" s="137">
        <f t="shared" si="38"/>
        <v>45.536284062443436</v>
      </c>
      <c r="AU40" s="29">
        <v>3.524</v>
      </c>
      <c r="AV40" s="20">
        <v>21667.590563929291</v>
      </c>
      <c r="AW40" s="37">
        <v>27.686365720576315</v>
      </c>
      <c r="AX40" s="28">
        <v>-25.6</v>
      </c>
      <c r="AY40" s="28">
        <v>1.6236999999999999</v>
      </c>
      <c r="AZ40" s="28">
        <v>5.54</v>
      </c>
      <c r="BA40" s="28">
        <v>-26.82</v>
      </c>
      <c r="BB40" s="28">
        <v>0.68894999999999995</v>
      </c>
      <c r="BC40" s="28">
        <v>5.77</v>
      </c>
    </row>
    <row r="41" spans="1:55" x14ac:dyDescent="0.25">
      <c r="A41" s="44" t="s">
        <v>34</v>
      </c>
      <c r="D41" s="121" t="s">
        <v>38</v>
      </c>
      <c r="E41" s="44">
        <v>1999</v>
      </c>
      <c r="F41" s="44">
        <v>2</v>
      </c>
      <c r="G41" s="44">
        <v>3</v>
      </c>
      <c r="H41" s="44">
        <v>8</v>
      </c>
      <c r="I41" s="44">
        <v>140</v>
      </c>
      <c r="J41" s="61"/>
      <c r="K41" s="61"/>
      <c r="L41" s="61"/>
      <c r="M41" s="44" t="s">
        <v>691</v>
      </c>
      <c r="N41" s="32">
        <v>0.5</v>
      </c>
      <c r="P41" s="29">
        <v>1055.8900000000001</v>
      </c>
      <c r="Q41" s="135">
        <v>382.15</v>
      </c>
      <c r="R41" s="90">
        <v>864</v>
      </c>
      <c r="S41" s="90">
        <v>315.10000000000002</v>
      </c>
      <c r="T41" s="93">
        <f t="shared" si="20"/>
        <v>0.3619221699230033</v>
      </c>
      <c r="U41" s="93">
        <f t="shared" si="39"/>
        <v>0.36469907407407409</v>
      </c>
      <c r="V41" s="90">
        <v>20</v>
      </c>
      <c r="W41" s="90">
        <v>4.4000000000000004</v>
      </c>
      <c r="X41" s="90">
        <v>27.889999999999997</v>
      </c>
      <c r="Y41" s="90">
        <v>43.6</v>
      </c>
      <c r="Z41" s="90">
        <v>33.94</v>
      </c>
      <c r="AA41" s="90">
        <f t="shared" si="21"/>
        <v>9.6600000000000037</v>
      </c>
      <c r="AB41" s="90">
        <f t="shared" si="22"/>
        <v>900.74309978768576</v>
      </c>
      <c r="AC41" s="32">
        <v>7.5359999999999996</v>
      </c>
      <c r="AD41" s="32">
        <v>75.89</v>
      </c>
      <c r="AE41" s="29">
        <f t="shared" si="23"/>
        <v>3.7945000000000002</v>
      </c>
      <c r="AF41" s="95">
        <f t="shared" si="24"/>
        <v>2111.7800000000002</v>
      </c>
      <c r="AG41" s="35">
        <f t="shared" si="25"/>
        <v>5.7978653314007117E-2</v>
      </c>
      <c r="AH41" s="35">
        <f t="shared" si="26"/>
        <v>0.36750560021083145</v>
      </c>
      <c r="AI41" s="35">
        <f t="shared" si="27"/>
        <v>0.57451574647516146</v>
      </c>
      <c r="AJ41" s="93">
        <f t="shared" si="28"/>
        <v>0.44722624851759124</v>
      </c>
      <c r="AK41" s="93">
        <f t="shared" si="29"/>
        <v>0.12728949795757022</v>
      </c>
      <c r="AL41" s="135">
        <f t="shared" si="30"/>
        <v>122.43816049545396</v>
      </c>
      <c r="AM41" s="135">
        <f t="shared" si="31"/>
        <v>776.09097641322967</v>
      </c>
      <c r="AN41" s="135">
        <f t="shared" si="32"/>
        <v>1213.2508630913167</v>
      </c>
      <c r="AO41" s="135">
        <f t="shared" si="33"/>
        <v>764.3</v>
      </c>
      <c r="AP41" s="135">
        <f t="shared" si="34"/>
        <v>268.80741599683768</v>
      </c>
      <c r="AQ41" s="135">
        <f t="shared" si="35"/>
        <v>764.3</v>
      </c>
      <c r="AR41" s="93">
        <f t="shared" si="36"/>
        <v>0.3619221699230033</v>
      </c>
      <c r="AS41" s="137">
        <f t="shared" si="37"/>
        <v>64.909067120240763</v>
      </c>
      <c r="AT41" s="137">
        <f t="shared" si="38"/>
        <v>63.653410866662227</v>
      </c>
      <c r="AU41" s="29">
        <v>3.7679999999999998</v>
      </c>
      <c r="AV41" s="20">
        <v>19490.445859872612</v>
      </c>
      <c r="AW41" s="37">
        <v>29.462301881202787</v>
      </c>
      <c r="AX41" s="28">
        <v>-25.38</v>
      </c>
      <c r="AY41" s="28">
        <v>1.3238000000000001</v>
      </c>
      <c r="AZ41" s="28">
        <v>6.7</v>
      </c>
      <c r="BA41" s="28">
        <v>-26.44</v>
      </c>
      <c r="BB41" s="28">
        <v>0.66832999999999998</v>
      </c>
      <c r="BC41" s="28">
        <v>8.81</v>
      </c>
    </row>
    <row r="42" spans="1:55" x14ac:dyDescent="0.25">
      <c r="A42" s="44" t="s">
        <v>24</v>
      </c>
      <c r="D42" s="121" t="s">
        <v>28</v>
      </c>
      <c r="E42" s="44">
        <v>1998</v>
      </c>
      <c r="F42" s="44">
        <v>3</v>
      </c>
      <c r="G42" s="44">
        <v>3</v>
      </c>
      <c r="H42" s="44">
        <v>9</v>
      </c>
      <c r="I42" s="44">
        <v>141</v>
      </c>
      <c r="M42" s="44" t="s">
        <v>691</v>
      </c>
      <c r="N42" s="32">
        <v>0.5</v>
      </c>
      <c r="P42" s="29">
        <v>1226.18</v>
      </c>
      <c r="Q42" s="135">
        <v>417.40999999999997</v>
      </c>
      <c r="R42" s="90">
        <v>1124</v>
      </c>
      <c r="S42" s="90">
        <v>398.20000000000005</v>
      </c>
      <c r="T42" s="93">
        <f t="shared" si="20"/>
        <v>0.34041494723450061</v>
      </c>
      <c r="U42" s="93">
        <f t="shared" si="39"/>
        <v>0.35427046263345202</v>
      </c>
      <c r="V42" s="90">
        <v>20</v>
      </c>
      <c r="W42" s="90">
        <v>3.52</v>
      </c>
      <c r="X42" s="90">
        <v>21.68</v>
      </c>
      <c r="Y42" s="90">
        <v>36.979999999999997</v>
      </c>
      <c r="Z42" s="90">
        <v>27.63</v>
      </c>
      <c r="AA42" s="90">
        <f t="shared" si="21"/>
        <v>9.3499999999999979</v>
      </c>
      <c r="AB42" s="90">
        <f t="shared" si="22"/>
        <v>815.52538370720185</v>
      </c>
      <c r="AC42" s="32">
        <v>6.7759999999999998</v>
      </c>
      <c r="AD42" s="32">
        <v>62.18</v>
      </c>
      <c r="AE42" s="29">
        <f t="shared" si="23"/>
        <v>3.109</v>
      </c>
      <c r="AF42" s="95">
        <f t="shared" si="24"/>
        <v>2452.36</v>
      </c>
      <c r="AG42" s="35">
        <f t="shared" si="25"/>
        <v>5.6609842393052431E-2</v>
      </c>
      <c r="AH42" s="35">
        <f t="shared" si="26"/>
        <v>0.34866516564811834</v>
      </c>
      <c r="AI42" s="35">
        <f t="shared" si="27"/>
        <v>0.59472499195882911</v>
      </c>
      <c r="AJ42" s="93">
        <f t="shared" si="28"/>
        <v>0.44435509810228369</v>
      </c>
      <c r="AK42" s="93">
        <f t="shared" si="29"/>
        <v>0.15036989385654548</v>
      </c>
      <c r="AL42" s="135">
        <f t="shared" si="30"/>
        <v>138.82771309102606</v>
      </c>
      <c r="AM42" s="135">
        <f t="shared" si="31"/>
        <v>855.05250562881952</v>
      </c>
      <c r="AN42" s="135">
        <f t="shared" si="32"/>
        <v>1458.4797812801542</v>
      </c>
      <c r="AO42" s="135">
        <f t="shared" si="33"/>
        <v>834.81999999999994</v>
      </c>
      <c r="AP42" s="135">
        <f t="shared" si="34"/>
        <v>368.76111289803788</v>
      </c>
      <c r="AQ42" s="135">
        <f t="shared" si="35"/>
        <v>834.81999999999994</v>
      </c>
      <c r="AR42" s="93">
        <f t="shared" si="36"/>
        <v>0.34041494723450061</v>
      </c>
      <c r="AS42" s="137">
        <f t="shared" si="37"/>
        <v>90.795620612826752</v>
      </c>
      <c r="AT42" s="137">
        <f t="shared" si="38"/>
        <v>83.333605180316098</v>
      </c>
      <c r="AU42" s="29">
        <v>3.3879999999999999</v>
      </c>
      <c r="AV42" s="20">
        <v>23519.049493075465</v>
      </c>
      <c r="AW42" s="37">
        <v>40.778997104929239</v>
      </c>
      <c r="AX42" s="28">
        <v>-25.08</v>
      </c>
      <c r="AY42" s="28">
        <v>1.5434000000000001</v>
      </c>
      <c r="AZ42" s="28">
        <v>6.06</v>
      </c>
      <c r="BA42" s="28">
        <v>-26.83</v>
      </c>
      <c r="BB42" s="28">
        <v>0.60516999999999999</v>
      </c>
      <c r="BC42" s="28">
        <v>5.91</v>
      </c>
    </row>
    <row r="43" spans="1:55" x14ac:dyDescent="0.25">
      <c r="A43" s="44" t="s">
        <v>24</v>
      </c>
      <c r="D43" s="121" t="s">
        <v>29</v>
      </c>
      <c r="E43" s="44">
        <v>1999</v>
      </c>
      <c r="F43" s="44">
        <v>3</v>
      </c>
      <c r="G43" s="44">
        <v>3</v>
      </c>
      <c r="H43" s="44">
        <v>10</v>
      </c>
      <c r="I43" s="44">
        <v>142</v>
      </c>
      <c r="M43" s="44" t="s">
        <v>691</v>
      </c>
      <c r="N43" s="32">
        <v>0.5</v>
      </c>
      <c r="P43" s="29">
        <v>1144.76</v>
      </c>
      <c r="Q43" s="135">
        <v>399.42</v>
      </c>
      <c r="R43" s="90">
        <v>1270</v>
      </c>
      <c r="S43" s="90">
        <v>415.88</v>
      </c>
      <c r="T43" s="93">
        <f t="shared" si="20"/>
        <v>0.34891156224885567</v>
      </c>
      <c r="U43" s="93">
        <f t="shared" si="39"/>
        <v>0.32746456692913384</v>
      </c>
      <c r="V43" s="90">
        <v>20</v>
      </c>
      <c r="W43" s="90">
        <v>2.88</v>
      </c>
      <c r="X43" s="90">
        <v>23.54</v>
      </c>
      <c r="Y43" s="90">
        <v>38.340000000000003</v>
      </c>
      <c r="Z43" s="90">
        <v>29.18</v>
      </c>
      <c r="AA43" s="90">
        <f t="shared" si="21"/>
        <v>9.1600000000000037</v>
      </c>
      <c r="AB43" s="90">
        <f t="shared" si="22"/>
        <v>771.95767195767189</v>
      </c>
      <c r="AC43" s="32">
        <v>7.5600000000000005</v>
      </c>
      <c r="AD43" s="32">
        <v>64.760000000000005</v>
      </c>
      <c r="AE43" s="29">
        <f t="shared" si="23"/>
        <v>3.2380000000000004</v>
      </c>
      <c r="AF43" s="95">
        <f t="shared" si="24"/>
        <v>2289.52</v>
      </c>
      <c r="AG43" s="35">
        <f t="shared" si="25"/>
        <v>4.4471896232242118E-2</v>
      </c>
      <c r="AH43" s="35">
        <f t="shared" si="26"/>
        <v>0.36349598517603454</v>
      </c>
      <c r="AI43" s="35">
        <f t="shared" si="27"/>
        <v>0.59203211859172333</v>
      </c>
      <c r="AJ43" s="93">
        <f t="shared" si="28"/>
        <v>0.4505867819641754</v>
      </c>
      <c r="AK43" s="93">
        <f t="shared" si="29"/>
        <v>0.14144533662754791</v>
      </c>
      <c r="AL43" s="135">
        <f t="shared" si="30"/>
        <v>101.81929586164297</v>
      </c>
      <c r="AM43" s="135">
        <f t="shared" si="31"/>
        <v>832.2313279802346</v>
      </c>
      <c r="AN43" s="135">
        <f t="shared" si="32"/>
        <v>1355.4693761581225</v>
      </c>
      <c r="AO43" s="135">
        <f t="shared" si="33"/>
        <v>798.84</v>
      </c>
      <c r="AP43" s="135">
        <f t="shared" si="34"/>
        <v>323.84192711550349</v>
      </c>
      <c r="AQ43" s="135">
        <f t="shared" si="35"/>
        <v>798.84</v>
      </c>
      <c r="AR43" s="93">
        <f t="shared" si="36"/>
        <v>0.34891156224885567</v>
      </c>
      <c r="AS43" s="137">
        <f t="shared" si="37"/>
        <v>108.24195082870162</v>
      </c>
      <c r="AT43" s="137">
        <f t="shared" si="38"/>
        <v>121.88056885285999</v>
      </c>
      <c r="AU43" s="29">
        <v>3.7800000000000002</v>
      </c>
      <c r="AV43" s="20">
        <v>11739.417989417989</v>
      </c>
      <c r="AW43" s="37">
        <v>20.841720343531936</v>
      </c>
      <c r="AX43" s="28">
        <v>-25.39</v>
      </c>
      <c r="AY43" s="28">
        <v>1.5014000000000001</v>
      </c>
      <c r="AZ43" s="28">
        <v>6.17</v>
      </c>
      <c r="BA43" s="28">
        <v>-26.77</v>
      </c>
      <c r="BB43" s="28">
        <v>0.97101000000000004</v>
      </c>
      <c r="BC43" s="28">
        <v>5.88</v>
      </c>
    </row>
    <row r="44" spans="1:55" x14ac:dyDescent="0.25">
      <c r="A44" s="44" t="s">
        <v>34</v>
      </c>
      <c r="D44" s="121" t="s">
        <v>43</v>
      </c>
      <c r="E44" s="44">
        <v>2020</v>
      </c>
      <c r="F44" s="44">
        <v>3</v>
      </c>
      <c r="G44" s="44">
        <v>3</v>
      </c>
      <c r="H44" s="44">
        <v>11</v>
      </c>
      <c r="I44" s="44">
        <v>143</v>
      </c>
      <c r="M44" s="44" t="s">
        <v>691</v>
      </c>
      <c r="N44" s="32">
        <v>0.5</v>
      </c>
      <c r="P44" s="29">
        <v>1194.8900000000001</v>
      </c>
      <c r="Q44" s="135">
        <v>442.63</v>
      </c>
      <c r="R44" s="90">
        <v>843</v>
      </c>
      <c r="S44" s="90">
        <v>324.84000000000003</v>
      </c>
      <c r="T44" s="93">
        <f t="shared" si="20"/>
        <v>0.3704357723305074</v>
      </c>
      <c r="U44" s="93">
        <f t="shared" si="39"/>
        <v>0.38533807829181499</v>
      </c>
      <c r="V44" s="90">
        <v>20</v>
      </c>
      <c r="W44" s="90">
        <v>3.75</v>
      </c>
      <c r="X44" s="90">
        <v>21.49</v>
      </c>
      <c r="Y44" s="90">
        <v>35.65</v>
      </c>
      <c r="Z44" s="90">
        <v>27.36</v>
      </c>
      <c r="AA44" s="90">
        <f t="shared" si="21"/>
        <v>8.2899999999999991</v>
      </c>
      <c r="AB44" s="90">
        <f t="shared" si="22"/>
        <v>745.91057797164672</v>
      </c>
      <c r="AC44" s="32">
        <v>7.3359999999999994</v>
      </c>
      <c r="AD44" s="32">
        <v>60.89</v>
      </c>
      <c r="AE44" s="29">
        <f t="shared" si="23"/>
        <v>3.0445000000000002</v>
      </c>
      <c r="AF44" s="95">
        <f t="shared" si="24"/>
        <v>2389.7800000000002</v>
      </c>
      <c r="AG44" s="35">
        <f t="shared" si="25"/>
        <v>6.1586467400229924E-2</v>
      </c>
      <c r="AH44" s="35">
        <f t="shared" si="26"/>
        <v>0.35293151584825094</v>
      </c>
      <c r="AI44" s="35">
        <f t="shared" si="27"/>
        <v>0.58548201675151912</v>
      </c>
      <c r="AJ44" s="93">
        <f t="shared" si="28"/>
        <v>0.44933486615207752</v>
      </c>
      <c r="AK44" s="93">
        <f t="shared" si="29"/>
        <v>0.1361471505994416</v>
      </c>
      <c r="AL44" s="135">
        <f t="shared" si="30"/>
        <v>147.17810806372148</v>
      </c>
      <c r="AM44" s="135">
        <f t="shared" si="31"/>
        <v>843.42867794383324</v>
      </c>
      <c r="AN44" s="135">
        <f t="shared" si="32"/>
        <v>1399.1732139924454</v>
      </c>
      <c r="AO44" s="135">
        <f t="shared" si="33"/>
        <v>885.26</v>
      </c>
      <c r="AP44" s="135">
        <f t="shared" si="34"/>
        <v>325.36173755953359</v>
      </c>
      <c r="AQ44" s="135">
        <f t="shared" si="35"/>
        <v>885.26</v>
      </c>
      <c r="AR44" s="93">
        <f t="shared" si="36"/>
        <v>0.3704357723305074</v>
      </c>
      <c r="AS44" s="137">
        <f t="shared" si="37"/>
        <v>46.777217992454212</v>
      </c>
      <c r="AT44" s="137">
        <f t="shared" si="38"/>
        <v>41.10085447195975</v>
      </c>
      <c r="AU44" s="29">
        <v>3.6679999999999997</v>
      </c>
      <c r="AV44" s="20">
        <v>23620.501635768815</v>
      </c>
      <c r="AW44" s="37">
        <v>45.424041607247723</v>
      </c>
      <c r="AX44" s="28">
        <v>-25.48</v>
      </c>
      <c r="AY44" s="28">
        <v>1.7887999999999999</v>
      </c>
      <c r="AZ44" s="28">
        <v>4.53</v>
      </c>
      <c r="BA44" s="28">
        <v>-26.77</v>
      </c>
      <c r="BB44" s="28">
        <v>0.95848</v>
      </c>
      <c r="BC44" s="28">
        <v>5.7</v>
      </c>
    </row>
    <row r="45" spans="1:55" x14ac:dyDescent="0.25">
      <c r="A45" s="44" t="s">
        <v>34</v>
      </c>
      <c r="D45" s="121" t="s">
        <v>318</v>
      </c>
      <c r="E45" s="44">
        <v>2004</v>
      </c>
      <c r="F45" s="44">
        <v>3</v>
      </c>
      <c r="G45" s="44">
        <v>3</v>
      </c>
      <c r="H45" s="44">
        <v>12</v>
      </c>
      <c r="I45" s="44">
        <v>144</v>
      </c>
      <c r="M45" s="44" t="s">
        <v>691</v>
      </c>
      <c r="N45" s="32">
        <v>0.5</v>
      </c>
      <c r="P45" s="29">
        <v>1058.83</v>
      </c>
      <c r="Q45" s="135">
        <v>381.96999999999997</v>
      </c>
      <c r="R45" s="90">
        <v>952</v>
      </c>
      <c r="S45" s="90">
        <v>346.82000000000005</v>
      </c>
      <c r="T45" s="93">
        <f t="shared" si="20"/>
        <v>0.36074723987797852</v>
      </c>
      <c r="U45" s="93">
        <f t="shared" si="39"/>
        <v>0.36430672268907566</v>
      </c>
      <c r="V45" s="90">
        <v>20</v>
      </c>
      <c r="W45" s="90">
        <v>3.86</v>
      </c>
      <c r="X45" s="90">
        <v>28.959999999999997</v>
      </c>
      <c r="Y45" s="90">
        <v>46.01</v>
      </c>
      <c r="Z45" s="90">
        <v>36.26</v>
      </c>
      <c r="AA45" s="90">
        <f t="shared" si="21"/>
        <v>9.75</v>
      </c>
      <c r="AB45" s="90">
        <f t="shared" si="22"/>
        <v>972.63948497854074</v>
      </c>
      <c r="AC45" s="32">
        <v>7.4560000000000004</v>
      </c>
      <c r="AD45" s="32">
        <v>78.83</v>
      </c>
      <c r="AE45" s="29">
        <f t="shared" si="23"/>
        <v>3.9415</v>
      </c>
      <c r="AF45" s="95">
        <f t="shared" si="24"/>
        <v>2117.66</v>
      </c>
      <c r="AG45" s="35">
        <f t="shared" si="25"/>
        <v>4.896612964607383E-2</v>
      </c>
      <c r="AH45" s="35">
        <f t="shared" si="26"/>
        <v>0.36737282760370416</v>
      </c>
      <c r="AI45" s="35">
        <f t="shared" si="27"/>
        <v>0.58366104275022201</v>
      </c>
      <c r="AJ45" s="93">
        <f t="shared" si="28"/>
        <v>0.45997716605353289</v>
      </c>
      <c r="AK45" s="93">
        <f t="shared" si="29"/>
        <v>0.12368387669668908</v>
      </c>
      <c r="AL45" s="135">
        <f t="shared" si="30"/>
        <v>103.69361410630471</v>
      </c>
      <c r="AM45" s="135">
        <f t="shared" si="31"/>
        <v>777.97074210326014</v>
      </c>
      <c r="AN45" s="135">
        <f t="shared" si="32"/>
        <v>1235.995643790435</v>
      </c>
      <c r="AO45" s="135">
        <f t="shared" si="33"/>
        <v>763.93999999999994</v>
      </c>
      <c r="AP45" s="135">
        <f t="shared" si="34"/>
        <v>261.92039832551058</v>
      </c>
      <c r="AQ45" s="135">
        <f t="shared" si="35"/>
        <v>763.93999999999994</v>
      </c>
      <c r="AR45" s="93">
        <f t="shared" si="36"/>
        <v>0.36074723987797852</v>
      </c>
      <c r="AS45" s="137">
        <f t="shared" si="37"/>
        <v>81.595413252349701</v>
      </c>
      <c r="AT45" s="137">
        <f t="shared" si="38"/>
        <v>79.821123315357525</v>
      </c>
      <c r="AU45" s="29">
        <v>3.7280000000000002</v>
      </c>
      <c r="AV45" s="20">
        <v>20377.613180119064</v>
      </c>
      <c r="AW45" s="37">
        <v>36.525910417194552</v>
      </c>
      <c r="AX45" s="28">
        <v>-25.63</v>
      </c>
      <c r="AY45" s="28">
        <v>1.7364999999999999</v>
      </c>
      <c r="AZ45" s="28">
        <v>4.32</v>
      </c>
      <c r="BA45" s="28">
        <v>-26.79</v>
      </c>
      <c r="BB45" s="28">
        <v>0.98607</v>
      </c>
      <c r="BC45" s="28">
        <v>4.13</v>
      </c>
    </row>
    <row r="46" spans="1:55" x14ac:dyDescent="0.25">
      <c r="A46" s="44" t="s">
        <v>24</v>
      </c>
      <c r="D46" s="121" t="s">
        <v>311</v>
      </c>
      <c r="E46" s="44">
        <v>2023</v>
      </c>
      <c r="F46" s="44">
        <v>4</v>
      </c>
      <c r="G46" s="44">
        <v>3</v>
      </c>
      <c r="H46" s="44">
        <v>13</v>
      </c>
      <c r="I46" s="44">
        <v>145</v>
      </c>
      <c r="M46" s="44" t="s">
        <v>691</v>
      </c>
      <c r="N46" s="32">
        <v>0.5</v>
      </c>
      <c r="P46" s="29">
        <v>1132.82</v>
      </c>
      <c r="Q46" s="135">
        <v>404.84000000000003</v>
      </c>
      <c r="R46" s="90">
        <v>1036</v>
      </c>
      <c r="S46" s="90">
        <v>412.63</v>
      </c>
      <c r="T46" s="93">
        <f t="shared" si="20"/>
        <v>0.35737363394007882</v>
      </c>
      <c r="U46" s="93">
        <f t="shared" si="39"/>
        <v>0.3982915057915058</v>
      </c>
      <c r="V46" s="90">
        <v>20</v>
      </c>
      <c r="W46" s="90">
        <v>3.07</v>
      </c>
      <c r="X46" s="90">
        <v>26.249999999999996</v>
      </c>
      <c r="Y46" s="90">
        <v>41.5</v>
      </c>
      <c r="Z46" s="90">
        <v>32.369999999999997</v>
      </c>
      <c r="AA46" s="90">
        <f t="shared" si="21"/>
        <v>9.1300000000000026</v>
      </c>
      <c r="AB46" s="90">
        <f t="shared" si="22"/>
        <v>885.39387308533901</v>
      </c>
      <c r="AC46" s="32">
        <v>7.3120000000000003</v>
      </c>
      <c r="AD46" s="32">
        <v>70.819999999999993</v>
      </c>
      <c r="AE46" s="29">
        <f t="shared" si="23"/>
        <v>3.5409999999999995</v>
      </c>
      <c r="AF46" s="95">
        <f t="shared" si="24"/>
        <v>2265.64</v>
      </c>
      <c r="AG46" s="35">
        <f t="shared" si="25"/>
        <v>4.3349336345665068E-2</v>
      </c>
      <c r="AH46" s="35">
        <f t="shared" si="26"/>
        <v>0.37065800621293421</v>
      </c>
      <c r="AI46" s="35">
        <f t="shared" si="27"/>
        <v>0.58599265744140083</v>
      </c>
      <c r="AJ46" s="93">
        <f t="shared" si="28"/>
        <v>0.45707427280429258</v>
      </c>
      <c r="AK46" s="93">
        <f t="shared" si="29"/>
        <v>0.1289183846371082</v>
      </c>
      <c r="AL46" s="135">
        <f t="shared" si="30"/>
        <v>98.213990398192593</v>
      </c>
      <c r="AM46" s="135">
        <f t="shared" si="31"/>
        <v>839.77760519627225</v>
      </c>
      <c r="AN46" s="135">
        <f t="shared" si="32"/>
        <v>1327.6484044055353</v>
      </c>
      <c r="AO46" s="135">
        <f t="shared" si="33"/>
        <v>809.68000000000006</v>
      </c>
      <c r="AP46" s="135">
        <f t="shared" si="34"/>
        <v>292.08264896921781</v>
      </c>
      <c r="AQ46" s="135">
        <f t="shared" si="35"/>
        <v>809.68000000000006</v>
      </c>
      <c r="AR46" s="93">
        <f t="shared" si="36"/>
        <v>0.35737363394007882</v>
      </c>
      <c r="AS46" s="137">
        <f t="shared" si="37"/>
        <v>103.84843394921448</v>
      </c>
      <c r="AT46" s="137">
        <f t="shared" si="38"/>
        <v>82.906375240550133</v>
      </c>
      <c r="AU46" s="29">
        <v>3.6560000000000001</v>
      </c>
      <c r="AV46" s="20">
        <v>21149.571839625085</v>
      </c>
      <c r="AW46" s="37">
        <v>39.16587377708349</v>
      </c>
      <c r="AX46" s="28">
        <v>-25.5</v>
      </c>
      <c r="AY46" s="28">
        <v>1.4674</v>
      </c>
      <c r="AZ46" s="28">
        <v>7.19</v>
      </c>
      <c r="BA46" s="28">
        <v>-26.58</v>
      </c>
      <c r="BB46" s="28">
        <v>0.68988000000000005</v>
      </c>
      <c r="BC46" s="28">
        <v>8.09</v>
      </c>
    </row>
    <row r="47" spans="1:55" x14ac:dyDescent="0.25">
      <c r="A47" s="44" t="s">
        <v>24</v>
      </c>
      <c r="D47" s="121" t="s">
        <v>312</v>
      </c>
      <c r="E47" s="44">
        <v>2002</v>
      </c>
      <c r="F47" s="44">
        <v>4</v>
      </c>
      <c r="G47" s="44">
        <v>3</v>
      </c>
      <c r="H47" s="44">
        <v>14</v>
      </c>
      <c r="I47" s="44">
        <v>146</v>
      </c>
      <c r="M47" s="44" t="s">
        <v>691</v>
      </c>
      <c r="N47" s="32">
        <v>0.5</v>
      </c>
      <c r="P47" s="29">
        <v>1078.33</v>
      </c>
      <c r="Q47" s="135">
        <v>350.01</v>
      </c>
      <c r="R47" s="90">
        <v>1043</v>
      </c>
      <c r="S47" s="90">
        <v>399.28999999999996</v>
      </c>
      <c r="T47" s="93">
        <f t="shared" si="20"/>
        <v>0.32458523828512609</v>
      </c>
      <c r="U47" s="93">
        <f t="shared" si="39"/>
        <v>0.38282837967401723</v>
      </c>
      <c r="V47" s="90">
        <v>20</v>
      </c>
      <c r="W47" s="90">
        <v>5.29</v>
      </c>
      <c r="X47" s="90">
        <v>29.44</v>
      </c>
      <c r="Y47" s="90">
        <v>51.6</v>
      </c>
      <c r="Z47" s="90">
        <v>39.39</v>
      </c>
      <c r="AA47" s="90">
        <f t="shared" si="21"/>
        <v>12.21</v>
      </c>
      <c r="AB47" s="90">
        <f t="shared" si="22"/>
        <v>1224.8134328358212</v>
      </c>
      <c r="AC47" s="32">
        <v>6.4319999999999986</v>
      </c>
      <c r="AD47" s="32">
        <v>86.33</v>
      </c>
      <c r="AE47" s="29">
        <f t="shared" si="23"/>
        <v>4.3164999999999996</v>
      </c>
      <c r="AF47" s="95">
        <f t="shared" si="24"/>
        <v>2156.66</v>
      </c>
      <c r="AG47" s="35">
        <f t="shared" si="25"/>
        <v>6.1276497162052593E-2</v>
      </c>
      <c r="AH47" s="35">
        <f t="shared" si="26"/>
        <v>0.34101702768446662</v>
      </c>
      <c r="AI47" s="35">
        <f t="shared" si="27"/>
        <v>0.59770647515348085</v>
      </c>
      <c r="AJ47" s="93">
        <f t="shared" si="28"/>
        <v>0.4562724429514653</v>
      </c>
      <c r="AK47" s="93">
        <f t="shared" si="29"/>
        <v>0.14143403220201553</v>
      </c>
      <c r="AL47" s="135">
        <f t="shared" si="30"/>
        <v>132.15257036951235</v>
      </c>
      <c r="AM47" s="135">
        <f t="shared" si="31"/>
        <v>735.45778292598175</v>
      </c>
      <c r="AN47" s="135">
        <f t="shared" si="32"/>
        <v>1289.0496467045059</v>
      </c>
      <c r="AO47" s="135">
        <f t="shared" si="33"/>
        <v>700.02</v>
      </c>
      <c r="AP47" s="135">
        <f t="shared" si="34"/>
        <v>305.02511988879877</v>
      </c>
      <c r="AQ47" s="135">
        <f t="shared" si="35"/>
        <v>700.02</v>
      </c>
      <c r="AR47" s="93">
        <f t="shared" si="36"/>
        <v>0.32458523828512609</v>
      </c>
      <c r="AS47" s="137">
        <f t="shared" si="37"/>
        <v>128.1591954515585</v>
      </c>
      <c r="AT47" s="137">
        <f t="shared" si="38"/>
        <v>93.447274952936496</v>
      </c>
      <c r="AU47" s="29">
        <v>3.2159999999999993</v>
      </c>
      <c r="AV47" s="20">
        <v>21661.649734520674</v>
      </c>
      <c r="AW47" s="37">
        <v>33.846327710188554</v>
      </c>
      <c r="AX47" s="28">
        <v>-25.78</v>
      </c>
      <c r="AY47" s="28">
        <v>1.4443999999999999</v>
      </c>
      <c r="AZ47" s="28">
        <v>6.45</v>
      </c>
      <c r="BA47" s="28">
        <v>-26.57</v>
      </c>
      <c r="BB47" s="28">
        <v>0.75002999999999997</v>
      </c>
      <c r="BC47" s="28">
        <v>7.94</v>
      </c>
    </row>
    <row r="48" spans="1:55" x14ac:dyDescent="0.25">
      <c r="A48" s="44" t="s">
        <v>34</v>
      </c>
      <c r="D48" s="121" t="s">
        <v>37</v>
      </c>
      <c r="E48" s="44">
        <v>1989</v>
      </c>
      <c r="F48" s="44">
        <v>4</v>
      </c>
      <c r="G48" s="44">
        <v>3</v>
      </c>
      <c r="H48" s="44">
        <v>15</v>
      </c>
      <c r="I48" s="44">
        <v>147</v>
      </c>
      <c r="M48" s="44" t="s">
        <v>691</v>
      </c>
      <c r="N48" s="32">
        <v>0.5</v>
      </c>
      <c r="P48" s="29">
        <v>1014.4300000000001</v>
      </c>
      <c r="Q48" s="135">
        <v>393.47999999999996</v>
      </c>
      <c r="R48" s="90">
        <v>781</v>
      </c>
      <c r="S48" s="90">
        <v>293.89999999999998</v>
      </c>
      <c r="T48" s="93">
        <f t="shared" si="20"/>
        <v>0.38788285046775028</v>
      </c>
      <c r="U48" s="93">
        <f t="shared" si="39"/>
        <v>0.3763124199743918</v>
      </c>
      <c r="V48" s="90">
        <v>20</v>
      </c>
      <c r="W48" s="90">
        <v>3.35</v>
      </c>
      <c r="X48" s="90">
        <v>23.05</v>
      </c>
      <c r="Y48" s="90">
        <v>44.03</v>
      </c>
      <c r="Z48" s="90">
        <v>34.15</v>
      </c>
      <c r="AA48" s="90">
        <f t="shared" si="21"/>
        <v>9.8800000000000026</v>
      </c>
      <c r="AB48" s="90">
        <f t="shared" si="22"/>
        <v>961.43018018018006</v>
      </c>
      <c r="AC48" s="32">
        <v>7.104000000000001</v>
      </c>
      <c r="AD48" s="32">
        <v>70.430000000000007</v>
      </c>
      <c r="AE48" s="29">
        <f t="shared" si="23"/>
        <v>3.5215000000000005</v>
      </c>
      <c r="AF48" s="95">
        <f t="shared" si="24"/>
        <v>2028.8600000000001</v>
      </c>
      <c r="AG48" s="35">
        <f t="shared" si="25"/>
        <v>4.7564958114439865E-2</v>
      </c>
      <c r="AH48" s="35">
        <f t="shared" si="26"/>
        <v>0.32727530881726535</v>
      </c>
      <c r="AI48" s="35">
        <f t="shared" si="27"/>
        <v>0.62515973306829475</v>
      </c>
      <c r="AJ48" s="93">
        <f t="shared" si="28"/>
        <v>0.48487860286809592</v>
      </c>
      <c r="AK48" s="93">
        <f t="shared" si="29"/>
        <v>0.14028113020019881</v>
      </c>
      <c r="AL48" s="135">
        <f t="shared" si="30"/>
        <v>96.502640920062476</v>
      </c>
      <c r="AM48" s="135">
        <f t="shared" si="31"/>
        <v>663.99578304699708</v>
      </c>
      <c r="AN48" s="135">
        <f t="shared" si="32"/>
        <v>1268.3615760329405</v>
      </c>
      <c r="AO48" s="135">
        <f t="shared" si="33"/>
        <v>786.95999999999992</v>
      </c>
      <c r="AP48" s="135">
        <f t="shared" si="34"/>
        <v>284.61077381797537</v>
      </c>
      <c r="AQ48" s="135">
        <f t="shared" si="35"/>
        <v>786.95999999999992</v>
      </c>
      <c r="AR48" s="93">
        <f t="shared" si="36"/>
        <v>0.38788285046775028</v>
      </c>
      <c r="AS48" s="137">
        <f t="shared" si="37"/>
        <v>49.38497509403274</v>
      </c>
      <c r="AT48" s="137">
        <f t="shared" si="38"/>
        <v>53.97809607365712</v>
      </c>
      <c r="AU48" s="29">
        <v>3.5520000000000005</v>
      </c>
      <c r="AV48" s="20">
        <v>23415.183476159084</v>
      </c>
      <c r="AW48" s="37">
        <v>40.140314530558435</v>
      </c>
      <c r="AX48" s="28">
        <v>-25.51</v>
      </c>
      <c r="AY48" s="28">
        <v>1.4280999999999999</v>
      </c>
      <c r="AZ48" s="28">
        <v>5.87</v>
      </c>
      <c r="BA48" s="28">
        <v>-26.87</v>
      </c>
      <c r="BB48" s="28">
        <v>0.61687000000000003</v>
      </c>
      <c r="BC48" s="28">
        <v>5.57</v>
      </c>
    </row>
    <row r="49" spans="1:55" x14ac:dyDescent="0.25">
      <c r="A49" s="44" t="s">
        <v>34</v>
      </c>
      <c r="D49" s="121" t="s">
        <v>42</v>
      </c>
      <c r="E49" s="44">
        <v>2016</v>
      </c>
      <c r="F49" s="44">
        <v>4</v>
      </c>
      <c r="G49" s="44">
        <v>3</v>
      </c>
      <c r="H49" s="44">
        <v>16</v>
      </c>
      <c r="I49" s="44">
        <v>148</v>
      </c>
      <c r="M49" s="44" t="s">
        <v>691</v>
      </c>
      <c r="N49" s="32">
        <v>0.5</v>
      </c>
      <c r="P49" s="29">
        <v>1065.6999999999998</v>
      </c>
      <c r="Q49" s="135">
        <v>388.86</v>
      </c>
      <c r="R49" s="90">
        <v>937</v>
      </c>
      <c r="S49" s="90">
        <v>349.65999999999997</v>
      </c>
      <c r="T49" s="93">
        <f t="shared" si="20"/>
        <v>0.36488692877920625</v>
      </c>
      <c r="U49" s="93">
        <f t="shared" si="39"/>
        <v>0.37316969050160081</v>
      </c>
      <c r="V49" s="90">
        <v>20</v>
      </c>
      <c r="W49" s="90">
        <v>2.86</v>
      </c>
      <c r="X49" s="90">
        <v>16.919999999999998</v>
      </c>
      <c r="Y49" s="90">
        <v>30.92</v>
      </c>
      <c r="Z49" s="90">
        <v>24.29</v>
      </c>
      <c r="AA49" s="90">
        <f t="shared" si="21"/>
        <v>6.6300000000000026</v>
      </c>
      <c r="AB49" s="90">
        <f t="shared" si="22"/>
        <v>642.59259259259261</v>
      </c>
      <c r="AC49" s="32">
        <v>7.5600000000000005</v>
      </c>
      <c r="AD49" s="32">
        <v>50.7</v>
      </c>
      <c r="AE49" s="29">
        <f t="shared" si="23"/>
        <v>2.5350000000000001</v>
      </c>
      <c r="AF49" s="95">
        <f t="shared" si="24"/>
        <v>2131.3999999999996</v>
      </c>
      <c r="AG49" s="35">
        <f t="shared" si="25"/>
        <v>5.6410256410256404E-2</v>
      </c>
      <c r="AH49" s="35">
        <f t="shared" si="26"/>
        <v>0.33372781065088752</v>
      </c>
      <c r="AI49" s="35">
        <f t="shared" si="27"/>
        <v>0.60986193293885604</v>
      </c>
      <c r="AJ49" s="93">
        <f t="shared" si="28"/>
        <v>0.47909270216962518</v>
      </c>
      <c r="AK49" s="93">
        <f t="shared" si="29"/>
        <v>0.1307692307692308</v>
      </c>
      <c r="AL49" s="135">
        <f t="shared" si="30"/>
        <v>120.23282051282048</v>
      </c>
      <c r="AM49" s="135">
        <f t="shared" si="31"/>
        <v>711.30745562130153</v>
      </c>
      <c r="AN49" s="135">
        <f t="shared" si="32"/>
        <v>1299.8597238658776</v>
      </c>
      <c r="AO49" s="135">
        <f t="shared" si="33"/>
        <v>777.72</v>
      </c>
      <c r="AP49" s="135">
        <f t="shared" si="34"/>
        <v>278.7215384615385</v>
      </c>
      <c r="AQ49" s="135">
        <f t="shared" si="35"/>
        <v>777.72</v>
      </c>
      <c r="AR49" s="93">
        <f t="shared" si="36"/>
        <v>0.36488692877920625</v>
      </c>
      <c r="AS49" s="137">
        <f t="shared" si="37"/>
        <v>79.838502288741424</v>
      </c>
      <c r="AT49" s="137">
        <f t="shared" si="38"/>
        <v>75.846861217978827</v>
      </c>
      <c r="AU49" s="29">
        <v>3.7800000000000002</v>
      </c>
      <c r="AV49" s="20">
        <v>21470.112379203289</v>
      </c>
      <c r="AW49" s="37">
        <v>34.888932616205338</v>
      </c>
      <c r="AX49" s="28">
        <v>-25.35</v>
      </c>
      <c r="AY49" s="28">
        <v>1.5179</v>
      </c>
      <c r="AZ49" s="28">
        <v>4.78</v>
      </c>
      <c r="BA49" s="28">
        <v>-27.03</v>
      </c>
      <c r="BB49" s="28">
        <v>1.3889</v>
      </c>
      <c r="BC49" s="28">
        <v>4.53</v>
      </c>
    </row>
    <row r="50" spans="1:55" x14ac:dyDescent="0.25">
      <c r="A50" s="44" t="s">
        <v>24</v>
      </c>
      <c r="D50" s="121" t="s">
        <v>29</v>
      </c>
      <c r="E50" s="44">
        <v>1999</v>
      </c>
      <c r="F50" s="44">
        <v>1</v>
      </c>
      <c r="G50" s="44">
        <v>4</v>
      </c>
      <c r="H50" s="44">
        <v>1</v>
      </c>
      <c r="I50" s="44">
        <v>149</v>
      </c>
      <c r="J50" s="61"/>
      <c r="K50" s="61"/>
      <c r="L50" s="61"/>
      <c r="M50" s="44" t="s">
        <v>691</v>
      </c>
      <c r="N50" s="32">
        <v>0.5</v>
      </c>
      <c r="P50" s="29">
        <v>1472.71</v>
      </c>
      <c r="Q50" s="135">
        <v>469.85999999999996</v>
      </c>
      <c r="R50" s="90">
        <v>1099</v>
      </c>
      <c r="S50" s="90">
        <v>387.45000000000005</v>
      </c>
      <c r="T50" s="93">
        <f t="shared" si="20"/>
        <v>0.31904448262047513</v>
      </c>
      <c r="U50" s="93">
        <f t="shared" si="39"/>
        <v>0.35254777070063698</v>
      </c>
      <c r="V50" s="90">
        <v>20</v>
      </c>
      <c r="W50" s="90">
        <v>4.1399999999999997</v>
      </c>
      <c r="X50" s="90">
        <v>28.569999999999997</v>
      </c>
      <c r="Y50" s="90">
        <v>39</v>
      </c>
      <c r="Z50" s="90">
        <v>28.52</v>
      </c>
      <c r="AA50" s="90">
        <f t="shared" si="21"/>
        <v>10.48</v>
      </c>
      <c r="AB50" s="90">
        <f t="shared" si="22"/>
        <v>841.79456906729627</v>
      </c>
      <c r="AC50" s="32">
        <v>6.7759999999999998</v>
      </c>
      <c r="AD50" s="32">
        <v>71.709999999999994</v>
      </c>
      <c r="AE50" s="29">
        <f t="shared" si="23"/>
        <v>3.5854999999999997</v>
      </c>
      <c r="AF50" s="95">
        <f t="shared" si="24"/>
        <v>2945.42</v>
      </c>
      <c r="AG50" s="35">
        <f t="shared" si="25"/>
        <v>5.7732533816761959E-2</v>
      </c>
      <c r="AH50" s="35">
        <f t="shared" si="26"/>
        <v>0.39841026356156739</v>
      </c>
      <c r="AI50" s="35">
        <f t="shared" si="27"/>
        <v>0.5438572026216707</v>
      </c>
      <c r="AJ50" s="93">
        <f t="shared" si="28"/>
        <v>0.3977130107376935</v>
      </c>
      <c r="AK50" s="93">
        <f t="shared" si="29"/>
        <v>0.14614419188397715</v>
      </c>
      <c r="AL50" s="135">
        <f t="shared" si="30"/>
        <v>170.04655975456703</v>
      </c>
      <c r="AM50" s="135">
        <f t="shared" si="31"/>
        <v>1173.4855584995119</v>
      </c>
      <c r="AN50" s="135">
        <f t="shared" si="32"/>
        <v>1601.8878817459213</v>
      </c>
      <c r="AO50" s="135">
        <f t="shared" si="33"/>
        <v>939.71999999999991</v>
      </c>
      <c r="AP50" s="135">
        <f t="shared" si="34"/>
        <v>430.45602565890397</v>
      </c>
      <c r="AQ50" s="135">
        <f t="shared" si="35"/>
        <v>939.71999999999991</v>
      </c>
      <c r="AR50" s="93">
        <f t="shared" si="36"/>
        <v>0.31904448262047513</v>
      </c>
      <c r="AS50" s="137">
        <f t="shared" si="37"/>
        <v>64.921465968586418</v>
      </c>
      <c r="AT50" s="137">
        <f t="shared" si="38"/>
        <v>49.248664027541061</v>
      </c>
      <c r="AU50" s="29">
        <v>3.3879999999999999</v>
      </c>
      <c r="AV50" s="20">
        <v>18459.968382926778</v>
      </c>
      <c r="AW50" s="37">
        <v>34.15094150841454</v>
      </c>
      <c r="AX50" s="28">
        <v>-24.71</v>
      </c>
      <c r="AY50" s="28">
        <v>1.6808000000000001</v>
      </c>
      <c r="AZ50" s="28">
        <v>9.0500000000000007</v>
      </c>
      <c r="BA50" s="28">
        <v>-26.27</v>
      </c>
      <c r="BB50" s="28">
        <v>1.0246</v>
      </c>
      <c r="BC50" s="28">
        <v>8.4</v>
      </c>
    </row>
    <row r="51" spans="1:55" x14ac:dyDescent="0.25">
      <c r="A51" s="44" t="s">
        <v>24</v>
      </c>
      <c r="D51" s="121" t="s">
        <v>32</v>
      </c>
      <c r="E51" s="44">
        <v>2018</v>
      </c>
      <c r="F51" s="44">
        <v>1</v>
      </c>
      <c r="G51" s="44">
        <v>4</v>
      </c>
      <c r="H51" s="44">
        <v>2</v>
      </c>
      <c r="I51" s="44">
        <v>150</v>
      </c>
      <c r="J51" s="61"/>
      <c r="K51" s="61"/>
      <c r="L51" s="61"/>
      <c r="M51" s="44" t="s">
        <v>691</v>
      </c>
      <c r="N51" s="32">
        <v>0.5</v>
      </c>
      <c r="P51" s="29">
        <v>1341.21</v>
      </c>
      <c r="Q51" s="135">
        <v>473.95</v>
      </c>
      <c r="R51" s="90">
        <v>925</v>
      </c>
      <c r="S51" s="90">
        <v>318.71000000000004</v>
      </c>
      <c r="T51" s="93">
        <f t="shared" si="20"/>
        <v>0.35337493755638566</v>
      </c>
      <c r="U51" s="93">
        <f t="shared" si="39"/>
        <v>0.3445513513513514</v>
      </c>
      <c r="V51" s="90">
        <v>20</v>
      </c>
      <c r="W51" s="90">
        <v>5.05</v>
      </c>
      <c r="X51" s="90">
        <v>24.16</v>
      </c>
      <c r="Y51" s="90">
        <v>44</v>
      </c>
      <c r="Z51" s="90">
        <v>32.44</v>
      </c>
      <c r="AA51" s="90">
        <f t="shared" si="21"/>
        <v>11.560000000000002</v>
      </c>
      <c r="AB51" s="90">
        <f t="shared" si="22"/>
        <v>891.20879120879113</v>
      </c>
      <c r="AC51" s="32">
        <v>7.28</v>
      </c>
      <c r="AD51" s="32">
        <v>73.209999999999994</v>
      </c>
      <c r="AE51" s="29">
        <f t="shared" si="23"/>
        <v>3.6604999999999999</v>
      </c>
      <c r="AF51" s="95">
        <f t="shared" si="24"/>
        <v>2682.42</v>
      </c>
      <c r="AG51" s="35">
        <f t="shared" si="25"/>
        <v>6.8979647589127169E-2</v>
      </c>
      <c r="AH51" s="35">
        <f t="shared" si="26"/>
        <v>0.33000956153530941</v>
      </c>
      <c r="AI51" s="35">
        <f t="shared" si="27"/>
        <v>0.60101079087556353</v>
      </c>
      <c r="AJ51" s="93">
        <f t="shared" si="28"/>
        <v>0.4431088649091654</v>
      </c>
      <c r="AK51" s="93">
        <f t="shared" si="29"/>
        <v>0.15790192596639807</v>
      </c>
      <c r="AL51" s="135">
        <f t="shared" si="30"/>
        <v>185.03238628602651</v>
      </c>
      <c r="AM51" s="135">
        <f t="shared" si="31"/>
        <v>885.22424805354467</v>
      </c>
      <c r="AN51" s="135">
        <f t="shared" si="32"/>
        <v>1612.1633656604292</v>
      </c>
      <c r="AO51" s="135">
        <f t="shared" si="33"/>
        <v>947.9</v>
      </c>
      <c r="AP51" s="135">
        <f t="shared" si="34"/>
        <v>423.55928425078554</v>
      </c>
      <c r="AQ51" s="135">
        <f t="shared" si="35"/>
        <v>947.9</v>
      </c>
      <c r="AR51" s="93">
        <f t="shared" si="36"/>
        <v>0.35337493755638566</v>
      </c>
      <c r="AS51" s="137">
        <f t="shared" si="37"/>
        <v>34.490980061187912</v>
      </c>
      <c r="AT51" s="137">
        <f t="shared" si="38"/>
        <v>37.935148112525255</v>
      </c>
      <c r="AU51" s="29">
        <v>3.64</v>
      </c>
      <c r="AV51" s="20">
        <v>24607.870761716913</v>
      </c>
      <c r="AW51" s="37">
        <v>56.962663800270633</v>
      </c>
      <c r="AX51" s="28">
        <v>-24.93</v>
      </c>
      <c r="AY51" s="28">
        <v>1.5649</v>
      </c>
      <c r="AZ51" s="28">
        <v>2.35</v>
      </c>
      <c r="BA51" s="28">
        <v>-26.56</v>
      </c>
      <c r="BB51" s="28">
        <v>0.42555999999999999</v>
      </c>
      <c r="BC51" s="28">
        <v>7.93</v>
      </c>
    </row>
    <row r="52" spans="1:55" x14ac:dyDescent="0.25">
      <c r="A52" s="44" t="s">
        <v>34</v>
      </c>
      <c r="D52" s="121" t="s">
        <v>38</v>
      </c>
      <c r="E52" s="44">
        <v>1999</v>
      </c>
      <c r="F52" s="44">
        <v>1</v>
      </c>
      <c r="G52" s="44">
        <v>4</v>
      </c>
      <c r="H52" s="44">
        <v>3</v>
      </c>
      <c r="I52" s="44">
        <v>151</v>
      </c>
      <c r="J52" s="61"/>
      <c r="K52" s="61"/>
      <c r="L52" s="61"/>
      <c r="M52" s="44" t="s">
        <v>691</v>
      </c>
      <c r="N52" s="32">
        <v>0.5</v>
      </c>
      <c r="P52" s="29">
        <v>1004.29</v>
      </c>
      <c r="Q52" s="135">
        <v>343.37</v>
      </c>
      <c r="R52" s="90">
        <v>923</v>
      </c>
      <c r="S52" s="90">
        <v>333.84000000000003</v>
      </c>
      <c r="T52" s="93">
        <f t="shared" si="20"/>
        <v>0.34190323512132953</v>
      </c>
      <c r="U52" s="93">
        <f t="shared" si="39"/>
        <v>0.36169014084507045</v>
      </c>
      <c r="V52" s="90">
        <v>20</v>
      </c>
      <c r="W52" s="90">
        <v>4.38</v>
      </c>
      <c r="X52" s="90">
        <v>23.45</v>
      </c>
      <c r="Y52" s="90">
        <v>36.46</v>
      </c>
      <c r="Z52" s="90">
        <v>28.8</v>
      </c>
      <c r="AA52" s="90">
        <f t="shared" si="21"/>
        <v>7.66</v>
      </c>
      <c r="AB52" s="90">
        <f t="shared" si="22"/>
        <v>802.67558528428094</v>
      </c>
      <c r="AC52" s="32">
        <v>7.1760000000000002</v>
      </c>
      <c r="AD52" s="32">
        <v>64.290000000000006</v>
      </c>
      <c r="AE52" s="29">
        <f t="shared" si="23"/>
        <v>3.2145000000000001</v>
      </c>
      <c r="AF52" s="95">
        <f t="shared" si="24"/>
        <v>2008.58</v>
      </c>
      <c r="AG52" s="35">
        <f t="shared" si="25"/>
        <v>6.8128791413905737E-2</v>
      </c>
      <c r="AH52" s="35">
        <f t="shared" si="26"/>
        <v>0.36475346088038568</v>
      </c>
      <c r="AI52" s="35">
        <f t="shared" si="27"/>
        <v>0.56711774770570844</v>
      </c>
      <c r="AJ52" s="93">
        <f t="shared" si="28"/>
        <v>0.44797013532431168</v>
      </c>
      <c r="AK52" s="93">
        <f t="shared" si="29"/>
        <v>0.11914761238139679</v>
      </c>
      <c r="AL52" s="135">
        <f t="shared" si="30"/>
        <v>136.84212785814279</v>
      </c>
      <c r="AM52" s="135">
        <f t="shared" si="31"/>
        <v>732.63650645512507</v>
      </c>
      <c r="AN52" s="135">
        <f t="shared" si="32"/>
        <v>1139.1013656867319</v>
      </c>
      <c r="AO52" s="135">
        <f t="shared" si="33"/>
        <v>686.74</v>
      </c>
      <c r="AP52" s="135">
        <f t="shared" si="34"/>
        <v>239.31751127702594</v>
      </c>
      <c r="AQ52" s="135">
        <f t="shared" si="35"/>
        <v>686.74</v>
      </c>
      <c r="AR52" s="93">
        <f t="shared" si="36"/>
        <v>0.34190323512132953</v>
      </c>
      <c r="AS52" s="137">
        <f t="shared" si="37"/>
        <v>94.449136499985457</v>
      </c>
      <c r="AT52" s="137">
        <f t="shared" si="38"/>
        <v>83.81144888428642</v>
      </c>
      <c r="AU52" s="29">
        <v>3.5880000000000001</v>
      </c>
      <c r="AV52" s="20">
        <v>19852.148326845403</v>
      </c>
      <c r="AW52" s="37">
        <v>37.222778112835137</v>
      </c>
      <c r="AX52" s="28">
        <v>-25.37</v>
      </c>
      <c r="AY52" s="28">
        <v>1.3491</v>
      </c>
      <c r="AZ52" s="28">
        <v>3.75</v>
      </c>
      <c r="BA52" s="28">
        <v>-26.69</v>
      </c>
      <c r="BB52" s="28">
        <v>0.56144000000000005</v>
      </c>
      <c r="BC52" s="28">
        <v>7.71</v>
      </c>
    </row>
    <row r="53" spans="1:55" x14ac:dyDescent="0.25">
      <c r="A53" s="44" t="s">
        <v>34</v>
      </c>
      <c r="D53" s="121" t="s">
        <v>43</v>
      </c>
      <c r="E53" s="44">
        <v>2020</v>
      </c>
      <c r="F53" s="44">
        <v>1</v>
      </c>
      <c r="G53" s="44">
        <v>4</v>
      </c>
      <c r="H53" s="44">
        <v>4</v>
      </c>
      <c r="I53" s="44">
        <v>152</v>
      </c>
      <c r="J53" s="61"/>
      <c r="K53" s="61"/>
      <c r="L53" s="61"/>
      <c r="M53" s="44" t="s">
        <v>691</v>
      </c>
      <c r="N53" s="32">
        <v>0.5</v>
      </c>
      <c r="P53" s="29">
        <v>1258.8599999999999</v>
      </c>
      <c r="Q53" s="135">
        <v>503.49</v>
      </c>
      <c r="R53" s="90">
        <v>856</v>
      </c>
      <c r="S53" s="90">
        <v>334.92999999999995</v>
      </c>
      <c r="T53" s="93">
        <f t="shared" si="20"/>
        <v>0.3999571040465183</v>
      </c>
      <c r="U53" s="93">
        <f t="shared" si="39"/>
        <v>0.39127336448598127</v>
      </c>
      <c r="V53" s="90">
        <v>20</v>
      </c>
      <c r="W53" s="90">
        <v>4.38</v>
      </c>
      <c r="X53" s="90">
        <v>18.95</v>
      </c>
      <c r="Y53" s="90">
        <v>39.53</v>
      </c>
      <c r="Z53" s="90">
        <v>30.52</v>
      </c>
      <c r="AA53" s="90">
        <f t="shared" si="21"/>
        <v>9.0100000000000016</v>
      </c>
      <c r="AB53" s="90">
        <f t="shared" si="22"/>
        <v>839.38393839383946</v>
      </c>
      <c r="AC53" s="32">
        <v>7.2719999999999994</v>
      </c>
      <c r="AD53" s="32">
        <v>62.86</v>
      </c>
      <c r="AE53" s="29">
        <f t="shared" si="23"/>
        <v>3.1429999999999998</v>
      </c>
      <c r="AF53" s="95">
        <f t="shared" si="24"/>
        <v>2517.7199999999998</v>
      </c>
      <c r="AG53" s="35">
        <f t="shared" si="25"/>
        <v>6.9678650970410441E-2</v>
      </c>
      <c r="AH53" s="35">
        <f t="shared" si="26"/>
        <v>0.30146356983773465</v>
      </c>
      <c r="AI53" s="35">
        <f t="shared" si="27"/>
        <v>0.62885777919185493</v>
      </c>
      <c r="AJ53" s="93">
        <f t="shared" si="28"/>
        <v>0.48552338530066813</v>
      </c>
      <c r="AK53" s="93">
        <f t="shared" si="29"/>
        <v>0.1433343938911868</v>
      </c>
      <c r="AL53" s="135">
        <f t="shared" si="30"/>
        <v>175.43133312122177</v>
      </c>
      <c r="AM53" s="135">
        <f t="shared" si="31"/>
        <v>759.0008590518612</v>
      </c>
      <c r="AN53" s="135">
        <f t="shared" si="32"/>
        <v>1583.2878078269168</v>
      </c>
      <c r="AO53" s="135">
        <f t="shared" si="33"/>
        <v>1006.98</v>
      </c>
      <c r="AP53" s="135">
        <f t="shared" si="34"/>
        <v>360.87587018771882</v>
      </c>
      <c r="AQ53" s="135">
        <f t="shared" si="35"/>
        <v>1006.98</v>
      </c>
      <c r="AR53" s="93">
        <f t="shared" si="36"/>
        <v>0.3999571040465183</v>
      </c>
      <c r="AS53" s="137">
        <f t="shared" si="37"/>
        <v>33.043357365588172</v>
      </c>
      <c r="AT53" s="137">
        <f t="shared" si="38"/>
        <v>35.996059927235763</v>
      </c>
      <c r="AU53" s="29">
        <v>3.6359999999999997</v>
      </c>
      <c r="AV53" s="20">
        <v>24301.610488917748</v>
      </c>
      <c r="AW53" s="37">
        <v>49.36264630561417</v>
      </c>
      <c r="AX53" s="28">
        <v>-25.45</v>
      </c>
      <c r="AY53" s="28">
        <v>1.4306000000000001</v>
      </c>
      <c r="AZ53" s="28">
        <v>3.57</v>
      </c>
      <c r="BA53" s="28">
        <v>-26.84</v>
      </c>
      <c r="BB53" s="28">
        <v>0.80493999999999999</v>
      </c>
      <c r="BC53" s="28">
        <v>3.68</v>
      </c>
    </row>
    <row r="54" spans="1:55" x14ac:dyDescent="0.25">
      <c r="A54" s="44" t="s">
        <v>24</v>
      </c>
      <c r="D54" s="121" t="s">
        <v>312</v>
      </c>
      <c r="E54" s="44">
        <v>2002</v>
      </c>
      <c r="F54" s="44">
        <v>2</v>
      </c>
      <c r="G54" s="44">
        <v>4</v>
      </c>
      <c r="H54" s="44">
        <v>5</v>
      </c>
      <c r="I54" s="44">
        <v>153</v>
      </c>
      <c r="J54" s="61"/>
      <c r="K54" s="61"/>
      <c r="L54" s="61"/>
      <c r="M54" s="44" t="s">
        <v>691</v>
      </c>
      <c r="N54" s="32">
        <v>0.5</v>
      </c>
      <c r="P54" s="29">
        <v>1227.6400000000001</v>
      </c>
      <c r="Q54" s="135">
        <v>452.04999999999995</v>
      </c>
      <c r="R54" s="90">
        <v>895</v>
      </c>
      <c r="S54" s="90">
        <v>329.12</v>
      </c>
      <c r="T54" s="93">
        <f t="shared" si="20"/>
        <v>0.36822684174513692</v>
      </c>
      <c r="U54" s="93">
        <f t="shared" si="39"/>
        <v>0.36773184357541899</v>
      </c>
      <c r="V54" s="90">
        <v>20</v>
      </c>
      <c r="W54" s="90">
        <v>4.91</v>
      </c>
      <c r="X54" s="90">
        <v>20.350000000000001</v>
      </c>
      <c r="Y54" s="90">
        <v>40.380000000000003</v>
      </c>
      <c r="Z54" s="90">
        <v>30.22</v>
      </c>
      <c r="AA54" s="90">
        <f t="shared" si="21"/>
        <v>10.160000000000004</v>
      </c>
      <c r="AB54" s="90">
        <f t="shared" si="22"/>
        <v>887.77908343125728</v>
      </c>
      <c r="AC54" s="32">
        <v>6.8079999999999998</v>
      </c>
      <c r="AD54" s="32">
        <v>65.640000000000015</v>
      </c>
      <c r="AE54" s="29">
        <f t="shared" si="23"/>
        <v>3.2820000000000009</v>
      </c>
      <c r="AF54" s="95">
        <f t="shared" si="24"/>
        <v>2455.2800000000002</v>
      </c>
      <c r="AG54" s="35">
        <f t="shared" si="25"/>
        <v>7.4801950030469216E-2</v>
      </c>
      <c r="AH54" s="35">
        <f t="shared" si="26"/>
        <v>0.3100243753808653</v>
      </c>
      <c r="AI54" s="35">
        <f t="shared" si="27"/>
        <v>0.61517367458866534</v>
      </c>
      <c r="AJ54" s="93">
        <f t="shared" si="28"/>
        <v>0.46039000609384512</v>
      </c>
      <c r="AK54" s="93">
        <f t="shared" si="29"/>
        <v>0.15478366849482025</v>
      </c>
      <c r="AL54" s="135">
        <f t="shared" si="30"/>
        <v>183.65973187081048</v>
      </c>
      <c r="AM54" s="135">
        <f t="shared" si="31"/>
        <v>761.19664838513097</v>
      </c>
      <c r="AN54" s="135">
        <f t="shared" si="32"/>
        <v>1510.4236197440584</v>
      </c>
      <c r="AO54" s="135">
        <f t="shared" si="33"/>
        <v>904.09999999999991</v>
      </c>
      <c r="AP54" s="135">
        <f t="shared" si="34"/>
        <v>380.03724558196228</v>
      </c>
      <c r="AQ54" s="135">
        <f t="shared" si="35"/>
        <v>904.09999999999991</v>
      </c>
      <c r="AR54" s="93">
        <f t="shared" si="36"/>
        <v>0.36822684174513692</v>
      </c>
      <c r="AS54" s="137">
        <f t="shared" si="37"/>
        <v>45.612211038601949</v>
      </c>
      <c r="AT54" s="137">
        <f t="shared" si="38"/>
        <v>45.808217392720984</v>
      </c>
      <c r="AU54" s="29">
        <v>3.4039999999999999</v>
      </c>
      <c r="AV54" s="20">
        <v>23262.923581057195</v>
      </c>
      <c r="AW54" s="37">
        <v>35.951790988906573</v>
      </c>
      <c r="AX54" s="28">
        <v>-25.37</v>
      </c>
      <c r="AY54" s="28">
        <v>1.4725999999999999</v>
      </c>
      <c r="AZ54" s="28">
        <v>3.21</v>
      </c>
      <c r="BA54" s="28">
        <v>-26.67</v>
      </c>
      <c r="BB54" s="28">
        <v>0.67876999999999998</v>
      </c>
      <c r="BC54" s="28">
        <v>5.17</v>
      </c>
    </row>
    <row r="55" spans="1:55" x14ac:dyDescent="0.25">
      <c r="A55" s="44" t="s">
        <v>24</v>
      </c>
      <c r="D55" s="121" t="s">
        <v>26</v>
      </c>
      <c r="E55" s="44">
        <v>1983</v>
      </c>
      <c r="F55" s="44">
        <v>2</v>
      </c>
      <c r="G55" s="44">
        <v>4</v>
      </c>
      <c r="H55" s="44">
        <v>6</v>
      </c>
      <c r="I55" s="44">
        <v>154</v>
      </c>
      <c r="J55" s="61"/>
      <c r="K55" s="61"/>
      <c r="L55" s="61"/>
      <c r="M55" s="44" t="s">
        <v>691</v>
      </c>
      <c r="N55" s="32">
        <v>0.5</v>
      </c>
      <c r="P55" s="29">
        <v>1070.93</v>
      </c>
      <c r="Q55" s="135">
        <v>341.33</v>
      </c>
      <c r="R55" s="90">
        <v>1078</v>
      </c>
      <c r="S55" s="90">
        <v>393.92999999999995</v>
      </c>
      <c r="T55" s="93">
        <f t="shared" si="20"/>
        <v>0.3187229790929379</v>
      </c>
      <c r="U55" s="93">
        <f t="shared" si="39"/>
        <v>0.36542671614100181</v>
      </c>
      <c r="V55" s="90">
        <v>20</v>
      </c>
      <c r="W55" s="90">
        <v>3.94</v>
      </c>
      <c r="X55" s="90">
        <v>20.83</v>
      </c>
      <c r="Y55" s="90">
        <v>30.16</v>
      </c>
      <c r="Z55" s="90">
        <v>21.74</v>
      </c>
      <c r="AA55" s="90">
        <f t="shared" si="21"/>
        <v>8.4200000000000017</v>
      </c>
      <c r="AB55" s="90">
        <f t="shared" si="22"/>
        <v>653.24519230769215</v>
      </c>
      <c r="AC55" s="32">
        <v>6.6560000000000006</v>
      </c>
      <c r="AD55" s="32">
        <v>54.93</v>
      </c>
      <c r="AE55" s="29">
        <f t="shared" si="23"/>
        <v>2.7465000000000002</v>
      </c>
      <c r="AF55" s="95">
        <f t="shared" si="24"/>
        <v>2141.86</v>
      </c>
      <c r="AG55" s="35">
        <f t="shared" si="25"/>
        <v>7.1727653377025302E-2</v>
      </c>
      <c r="AH55" s="35">
        <f t="shared" si="26"/>
        <v>0.37920990351356271</v>
      </c>
      <c r="AI55" s="35">
        <f t="shared" si="27"/>
        <v>0.54906244310941199</v>
      </c>
      <c r="AJ55" s="93">
        <f t="shared" si="28"/>
        <v>0.39577644274531221</v>
      </c>
      <c r="AK55" s="93">
        <f t="shared" si="29"/>
        <v>0.15328600036409978</v>
      </c>
      <c r="AL55" s="135">
        <f t="shared" si="30"/>
        <v>153.63059166211542</v>
      </c>
      <c r="AM55" s="135">
        <f t="shared" si="31"/>
        <v>812.21452393955951</v>
      </c>
      <c r="AN55" s="135">
        <f t="shared" si="32"/>
        <v>1176.0148843983252</v>
      </c>
      <c r="AO55" s="135">
        <f t="shared" si="33"/>
        <v>682.66</v>
      </c>
      <c r="AP55" s="135">
        <f t="shared" si="34"/>
        <v>328.31715273985077</v>
      </c>
      <c r="AQ55" s="135">
        <f t="shared" si="35"/>
        <v>682.66</v>
      </c>
      <c r="AR55" s="93">
        <f t="shared" si="36"/>
        <v>0.3187229790929379</v>
      </c>
      <c r="AS55" s="137">
        <f t="shared" si="37"/>
        <v>130.82061348255351</v>
      </c>
      <c r="AT55" s="137">
        <f t="shared" si="38"/>
        <v>101.32034773514609</v>
      </c>
      <c r="AU55" s="29">
        <v>3.3280000000000003</v>
      </c>
      <c r="AV55" s="20">
        <v>13836.654776674935</v>
      </c>
      <c r="AW55" s="37">
        <v>15.778641411997732</v>
      </c>
      <c r="AX55" s="28">
        <v>-25.04</v>
      </c>
      <c r="AY55" s="28">
        <v>1.0709</v>
      </c>
      <c r="AZ55" s="28">
        <v>8.0500000000000007</v>
      </c>
      <c r="BA55" s="28">
        <v>-26.8</v>
      </c>
      <c r="BB55" s="28">
        <v>0.67330000000000001</v>
      </c>
      <c r="BC55" s="28">
        <v>6.79</v>
      </c>
    </row>
    <row r="56" spans="1:55" x14ac:dyDescent="0.25">
      <c r="A56" s="44" t="s">
        <v>34</v>
      </c>
      <c r="D56" s="121" t="s">
        <v>36</v>
      </c>
      <c r="E56" s="44">
        <v>1984</v>
      </c>
      <c r="F56" s="44">
        <v>2</v>
      </c>
      <c r="G56" s="44">
        <v>4</v>
      </c>
      <c r="H56" s="44">
        <v>7</v>
      </c>
      <c r="I56" s="44">
        <v>155</v>
      </c>
      <c r="J56" s="61"/>
      <c r="K56" s="61"/>
      <c r="L56" s="61"/>
      <c r="M56" s="44" t="s">
        <v>691</v>
      </c>
      <c r="N56" s="32">
        <v>0.5</v>
      </c>
      <c r="P56" s="29">
        <v>952.06</v>
      </c>
      <c r="Q56" s="135">
        <v>316.02999999999997</v>
      </c>
      <c r="R56" s="90">
        <v>697</v>
      </c>
      <c r="S56" s="90">
        <v>258.70000000000005</v>
      </c>
      <c r="T56" s="93">
        <f t="shared" si="20"/>
        <v>0.33194336491397602</v>
      </c>
      <c r="U56" s="93">
        <f t="shared" si="39"/>
        <v>0.37116212338593979</v>
      </c>
      <c r="V56" s="90">
        <v>20</v>
      </c>
      <c r="W56" s="90">
        <v>4.22</v>
      </c>
      <c r="X56" s="90">
        <v>19.71</v>
      </c>
      <c r="Y56" s="90">
        <v>34.130000000000003</v>
      </c>
      <c r="Z56" s="90">
        <v>25.26</v>
      </c>
      <c r="AA56" s="90">
        <f t="shared" si="21"/>
        <v>8.870000000000001</v>
      </c>
      <c r="AB56" s="90">
        <f t="shared" si="22"/>
        <v>853.37837837837844</v>
      </c>
      <c r="AC56" s="32">
        <v>5.92</v>
      </c>
      <c r="AD56" s="32">
        <v>58.06</v>
      </c>
      <c r="AE56" s="29">
        <f t="shared" si="23"/>
        <v>2.903</v>
      </c>
      <c r="AF56" s="95">
        <f t="shared" si="24"/>
        <v>1904.12</v>
      </c>
      <c r="AG56" s="35">
        <f t="shared" si="25"/>
        <v>7.2683430933517049E-2</v>
      </c>
      <c r="AH56" s="35">
        <f t="shared" si="26"/>
        <v>0.33947640372028937</v>
      </c>
      <c r="AI56" s="35">
        <f t="shared" si="27"/>
        <v>0.58784016534619365</v>
      </c>
      <c r="AJ56" s="93">
        <f t="shared" si="28"/>
        <v>0.43506717189114708</v>
      </c>
      <c r="AK56" s="93">
        <f t="shared" si="29"/>
        <v>0.15277299345504652</v>
      </c>
      <c r="AL56" s="135">
        <f t="shared" si="30"/>
        <v>138.39797450912849</v>
      </c>
      <c r="AM56" s="135">
        <f t="shared" si="31"/>
        <v>646.40380985187733</v>
      </c>
      <c r="AN56" s="135">
        <f t="shared" si="32"/>
        <v>1119.3182156389942</v>
      </c>
      <c r="AO56" s="135">
        <f t="shared" si="33"/>
        <v>632.05999999999995</v>
      </c>
      <c r="AP56" s="135">
        <f t="shared" si="34"/>
        <v>290.89811229762319</v>
      </c>
      <c r="AQ56" s="135">
        <f t="shared" si="35"/>
        <v>632.05999999999995</v>
      </c>
      <c r="AR56" s="93">
        <f t="shared" si="36"/>
        <v>0.33194336491397602</v>
      </c>
      <c r="AS56" s="137">
        <f t="shared" si="37"/>
        <v>63.718634306869639</v>
      </c>
      <c r="AT56" s="137">
        <f t="shared" si="38"/>
        <v>46.419343318698409</v>
      </c>
      <c r="AU56" s="29">
        <v>2.96</v>
      </c>
      <c r="AV56" s="20">
        <v>24402.501675228948</v>
      </c>
      <c r="AW56" s="37">
        <v>38.460464596828231</v>
      </c>
      <c r="AX56" s="28">
        <v>-25.43</v>
      </c>
      <c r="AY56" s="28">
        <v>1.4694</v>
      </c>
      <c r="AZ56" s="28">
        <v>5.76</v>
      </c>
      <c r="BA56" s="28">
        <v>-26.77</v>
      </c>
      <c r="BB56" s="28">
        <v>0.66468000000000005</v>
      </c>
      <c r="BC56" s="28">
        <v>7.17</v>
      </c>
    </row>
    <row r="57" spans="1:55" x14ac:dyDescent="0.25">
      <c r="A57" s="44" t="s">
        <v>34</v>
      </c>
      <c r="D57" s="121" t="s">
        <v>42</v>
      </c>
      <c r="E57" s="44">
        <v>2016</v>
      </c>
      <c r="F57" s="44">
        <v>2</v>
      </c>
      <c r="G57" s="44">
        <v>4</v>
      </c>
      <c r="H57" s="44">
        <v>8</v>
      </c>
      <c r="I57" s="44">
        <v>156</v>
      </c>
      <c r="J57" s="61"/>
      <c r="K57" s="61"/>
      <c r="L57" s="61"/>
      <c r="M57" s="44" t="s">
        <v>691</v>
      </c>
      <c r="N57" s="32">
        <v>0.5</v>
      </c>
      <c r="P57" s="29">
        <v>1132.6600000000001</v>
      </c>
      <c r="Q57" s="135">
        <v>435.94</v>
      </c>
      <c r="R57" s="90">
        <v>938</v>
      </c>
      <c r="S57" s="90">
        <v>368.78</v>
      </c>
      <c r="T57" s="93">
        <f t="shared" si="20"/>
        <v>0.38488160613070116</v>
      </c>
      <c r="U57" s="93">
        <f t="shared" si="39"/>
        <v>0.39315565031982941</v>
      </c>
      <c r="V57" s="90">
        <v>20</v>
      </c>
      <c r="W57" s="90">
        <v>3.75</v>
      </c>
      <c r="X57" s="90">
        <v>21.69</v>
      </c>
      <c r="Y57" s="90">
        <v>39.22</v>
      </c>
      <c r="Z57" s="90">
        <v>30.38</v>
      </c>
      <c r="AA57" s="90">
        <f t="shared" si="21"/>
        <v>8.84</v>
      </c>
      <c r="AB57" s="90">
        <f t="shared" si="22"/>
        <v>827.34204793028334</v>
      </c>
      <c r="AC57" s="32">
        <v>7.3439999999999994</v>
      </c>
      <c r="AD57" s="32">
        <v>64.66</v>
      </c>
      <c r="AE57" s="29">
        <f t="shared" si="23"/>
        <v>3.2329999999999997</v>
      </c>
      <c r="AF57" s="95">
        <f t="shared" si="24"/>
        <v>2265.3200000000002</v>
      </c>
      <c r="AG57" s="35">
        <f t="shared" si="25"/>
        <v>5.7995669656665638E-2</v>
      </c>
      <c r="AH57" s="35">
        <f t="shared" si="26"/>
        <v>0.33544695329415408</v>
      </c>
      <c r="AI57" s="35">
        <f t="shared" si="27"/>
        <v>0.60655737704918034</v>
      </c>
      <c r="AJ57" s="93">
        <f t="shared" si="28"/>
        <v>0.46984225177853389</v>
      </c>
      <c r="AK57" s="93">
        <f t="shared" si="29"/>
        <v>0.13671512527064647</v>
      </c>
      <c r="AL57" s="135">
        <f t="shared" si="30"/>
        <v>131.37875038663782</v>
      </c>
      <c r="AM57" s="135">
        <f t="shared" si="31"/>
        <v>759.89469223631318</v>
      </c>
      <c r="AN57" s="135">
        <f t="shared" si="32"/>
        <v>1374.0465573770493</v>
      </c>
      <c r="AO57" s="135">
        <f t="shared" si="33"/>
        <v>871.88</v>
      </c>
      <c r="AP57" s="135">
        <f t="shared" si="34"/>
        <v>309.70350757810087</v>
      </c>
      <c r="AQ57" s="135">
        <f t="shared" si="35"/>
        <v>871.88</v>
      </c>
      <c r="AR57" s="93">
        <f t="shared" si="36"/>
        <v>0.38488160613070116</v>
      </c>
      <c r="AS57" s="137">
        <f t="shared" si="37"/>
        <v>69.18842042482909</v>
      </c>
      <c r="AT57" s="137">
        <f t="shared" si="38"/>
        <v>65.627814171949197</v>
      </c>
      <c r="AU57" s="29">
        <v>3.6719999999999997</v>
      </c>
      <c r="AV57" s="20">
        <v>21963.618328993751</v>
      </c>
      <c r="AW57" s="37">
        <v>38.532663735076753</v>
      </c>
      <c r="AX57" s="28">
        <v>-25.63</v>
      </c>
      <c r="AY57" s="28">
        <v>1.4051</v>
      </c>
      <c r="AZ57" s="28">
        <v>5.0199999999999996</v>
      </c>
      <c r="BA57" s="28">
        <v>-26.81</v>
      </c>
      <c r="BB57" s="28">
        <v>0.7641</v>
      </c>
      <c r="BC57" s="28">
        <v>5.62</v>
      </c>
    </row>
    <row r="58" spans="1:55" x14ac:dyDescent="0.25">
      <c r="A58" s="44" t="s">
        <v>24</v>
      </c>
      <c r="D58" s="121" t="s">
        <v>27</v>
      </c>
      <c r="E58" s="44">
        <v>1985</v>
      </c>
      <c r="F58" s="44">
        <v>3</v>
      </c>
      <c r="G58" s="44">
        <v>4</v>
      </c>
      <c r="H58" s="44">
        <v>9</v>
      </c>
      <c r="I58" s="44">
        <v>157</v>
      </c>
      <c r="M58" s="44" t="s">
        <v>691</v>
      </c>
      <c r="N58" s="32">
        <v>0.5</v>
      </c>
      <c r="P58" s="29">
        <v>1132</v>
      </c>
      <c r="Q58" s="135">
        <v>383.67999999999995</v>
      </c>
      <c r="R58" s="90">
        <v>1158</v>
      </c>
      <c r="S58" s="90">
        <v>412.86</v>
      </c>
      <c r="T58" s="93">
        <f t="shared" si="20"/>
        <v>0.33893992932862188</v>
      </c>
      <c r="U58" s="93">
        <f t="shared" si="39"/>
        <v>0.35652849740932646</v>
      </c>
      <c r="V58" s="90">
        <v>20</v>
      </c>
      <c r="W58" s="90">
        <v>4.6500000000000004</v>
      </c>
      <c r="X58" s="90">
        <v>22.4</v>
      </c>
      <c r="Y58" s="90">
        <v>37.950000000000003</v>
      </c>
      <c r="Z58" s="90">
        <v>29.34</v>
      </c>
      <c r="AA58" s="90">
        <f t="shared" si="21"/>
        <v>8.610000000000003</v>
      </c>
      <c r="AB58" s="90">
        <f t="shared" si="22"/>
        <v>818.63839285714278</v>
      </c>
      <c r="AC58" s="32">
        <v>7.168000000000001</v>
      </c>
      <c r="AD58" s="32">
        <v>65</v>
      </c>
      <c r="AE58" s="29">
        <f t="shared" si="23"/>
        <v>3.25</v>
      </c>
      <c r="AF58" s="95">
        <f t="shared" si="24"/>
        <v>2264</v>
      </c>
      <c r="AG58" s="35">
        <f t="shared" si="25"/>
        <v>7.1538461538461551E-2</v>
      </c>
      <c r="AH58" s="35">
        <f t="shared" si="26"/>
        <v>0.3446153846153846</v>
      </c>
      <c r="AI58" s="35">
        <f t="shared" si="27"/>
        <v>0.5838461538461539</v>
      </c>
      <c r="AJ58" s="93">
        <f t="shared" si="28"/>
        <v>0.45138461538461538</v>
      </c>
      <c r="AK58" s="93">
        <f t="shared" si="29"/>
        <v>0.13246153846153852</v>
      </c>
      <c r="AL58" s="135">
        <f t="shared" si="30"/>
        <v>161.96307692307695</v>
      </c>
      <c r="AM58" s="135">
        <f t="shared" si="31"/>
        <v>780.20923076923077</v>
      </c>
      <c r="AN58" s="135">
        <f t="shared" si="32"/>
        <v>1321.8276923076924</v>
      </c>
      <c r="AO58" s="135">
        <f t="shared" si="33"/>
        <v>767.3599999999999</v>
      </c>
      <c r="AP58" s="135">
        <f t="shared" si="34"/>
        <v>299.89292307692318</v>
      </c>
      <c r="AQ58" s="135">
        <f t="shared" si="35"/>
        <v>767.3599999999999</v>
      </c>
      <c r="AR58" s="93">
        <f t="shared" si="36"/>
        <v>0.33893992932862188</v>
      </c>
      <c r="AS58" s="137">
        <f t="shared" si="37"/>
        <v>115.21059216013347</v>
      </c>
      <c r="AT58" s="137">
        <f t="shared" si="38"/>
        <v>104.59363957597174</v>
      </c>
      <c r="AU58" s="29">
        <v>3.5840000000000005</v>
      </c>
      <c r="AV58" s="20">
        <v>21414.053426248542</v>
      </c>
      <c r="AW58" s="37">
        <v>40.15135017421602</v>
      </c>
      <c r="AX58" s="28">
        <v>-25.33</v>
      </c>
      <c r="AY58" s="28">
        <v>1.5759000000000001</v>
      </c>
      <c r="AZ58" s="28">
        <v>5.78</v>
      </c>
      <c r="BA58" s="28">
        <v>-26.66</v>
      </c>
      <c r="BB58" s="28">
        <v>1.169</v>
      </c>
      <c r="BC58" s="28">
        <v>6.34</v>
      </c>
    </row>
    <row r="59" spans="1:55" x14ac:dyDescent="0.25">
      <c r="A59" s="44" t="s">
        <v>24</v>
      </c>
      <c r="D59" s="121" t="s">
        <v>311</v>
      </c>
      <c r="E59" s="44">
        <v>2023</v>
      </c>
      <c r="F59" s="44">
        <v>3</v>
      </c>
      <c r="G59" s="44">
        <v>4</v>
      </c>
      <c r="H59" s="44">
        <v>10</v>
      </c>
      <c r="I59" s="44">
        <v>158</v>
      </c>
      <c r="M59" s="44" t="s">
        <v>691</v>
      </c>
      <c r="N59" s="32">
        <v>0.5</v>
      </c>
      <c r="P59" s="29">
        <v>1234.2</v>
      </c>
      <c r="Q59" s="135">
        <v>497.34</v>
      </c>
      <c r="R59" s="90">
        <v>1155</v>
      </c>
      <c r="S59" s="90">
        <v>469.63</v>
      </c>
      <c r="T59" s="93">
        <f t="shared" si="20"/>
        <v>0.40296548371414675</v>
      </c>
      <c r="U59" s="93">
        <f t="shared" si="39"/>
        <v>0.40660606060606058</v>
      </c>
      <c r="V59" s="90">
        <v>20</v>
      </c>
      <c r="W59" s="90">
        <v>3.88</v>
      </c>
      <c r="X59" s="90">
        <v>24.48</v>
      </c>
      <c r="Y59" s="90">
        <v>45.84</v>
      </c>
      <c r="Z59" s="90">
        <v>37.15</v>
      </c>
      <c r="AA59" s="90">
        <f t="shared" si="21"/>
        <v>8.6900000000000048</v>
      </c>
      <c r="AB59" s="90">
        <f t="shared" si="22"/>
        <v>932.47991967871485</v>
      </c>
      <c r="AC59" s="32">
        <v>7.968</v>
      </c>
      <c r="AD59" s="32">
        <v>74.2</v>
      </c>
      <c r="AE59" s="29">
        <f t="shared" si="23"/>
        <v>3.71</v>
      </c>
      <c r="AF59" s="95">
        <f t="shared" si="24"/>
        <v>2468.4</v>
      </c>
      <c r="AG59" s="35">
        <f t="shared" si="25"/>
        <v>5.2291105121293799E-2</v>
      </c>
      <c r="AH59" s="35">
        <f t="shared" si="26"/>
        <v>0.32991913746630724</v>
      </c>
      <c r="AI59" s="35">
        <f t="shared" si="27"/>
        <v>0.61778975741239894</v>
      </c>
      <c r="AJ59" s="93">
        <f t="shared" si="28"/>
        <v>0.50067385444743928</v>
      </c>
      <c r="AK59" s="93">
        <f t="shared" si="29"/>
        <v>0.11711590296495963</v>
      </c>
      <c r="AL59" s="135">
        <f t="shared" si="30"/>
        <v>129.07536388140161</v>
      </c>
      <c r="AM59" s="135">
        <f t="shared" si="31"/>
        <v>814.37239892183288</v>
      </c>
      <c r="AN59" s="135">
        <f t="shared" si="32"/>
        <v>1524.9522371967655</v>
      </c>
      <c r="AO59" s="135">
        <f t="shared" si="33"/>
        <v>994.68</v>
      </c>
      <c r="AP59" s="135">
        <f t="shared" si="34"/>
        <v>289.08889487870636</v>
      </c>
      <c r="AQ59" s="135">
        <f t="shared" si="35"/>
        <v>994.68</v>
      </c>
      <c r="AR59" s="93">
        <f t="shared" si="36"/>
        <v>0.40296548371414675</v>
      </c>
      <c r="AS59" s="137">
        <f t="shared" si="37"/>
        <v>88.856717738368118</v>
      </c>
      <c r="AT59" s="137">
        <f t="shared" si="38"/>
        <v>87.16577540106951</v>
      </c>
      <c r="AU59" s="29">
        <v>3.984</v>
      </c>
      <c r="AV59" s="20">
        <v>19230.465167757648</v>
      </c>
      <c r="AW59" s="37">
        <v>23.286891414081527</v>
      </c>
      <c r="AX59" s="28">
        <v>-25.34</v>
      </c>
      <c r="AY59" s="28">
        <v>1.4976</v>
      </c>
      <c r="AZ59" s="28">
        <v>6.96</v>
      </c>
      <c r="BA59" s="28">
        <v>-26.79</v>
      </c>
      <c r="BB59" s="28">
        <v>0.16569</v>
      </c>
      <c r="BC59" s="28">
        <v>6.39</v>
      </c>
    </row>
    <row r="60" spans="1:55" x14ac:dyDescent="0.25">
      <c r="A60" s="44" t="s">
        <v>34</v>
      </c>
      <c r="D60" s="121" t="s">
        <v>41</v>
      </c>
      <c r="E60" s="44">
        <v>2008</v>
      </c>
      <c r="F60" s="44">
        <v>3</v>
      </c>
      <c r="G60" s="44">
        <v>4</v>
      </c>
      <c r="H60" s="44">
        <v>11</v>
      </c>
      <c r="I60" s="44">
        <v>159</v>
      </c>
      <c r="M60" s="44" t="s">
        <v>691</v>
      </c>
      <c r="N60" s="32">
        <v>0.5</v>
      </c>
      <c r="P60" s="29">
        <v>1153.3499999999999</v>
      </c>
      <c r="Q60" s="135">
        <v>386.82</v>
      </c>
      <c r="R60" s="90">
        <v>885</v>
      </c>
      <c r="S60" s="90">
        <v>321.63</v>
      </c>
      <c r="T60" s="93">
        <f t="shared" si="20"/>
        <v>0.33538821693328136</v>
      </c>
      <c r="U60" s="93">
        <f t="shared" si="39"/>
        <v>0.36342372881355933</v>
      </c>
      <c r="V60" s="90">
        <v>20</v>
      </c>
      <c r="W60" s="90">
        <v>3.32</v>
      </c>
      <c r="X60" s="90">
        <v>18.649999999999999</v>
      </c>
      <c r="Y60" s="90">
        <v>29.38</v>
      </c>
      <c r="Z60" s="90">
        <v>20.21</v>
      </c>
      <c r="AA60" s="90">
        <f t="shared" si="21"/>
        <v>9.1699999999999982</v>
      </c>
      <c r="AB60" s="90">
        <f t="shared" si="22"/>
        <v>626.86104218362277</v>
      </c>
      <c r="AC60" s="32">
        <v>6.4480000000000013</v>
      </c>
      <c r="AD60" s="32">
        <v>51.349999999999994</v>
      </c>
      <c r="AE60" s="29">
        <f t="shared" si="23"/>
        <v>2.5674999999999999</v>
      </c>
      <c r="AF60" s="95">
        <f t="shared" si="24"/>
        <v>2306.6999999999998</v>
      </c>
      <c r="AG60" s="35">
        <f t="shared" si="25"/>
        <v>6.4654333008763387E-2</v>
      </c>
      <c r="AH60" s="35">
        <f t="shared" si="26"/>
        <v>0.3631937682570594</v>
      </c>
      <c r="AI60" s="35">
        <f t="shared" si="27"/>
        <v>0.57215189873417727</v>
      </c>
      <c r="AJ60" s="93">
        <f t="shared" si="28"/>
        <v>0.39357351509250249</v>
      </c>
      <c r="AK60" s="93">
        <f t="shared" si="29"/>
        <v>0.17857838364167478</v>
      </c>
      <c r="AL60" s="135">
        <f t="shared" si="30"/>
        <v>149.13814995131449</v>
      </c>
      <c r="AM60" s="135">
        <f t="shared" si="31"/>
        <v>837.77906523855881</v>
      </c>
      <c r="AN60" s="135">
        <f t="shared" si="32"/>
        <v>1319.7827848101265</v>
      </c>
      <c r="AO60" s="135">
        <f t="shared" si="33"/>
        <v>773.64</v>
      </c>
      <c r="AP60" s="135">
        <f t="shared" si="34"/>
        <v>411.92675754625117</v>
      </c>
      <c r="AQ60" s="135">
        <f t="shared" si="35"/>
        <v>773.64</v>
      </c>
      <c r="AR60" s="93">
        <f t="shared" si="36"/>
        <v>0.33538821693328136</v>
      </c>
      <c r="AS60" s="137">
        <f t="shared" si="37"/>
        <v>66.294400496354896</v>
      </c>
      <c r="AT60" s="137">
        <f t="shared" si="38"/>
        <v>53.46599037586163</v>
      </c>
      <c r="AU60" s="29">
        <v>3.2240000000000006</v>
      </c>
      <c r="AV60" s="20">
        <v>22587.649083486747</v>
      </c>
      <c r="AW60" s="37">
        <v>39.214668547720045</v>
      </c>
      <c r="AX60" s="28">
        <v>-25.7</v>
      </c>
      <c r="AY60" s="28">
        <v>1.5311999999999999</v>
      </c>
      <c r="AZ60" s="28">
        <v>4.22</v>
      </c>
      <c r="BA60" s="28">
        <v>-26.95</v>
      </c>
      <c r="BB60" s="28">
        <v>0.87941999999999998</v>
      </c>
      <c r="BC60" s="28">
        <v>3.55</v>
      </c>
    </row>
    <row r="61" spans="1:55" x14ac:dyDescent="0.25">
      <c r="A61" s="44" t="s">
        <v>34</v>
      </c>
      <c r="D61" s="121" t="s">
        <v>37</v>
      </c>
      <c r="E61" s="44">
        <v>1989</v>
      </c>
      <c r="F61" s="44">
        <v>3</v>
      </c>
      <c r="G61" s="44">
        <v>4</v>
      </c>
      <c r="H61" s="44">
        <v>12</v>
      </c>
      <c r="I61" s="44">
        <v>160</v>
      </c>
      <c r="M61" s="44" t="s">
        <v>691</v>
      </c>
      <c r="N61" s="32">
        <v>0.5</v>
      </c>
      <c r="P61" s="29">
        <v>1031.33</v>
      </c>
      <c r="Q61" s="135">
        <v>382.29999999999995</v>
      </c>
      <c r="R61" s="90">
        <v>998</v>
      </c>
      <c r="S61" s="90">
        <v>387.6</v>
      </c>
      <c r="T61" s="93">
        <f t="shared" si="20"/>
        <v>0.37068639523721797</v>
      </c>
      <c r="U61" s="93">
        <f t="shared" si="39"/>
        <v>0.38837675350701406</v>
      </c>
      <c r="V61" s="90">
        <v>20</v>
      </c>
      <c r="W61" s="90">
        <v>3.07</v>
      </c>
      <c r="X61" s="90">
        <v>17.34</v>
      </c>
      <c r="Y61" s="90">
        <v>33.92</v>
      </c>
      <c r="Z61" s="90">
        <v>25.97</v>
      </c>
      <c r="AA61" s="90">
        <f t="shared" si="21"/>
        <v>7.9500000000000028</v>
      </c>
      <c r="AB61" s="90">
        <f t="shared" si="22"/>
        <v>779.41176470588232</v>
      </c>
      <c r="AC61" s="32">
        <v>6.6640000000000006</v>
      </c>
      <c r="AD61" s="32">
        <v>54.33</v>
      </c>
      <c r="AE61" s="29">
        <f t="shared" si="23"/>
        <v>2.7164999999999999</v>
      </c>
      <c r="AF61" s="95">
        <f t="shared" si="24"/>
        <v>2062.66</v>
      </c>
      <c r="AG61" s="35">
        <f t="shared" si="25"/>
        <v>5.6506534143198971E-2</v>
      </c>
      <c r="AH61" s="35">
        <f t="shared" si="26"/>
        <v>0.31916068470458309</v>
      </c>
      <c r="AI61" s="35">
        <f t="shared" si="27"/>
        <v>0.62433278115221802</v>
      </c>
      <c r="AJ61" s="93">
        <f t="shared" si="28"/>
        <v>0.47800478556966686</v>
      </c>
      <c r="AK61" s="93">
        <f t="shared" si="29"/>
        <v>0.14632799558255113</v>
      </c>
      <c r="AL61" s="135">
        <f t="shared" si="30"/>
        <v>116.55376771581078</v>
      </c>
      <c r="AM61" s="135">
        <f t="shared" si="31"/>
        <v>658.31997791275535</v>
      </c>
      <c r="AN61" s="135">
        <f t="shared" si="32"/>
        <v>1287.7862543714339</v>
      </c>
      <c r="AO61" s="135">
        <f t="shared" si="33"/>
        <v>764.59999999999991</v>
      </c>
      <c r="AP61" s="135">
        <f t="shared" si="34"/>
        <v>301.82490336830489</v>
      </c>
      <c r="AQ61" s="135">
        <f t="shared" si="35"/>
        <v>764.59999999999991</v>
      </c>
      <c r="AR61" s="93">
        <f t="shared" si="36"/>
        <v>0.37068639523721797</v>
      </c>
      <c r="AS61" s="137">
        <f t="shared" si="37"/>
        <v>102.77269160345281</v>
      </c>
      <c r="AT61" s="137">
        <f t="shared" si="38"/>
        <v>93.536501410799659</v>
      </c>
      <c r="AU61" s="29">
        <v>3.3320000000000003</v>
      </c>
      <c r="AV61" s="20">
        <v>22496.803599488576</v>
      </c>
      <c r="AW61" s="37">
        <v>47.493252043364777</v>
      </c>
      <c r="AX61" s="28">
        <v>-25.5</v>
      </c>
      <c r="AY61" s="28">
        <v>1.4504999999999999</v>
      </c>
      <c r="AZ61" s="28">
        <v>4.9800000000000004</v>
      </c>
      <c r="BA61" s="28">
        <v>-26.73</v>
      </c>
      <c r="BB61" s="28">
        <v>0.63846000000000003</v>
      </c>
      <c r="BC61" s="28">
        <v>6.37</v>
      </c>
    </row>
    <row r="62" spans="1:55" x14ac:dyDescent="0.25">
      <c r="A62" s="44" t="s">
        <v>24</v>
      </c>
      <c r="D62" s="121" t="s">
        <v>28</v>
      </c>
      <c r="E62" s="44">
        <v>1998</v>
      </c>
      <c r="F62" s="44">
        <v>4</v>
      </c>
      <c r="G62" s="44">
        <v>4</v>
      </c>
      <c r="H62" s="44">
        <v>13</v>
      </c>
      <c r="I62" s="44">
        <v>161</v>
      </c>
      <c r="M62" s="44" t="s">
        <v>691</v>
      </c>
      <c r="N62" s="32">
        <v>0.5</v>
      </c>
      <c r="P62" s="29">
        <v>1175.04</v>
      </c>
      <c r="Q62" s="135">
        <v>379.49</v>
      </c>
      <c r="R62" s="90">
        <v>1035</v>
      </c>
      <c r="S62" s="90">
        <v>352.16999999999996</v>
      </c>
      <c r="T62" s="93">
        <f t="shared" si="20"/>
        <v>0.32295921840958608</v>
      </c>
      <c r="U62" s="93">
        <f t="shared" si="39"/>
        <v>0.34026086956521734</v>
      </c>
      <c r="V62" s="90">
        <v>20</v>
      </c>
      <c r="W62" s="90">
        <v>4.13</v>
      </c>
      <c r="X62" s="90">
        <v>19.190000000000001</v>
      </c>
      <c r="Y62" s="90">
        <v>31.72</v>
      </c>
      <c r="Z62" s="90">
        <v>23.8</v>
      </c>
      <c r="AA62" s="90">
        <f t="shared" si="21"/>
        <v>7.9199999999999982</v>
      </c>
      <c r="AB62" s="90">
        <f t="shared" si="22"/>
        <v>712.57485029940119</v>
      </c>
      <c r="AC62" s="32">
        <v>6.68</v>
      </c>
      <c r="AD62" s="32">
        <v>55.040000000000006</v>
      </c>
      <c r="AE62" s="29">
        <f t="shared" si="23"/>
        <v>2.7520000000000002</v>
      </c>
      <c r="AF62" s="95">
        <f t="shared" si="24"/>
        <v>2350.08</v>
      </c>
      <c r="AG62" s="35">
        <f t="shared" si="25"/>
        <v>7.503633720930232E-2</v>
      </c>
      <c r="AH62" s="35">
        <f t="shared" si="26"/>
        <v>0.34865552325581395</v>
      </c>
      <c r="AI62" s="35">
        <f t="shared" si="27"/>
        <v>0.57630813953488369</v>
      </c>
      <c r="AJ62" s="93">
        <f t="shared" si="28"/>
        <v>0.43241279069767441</v>
      </c>
      <c r="AK62" s="93">
        <f t="shared" si="29"/>
        <v>0.14389534883720925</v>
      </c>
      <c r="AL62" s="135">
        <f t="shared" si="30"/>
        <v>176.34139534883718</v>
      </c>
      <c r="AM62" s="135">
        <f t="shared" si="31"/>
        <v>819.36837209302325</v>
      </c>
      <c r="AN62" s="135">
        <f t="shared" si="32"/>
        <v>1354.3702325581394</v>
      </c>
      <c r="AO62" s="135">
        <f t="shared" si="33"/>
        <v>758.98</v>
      </c>
      <c r="AP62" s="135">
        <f t="shared" si="34"/>
        <v>338.16558139534874</v>
      </c>
      <c r="AQ62" s="135">
        <f t="shared" si="35"/>
        <v>758.98</v>
      </c>
      <c r="AR62" s="93">
        <f t="shared" si="36"/>
        <v>0.32295921840958608</v>
      </c>
      <c r="AS62" s="137">
        <f t="shared" si="37"/>
        <v>85.601728635800654</v>
      </c>
      <c r="AT62" s="137">
        <f t="shared" si="38"/>
        <v>76.164215686274517</v>
      </c>
      <c r="AU62" s="29">
        <v>3.34</v>
      </c>
      <c r="AV62" s="20">
        <v>24895.091706351082</v>
      </c>
      <c r="AW62" s="37">
        <v>33.756056550984518</v>
      </c>
      <c r="AX62" s="28">
        <v>-25.06</v>
      </c>
      <c r="AY62" s="28">
        <v>1.4893000000000001</v>
      </c>
      <c r="AZ62" s="28">
        <v>7.81</v>
      </c>
      <c r="BA62" s="28">
        <v>-26.82</v>
      </c>
      <c r="BB62" s="28">
        <v>0.89622000000000002</v>
      </c>
      <c r="BC62" s="28">
        <v>4.9400000000000004</v>
      </c>
    </row>
    <row r="63" spans="1:55" x14ac:dyDescent="0.25">
      <c r="A63" s="44" t="s">
        <v>24</v>
      </c>
      <c r="D63" s="121" t="s">
        <v>313</v>
      </c>
      <c r="E63" s="44">
        <v>2016</v>
      </c>
      <c r="F63" s="44">
        <v>4</v>
      </c>
      <c r="G63" s="44">
        <v>4</v>
      </c>
      <c r="H63" s="44">
        <v>14</v>
      </c>
      <c r="I63" s="44">
        <v>162</v>
      </c>
      <c r="M63" s="44" t="s">
        <v>691</v>
      </c>
      <c r="N63" s="32">
        <v>0.5</v>
      </c>
      <c r="P63" s="29">
        <v>975.04</v>
      </c>
      <c r="Q63" s="135">
        <v>312.27</v>
      </c>
      <c r="R63" s="90">
        <v>991</v>
      </c>
      <c r="S63" s="90">
        <v>341.45000000000005</v>
      </c>
      <c r="T63" s="93">
        <f t="shared" si="20"/>
        <v>0.32026378404988515</v>
      </c>
      <c r="U63" s="93">
        <f t="shared" si="39"/>
        <v>0.3445509586276489</v>
      </c>
      <c r="V63" s="90">
        <v>20</v>
      </c>
      <c r="W63" s="90">
        <v>6.74</v>
      </c>
      <c r="X63" s="90">
        <v>22.03</v>
      </c>
      <c r="Y63" s="90">
        <v>41.27</v>
      </c>
      <c r="Z63" s="90">
        <v>30.64</v>
      </c>
      <c r="AA63" s="90">
        <f t="shared" si="21"/>
        <v>10.630000000000003</v>
      </c>
      <c r="AB63" s="90">
        <f t="shared" si="22"/>
        <v>821.00750267952844</v>
      </c>
      <c r="AC63" s="32">
        <v>7.4639999999999995</v>
      </c>
      <c r="AD63" s="32">
        <v>70.040000000000006</v>
      </c>
      <c r="AE63" s="29">
        <f t="shared" si="23"/>
        <v>3.5020000000000002</v>
      </c>
      <c r="AF63" s="95">
        <f t="shared" si="24"/>
        <v>1950.08</v>
      </c>
      <c r="AG63" s="35">
        <f t="shared" si="25"/>
        <v>9.6230725299828665E-2</v>
      </c>
      <c r="AH63" s="35">
        <f t="shared" si="26"/>
        <v>0.31453455168475158</v>
      </c>
      <c r="AI63" s="35">
        <f t="shared" si="27"/>
        <v>0.58923472301541979</v>
      </c>
      <c r="AJ63" s="93">
        <f t="shared" si="28"/>
        <v>0.43746430611079379</v>
      </c>
      <c r="AK63" s="93">
        <f t="shared" si="29"/>
        <v>0.15177041690462595</v>
      </c>
      <c r="AL63" s="135">
        <f t="shared" si="30"/>
        <v>187.65761279268989</v>
      </c>
      <c r="AM63" s="135">
        <f t="shared" si="31"/>
        <v>613.36753854940036</v>
      </c>
      <c r="AN63" s="135">
        <f t="shared" si="32"/>
        <v>1149.0548486579098</v>
      </c>
      <c r="AO63" s="135">
        <f t="shared" si="33"/>
        <v>624.54</v>
      </c>
      <c r="AP63" s="135">
        <f t="shared" si="34"/>
        <v>295.96445459737294</v>
      </c>
      <c r="AQ63" s="135">
        <f t="shared" si="35"/>
        <v>624.54</v>
      </c>
      <c r="AR63" s="93">
        <f t="shared" si="36"/>
        <v>0.32026378404988515</v>
      </c>
      <c r="AS63" s="137">
        <f t="shared" si="37"/>
        <v>118.68895507093227</v>
      </c>
      <c r="AT63" s="137">
        <f t="shared" si="38"/>
        <v>103.27371184771907</v>
      </c>
      <c r="AU63" s="29">
        <v>3.7319999999999998</v>
      </c>
      <c r="AV63" s="20">
        <v>18905.561510063122</v>
      </c>
      <c r="AW63" s="37">
        <v>41.534945741805338</v>
      </c>
      <c r="AX63" s="28">
        <v>-25.57</v>
      </c>
      <c r="AY63" s="28">
        <v>1.3557999999999999</v>
      </c>
      <c r="AZ63" s="28">
        <v>4.66</v>
      </c>
      <c r="BA63" s="28">
        <v>-26.71</v>
      </c>
      <c r="BB63" s="28">
        <v>0.65969</v>
      </c>
      <c r="BC63" s="28">
        <v>5.74</v>
      </c>
    </row>
    <row r="64" spans="1:55" x14ac:dyDescent="0.25">
      <c r="A64" s="44" t="s">
        <v>34</v>
      </c>
      <c r="D64" s="121" t="s">
        <v>318</v>
      </c>
      <c r="E64" s="44">
        <v>2004</v>
      </c>
      <c r="F64" s="44">
        <v>4</v>
      </c>
      <c r="G64" s="44">
        <v>4</v>
      </c>
      <c r="H64" s="44">
        <v>15</v>
      </c>
      <c r="I64" s="44">
        <v>163</v>
      </c>
      <c r="M64" s="44" t="s">
        <v>691</v>
      </c>
      <c r="N64" s="32">
        <v>0.5</v>
      </c>
      <c r="P64" s="29">
        <v>1042.67</v>
      </c>
      <c r="Q64" s="135">
        <v>356.54</v>
      </c>
      <c r="R64" s="90">
        <v>977</v>
      </c>
      <c r="S64" s="90">
        <v>370.04999999999995</v>
      </c>
      <c r="T64" s="93">
        <f t="shared" si="20"/>
        <v>0.34194903468978677</v>
      </c>
      <c r="U64" s="93">
        <f t="shared" si="39"/>
        <v>0.37876151484135101</v>
      </c>
      <c r="V64" s="90">
        <v>20</v>
      </c>
      <c r="W64" s="90">
        <v>2.89</v>
      </c>
      <c r="X64" s="90">
        <v>19.82</v>
      </c>
      <c r="Y64" s="90">
        <v>32.96</v>
      </c>
      <c r="Z64" s="90">
        <v>25.49</v>
      </c>
      <c r="AA64" s="90">
        <f t="shared" si="21"/>
        <v>7.4700000000000024</v>
      </c>
      <c r="AB64" s="90">
        <f t="shared" si="22"/>
        <v>730.79128440366969</v>
      </c>
      <c r="AC64" s="32">
        <v>6.976</v>
      </c>
      <c r="AD64" s="32">
        <v>55.67</v>
      </c>
      <c r="AE64" s="29">
        <f t="shared" si="23"/>
        <v>2.7835000000000001</v>
      </c>
      <c r="AF64" s="95">
        <f t="shared" si="24"/>
        <v>2085.34</v>
      </c>
      <c r="AG64" s="35">
        <f t="shared" si="25"/>
        <v>5.1913059098257587E-2</v>
      </c>
      <c r="AH64" s="35">
        <f t="shared" si="26"/>
        <v>0.3560265852344171</v>
      </c>
      <c r="AI64" s="35">
        <f t="shared" si="27"/>
        <v>0.59206035566732529</v>
      </c>
      <c r="AJ64" s="93">
        <f t="shared" si="28"/>
        <v>0.45787677384587744</v>
      </c>
      <c r="AK64" s="93">
        <f t="shared" si="29"/>
        <v>0.13418358182144785</v>
      </c>
      <c r="AL64" s="135">
        <f t="shared" si="30"/>
        <v>108.25637865996049</v>
      </c>
      <c r="AM64" s="135">
        <f t="shared" si="31"/>
        <v>742.43647925273945</v>
      </c>
      <c r="AN64" s="135">
        <f t="shared" si="32"/>
        <v>1234.6471420873002</v>
      </c>
      <c r="AO64" s="135">
        <f t="shared" si="33"/>
        <v>713.08</v>
      </c>
      <c r="AP64" s="135">
        <f t="shared" si="34"/>
        <v>279.81839051553806</v>
      </c>
      <c r="AQ64" s="135">
        <f t="shared" si="35"/>
        <v>713.08</v>
      </c>
      <c r="AR64" s="93">
        <f t="shared" si="36"/>
        <v>0.34194903468978677</v>
      </c>
      <c r="AS64" s="137">
        <f t="shared" si="37"/>
        <v>107.57839232624666</v>
      </c>
      <c r="AT64" s="137">
        <f t="shared" si="38"/>
        <v>87.403492955585179</v>
      </c>
      <c r="AU64" s="29">
        <v>3.488</v>
      </c>
      <c r="AV64" s="20">
        <v>22201.266206687385</v>
      </c>
      <c r="AW64" s="37">
        <v>33.301899310031075</v>
      </c>
      <c r="AX64" s="28">
        <v>-25.39</v>
      </c>
      <c r="AY64" s="28">
        <v>1.5697000000000001</v>
      </c>
      <c r="AZ64" s="28">
        <v>6.15</v>
      </c>
      <c r="BA64" s="28">
        <v>-26.72</v>
      </c>
      <c r="BB64" s="28">
        <v>1.4029</v>
      </c>
      <c r="BC64" s="28">
        <v>5.17</v>
      </c>
    </row>
    <row r="65" spans="1:55" x14ac:dyDescent="0.25">
      <c r="A65" s="44" t="s">
        <v>34</v>
      </c>
      <c r="D65" s="121" t="s">
        <v>39</v>
      </c>
      <c r="E65" s="44">
        <v>2001</v>
      </c>
      <c r="F65" s="44">
        <v>4</v>
      </c>
      <c r="G65" s="44">
        <v>4</v>
      </c>
      <c r="H65" s="44">
        <v>16</v>
      </c>
      <c r="I65" s="44">
        <v>164</v>
      </c>
      <c r="M65" s="44" t="s">
        <v>691</v>
      </c>
      <c r="N65" s="32">
        <v>0.5</v>
      </c>
      <c r="P65" s="29">
        <v>1099.83</v>
      </c>
      <c r="Q65" s="135">
        <v>358.5</v>
      </c>
      <c r="R65" s="90">
        <v>887</v>
      </c>
      <c r="S65" s="90">
        <v>309.90999999999997</v>
      </c>
      <c r="T65" s="93">
        <f t="shared" si="20"/>
        <v>0.32595946646299884</v>
      </c>
      <c r="U65" s="93">
        <f t="shared" si="39"/>
        <v>0.34939120631341597</v>
      </c>
      <c r="V65" s="90">
        <v>20</v>
      </c>
      <c r="W65" s="90">
        <v>3.92</v>
      </c>
      <c r="X65" s="90">
        <v>14.809999999999999</v>
      </c>
      <c r="Y65" s="90">
        <v>28.1</v>
      </c>
      <c r="Z65" s="90">
        <v>19.760000000000002</v>
      </c>
      <c r="AA65" s="90">
        <f t="shared" si="21"/>
        <v>8.34</v>
      </c>
      <c r="AB65" s="90">
        <f t="shared" si="22"/>
        <v>573.08584686774952</v>
      </c>
      <c r="AC65" s="32">
        <v>6.895999999999999</v>
      </c>
      <c r="AD65" s="32">
        <v>46.83</v>
      </c>
      <c r="AE65" s="29">
        <f t="shared" si="23"/>
        <v>2.3414999999999999</v>
      </c>
      <c r="AF65" s="95">
        <f t="shared" si="24"/>
        <v>2199.66</v>
      </c>
      <c r="AG65" s="35">
        <f t="shared" si="25"/>
        <v>8.3707025411061287E-2</v>
      </c>
      <c r="AH65" s="35">
        <f t="shared" si="26"/>
        <v>0.31625026692291264</v>
      </c>
      <c r="AI65" s="35">
        <f t="shared" si="27"/>
        <v>0.60004270766602608</v>
      </c>
      <c r="AJ65" s="93">
        <f t="shared" si="28"/>
        <v>0.42195174033739064</v>
      </c>
      <c r="AK65" s="93">
        <f t="shared" si="29"/>
        <v>0.1780909673286355</v>
      </c>
      <c r="AL65" s="135">
        <f t="shared" si="30"/>
        <v>184.12699551569506</v>
      </c>
      <c r="AM65" s="135">
        <f t="shared" si="31"/>
        <v>695.64306213965392</v>
      </c>
      <c r="AN65" s="135">
        <f t="shared" si="32"/>
        <v>1319.8899423446508</v>
      </c>
      <c r="AO65" s="135">
        <f t="shared" si="33"/>
        <v>717</v>
      </c>
      <c r="AP65" s="135">
        <f t="shared" si="34"/>
        <v>391.73957719410635</v>
      </c>
      <c r="AQ65" s="135">
        <f t="shared" si="35"/>
        <v>717</v>
      </c>
      <c r="AR65" s="93">
        <f t="shared" si="36"/>
        <v>0.32595946646299884</v>
      </c>
      <c r="AS65" s="137">
        <f t="shared" si="37"/>
        <v>72.89260808926079</v>
      </c>
      <c r="AT65" s="137">
        <f t="shared" si="38"/>
        <v>61.297655092150606</v>
      </c>
      <c r="AU65" s="29">
        <v>3.4479999999999995</v>
      </c>
      <c r="AV65" s="20">
        <v>21527.738479240943</v>
      </c>
      <c r="AW65" s="37">
        <v>34.171013459112608</v>
      </c>
      <c r="AX65" s="28">
        <v>-24.93</v>
      </c>
      <c r="AY65" s="28">
        <v>1.3734999999999999</v>
      </c>
      <c r="AZ65" s="28">
        <v>6.9</v>
      </c>
      <c r="BA65" s="28">
        <v>-26.81</v>
      </c>
      <c r="BB65" s="28">
        <v>1.1947000000000001</v>
      </c>
      <c r="BC65" s="28">
        <v>3.95</v>
      </c>
    </row>
    <row r="90" spans="10:12" x14ac:dyDescent="0.25">
      <c r="J90" s="55"/>
      <c r="K90" s="55"/>
      <c r="L90" s="55"/>
    </row>
    <row r="154" spans="10:12" x14ac:dyDescent="0.25">
      <c r="J154" s="55"/>
      <c r="K154" s="55"/>
      <c r="L154" s="55"/>
    </row>
    <row r="218" spans="10:12" x14ac:dyDescent="0.25">
      <c r="J218" s="55"/>
      <c r="K218" s="55"/>
      <c r="L218" s="55"/>
    </row>
    <row r="282" spans="10:12" x14ac:dyDescent="0.25">
      <c r="J282" s="55"/>
      <c r="K282" s="55"/>
      <c r="L282" s="55"/>
    </row>
    <row r="346" spans="10:12" x14ac:dyDescent="0.25">
      <c r="J346" s="55"/>
      <c r="K346" s="55"/>
      <c r="L346" s="55"/>
    </row>
    <row r="410" spans="10:12" x14ac:dyDescent="0.25">
      <c r="J410" s="55"/>
      <c r="K410" s="55"/>
      <c r="L410" s="55"/>
    </row>
    <row r="474" spans="10:12" x14ac:dyDescent="0.25">
      <c r="J474" s="55"/>
      <c r="K474" s="55"/>
      <c r="L474" s="55"/>
    </row>
  </sheetData>
  <sortState xmlns:xlrd2="http://schemas.microsoft.com/office/spreadsheetml/2017/richdata2" ref="A2:BC65">
    <sortCondition ref="I2:I65"/>
  </sortState>
  <phoneticPr fontId="6" type="noConversion"/>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3B75-707E-48D2-A571-BFDFDE3171C1}">
  <sheetPr>
    <tabColor theme="9" tint="0.39997558519241921"/>
  </sheetPr>
  <dimension ref="A1:AH474"/>
  <sheetViews>
    <sheetView workbookViewId="0"/>
  </sheetViews>
  <sheetFormatPr defaultRowHeight="15" x14ac:dyDescent="0.25"/>
  <cols>
    <col min="1" max="11" width="9.140625" style="6"/>
    <col min="12" max="12" width="10.5703125" style="32" bestFit="1" customWidth="1"/>
    <col min="13" max="16" width="13.42578125" style="32" customWidth="1"/>
    <col min="17" max="17" width="9.5703125" style="32" customWidth="1"/>
    <col min="18" max="18" width="9.5703125" style="35" customWidth="1"/>
    <col min="19" max="19" width="11.5703125" style="29" customWidth="1"/>
    <col min="20" max="20" width="8.5703125" style="5"/>
    <col min="23" max="23" width="9.140625" style="12"/>
    <col min="24" max="24" width="10.42578125" style="28" customWidth="1"/>
    <col min="25" max="25" width="9.140625" style="33"/>
    <col min="26" max="26" width="6.42578125" style="33" customWidth="1"/>
    <col min="27" max="27" width="9.42578125" style="28" customWidth="1"/>
    <col min="29" max="29" width="9.5703125" style="95" customWidth="1"/>
    <col min="30" max="30" width="7.85546875" style="33" customWidth="1"/>
    <col min="31" max="31" width="8.42578125" style="33" customWidth="1"/>
    <col min="32" max="32" width="9.140625" customWidth="1"/>
    <col min="33" max="33" width="11.42578125" customWidth="1"/>
    <col min="34" max="34" width="11.42578125" bestFit="1" customWidth="1"/>
    <col min="35" max="35" width="19.85546875" bestFit="1" customWidth="1"/>
    <col min="36" max="36" width="33.42578125" bestFit="1" customWidth="1"/>
    <col min="37" max="37" width="24.85546875" bestFit="1" customWidth="1"/>
    <col min="38" max="38" width="38.5703125" bestFit="1" customWidth="1"/>
  </cols>
  <sheetData>
    <row r="1" spans="1:34" ht="120" x14ac:dyDescent="0.25">
      <c r="A1" s="53" t="s">
        <v>44</v>
      </c>
      <c r="B1" s="53" t="s">
        <v>45</v>
      </c>
      <c r="C1" s="53" t="s">
        <v>46</v>
      </c>
      <c r="D1" s="53" t="s">
        <v>47</v>
      </c>
      <c r="E1" s="53" t="s">
        <v>48</v>
      </c>
      <c r="F1" s="53" t="s">
        <v>49</v>
      </c>
      <c r="G1" s="53" t="s">
        <v>50</v>
      </c>
      <c r="H1" s="53" t="s">
        <v>51</v>
      </c>
      <c r="I1" s="31" t="s">
        <v>53</v>
      </c>
      <c r="J1" s="31" t="s">
        <v>52</v>
      </c>
      <c r="K1" s="53" t="s">
        <v>54</v>
      </c>
      <c r="L1" s="31" t="s">
        <v>273</v>
      </c>
      <c r="M1" s="31" t="s">
        <v>296</v>
      </c>
      <c r="N1" s="31" t="s">
        <v>65</v>
      </c>
      <c r="O1" s="31" t="s">
        <v>297</v>
      </c>
      <c r="P1" s="31" t="s">
        <v>298</v>
      </c>
      <c r="Q1" s="31" t="s">
        <v>299</v>
      </c>
      <c r="R1" s="49" t="s">
        <v>300</v>
      </c>
      <c r="S1" s="4" t="s">
        <v>588</v>
      </c>
      <c r="T1" s="4" t="s">
        <v>301</v>
      </c>
      <c r="U1" s="4" t="s">
        <v>589</v>
      </c>
      <c r="V1" s="4" t="s">
        <v>302</v>
      </c>
      <c r="W1" s="4" t="s">
        <v>303</v>
      </c>
      <c r="X1" s="4" t="s">
        <v>547</v>
      </c>
      <c r="Y1" s="4" t="s">
        <v>590</v>
      </c>
      <c r="AA1" s="23"/>
      <c r="AC1" s="31"/>
    </row>
    <row r="2" spans="1:34" x14ac:dyDescent="0.25">
      <c r="A2" s="61" t="s">
        <v>24</v>
      </c>
      <c r="B2" s="61"/>
      <c r="C2" s="61"/>
      <c r="D2" s="61" t="s">
        <v>28</v>
      </c>
      <c r="E2" s="61">
        <v>1998</v>
      </c>
      <c r="F2" s="61">
        <v>1</v>
      </c>
      <c r="G2" s="61">
        <v>1</v>
      </c>
      <c r="H2" s="61">
        <v>1</v>
      </c>
      <c r="I2" s="61"/>
      <c r="J2" s="61"/>
      <c r="K2" s="61">
        <v>101</v>
      </c>
      <c r="L2" s="34">
        <v>45993</v>
      </c>
      <c r="N2" s="32">
        <v>1</v>
      </c>
      <c r="O2" s="32">
        <v>0</v>
      </c>
      <c r="P2" s="32">
        <v>6.1</v>
      </c>
      <c r="Q2" s="32">
        <v>5.01</v>
      </c>
      <c r="R2" s="35">
        <f t="shared" ref="R2:R33" si="0">(Q2/P2)*10</f>
        <v>8.2131147540983598</v>
      </c>
      <c r="S2" s="29">
        <v>10</v>
      </c>
      <c r="T2" s="5">
        <v>6.4640000000000004</v>
      </c>
      <c r="U2">
        <v>9.4</v>
      </c>
      <c r="V2">
        <v>13.4</v>
      </c>
      <c r="W2" s="12">
        <v>79.06</v>
      </c>
      <c r="X2" s="28">
        <v>3.6073867948393623</v>
      </c>
      <c r="AH2" s="46"/>
    </row>
    <row r="3" spans="1:34" x14ac:dyDescent="0.25">
      <c r="A3" s="61" t="s">
        <v>24</v>
      </c>
      <c r="B3" s="61"/>
      <c r="C3" s="61"/>
      <c r="D3" s="61" t="s">
        <v>312</v>
      </c>
      <c r="E3" s="61">
        <v>2002</v>
      </c>
      <c r="F3" s="61">
        <v>1</v>
      </c>
      <c r="G3" s="61">
        <v>1</v>
      </c>
      <c r="H3" s="61">
        <v>2</v>
      </c>
      <c r="I3" s="61"/>
      <c r="J3" s="61"/>
      <c r="K3" s="61">
        <v>102</v>
      </c>
      <c r="L3" s="34">
        <v>45993</v>
      </c>
      <c r="N3" s="32">
        <v>1</v>
      </c>
      <c r="O3" s="32">
        <v>0</v>
      </c>
      <c r="P3" s="32">
        <v>6.2</v>
      </c>
      <c r="Q3" s="32">
        <v>4.42</v>
      </c>
      <c r="R3" s="35">
        <f t="shared" si="0"/>
        <v>7.129032258064516</v>
      </c>
      <c r="S3" s="29">
        <v>10.8</v>
      </c>
      <c r="T3" s="5">
        <v>7.024</v>
      </c>
      <c r="U3">
        <v>9</v>
      </c>
      <c r="V3">
        <v>14</v>
      </c>
      <c r="W3" s="12">
        <v>75.92</v>
      </c>
      <c r="X3" s="28">
        <v>1.6464699683877766</v>
      </c>
      <c r="AH3" s="46"/>
    </row>
    <row r="4" spans="1:34" x14ac:dyDescent="0.25">
      <c r="A4" s="61" t="s">
        <v>34</v>
      </c>
      <c r="B4" s="61"/>
      <c r="C4" s="61"/>
      <c r="D4" s="61" t="s">
        <v>39</v>
      </c>
      <c r="E4" s="61">
        <v>2001</v>
      </c>
      <c r="F4" s="61">
        <v>1</v>
      </c>
      <c r="G4" s="61">
        <v>1</v>
      </c>
      <c r="H4" s="61">
        <v>3</v>
      </c>
      <c r="I4" s="61"/>
      <c r="J4" s="61"/>
      <c r="K4" s="61">
        <v>103</v>
      </c>
      <c r="L4" s="34">
        <v>45993</v>
      </c>
      <c r="N4" s="32">
        <v>1</v>
      </c>
      <c r="O4" s="32">
        <v>0</v>
      </c>
      <c r="P4" s="32">
        <v>6.15</v>
      </c>
      <c r="Q4" s="32">
        <v>4.5449999999999999</v>
      </c>
      <c r="R4" s="35">
        <f t="shared" si="0"/>
        <v>7.3902439024390247</v>
      </c>
      <c r="S4" s="29">
        <v>10.199999999999999</v>
      </c>
      <c r="T4" s="5">
        <v>6.7759999999999998</v>
      </c>
      <c r="U4">
        <v>10.5</v>
      </c>
      <c r="V4">
        <v>14.3</v>
      </c>
      <c r="W4" s="12">
        <v>77.41</v>
      </c>
      <c r="X4" s="28">
        <v>3.7824570468931666</v>
      </c>
    </row>
    <row r="5" spans="1:34" x14ac:dyDescent="0.25">
      <c r="A5" s="61" t="s">
        <v>34</v>
      </c>
      <c r="B5" s="61"/>
      <c r="C5" s="61"/>
      <c r="D5" s="61" t="s">
        <v>37</v>
      </c>
      <c r="E5" s="61">
        <v>1989</v>
      </c>
      <c r="F5" s="61">
        <v>1</v>
      </c>
      <c r="G5" s="61">
        <v>1</v>
      </c>
      <c r="H5" s="61">
        <v>4</v>
      </c>
      <c r="I5" s="61"/>
      <c r="J5" s="61"/>
      <c r="K5" s="61">
        <v>104</v>
      </c>
      <c r="L5" s="34">
        <v>45993</v>
      </c>
      <c r="N5" s="32">
        <v>1</v>
      </c>
      <c r="O5" s="32">
        <v>0</v>
      </c>
      <c r="P5" s="32">
        <v>6.25</v>
      </c>
      <c r="Q5" s="32">
        <v>5.18</v>
      </c>
      <c r="R5" s="35">
        <f t="shared" si="0"/>
        <v>8.2880000000000003</v>
      </c>
      <c r="S5" s="29">
        <v>10.5</v>
      </c>
      <c r="T5" s="5">
        <v>6.1280000000000001</v>
      </c>
      <c r="U5">
        <v>9.6</v>
      </c>
      <c r="V5">
        <v>12.6</v>
      </c>
      <c r="W5" s="12">
        <v>80.650000000000006</v>
      </c>
      <c r="X5" s="28">
        <v>3.9603223806571606</v>
      </c>
    </row>
    <row r="6" spans="1:34" x14ac:dyDescent="0.25">
      <c r="A6" s="61" t="s">
        <v>24</v>
      </c>
      <c r="B6" s="61"/>
      <c r="C6" s="61"/>
      <c r="D6" s="61" t="s">
        <v>29</v>
      </c>
      <c r="E6" s="61">
        <v>1999</v>
      </c>
      <c r="F6" s="61">
        <v>2</v>
      </c>
      <c r="G6" s="61">
        <v>1</v>
      </c>
      <c r="H6" s="61">
        <v>5</v>
      </c>
      <c r="I6" s="61"/>
      <c r="J6" s="61"/>
      <c r="K6" s="61">
        <v>105</v>
      </c>
      <c r="L6" s="34">
        <v>45993</v>
      </c>
      <c r="N6" s="32">
        <v>1</v>
      </c>
      <c r="O6" s="32">
        <v>0</v>
      </c>
      <c r="P6" s="32">
        <v>6</v>
      </c>
      <c r="Q6" s="32">
        <v>3.9350000000000001</v>
      </c>
      <c r="R6" s="35">
        <f t="shared" si="0"/>
        <v>6.5583333333333336</v>
      </c>
      <c r="S6" s="29">
        <v>12</v>
      </c>
      <c r="T6" s="5">
        <v>7.44</v>
      </c>
      <c r="U6">
        <v>9.4</v>
      </c>
      <c r="V6">
        <v>13</v>
      </c>
      <c r="W6" s="12">
        <v>82.304000000000002</v>
      </c>
      <c r="X6" s="28">
        <v>1.3632387247278384</v>
      </c>
    </row>
    <row r="7" spans="1:34" x14ac:dyDescent="0.25">
      <c r="A7" s="61" t="s">
        <v>24</v>
      </c>
      <c r="B7" s="61"/>
      <c r="C7" s="61"/>
      <c r="D7" s="61" t="s">
        <v>311</v>
      </c>
      <c r="E7" s="61">
        <v>2023</v>
      </c>
      <c r="F7" s="61">
        <v>2</v>
      </c>
      <c r="G7" s="61">
        <v>1</v>
      </c>
      <c r="H7" s="61">
        <v>6</v>
      </c>
      <c r="I7" s="61"/>
      <c r="J7" s="61"/>
      <c r="K7" s="61">
        <v>106</v>
      </c>
      <c r="L7" s="34">
        <v>45993</v>
      </c>
      <c r="N7" s="32">
        <v>1</v>
      </c>
      <c r="O7" s="32">
        <v>0</v>
      </c>
      <c r="P7" s="32">
        <v>6.2</v>
      </c>
      <c r="Q7" s="32">
        <v>4.5449999999999999</v>
      </c>
      <c r="R7" s="35">
        <f t="shared" si="0"/>
        <v>7.3306451612903221</v>
      </c>
      <c r="S7" s="29">
        <v>10</v>
      </c>
      <c r="T7" s="5">
        <v>6.3759999999999994</v>
      </c>
      <c r="U7">
        <v>10.4</v>
      </c>
      <c r="V7">
        <v>13</v>
      </c>
      <c r="W7" s="12">
        <v>79.78</v>
      </c>
      <c r="X7" s="28">
        <v>3.5798445725745802</v>
      </c>
    </row>
    <row r="8" spans="1:34" x14ac:dyDescent="0.25">
      <c r="A8" s="61" t="s">
        <v>34</v>
      </c>
      <c r="B8" s="61"/>
      <c r="C8" s="61"/>
      <c r="D8" s="61" t="s">
        <v>41</v>
      </c>
      <c r="E8" s="61">
        <v>2008</v>
      </c>
      <c r="F8" s="61">
        <v>2</v>
      </c>
      <c r="G8" s="61">
        <v>1</v>
      </c>
      <c r="H8" s="61">
        <v>7</v>
      </c>
      <c r="I8" s="61"/>
      <c r="J8" s="61"/>
      <c r="K8" s="61">
        <v>107</v>
      </c>
      <c r="L8" s="34">
        <v>45993</v>
      </c>
      <c r="N8" s="32">
        <v>1</v>
      </c>
      <c r="O8" s="32">
        <v>0</v>
      </c>
      <c r="P8" s="32">
        <v>6.2</v>
      </c>
      <c r="Q8" s="32">
        <v>4.6100000000000003</v>
      </c>
      <c r="R8" s="35">
        <f t="shared" si="0"/>
        <v>7.435483870967742</v>
      </c>
      <c r="S8" s="29">
        <v>10.5</v>
      </c>
      <c r="T8" s="5">
        <v>6.92</v>
      </c>
      <c r="U8">
        <v>9.3000000000000007</v>
      </c>
      <c r="V8">
        <v>12.9</v>
      </c>
      <c r="W8" s="12">
        <v>77.126000000000005</v>
      </c>
      <c r="X8" s="28">
        <v>5.5597334232295212</v>
      </c>
    </row>
    <row r="9" spans="1:34" x14ac:dyDescent="0.25">
      <c r="A9" s="61" t="s">
        <v>34</v>
      </c>
      <c r="B9" s="61"/>
      <c r="C9" s="61"/>
      <c r="D9" s="61" t="s">
        <v>318</v>
      </c>
      <c r="E9" s="61">
        <v>2004</v>
      </c>
      <c r="F9" s="61">
        <v>2</v>
      </c>
      <c r="G9" s="61">
        <v>1</v>
      </c>
      <c r="H9" s="61">
        <v>8</v>
      </c>
      <c r="I9" s="61"/>
      <c r="J9" s="61"/>
      <c r="K9" s="61">
        <v>108</v>
      </c>
      <c r="L9" s="34">
        <v>45993</v>
      </c>
      <c r="N9" s="32">
        <v>1</v>
      </c>
      <c r="O9" s="32">
        <v>0</v>
      </c>
      <c r="P9" s="32">
        <v>6.1</v>
      </c>
      <c r="Q9" s="32">
        <v>4.8150000000000004</v>
      </c>
      <c r="R9" s="35">
        <f t="shared" si="0"/>
        <v>7.8934426229508201</v>
      </c>
      <c r="S9" s="29">
        <v>11.3</v>
      </c>
      <c r="T9" s="5">
        <v>7.3439999999999994</v>
      </c>
      <c r="U9">
        <v>10.199999999999999</v>
      </c>
      <c r="V9">
        <v>12.5</v>
      </c>
      <c r="W9" s="12">
        <v>81.397999999999996</v>
      </c>
      <c r="X9" s="28">
        <v>2.6315142878203397</v>
      </c>
    </row>
    <row r="10" spans="1:34" x14ac:dyDescent="0.25">
      <c r="A10" s="6" t="s">
        <v>24</v>
      </c>
      <c r="D10" s="6" t="s">
        <v>26</v>
      </c>
      <c r="E10" s="6">
        <v>1983</v>
      </c>
      <c r="F10" s="6">
        <v>3</v>
      </c>
      <c r="G10" s="6">
        <v>1</v>
      </c>
      <c r="H10" s="6">
        <v>9</v>
      </c>
      <c r="K10" s="6">
        <v>109</v>
      </c>
      <c r="L10" s="34">
        <v>45993</v>
      </c>
      <c r="N10" s="32">
        <v>1</v>
      </c>
      <c r="O10" s="32">
        <v>0</v>
      </c>
      <c r="P10" s="32">
        <v>6.15</v>
      </c>
      <c r="Q10" s="32">
        <v>3.11</v>
      </c>
      <c r="R10" s="35">
        <f t="shared" si="0"/>
        <v>5.0569105691056908</v>
      </c>
      <c r="S10" s="29">
        <v>12.2</v>
      </c>
      <c r="T10" s="5">
        <v>6.6319999999999988</v>
      </c>
      <c r="U10">
        <v>10.1</v>
      </c>
      <c r="V10">
        <v>14.5</v>
      </c>
      <c r="W10" s="12">
        <v>72.84</v>
      </c>
      <c r="X10" s="28">
        <v>4.022515101592532</v>
      </c>
    </row>
    <row r="11" spans="1:34" x14ac:dyDescent="0.25">
      <c r="A11" s="6" t="s">
        <v>24</v>
      </c>
      <c r="D11" s="6" t="s">
        <v>313</v>
      </c>
      <c r="E11" s="6">
        <v>2016</v>
      </c>
      <c r="F11" s="6">
        <v>3</v>
      </c>
      <c r="G11" s="6">
        <v>1</v>
      </c>
      <c r="H11" s="6">
        <v>10</v>
      </c>
      <c r="K11" s="6">
        <v>110</v>
      </c>
      <c r="L11" s="34">
        <v>45993</v>
      </c>
      <c r="N11" s="32">
        <v>1</v>
      </c>
      <c r="O11" s="32">
        <v>0</v>
      </c>
      <c r="P11" s="32">
        <v>5.9</v>
      </c>
      <c r="Q11" s="32">
        <v>4.1749999999999998</v>
      </c>
      <c r="R11" s="35">
        <f t="shared" si="0"/>
        <v>7.0762711864406764</v>
      </c>
      <c r="S11" s="29">
        <v>12</v>
      </c>
      <c r="T11" s="5">
        <v>8.1840000000000011</v>
      </c>
      <c r="U11">
        <v>8.5</v>
      </c>
      <c r="V11">
        <v>13.1</v>
      </c>
      <c r="W11" s="12">
        <v>78.323999999999998</v>
      </c>
      <c r="X11" s="28">
        <v>1.8512844083550379</v>
      </c>
    </row>
    <row r="12" spans="1:34" x14ac:dyDescent="0.25">
      <c r="A12" s="6" t="s">
        <v>34</v>
      </c>
      <c r="D12" s="6" t="s">
        <v>42</v>
      </c>
      <c r="E12" s="6">
        <v>2016</v>
      </c>
      <c r="F12" s="6">
        <v>3</v>
      </c>
      <c r="G12" s="6">
        <v>1</v>
      </c>
      <c r="H12" s="6">
        <v>11</v>
      </c>
      <c r="K12" s="6">
        <v>111</v>
      </c>
      <c r="L12" s="34">
        <v>45993</v>
      </c>
      <c r="N12" s="32">
        <v>1</v>
      </c>
      <c r="O12" s="32">
        <v>0</v>
      </c>
      <c r="P12" s="32">
        <v>6.15</v>
      </c>
      <c r="Q12" s="32">
        <v>4.6849999999999996</v>
      </c>
      <c r="R12" s="35">
        <f t="shared" si="0"/>
        <v>7.617886178861788</v>
      </c>
      <c r="S12" s="29">
        <v>10.4</v>
      </c>
      <c r="T12" s="5">
        <v>6.7439999999999998</v>
      </c>
      <c r="U12">
        <v>9.1</v>
      </c>
      <c r="V12">
        <v>13</v>
      </c>
      <c r="W12" s="12">
        <v>78.195999999999998</v>
      </c>
      <c r="X12" s="28">
        <v>6.2893242621105934</v>
      </c>
    </row>
    <row r="13" spans="1:34" x14ac:dyDescent="0.25">
      <c r="A13" s="6" t="s">
        <v>34</v>
      </c>
      <c r="D13" s="6" t="s">
        <v>38</v>
      </c>
      <c r="E13" s="6">
        <v>1999</v>
      </c>
      <c r="F13" s="6">
        <v>3</v>
      </c>
      <c r="G13" s="6">
        <v>1</v>
      </c>
      <c r="H13" s="6">
        <v>12</v>
      </c>
      <c r="K13" s="6">
        <v>112</v>
      </c>
      <c r="L13" s="34">
        <v>45993</v>
      </c>
      <c r="N13" s="32">
        <v>1</v>
      </c>
      <c r="O13" s="32">
        <v>0</v>
      </c>
      <c r="P13" s="32">
        <v>6.2</v>
      </c>
      <c r="Q13" s="32">
        <v>4.42</v>
      </c>
      <c r="R13" s="35">
        <f t="shared" si="0"/>
        <v>7.129032258064516</v>
      </c>
      <c r="S13" s="29">
        <v>10.3</v>
      </c>
      <c r="T13" s="5">
        <v>6.4560000000000004</v>
      </c>
      <c r="U13">
        <v>9.6999999999999993</v>
      </c>
      <c r="V13">
        <v>13.2</v>
      </c>
      <c r="W13" s="12">
        <v>79.7</v>
      </c>
      <c r="X13" s="28">
        <v>3.8670012547051442</v>
      </c>
    </row>
    <row r="14" spans="1:34" x14ac:dyDescent="0.25">
      <c r="A14" s="6" t="s">
        <v>24</v>
      </c>
      <c r="D14" s="6" t="s">
        <v>32</v>
      </c>
      <c r="E14" s="6">
        <v>2018</v>
      </c>
      <c r="F14" s="6">
        <v>4</v>
      </c>
      <c r="G14" s="6">
        <v>1</v>
      </c>
      <c r="H14" s="6">
        <v>13</v>
      </c>
      <c r="K14" s="6">
        <v>113</v>
      </c>
      <c r="L14" s="34">
        <v>45993</v>
      </c>
      <c r="N14" s="32">
        <v>1</v>
      </c>
      <c r="O14" s="32">
        <v>0</v>
      </c>
      <c r="P14" s="32">
        <v>6.05</v>
      </c>
      <c r="Q14" s="32">
        <v>4.8550000000000004</v>
      </c>
      <c r="R14" s="35">
        <f t="shared" si="0"/>
        <v>8.0247933884297531</v>
      </c>
      <c r="S14" s="29">
        <v>10.5</v>
      </c>
      <c r="T14" s="5">
        <v>7.7680000000000016</v>
      </c>
      <c r="U14">
        <v>9.6999999999999993</v>
      </c>
      <c r="V14">
        <v>12.1</v>
      </c>
      <c r="W14" s="12">
        <v>76.775999999999996</v>
      </c>
      <c r="X14" s="28">
        <v>1.6776075857038659</v>
      </c>
    </row>
    <row r="15" spans="1:34" x14ac:dyDescent="0.25">
      <c r="A15" s="6" t="s">
        <v>24</v>
      </c>
      <c r="D15" s="6" t="s">
        <v>27</v>
      </c>
      <c r="E15" s="6">
        <v>1985</v>
      </c>
      <c r="F15" s="6">
        <v>4</v>
      </c>
      <c r="G15" s="6">
        <v>1</v>
      </c>
      <c r="H15" s="6">
        <v>14</v>
      </c>
      <c r="K15" s="6">
        <v>114</v>
      </c>
      <c r="L15" s="34">
        <v>45993</v>
      </c>
      <c r="N15" s="32">
        <v>1</v>
      </c>
      <c r="O15" s="32">
        <v>0</v>
      </c>
      <c r="P15" s="32">
        <v>6</v>
      </c>
      <c r="Q15" s="32">
        <v>3.85</v>
      </c>
      <c r="R15" s="35">
        <f t="shared" si="0"/>
        <v>6.416666666666667</v>
      </c>
      <c r="S15" s="29">
        <v>9.56</v>
      </c>
      <c r="T15" s="5">
        <v>6.8000000000000007</v>
      </c>
      <c r="U15">
        <v>9.6999999999999993</v>
      </c>
      <c r="V15">
        <v>12.7</v>
      </c>
      <c r="W15" s="12">
        <v>82.364000000000004</v>
      </c>
      <c r="X15" s="28">
        <v>2.7924821523966781</v>
      </c>
    </row>
    <row r="16" spans="1:34" x14ac:dyDescent="0.25">
      <c r="A16" s="6" t="s">
        <v>34</v>
      </c>
      <c r="D16" s="6" t="s">
        <v>36</v>
      </c>
      <c r="E16" s="6">
        <v>1984</v>
      </c>
      <c r="F16" s="6">
        <v>4</v>
      </c>
      <c r="G16" s="6">
        <v>1</v>
      </c>
      <c r="H16" s="6">
        <v>15</v>
      </c>
      <c r="K16" s="6">
        <v>115</v>
      </c>
      <c r="L16" s="34">
        <v>45993</v>
      </c>
      <c r="N16" s="32">
        <v>1</v>
      </c>
      <c r="O16" s="32">
        <v>0</v>
      </c>
      <c r="P16" s="32">
        <v>5.95</v>
      </c>
      <c r="Q16" s="32">
        <v>4.47</v>
      </c>
      <c r="R16" s="35">
        <f t="shared" si="0"/>
        <v>7.5126050420168058</v>
      </c>
      <c r="S16" s="29">
        <v>10.199999999999999</v>
      </c>
      <c r="T16" s="5">
        <v>5.68</v>
      </c>
      <c r="U16">
        <v>9.6</v>
      </c>
      <c r="V16">
        <v>13.3</v>
      </c>
      <c r="W16" s="12">
        <v>81.56</v>
      </c>
      <c r="X16" s="28">
        <v>6.5522314860225599</v>
      </c>
    </row>
    <row r="17" spans="1:24" x14ac:dyDescent="0.25">
      <c r="A17" s="6" t="s">
        <v>34</v>
      </c>
      <c r="D17" s="6" t="s">
        <v>43</v>
      </c>
      <c r="E17" s="6">
        <v>2020</v>
      </c>
      <c r="F17" s="6">
        <v>4</v>
      </c>
      <c r="G17" s="6">
        <v>1</v>
      </c>
      <c r="H17" s="6">
        <v>16</v>
      </c>
      <c r="K17" s="6">
        <v>116</v>
      </c>
      <c r="L17" s="34">
        <v>45993</v>
      </c>
      <c r="N17" s="32">
        <v>1</v>
      </c>
      <c r="O17" s="32">
        <v>0</v>
      </c>
      <c r="P17" s="32">
        <v>5.85</v>
      </c>
      <c r="Q17" s="32">
        <v>4.5</v>
      </c>
      <c r="R17" s="35">
        <f t="shared" si="0"/>
        <v>7.6923076923076925</v>
      </c>
      <c r="S17" s="29">
        <v>9.98</v>
      </c>
      <c r="T17" s="5">
        <v>6.84</v>
      </c>
      <c r="U17">
        <v>9.6</v>
      </c>
      <c r="V17">
        <v>12.4</v>
      </c>
      <c r="W17" s="12">
        <v>82.26</v>
      </c>
      <c r="X17" s="28">
        <v>3.1388281060053487</v>
      </c>
    </row>
    <row r="18" spans="1:24" x14ac:dyDescent="0.25">
      <c r="A18" s="61" t="s">
        <v>24</v>
      </c>
      <c r="B18" s="61"/>
      <c r="C18" s="61"/>
      <c r="D18" s="61" t="s">
        <v>313</v>
      </c>
      <c r="E18" s="61">
        <v>2016</v>
      </c>
      <c r="F18" s="61">
        <v>1</v>
      </c>
      <c r="G18" s="61">
        <v>2</v>
      </c>
      <c r="H18" s="61">
        <v>1</v>
      </c>
      <c r="I18" s="61"/>
      <c r="J18" s="61"/>
      <c r="K18" s="61">
        <v>117</v>
      </c>
      <c r="L18" s="34">
        <v>45993</v>
      </c>
      <c r="N18" s="32">
        <v>1</v>
      </c>
      <c r="O18" s="32">
        <v>0</v>
      </c>
      <c r="P18" s="32">
        <v>5.75</v>
      </c>
      <c r="Q18" s="32">
        <v>4.3150000000000004</v>
      </c>
      <c r="R18" s="35">
        <f t="shared" si="0"/>
        <v>7.5043478260869563</v>
      </c>
      <c r="S18" s="29">
        <v>10.5</v>
      </c>
      <c r="T18" s="5">
        <v>8.1039999999999992</v>
      </c>
      <c r="U18">
        <v>10.199999999999999</v>
      </c>
      <c r="V18">
        <v>12.1</v>
      </c>
      <c r="W18" s="12">
        <v>80.734000000000009</v>
      </c>
      <c r="X18" s="28">
        <v>1.7786806054450415</v>
      </c>
    </row>
    <row r="19" spans="1:24" x14ac:dyDescent="0.25">
      <c r="A19" s="61" t="s">
        <v>24</v>
      </c>
      <c r="B19" s="61"/>
      <c r="C19" s="61"/>
      <c r="D19" s="61" t="s">
        <v>311</v>
      </c>
      <c r="E19" s="61">
        <v>2023</v>
      </c>
      <c r="F19" s="61">
        <v>1</v>
      </c>
      <c r="G19" s="61">
        <v>2</v>
      </c>
      <c r="H19" s="61">
        <v>2</v>
      </c>
      <c r="I19" s="61"/>
      <c r="J19" s="61"/>
      <c r="K19" s="61">
        <v>118</v>
      </c>
      <c r="L19" s="34">
        <v>45993</v>
      </c>
      <c r="N19" s="32">
        <v>1</v>
      </c>
      <c r="O19" s="32">
        <v>0</v>
      </c>
      <c r="P19" s="32">
        <v>5.25</v>
      </c>
      <c r="Q19" s="32">
        <v>4.8049999999999997</v>
      </c>
      <c r="R19" s="35">
        <f t="shared" si="0"/>
        <v>9.1523809523809518</v>
      </c>
      <c r="S19" s="29">
        <v>9.34</v>
      </c>
      <c r="T19" s="5">
        <v>7.4799999999999995</v>
      </c>
      <c r="U19">
        <v>10.1</v>
      </c>
      <c r="V19">
        <v>12.5</v>
      </c>
      <c r="W19" s="12">
        <v>79.8</v>
      </c>
      <c r="X19" s="28">
        <v>2.3984962406015038</v>
      </c>
    </row>
    <row r="20" spans="1:24" x14ac:dyDescent="0.25">
      <c r="A20" s="61" t="s">
        <v>34</v>
      </c>
      <c r="B20" s="61"/>
      <c r="C20" s="61"/>
      <c r="D20" s="61" t="s">
        <v>318</v>
      </c>
      <c r="E20" s="61">
        <v>2004</v>
      </c>
      <c r="F20" s="61">
        <v>1</v>
      </c>
      <c r="G20" s="61">
        <v>2</v>
      </c>
      <c r="H20" s="61">
        <v>3</v>
      </c>
      <c r="I20" s="61"/>
      <c r="J20" s="61"/>
      <c r="K20" s="61">
        <v>119</v>
      </c>
      <c r="L20" s="34">
        <v>45993</v>
      </c>
      <c r="N20" s="32">
        <v>1</v>
      </c>
      <c r="O20" s="32">
        <v>0</v>
      </c>
      <c r="P20" s="32">
        <v>6.2</v>
      </c>
      <c r="Q20" s="32">
        <v>4.625</v>
      </c>
      <c r="R20" s="35">
        <f t="shared" si="0"/>
        <v>7.459677419354839</v>
      </c>
      <c r="S20" s="29">
        <v>9.91</v>
      </c>
      <c r="T20" s="5">
        <v>6.9040000000000008</v>
      </c>
      <c r="U20">
        <v>9.1</v>
      </c>
      <c r="V20">
        <v>13.1</v>
      </c>
      <c r="W20" s="12">
        <v>81.010000000000005</v>
      </c>
      <c r="X20" s="28">
        <v>3.6538698926058508</v>
      </c>
    </row>
    <row r="21" spans="1:24" x14ac:dyDescent="0.25">
      <c r="A21" s="61" t="s">
        <v>34</v>
      </c>
      <c r="B21" s="61"/>
      <c r="C21" s="61"/>
      <c r="D21" s="61" t="s">
        <v>42</v>
      </c>
      <c r="E21" s="61">
        <v>2016</v>
      </c>
      <c r="F21" s="61">
        <v>1</v>
      </c>
      <c r="G21" s="61">
        <v>2</v>
      </c>
      <c r="H21" s="61">
        <v>4</v>
      </c>
      <c r="I21" s="61"/>
      <c r="J21" s="61"/>
      <c r="K21" s="61">
        <v>120</v>
      </c>
      <c r="L21" s="34">
        <v>45993</v>
      </c>
      <c r="N21" s="32">
        <v>1</v>
      </c>
      <c r="O21" s="32">
        <v>0</v>
      </c>
      <c r="P21" s="32">
        <v>6.25</v>
      </c>
      <c r="Q21" s="32">
        <v>5.21</v>
      </c>
      <c r="R21" s="35">
        <f t="shared" si="0"/>
        <v>8.3360000000000003</v>
      </c>
      <c r="S21" s="29">
        <v>9.58</v>
      </c>
      <c r="T21" s="5">
        <v>7.4240000000000004</v>
      </c>
      <c r="U21">
        <v>9.9</v>
      </c>
      <c r="V21">
        <v>12.7</v>
      </c>
      <c r="W21" s="12">
        <v>78.501999999999995</v>
      </c>
      <c r="X21" s="28">
        <v>4.3744108430358466</v>
      </c>
    </row>
    <row r="22" spans="1:24" x14ac:dyDescent="0.25">
      <c r="A22" s="61" t="s">
        <v>24</v>
      </c>
      <c r="B22" s="61"/>
      <c r="C22" s="61"/>
      <c r="D22" s="61" t="s">
        <v>27</v>
      </c>
      <c r="E22" s="61">
        <v>1985</v>
      </c>
      <c r="F22" s="61">
        <v>2</v>
      </c>
      <c r="G22" s="61">
        <v>2</v>
      </c>
      <c r="H22" s="61">
        <v>5</v>
      </c>
      <c r="I22" s="61"/>
      <c r="J22" s="61"/>
      <c r="K22" s="61">
        <v>121</v>
      </c>
      <c r="L22" s="34">
        <v>45993</v>
      </c>
      <c r="N22" s="32">
        <v>1</v>
      </c>
      <c r="O22" s="32">
        <v>0</v>
      </c>
      <c r="P22" s="32">
        <v>6.2</v>
      </c>
      <c r="Q22" s="32">
        <v>4.585</v>
      </c>
      <c r="R22" s="35">
        <f t="shared" si="0"/>
        <v>7.3951612903225801</v>
      </c>
      <c r="S22" s="29">
        <v>9.8699999999999992</v>
      </c>
      <c r="T22" s="5">
        <v>6.8559999999999999</v>
      </c>
      <c r="U22">
        <v>10</v>
      </c>
      <c r="V22">
        <v>12.8</v>
      </c>
      <c r="W22" s="12">
        <v>78.349999999999994</v>
      </c>
      <c r="X22" s="28">
        <v>3.7038927887683468</v>
      </c>
    </row>
    <row r="23" spans="1:24" x14ac:dyDescent="0.25">
      <c r="A23" s="61" t="s">
        <v>24</v>
      </c>
      <c r="B23" s="61"/>
      <c r="C23" s="61"/>
      <c r="D23" s="61" t="s">
        <v>28</v>
      </c>
      <c r="E23" s="61">
        <v>1998</v>
      </c>
      <c r="F23" s="61">
        <v>2</v>
      </c>
      <c r="G23" s="61">
        <v>2</v>
      </c>
      <c r="H23" s="61">
        <v>6</v>
      </c>
      <c r="I23" s="61"/>
      <c r="J23" s="61"/>
      <c r="K23" s="61">
        <v>122</v>
      </c>
      <c r="L23" s="34">
        <v>45993</v>
      </c>
      <c r="N23" s="32">
        <v>1</v>
      </c>
      <c r="O23" s="32">
        <v>0</v>
      </c>
      <c r="P23" s="32">
        <v>6.05</v>
      </c>
      <c r="Q23" s="32">
        <v>5.42</v>
      </c>
      <c r="R23" s="35">
        <f t="shared" si="0"/>
        <v>8.9586776859504127</v>
      </c>
      <c r="S23" s="29">
        <v>9.61</v>
      </c>
      <c r="T23" s="5">
        <v>6.6560000000000006</v>
      </c>
      <c r="U23">
        <v>9.3000000000000007</v>
      </c>
      <c r="V23">
        <v>11.6</v>
      </c>
      <c r="W23" s="12">
        <v>79.682000000000002</v>
      </c>
      <c r="X23" s="28">
        <v>3.2002208779900099</v>
      </c>
    </row>
    <row r="24" spans="1:24" x14ac:dyDescent="0.25">
      <c r="A24" s="61" t="s">
        <v>34</v>
      </c>
      <c r="B24" s="61"/>
      <c r="C24" s="61"/>
      <c r="D24" s="61" t="s">
        <v>37</v>
      </c>
      <c r="E24" s="61">
        <v>1989</v>
      </c>
      <c r="F24" s="61">
        <v>2</v>
      </c>
      <c r="G24" s="61">
        <v>2</v>
      </c>
      <c r="H24" s="61">
        <v>7</v>
      </c>
      <c r="I24" s="61"/>
      <c r="J24" s="61"/>
      <c r="K24" s="61">
        <v>123</v>
      </c>
      <c r="L24" s="34">
        <v>45993</v>
      </c>
      <c r="N24" s="32">
        <v>1</v>
      </c>
      <c r="O24" s="32">
        <v>0</v>
      </c>
      <c r="P24" s="32">
        <v>6.45</v>
      </c>
      <c r="Q24" s="32">
        <v>4.9850000000000003</v>
      </c>
      <c r="R24" s="35">
        <f t="shared" si="0"/>
        <v>7.7286821705426352</v>
      </c>
      <c r="S24" s="29">
        <v>9.6199999999999992</v>
      </c>
      <c r="T24" s="5">
        <v>6.4640000000000004</v>
      </c>
      <c r="U24">
        <v>9.6</v>
      </c>
      <c r="V24">
        <v>11.8</v>
      </c>
      <c r="W24" s="12">
        <v>80.632000000000005</v>
      </c>
      <c r="X24" s="28">
        <v>3.5544200813572768</v>
      </c>
    </row>
    <row r="25" spans="1:24" x14ac:dyDescent="0.25">
      <c r="A25" s="61" t="s">
        <v>34</v>
      </c>
      <c r="B25" s="61"/>
      <c r="C25" s="61"/>
      <c r="D25" s="61" t="s">
        <v>43</v>
      </c>
      <c r="E25" s="61">
        <v>2020</v>
      </c>
      <c r="F25" s="61">
        <v>2</v>
      </c>
      <c r="G25" s="61">
        <v>2</v>
      </c>
      <c r="H25" s="61">
        <v>8</v>
      </c>
      <c r="I25" s="61"/>
      <c r="J25" s="61"/>
      <c r="K25" s="61">
        <v>124</v>
      </c>
      <c r="L25" s="34">
        <v>45993</v>
      </c>
      <c r="N25" s="32">
        <v>1</v>
      </c>
      <c r="O25" s="32">
        <v>0</v>
      </c>
      <c r="P25" s="32">
        <v>6.1</v>
      </c>
      <c r="Q25" s="32">
        <v>5.52</v>
      </c>
      <c r="R25" s="35">
        <f t="shared" si="0"/>
        <v>9.0491803278688518</v>
      </c>
      <c r="S25" s="29">
        <v>9.7100000000000009</v>
      </c>
      <c r="T25" s="5">
        <v>7.6959999999999997</v>
      </c>
      <c r="U25">
        <v>9.8000000000000007</v>
      </c>
      <c r="V25">
        <v>10.9</v>
      </c>
      <c r="W25" s="12">
        <v>84.457999999999998</v>
      </c>
      <c r="X25" s="28">
        <v>2.384617206185323</v>
      </c>
    </row>
    <row r="26" spans="1:24" x14ac:dyDescent="0.25">
      <c r="A26" s="54" t="s">
        <v>24</v>
      </c>
      <c r="B26" s="54"/>
      <c r="C26" s="55"/>
      <c r="D26" s="54" t="s">
        <v>312</v>
      </c>
      <c r="E26" s="54">
        <v>2002</v>
      </c>
      <c r="F26" s="55">
        <v>3</v>
      </c>
      <c r="G26" s="55">
        <v>2</v>
      </c>
      <c r="H26" s="55">
        <v>9</v>
      </c>
      <c r="I26" s="55"/>
      <c r="J26" s="55"/>
      <c r="K26" s="55">
        <v>125</v>
      </c>
      <c r="L26" s="34">
        <v>45993</v>
      </c>
      <c r="N26" s="32">
        <v>1</v>
      </c>
      <c r="O26" s="32">
        <v>0</v>
      </c>
      <c r="P26" s="32">
        <v>6.3</v>
      </c>
      <c r="Q26" s="32">
        <v>4.49</v>
      </c>
      <c r="R26" s="35">
        <f t="shared" si="0"/>
        <v>7.1269841269841274</v>
      </c>
      <c r="S26" s="29">
        <v>10.199999999999999</v>
      </c>
      <c r="T26" s="5">
        <v>7.4079999999999995</v>
      </c>
      <c r="U26">
        <v>9.5</v>
      </c>
      <c r="V26">
        <v>12.7</v>
      </c>
      <c r="W26" s="12">
        <v>79.494</v>
      </c>
      <c r="X26" s="28">
        <v>1.4189750169824136</v>
      </c>
    </row>
    <row r="27" spans="1:24" x14ac:dyDescent="0.25">
      <c r="A27" s="6" t="s">
        <v>24</v>
      </c>
      <c r="D27" s="6" t="s">
        <v>32</v>
      </c>
      <c r="E27" s="6">
        <v>2018</v>
      </c>
      <c r="F27" s="6">
        <v>3</v>
      </c>
      <c r="G27" s="6">
        <v>2</v>
      </c>
      <c r="H27" s="6">
        <v>10</v>
      </c>
      <c r="K27" s="6">
        <v>126</v>
      </c>
      <c r="L27" s="34">
        <v>45993</v>
      </c>
      <c r="N27" s="32">
        <v>1</v>
      </c>
      <c r="O27" s="32">
        <v>0</v>
      </c>
      <c r="P27" s="32">
        <v>6.15</v>
      </c>
      <c r="Q27" s="32">
        <v>4.79</v>
      </c>
      <c r="R27" s="35">
        <f t="shared" si="0"/>
        <v>7.7886178861788613</v>
      </c>
      <c r="S27" s="29">
        <v>10.7</v>
      </c>
      <c r="T27" s="5">
        <v>8.0079999999999991</v>
      </c>
      <c r="U27">
        <v>9.8000000000000007</v>
      </c>
      <c r="V27">
        <v>12.4</v>
      </c>
      <c r="W27" s="12">
        <v>79.058000000000007</v>
      </c>
      <c r="X27" s="28">
        <v>1.5001644362366868</v>
      </c>
    </row>
    <row r="28" spans="1:24" x14ac:dyDescent="0.25">
      <c r="A28" s="6" t="s">
        <v>34</v>
      </c>
      <c r="D28" s="6" t="s">
        <v>39</v>
      </c>
      <c r="E28" s="6">
        <v>2001</v>
      </c>
      <c r="F28" s="6">
        <v>3</v>
      </c>
      <c r="G28" s="6">
        <v>2</v>
      </c>
      <c r="H28" s="6">
        <v>11</v>
      </c>
      <c r="K28" s="6">
        <v>127</v>
      </c>
      <c r="L28" s="34">
        <v>45993</v>
      </c>
      <c r="N28" s="32">
        <v>1</v>
      </c>
      <c r="O28" s="32">
        <v>0</v>
      </c>
      <c r="P28" s="32">
        <v>6.4</v>
      </c>
      <c r="Q28" s="32">
        <v>4.74</v>
      </c>
      <c r="R28" s="35">
        <f t="shared" si="0"/>
        <v>7.40625</v>
      </c>
      <c r="S28" s="29">
        <v>10.8</v>
      </c>
      <c r="T28" s="5">
        <v>6.927999999999999</v>
      </c>
      <c r="U28">
        <v>9.3000000000000007</v>
      </c>
      <c r="V28">
        <v>13.6</v>
      </c>
      <c r="W28" s="12">
        <v>77.977999999999994</v>
      </c>
      <c r="X28" s="28">
        <v>3.2111621226499785</v>
      </c>
    </row>
    <row r="29" spans="1:24" x14ac:dyDescent="0.25">
      <c r="A29" s="6" t="s">
        <v>34</v>
      </c>
      <c r="D29" s="6" t="s">
        <v>36</v>
      </c>
      <c r="E29" s="6">
        <v>1984</v>
      </c>
      <c r="F29" s="6">
        <v>3</v>
      </c>
      <c r="G29" s="6">
        <v>2</v>
      </c>
      <c r="H29" s="6">
        <v>12</v>
      </c>
      <c r="K29" s="6">
        <v>128</v>
      </c>
      <c r="L29" s="34">
        <v>45993</v>
      </c>
      <c r="N29" s="32">
        <v>1</v>
      </c>
      <c r="O29" s="32">
        <v>0</v>
      </c>
      <c r="P29" s="32">
        <v>6.4</v>
      </c>
      <c r="Q29" s="32">
        <v>4.5650000000000004</v>
      </c>
      <c r="R29" s="35">
        <f t="shared" si="0"/>
        <v>7.1328125</v>
      </c>
      <c r="S29" s="29">
        <v>9.48</v>
      </c>
      <c r="T29" s="5">
        <v>5.8959999999999999</v>
      </c>
      <c r="U29">
        <v>9.6</v>
      </c>
      <c r="V29">
        <v>13.3</v>
      </c>
      <c r="W29" s="12">
        <v>78.108000000000004</v>
      </c>
      <c r="X29" s="28">
        <v>6.6676908895375631</v>
      </c>
    </row>
    <row r="30" spans="1:24" x14ac:dyDescent="0.25">
      <c r="A30" s="6" t="s">
        <v>24</v>
      </c>
      <c r="D30" s="6" t="s">
        <v>26</v>
      </c>
      <c r="E30" s="6">
        <v>1983</v>
      </c>
      <c r="F30" s="6">
        <v>4</v>
      </c>
      <c r="G30" s="6">
        <v>2</v>
      </c>
      <c r="H30" s="6">
        <v>13</v>
      </c>
      <c r="K30" s="6">
        <v>129</v>
      </c>
      <c r="L30" s="34">
        <v>45993</v>
      </c>
      <c r="N30" s="32">
        <v>1</v>
      </c>
      <c r="O30" s="32">
        <v>0</v>
      </c>
      <c r="P30" s="32">
        <v>6.45</v>
      </c>
      <c r="Q30" s="32">
        <v>2.84</v>
      </c>
      <c r="R30" s="35">
        <f t="shared" si="0"/>
        <v>4.4031007751937974</v>
      </c>
      <c r="S30" s="29">
        <v>9.8000000000000007</v>
      </c>
      <c r="T30" s="5">
        <v>6.4879999999999995</v>
      </c>
      <c r="U30">
        <v>9.3000000000000007</v>
      </c>
      <c r="V30">
        <v>13.4</v>
      </c>
      <c r="W30" s="12">
        <v>76.527999999999992</v>
      </c>
      <c r="X30" s="28">
        <v>2.8930587497386582</v>
      </c>
    </row>
    <row r="31" spans="1:24" x14ac:dyDescent="0.25">
      <c r="A31" s="6" t="s">
        <v>24</v>
      </c>
      <c r="D31" s="6" t="s">
        <v>29</v>
      </c>
      <c r="E31" s="6">
        <v>1999</v>
      </c>
      <c r="F31" s="6">
        <v>4</v>
      </c>
      <c r="G31" s="6">
        <v>2</v>
      </c>
      <c r="H31" s="6">
        <v>14</v>
      </c>
      <c r="K31" s="6">
        <v>130</v>
      </c>
      <c r="L31" s="34">
        <v>45993</v>
      </c>
      <c r="N31" s="32">
        <v>1</v>
      </c>
      <c r="O31" s="32">
        <v>0</v>
      </c>
      <c r="P31" s="32">
        <v>6.2</v>
      </c>
      <c r="Q31" s="32">
        <v>5.4850000000000003</v>
      </c>
      <c r="R31" s="35">
        <f t="shared" si="0"/>
        <v>8.8467741935483879</v>
      </c>
      <c r="S31" s="29">
        <v>9.83</v>
      </c>
      <c r="T31" s="5">
        <v>7.1920000000000002</v>
      </c>
      <c r="U31">
        <v>9.1999999999999993</v>
      </c>
      <c r="V31">
        <v>12.6</v>
      </c>
      <c r="W31" s="12">
        <v>79.236000000000004</v>
      </c>
      <c r="X31" s="28">
        <v>2.044525215810995</v>
      </c>
    </row>
    <row r="32" spans="1:24" x14ac:dyDescent="0.25">
      <c r="A32" s="6" t="s">
        <v>34</v>
      </c>
      <c r="D32" s="6" t="s">
        <v>38</v>
      </c>
      <c r="E32" s="6">
        <v>1999</v>
      </c>
      <c r="F32" s="6">
        <v>4</v>
      </c>
      <c r="G32" s="6">
        <v>2</v>
      </c>
      <c r="H32" s="6">
        <v>15</v>
      </c>
      <c r="K32" s="6">
        <v>131</v>
      </c>
      <c r="L32" s="34">
        <v>45993</v>
      </c>
      <c r="N32" s="32">
        <v>1</v>
      </c>
      <c r="O32" s="32">
        <v>0</v>
      </c>
      <c r="P32" s="32">
        <v>6.35</v>
      </c>
      <c r="Q32" s="32">
        <v>4.6399999999999997</v>
      </c>
      <c r="R32" s="35">
        <f t="shared" si="0"/>
        <v>7.3070866141732278</v>
      </c>
      <c r="S32" s="29">
        <v>9.91</v>
      </c>
      <c r="T32" s="5">
        <v>6.16</v>
      </c>
      <c r="U32">
        <v>9.4</v>
      </c>
      <c r="V32">
        <v>12.8</v>
      </c>
      <c r="W32" s="12">
        <v>78.322000000000003</v>
      </c>
      <c r="X32" s="28">
        <v>4.1929470646816993</v>
      </c>
    </row>
    <row r="33" spans="1:24" x14ac:dyDescent="0.25">
      <c r="A33" s="6" t="s">
        <v>34</v>
      </c>
      <c r="D33" s="6" t="s">
        <v>41</v>
      </c>
      <c r="E33" s="6">
        <v>2008</v>
      </c>
      <c r="F33" s="6">
        <v>4</v>
      </c>
      <c r="G33" s="6">
        <v>2</v>
      </c>
      <c r="H33" s="6">
        <v>16</v>
      </c>
      <c r="K33" s="6">
        <v>132</v>
      </c>
      <c r="L33" s="34">
        <v>45993</v>
      </c>
      <c r="N33" s="32">
        <v>1</v>
      </c>
      <c r="O33" s="32">
        <v>0</v>
      </c>
      <c r="P33" s="32">
        <v>6.35</v>
      </c>
      <c r="Q33" s="32">
        <v>4.6500000000000004</v>
      </c>
      <c r="R33" s="35">
        <f t="shared" si="0"/>
        <v>7.3228346456692925</v>
      </c>
      <c r="S33" s="29">
        <v>9.3699999999999992</v>
      </c>
      <c r="T33" s="5">
        <v>6.5599999999999987</v>
      </c>
      <c r="U33">
        <v>9.3000000000000007</v>
      </c>
      <c r="V33">
        <v>13</v>
      </c>
      <c r="W33" s="12">
        <v>78.921999999999997</v>
      </c>
      <c r="X33" s="28">
        <v>4.695775575885051</v>
      </c>
    </row>
    <row r="34" spans="1:24" x14ac:dyDescent="0.25">
      <c r="A34" s="61" t="s">
        <v>24</v>
      </c>
      <c r="B34" s="61"/>
      <c r="C34" s="61"/>
      <c r="D34" s="61" t="s">
        <v>26</v>
      </c>
      <c r="E34" s="61">
        <v>1983</v>
      </c>
      <c r="F34" s="61">
        <v>1</v>
      </c>
      <c r="G34" s="61">
        <v>3</v>
      </c>
      <c r="H34" s="61">
        <v>1</v>
      </c>
      <c r="I34" s="61"/>
      <c r="J34" s="61"/>
      <c r="K34" s="61">
        <v>133</v>
      </c>
      <c r="L34" s="34">
        <v>45993</v>
      </c>
      <c r="N34" s="32">
        <v>1</v>
      </c>
      <c r="O34" s="32">
        <v>0</v>
      </c>
      <c r="P34" s="32">
        <v>6.5</v>
      </c>
      <c r="Q34" s="32">
        <v>3.375</v>
      </c>
      <c r="R34" s="35">
        <f t="shared" ref="R34:R65" si="1">(Q34/P34)*10</f>
        <v>5.1923076923076925</v>
      </c>
      <c r="S34" s="29">
        <v>9.7799999999999994</v>
      </c>
      <c r="T34" s="5">
        <v>6.4239999999999995</v>
      </c>
      <c r="U34">
        <v>9.9</v>
      </c>
      <c r="V34">
        <v>14.2</v>
      </c>
      <c r="W34" s="12">
        <v>78.301999999999992</v>
      </c>
      <c r="X34" s="28">
        <v>2.97310413527113</v>
      </c>
    </row>
    <row r="35" spans="1:24" x14ac:dyDescent="0.25">
      <c r="A35" s="61" t="s">
        <v>24</v>
      </c>
      <c r="B35" s="61"/>
      <c r="C35" s="61"/>
      <c r="D35" s="61" t="s">
        <v>27</v>
      </c>
      <c r="E35" s="61">
        <v>1985</v>
      </c>
      <c r="F35" s="61">
        <v>1</v>
      </c>
      <c r="G35" s="61">
        <v>3</v>
      </c>
      <c r="H35" s="61">
        <v>2</v>
      </c>
      <c r="I35" s="61"/>
      <c r="J35" s="61"/>
      <c r="K35" s="61">
        <v>134</v>
      </c>
      <c r="L35" s="34">
        <v>45993</v>
      </c>
      <c r="N35" s="32">
        <v>1</v>
      </c>
      <c r="O35" s="32">
        <v>0</v>
      </c>
      <c r="P35" s="32">
        <v>6.2</v>
      </c>
      <c r="Q35" s="32">
        <v>4.3150000000000004</v>
      </c>
      <c r="R35" s="35">
        <f t="shared" si="1"/>
        <v>6.9596774193548399</v>
      </c>
      <c r="S35" s="29">
        <v>10.3</v>
      </c>
      <c r="T35" s="5">
        <v>6.4879999999999995</v>
      </c>
      <c r="U35">
        <v>9.6</v>
      </c>
      <c r="V35">
        <v>13.8</v>
      </c>
      <c r="W35" s="12">
        <v>82.205999999999989</v>
      </c>
      <c r="X35" s="28">
        <v>5.4351263898012316</v>
      </c>
    </row>
    <row r="36" spans="1:24" x14ac:dyDescent="0.25">
      <c r="A36" s="61" t="s">
        <v>34</v>
      </c>
      <c r="B36" s="61"/>
      <c r="C36" s="61"/>
      <c r="D36" s="61" t="s">
        <v>41</v>
      </c>
      <c r="E36" s="61">
        <v>2008</v>
      </c>
      <c r="F36" s="61">
        <v>1</v>
      </c>
      <c r="G36" s="61">
        <v>3</v>
      </c>
      <c r="H36" s="61">
        <v>3</v>
      </c>
      <c r="I36" s="61"/>
      <c r="J36" s="61"/>
      <c r="K36" s="61">
        <v>135</v>
      </c>
      <c r="L36" s="34">
        <v>45993</v>
      </c>
      <c r="N36" s="32">
        <v>1</v>
      </c>
      <c r="O36" s="32">
        <v>0</v>
      </c>
      <c r="P36" s="32">
        <v>6.25</v>
      </c>
      <c r="Q36" s="32">
        <v>4.47</v>
      </c>
      <c r="R36" s="35">
        <f t="shared" si="1"/>
        <v>7.1519999999999992</v>
      </c>
      <c r="S36" s="29">
        <v>9.59</v>
      </c>
      <c r="T36" s="5">
        <v>6.5759999999999996</v>
      </c>
      <c r="U36">
        <v>9.4</v>
      </c>
      <c r="V36">
        <v>12.6</v>
      </c>
      <c r="W36" s="12">
        <v>77.832000000000008</v>
      </c>
      <c r="X36" s="28">
        <v>5.7328605200945617</v>
      </c>
    </row>
    <row r="37" spans="1:24" x14ac:dyDescent="0.25">
      <c r="A37" s="61" t="s">
        <v>34</v>
      </c>
      <c r="B37" s="61"/>
      <c r="C37" s="61"/>
      <c r="D37" s="61" t="s">
        <v>36</v>
      </c>
      <c r="E37" s="61">
        <v>1984</v>
      </c>
      <c r="F37" s="61">
        <v>1</v>
      </c>
      <c r="G37" s="61">
        <v>3</v>
      </c>
      <c r="H37" s="61">
        <v>4</v>
      </c>
      <c r="I37" s="61"/>
      <c r="J37" s="61"/>
      <c r="K37" s="61">
        <v>136</v>
      </c>
      <c r="L37" s="34">
        <v>45993</v>
      </c>
      <c r="N37" s="32">
        <v>1</v>
      </c>
      <c r="O37" s="32">
        <v>0</v>
      </c>
      <c r="P37" s="32">
        <v>6.2</v>
      </c>
      <c r="Q37" s="32">
        <v>4.54</v>
      </c>
      <c r="R37" s="35">
        <f t="shared" si="1"/>
        <v>7.3225806451612909</v>
      </c>
      <c r="S37" s="29">
        <v>9.5500000000000007</v>
      </c>
      <c r="T37" s="5">
        <v>5.8959999999999999</v>
      </c>
      <c r="U37">
        <v>9.6</v>
      </c>
      <c r="V37">
        <v>12.8</v>
      </c>
      <c r="W37" s="12">
        <v>79.287999999999997</v>
      </c>
      <c r="X37" s="28">
        <v>6.898900211885783</v>
      </c>
    </row>
    <row r="38" spans="1:24" x14ac:dyDescent="0.25">
      <c r="A38" s="61" t="s">
        <v>24</v>
      </c>
      <c r="B38" s="61"/>
      <c r="C38" s="61"/>
      <c r="D38" s="61" t="s">
        <v>313</v>
      </c>
      <c r="E38" s="61">
        <v>2016</v>
      </c>
      <c r="F38" s="61">
        <v>2</v>
      </c>
      <c r="G38" s="61">
        <v>3</v>
      </c>
      <c r="H38" s="61">
        <v>5</v>
      </c>
      <c r="I38" s="61"/>
      <c r="J38" s="61"/>
      <c r="K38" s="61">
        <v>137</v>
      </c>
      <c r="L38" s="34">
        <v>45993</v>
      </c>
      <c r="N38" s="32">
        <v>1</v>
      </c>
      <c r="O38" s="32">
        <v>0</v>
      </c>
      <c r="P38" s="32">
        <v>6.05</v>
      </c>
      <c r="Q38" s="32">
        <v>4.3949999999999996</v>
      </c>
      <c r="R38" s="35">
        <f t="shared" si="1"/>
        <v>7.2644628099173545</v>
      </c>
      <c r="S38" s="29">
        <v>10.7</v>
      </c>
      <c r="T38" s="5">
        <v>7.7599999999999989</v>
      </c>
      <c r="U38">
        <v>10.3</v>
      </c>
      <c r="V38">
        <v>12.5</v>
      </c>
      <c r="W38" s="12">
        <v>80.494</v>
      </c>
      <c r="X38" s="28">
        <v>2.5989514746440729</v>
      </c>
    </row>
    <row r="39" spans="1:24" x14ac:dyDescent="0.25">
      <c r="A39" s="61" t="s">
        <v>24</v>
      </c>
      <c r="B39" s="61"/>
      <c r="C39" s="61"/>
      <c r="D39" s="61" t="s">
        <v>32</v>
      </c>
      <c r="E39" s="61">
        <v>2018</v>
      </c>
      <c r="F39" s="61">
        <v>2</v>
      </c>
      <c r="G39" s="61">
        <v>3</v>
      </c>
      <c r="H39" s="61">
        <v>6</v>
      </c>
      <c r="I39" s="61"/>
      <c r="J39" s="61"/>
      <c r="K39" s="61">
        <v>138</v>
      </c>
      <c r="L39" s="34">
        <v>45993</v>
      </c>
      <c r="N39" s="32">
        <v>1</v>
      </c>
      <c r="O39" s="32">
        <v>0</v>
      </c>
      <c r="P39" s="32">
        <v>6.25</v>
      </c>
      <c r="Q39" s="32">
        <v>5.49</v>
      </c>
      <c r="R39" s="35">
        <f t="shared" si="1"/>
        <v>8.7840000000000007</v>
      </c>
      <c r="S39" s="29">
        <v>10.4</v>
      </c>
      <c r="T39" s="5">
        <v>7.6959999999999997</v>
      </c>
      <c r="U39">
        <v>10</v>
      </c>
      <c r="V39">
        <v>12.1</v>
      </c>
      <c r="W39" s="12">
        <v>79.316000000000003</v>
      </c>
      <c r="X39" s="28">
        <v>1.8155227192495842</v>
      </c>
    </row>
    <row r="40" spans="1:24" x14ac:dyDescent="0.25">
      <c r="A40" s="61" t="s">
        <v>34</v>
      </c>
      <c r="B40" s="61"/>
      <c r="C40" s="61"/>
      <c r="D40" s="61" t="s">
        <v>39</v>
      </c>
      <c r="E40" s="61">
        <v>2001</v>
      </c>
      <c r="F40" s="61">
        <v>2</v>
      </c>
      <c r="G40" s="61">
        <v>3</v>
      </c>
      <c r="H40" s="61">
        <v>7</v>
      </c>
      <c r="I40" s="61"/>
      <c r="J40" s="61"/>
      <c r="K40" s="61">
        <v>139</v>
      </c>
      <c r="L40" s="34">
        <v>45993</v>
      </c>
      <c r="N40" s="32">
        <v>1</v>
      </c>
      <c r="O40" s="32">
        <v>0</v>
      </c>
      <c r="P40" s="32">
        <v>6.45</v>
      </c>
      <c r="Q40" s="32">
        <v>4.9249999999999998</v>
      </c>
      <c r="R40" s="35">
        <f t="shared" si="1"/>
        <v>7.6356589147286815</v>
      </c>
      <c r="S40" s="29">
        <v>9.36</v>
      </c>
      <c r="T40" s="5">
        <v>7.048</v>
      </c>
      <c r="U40">
        <v>9.9</v>
      </c>
      <c r="V40">
        <v>13.5</v>
      </c>
      <c r="W40" s="12">
        <v>77.353999999999999</v>
      </c>
      <c r="X40" s="28">
        <v>2.7561599917263488</v>
      </c>
    </row>
    <row r="41" spans="1:24" x14ac:dyDescent="0.25">
      <c r="A41" s="61" t="s">
        <v>34</v>
      </c>
      <c r="B41" s="61"/>
      <c r="C41" s="61"/>
      <c r="D41" s="61" t="s">
        <v>38</v>
      </c>
      <c r="E41" s="61">
        <v>1999</v>
      </c>
      <c r="F41" s="61">
        <v>2</v>
      </c>
      <c r="G41" s="61">
        <v>3</v>
      </c>
      <c r="H41" s="61">
        <v>8</v>
      </c>
      <c r="I41" s="61"/>
      <c r="J41" s="61"/>
      <c r="K41" s="61">
        <v>140</v>
      </c>
      <c r="L41" s="34">
        <v>45993</v>
      </c>
      <c r="N41" s="32">
        <v>1</v>
      </c>
      <c r="O41" s="32">
        <v>0</v>
      </c>
      <c r="P41" s="32">
        <v>6.25</v>
      </c>
      <c r="Q41" s="32">
        <v>4.59</v>
      </c>
      <c r="R41" s="35">
        <f t="shared" si="1"/>
        <v>7.3439999999999994</v>
      </c>
      <c r="S41" s="29">
        <v>9.69</v>
      </c>
      <c r="T41" s="5">
        <v>7.5359999999999996</v>
      </c>
      <c r="U41">
        <v>10.7</v>
      </c>
      <c r="V41">
        <v>10.6</v>
      </c>
      <c r="W41" s="12">
        <v>80.92</v>
      </c>
      <c r="X41" s="28">
        <v>2.7805239742956003</v>
      </c>
    </row>
    <row r="42" spans="1:24" x14ac:dyDescent="0.25">
      <c r="A42" s="6" t="s">
        <v>24</v>
      </c>
      <c r="D42" s="6" t="s">
        <v>28</v>
      </c>
      <c r="E42" s="6">
        <v>1998</v>
      </c>
      <c r="F42" s="6">
        <v>3</v>
      </c>
      <c r="G42" s="6">
        <v>3</v>
      </c>
      <c r="H42" s="6">
        <v>9</v>
      </c>
      <c r="K42" s="6">
        <v>141</v>
      </c>
      <c r="L42" s="34">
        <v>45993</v>
      </c>
      <c r="N42" s="32">
        <v>1</v>
      </c>
      <c r="O42" s="32">
        <v>0</v>
      </c>
      <c r="P42" s="32">
        <v>6.3</v>
      </c>
      <c r="Q42" s="32">
        <v>5.0199999999999996</v>
      </c>
      <c r="R42" s="35">
        <f t="shared" si="1"/>
        <v>7.9682539682539675</v>
      </c>
      <c r="S42" s="29">
        <v>9.4499999999999993</v>
      </c>
      <c r="T42" s="5">
        <v>6.7759999999999998</v>
      </c>
      <c r="U42">
        <v>9.9</v>
      </c>
      <c r="V42">
        <v>13.1</v>
      </c>
      <c r="W42" s="12">
        <v>79.103999999999999</v>
      </c>
      <c r="X42" s="28">
        <v>3.1983211974110035</v>
      </c>
    </row>
    <row r="43" spans="1:24" x14ac:dyDescent="0.25">
      <c r="A43" s="6" t="s">
        <v>24</v>
      </c>
      <c r="D43" s="6" t="s">
        <v>29</v>
      </c>
      <c r="E43" s="6">
        <v>1999</v>
      </c>
      <c r="F43" s="6">
        <v>3</v>
      </c>
      <c r="G43" s="6">
        <v>3</v>
      </c>
      <c r="H43" s="6">
        <v>10</v>
      </c>
      <c r="K43" s="6">
        <v>142</v>
      </c>
      <c r="L43" s="34">
        <v>45993</v>
      </c>
      <c r="N43" s="32">
        <v>1</v>
      </c>
      <c r="O43" s="32">
        <v>0</v>
      </c>
      <c r="P43" s="32">
        <v>6.4</v>
      </c>
      <c r="Q43" s="32">
        <v>2.84</v>
      </c>
      <c r="R43" s="35">
        <f t="shared" si="1"/>
        <v>4.4375</v>
      </c>
      <c r="S43" s="29">
        <v>10.9</v>
      </c>
      <c r="T43" s="5">
        <v>7.5600000000000005</v>
      </c>
      <c r="U43">
        <v>9.8000000000000007</v>
      </c>
      <c r="V43">
        <v>12.7</v>
      </c>
      <c r="W43" s="12">
        <v>75.304000000000002</v>
      </c>
      <c r="X43" s="28">
        <v>2.1486242430680971</v>
      </c>
    </row>
    <row r="44" spans="1:24" x14ac:dyDescent="0.25">
      <c r="A44" s="6" t="s">
        <v>34</v>
      </c>
      <c r="D44" s="6" t="s">
        <v>43</v>
      </c>
      <c r="E44" s="6">
        <v>2020</v>
      </c>
      <c r="F44" s="6">
        <v>3</v>
      </c>
      <c r="G44" s="6">
        <v>3</v>
      </c>
      <c r="H44" s="6">
        <v>11</v>
      </c>
      <c r="K44" s="6">
        <v>143</v>
      </c>
      <c r="L44" s="34">
        <v>45993</v>
      </c>
      <c r="N44" s="32">
        <v>1</v>
      </c>
      <c r="O44" s="32">
        <v>0</v>
      </c>
      <c r="P44" s="32">
        <v>6.25</v>
      </c>
      <c r="Q44" s="32">
        <v>5.415</v>
      </c>
      <c r="R44" s="35">
        <f t="shared" si="1"/>
        <v>8.6640000000000015</v>
      </c>
      <c r="S44" s="29">
        <v>9.67</v>
      </c>
      <c r="T44" s="5">
        <v>7.3359999999999994</v>
      </c>
      <c r="U44">
        <v>10.6</v>
      </c>
      <c r="V44">
        <v>12.2</v>
      </c>
      <c r="W44" s="12">
        <v>83.744</v>
      </c>
      <c r="X44" s="28">
        <v>2.3643484906381351</v>
      </c>
    </row>
    <row r="45" spans="1:24" x14ac:dyDescent="0.25">
      <c r="A45" s="6" t="s">
        <v>34</v>
      </c>
      <c r="D45" s="6" t="s">
        <v>318</v>
      </c>
      <c r="E45" s="6">
        <v>2004</v>
      </c>
      <c r="F45" s="6">
        <v>3</v>
      </c>
      <c r="G45" s="6">
        <v>3</v>
      </c>
      <c r="H45" s="6">
        <v>12</v>
      </c>
      <c r="K45" s="6">
        <v>144</v>
      </c>
      <c r="L45" s="34">
        <v>45993</v>
      </c>
      <c r="N45" s="32">
        <v>1</v>
      </c>
      <c r="O45" s="32">
        <v>0</v>
      </c>
      <c r="P45" s="32">
        <v>6.2</v>
      </c>
      <c r="Q45" s="32">
        <v>4.71</v>
      </c>
      <c r="R45" s="35">
        <f t="shared" si="1"/>
        <v>7.596774193548387</v>
      </c>
      <c r="S45" s="29">
        <v>9.61</v>
      </c>
      <c r="T45" s="5">
        <v>7.4560000000000004</v>
      </c>
      <c r="U45">
        <v>9.6999999999999993</v>
      </c>
      <c r="V45">
        <v>13</v>
      </c>
      <c r="W45" s="12">
        <v>81.688000000000002</v>
      </c>
      <c r="X45" s="28">
        <v>3.0016648712173146</v>
      </c>
    </row>
    <row r="46" spans="1:24" x14ac:dyDescent="0.25">
      <c r="A46" s="6" t="s">
        <v>24</v>
      </c>
      <c r="D46" s="6" t="s">
        <v>311</v>
      </c>
      <c r="E46" s="6">
        <v>2023</v>
      </c>
      <c r="F46" s="6">
        <v>4</v>
      </c>
      <c r="G46" s="6">
        <v>3</v>
      </c>
      <c r="H46" s="6">
        <v>13</v>
      </c>
      <c r="K46" s="6">
        <v>145</v>
      </c>
      <c r="L46" s="34">
        <v>45993</v>
      </c>
      <c r="N46" s="32">
        <v>1</v>
      </c>
      <c r="O46" s="32">
        <v>0</v>
      </c>
      <c r="P46" s="32">
        <v>6.35</v>
      </c>
      <c r="Q46" s="32">
        <v>4.91</v>
      </c>
      <c r="R46" s="35">
        <f t="shared" si="1"/>
        <v>7.7322834645669305</v>
      </c>
      <c r="S46" s="29">
        <v>9.23</v>
      </c>
      <c r="T46" s="5">
        <v>7.3120000000000003</v>
      </c>
      <c r="U46">
        <v>8.8000000000000007</v>
      </c>
      <c r="V46">
        <v>12.4</v>
      </c>
      <c r="W46" s="12">
        <v>80.686000000000007</v>
      </c>
      <c r="X46" s="28">
        <v>2.8827801601269116</v>
      </c>
    </row>
    <row r="47" spans="1:24" x14ac:dyDescent="0.25">
      <c r="A47" s="6" t="s">
        <v>24</v>
      </c>
      <c r="D47" s="6" t="s">
        <v>312</v>
      </c>
      <c r="E47" s="6">
        <v>2002</v>
      </c>
      <c r="F47" s="6">
        <v>4</v>
      </c>
      <c r="G47" s="6">
        <v>3</v>
      </c>
      <c r="H47" s="6">
        <v>14</v>
      </c>
      <c r="K47" s="6">
        <v>146</v>
      </c>
      <c r="L47" s="34">
        <v>45993</v>
      </c>
      <c r="N47" s="32">
        <v>1</v>
      </c>
      <c r="O47" s="32">
        <v>0</v>
      </c>
      <c r="P47" s="32">
        <v>5.95</v>
      </c>
      <c r="Q47" s="32">
        <v>4.1449999999999996</v>
      </c>
      <c r="R47" s="35">
        <f t="shared" si="1"/>
        <v>6.9663865546218471</v>
      </c>
      <c r="S47" s="29">
        <v>10.1</v>
      </c>
      <c r="T47" s="5">
        <v>6.4319999999999986</v>
      </c>
      <c r="U47">
        <v>9</v>
      </c>
      <c r="V47">
        <v>13.3</v>
      </c>
      <c r="W47" s="12">
        <v>77.400000000000006</v>
      </c>
      <c r="X47" s="28">
        <v>1.8217054263565891</v>
      </c>
    </row>
    <row r="48" spans="1:24" x14ac:dyDescent="0.25">
      <c r="A48" s="6" t="s">
        <v>34</v>
      </c>
      <c r="D48" s="6" t="s">
        <v>37</v>
      </c>
      <c r="E48" s="6">
        <v>1989</v>
      </c>
      <c r="F48" s="6">
        <v>4</v>
      </c>
      <c r="G48" s="6">
        <v>3</v>
      </c>
      <c r="H48" s="6">
        <v>15</v>
      </c>
      <c r="K48" s="6">
        <v>147</v>
      </c>
      <c r="L48" s="34">
        <v>45993</v>
      </c>
      <c r="N48" s="32">
        <v>1</v>
      </c>
      <c r="O48" s="32">
        <v>0</v>
      </c>
      <c r="P48" s="32">
        <v>6.15</v>
      </c>
      <c r="Q48" s="32">
        <v>5.1150000000000002</v>
      </c>
      <c r="R48" s="35">
        <f t="shared" si="1"/>
        <v>8.3170731707317067</v>
      </c>
      <c r="S48" s="29">
        <v>9.94</v>
      </c>
      <c r="T48" s="5">
        <v>7.104000000000001</v>
      </c>
      <c r="U48">
        <v>9.6999999999999993</v>
      </c>
      <c r="V48">
        <v>12.3</v>
      </c>
      <c r="W48" s="12">
        <v>80.427999999999997</v>
      </c>
      <c r="X48" s="28">
        <v>3.1854578007659029</v>
      </c>
    </row>
    <row r="49" spans="1:24" x14ac:dyDescent="0.25">
      <c r="A49" s="6" t="s">
        <v>34</v>
      </c>
      <c r="D49" s="6" t="s">
        <v>42</v>
      </c>
      <c r="E49" s="6">
        <v>2016</v>
      </c>
      <c r="F49" s="6">
        <v>4</v>
      </c>
      <c r="G49" s="6">
        <v>3</v>
      </c>
      <c r="H49" s="6">
        <v>16</v>
      </c>
      <c r="K49" s="6">
        <v>148</v>
      </c>
      <c r="L49" s="34">
        <v>45993</v>
      </c>
      <c r="N49" s="32">
        <v>1</v>
      </c>
      <c r="O49" s="32">
        <v>0</v>
      </c>
      <c r="P49" s="32">
        <v>6.05</v>
      </c>
      <c r="Q49" s="32">
        <v>4.91</v>
      </c>
      <c r="R49" s="35">
        <f t="shared" si="1"/>
        <v>8.115702479338843</v>
      </c>
      <c r="S49" s="29">
        <v>9.66</v>
      </c>
      <c r="T49" s="5">
        <v>7.5600000000000005</v>
      </c>
      <c r="U49">
        <v>9.1999999999999993</v>
      </c>
      <c r="V49">
        <v>12</v>
      </c>
      <c r="W49" s="12">
        <v>80.64</v>
      </c>
      <c r="X49" s="28">
        <v>4.3849206349206353</v>
      </c>
    </row>
    <row r="50" spans="1:24" x14ac:dyDescent="0.25">
      <c r="A50" s="61" t="s">
        <v>24</v>
      </c>
      <c r="B50" s="61"/>
      <c r="C50" s="61"/>
      <c r="D50" s="61" t="s">
        <v>29</v>
      </c>
      <c r="E50" s="61">
        <v>1999</v>
      </c>
      <c r="F50" s="61">
        <v>1</v>
      </c>
      <c r="G50" s="61">
        <v>4</v>
      </c>
      <c r="H50" s="61">
        <v>1</v>
      </c>
      <c r="I50" s="61"/>
      <c r="J50" s="61"/>
      <c r="K50" s="61">
        <v>149</v>
      </c>
      <c r="L50" s="34">
        <v>45993</v>
      </c>
      <c r="N50" s="32">
        <v>1</v>
      </c>
      <c r="O50" s="32">
        <v>0</v>
      </c>
      <c r="P50" s="32">
        <v>5.9</v>
      </c>
      <c r="Q50" s="32">
        <v>3.69</v>
      </c>
      <c r="R50" s="35">
        <f t="shared" si="1"/>
        <v>6.2542372881355925</v>
      </c>
      <c r="S50" s="29">
        <v>10.8</v>
      </c>
      <c r="T50" s="5">
        <v>6.7759999999999998</v>
      </c>
      <c r="U50">
        <v>9.9</v>
      </c>
      <c r="V50">
        <v>12.3</v>
      </c>
      <c r="W50" s="12">
        <v>76.756</v>
      </c>
      <c r="X50" s="28">
        <v>2.0584709990098498</v>
      </c>
    </row>
    <row r="51" spans="1:24" x14ac:dyDescent="0.25">
      <c r="A51" s="61" t="s">
        <v>24</v>
      </c>
      <c r="B51" s="61"/>
      <c r="C51" s="61"/>
      <c r="D51" s="61" t="s">
        <v>32</v>
      </c>
      <c r="E51" s="61">
        <v>2018</v>
      </c>
      <c r="F51" s="61">
        <v>1</v>
      </c>
      <c r="G51" s="61">
        <v>4</v>
      </c>
      <c r="H51" s="61">
        <v>2</v>
      </c>
      <c r="I51" s="61"/>
      <c r="J51" s="61"/>
      <c r="K51" s="61">
        <v>150</v>
      </c>
      <c r="L51" s="34">
        <v>45993</v>
      </c>
      <c r="N51" s="32">
        <v>1</v>
      </c>
      <c r="O51" s="32">
        <v>0</v>
      </c>
      <c r="P51" s="32">
        <v>5.85</v>
      </c>
      <c r="Q51" s="32">
        <v>5.24</v>
      </c>
      <c r="R51" s="35">
        <f t="shared" si="1"/>
        <v>8.9572649572649574</v>
      </c>
      <c r="S51" s="29">
        <v>10.6</v>
      </c>
      <c r="T51" s="5">
        <v>7.28</v>
      </c>
      <c r="U51">
        <v>8.8000000000000007</v>
      </c>
      <c r="V51">
        <v>11.9</v>
      </c>
      <c r="W51" s="12">
        <v>76.994</v>
      </c>
      <c r="X51" s="28">
        <v>2.0365223264150449</v>
      </c>
    </row>
    <row r="52" spans="1:24" x14ac:dyDescent="0.25">
      <c r="A52" s="61" t="s">
        <v>34</v>
      </c>
      <c r="B52" s="61"/>
      <c r="C52" s="61"/>
      <c r="D52" s="61" t="s">
        <v>38</v>
      </c>
      <c r="E52" s="61">
        <v>1999</v>
      </c>
      <c r="F52" s="61">
        <v>1</v>
      </c>
      <c r="G52" s="61">
        <v>4</v>
      </c>
      <c r="H52" s="61">
        <v>3</v>
      </c>
      <c r="I52" s="61"/>
      <c r="J52" s="61"/>
      <c r="K52" s="61">
        <v>151</v>
      </c>
      <c r="L52" s="34">
        <v>45993</v>
      </c>
      <c r="N52" s="32">
        <v>1</v>
      </c>
      <c r="O52" s="32">
        <v>0</v>
      </c>
      <c r="P52" s="32">
        <v>6.1</v>
      </c>
      <c r="Q52" s="32">
        <v>4.3449999999999998</v>
      </c>
      <c r="R52" s="35">
        <f t="shared" si="1"/>
        <v>7.1229508196721314</v>
      </c>
      <c r="S52" s="29">
        <v>10.1</v>
      </c>
      <c r="T52" s="5">
        <v>7.1760000000000002</v>
      </c>
      <c r="U52">
        <v>10.199999999999999</v>
      </c>
      <c r="V52">
        <v>12.4</v>
      </c>
      <c r="W52" s="12">
        <v>81.034000000000006</v>
      </c>
      <c r="X52" s="28">
        <v>3.0801885628254806</v>
      </c>
    </row>
    <row r="53" spans="1:24" x14ac:dyDescent="0.25">
      <c r="A53" s="61" t="s">
        <v>34</v>
      </c>
      <c r="B53" s="61"/>
      <c r="C53" s="61"/>
      <c r="D53" s="61" t="s">
        <v>43</v>
      </c>
      <c r="E53" s="61">
        <v>2020</v>
      </c>
      <c r="F53" s="61">
        <v>1</v>
      </c>
      <c r="G53" s="61">
        <v>4</v>
      </c>
      <c r="H53" s="61">
        <v>4</v>
      </c>
      <c r="I53" s="61"/>
      <c r="J53" s="61"/>
      <c r="K53" s="61">
        <v>152</v>
      </c>
      <c r="L53" s="34">
        <v>45993</v>
      </c>
      <c r="N53" s="32">
        <v>1</v>
      </c>
      <c r="O53" s="32">
        <v>0</v>
      </c>
      <c r="P53" s="32">
        <v>6.1</v>
      </c>
      <c r="Q53" s="32">
        <v>5.39</v>
      </c>
      <c r="R53" s="35">
        <f t="shared" si="1"/>
        <v>8.8360655737704921</v>
      </c>
      <c r="S53" s="29">
        <v>9.8800000000000008</v>
      </c>
      <c r="T53" s="5">
        <v>7.2719999999999994</v>
      </c>
      <c r="U53">
        <v>9.4</v>
      </c>
      <c r="V53">
        <v>11.5</v>
      </c>
      <c r="W53" s="12">
        <v>82.078000000000003</v>
      </c>
      <c r="X53" s="28">
        <v>3.4918004824678968</v>
      </c>
    </row>
    <row r="54" spans="1:24" x14ac:dyDescent="0.25">
      <c r="A54" s="61" t="s">
        <v>24</v>
      </c>
      <c r="B54" s="61"/>
      <c r="C54" s="61"/>
      <c r="D54" s="61" t="s">
        <v>312</v>
      </c>
      <c r="E54" s="61">
        <v>2002</v>
      </c>
      <c r="F54" s="61">
        <v>2</v>
      </c>
      <c r="G54" s="61">
        <v>4</v>
      </c>
      <c r="H54" s="61">
        <v>5</v>
      </c>
      <c r="I54" s="61"/>
      <c r="J54" s="61"/>
      <c r="K54" s="61">
        <v>153</v>
      </c>
      <c r="L54" s="34">
        <v>45993</v>
      </c>
      <c r="N54" s="32">
        <v>1</v>
      </c>
      <c r="O54" s="32">
        <v>0</v>
      </c>
      <c r="P54" s="32">
        <v>6.15</v>
      </c>
      <c r="Q54" s="32">
        <v>4.87</v>
      </c>
      <c r="R54" s="35">
        <f t="shared" si="1"/>
        <v>7.9186991869918701</v>
      </c>
      <c r="S54" s="29">
        <v>10.4</v>
      </c>
      <c r="T54" s="5">
        <v>6.8079999999999998</v>
      </c>
      <c r="U54">
        <v>9.9</v>
      </c>
      <c r="V54">
        <v>12.2</v>
      </c>
      <c r="W54" s="12">
        <v>75.603999999999999</v>
      </c>
      <c r="X54" s="28">
        <v>2.3279191577165235</v>
      </c>
    </row>
    <row r="55" spans="1:24" x14ac:dyDescent="0.25">
      <c r="A55" s="61" t="s">
        <v>24</v>
      </c>
      <c r="B55" s="61"/>
      <c r="C55" s="61"/>
      <c r="D55" s="61" t="s">
        <v>26</v>
      </c>
      <c r="E55" s="61">
        <v>1983</v>
      </c>
      <c r="F55" s="61">
        <v>2</v>
      </c>
      <c r="G55" s="61">
        <v>4</v>
      </c>
      <c r="H55" s="61">
        <v>6</v>
      </c>
      <c r="I55" s="61"/>
      <c r="J55" s="61"/>
      <c r="K55" s="61">
        <v>154</v>
      </c>
      <c r="L55" s="34">
        <v>45993</v>
      </c>
      <c r="N55" s="32">
        <v>1</v>
      </c>
      <c r="O55" s="32">
        <v>0</v>
      </c>
      <c r="P55" s="32">
        <v>6.2</v>
      </c>
      <c r="Q55" s="32">
        <v>2.855</v>
      </c>
      <c r="R55" s="35">
        <f t="shared" si="1"/>
        <v>4.604838709677419</v>
      </c>
      <c r="S55" s="29">
        <v>9.93</v>
      </c>
      <c r="T55" s="5">
        <v>6.6560000000000006</v>
      </c>
      <c r="U55">
        <v>10.4</v>
      </c>
      <c r="V55">
        <v>13.2</v>
      </c>
      <c r="W55" s="12">
        <v>77.164000000000001</v>
      </c>
      <c r="X55" s="28">
        <v>2.677414338292468</v>
      </c>
    </row>
    <row r="56" spans="1:24" x14ac:dyDescent="0.25">
      <c r="A56" s="61" t="s">
        <v>34</v>
      </c>
      <c r="B56" s="61"/>
      <c r="C56" s="61"/>
      <c r="D56" s="61" t="s">
        <v>36</v>
      </c>
      <c r="E56" s="61">
        <v>1984</v>
      </c>
      <c r="F56" s="61">
        <v>2</v>
      </c>
      <c r="G56" s="61">
        <v>4</v>
      </c>
      <c r="H56" s="61">
        <v>7</v>
      </c>
      <c r="I56" s="61"/>
      <c r="J56" s="61"/>
      <c r="K56" s="61">
        <v>155</v>
      </c>
      <c r="L56" s="34">
        <v>45993</v>
      </c>
      <c r="N56" s="32">
        <v>1</v>
      </c>
      <c r="O56" s="32">
        <v>0</v>
      </c>
      <c r="P56" s="32">
        <v>6.05</v>
      </c>
      <c r="Q56" s="32">
        <v>4.37</v>
      </c>
      <c r="R56" s="35">
        <f t="shared" si="1"/>
        <v>7.223140495867769</v>
      </c>
      <c r="S56" s="29">
        <v>9.51</v>
      </c>
      <c r="T56" s="5">
        <v>5.92</v>
      </c>
      <c r="U56">
        <v>10.3</v>
      </c>
      <c r="V56">
        <v>12.9</v>
      </c>
      <c r="W56" s="12">
        <v>78.599999999999994</v>
      </c>
      <c r="X56" s="28">
        <v>6.5267175572519083</v>
      </c>
    </row>
    <row r="57" spans="1:24" x14ac:dyDescent="0.25">
      <c r="A57" s="61" t="s">
        <v>34</v>
      </c>
      <c r="B57" s="61"/>
      <c r="C57" s="61"/>
      <c r="D57" s="61" t="s">
        <v>42</v>
      </c>
      <c r="E57" s="61">
        <v>2016</v>
      </c>
      <c r="F57" s="61">
        <v>2</v>
      </c>
      <c r="G57" s="61">
        <v>4</v>
      </c>
      <c r="H57" s="61">
        <v>8</v>
      </c>
      <c r="I57" s="61"/>
      <c r="J57" s="61"/>
      <c r="K57" s="61">
        <v>156</v>
      </c>
      <c r="L57" s="34">
        <v>45993</v>
      </c>
      <c r="N57" s="32">
        <v>1</v>
      </c>
      <c r="O57" s="32">
        <v>0</v>
      </c>
      <c r="P57" s="32">
        <v>6.15</v>
      </c>
      <c r="Q57" s="32">
        <v>4.96</v>
      </c>
      <c r="R57" s="35">
        <f t="shared" si="1"/>
        <v>8.0650406504065035</v>
      </c>
      <c r="S57" s="29">
        <v>9.64</v>
      </c>
      <c r="T57" s="5">
        <v>7.3439999999999994</v>
      </c>
      <c r="U57">
        <v>10.4</v>
      </c>
      <c r="V57">
        <v>12.2</v>
      </c>
      <c r="W57" s="12">
        <v>78.650000000000006</v>
      </c>
      <c r="X57" s="28">
        <v>5.5155753337571518</v>
      </c>
    </row>
    <row r="58" spans="1:24" x14ac:dyDescent="0.25">
      <c r="A58" s="6" t="s">
        <v>24</v>
      </c>
      <c r="D58" s="6" t="s">
        <v>27</v>
      </c>
      <c r="E58" s="6">
        <v>1985</v>
      </c>
      <c r="F58" s="6">
        <v>3</v>
      </c>
      <c r="G58" s="6">
        <v>4</v>
      </c>
      <c r="H58" s="6">
        <v>9</v>
      </c>
      <c r="K58" s="6">
        <v>157</v>
      </c>
      <c r="L58" s="34">
        <v>45993</v>
      </c>
      <c r="N58" s="32">
        <v>1</v>
      </c>
      <c r="O58" s="32">
        <v>0</v>
      </c>
      <c r="P58" s="32">
        <v>6.15</v>
      </c>
      <c r="Q58" s="32">
        <v>4.72</v>
      </c>
      <c r="R58" s="35">
        <f t="shared" si="1"/>
        <v>7.6747967479674788</v>
      </c>
      <c r="S58" s="29">
        <v>9.98</v>
      </c>
      <c r="T58" s="5">
        <v>7.168000000000001</v>
      </c>
      <c r="U58">
        <v>10.199999999999999</v>
      </c>
      <c r="V58">
        <v>11.7</v>
      </c>
      <c r="W58" s="12">
        <v>82.328000000000003</v>
      </c>
      <c r="X58" s="28">
        <v>2.660091341949276</v>
      </c>
    </row>
    <row r="59" spans="1:24" x14ac:dyDescent="0.25">
      <c r="A59" s="6" t="s">
        <v>24</v>
      </c>
      <c r="D59" s="6" t="s">
        <v>311</v>
      </c>
      <c r="E59" s="6">
        <v>2023</v>
      </c>
      <c r="F59" s="6">
        <v>3</v>
      </c>
      <c r="G59" s="6">
        <v>4</v>
      </c>
      <c r="H59" s="6">
        <v>10</v>
      </c>
      <c r="K59" s="6">
        <v>158</v>
      </c>
      <c r="L59" s="34">
        <v>45993</v>
      </c>
      <c r="N59" s="32">
        <v>1</v>
      </c>
      <c r="O59" s="32">
        <v>0</v>
      </c>
      <c r="P59" s="32">
        <v>6.35</v>
      </c>
      <c r="Q59" s="32">
        <v>4.8650000000000002</v>
      </c>
      <c r="R59" s="35">
        <f t="shared" si="1"/>
        <v>7.6614173228346463</v>
      </c>
      <c r="S59" s="29">
        <v>9.9600000000000009</v>
      </c>
      <c r="T59" s="5">
        <v>7.968</v>
      </c>
      <c r="U59">
        <v>10.199999999999999</v>
      </c>
      <c r="V59">
        <v>12</v>
      </c>
      <c r="W59" s="12">
        <v>83.638000000000005</v>
      </c>
      <c r="X59" s="28">
        <v>2.7092948181448624</v>
      </c>
    </row>
    <row r="60" spans="1:24" x14ac:dyDescent="0.25">
      <c r="A60" s="6" t="s">
        <v>34</v>
      </c>
      <c r="D60" s="6" t="s">
        <v>41</v>
      </c>
      <c r="E60" s="6">
        <v>2008</v>
      </c>
      <c r="F60" s="6">
        <v>3</v>
      </c>
      <c r="G60" s="6">
        <v>4</v>
      </c>
      <c r="H60" s="6">
        <v>11</v>
      </c>
      <c r="K60" s="6">
        <v>159</v>
      </c>
      <c r="L60" s="34">
        <v>45993</v>
      </c>
      <c r="N60" s="32">
        <v>1</v>
      </c>
      <c r="O60" s="32">
        <v>0</v>
      </c>
      <c r="P60" s="32">
        <v>6.2</v>
      </c>
      <c r="Q60" s="32">
        <v>4.5149999999999997</v>
      </c>
      <c r="R60" s="35">
        <f t="shared" si="1"/>
        <v>7.2822580645161281</v>
      </c>
      <c r="S60" s="29">
        <v>9.44</v>
      </c>
      <c r="T60" s="5">
        <v>6.4480000000000013</v>
      </c>
      <c r="U60">
        <v>8.6</v>
      </c>
      <c r="V60">
        <v>13.3</v>
      </c>
      <c r="W60" s="12">
        <v>78.231999999999999</v>
      </c>
      <c r="X60" s="28">
        <v>5.5118110236220463</v>
      </c>
    </row>
    <row r="61" spans="1:24" x14ac:dyDescent="0.25">
      <c r="A61" s="6" t="s">
        <v>34</v>
      </c>
      <c r="D61" s="6" t="s">
        <v>37</v>
      </c>
      <c r="E61" s="6">
        <v>1989</v>
      </c>
      <c r="F61" s="6">
        <v>3</v>
      </c>
      <c r="G61" s="6">
        <v>4</v>
      </c>
      <c r="H61" s="6">
        <v>12</v>
      </c>
      <c r="K61" s="6">
        <v>160</v>
      </c>
      <c r="L61" s="34">
        <v>45993</v>
      </c>
      <c r="N61" s="32">
        <v>1</v>
      </c>
      <c r="O61" s="32">
        <v>0</v>
      </c>
      <c r="P61" s="32">
        <v>6.15</v>
      </c>
      <c r="Q61" s="32">
        <v>4.6100000000000003</v>
      </c>
      <c r="R61" s="35">
        <f t="shared" si="1"/>
        <v>7.4959349593495936</v>
      </c>
      <c r="S61" s="29">
        <v>9.58</v>
      </c>
      <c r="T61" s="5">
        <v>6.6640000000000006</v>
      </c>
      <c r="U61">
        <v>9.1</v>
      </c>
      <c r="V61">
        <v>12.4</v>
      </c>
      <c r="W61" s="12">
        <v>82.1</v>
      </c>
      <c r="X61" s="28">
        <v>3.5736906211936663</v>
      </c>
    </row>
    <row r="62" spans="1:24" x14ac:dyDescent="0.25">
      <c r="A62" s="6" t="s">
        <v>24</v>
      </c>
      <c r="D62" s="6" t="s">
        <v>28</v>
      </c>
      <c r="E62" s="6">
        <v>1998</v>
      </c>
      <c r="F62" s="6">
        <v>4</v>
      </c>
      <c r="G62" s="6">
        <v>4</v>
      </c>
      <c r="H62" s="6">
        <v>13</v>
      </c>
      <c r="K62" s="6">
        <v>161</v>
      </c>
      <c r="L62" s="34">
        <v>45993</v>
      </c>
      <c r="N62" s="32">
        <v>1</v>
      </c>
      <c r="O62" s="32">
        <v>0</v>
      </c>
      <c r="P62" s="32">
        <v>6.35</v>
      </c>
      <c r="Q62" s="32">
        <v>5.28</v>
      </c>
      <c r="R62" s="35">
        <f t="shared" si="1"/>
        <v>8.3149606299212611</v>
      </c>
      <c r="S62" s="29">
        <v>9.82</v>
      </c>
      <c r="T62" s="5">
        <v>6.68</v>
      </c>
      <c r="U62">
        <v>9.5</v>
      </c>
      <c r="V62">
        <v>12</v>
      </c>
      <c r="W62" s="12">
        <v>80.311999999999998</v>
      </c>
      <c r="X62" s="28">
        <v>3.2672576949895409</v>
      </c>
    </row>
    <row r="63" spans="1:24" x14ac:dyDescent="0.25">
      <c r="A63" s="6" t="s">
        <v>24</v>
      </c>
      <c r="D63" s="6" t="s">
        <v>313</v>
      </c>
      <c r="E63" s="6">
        <v>2016</v>
      </c>
      <c r="F63" s="6">
        <v>4</v>
      </c>
      <c r="G63" s="6">
        <v>4</v>
      </c>
      <c r="H63" s="6">
        <v>14</v>
      </c>
      <c r="K63" s="6">
        <v>162</v>
      </c>
      <c r="L63" s="34">
        <v>45993</v>
      </c>
      <c r="N63" s="32">
        <v>1</v>
      </c>
      <c r="O63" s="32">
        <v>0</v>
      </c>
      <c r="P63" s="32">
        <v>6.3</v>
      </c>
      <c r="Q63" s="32">
        <v>4.4450000000000003</v>
      </c>
      <c r="R63" s="35">
        <f t="shared" si="1"/>
        <v>7.0555555555555562</v>
      </c>
      <c r="S63" s="29">
        <v>9.91</v>
      </c>
      <c r="T63" s="5">
        <v>7.4639999999999995</v>
      </c>
      <c r="U63">
        <v>9.9</v>
      </c>
      <c r="V63">
        <v>12.8</v>
      </c>
      <c r="W63" s="12">
        <v>80.746000000000009</v>
      </c>
      <c r="X63" s="28">
        <v>2.6379015678795232</v>
      </c>
    </row>
    <row r="64" spans="1:24" x14ac:dyDescent="0.25">
      <c r="A64" s="6" t="s">
        <v>34</v>
      </c>
      <c r="D64" s="6" t="s">
        <v>318</v>
      </c>
      <c r="E64" s="6">
        <v>2004</v>
      </c>
      <c r="F64" s="6">
        <v>4</v>
      </c>
      <c r="G64" s="6">
        <v>4</v>
      </c>
      <c r="H64" s="6">
        <v>15</v>
      </c>
      <c r="K64" s="6">
        <v>163</v>
      </c>
      <c r="L64" s="34">
        <v>45993</v>
      </c>
      <c r="N64" s="32">
        <v>1</v>
      </c>
      <c r="O64" s="32">
        <v>0</v>
      </c>
      <c r="P64" s="32">
        <v>6.05</v>
      </c>
      <c r="Q64" s="32">
        <v>4.6849999999999996</v>
      </c>
      <c r="R64" s="35">
        <f t="shared" si="1"/>
        <v>7.7438016528925608</v>
      </c>
      <c r="S64" s="29">
        <v>9.98</v>
      </c>
      <c r="T64" s="5">
        <v>6.976</v>
      </c>
      <c r="U64">
        <v>9.3000000000000007</v>
      </c>
      <c r="V64">
        <v>12.6</v>
      </c>
      <c r="W64" s="12">
        <v>82.524000000000001</v>
      </c>
      <c r="X64" s="28">
        <v>2.7046677330231206</v>
      </c>
    </row>
    <row r="65" spans="1:24" x14ac:dyDescent="0.25">
      <c r="A65" s="6" t="s">
        <v>34</v>
      </c>
      <c r="D65" s="6" t="s">
        <v>39</v>
      </c>
      <c r="E65" s="6">
        <v>2001</v>
      </c>
      <c r="F65" s="6">
        <v>4</v>
      </c>
      <c r="G65" s="6">
        <v>4</v>
      </c>
      <c r="H65" s="6">
        <v>16</v>
      </c>
      <c r="K65" s="6">
        <v>164</v>
      </c>
      <c r="L65" s="34">
        <v>45993</v>
      </c>
      <c r="N65" s="32">
        <v>1</v>
      </c>
      <c r="O65" s="32">
        <v>0</v>
      </c>
      <c r="P65" s="32">
        <v>6.15</v>
      </c>
      <c r="Q65" s="32">
        <v>4.5650000000000004</v>
      </c>
      <c r="R65" s="35">
        <f t="shared" si="1"/>
        <v>7.4227642276422765</v>
      </c>
      <c r="S65" s="29">
        <v>9.42</v>
      </c>
      <c r="T65" s="5">
        <v>6.895999999999999</v>
      </c>
      <c r="U65">
        <v>9.9</v>
      </c>
      <c r="V65">
        <v>13.7</v>
      </c>
      <c r="W65" s="12">
        <v>77.705999999999989</v>
      </c>
      <c r="X65" s="28">
        <v>3.3974210485676783</v>
      </c>
    </row>
    <row r="90" spans="1:11" x14ac:dyDescent="0.25">
      <c r="A90" s="54"/>
      <c r="B90" s="54"/>
      <c r="C90" s="55"/>
      <c r="D90" s="54"/>
      <c r="E90" s="54"/>
      <c r="F90" s="55"/>
      <c r="G90" s="55"/>
      <c r="H90" s="55"/>
      <c r="I90" s="55"/>
      <c r="J90" s="55"/>
      <c r="K90" s="55"/>
    </row>
    <row r="154" spans="1:11" x14ac:dyDescent="0.25">
      <c r="A154" s="54"/>
      <c r="B154" s="54"/>
      <c r="C154" s="55"/>
      <c r="D154" s="54"/>
      <c r="E154" s="54"/>
      <c r="F154" s="55"/>
      <c r="G154" s="55"/>
      <c r="H154" s="55"/>
      <c r="I154" s="55"/>
      <c r="J154" s="55"/>
      <c r="K154" s="55"/>
    </row>
    <row r="218" spans="1:11" x14ac:dyDescent="0.25">
      <c r="A218" s="54"/>
      <c r="B218" s="54"/>
      <c r="C218" s="55"/>
      <c r="D218" s="54"/>
      <c r="E218" s="54"/>
      <c r="F218" s="55"/>
      <c r="G218" s="55"/>
      <c r="H218" s="55"/>
      <c r="I218" s="55"/>
      <c r="J218" s="55"/>
      <c r="K218" s="55"/>
    </row>
    <row r="282" spans="1:11" x14ac:dyDescent="0.25">
      <c r="A282" s="54"/>
      <c r="B282" s="54"/>
      <c r="C282" s="55"/>
      <c r="D282" s="54"/>
      <c r="E282" s="54"/>
      <c r="F282" s="55"/>
      <c r="G282" s="55"/>
      <c r="H282" s="55"/>
      <c r="I282" s="55"/>
      <c r="J282" s="55"/>
      <c r="K282" s="55"/>
    </row>
    <row r="346" spans="1:11" x14ac:dyDescent="0.25">
      <c r="A346" s="54"/>
      <c r="B346" s="54"/>
      <c r="C346" s="55"/>
      <c r="D346" s="54"/>
      <c r="E346" s="54"/>
      <c r="F346" s="55"/>
      <c r="G346" s="55"/>
      <c r="H346" s="55"/>
      <c r="I346" s="55"/>
      <c r="J346" s="55"/>
      <c r="K346" s="55"/>
    </row>
    <row r="410" spans="1:11" x14ac:dyDescent="0.25">
      <c r="A410" s="54"/>
      <c r="B410" s="54"/>
      <c r="C410" s="55"/>
      <c r="D410" s="54"/>
      <c r="E410" s="54"/>
      <c r="F410" s="55"/>
      <c r="G410" s="55"/>
      <c r="H410" s="55"/>
      <c r="I410" s="55"/>
      <c r="J410" s="55"/>
      <c r="K410" s="55"/>
    </row>
    <row r="474" spans="1:11" x14ac:dyDescent="0.25">
      <c r="A474" s="54"/>
      <c r="B474" s="54"/>
      <c r="C474" s="55"/>
      <c r="D474" s="54"/>
      <c r="E474" s="54"/>
      <c r="F474" s="55"/>
      <c r="G474" s="55"/>
      <c r="H474" s="55"/>
      <c r="I474" s="55"/>
      <c r="J474" s="55"/>
      <c r="K474" s="55"/>
    </row>
  </sheetData>
  <sortState xmlns:xlrd2="http://schemas.microsoft.com/office/spreadsheetml/2017/richdata2" ref="A2:AH474">
    <sortCondition ref="K2:K474"/>
  </sortState>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FFC2331863D440B8D941E06DE106C1" ma:contentTypeVersion="13" ma:contentTypeDescription="Create a new document." ma:contentTypeScope="" ma:versionID="f237d48f8fe8de6a2ae656e386233161">
  <xsd:schema xmlns:xsd="http://www.w3.org/2001/XMLSchema" xmlns:xs="http://www.w3.org/2001/XMLSchema" xmlns:p="http://schemas.microsoft.com/office/2006/metadata/properties" xmlns:ns2="e1075c0a-66fe-41b2-b9b9-96fab4c03331" xmlns:ns3="7862ba92-1ed1-4299-8be4-2b023bdc0104" targetNamespace="http://schemas.microsoft.com/office/2006/metadata/properties" ma:root="true" ma:fieldsID="084f2fc260468639ac304d44f69497d1" ns2:_="" ns3:_="">
    <xsd:import namespace="e1075c0a-66fe-41b2-b9b9-96fab4c03331"/>
    <xsd:import namespace="7862ba92-1ed1-4299-8be4-2b023bdc01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lcf76f155ced4ddcb4097134ff3c332f" minOccurs="0"/>
                <xsd:element ref="ns2:TaxCatchAll"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75c0a-66fe-41b2-b9b9-96fab4c03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15f1bef-5212-4ac6-8faa-53ca9d01fd62}" ma:internalName="TaxCatchAll" ma:showField="CatchAllData" ma:web="e1075c0a-66fe-41b2-b9b9-96fab4c033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62ba92-1ed1-4299-8be4-2b023bdc01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1075c0a-66fe-41b2-b9b9-96fab4c03331" xsi:nil="true"/>
    <lcf76f155ced4ddcb4097134ff3c332f xmlns="7862ba92-1ed1-4299-8be4-2b023bdc010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1EDC366-1A28-46E2-A192-53CE20B7A0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075c0a-66fe-41b2-b9b9-96fab4c03331"/>
    <ds:schemaRef ds:uri="7862ba92-1ed1-4299-8be4-2b023bdc01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4F460E-A821-45FA-ADAF-110259797661}">
  <ds:schemaRefs>
    <ds:schemaRef ds:uri="http://schemas.microsoft.com/sharepoint/v3/contenttype/forms"/>
  </ds:schemaRefs>
</ds:datastoreItem>
</file>

<file path=customXml/itemProps3.xml><?xml version="1.0" encoding="utf-8"?>
<ds:datastoreItem xmlns:ds="http://schemas.openxmlformats.org/officeDocument/2006/customXml" ds:itemID="{B7C2D374-EE1C-4AA4-B86F-4ECABEF512F3}">
  <ds:schemaRefs>
    <ds:schemaRef ds:uri="http://purl.org/dc/terms/"/>
    <ds:schemaRef ds:uri="http://schemas.openxmlformats.org/package/2006/metadata/core-properties"/>
    <ds:schemaRef ds:uri="http://schemas.microsoft.com/office/2006/documentManagement/types"/>
    <ds:schemaRef ds:uri="e1075c0a-66fe-41b2-b9b9-96fab4c03331"/>
    <ds:schemaRef ds:uri="7862ba92-1ed1-4299-8be4-2b023bdc0104"/>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Design</vt:lpstr>
      <vt:lpstr>Site</vt:lpstr>
      <vt:lpstr>Experiment</vt:lpstr>
      <vt:lpstr>Plan</vt:lpstr>
      <vt:lpstr>Diary</vt:lpstr>
      <vt:lpstr>Seed</vt:lpstr>
      <vt:lpstr>Management</vt:lpstr>
      <vt:lpstr>Measurements</vt:lpstr>
      <vt:lpstr>Irrigation</vt:lpstr>
      <vt:lpstr>Soil sampling</vt:lpstr>
      <vt:lpstr>Predicta B</vt:lpstr>
      <vt:lpstr>Weather</vt:lpstr>
      <vt:lpstr>Emergence</vt:lpstr>
      <vt:lpstr>Soil Characterisation</vt:lpstr>
      <vt:lpstr>Population</vt:lpstr>
      <vt:lpstr>Bare soil NDVI</vt:lpstr>
      <vt:lpstr>NDVI &amp; height</vt:lpstr>
      <vt:lpstr>Canopy Height</vt:lpstr>
      <vt:lpstr>Haun stage </vt:lpstr>
      <vt:lpstr>Leaf angle measurement</vt:lpstr>
      <vt:lpstr>Tiller No</vt:lpstr>
      <vt:lpstr>Leaf measurement</vt:lpstr>
      <vt:lpstr>PCDS 6.0</vt:lpstr>
      <vt:lpstr>PCDS 6.0 harvest</vt:lpstr>
      <vt:lpstr>PCDS 8.0</vt:lpstr>
      <vt:lpstr>PCDS 8.0 harvest</vt:lpstr>
      <vt:lpstr>Sterility measurement (frost)</vt:lpstr>
      <vt:lpstr>PCDS 10.0 harvest</vt:lpstr>
      <vt:lpstr>Machine harvest</vt:lpstr>
    </vt:vector>
  </TitlesOfParts>
  <Manager/>
  <Company>The University of Melbourne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Corinne Celestina</dc:creator>
  <cp:keywords/>
  <dc:description/>
  <cp:lastModifiedBy>Bathgate, Jordan</cp:lastModifiedBy>
  <cp:revision/>
  <dcterms:created xsi:type="dcterms:W3CDTF">2023-06-06T01:52:09Z</dcterms:created>
  <dcterms:modified xsi:type="dcterms:W3CDTF">2026-04-16T05:17:01Z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0x010100C7FFC2331863D440B8D941E06DE106C1</vt:lpwstr>
  </property>
  <property fmtid="{D5CDD505-2E9C-101B-9397-08002B2CF9AE}" pid="3" name="MediaServiceImageTags">
    <vt:lpwstr/>
  </property>
</Properties>
</file>